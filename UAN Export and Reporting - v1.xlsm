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bryancasler/Documents/GitHub/aiusa-uan-reporting/"/>
    </mc:Choice>
  </mc:AlternateContent>
  <xr:revisionPtr revIDLastSave="0" documentId="13_ncr:1_{687EE9C9-1680-FA40-B3B5-D2FF4C47E643}" xr6:coauthVersionLast="47" xr6:coauthVersionMax="47" xr10:uidLastSave="{00000000-0000-0000-0000-000000000000}"/>
  <bookViews>
    <workbookView xWindow="0" yWindow="500" windowWidth="30240" windowHeight="19060" activeTab="1" xr2:uid="{00000000-000D-0000-FFFF-FFFF00000000}"/>
  </bookViews>
  <sheets>
    <sheet name="report" sheetId="1" r:id="rId1"/>
    <sheet name="by-page-title" sheetId="12" r:id="rId2"/>
    <sheet name="by-case-number" sheetId="5" r:id="rId3"/>
    <sheet name="export" sheetId="2" r:id="rId4"/>
    <sheet name="processed-export" sheetId="3" r:id="rId5"/>
    <sheet name="by-name" sheetId="4" state="hidden" r:id="rId6"/>
    <sheet name="by-country" sheetId="6" state="hidden" r:id="rId7"/>
    <sheet name="by-topic" sheetId="7" state="hidden" r:id="rId8"/>
    <sheet name="by-year" sheetId="8" state="hidden" r:id="rId9"/>
    <sheet name="by-type" sheetId="9" state="hidden" r:id="rId10"/>
    <sheet name="by-date" sheetId="10" state="hidden" r:id="rId11"/>
    <sheet name="by-supporter" sheetId="11" state="hidden" r:id="rId12"/>
  </sheets>
  <definedNames>
    <definedName name="_xlnm._FilterDatabase" localSheetId="2" hidden="1">'by-case-number'!$A$1:$B$1000</definedName>
    <definedName name="_xlnm._FilterDatabase" localSheetId="6" hidden="1">'by-country'!$A$1:$B$1000</definedName>
    <definedName name="_xlnm._FilterDatabase" localSheetId="10" hidden="1">'by-date'!$A$1:$B$1000</definedName>
    <definedName name="_xlnm._FilterDatabase" localSheetId="5" hidden="1">'by-name'!$A$1:$C$3049</definedName>
    <definedName name="_xlnm._FilterDatabase" localSheetId="11" hidden="1">'by-supporter'!$A$1:$C$754</definedName>
    <definedName name="_xlnm._FilterDatabase" localSheetId="7" hidden="1">'by-topic'!$A$1:$B$1000</definedName>
    <definedName name="_xlnm._FilterDatabase" localSheetId="9" hidden="1">'by-type'!$A$1:$B$1000</definedName>
    <definedName name="_xlnm._FilterDatabase" localSheetId="8" hidden="1">'by-year'!$A$1:$B$1000</definedName>
    <definedName name="_xlnm._FilterDatabase" localSheetId="3" hidden="1">export!$A$1:$MG$2751</definedName>
    <definedName name="_xlnm._FilterDatabase" localSheetId="4" hidden="1">'processed-export'!$A$1:$J$3249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3" l="1"/>
  <c r="E1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A3249" i="3"/>
  <c r="D2749" i="3"/>
  <c r="C2749" i="3"/>
  <c r="B2749" i="3"/>
  <c r="A2749" i="3"/>
  <c r="D2748" i="3"/>
  <c r="C2748" i="3"/>
  <c r="B2748" i="3"/>
  <c r="A2748" i="3"/>
  <c r="D2747" i="3"/>
  <c r="C2747" i="3"/>
  <c r="B2747" i="3"/>
  <c r="A2747" i="3"/>
  <c r="D2746" i="3"/>
  <c r="C2746" i="3"/>
  <c r="B2746" i="3"/>
  <c r="A2746" i="3"/>
  <c r="D2745" i="3"/>
  <c r="C2745" i="3"/>
  <c r="B2745" i="3"/>
  <c r="A2745" i="3"/>
  <c r="D2744" i="3"/>
  <c r="C2744" i="3"/>
  <c r="B2744" i="3"/>
  <c r="A2744" i="3"/>
  <c r="D2743" i="3"/>
  <c r="C2743" i="3"/>
  <c r="B2743" i="3"/>
  <c r="A2743" i="3"/>
  <c r="D2742" i="3"/>
  <c r="C2742" i="3"/>
  <c r="B2742" i="3"/>
  <c r="A2742" i="3"/>
  <c r="D2741" i="3"/>
  <c r="C2741" i="3"/>
  <c r="B2741" i="3"/>
  <c r="A2741" i="3"/>
  <c r="D2740" i="3"/>
  <c r="C2740" i="3"/>
  <c r="B2740" i="3"/>
  <c r="A2740" i="3"/>
  <c r="D2739" i="3"/>
  <c r="C2739" i="3"/>
  <c r="B2739" i="3"/>
  <c r="A2739" i="3"/>
  <c r="D2738" i="3"/>
  <c r="C2738" i="3"/>
  <c r="B2738" i="3"/>
  <c r="A2738" i="3"/>
  <c r="D2737" i="3"/>
  <c r="C2737" i="3"/>
  <c r="B2737" i="3"/>
  <c r="A2737" i="3"/>
  <c r="D2736" i="3"/>
  <c r="C2736" i="3"/>
  <c r="B2736" i="3"/>
  <c r="A2736" i="3"/>
  <c r="D2735" i="3"/>
  <c r="C2735" i="3"/>
  <c r="B2735" i="3"/>
  <c r="A2735" i="3"/>
  <c r="D2734" i="3"/>
  <c r="C2734" i="3"/>
  <c r="B2734" i="3"/>
  <c r="A2734" i="3"/>
  <c r="D2733" i="3"/>
  <c r="C2733" i="3"/>
  <c r="B2733" i="3"/>
  <c r="A2733" i="3"/>
  <c r="D2732" i="3"/>
  <c r="C2732" i="3"/>
  <c r="B2732" i="3"/>
  <c r="A2732" i="3"/>
  <c r="D2731" i="3"/>
  <c r="C2731" i="3"/>
  <c r="B2731" i="3"/>
  <c r="A2731" i="3"/>
  <c r="D2730" i="3"/>
  <c r="C2730" i="3"/>
  <c r="B2730" i="3"/>
  <c r="A2730" i="3"/>
  <c r="D2729" i="3"/>
  <c r="C2729" i="3"/>
  <c r="B2729" i="3"/>
  <c r="A2729" i="3"/>
  <c r="D2728" i="3"/>
  <c r="C2728" i="3"/>
  <c r="B2728" i="3"/>
  <c r="A2728" i="3"/>
  <c r="D2727" i="3"/>
  <c r="C2727" i="3"/>
  <c r="B2727" i="3"/>
  <c r="A2727" i="3"/>
  <c r="D2726" i="3"/>
  <c r="C2726" i="3"/>
  <c r="B2726" i="3"/>
  <c r="A2726" i="3"/>
  <c r="D2725" i="3"/>
  <c r="C2725" i="3"/>
  <c r="B2725" i="3"/>
  <c r="A2725" i="3"/>
  <c r="D2724" i="3"/>
  <c r="C2724" i="3"/>
  <c r="B2724" i="3"/>
  <c r="A2724" i="3"/>
  <c r="D2723" i="3"/>
  <c r="C2723" i="3"/>
  <c r="B2723" i="3"/>
  <c r="A2723" i="3"/>
  <c r="D2722" i="3"/>
  <c r="C2722" i="3"/>
  <c r="B2722" i="3"/>
  <c r="A2722" i="3"/>
  <c r="D2721" i="3"/>
  <c r="C2721" i="3"/>
  <c r="B2721" i="3"/>
  <c r="A2721" i="3"/>
  <c r="D2720" i="3"/>
  <c r="C2720" i="3"/>
  <c r="B2720" i="3"/>
  <c r="A2720" i="3"/>
  <c r="D2719" i="3"/>
  <c r="C2719" i="3"/>
  <c r="B2719" i="3"/>
  <c r="A2719" i="3"/>
  <c r="D2718" i="3"/>
  <c r="C2718" i="3"/>
  <c r="B2718" i="3"/>
  <c r="A2718" i="3"/>
  <c r="D2717" i="3"/>
  <c r="C2717" i="3"/>
  <c r="B2717" i="3"/>
  <c r="A2717" i="3"/>
  <c r="D2716" i="3"/>
  <c r="C2716" i="3"/>
  <c r="B2716" i="3"/>
  <c r="A2716" i="3"/>
  <c r="D2715" i="3"/>
  <c r="C2715" i="3"/>
  <c r="B2715" i="3"/>
  <c r="A2715" i="3"/>
  <c r="D2714" i="3"/>
  <c r="C2714" i="3"/>
  <c r="B2714" i="3"/>
  <c r="A2714" i="3"/>
  <c r="D2713" i="3"/>
  <c r="C2713" i="3"/>
  <c r="B2713" i="3"/>
  <c r="A2713" i="3"/>
  <c r="D2712" i="3"/>
  <c r="C2712" i="3"/>
  <c r="B2712" i="3"/>
  <c r="A2712" i="3"/>
  <c r="D2711" i="3"/>
  <c r="C2711" i="3"/>
  <c r="B2711" i="3"/>
  <c r="A2711" i="3"/>
  <c r="D2710" i="3"/>
  <c r="C2710" i="3"/>
  <c r="B2710" i="3"/>
  <c r="A2710" i="3"/>
  <c r="D2709" i="3"/>
  <c r="C2709" i="3"/>
  <c r="B2709" i="3"/>
  <c r="A2709" i="3"/>
  <c r="D2708" i="3"/>
  <c r="C2708" i="3"/>
  <c r="B2708" i="3"/>
  <c r="A2708" i="3"/>
  <c r="D2707" i="3"/>
  <c r="C2707" i="3"/>
  <c r="B2707" i="3"/>
  <c r="A2707" i="3"/>
  <c r="D2706" i="3"/>
  <c r="C2706" i="3"/>
  <c r="B2706" i="3"/>
  <c r="A2706" i="3"/>
  <c r="D2705" i="3"/>
  <c r="C2705" i="3"/>
  <c r="B2705" i="3"/>
  <c r="A2705" i="3"/>
  <c r="D2704" i="3"/>
  <c r="C2704" i="3"/>
  <c r="B2704" i="3"/>
  <c r="A2704" i="3"/>
  <c r="D2703" i="3"/>
  <c r="C2703" i="3"/>
  <c r="B2703" i="3"/>
  <c r="A2703" i="3"/>
  <c r="D2702" i="3"/>
  <c r="C2702" i="3"/>
  <c r="B2702" i="3"/>
  <c r="A2702" i="3"/>
  <c r="D2701" i="3"/>
  <c r="C2701" i="3"/>
  <c r="B2701" i="3"/>
  <c r="A2701" i="3"/>
  <c r="D2700" i="3"/>
  <c r="C2700" i="3"/>
  <c r="B2700" i="3"/>
  <c r="A2700" i="3"/>
  <c r="D2699" i="3"/>
  <c r="C2699" i="3"/>
  <c r="B2699" i="3"/>
  <c r="A2699" i="3"/>
  <c r="D2698" i="3"/>
  <c r="C2698" i="3"/>
  <c r="B2698" i="3"/>
  <c r="A2698" i="3"/>
  <c r="D2697" i="3"/>
  <c r="C2697" i="3"/>
  <c r="B2697" i="3"/>
  <c r="A2697" i="3"/>
  <c r="D2696" i="3"/>
  <c r="C2696" i="3"/>
  <c r="B2696" i="3"/>
  <c r="A2696" i="3"/>
  <c r="D2695" i="3"/>
  <c r="C2695" i="3"/>
  <c r="B2695" i="3"/>
  <c r="A2695" i="3"/>
  <c r="D2694" i="3"/>
  <c r="C2694" i="3"/>
  <c r="B2694" i="3"/>
  <c r="A2694" i="3"/>
  <c r="D2693" i="3"/>
  <c r="C2693" i="3"/>
  <c r="B2693" i="3"/>
  <c r="A2693" i="3"/>
  <c r="D2692" i="3"/>
  <c r="C2692" i="3"/>
  <c r="B2692" i="3"/>
  <c r="A2692" i="3"/>
  <c r="D2691" i="3"/>
  <c r="C2691" i="3"/>
  <c r="B2691" i="3"/>
  <c r="A2691" i="3"/>
  <c r="D2690" i="3"/>
  <c r="C2690" i="3"/>
  <c r="B2690" i="3"/>
  <c r="A2690" i="3"/>
  <c r="D2689" i="3"/>
  <c r="C2689" i="3"/>
  <c r="B2689" i="3"/>
  <c r="A2689" i="3"/>
  <c r="D2688" i="3"/>
  <c r="C2688" i="3"/>
  <c r="B2688" i="3"/>
  <c r="A2688" i="3"/>
  <c r="D2687" i="3"/>
  <c r="C2687" i="3"/>
  <c r="B2687" i="3"/>
  <c r="A2687" i="3"/>
  <c r="D2686" i="3"/>
  <c r="C2686" i="3"/>
  <c r="B2686" i="3"/>
  <c r="A2686" i="3"/>
  <c r="D2685" i="3"/>
  <c r="C2685" i="3"/>
  <c r="B2685" i="3"/>
  <c r="A2685" i="3"/>
  <c r="D2684" i="3"/>
  <c r="C2684" i="3"/>
  <c r="B2684" i="3"/>
  <c r="A2684" i="3"/>
  <c r="D2683" i="3"/>
  <c r="C2683" i="3"/>
  <c r="B2683" i="3"/>
  <c r="A2683" i="3"/>
  <c r="D2682" i="3"/>
  <c r="C2682" i="3"/>
  <c r="B2682" i="3"/>
  <c r="A2682" i="3"/>
  <c r="D2681" i="3"/>
  <c r="C2681" i="3"/>
  <c r="B2681" i="3"/>
  <c r="A2681" i="3"/>
  <c r="D2680" i="3"/>
  <c r="C2680" i="3"/>
  <c r="B2680" i="3"/>
  <c r="A2680" i="3"/>
  <c r="D2679" i="3"/>
  <c r="C2679" i="3"/>
  <c r="B2679" i="3"/>
  <c r="A2679" i="3"/>
  <c r="D2678" i="3"/>
  <c r="C2678" i="3"/>
  <c r="B2678" i="3"/>
  <c r="A2678" i="3"/>
  <c r="D2677" i="3"/>
  <c r="C2677" i="3"/>
  <c r="B2677" i="3"/>
  <c r="A2677" i="3"/>
  <c r="D2676" i="3"/>
  <c r="C2676" i="3"/>
  <c r="B2676" i="3"/>
  <c r="A2676" i="3"/>
  <c r="D2675" i="3"/>
  <c r="C2675" i="3"/>
  <c r="B2675" i="3"/>
  <c r="A2675" i="3"/>
  <c r="D2674" i="3"/>
  <c r="C2674" i="3"/>
  <c r="B2674" i="3"/>
  <c r="A2674" i="3"/>
  <c r="D2673" i="3"/>
  <c r="C2673" i="3"/>
  <c r="B2673" i="3"/>
  <c r="A2673" i="3"/>
  <c r="D2672" i="3"/>
  <c r="C2672" i="3"/>
  <c r="B2672" i="3"/>
  <c r="A2672" i="3"/>
  <c r="D2671" i="3"/>
  <c r="C2671" i="3"/>
  <c r="B2671" i="3"/>
  <c r="A2671" i="3"/>
  <c r="D2670" i="3"/>
  <c r="C2670" i="3"/>
  <c r="B2670" i="3"/>
  <c r="A2670" i="3"/>
  <c r="D2669" i="3"/>
  <c r="C2669" i="3"/>
  <c r="B2669" i="3"/>
  <c r="A2669" i="3"/>
  <c r="D2668" i="3"/>
  <c r="C2668" i="3"/>
  <c r="B2668" i="3"/>
  <c r="A2668" i="3"/>
  <c r="D2667" i="3"/>
  <c r="C2667" i="3"/>
  <c r="B2667" i="3"/>
  <c r="A2667" i="3"/>
  <c r="D2666" i="3"/>
  <c r="C2666" i="3"/>
  <c r="B2666" i="3"/>
  <c r="A2666" i="3"/>
  <c r="D2665" i="3"/>
  <c r="C2665" i="3"/>
  <c r="B2665" i="3"/>
  <c r="A2665" i="3"/>
  <c r="D2664" i="3"/>
  <c r="C2664" i="3"/>
  <c r="B2664" i="3"/>
  <c r="A2664" i="3"/>
  <c r="D2663" i="3"/>
  <c r="C2663" i="3"/>
  <c r="B2663" i="3"/>
  <c r="A2663" i="3"/>
  <c r="D2662" i="3"/>
  <c r="C2662" i="3"/>
  <c r="B2662" i="3"/>
  <c r="A2662" i="3"/>
  <c r="D2661" i="3"/>
  <c r="C2661" i="3"/>
  <c r="B2661" i="3"/>
  <c r="A2661" i="3"/>
  <c r="D2660" i="3"/>
  <c r="C2660" i="3"/>
  <c r="B2660" i="3"/>
  <c r="A2660" i="3"/>
  <c r="D2659" i="3"/>
  <c r="C2659" i="3"/>
  <c r="B2659" i="3"/>
  <c r="A2659" i="3"/>
  <c r="D2658" i="3"/>
  <c r="C2658" i="3"/>
  <c r="B2658" i="3"/>
  <c r="A2658" i="3"/>
  <c r="D2657" i="3"/>
  <c r="C2657" i="3"/>
  <c r="B2657" i="3"/>
  <c r="A2657" i="3"/>
  <c r="D2656" i="3"/>
  <c r="C2656" i="3"/>
  <c r="B2656" i="3"/>
  <c r="A2656" i="3"/>
  <c r="D2655" i="3"/>
  <c r="C2655" i="3"/>
  <c r="B2655" i="3"/>
  <c r="A2655" i="3"/>
  <c r="D2654" i="3"/>
  <c r="C2654" i="3"/>
  <c r="B2654" i="3"/>
  <c r="A2654" i="3"/>
  <c r="D2653" i="3"/>
  <c r="C2653" i="3"/>
  <c r="B2653" i="3"/>
  <c r="A2653" i="3"/>
  <c r="D2652" i="3"/>
  <c r="C2652" i="3"/>
  <c r="B2652" i="3"/>
  <c r="A2652" i="3"/>
  <c r="D2651" i="3"/>
  <c r="C2651" i="3"/>
  <c r="B2651" i="3"/>
  <c r="A2651" i="3"/>
  <c r="D2650" i="3"/>
  <c r="C2650" i="3"/>
  <c r="B2650" i="3"/>
  <c r="A2650" i="3"/>
  <c r="D2649" i="3"/>
  <c r="C2649" i="3"/>
  <c r="B2649" i="3"/>
  <c r="A2649" i="3"/>
  <c r="D2648" i="3"/>
  <c r="C2648" i="3"/>
  <c r="B2648" i="3"/>
  <c r="A2648" i="3"/>
  <c r="D2647" i="3"/>
  <c r="C2647" i="3"/>
  <c r="B2647" i="3"/>
  <c r="A2647" i="3"/>
  <c r="D2646" i="3"/>
  <c r="C2646" i="3"/>
  <c r="B2646" i="3"/>
  <c r="A2646" i="3"/>
  <c r="D2645" i="3"/>
  <c r="C2645" i="3"/>
  <c r="B2645" i="3"/>
  <c r="A2645" i="3"/>
  <c r="D2644" i="3"/>
  <c r="C2644" i="3"/>
  <c r="B2644" i="3"/>
  <c r="A2644" i="3"/>
  <c r="D2643" i="3"/>
  <c r="C2643" i="3"/>
  <c r="B2643" i="3"/>
  <c r="A2643" i="3"/>
  <c r="D2642" i="3"/>
  <c r="C2642" i="3"/>
  <c r="B2642" i="3"/>
  <c r="A2642" i="3"/>
  <c r="D2641" i="3"/>
  <c r="C2641" i="3"/>
  <c r="B2641" i="3"/>
  <c r="A2641" i="3"/>
  <c r="D2640" i="3"/>
  <c r="C2640" i="3"/>
  <c r="B2640" i="3"/>
  <c r="A2640" i="3"/>
  <c r="D2639" i="3"/>
  <c r="C2639" i="3"/>
  <c r="B2639" i="3"/>
  <c r="A2639" i="3"/>
  <c r="D2638" i="3"/>
  <c r="C2638" i="3"/>
  <c r="B2638" i="3"/>
  <c r="A2638" i="3"/>
  <c r="D2637" i="3"/>
  <c r="C2637" i="3"/>
  <c r="B2637" i="3"/>
  <c r="A2637" i="3"/>
  <c r="D2636" i="3"/>
  <c r="C2636" i="3"/>
  <c r="B2636" i="3"/>
  <c r="A2636" i="3"/>
  <c r="D2635" i="3"/>
  <c r="C2635" i="3"/>
  <c r="B2635" i="3"/>
  <c r="A2635" i="3"/>
  <c r="D2634" i="3"/>
  <c r="C2634" i="3"/>
  <c r="B2634" i="3"/>
  <c r="A2634" i="3"/>
  <c r="D2633" i="3"/>
  <c r="C2633" i="3"/>
  <c r="B2633" i="3"/>
  <c r="A2633" i="3"/>
  <c r="D2632" i="3"/>
  <c r="C2632" i="3"/>
  <c r="B2632" i="3"/>
  <c r="A2632" i="3"/>
  <c r="D2631" i="3"/>
  <c r="C2631" i="3"/>
  <c r="B2631" i="3"/>
  <c r="A2631" i="3"/>
  <c r="D2630" i="3"/>
  <c r="C2630" i="3"/>
  <c r="B2630" i="3"/>
  <c r="A2630" i="3"/>
  <c r="D2629" i="3"/>
  <c r="C2629" i="3"/>
  <c r="B2629" i="3"/>
  <c r="A2629" i="3"/>
  <c r="D2628" i="3"/>
  <c r="C2628" i="3"/>
  <c r="B2628" i="3"/>
  <c r="A2628" i="3"/>
  <c r="D2627" i="3"/>
  <c r="C2627" i="3"/>
  <c r="B2627" i="3"/>
  <c r="A2627" i="3"/>
  <c r="D2626" i="3"/>
  <c r="C2626" i="3"/>
  <c r="B2626" i="3"/>
  <c r="A2626" i="3"/>
  <c r="D2625" i="3"/>
  <c r="C2625" i="3"/>
  <c r="B2625" i="3"/>
  <c r="A2625" i="3"/>
  <c r="D2624" i="3"/>
  <c r="C2624" i="3"/>
  <c r="B2624" i="3"/>
  <c r="A2624" i="3"/>
  <c r="D2623" i="3"/>
  <c r="C2623" i="3"/>
  <c r="B2623" i="3"/>
  <c r="A2623" i="3"/>
  <c r="D2622" i="3"/>
  <c r="C2622" i="3"/>
  <c r="B2622" i="3"/>
  <c r="A2622" i="3"/>
  <c r="D2621" i="3"/>
  <c r="C2621" i="3"/>
  <c r="B2621" i="3"/>
  <c r="A2621" i="3"/>
  <c r="D2620" i="3"/>
  <c r="C2620" i="3"/>
  <c r="B2620" i="3"/>
  <c r="A2620" i="3"/>
  <c r="D2619" i="3"/>
  <c r="C2619" i="3"/>
  <c r="B2619" i="3"/>
  <c r="A2619" i="3"/>
  <c r="D2618" i="3"/>
  <c r="C2618" i="3"/>
  <c r="B2618" i="3"/>
  <c r="A2618" i="3"/>
  <c r="D2617" i="3"/>
  <c r="C2617" i="3"/>
  <c r="B2617" i="3"/>
  <c r="A2617" i="3"/>
  <c r="D2616" i="3"/>
  <c r="C2616" i="3"/>
  <c r="B2616" i="3"/>
  <c r="A2616" i="3"/>
  <c r="D2615" i="3"/>
  <c r="C2615" i="3"/>
  <c r="B2615" i="3"/>
  <c r="A2615" i="3"/>
  <c r="D2614" i="3"/>
  <c r="C2614" i="3"/>
  <c r="B2614" i="3"/>
  <c r="A2614" i="3"/>
  <c r="D2613" i="3"/>
  <c r="C2613" i="3"/>
  <c r="B2613" i="3"/>
  <c r="A2613" i="3"/>
  <c r="D2612" i="3"/>
  <c r="C2612" i="3"/>
  <c r="B2612" i="3"/>
  <c r="A2612" i="3"/>
  <c r="D2611" i="3"/>
  <c r="C2611" i="3"/>
  <c r="B2611" i="3"/>
  <c r="A2611" i="3"/>
  <c r="D2610" i="3"/>
  <c r="C2610" i="3"/>
  <c r="B2610" i="3"/>
  <c r="A2610" i="3"/>
  <c r="D2609" i="3"/>
  <c r="C2609" i="3"/>
  <c r="B2609" i="3"/>
  <c r="A2609" i="3"/>
  <c r="D2608" i="3"/>
  <c r="C2608" i="3"/>
  <c r="B2608" i="3"/>
  <c r="A2608" i="3"/>
  <c r="D2607" i="3"/>
  <c r="C2607" i="3"/>
  <c r="B2607" i="3"/>
  <c r="A2607" i="3"/>
  <c r="D2606" i="3"/>
  <c r="C2606" i="3"/>
  <c r="B2606" i="3"/>
  <c r="A2606" i="3"/>
  <c r="D2605" i="3"/>
  <c r="C2605" i="3"/>
  <c r="B2605" i="3"/>
  <c r="A2605" i="3"/>
  <c r="D2604" i="3"/>
  <c r="C2604" i="3"/>
  <c r="B2604" i="3"/>
  <c r="A2604" i="3"/>
  <c r="D2603" i="3"/>
  <c r="C2603" i="3"/>
  <c r="B2603" i="3"/>
  <c r="A2603" i="3"/>
  <c r="D2602" i="3"/>
  <c r="C2602" i="3"/>
  <c r="B2602" i="3"/>
  <c r="A2602" i="3"/>
  <c r="D2601" i="3"/>
  <c r="C2601" i="3"/>
  <c r="B2601" i="3"/>
  <c r="A2601" i="3"/>
  <c r="D2600" i="3"/>
  <c r="C2600" i="3"/>
  <c r="B2600" i="3"/>
  <c r="A2600" i="3"/>
  <c r="D2599" i="3"/>
  <c r="C2599" i="3"/>
  <c r="B2599" i="3"/>
  <c r="A2599" i="3"/>
  <c r="D2598" i="3"/>
  <c r="C2598" i="3"/>
  <c r="B2598" i="3"/>
  <c r="A2598" i="3"/>
  <c r="D2597" i="3"/>
  <c r="C2597" i="3"/>
  <c r="B2597" i="3"/>
  <c r="A2597" i="3"/>
  <c r="D2596" i="3"/>
  <c r="C2596" i="3"/>
  <c r="B2596" i="3"/>
  <c r="A2596" i="3"/>
  <c r="D2595" i="3"/>
  <c r="C2595" i="3"/>
  <c r="B2595" i="3"/>
  <c r="A2595" i="3"/>
  <c r="D2594" i="3"/>
  <c r="C2594" i="3"/>
  <c r="B2594" i="3"/>
  <c r="A2594" i="3"/>
  <c r="D2593" i="3"/>
  <c r="C2593" i="3"/>
  <c r="B2593" i="3"/>
  <c r="A2593" i="3"/>
  <c r="D2592" i="3"/>
  <c r="C2592" i="3"/>
  <c r="B2592" i="3"/>
  <c r="A2592" i="3"/>
  <c r="D2591" i="3"/>
  <c r="C2591" i="3"/>
  <c r="B2591" i="3"/>
  <c r="A2591" i="3"/>
  <c r="D2590" i="3"/>
  <c r="C2590" i="3"/>
  <c r="B2590" i="3"/>
  <c r="A2590" i="3"/>
  <c r="D2589" i="3"/>
  <c r="C2589" i="3"/>
  <c r="B2589" i="3"/>
  <c r="A2589" i="3"/>
  <c r="D2588" i="3"/>
  <c r="C2588" i="3"/>
  <c r="B2588" i="3"/>
  <c r="A2588" i="3"/>
  <c r="D2587" i="3"/>
  <c r="C2587" i="3"/>
  <c r="B2587" i="3"/>
  <c r="A2587" i="3"/>
  <c r="D2586" i="3"/>
  <c r="C2586" i="3"/>
  <c r="B2586" i="3"/>
  <c r="A2586" i="3"/>
  <c r="D2585" i="3"/>
  <c r="C2585" i="3"/>
  <c r="B2585" i="3"/>
  <c r="A2585" i="3"/>
  <c r="D2584" i="3"/>
  <c r="C2584" i="3"/>
  <c r="B2584" i="3"/>
  <c r="A2584" i="3"/>
  <c r="D2583" i="3"/>
  <c r="C2583" i="3"/>
  <c r="B2583" i="3"/>
  <c r="A2583" i="3"/>
  <c r="D2582" i="3"/>
  <c r="C2582" i="3"/>
  <c r="B2582" i="3"/>
  <c r="A2582" i="3"/>
  <c r="D2581" i="3"/>
  <c r="C2581" i="3"/>
  <c r="B2581" i="3"/>
  <c r="A2581" i="3"/>
  <c r="D2580" i="3"/>
  <c r="C2580" i="3"/>
  <c r="B2580" i="3"/>
  <c r="A2580" i="3"/>
  <c r="D2579" i="3"/>
  <c r="C2579" i="3"/>
  <c r="B2579" i="3"/>
  <c r="A2579" i="3"/>
  <c r="D2578" i="3"/>
  <c r="C2578" i="3"/>
  <c r="B2578" i="3"/>
  <c r="A2578" i="3"/>
  <c r="D2577" i="3"/>
  <c r="C2577" i="3"/>
  <c r="B2577" i="3"/>
  <c r="A2577" i="3"/>
  <c r="D2576" i="3"/>
  <c r="C2576" i="3"/>
  <c r="B2576" i="3"/>
  <c r="A2576" i="3"/>
  <c r="D2575" i="3"/>
  <c r="C2575" i="3"/>
  <c r="B2575" i="3"/>
  <c r="A2575" i="3"/>
  <c r="D2574" i="3"/>
  <c r="C2574" i="3"/>
  <c r="B2574" i="3"/>
  <c r="A2574" i="3"/>
  <c r="D2573" i="3"/>
  <c r="C2573" i="3"/>
  <c r="B2573" i="3"/>
  <c r="A2573" i="3"/>
  <c r="D2572" i="3"/>
  <c r="C2572" i="3"/>
  <c r="B2572" i="3"/>
  <c r="A2572" i="3"/>
  <c r="D2571" i="3"/>
  <c r="C2571" i="3"/>
  <c r="B2571" i="3"/>
  <c r="A2571" i="3"/>
  <c r="D2570" i="3"/>
  <c r="C2570" i="3"/>
  <c r="B2570" i="3"/>
  <c r="A2570" i="3"/>
  <c r="D2569" i="3"/>
  <c r="C2569" i="3"/>
  <c r="B2569" i="3"/>
  <c r="A2569" i="3"/>
  <c r="D2568" i="3"/>
  <c r="C2568" i="3"/>
  <c r="B2568" i="3"/>
  <c r="A2568" i="3"/>
  <c r="D2567" i="3"/>
  <c r="C2567" i="3"/>
  <c r="B2567" i="3"/>
  <c r="A2567" i="3"/>
  <c r="D2566" i="3"/>
  <c r="C2566" i="3"/>
  <c r="B2566" i="3"/>
  <c r="A2566" i="3"/>
  <c r="D2565" i="3"/>
  <c r="C2565" i="3"/>
  <c r="B2565" i="3"/>
  <c r="A2565" i="3"/>
  <c r="D2564" i="3"/>
  <c r="C2564" i="3"/>
  <c r="B2564" i="3"/>
  <c r="A2564" i="3"/>
  <c r="D2563" i="3"/>
  <c r="C2563" i="3"/>
  <c r="B2563" i="3"/>
  <c r="A2563" i="3"/>
  <c r="D2562" i="3"/>
  <c r="C2562" i="3"/>
  <c r="B2562" i="3"/>
  <c r="A2562" i="3"/>
  <c r="D2561" i="3"/>
  <c r="C2561" i="3"/>
  <c r="B2561" i="3"/>
  <c r="A2561" i="3"/>
  <c r="D2560" i="3"/>
  <c r="C2560" i="3"/>
  <c r="B2560" i="3"/>
  <c r="A2560" i="3"/>
  <c r="D2559" i="3"/>
  <c r="C2559" i="3"/>
  <c r="B2559" i="3"/>
  <c r="A2559" i="3"/>
  <c r="D2558" i="3"/>
  <c r="C2558" i="3"/>
  <c r="B2558" i="3"/>
  <c r="A2558" i="3"/>
  <c r="D2557" i="3"/>
  <c r="C2557" i="3"/>
  <c r="B2557" i="3"/>
  <c r="A2557" i="3"/>
  <c r="D2556" i="3"/>
  <c r="C2556" i="3"/>
  <c r="B2556" i="3"/>
  <c r="A2556" i="3"/>
  <c r="D2555" i="3"/>
  <c r="C2555" i="3"/>
  <c r="B2555" i="3"/>
  <c r="A2555" i="3"/>
  <c r="D2554" i="3"/>
  <c r="C2554" i="3"/>
  <c r="B2554" i="3"/>
  <c r="A2554" i="3"/>
  <c r="D2553" i="3"/>
  <c r="C2553" i="3"/>
  <c r="B2553" i="3"/>
  <c r="A2553" i="3"/>
  <c r="D2552" i="3"/>
  <c r="C2552" i="3"/>
  <c r="B2552" i="3"/>
  <c r="A2552" i="3"/>
  <c r="D2551" i="3"/>
  <c r="C2551" i="3"/>
  <c r="B2551" i="3"/>
  <c r="A2551" i="3"/>
  <c r="D2550" i="3"/>
  <c r="C2550" i="3"/>
  <c r="B2550" i="3"/>
  <c r="A2550" i="3"/>
  <c r="D2549" i="3"/>
  <c r="C2549" i="3"/>
  <c r="B2549" i="3"/>
  <c r="A2549" i="3"/>
  <c r="D2548" i="3"/>
  <c r="C2548" i="3"/>
  <c r="B2548" i="3"/>
  <c r="A2548" i="3"/>
  <c r="D2547" i="3"/>
  <c r="C2547" i="3"/>
  <c r="B2547" i="3"/>
  <c r="A2547" i="3"/>
  <c r="D2546" i="3"/>
  <c r="C2546" i="3"/>
  <c r="B2546" i="3"/>
  <c r="A2546" i="3"/>
  <c r="D2545" i="3"/>
  <c r="C2545" i="3"/>
  <c r="B2545" i="3"/>
  <c r="A2545" i="3"/>
  <c r="D2544" i="3"/>
  <c r="C2544" i="3"/>
  <c r="B2544" i="3"/>
  <c r="A2544" i="3"/>
  <c r="D2543" i="3"/>
  <c r="C2543" i="3"/>
  <c r="B2543" i="3"/>
  <c r="A2543" i="3"/>
  <c r="D2542" i="3"/>
  <c r="C2542" i="3"/>
  <c r="B2542" i="3"/>
  <c r="A2542" i="3"/>
  <c r="D2541" i="3"/>
  <c r="C2541" i="3"/>
  <c r="B2541" i="3"/>
  <c r="A2541" i="3"/>
  <c r="D2540" i="3"/>
  <c r="C2540" i="3"/>
  <c r="B2540" i="3"/>
  <c r="A2540" i="3"/>
  <c r="D2539" i="3"/>
  <c r="C2539" i="3"/>
  <c r="B2539" i="3"/>
  <c r="A2539" i="3"/>
  <c r="D2538" i="3"/>
  <c r="C2538" i="3"/>
  <c r="B2538" i="3"/>
  <c r="A2538" i="3"/>
  <c r="D2537" i="3"/>
  <c r="C2537" i="3"/>
  <c r="B2537" i="3"/>
  <c r="A2537" i="3"/>
  <c r="D2536" i="3"/>
  <c r="C2536" i="3"/>
  <c r="B2536" i="3"/>
  <c r="A2536" i="3"/>
  <c r="D2535" i="3"/>
  <c r="C2535" i="3"/>
  <c r="B2535" i="3"/>
  <c r="A2535" i="3"/>
  <c r="D2534" i="3"/>
  <c r="C2534" i="3"/>
  <c r="B2534" i="3"/>
  <c r="A2534" i="3"/>
  <c r="D2533" i="3"/>
  <c r="C2533" i="3"/>
  <c r="B2533" i="3"/>
  <c r="A2533" i="3"/>
  <c r="D2532" i="3"/>
  <c r="C2532" i="3"/>
  <c r="B2532" i="3"/>
  <c r="A2532" i="3"/>
  <c r="D2531" i="3"/>
  <c r="C2531" i="3"/>
  <c r="B2531" i="3"/>
  <c r="A2531" i="3"/>
  <c r="D2530" i="3"/>
  <c r="C2530" i="3"/>
  <c r="B2530" i="3"/>
  <c r="A2530" i="3"/>
  <c r="D2529" i="3"/>
  <c r="C2529" i="3"/>
  <c r="B2529" i="3"/>
  <c r="A2529" i="3"/>
  <c r="D2528" i="3"/>
  <c r="C2528" i="3"/>
  <c r="B2528" i="3"/>
  <c r="A2528" i="3"/>
  <c r="D2527" i="3"/>
  <c r="C2527" i="3"/>
  <c r="B2527" i="3"/>
  <c r="A2527" i="3"/>
  <c r="D2526" i="3"/>
  <c r="C2526" i="3"/>
  <c r="B2526" i="3"/>
  <c r="A2526" i="3"/>
  <c r="D2525" i="3"/>
  <c r="C2525" i="3"/>
  <c r="B2525" i="3"/>
  <c r="A2525" i="3"/>
  <c r="D2524" i="3"/>
  <c r="C2524" i="3"/>
  <c r="B2524" i="3"/>
  <c r="A2524" i="3"/>
  <c r="D2523" i="3"/>
  <c r="C2523" i="3"/>
  <c r="B2523" i="3"/>
  <c r="A2523" i="3"/>
  <c r="D2522" i="3"/>
  <c r="C2522" i="3"/>
  <c r="B2522" i="3"/>
  <c r="A2522" i="3"/>
  <c r="D2521" i="3"/>
  <c r="C2521" i="3"/>
  <c r="B2521" i="3"/>
  <c r="A2521" i="3"/>
  <c r="D2520" i="3"/>
  <c r="C2520" i="3"/>
  <c r="B2520" i="3"/>
  <c r="A2520" i="3"/>
  <c r="D2519" i="3"/>
  <c r="C2519" i="3"/>
  <c r="B2519" i="3"/>
  <c r="A2519" i="3"/>
  <c r="D2518" i="3"/>
  <c r="C2518" i="3"/>
  <c r="B2518" i="3"/>
  <c r="A2518" i="3"/>
  <c r="D2517" i="3"/>
  <c r="C2517" i="3"/>
  <c r="B2517" i="3"/>
  <c r="A2517" i="3"/>
  <c r="D2516" i="3"/>
  <c r="C2516" i="3"/>
  <c r="B2516" i="3"/>
  <c r="A2516" i="3"/>
  <c r="D2515" i="3"/>
  <c r="C2515" i="3"/>
  <c r="B2515" i="3"/>
  <c r="A2515" i="3"/>
  <c r="D2514" i="3"/>
  <c r="C2514" i="3"/>
  <c r="B2514" i="3"/>
  <c r="A2514" i="3"/>
  <c r="D2513" i="3"/>
  <c r="C2513" i="3"/>
  <c r="B2513" i="3"/>
  <c r="A2513" i="3"/>
  <c r="D2512" i="3"/>
  <c r="C2512" i="3"/>
  <c r="B2512" i="3"/>
  <c r="A2512" i="3"/>
  <c r="D2511" i="3"/>
  <c r="C2511" i="3"/>
  <c r="B2511" i="3"/>
  <c r="A2511" i="3"/>
  <c r="D2510" i="3"/>
  <c r="C2510" i="3"/>
  <c r="B2510" i="3"/>
  <c r="A2510" i="3"/>
  <c r="D2509" i="3"/>
  <c r="C2509" i="3"/>
  <c r="B2509" i="3"/>
  <c r="A2509" i="3"/>
  <c r="D2508" i="3"/>
  <c r="C2508" i="3"/>
  <c r="B2508" i="3"/>
  <c r="A2508" i="3"/>
  <c r="D2507" i="3"/>
  <c r="C2507" i="3"/>
  <c r="B2507" i="3"/>
  <c r="A2507" i="3"/>
  <c r="D2506" i="3"/>
  <c r="C2506" i="3"/>
  <c r="B2506" i="3"/>
  <c r="A2506" i="3"/>
  <c r="D2505" i="3"/>
  <c r="C2505" i="3"/>
  <c r="B2505" i="3"/>
  <c r="A2505" i="3"/>
  <c r="D2504" i="3"/>
  <c r="C2504" i="3"/>
  <c r="B2504" i="3"/>
  <c r="A2504" i="3"/>
  <c r="D2503" i="3"/>
  <c r="C2503" i="3"/>
  <c r="B2503" i="3"/>
  <c r="A2503" i="3"/>
  <c r="D2502" i="3"/>
  <c r="C2502" i="3"/>
  <c r="B2502" i="3"/>
  <c r="A2502" i="3"/>
  <c r="D2501" i="3"/>
  <c r="C2501" i="3"/>
  <c r="B2501" i="3"/>
  <c r="A2501" i="3"/>
  <c r="D2500" i="3"/>
  <c r="C2500" i="3"/>
  <c r="B2500" i="3"/>
  <c r="A2500" i="3"/>
  <c r="D2499" i="3"/>
  <c r="C2499" i="3"/>
  <c r="B2499" i="3"/>
  <c r="A2499" i="3"/>
  <c r="D2498" i="3"/>
  <c r="C2498" i="3"/>
  <c r="B2498" i="3"/>
  <c r="A2498" i="3"/>
  <c r="D2497" i="3"/>
  <c r="C2497" i="3"/>
  <c r="B2497" i="3"/>
  <c r="A2497" i="3"/>
  <c r="D2496" i="3"/>
  <c r="C2496" i="3"/>
  <c r="B2496" i="3"/>
  <c r="A2496" i="3"/>
  <c r="D2495" i="3"/>
  <c r="C2495" i="3"/>
  <c r="B2495" i="3"/>
  <c r="A2495" i="3"/>
  <c r="D2494" i="3"/>
  <c r="C2494" i="3"/>
  <c r="B2494" i="3"/>
  <c r="A2494" i="3"/>
  <c r="D2493" i="3"/>
  <c r="C2493" i="3"/>
  <c r="B2493" i="3"/>
  <c r="A2493" i="3"/>
  <c r="D2492" i="3"/>
  <c r="C2492" i="3"/>
  <c r="B2492" i="3"/>
  <c r="A2492" i="3"/>
  <c r="D2491" i="3"/>
  <c r="C2491" i="3"/>
  <c r="B2491" i="3"/>
  <c r="A2491" i="3"/>
  <c r="D2490" i="3"/>
  <c r="C2490" i="3"/>
  <c r="B2490" i="3"/>
  <c r="A2490" i="3"/>
  <c r="D2489" i="3"/>
  <c r="C2489" i="3"/>
  <c r="B2489" i="3"/>
  <c r="A2489" i="3"/>
  <c r="D2488" i="3"/>
  <c r="C2488" i="3"/>
  <c r="B2488" i="3"/>
  <c r="A2488" i="3"/>
  <c r="D2487" i="3"/>
  <c r="C2487" i="3"/>
  <c r="B2487" i="3"/>
  <c r="A2487" i="3"/>
  <c r="D2486" i="3"/>
  <c r="C2486" i="3"/>
  <c r="B2486" i="3"/>
  <c r="A2486" i="3"/>
  <c r="D2485" i="3"/>
  <c r="C2485" i="3"/>
  <c r="B2485" i="3"/>
  <c r="A2485" i="3"/>
  <c r="D2484" i="3"/>
  <c r="C2484" i="3"/>
  <c r="B2484" i="3"/>
  <c r="A2484" i="3"/>
  <c r="D2483" i="3"/>
  <c r="C2483" i="3"/>
  <c r="B2483" i="3"/>
  <c r="A2483" i="3"/>
  <c r="D2482" i="3"/>
  <c r="C2482" i="3"/>
  <c r="B2482" i="3"/>
  <c r="A2482" i="3"/>
  <c r="D2481" i="3"/>
  <c r="C2481" i="3"/>
  <c r="B2481" i="3"/>
  <c r="A2481" i="3"/>
  <c r="D2480" i="3"/>
  <c r="C2480" i="3"/>
  <c r="B2480" i="3"/>
  <c r="A2480" i="3"/>
  <c r="D2479" i="3"/>
  <c r="C2479" i="3"/>
  <c r="B2479" i="3"/>
  <c r="A2479" i="3"/>
  <c r="D2478" i="3"/>
  <c r="C2478" i="3"/>
  <c r="B2478" i="3"/>
  <c r="A2478" i="3"/>
  <c r="D2477" i="3"/>
  <c r="C2477" i="3"/>
  <c r="B2477" i="3"/>
  <c r="A2477" i="3"/>
  <c r="D2476" i="3"/>
  <c r="C2476" i="3"/>
  <c r="B2476" i="3"/>
  <c r="A2476" i="3"/>
  <c r="D2475" i="3"/>
  <c r="C2475" i="3"/>
  <c r="B2475" i="3"/>
  <c r="A2475" i="3"/>
  <c r="D2474" i="3"/>
  <c r="C2474" i="3"/>
  <c r="B2474" i="3"/>
  <c r="A2474" i="3"/>
  <c r="D2473" i="3"/>
  <c r="C2473" i="3"/>
  <c r="B2473" i="3"/>
  <c r="A2473" i="3"/>
  <c r="D2472" i="3"/>
  <c r="C2472" i="3"/>
  <c r="B2472" i="3"/>
  <c r="A2472" i="3"/>
  <c r="D2471" i="3"/>
  <c r="C2471" i="3"/>
  <c r="B2471" i="3"/>
  <c r="A2471" i="3"/>
  <c r="D2470" i="3"/>
  <c r="C2470" i="3"/>
  <c r="B2470" i="3"/>
  <c r="A2470" i="3"/>
  <c r="D2469" i="3"/>
  <c r="C2469" i="3"/>
  <c r="B2469" i="3"/>
  <c r="A2469" i="3"/>
  <c r="D2468" i="3"/>
  <c r="C2468" i="3"/>
  <c r="B2468" i="3"/>
  <c r="A2468" i="3"/>
  <c r="D2467" i="3"/>
  <c r="C2467" i="3"/>
  <c r="B2467" i="3"/>
  <c r="A2467" i="3"/>
  <c r="D2466" i="3"/>
  <c r="C2466" i="3"/>
  <c r="B2466" i="3"/>
  <c r="A2466" i="3"/>
  <c r="D2465" i="3"/>
  <c r="C2465" i="3"/>
  <c r="B2465" i="3"/>
  <c r="A2465" i="3"/>
  <c r="D2464" i="3"/>
  <c r="C2464" i="3"/>
  <c r="B2464" i="3"/>
  <c r="A2464" i="3"/>
  <c r="D2463" i="3"/>
  <c r="C2463" i="3"/>
  <c r="B2463" i="3"/>
  <c r="A2463" i="3"/>
  <c r="D2462" i="3"/>
  <c r="C2462" i="3"/>
  <c r="B2462" i="3"/>
  <c r="A2462" i="3"/>
  <c r="D2461" i="3"/>
  <c r="C2461" i="3"/>
  <c r="B2461" i="3"/>
  <c r="A2461" i="3"/>
  <c r="D2460" i="3"/>
  <c r="C2460" i="3"/>
  <c r="B2460" i="3"/>
  <c r="A2460" i="3"/>
  <c r="D2459" i="3"/>
  <c r="C2459" i="3"/>
  <c r="B2459" i="3"/>
  <c r="A2459" i="3"/>
  <c r="D2458" i="3"/>
  <c r="C2458" i="3"/>
  <c r="B2458" i="3"/>
  <c r="A2458" i="3"/>
  <c r="D2457" i="3"/>
  <c r="C2457" i="3"/>
  <c r="B2457" i="3"/>
  <c r="A2457" i="3"/>
  <c r="D2456" i="3"/>
  <c r="C2456" i="3"/>
  <c r="B2456" i="3"/>
  <c r="A2456" i="3"/>
  <c r="D2455" i="3"/>
  <c r="C2455" i="3"/>
  <c r="B2455" i="3"/>
  <c r="A2455" i="3"/>
  <c r="D2454" i="3"/>
  <c r="C2454" i="3"/>
  <c r="B2454" i="3"/>
  <c r="A2454" i="3"/>
  <c r="D2453" i="3"/>
  <c r="C2453" i="3"/>
  <c r="B2453" i="3"/>
  <c r="A2453" i="3"/>
  <c r="D2452" i="3"/>
  <c r="C2452" i="3"/>
  <c r="B2452" i="3"/>
  <c r="A2452" i="3"/>
  <c r="D2451" i="3"/>
  <c r="C2451" i="3"/>
  <c r="B2451" i="3"/>
  <c r="A2451" i="3"/>
  <c r="D2450" i="3"/>
  <c r="C2450" i="3"/>
  <c r="B2450" i="3"/>
  <c r="A2450" i="3"/>
  <c r="D2449" i="3"/>
  <c r="C2449" i="3"/>
  <c r="B2449" i="3"/>
  <c r="A2449" i="3"/>
  <c r="D2448" i="3"/>
  <c r="C2448" i="3"/>
  <c r="B2448" i="3"/>
  <c r="A2448" i="3"/>
  <c r="D2447" i="3"/>
  <c r="C2447" i="3"/>
  <c r="B2447" i="3"/>
  <c r="A2447" i="3"/>
  <c r="D2446" i="3"/>
  <c r="C2446" i="3"/>
  <c r="B2446" i="3"/>
  <c r="A2446" i="3"/>
  <c r="D2445" i="3"/>
  <c r="C2445" i="3"/>
  <c r="B2445" i="3"/>
  <c r="A2445" i="3"/>
  <c r="D2444" i="3"/>
  <c r="C2444" i="3"/>
  <c r="B2444" i="3"/>
  <c r="A2444" i="3"/>
  <c r="D2443" i="3"/>
  <c r="C2443" i="3"/>
  <c r="B2443" i="3"/>
  <c r="A2443" i="3"/>
  <c r="D2442" i="3"/>
  <c r="C2442" i="3"/>
  <c r="B2442" i="3"/>
  <c r="A2442" i="3"/>
  <c r="D2441" i="3"/>
  <c r="C2441" i="3"/>
  <c r="B2441" i="3"/>
  <c r="A2441" i="3"/>
  <c r="D2440" i="3"/>
  <c r="C2440" i="3"/>
  <c r="B2440" i="3"/>
  <c r="A2440" i="3"/>
  <c r="D2439" i="3"/>
  <c r="C2439" i="3"/>
  <c r="B2439" i="3"/>
  <c r="A2439" i="3"/>
  <c r="D2438" i="3"/>
  <c r="C2438" i="3"/>
  <c r="B2438" i="3"/>
  <c r="A2438" i="3"/>
  <c r="D2437" i="3"/>
  <c r="C2437" i="3"/>
  <c r="B2437" i="3"/>
  <c r="A2437" i="3"/>
  <c r="D2436" i="3"/>
  <c r="C2436" i="3"/>
  <c r="B2436" i="3"/>
  <c r="A2436" i="3"/>
  <c r="D2435" i="3"/>
  <c r="C2435" i="3"/>
  <c r="B2435" i="3"/>
  <c r="A2435" i="3"/>
  <c r="D2434" i="3"/>
  <c r="C2434" i="3"/>
  <c r="B2434" i="3"/>
  <c r="A2434" i="3"/>
  <c r="D2433" i="3"/>
  <c r="C2433" i="3"/>
  <c r="B2433" i="3"/>
  <c r="A2433" i="3"/>
  <c r="D2432" i="3"/>
  <c r="C2432" i="3"/>
  <c r="B2432" i="3"/>
  <c r="A2432" i="3"/>
  <c r="D2431" i="3"/>
  <c r="C2431" i="3"/>
  <c r="B2431" i="3"/>
  <c r="A2431" i="3"/>
  <c r="D2430" i="3"/>
  <c r="C2430" i="3"/>
  <c r="B2430" i="3"/>
  <c r="A2430" i="3"/>
  <c r="D2429" i="3"/>
  <c r="C2429" i="3"/>
  <c r="B2429" i="3"/>
  <c r="A2429" i="3"/>
  <c r="D2428" i="3"/>
  <c r="C2428" i="3"/>
  <c r="B2428" i="3"/>
  <c r="A2428" i="3"/>
  <c r="D2427" i="3"/>
  <c r="C2427" i="3"/>
  <c r="B2427" i="3"/>
  <c r="A2427" i="3"/>
  <c r="D2426" i="3"/>
  <c r="C2426" i="3"/>
  <c r="B2426" i="3"/>
  <c r="A2426" i="3"/>
  <c r="D2425" i="3"/>
  <c r="C2425" i="3"/>
  <c r="B2425" i="3"/>
  <c r="A2425" i="3"/>
  <c r="D2424" i="3"/>
  <c r="C2424" i="3"/>
  <c r="B2424" i="3"/>
  <c r="A2424" i="3"/>
  <c r="D2423" i="3"/>
  <c r="C2423" i="3"/>
  <c r="B2423" i="3"/>
  <c r="A2423" i="3"/>
  <c r="D2422" i="3"/>
  <c r="C2422" i="3"/>
  <c r="B2422" i="3"/>
  <c r="A2422" i="3"/>
  <c r="D2421" i="3"/>
  <c r="C2421" i="3"/>
  <c r="B2421" i="3"/>
  <c r="A2421" i="3"/>
  <c r="D2420" i="3"/>
  <c r="C2420" i="3"/>
  <c r="B2420" i="3"/>
  <c r="A2420" i="3"/>
  <c r="D2419" i="3"/>
  <c r="C2419" i="3"/>
  <c r="B2419" i="3"/>
  <c r="A2419" i="3"/>
  <c r="D2418" i="3"/>
  <c r="C2418" i="3"/>
  <c r="B2418" i="3"/>
  <c r="A2418" i="3"/>
  <c r="D2417" i="3"/>
  <c r="C2417" i="3"/>
  <c r="B2417" i="3"/>
  <c r="A2417" i="3"/>
  <c r="D2416" i="3"/>
  <c r="C2416" i="3"/>
  <c r="B2416" i="3"/>
  <c r="A2416" i="3"/>
  <c r="D2415" i="3"/>
  <c r="C2415" i="3"/>
  <c r="B2415" i="3"/>
  <c r="A2415" i="3"/>
  <c r="D2414" i="3"/>
  <c r="C2414" i="3"/>
  <c r="B2414" i="3"/>
  <c r="A2414" i="3"/>
  <c r="D2413" i="3"/>
  <c r="C2413" i="3"/>
  <c r="B2413" i="3"/>
  <c r="A2413" i="3"/>
  <c r="D2412" i="3"/>
  <c r="C2412" i="3"/>
  <c r="B2412" i="3"/>
  <c r="A2412" i="3"/>
  <c r="D2411" i="3"/>
  <c r="C2411" i="3"/>
  <c r="B2411" i="3"/>
  <c r="A2411" i="3"/>
  <c r="D2410" i="3"/>
  <c r="C2410" i="3"/>
  <c r="B2410" i="3"/>
  <c r="A2410" i="3"/>
  <c r="D2409" i="3"/>
  <c r="C2409" i="3"/>
  <c r="B2409" i="3"/>
  <c r="A2409" i="3"/>
  <c r="D2408" i="3"/>
  <c r="C2408" i="3"/>
  <c r="B2408" i="3"/>
  <c r="A2408" i="3"/>
  <c r="D2407" i="3"/>
  <c r="C2407" i="3"/>
  <c r="B2407" i="3"/>
  <c r="A2407" i="3"/>
  <c r="F2406" i="3"/>
  <c r="D2406" i="3"/>
  <c r="C2406" i="3"/>
  <c r="B2406" i="3"/>
  <c r="A2406" i="3"/>
  <c r="J2405" i="3"/>
  <c r="I2405" i="3"/>
  <c r="H2405" i="3"/>
  <c r="G2405" i="3"/>
  <c r="F2405" i="3"/>
  <c r="D2405" i="3"/>
  <c r="C2405" i="3"/>
  <c r="B2405" i="3"/>
  <c r="A2405" i="3"/>
  <c r="J2404" i="3"/>
  <c r="I2404" i="3"/>
  <c r="H2404" i="3"/>
  <c r="G2404" i="3"/>
  <c r="F2404" i="3"/>
  <c r="D2404" i="3"/>
  <c r="C2404" i="3"/>
  <c r="B2404" i="3"/>
  <c r="A2404" i="3"/>
  <c r="J2403" i="3"/>
  <c r="I2403" i="3"/>
  <c r="H2403" i="3"/>
  <c r="G2403" i="3"/>
  <c r="F2403" i="3"/>
  <c r="D2403" i="3"/>
  <c r="C2403" i="3"/>
  <c r="B2403" i="3"/>
  <c r="A2403" i="3"/>
  <c r="J2402" i="3"/>
  <c r="I2402" i="3"/>
  <c r="H2402" i="3"/>
  <c r="G2402" i="3"/>
  <c r="F2402" i="3"/>
  <c r="D2402" i="3"/>
  <c r="C2402" i="3"/>
  <c r="B2402" i="3"/>
  <c r="A2402" i="3"/>
  <c r="J2401" i="3"/>
  <c r="I2401" i="3"/>
  <c r="H2401" i="3"/>
  <c r="G2401" i="3"/>
  <c r="F2401" i="3"/>
  <c r="D2401" i="3"/>
  <c r="C2401" i="3"/>
  <c r="B2401" i="3"/>
  <c r="A2401" i="3"/>
  <c r="J2400" i="3"/>
  <c r="I2400" i="3"/>
  <c r="H2400" i="3"/>
  <c r="G2400" i="3"/>
  <c r="F2400" i="3"/>
  <c r="D2400" i="3"/>
  <c r="C2400" i="3"/>
  <c r="B2400" i="3"/>
  <c r="A2400" i="3"/>
  <c r="J2399" i="3"/>
  <c r="I2399" i="3"/>
  <c r="H2399" i="3"/>
  <c r="G2399" i="3"/>
  <c r="F2399" i="3"/>
  <c r="D2399" i="3"/>
  <c r="C2399" i="3"/>
  <c r="B2399" i="3"/>
  <c r="A2399" i="3"/>
  <c r="J2398" i="3"/>
  <c r="I2398" i="3"/>
  <c r="H2398" i="3"/>
  <c r="G2398" i="3"/>
  <c r="F2398" i="3"/>
  <c r="D2398" i="3"/>
  <c r="C2398" i="3"/>
  <c r="B2398" i="3"/>
  <c r="A2398" i="3"/>
  <c r="J2397" i="3"/>
  <c r="I2397" i="3"/>
  <c r="H2397" i="3"/>
  <c r="G2397" i="3"/>
  <c r="F2397" i="3"/>
  <c r="D2397" i="3"/>
  <c r="C2397" i="3"/>
  <c r="B2397" i="3"/>
  <c r="A2397" i="3"/>
  <c r="J2396" i="3"/>
  <c r="I2396" i="3"/>
  <c r="H2396" i="3"/>
  <c r="G2396" i="3"/>
  <c r="F2396" i="3"/>
  <c r="D2396" i="3"/>
  <c r="C2396" i="3"/>
  <c r="B2396" i="3"/>
  <c r="A2396" i="3"/>
  <c r="J2395" i="3"/>
  <c r="I2395" i="3"/>
  <c r="H2395" i="3"/>
  <c r="G2395" i="3"/>
  <c r="F2395" i="3"/>
  <c r="D2395" i="3"/>
  <c r="C2395" i="3"/>
  <c r="B2395" i="3"/>
  <c r="A2395" i="3"/>
  <c r="J2394" i="3"/>
  <c r="I2394" i="3"/>
  <c r="H2394" i="3"/>
  <c r="G2394" i="3"/>
  <c r="F2394" i="3"/>
  <c r="D2394" i="3"/>
  <c r="C2394" i="3"/>
  <c r="B2394" i="3"/>
  <c r="A2394" i="3"/>
  <c r="J2393" i="3"/>
  <c r="I2393" i="3"/>
  <c r="H2393" i="3"/>
  <c r="G2393" i="3"/>
  <c r="F2393" i="3"/>
  <c r="D2393" i="3"/>
  <c r="C2393" i="3"/>
  <c r="B2393" i="3"/>
  <c r="A2393" i="3"/>
  <c r="J2392" i="3"/>
  <c r="I2392" i="3"/>
  <c r="H2392" i="3"/>
  <c r="G2392" i="3"/>
  <c r="F2392" i="3"/>
  <c r="D2392" i="3"/>
  <c r="C2392" i="3"/>
  <c r="B2392" i="3"/>
  <c r="A2392" i="3"/>
  <c r="J2391" i="3"/>
  <c r="I2391" i="3"/>
  <c r="H2391" i="3"/>
  <c r="G2391" i="3"/>
  <c r="F2391" i="3"/>
  <c r="D2391" i="3"/>
  <c r="C2391" i="3"/>
  <c r="B2391" i="3"/>
  <c r="A2391" i="3"/>
  <c r="J2390" i="3"/>
  <c r="I2390" i="3"/>
  <c r="H2390" i="3"/>
  <c r="G2390" i="3"/>
  <c r="F2390" i="3"/>
  <c r="D2390" i="3"/>
  <c r="C2390" i="3"/>
  <c r="B2390" i="3"/>
  <c r="A2390" i="3"/>
  <c r="J2389" i="3"/>
  <c r="I2389" i="3"/>
  <c r="H2389" i="3"/>
  <c r="G2389" i="3"/>
  <c r="F2389" i="3"/>
  <c r="D2389" i="3"/>
  <c r="C2389" i="3"/>
  <c r="B2389" i="3"/>
  <c r="A2389" i="3"/>
  <c r="J2388" i="3"/>
  <c r="I2388" i="3"/>
  <c r="H2388" i="3"/>
  <c r="G2388" i="3"/>
  <c r="F2388" i="3"/>
  <c r="D2388" i="3"/>
  <c r="C2388" i="3"/>
  <c r="B2388" i="3"/>
  <c r="A2388" i="3"/>
  <c r="J2387" i="3"/>
  <c r="I2387" i="3"/>
  <c r="H2387" i="3"/>
  <c r="G2387" i="3"/>
  <c r="F2387" i="3"/>
  <c r="D2387" i="3"/>
  <c r="C2387" i="3"/>
  <c r="B2387" i="3"/>
  <c r="A2387" i="3"/>
  <c r="J2386" i="3"/>
  <c r="I2386" i="3"/>
  <c r="H2386" i="3"/>
  <c r="G2386" i="3"/>
  <c r="F2386" i="3"/>
  <c r="D2386" i="3"/>
  <c r="C2386" i="3"/>
  <c r="B2386" i="3"/>
  <c r="A2386" i="3"/>
  <c r="J2385" i="3"/>
  <c r="I2385" i="3"/>
  <c r="H2385" i="3"/>
  <c r="G2385" i="3"/>
  <c r="F2385" i="3"/>
  <c r="D2385" i="3"/>
  <c r="C2385" i="3"/>
  <c r="B2385" i="3"/>
  <c r="A2385" i="3"/>
  <c r="J2384" i="3"/>
  <c r="I2384" i="3"/>
  <c r="H2384" i="3"/>
  <c r="G2384" i="3"/>
  <c r="F2384" i="3"/>
  <c r="D2384" i="3"/>
  <c r="C2384" i="3"/>
  <c r="B2384" i="3"/>
  <c r="A2384" i="3"/>
  <c r="J2383" i="3"/>
  <c r="I2383" i="3"/>
  <c r="H2383" i="3"/>
  <c r="G2383" i="3"/>
  <c r="F2383" i="3"/>
  <c r="D2383" i="3"/>
  <c r="C2383" i="3"/>
  <c r="B2383" i="3"/>
  <c r="A2383" i="3"/>
  <c r="J2382" i="3"/>
  <c r="I2382" i="3"/>
  <c r="H2382" i="3"/>
  <c r="G2382" i="3"/>
  <c r="F2382" i="3"/>
  <c r="D2382" i="3"/>
  <c r="C2382" i="3"/>
  <c r="B2382" i="3"/>
  <c r="A2382" i="3"/>
  <c r="J2381" i="3"/>
  <c r="I2381" i="3"/>
  <c r="H2381" i="3"/>
  <c r="G2381" i="3"/>
  <c r="F2381" i="3"/>
  <c r="D2381" i="3"/>
  <c r="C2381" i="3"/>
  <c r="B2381" i="3"/>
  <c r="A2381" i="3"/>
  <c r="J2380" i="3"/>
  <c r="I2380" i="3"/>
  <c r="H2380" i="3"/>
  <c r="G2380" i="3"/>
  <c r="F2380" i="3"/>
  <c r="D2380" i="3"/>
  <c r="C2380" i="3"/>
  <c r="B2380" i="3"/>
  <c r="A2380" i="3"/>
  <c r="J2379" i="3"/>
  <c r="I2379" i="3"/>
  <c r="H2379" i="3"/>
  <c r="G2379" i="3"/>
  <c r="F2379" i="3"/>
  <c r="D2379" i="3"/>
  <c r="C2379" i="3"/>
  <c r="B2379" i="3"/>
  <c r="A2379" i="3"/>
  <c r="J2378" i="3"/>
  <c r="I2378" i="3"/>
  <c r="H2378" i="3"/>
  <c r="G2378" i="3"/>
  <c r="F2378" i="3"/>
  <c r="D2378" i="3"/>
  <c r="C2378" i="3"/>
  <c r="B2378" i="3"/>
  <c r="A2378" i="3"/>
  <c r="J2377" i="3"/>
  <c r="I2377" i="3"/>
  <c r="H2377" i="3"/>
  <c r="G2377" i="3"/>
  <c r="F2377" i="3"/>
  <c r="D2377" i="3"/>
  <c r="C2377" i="3"/>
  <c r="B2377" i="3"/>
  <c r="A2377" i="3"/>
  <c r="J2376" i="3"/>
  <c r="I2376" i="3"/>
  <c r="H2376" i="3"/>
  <c r="G2376" i="3"/>
  <c r="F2376" i="3"/>
  <c r="D2376" i="3"/>
  <c r="C2376" i="3"/>
  <c r="B2376" i="3"/>
  <c r="A2376" i="3"/>
  <c r="J2375" i="3"/>
  <c r="I2375" i="3"/>
  <c r="H2375" i="3"/>
  <c r="G2375" i="3"/>
  <c r="F2375" i="3"/>
  <c r="D2375" i="3"/>
  <c r="C2375" i="3"/>
  <c r="B2375" i="3"/>
  <c r="A2375" i="3"/>
  <c r="J2374" i="3"/>
  <c r="I2374" i="3"/>
  <c r="H2374" i="3"/>
  <c r="G2374" i="3"/>
  <c r="F2374" i="3"/>
  <c r="D2374" i="3"/>
  <c r="C2374" i="3"/>
  <c r="B2374" i="3"/>
  <c r="A2374" i="3"/>
  <c r="J2373" i="3"/>
  <c r="I2373" i="3"/>
  <c r="H2373" i="3"/>
  <c r="G2373" i="3"/>
  <c r="F2373" i="3"/>
  <c r="D2373" i="3"/>
  <c r="C2373" i="3"/>
  <c r="B2373" i="3"/>
  <c r="A2373" i="3"/>
  <c r="J2372" i="3"/>
  <c r="I2372" i="3"/>
  <c r="H2372" i="3"/>
  <c r="G2372" i="3"/>
  <c r="F2372" i="3"/>
  <c r="D2372" i="3"/>
  <c r="C2372" i="3"/>
  <c r="B2372" i="3"/>
  <c r="A2372" i="3"/>
  <c r="J2371" i="3"/>
  <c r="I2371" i="3"/>
  <c r="H2371" i="3"/>
  <c r="G2371" i="3"/>
  <c r="F2371" i="3"/>
  <c r="D2371" i="3"/>
  <c r="C2371" i="3"/>
  <c r="B2371" i="3"/>
  <c r="A2371" i="3"/>
  <c r="J2370" i="3"/>
  <c r="I2370" i="3"/>
  <c r="H2370" i="3"/>
  <c r="G2370" i="3"/>
  <c r="F2370" i="3"/>
  <c r="D2370" i="3"/>
  <c r="C2370" i="3"/>
  <c r="B2370" i="3"/>
  <c r="A2370" i="3"/>
  <c r="J2369" i="3"/>
  <c r="I2369" i="3"/>
  <c r="H2369" i="3"/>
  <c r="G2369" i="3"/>
  <c r="F2369" i="3"/>
  <c r="D2369" i="3"/>
  <c r="C2369" i="3"/>
  <c r="B2369" i="3"/>
  <c r="A2369" i="3"/>
  <c r="J2368" i="3"/>
  <c r="I2368" i="3"/>
  <c r="H2368" i="3"/>
  <c r="G2368" i="3"/>
  <c r="F2368" i="3"/>
  <c r="D2368" i="3"/>
  <c r="C2368" i="3"/>
  <c r="B2368" i="3"/>
  <c r="A2368" i="3"/>
  <c r="J2367" i="3"/>
  <c r="I2367" i="3"/>
  <c r="H2367" i="3"/>
  <c r="G2367" i="3"/>
  <c r="F2367" i="3"/>
  <c r="D2367" i="3"/>
  <c r="C2367" i="3"/>
  <c r="B2367" i="3"/>
  <c r="A2367" i="3"/>
  <c r="J2366" i="3"/>
  <c r="I2366" i="3"/>
  <c r="H2366" i="3"/>
  <c r="G2366" i="3"/>
  <c r="F2366" i="3"/>
  <c r="D2366" i="3"/>
  <c r="C2366" i="3"/>
  <c r="B2366" i="3"/>
  <c r="A2366" i="3"/>
  <c r="J2365" i="3"/>
  <c r="I2365" i="3"/>
  <c r="H2365" i="3"/>
  <c r="G2365" i="3"/>
  <c r="F2365" i="3"/>
  <c r="D2365" i="3"/>
  <c r="C2365" i="3"/>
  <c r="B2365" i="3"/>
  <c r="A2365" i="3"/>
  <c r="J2364" i="3"/>
  <c r="I2364" i="3"/>
  <c r="H2364" i="3"/>
  <c r="G2364" i="3"/>
  <c r="F2364" i="3"/>
  <c r="D2364" i="3"/>
  <c r="C2364" i="3"/>
  <c r="B2364" i="3"/>
  <c r="A2364" i="3"/>
  <c r="J2363" i="3"/>
  <c r="I2363" i="3"/>
  <c r="H2363" i="3"/>
  <c r="G2363" i="3"/>
  <c r="F2363" i="3"/>
  <c r="D2363" i="3"/>
  <c r="C2363" i="3"/>
  <c r="B2363" i="3"/>
  <c r="A2363" i="3"/>
  <c r="J2362" i="3"/>
  <c r="I2362" i="3"/>
  <c r="H2362" i="3"/>
  <c r="G2362" i="3"/>
  <c r="F2362" i="3"/>
  <c r="D2362" i="3"/>
  <c r="C2362" i="3"/>
  <c r="B2362" i="3"/>
  <c r="A2362" i="3"/>
  <c r="J2361" i="3"/>
  <c r="I2361" i="3"/>
  <c r="H2361" i="3"/>
  <c r="G2361" i="3"/>
  <c r="F2361" i="3"/>
  <c r="D2361" i="3"/>
  <c r="C2361" i="3"/>
  <c r="B2361" i="3"/>
  <c r="A2361" i="3"/>
  <c r="J2360" i="3"/>
  <c r="I2360" i="3"/>
  <c r="H2360" i="3"/>
  <c r="G2360" i="3"/>
  <c r="F2360" i="3"/>
  <c r="D2360" i="3"/>
  <c r="C2360" i="3"/>
  <c r="B2360" i="3"/>
  <c r="A2360" i="3"/>
  <c r="J2359" i="3"/>
  <c r="I2359" i="3"/>
  <c r="H2359" i="3"/>
  <c r="G2359" i="3"/>
  <c r="F2359" i="3"/>
  <c r="D2359" i="3"/>
  <c r="C2359" i="3"/>
  <c r="B2359" i="3"/>
  <c r="A2359" i="3"/>
  <c r="J2358" i="3"/>
  <c r="I2358" i="3"/>
  <c r="H2358" i="3"/>
  <c r="G2358" i="3"/>
  <c r="F2358" i="3"/>
  <c r="D2358" i="3"/>
  <c r="C2358" i="3"/>
  <c r="B2358" i="3"/>
  <c r="A2358" i="3"/>
  <c r="J2357" i="3"/>
  <c r="I2357" i="3"/>
  <c r="H2357" i="3"/>
  <c r="G2357" i="3"/>
  <c r="F2357" i="3"/>
  <c r="D2357" i="3"/>
  <c r="C2357" i="3"/>
  <c r="B2357" i="3"/>
  <c r="A2357" i="3"/>
  <c r="J2356" i="3"/>
  <c r="I2356" i="3"/>
  <c r="H2356" i="3"/>
  <c r="G2356" i="3"/>
  <c r="F2356" i="3"/>
  <c r="D2356" i="3"/>
  <c r="C2356" i="3"/>
  <c r="B2356" i="3"/>
  <c r="A2356" i="3"/>
  <c r="J2355" i="3"/>
  <c r="I2355" i="3"/>
  <c r="H2355" i="3"/>
  <c r="G2355" i="3"/>
  <c r="F2355" i="3"/>
  <c r="D2355" i="3"/>
  <c r="C2355" i="3"/>
  <c r="B2355" i="3"/>
  <c r="A2355" i="3"/>
  <c r="J2354" i="3"/>
  <c r="I2354" i="3"/>
  <c r="H2354" i="3"/>
  <c r="G2354" i="3"/>
  <c r="F2354" i="3"/>
  <c r="D2354" i="3"/>
  <c r="C2354" i="3"/>
  <c r="B2354" i="3"/>
  <c r="A2354" i="3"/>
  <c r="J2353" i="3"/>
  <c r="I2353" i="3"/>
  <c r="H2353" i="3"/>
  <c r="G2353" i="3"/>
  <c r="F2353" i="3"/>
  <c r="D2353" i="3"/>
  <c r="C2353" i="3"/>
  <c r="B2353" i="3"/>
  <c r="A2353" i="3"/>
  <c r="J2352" i="3"/>
  <c r="I2352" i="3"/>
  <c r="H2352" i="3"/>
  <c r="G2352" i="3"/>
  <c r="F2352" i="3"/>
  <c r="D2352" i="3"/>
  <c r="C2352" i="3"/>
  <c r="B2352" i="3"/>
  <c r="A2352" i="3"/>
  <c r="J2351" i="3"/>
  <c r="I2351" i="3"/>
  <c r="H2351" i="3"/>
  <c r="G2351" i="3"/>
  <c r="F2351" i="3"/>
  <c r="D2351" i="3"/>
  <c r="C2351" i="3"/>
  <c r="B2351" i="3"/>
  <c r="A2351" i="3"/>
  <c r="J2350" i="3"/>
  <c r="I2350" i="3"/>
  <c r="H2350" i="3"/>
  <c r="G2350" i="3"/>
  <c r="F2350" i="3"/>
  <c r="D2350" i="3"/>
  <c r="C2350" i="3"/>
  <c r="B2350" i="3"/>
  <c r="A2350" i="3"/>
  <c r="J2349" i="3"/>
  <c r="I2349" i="3"/>
  <c r="H2349" i="3"/>
  <c r="G2349" i="3"/>
  <c r="F2349" i="3"/>
  <c r="D2349" i="3"/>
  <c r="C2349" i="3"/>
  <c r="B2349" i="3"/>
  <c r="A2349" i="3"/>
  <c r="J2348" i="3"/>
  <c r="I2348" i="3"/>
  <c r="H2348" i="3"/>
  <c r="G2348" i="3"/>
  <c r="F2348" i="3"/>
  <c r="D2348" i="3"/>
  <c r="C2348" i="3"/>
  <c r="B2348" i="3"/>
  <c r="A2348" i="3"/>
  <c r="J2347" i="3"/>
  <c r="I2347" i="3"/>
  <c r="H2347" i="3"/>
  <c r="G2347" i="3"/>
  <c r="F2347" i="3"/>
  <c r="D2347" i="3"/>
  <c r="C2347" i="3"/>
  <c r="B2347" i="3"/>
  <c r="A2347" i="3"/>
  <c r="J2346" i="3"/>
  <c r="I2346" i="3"/>
  <c r="H2346" i="3"/>
  <c r="G2346" i="3"/>
  <c r="F2346" i="3"/>
  <c r="D2346" i="3"/>
  <c r="C2346" i="3"/>
  <c r="B2346" i="3"/>
  <c r="A2346" i="3"/>
  <c r="J2345" i="3"/>
  <c r="I2345" i="3"/>
  <c r="H2345" i="3"/>
  <c r="G2345" i="3"/>
  <c r="F2345" i="3"/>
  <c r="D2345" i="3"/>
  <c r="C2345" i="3"/>
  <c r="B2345" i="3"/>
  <c r="A2345" i="3"/>
  <c r="J2344" i="3"/>
  <c r="I2344" i="3"/>
  <c r="H2344" i="3"/>
  <c r="G2344" i="3"/>
  <c r="F2344" i="3"/>
  <c r="D2344" i="3"/>
  <c r="C2344" i="3"/>
  <c r="B2344" i="3"/>
  <c r="A2344" i="3"/>
  <c r="J2343" i="3"/>
  <c r="I2343" i="3"/>
  <c r="H2343" i="3"/>
  <c r="G2343" i="3"/>
  <c r="F2343" i="3"/>
  <c r="D2343" i="3"/>
  <c r="C2343" i="3"/>
  <c r="B2343" i="3"/>
  <c r="A2343" i="3"/>
  <c r="J2342" i="3"/>
  <c r="I2342" i="3"/>
  <c r="H2342" i="3"/>
  <c r="G2342" i="3"/>
  <c r="F2342" i="3"/>
  <c r="D2342" i="3"/>
  <c r="C2342" i="3"/>
  <c r="B2342" i="3"/>
  <c r="A2342" i="3"/>
  <c r="J2341" i="3"/>
  <c r="I2341" i="3"/>
  <c r="H2341" i="3"/>
  <c r="G2341" i="3"/>
  <c r="F2341" i="3"/>
  <c r="D2341" i="3"/>
  <c r="C2341" i="3"/>
  <c r="B2341" i="3"/>
  <c r="A2341" i="3"/>
  <c r="J2340" i="3"/>
  <c r="I2340" i="3"/>
  <c r="H2340" i="3"/>
  <c r="G2340" i="3"/>
  <c r="F2340" i="3"/>
  <c r="D2340" i="3"/>
  <c r="C2340" i="3"/>
  <c r="B2340" i="3"/>
  <c r="A2340" i="3"/>
  <c r="J2339" i="3"/>
  <c r="I2339" i="3"/>
  <c r="H2339" i="3"/>
  <c r="G2339" i="3"/>
  <c r="F2339" i="3"/>
  <c r="D2339" i="3"/>
  <c r="C2339" i="3"/>
  <c r="B2339" i="3"/>
  <c r="A2339" i="3"/>
  <c r="J2338" i="3"/>
  <c r="I2338" i="3"/>
  <c r="H2338" i="3"/>
  <c r="G2338" i="3"/>
  <c r="F2338" i="3"/>
  <c r="D2338" i="3"/>
  <c r="C2338" i="3"/>
  <c r="B2338" i="3"/>
  <c r="A2338" i="3"/>
  <c r="J2337" i="3"/>
  <c r="I2337" i="3"/>
  <c r="H2337" i="3"/>
  <c r="G2337" i="3"/>
  <c r="F2337" i="3"/>
  <c r="D2337" i="3"/>
  <c r="C2337" i="3"/>
  <c r="B2337" i="3"/>
  <c r="A2337" i="3"/>
  <c r="J2336" i="3"/>
  <c r="I2336" i="3"/>
  <c r="H2336" i="3"/>
  <c r="G2336" i="3"/>
  <c r="F2336" i="3"/>
  <c r="D2336" i="3"/>
  <c r="C2336" i="3"/>
  <c r="B2336" i="3"/>
  <c r="A2336" i="3"/>
  <c r="J2335" i="3"/>
  <c r="I2335" i="3"/>
  <c r="H2335" i="3"/>
  <c r="G2335" i="3"/>
  <c r="F2335" i="3"/>
  <c r="D2335" i="3"/>
  <c r="C2335" i="3"/>
  <c r="B2335" i="3"/>
  <c r="A2335" i="3"/>
  <c r="J2334" i="3"/>
  <c r="I2334" i="3"/>
  <c r="H2334" i="3"/>
  <c r="G2334" i="3"/>
  <c r="F2334" i="3"/>
  <c r="D2334" i="3"/>
  <c r="C2334" i="3"/>
  <c r="B2334" i="3"/>
  <c r="A2334" i="3"/>
  <c r="J2333" i="3"/>
  <c r="I2333" i="3"/>
  <c r="H2333" i="3"/>
  <c r="G2333" i="3"/>
  <c r="F2333" i="3"/>
  <c r="D2333" i="3"/>
  <c r="C2333" i="3"/>
  <c r="B2333" i="3"/>
  <c r="A2333" i="3"/>
  <c r="J2332" i="3"/>
  <c r="I2332" i="3"/>
  <c r="H2332" i="3"/>
  <c r="G2332" i="3"/>
  <c r="F2332" i="3"/>
  <c r="D2332" i="3"/>
  <c r="C2332" i="3"/>
  <c r="B2332" i="3"/>
  <c r="A2332" i="3"/>
  <c r="J2331" i="3"/>
  <c r="I2331" i="3"/>
  <c r="H2331" i="3"/>
  <c r="G2331" i="3"/>
  <c r="F2331" i="3"/>
  <c r="D2331" i="3"/>
  <c r="C2331" i="3"/>
  <c r="B2331" i="3"/>
  <c r="A2331" i="3"/>
  <c r="J2330" i="3"/>
  <c r="I2330" i="3"/>
  <c r="H2330" i="3"/>
  <c r="G2330" i="3"/>
  <c r="F2330" i="3"/>
  <c r="D2330" i="3"/>
  <c r="C2330" i="3"/>
  <c r="B2330" i="3"/>
  <c r="A2330" i="3"/>
  <c r="J2329" i="3"/>
  <c r="I2329" i="3"/>
  <c r="H2329" i="3"/>
  <c r="G2329" i="3"/>
  <c r="F2329" i="3"/>
  <c r="D2329" i="3"/>
  <c r="C2329" i="3"/>
  <c r="B2329" i="3"/>
  <c r="A2329" i="3"/>
  <c r="J2328" i="3"/>
  <c r="I2328" i="3"/>
  <c r="H2328" i="3"/>
  <c r="G2328" i="3"/>
  <c r="F2328" i="3"/>
  <c r="D2328" i="3"/>
  <c r="C2328" i="3"/>
  <c r="B2328" i="3"/>
  <c r="A2328" i="3"/>
  <c r="J2327" i="3"/>
  <c r="I2327" i="3"/>
  <c r="H2327" i="3"/>
  <c r="G2327" i="3"/>
  <c r="F2327" i="3"/>
  <c r="D2327" i="3"/>
  <c r="C2327" i="3"/>
  <c r="B2327" i="3"/>
  <c r="A2327" i="3"/>
  <c r="J2326" i="3"/>
  <c r="I2326" i="3"/>
  <c r="H2326" i="3"/>
  <c r="G2326" i="3"/>
  <c r="F2326" i="3"/>
  <c r="D2326" i="3"/>
  <c r="C2326" i="3"/>
  <c r="B2326" i="3"/>
  <c r="A2326" i="3"/>
  <c r="J2325" i="3"/>
  <c r="I2325" i="3"/>
  <c r="H2325" i="3"/>
  <c r="G2325" i="3"/>
  <c r="F2325" i="3"/>
  <c r="D2325" i="3"/>
  <c r="C2325" i="3"/>
  <c r="B2325" i="3"/>
  <c r="A2325" i="3"/>
  <c r="J2324" i="3"/>
  <c r="I2324" i="3"/>
  <c r="H2324" i="3"/>
  <c r="G2324" i="3"/>
  <c r="F2324" i="3"/>
  <c r="D2324" i="3"/>
  <c r="C2324" i="3"/>
  <c r="B2324" i="3"/>
  <c r="A2324" i="3"/>
  <c r="J2323" i="3"/>
  <c r="I2323" i="3"/>
  <c r="H2323" i="3"/>
  <c r="G2323" i="3"/>
  <c r="F2323" i="3"/>
  <c r="D2323" i="3"/>
  <c r="C2323" i="3"/>
  <c r="B2323" i="3"/>
  <c r="A2323" i="3"/>
  <c r="J2322" i="3"/>
  <c r="I2322" i="3"/>
  <c r="H2322" i="3"/>
  <c r="G2322" i="3"/>
  <c r="F2322" i="3"/>
  <c r="D2322" i="3"/>
  <c r="C2322" i="3"/>
  <c r="B2322" i="3"/>
  <c r="A2322" i="3"/>
  <c r="J2321" i="3"/>
  <c r="I2321" i="3"/>
  <c r="H2321" i="3"/>
  <c r="G2321" i="3"/>
  <c r="F2321" i="3"/>
  <c r="D2321" i="3"/>
  <c r="C2321" i="3"/>
  <c r="B2321" i="3"/>
  <c r="A2321" i="3"/>
  <c r="J2320" i="3"/>
  <c r="I2320" i="3"/>
  <c r="H2320" i="3"/>
  <c r="G2320" i="3"/>
  <c r="F2320" i="3"/>
  <c r="D2320" i="3"/>
  <c r="C2320" i="3"/>
  <c r="B2320" i="3"/>
  <c r="A2320" i="3"/>
  <c r="J2319" i="3"/>
  <c r="I2319" i="3"/>
  <c r="H2319" i="3"/>
  <c r="G2319" i="3"/>
  <c r="F2319" i="3"/>
  <c r="D2319" i="3"/>
  <c r="C2319" i="3"/>
  <c r="B2319" i="3"/>
  <c r="A2319" i="3"/>
  <c r="J2318" i="3"/>
  <c r="I2318" i="3"/>
  <c r="H2318" i="3"/>
  <c r="G2318" i="3"/>
  <c r="F2318" i="3"/>
  <c r="D2318" i="3"/>
  <c r="C2318" i="3"/>
  <c r="B2318" i="3"/>
  <c r="A2318" i="3"/>
  <c r="J2317" i="3"/>
  <c r="I2317" i="3"/>
  <c r="H2317" i="3"/>
  <c r="G2317" i="3"/>
  <c r="F2317" i="3"/>
  <c r="D2317" i="3"/>
  <c r="C2317" i="3"/>
  <c r="B2317" i="3"/>
  <c r="A2317" i="3"/>
  <c r="J2316" i="3"/>
  <c r="I2316" i="3"/>
  <c r="H2316" i="3"/>
  <c r="G2316" i="3"/>
  <c r="F2316" i="3"/>
  <c r="D2316" i="3"/>
  <c r="C2316" i="3"/>
  <c r="B2316" i="3"/>
  <c r="A2316" i="3"/>
  <c r="J2315" i="3"/>
  <c r="I2315" i="3"/>
  <c r="H2315" i="3"/>
  <c r="G2315" i="3"/>
  <c r="F2315" i="3"/>
  <c r="D2315" i="3"/>
  <c r="C2315" i="3"/>
  <c r="B2315" i="3"/>
  <c r="A2315" i="3"/>
  <c r="J2314" i="3"/>
  <c r="I2314" i="3"/>
  <c r="H2314" i="3"/>
  <c r="G2314" i="3"/>
  <c r="F2314" i="3"/>
  <c r="D2314" i="3"/>
  <c r="C2314" i="3"/>
  <c r="B2314" i="3"/>
  <c r="A2314" i="3"/>
  <c r="J2313" i="3"/>
  <c r="I2313" i="3"/>
  <c r="H2313" i="3"/>
  <c r="G2313" i="3"/>
  <c r="F2313" i="3"/>
  <c r="D2313" i="3"/>
  <c r="C2313" i="3"/>
  <c r="B2313" i="3"/>
  <c r="A2313" i="3"/>
  <c r="J2312" i="3"/>
  <c r="I2312" i="3"/>
  <c r="H2312" i="3"/>
  <c r="G2312" i="3"/>
  <c r="F2312" i="3"/>
  <c r="D2312" i="3"/>
  <c r="C2312" i="3"/>
  <c r="B2312" i="3"/>
  <c r="A2312" i="3"/>
  <c r="J2311" i="3"/>
  <c r="I2311" i="3"/>
  <c r="H2311" i="3"/>
  <c r="G2311" i="3"/>
  <c r="F2311" i="3"/>
  <c r="D2311" i="3"/>
  <c r="C2311" i="3"/>
  <c r="B2311" i="3"/>
  <c r="A2311" i="3"/>
  <c r="J2310" i="3"/>
  <c r="I2310" i="3"/>
  <c r="H2310" i="3"/>
  <c r="G2310" i="3"/>
  <c r="F2310" i="3"/>
  <c r="D2310" i="3"/>
  <c r="C2310" i="3"/>
  <c r="B2310" i="3"/>
  <c r="A2310" i="3"/>
  <c r="J2309" i="3"/>
  <c r="I2309" i="3"/>
  <c r="H2309" i="3"/>
  <c r="G2309" i="3"/>
  <c r="F2309" i="3"/>
  <c r="D2309" i="3"/>
  <c r="C2309" i="3"/>
  <c r="B2309" i="3"/>
  <c r="A2309" i="3"/>
  <c r="J2308" i="3"/>
  <c r="I2308" i="3"/>
  <c r="H2308" i="3"/>
  <c r="G2308" i="3"/>
  <c r="F2308" i="3"/>
  <c r="D2308" i="3"/>
  <c r="C2308" i="3"/>
  <c r="B2308" i="3"/>
  <c r="A2308" i="3"/>
  <c r="J2307" i="3"/>
  <c r="I2307" i="3"/>
  <c r="H2307" i="3"/>
  <c r="G2307" i="3"/>
  <c r="F2307" i="3"/>
  <c r="D2307" i="3"/>
  <c r="C2307" i="3"/>
  <c r="B2307" i="3"/>
  <c r="A2307" i="3"/>
  <c r="J2306" i="3"/>
  <c r="I2306" i="3"/>
  <c r="H2306" i="3"/>
  <c r="G2306" i="3"/>
  <c r="F2306" i="3"/>
  <c r="D2306" i="3"/>
  <c r="C2306" i="3"/>
  <c r="B2306" i="3"/>
  <c r="A2306" i="3"/>
  <c r="J2305" i="3"/>
  <c r="I2305" i="3"/>
  <c r="H2305" i="3"/>
  <c r="G2305" i="3"/>
  <c r="F2305" i="3"/>
  <c r="D2305" i="3"/>
  <c r="C2305" i="3"/>
  <c r="B2305" i="3"/>
  <c r="A2305" i="3"/>
  <c r="J2304" i="3"/>
  <c r="I2304" i="3"/>
  <c r="H2304" i="3"/>
  <c r="G2304" i="3"/>
  <c r="F2304" i="3"/>
  <c r="D2304" i="3"/>
  <c r="C2304" i="3"/>
  <c r="B2304" i="3"/>
  <c r="A2304" i="3"/>
  <c r="J2303" i="3"/>
  <c r="I2303" i="3"/>
  <c r="H2303" i="3"/>
  <c r="G2303" i="3"/>
  <c r="F2303" i="3"/>
  <c r="D2303" i="3"/>
  <c r="C2303" i="3"/>
  <c r="B2303" i="3"/>
  <c r="A2303" i="3"/>
  <c r="J2302" i="3"/>
  <c r="I2302" i="3"/>
  <c r="H2302" i="3"/>
  <c r="G2302" i="3"/>
  <c r="F2302" i="3"/>
  <c r="D2302" i="3"/>
  <c r="C2302" i="3"/>
  <c r="B2302" i="3"/>
  <c r="A2302" i="3"/>
  <c r="J2301" i="3"/>
  <c r="I2301" i="3"/>
  <c r="H2301" i="3"/>
  <c r="G2301" i="3"/>
  <c r="F2301" i="3"/>
  <c r="D2301" i="3"/>
  <c r="C2301" i="3"/>
  <c r="B2301" i="3"/>
  <c r="A2301" i="3"/>
  <c r="J2300" i="3"/>
  <c r="I2300" i="3"/>
  <c r="H2300" i="3"/>
  <c r="G2300" i="3"/>
  <c r="F2300" i="3"/>
  <c r="D2300" i="3"/>
  <c r="C2300" i="3"/>
  <c r="B2300" i="3"/>
  <c r="A2300" i="3"/>
  <c r="J2299" i="3"/>
  <c r="I2299" i="3"/>
  <c r="H2299" i="3"/>
  <c r="G2299" i="3"/>
  <c r="F2299" i="3"/>
  <c r="D2299" i="3"/>
  <c r="C2299" i="3"/>
  <c r="B2299" i="3"/>
  <c r="A2299" i="3"/>
  <c r="J2298" i="3"/>
  <c r="I2298" i="3"/>
  <c r="H2298" i="3"/>
  <c r="G2298" i="3"/>
  <c r="F2298" i="3"/>
  <c r="D2298" i="3"/>
  <c r="C2298" i="3"/>
  <c r="B2298" i="3"/>
  <c r="A2298" i="3"/>
  <c r="J2297" i="3"/>
  <c r="I2297" i="3"/>
  <c r="H2297" i="3"/>
  <c r="G2297" i="3"/>
  <c r="F2297" i="3"/>
  <c r="D2297" i="3"/>
  <c r="C2297" i="3"/>
  <c r="B2297" i="3"/>
  <c r="A2297" i="3"/>
  <c r="J2296" i="3"/>
  <c r="I2296" i="3"/>
  <c r="H2296" i="3"/>
  <c r="G2296" i="3"/>
  <c r="F2296" i="3"/>
  <c r="D2296" i="3"/>
  <c r="C2296" i="3"/>
  <c r="B2296" i="3"/>
  <c r="A2296" i="3"/>
  <c r="J2295" i="3"/>
  <c r="I2295" i="3"/>
  <c r="H2295" i="3"/>
  <c r="G2295" i="3"/>
  <c r="F2295" i="3"/>
  <c r="D2295" i="3"/>
  <c r="C2295" i="3"/>
  <c r="B2295" i="3"/>
  <c r="A2295" i="3"/>
  <c r="J2294" i="3"/>
  <c r="I2294" i="3"/>
  <c r="H2294" i="3"/>
  <c r="G2294" i="3"/>
  <c r="F2294" i="3"/>
  <c r="D2294" i="3"/>
  <c r="C2294" i="3"/>
  <c r="B2294" i="3"/>
  <c r="A2294" i="3"/>
  <c r="J2293" i="3"/>
  <c r="I2293" i="3"/>
  <c r="H2293" i="3"/>
  <c r="G2293" i="3"/>
  <c r="F2293" i="3"/>
  <c r="D2293" i="3"/>
  <c r="C2293" i="3"/>
  <c r="B2293" i="3"/>
  <c r="A2293" i="3"/>
  <c r="J2292" i="3"/>
  <c r="I2292" i="3"/>
  <c r="H2292" i="3"/>
  <c r="G2292" i="3"/>
  <c r="F2292" i="3"/>
  <c r="D2292" i="3"/>
  <c r="C2292" i="3"/>
  <c r="B2292" i="3"/>
  <c r="A2292" i="3"/>
  <c r="J2291" i="3"/>
  <c r="I2291" i="3"/>
  <c r="H2291" i="3"/>
  <c r="G2291" i="3"/>
  <c r="F2291" i="3"/>
  <c r="D2291" i="3"/>
  <c r="C2291" i="3"/>
  <c r="B2291" i="3"/>
  <c r="A2291" i="3"/>
  <c r="J2290" i="3"/>
  <c r="I2290" i="3"/>
  <c r="H2290" i="3"/>
  <c r="G2290" i="3"/>
  <c r="F2290" i="3"/>
  <c r="D2290" i="3"/>
  <c r="C2290" i="3"/>
  <c r="B2290" i="3"/>
  <c r="A2290" i="3"/>
  <c r="J2289" i="3"/>
  <c r="I2289" i="3"/>
  <c r="H2289" i="3"/>
  <c r="G2289" i="3"/>
  <c r="F2289" i="3"/>
  <c r="D2289" i="3"/>
  <c r="C2289" i="3"/>
  <c r="B2289" i="3"/>
  <c r="A2289" i="3"/>
  <c r="J2288" i="3"/>
  <c r="I2288" i="3"/>
  <c r="H2288" i="3"/>
  <c r="G2288" i="3"/>
  <c r="F2288" i="3"/>
  <c r="D2288" i="3"/>
  <c r="C2288" i="3"/>
  <c r="B2288" i="3"/>
  <c r="A2288" i="3"/>
  <c r="J2287" i="3"/>
  <c r="I2287" i="3"/>
  <c r="H2287" i="3"/>
  <c r="G2287" i="3"/>
  <c r="F2287" i="3"/>
  <c r="D2287" i="3"/>
  <c r="C2287" i="3"/>
  <c r="B2287" i="3"/>
  <c r="A2287" i="3"/>
  <c r="J2286" i="3"/>
  <c r="I2286" i="3"/>
  <c r="H2286" i="3"/>
  <c r="G2286" i="3"/>
  <c r="F2286" i="3"/>
  <c r="D2286" i="3"/>
  <c r="C2286" i="3"/>
  <c r="B2286" i="3"/>
  <c r="A2286" i="3"/>
  <c r="J2285" i="3"/>
  <c r="I2285" i="3"/>
  <c r="H2285" i="3"/>
  <c r="G2285" i="3"/>
  <c r="F2285" i="3"/>
  <c r="D2285" i="3"/>
  <c r="C2285" i="3"/>
  <c r="B2285" i="3"/>
  <c r="A2285" i="3"/>
  <c r="J2284" i="3"/>
  <c r="I2284" i="3"/>
  <c r="H2284" i="3"/>
  <c r="G2284" i="3"/>
  <c r="F2284" i="3"/>
  <c r="D2284" i="3"/>
  <c r="C2284" i="3"/>
  <c r="B2284" i="3"/>
  <c r="A2284" i="3"/>
  <c r="J2283" i="3"/>
  <c r="I2283" i="3"/>
  <c r="H2283" i="3"/>
  <c r="G2283" i="3"/>
  <c r="F2283" i="3"/>
  <c r="D2283" i="3"/>
  <c r="C2283" i="3"/>
  <c r="B2283" i="3"/>
  <c r="A2283" i="3"/>
  <c r="J2282" i="3"/>
  <c r="I2282" i="3"/>
  <c r="H2282" i="3"/>
  <c r="G2282" i="3"/>
  <c r="F2282" i="3"/>
  <c r="D2282" i="3"/>
  <c r="C2282" i="3"/>
  <c r="B2282" i="3"/>
  <c r="A2282" i="3"/>
  <c r="J2281" i="3"/>
  <c r="I2281" i="3"/>
  <c r="H2281" i="3"/>
  <c r="G2281" i="3"/>
  <c r="F2281" i="3"/>
  <c r="D2281" i="3"/>
  <c r="C2281" i="3"/>
  <c r="B2281" i="3"/>
  <c r="A2281" i="3"/>
  <c r="J2280" i="3"/>
  <c r="I2280" i="3"/>
  <c r="H2280" i="3"/>
  <c r="G2280" i="3"/>
  <c r="F2280" i="3"/>
  <c r="D2280" i="3"/>
  <c r="C2280" i="3"/>
  <c r="B2280" i="3"/>
  <c r="A2280" i="3"/>
  <c r="J2279" i="3"/>
  <c r="I2279" i="3"/>
  <c r="H2279" i="3"/>
  <c r="G2279" i="3"/>
  <c r="F2279" i="3"/>
  <c r="D2279" i="3"/>
  <c r="C2279" i="3"/>
  <c r="B2279" i="3"/>
  <c r="A2279" i="3"/>
  <c r="J2278" i="3"/>
  <c r="I2278" i="3"/>
  <c r="H2278" i="3"/>
  <c r="G2278" i="3"/>
  <c r="F2278" i="3"/>
  <c r="D2278" i="3"/>
  <c r="C2278" i="3"/>
  <c r="B2278" i="3"/>
  <c r="A2278" i="3"/>
  <c r="J2277" i="3"/>
  <c r="I2277" i="3"/>
  <c r="H2277" i="3"/>
  <c r="G2277" i="3"/>
  <c r="F2277" i="3"/>
  <c r="D2277" i="3"/>
  <c r="C2277" i="3"/>
  <c r="B2277" i="3"/>
  <c r="A2277" i="3"/>
  <c r="J2276" i="3"/>
  <c r="I2276" i="3"/>
  <c r="H2276" i="3"/>
  <c r="G2276" i="3"/>
  <c r="F2276" i="3"/>
  <c r="D2276" i="3"/>
  <c r="C2276" i="3"/>
  <c r="B2276" i="3"/>
  <c r="A2276" i="3"/>
  <c r="J2275" i="3"/>
  <c r="I2275" i="3"/>
  <c r="H2275" i="3"/>
  <c r="G2275" i="3"/>
  <c r="F2275" i="3"/>
  <c r="D2275" i="3"/>
  <c r="C2275" i="3"/>
  <c r="B2275" i="3"/>
  <c r="A2275" i="3"/>
  <c r="J2274" i="3"/>
  <c r="I2274" i="3"/>
  <c r="H2274" i="3"/>
  <c r="G2274" i="3"/>
  <c r="F2274" i="3"/>
  <c r="D2274" i="3"/>
  <c r="C2274" i="3"/>
  <c r="B2274" i="3"/>
  <c r="A2274" i="3"/>
  <c r="J2273" i="3"/>
  <c r="I2273" i="3"/>
  <c r="H2273" i="3"/>
  <c r="G2273" i="3"/>
  <c r="F2273" i="3"/>
  <c r="D2273" i="3"/>
  <c r="C2273" i="3"/>
  <c r="B2273" i="3"/>
  <c r="A2273" i="3"/>
  <c r="J2272" i="3"/>
  <c r="I2272" i="3"/>
  <c r="H2272" i="3"/>
  <c r="G2272" i="3"/>
  <c r="F2272" i="3"/>
  <c r="D2272" i="3"/>
  <c r="C2272" i="3"/>
  <c r="B2272" i="3"/>
  <c r="A2272" i="3"/>
  <c r="J2271" i="3"/>
  <c r="I2271" i="3"/>
  <c r="H2271" i="3"/>
  <c r="G2271" i="3"/>
  <c r="F2271" i="3"/>
  <c r="D2271" i="3"/>
  <c r="C2271" i="3"/>
  <c r="B2271" i="3"/>
  <c r="A2271" i="3"/>
  <c r="J2270" i="3"/>
  <c r="I2270" i="3"/>
  <c r="H2270" i="3"/>
  <c r="G2270" i="3"/>
  <c r="F2270" i="3"/>
  <c r="D2270" i="3"/>
  <c r="C2270" i="3"/>
  <c r="B2270" i="3"/>
  <c r="A2270" i="3"/>
  <c r="J2269" i="3"/>
  <c r="I2269" i="3"/>
  <c r="H2269" i="3"/>
  <c r="G2269" i="3"/>
  <c r="F2269" i="3"/>
  <c r="D2269" i="3"/>
  <c r="C2269" i="3"/>
  <c r="B2269" i="3"/>
  <c r="A2269" i="3"/>
  <c r="J2268" i="3"/>
  <c r="I2268" i="3"/>
  <c r="H2268" i="3"/>
  <c r="G2268" i="3"/>
  <c r="F2268" i="3"/>
  <c r="D2268" i="3"/>
  <c r="C2268" i="3"/>
  <c r="B2268" i="3"/>
  <c r="A2268" i="3"/>
  <c r="J2267" i="3"/>
  <c r="I2267" i="3"/>
  <c r="H2267" i="3"/>
  <c r="G2267" i="3"/>
  <c r="F2267" i="3"/>
  <c r="D2267" i="3"/>
  <c r="C2267" i="3"/>
  <c r="B2267" i="3"/>
  <c r="A2267" i="3"/>
  <c r="J2266" i="3"/>
  <c r="I2266" i="3"/>
  <c r="H2266" i="3"/>
  <c r="G2266" i="3"/>
  <c r="F2266" i="3"/>
  <c r="D2266" i="3"/>
  <c r="C2266" i="3"/>
  <c r="B2266" i="3"/>
  <c r="A2266" i="3"/>
  <c r="J2265" i="3"/>
  <c r="I2265" i="3"/>
  <c r="H2265" i="3"/>
  <c r="G2265" i="3"/>
  <c r="F2265" i="3"/>
  <c r="D2265" i="3"/>
  <c r="C2265" i="3"/>
  <c r="B2265" i="3"/>
  <c r="A2265" i="3"/>
  <c r="J2264" i="3"/>
  <c r="I2264" i="3"/>
  <c r="H2264" i="3"/>
  <c r="G2264" i="3"/>
  <c r="F2264" i="3"/>
  <c r="D2264" i="3"/>
  <c r="C2264" i="3"/>
  <c r="B2264" i="3"/>
  <c r="A2264" i="3"/>
  <c r="J2263" i="3"/>
  <c r="I2263" i="3"/>
  <c r="H2263" i="3"/>
  <c r="G2263" i="3"/>
  <c r="F2263" i="3"/>
  <c r="D2263" i="3"/>
  <c r="C2263" i="3"/>
  <c r="B2263" i="3"/>
  <c r="A2263" i="3"/>
  <c r="J2262" i="3"/>
  <c r="I2262" i="3"/>
  <c r="H2262" i="3"/>
  <c r="G2262" i="3"/>
  <c r="F2262" i="3"/>
  <c r="D2262" i="3"/>
  <c r="C2262" i="3"/>
  <c r="B2262" i="3"/>
  <c r="A2262" i="3"/>
  <c r="J2261" i="3"/>
  <c r="I2261" i="3"/>
  <c r="H2261" i="3"/>
  <c r="G2261" i="3"/>
  <c r="F2261" i="3"/>
  <c r="D2261" i="3"/>
  <c r="C2261" i="3"/>
  <c r="B2261" i="3"/>
  <c r="A2261" i="3"/>
  <c r="J2260" i="3"/>
  <c r="I2260" i="3"/>
  <c r="H2260" i="3"/>
  <c r="G2260" i="3"/>
  <c r="F2260" i="3"/>
  <c r="D2260" i="3"/>
  <c r="C2260" i="3"/>
  <c r="B2260" i="3"/>
  <c r="A2260" i="3"/>
  <c r="J2259" i="3"/>
  <c r="I2259" i="3"/>
  <c r="H2259" i="3"/>
  <c r="G2259" i="3"/>
  <c r="F2259" i="3"/>
  <c r="D2259" i="3"/>
  <c r="C2259" i="3"/>
  <c r="B2259" i="3"/>
  <c r="A2259" i="3"/>
  <c r="J2258" i="3"/>
  <c r="I2258" i="3"/>
  <c r="H2258" i="3"/>
  <c r="G2258" i="3"/>
  <c r="F2258" i="3"/>
  <c r="D2258" i="3"/>
  <c r="C2258" i="3"/>
  <c r="B2258" i="3"/>
  <c r="A2258" i="3"/>
  <c r="J2257" i="3"/>
  <c r="I2257" i="3"/>
  <c r="H2257" i="3"/>
  <c r="G2257" i="3"/>
  <c r="F2257" i="3"/>
  <c r="D2257" i="3"/>
  <c r="C2257" i="3"/>
  <c r="B2257" i="3"/>
  <c r="A2257" i="3"/>
  <c r="J2256" i="3"/>
  <c r="I2256" i="3"/>
  <c r="H2256" i="3"/>
  <c r="G2256" i="3"/>
  <c r="F2256" i="3"/>
  <c r="D2256" i="3"/>
  <c r="C2256" i="3"/>
  <c r="B2256" i="3"/>
  <c r="A2256" i="3"/>
  <c r="J2255" i="3"/>
  <c r="I2255" i="3"/>
  <c r="H2255" i="3"/>
  <c r="G2255" i="3"/>
  <c r="F2255" i="3"/>
  <c r="D2255" i="3"/>
  <c r="C2255" i="3"/>
  <c r="B2255" i="3"/>
  <c r="A2255" i="3"/>
  <c r="J2254" i="3"/>
  <c r="I2254" i="3"/>
  <c r="H2254" i="3"/>
  <c r="G2254" i="3"/>
  <c r="F2254" i="3"/>
  <c r="D2254" i="3"/>
  <c r="C2254" i="3"/>
  <c r="B2254" i="3"/>
  <c r="A2254" i="3"/>
  <c r="J2253" i="3"/>
  <c r="I2253" i="3"/>
  <c r="H2253" i="3"/>
  <c r="G2253" i="3"/>
  <c r="F2253" i="3"/>
  <c r="D2253" i="3"/>
  <c r="C2253" i="3"/>
  <c r="B2253" i="3"/>
  <c r="A2253" i="3"/>
  <c r="J2252" i="3"/>
  <c r="I2252" i="3"/>
  <c r="H2252" i="3"/>
  <c r="G2252" i="3"/>
  <c r="F2252" i="3"/>
  <c r="D2252" i="3"/>
  <c r="C2252" i="3"/>
  <c r="B2252" i="3"/>
  <c r="A2252" i="3"/>
  <c r="J2251" i="3"/>
  <c r="I2251" i="3"/>
  <c r="H2251" i="3"/>
  <c r="G2251" i="3"/>
  <c r="F2251" i="3"/>
  <c r="D2251" i="3"/>
  <c r="C2251" i="3"/>
  <c r="B2251" i="3"/>
  <c r="A2251" i="3"/>
  <c r="J2250" i="3"/>
  <c r="I2250" i="3"/>
  <c r="H2250" i="3"/>
  <c r="G2250" i="3"/>
  <c r="F2250" i="3"/>
  <c r="D2250" i="3"/>
  <c r="C2250" i="3"/>
  <c r="B2250" i="3"/>
  <c r="A2250" i="3"/>
  <c r="J2249" i="3"/>
  <c r="I2249" i="3"/>
  <c r="H2249" i="3"/>
  <c r="G2249" i="3"/>
  <c r="F2249" i="3"/>
  <c r="D2249" i="3"/>
  <c r="C2249" i="3"/>
  <c r="B2249" i="3"/>
  <c r="A2249" i="3"/>
  <c r="J2248" i="3"/>
  <c r="I2248" i="3"/>
  <c r="H2248" i="3"/>
  <c r="G2248" i="3"/>
  <c r="F2248" i="3"/>
  <c r="D2248" i="3"/>
  <c r="C2248" i="3"/>
  <c r="B2248" i="3"/>
  <c r="A2248" i="3"/>
  <c r="J2247" i="3"/>
  <c r="I2247" i="3"/>
  <c r="H2247" i="3"/>
  <c r="G2247" i="3"/>
  <c r="F2247" i="3"/>
  <c r="D2247" i="3"/>
  <c r="C2247" i="3"/>
  <c r="B2247" i="3"/>
  <c r="A2247" i="3"/>
  <c r="J2246" i="3"/>
  <c r="I2246" i="3"/>
  <c r="H2246" i="3"/>
  <c r="G2246" i="3"/>
  <c r="F2246" i="3"/>
  <c r="D2246" i="3"/>
  <c r="C2246" i="3"/>
  <c r="B2246" i="3"/>
  <c r="A2246" i="3"/>
  <c r="J2245" i="3"/>
  <c r="I2245" i="3"/>
  <c r="H2245" i="3"/>
  <c r="G2245" i="3"/>
  <c r="F2245" i="3"/>
  <c r="D2245" i="3"/>
  <c r="C2245" i="3"/>
  <c r="B2245" i="3"/>
  <c r="A2245" i="3"/>
  <c r="J2244" i="3"/>
  <c r="I2244" i="3"/>
  <c r="H2244" i="3"/>
  <c r="G2244" i="3"/>
  <c r="F2244" i="3"/>
  <c r="D2244" i="3"/>
  <c r="C2244" i="3"/>
  <c r="B2244" i="3"/>
  <c r="A2244" i="3"/>
  <c r="J2243" i="3"/>
  <c r="I2243" i="3"/>
  <c r="H2243" i="3"/>
  <c r="G2243" i="3"/>
  <c r="F2243" i="3"/>
  <c r="D2243" i="3"/>
  <c r="C2243" i="3"/>
  <c r="B2243" i="3"/>
  <c r="A2243" i="3"/>
  <c r="J2242" i="3"/>
  <c r="I2242" i="3"/>
  <c r="H2242" i="3"/>
  <c r="G2242" i="3"/>
  <c r="F2242" i="3"/>
  <c r="D2242" i="3"/>
  <c r="C2242" i="3"/>
  <c r="B2242" i="3"/>
  <c r="A2242" i="3"/>
  <c r="J2241" i="3"/>
  <c r="I2241" i="3"/>
  <c r="H2241" i="3"/>
  <c r="G2241" i="3"/>
  <c r="F2241" i="3"/>
  <c r="D2241" i="3"/>
  <c r="C2241" i="3"/>
  <c r="B2241" i="3"/>
  <c r="A2241" i="3"/>
  <c r="J2240" i="3"/>
  <c r="I2240" i="3"/>
  <c r="H2240" i="3"/>
  <c r="G2240" i="3"/>
  <c r="F2240" i="3"/>
  <c r="D2240" i="3"/>
  <c r="C2240" i="3"/>
  <c r="B2240" i="3"/>
  <c r="A2240" i="3"/>
  <c r="J2239" i="3"/>
  <c r="I2239" i="3"/>
  <c r="H2239" i="3"/>
  <c r="G2239" i="3"/>
  <c r="F2239" i="3"/>
  <c r="D2239" i="3"/>
  <c r="C2239" i="3"/>
  <c r="B2239" i="3"/>
  <c r="A2239" i="3"/>
  <c r="J2238" i="3"/>
  <c r="I2238" i="3"/>
  <c r="H2238" i="3"/>
  <c r="G2238" i="3"/>
  <c r="F2238" i="3"/>
  <c r="D2238" i="3"/>
  <c r="C2238" i="3"/>
  <c r="B2238" i="3"/>
  <c r="A2238" i="3"/>
  <c r="J2237" i="3"/>
  <c r="I2237" i="3"/>
  <c r="H2237" i="3"/>
  <c r="G2237" i="3"/>
  <c r="F2237" i="3"/>
  <c r="D2237" i="3"/>
  <c r="C2237" i="3"/>
  <c r="B2237" i="3"/>
  <c r="A2237" i="3"/>
  <c r="J2236" i="3"/>
  <c r="I2236" i="3"/>
  <c r="H2236" i="3"/>
  <c r="G2236" i="3"/>
  <c r="F2236" i="3"/>
  <c r="D2236" i="3"/>
  <c r="C2236" i="3"/>
  <c r="B2236" i="3"/>
  <c r="A2236" i="3"/>
  <c r="J2235" i="3"/>
  <c r="I2235" i="3"/>
  <c r="H2235" i="3"/>
  <c r="G2235" i="3"/>
  <c r="F2235" i="3"/>
  <c r="D2235" i="3"/>
  <c r="C2235" i="3"/>
  <c r="B2235" i="3"/>
  <c r="A2235" i="3"/>
  <c r="J2234" i="3"/>
  <c r="I2234" i="3"/>
  <c r="H2234" i="3"/>
  <c r="G2234" i="3"/>
  <c r="F2234" i="3"/>
  <c r="D2234" i="3"/>
  <c r="C2234" i="3"/>
  <c r="B2234" i="3"/>
  <c r="A2234" i="3"/>
  <c r="J2233" i="3"/>
  <c r="I2233" i="3"/>
  <c r="H2233" i="3"/>
  <c r="G2233" i="3"/>
  <c r="F2233" i="3"/>
  <c r="D2233" i="3"/>
  <c r="C2233" i="3"/>
  <c r="B2233" i="3"/>
  <c r="A2233" i="3"/>
  <c r="J2232" i="3"/>
  <c r="I2232" i="3"/>
  <c r="H2232" i="3"/>
  <c r="G2232" i="3"/>
  <c r="F2232" i="3"/>
  <c r="D2232" i="3"/>
  <c r="C2232" i="3"/>
  <c r="B2232" i="3"/>
  <c r="A2232" i="3"/>
  <c r="J2231" i="3"/>
  <c r="I2231" i="3"/>
  <c r="H2231" i="3"/>
  <c r="G2231" i="3"/>
  <c r="F2231" i="3"/>
  <c r="D2231" i="3"/>
  <c r="C2231" i="3"/>
  <c r="B2231" i="3"/>
  <c r="A2231" i="3"/>
  <c r="J2230" i="3"/>
  <c r="I2230" i="3"/>
  <c r="H2230" i="3"/>
  <c r="G2230" i="3"/>
  <c r="F2230" i="3"/>
  <c r="D2230" i="3"/>
  <c r="C2230" i="3"/>
  <c r="B2230" i="3"/>
  <c r="A2230" i="3"/>
  <c r="J2229" i="3"/>
  <c r="I2229" i="3"/>
  <c r="H2229" i="3"/>
  <c r="G2229" i="3"/>
  <c r="F2229" i="3"/>
  <c r="D2229" i="3"/>
  <c r="C2229" i="3"/>
  <c r="B2229" i="3"/>
  <c r="A2229" i="3"/>
  <c r="J2228" i="3"/>
  <c r="I2228" i="3"/>
  <c r="H2228" i="3"/>
  <c r="G2228" i="3"/>
  <c r="F2228" i="3"/>
  <c r="D2228" i="3"/>
  <c r="C2228" i="3"/>
  <c r="B2228" i="3"/>
  <c r="A2228" i="3"/>
  <c r="J2227" i="3"/>
  <c r="I2227" i="3"/>
  <c r="H2227" i="3"/>
  <c r="G2227" i="3"/>
  <c r="F2227" i="3"/>
  <c r="D2227" i="3"/>
  <c r="C2227" i="3"/>
  <c r="B2227" i="3"/>
  <c r="A2227" i="3"/>
  <c r="J2226" i="3"/>
  <c r="I2226" i="3"/>
  <c r="H2226" i="3"/>
  <c r="G2226" i="3"/>
  <c r="F2226" i="3"/>
  <c r="D2226" i="3"/>
  <c r="C2226" i="3"/>
  <c r="B2226" i="3"/>
  <c r="A2226" i="3"/>
  <c r="J2225" i="3"/>
  <c r="I2225" i="3"/>
  <c r="H2225" i="3"/>
  <c r="G2225" i="3"/>
  <c r="F2225" i="3"/>
  <c r="D2225" i="3"/>
  <c r="C2225" i="3"/>
  <c r="B2225" i="3"/>
  <c r="A2225" i="3"/>
  <c r="J2224" i="3"/>
  <c r="I2224" i="3"/>
  <c r="H2224" i="3"/>
  <c r="G2224" i="3"/>
  <c r="F2224" i="3"/>
  <c r="D2224" i="3"/>
  <c r="C2224" i="3"/>
  <c r="B2224" i="3"/>
  <c r="A2224" i="3"/>
  <c r="J2223" i="3"/>
  <c r="I2223" i="3"/>
  <c r="H2223" i="3"/>
  <c r="G2223" i="3"/>
  <c r="F2223" i="3"/>
  <c r="D2223" i="3"/>
  <c r="C2223" i="3"/>
  <c r="B2223" i="3"/>
  <c r="A2223" i="3"/>
  <c r="J2222" i="3"/>
  <c r="I2222" i="3"/>
  <c r="H2222" i="3"/>
  <c r="G2222" i="3"/>
  <c r="F2222" i="3"/>
  <c r="D2222" i="3"/>
  <c r="C2222" i="3"/>
  <c r="B2222" i="3"/>
  <c r="A2222" i="3"/>
  <c r="J2221" i="3"/>
  <c r="I2221" i="3"/>
  <c r="H2221" i="3"/>
  <c r="G2221" i="3"/>
  <c r="F2221" i="3"/>
  <c r="D2221" i="3"/>
  <c r="C2221" i="3"/>
  <c r="B2221" i="3"/>
  <c r="A2221" i="3"/>
  <c r="J2220" i="3"/>
  <c r="I2220" i="3"/>
  <c r="H2220" i="3"/>
  <c r="G2220" i="3"/>
  <c r="F2220" i="3"/>
  <c r="D2220" i="3"/>
  <c r="C2220" i="3"/>
  <c r="B2220" i="3"/>
  <c r="A2220" i="3"/>
  <c r="J2219" i="3"/>
  <c r="I2219" i="3"/>
  <c r="H2219" i="3"/>
  <c r="G2219" i="3"/>
  <c r="F2219" i="3"/>
  <c r="D2219" i="3"/>
  <c r="C2219" i="3"/>
  <c r="B2219" i="3"/>
  <c r="A2219" i="3"/>
  <c r="J2218" i="3"/>
  <c r="I2218" i="3"/>
  <c r="H2218" i="3"/>
  <c r="G2218" i="3"/>
  <c r="F2218" i="3"/>
  <c r="D2218" i="3"/>
  <c r="C2218" i="3"/>
  <c r="B2218" i="3"/>
  <c r="A2218" i="3"/>
  <c r="J2217" i="3"/>
  <c r="I2217" i="3"/>
  <c r="H2217" i="3"/>
  <c r="G2217" i="3"/>
  <c r="F2217" i="3"/>
  <c r="D2217" i="3"/>
  <c r="C2217" i="3"/>
  <c r="B2217" i="3"/>
  <c r="A2217" i="3"/>
  <c r="J2216" i="3"/>
  <c r="I2216" i="3"/>
  <c r="H2216" i="3"/>
  <c r="G2216" i="3"/>
  <c r="F2216" i="3"/>
  <c r="D2216" i="3"/>
  <c r="C2216" i="3"/>
  <c r="B2216" i="3"/>
  <c r="A2216" i="3"/>
  <c r="J2215" i="3"/>
  <c r="I2215" i="3"/>
  <c r="H2215" i="3"/>
  <c r="G2215" i="3"/>
  <c r="F2215" i="3"/>
  <c r="D2215" i="3"/>
  <c r="C2215" i="3"/>
  <c r="B2215" i="3"/>
  <c r="A2215" i="3"/>
  <c r="J2214" i="3"/>
  <c r="I2214" i="3"/>
  <c r="H2214" i="3"/>
  <c r="G2214" i="3"/>
  <c r="F2214" i="3"/>
  <c r="D2214" i="3"/>
  <c r="C2214" i="3"/>
  <c r="B2214" i="3"/>
  <c r="A2214" i="3"/>
  <c r="J2213" i="3"/>
  <c r="I2213" i="3"/>
  <c r="H2213" i="3"/>
  <c r="G2213" i="3"/>
  <c r="F2213" i="3"/>
  <c r="D2213" i="3"/>
  <c r="C2213" i="3"/>
  <c r="B2213" i="3"/>
  <c r="A2213" i="3"/>
  <c r="J2212" i="3"/>
  <c r="I2212" i="3"/>
  <c r="H2212" i="3"/>
  <c r="G2212" i="3"/>
  <c r="F2212" i="3"/>
  <c r="D2212" i="3"/>
  <c r="C2212" i="3"/>
  <c r="B2212" i="3"/>
  <c r="A2212" i="3"/>
  <c r="J2211" i="3"/>
  <c r="I2211" i="3"/>
  <c r="H2211" i="3"/>
  <c r="G2211" i="3"/>
  <c r="F2211" i="3"/>
  <c r="D2211" i="3"/>
  <c r="C2211" i="3"/>
  <c r="B2211" i="3"/>
  <c r="A2211" i="3"/>
  <c r="J2210" i="3"/>
  <c r="I2210" i="3"/>
  <c r="H2210" i="3"/>
  <c r="G2210" i="3"/>
  <c r="F2210" i="3"/>
  <c r="D2210" i="3"/>
  <c r="C2210" i="3"/>
  <c r="B2210" i="3"/>
  <c r="A2210" i="3"/>
  <c r="J2209" i="3"/>
  <c r="I2209" i="3"/>
  <c r="H2209" i="3"/>
  <c r="G2209" i="3"/>
  <c r="F2209" i="3"/>
  <c r="D2209" i="3"/>
  <c r="C2209" i="3"/>
  <c r="B2209" i="3"/>
  <c r="A2209" i="3"/>
  <c r="J2208" i="3"/>
  <c r="I2208" i="3"/>
  <c r="H2208" i="3"/>
  <c r="G2208" i="3"/>
  <c r="F2208" i="3"/>
  <c r="D2208" i="3"/>
  <c r="C2208" i="3"/>
  <c r="B2208" i="3"/>
  <c r="A2208" i="3"/>
  <c r="J2207" i="3"/>
  <c r="I2207" i="3"/>
  <c r="H2207" i="3"/>
  <c r="G2207" i="3"/>
  <c r="F2207" i="3"/>
  <c r="D2207" i="3"/>
  <c r="C2207" i="3"/>
  <c r="B2207" i="3"/>
  <c r="A2207" i="3"/>
  <c r="J2206" i="3"/>
  <c r="I2206" i="3"/>
  <c r="H2206" i="3"/>
  <c r="G2206" i="3"/>
  <c r="F2206" i="3"/>
  <c r="D2206" i="3"/>
  <c r="C2206" i="3"/>
  <c r="B2206" i="3"/>
  <c r="A2206" i="3"/>
  <c r="J2205" i="3"/>
  <c r="I2205" i="3"/>
  <c r="H2205" i="3"/>
  <c r="G2205" i="3"/>
  <c r="F2205" i="3"/>
  <c r="D2205" i="3"/>
  <c r="C2205" i="3"/>
  <c r="B2205" i="3"/>
  <c r="A2205" i="3"/>
  <c r="J2204" i="3"/>
  <c r="I2204" i="3"/>
  <c r="H2204" i="3"/>
  <c r="G2204" i="3"/>
  <c r="F2204" i="3"/>
  <c r="D2204" i="3"/>
  <c r="C2204" i="3"/>
  <c r="B2204" i="3"/>
  <c r="A2204" i="3"/>
  <c r="J2203" i="3"/>
  <c r="I2203" i="3"/>
  <c r="H2203" i="3"/>
  <c r="G2203" i="3"/>
  <c r="F2203" i="3"/>
  <c r="D2203" i="3"/>
  <c r="C2203" i="3"/>
  <c r="B2203" i="3"/>
  <c r="A2203" i="3"/>
  <c r="J2202" i="3"/>
  <c r="I2202" i="3"/>
  <c r="H2202" i="3"/>
  <c r="G2202" i="3"/>
  <c r="F2202" i="3"/>
  <c r="D2202" i="3"/>
  <c r="C2202" i="3"/>
  <c r="B2202" i="3"/>
  <c r="A2202" i="3"/>
  <c r="J2201" i="3"/>
  <c r="I2201" i="3"/>
  <c r="H2201" i="3"/>
  <c r="G2201" i="3"/>
  <c r="F2201" i="3"/>
  <c r="D2201" i="3"/>
  <c r="C2201" i="3"/>
  <c r="B2201" i="3"/>
  <c r="A2201" i="3"/>
  <c r="J2200" i="3"/>
  <c r="I2200" i="3"/>
  <c r="H2200" i="3"/>
  <c r="G2200" i="3"/>
  <c r="F2200" i="3"/>
  <c r="D2200" i="3"/>
  <c r="C2200" i="3"/>
  <c r="B2200" i="3"/>
  <c r="A2200" i="3"/>
  <c r="J2199" i="3"/>
  <c r="I2199" i="3"/>
  <c r="H2199" i="3"/>
  <c r="G2199" i="3"/>
  <c r="F2199" i="3"/>
  <c r="D2199" i="3"/>
  <c r="C2199" i="3"/>
  <c r="B2199" i="3"/>
  <c r="A2199" i="3"/>
  <c r="J2198" i="3"/>
  <c r="I2198" i="3"/>
  <c r="H2198" i="3"/>
  <c r="G2198" i="3"/>
  <c r="F2198" i="3"/>
  <c r="D2198" i="3"/>
  <c r="C2198" i="3"/>
  <c r="B2198" i="3"/>
  <c r="A2198" i="3"/>
  <c r="J2197" i="3"/>
  <c r="I2197" i="3"/>
  <c r="H2197" i="3"/>
  <c r="G2197" i="3"/>
  <c r="F2197" i="3"/>
  <c r="D2197" i="3"/>
  <c r="C2197" i="3"/>
  <c r="B2197" i="3"/>
  <c r="A2197" i="3"/>
  <c r="J2196" i="3"/>
  <c r="I2196" i="3"/>
  <c r="H2196" i="3"/>
  <c r="G2196" i="3"/>
  <c r="F2196" i="3"/>
  <c r="D2196" i="3"/>
  <c r="C2196" i="3"/>
  <c r="B2196" i="3"/>
  <c r="A2196" i="3"/>
  <c r="J2195" i="3"/>
  <c r="I2195" i="3"/>
  <c r="H2195" i="3"/>
  <c r="G2195" i="3"/>
  <c r="F2195" i="3"/>
  <c r="D2195" i="3"/>
  <c r="C2195" i="3"/>
  <c r="B2195" i="3"/>
  <c r="A2195" i="3"/>
  <c r="J2194" i="3"/>
  <c r="I2194" i="3"/>
  <c r="H2194" i="3"/>
  <c r="G2194" i="3"/>
  <c r="F2194" i="3"/>
  <c r="D2194" i="3"/>
  <c r="C2194" i="3"/>
  <c r="B2194" i="3"/>
  <c r="A2194" i="3"/>
  <c r="J2193" i="3"/>
  <c r="I2193" i="3"/>
  <c r="H2193" i="3"/>
  <c r="G2193" i="3"/>
  <c r="F2193" i="3"/>
  <c r="D2193" i="3"/>
  <c r="C2193" i="3"/>
  <c r="B2193" i="3"/>
  <c r="A2193" i="3"/>
  <c r="J2192" i="3"/>
  <c r="I2192" i="3"/>
  <c r="H2192" i="3"/>
  <c r="G2192" i="3"/>
  <c r="F2192" i="3"/>
  <c r="D2192" i="3"/>
  <c r="C2192" i="3"/>
  <c r="B2192" i="3"/>
  <c r="A2192" i="3"/>
  <c r="J2191" i="3"/>
  <c r="I2191" i="3"/>
  <c r="H2191" i="3"/>
  <c r="G2191" i="3"/>
  <c r="F2191" i="3"/>
  <c r="D2191" i="3"/>
  <c r="C2191" i="3"/>
  <c r="B2191" i="3"/>
  <c r="A2191" i="3"/>
  <c r="J2190" i="3"/>
  <c r="I2190" i="3"/>
  <c r="H2190" i="3"/>
  <c r="G2190" i="3"/>
  <c r="F2190" i="3"/>
  <c r="D2190" i="3"/>
  <c r="C2190" i="3"/>
  <c r="B2190" i="3"/>
  <c r="A2190" i="3"/>
  <c r="J2189" i="3"/>
  <c r="I2189" i="3"/>
  <c r="H2189" i="3"/>
  <c r="G2189" i="3"/>
  <c r="F2189" i="3"/>
  <c r="D2189" i="3"/>
  <c r="C2189" i="3"/>
  <c r="B2189" i="3"/>
  <c r="A2189" i="3"/>
  <c r="J2188" i="3"/>
  <c r="I2188" i="3"/>
  <c r="H2188" i="3"/>
  <c r="G2188" i="3"/>
  <c r="F2188" i="3"/>
  <c r="D2188" i="3"/>
  <c r="C2188" i="3"/>
  <c r="B2188" i="3"/>
  <c r="A2188" i="3"/>
  <c r="J2187" i="3"/>
  <c r="I2187" i="3"/>
  <c r="H2187" i="3"/>
  <c r="G2187" i="3"/>
  <c r="F2187" i="3"/>
  <c r="D2187" i="3"/>
  <c r="C2187" i="3"/>
  <c r="B2187" i="3"/>
  <c r="A2187" i="3"/>
  <c r="J2186" i="3"/>
  <c r="I2186" i="3"/>
  <c r="H2186" i="3"/>
  <c r="G2186" i="3"/>
  <c r="F2186" i="3"/>
  <c r="D2186" i="3"/>
  <c r="C2186" i="3"/>
  <c r="B2186" i="3"/>
  <c r="A2186" i="3"/>
  <c r="J2185" i="3"/>
  <c r="I2185" i="3"/>
  <c r="H2185" i="3"/>
  <c r="G2185" i="3"/>
  <c r="F2185" i="3"/>
  <c r="D2185" i="3"/>
  <c r="C2185" i="3"/>
  <c r="B2185" i="3"/>
  <c r="A2185" i="3"/>
  <c r="J2184" i="3"/>
  <c r="I2184" i="3"/>
  <c r="H2184" i="3"/>
  <c r="G2184" i="3"/>
  <c r="F2184" i="3"/>
  <c r="D2184" i="3"/>
  <c r="C2184" i="3"/>
  <c r="B2184" i="3"/>
  <c r="A2184" i="3"/>
  <c r="J2183" i="3"/>
  <c r="I2183" i="3"/>
  <c r="H2183" i="3"/>
  <c r="G2183" i="3"/>
  <c r="F2183" i="3"/>
  <c r="D2183" i="3"/>
  <c r="C2183" i="3"/>
  <c r="B2183" i="3"/>
  <c r="A2183" i="3"/>
  <c r="J2182" i="3"/>
  <c r="I2182" i="3"/>
  <c r="H2182" i="3"/>
  <c r="G2182" i="3"/>
  <c r="F2182" i="3"/>
  <c r="D2182" i="3"/>
  <c r="C2182" i="3"/>
  <c r="B2182" i="3"/>
  <c r="A2182" i="3"/>
  <c r="J2181" i="3"/>
  <c r="I2181" i="3"/>
  <c r="H2181" i="3"/>
  <c r="G2181" i="3"/>
  <c r="F2181" i="3"/>
  <c r="D2181" i="3"/>
  <c r="C2181" i="3"/>
  <c r="B2181" i="3"/>
  <c r="A2181" i="3"/>
  <c r="J2180" i="3"/>
  <c r="I2180" i="3"/>
  <c r="H2180" i="3"/>
  <c r="G2180" i="3"/>
  <c r="F2180" i="3"/>
  <c r="D2180" i="3"/>
  <c r="C2180" i="3"/>
  <c r="B2180" i="3"/>
  <c r="A2180" i="3"/>
  <c r="J2179" i="3"/>
  <c r="I2179" i="3"/>
  <c r="H2179" i="3"/>
  <c r="G2179" i="3"/>
  <c r="F2179" i="3"/>
  <c r="D2179" i="3"/>
  <c r="C2179" i="3"/>
  <c r="B2179" i="3"/>
  <c r="A2179" i="3"/>
  <c r="J2178" i="3"/>
  <c r="I2178" i="3"/>
  <c r="H2178" i="3"/>
  <c r="G2178" i="3"/>
  <c r="F2178" i="3"/>
  <c r="D2178" i="3"/>
  <c r="C2178" i="3"/>
  <c r="B2178" i="3"/>
  <c r="A2178" i="3"/>
  <c r="J2177" i="3"/>
  <c r="I2177" i="3"/>
  <c r="H2177" i="3"/>
  <c r="G2177" i="3"/>
  <c r="F2177" i="3"/>
  <c r="D2177" i="3"/>
  <c r="C2177" i="3"/>
  <c r="B2177" i="3"/>
  <c r="A2177" i="3"/>
  <c r="J2176" i="3"/>
  <c r="I2176" i="3"/>
  <c r="H2176" i="3"/>
  <c r="G2176" i="3"/>
  <c r="F2176" i="3"/>
  <c r="D2176" i="3"/>
  <c r="C2176" i="3"/>
  <c r="B2176" i="3"/>
  <c r="A2176" i="3"/>
  <c r="J2175" i="3"/>
  <c r="I2175" i="3"/>
  <c r="H2175" i="3"/>
  <c r="G2175" i="3"/>
  <c r="F2175" i="3"/>
  <c r="D2175" i="3"/>
  <c r="C2175" i="3"/>
  <c r="B2175" i="3"/>
  <c r="A2175" i="3"/>
  <c r="J2174" i="3"/>
  <c r="I2174" i="3"/>
  <c r="H2174" i="3"/>
  <c r="G2174" i="3"/>
  <c r="F2174" i="3"/>
  <c r="D2174" i="3"/>
  <c r="C2174" i="3"/>
  <c r="B2174" i="3"/>
  <c r="A2174" i="3"/>
  <c r="J2173" i="3"/>
  <c r="I2173" i="3"/>
  <c r="H2173" i="3"/>
  <c r="G2173" i="3"/>
  <c r="F2173" i="3"/>
  <c r="D2173" i="3"/>
  <c r="C2173" i="3"/>
  <c r="B2173" i="3"/>
  <c r="A2173" i="3"/>
  <c r="J2172" i="3"/>
  <c r="I2172" i="3"/>
  <c r="H2172" i="3"/>
  <c r="G2172" i="3"/>
  <c r="F2172" i="3"/>
  <c r="D2172" i="3"/>
  <c r="C2172" i="3"/>
  <c r="B2172" i="3"/>
  <c r="A2172" i="3"/>
  <c r="J2171" i="3"/>
  <c r="I2171" i="3"/>
  <c r="H2171" i="3"/>
  <c r="G2171" i="3"/>
  <c r="F2171" i="3"/>
  <c r="D2171" i="3"/>
  <c r="C2171" i="3"/>
  <c r="B2171" i="3"/>
  <c r="A2171" i="3"/>
  <c r="J2170" i="3"/>
  <c r="I2170" i="3"/>
  <c r="H2170" i="3"/>
  <c r="G2170" i="3"/>
  <c r="F2170" i="3"/>
  <c r="D2170" i="3"/>
  <c r="C2170" i="3"/>
  <c r="B2170" i="3"/>
  <c r="A2170" i="3"/>
  <c r="J2169" i="3"/>
  <c r="I2169" i="3"/>
  <c r="H2169" i="3"/>
  <c r="G2169" i="3"/>
  <c r="F2169" i="3"/>
  <c r="D2169" i="3"/>
  <c r="C2169" i="3"/>
  <c r="B2169" i="3"/>
  <c r="A2169" i="3"/>
  <c r="J2168" i="3"/>
  <c r="I2168" i="3"/>
  <c r="H2168" i="3"/>
  <c r="G2168" i="3"/>
  <c r="F2168" i="3"/>
  <c r="D2168" i="3"/>
  <c r="C2168" i="3"/>
  <c r="B2168" i="3"/>
  <c r="A2168" i="3"/>
  <c r="J2167" i="3"/>
  <c r="I2167" i="3"/>
  <c r="H2167" i="3"/>
  <c r="G2167" i="3"/>
  <c r="F2167" i="3"/>
  <c r="D2167" i="3"/>
  <c r="C2167" i="3"/>
  <c r="B2167" i="3"/>
  <c r="A2167" i="3"/>
  <c r="J2166" i="3"/>
  <c r="I2166" i="3"/>
  <c r="H2166" i="3"/>
  <c r="G2166" i="3"/>
  <c r="F2166" i="3"/>
  <c r="D2166" i="3"/>
  <c r="C2166" i="3"/>
  <c r="B2166" i="3"/>
  <c r="A2166" i="3"/>
  <c r="J2165" i="3"/>
  <c r="I2165" i="3"/>
  <c r="H2165" i="3"/>
  <c r="G2165" i="3"/>
  <c r="F2165" i="3"/>
  <c r="D2165" i="3"/>
  <c r="C2165" i="3"/>
  <c r="B2165" i="3"/>
  <c r="A2165" i="3"/>
  <c r="J2164" i="3"/>
  <c r="I2164" i="3"/>
  <c r="H2164" i="3"/>
  <c r="G2164" i="3"/>
  <c r="F2164" i="3"/>
  <c r="D2164" i="3"/>
  <c r="C2164" i="3"/>
  <c r="B2164" i="3"/>
  <c r="A2164" i="3"/>
  <c r="J2163" i="3"/>
  <c r="I2163" i="3"/>
  <c r="H2163" i="3"/>
  <c r="G2163" i="3"/>
  <c r="F2163" i="3"/>
  <c r="D2163" i="3"/>
  <c r="C2163" i="3"/>
  <c r="B2163" i="3"/>
  <c r="A2163" i="3"/>
  <c r="J2162" i="3"/>
  <c r="I2162" i="3"/>
  <c r="H2162" i="3"/>
  <c r="G2162" i="3"/>
  <c r="F2162" i="3"/>
  <c r="D2162" i="3"/>
  <c r="C2162" i="3"/>
  <c r="B2162" i="3"/>
  <c r="A2162" i="3"/>
  <c r="J2161" i="3"/>
  <c r="I2161" i="3"/>
  <c r="H2161" i="3"/>
  <c r="G2161" i="3"/>
  <c r="F2161" i="3"/>
  <c r="D2161" i="3"/>
  <c r="C2161" i="3"/>
  <c r="B2161" i="3"/>
  <c r="A2161" i="3"/>
  <c r="J2160" i="3"/>
  <c r="I2160" i="3"/>
  <c r="H2160" i="3"/>
  <c r="G2160" i="3"/>
  <c r="F2160" i="3"/>
  <c r="D2160" i="3"/>
  <c r="C2160" i="3"/>
  <c r="B2160" i="3"/>
  <c r="A2160" i="3"/>
  <c r="J2159" i="3"/>
  <c r="I2159" i="3"/>
  <c r="H2159" i="3"/>
  <c r="G2159" i="3"/>
  <c r="F2159" i="3"/>
  <c r="D2159" i="3"/>
  <c r="C2159" i="3"/>
  <c r="B2159" i="3"/>
  <c r="A2159" i="3"/>
  <c r="J2158" i="3"/>
  <c r="I2158" i="3"/>
  <c r="H2158" i="3"/>
  <c r="G2158" i="3"/>
  <c r="F2158" i="3"/>
  <c r="D2158" i="3"/>
  <c r="C2158" i="3"/>
  <c r="B2158" i="3"/>
  <c r="A2158" i="3"/>
  <c r="J2157" i="3"/>
  <c r="I2157" i="3"/>
  <c r="H2157" i="3"/>
  <c r="G2157" i="3"/>
  <c r="F2157" i="3"/>
  <c r="D2157" i="3"/>
  <c r="C2157" i="3"/>
  <c r="B2157" i="3"/>
  <c r="A2157" i="3"/>
  <c r="J2156" i="3"/>
  <c r="I2156" i="3"/>
  <c r="H2156" i="3"/>
  <c r="G2156" i="3"/>
  <c r="F2156" i="3"/>
  <c r="D2156" i="3"/>
  <c r="C2156" i="3"/>
  <c r="B2156" i="3"/>
  <c r="A2156" i="3"/>
  <c r="J2155" i="3"/>
  <c r="I2155" i="3"/>
  <c r="H2155" i="3"/>
  <c r="G2155" i="3"/>
  <c r="F2155" i="3"/>
  <c r="D2155" i="3"/>
  <c r="C2155" i="3"/>
  <c r="B2155" i="3"/>
  <c r="A2155" i="3"/>
  <c r="J2154" i="3"/>
  <c r="I2154" i="3"/>
  <c r="H2154" i="3"/>
  <c r="G2154" i="3"/>
  <c r="F2154" i="3"/>
  <c r="D2154" i="3"/>
  <c r="C2154" i="3"/>
  <c r="B2154" i="3"/>
  <c r="A2154" i="3"/>
  <c r="J2153" i="3"/>
  <c r="I2153" i="3"/>
  <c r="H2153" i="3"/>
  <c r="G2153" i="3"/>
  <c r="F2153" i="3"/>
  <c r="D2153" i="3"/>
  <c r="C2153" i="3"/>
  <c r="B2153" i="3"/>
  <c r="A2153" i="3"/>
  <c r="J2152" i="3"/>
  <c r="I2152" i="3"/>
  <c r="H2152" i="3"/>
  <c r="G2152" i="3"/>
  <c r="F2152" i="3"/>
  <c r="D2152" i="3"/>
  <c r="C2152" i="3"/>
  <c r="B2152" i="3"/>
  <c r="A2152" i="3"/>
  <c r="J2151" i="3"/>
  <c r="I2151" i="3"/>
  <c r="H2151" i="3"/>
  <c r="G2151" i="3"/>
  <c r="F2151" i="3"/>
  <c r="D2151" i="3"/>
  <c r="C2151" i="3"/>
  <c r="B2151" i="3"/>
  <c r="A2151" i="3"/>
  <c r="J2150" i="3"/>
  <c r="I2150" i="3"/>
  <c r="H2150" i="3"/>
  <c r="G2150" i="3"/>
  <c r="F2150" i="3"/>
  <c r="D2150" i="3"/>
  <c r="C2150" i="3"/>
  <c r="B2150" i="3"/>
  <c r="A2150" i="3"/>
  <c r="J2149" i="3"/>
  <c r="I2149" i="3"/>
  <c r="H2149" i="3"/>
  <c r="G2149" i="3"/>
  <c r="F2149" i="3"/>
  <c r="D2149" i="3"/>
  <c r="C2149" i="3"/>
  <c r="B2149" i="3"/>
  <c r="A2149" i="3"/>
  <c r="J2148" i="3"/>
  <c r="I2148" i="3"/>
  <c r="H2148" i="3"/>
  <c r="G2148" i="3"/>
  <c r="F2148" i="3"/>
  <c r="D2148" i="3"/>
  <c r="C2148" i="3"/>
  <c r="B2148" i="3"/>
  <c r="A2148" i="3"/>
  <c r="J2147" i="3"/>
  <c r="I2147" i="3"/>
  <c r="H2147" i="3"/>
  <c r="G2147" i="3"/>
  <c r="F2147" i="3"/>
  <c r="D2147" i="3"/>
  <c r="C2147" i="3"/>
  <c r="B2147" i="3"/>
  <c r="A2147" i="3"/>
  <c r="J2146" i="3"/>
  <c r="I2146" i="3"/>
  <c r="H2146" i="3"/>
  <c r="G2146" i="3"/>
  <c r="F2146" i="3"/>
  <c r="D2146" i="3"/>
  <c r="C2146" i="3"/>
  <c r="B2146" i="3"/>
  <c r="A2146" i="3"/>
  <c r="J2145" i="3"/>
  <c r="I2145" i="3"/>
  <c r="H2145" i="3"/>
  <c r="G2145" i="3"/>
  <c r="F2145" i="3"/>
  <c r="D2145" i="3"/>
  <c r="C2145" i="3"/>
  <c r="B2145" i="3"/>
  <c r="A2145" i="3"/>
  <c r="J2144" i="3"/>
  <c r="I2144" i="3"/>
  <c r="H2144" i="3"/>
  <c r="G2144" i="3"/>
  <c r="F2144" i="3"/>
  <c r="D2144" i="3"/>
  <c r="C2144" i="3"/>
  <c r="B2144" i="3"/>
  <c r="A2144" i="3"/>
  <c r="J2143" i="3"/>
  <c r="I2143" i="3"/>
  <c r="H2143" i="3"/>
  <c r="G2143" i="3"/>
  <c r="F2143" i="3"/>
  <c r="D2143" i="3"/>
  <c r="C2143" i="3"/>
  <c r="B2143" i="3"/>
  <c r="A2143" i="3"/>
  <c r="J2142" i="3"/>
  <c r="I2142" i="3"/>
  <c r="H2142" i="3"/>
  <c r="G2142" i="3"/>
  <c r="F2142" i="3"/>
  <c r="D2142" i="3"/>
  <c r="C2142" i="3"/>
  <c r="B2142" i="3"/>
  <c r="A2142" i="3"/>
  <c r="J2141" i="3"/>
  <c r="I2141" i="3"/>
  <c r="H2141" i="3"/>
  <c r="G2141" i="3"/>
  <c r="F2141" i="3"/>
  <c r="D2141" i="3"/>
  <c r="C2141" i="3"/>
  <c r="B2141" i="3"/>
  <c r="A2141" i="3"/>
  <c r="J2140" i="3"/>
  <c r="I2140" i="3"/>
  <c r="H2140" i="3"/>
  <c r="G2140" i="3"/>
  <c r="F2140" i="3"/>
  <c r="D2140" i="3"/>
  <c r="C2140" i="3"/>
  <c r="B2140" i="3"/>
  <c r="A2140" i="3"/>
  <c r="J2139" i="3"/>
  <c r="I2139" i="3"/>
  <c r="H2139" i="3"/>
  <c r="G2139" i="3"/>
  <c r="F2139" i="3"/>
  <c r="D2139" i="3"/>
  <c r="C2139" i="3"/>
  <c r="B2139" i="3"/>
  <c r="A2139" i="3"/>
  <c r="J2138" i="3"/>
  <c r="I2138" i="3"/>
  <c r="H2138" i="3"/>
  <c r="G2138" i="3"/>
  <c r="F2138" i="3"/>
  <c r="D2138" i="3"/>
  <c r="C2138" i="3"/>
  <c r="B2138" i="3"/>
  <c r="A2138" i="3"/>
  <c r="J2137" i="3"/>
  <c r="I2137" i="3"/>
  <c r="H2137" i="3"/>
  <c r="G2137" i="3"/>
  <c r="F2137" i="3"/>
  <c r="D2137" i="3"/>
  <c r="C2137" i="3"/>
  <c r="B2137" i="3"/>
  <c r="A2137" i="3"/>
  <c r="J2136" i="3"/>
  <c r="I2136" i="3"/>
  <c r="H2136" i="3"/>
  <c r="G2136" i="3"/>
  <c r="F2136" i="3"/>
  <c r="D2136" i="3"/>
  <c r="C2136" i="3"/>
  <c r="B2136" i="3"/>
  <c r="A2136" i="3"/>
  <c r="J2135" i="3"/>
  <c r="I2135" i="3"/>
  <c r="H2135" i="3"/>
  <c r="G2135" i="3"/>
  <c r="F2135" i="3"/>
  <c r="D2135" i="3"/>
  <c r="C2135" i="3"/>
  <c r="B2135" i="3"/>
  <c r="A2135" i="3"/>
  <c r="J2134" i="3"/>
  <c r="I2134" i="3"/>
  <c r="H2134" i="3"/>
  <c r="G2134" i="3"/>
  <c r="F2134" i="3"/>
  <c r="D2134" i="3"/>
  <c r="C2134" i="3"/>
  <c r="B2134" i="3"/>
  <c r="A2134" i="3"/>
  <c r="J2133" i="3"/>
  <c r="I2133" i="3"/>
  <c r="H2133" i="3"/>
  <c r="G2133" i="3"/>
  <c r="F2133" i="3"/>
  <c r="D2133" i="3"/>
  <c r="C2133" i="3"/>
  <c r="B2133" i="3"/>
  <c r="A2133" i="3"/>
  <c r="J2132" i="3"/>
  <c r="I2132" i="3"/>
  <c r="H2132" i="3"/>
  <c r="G2132" i="3"/>
  <c r="F2132" i="3"/>
  <c r="D2132" i="3"/>
  <c r="C2132" i="3"/>
  <c r="B2132" i="3"/>
  <c r="A2132" i="3"/>
  <c r="J2131" i="3"/>
  <c r="I2131" i="3"/>
  <c r="H2131" i="3"/>
  <c r="G2131" i="3"/>
  <c r="F2131" i="3"/>
  <c r="D2131" i="3"/>
  <c r="C2131" i="3"/>
  <c r="B2131" i="3"/>
  <c r="A2131" i="3"/>
  <c r="J2130" i="3"/>
  <c r="I2130" i="3"/>
  <c r="H2130" i="3"/>
  <c r="G2130" i="3"/>
  <c r="F2130" i="3"/>
  <c r="D2130" i="3"/>
  <c r="C2130" i="3"/>
  <c r="B2130" i="3"/>
  <c r="A2130" i="3"/>
  <c r="J2129" i="3"/>
  <c r="I2129" i="3"/>
  <c r="H2129" i="3"/>
  <c r="G2129" i="3"/>
  <c r="F2129" i="3"/>
  <c r="D2129" i="3"/>
  <c r="C2129" i="3"/>
  <c r="B2129" i="3"/>
  <c r="A2129" i="3"/>
  <c r="J2128" i="3"/>
  <c r="I2128" i="3"/>
  <c r="H2128" i="3"/>
  <c r="G2128" i="3"/>
  <c r="F2128" i="3"/>
  <c r="D2128" i="3"/>
  <c r="C2128" i="3"/>
  <c r="B2128" i="3"/>
  <c r="A2128" i="3"/>
  <c r="J2127" i="3"/>
  <c r="I2127" i="3"/>
  <c r="H2127" i="3"/>
  <c r="G2127" i="3"/>
  <c r="F2127" i="3"/>
  <c r="D2127" i="3"/>
  <c r="C2127" i="3"/>
  <c r="B2127" i="3"/>
  <c r="A2127" i="3"/>
  <c r="J2126" i="3"/>
  <c r="I2126" i="3"/>
  <c r="H2126" i="3"/>
  <c r="G2126" i="3"/>
  <c r="F2126" i="3"/>
  <c r="D2126" i="3"/>
  <c r="C2126" i="3"/>
  <c r="B2126" i="3"/>
  <c r="A2126" i="3"/>
  <c r="J2125" i="3"/>
  <c r="I2125" i="3"/>
  <c r="H2125" i="3"/>
  <c r="G2125" i="3"/>
  <c r="F2125" i="3"/>
  <c r="D2125" i="3"/>
  <c r="C2125" i="3"/>
  <c r="B2125" i="3"/>
  <c r="A2125" i="3"/>
  <c r="J2124" i="3"/>
  <c r="I2124" i="3"/>
  <c r="H2124" i="3"/>
  <c r="G2124" i="3"/>
  <c r="F2124" i="3"/>
  <c r="D2124" i="3"/>
  <c r="C2124" i="3"/>
  <c r="B2124" i="3"/>
  <c r="A2124" i="3"/>
  <c r="J2123" i="3"/>
  <c r="I2123" i="3"/>
  <c r="H2123" i="3"/>
  <c r="G2123" i="3"/>
  <c r="F2123" i="3"/>
  <c r="D2123" i="3"/>
  <c r="C2123" i="3"/>
  <c r="B2123" i="3"/>
  <c r="A2123" i="3"/>
  <c r="J2122" i="3"/>
  <c r="I2122" i="3"/>
  <c r="H2122" i="3"/>
  <c r="G2122" i="3"/>
  <c r="F2122" i="3"/>
  <c r="D2122" i="3"/>
  <c r="C2122" i="3"/>
  <c r="B2122" i="3"/>
  <c r="A2122" i="3"/>
  <c r="J2121" i="3"/>
  <c r="I2121" i="3"/>
  <c r="H2121" i="3"/>
  <c r="G2121" i="3"/>
  <c r="F2121" i="3"/>
  <c r="D2121" i="3"/>
  <c r="C2121" i="3"/>
  <c r="B2121" i="3"/>
  <c r="A2121" i="3"/>
  <c r="J2120" i="3"/>
  <c r="I2120" i="3"/>
  <c r="H2120" i="3"/>
  <c r="G2120" i="3"/>
  <c r="F2120" i="3"/>
  <c r="D2120" i="3"/>
  <c r="C2120" i="3"/>
  <c r="B2120" i="3"/>
  <c r="A2120" i="3"/>
  <c r="J2119" i="3"/>
  <c r="I2119" i="3"/>
  <c r="H2119" i="3"/>
  <c r="G2119" i="3"/>
  <c r="F2119" i="3"/>
  <c r="D2119" i="3"/>
  <c r="C2119" i="3"/>
  <c r="B2119" i="3"/>
  <c r="A2119" i="3"/>
  <c r="J2118" i="3"/>
  <c r="I2118" i="3"/>
  <c r="H2118" i="3"/>
  <c r="G2118" i="3"/>
  <c r="F2118" i="3"/>
  <c r="D2118" i="3"/>
  <c r="C2118" i="3"/>
  <c r="B2118" i="3"/>
  <c r="A2118" i="3"/>
  <c r="J2117" i="3"/>
  <c r="I2117" i="3"/>
  <c r="H2117" i="3"/>
  <c r="G2117" i="3"/>
  <c r="F2117" i="3"/>
  <c r="D2117" i="3"/>
  <c r="C2117" i="3"/>
  <c r="B2117" i="3"/>
  <c r="A2117" i="3"/>
  <c r="J2116" i="3"/>
  <c r="I2116" i="3"/>
  <c r="H2116" i="3"/>
  <c r="G2116" i="3"/>
  <c r="F2116" i="3"/>
  <c r="D2116" i="3"/>
  <c r="C2116" i="3"/>
  <c r="B2116" i="3"/>
  <c r="A2116" i="3"/>
  <c r="J2115" i="3"/>
  <c r="I2115" i="3"/>
  <c r="H2115" i="3"/>
  <c r="G2115" i="3"/>
  <c r="F2115" i="3"/>
  <c r="D2115" i="3"/>
  <c r="C2115" i="3"/>
  <c r="B2115" i="3"/>
  <c r="A2115" i="3"/>
  <c r="J2114" i="3"/>
  <c r="I2114" i="3"/>
  <c r="H2114" i="3"/>
  <c r="G2114" i="3"/>
  <c r="F2114" i="3"/>
  <c r="D2114" i="3"/>
  <c r="C2114" i="3"/>
  <c r="B2114" i="3"/>
  <c r="A2114" i="3"/>
  <c r="J2113" i="3"/>
  <c r="I2113" i="3"/>
  <c r="H2113" i="3"/>
  <c r="G2113" i="3"/>
  <c r="F2113" i="3"/>
  <c r="D2113" i="3"/>
  <c r="C2113" i="3"/>
  <c r="B2113" i="3"/>
  <c r="A2113" i="3"/>
  <c r="J2112" i="3"/>
  <c r="I2112" i="3"/>
  <c r="H2112" i="3"/>
  <c r="G2112" i="3"/>
  <c r="F2112" i="3"/>
  <c r="D2112" i="3"/>
  <c r="C2112" i="3"/>
  <c r="B2112" i="3"/>
  <c r="A2112" i="3"/>
  <c r="J2111" i="3"/>
  <c r="I2111" i="3"/>
  <c r="H2111" i="3"/>
  <c r="G2111" i="3"/>
  <c r="F2111" i="3"/>
  <c r="D2111" i="3"/>
  <c r="C2111" i="3"/>
  <c r="B2111" i="3"/>
  <c r="A2111" i="3"/>
  <c r="J2110" i="3"/>
  <c r="I2110" i="3"/>
  <c r="H2110" i="3"/>
  <c r="G2110" i="3"/>
  <c r="F2110" i="3"/>
  <c r="D2110" i="3"/>
  <c r="C2110" i="3"/>
  <c r="B2110" i="3"/>
  <c r="A2110" i="3"/>
  <c r="J2109" i="3"/>
  <c r="I2109" i="3"/>
  <c r="H2109" i="3"/>
  <c r="G2109" i="3"/>
  <c r="F2109" i="3"/>
  <c r="D2109" i="3"/>
  <c r="C2109" i="3"/>
  <c r="B2109" i="3"/>
  <c r="A2109" i="3"/>
  <c r="J2108" i="3"/>
  <c r="I2108" i="3"/>
  <c r="H2108" i="3"/>
  <c r="G2108" i="3"/>
  <c r="F2108" i="3"/>
  <c r="D2108" i="3"/>
  <c r="C2108" i="3"/>
  <c r="B2108" i="3"/>
  <c r="A2108" i="3"/>
  <c r="J2107" i="3"/>
  <c r="I2107" i="3"/>
  <c r="H2107" i="3"/>
  <c r="G2107" i="3"/>
  <c r="F2107" i="3"/>
  <c r="D2107" i="3"/>
  <c r="C2107" i="3"/>
  <c r="B2107" i="3"/>
  <c r="A2107" i="3"/>
  <c r="J2106" i="3"/>
  <c r="I2106" i="3"/>
  <c r="H2106" i="3"/>
  <c r="G2106" i="3"/>
  <c r="F2106" i="3"/>
  <c r="D2106" i="3"/>
  <c r="C2106" i="3"/>
  <c r="B2106" i="3"/>
  <c r="A2106" i="3"/>
  <c r="J2105" i="3"/>
  <c r="I2105" i="3"/>
  <c r="H2105" i="3"/>
  <c r="G2105" i="3"/>
  <c r="F2105" i="3"/>
  <c r="D2105" i="3"/>
  <c r="C2105" i="3"/>
  <c r="B2105" i="3"/>
  <c r="A2105" i="3"/>
  <c r="J2104" i="3"/>
  <c r="I2104" i="3"/>
  <c r="H2104" i="3"/>
  <c r="G2104" i="3"/>
  <c r="F2104" i="3"/>
  <c r="D2104" i="3"/>
  <c r="C2104" i="3"/>
  <c r="B2104" i="3"/>
  <c r="A2104" i="3"/>
  <c r="J2103" i="3"/>
  <c r="I2103" i="3"/>
  <c r="H2103" i="3"/>
  <c r="G2103" i="3"/>
  <c r="F2103" i="3"/>
  <c r="D2103" i="3"/>
  <c r="C2103" i="3"/>
  <c r="B2103" i="3"/>
  <c r="A2103" i="3"/>
  <c r="J2102" i="3"/>
  <c r="I2102" i="3"/>
  <c r="H2102" i="3"/>
  <c r="G2102" i="3"/>
  <c r="F2102" i="3"/>
  <c r="D2102" i="3"/>
  <c r="C2102" i="3"/>
  <c r="B2102" i="3"/>
  <c r="A2102" i="3"/>
  <c r="J2101" i="3"/>
  <c r="I2101" i="3"/>
  <c r="H2101" i="3"/>
  <c r="G2101" i="3"/>
  <c r="F2101" i="3"/>
  <c r="D2101" i="3"/>
  <c r="C2101" i="3"/>
  <c r="B2101" i="3"/>
  <c r="A2101" i="3"/>
  <c r="J2100" i="3"/>
  <c r="I2100" i="3"/>
  <c r="H2100" i="3"/>
  <c r="G2100" i="3"/>
  <c r="F2100" i="3"/>
  <c r="D2100" i="3"/>
  <c r="C2100" i="3"/>
  <c r="B2100" i="3"/>
  <c r="A2100" i="3"/>
  <c r="J2099" i="3"/>
  <c r="I2099" i="3"/>
  <c r="H2099" i="3"/>
  <c r="G2099" i="3"/>
  <c r="F2099" i="3"/>
  <c r="D2099" i="3"/>
  <c r="C2099" i="3"/>
  <c r="B2099" i="3"/>
  <c r="A2099" i="3"/>
  <c r="J2098" i="3"/>
  <c r="I2098" i="3"/>
  <c r="H2098" i="3"/>
  <c r="G2098" i="3"/>
  <c r="F2098" i="3"/>
  <c r="D2098" i="3"/>
  <c r="C2098" i="3"/>
  <c r="B2098" i="3"/>
  <c r="A2098" i="3"/>
  <c r="J2097" i="3"/>
  <c r="I2097" i="3"/>
  <c r="H2097" i="3"/>
  <c r="G2097" i="3"/>
  <c r="F2097" i="3"/>
  <c r="D2097" i="3"/>
  <c r="C2097" i="3"/>
  <c r="B2097" i="3"/>
  <c r="A2097" i="3"/>
  <c r="J2096" i="3"/>
  <c r="I2096" i="3"/>
  <c r="H2096" i="3"/>
  <c r="G2096" i="3"/>
  <c r="F2096" i="3"/>
  <c r="D2096" i="3"/>
  <c r="C2096" i="3"/>
  <c r="B2096" i="3"/>
  <c r="A2096" i="3"/>
  <c r="J2095" i="3"/>
  <c r="I2095" i="3"/>
  <c r="H2095" i="3"/>
  <c r="G2095" i="3"/>
  <c r="F2095" i="3"/>
  <c r="D2095" i="3"/>
  <c r="C2095" i="3"/>
  <c r="B2095" i="3"/>
  <c r="A2095" i="3"/>
  <c r="J2094" i="3"/>
  <c r="I2094" i="3"/>
  <c r="H2094" i="3"/>
  <c r="G2094" i="3"/>
  <c r="F2094" i="3"/>
  <c r="D2094" i="3"/>
  <c r="C2094" i="3"/>
  <c r="B2094" i="3"/>
  <c r="A2094" i="3"/>
  <c r="J2093" i="3"/>
  <c r="I2093" i="3"/>
  <c r="H2093" i="3"/>
  <c r="G2093" i="3"/>
  <c r="F2093" i="3"/>
  <c r="D2093" i="3"/>
  <c r="C2093" i="3"/>
  <c r="B2093" i="3"/>
  <c r="A2093" i="3"/>
  <c r="J2092" i="3"/>
  <c r="I2092" i="3"/>
  <c r="H2092" i="3"/>
  <c r="G2092" i="3"/>
  <c r="F2092" i="3"/>
  <c r="D2092" i="3"/>
  <c r="C2092" i="3"/>
  <c r="B2092" i="3"/>
  <c r="A2092" i="3"/>
  <c r="J2091" i="3"/>
  <c r="I2091" i="3"/>
  <c r="H2091" i="3"/>
  <c r="G2091" i="3"/>
  <c r="F2091" i="3"/>
  <c r="D2091" i="3"/>
  <c r="C2091" i="3"/>
  <c r="B2091" i="3"/>
  <c r="A2091" i="3"/>
  <c r="J2090" i="3"/>
  <c r="I2090" i="3"/>
  <c r="H2090" i="3"/>
  <c r="G2090" i="3"/>
  <c r="F2090" i="3"/>
  <c r="D2090" i="3"/>
  <c r="C2090" i="3"/>
  <c r="B2090" i="3"/>
  <c r="A2090" i="3"/>
  <c r="J2089" i="3"/>
  <c r="I2089" i="3"/>
  <c r="H2089" i="3"/>
  <c r="G2089" i="3"/>
  <c r="F2089" i="3"/>
  <c r="D2089" i="3"/>
  <c r="C2089" i="3"/>
  <c r="B2089" i="3"/>
  <c r="A2089" i="3"/>
  <c r="J2088" i="3"/>
  <c r="I2088" i="3"/>
  <c r="H2088" i="3"/>
  <c r="G2088" i="3"/>
  <c r="F2088" i="3"/>
  <c r="D2088" i="3"/>
  <c r="C2088" i="3"/>
  <c r="B2088" i="3"/>
  <c r="A2088" i="3"/>
  <c r="J2087" i="3"/>
  <c r="I2087" i="3"/>
  <c r="H2087" i="3"/>
  <c r="G2087" i="3"/>
  <c r="F2087" i="3"/>
  <c r="D2087" i="3"/>
  <c r="C2087" i="3"/>
  <c r="B2087" i="3"/>
  <c r="A2087" i="3"/>
  <c r="J2086" i="3"/>
  <c r="I2086" i="3"/>
  <c r="H2086" i="3"/>
  <c r="G2086" i="3"/>
  <c r="F2086" i="3"/>
  <c r="D2086" i="3"/>
  <c r="C2086" i="3"/>
  <c r="B2086" i="3"/>
  <c r="A2086" i="3"/>
  <c r="J2085" i="3"/>
  <c r="I2085" i="3"/>
  <c r="H2085" i="3"/>
  <c r="G2085" i="3"/>
  <c r="F2085" i="3"/>
  <c r="D2085" i="3"/>
  <c r="C2085" i="3"/>
  <c r="B2085" i="3"/>
  <c r="A2085" i="3"/>
  <c r="J2084" i="3"/>
  <c r="I2084" i="3"/>
  <c r="H2084" i="3"/>
  <c r="G2084" i="3"/>
  <c r="F2084" i="3"/>
  <c r="D2084" i="3"/>
  <c r="C2084" i="3"/>
  <c r="B2084" i="3"/>
  <c r="A2084" i="3"/>
  <c r="J2083" i="3"/>
  <c r="I2083" i="3"/>
  <c r="H2083" i="3"/>
  <c r="G2083" i="3"/>
  <c r="F2083" i="3"/>
  <c r="D2083" i="3"/>
  <c r="C2083" i="3"/>
  <c r="B2083" i="3"/>
  <c r="A2083" i="3"/>
  <c r="J2082" i="3"/>
  <c r="I2082" i="3"/>
  <c r="H2082" i="3"/>
  <c r="G2082" i="3"/>
  <c r="F2082" i="3"/>
  <c r="D2082" i="3"/>
  <c r="C2082" i="3"/>
  <c r="B2082" i="3"/>
  <c r="A2082" i="3"/>
  <c r="J2081" i="3"/>
  <c r="I2081" i="3"/>
  <c r="H2081" i="3"/>
  <c r="G2081" i="3"/>
  <c r="F2081" i="3"/>
  <c r="D2081" i="3"/>
  <c r="C2081" i="3"/>
  <c r="B2081" i="3"/>
  <c r="A2081" i="3"/>
  <c r="J2080" i="3"/>
  <c r="I2080" i="3"/>
  <c r="H2080" i="3"/>
  <c r="G2080" i="3"/>
  <c r="F2080" i="3"/>
  <c r="D2080" i="3"/>
  <c r="C2080" i="3"/>
  <c r="B2080" i="3"/>
  <c r="A2080" i="3"/>
  <c r="J2079" i="3"/>
  <c r="I2079" i="3"/>
  <c r="H2079" i="3"/>
  <c r="G2079" i="3"/>
  <c r="F2079" i="3"/>
  <c r="D2079" i="3"/>
  <c r="C2079" i="3"/>
  <c r="B2079" i="3"/>
  <c r="A2079" i="3"/>
  <c r="J2078" i="3"/>
  <c r="I2078" i="3"/>
  <c r="H2078" i="3"/>
  <c r="G2078" i="3"/>
  <c r="F2078" i="3"/>
  <c r="D2078" i="3"/>
  <c r="C2078" i="3"/>
  <c r="B2078" i="3"/>
  <c r="A2078" i="3"/>
  <c r="J2077" i="3"/>
  <c r="I2077" i="3"/>
  <c r="H2077" i="3"/>
  <c r="G2077" i="3"/>
  <c r="F2077" i="3"/>
  <c r="D2077" i="3"/>
  <c r="C2077" i="3"/>
  <c r="B2077" i="3"/>
  <c r="A2077" i="3"/>
  <c r="J2076" i="3"/>
  <c r="I2076" i="3"/>
  <c r="H2076" i="3"/>
  <c r="G2076" i="3"/>
  <c r="F2076" i="3"/>
  <c r="D2076" i="3"/>
  <c r="C2076" i="3"/>
  <c r="B2076" i="3"/>
  <c r="A2076" i="3"/>
  <c r="J2075" i="3"/>
  <c r="I2075" i="3"/>
  <c r="H2075" i="3"/>
  <c r="G2075" i="3"/>
  <c r="F2075" i="3"/>
  <c r="D2075" i="3"/>
  <c r="C2075" i="3"/>
  <c r="B2075" i="3"/>
  <c r="A2075" i="3"/>
  <c r="J2074" i="3"/>
  <c r="I2074" i="3"/>
  <c r="H2074" i="3"/>
  <c r="G2074" i="3"/>
  <c r="F2074" i="3"/>
  <c r="D2074" i="3"/>
  <c r="C2074" i="3"/>
  <c r="B2074" i="3"/>
  <c r="A2074" i="3"/>
  <c r="J2073" i="3"/>
  <c r="I2073" i="3"/>
  <c r="H2073" i="3"/>
  <c r="G2073" i="3"/>
  <c r="F2073" i="3"/>
  <c r="D2073" i="3"/>
  <c r="C2073" i="3"/>
  <c r="B2073" i="3"/>
  <c r="A2073" i="3"/>
  <c r="J2072" i="3"/>
  <c r="I2072" i="3"/>
  <c r="H2072" i="3"/>
  <c r="G2072" i="3"/>
  <c r="F2072" i="3"/>
  <c r="D2072" i="3"/>
  <c r="C2072" i="3"/>
  <c r="B2072" i="3"/>
  <c r="A2072" i="3"/>
  <c r="J2071" i="3"/>
  <c r="I2071" i="3"/>
  <c r="H2071" i="3"/>
  <c r="G2071" i="3"/>
  <c r="F2071" i="3"/>
  <c r="D2071" i="3"/>
  <c r="C2071" i="3"/>
  <c r="B2071" i="3"/>
  <c r="A2071" i="3"/>
  <c r="J2070" i="3"/>
  <c r="I2070" i="3"/>
  <c r="H2070" i="3"/>
  <c r="G2070" i="3"/>
  <c r="F2070" i="3"/>
  <c r="D2070" i="3"/>
  <c r="C2070" i="3"/>
  <c r="B2070" i="3"/>
  <c r="A2070" i="3"/>
  <c r="J2069" i="3"/>
  <c r="I2069" i="3"/>
  <c r="H2069" i="3"/>
  <c r="G2069" i="3"/>
  <c r="F2069" i="3"/>
  <c r="D2069" i="3"/>
  <c r="C2069" i="3"/>
  <c r="B2069" i="3"/>
  <c r="A2069" i="3"/>
  <c r="J2068" i="3"/>
  <c r="I2068" i="3"/>
  <c r="H2068" i="3"/>
  <c r="G2068" i="3"/>
  <c r="F2068" i="3"/>
  <c r="D2068" i="3"/>
  <c r="C2068" i="3"/>
  <c r="B2068" i="3"/>
  <c r="A2068" i="3"/>
  <c r="J2067" i="3"/>
  <c r="I2067" i="3"/>
  <c r="H2067" i="3"/>
  <c r="G2067" i="3"/>
  <c r="F2067" i="3"/>
  <c r="D2067" i="3"/>
  <c r="C2067" i="3"/>
  <c r="B2067" i="3"/>
  <c r="A2067" i="3"/>
  <c r="J2066" i="3"/>
  <c r="I2066" i="3"/>
  <c r="H2066" i="3"/>
  <c r="G2066" i="3"/>
  <c r="F2066" i="3"/>
  <c r="D2066" i="3"/>
  <c r="C2066" i="3"/>
  <c r="B2066" i="3"/>
  <c r="A2066" i="3"/>
  <c r="J2065" i="3"/>
  <c r="I2065" i="3"/>
  <c r="H2065" i="3"/>
  <c r="G2065" i="3"/>
  <c r="F2065" i="3"/>
  <c r="D2065" i="3"/>
  <c r="C2065" i="3"/>
  <c r="B2065" i="3"/>
  <c r="A2065" i="3"/>
  <c r="J2064" i="3"/>
  <c r="I2064" i="3"/>
  <c r="H2064" i="3"/>
  <c r="G2064" i="3"/>
  <c r="F2064" i="3"/>
  <c r="D2064" i="3"/>
  <c r="C2064" i="3"/>
  <c r="B2064" i="3"/>
  <c r="A2064" i="3"/>
  <c r="J2063" i="3"/>
  <c r="I2063" i="3"/>
  <c r="H2063" i="3"/>
  <c r="G2063" i="3"/>
  <c r="F2063" i="3"/>
  <c r="D2063" i="3"/>
  <c r="C2063" i="3"/>
  <c r="B2063" i="3"/>
  <c r="A2063" i="3"/>
  <c r="J2062" i="3"/>
  <c r="I2062" i="3"/>
  <c r="H2062" i="3"/>
  <c r="G2062" i="3"/>
  <c r="F2062" i="3"/>
  <c r="D2062" i="3"/>
  <c r="C2062" i="3"/>
  <c r="B2062" i="3"/>
  <c r="A2062" i="3"/>
  <c r="J2061" i="3"/>
  <c r="I2061" i="3"/>
  <c r="H2061" i="3"/>
  <c r="G2061" i="3"/>
  <c r="F2061" i="3"/>
  <c r="D2061" i="3"/>
  <c r="C2061" i="3"/>
  <c r="B2061" i="3"/>
  <c r="A2061" i="3"/>
  <c r="J2060" i="3"/>
  <c r="I2060" i="3"/>
  <c r="H2060" i="3"/>
  <c r="G2060" i="3"/>
  <c r="F2060" i="3"/>
  <c r="D2060" i="3"/>
  <c r="C2060" i="3"/>
  <c r="B2060" i="3"/>
  <c r="A2060" i="3"/>
  <c r="J2059" i="3"/>
  <c r="I2059" i="3"/>
  <c r="H2059" i="3"/>
  <c r="G2059" i="3"/>
  <c r="F2059" i="3"/>
  <c r="D2059" i="3"/>
  <c r="C2059" i="3"/>
  <c r="B2059" i="3"/>
  <c r="A2059" i="3"/>
  <c r="J2058" i="3"/>
  <c r="I2058" i="3"/>
  <c r="H2058" i="3"/>
  <c r="G2058" i="3"/>
  <c r="F2058" i="3"/>
  <c r="D2058" i="3"/>
  <c r="C2058" i="3"/>
  <c r="B2058" i="3"/>
  <c r="A2058" i="3"/>
  <c r="J2057" i="3"/>
  <c r="I2057" i="3"/>
  <c r="H2057" i="3"/>
  <c r="G2057" i="3"/>
  <c r="F2057" i="3"/>
  <c r="D2057" i="3"/>
  <c r="C2057" i="3"/>
  <c r="B2057" i="3"/>
  <c r="A2057" i="3"/>
  <c r="J2056" i="3"/>
  <c r="I2056" i="3"/>
  <c r="H2056" i="3"/>
  <c r="G2056" i="3"/>
  <c r="F2056" i="3"/>
  <c r="D2056" i="3"/>
  <c r="C2056" i="3"/>
  <c r="B2056" i="3"/>
  <c r="A2056" i="3"/>
  <c r="J2055" i="3"/>
  <c r="I2055" i="3"/>
  <c r="H2055" i="3"/>
  <c r="G2055" i="3"/>
  <c r="F2055" i="3"/>
  <c r="D2055" i="3"/>
  <c r="C2055" i="3"/>
  <c r="B2055" i="3"/>
  <c r="A2055" i="3"/>
  <c r="J2054" i="3"/>
  <c r="I2054" i="3"/>
  <c r="H2054" i="3"/>
  <c r="G2054" i="3"/>
  <c r="F2054" i="3"/>
  <c r="D2054" i="3"/>
  <c r="C2054" i="3"/>
  <c r="B2054" i="3"/>
  <c r="A2054" i="3"/>
  <c r="J2053" i="3"/>
  <c r="I2053" i="3"/>
  <c r="H2053" i="3"/>
  <c r="G2053" i="3"/>
  <c r="F2053" i="3"/>
  <c r="D2053" i="3"/>
  <c r="C2053" i="3"/>
  <c r="B2053" i="3"/>
  <c r="A2053" i="3"/>
  <c r="J2052" i="3"/>
  <c r="I2052" i="3"/>
  <c r="H2052" i="3"/>
  <c r="G2052" i="3"/>
  <c r="F2052" i="3"/>
  <c r="D2052" i="3"/>
  <c r="C2052" i="3"/>
  <c r="B2052" i="3"/>
  <c r="A2052" i="3"/>
  <c r="J2051" i="3"/>
  <c r="I2051" i="3"/>
  <c r="H2051" i="3"/>
  <c r="G2051" i="3"/>
  <c r="F2051" i="3"/>
  <c r="D2051" i="3"/>
  <c r="C2051" i="3"/>
  <c r="B2051" i="3"/>
  <c r="A2051" i="3"/>
  <c r="J2050" i="3"/>
  <c r="I2050" i="3"/>
  <c r="H2050" i="3"/>
  <c r="G2050" i="3"/>
  <c r="F2050" i="3"/>
  <c r="D2050" i="3"/>
  <c r="C2050" i="3"/>
  <c r="B2050" i="3"/>
  <c r="A2050" i="3"/>
  <c r="J2049" i="3"/>
  <c r="I2049" i="3"/>
  <c r="H2049" i="3"/>
  <c r="G2049" i="3"/>
  <c r="F2049" i="3"/>
  <c r="D2049" i="3"/>
  <c r="C2049" i="3"/>
  <c r="B2049" i="3"/>
  <c r="A2049" i="3"/>
  <c r="J2048" i="3"/>
  <c r="I2048" i="3"/>
  <c r="H2048" i="3"/>
  <c r="G2048" i="3"/>
  <c r="F2048" i="3"/>
  <c r="D2048" i="3"/>
  <c r="C2048" i="3"/>
  <c r="B2048" i="3"/>
  <c r="A2048" i="3"/>
  <c r="J2047" i="3"/>
  <c r="I2047" i="3"/>
  <c r="H2047" i="3"/>
  <c r="G2047" i="3"/>
  <c r="F2047" i="3"/>
  <c r="D2047" i="3"/>
  <c r="C2047" i="3"/>
  <c r="B2047" i="3"/>
  <c r="A2047" i="3"/>
  <c r="J2046" i="3"/>
  <c r="I2046" i="3"/>
  <c r="H2046" i="3"/>
  <c r="G2046" i="3"/>
  <c r="F2046" i="3"/>
  <c r="D2046" i="3"/>
  <c r="C2046" i="3"/>
  <c r="B2046" i="3"/>
  <c r="A2046" i="3"/>
  <c r="J2045" i="3"/>
  <c r="I2045" i="3"/>
  <c r="H2045" i="3"/>
  <c r="G2045" i="3"/>
  <c r="F2045" i="3"/>
  <c r="D2045" i="3"/>
  <c r="C2045" i="3"/>
  <c r="B2045" i="3"/>
  <c r="A2045" i="3"/>
  <c r="J2044" i="3"/>
  <c r="I2044" i="3"/>
  <c r="H2044" i="3"/>
  <c r="G2044" i="3"/>
  <c r="F2044" i="3"/>
  <c r="D2044" i="3"/>
  <c r="C2044" i="3"/>
  <c r="B2044" i="3"/>
  <c r="A2044" i="3"/>
  <c r="J2043" i="3"/>
  <c r="I2043" i="3"/>
  <c r="H2043" i="3"/>
  <c r="G2043" i="3"/>
  <c r="F2043" i="3"/>
  <c r="D2043" i="3"/>
  <c r="C2043" i="3"/>
  <c r="B2043" i="3"/>
  <c r="A2043" i="3"/>
  <c r="J2042" i="3"/>
  <c r="I2042" i="3"/>
  <c r="H2042" i="3"/>
  <c r="G2042" i="3"/>
  <c r="F2042" i="3"/>
  <c r="D2042" i="3"/>
  <c r="C2042" i="3"/>
  <c r="B2042" i="3"/>
  <c r="A2042" i="3"/>
  <c r="J2041" i="3"/>
  <c r="I2041" i="3"/>
  <c r="H2041" i="3"/>
  <c r="G2041" i="3"/>
  <c r="F2041" i="3"/>
  <c r="D2041" i="3"/>
  <c r="C2041" i="3"/>
  <c r="B2041" i="3"/>
  <c r="A2041" i="3"/>
  <c r="J2040" i="3"/>
  <c r="I2040" i="3"/>
  <c r="H2040" i="3"/>
  <c r="G2040" i="3"/>
  <c r="F2040" i="3"/>
  <c r="D2040" i="3"/>
  <c r="C2040" i="3"/>
  <c r="B2040" i="3"/>
  <c r="A2040" i="3"/>
  <c r="J2039" i="3"/>
  <c r="I2039" i="3"/>
  <c r="H2039" i="3"/>
  <c r="G2039" i="3"/>
  <c r="F2039" i="3"/>
  <c r="D2039" i="3"/>
  <c r="C2039" i="3"/>
  <c r="B2039" i="3"/>
  <c r="A2039" i="3"/>
  <c r="J2038" i="3"/>
  <c r="I2038" i="3"/>
  <c r="H2038" i="3"/>
  <c r="G2038" i="3"/>
  <c r="F2038" i="3"/>
  <c r="D2038" i="3"/>
  <c r="C2038" i="3"/>
  <c r="B2038" i="3"/>
  <c r="A2038" i="3"/>
  <c r="J2037" i="3"/>
  <c r="I2037" i="3"/>
  <c r="H2037" i="3"/>
  <c r="G2037" i="3"/>
  <c r="F2037" i="3"/>
  <c r="D2037" i="3"/>
  <c r="C2037" i="3"/>
  <c r="B2037" i="3"/>
  <c r="A2037" i="3"/>
  <c r="J2036" i="3"/>
  <c r="I2036" i="3"/>
  <c r="H2036" i="3"/>
  <c r="G2036" i="3"/>
  <c r="F2036" i="3"/>
  <c r="D2036" i="3"/>
  <c r="C2036" i="3"/>
  <c r="B2036" i="3"/>
  <c r="A2036" i="3"/>
  <c r="J2035" i="3"/>
  <c r="I2035" i="3"/>
  <c r="H2035" i="3"/>
  <c r="G2035" i="3"/>
  <c r="F2035" i="3"/>
  <c r="D2035" i="3"/>
  <c r="C2035" i="3"/>
  <c r="B2035" i="3"/>
  <c r="A2035" i="3"/>
  <c r="J2034" i="3"/>
  <c r="I2034" i="3"/>
  <c r="H2034" i="3"/>
  <c r="G2034" i="3"/>
  <c r="F2034" i="3"/>
  <c r="D2034" i="3"/>
  <c r="C2034" i="3"/>
  <c r="B2034" i="3"/>
  <c r="A2034" i="3"/>
  <c r="J2033" i="3"/>
  <c r="I2033" i="3"/>
  <c r="H2033" i="3"/>
  <c r="G2033" i="3"/>
  <c r="F2033" i="3"/>
  <c r="D2033" i="3"/>
  <c r="C2033" i="3"/>
  <c r="B2033" i="3"/>
  <c r="A2033" i="3"/>
  <c r="J2032" i="3"/>
  <c r="I2032" i="3"/>
  <c r="H2032" i="3"/>
  <c r="G2032" i="3"/>
  <c r="F2032" i="3"/>
  <c r="D2032" i="3"/>
  <c r="C2032" i="3"/>
  <c r="B2032" i="3"/>
  <c r="A2032" i="3"/>
  <c r="J2031" i="3"/>
  <c r="I2031" i="3"/>
  <c r="H2031" i="3"/>
  <c r="G2031" i="3"/>
  <c r="F2031" i="3"/>
  <c r="D2031" i="3"/>
  <c r="C2031" i="3"/>
  <c r="B2031" i="3"/>
  <c r="A2031" i="3"/>
  <c r="J2030" i="3"/>
  <c r="I2030" i="3"/>
  <c r="H2030" i="3"/>
  <c r="G2030" i="3"/>
  <c r="F2030" i="3"/>
  <c r="D2030" i="3"/>
  <c r="C2030" i="3"/>
  <c r="B2030" i="3"/>
  <c r="A2030" i="3"/>
  <c r="J2029" i="3"/>
  <c r="I2029" i="3"/>
  <c r="H2029" i="3"/>
  <c r="G2029" i="3"/>
  <c r="F2029" i="3"/>
  <c r="D2029" i="3"/>
  <c r="C2029" i="3"/>
  <c r="B2029" i="3"/>
  <c r="A2029" i="3"/>
  <c r="J2028" i="3"/>
  <c r="I2028" i="3"/>
  <c r="H2028" i="3"/>
  <c r="G2028" i="3"/>
  <c r="F2028" i="3"/>
  <c r="D2028" i="3"/>
  <c r="C2028" i="3"/>
  <c r="B2028" i="3"/>
  <c r="A2028" i="3"/>
  <c r="J2027" i="3"/>
  <c r="I2027" i="3"/>
  <c r="H2027" i="3"/>
  <c r="G2027" i="3"/>
  <c r="F2027" i="3"/>
  <c r="D2027" i="3"/>
  <c r="C2027" i="3"/>
  <c r="B2027" i="3"/>
  <c r="A2027" i="3"/>
  <c r="J2026" i="3"/>
  <c r="I2026" i="3"/>
  <c r="H2026" i="3"/>
  <c r="G2026" i="3"/>
  <c r="F2026" i="3"/>
  <c r="D2026" i="3"/>
  <c r="C2026" i="3"/>
  <c r="B2026" i="3"/>
  <c r="A2026" i="3"/>
  <c r="J2025" i="3"/>
  <c r="I2025" i="3"/>
  <c r="H2025" i="3"/>
  <c r="G2025" i="3"/>
  <c r="F2025" i="3"/>
  <c r="D2025" i="3"/>
  <c r="C2025" i="3"/>
  <c r="B2025" i="3"/>
  <c r="A2025" i="3"/>
  <c r="J2024" i="3"/>
  <c r="I2024" i="3"/>
  <c r="H2024" i="3"/>
  <c r="G2024" i="3"/>
  <c r="F2024" i="3"/>
  <c r="D2024" i="3"/>
  <c r="C2024" i="3"/>
  <c r="B2024" i="3"/>
  <c r="A2024" i="3"/>
  <c r="J2023" i="3"/>
  <c r="I2023" i="3"/>
  <c r="H2023" i="3"/>
  <c r="G2023" i="3"/>
  <c r="F2023" i="3"/>
  <c r="D2023" i="3"/>
  <c r="C2023" i="3"/>
  <c r="B2023" i="3"/>
  <c r="A2023" i="3"/>
  <c r="J2022" i="3"/>
  <c r="I2022" i="3"/>
  <c r="H2022" i="3"/>
  <c r="G2022" i="3"/>
  <c r="F2022" i="3"/>
  <c r="D2022" i="3"/>
  <c r="C2022" i="3"/>
  <c r="B2022" i="3"/>
  <c r="A2022" i="3"/>
  <c r="J2021" i="3"/>
  <c r="I2021" i="3"/>
  <c r="H2021" i="3"/>
  <c r="G2021" i="3"/>
  <c r="F2021" i="3"/>
  <c r="D2021" i="3"/>
  <c r="C2021" i="3"/>
  <c r="B2021" i="3"/>
  <c r="A2021" i="3"/>
  <c r="J2020" i="3"/>
  <c r="I2020" i="3"/>
  <c r="H2020" i="3"/>
  <c r="G2020" i="3"/>
  <c r="F2020" i="3"/>
  <c r="D2020" i="3"/>
  <c r="C2020" i="3"/>
  <c r="B2020" i="3"/>
  <c r="A2020" i="3"/>
  <c r="J2019" i="3"/>
  <c r="I2019" i="3"/>
  <c r="H2019" i="3"/>
  <c r="G2019" i="3"/>
  <c r="F2019" i="3"/>
  <c r="D2019" i="3"/>
  <c r="C2019" i="3"/>
  <c r="B2019" i="3"/>
  <c r="A2019" i="3"/>
  <c r="J2018" i="3"/>
  <c r="I2018" i="3"/>
  <c r="H2018" i="3"/>
  <c r="G2018" i="3"/>
  <c r="F2018" i="3"/>
  <c r="D2018" i="3"/>
  <c r="C2018" i="3"/>
  <c r="B2018" i="3"/>
  <c r="A2018" i="3"/>
  <c r="J2017" i="3"/>
  <c r="I2017" i="3"/>
  <c r="H2017" i="3"/>
  <c r="G2017" i="3"/>
  <c r="F2017" i="3"/>
  <c r="D2017" i="3"/>
  <c r="C2017" i="3"/>
  <c r="B2017" i="3"/>
  <c r="A2017" i="3"/>
  <c r="J2016" i="3"/>
  <c r="I2016" i="3"/>
  <c r="H2016" i="3"/>
  <c r="G2016" i="3"/>
  <c r="F2016" i="3"/>
  <c r="D2016" i="3"/>
  <c r="C2016" i="3"/>
  <c r="B2016" i="3"/>
  <c r="A2016" i="3"/>
  <c r="J2015" i="3"/>
  <c r="I2015" i="3"/>
  <c r="H2015" i="3"/>
  <c r="G2015" i="3"/>
  <c r="F2015" i="3"/>
  <c r="D2015" i="3"/>
  <c r="C2015" i="3"/>
  <c r="B2015" i="3"/>
  <c r="A2015" i="3"/>
  <c r="J2014" i="3"/>
  <c r="I2014" i="3"/>
  <c r="H2014" i="3"/>
  <c r="G2014" i="3"/>
  <c r="F2014" i="3"/>
  <c r="D2014" i="3"/>
  <c r="C2014" i="3"/>
  <c r="B2014" i="3"/>
  <c r="A2014" i="3"/>
  <c r="J2013" i="3"/>
  <c r="I2013" i="3"/>
  <c r="H2013" i="3"/>
  <c r="G2013" i="3"/>
  <c r="F2013" i="3"/>
  <c r="D2013" i="3"/>
  <c r="C2013" i="3"/>
  <c r="B2013" i="3"/>
  <c r="A2013" i="3"/>
  <c r="J2012" i="3"/>
  <c r="I2012" i="3"/>
  <c r="H2012" i="3"/>
  <c r="G2012" i="3"/>
  <c r="F2012" i="3"/>
  <c r="D2012" i="3"/>
  <c r="C2012" i="3"/>
  <c r="B2012" i="3"/>
  <c r="A2012" i="3"/>
  <c r="J2011" i="3"/>
  <c r="I2011" i="3"/>
  <c r="H2011" i="3"/>
  <c r="G2011" i="3"/>
  <c r="F2011" i="3"/>
  <c r="D2011" i="3"/>
  <c r="C2011" i="3"/>
  <c r="B2011" i="3"/>
  <c r="A2011" i="3"/>
  <c r="J2010" i="3"/>
  <c r="I2010" i="3"/>
  <c r="H2010" i="3"/>
  <c r="G2010" i="3"/>
  <c r="F2010" i="3"/>
  <c r="D2010" i="3"/>
  <c r="C2010" i="3"/>
  <c r="B2010" i="3"/>
  <c r="A2010" i="3"/>
  <c r="J2009" i="3"/>
  <c r="I2009" i="3"/>
  <c r="H2009" i="3"/>
  <c r="G2009" i="3"/>
  <c r="F2009" i="3"/>
  <c r="D2009" i="3"/>
  <c r="C2009" i="3"/>
  <c r="B2009" i="3"/>
  <c r="A2009" i="3"/>
  <c r="J2008" i="3"/>
  <c r="I2008" i="3"/>
  <c r="H2008" i="3"/>
  <c r="G2008" i="3"/>
  <c r="F2008" i="3"/>
  <c r="D2008" i="3"/>
  <c r="C2008" i="3"/>
  <c r="B2008" i="3"/>
  <c r="A2008" i="3"/>
  <c r="J2007" i="3"/>
  <c r="I2007" i="3"/>
  <c r="H2007" i="3"/>
  <c r="G2007" i="3"/>
  <c r="F2007" i="3"/>
  <c r="D2007" i="3"/>
  <c r="C2007" i="3"/>
  <c r="B2007" i="3"/>
  <c r="A2007" i="3"/>
  <c r="J2006" i="3"/>
  <c r="I2006" i="3"/>
  <c r="H2006" i="3"/>
  <c r="G2006" i="3"/>
  <c r="F2006" i="3"/>
  <c r="D2006" i="3"/>
  <c r="C2006" i="3"/>
  <c r="B2006" i="3"/>
  <c r="A2006" i="3"/>
  <c r="J2005" i="3"/>
  <c r="I2005" i="3"/>
  <c r="H2005" i="3"/>
  <c r="G2005" i="3"/>
  <c r="F2005" i="3"/>
  <c r="D2005" i="3"/>
  <c r="C2005" i="3"/>
  <c r="B2005" i="3"/>
  <c r="A2005" i="3"/>
  <c r="J2004" i="3"/>
  <c r="I2004" i="3"/>
  <c r="H2004" i="3"/>
  <c r="G2004" i="3"/>
  <c r="F2004" i="3"/>
  <c r="D2004" i="3"/>
  <c r="C2004" i="3"/>
  <c r="B2004" i="3"/>
  <c r="A2004" i="3"/>
  <c r="J2003" i="3"/>
  <c r="I2003" i="3"/>
  <c r="H2003" i="3"/>
  <c r="G2003" i="3"/>
  <c r="F2003" i="3"/>
  <c r="D2003" i="3"/>
  <c r="C2003" i="3"/>
  <c r="B2003" i="3"/>
  <c r="A2003" i="3"/>
  <c r="J2002" i="3"/>
  <c r="I2002" i="3"/>
  <c r="H2002" i="3"/>
  <c r="G2002" i="3"/>
  <c r="F2002" i="3"/>
  <c r="D2002" i="3"/>
  <c r="C2002" i="3"/>
  <c r="B2002" i="3"/>
  <c r="A2002" i="3"/>
  <c r="J2001" i="3"/>
  <c r="I2001" i="3"/>
  <c r="H2001" i="3"/>
  <c r="G2001" i="3"/>
  <c r="F2001" i="3"/>
  <c r="D2001" i="3"/>
  <c r="C2001" i="3"/>
  <c r="B2001" i="3"/>
  <c r="A2001" i="3"/>
  <c r="J2000" i="3"/>
  <c r="I2000" i="3"/>
  <c r="H2000" i="3"/>
  <c r="G2000" i="3"/>
  <c r="F2000" i="3"/>
  <c r="D2000" i="3"/>
  <c r="C2000" i="3"/>
  <c r="B2000" i="3"/>
  <c r="A2000" i="3"/>
  <c r="J1999" i="3"/>
  <c r="I1999" i="3"/>
  <c r="H1999" i="3"/>
  <c r="G1999" i="3"/>
  <c r="F1999" i="3"/>
  <c r="D1999" i="3"/>
  <c r="C1999" i="3"/>
  <c r="B1999" i="3"/>
  <c r="A1999" i="3"/>
  <c r="J1998" i="3"/>
  <c r="I1998" i="3"/>
  <c r="H1998" i="3"/>
  <c r="G1998" i="3"/>
  <c r="F1998" i="3"/>
  <c r="D1998" i="3"/>
  <c r="C1998" i="3"/>
  <c r="B1998" i="3"/>
  <c r="A1998" i="3"/>
  <c r="J1997" i="3"/>
  <c r="I1997" i="3"/>
  <c r="H1997" i="3"/>
  <c r="G1997" i="3"/>
  <c r="F1997" i="3"/>
  <c r="D1997" i="3"/>
  <c r="C1997" i="3"/>
  <c r="B1997" i="3"/>
  <c r="A1997" i="3"/>
  <c r="J1996" i="3"/>
  <c r="I1996" i="3"/>
  <c r="H1996" i="3"/>
  <c r="G1996" i="3"/>
  <c r="F1996" i="3"/>
  <c r="D1996" i="3"/>
  <c r="C1996" i="3"/>
  <c r="B1996" i="3"/>
  <c r="A1996" i="3"/>
  <c r="J1995" i="3"/>
  <c r="I1995" i="3"/>
  <c r="H1995" i="3"/>
  <c r="G1995" i="3"/>
  <c r="F1995" i="3"/>
  <c r="D1995" i="3"/>
  <c r="C1995" i="3"/>
  <c r="B1995" i="3"/>
  <c r="A1995" i="3"/>
  <c r="J1994" i="3"/>
  <c r="I1994" i="3"/>
  <c r="H1994" i="3"/>
  <c r="G1994" i="3"/>
  <c r="F1994" i="3"/>
  <c r="D1994" i="3"/>
  <c r="C1994" i="3"/>
  <c r="B1994" i="3"/>
  <c r="A1994" i="3"/>
  <c r="J1993" i="3"/>
  <c r="I1993" i="3"/>
  <c r="H1993" i="3"/>
  <c r="G1993" i="3"/>
  <c r="F1993" i="3"/>
  <c r="D1993" i="3"/>
  <c r="C1993" i="3"/>
  <c r="B1993" i="3"/>
  <c r="A1993" i="3"/>
  <c r="J1992" i="3"/>
  <c r="I1992" i="3"/>
  <c r="H1992" i="3"/>
  <c r="G1992" i="3"/>
  <c r="F1992" i="3"/>
  <c r="D1992" i="3"/>
  <c r="C1992" i="3"/>
  <c r="B1992" i="3"/>
  <c r="A1992" i="3"/>
  <c r="J1991" i="3"/>
  <c r="I1991" i="3"/>
  <c r="H1991" i="3"/>
  <c r="G1991" i="3"/>
  <c r="F1991" i="3"/>
  <c r="D1991" i="3"/>
  <c r="C1991" i="3"/>
  <c r="B1991" i="3"/>
  <c r="A1991" i="3"/>
  <c r="J1990" i="3"/>
  <c r="I1990" i="3"/>
  <c r="H1990" i="3"/>
  <c r="G1990" i="3"/>
  <c r="F1990" i="3"/>
  <c r="D1990" i="3"/>
  <c r="C1990" i="3"/>
  <c r="B1990" i="3"/>
  <c r="A1990" i="3"/>
  <c r="J1989" i="3"/>
  <c r="I1989" i="3"/>
  <c r="H1989" i="3"/>
  <c r="G1989" i="3"/>
  <c r="F1989" i="3"/>
  <c r="D1989" i="3"/>
  <c r="C1989" i="3"/>
  <c r="B1989" i="3"/>
  <c r="A1989" i="3"/>
  <c r="J1988" i="3"/>
  <c r="I1988" i="3"/>
  <c r="H1988" i="3"/>
  <c r="G1988" i="3"/>
  <c r="F1988" i="3"/>
  <c r="D1988" i="3"/>
  <c r="C1988" i="3"/>
  <c r="B1988" i="3"/>
  <c r="A1988" i="3"/>
  <c r="J1987" i="3"/>
  <c r="I1987" i="3"/>
  <c r="H1987" i="3"/>
  <c r="G1987" i="3"/>
  <c r="F1987" i="3"/>
  <c r="D1987" i="3"/>
  <c r="C1987" i="3"/>
  <c r="B1987" i="3"/>
  <c r="A1987" i="3"/>
  <c r="J1986" i="3"/>
  <c r="I1986" i="3"/>
  <c r="H1986" i="3"/>
  <c r="G1986" i="3"/>
  <c r="F1986" i="3"/>
  <c r="D1986" i="3"/>
  <c r="C1986" i="3"/>
  <c r="B1986" i="3"/>
  <c r="A1986" i="3"/>
  <c r="J1985" i="3"/>
  <c r="I1985" i="3"/>
  <c r="H1985" i="3"/>
  <c r="G1985" i="3"/>
  <c r="F1985" i="3"/>
  <c r="D1985" i="3"/>
  <c r="C1985" i="3"/>
  <c r="B1985" i="3"/>
  <c r="A1985" i="3"/>
  <c r="J1984" i="3"/>
  <c r="I1984" i="3"/>
  <c r="H1984" i="3"/>
  <c r="G1984" i="3"/>
  <c r="F1984" i="3"/>
  <c r="D1984" i="3"/>
  <c r="C1984" i="3"/>
  <c r="B1984" i="3"/>
  <c r="A1984" i="3"/>
  <c r="J1983" i="3"/>
  <c r="I1983" i="3"/>
  <c r="H1983" i="3"/>
  <c r="G1983" i="3"/>
  <c r="F1983" i="3"/>
  <c r="D1983" i="3"/>
  <c r="C1983" i="3"/>
  <c r="B1983" i="3"/>
  <c r="A1983" i="3"/>
  <c r="J1982" i="3"/>
  <c r="I1982" i="3"/>
  <c r="H1982" i="3"/>
  <c r="G1982" i="3"/>
  <c r="F1982" i="3"/>
  <c r="D1982" i="3"/>
  <c r="C1982" i="3"/>
  <c r="B1982" i="3"/>
  <c r="A1982" i="3"/>
  <c r="J1981" i="3"/>
  <c r="I1981" i="3"/>
  <c r="H1981" i="3"/>
  <c r="G1981" i="3"/>
  <c r="F1981" i="3"/>
  <c r="D1981" i="3"/>
  <c r="C1981" i="3"/>
  <c r="B1981" i="3"/>
  <c r="A1981" i="3"/>
  <c r="J1980" i="3"/>
  <c r="I1980" i="3"/>
  <c r="H1980" i="3"/>
  <c r="G1980" i="3"/>
  <c r="F1980" i="3"/>
  <c r="D1980" i="3"/>
  <c r="C1980" i="3"/>
  <c r="B1980" i="3"/>
  <c r="A1980" i="3"/>
  <c r="J1979" i="3"/>
  <c r="I1979" i="3"/>
  <c r="H1979" i="3"/>
  <c r="G1979" i="3"/>
  <c r="F1979" i="3"/>
  <c r="D1979" i="3"/>
  <c r="C1979" i="3"/>
  <c r="B1979" i="3"/>
  <c r="A1979" i="3"/>
  <c r="J1978" i="3"/>
  <c r="I1978" i="3"/>
  <c r="H1978" i="3"/>
  <c r="G1978" i="3"/>
  <c r="F1978" i="3"/>
  <c r="D1978" i="3"/>
  <c r="C1978" i="3"/>
  <c r="B1978" i="3"/>
  <c r="A1978" i="3"/>
  <c r="J1977" i="3"/>
  <c r="I1977" i="3"/>
  <c r="H1977" i="3"/>
  <c r="G1977" i="3"/>
  <c r="F1977" i="3"/>
  <c r="D1977" i="3"/>
  <c r="C1977" i="3"/>
  <c r="B1977" i="3"/>
  <c r="A1977" i="3"/>
  <c r="J1976" i="3"/>
  <c r="I1976" i="3"/>
  <c r="H1976" i="3"/>
  <c r="G1976" i="3"/>
  <c r="F1976" i="3"/>
  <c r="D1976" i="3"/>
  <c r="C1976" i="3"/>
  <c r="B1976" i="3"/>
  <c r="A1976" i="3"/>
  <c r="J1975" i="3"/>
  <c r="I1975" i="3"/>
  <c r="H1975" i="3"/>
  <c r="G1975" i="3"/>
  <c r="F1975" i="3"/>
  <c r="D1975" i="3"/>
  <c r="C1975" i="3"/>
  <c r="B1975" i="3"/>
  <c r="A1975" i="3"/>
  <c r="J1974" i="3"/>
  <c r="I1974" i="3"/>
  <c r="H1974" i="3"/>
  <c r="G1974" i="3"/>
  <c r="F1974" i="3"/>
  <c r="D1974" i="3"/>
  <c r="C1974" i="3"/>
  <c r="B1974" i="3"/>
  <c r="A1974" i="3"/>
  <c r="J1973" i="3"/>
  <c r="I1973" i="3"/>
  <c r="H1973" i="3"/>
  <c r="G1973" i="3"/>
  <c r="F1973" i="3"/>
  <c r="D1973" i="3"/>
  <c r="C1973" i="3"/>
  <c r="B1973" i="3"/>
  <c r="A1973" i="3"/>
  <c r="J1972" i="3"/>
  <c r="I1972" i="3"/>
  <c r="H1972" i="3"/>
  <c r="G1972" i="3"/>
  <c r="F1972" i="3"/>
  <c r="D1972" i="3"/>
  <c r="C1972" i="3"/>
  <c r="B1972" i="3"/>
  <c r="A1972" i="3"/>
  <c r="J1971" i="3"/>
  <c r="I1971" i="3"/>
  <c r="H1971" i="3"/>
  <c r="G1971" i="3"/>
  <c r="F1971" i="3"/>
  <c r="D1971" i="3"/>
  <c r="C1971" i="3"/>
  <c r="B1971" i="3"/>
  <c r="A1971" i="3"/>
  <c r="J1970" i="3"/>
  <c r="I1970" i="3"/>
  <c r="H1970" i="3"/>
  <c r="G1970" i="3"/>
  <c r="F1970" i="3"/>
  <c r="D1970" i="3"/>
  <c r="C1970" i="3"/>
  <c r="B1970" i="3"/>
  <c r="A1970" i="3"/>
  <c r="J1969" i="3"/>
  <c r="I1969" i="3"/>
  <c r="H1969" i="3"/>
  <c r="G1969" i="3"/>
  <c r="F1969" i="3"/>
  <c r="D1969" i="3"/>
  <c r="C1969" i="3"/>
  <c r="B1969" i="3"/>
  <c r="A1969" i="3"/>
  <c r="J1968" i="3"/>
  <c r="I1968" i="3"/>
  <c r="H1968" i="3"/>
  <c r="G1968" i="3"/>
  <c r="F1968" i="3"/>
  <c r="D1968" i="3"/>
  <c r="C1968" i="3"/>
  <c r="B1968" i="3"/>
  <c r="A1968" i="3"/>
  <c r="J1967" i="3"/>
  <c r="I1967" i="3"/>
  <c r="H1967" i="3"/>
  <c r="G1967" i="3"/>
  <c r="F1967" i="3"/>
  <c r="D1967" i="3"/>
  <c r="C1967" i="3"/>
  <c r="B1967" i="3"/>
  <c r="A1967" i="3"/>
  <c r="J1966" i="3"/>
  <c r="I1966" i="3"/>
  <c r="H1966" i="3"/>
  <c r="G1966" i="3"/>
  <c r="F1966" i="3"/>
  <c r="D1966" i="3"/>
  <c r="C1966" i="3"/>
  <c r="B1966" i="3"/>
  <c r="A1966" i="3"/>
  <c r="J1965" i="3"/>
  <c r="I1965" i="3"/>
  <c r="H1965" i="3"/>
  <c r="G1965" i="3"/>
  <c r="F1965" i="3"/>
  <c r="D1965" i="3"/>
  <c r="C1965" i="3"/>
  <c r="B1965" i="3"/>
  <c r="A1965" i="3"/>
  <c r="J1964" i="3"/>
  <c r="I1964" i="3"/>
  <c r="H1964" i="3"/>
  <c r="G1964" i="3"/>
  <c r="F1964" i="3"/>
  <c r="D1964" i="3"/>
  <c r="C1964" i="3"/>
  <c r="B1964" i="3"/>
  <c r="A1964" i="3"/>
  <c r="J1963" i="3"/>
  <c r="I1963" i="3"/>
  <c r="H1963" i="3"/>
  <c r="G1963" i="3"/>
  <c r="F1963" i="3"/>
  <c r="D1963" i="3"/>
  <c r="C1963" i="3"/>
  <c r="B1963" i="3"/>
  <c r="A1963" i="3"/>
  <c r="J1962" i="3"/>
  <c r="I1962" i="3"/>
  <c r="H1962" i="3"/>
  <c r="G1962" i="3"/>
  <c r="F1962" i="3"/>
  <c r="D1962" i="3"/>
  <c r="C1962" i="3"/>
  <c r="B1962" i="3"/>
  <c r="A1962" i="3"/>
  <c r="J1961" i="3"/>
  <c r="I1961" i="3"/>
  <c r="H1961" i="3"/>
  <c r="G1961" i="3"/>
  <c r="F1961" i="3"/>
  <c r="D1961" i="3"/>
  <c r="C1961" i="3"/>
  <c r="B1961" i="3"/>
  <c r="A1961" i="3"/>
  <c r="J1960" i="3"/>
  <c r="I1960" i="3"/>
  <c r="H1960" i="3"/>
  <c r="G1960" i="3"/>
  <c r="F1960" i="3"/>
  <c r="D1960" i="3"/>
  <c r="C1960" i="3"/>
  <c r="B1960" i="3"/>
  <c r="A1960" i="3"/>
  <c r="J1959" i="3"/>
  <c r="I1959" i="3"/>
  <c r="H1959" i="3"/>
  <c r="G1959" i="3"/>
  <c r="F1959" i="3"/>
  <c r="D1959" i="3"/>
  <c r="C1959" i="3"/>
  <c r="B1959" i="3"/>
  <c r="A1959" i="3"/>
  <c r="J1958" i="3"/>
  <c r="I1958" i="3"/>
  <c r="H1958" i="3"/>
  <c r="G1958" i="3"/>
  <c r="F1958" i="3"/>
  <c r="D1958" i="3"/>
  <c r="C1958" i="3"/>
  <c r="B1958" i="3"/>
  <c r="A1958" i="3"/>
  <c r="J1957" i="3"/>
  <c r="I1957" i="3"/>
  <c r="H1957" i="3"/>
  <c r="G1957" i="3"/>
  <c r="F1957" i="3"/>
  <c r="D1957" i="3"/>
  <c r="C1957" i="3"/>
  <c r="B1957" i="3"/>
  <c r="A1957" i="3"/>
  <c r="J1956" i="3"/>
  <c r="I1956" i="3"/>
  <c r="H1956" i="3"/>
  <c r="G1956" i="3"/>
  <c r="F1956" i="3"/>
  <c r="D1956" i="3"/>
  <c r="C1956" i="3"/>
  <c r="B1956" i="3"/>
  <c r="A1956" i="3"/>
  <c r="J1955" i="3"/>
  <c r="I1955" i="3"/>
  <c r="H1955" i="3"/>
  <c r="G1955" i="3"/>
  <c r="F1955" i="3"/>
  <c r="D1955" i="3"/>
  <c r="C1955" i="3"/>
  <c r="B1955" i="3"/>
  <c r="A1955" i="3"/>
  <c r="J1954" i="3"/>
  <c r="I1954" i="3"/>
  <c r="H1954" i="3"/>
  <c r="G1954" i="3"/>
  <c r="F1954" i="3"/>
  <c r="D1954" i="3"/>
  <c r="C1954" i="3"/>
  <c r="B1954" i="3"/>
  <c r="A1954" i="3"/>
  <c r="J1953" i="3"/>
  <c r="I1953" i="3"/>
  <c r="H1953" i="3"/>
  <c r="G1953" i="3"/>
  <c r="F1953" i="3"/>
  <c r="D1953" i="3"/>
  <c r="C1953" i="3"/>
  <c r="B1953" i="3"/>
  <c r="A1953" i="3"/>
  <c r="J1952" i="3"/>
  <c r="I1952" i="3"/>
  <c r="H1952" i="3"/>
  <c r="G1952" i="3"/>
  <c r="F1952" i="3"/>
  <c r="D1952" i="3"/>
  <c r="C1952" i="3"/>
  <c r="B1952" i="3"/>
  <c r="A1952" i="3"/>
  <c r="J1951" i="3"/>
  <c r="I1951" i="3"/>
  <c r="H1951" i="3"/>
  <c r="G1951" i="3"/>
  <c r="F1951" i="3"/>
  <c r="D1951" i="3"/>
  <c r="C1951" i="3"/>
  <c r="B1951" i="3"/>
  <c r="A1951" i="3"/>
  <c r="J1950" i="3"/>
  <c r="I1950" i="3"/>
  <c r="H1950" i="3"/>
  <c r="G1950" i="3"/>
  <c r="F1950" i="3"/>
  <c r="D1950" i="3"/>
  <c r="C1950" i="3"/>
  <c r="B1950" i="3"/>
  <c r="A1950" i="3"/>
  <c r="J1949" i="3"/>
  <c r="I1949" i="3"/>
  <c r="H1949" i="3"/>
  <c r="G1949" i="3"/>
  <c r="F1949" i="3"/>
  <c r="D1949" i="3"/>
  <c r="C1949" i="3"/>
  <c r="B1949" i="3"/>
  <c r="A1949" i="3"/>
  <c r="J1948" i="3"/>
  <c r="I1948" i="3"/>
  <c r="H1948" i="3"/>
  <c r="G1948" i="3"/>
  <c r="F1948" i="3"/>
  <c r="D1948" i="3"/>
  <c r="C1948" i="3"/>
  <c r="B1948" i="3"/>
  <c r="A1948" i="3"/>
  <c r="J1947" i="3"/>
  <c r="I1947" i="3"/>
  <c r="H1947" i="3"/>
  <c r="G1947" i="3"/>
  <c r="F1947" i="3"/>
  <c r="D1947" i="3"/>
  <c r="C1947" i="3"/>
  <c r="B1947" i="3"/>
  <c r="A1947" i="3"/>
  <c r="J1946" i="3"/>
  <c r="I1946" i="3"/>
  <c r="H1946" i="3"/>
  <c r="G1946" i="3"/>
  <c r="F1946" i="3"/>
  <c r="D1946" i="3"/>
  <c r="C1946" i="3"/>
  <c r="B1946" i="3"/>
  <c r="A1946" i="3"/>
  <c r="J1945" i="3"/>
  <c r="I1945" i="3"/>
  <c r="H1945" i="3"/>
  <c r="G1945" i="3"/>
  <c r="F1945" i="3"/>
  <c r="D1945" i="3"/>
  <c r="C1945" i="3"/>
  <c r="B1945" i="3"/>
  <c r="A1945" i="3"/>
  <c r="J1944" i="3"/>
  <c r="I1944" i="3"/>
  <c r="H1944" i="3"/>
  <c r="G1944" i="3"/>
  <c r="F1944" i="3"/>
  <c r="D1944" i="3"/>
  <c r="C1944" i="3"/>
  <c r="B1944" i="3"/>
  <c r="A1944" i="3"/>
  <c r="J1943" i="3"/>
  <c r="I1943" i="3"/>
  <c r="H1943" i="3"/>
  <c r="G1943" i="3"/>
  <c r="F1943" i="3"/>
  <c r="D1943" i="3"/>
  <c r="C1943" i="3"/>
  <c r="B1943" i="3"/>
  <c r="A1943" i="3"/>
  <c r="J1942" i="3"/>
  <c r="I1942" i="3"/>
  <c r="H1942" i="3"/>
  <c r="G1942" i="3"/>
  <c r="F1942" i="3"/>
  <c r="D1942" i="3"/>
  <c r="C1942" i="3"/>
  <c r="B1942" i="3"/>
  <c r="A1942" i="3"/>
  <c r="J1941" i="3"/>
  <c r="I1941" i="3"/>
  <c r="H1941" i="3"/>
  <c r="G1941" i="3"/>
  <c r="F1941" i="3"/>
  <c r="D1941" i="3"/>
  <c r="C1941" i="3"/>
  <c r="B1941" i="3"/>
  <c r="A1941" i="3"/>
  <c r="J1940" i="3"/>
  <c r="I1940" i="3"/>
  <c r="H1940" i="3"/>
  <c r="G1940" i="3"/>
  <c r="F1940" i="3"/>
  <c r="D1940" i="3"/>
  <c r="C1940" i="3"/>
  <c r="B1940" i="3"/>
  <c r="A1940" i="3"/>
  <c r="J1939" i="3"/>
  <c r="I1939" i="3"/>
  <c r="H1939" i="3"/>
  <c r="G1939" i="3"/>
  <c r="F1939" i="3"/>
  <c r="D1939" i="3"/>
  <c r="C1939" i="3"/>
  <c r="B1939" i="3"/>
  <c r="A1939" i="3"/>
  <c r="J1938" i="3"/>
  <c r="I1938" i="3"/>
  <c r="H1938" i="3"/>
  <c r="G1938" i="3"/>
  <c r="F1938" i="3"/>
  <c r="D1938" i="3"/>
  <c r="C1938" i="3"/>
  <c r="B1938" i="3"/>
  <c r="A1938" i="3"/>
  <c r="J1937" i="3"/>
  <c r="I1937" i="3"/>
  <c r="H1937" i="3"/>
  <c r="G1937" i="3"/>
  <c r="F1937" i="3"/>
  <c r="D1937" i="3"/>
  <c r="C1937" i="3"/>
  <c r="B1937" i="3"/>
  <c r="A1937" i="3"/>
  <c r="J1936" i="3"/>
  <c r="I1936" i="3"/>
  <c r="H1936" i="3"/>
  <c r="G1936" i="3"/>
  <c r="F1936" i="3"/>
  <c r="D1936" i="3"/>
  <c r="C1936" i="3"/>
  <c r="B1936" i="3"/>
  <c r="A1936" i="3"/>
  <c r="J1935" i="3"/>
  <c r="I1935" i="3"/>
  <c r="H1935" i="3"/>
  <c r="G1935" i="3"/>
  <c r="F1935" i="3"/>
  <c r="D1935" i="3"/>
  <c r="C1935" i="3"/>
  <c r="B1935" i="3"/>
  <c r="A1935" i="3"/>
  <c r="J1934" i="3"/>
  <c r="I1934" i="3"/>
  <c r="H1934" i="3"/>
  <c r="G1934" i="3"/>
  <c r="F1934" i="3"/>
  <c r="D1934" i="3"/>
  <c r="C1934" i="3"/>
  <c r="B1934" i="3"/>
  <c r="A1934" i="3"/>
  <c r="J1933" i="3"/>
  <c r="I1933" i="3"/>
  <c r="H1933" i="3"/>
  <c r="G1933" i="3"/>
  <c r="F1933" i="3"/>
  <c r="D1933" i="3"/>
  <c r="C1933" i="3"/>
  <c r="B1933" i="3"/>
  <c r="A1933" i="3"/>
  <c r="J1932" i="3"/>
  <c r="I1932" i="3"/>
  <c r="H1932" i="3"/>
  <c r="G1932" i="3"/>
  <c r="F1932" i="3"/>
  <c r="D1932" i="3"/>
  <c r="C1932" i="3"/>
  <c r="B1932" i="3"/>
  <c r="A1932" i="3"/>
  <c r="J1931" i="3"/>
  <c r="I1931" i="3"/>
  <c r="H1931" i="3"/>
  <c r="G1931" i="3"/>
  <c r="F1931" i="3"/>
  <c r="D1931" i="3"/>
  <c r="C1931" i="3"/>
  <c r="B1931" i="3"/>
  <c r="A1931" i="3"/>
  <c r="J1930" i="3"/>
  <c r="I1930" i="3"/>
  <c r="H1930" i="3"/>
  <c r="G1930" i="3"/>
  <c r="F1930" i="3"/>
  <c r="D1930" i="3"/>
  <c r="C1930" i="3"/>
  <c r="B1930" i="3"/>
  <c r="A1930" i="3"/>
  <c r="J1929" i="3"/>
  <c r="I1929" i="3"/>
  <c r="H1929" i="3"/>
  <c r="G1929" i="3"/>
  <c r="F1929" i="3"/>
  <c r="D1929" i="3"/>
  <c r="C1929" i="3"/>
  <c r="B1929" i="3"/>
  <c r="A1929" i="3"/>
  <c r="J1928" i="3"/>
  <c r="I1928" i="3"/>
  <c r="H1928" i="3"/>
  <c r="G1928" i="3"/>
  <c r="F1928" i="3"/>
  <c r="D1928" i="3"/>
  <c r="C1928" i="3"/>
  <c r="B1928" i="3"/>
  <c r="A1928" i="3"/>
  <c r="J1927" i="3"/>
  <c r="I1927" i="3"/>
  <c r="H1927" i="3"/>
  <c r="G1927" i="3"/>
  <c r="F1927" i="3"/>
  <c r="D1927" i="3"/>
  <c r="C1927" i="3"/>
  <c r="B1927" i="3"/>
  <c r="A1927" i="3"/>
  <c r="J1926" i="3"/>
  <c r="I1926" i="3"/>
  <c r="H1926" i="3"/>
  <c r="G1926" i="3"/>
  <c r="F1926" i="3"/>
  <c r="D1926" i="3"/>
  <c r="C1926" i="3"/>
  <c r="B1926" i="3"/>
  <c r="A1926" i="3"/>
  <c r="J1925" i="3"/>
  <c r="I1925" i="3"/>
  <c r="H1925" i="3"/>
  <c r="G1925" i="3"/>
  <c r="F1925" i="3"/>
  <c r="D1925" i="3"/>
  <c r="C1925" i="3"/>
  <c r="B1925" i="3"/>
  <c r="A1925" i="3"/>
  <c r="J1924" i="3"/>
  <c r="I1924" i="3"/>
  <c r="H1924" i="3"/>
  <c r="G1924" i="3"/>
  <c r="F1924" i="3"/>
  <c r="D1924" i="3"/>
  <c r="C1924" i="3"/>
  <c r="B1924" i="3"/>
  <c r="A1924" i="3"/>
  <c r="J1923" i="3"/>
  <c r="I1923" i="3"/>
  <c r="H1923" i="3"/>
  <c r="G1923" i="3"/>
  <c r="F1923" i="3"/>
  <c r="D1923" i="3"/>
  <c r="C1923" i="3"/>
  <c r="B1923" i="3"/>
  <c r="A1923" i="3"/>
  <c r="J1922" i="3"/>
  <c r="I1922" i="3"/>
  <c r="H1922" i="3"/>
  <c r="G1922" i="3"/>
  <c r="F1922" i="3"/>
  <c r="D1922" i="3"/>
  <c r="C1922" i="3"/>
  <c r="B1922" i="3"/>
  <c r="A1922" i="3"/>
  <c r="J1921" i="3"/>
  <c r="I1921" i="3"/>
  <c r="H1921" i="3"/>
  <c r="G1921" i="3"/>
  <c r="F1921" i="3"/>
  <c r="D1921" i="3"/>
  <c r="C1921" i="3"/>
  <c r="B1921" i="3"/>
  <c r="A1921" i="3"/>
  <c r="J1920" i="3"/>
  <c r="I1920" i="3"/>
  <c r="H1920" i="3"/>
  <c r="G1920" i="3"/>
  <c r="F1920" i="3"/>
  <c r="D1920" i="3"/>
  <c r="C1920" i="3"/>
  <c r="B1920" i="3"/>
  <c r="A1920" i="3"/>
  <c r="J1919" i="3"/>
  <c r="I1919" i="3"/>
  <c r="H1919" i="3"/>
  <c r="G1919" i="3"/>
  <c r="F1919" i="3"/>
  <c r="D1919" i="3"/>
  <c r="C1919" i="3"/>
  <c r="B1919" i="3"/>
  <c r="A1919" i="3"/>
  <c r="J1918" i="3"/>
  <c r="I1918" i="3"/>
  <c r="H1918" i="3"/>
  <c r="G1918" i="3"/>
  <c r="F1918" i="3"/>
  <c r="D1918" i="3"/>
  <c r="C1918" i="3"/>
  <c r="B1918" i="3"/>
  <c r="A1918" i="3"/>
  <c r="J1917" i="3"/>
  <c r="I1917" i="3"/>
  <c r="H1917" i="3"/>
  <c r="G1917" i="3"/>
  <c r="F1917" i="3"/>
  <c r="D1917" i="3"/>
  <c r="C1917" i="3"/>
  <c r="B1917" i="3"/>
  <c r="A1917" i="3"/>
  <c r="J1916" i="3"/>
  <c r="I1916" i="3"/>
  <c r="H1916" i="3"/>
  <c r="G1916" i="3"/>
  <c r="F1916" i="3"/>
  <c r="D1916" i="3"/>
  <c r="C1916" i="3"/>
  <c r="B1916" i="3"/>
  <c r="A1916" i="3"/>
  <c r="J1915" i="3"/>
  <c r="I1915" i="3"/>
  <c r="H1915" i="3"/>
  <c r="G1915" i="3"/>
  <c r="F1915" i="3"/>
  <c r="D1915" i="3"/>
  <c r="C1915" i="3"/>
  <c r="B1915" i="3"/>
  <c r="A1915" i="3"/>
  <c r="J1914" i="3"/>
  <c r="I1914" i="3"/>
  <c r="H1914" i="3"/>
  <c r="G1914" i="3"/>
  <c r="F1914" i="3"/>
  <c r="D1914" i="3"/>
  <c r="C1914" i="3"/>
  <c r="B1914" i="3"/>
  <c r="A1914" i="3"/>
  <c r="J1913" i="3"/>
  <c r="I1913" i="3"/>
  <c r="H1913" i="3"/>
  <c r="G1913" i="3"/>
  <c r="F1913" i="3"/>
  <c r="D1913" i="3"/>
  <c r="C1913" i="3"/>
  <c r="B1913" i="3"/>
  <c r="A1913" i="3"/>
  <c r="J1912" i="3"/>
  <c r="I1912" i="3"/>
  <c r="H1912" i="3"/>
  <c r="G1912" i="3"/>
  <c r="F1912" i="3"/>
  <c r="D1912" i="3"/>
  <c r="C1912" i="3"/>
  <c r="B1912" i="3"/>
  <c r="A1912" i="3"/>
  <c r="J1911" i="3"/>
  <c r="I1911" i="3"/>
  <c r="H1911" i="3"/>
  <c r="G1911" i="3"/>
  <c r="F1911" i="3"/>
  <c r="D1911" i="3"/>
  <c r="C1911" i="3"/>
  <c r="B1911" i="3"/>
  <c r="A1911" i="3"/>
  <c r="J1910" i="3"/>
  <c r="I1910" i="3"/>
  <c r="H1910" i="3"/>
  <c r="G1910" i="3"/>
  <c r="F1910" i="3"/>
  <c r="D1910" i="3"/>
  <c r="C1910" i="3"/>
  <c r="B1910" i="3"/>
  <c r="A1910" i="3"/>
  <c r="J1909" i="3"/>
  <c r="I1909" i="3"/>
  <c r="H1909" i="3"/>
  <c r="G1909" i="3"/>
  <c r="F1909" i="3"/>
  <c r="D1909" i="3"/>
  <c r="C1909" i="3"/>
  <c r="B1909" i="3"/>
  <c r="A1909" i="3"/>
  <c r="J1908" i="3"/>
  <c r="I1908" i="3"/>
  <c r="H1908" i="3"/>
  <c r="G1908" i="3"/>
  <c r="F1908" i="3"/>
  <c r="D1908" i="3"/>
  <c r="C1908" i="3"/>
  <c r="B1908" i="3"/>
  <c r="A1908" i="3"/>
  <c r="J1907" i="3"/>
  <c r="I1907" i="3"/>
  <c r="H1907" i="3"/>
  <c r="G1907" i="3"/>
  <c r="F1907" i="3"/>
  <c r="D1907" i="3"/>
  <c r="C1907" i="3"/>
  <c r="B1907" i="3"/>
  <c r="A1907" i="3"/>
  <c r="J1906" i="3"/>
  <c r="I1906" i="3"/>
  <c r="H1906" i="3"/>
  <c r="G1906" i="3"/>
  <c r="F1906" i="3"/>
  <c r="D1906" i="3"/>
  <c r="C1906" i="3"/>
  <c r="B1906" i="3"/>
  <c r="A1906" i="3"/>
  <c r="J1905" i="3"/>
  <c r="I1905" i="3"/>
  <c r="H1905" i="3"/>
  <c r="G1905" i="3"/>
  <c r="F1905" i="3"/>
  <c r="D1905" i="3"/>
  <c r="C1905" i="3"/>
  <c r="B1905" i="3"/>
  <c r="A1905" i="3"/>
  <c r="J1904" i="3"/>
  <c r="I1904" i="3"/>
  <c r="H1904" i="3"/>
  <c r="G1904" i="3"/>
  <c r="F1904" i="3"/>
  <c r="D1904" i="3"/>
  <c r="C1904" i="3"/>
  <c r="B1904" i="3"/>
  <c r="A1904" i="3"/>
  <c r="J1903" i="3"/>
  <c r="I1903" i="3"/>
  <c r="H1903" i="3"/>
  <c r="G1903" i="3"/>
  <c r="F1903" i="3"/>
  <c r="D1903" i="3"/>
  <c r="C1903" i="3"/>
  <c r="B1903" i="3"/>
  <c r="A1903" i="3"/>
  <c r="J1902" i="3"/>
  <c r="I1902" i="3"/>
  <c r="H1902" i="3"/>
  <c r="G1902" i="3"/>
  <c r="F1902" i="3"/>
  <c r="D1902" i="3"/>
  <c r="C1902" i="3"/>
  <c r="B1902" i="3"/>
  <c r="A1902" i="3"/>
  <c r="J1901" i="3"/>
  <c r="I1901" i="3"/>
  <c r="H1901" i="3"/>
  <c r="G1901" i="3"/>
  <c r="F1901" i="3"/>
  <c r="D1901" i="3"/>
  <c r="C1901" i="3"/>
  <c r="B1901" i="3"/>
  <c r="A1901" i="3"/>
  <c r="J1900" i="3"/>
  <c r="I1900" i="3"/>
  <c r="H1900" i="3"/>
  <c r="G1900" i="3"/>
  <c r="F1900" i="3"/>
  <c r="D1900" i="3"/>
  <c r="C1900" i="3"/>
  <c r="B1900" i="3"/>
  <c r="A1900" i="3"/>
  <c r="J1899" i="3"/>
  <c r="I1899" i="3"/>
  <c r="H1899" i="3"/>
  <c r="G1899" i="3"/>
  <c r="F1899" i="3"/>
  <c r="D1899" i="3"/>
  <c r="C1899" i="3"/>
  <c r="B1899" i="3"/>
  <c r="A1899" i="3"/>
  <c r="J1898" i="3"/>
  <c r="I1898" i="3"/>
  <c r="H1898" i="3"/>
  <c r="G1898" i="3"/>
  <c r="F1898" i="3"/>
  <c r="D1898" i="3"/>
  <c r="C1898" i="3"/>
  <c r="B1898" i="3"/>
  <c r="A1898" i="3"/>
  <c r="J1897" i="3"/>
  <c r="I1897" i="3"/>
  <c r="H1897" i="3"/>
  <c r="G1897" i="3"/>
  <c r="F1897" i="3"/>
  <c r="D1897" i="3"/>
  <c r="C1897" i="3"/>
  <c r="B1897" i="3"/>
  <c r="A1897" i="3"/>
  <c r="J1896" i="3"/>
  <c r="I1896" i="3"/>
  <c r="H1896" i="3"/>
  <c r="G1896" i="3"/>
  <c r="F1896" i="3"/>
  <c r="D1896" i="3"/>
  <c r="C1896" i="3"/>
  <c r="B1896" i="3"/>
  <c r="A1896" i="3"/>
  <c r="J1895" i="3"/>
  <c r="I1895" i="3"/>
  <c r="H1895" i="3"/>
  <c r="G1895" i="3"/>
  <c r="F1895" i="3"/>
  <c r="D1895" i="3"/>
  <c r="C1895" i="3"/>
  <c r="B1895" i="3"/>
  <c r="A1895" i="3"/>
  <c r="J1894" i="3"/>
  <c r="I1894" i="3"/>
  <c r="H1894" i="3"/>
  <c r="G1894" i="3"/>
  <c r="F1894" i="3"/>
  <c r="D1894" i="3"/>
  <c r="C1894" i="3"/>
  <c r="B1894" i="3"/>
  <c r="A1894" i="3"/>
  <c r="J1893" i="3"/>
  <c r="I1893" i="3"/>
  <c r="H1893" i="3"/>
  <c r="G1893" i="3"/>
  <c r="F1893" i="3"/>
  <c r="D1893" i="3"/>
  <c r="C1893" i="3"/>
  <c r="B1893" i="3"/>
  <c r="A1893" i="3"/>
  <c r="J1892" i="3"/>
  <c r="I1892" i="3"/>
  <c r="H1892" i="3"/>
  <c r="G1892" i="3"/>
  <c r="F1892" i="3"/>
  <c r="D1892" i="3"/>
  <c r="C1892" i="3"/>
  <c r="B1892" i="3"/>
  <c r="A1892" i="3"/>
  <c r="J1891" i="3"/>
  <c r="I1891" i="3"/>
  <c r="H1891" i="3"/>
  <c r="G1891" i="3"/>
  <c r="F1891" i="3"/>
  <c r="D1891" i="3"/>
  <c r="C1891" i="3"/>
  <c r="B1891" i="3"/>
  <c r="A1891" i="3"/>
  <c r="J1890" i="3"/>
  <c r="I1890" i="3"/>
  <c r="H1890" i="3"/>
  <c r="G1890" i="3"/>
  <c r="F1890" i="3"/>
  <c r="D1890" i="3"/>
  <c r="C1890" i="3"/>
  <c r="B1890" i="3"/>
  <c r="A1890" i="3"/>
  <c r="J1889" i="3"/>
  <c r="I1889" i="3"/>
  <c r="H1889" i="3"/>
  <c r="G1889" i="3"/>
  <c r="F1889" i="3"/>
  <c r="D1889" i="3"/>
  <c r="C1889" i="3"/>
  <c r="B1889" i="3"/>
  <c r="A1889" i="3"/>
  <c r="J1888" i="3"/>
  <c r="I1888" i="3"/>
  <c r="H1888" i="3"/>
  <c r="G1888" i="3"/>
  <c r="F1888" i="3"/>
  <c r="D1888" i="3"/>
  <c r="C1888" i="3"/>
  <c r="B1888" i="3"/>
  <c r="A1888" i="3"/>
  <c r="J1887" i="3"/>
  <c r="I1887" i="3"/>
  <c r="H1887" i="3"/>
  <c r="G1887" i="3"/>
  <c r="F1887" i="3"/>
  <c r="D1887" i="3"/>
  <c r="C1887" i="3"/>
  <c r="B1887" i="3"/>
  <c r="A1887" i="3"/>
  <c r="J1886" i="3"/>
  <c r="I1886" i="3"/>
  <c r="H1886" i="3"/>
  <c r="G1886" i="3"/>
  <c r="F1886" i="3"/>
  <c r="D1886" i="3"/>
  <c r="C1886" i="3"/>
  <c r="B1886" i="3"/>
  <c r="A1886" i="3"/>
  <c r="J1885" i="3"/>
  <c r="I1885" i="3"/>
  <c r="H1885" i="3"/>
  <c r="G1885" i="3"/>
  <c r="F1885" i="3"/>
  <c r="D1885" i="3"/>
  <c r="C1885" i="3"/>
  <c r="B1885" i="3"/>
  <c r="A1885" i="3"/>
  <c r="J1884" i="3"/>
  <c r="I1884" i="3"/>
  <c r="H1884" i="3"/>
  <c r="G1884" i="3"/>
  <c r="F1884" i="3"/>
  <c r="D1884" i="3"/>
  <c r="C1884" i="3"/>
  <c r="B1884" i="3"/>
  <c r="A1884" i="3"/>
  <c r="J1883" i="3"/>
  <c r="I1883" i="3"/>
  <c r="H1883" i="3"/>
  <c r="G1883" i="3"/>
  <c r="F1883" i="3"/>
  <c r="D1883" i="3"/>
  <c r="C1883" i="3"/>
  <c r="B1883" i="3"/>
  <c r="A1883" i="3"/>
  <c r="J1882" i="3"/>
  <c r="I1882" i="3"/>
  <c r="H1882" i="3"/>
  <c r="G1882" i="3"/>
  <c r="F1882" i="3"/>
  <c r="D1882" i="3"/>
  <c r="C1882" i="3"/>
  <c r="B1882" i="3"/>
  <c r="A1882" i="3"/>
  <c r="J1881" i="3"/>
  <c r="I1881" i="3"/>
  <c r="H1881" i="3"/>
  <c r="G1881" i="3"/>
  <c r="F1881" i="3"/>
  <c r="D1881" i="3"/>
  <c r="C1881" i="3"/>
  <c r="B1881" i="3"/>
  <c r="A1881" i="3"/>
  <c r="J1880" i="3"/>
  <c r="I1880" i="3"/>
  <c r="H1880" i="3"/>
  <c r="G1880" i="3"/>
  <c r="F1880" i="3"/>
  <c r="D1880" i="3"/>
  <c r="C1880" i="3"/>
  <c r="B1880" i="3"/>
  <c r="A1880" i="3"/>
  <c r="J1879" i="3"/>
  <c r="I1879" i="3"/>
  <c r="H1879" i="3"/>
  <c r="G1879" i="3"/>
  <c r="F1879" i="3"/>
  <c r="D1879" i="3"/>
  <c r="C1879" i="3"/>
  <c r="B1879" i="3"/>
  <c r="A1879" i="3"/>
  <c r="J1878" i="3"/>
  <c r="I1878" i="3"/>
  <c r="H1878" i="3"/>
  <c r="G1878" i="3"/>
  <c r="F1878" i="3"/>
  <c r="D1878" i="3"/>
  <c r="C1878" i="3"/>
  <c r="B1878" i="3"/>
  <c r="A1878" i="3"/>
  <c r="J1877" i="3"/>
  <c r="I1877" i="3"/>
  <c r="H1877" i="3"/>
  <c r="G1877" i="3"/>
  <c r="F1877" i="3"/>
  <c r="D1877" i="3"/>
  <c r="C1877" i="3"/>
  <c r="B1877" i="3"/>
  <c r="A1877" i="3"/>
  <c r="J1876" i="3"/>
  <c r="I1876" i="3"/>
  <c r="H1876" i="3"/>
  <c r="G1876" i="3"/>
  <c r="F1876" i="3"/>
  <c r="D1876" i="3"/>
  <c r="C1876" i="3"/>
  <c r="B1876" i="3"/>
  <c r="A1876" i="3"/>
  <c r="J1875" i="3"/>
  <c r="I1875" i="3"/>
  <c r="H1875" i="3"/>
  <c r="G1875" i="3"/>
  <c r="F1875" i="3"/>
  <c r="D1875" i="3"/>
  <c r="C1875" i="3"/>
  <c r="B1875" i="3"/>
  <c r="A1875" i="3"/>
  <c r="J1874" i="3"/>
  <c r="I1874" i="3"/>
  <c r="H1874" i="3"/>
  <c r="G1874" i="3"/>
  <c r="F1874" i="3"/>
  <c r="D1874" i="3"/>
  <c r="C1874" i="3"/>
  <c r="B1874" i="3"/>
  <c r="A1874" i="3"/>
  <c r="J1873" i="3"/>
  <c r="I1873" i="3"/>
  <c r="H1873" i="3"/>
  <c r="G1873" i="3"/>
  <c r="F1873" i="3"/>
  <c r="D1873" i="3"/>
  <c r="C1873" i="3"/>
  <c r="B1873" i="3"/>
  <c r="A1873" i="3"/>
  <c r="J1872" i="3"/>
  <c r="I1872" i="3"/>
  <c r="H1872" i="3"/>
  <c r="G1872" i="3"/>
  <c r="F1872" i="3"/>
  <c r="D1872" i="3"/>
  <c r="C1872" i="3"/>
  <c r="B1872" i="3"/>
  <c r="A1872" i="3"/>
  <c r="J1871" i="3"/>
  <c r="I1871" i="3"/>
  <c r="H1871" i="3"/>
  <c r="G1871" i="3"/>
  <c r="F1871" i="3"/>
  <c r="D1871" i="3"/>
  <c r="C1871" i="3"/>
  <c r="B1871" i="3"/>
  <c r="A1871" i="3"/>
  <c r="J1870" i="3"/>
  <c r="I1870" i="3"/>
  <c r="H1870" i="3"/>
  <c r="G1870" i="3"/>
  <c r="F1870" i="3"/>
  <c r="D1870" i="3"/>
  <c r="C1870" i="3"/>
  <c r="B1870" i="3"/>
  <c r="A1870" i="3"/>
  <c r="J1869" i="3"/>
  <c r="I1869" i="3"/>
  <c r="H1869" i="3"/>
  <c r="G1869" i="3"/>
  <c r="F1869" i="3"/>
  <c r="D1869" i="3"/>
  <c r="C1869" i="3"/>
  <c r="B1869" i="3"/>
  <c r="A1869" i="3"/>
  <c r="J1868" i="3"/>
  <c r="I1868" i="3"/>
  <c r="H1868" i="3"/>
  <c r="G1868" i="3"/>
  <c r="F1868" i="3"/>
  <c r="D1868" i="3"/>
  <c r="C1868" i="3"/>
  <c r="B1868" i="3"/>
  <c r="A1868" i="3"/>
  <c r="J1867" i="3"/>
  <c r="I1867" i="3"/>
  <c r="H1867" i="3"/>
  <c r="G1867" i="3"/>
  <c r="F1867" i="3"/>
  <c r="D1867" i="3"/>
  <c r="C1867" i="3"/>
  <c r="B1867" i="3"/>
  <c r="A1867" i="3"/>
  <c r="J1866" i="3"/>
  <c r="I1866" i="3"/>
  <c r="H1866" i="3"/>
  <c r="G1866" i="3"/>
  <c r="F1866" i="3"/>
  <c r="D1866" i="3"/>
  <c r="C1866" i="3"/>
  <c r="B1866" i="3"/>
  <c r="A1866" i="3"/>
  <c r="J1865" i="3"/>
  <c r="I1865" i="3"/>
  <c r="H1865" i="3"/>
  <c r="G1865" i="3"/>
  <c r="F1865" i="3"/>
  <c r="D1865" i="3"/>
  <c r="C1865" i="3"/>
  <c r="B1865" i="3"/>
  <c r="A1865" i="3"/>
  <c r="J1864" i="3"/>
  <c r="I1864" i="3"/>
  <c r="H1864" i="3"/>
  <c r="G1864" i="3"/>
  <c r="F1864" i="3"/>
  <c r="D1864" i="3"/>
  <c r="C1864" i="3"/>
  <c r="B1864" i="3"/>
  <c r="A1864" i="3"/>
  <c r="J1863" i="3"/>
  <c r="I1863" i="3"/>
  <c r="H1863" i="3"/>
  <c r="G1863" i="3"/>
  <c r="F1863" i="3"/>
  <c r="D1863" i="3"/>
  <c r="C1863" i="3"/>
  <c r="B1863" i="3"/>
  <c r="A1863" i="3"/>
  <c r="J1862" i="3"/>
  <c r="I1862" i="3"/>
  <c r="H1862" i="3"/>
  <c r="G1862" i="3"/>
  <c r="F1862" i="3"/>
  <c r="D1862" i="3"/>
  <c r="C1862" i="3"/>
  <c r="B1862" i="3"/>
  <c r="A1862" i="3"/>
  <c r="J1861" i="3"/>
  <c r="I1861" i="3"/>
  <c r="H1861" i="3"/>
  <c r="G1861" i="3"/>
  <c r="F1861" i="3"/>
  <c r="D1861" i="3"/>
  <c r="C1861" i="3"/>
  <c r="B1861" i="3"/>
  <c r="A1861" i="3"/>
  <c r="J1860" i="3"/>
  <c r="I1860" i="3"/>
  <c r="H1860" i="3"/>
  <c r="G1860" i="3"/>
  <c r="F1860" i="3"/>
  <c r="D1860" i="3"/>
  <c r="C1860" i="3"/>
  <c r="B1860" i="3"/>
  <c r="A1860" i="3"/>
  <c r="J1859" i="3"/>
  <c r="I1859" i="3"/>
  <c r="H1859" i="3"/>
  <c r="G1859" i="3"/>
  <c r="F1859" i="3"/>
  <c r="D1859" i="3"/>
  <c r="C1859" i="3"/>
  <c r="B1859" i="3"/>
  <c r="A1859" i="3"/>
  <c r="J1858" i="3"/>
  <c r="I1858" i="3"/>
  <c r="H1858" i="3"/>
  <c r="G1858" i="3"/>
  <c r="F1858" i="3"/>
  <c r="D1858" i="3"/>
  <c r="C1858" i="3"/>
  <c r="B1858" i="3"/>
  <c r="A1858" i="3"/>
  <c r="J1857" i="3"/>
  <c r="I1857" i="3"/>
  <c r="H1857" i="3"/>
  <c r="G1857" i="3"/>
  <c r="F1857" i="3"/>
  <c r="D1857" i="3"/>
  <c r="C1857" i="3"/>
  <c r="B1857" i="3"/>
  <c r="A1857" i="3"/>
  <c r="J1856" i="3"/>
  <c r="I1856" i="3"/>
  <c r="H1856" i="3"/>
  <c r="G1856" i="3"/>
  <c r="F1856" i="3"/>
  <c r="D1856" i="3"/>
  <c r="C1856" i="3"/>
  <c r="B1856" i="3"/>
  <c r="A1856" i="3"/>
  <c r="J1855" i="3"/>
  <c r="I1855" i="3"/>
  <c r="H1855" i="3"/>
  <c r="G1855" i="3"/>
  <c r="F1855" i="3"/>
  <c r="D1855" i="3"/>
  <c r="C1855" i="3"/>
  <c r="B1855" i="3"/>
  <c r="A1855" i="3"/>
  <c r="J1854" i="3"/>
  <c r="I1854" i="3"/>
  <c r="H1854" i="3"/>
  <c r="G1854" i="3"/>
  <c r="F1854" i="3"/>
  <c r="D1854" i="3"/>
  <c r="C1854" i="3"/>
  <c r="B1854" i="3"/>
  <c r="A1854" i="3"/>
  <c r="J1853" i="3"/>
  <c r="I1853" i="3"/>
  <c r="H1853" i="3"/>
  <c r="G1853" i="3"/>
  <c r="F1853" i="3"/>
  <c r="D1853" i="3"/>
  <c r="C1853" i="3"/>
  <c r="B1853" i="3"/>
  <c r="A1853" i="3"/>
  <c r="J1852" i="3"/>
  <c r="I1852" i="3"/>
  <c r="H1852" i="3"/>
  <c r="G1852" i="3"/>
  <c r="F1852" i="3"/>
  <c r="D1852" i="3"/>
  <c r="C1852" i="3"/>
  <c r="B1852" i="3"/>
  <c r="A1852" i="3"/>
  <c r="J1851" i="3"/>
  <c r="I1851" i="3"/>
  <c r="H1851" i="3"/>
  <c r="G1851" i="3"/>
  <c r="F1851" i="3"/>
  <c r="D1851" i="3"/>
  <c r="C1851" i="3"/>
  <c r="B1851" i="3"/>
  <c r="A1851" i="3"/>
  <c r="J1850" i="3"/>
  <c r="I1850" i="3"/>
  <c r="H1850" i="3"/>
  <c r="G1850" i="3"/>
  <c r="F1850" i="3"/>
  <c r="D1850" i="3"/>
  <c r="C1850" i="3"/>
  <c r="B1850" i="3"/>
  <c r="A1850" i="3"/>
  <c r="J1849" i="3"/>
  <c r="I1849" i="3"/>
  <c r="H1849" i="3"/>
  <c r="G1849" i="3"/>
  <c r="F1849" i="3"/>
  <c r="D1849" i="3"/>
  <c r="C1849" i="3"/>
  <c r="B1849" i="3"/>
  <c r="A1849" i="3"/>
  <c r="J1848" i="3"/>
  <c r="I1848" i="3"/>
  <c r="H1848" i="3"/>
  <c r="G1848" i="3"/>
  <c r="F1848" i="3"/>
  <c r="D1848" i="3"/>
  <c r="C1848" i="3"/>
  <c r="B1848" i="3"/>
  <c r="A1848" i="3"/>
  <c r="J1847" i="3"/>
  <c r="I1847" i="3"/>
  <c r="H1847" i="3"/>
  <c r="G1847" i="3"/>
  <c r="F1847" i="3"/>
  <c r="D1847" i="3"/>
  <c r="C1847" i="3"/>
  <c r="B1847" i="3"/>
  <c r="A1847" i="3"/>
  <c r="J1846" i="3"/>
  <c r="I1846" i="3"/>
  <c r="H1846" i="3"/>
  <c r="G1846" i="3"/>
  <c r="F1846" i="3"/>
  <c r="D1846" i="3"/>
  <c r="C1846" i="3"/>
  <c r="B1846" i="3"/>
  <c r="A1846" i="3"/>
  <c r="J1845" i="3"/>
  <c r="I1845" i="3"/>
  <c r="H1845" i="3"/>
  <c r="G1845" i="3"/>
  <c r="F1845" i="3"/>
  <c r="D1845" i="3"/>
  <c r="C1845" i="3"/>
  <c r="B1845" i="3"/>
  <c r="A1845" i="3"/>
  <c r="J1844" i="3"/>
  <c r="I1844" i="3"/>
  <c r="H1844" i="3"/>
  <c r="G1844" i="3"/>
  <c r="F1844" i="3"/>
  <c r="D1844" i="3"/>
  <c r="C1844" i="3"/>
  <c r="B1844" i="3"/>
  <c r="A1844" i="3"/>
  <c r="J1843" i="3"/>
  <c r="I1843" i="3"/>
  <c r="H1843" i="3"/>
  <c r="G1843" i="3"/>
  <c r="F1843" i="3"/>
  <c r="D1843" i="3"/>
  <c r="C1843" i="3"/>
  <c r="B1843" i="3"/>
  <c r="A1843" i="3"/>
  <c r="J1842" i="3"/>
  <c r="I1842" i="3"/>
  <c r="H1842" i="3"/>
  <c r="G1842" i="3"/>
  <c r="F1842" i="3"/>
  <c r="D1842" i="3"/>
  <c r="C1842" i="3"/>
  <c r="B1842" i="3"/>
  <c r="A1842" i="3"/>
  <c r="J1841" i="3"/>
  <c r="I1841" i="3"/>
  <c r="H1841" i="3"/>
  <c r="G1841" i="3"/>
  <c r="F1841" i="3"/>
  <c r="D1841" i="3"/>
  <c r="C1841" i="3"/>
  <c r="B1841" i="3"/>
  <c r="A1841" i="3"/>
  <c r="J1840" i="3"/>
  <c r="I1840" i="3"/>
  <c r="H1840" i="3"/>
  <c r="G1840" i="3"/>
  <c r="F1840" i="3"/>
  <c r="D1840" i="3"/>
  <c r="C1840" i="3"/>
  <c r="B1840" i="3"/>
  <c r="A1840" i="3"/>
  <c r="J1839" i="3"/>
  <c r="I1839" i="3"/>
  <c r="H1839" i="3"/>
  <c r="G1839" i="3"/>
  <c r="F1839" i="3"/>
  <c r="D1839" i="3"/>
  <c r="C1839" i="3"/>
  <c r="B1839" i="3"/>
  <c r="A1839" i="3"/>
  <c r="J1838" i="3"/>
  <c r="I1838" i="3"/>
  <c r="H1838" i="3"/>
  <c r="G1838" i="3"/>
  <c r="F1838" i="3"/>
  <c r="D1838" i="3"/>
  <c r="C1838" i="3"/>
  <c r="B1838" i="3"/>
  <c r="A1838" i="3"/>
  <c r="J1837" i="3"/>
  <c r="I1837" i="3"/>
  <c r="H1837" i="3"/>
  <c r="G1837" i="3"/>
  <c r="F1837" i="3"/>
  <c r="D1837" i="3"/>
  <c r="C1837" i="3"/>
  <c r="B1837" i="3"/>
  <c r="A1837" i="3"/>
  <c r="J1836" i="3"/>
  <c r="I1836" i="3"/>
  <c r="H1836" i="3"/>
  <c r="G1836" i="3"/>
  <c r="F1836" i="3"/>
  <c r="D1836" i="3"/>
  <c r="C1836" i="3"/>
  <c r="B1836" i="3"/>
  <c r="A1836" i="3"/>
  <c r="J1835" i="3"/>
  <c r="I1835" i="3"/>
  <c r="H1835" i="3"/>
  <c r="G1835" i="3"/>
  <c r="F1835" i="3"/>
  <c r="D1835" i="3"/>
  <c r="C1835" i="3"/>
  <c r="B1835" i="3"/>
  <c r="A1835" i="3"/>
  <c r="J1834" i="3"/>
  <c r="I1834" i="3"/>
  <c r="H1834" i="3"/>
  <c r="G1834" i="3"/>
  <c r="F1834" i="3"/>
  <c r="D1834" i="3"/>
  <c r="C1834" i="3"/>
  <c r="B1834" i="3"/>
  <c r="A1834" i="3"/>
  <c r="J1833" i="3"/>
  <c r="I1833" i="3"/>
  <c r="H1833" i="3"/>
  <c r="G1833" i="3"/>
  <c r="F1833" i="3"/>
  <c r="D1833" i="3"/>
  <c r="C1833" i="3"/>
  <c r="B1833" i="3"/>
  <c r="A1833" i="3"/>
  <c r="J1832" i="3"/>
  <c r="I1832" i="3"/>
  <c r="H1832" i="3"/>
  <c r="G1832" i="3"/>
  <c r="F1832" i="3"/>
  <c r="D1832" i="3"/>
  <c r="C1832" i="3"/>
  <c r="B1832" i="3"/>
  <c r="A1832" i="3"/>
  <c r="J1831" i="3"/>
  <c r="I1831" i="3"/>
  <c r="H1831" i="3"/>
  <c r="G1831" i="3"/>
  <c r="F1831" i="3"/>
  <c r="D1831" i="3"/>
  <c r="C1831" i="3"/>
  <c r="B1831" i="3"/>
  <c r="A1831" i="3"/>
  <c r="J1830" i="3"/>
  <c r="I1830" i="3"/>
  <c r="H1830" i="3"/>
  <c r="G1830" i="3"/>
  <c r="F1830" i="3"/>
  <c r="D1830" i="3"/>
  <c r="C1830" i="3"/>
  <c r="B1830" i="3"/>
  <c r="A1830" i="3"/>
  <c r="J1829" i="3"/>
  <c r="I1829" i="3"/>
  <c r="H1829" i="3"/>
  <c r="G1829" i="3"/>
  <c r="F1829" i="3"/>
  <c r="D1829" i="3"/>
  <c r="C1829" i="3"/>
  <c r="B1829" i="3"/>
  <c r="A1829" i="3"/>
  <c r="J1828" i="3"/>
  <c r="I1828" i="3"/>
  <c r="H1828" i="3"/>
  <c r="G1828" i="3"/>
  <c r="F1828" i="3"/>
  <c r="D1828" i="3"/>
  <c r="C1828" i="3"/>
  <c r="B1828" i="3"/>
  <c r="A1828" i="3"/>
  <c r="J1827" i="3"/>
  <c r="I1827" i="3"/>
  <c r="H1827" i="3"/>
  <c r="G1827" i="3"/>
  <c r="F1827" i="3"/>
  <c r="D1827" i="3"/>
  <c r="C1827" i="3"/>
  <c r="B1827" i="3"/>
  <c r="A1827" i="3"/>
  <c r="J1826" i="3"/>
  <c r="I1826" i="3"/>
  <c r="H1826" i="3"/>
  <c r="G1826" i="3"/>
  <c r="F1826" i="3"/>
  <c r="D1826" i="3"/>
  <c r="C1826" i="3"/>
  <c r="B1826" i="3"/>
  <c r="A1826" i="3"/>
  <c r="J1825" i="3"/>
  <c r="I1825" i="3"/>
  <c r="H1825" i="3"/>
  <c r="G1825" i="3"/>
  <c r="F1825" i="3"/>
  <c r="D1825" i="3"/>
  <c r="C1825" i="3"/>
  <c r="B1825" i="3"/>
  <c r="A1825" i="3"/>
  <c r="J1824" i="3"/>
  <c r="I1824" i="3"/>
  <c r="H1824" i="3"/>
  <c r="G1824" i="3"/>
  <c r="F1824" i="3"/>
  <c r="D1824" i="3"/>
  <c r="C1824" i="3"/>
  <c r="B1824" i="3"/>
  <c r="A1824" i="3"/>
  <c r="J1823" i="3"/>
  <c r="I1823" i="3"/>
  <c r="H1823" i="3"/>
  <c r="G1823" i="3"/>
  <c r="F1823" i="3"/>
  <c r="D1823" i="3"/>
  <c r="C1823" i="3"/>
  <c r="B1823" i="3"/>
  <c r="A1823" i="3"/>
  <c r="J1822" i="3"/>
  <c r="I1822" i="3"/>
  <c r="H1822" i="3"/>
  <c r="G1822" i="3"/>
  <c r="F1822" i="3"/>
  <c r="D1822" i="3"/>
  <c r="C1822" i="3"/>
  <c r="B1822" i="3"/>
  <c r="A1822" i="3"/>
  <c r="J1821" i="3"/>
  <c r="I1821" i="3"/>
  <c r="H1821" i="3"/>
  <c r="G1821" i="3"/>
  <c r="F1821" i="3"/>
  <c r="D1821" i="3"/>
  <c r="C1821" i="3"/>
  <c r="B1821" i="3"/>
  <c r="A1821" i="3"/>
  <c r="J1820" i="3"/>
  <c r="I1820" i="3"/>
  <c r="H1820" i="3"/>
  <c r="G1820" i="3"/>
  <c r="F1820" i="3"/>
  <c r="D1820" i="3"/>
  <c r="C1820" i="3"/>
  <c r="B1820" i="3"/>
  <c r="A1820" i="3"/>
  <c r="J1819" i="3"/>
  <c r="I1819" i="3"/>
  <c r="H1819" i="3"/>
  <c r="G1819" i="3"/>
  <c r="F1819" i="3"/>
  <c r="D1819" i="3"/>
  <c r="C1819" i="3"/>
  <c r="B1819" i="3"/>
  <c r="A1819" i="3"/>
  <c r="J1818" i="3"/>
  <c r="I1818" i="3"/>
  <c r="H1818" i="3"/>
  <c r="G1818" i="3"/>
  <c r="F1818" i="3"/>
  <c r="D1818" i="3"/>
  <c r="C1818" i="3"/>
  <c r="B1818" i="3"/>
  <c r="A1818" i="3"/>
  <c r="J1817" i="3"/>
  <c r="I1817" i="3"/>
  <c r="H1817" i="3"/>
  <c r="G1817" i="3"/>
  <c r="F1817" i="3"/>
  <c r="D1817" i="3"/>
  <c r="C1817" i="3"/>
  <c r="B1817" i="3"/>
  <c r="A1817" i="3"/>
  <c r="J1816" i="3"/>
  <c r="I1816" i="3"/>
  <c r="H1816" i="3"/>
  <c r="G1816" i="3"/>
  <c r="F1816" i="3"/>
  <c r="D1816" i="3"/>
  <c r="C1816" i="3"/>
  <c r="B1816" i="3"/>
  <c r="A1816" i="3"/>
  <c r="J1815" i="3"/>
  <c r="I1815" i="3"/>
  <c r="H1815" i="3"/>
  <c r="G1815" i="3"/>
  <c r="F1815" i="3"/>
  <c r="D1815" i="3"/>
  <c r="C1815" i="3"/>
  <c r="B1815" i="3"/>
  <c r="A1815" i="3"/>
  <c r="J1814" i="3"/>
  <c r="I1814" i="3"/>
  <c r="H1814" i="3"/>
  <c r="G1814" i="3"/>
  <c r="F1814" i="3"/>
  <c r="D1814" i="3"/>
  <c r="C1814" i="3"/>
  <c r="B1814" i="3"/>
  <c r="A1814" i="3"/>
  <c r="J1813" i="3"/>
  <c r="I1813" i="3"/>
  <c r="H1813" i="3"/>
  <c r="G1813" i="3"/>
  <c r="F1813" i="3"/>
  <c r="D1813" i="3"/>
  <c r="C1813" i="3"/>
  <c r="B1813" i="3"/>
  <c r="A1813" i="3"/>
  <c r="J1812" i="3"/>
  <c r="I1812" i="3"/>
  <c r="H1812" i="3"/>
  <c r="G1812" i="3"/>
  <c r="F1812" i="3"/>
  <c r="D1812" i="3"/>
  <c r="C1812" i="3"/>
  <c r="B1812" i="3"/>
  <c r="A1812" i="3"/>
  <c r="J1811" i="3"/>
  <c r="I1811" i="3"/>
  <c r="H1811" i="3"/>
  <c r="G1811" i="3"/>
  <c r="F1811" i="3"/>
  <c r="D1811" i="3"/>
  <c r="C1811" i="3"/>
  <c r="B1811" i="3"/>
  <c r="A1811" i="3"/>
  <c r="J1810" i="3"/>
  <c r="I1810" i="3"/>
  <c r="H1810" i="3"/>
  <c r="G1810" i="3"/>
  <c r="F1810" i="3"/>
  <c r="D1810" i="3"/>
  <c r="C1810" i="3"/>
  <c r="B1810" i="3"/>
  <c r="A1810" i="3"/>
  <c r="J1809" i="3"/>
  <c r="I1809" i="3"/>
  <c r="H1809" i="3"/>
  <c r="G1809" i="3"/>
  <c r="F1809" i="3"/>
  <c r="D1809" i="3"/>
  <c r="C1809" i="3"/>
  <c r="B1809" i="3"/>
  <c r="A1809" i="3"/>
  <c r="J1808" i="3"/>
  <c r="I1808" i="3"/>
  <c r="H1808" i="3"/>
  <c r="G1808" i="3"/>
  <c r="F1808" i="3"/>
  <c r="D1808" i="3"/>
  <c r="C1808" i="3"/>
  <c r="B1808" i="3"/>
  <c r="A1808" i="3"/>
  <c r="J1807" i="3"/>
  <c r="I1807" i="3"/>
  <c r="H1807" i="3"/>
  <c r="G1807" i="3"/>
  <c r="F1807" i="3"/>
  <c r="D1807" i="3"/>
  <c r="C1807" i="3"/>
  <c r="B1807" i="3"/>
  <c r="A1807" i="3"/>
  <c r="J1806" i="3"/>
  <c r="I1806" i="3"/>
  <c r="H1806" i="3"/>
  <c r="G1806" i="3"/>
  <c r="F1806" i="3"/>
  <c r="D1806" i="3"/>
  <c r="C1806" i="3"/>
  <c r="B1806" i="3"/>
  <c r="A1806" i="3"/>
  <c r="J1805" i="3"/>
  <c r="I1805" i="3"/>
  <c r="H1805" i="3"/>
  <c r="G1805" i="3"/>
  <c r="F1805" i="3"/>
  <c r="D1805" i="3"/>
  <c r="C1805" i="3"/>
  <c r="B1805" i="3"/>
  <c r="A1805" i="3"/>
  <c r="J1804" i="3"/>
  <c r="I1804" i="3"/>
  <c r="H1804" i="3"/>
  <c r="G1804" i="3"/>
  <c r="F1804" i="3"/>
  <c r="D1804" i="3"/>
  <c r="C1804" i="3"/>
  <c r="B1804" i="3"/>
  <c r="A1804" i="3"/>
  <c r="J1803" i="3"/>
  <c r="I1803" i="3"/>
  <c r="H1803" i="3"/>
  <c r="G1803" i="3"/>
  <c r="F1803" i="3"/>
  <c r="D1803" i="3"/>
  <c r="C1803" i="3"/>
  <c r="B1803" i="3"/>
  <c r="A1803" i="3"/>
  <c r="J1802" i="3"/>
  <c r="I1802" i="3"/>
  <c r="H1802" i="3"/>
  <c r="G1802" i="3"/>
  <c r="F1802" i="3"/>
  <c r="D1802" i="3"/>
  <c r="C1802" i="3"/>
  <c r="B1802" i="3"/>
  <c r="A1802" i="3"/>
  <c r="J1801" i="3"/>
  <c r="I1801" i="3"/>
  <c r="H1801" i="3"/>
  <c r="G1801" i="3"/>
  <c r="F1801" i="3"/>
  <c r="D1801" i="3"/>
  <c r="C1801" i="3"/>
  <c r="B1801" i="3"/>
  <c r="A1801" i="3"/>
  <c r="J1800" i="3"/>
  <c r="I1800" i="3"/>
  <c r="H1800" i="3"/>
  <c r="G1800" i="3"/>
  <c r="F1800" i="3"/>
  <c r="D1800" i="3"/>
  <c r="C1800" i="3"/>
  <c r="B1800" i="3"/>
  <c r="A1800" i="3"/>
  <c r="J1799" i="3"/>
  <c r="I1799" i="3"/>
  <c r="H1799" i="3"/>
  <c r="G1799" i="3"/>
  <c r="F1799" i="3"/>
  <c r="D1799" i="3"/>
  <c r="C1799" i="3"/>
  <c r="B1799" i="3"/>
  <c r="A1799" i="3"/>
  <c r="J1798" i="3"/>
  <c r="I1798" i="3"/>
  <c r="H1798" i="3"/>
  <c r="G1798" i="3"/>
  <c r="F1798" i="3"/>
  <c r="D1798" i="3"/>
  <c r="C1798" i="3"/>
  <c r="B1798" i="3"/>
  <c r="A1798" i="3"/>
  <c r="J1797" i="3"/>
  <c r="I1797" i="3"/>
  <c r="H1797" i="3"/>
  <c r="G1797" i="3"/>
  <c r="F1797" i="3"/>
  <c r="D1797" i="3"/>
  <c r="C1797" i="3"/>
  <c r="B1797" i="3"/>
  <c r="A1797" i="3"/>
  <c r="J1796" i="3"/>
  <c r="I1796" i="3"/>
  <c r="H1796" i="3"/>
  <c r="G1796" i="3"/>
  <c r="F1796" i="3"/>
  <c r="D1796" i="3"/>
  <c r="C1796" i="3"/>
  <c r="B1796" i="3"/>
  <c r="A1796" i="3"/>
  <c r="J1795" i="3"/>
  <c r="I1795" i="3"/>
  <c r="H1795" i="3"/>
  <c r="G1795" i="3"/>
  <c r="F1795" i="3"/>
  <c r="D1795" i="3"/>
  <c r="C1795" i="3"/>
  <c r="B1795" i="3"/>
  <c r="A1795" i="3"/>
  <c r="J1794" i="3"/>
  <c r="I1794" i="3"/>
  <c r="H1794" i="3"/>
  <c r="G1794" i="3"/>
  <c r="F1794" i="3"/>
  <c r="D1794" i="3"/>
  <c r="C1794" i="3"/>
  <c r="B1794" i="3"/>
  <c r="A1794" i="3"/>
  <c r="J1793" i="3"/>
  <c r="I1793" i="3"/>
  <c r="H1793" i="3"/>
  <c r="G1793" i="3"/>
  <c r="F1793" i="3"/>
  <c r="D1793" i="3"/>
  <c r="C1793" i="3"/>
  <c r="B1793" i="3"/>
  <c r="A1793" i="3"/>
  <c r="J1792" i="3"/>
  <c r="I1792" i="3"/>
  <c r="H1792" i="3"/>
  <c r="G1792" i="3"/>
  <c r="F1792" i="3"/>
  <c r="D1792" i="3"/>
  <c r="C1792" i="3"/>
  <c r="B1792" i="3"/>
  <c r="A1792" i="3"/>
  <c r="J1791" i="3"/>
  <c r="I1791" i="3"/>
  <c r="H1791" i="3"/>
  <c r="G1791" i="3"/>
  <c r="F1791" i="3"/>
  <c r="D1791" i="3"/>
  <c r="C1791" i="3"/>
  <c r="B1791" i="3"/>
  <c r="A1791" i="3"/>
  <c r="J1790" i="3"/>
  <c r="I1790" i="3"/>
  <c r="H1790" i="3"/>
  <c r="G1790" i="3"/>
  <c r="F1790" i="3"/>
  <c r="D1790" i="3"/>
  <c r="C1790" i="3"/>
  <c r="B1790" i="3"/>
  <c r="A1790" i="3"/>
  <c r="J1789" i="3"/>
  <c r="I1789" i="3"/>
  <c r="H1789" i="3"/>
  <c r="G1789" i="3"/>
  <c r="F1789" i="3"/>
  <c r="D1789" i="3"/>
  <c r="C1789" i="3"/>
  <c r="B1789" i="3"/>
  <c r="A1789" i="3"/>
  <c r="J1788" i="3"/>
  <c r="I1788" i="3"/>
  <c r="H1788" i="3"/>
  <c r="G1788" i="3"/>
  <c r="F1788" i="3"/>
  <c r="D1788" i="3"/>
  <c r="C1788" i="3"/>
  <c r="B1788" i="3"/>
  <c r="A1788" i="3"/>
  <c r="J1787" i="3"/>
  <c r="I1787" i="3"/>
  <c r="H1787" i="3"/>
  <c r="G1787" i="3"/>
  <c r="F1787" i="3"/>
  <c r="D1787" i="3"/>
  <c r="C1787" i="3"/>
  <c r="B1787" i="3"/>
  <c r="A1787" i="3"/>
  <c r="J1786" i="3"/>
  <c r="I1786" i="3"/>
  <c r="H1786" i="3"/>
  <c r="G1786" i="3"/>
  <c r="F1786" i="3"/>
  <c r="D1786" i="3"/>
  <c r="C1786" i="3"/>
  <c r="B1786" i="3"/>
  <c r="A1786" i="3"/>
  <c r="J1785" i="3"/>
  <c r="I1785" i="3"/>
  <c r="H1785" i="3"/>
  <c r="G1785" i="3"/>
  <c r="F1785" i="3"/>
  <c r="D1785" i="3"/>
  <c r="C1785" i="3"/>
  <c r="B1785" i="3"/>
  <c r="A1785" i="3"/>
  <c r="J1784" i="3"/>
  <c r="I1784" i="3"/>
  <c r="H1784" i="3"/>
  <c r="G1784" i="3"/>
  <c r="F1784" i="3"/>
  <c r="D1784" i="3"/>
  <c r="C1784" i="3"/>
  <c r="B1784" i="3"/>
  <c r="A1784" i="3"/>
  <c r="J1783" i="3"/>
  <c r="I1783" i="3"/>
  <c r="H1783" i="3"/>
  <c r="G1783" i="3"/>
  <c r="F1783" i="3"/>
  <c r="D1783" i="3"/>
  <c r="C1783" i="3"/>
  <c r="B1783" i="3"/>
  <c r="A1783" i="3"/>
  <c r="J1782" i="3"/>
  <c r="I1782" i="3"/>
  <c r="H1782" i="3"/>
  <c r="G1782" i="3"/>
  <c r="F1782" i="3"/>
  <c r="D1782" i="3"/>
  <c r="C1782" i="3"/>
  <c r="B1782" i="3"/>
  <c r="A1782" i="3"/>
  <c r="J1781" i="3"/>
  <c r="I1781" i="3"/>
  <c r="H1781" i="3"/>
  <c r="G1781" i="3"/>
  <c r="F1781" i="3"/>
  <c r="D1781" i="3"/>
  <c r="C1781" i="3"/>
  <c r="B1781" i="3"/>
  <c r="A1781" i="3"/>
  <c r="J1780" i="3"/>
  <c r="I1780" i="3"/>
  <c r="H1780" i="3"/>
  <c r="G1780" i="3"/>
  <c r="F1780" i="3"/>
  <c r="D1780" i="3"/>
  <c r="C1780" i="3"/>
  <c r="B1780" i="3"/>
  <c r="A1780" i="3"/>
  <c r="J1779" i="3"/>
  <c r="I1779" i="3"/>
  <c r="H1779" i="3"/>
  <c r="G1779" i="3"/>
  <c r="F1779" i="3"/>
  <c r="D1779" i="3"/>
  <c r="C1779" i="3"/>
  <c r="B1779" i="3"/>
  <c r="A1779" i="3"/>
  <c r="J1778" i="3"/>
  <c r="I1778" i="3"/>
  <c r="H1778" i="3"/>
  <c r="G1778" i="3"/>
  <c r="F1778" i="3"/>
  <c r="D1778" i="3"/>
  <c r="C1778" i="3"/>
  <c r="B1778" i="3"/>
  <c r="A1778" i="3"/>
  <c r="J1777" i="3"/>
  <c r="I1777" i="3"/>
  <c r="H1777" i="3"/>
  <c r="G1777" i="3"/>
  <c r="F1777" i="3"/>
  <c r="D1777" i="3"/>
  <c r="C1777" i="3"/>
  <c r="B1777" i="3"/>
  <c r="A1777" i="3"/>
  <c r="J1776" i="3"/>
  <c r="I1776" i="3"/>
  <c r="H1776" i="3"/>
  <c r="G1776" i="3"/>
  <c r="F1776" i="3"/>
  <c r="D1776" i="3"/>
  <c r="C1776" i="3"/>
  <c r="B1776" i="3"/>
  <c r="A1776" i="3"/>
  <c r="J1775" i="3"/>
  <c r="I1775" i="3"/>
  <c r="H1775" i="3"/>
  <c r="G1775" i="3"/>
  <c r="F1775" i="3"/>
  <c r="D1775" i="3"/>
  <c r="C1775" i="3"/>
  <c r="B1775" i="3"/>
  <c r="A1775" i="3"/>
  <c r="J1774" i="3"/>
  <c r="I1774" i="3"/>
  <c r="H1774" i="3"/>
  <c r="G1774" i="3"/>
  <c r="F1774" i="3"/>
  <c r="D1774" i="3"/>
  <c r="C1774" i="3"/>
  <c r="B1774" i="3"/>
  <c r="A1774" i="3"/>
  <c r="J1773" i="3"/>
  <c r="I1773" i="3"/>
  <c r="H1773" i="3"/>
  <c r="G1773" i="3"/>
  <c r="F1773" i="3"/>
  <c r="D1773" i="3"/>
  <c r="C1773" i="3"/>
  <c r="B1773" i="3"/>
  <c r="A1773" i="3"/>
  <c r="J1772" i="3"/>
  <c r="I1772" i="3"/>
  <c r="H1772" i="3"/>
  <c r="G1772" i="3"/>
  <c r="F1772" i="3"/>
  <c r="D1772" i="3"/>
  <c r="C1772" i="3"/>
  <c r="B1772" i="3"/>
  <c r="A1772" i="3"/>
  <c r="J1771" i="3"/>
  <c r="I1771" i="3"/>
  <c r="H1771" i="3"/>
  <c r="G1771" i="3"/>
  <c r="F1771" i="3"/>
  <c r="D1771" i="3"/>
  <c r="C1771" i="3"/>
  <c r="B1771" i="3"/>
  <c r="A1771" i="3"/>
  <c r="J1770" i="3"/>
  <c r="I1770" i="3"/>
  <c r="H1770" i="3"/>
  <c r="G1770" i="3"/>
  <c r="F1770" i="3"/>
  <c r="D1770" i="3"/>
  <c r="C1770" i="3"/>
  <c r="B1770" i="3"/>
  <c r="A1770" i="3"/>
  <c r="J1769" i="3"/>
  <c r="I1769" i="3"/>
  <c r="H1769" i="3"/>
  <c r="G1769" i="3"/>
  <c r="F1769" i="3"/>
  <c r="D1769" i="3"/>
  <c r="C1769" i="3"/>
  <c r="B1769" i="3"/>
  <c r="A1769" i="3"/>
  <c r="J1768" i="3"/>
  <c r="I1768" i="3"/>
  <c r="H1768" i="3"/>
  <c r="G1768" i="3"/>
  <c r="F1768" i="3"/>
  <c r="D1768" i="3"/>
  <c r="C1768" i="3"/>
  <c r="B1768" i="3"/>
  <c r="A1768" i="3"/>
  <c r="J1767" i="3"/>
  <c r="I1767" i="3"/>
  <c r="H1767" i="3"/>
  <c r="G1767" i="3"/>
  <c r="F1767" i="3"/>
  <c r="D1767" i="3"/>
  <c r="C1767" i="3"/>
  <c r="B1767" i="3"/>
  <c r="A1767" i="3"/>
  <c r="J1766" i="3"/>
  <c r="I1766" i="3"/>
  <c r="H1766" i="3"/>
  <c r="G1766" i="3"/>
  <c r="F1766" i="3"/>
  <c r="D1766" i="3"/>
  <c r="C1766" i="3"/>
  <c r="B1766" i="3"/>
  <c r="A1766" i="3"/>
  <c r="J1765" i="3"/>
  <c r="I1765" i="3"/>
  <c r="H1765" i="3"/>
  <c r="G1765" i="3"/>
  <c r="F1765" i="3"/>
  <c r="D1765" i="3"/>
  <c r="C1765" i="3"/>
  <c r="B1765" i="3"/>
  <c r="A1765" i="3"/>
  <c r="J1764" i="3"/>
  <c r="I1764" i="3"/>
  <c r="H1764" i="3"/>
  <c r="G1764" i="3"/>
  <c r="F1764" i="3"/>
  <c r="D1764" i="3"/>
  <c r="C1764" i="3"/>
  <c r="B1764" i="3"/>
  <c r="A1764" i="3"/>
  <c r="J1763" i="3"/>
  <c r="I1763" i="3"/>
  <c r="H1763" i="3"/>
  <c r="G1763" i="3"/>
  <c r="F1763" i="3"/>
  <c r="D1763" i="3"/>
  <c r="C1763" i="3"/>
  <c r="B1763" i="3"/>
  <c r="A1763" i="3"/>
  <c r="J1762" i="3"/>
  <c r="I1762" i="3"/>
  <c r="H1762" i="3"/>
  <c r="G1762" i="3"/>
  <c r="F1762" i="3"/>
  <c r="D1762" i="3"/>
  <c r="C1762" i="3"/>
  <c r="B1762" i="3"/>
  <c r="A1762" i="3"/>
  <c r="J1761" i="3"/>
  <c r="I1761" i="3"/>
  <c r="H1761" i="3"/>
  <c r="G1761" i="3"/>
  <c r="F1761" i="3"/>
  <c r="D1761" i="3"/>
  <c r="C1761" i="3"/>
  <c r="B1761" i="3"/>
  <c r="A1761" i="3"/>
  <c r="J1760" i="3"/>
  <c r="I1760" i="3"/>
  <c r="H1760" i="3"/>
  <c r="G1760" i="3"/>
  <c r="F1760" i="3"/>
  <c r="D1760" i="3"/>
  <c r="C1760" i="3"/>
  <c r="B1760" i="3"/>
  <c r="A1760" i="3"/>
  <c r="J1759" i="3"/>
  <c r="I1759" i="3"/>
  <c r="H1759" i="3"/>
  <c r="G1759" i="3"/>
  <c r="F1759" i="3"/>
  <c r="D1759" i="3"/>
  <c r="C1759" i="3"/>
  <c r="B1759" i="3"/>
  <c r="A1759" i="3"/>
  <c r="J1758" i="3"/>
  <c r="I1758" i="3"/>
  <c r="H1758" i="3"/>
  <c r="G1758" i="3"/>
  <c r="F1758" i="3"/>
  <c r="D1758" i="3"/>
  <c r="C1758" i="3"/>
  <c r="B1758" i="3"/>
  <c r="A1758" i="3"/>
  <c r="J1757" i="3"/>
  <c r="I1757" i="3"/>
  <c r="H1757" i="3"/>
  <c r="G1757" i="3"/>
  <c r="F1757" i="3"/>
  <c r="D1757" i="3"/>
  <c r="C1757" i="3"/>
  <c r="B1757" i="3"/>
  <c r="A1757" i="3"/>
  <c r="J1756" i="3"/>
  <c r="I1756" i="3"/>
  <c r="H1756" i="3"/>
  <c r="G1756" i="3"/>
  <c r="F1756" i="3"/>
  <c r="D1756" i="3"/>
  <c r="C1756" i="3"/>
  <c r="B1756" i="3"/>
  <c r="A1756" i="3"/>
  <c r="J1755" i="3"/>
  <c r="I1755" i="3"/>
  <c r="H1755" i="3"/>
  <c r="G1755" i="3"/>
  <c r="F1755" i="3"/>
  <c r="D1755" i="3"/>
  <c r="C1755" i="3"/>
  <c r="B1755" i="3"/>
  <c r="A1755" i="3"/>
  <c r="J1754" i="3"/>
  <c r="I1754" i="3"/>
  <c r="H1754" i="3"/>
  <c r="G1754" i="3"/>
  <c r="F1754" i="3"/>
  <c r="D1754" i="3"/>
  <c r="C1754" i="3"/>
  <c r="B1754" i="3"/>
  <c r="A1754" i="3"/>
  <c r="J1753" i="3"/>
  <c r="I1753" i="3"/>
  <c r="H1753" i="3"/>
  <c r="G1753" i="3"/>
  <c r="F1753" i="3"/>
  <c r="D1753" i="3"/>
  <c r="C1753" i="3"/>
  <c r="B1753" i="3"/>
  <c r="A1753" i="3"/>
  <c r="J1752" i="3"/>
  <c r="I1752" i="3"/>
  <c r="H1752" i="3"/>
  <c r="G1752" i="3"/>
  <c r="F1752" i="3"/>
  <c r="D1752" i="3"/>
  <c r="C1752" i="3"/>
  <c r="B1752" i="3"/>
  <c r="A1752" i="3"/>
  <c r="J1751" i="3"/>
  <c r="I1751" i="3"/>
  <c r="H1751" i="3"/>
  <c r="G1751" i="3"/>
  <c r="F1751" i="3"/>
  <c r="D1751" i="3"/>
  <c r="C1751" i="3"/>
  <c r="B1751" i="3"/>
  <c r="A1751" i="3"/>
  <c r="J1750" i="3"/>
  <c r="I1750" i="3"/>
  <c r="H1750" i="3"/>
  <c r="G1750" i="3"/>
  <c r="F1750" i="3"/>
  <c r="D1750" i="3"/>
  <c r="C1750" i="3"/>
  <c r="B1750" i="3"/>
  <c r="A1750" i="3"/>
  <c r="J1749" i="3"/>
  <c r="I1749" i="3"/>
  <c r="H1749" i="3"/>
  <c r="G1749" i="3"/>
  <c r="F1749" i="3"/>
  <c r="D1749" i="3"/>
  <c r="C1749" i="3"/>
  <c r="B1749" i="3"/>
  <c r="A1749" i="3"/>
  <c r="J1748" i="3"/>
  <c r="I1748" i="3"/>
  <c r="H1748" i="3"/>
  <c r="G1748" i="3"/>
  <c r="F1748" i="3"/>
  <c r="D1748" i="3"/>
  <c r="C1748" i="3"/>
  <c r="B1748" i="3"/>
  <c r="A1748" i="3"/>
  <c r="J1747" i="3"/>
  <c r="I1747" i="3"/>
  <c r="H1747" i="3"/>
  <c r="G1747" i="3"/>
  <c r="F1747" i="3"/>
  <c r="D1747" i="3"/>
  <c r="C1747" i="3"/>
  <c r="B1747" i="3"/>
  <c r="A1747" i="3"/>
  <c r="J1746" i="3"/>
  <c r="I1746" i="3"/>
  <c r="H1746" i="3"/>
  <c r="G1746" i="3"/>
  <c r="F1746" i="3"/>
  <c r="D1746" i="3"/>
  <c r="C1746" i="3"/>
  <c r="B1746" i="3"/>
  <c r="A1746" i="3"/>
  <c r="J1745" i="3"/>
  <c r="I1745" i="3"/>
  <c r="H1745" i="3"/>
  <c r="G1745" i="3"/>
  <c r="F1745" i="3"/>
  <c r="D1745" i="3"/>
  <c r="C1745" i="3"/>
  <c r="B1745" i="3"/>
  <c r="A1745" i="3"/>
  <c r="J1744" i="3"/>
  <c r="I1744" i="3"/>
  <c r="H1744" i="3"/>
  <c r="G1744" i="3"/>
  <c r="F1744" i="3"/>
  <c r="D1744" i="3"/>
  <c r="C1744" i="3"/>
  <c r="B1744" i="3"/>
  <c r="A1744" i="3"/>
  <c r="J1743" i="3"/>
  <c r="I1743" i="3"/>
  <c r="H1743" i="3"/>
  <c r="G1743" i="3"/>
  <c r="F1743" i="3"/>
  <c r="D1743" i="3"/>
  <c r="C1743" i="3"/>
  <c r="B1743" i="3"/>
  <c r="A1743" i="3"/>
  <c r="J1742" i="3"/>
  <c r="I1742" i="3"/>
  <c r="H1742" i="3"/>
  <c r="G1742" i="3"/>
  <c r="F1742" i="3"/>
  <c r="D1742" i="3"/>
  <c r="C1742" i="3"/>
  <c r="B1742" i="3"/>
  <c r="A1742" i="3"/>
  <c r="J1741" i="3"/>
  <c r="I1741" i="3"/>
  <c r="H1741" i="3"/>
  <c r="G1741" i="3"/>
  <c r="F1741" i="3"/>
  <c r="D1741" i="3"/>
  <c r="C1741" i="3"/>
  <c r="B1741" i="3"/>
  <c r="A1741" i="3"/>
  <c r="J1740" i="3"/>
  <c r="I1740" i="3"/>
  <c r="H1740" i="3"/>
  <c r="G1740" i="3"/>
  <c r="F1740" i="3"/>
  <c r="D1740" i="3"/>
  <c r="C1740" i="3"/>
  <c r="B1740" i="3"/>
  <c r="A1740" i="3"/>
  <c r="J1739" i="3"/>
  <c r="I1739" i="3"/>
  <c r="H1739" i="3"/>
  <c r="G1739" i="3"/>
  <c r="F1739" i="3"/>
  <c r="D1739" i="3"/>
  <c r="C1739" i="3"/>
  <c r="B1739" i="3"/>
  <c r="A1739" i="3"/>
  <c r="J1738" i="3"/>
  <c r="I1738" i="3"/>
  <c r="H1738" i="3"/>
  <c r="G1738" i="3"/>
  <c r="F1738" i="3"/>
  <c r="D1738" i="3"/>
  <c r="C1738" i="3"/>
  <c r="B1738" i="3"/>
  <c r="A1738" i="3"/>
  <c r="J1737" i="3"/>
  <c r="I1737" i="3"/>
  <c r="H1737" i="3"/>
  <c r="G1737" i="3"/>
  <c r="F1737" i="3"/>
  <c r="D1737" i="3"/>
  <c r="C1737" i="3"/>
  <c r="B1737" i="3"/>
  <c r="A1737" i="3"/>
  <c r="J1736" i="3"/>
  <c r="I1736" i="3"/>
  <c r="H1736" i="3"/>
  <c r="G1736" i="3"/>
  <c r="F1736" i="3"/>
  <c r="D1736" i="3"/>
  <c r="C1736" i="3"/>
  <c r="B1736" i="3"/>
  <c r="A1736" i="3"/>
  <c r="J1735" i="3"/>
  <c r="I1735" i="3"/>
  <c r="H1735" i="3"/>
  <c r="G1735" i="3"/>
  <c r="F1735" i="3"/>
  <c r="D1735" i="3"/>
  <c r="C1735" i="3"/>
  <c r="B1735" i="3"/>
  <c r="A1735" i="3"/>
  <c r="J1734" i="3"/>
  <c r="I1734" i="3"/>
  <c r="H1734" i="3"/>
  <c r="G1734" i="3"/>
  <c r="F1734" i="3"/>
  <c r="D1734" i="3"/>
  <c r="C1734" i="3"/>
  <c r="B1734" i="3"/>
  <c r="A1734" i="3"/>
  <c r="J1733" i="3"/>
  <c r="I1733" i="3"/>
  <c r="H1733" i="3"/>
  <c r="G1733" i="3"/>
  <c r="F1733" i="3"/>
  <c r="D1733" i="3"/>
  <c r="C1733" i="3"/>
  <c r="B1733" i="3"/>
  <c r="A1733" i="3"/>
  <c r="J1732" i="3"/>
  <c r="I1732" i="3"/>
  <c r="H1732" i="3"/>
  <c r="G1732" i="3"/>
  <c r="F1732" i="3"/>
  <c r="D1732" i="3"/>
  <c r="C1732" i="3"/>
  <c r="B1732" i="3"/>
  <c r="A1732" i="3"/>
  <c r="J1731" i="3"/>
  <c r="I1731" i="3"/>
  <c r="H1731" i="3"/>
  <c r="G1731" i="3"/>
  <c r="F1731" i="3"/>
  <c r="D1731" i="3"/>
  <c r="C1731" i="3"/>
  <c r="B1731" i="3"/>
  <c r="A1731" i="3"/>
  <c r="J1730" i="3"/>
  <c r="I1730" i="3"/>
  <c r="H1730" i="3"/>
  <c r="G1730" i="3"/>
  <c r="F1730" i="3"/>
  <c r="D1730" i="3"/>
  <c r="C1730" i="3"/>
  <c r="B1730" i="3"/>
  <c r="A1730" i="3"/>
  <c r="J1729" i="3"/>
  <c r="I1729" i="3"/>
  <c r="H1729" i="3"/>
  <c r="G1729" i="3"/>
  <c r="F1729" i="3"/>
  <c r="D1729" i="3"/>
  <c r="C1729" i="3"/>
  <c r="B1729" i="3"/>
  <c r="A1729" i="3"/>
  <c r="J1728" i="3"/>
  <c r="I1728" i="3"/>
  <c r="H1728" i="3"/>
  <c r="G1728" i="3"/>
  <c r="F1728" i="3"/>
  <c r="D1728" i="3"/>
  <c r="C1728" i="3"/>
  <c r="B1728" i="3"/>
  <c r="A1728" i="3"/>
  <c r="J1727" i="3"/>
  <c r="I1727" i="3"/>
  <c r="H1727" i="3"/>
  <c r="G1727" i="3"/>
  <c r="F1727" i="3"/>
  <c r="D1727" i="3"/>
  <c r="C1727" i="3"/>
  <c r="B1727" i="3"/>
  <c r="A1727" i="3"/>
  <c r="J1726" i="3"/>
  <c r="I1726" i="3"/>
  <c r="H1726" i="3"/>
  <c r="G1726" i="3"/>
  <c r="F1726" i="3"/>
  <c r="D1726" i="3"/>
  <c r="C1726" i="3"/>
  <c r="B1726" i="3"/>
  <c r="A1726" i="3"/>
  <c r="J1725" i="3"/>
  <c r="I1725" i="3"/>
  <c r="H1725" i="3"/>
  <c r="G1725" i="3"/>
  <c r="F1725" i="3"/>
  <c r="D1725" i="3"/>
  <c r="C1725" i="3"/>
  <c r="B1725" i="3"/>
  <c r="A1725" i="3"/>
  <c r="J1724" i="3"/>
  <c r="I1724" i="3"/>
  <c r="H1724" i="3"/>
  <c r="G1724" i="3"/>
  <c r="F1724" i="3"/>
  <c r="D1724" i="3"/>
  <c r="C1724" i="3"/>
  <c r="B1724" i="3"/>
  <c r="A1724" i="3"/>
  <c r="J1723" i="3"/>
  <c r="I1723" i="3"/>
  <c r="H1723" i="3"/>
  <c r="G1723" i="3"/>
  <c r="F1723" i="3"/>
  <c r="D1723" i="3"/>
  <c r="C1723" i="3"/>
  <c r="B1723" i="3"/>
  <c r="A1723" i="3"/>
  <c r="J1722" i="3"/>
  <c r="I1722" i="3"/>
  <c r="H1722" i="3"/>
  <c r="G1722" i="3"/>
  <c r="F1722" i="3"/>
  <c r="D1722" i="3"/>
  <c r="C1722" i="3"/>
  <c r="B1722" i="3"/>
  <c r="A1722" i="3"/>
  <c r="J1721" i="3"/>
  <c r="I1721" i="3"/>
  <c r="H1721" i="3"/>
  <c r="G1721" i="3"/>
  <c r="F1721" i="3"/>
  <c r="D1721" i="3"/>
  <c r="C1721" i="3"/>
  <c r="B1721" i="3"/>
  <c r="A1721" i="3"/>
  <c r="J1720" i="3"/>
  <c r="I1720" i="3"/>
  <c r="H1720" i="3"/>
  <c r="G1720" i="3"/>
  <c r="F1720" i="3"/>
  <c r="D1720" i="3"/>
  <c r="C1720" i="3"/>
  <c r="B1720" i="3"/>
  <c r="A1720" i="3"/>
  <c r="J1719" i="3"/>
  <c r="I1719" i="3"/>
  <c r="H1719" i="3"/>
  <c r="G1719" i="3"/>
  <c r="F1719" i="3"/>
  <c r="D1719" i="3"/>
  <c r="C1719" i="3"/>
  <c r="B1719" i="3"/>
  <c r="A1719" i="3"/>
  <c r="J1718" i="3"/>
  <c r="I1718" i="3"/>
  <c r="H1718" i="3"/>
  <c r="G1718" i="3"/>
  <c r="F1718" i="3"/>
  <c r="D1718" i="3"/>
  <c r="C1718" i="3"/>
  <c r="B1718" i="3"/>
  <c r="A1718" i="3"/>
  <c r="J1717" i="3"/>
  <c r="I1717" i="3"/>
  <c r="H1717" i="3"/>
  <c r="G1717" i="3"/>
  <c r="F1717" i="3"/>
  <c r="D1717" i="3"/>
  <c r="C1717" i="3"/>
  <c r="B1717" i="3"/>
  <c r="A1717" i="3"/>
  <c r="J1716" i="3"/>
  <c r="I1716" i="3"/>
  <c r="H1716" i="3"/>
  <c r="G1716" i="3"/>
  <c r="F1716" i="3"/>
  <c r="D1716" i="3"/>
  <c r="C1716" i="3"/>
  <c r="B1716" i="3"/>
  <c r="A1716" i="3"/>
  <c r="J1715" i="3"/>
  <c r="I1715" i="3"/>
  <c r="H1715" i="3"/>
  <c r="G1715" i="3"/>
  <c r="F1715" i="3"/>
  <c r="D1715" i="3"/>
  <c r="C1715" i="3"/>
  <c r="B1715" i="3"/>
  <c r="A1715" i="3"/>
  <c r="J1714" i="3"/>
  <c r="I1714" i="3"/>
  <c r="H1714" i="3"/>
  <c r="G1714" i="3"/>
  <c r="F1714" i="3"/>
  <c r="D1714" i="3"/>
  <c r="C1714" i="3"/>
  <c r="B1714" i="3"/>
  <c r="A1714" i="3"/>
  <c r="J1713" i="3"/>
  <c r="I1713" i="3"/>
  <c r="H1713" i="3"/>
  <c r="G1713" i="3"/>
  <c r="F1713" i="3"/>
  <c r="D1713" i="3"/>
  <c r="C1713" i="3"/>
  <c r="B1713" i="3"/>
  <c r="A1713" i="3"/>
  <c r="J1712" i="3"/>
  <c r="I1712" i="3"/>
  <c r="H1712" i="3"/>
  <c r="G1712" i="3"/>
  <c r="F1712" i="3"/>
  <c r="D1712" i="3"/>
  <c r="C1712" i="3"/>
  <c r="B1712" i="3"/>
  <c r="A1712" i="3"/>
  <c r="J1711" i="3"/>
  <c r="I1711" i="3"/>
  <c r="H1711" i="3"/>
  <c r="G1711" i="3"/>
  <c r="F1711" i="3"/>
  <c r="D1711" i="3"/>
  <c r="C1711" i="3"/>
  <c r="B1711" i="3"/>
  <c r="A1711" i="3"/>
  <c r="J1710" i="3"/>
  <c r="I1710" i="3"/>
  <c r="H1710" i="3"/>
  <c r="G1710" i="3"/>
  <c r="F1710" i="3"/>
  <c r="D1710" i="3"/>
  <c r="C1710" i="3"/>
  <c r="B1710" i="3"/>
  <c r="A1710" i="3"/>
  <c r="J1709" i="3"/>
  <c r="I1709" i="3"/>
  <c r="H1709" i="3"/>
  <c r="G1709" i="3"/>
  <c r="F1709" i="3"/>
  <c r="D1709" i="3"/>
  <c r="C1709" i="3"/>
  <c r="B1709" i="3"/>
  <c r="A1709" i="3"/>
  <c r="J1708" i="3"/>
  <c r="I1708" i="3"/>
  <c r="H1708" i="3"/>
  <c r="G1708" i="3"/>
  <c r="F1708" i="3"/>
  <c r="D1708" i="3"/>
  <c r="C1708" i="3"/>
  <c r="B1708" i="3"/>
  <c r="A1708" i="3"/>
  <c r="J1707" i="3"/>
  <c r="I1707" i="3"/>
  <c r="H1707" i="3"/>
  <c r="G1707" i="3"/>
  <c r="F1707" i="3"/>
  <c r="D1707" i="3"/>
  <c r="C1707" i="3"/>
  <c r="B1707" i="3"/>
  <c r="A1707" i="3"/>
  <c r="J1706" i="3"/>
  <c r="I1706" i="3"/>
  <c r="H1706" i="3"/>
  <c r="G1706" i="3"/>
  <c r="F1706" i="3"/>
  <c r="D1706" i="3"/>
  <c r="C1706" i="3"/>
  <c r="B1706" i="3"/>
  <c r="A1706" i="3"/>
  <c r="J1705" i="3"/>
  <c r="I1705" i="3"/>
  <c r="H1705" i="3"/>
  <c r="G1705" i="3"/>
  <c r="F1705" i="3"/>
  <c r="D1705" i="3"/>
  <c r="C1705" i="3"/>
  <c r="B1705" i="3"/>
  <c r="A1705" i="3"/>
  <c r="J1704" i="3"/>
  <c r="I1704" i="3"/>
  <c r="H1704" i="3"/>
  <c r="G1704" i="3"/>
  <c r="F1704" i="3"/>
  <c r="D1704" i="3"/>
  <c r="C1704" i="3"/>
  <c r="B1704" i="3"/>
  <c r="A1704" i="3"/>
  <c r="J1703" i="3"/>
  <c r="I1703" i="3"/>
  <c r="H1703" i="3"/>
  <c r="G1703" i="3"/>
  <c r="F1703" i="3"/>
  <c r="D1703" i="3"/>
  <c r="C1703" i="3"/>
  <c r="B1703" i="3"/>
  <c r="A1703" i="3"/>
  <c r="J1702" i="3"/>
  <c r="I1702" i="3"/>
  <c r="H1702" i="3"/>
  <c r="G1702" i="3"/>
  <c r="F1702" i="3"/>
  <c r="D1702" i="3"/>
  <c r="C1702" i="3"/>
  <c r="B1702" i="3"/>
  <c r="A1702" i="3"/>
  <c r="J1701" i="3"/>
  <c r="I1701" i="3"/>
  <c r="H1701" i="3"/>
  <c r="G1701" i="3"/>
  <c r="F1701" i="3"/>
  <c r="D1701" i="3"/>
  <c r="C1701" i="3"/>
  <c r="B1701" i="3"/>
  <c r="A1701" i="3"/>
  <c r="J1700" i="3"/>
  <c r="I1700" i="3"/>
  <c r="H1700" i="3"/>
  <c r="G1700" i="3"/>
  <c r="F1700" i="3"/>
  <c r="D1700" i="3"/>
  <c r="C1700" i="3"/>
  <c r="B1700" i="3"/>
  <c r="A1700" i="3"/>
  <c r="J1699" i="3"/>
  <c r="I1699" i="3"/>
  <c r="H1699" i="3"/>
  <c r="G1699" i="3"/>
  <c r="F1699" i="3"/>
  <c r="D1699" i="3"/>
  <c r="C1699" i="3"/>
  <c r="B1699" i="3"/>
  <c r="A1699" i="3"/>
  <c r="J1698" i="3"/>
  <c r="I1698" i="3"/>
  <c r="H1698" i="3"/>
  <c r="G1698" i="3"/>
  <c r="F1698" i="3"/>
  <c r="D1698" i="3"/>
  <c r="C1698" i="3"/>
  <c r="B1698" i="3"/>
  <c r="A1698" i="3"/>
  <c r="J1697" i="3"/>
  <c r="I1697" i="3"/>
  <c r="H1697" i="3"/>
  <c r="G1697" i="3"/>
  <c r="F1697" i="3"/>
  <c r="D1697" i="3"/>
  <c r="C1697" i="3"/>
  <c r="B1697" i="3"/>
  <c r="A1697" i="3"/>
  <c r="J1696" i="3"/>
  <c r="I1696" i="3"/>
  <c r="H1696" i="3"/>
  <c r="G1696" i="3"/>
  <c r="F1696" i="3"/>
  <c r="D1696" i="3"/>
  <c r="C1696" i="3"/>
  <c r="B1696" i="3"/>
  <c r="A1696" i="3"/>
  <c r="J1695" i="3"/>
  <c r="I1695" i="3"/>
  <c r="H1695" i="3"/>
  <c r="G1695" i="3"/>
  <c r="F1695" i="3"/>
  <c r="D1695" i="3"/>
  <c r="C1695" i="3"/>
  <c r="B1695" i="3"/>
  <c r="A1695" i="3"/>
  <c r="J1694" i="3"/>
  <c r="I1694" i="3"/>
  <c r="H1694" i="3"/>
  <c r="G1694" i="3"/>
  <c r="F1694" i="3"/>
  <c r="D1694" i="3"/>
  <c r="C1694" i="3"/>
  <c r="B1694" i="3"/>
  <c r="A1694" i="3"/>
  <c r="J1693" i="3"/>
  <c r="I1693" i="3"/>
  <c r="H1693" i="3"/>
  <c r="G1693" i="3"/>
  <c r="F1693" i="3"/>
  <c r="D1693" i="3"/>
  <c r="C1693" i="3"/>
  <c r="B1693" i="3"/>
  <c r="A1693" i="3"/>
  <c r="J1692" i="3"/>
  <c r="I1692" i="3"/>
  <c r="H1692" i="3"/>
  <c r="G1692" i="3"/>
  <c r="F1692" i="3"/>
  <c r="D1692" i="3"/>
  <c r="C1692" i="3"/>
  <c r="B1692" i="3"/>
  <c r="A1692" i="3"/>
  <c r="J1691" i="3"/>
  <c r="I1691" i="3"/>
  <c r="H1691" i="3"/>
  <c r="G1691" i="3"/>
  <c r="F1691" i="3"/>
  <c r="D1691" i="3"/>
  <c r="C1691" i="3"/>
  <c r="B1691" i="3"/>
  <c r="A1691" i="3"/>
  <c r="J1690" i="3"/>
  <c r="I1690" i="3"/>
  <c r="H1690" i="3"/>
  <c r="G1690" i="3"/>
  <c r="F1690" i="3"/>
  <c r="D1690" i="3"/>
  <c r="C1690" i="3"/>
  <c r="B1690" i="3"/>
  <c r="A1690" i="3"/>
  <c r="J1689" i="3"/>
  <c r="I1689" i="3"/>
  <c r="H1689" i="3"/>
  <c r="G1689" i="3"/>
  <c r="F1689" i="3"/>
  <c r="D1689" i="3"/>
  <c r="C1689" i="3"/>
  <c r="B1689" i="3"/>
  <c r="A1689" i="3"/>
  <c r="J1688" i="3"/>
  <c r="I1688" i="3"/>
  <c r="H1688" i="3"/>
  <c r="G1688" i="3"/>
  <c r="F1688" i="3"/>
  <c r="D1688" i="3"/>
  <c r="C1688" i="3"/>
  <c r="B1688" i="3"/>
  <c r="A1688" i="3"/>
  <c r="J1687" i="3"/>
  <c r="I1687" i="3"/>
  <c r="H1687" i="3"/>
  <c r="G1687" i="3"/>
  <c r="F1687" i="3"/>
  <c r="D1687" i="3"/>
  <c r="C1687" i="3"/>
  <c r="B1687" i="3"/>
  <c r="A1687" i="3"/>
  <c r="J1686" i="3"/>
  <c r="I1686" i="3"/>
  <c r="H1686" i="3"/>
  <c r="G1686" i="3"/>
  <c r="F1686" i="3"/>
  <c r="D1686" i="3"/>
  <c r="C1686" i="3"/>
  <c r="B1686" i="3"/>
  <c r="A1686" i="3"/>
  <c r="J1685" i="3"/>
  <c r="I1685" i="3"/>
  <c r="H1685" i="3"/>
  <c r="G1685" i="3"/>
  <c r="F1685" i="3"/>
  <c r="D1685" i="3"/>
  <c r="C1685" i="3"/>
  <c r="B1685" i="3"/>
  <c r="A1685" i="3"/>
  <c r="J1684" i="3"/>
  <c r="I1684" i="3"/>
  <c r="H1684" i="3"/>
  <c r="G1684" i="3"/>
  <c r="F1684" i="3"/>
  <c r="D1684" i="3"/>
  <c r="C1684" i="3"/>
  <c r="B1684" i="3"/>
  <c r="A1684" i="3"/>
  <c r="J1683" i="3"/>
  <c r="I1683" i="3"/>
  <c r="H1683" i="3"/>
  <c r="G1683" i="3"/>
  <c r="F1683" i="3"/>
  <c r="D1683" i="3"/>
  <c r="C1683" i="3"/>
  <c r="B1683" i="3"/>
  <c r="A1683" i="3"/>
  <c r="J1682" i="3"/>
  <c r="I1682" i="3"/>
  <c r="H1682" i="3"/>
  <c r="G1682" i="3"/>
  <c r="F1682" i="3"/>
  <c r="D1682" i="3"/>
  <c r="C1682" i="3"/>
  <c r="B1682" i="3"/>
  <c r="A1682" i="3"/>
  <c r="J1681" i="3"/>
  <c r="I1681" i="3"/>
  <c r="H1681" i="3"/>
  <c r="G1681" i="3"/>
  <c r="F1681" i="3"/>
  <c r="D1681" i="3"/>
  <c r="C1681" i="3"/>
  <c r="B1681" i="3"/>
  <c r="A1681" i="3"/>
  <c r="J1680" i="3"/>
  <c r="I1680" i="3"/>
  <c r="H1680" i="3"/>
  <c r="G1680" i="3"/>
  <c r="F1680" i="3"/>
  <c r="D1680" i="3"/>
  <c r="C1680" i="3"/>
  <c r="B1680" i="3"/>
  <c r="A1680" i="3"/>
  <c r="J1679" i="3"/>
  <c r="I1679" i="3"/>
  <c r="H1679" i="3"/>
  <c r="G1679" i="3"/>
  <c r="F1679" i="3"/>
  <c r="D1679" i="3"/>
  <c r="C1679" i="3"/>
  <c r="B1679" i="3"/>
  <c r="A1679" i="3"/>
  <c r="J1678" i="3"/>
  <c r="I1678" i="3"/>
  <c r="H1678" i="3"/>
  <c r="G1678" i="3"/>
  <c r="F1678" i="3"/>
  <c r="D1678" i="3"/>
  <c r="C1678" i="3"/>
  <c r="B1678" i="3"/>
  <c r="A1678" i="3"/>
  <c r="J1677" i="3"/>
  <c r="I1677" i="3"/>
  <c r="H1677" i="3"/>
  <c r="G1677" i="3"/>
  <c r="F1677" i="3"/>
  <c r="D1677" i="3"/>
  <c r="C1677" i="3"/>
  <c r="B1677" i="3"/>
  <c r="A1677" i="3"/>
  <c r="J1676" i="3"/>
  <c r="I1676" i="3"/>
  <c r="H1676" i="3"/>
  <c r="G1676" i="3"/>
  <c r="F1676" i="3"/>
  <c r="D1676" i="3"/>
  <c r="C1676" i="3"/>
  <c r="B1676" i="3"/>
  <c r="A1676" i="3"/>
  <c r="J1675" i="3"/>
  <c r="I1675" i="3"/>
  <c r="H1675" i="3"/>
  <c r="G1675" i="3"/>
  <c r="F1675" i="3"/>
  <c r="D1675" i="3"/>
  <c r="C1675" i="3"/>
  <c r="B1675" i="3"/>
  <c r="A1675" i="3"/>
  <c r="J1674" i="3"/>
  <c r="I1674" i="3"/>
  <c r="H1674" i="3"/>
  <c r="G1674" i="3"/>
  <c r="F1674" i="3"/>
  <c r="D1674" i="3"/>
  <c r="C1674" i="3"/>
  <c r="B1674" i="3"/>
  <c r="A1674" i="3"/>
  <c r="J1673" i="3"/>
  <c r="I1673" i="3"/>
  <c r="H1673" i="3"/>
  <c r="G1673" i="3"/>
  <c r="F1673" i="3"/>
  <c r="D1673" i="3"/>
  <c r="C1673" i="3"/>
  <c r="B1673" i="3"/>
  <c r="A1673" i="3"/>
  <c r="J1672" i="3"/>
  <c r="I1672" i="3"/>
  <c r="H1672" i="3"/>
  <c r="G1672" i="3"/>
  <c r="F1672" i="3"/>
  <c r="D1672" i="3"/>
  <c r="C1672" i="3"/>
  <c r="B1672" i="3"/>
  <c r="A1672" i="3"/>
  <c r="J1671" i="3"/>
  <c r="I1671" i="3"/>
  <c r="H1671" i="3"/>
  <c r="G1671" i="3"/>
  <c r="F1671" i="3"/>
  <c r="D1671" i="3"/>
  <c r="C1671" i="3"/>
  <c r="B1671" i="3"/>
  <c r="A1671" i="3"/>
  <c r="J1670" i="3"/>
  <c r="I1670" i="3"/>
  <c r="H1670" i="3"/>
  <c r="G1670" i="3"/>
  <c r="F1670" i="3"/>
  <c r="D1670" i="3"/>
  <c r="C1670" i="3"/>
  <c r="B1670" i="3"/>
  <c r="A1670" i="3"/>
  <c r="J1669" i="3"/>
  <c r="I1669" i="3"/>
  <c r="H1669" i="3"/>
  <c r="G1669" i="3"/>
  <c r="F1669" i="3"/>
  <c r="D1669" i="3"/>
  <c r="C1669" i="3"/>
  <c r="B1669" i="3"/>
  <c r="A1669" i="3"/>
  <c r="J1668" i="3"/>
  <c r="I1668" i="3"/>
  <c r="H1668" i="3"/>
  <c r="G1668" i="3"/>
  <c r="F1668" i="3"/>
  <c r="D1668" i="3"/>
  <c r="C1668" i="3"/>
  <c r="B1668" i="3"/>
  <c r="A1668" i="3"/>
  <c r="J1667" i="3"/>
  <c r="I1667" i="3"/>
  <c r="H1667" i="3"/>
  <c r="G1667" i="3"/>
  <c r="F1667" i="3"/>
  <c r="D1667" i="3"/>
  <c r="C1667" i="3"/>
  <c r="B1667" i="3"/>
  <c r="A1667" i="3"/>
  <c r="J1666" i="3"/>
  <c r="I1666" i="3"/>
  <c r="H1666" i="3"/>
  <c r="G1666" i="3"/>
  <c r="F1666" i="3"/>
  <c r="D1666" i="3"/>
  <c r="C1666" i="3"/>
  <c r="B1666" i="3"/>
  <c r="A1666" i="3"/>
  <c r="J1665" i="3"/>
  <c r="I1665" i="3"/>
  <c r="H1665" i="3"/>
  <c r="G1665" i="3"/>
  <c r="F1665" i="3"/>
  <c r="D1665" i="3"/>
  <c r="C1665" i="3"/>
  <c r="B1665" i="3"/>
  <c r="A1665" i="3"/>
  <c r="J1664" i="3"/>
  <c r="I1664" i="3"/>
  <c r="H1664" i="3"/>
  <c r="G1664" i="3"/>
  <c r="F1664" i="3"/>
  <c r="D1664" i="3"/>
  <c r="C1664" i="3"/>
  <c r="B1664" i="3"/>
  <c r="A1664" i="3"/>
  <c r="J1663" i="3"/>
  <c r="I1663" i="3"/>
  <c r="H1663" i="3"/>
  <c r="G1663" i="3"/>
  <c r="F1663" i="3"/>
  <c r="D1663" i="3"/>
  <c r="C1663" i="3"/>
  <c r="B1663" i="3"/>
  <c r="A1663" i="3"/>
  <c r="J1662" i="3"/>
  <c r="I1662" i="3"/>
  <c r="H1662" i="3"/>
  <c r="G1662" i="3"/>
  <c r="F1662" i="3"/>
  <c r="D1662" i="3"/>
  <c r="C1662" i="3"/>
  <c r="B1662" i="3"/>
  <c r="A1662" i="3"/>
  <c r="J1661" i="3"/>
  <c r="I1661" i="3"/>
  <c r="H1661" i="3"/>
  <c r="G1661" i="3"/>
  <c r="F1661" i="3"/>
  <c r="D1661" i="3"/>
  <c r="C1661" i="3"/>
  <c r="B1661" i="3"/>
  <c r="A1661" i="3"/>
  <c r="J1660" i="3"/>
  <c r="I1660" i="3"/>
  <c r="H1660" i="3"/>
  <c r="G1660" i="3"/>
  <c r="F1660" i="3"/>
  <c r="D1660" i="3"/>
  <c r="C1660" i="3"/>
  <c r="B1660" i="3"/>
  <c r="A1660" i="3"/>
  <c r="J1659" i="3"/>
  <c r="I1659" i="3"/>
  <c r="H1659" i="3"/>
  <c r="G1659" i="3"/>
  <c r="F1659" i="3"/>
  <c r="D1659" i="3"/>
  <c r="C1659" i="3"/>
  <c r="B1659" i="3"/>
  <c r="A1659" i="3"/>
  <c r="J1658" i="3"/>
  <c r="I1658" i="3"/>
  <c r="H1658" i="3"/>
  <c r="G1658" i="3"/>
  <c r="F1658" i="3"/>
  <c r="D1658" i="3"/>
  <c r="C1658" i="3"/>
  <c r="B1658" i="3"/>
  <c r="A1658" i="3"/>
  <c r="J1657" i="3"/>
  <c r="I1657" i="3"/>
  <c r="H1657" i="3"/>
  <c r="G1657" i="3"/>
  <c r="F1657" i="3"/>
  <c r="D1657" i="3"/>
  <c r="C1657" i="3"/>
  <c r="B1657" i="3"/>
  <c r="A1657" i="3"/>
  <c r="J1656" i="3"/>
  <c r="I1656" i="3"/>
  <c r="H1656" i="3"/>
  <c r="G1656" i="3"/>
  <c r="F1656" i="3"/>
  <c r="D1656" i="3"/>
  <c r="C1656" i="3"/>
  <c r="B1656" i="3"/>
  <c r="A1656" i="3"/>
  <c r="J1655" i="3"/>
  <c r="I1655" i="3"/>
  <c r="H1655" i="3"/>
  <c r="G1655" i="3"/>
  <c r="F1655" i="3"/>
  <c r="D1655" i="3"/>
  <c r="C1655" i="3"/>
  <c r="B1655" i="3"/>
  <c r="A1655" i="3"/>
  <c r="J1654" i="3"/>
  <c r="I1654" i="3"/>
  <c r="H1654" i="3"/>
  <c r="G1654" i="3"/>
  <c r="F1654" i="3"/>
  <c r="D1654" i="3"/>
  <c r="C1654" i="3"/>
  <c r="B1654" i="3"/>
  <c r="A1654" i="3"/>
  <c r="J1653" i="3"/>
  <c r="I1653" i="3"/>
  <c r="H1653" i="3"/>
  <c r="G1653" i="3"/>
  <c r="F1653" i="3"/>
  <c r="D1653" i="3"/>
  <c r="C1653" i="3"/>
  <c r="B1653" i="3"/>
  <c r="A1653" i="3"/>
  <c r="J1652" i="3"/>
  <c r="I1652" i="3"/>
  <c r="H1652" i="3"/>
  <c r="G1652" i="3"/>
  <c r="F1652" i="3"/>
  <c r="D1652" i="3"/>
  <c r="C1652" i="3"/>
  <c r="B1652" i="3"/>
  <c r="A1652" i="3"/>
  <c r="J1651" i="3"/>
  <c r="I1651" i="3"/>
  <c r="H1651" i="3"/>
  <c r="G1651" i="3"/>
  <c r="F1651" i="3"/>
  <c r="D1651" i="3"/>
  <c r="C1651" i="3"/>
  <c r="B1651" i="3"/>
  <c r="A1651" i="3"/>
  <c r="J1650" i="3"/>
  <c r="I1650" i="3"/>
  <c r="H1650" i="3"/>
  <c r="G1650" i="3"/>
  <c r="F1650" i="3"/>
  <c r="D1650" i="3"/>
  <c r="C1650" i="3"/>
  <c r="B1650" i="3"/>
  <c r="A1650" i="3"/>
  <c r="J1649" i="3"/>
  <c r="I1649" i="3"/>
  <c r="H1649" i="3"/>
  <c r="G1649" i="3"/>
  <c r="F1649" i="3"/>
  <c r="D1649" i="3"/>
  <c r="C1649" i="3"/>
  <c r="B1649" i="3"/>
  <c r="A1649" i="3"/>
  <c r="J1648" i="3"/>
  <c r="I1648" i="3"/>
  <c r="H1648" i="3"/>
  <c r="G1648" i="3"/>
  <c r="F1648" i="3"/>
  <c r="D1648" i="3"/>
  <c r="C1648" i="3"/>
  <c r="B1648" i="3"/>
  <c r="A1648" i="3"/>
  <c r="J1647" i="3"/>
  <c r="I1647" i="3"/>
  <c r="H1647" i="3"/>
  <c r="G1647" i="3"/>
  <c r="F1647" i="3"/>
  <c r="D1647" i="3"/>
  <c r="C1647" i="3"/>
  <c r="B1647" i="3"/>
  <c r="A1647" i="3"/>
  <c r="J1646" i="3"/>
  <c r="I1646" i="3"/>
  <c r="H1646" i="3"/>
  <c r="G1646" i="3"/>
  <c r="F1646" i="3"/>
  <c r="D1646" i="3"/>
  <c r="C1646" i="3"/>
  <c r="B1646" i="3"/>
  <c r="A1646" i="3"/>
  <c r="J1645" i="3"/>
  <c r="I1645" i="3"/>
  <c r="H1645" i="3"/>
  <c r="G1645" i="3"/>
  <c r="F1645" i="3"/>
  <c r="D1645" i="3"/>
  <c r="C1645" i="3"/>
  <c r="B1645" i="3"/>
  <c r="A1645" i="3"/>
  <c r="J1644" i="3"/>
  <c r="I1644" i="3"/>
  <c r="H1644" i="3"/>
  <c r="G1644" i="3"/>
  <c r="F1644" i="3"/>
  <c r="D1644" i="3"/>
  <c r="C1644" i="3"/>
  <c r="B1644" i="3"/>
  <c r="A1644" i="3"/>
  <c r="J1643" i="3"/>
  <c r="I1643" i="3"/>
  <c r="H1643" i="3"/>
  <c r="G1643" i="3"/>
  <c r="F1643" i="3"/>
  <c r="D1643" i="3"/>
  <c r="C1643" i="3"/>
  <c r="B1643" i="3"/>
  <c r="A1643" i="3"/>
  <c r="J1642" i="3"/>
  <c r="I1642" i="3"/>
  <c r="H1642" i="3"/>
  <c r="G1642" i="3"/>
  <c r="F1642" i="3"/>
  <c r="D1642" i="3"/>
  <c r="C1642" i="3"/>
  <c r="B1642" i="3"/>
  <c r="A1642" i="3"/>
  <c r="J1641" i="3"/>
  <c r="I1641" i="3"/>
  <c r="H1641" i="3"/>
  <c r="G1641" i="3"/>
  <c r="F1641" i="3"/>
  <c r="D1641" i="3"/>
  <c r="C1641" i="3"/>
  <c r="B1641" i="3"/>
  <c r="A1641" i="3"/>
  <c r="J1640" i="3"/>
  <c r="I1640" i="3"/>
  <c r="H1640" i="3"/>
  <c r="G1640" i="3"/>
  <c r="F1640" i="3"/>
  <c r="D1640" i="3"/>
  <c r="C1640" i="3"/>
  <c r="B1640" i="3"/>
  <c r="A1640" i="3"/>
  <c r="J1639" i="3"/>
  <c r="I1639" i="3"/>
  <c r="H1639" i="3"/>
  <c r="G1639" i="3"/>
  <c r="F1639" i="3"/>
  <c r="D1639" i="3"/>
  <c r="C1639" i="3"/>
  <c r="B1639" i="3"/>
  <c r="A1639" i="3"/>
  <c r="J1638" i="3"/>
  <c r="I1638" i="3"/>
  <c r="H1638" i="3"/>
  <c r="G1638" i="3"/>
  <c r="F1638" i="3"/>
  <c r="D1638" i="3"/>
  <c r="C1638" i="3"/>
  <c r="B1638" i="3"/>
  <c r="A1638" i="3"/>
  <c r="J1637" i="3"/>
  <c r="I1637" i="3"/>
  <c r="H1637" i="3"/>
  <c r="G1637" i="3"/>
  <c r="F1637" i="3"/>
  <c r="D1637" i="3"/>
  <c r="C1637" i="3"/>
  <c r="B1637" i="3"/>
  <c r="A1637" i="3"/>
  <c r="J1636" i="3"/>
  <c r="I1636" i="3"/>
  <c r="H1636" i="3"/>
  <c r="G1636" i="3"/>
  <c r="F1636" i="3"/>
  <c r="D1636" i="3"/>
  <c r="C1636" i="3"/>
  <c r="B1636" i="3"/>
  <c r="A1636" i="3"/>
  <c r="J1635" i="3"/>
  <c r="I1635" i="3"/>
  <c r="H1635" i="3"/>
  <c r="G1635" i="3"/>
  <c r="F1635" i="3"/>
  <c r="D1635" i="3"/>
  <c r="C1635" i="3"/>
  <c r="B1635" i="3"/>
  <c r="A1635" i="3"/>
  <c r="J1634" i="3"/>
  <c r="I1634" i="3"/>
  <c r="H1634" i="3"/>
  <c r="G1634" i="3"/>
  <c r="F1634" i="3"/>
  <c r="D1634" i="3"/>
  <c r="C1634" i="3"/>
  <c r="B1634" i="3"/>
  <c r="A1634" i="3"/>
  <c r="J1633" i="3"/>
  <c r="I1633" i="3"/>
  <c r="H1633" i="3"/>
  <c r="G1633" i="3"/>
  <c r="F1633" i="3"/>
  <c r="D1633" i="3"/>
  <c r="C1633" i="3"/>
  <c r="B1633" i="3"/>
  <c r="A1633" i="3"/>
  <c r="J1632" i="3"/>
  <c r="I1632" i="3"/>
  <c r="H1632" i="3"/>
  <c r="G1632" i="3"/>
  <c r="F1632" i="3"/>
  <c r="D1632" i="3"/>
  <c r="C1632" i="3"/>
  <c r="B1632" i="3"/>
  <c r="A1632" i="3"/>
  <c r="J1631" i="3"/>
  <c r="I1631" i="3"/>
  <c r="H1631" i="3"/>
  <c r="G1631" i="3"/>
  <c r="F1631" i="3"/>
  <c r="D1631" i="3"/>
  <c r="C1631" i="3"/>
  <c r="B1631" i="3"/>
  <c r="A1631" i="3"/>
  <c r="J1630" i="3"/>
  <c r="I1630" i="3"/>
  <c r="H1630" i="3"/>
  <c r="G1630" i="3"/>
  <c r="F1630" i="3"/>
  <c r="D1630" i="3"/>
  <c r="C1630" i="3"/>
  <c r="B1630" i="3"/>
  <c r="A1630" i="3"/>
  <c r="J1629" i="3"/>
  <c r="I1629" i="3"/>
  <c r="H1629" i="3"/>
  <c r="G1629" i="3"/>
  <c r="F1629" i="3"/>
  <c r="D1629" i="3"/>
  <c r="C1629" i="3"/>
  <c r="B1629" i="3"/>
  <c r="A1629" i="3"/>
  <c r="J1628" i="3"/>
  <c r="I1628" i="3"/>
  <c r="H1628" i="3"/>
  <c r="G1628" i="3"/>
  <c r="F1628" i="3"/>
  <c r="D1628" i="3"/>
  <c r="C1628" i="3"/>
  <c r="B1628" i="3"/>
  <c r="A1628" i="3"/>
  <c r="J1627" i="3"/>
  <c r="I1627" i="3"/>
  <c r="H1627" i="3"/>
  <c r="G1627" i="3"/>
  <c r="F1627" i="3"/>
  <c r="D1627" i="3"/>
  <c r="C1627" i="3"/>
  <c r="B1627" i="3"/>
  <c r="A1627" i="3"/>
  <c r="J1626" i="3"/>
  <c r="I1626" i="3"/>
  <c r="H1626" i="3"/>
  <c r="G1626" i="3"/>
  <c r="F1626" i="3"/>
  <c r="D1626" i="3"/>
  <c r="C1626" i="3"/>
  <c r="B1626" i="3"/>
  <c r="A1626" i="3"/>
  <c r="J1625" i="3"/>
  <c r="I1625" i="3"/>
  <c r="H1625" i="3"/>
  <c r="G1625" i="3"/>
  <c r="F1625" i="3"/>
  <c r="D1625" i="3"/>
  <c r="C1625" i="3"/>
  <c r="B1625" i="3"/>
  <c r="A1625" i="3"/>
  <c r="J1624" i="3"/>
  <c r="I1624" i="3"/>
  <c r="H1624" i="3"/>
  <c r="G1624" i="3"/>
  <c r="F1624" i="3"/>
  <c r="D1624" i="3"/>
  <c r="C1624" i="3"/>
  <c r="B1624" i="3"/>
  <c r="A1624" i="3"/>
  <c r="J1623" i="3"/>
  <c r="I1623" i="3"/>
  <c r="H1623" i="3"/>
  <c r="G1623" i="3"/>
  <c r="F1623" i="3"/>
  <c r="D1623" i="3"/>
  <c r="C1623" i="3"/>
  <c r="B1623" i="3"/>
  <c r="A1623" i="3"/>
  <c r="J1622" i="3"/>
  <c r="I1622" i="3"/>
  <c r="H1622" i="3"/>
  <c r="G1622" i="3"/>
  <c r="F1622" i="3"/>
  <c r="D1622" i="3"/>
  <c r="C1622" i="3"/>
  <c r="B1622" i="3"/>
  <c r="A1622" i="3"/>
  <c r="J1621" i="3"/>
  <c r="I1621" i="3"/>
  <c r="H1621" i="3"/>
  <c r="G1621" i="3"/>
  <c r="F1621" i="3"/>
  <c r="D1621" i="3"/>
  <c r="C1621" i="3"/>
  <c r="B1621" i="3"/>
  <c r="A1621" i="3"/>
  <c r="J1620" i="3"/>
  <c r="I1620" i="3"/>
  <c r="H1620" i="3"/>
  <c r="G1620" i="3"/>
  <c r="F1620" i="3"/>
  <c r="D1620" i="3"/>
  <c r="C1620" i="3"/>
  <c r="B1620" i="3"/>
  <c r="A1620" i="3"/>
  <c r="J1619" i="3"/>
  <c r="I1619" i="3"/>
  <c r="H1619" i="3"/>
  <c r="G1619" i="3"/>
  <c r="F1619" i="3"/>
  <c r="D1619" i="3"/>
  <c r="C1619" i="3"/>
  <c r="B1619" i="3"/>
  <c r="A1619" i="3"/>
  <c r="J1618" i="3"/>
  <c r="I1618" i="3"/>
  <c r="H1618" i="3"/>
  <c r="G1618" i="3"/>
  <c r="F1618" i="3"/>
  <c r="D1618" i="3"/>
  <c r="C1618" i="3"/>
  <c r="B1618" i="3"/>
  <c r="A1618" i="3"/>
  <c r="J1617" i="3"/>
  <c r="I1617" i="3"/>
  <c r="H1617" i="3"/>
  <c r="G1617" i="3"/>
  <c r="F1617" i="3"/>
  <c r="D1617" i="3"/>
  <c r="C1617" i="3"/>
  <c r="B1617" i="3"/>
  <c r="A1617" i="3"/>
  <c r="J1616" i="3"/>
  <c r="I1616" i="3"/>
  <c r="H1616" i="3"/>
  <c r="G1616" i="3"/>
  <c r="F1616" i="3"/>
  <c r="D1616" i="3"/>
  <c r="C1616" i="3"/>
  <c r="B1616" i="3"/>
  <c r="A1616" i="3"/>
  <c r="J1615" i="3"/>
  <c r="I1615" i="3"/>
  <c r="H1615" i="3"/>
  <c r="G1615" i="3"/>
  <c r="F1615" i="3"/>
  <c r="D1615" i="3"/>
  <c r="C1615" i="3"/>
  <c r="B1615" i="3"/>
  <c r="A1615" i="3"/>
  <c r="J1614" i="3"/>
  <c r="I1614" i="3"/>
  <c r="H1614" i="3"/>
  <c r="G1614" i="3"/>
  <c r="F1614" i="3"/>
  <c r="D1614" i="3"/>
  <c r="C1614" i="3"/>
  <c r="B1614" i="3"/>
  <c r="A1614" i="3"/>
  <c r="J1613" i="3"/>
  <c r="I1613" i="3"/>
  <c r="H1613" i="3"/>
  <c r="G1613" i="3"/>
  <c r="F1613" i="3"/>
  <c r="D1613" i="3"/>
  <c r="C1613" i="3"/>
  <c r="B1613" i="3"/>
  <c r="A1613" i="3"/>
  <c r="J1612" i="3"/>
  <c r="I1612" i="3"/>
  <c r="H1612" i="3"/>
  <c r="G1612" i="3"/>
  <c r="F1612" i="3"/>
  <c r="D1612" i="3"/>
  <c r="C1612" i="3"/>
  <c r="B1612" i="3"/>
  <c r="A1612" i="3"/>
  <c r="J1611" i="3"/>
  <c r="I1611" i="3"/>
  <c r="H1611" i="3"/>
  <c r="G1611" i="3"/>
  <c r="F1611" i="3"/>
  <c r="D1611" i="3"/>
  <c r="C1611" i="3"/>
  <c r="B1611" i="3"/>
  <c r="A1611" i="3"/>
  <c r="J1610" i="3"/>
  <c r="I1610" i="3"/>
  <c r="H1610" i="3"/>
  <c r="G1610" i="3"/>
  <c r="F1610" i="3"/>
  <c r="D1610" i="3"/>
  <c r="C1610" i="3"/>
  <c r="B1610" i="3"/>
  <c r="A1610" i="3"/>
  <c r="J1609" i="3"/>
  <c r="I1609" i="3"/>
  <c r="H1609" i="3"/>
  <c r="G1609" i="3"/>
  <c r="F1609" i="3"/>
  <c r="D1609" i="3"/>
  <c r="C1609" i="3"/>
  <c r="B1609" i="3"/>
  <c r="A1609" i="3"/>
  <c r="J1608" i="3"/>
  <c r="I1608" i="3"/>
  <c r="H1608" i="3"/>
  <c r="G1608" i="3"/>
  <c r="F1608" i="3"/>
  <c r="D1608" i="3"/>
  <c r="C1608" i="3"/>
  <c r="B1608" i="3"/>
  <c r="A1608" i="3"/>
  <c r="J1607" i="3"/>
  <c r="I1607" i="3"/>
  <c r="H1607" i="3"/>
  <c r="G1607" i="3"/>
  <c r="F1607" i="3"/>
  <c r="D1607" i="3"/>
  <c r="C1607" i="3"/>
  <c r="B1607" i="3"/>
  <c r="A1607" i="3"/>
  <c r="J1606" i="3"/>
  <c r="I1606" i="3"/>
  <c r="H1606" i="3"/>
  <c r="G1606" i="3"/>
  <c r="F1606" i="3"/>
  <c r="D1606" i="3"/>
  <c r="C1606" i="3"/>
  <c r="B1606" i="3"/>
  <c r="A1606" i="3"/>
  <c r="J1605" i="3"/>
  <c r="I1605" i="3"/>
  <c r="H1605" i="3"/>
  <c r="G1605" i="3"/>
  <c r="F1605" i="3"/>
  <c r="D1605" i="3"/>
  <c r="C1605" i="3"/>
  <c r="B1605" i="3"/>
  <c r="A1605" i="3"/>
  <c r="J1604" i="3"/>
  <c r="I1604" i="3"/>
  <c r="H1604" i="3"/>
  <c r="G1604" i="3"/>
  <c r="F1604" i="3"/>
  <c r="D1604" i="3"/>
  <c r="C1604" i="3"/>
  <c r="B1604" i="3"/>
  <c r="A1604" i="3"/>
  <c r="J1603" i="3"/>
  <c r="I1603" i="3"/>
  <c r="H1603" i="3"/>
  <c r="G1603" i="3"/>
  <c r="F1603" i="3"/>
  <c r="D1603" i="3"/>
  <c r="C1603" i="3"/>
  <c r="B1603" i="3"/>
  <c r="A1603" i="3"/>
  <c r="J1602" i="3"/>
  <c r="I1602" i="3"/>
  <c r="H1602" i="3"/>
  <c r="G1602" i="3"/>
  <c r="F1602" i="3"/>
  <c r="D1602" i="3"/>
  <c r="C1602" i="3"/>
  <c r="B1602" i="3"/>
  <c r="A1602" i="3"/>
  <c r="J1601" i="3"/>
  <c r="I1601" i="3"/>
  <c r="H1601" i="3"/>
  <c r="G1601" i="3"/>
  <c r="F1601" i="3"/>
  <c r="D1601" i="3"/>
  <c r="C1601" i="3"/>
  <c r="B1601" i="3"/>
  <c r="A1601" i="3"/>
  <c r="J1600" i="3"/>
  <c r="I1600" i="3"/>
  <c r="H1600" i="3"/>
  <c r="G1600" i="3"/>
  <c r="F1600" i="3"/>
  <c r="D1600" i="3"/>
  <c r="C1600" i="3"/>
  <c r="B1600" i="3"/>
  <c r="A1600" i="3"/>
  <c r="J1599" i="3"/>
  <c r="I1599" i="3"/>
  <c r="H1599" i="3"/>
  <c r="G1599" i="3"/>
  <c r="F1599" i="3"/>
  <c r="D1599" i="3"/>
  <c r="C1599" i="3"/>
  <c r="B1599" i="3"/>
  <c r="A1599" i="3"/>
  <c r="J1598" i="3"/>
  <c r="I1598" i="3"/>
  <c r="H1598" i="3"/>
  <c r="G1598" i="3"/>
  <c r="F1598" i="3"/>
  <c r="D1598" i="3"/>
  <c r="C1598" i="3"/>
  <c r="B1598" i="3"/>
  <c r="A1598" i="3"/>
  <c r="J1597" i="3"/>
  <c r="I1597" i="3"/>
  <c r="H1597" i="3"/>
  <c r="G1597" i="3"/>
  <c r="F1597" i="3"/>
  <c r="D1597" i="3"/>
  <c r="C1597" i="3"/>
  <c r="B1597" i="3"/>
  <c r="A1597" i="3"/>
  <c r="J1596" i="3"/>
  <c r="I1596" i="3"/>
  <c r="H1596" i="3"/>
  <c r="G1596" i="3"/>
  <c r="F1596" i="3"/>
  <c r="D1596" i="3"/>
  <c r="C1596" i="3"/>
  <c r="B1596" i="3"/>
  <c r="A1596" i="3"/>
  <c r="J1595" i="3"/>
  <c r="I1595" i="3"/>
  <c r="H1595" i="3"/>
  <c r="G1595" i="3"/>
  <c r="F1595" i="3"/>
  <c r="D1595" i="3"/>
  <c r="C1595" i="3"/>
  <c r="B1595" i="3"/>
  <c r="A1595" i="3"/>
  <c r="J1594" i="3"/>
  <c r="I1594" i="3"/>
  <c r="H1594" i="3"/>
  <c r="G1594" i="3"/>
  <c r="F1594" i="3"/>
  <c r="D1594" i="3"/>
  <c r="C1594" i="3"/>
  <c r="B1594" i="3"/>
  <c r="A1594" i="3"/>
  <c r="J1593" i="3"/>
  <c r="I1593" i="3"/>
  <c r="H1593" i="3"/>
  <c r="G1593" i="3"/>
  <c r="F1593" i="3"/>
  <c r="D1593" i="3"/>
  <c r="C1593" i="3"/>
  <c r="B1593" i="3"/>
  <c r="A1593" i="3"/>
  <c r="J1592" i="3"/>
  <c r="I1592" i="3"/>
  <c r="H1592" i="3"/>
  <c r="G1592" i="3"/>
  <c r="F1592" i="3"/>
  <c r="D1592" i="3"/>
  <c r="C1592" i="3"/>
  <c r="B1592" i="3"/>
  <c r="A1592" i="3"/>
  <c r="J1591" i="3"/>
  <c r="I1591" i="3"/>
  <c r="H1591" i="3"/>
  <c r="G1591" i="3"/>
  <c r="F1591" i="3"/>
  <c r="D1591" i="3"/>
  <c r="C1591" i="3"/>
  <c r="B1591" i="3"/>
  <c r="A1591" i="3"/>
  <c r="J1590" i="3"/>
  <c r="I1590" i="3"/>
  <c r="H1590" i="3"/>
  <c r="G1590" i="3"/>
  <c r="F1590" i="3"/>
  <c r="D1590" i="3"/>
  <c r="C1590" i="3"/>
  <c r="B1590" i="3"/>
  <c r="A1590" i="3"/>
  <c r="J1589" i="3"/>
  <c r="I1589" i="3"/>
  <c r="H1589" i="3"/>
  <c r="G1589" i="3"/>
  <c r="F1589" i="3"/>
  <c r="D1589" i="3"/>
  <c r="C1589" i="3"/>
  <c r="B1589" i="3"/>
  <c r="A1589" i="3"/>
  <c r="J1588" i="3"/>
  <c r="I1588" i="3"/>
  <c r="H1588" i="3"/>
  <c r="G1588" i="3"/>
  <c r="F1588" i="3"/>
  <c r="D1588" i="3"/>
  <c r="C1588" i="3"/>
  <c r="B1588" i="3"/>
  <c r="A1588" i="3"/>
  <c r="J1587" i="3"/>
  <c r="I1587" i="3"/>
  <c r="H1587" i="3"/>
  <c r="G1587" i="3"/>
  <c r="F1587" i="3"/>
  <c r="D1587" i="3"/>
  <c r="C1587" i="3"/>
  <c r="B1587" i="3"/>
  <c r="A1587" i="3"/>
  <c r="J1586" i="3"/>
  <c r="I1586" i="3"/>
  <c r="H1586" i="3"/>
  <c r="G1586" i="3"/>
  <c r="F1586" i="3"/>
  <c r="D1586" i="3"/>
  <c r="C1586" i="3"/>
  <c r="B1586" i="3"/>
  <c r="A1586" i="3"/>
  <c r="J1585" i="3"/>
  <c r="I1585" i="3"/>
  <c r="H1585" i="3"/>
  <c r="G1585" i="3"/>
  <c r="F1585" i="3"/>
  <c r="D1585" i="3"/>
  <c r="C1585" i="3"/>
  <c r="B1585" i="3"/>
  <c r="A1585" i="3"/>
  <c r="J1584" i="3"/>
  <c r="I1584" i="3"/>
  <c r="H1584" i="3"/>
  <c r="G1584" i="3"/>
  <c r="F1584" i="3"/>
  <c r="D1584" i="3"/>
  <c r="C1584" i="3"/>
  <c r="B1584" i="3"/>
  <c r="A1584" i="3"/>
  <c r="J1583" i="3"/>
  <c r="I1583" i="3"/>
  <c r="H1583" i="3"/>
  <c r="G1583" i="3"/>
  <c r="F1583" i="3"/>
  <c r="D1583" i="3"/>
  <c r="C1583" i="3"/>
  <c r="B1583" i="3"/>
  <c r="A1583" i="3"/>
  <c r="J1582" i="3"/>
  <c r="I1582" i="3"/>
  <c r="H1582" i="3"/>
  <c r="G1582" i="3"/>
  <c r="F1582" i="3"/>
  <c r="D1582" i="3"/>
  <c r="C1582" i="3"/>
  <c r="B1582" i="3"/>
  <c r="A1582" i="3"/>
  <c r="J1581" i="3"/>
  <c r="I1581" i="3"/>
  <c r="H1581" i="3"/>
  <c r="G1581" i="3"/>
  <c r="F1581" i="3"/>
  <c r="D1581" i="3"/>
  <c r="C1581" i="3"/>
  <c r="B1581" i="3"/>
  <c r="A1581" i="3"/>
  <c r="J1580" i="3"/>
  <c r="I1580" i="3"/>
  <c r="H1580" i="3"/>
  <c r="G1580" i="3"/>
  <c r="F1580" i="3"/>
  <c r="D1580" i="3"/>
  <c r="C1580" i="3"/>
  <c r="B1580" i="3"/>
  <c r="A1580" i="3"/>
  <c r="J1579" i="3"/>
  <c r="I1579" i="3"/>
  <c r="H1579" i="3"/>
  <c r="G1579" i="3"/>
  <c r="F1579" i="3"/>
  <c r="D1579" i="3"/>
  <c r="C1579" i="3"/>
  <c r="B1579" i="3"/>
  <c r="A1579" i="3"/>
  <c r="J1578" i="3"/>
  <c r="I1578" i="3"/>
  <c r="H1578" i="3"/>
  <c r="G1578" i="3"/>
  <c r="F1578" i="3"/>
  <c r="D1578" i="3"/>
  <c r="C1578" i="3"/>
  <c r="B1578" i="3"/>
  <c r="A1578" i="3"/>
  <c r="J1577" i="3"/>
  <c r="I1577" i="3"/>
  <c r="H1577" i="3"/>
  <c r="G1577" i="3"/>
  <c r="F1577" i="3"/>
  <c r="D1577" i="3"/>
  <c r="C1577" i="3"/>
  <c r="B1577" i="3"/>
  <c r="A1577" i="3"/>
  <c r="J1576" i="3"/>
  <c r="I1576" i="3"/>
  <c r="H1576" i="3"/>
  <c r="G1576" i="3"/>
  <c r="F1576" i="3"/>
  <c r="D1576" i="3"/>
  <c r="C1576" i="3"/>
  <c r="B1576" i="3"/>
  <c r="A1576" i="3"/>
  <c r="J1575" i="3"/>
  <c r="I1575" i="3"/>
  <c r="H1575" i="3"/>
  <c r="G1575" i="3"/>
  <c r="F1575" i="3"/>
  <c r="D1575" i="3"/>
  <c r="C1575" i="3"/>
  <c r="B1575" i="3"/>
  <c r="A1575" i="3"/>
  <c r="J1574" i="3"/>
  <c r="I1574" i="3"/>
  <c r="H1574" i="3"/>
  <c r="G1574" i="3"/>
  <c r="F1574" i="3"/>
  <c r="D1574" i="3"/>
  <c r="C1574" i="3"/>
  <c r="B1574" i="3"/>
  <c r="A1574" i="3"/>
  <c r="J1573" i="3"/>
  <c r="I1573" i="3"/>
  <c r="H1573" i="3"/>
  <c r="G1573" i="3"/>
  <c r="F1573" i="3"/>
  <c r="D1573" i="3"/>
  <c r="C1573" i="3"/>
  <c r="B1573" i="3"/>
  <c r="A1573" i="3"/>
  <c r="J1572" i="3"/>
  <c r="I1572" i="3"/>
  <c r="H1572" i="3"/>
  <c r="G1572" i="3"/>
  <c r="F1572" i="3"/>
  <c r="D1572" i="3"/>
  <c r="C1572" i="3"/>
  <c r="B1572" i="3"/>
  <c r="A1572" i="3"/>
  <c r="J1571" i="3"/>
  <c r="I1571" i="3"/>
  <c r="H1571" i="3"/>
  <c r="G1571" i="3"/>
  <c r="F1571" i="3"/>
  <c r="D1571" i="3"/>
  <c r="C1571" i="3"/>
  <c r="B1571" i="3"/>
  <c r="A1571" i="3"/>
  <c r="J1570" i="3"/>
  <c r="I1570" i="3"/>
  <c r="H1570" i="3"/>
  <c r="G1570" i="3"/>
  <c r="F1570" i="3"/>
  <c r="D1570" i="3"/>
  <c r="C1570" i="3"/>
  <c r="B1570" i="3"/>
  <c r="A1570" i="3"/>
  <c r="J1569" i="3"/>
  <c r="I1569" i="3"/>
  <c r="H1569" i="3"/>
  <c r="G1569" i="3"/>
  <c r="F1569" i="3"/>
  <c r="D1569" i="3"/>
  <c r="C1569" i="3"/>
  <c r="B1569" i="3"/>
  <c r="A1569" i="3"/>
  <c r="J1568" i="3"/>
  <c r="I1568" i="3"/>
  <c r="H1568" i="3"/>
  <c r="G1568" i="3"/>
  <c r="F1568" i="3"/>
  <c r="D1568" i="3"/>
  <c r="C1568" i="3"/>
  <c r="B1568" i="3"/>
  <c r="A1568" i="3"/>
  <c r="J1567" i="3"/>
  <c r="I1567" i="3"/>
  <c r="H1567" i="3"/>
  <c r="G1567" i="3"/>
  <c r="F1567" i="3"/>
  <c r="D1567" i="3"/>
  <c r="C1567" i="3"/>
  <c r="B1567" i="3"/>
  <c r="A1567" i="3"/>
  <c r="J1566" i="3"/>
  <c r="I1566" i="3"/>
  <c r="H1566" i="3"/>
  <c r="G1566" i="3"/>
  <c r="F1566" i="3"/>
  <c r="D1566" i="3"/>
  <c r="C1566" i="3"/>
  <c r="B1566" i="3"/>
  <c r="A1566" i="3"/>
  <c r="J1565" i="3"/>
  <c r="I1565" i="3"/>
  <c r="H1565" i="3"/>
  <c r="G1565" i="3"/>
  <c r="F1565" i="3"/>
  <c r="D1565" i="3"/>
  <c r="C1565" i="3"/>
  <c r="B1565" i="3"/>
  <c r="A1565" i="3"/>
  <c r="J1564" i="3"/>
  <c r="I1564" i="3"/>
  <c r="H1564" i="3"/>
  <c r="G1564" i="3"/>
  <c r="F1564" i="3"/>
  <c r="D1564" i="3"/>
  <c r="C1564" i="3"/>
  <c r="B1564" i="3"/>
  <c r="A1564" i="3"/>
  <c r="J1563" i="3"/>
  <c r="I1563" i="3"/>
  <c r="H1563" i="3"/>
  <c r="G1563" i="3"/>
  <c r="F1563" i="3"/>
  <c r="D1563" i="3"/>
  <c r="C1563" i="3"/>
  <c r="B1563" i="3"/>
  <c r="A1563" i="3"/>
  <c r="J1562" i="3"/>
  <c r="I1562" i="3"/>
  <c r="H1562" i="3"/>
  <c r="G1562" i="3"/>
  <c r="F1562" i="3"/>
  <c r="D1562" i="3"/>
  <c r="C1562" i="3"/>
  <c r="B1562" i="3"/>
  <c r="A1562" i="3"/>
  <c r="J1561" i="3"/>
  <c r="I1561" i="3"/>
  <c r="H1561" i="3"/>
  <c r="G1561" i="3"/>
  <c r="F1561" i="3"/>
  <c r="D1561" i="3"/>
  <c r="C1561" i="3"/>
  <c r="B1561" i="3"/>
  <c r="A1561" i="3"/>
  <c r="J1560" i="3"/>
  <c r="I1560" i="3"/>
  <c r="H1560" i="3"/>
  <c r="G1560" i="3"/>
  <c r="F1560" i="3"/>
  <c r="D1560" i="3"/>
  <c r="C1560" i="3"/>
  <c r="B1560" i="3"/>
  <c r="A1560" i="3"/>
  <c r="J1559" i="3"/>
  <c r="I1559" i="3"/>
  <c r="H1559" i="3"/>
  <c r="G1559" i="3"/>
  <c r="F1559" i="3"/>
  <c r="D1559" i="3"/>
  <c r="C1559" i="3"/>
  <c r="B1559" i="3"/>
  <c r="A1559" i="3"/>
  <c r="J1558" i="3"/>
  <c r="I1558" i="3"/>
  <c r="H1558" i="3"/>
  <c r="G1558" i="3"/>
  <c r="F1558" i="3"/>
  <c r="D1558" i="3"/>
  <c r="C1558" i="3"/>
  <c r="B1558" i="3"/>
  <c r="A1558" i="3"/>
  <c r="J1557" i="3"/>
  <c r="I1557" i="3"/>
  <c r="H1557" i="3"/>
  <c r="G1557" i="3"/>
  <c r="F1557" i="3"/>
  <c r="D1557" i="3"/>
  <c r="C1557" i="3"/>
  <c r="B1557" i="3"/>
  <c r="A1557" i="3"/>
  <c r="J1556" i="3"/>
  <c r="I1556" i="3"/>
  <c r="H1556" i="3"/>
  <c r="G1556" i="3"/>
  <c r="F1556" i="3"/>
  <c r="D1556" i="3"/>
  <c r="C1556" i="3"/>
  <c r="B1556" i="3"/>
  <c r="A1556" i="3"/>
  <c r="J1555" i="3"/>
  <c r="I1555" i="3"/>
  <c r="H1555" i="3"/>
  <c r="G1555" i="3"/>
  <c r="F1555" i="3"/>
  <c r="D1555" i="3"/>
  <c r="C1555" i="3"/>
  <c r="B1555" i="3"/>
  <c r="A1555" i="3"/>
  <c r="J1554" i="3"/>
  <c r="I1554" i="3"/>
  <c r="H1554" i="3"/>
  <c r="G1554" i="3"/>
  <c r="F1554" i="3"/>
  <c r="D1554" i="3"/>
  <c r="C1554" i="3"/>
  <c r="B1554" i="3"/>
  <c r="A1554" i="3"/>
  <c r="J1553" i="3"/>
  <c r="I1553" i="3"/>
  <c r="H1553" i="3"/>
  <c r="G1553" i="3"/>
  <c r="F1553" i="3"/>
  <c r="D1553" i="3"/>
  <c r="C1553" i="3"/>
  <c r="B1553" i="3"/>
  <c r="A1553" i="3"/>
  <c r="J1552" i="3"/>
  <c r="I1552" i="3"/>
  <c r="H1552" i="3"/>
  <c r="G1552" i="3"/>
  <c r="F1552" i="3"/>
  <c r="D1552" i="3"/>
  <c r="C1552" i="3"/>
  <c r="B1552" i="3"/>
  <c r="A1552" i="3"/>
  <c r="J1551" i="3"/>
  <c r="I1551" i="3"/>
  <c r="H1551" i="3"/>
  <c r="G1551" i="3"/>
  <c r="F1551" i="3"/>
  <c r="D1551" i="3"/>
  <c r="C1551" i="3"/>
  <c r="B1551" i="3"/>
  <c r="A1551" i="3"/>
  <c r="J1550" i="3"/>
  <c r="I1550" i="3"/>
  <c r="H1550" i="3"/>
  <c r="G1550" i="3"/>
  <c r="F1550" i="3"/>
  <c r="D1550" i="3"/>
  <c r="C1550" i="3"/>
  <c r="B1550" i="3"/>
  <c r="A1550" i="3"/>
  <c r="J1549" i="3"/>
  <c r="I1549" i="3"/>
  <c r="H1549" i="3"/>
  <c r="G1549" i="3"/>
  <c r="F1549" i="3"/>
  <c r="D1549" i="3"/>
  <c r="C1549" i="3"/>
  <c r="B1549" i="3"/>
  <c r="A1549" i="3"/>
  <c r="J1548" i="3"/>
  <c r="I1548" i="3"/>
  <c r="H1548" i="3"/>
  <c r="G1548" i="3"/>
  <c r="F1548" i="3"/>
  <c r="D1548" i="3"/>
  <c r="C1548" i="3"/>
  <c r="B1548" i="3"/>
  <c r="A1548" i="3"/>
  <c r="J1547" i="3"/>
  <c r="I1547" i="3"/>
  <c r="H1547" i="3"/>
  <c r="G1547" i="3"/>
  <c r="F1547" i="3"/>
  <c r="D1547" i="3"/>
  <c r="C1547" i="3"/>
  <c r="B1547" i="3"/>
  <c r="A1547" i="3"/>
  <c r="J1546" i="3"/>
  <c r="I1546" i="3"/>
  <c r="H1546" i="3"/>
  <c r="G1546" i="3"/>
  <c r="F1546" i="3"/>
  <c r="D1546" i="3"/>
  <c r="C1546" i="3"/>
  <c r="B1546" i="3"/>
  <c r="A1546" i="3"/>
  <c r="J1545" i="3"/>
  <c r="I1545" i="3"/>
  <c r="H1545" i="3"/>
  <c r="G1545" i="3"/>
  <c r="F1545" i="3"/>
  <c r="D1545" i="3"/>
  <c r="C1545" i="3"/>
  <c r="B1545" i="3"/>
  <c r="A1545" i="3"/>
  <c r="J1544" i="3"/>
  <c r="I1544" i="3"/>
  <c r="H1544" i="3"/>
  <c r="G1544" i="3"/>
  <c r="F1544" i="3"/>
  <c r="D1544" i="3"/>
  <c r="C1544" i="3"/>
  <c r="B1544" i="3"/>
  <c r="A1544" i="3"/>
  <c r="J1543" i="3"/>
  <c r="I1543" i="3"/>
  <c r="H1543" i="3"/>
  <c r="G1543" i="3"/>
  <c r="F1543" i="3"/>
  <c r="D1543" i="3"/>
  <c r="C1543" i="3"/>
  <c r="B1543" i="3"/>
  <c r="A1543" i="3"/>
  <c r="J1542" i="3"/>
  <c r="I1542" i="3"/>
  <c r="H1542" i="3"/>
  <c r="G1542" i="3"/>
  <c r="F1542" i="3"/>
  <c r="D1542" i="3"/>
  <c r="C1542" i="3"/>
  <c r="B1542" i="3"/>
  <c r="A1542" i="3"/>
  <c r="J1541" i="3"/>
  <c r="I1541" i="3"/>
  <c r="H1541" i="3"/>
  <c r="G1541" i="3"/>
  <c r="F1541" i="3"/>
  <c r="D1541" i="3"/>
  <c r="C1541" i="3"/>
  <c r="B1541" i="3"/>
  <c r="A1541" i="3"/>
  <c r="J1540" i="3"/>
  <c r="I1540" i="3"/>
  <c r="H1540" i="3"/>
  <c r="G1540" i="3"/>
  <c r="F1540" i="3"/>
  <c r="D1540" i="3"/>
  <c r="C1540" i="3"/>
  <c r="B1540" i="3"/>
  <c r="A1540" i="3"/>
  <c r="J1539" i="3"/>
  <c r="I1539" i="3"/>
  <c r="H1539" i="3"/>
  <c r="G1539" i="3"/>
  <c r="F1539" i="3"/>
  <c r="D1539" i="3"/>
  <c r="C1539" i="3"/>
  <c r="B1539" i="3"/>
  <c r="A1539" i="3"/>
  <c r="J1538" i="3"/>
  <c r="I1538" i="3"/>
  <c r="H1538" i="3"/>
  <c r="G1538" i="3"/>
  <c r="F1538" i="3"/>
  <c r="D1538" i="3"/>
  <c r="C1538" i="3"/>
  <c r="B1538" i="3"/>
  <c r="A1538" i="3"/>
  <c r="J1537" i="3"/>
  <c r="I1537" i="3"/>
  <c r="H1537" i="3"/>
  <c r="G1537" i="3"/>
  <c r="F1537" i="3"/>
  <c r="D1537" i="3"/>
  <c r="C1537" i="3"/>
  <c r="B1537" i="3"/>
  <c r="A1537" i="3"/>
  <c r="J1536" i="3"/>
  <c r="I1536" i="3"/>
  <c r="H1536" i="3"/>
  <c r="G1536" i="3"/>
  <c r="F1536" i="3"/>
  <c r="D1536" i="3"/>
  <c r="C1536" i="3"/>
  <c r="B1536" i="3"/>
  <c r="A1536" i="3"/>
  <c r="J1535" i="3"/>
  <c r="I1535" i="3"/>
  <c r="H1535" i="3"/>
  <c r="G1535" i="3"/>
  <c r="F1535" i="3"/>
  <c r="D1535" i="3"/>
  <c r="C1535" i="3"/>
  <c r="B1535" i="3"/>
  <c r="A1535" i="3"/>
  <c r="J1534" i="3"/>
  <c r="I1534" i="3"/>
  <c r="H1534" i="3"/>
  <c r="G1534" i="3"/>
  <c r="F1534" i="3"/>
  <c r="D1534" i="3"/>
  <c r="C1534" i="3"/>
  <c r="B1534" i="3"/>
  <c r="A1534" i="3"/>
  <c r="J1533" i="3"/>
  <c r="I1533" i="3"/>
  <c r="H1533" i="3"/>
  <c r="G1533" i="3"/>
  <c r="F1533" i="3"/>
  <c r="D1533" i="3"/>
  <c r="C1533" i="3"/>
  <c r="B1533" i="3"/>
  <c r="A1533" i="3"/>
  <c r="J1532" i="3"/>
  <c r="I1532" i="3"/>
  <c r="H1532" i="3"/>
  <c r="G1532" i="3"/>
  <c r="F1532" i="3"/>
  <c r="D1532" i="3"/>
  <c r="C1532" i="3"/>
  <c r="B1532" i="3"/>
  <c r="A1532" i="3"/>
  <c r="J1531" i="3"/>
  <c r="I1531" i="3"/>
  <c r="H1531" i="3"/>
  <c r="G1531" i="3"/>
  <c r="F1531" i="3"/>
  <c r="D1531" i="3"/>
  <c r="C1531" i="3"/>
  <c r="B1531" i="3"/>
  <c r="A1531" i="3"/>
  <c r="J1530" i="3"/>
  <c r="I1530" i="3"/>
  <c r="H1530" i="3"/>
  <c r="G1530" i="3"/>
  <c r="F1530" i="3"/>
  <c r="D1530" i="3"/>
  <c r="C1530" i="3"/>
  <c r="B1530" i="3"/>
  <c r="A1530" i="3"/>
  <c r="J1529" i="3"/>
  <c r="I1529" i="3"/>
  <c r="H1529" i="3"/>
  <c r="G1529" i="3"/>
  <c r="F1529" i="3"/>
  <c r="D1529" i="3"/>
  <c r="C1529" i="3"/>
  <c r="B1529" i="3"/>
  <c r="A1529" i="3"/>
  <c r="J1528" i="3"/>
  <c r="I1528" i="3"/>
  <c r="H1528" i="3"/>
  <c r="G1528" i="3"/>
  <c r="F1528" i="3"/>
  <c r="D1528" i="3"/>
  <c r="C1528" i="3"/>
  <c r="B1528" i="3"/>
  <c r="A1528" i="3"/>
  <c r="J1527" i="3"/>
  <c r="I1527" i="3"/>
  <c r="H1527" i="3"/>
  <c r="G1527" i="3"/>
  <c r="F1527" i="3"/>
  <c r="D1527" i="3"/>
  <c r="C1527" i="3"/>
  <c r="B1527" i="3"/>
  <c r="A1527" i="3"/>
  <c r="J1526" i="3"/>
  <c r="I1526" i="3"/>
  <c r="H1526" i="3"/>
  <c r="G1526" i="3"/>
  <c r="F1526" i="3"/>
  <c r="D1526" i="3"/>
  <c r="C1526" i="3"/>
  <c r="B1526" i="3"/>
  <c r="A1526" i="3"/>
  <c r="J1525" i="3"/>
  <c r="I1525" i="3"/>
  <c r="H1525" i="3"/>
  <c r="G1525" i="3"/>
  <c r="F1525" i="3"/>
  <c r="D1525" i="3"/>
  <c r="C1525" i="3"/>
  <c r="B1525" i="3"/>
  <c r="A1525" i="3"/>
  <c r="J1524" i="3"/>
  <c r="I1524" i="3"/>
  <c r="H1524" i="3"/>
  <c r="G1524" i="3"/>
  <c r="F1524" i="3"/>
  <c r="D1524" i="3"/>
  <c r="C1524" i="3"/>
  <c r="B1524" i="3"/>
  <c r="A1524" i="3"/>
  <c r="J1523" i="3"/>
  <c r="I1523" i="3"/>
  <c r="H1523" i="3"/>
  <c r="G1523" i="3"/>
  <c r="F1523" i="3"/>
  <c r="D1523" i="3"/>
  <c r="C1523" i="3"/>
  <c r="B1523" i="3"/>
  <c r="A1523" i="3"/>
  <c r="J1522" i="3"/>
  <c r="I1522" i="3"/>
  <c r="H1522" i="3"/>
  <c r="G1522" i="3"/>
  <c r="F1522" i="3"/>
  <c r="D1522" i="3"/>
  <c r="C1522" i="3"/>
  <c r="B1522" i="3"/>
  <c r="A1522" i="3"/>
  <c r="J1521" i="3"/>
  <c r="I1521" i="3"/>
  <c r="H1521" i="3"/>
  <c r="G1521" i="3"/>
  <c r="F1521" i="3"/>
  <c r="D1521" i="3"/>
  <c r="C1521" i="3"/>
  <c r="B1521" i="3"/>
  <c r="A1521" i="3"/>
  <c r="J1520" i="3"/>
  <c r="I1520" i="3"/>
  <c r="H1520" i="3"/>
  <c r="G1520" i="3"/>
  <c r="F1520" i="3"/>
  <c r="D1520" i="3"/>
  <c r="C1520" i="3"/>
  <c r="B1520" i="3"/>
  <c r="A1520" i="3"/>
  <c r="J1519" i="3"/>
  <c r="I1519" i="3"/>
  <c r="H1519" i="3"/>
  <c r="G1519" i="3"/>
  <c r="F1519" i="3"/>
  <c r="D1519" i="3"/>
  <c r="C1519" i="3"/>
  <c r="B1519" i="3"/>
  <c r="A1519" i="3"/>
  <c r="J1518" i="3"/>
  <c r="I1518" i="3"/>
  <c r="H1518" i="3"/>
  <c r="G1518" i="3"/>
  <c r="F1518" i="3"/>
  <c r="D1518" i="3"/>
  <c r="C1518" i="3"/>
  <c r="B1518" i="3"/>
  <c r="A1518" i="3"/>
  <c r="J1517" i="3"/>
  <c r="I1517" i="3"/>
  <c r="H1517" i="3"/>
  <c r="G1517" i="3"/>
  <c r="F1517" i="3"/>
  <c r="D1517" i="3"/>
  <c r="C1517" i="3"/>
  <c r="B1517" i="3"/>
  <c r="A1517" i="3"/>
  <c r="J1516" i="3"/>
  <c r="I1516" i="3"/>
  <c r="H1516" i="3"/>
  <c r="G1516" i="3"/>
  <c r="F1516" i="3"/>
  <c r="D1516" i="3"/>
  <c r="C1516" i="3"/>
  <c r="B1516" i="3"/>
  <c r="A1516" i="3"/>
  <c r="J1515" i="3"/>
  <c r="I1515" i="3"/>
  <c r="H1515" i="3"/>
  <c r="G1515" i="3"/>
  <c r="F1515" i="3"/>
  <c r="D1515" i="3"/>
  <c r="C1515" i="3"/>
  <c r="B1515" i="3"/>
  <c r="A1515" i="3"/>
  <c r="J1514" i="3"/>
  <c r="I1514" i="3"/>
  <c r="H1514" i="3"/>
  <c r="G1514" i="3"/>
  <c r="F1514" i="3"/>
  <c r="D1514" i="3"/>
  <c r="C1514" i="3"/>
  <c r="B1514" i="3"/>
  <c r="A1514" i="3"/>
  <c r="J1513" i="3"/>
  <c r="I1513" i="3"/>
  <c r="H1513" i="3"/>
  <c r="G1513" i="3"/>
  <c r="F1513" i="3"/>
  <c r="D1513" i="3"/>
  <c r="C1513" i="3"/>
  <c r="B1513" i="3"/>
  <c r="A1513" i="3"/>
  <c r="J1512" i="3"/>
  <c r="I1512" i="3"/>
  <c r="H1512" i="3"/>
  <c r="G1512" i="3"/>
  <c r="F1512" i="3"/>
  <c r="D1512" i="3"/>
  <c r="C1512" i="3"/>
  <c r="B1512" i="3"/>
  <c r="A1512" i="3"/>
  <c r="J1511" i="3"/>
  <c r="I1511" i="3"/>
  <c r="H1511" i="3"/>
  <c r="G1511" i="3"/>
  <c r="F1511" i="3"/>
  <c r="D1511" i="3"/>
  <c r="C1511" i="3"/>
  <c r="B1511" i="3"/>
  <c r="A1511" i="3"/>
  <c r="J1510" i="3"/>
  <c r="I1510" i="3"/>
  <c r="H1510" i="3"/>
  <c r="G1510" i="3"/>
  <c r="F1510" i="3"/>
  <c r="D1510" i="3"/>
  <c r="C1510" i="3"/>
  <c r="B1510" i="3"/>
  <c r="A1510" i="3"/>
  <c r="J1509" i="3"/>
  <c r="I1509" i="3"/>
  <c r="H1509" i="3"/>
  <c r="G1509" i="3"/>
  <c r="F1509" i="3"/>
  <c r="D1509" i="3"/>
  <c r="C1509" i="3"/>
  <c r="B1509" i="3"/>
  <c r="A1509" i="3"/>
  <c r="J1508" i="3"/>
  <c r="I1508" i="3"/>
  <c r="H1508" i="3"/>
  <c r="G1508" i="3"/>
  <c r="F1508" i="3"/>
  <c r="D1508" i="3"/>
  <c r="C1508" i="3"/>
  <c r="B1508" i="3"/>
  <c r="A1508" i="3"/>
  <c r="J1507" i="3"/>
  <c r="I1507" i="3"/>
  <c r="H1507" i="3"/>
  <c r="G1507" i="3"/>
  <c r="F1507" i="3"/>
  <c r="D1507" i="3"/>
  <c r="C1507" i="3"/>
  <c r="B1507" i="3"/>
  <c r="A1507" i="3"/>
  <c r="J1506" i="3"/>
  <c r="I1506" i="3"/>
  <c r="H1506" i="3"/>
  <c r="G1506" i="3"/>
  <c r="F1506" i="3"/>
  <c r="D1506" i="3"/>
  <c r="C1506" i="3"/>
  <c r="B1506" i="3"/>
  <c r="A1506" i="3"/>
  <c r="J1505" i="3"/>
  <c r="I1505" i="3"/>
  <c r="H1505" i="3"/>
  <c r="G1505" i="3"/>
  <c r="F1505" i="3"/>
  <c r="D1505" i="3"/>
  <c r="C1505" i="3"/>
  <c r="B1505" i="3"/>
  <c r="A1505" i="3"/>
  <c r="J1504" i="3"/>
  <c r="I1504" i="3"/>
  <c r="H1504" i="3"/>
  <c r="G1504" i="3"/>
  <c r="F1504" i="3"/>
  <c r="D1504" i="3"/>
  <c r="C1504" i="3"/>
  <c r="B1504" i="3"/>
  <c r="A1504" i="3"/>
  <c r="J1503" i="3"/>
  <c r="I1503" i="3"/>
  <c r="H1503" i="3"/>
  <c r="G1503" i="3"/>
  <c r="F1503" i="3"/>
  <c r="D1503" i="3"/>
  <c r="C1503" i="3"/>
  <c r="B1503" i="3"/>
  <c r="A1503" i="3"/>
  <c r="J1502" i="3"/>
  <c r="I1502" i="3"/>
  <c r="H1502" i="3"/>
  <c r="G1502" i="3"/>
  <c r="F1502" i="3"/>
  <c r="D1502" i="3"/>
  <c r="C1502" i="3"/>
  <c r="B1502" i="3"/>
  <c r="A1502" i="3"/>
  <c r="J1501" i="3"/>
  <c r="I1501" i="3"/>
  <c r="H1501" i="3"/>
  <c r="G1501" i="3"/>
  <c r="F1501" i="3"/>
  <c r="D1501" i="3"/>
  <c r="C1501" i="3"/>
  <c r="B1501" i="3"/>
  <c r="A1501" i="3"/>
  <c r="J1500" i="3"/>
  <c r="I1500" i="3"/>
  <c r="H1500" i="3"/>
  <c r="G1500" i="3"/>
  <c r="F1500" i="3"/>
  <c r="D1500" i="3"/>
  <c r="C1500" i="3"/>
  <c r="B1500" i="3"/>
  <c r="A1500" i="3"/>
  <c r="J1499" i="3"/>
  <c r="I1499" i="3"/>
  <c r="H1499" i="3"/>
  <c r="G1499" i="3"/>
  <c r="F1499" i="3"/>
  <c r="D1499" i="3"/>
  <c r="C1499" i="3"/>
  <c r="B1499" i="3"/>
  <c r="A1499" i="3"/>
  <c r="J1498" i="3"/>
  <c r="I1498" i="3"/>
  <c r="H1498" i="3"/>
  <c r="G1498" i="3"/>
  <c r="F1498" i="3"/>
  <c r="D1498" i="3"/>
  <c r="C1498" i="3"/>
  <c r="B1498" i="3"/>
  <c r="A1498" i="3"/>
  <c r="J1497" i="3"/>
  <c r="I1497" i="3"/>
  <c r="H1497" i="3"/>
  <c r="G1497" i="3"/>
  <c r="F1497" i="3"/>
  <c r="D1497" i="3"/>
  <c r="C1497" i="3"/>
  <c r="B1497" i="3"/>
  <c r="A1497" i="3"/>
  <c r="J1496" i="3"/>
  <c r="I1496" i="3"/>
  <c r="H1496" i="3"/>
  <c r="G1496" i="3"/>
  <c r="F1496" i="3"/>
  <c r="D1496" i="3"/>
  <c r="C1496" i="3"/>
  <c r="B1496" i="3"/>
  <c r="A1496" i="3"/>
  <c r="J1495" i="3"/>
  <c r="I1495" i="3"/>
  <c r="H1495" i="3"/>
  <c r="G1495" i="3"/>
  <c r="F1495" i="3"/>
  <c r="D1495" i="3"/>
  <c r="C1495" i="3"/>
  <c r="B1495" i="3"/>
  <c r="A1495" i="3"/>
  <c r="J1494" i="3"/>
  <c r="I1494" i="3"/>
  <c r="H1494" i="3"/>
  <c r="G1494" i="3"/>
  <c r="F1494" i="3"/>
  <c r="D1494" i="3"/>
  <c r="C1494" i="3"/>
  <c r="B1494" i="3"/>
  <c r="A1494" i="3"/>
  <c r="J1493" i="3"/>
  <c r="I1493" i="3"/>
  <c r="H1493" i="3"/>
  <c r="G1493" i="3"/>
  <c r="F1493" i="3"/>
  <c r="D1493" i="3"/>
  <c r="C1493" i="3"/>
  <c r="B1493" i="3"/>
  <c r="A1493" i="3"/>
  <c r="J1492" i="3"/>
  <c r="I1492" i="3"/>
  <c r="H1492" i="3"/>
  <c r="G1492" i="3"/>
  <c r="F1492" i="3"/>
  <c r="D1492" i="3"/>
  <c r="C1492" i="3"/>
  <c r="B1492" i="3"/>
  <c r="A1492" i="3"/>
  <c r="J1491" i="3"/>
  <c r="I1491" i="3"/>
  <c r="H1491" i="3"/>
  <c r="G1491" i="3"/>
  <c r="F1491" i="3"/>
  <c r="D1491" i="3"/>
  <c r="C1491" i="3"/>
  <c r="B1491" i="3"/>
  <c r="A1491" i="3"/>
  <c r="J1490" i="3"/>
  <c r="I1490" i="3"/>
  <c r="H1490" i="3"/>
  <c r="G1490" i="3"/>
  <c r="F1490" i="3"/>
  <c r="D1490" i="3"/>
  <c r="C1490" i="3"/>
  <c r="B1490" i="3"/>
  <c r="A1490" i="3"/>
  <c r="J1489" i="3"/>
  <c r="I1489" i="3"/>
  <c r="H1489" i="3"/>
  <c r="G1489" i="3"/>
  <c r="F1489" i="3"/>
  <c r="D1489" i="3"/>
  <c r="C1489" i="3"/>
  <c r="B1489" i="3"/>
  <c r="A1489" i="3"/>
  <c r="J1488" i="3"/>
  <c r="I1488" i="3"/>
  <c r="H1488" i="3"/>
  <c r="G1488" i="3"/>
  <c r="F1488" i="3"/>
  <c r="D1488" i="3"/>
  <c r="C1488" i="3"/>
  <c r="B1488" i="3"/>
  <c r="A1488" i="3"/>
  <c r="J1487" i="3"/>
  <c r="I1487" i="3"/>
  <c r="H1487" i="3"/>
  <c r="G1487" i="3"/>
  <c r="F1487" i="3"/>
  <c r="D1487" i="3"/>
  <c r="C1487" i="3"/>
  <c r="B1487" i="3"/>
  <c r="A1487" i="3"/>
  <c r="J1486" i="3"/>
  <c r="I1486" i="3"/>
  <c r="H1486" i="3"/>
  <c r="G1486" i="3"/>
  <c r="F1486" i="3"/>
  <c r="D1486" i="3"/>
  <c r="C1486" i="3"/>
  <c r="B1486" i="3"/>
  <c r="A1486" i="3"/>
  <c r="J1485" i="3"/>
  <c r="I1485" i="3"/>
  <c r="H1485" i="3"/>
  <c r="G1485" i="3"/>
  <c r="F1485" i="3"/>
  <c r="D1485" i="3"/>
  <c r="C1485" i="3"/>
  <c r="B1485" i="3"/>
  <c r="A1485" i="3"/>
  <c r="J1484" i="3"/>
  <c r="I1484" i="3"/>
  <c r="H1484" i="3"/>
  <c r="G1484" i="3"/>
  <c r="F1484" i="3"/>
  <c r="D1484" i="3"/>
  <c r="C1484" i="3"/>
  <c r="B1484" i="3"/>
  <c r="A1484" i="3"/>
  <c r="J1483" i="3"/>
  <c r="I1483" i="3"/>
  <c r="H1483" i="3"/>
  <c r="G1483" i="3"/>
  <c r="F1483" i="3"/>
  <c r="D1483" i="3"/>
  <c r="C1483" i="3"/>
  <c r="B1483" i="3"/>
  <c r="A1483" i="3"/>
  <c r="J1482" i="3"/>
  <c r="I1482" i="3"/>
  <c r="H1482" i="3"/>
  <c r="G1482" i="3"/>
  <c r="F1482" i="3"/>
  <c r="D1482" i="3"/>
  <c r="C1482" i="3"/>
  <c r="B1482" i="3"/>
  <c r="A1482" i="3"/>
  <c r="J1481" i="3"/>
  <c r="I1481" i="3"/>
  <c r="H1481" i="3"/>
  <c r="G1481" i="3"/>
  <c r="F1481" i="3"/>
  <c r="D1481" i="3"/>
  <c r="C1481" i="3"/>
  <c r="B1481" i="3"/>
  <c r="A1481" i="3"/>
  <c r="J1480" i="3"/>
  <c r="I1480" i="3"/>
  <c r="H1480" i="3"/>
  <c r="G1480" i="3"/>
  <c r="F1480" i="3"/>
  <c r="D1480" i="3"/>
  <c r="C1480" i="3"/>
  <c r="B1480" i="3"/>
  <c r="A1480" i="3"/>
  <c r="J1479" i="3"/>
  <c r="I1479" i="3"/>
  <c r="H1479" i="3"/>
  <c r="G1479" i="3"/>
  <c r="F1479" i="3"/>
  <c r="D1479" i="3"/>
  <c r="C1479" i="3"/>
  <c r="B1479" i="3"/>
  <c r="A1479" i="3"/>
  <c r="J1478" i="3"/>
  <c r="I1478" i="3"/>
  <c r="H1478" i="3"/>
  <c r="G1478" i="3"/>
  <c r="F1478" i="3"/>
  <c r="D1478" i="3"/>
  <c r="C1478" i="3"/>
  <c r="B1478" i="3"/>
  <c r="A1478" i="3"/>
  <c r="J1477" i="3"/>
  <c r="I1477" i="3"/>
  <c r="H1477" i="3"/>
  <c r="G1477" i="3"/>
  <c r="F1477" i="3"/>
  <c r="D1477" i="3"/>
  <c r="C1477" i="3"/>
  <c r="B1477" i="3"/>
  <c r="A1477" i="3"/>
  <c r="J1476" i="3"/>
  <c r="I1476" i="3"/>
  <c r="H1476" i="3"/>
  <c r="G1476" i="3"/>
  <c r="F1476" i="3"/>
  <c r="D1476" i="3"/>
  <c r="C1476" i="3"/>
  <c r="B1476" i="3"/>
  <c r="A1476" i="3"/>
  <c r="J1475" i="3"/>
  <c r="I1475" i="3"/>
  <c r="H1475" i="3"/>
  <c r="G1475" i="3"/>
  <c r="F1475" i="3"/>
  <c r="D1475" i="3"/>
  <c r="C1475" i="3"/>
  <c r="B1475" i="3"/>
  <c r="A1475" i="3"/>
  <c r="J1474" i="3"/>
  <c r="I1474" i="3"/>
  <c r="H1474" i="3"/>
  <c r="G1474" i="3"/>
  <c r="F1474" i="3"/>
  <c r="D1474" i="3"/>
  <c r="C1474" i="3"/>
  <c r="B1474" i="3"/>
  <c r="A1474" i="3"/>
  <c r="J1473" i="3"/>
  <c r="I1473" i="3"/>
  <c r="H1473" i="3"/>
  <c r="G1473" i="3"/>
  <c r="F1473" i="3"/>
  <c r="D1473" i="3"/>
  <c r="C1473" i="3"/>
  <c r="B1473" i="3"/>
  <c r="A1473" i="3"/>
  <c r="J1472" i="3"/>
  <c r="I1472" i="3"/>
  <c r="H1472" i="3"/>
  <c r="G1472" i="3"/>
  <c r="F1472" i="3"/>
  <c r="D1472" i="3"/>
  <c r="C1472" i="3"/>
  <c r="B1472" i="3"/>
  <c r="A1472" i="3"/>
  <c r="J1471" i="3"/>
  <c r="I1471" i="3"/>
  <c r="H1471" i="3"/>
  <c r="G1471" i="3"/>
  <c r="F1471" i="3"/>
  <c r="D1471" i="3"/>
  <c r="C1471" i="3"/>
  <c r="B1471" i="3"/>
  <c r="A1471" i="3"/>
  <c r="J1470" i="3"/>
  <c r="I1470" i="3"/>
  <c r="H1470" i="3"/>
  <c r="G1470" i="3"/>
  <c r="F1470" i="3"/>
  <c r="D1470" i="3"/>
  <c r="C1470" i="3"/>
  <c r="B1470" i="3"/>
  <c r="A1470" i="3"/>
  <c r="J1469" i="3"/>
  <c r="I1469" i="3"/>
  <c r="H1469" i="3"/>
  <c r="G1469" i="3"/>
  <c r="F1469" i="3"/>
  <c r="D1469" i="3"/>
  <c r="C1469" i="3"/>
  <c r="B1469" i="3"/>
  <c r="A1469" i="3"/>
  <c r="J1468" i="3"/>
  <c r="I1468" i="3"/>
  <c r="H1468" i="3"/>
  <c r="G1468" i="3"/>
  <c r="F1468" i="3"/>
  <c r="D1468" i="3"/>
  <c r="C1468" i="3"/>
  <c r="B1468" i="3"/>
  <c r="A1468" i="3"/>
  <c r="J1467" i="3"/>
  <c r="I1467" i="3"/>
  <c r="H1467" i="3"/>
  <c r="G1467" i="3"/>
  <c r="F1467" i="3"/>
  <c r="D1467" i="3"/>
  <c r="C1467" i="3"/>
  <c r="B1467" i="3"/>
  <c r="A1467" i="3"/>
  <c r="J1466" i="3"/>
  <c r="I1466" i="3"/>
  <c r="H1466" i="3"/>
  <c r="G1466" i="3"/>
  <c r="F1466" i="3"/>
  <c r="D1466" i="3"/>
  <c r="C1466" i="3"/>
  <c r="B1466" i="3"/>
  <c r="A1466" i="3"/>
  <c r="J1465" i="3"/>
  <c r="I1465" i="3"/>
  <c r="H1465" i="3"/>
  <c r="G1465" i="3"/>
  <c r="F1465" i="3"/>
  <c r="D1465" i="3"/>
  <c r="C1465" i="3"/>
  <c r="B1465" i="3"/>
  <c r="A1465" i="3"/>
  <c r="J1464" i="3"/>
  <c r="I1464" i="3"/>
  <c r="H1464" i="3"/>
  <c r="G1464" i="3"/>
  <c r="F1464" i="3"/>
  <c r="D1464" i="3"/>
  <c r="C1464" i="3"/>
  <c r="B1464" i="3"/>
  <c r="A1464" i="3"/>
  <c r="J1463" i="3"/>
  <c r="I1463" i="3"/>
  <c r="H1463" i="3"/>
  <c r="G1463" i="3"/>
  <c r="F1463" i="3"/>
  <c r="D1463" i="3"/>
  <c r="C1463" i="3"/>
  <c r="B1463" i="3"/>
  <c r="A1463" i="3"/>
  <c r="J1462" i="3"/>
  <c r="I1462" i="3"/>
  <c r="H1462" i="3"/>
  <c r="G1462" i="3"/>
  <c r="F1462" i="3"/>
  <c r="D1462" i="3"/>
  <c r="C1462" i="3"/>
  <c r="B1462" i="3"/>
  <c r="A1462" i="3"/>
  <c r="J1461" i="3"/>
  <c r="I1461" i="3"/>
  <c r="H1461" i="3"/>
  <c r="G1461" i="3"/>
  <c r="F1461" i="3"/>
  <c r="D1461" i="3"/>
  <c r="C1461" i="3"/>
  <c r="B1461" i="3"/>
  <c r="A1461" i="3"/>
  <c r="J1460" i="3"/>
  <c r="I1460" i="3"/>
  <c r="H1460" i="3"/>
  <c r="G1460" i="3"/>
  <c r="F1460" i="3"/>
  <c r="D1460" i="3"/>
  <c r="C1460" i="3"/>
  <c r="B1460" i="3"/>
  <c r="A1460" i="3"/>
  <c r="J1459" i="3"/>
  <c r="I1459" i="3"/>
  <c r="H1459" i="3"/>
  <c r="G1459" i="3"/>
  <c r="F1459" i="3"/>
  <c r="D1459" i="3"/>
  <c r="C1459" i="3"/>
  <c r="B1459" i="3"/>
  <c r="A1459" i="3"/>
  <c r="J1458" i="3"/>
  <c r="I1458" i="3"/>
  <c r="H1458" i="3"/>
  <c r="G1458" i="3"/>
  <c r="F1458" i="3"/>
  <c r="D1458" i="3"/>
  <c r="C1458" i="3"/>
  <c r="B1458" i="3"/>
  <c r="A1458" i="3"/>
  <c r="J1457" i="3"/>
  <c r="I1457" i="3"/>
  <c r="H1457" i="3"/>
  <c r="G1457" i="3"/>
  <c r="F1457" i="3"/>
  <c r="D1457" i="3"/>
  <c r="C1457" i="3"/>
  <c r="B1457" i="3"/>
  <c r="A1457" i="3"/>
  <c r="J1456" i="3"/>
  <c r="I1456" i="3"/>
  <c r="H1456" i="3"/>
  <c r="G1456" i="3"/>
  <c r="F1456" i="3"/>
  <c r="D1456" i="3"/>
  <c r="C1456" i="3"/>
  <c r="B1456" i="3"/>
  <c r="A1456" i="3"/>
  <c r="J1455" i="3"/>
  <c r="I1455" i="3"/>
  <c r="H1455" i="3"/>
  <c r="G1455" i="3"/>
  <c r="F1455" i="3"/>
  <c r="D1455" i="3"/>
  <c r="C1455" i="3"/>
  <c r="B1455" i="3"/>
  <c r="A1455" i="3"/>
  <c r="J1454" i="3"/>
  <c r="I1454" i="3"/>
  <c r="H1454" i="3"/>
  <c r="G1454" i="3"/>
  <c r="F1454" i="3"/>
  <c r="D1454" i="3"/>
  <c r="C1454" i="3"/>
  <c r="B1454" i="3"/>
  <c r="A1454" i="3"/>
  <c r="J1453" i="3"/>
  <c r="I1453" i="3"/>
  <c r="H1453" i="3"/>
  <c r="G1453" i="3"/>
  <c r="F1453" i="3"/>
  <c r="D1453" i="3"/>
  <c r="C1453" i="3"/>
  <c r="B1453" i="3"/>
  <c r="A1453" i="3"/>
  <c r="J1452" i="3"/>
  <c r="I1452" i="3"/>
  <c r="H1452" i="3"/>
  <c r="G1452" i="3"/>
  <c r="F1452" i="3"/>
  <c r="D1452" i="3"/>
  <c r="C1452" i="3"/>
  <c r="B1452" i="3"/>
  <c r="A1452" i="3"/>
  <c r="J1451" i="3"/>
  <c r="I1451" i="3"/>
  <c r="H1451" i="3"/>
  <c r="G1451" i="3"/>
  <c r="F1451" i="3"/>
  <c r="D1451" i="3"/>
  <c r="C1451" i="3"/>
  <c r="B1451" i="3"/>
  <c r="A1451" i="3"/>
  <c r="J1450" i="3"/>
  <c r="I1450" i="3"/>
  <c r="H1450" i="3"/>
  <c r="G1450" i="3"/>
  <c r="F1450" i="3"/>
  <c r="D1450" i="3"/>
  <c r="C1450" i="3"/>
  <c r="B1450" i="3"/>
  <c r="A1450" i="3"/>
  <c r="J1449" i="3"/>
  <c r="I1449" i="3"/>
  <c r="H1449" i="3"/>
  <c r="G1449" i="3"/>
  <c r="F1449" i="3"/>
  <c r="D1449" i="3"/>
  <c r="C1449" i="3"/>
  <c r="B1449" i="3"/>
  <c r="A1449" i="3"/>
  <c r="J1448" i="3"/>
  <c r="I1448" i="3"/>
  <c r="H1448" i="3"/>
  <c r="G1448" i="3"/>
  <c r="F1448" i="3"/>
  <c r="D1448" i="3"/>
  <c r="C1448" i="3"/>
  <c r="B1448" i="3"/>
  <c r="A1448" i="3"/>
  <c r="J1447" i="3"/>
  <c r="I1447" i="3"/>
  <c r="H1447" i="3"/>
  <c r="G1447" i="3"/>
  <c r="F1447" i="3"/>
  <c r="D1447" i="3"/>
  <c r="C1447" i="3"/>
  <c r="B1447" i="3"/>
  <c r="A1447" i="3"/>
  <c r="J1446" i="3"/>
  <c r="I1446" i="3"/>
  <c r="H1446" i="3"/>
  <c r="G1446" i="3"/>
  <c r="F1446" i="3"/>
  <c r="D1446" i="3"/>
  <c r="C1446" i="3"/>
  <c r="B1446" i="3"/>
  <c r="A1446" i="3"/>
  <c r="J1445" i="3"/>
  <c r="I1445" i="3"/>
  <c r="H1445" i="3"/>
  <c r="G1445" i="3"/>
  <c r="F1445" i="3"/>
  <c r="D1445" i="3"/>
  <c r="C1445" i="3"/>
  <c r="B1445" i="3"/>
  <c r="A1445" i="3"/>
  <c r="J1444" i="3"/>
  <c r="I1444" i="3"/>
  <c r="H1444" i="3"/>
  <c r="G1444" i="3"/>
  <c r="F1444" i="3"/>
  <c r="D1444" i="3"/>
  <c r="C1444" i="3"/>
  <c r="B1444" i="3"/>
  <c r="A1444" i="3"/>
  <c r="J1443" i="3"/>
  <c r="I1443" i="3"/>
  <c r="H1443" i="3"/>
  <c r="G1443" i="3"/>
  <c r="F1443" i="3"/>
  <c r="D1443" i="3"/>
  <c r="C1443" i="3"/>
  <c r="B1443" i="3"/>
  <c r="A1443" i="3"/>
  <c r="J1442" i="3"/>
  <c r="I1442" i="3"/>
  <c r="H1442" i="3"/>
  <c r="G1442" i="3"/>
  <c r="F1442" i="3"/>
  <c r="D1442" i="3"/>
  <c r="C1442" i="3"/>
  <c r="B1442" i="3"/>
  <c r="A1442" i="3"/>
  <c r="J1441" i="3"/>
  <c r="I1441" i="3"/>
  <c r="H1441" i="3"/>
  <c r="G1441" i="3"/>
  <c r="F1441" i="3"/>
  <c r="D1441" i="3"/>
  <c r="C1441" i="3"/>
  <c r="B1441" i="3"/>
  <c r="A1441" i="3"/>
  <c r="J1440" i="3"/>
  <c r="I1440" i="3"/>
  <c r="H1440" i="3"/>
  <c r="G1440" i="3"/>
  <c r="F1440" i="3"/>
  <c r="D1440" i="3"/>
  <c r="C1440" i="3"/>
  <c r="B1440" i="3"/>
  <c r="A1440" i="3"/>
  <c r="J1439" i="3"/>
  <c r="I1439" i="3"/>
  <c r="H1439" i="3"/>
  <c r="G1439" i="3"/>
  <c r="F1439" i="3"/>
  <c r="D1439" i="3"/>
  <c r="C1439" i="3"/>
  <c r="B1439" i="3"/>
  <c r="A1439" i="3"/>
  <c r="J1438" i="3"/>
  <c r="I1438" i="3"/>
  <c r="H1438" i="3"/>
  <c r="G1438" i="3"/>
  <c r="F1438" i="3"/>
  <c r="D1438" i="3"/>
  <c r="C1438" i="3"/>
  <c r="B1438" i="3"/>
  <c r="A1438" i="3"/>
  <c r="J1437" i="3"/>
  <c r="I1437" i="3"/>
  <c r="H1437" i="3"/>
  <c r="G1437" i="3"/>
  <c r="F1437" i="3"/>
  <c r="D1437" i="3"/>
  <c r="C1437" i="3"/>
  <c r="B1437" i="3"/>
  <c r="A1437" i="3"/>
  <c r="J1436" i="3"/>
  <c r="I1436" i="3"/>
  <c r="H1436" i="3"/>
  <c r="G1436" i="3"/>
  <c r="F1436" i="3"/>
  <c r="D1436" i="3"/>
  <c r="C1436" i="3"/>
  <c r="B1436" i="3"/>
  <c r="A1436" i="3"/>
  <c r="J1435" i="3"/>
  <c r="I1435" i="3"/>
  <c r="H1435" i="3"/>
  <c r="G1435" i="3"/>
  <c r="F1435" i="3"/>
  <c r="D1435" i="3"/>
  <c r="C1435" i="3"/>
  <c r="B1435" i="3"/>
  <c r="A1435" i="3"/>
  <c r="J1434" i="3"/>
  <c r="I1434" i="3"/>
  <c r="H1434" i="3"/>
  <c r="G1434" i="3"/>
  <c r="F1434" i="3"/>
  <c r="D1434" i="3"/>
  <c r="C1434" i="3"/>
  <c r="B1434" i="3"/>
  <c r="A1434" i="3"/>
  <c r="J1433" i="3"/>
  <c r="I1433" i="3"/>
  <c r="H1433" i="3"/>
  <c r="G1433" i="3"/>
  <c r="F1433" i="3"/>
  <c r="D1433" i="3"/>
  <c r="C1433" i="3"/>
  <c r="B1433" i="3"/>
  <c r="A1433" i="3"/>
  <c r="J1432" i="3"/>
  <c r="I1432" i="3"/>
  <c r="H1432" i="3"/>
  <c r="G1432" i="3"/>
  <c r="F1432" i="3"/>
  <c r="D1432" i="3"/>
  <c r="C1432" i="3"/>
  <c r="B1432" i="3"/>
  <c r="A1432" i="3"/>
  <c r="J1431" i="3"/>
  <c r="I1431" i="3"/>
  <c r="H1431" i="3"/>
  <c r="G1431" i="3"/>
  <c r="F1431" i="3"/>
  <c r="D1431" i="3"/>
  <c r="C1431" i="3"/>
  <c r="B1431" i="3"/>
  <c r="A1431" i="3"/>
  <c r="J1430" i="3"/>
  <c r="I1430" i="3"/>
  <c r="H1430" i="3"/>
  <c r="G1430" i="3"/>
  <c r="F1430" i="3"/>
  <c r="D1430" i="3"/>
  <c r="C1430" i="3"/>
  <c r="B1430" i="3"/>
  <c r="A1430" i="3"/>
  <c r="J1429" i="3"/>
  <c r="I1429" i="3"/>
  <c r="H1429" i="3"/>
  <c r="G1429" i="3"/>
  <c r="F1429" i="3"/>
  <c r="D1429" i="3"/>
  <c r="C1429" i="3"/>
  <c r="B1429" i="3"/>
  <c r="A1429" i="3"/>
  <c r="J1428" i="3"/>
  <c r="I1428" i="3"/>
  <c r="H1428" i="3"/>
  <c r="G1428" i="3"/>
  <c r="F1428" i="3"/>
  <c r="D1428" i="3"/>
  <c r="C1428" i="3"/>
  <c r="B1428" i="3"/>
  <c r="A1428" i="3"/>
  <c r="J1427" i="3"/>
  <c r="I1427" i="3"/>
  <c r="H1427" i="3"/>
  <c r="G1427" i="3"/>
  <c r="F1427" i="3"/>
  <c r="D1427" i="3"/>
  <c r="C1427" i="3"/>
  <c r="B1427" i="3"/>
  <c r="A1427" i="3"/>
  <c r="J1426" i="3"/>
  <c r="I1426" i="3"/>
  <c r="H1426" i="3"/>
  <c r="G1426" i="3"/>
  <c r="F1426" i="3"/>
  <c r="D1426" i="3"/>
  <c r="C1426" i="3"/>
  <c r="B1426" i="3"/>
  <c r="A1426" i="3"/>
  <c r="J1425" i="3"/>
  <c r="I1425" i="3"/>
  <c r="H1425" i="3"/>
  <c r="G1425" i="3"/>
  <c r="F1425" i="3"/>
  <c r="D1425" i="3"/>
  <c r="C1425" i="3"/>
  <c r="B1425" i="3"/>
  <c r="A1425" i="3"/>
  <c r="J1424" i="3"/>
  <c r="I1424" i="3"/>
  <c r="H1424" i="3"/>
  <c r="G1424" i="3"/>
  <c r="F1424" i="3"/>
  <c r="D1424" i="3"/>
  <c r="C1424" i="3"/>
  <c r="B1424" i="3"/>
  <c r="A1424" i="3"/>
  <c r="J1423" i="3"/>
  <c r="I1423" i="3"/>
  <c r="H1423" i="3"/>
  <c r="G1423" i="3"/>
  <c r="F1423" i="3"/>
  <c r="D1423" i="3"/>
  <c r="C1423" i="3"/>
  <c r="B1423" i="3"/>
  <c r="A1423" i="3"/>
  <c r="J1422" i="3"/>
  <c r="I1422" i="3"/>
  <c r="H1422" i="3"/>
  <c r="G1422" i="3"/>
  <c r="F1422" i="3"/>
  <c r="D1422" i="3"/>
  <c r="C1422" i="3"/>
  <c r="B1422" i="3"/>
  <c r="A1422" i="3"/>
  <c r="J1421" i="3"/>
  <c r="I1421" i="3"/>
  <c r="H1421" i="3"/>
  <c r="G1421" i="3"/>
  <c r="F1421" i="3"/>
  <c r="D1421" i="3"/>
  <c r="C1421" i="3"/>
  <c r="B1421" i="3"/>
  <c r="A1421" i="3"/>
  <c r="J1420" i="3"/>
  <c r="I1420" i="3"/>
  <c r="H1420" i="3"/>
  <c r="G1420" i="3"/>
  <c r="F1420" i="3"/>
  <c r="D1420" i="3"/>
  <c r="C1420" i="3"/>
  <c r="B1420" i="3"/>
  <c r="A1420" i="3"/>
  <c r="J1419" i="3"/>
  <c r="I1419" i="3"/>
  <c r="H1419" i="3"/>
  <c r="G1419" i="3"/>
  <c r="F1419" i="3"/>
  <c r="D1419" i="3"/>
  <c r="C1419" i="3"/>
  <c r="B1419" i="3"/>
  <c r="A1419" i="3"/>
  <c r="J1418" i="3"/>
  <c r="I1418" i="3"/>
  <c r="H1418" i="3"/>
  <c r="G1418" i="3"/>
  <c r="F1418" i="3"/>
  <c r="D1418" i="3"/>
  <c r="C1418" i="3"/>
  <c r="B1418" i="3"/>
  <c r="A1418" i="3"/>
  <c r="J1417" i="3"/>
  <c r="I1417" i="3"/>
  <c r="H1417" i="3"/>
  <c r="G1417" i="3"/>
  <c r="F1417" i="3"/>
  <c r="D1417" i="3"/>
  <c r="C1417" i="3"/>
  <c r="B1417" i="3"/>
  <c r="A1417" i="3"/>
  <c r="J1416" i="3"/>
  <c r="I1416" i="3"/>
  <c r="H1416" i="3"/>
  <c r="G1416" i="3"/>
  <c r="F1416" i="3"/>
  <c r="D1416" i="3"/>
  <c r="C1416" i="3"/>
  <c r="B1416" i="3"/>
  <c r="A1416" i="3"/>
  <c r="J1415" i="3"/>
  <c r="I1415" i="3"/>
  <c r="H1415" i="3"/>
  <c r="G1415" i="3"/>
  <c r="F1415" i="3"/>
  <c r="D1415" i="3"/>
  <c r="C1415" i="3"/>
  <c r="B1415" i="3"/>
  <c r="A1415" i="3"/>
  <c r="J1414" i="3"/>
  <c r="I1414" i="3"/>
  <c r="H1414" i="3"/>
  <c r="G1414" i="3"/>
  <c r="F1414" i="3"/>
  <c r="D1414" i="3"/>
  <c r="C1414" i="3"/>
  <c r="B1414" i="3"/>
  <c r="A1414" i="3"/>
  <c r="J1413" i="3"/>
  <c r="I1413" i="3"/>
  <c r="H1413" i="3"/>
  <c r="G1413" i="3"/>
  <c r="F1413" i="3"/>
  <c r="D1413" i="3"/>
  <c r="C1413" i="3"/>
  <c r="B1413" i="3"/>
  <c r="A1413" i="3"/>
  <c r="J1412" i="3"/>
  <c r="I1412" i="3"/>
  <c r="H1412" i="3"/>
  <c r="G1412" i="3"/>
  <c r="F1412" i="3"/>
  <c r="D1412" i="3"/>
  <c r="C1412" i="3"/>
  <c r="B1412" i="3"/>
  <c r="A1412" i="3"/>
  <c r="J1411" i="3"/>
  <c r="I1411" i="3"/>
  <c r="H1411" i="3"/>
  <c r="G1411" i="3"/>
  <c r="F1411" i="3"/>
  <c r="D1411" i="3"/>
  <c r="C1411" i="3"/>
  <c r="B1411" i="3"/>
  <c r="A1411" i="3"/>
  <c r="J1410" i="3"/>
  <c r="I1410" i="3"/>
  <c r="H1410" i="3"/>
  <c r="G1410" i="3"/>
  <c r="F1410" i="3"/>
  <c r="D1410" i="3"/>
  <c r="C1410" i="3"/>
  <c r="B1410" i="3"/>
  <c r="A1410" i="3"/>
  <c r="J1409" i="3"/>
  <c r="I1409" i="3"/>
  <c r="H1409" i="3"/>
  <c r="G1409" i="3"/>
  <c r="F1409" i="3"/>
  <c r="D1409" i="3"/>
  <c r="C1409" i="3"/>
  <c r="B1409" i="3"/>
  <c r="A1409" i="3"/>
  <c r="J1408" i="3"/>
  <c r="I1408" i="3"/>
  <c r="H1408" i="3"/>
  <c r="G1408" i="3"/>
  <c r="F1408" i="3"/>
  <c r="D1408" i="3"/>
  <c r="C1408" i="3"/>
  <c r="B1408" i="3"/>
  <c r="A1408" i="3"/>
  <c r="J1407" i="3"/>
  <c r="I1407" i="3"/>
  <c r="H1407" i="3"/>
  <c r="G1407" i="3"/>
  <c r="F1407" i="3"/>
  <c r="D1407" i="3"/>
  <c r="C1407" i="3"/>
  <c r="B1407" i="3"/>
  <c r="A1407" i="3"/>
  <c r="J1406" i="3"/>
  <c r="I1406" i="3"/>
  <c r="H1406" i="3"/>
  <c r="G1406" i="3"/>
  <c r="F1406" i="3"/>
  <c r="D1406" i="3"/>
  <c r="C1406" i="3"/>
  <c r="B1406" i="3"/>
  <c r="A1406" i="3"/>
  <c r="J1405" i="3"/>
  <c r="I1405" i="3"/>
  <c r="H1405" i="3"/>
  <c r="G1405" i="3"/>
  <c r="F1405" i="3"/>
  <c r="D1405" i="3"/>
  <c r="C1405" i="3"/>
  <c r="B1405" i="3"/>
  <c r="A1405" i="3"/>
  <c r="J1404" i="3"/>
  <c r="I1404" i="3"/>
  <c r="H1404" i="3"/>
  <c r="G1404" i="3"/>
  <c r="F1404" i="3"/>
  <c r="D1404" i="3"/>
  <c r="C1404" i="3"/>
  <c r="B1404" i="3"/>
  <c r="A1404" i="3"/>
  <c r="J1403" i="3"/>
  <c r="I1403" i="3"/>
  <c r="H1403" i="3"/>
  <c r="G1403" i="3"/>
  <c r="F1403" i="3"/>
  <c r="D1403" i="3"/>
  <c r="C1403" i="3"/>
  <c r="B1403" i="3"/>
  <c r="A1403" i="3"/>
  <c r="J1402" i="3"/>
  <c r="I1402" i="3"/>
  <c r="H1402" i="3"/>
  <c r="G1402" i="3"/>
  <c r="F1402" i="3"/>
  <c r="D1402" i="3"/>
  <c r="C1402" i="3"/>
  <c r="B1402" i="3"/>
  <c r="A1402" i="3"/>
  <c r="J1401" i="3"/>
  <c r="I1401" i="3"/>
  <c r="H1401" i="3"/>
  <c r="G1401" i="3"/>
  <c r="F1401" i="3"/>
  <c r="D1401" i="3"/>
  <c r="C1401" i="3"/>
  <c r="B1401" i="3"/>
  <c r="A1401" i="3"/>
  <c r="J1400" i="3"/>
  <c r="I1400" i="3"/>
  <c r="H1400" i="3"/>
  <c r="G1400" i="3"/>
  <c r="F1400" i="3"/>
  <c r="D1400" i="3"/>
  <c r="C1400" i="3"/>
  <c r="B1400" i="3"/>
  <c r="A1400" i="3"/>
  <c r="J1399" i="3"/>
  <c r="I1399" i="3"/>
  <c r="H1399" i="3"/>
  <c r="G1399" i="3"/>
  <c r="F1399" i="3"/>
  <c r="D1399" i="3"/>
  <c r="C1399" i="3"/>
  <c r="B1399" i="3"/>
  <c r="A1399" i="3"/>
  <c r="J1398" i="3"/>
  <c r="I1398" i="3"/>
  <c r="H1398" i="3"/>
  <c r="G1398" i="3"/>
  <c r="F1398" i="3"/>
  <c r="D1398" i="3"/>
  <c r="C1398" i="3"/>
  <c r="B1398" i="3"/>
  <c r="A1398" i="3"/>
  <c r="J1397" i="3"/>
  <c r="I1397" i="3"/>
  <c r="H1397" i="3"/>
  <c r="G1397" i="3"/>
  <c r="F1397" i="3"/>
  <c r="D1397" i="3"/>
  <c r="C1397" i="3"/>
  <c r="B1397" i="3"/>
  <c r="A1397" i="3"/>
  <c r="J1396" i="3"/>
  <c r="I1396" i="3"/>
  <c r="H1396" i="3"/>
  <c r="G1396" i="3"/>
  <c r="F1396" i="3"/>
  <c r="D1396" i="3"/>
  <c r="C1396" i="3"/>
  <c r="B1396" i="3"/>
  <c r="A1396" i="3"/>
  <c r="J1395" i="3"/>
  <c r="I1395" i="3"/>
  <c r="H1395" i="3"/>
  <c r="G1395" i="3"/>
  <c r="F1395" i="3"/>
  <c r="D1395" i="3"/>
  <c r="C1395" i="3"/>
  <c r="B1395" i="3"/>
  <c r="A1395" i="3"/>
  <c r="J1394" i="3"/>
  <c r="I1394" i="3"/>
  <c r="H1394" i="3"/>
  <c r="G1394" i="3"/>
  <c r="F1394" i="3"/>
  <c r="D1394" i="3"/>
  <c r="C1394" i="3"/>
  <c r="B1394" i="3"/>
  <c r="A1394" i="3"/>
  <c r="J1393" i="3"/>
  <c r="I1393" i="3"/>
  <c r="H1393" i="3"/>
  <c r="G1393" i="3"/>
  <c r="F1393" i="3"/>
  <c r="D1393" i="3"/>
  <c r="C1393" i="3"/>
  <c r="B1393" i="3"/>
  <c r="A1393" i="3"/>
  <c r="J1392" i="3"/>
  <c r="I1392" i="3"/>
  <c r="H1392" i="3"/>
  <c r="G1392" i="3"/>
  <c r="F1392" i="3"/>
  <c r="D1392" i="3"/>
  <c r="C1392" i="3"/>
  <c r="B1392" i="3"/>
  <c r="A1392" i="3"/>
  <c r="J1391" i="3"/>
  <c r="I1391" i="3"/>
  <c r="H1391" i="3"/>
  <c r="G1391" i="3"/>
  <c r="F1391" i="3"/>
  <c r="D1391" i="3"/>
  <c r="C1391" i="3"/>
  <c r="B1391" i="3"/>
  <c r="A1391" i="3"/>
  <c r="J1390" i="3"/>
  <c r="I1390" i="3"/>
  <c r="H1390" i="3"/>
  <c r="G1390" i="3"/>
  <c r="F1390" i="3"/>
  <c r="D1390" i="3"/>
  <c r="C1390" i="3"/>
  <c r="B1390" i="3"/>
  <c r="A1390" i="3"/>
  <c r="J1389" i="3"/>
  <c r="I1389" i="3"/>
  <c r="H1389" i="3"/>
  <c r="G1389" i="3"/>
  <c r="F1389" i="3"/>
  <c r="D1389" i="3"/>
  <c r="C1389" i="3"/>
  <c r="B1389" i="3"/>
  <c r="A1389" i="3"/>
  <c r="J1388" i="3"/>
  <c r="I1388" i="3"/>
  <c r="H1388" i="3"/>
  <c r="G1388" i="3"/>
  <c r="F1388" i="3"/>
  <c r="D1388" i="3"/>
  <c r="C1388" i="3"/>
  <c r="B1388" i="3"/>
  <c r="A1388" i="3"/>
  <c r="J1387" i="3"/>
  <c r="I1387" i="3"/>
  <c r="H1387" i="3"/>
  <c r="G1387" i="3"/>
  <c r="F1387" i="3"/>
  <c r="D1387" i="3"/>
  <c r="C1387" i="3"/>
  <c r="B1387" i="3"/>
  <c r="A1387" i="3"/>
  <c r="J1386" i="3"/>
  <c r="I1386" i="3"/>
  <c r="H1386" i="3"/>
  <c r="G1386" i="3"/>
  <c r="F1386" i="3"/>
  <c r="D1386" i="3"/>
  <c r="C1386" i="3"/>
  <c r="B1386" i="3"/>
  <c r="A1386" i="3"/>
  <c r="J1385" i="3"/>
  <c r="I1385" i="3"/>
  <c r="H1385" i="3"/>
  <c r="G1385" i="3"/>
  <c r="F1385" i="3"/>
  <c r="D1385" i="3"/>
  <c r="C1385" i="3"/>
  <c r="B1385" i="3"/>
  <c r="A1385" i="3"/>
  <c r="J1384" i="3"/>
  <c r="I1384" i="3"/>
  <c r="H1384" i="3"/>
  <c r="G1384" i="3"/>
  <c r="F1384" i="3"/>
  <c r="D1384" i="3"/>
  <c r="C1384" i="3"/>
  <c r="B1384" i="3"/>
  <c r="A1384" i="3"/>
  <c r="J1383" i="3"/>
  <c r="I1383" i="3"/>
  <c r="H1383" i="3"/>
  <c r="G1383" i="3"/>
  <c r="F1383" i="3"/>
  <c r="D1383" i="3"/>
  <c r="C1383" i="3"/>
  <c r="B1383" i="3"/>
  <c r="A1383" i="3"/>
  <c r="J1382" i="3"/>
  <c r="I1382" i="3"/>
  <c r="H1382" i="3"/>
  <c r="G1382" i="3"/>
  <c r="F1382" i="3"/>
  <c r="D1382" i="3"/>
  <c r="C1382" i="3"/>
  <c r="B1382" i="3"/>
  <c r="A1382" i="3"/>
  <c r="J1381" i="3"/>
  <c r="I1381" i="3"/>
  <c r="H1381" i="3"/>
  <c r="G1381" i="3"/>
  <c r="F1381" i="3"/>
  <c r="D1381" i="3"/>
  <c r="C1381" i="3"/>
  <c r="B1381" i="3"/>
  <c r="A1381" i="3"/>
  <c r="J1380" i="3"/>
  <c r="I1380" i="3"/>
  <c r="H1380" i="3"/>
  <c r="G1380" i="3"/>
  <c r="F1380" i="3"/>
  <c r="D1380" i="3"/>
  <c r="C1380" i="3"/>
  <c r="B1380" i="3"/>
  <c r="A1380" i="3"/>
  <c r="J1379" i="3"/>
  <c r="I1379" i="3"/>
  <c r="H1379" i="3"/>
  <c r="G1379" i="3"/>
  <c r="F1379" i="3"/>
  <c r="D1379" i="3"/>
  <c r="C1379" i="3"/>
  <c r="B1379" i="3"/>
  <c r="A1379" i="3"/>
  <c r="J1378" i="3"/>
  <c r="I1378" i="3"/>
  <c r="H1378" i="3"/>
  <c r="G1378" i="3"/>
  <c r="F1378" i="3"/>
  <c r="D1378" i="3"/>
  <c r="C1378" i="3"/>
  <c r="B1378" i="3"/>
  <c r="A1378" i="3"/>
  <c r="J1377" i="3"/>
  <c r="I1377" i="3"/>
  <c r="H1377" i="3"/>
  <c r="G1377" i="3"/>
  <c r="F1377" i="3"/>
  <c r="D1377" i="3"/>
  <c r="C1377" i="3"/>
  <c r="B1377" i="3"/>
  <c r="A1377" i="3"/>
  <c r="J1376" i="3"/>
  <c r="I1376" i="3"/>
  <c r="H1376" i="3"/>
  <c r="G1376" i="3"/>
  <c r="F1376" i="3"/>
  <c r="D1376" i="3"/>
  <c r="C1376" i="3"/>
  <c r="B1376" i="3"/>
  <c r="A1376" i="3"/>
  <c r="J1375" i="3"/>
  <c r="I1375" i="3"/>
  <c r="H1375" i="3"/>
  <c r="G1375" i="3"/>
  <c r="F1375" i="3"/>
  <c r="D1375" i="3"/>
  <c r="C1375" i="3"/>
  <c r="B1375" i="3"/>
  <c r="A1375" i="3"/>
  <c r="J1374" i="3"/>
  <c r="I1374" i="3"/>
  <c r="H1374" i="3"/>
  <c r="G1374" i="3"/>
  <c r="F1374" i="3"/>
  <c r="D1374" i="3"/>
  <c r="C1374" i="3"/>
  <c r="B1374" i="3"/>
  <c r="A1374" i="3"/>
  <c r="J1373" i="3"/>
  <c r="I1373" i="3"/>
  <c r="H1373" i="3"/>
  <c r="G1373" i="3"/>
  <c r="F1373" i="3"/>
  <c r="D1373" i="3"/>
  <c r="C1373" i="3"/>
  <c r="B1373" i="3"/>
  <c r="A1373" i="3"/>
  <c r="J1372" i="3"/>
  <c r="I1372" i="3"/>
  <c r="H1372" i="3"/>
  <c r="G1372" i="3"/>
  <c r="F1372" i="3"/>
  <c r="D1372" i="3"/>
  <c r="C1372" i="3"/>
  <c r="B1372" i="3"/>
  <c r="A1372" i="3"/>
  <c r="J1371" i="3"/>
  <c r="I1371" i="3"/>
  <c r="H1371" i="3"/>
  <c r="G1371" i="3"/>
  <c r="F1371" i="3"/>
  <c r="D1371" i="3"/>
  <c r="C1371" i="3"/>
  <c r="B1371" i="3"/>
  <c r="A1371" i="3"/>
  <c r="J1370" i="3"/>
  <c r="I1370" i="3"/>
  <c r="H1370" i="3"/>
  <c r="G1370" i="3"/>
  <c r="F1370" i="3"/>
  <c r="D1370" i="3"/>
  <c r="C1370" i="3"/>
  <c r="B1370" i="3"/>
  <c r="A1370" i="3"/>
  <c r="J1369" i="3"/>
  <c r="I1369" i="3"/>
  <c r="H1369" i="3"/>
  <c r="G1369" i="3"/>
  <c r="F1369" i="3"/>
  <c r="D1369" i="3"/>
  <c r="C1369" i="3"/>
  <c r="B1369" i="3"/>
  <c r="A1369" i="3"/>
  <c r="J1368" i="3"/>
  <c r="I1368" i="3"/>
  <c r="H1368" i="3"/>
  <c r="G1368" i="3"/>
  <c r="F1368" i="3"/>
  <c r="D1368" i="3"/>
  <c r="C1368" i="3"/>
  <c r="B1368" i="3"/>
  <c r="A1368" i="3"/>
  <c r="J1367" i="3"/>
  <c r="I1367" i="3"/>
  <c r="H1367" i="3"/>
  <c r="G1367" i="3"/>
  <c r="F1367" i="3"/>
  <c r="D1367" i="3"/>
  <c r="C1367" i="3"/>
  <c r="B1367" i="3"/>
  <c r="A1367" i="3"/>
  <c r="J1366" i="3"/>
  <c r="I1366" i="3"/>
  <c r="H1366" i="3"/>
  <c r="G1366" i="3"/>
  <c r="F1366" i="3"/>
  <c r="D1366" i="3"/>
  <c r="C1366" i="3"/>
  <c r="B1366" i="3"/>
  <c r="A1366" i="3"/>
  <c r="J1365" i="3"/>
  <c r="I1365" i="3"/>
  <c r="H1365" i="3"/>
  <c r="G1365" i="3"/>
  <c r="F1365" i="3"/>
  <c r="D1365" i="3"/>
  <c r="C1365" i="3"/>
  <c r="B1365" i="3"/>
  <c r="A1365" i="3"/>
  <c r="J1364" i="3"/>
  <c r="I1364" i="3"/>
  <c r="H1364" i="3"/>
  <c r="G1364" i="3"/>
  <c r="F1364" i="3"/>
  <c r="D1364" i="3"/>
  <c r="C1364" i="3"/>
  <c r="B1364" i="3"/>
  <c r="A1364" i="3"/>
  <c r="J1363" i="3"/>
  <c r="I1363" i="3"/>
  <c r="H1363" i="3"/>
  <c r="G1363" i="3"/>
  <c r="F1363" i="3"/>
  <c r="D1363" i="3"/>
  <c r="C1363" i="3"/>
  <c r="B1363" i="3"/>
  <c r="A1363" i="3"/>
  <c r="J1362" i="3"/>
  <c r="I1362" i="3"/>
  <c r="H1362" i="3"/>
  <c r="G1362" i="3"/>
  <c r="F1362" i="3"/>
  <c r="D1362" i="3"/>
  <c r="C1362" i="3"/>
  <c r="B1362" i="3"/>
  <c r="A1362" i="3"/>
  <c r="J1361" i="3"/>
  <c r="I1361" i="3"/>
  <c r="H1361" i="3"/>
  <c r="G1361" i="3"/>
  <c r="F1361" i="3"/>
  <c r="D1361" i="3"/>
  <c r="C1361" i="3"/>
  <c r="B1361" i="3"/>
  <c r="A1361" i="3"/>
  <c r="J1360" i="3"/>
  <c r="I1360" i="3"/>
  <c r="H1360" i="3"/>
  <c r="G1360" i="3"/>
  <c r="F1360" i="3"/>
  <c r="D1360" i="3"/>
  <c r="C1360" i="3"/>
  <c r="B1360" i="3"/>
  <c r="A1360" i="3"/>
  <c r="J1359" i="3"/>
  <c r="I1359" i="3"/>
  <c r="H1359" i="3"/>
  <c r="G1359" i="3"/>
  <c r="F1359" i="3"/>
  <c r="D1359" i="3"/>
  <c r="C1359" i="3"/>
  <c r="B1359" i="3"/>
  <c r="A1359" i="3"/>
  <c r="J1358" i="3"/>
  <c r="I1358" i="3"/>
  <c r="H1358" i="3"/>
  <c r="G1358" i="3"/>
  <c r="F1358" i="3"/>
  <c r="D1358" i="3"/>
  <c r="C1358" i="3"/>
  <c r="B1358" i="3"/>
  <c r="A1358" i="3"/>
  <c r="J1357" i="3"/>
  <c r="I1357" i="3"/>
  <c r="H1357" i="3"/>
  <c r="G1357" i="3"/>
  <c r="F1357" i="3"/>
  <c r="D1357" i="3"/>
  <c r="C1357" i="3"/>
  <c r="B1357" i="3"/>
  <c r="A1357" i="3"/>
  <c r="J1356" i="3"/>
  <c r="I1356" i="3"/>
  <c r="H1356" i="3"/>
  <c r="G1356" i="3"/>
  <c r="F1356" i="3"/>
  <c r="D1356" i="3"/>
  <c r="C1356" i="3"/>
  <c r="B1356" i="3"/>
  <c r="A1356" i="3"/>
  <c r="J1355" i="3"/>
  <c r="I1355" i="3"/>
  <c r="H1355" i="3"/>
  <c r="G1355" i="3"/>
  <c r="F1355" i="3"/>
  <c r="D1355" i="3"/>
  <c r="C1355" i="3"/>
  <c r="B1355" i="3"/>
  <c r="A1355" i="3"/>
  <c r="J1354" i="3"/>
  <c r="I1354" i="3"/>
  <c r="H1354" i="3"/>
  <c r="G1354" i="3"/>
  <c r="F1354" i="3"/>
  <c r="D1354" i="3"/>
  <c r="C1354" i="3"/>
  <c r="B1354" i="3"/>
  <c r="A1354" i="3"/>
  <c r="J1353" i="3"/>
  <c r="I1353" i="3"/>
  <c r="H1353" i="3"/>
  <c r="G1353" i="3"/>
  <c r="F1353" i="3"/>
  <c r="D1353" i="3"/>
  <c r="C1353" i="3"/>
  <c r="B1353" i="3"/>
  <c r="A1353" i="3"/>
  <c r="J1352" i="3"/>
  <c r="I1352" i="3"/>
  <c r="H1352" i="3"/>
  <c r="G1352" i="3"/>
  <c r="F1352" i="3"/>
  <c r="D1352" i="3"/>
  <c r="C1352" i="3"/>
  <c r="B1352" i="3"/>
  <c r="A1352" i="3"/>
  <c r="J1351" i="3"/>
  <c r="I1351" i="3"/>
  <c r="H1351" i="3"/>
  <c r="G1351" i="3"/>
  <c r="F1351" i="3"/>
  <c r="D1351" i="3"/>
  <c r="C1351" i="3"/>
  <c r="B1351" i="3"/>
  <c r="A1351" i="3"/>
  <c r="J1350" i="3"/>
  <c r="I1350" i="3"/>
  <c r="H1350" i="3"/>
  <c r="G1350" i="3"/>
  <c r="F1350" i="3"/>
  <c r="D1350" i="3"/>
  <c r="C1350" i="3"/>
  <c r="B1350" i="3"/>
  <c r="A1350" i="3"/>
  <c r="J1349" i="3"/>
  <c r="I1349" i="3"/>
  <c r="H1349" i="3"/>
  <c r="G1349" i="3"/>
  <c r="F1349" i="3"/>
  <c r="D1349" i="3"/>
  <c r="C1349" i="3"/>
  <c r="B1349" i="3"/>
  <c r="A1349" i="3"/>
  <c r="J1348" i="3"/>
  <c r="I1348" i="3"/>
  <c r="H1348" i="3"/>
  <c r="G1348" i="3"/>
  <c r="F1348" i="3"/>
  <c r="D1348" i="3"/>
  <c r="C1348" i="3"/>
  <c r="B1348" i="3"/>
  <c r="A1348" i="3"/>
  <c r="J1347" i="3"/>
  <c r="I1347" i="3"/>
  <c r="H1347" i="3"/>
  <c r="G1347" i="3"/>
  <c r="F1347" i="3"/>
  <c r="D1347" i="3"/>
  <c r="C1347" i="3"/>
  <c r="B1347" i="3"/>
  <c r="A1347" i="3"/>
  <c r="J1346" i="3"/>
  <c r="I1346" i="3"/>
  <c r="H1346" i="3"/>
  <c r="G1346" i="3"/>
  <c r="F1346" i="3"/>
  <c r="D1346" i="3"/>
  <c r="C1346" i="3"/>
  <c r="B1346" i="3"/>
  <c r="A1346" i="3"/>
  <c r="J1345" i="3"/>
  <c r="I1345" i="3"/>
  <c r="H1345" i="3"/>
  <c r="G1345" i="3"/>
  <c r="F1345" i="3"/>
  <c r="D1345" i="3"/>
  <c r="C1345" i="3"/>
  <c r="B1345" i="3"/>
  <c r="A1345" i="3"/>
  <c r="J1344" i="3"/>
  <c r="I1344" i="3"/>
  <c r="H1344" i="3"/>
  <c r="G1344" i="3"/>
  <c r="F1344" i="3"/>
  <c r="D1344" i="3"/>
  <c r="C1344" i="3"/>
  <c r="B1344" i="3"/>
  <c r="A1344" i="3"/>
  <c r="J1343" i="3"/>
  <c r="I1343" i="3"/>
  <c r="H1343" i="3"/>
  <c r="G1343" i="3"/>
  <c r="F1343" i="3"/>
  <c r="D1343" i="3"/>
  <c r="C1343" i="3"/>
  <c r="B1343" i="3"/>
  <c r="A1343" i="3"/>
  <c r="J1342" i="3"/>
  <c r="I1342" i="3"/>
  <c r="H1342" i="3"/>
  <c r="G1342" i="3"/>
  <c r="F1342" i="3"/>
  <c r="D1342" i="3"/>
  <c r="C1342" i="3"/>
  <c r="B1342" i="3"/>
  <c r="A1342" i="3"/>
  <c r="J1341" i="3"/>
  <c r="I1341" i="3"/>
  <c r="H1341" i="3"/>
  <c r="G1341" i="3"/>
  <c r="F1341" i="3"/>
  <c r="D1341" i="3"/>
  <c r="C1341" i="3"/>
  <c r="B1341" i="3"/>
  <c r="A1341" i="3"/>
  <c r="J1340" i="3"/>
  <c r="I1340" i="3"/>
  <c r="H1340" i="3"/>
  <c r="G1340" i="3"/>
  <c r="F1340" i="3"/>
  <c r="D1340" i="3"/>
  <c r="C1340" i="3"/>
  <c r="B1340" i="3"/>
  <c r="A1340" i="3"/>
  <c r="J1339" i="3"/>
  <c r="I1339" i="3"/>
  <c r="H1339" i="3"/>
  <c r="G1339" i="3"/>
  <c r="F1339" i="3"/>
  <c r="D1339" i="3"/>
  <c r="C1339" i="3"/>
  <c r="B1339" i="3"/>
  <c r="A1339" i="3"/>
  <c r="J1338" i="3"/>
  <c r="I1338" i="3"/>
  <c r="H1338" i="3"/>
  <c r="G1338" i="3"/>
  <c r="F1338" i="3"/>
  <c r="D1338" i="3"/>
  <c r="C1338" i="3"/>
  <c r="B1338" i="3"/>
  <c r="A1338" i="3"/>
  <c r="J1337" i="3"/>
  <c r="I1337" i="3"/>
  <c r="H1337" i="3"/>
  <c r="G1337" i="3"/>
  <c r="F1337" i="3"/>
  <c r="D1337" i="3"/>
  <c r="C1337" i="3"/>
  <c r="B1337" i="3"/>
  <c r="A1337" i="3"/>
  <c r="J1336" i="3"/>
  <c r="I1336" i="3"/>
  <c r="H1336" i="3"/>
  <c r="G1336" i="3"/>
  <c r="F1336" i="3"/>
  <c r="D1336" i="3"/>
  <c r="C1336" i="3"/>
  <c r="B1336" i="3"/>
  <c r="A1336" i="3"/>
  <c r="J1335" i="3"/>
  <c r="I1335" i="3"/>
  <c r="H1335" i="3"/>
  <c r="G1335" i="3"/>
  <c r="F1335" i="3"/>
  <c r="D1335" i="3"/>
  <c r="C1335" i="3"/>
  <c r="B1335" i="3"/>
  <c r="A1335" i="3"/>
  <c r="J1334" i="3"/>
  <c r="I1334" i="3"/>
  <c r="H1334" i="3"/>
  <c r="G1334" i="3"/>
  <c r="F1334" i="3"/>
  <c r="D1334" i="3"/>
  <c r="C1334" i="3"/>
  <c r="B1334" i="3"/>
  <c r="A1334" i="3"/>
  <c r="J1333" i="3"/>
  <c r="I1333" i="3"/>
  <c r="H1333" i="3"/>
  <c r="G1333" i="3"/>
  <c r="F1333" i="3"/>
  <c r="D1333" i="3"/>
  <c r="C1333" i="3"/>
  <c r="B1333" i="3"/>
  <c r="A1333" i="3"/>
  <c r="J1332" i="3"/>
  <c r="I1332" i="3"/>
  <c r="H1332" i="3"/>
  <c r="G1332" i="3"/>
  <c r="F1332" i="3"/>
  <c r="D1332" i="3"/>
  <c r="C1332" i="3"/>
  <c r="B1332" i="3"/>
  <c r="A1332" i="3"/>
  <c r="J1331" i="3"/>
  <c r="I1331" i="3"/>
  <c r="H1331" i="3"/>
  <c r="G1331" i="3"/>
  <c r="F1331" i="3"/>
  <c r="D1331" i="3"/>
  <c r="C1331" i="3"/>
  <c r="B1331" i="3"/>
  <c r="A1331" i="3"/>
  <c r="J1330" i="3"/>
  <c r="I1330" i="3"/>
  <c r="H1330" i="3"/>
  <c r="G1330" i="3"/>
  <c r="F1330" i="3"/>
  <c r="D1330" i="3"/>
  <c r="C1330" i="3"/>
  <c r="B1330" i="3"/>
  <c r="A1330" i="3"/>
  <c r="J1329" i="3"/>
  <c r="I1329" i="3"/>
  <c r="H1329" i="3"/>
  <c r="G1329" i="3"/>
  <c r="F1329" i="3"/>
  <c r="D1329" i="3"/>
  <c r="C1329" i="3"/>
  <c r="B1329" i="3"/>
  <c r="A1329" i="3"/>
  <c r="J1328" i="3"/>
  <c r="I1328" i="3"/>
  <c r="H1328" i="3"/>
  <c r="G1328" i="3"/>
  <c r="F1328" i="3"/>
  <c r="D1328" i="3"/>
  <c r="C1328" i="3"/>
  <c r="B1328" i="3"/>
  <c r="A1328" i="3"/>
  <c r="J1327" i="3"/>
  <c r="I1327" i="3"/>
  <c r="H1327" i="3"/>
  <c r="G1327" i="3"/>
  <c r="F1327" i="3"/>
  <c r="D1327" i="3"/>
  <c r="C1327" i="3"/>
  <c r="B1327" i="3"/>
  <c r="A1327" i="3"/>
  <c r="J1326" i="3"/>
  <c r="I1326" i="3"/>
  <c r="H1326" i="3"/>
  <c r="G1326" i="3"/>
  <c r="F1326" i="3"/>
  <c r="D1326" i="3"/>
  <c r="C1326" i="3"/>
  <c r="B1326" i="3"/>
  <c r="A1326" i="3"/>
  <c r="J1325" i="3"/>
  <c r="I1325" i="3"/>
  <c r="H1325" i="3"/>
  <c r="G1325" i="3"/>
  <c r="F1325" i="3"/>
  <c r="D1325" i="3"/>
  <c r="C1325" i="3"/>
  <c r="B1325" i="3"/>
  <c r="A1325" i="3"/>
  <c r="J1324" i="3"/>
  <c r="I1324" i="3"/>
  <c r="H1324" i="3"/>
  <c r="G1324" i="3"/>
  <c r="F1324" i="3"/>
  <c r="D1324" i="3"/>
  <c r="C1324" i="3"/>
  <c r="B1324" i="3"/>
  <c r="A1324" i="3"/>
  <c r="J1323" i="3"/>
  <c r="I1323" i="3"/>
  <c r="H1323" i="3"/>
  <c r="G1323" i="3"/>
  <c r="F1323" i="3"/>
  <c r="D1323" i="3"/>
  <c r="C1323" i="3"/>
  <c r="B1323" i="3"/>
  <c r="A1323" i="3"/>
  <c r="J1322" i="3"/>
  <c r="I1322" i="3"/>
  <c r="H1322" i="3"/>
  <c r="G1322" i="3"/>
  <c r="F1322" i="3"/>
  <c r="D1322" i="3"/>
  <c r="C1322" i="3"/>
  <c r="B1322" i="3"/>
  <c r="A1322" i="3"/>
  <c r="J1321" i="3"/>
  <c r="I1321" i="3"/>
  <c r="H1321" i="3"/>
  <c r="G1321" i="3"/>
  <c r="F1321" i="3"/>
  <c r="D1321" i="3"/>
  <c r="C1321" i="3"/>
  <c r="B1321" i="3"/>
  <c r="A1321" i="3"/>
  <c r="J1320" i="3"/>
  <c r="I1320" i="3"/>
  <c r="H1320" i="3"/>
  <c r="G1320" i="3"/>
  <c r="F1320" i="3"/>
  <c r="D1320" i="3"/>
  <c r="C1320" i="3"/>
  <c r="B1320" i="3"/>
  <c r="A1320" i="3"/>
  <c r="J1319" i="3"/>
  <c r="I1319" i="3"/>
  <c r="H1319" i="3"/>
  <c r="G1319" i="3"/>
  <c r="F1319" i="3"/>
  <c r="D1319" i="3"/>
  <c r="C1319" i="3"/>
  <c r="B1319" i="3"/>
  <c r="A1319" i="3"/>
  <c r="J1318" i="3"/>
  <c r="I1318" i="3"/>
  <c r="H1318" i="3"/>
  <c r="G1318" i="3"/>
  <c r="F1318" i="3"/>
  <c r="D1318" i="3"/>
  <c r="C1318" i="3"/>
  <c r="B1318" i="3"/>
  <c r="A1318" i="3"/>
  <c r="J1317" i="3"/>
  <c r="I1317" i="3"/>
  <c r="H1317" i="3"/>
  <c r="G1317" i="3"/>
  <c r="F1317" i="3"/>
  <c r="D1317" i="3"/>
  <c r="C1317" i="3"/>
  <c r="B1317" i="3"/>
  <c r="A1317" i="3"/>
  <c r="J1316" i="3"/>
  <c r="I1316" i="3"/>
  <c r="H1316" i="3"/>
  <c r="G1316" i="3"/>
  <c r="F1316" i="3"/>
  <c r="D1316" i="3"/>
  <c r="C1316" i="3"/>
  <c r="B1316" i="3"/>
  <c r="A1316" i="3"/>
  <c r="J1315" i="3"/>
  <c r="I1315" i="3"/>
  <c r="H1315" i="3"/>
  <c r="G1315" i="3"/>
  <c r="F1315" i="3"/>
  <c r="D1315" i="3"/>
  <c r="C1315" i="3"/>
  <c r="B1315" i="3"/>
  <c r="A1315" i="3"/>
  <c r="J1314" i="3"/>
  <c r="I1314" i="3"/>
  <c r="H1314" i="3"/>
  <c r="G1314" i="3"/>
  <c r="F1314" i="3"/>
  <c r="D1314" i="3"/>
  <c r="C1314" i="3"/>
  <c r="B1314" i="3"/>
  <c r="A1314" i="3"/>
  <c r="J1313" i="3"/>
  <c r="I1313" i="3"/>
  <c r="H1313" i="3"/>
  <c r="G1313" i="3"/>
  <c r="F1313" i="3"/>
  <c r="D1313" i="3"/>
  <c r="C1313" i="3"/>
  <c r="B1313" i="3"/>
  <c r="A1313" i="3"/>
  <c r="J1312" i="3"/>
  <c r="I1312" i="3"/>
  <c r="H1312" i="3"/>
  <c r="G1312" i="3"/>
  <c r="F1312" i="3"/>
  <c r="D1312" i="3"/>
  <c r="C1312" i="3"/>
  <c r="B1312" i="3"/>
  <c r="A1312" i="3"/>
  <c r="J1311" i="3"/>
  <c r="I1311" i="3"/>
  <c r="H1311" i="3"/>
  <c r="G1311" i="3"/>
  <c r="F1311" i="3"/>
  <c r="D1311" i="3"/>
  <c r="C1311" i="3"/>
  <c r="B1311" i="3"/>
  <c r="A1311" i="3"/>
  <c r="J1310" i="3"/>
  <c r="I1310" i="3"/>
  <c r="H1310" i="3"/>
  <c r="G1310" i="3"/>
  <c r="F1310" i="3"/>
  <c r="D1310" i="3"/>
  <c r="C1310" i="3"/>
  <c r="B1310" i="3"/>
  <c r="A1310" i="3"/>
  <c r="J1309" i="3"/>
  <c r="I1309" i="3"/>
  <c r="H1309" i="3"/>
  <c r="G1309" i="3"/>
  <c r="F1309" i="3"/>
  <c r="D1309" i="3"/>
  <c r="C1309" i="3"/>
  <c r="B1309" i="3"/>
  <c r="A1309" i="3"/>
  <c r="J1308" i="3"/>
  <c r="I1308" i="3"/>
  <c r="H1308" i="3"/>
  <c r="G1308" i="3"/>
  <c r="F1308" i="3"/>
  <c r="D1308" i="3"/>
  <c r="C1308" i="3"/>
  <c r="B1308" i="3"/>
  <c r="A1308" i="3"/>
  <c r="J1307" i="3"/>
  <c r="I1307" i="3"/>
  <c r="H1307" i="3"/>
  <c r="G1307" i="3"/>
  <c r="F1307" i="3"/>
  <c r="D1307" i="3"/>
  <c r="C1307" i="3"/>
  <c r="B1307" i="3"/>
  <c r="A1307" i="3"/>
  <c r="J1306" i="3"/>
  <c r="I1306" i="3"/>
  <c r="H1306" i="3"/>
  <c r="G1306" i="3"/>
  <c r="F1306" i="3"/>
  <c r="D1306" i="3"/>
  <c r="C1306" i="3"/>
  <c r="B1306" i="3"/>
  <c r="A1306" i="3"/>
  <c r="J1305" i="3"/>
  <c r="I1305" i="3"/>
  <c r="H1305" i="3"/>
  <c r="G1305" i="3"/>
  <c r="F1305" i="3"/>
  <c r="D1305" i="3"/>
  <c r="C1305" i="3"/>
  <c r="B1305" i="3"/>
  <c r="A1305" i="3"/>
  <c r="J1304" i="3"/>
  <c r="I1304" i="3"/>
  <c r="H1304" i="3"/>
  <c r="G1304" i="3"/>
  <c r="F1304" i="3"/>
  <c r="D1304" i="3"/>
  <c r="C1304" i="3"/>
  <c r="B1304" i="3"/>
  <c r="A1304" i="3"/>
  <c r="J1303" i="3"/>
  <c r="I1303" i="3"/>
  <c r="H1303" i="3"/>
  <c r="G1303" i="3"/>
  <c r="F1303" i="3"/>
  <c r="D1303" i="3"/>
  <c r="C1303" i="3"/>
  <c r="B1303" i="3"/>
  <c r="A1303" i="3"/>
  <c r="J1302" i="3"/>
  <c r="I1302" i="3"/>
  <c r="H1302" i="3"/>
  <c r="G1302" i="3"/>
  <c r="F1302" i="3"/>
  <c r="D1302" i="3"/>
  <c r="C1302" i="3"/>
  <c r="B1302" i="3"/>
  <c r="A1302" i="3"/>
  <c r="J1301" i="3"/>
  <c r="I1301" i="3"/>
  <c r="H1301" i="3"/>
  <c r="G1301" i="3"/>
  <c r="F1301" i="3"/>
  <c r="D1301" i="3"/>
  <c r="C1301" i="3"/>
  <c r="B1301" i="3"/>
  <c r="A1301" i="3"/>
  <c r="J1300" i="3"/>
  <c r="I1300" i="3"/>
  <c r="H1300" i="3"/>
  <c r="G1300" i="3"/>
  <c r="F1300" i="3"/>
  <c r="D1300" i="3"/>
  <c r="C1300" i="3"/>
  <c r="B1300" i="3"/>
  <c r="A1300" i="3"/>
  <c r="J1299" i="3"/>
  <c r="I1299" i="3"/>
  <c r="H1299" i="3"/>
  <c r="G1299" i="3"/>
  <c r="F1299" i="3"/>
  <c r="D1299" i="3"/>
  <c r="C1299" i="3"/>
  <c r="B1299" i="3"/>
  <c r="A1299" i="3"/>
  <c r="J1298" i="3"/>
  <c r="I1298" i="3"/>
  <c r="H1298" i="3"/>
  <c r="G1298" i="3"/>
  <c r="F1298" i="3"/>
  <c r="D1298" i="3"/>
  <c r="C1298" i="3"/>
  <c r="B1298" i="3"/>
  <c r="A1298" i="3"/>
  <c r="J1297" i="3"/>
  <c r="I1297" i="3"/>
  <c r="H1297" i="3"/>
  <c r="G1297" i="3"/>
  <c r="F1297" i="3"/>
  <c r="D1297" i="3"/>
  <c r="C1297" i="3"/>
  <c r="B1297" i="3"/>
  <c r="A1297" i="3"/>
  <c r="J1296" i="3"/>
  <c r="I1296" i="3"/>
  <c r="H1296" i="3"/>
  <c r="G1296" i="3"/>
  <c r="F1296" i="3"/>
  <c r="D1296" i="3"/>
  <c r="C1296" i="3"/>
  <c r="B1296" i="3"/>
  <c r="A1296" i="3"/>
  <c r="J1295" i="3"/>
  <c r="I1295" i="3"/>
  <c r="H1295" i="3"/>
  <c r="G1295" i="3"/>
  <c r="F1295" i="3"/>
  <c r="D1295" i="3"/>
  <c r="C1295" i="3"/>
  <c r="B1295" i="3"/>
  <c r="A1295" i="3"/>
  <c r="J1294" i="3"/>
  <c r="I1294" i="3"/>
  <c r="H1294" i="3"/>
  <c r="G1294" i="3"/>
  <c r="F1294" i="3"/>
  <c r="D1294" i="3"/>
  <c r="C1294" i="3"/>
  <c r="B1294" i="3"/>
  <c r="A1294" i="3"/>
  <c r="J1293" i="3"/>
  <c r="I1293" i="3"/>
  <c r="H1293" i="3"/>
  <c r="G1293" i="3"/>
  <c r="F1293" i="3"/>
  <c r="D1293" i="3"/>
  <c r="C1293" i="3"/>
  <c r="B1293" i="3"/>
  <c r="A1293" i="3"/>
  <c r="J1292" i="3"/>
  <c r="I1292" i="3"/>
  <c r="H1292" i="3"/>
  <c r="G1292" i="3"/>
  <c r="F1292" i="3"/>
  <c r="D1292" i="3"/>
  <c r="C1292" i="3"/>
  <c r="B1292" i="3"/>
  <c r="A1292" i="3"/>
  <c r="J1291" i="3"/>
  <c r="I1291" i="3"/>
  <c r="H1291" i="3"/>
  <c r="G1291" i="3"/>
  <c r="F1291" i="3"/>
  <c r="D1291" i="3"/>
  <c r="C1291" i="3"/>
  <c r="B1291" i="3"/>
  <c r="A1291" i="3"/>
  <c r="J1290" i="3"/>
  <c r="I1290" i="3"/>
  <c r="H1290" i="3"/>
  <c r="G1290" i="3"/>
  <c r="F1290" i="3"/>
  <c r="D1290" i="3"/>
  <c r="C1290" i="3"/>
  <c r="B1290" i="3"/>
  <c r="A1290" i="3"/>
  <c r="J1289" i="3"/>
  <c r="I1289" i="3"/>
  <c r="H1289" i="3"/>
  <c r="G1289" i="3"/>
  <c r="F1289" i="3"/>
  <c r="D1289" i="3"/>
  <c r="C1289" i="3"/>
  <c r="B1289" i="3"/>
  <c r="A1289" i="3"/>
  <c r="J1288" i="3"/>
  <c r="I1288" i="3"/>
  <c r="H1288" i="3"/>
  <c r="G1288" i="3"/>
  <c r="F1288" i="3"/>
  <c r="D1288" i="3"/>
  <c r="C1288" i="3"/>
  <c r="B1288" i="3"/>
  <c r="A1288" i="3"/>
  <c r="J1287" i="3"/>
  <c r="I1287" i="3"/>
  <c r="H1287" i="3"/>
  <c r="G1287" i="3"/>
  <c r="F1287" i="3"/>
  <c r="D1287" i="3"/>
  <c r="C1287" i="3"/>
  <c r="B1287" i="3"/>
  <c r="A1287" i="3"/>
  <c r="J1286" i="3"/>
  <c r="I1286" i="3"/>
  <c r="H1286" i="3"/>
  <c r="G1286" i="3"/>
  <c r="F1286" i="3"/>
  <c r="D1286" i="3"/>
  <c r="C1286" i="3"/>
  <c r="B1286" i="3"/>
  <c r="A1286" i="3"/>
  <c r="J1285" i="3"/>
  <c r="I1285" i="3"/>
  <c r="H1285" i="3"/>
  <c r="G1285" i="3"/>
  <c r="F1285" i="3"/>
  <c r="D1285" i="3"/>
  <c r="C1285" i="3"/>
  <c r="B1285" i="3"/>
  <c r="A1285" i="3"/>
  <c r="J1284" i="3"/>
  <c r="I1284" i="3"/>
  <c r="H1284" i="3"/>
  <c r="G1284" i="3"/>
  <c r="F1284" i="3"/>
  <c r="D1284" i="3"/>
  <c r="C1284" i="3"/>
  <c r="B1284" i="3"/>
  <c r="A1284" i="3"/>
  <c r="J1283" i="3"/>
  <c r="I1283" i="3"/>
  <c r="H1283" i="3"/>
  <c r="G1283" i="3"/>
  <c r="F1283" i="3"/>
  <c r="D1283" i="3"/>
  <c r="C1283" i="3"/>
  <c r="B1283" i="3"/>
  <c r="A1283" i="3"/>
  <c r="J1282" i="3"/>
  <c r="I1282" i="3"/>
  <c r="H1282" i="3"/>
  <c r="G1282" i="3"/>
  <c r="F1282" i="3"/>
  <c r="D1282" i="3"/>
  <c r="C1282" i="3"/>
  <c r="B1282" i="3"/>
  <c r="A1282" i="3"/>
  <c r="J1281" i="3"/>
  <c r="I1281" i="3"/>
  <c r="H1281" i="3"/>
  <c r="G1281" i="3"/>
  <c r="F1281" i="3"/>
  <c r="D1281" i="3"/>
  <c r="C1281" i="3"/>
  <c r="B1281" i="3"/>
  <c r="A1281" i="3"/>
  <c r="J1280" i="3"/>
  <c r="I1280" i="3"/>
  <c r="H1280" i="3"/>
  <c r="G1280" i="3"/>
  <c r="F1280" i="3"/>
  <c r="D1280" i="3"/>
  <c r="C1280" i="3"/>
  <c r="B1280" i="3"/>
  <c r="A1280" i="3"/>
  <c r="J1279" i="3"/>
  <c r="I1279" i="3"/>
  <c r="H1279" i="3"/>
  <c r="G1279" i="3"/>
  <c r="F1279" i="3"/>
  <c r="D1279" i="3"/>
  <c r="C1279" i="3"/>
  <c r="B1279" i="3"/>
  <c r="A1279" i="3"/>
  <c r="J1278" i="3"/>
  <c r="I1278" i="3"/>
  <c r="H1278" i="3"/>
  <c r="G1278" i="3"/>
  <c r="F1278" i="3"/>
  <c r="D1278" i="3"/>
  <c r="C1278" i="3"/>
  <c r="B1278" i="3"/>
  <c r="A1278" i="3"/>
  <c r="J1277" i="3"/>
  <c r="I1277" i="3"/>
  <c r="H1277" i="3"/>
  <c r="G1277" i="3"/>
  <c r="F1277" i="3"/>
  <c r="D1277" i="3"/>
  <c r="C1277" i="3"/>
  <c r="B1277" i="3"/>
  <c r="A1277" i="3"/>
  <c r="J1276" i="3"/>
  <c r="I1276" i="3"/>
  <c r="H1276" i="3"/>
  <c r="G1276" i="3"/>
  <c r="F1276" i="3"/>
  <c r="D1276" i="3"/>
  <c r="C1276" i="3"/>
  <c r="B1276" i="3"/>
  <c r="A1276" i="3"/>
  <c r="J1275" i="3"/>
  <c r="I1275" i="3"/>
  <c r="H1275" i="3"/>
  <c r="G1275" i="3"/>
  <c r="F1275" i="3"/>
  <c r="D1275" i="3"/>
  <c r="C1275" i="3"/>
  <c r="B1275" i="3"/>
  <c r="A1275" i="3"/>
  <c r="J1274" i="3"/>
  <c r="I1274" i="3"/>
  <c r="H1274" i="3"/>
  <c r="G1274" i="3"/>
  <c r="F1274" i="3"/>
  <c r="D1274" i="3"/>
  <c r="C1274" i="3"/>
  <c r="B1274" i="3"/>
  <c r="A1274" i="3"/>
  <c r="J1273" i="3"/>
  <c r="I1273" i="3"/>
  <c r="H1273" i="3"/>
  <c r="G1273" i="3"/>
  <c r="F1273" i="3"/>
  <c r="D1273" i="3"/>
  <c r="C1273" i="3"/>
  <c r="B1273" i="3"/>
  <c r="A1273" i="3"/>
  <c r="J1272" i="3"/>
  <c r="I1272" i="3"/>
  <c r="H1272" i="3"/>
  <c r="G1272" i="3"/>
  <c r="F1272" i="3"/>
  <c r="D1272" i="3"/>
  <c r="C1272" i="3"/>
  <c r="B1272" i="3"/>
  <c r="A1272" i="3"/>
  <c r="J1271" i="3"/>
  <c r="I1271" i="3"/>
  <c r="H1271" i="3"/>
  <c r="G1271" i="3"/>
  <c r="F1271" i="3"/>
  <c r="D1271" i="3"/>
  <c r="C1271" i="3"/>
  <c r="B1271" i="3"/>
  <c r="A1271" i="3"/>
  <c r="J1270" i="3"/>
  <c r="I1270" i="3"/>
  <c r="H1270" i="3"/>
  <c r="G1270" i="3"/>
  <c r="F1270" i="3"/>
  <c r="D1270" i="3"/>
  <c r="C1270" i="3"/>
  <c r="B1270" i="3"/>
  <c r="A1270" i="3"/>
  <c r="J1269" i="3"/>
  <c r="I1269" i="3"/>
  <c r="H1269" i="3"/>
  <c r="G1269" i="3"/>
  <c r="F1269" i="3"/>
  <c r="D1269" i="3"/>
  <c r="C1269" i="3"/>
  <c r="B1269" i="3"/>
  <c r="A1269" i="3"/>
  <c r="J1268" i="3"/>
  <c r="I1268" i="3"/>
  <c r="H1268" i="3"/>
  <c r="G1268" i="3"/>
  <c r="F1268" i="3"/>
  <c r="D1268" i="3"/>
  <c r="C1268" i="3"/>
  <c r="B1268" i="3"/>
  <c r="A1268" i="3"/>
  <c r="J1267" i="3"/>
  <c r="I1267" i="3"/>
  <c r="H1267" i="3"/>
  <c r="G1267" i="3"/>
  <c r="F1267" i="3"/>
  <c r="D1267" i="3"/>
  <c r="C1267" i="3"/>
  <c r="B1267" i="3"/>
  <c r="A1267" i="3"/>
  <c r="J1266" i="3"/>
  <c r="I1266" i="3"/>
  <c r="H1266" i="3"/>
  <c r="G1266" i="3"/>
  <c r="F1266" i="3"/>
  <c r="D1266" i="3"/>
  <c r="C1266" i="3"/>
  <c r="B1266" i="3"/>
  <c r="A1266" i="3"/>
  <c r="J1265" i="3"/>
  <c r="I1265" i="3"/>
  <c r="H1265" i="3"/>
  <c r="G1265" i="3"/>
  <c r="F1265" i="3"/>
  <c r="D1265" i="3"/>
  <c r="C1265" i="3"/>
  <c r="B1265" i="3"/>
  <c r="A1265" i="3"/>
  <c r="J1264" i="3"/>
  <c r="I1264" i="3"/>
  <c r="H1264" i="3"/>
  <c r="G1264" i="3"/>
  <c r="F1264" i="3"/>
  <c r="D1264" i="3"/>
  <c r="C1264" i="3"/>
  <c r="B1264" i="3"/>
  <c r="A1264" i="3"/>
  <c r="J1263" i="3"/>
  <c r="I1263" i="3"/>
  <c r="H1263" i="3"/>
  <c r="G1263" i="3"/>
  <c r="F1263" i="3"/>
  <c r="D1263" i="3"/>
  <c r="C1263" i="3"/>
  <c r="B1263" i="3"/>
  <c r="A1263" i="3"/>
  <c r="J1262" i="3"/>
  <c r="I1262" i="3"/>
  <c r="H1262" i="3"/>
  <c r="G1262" i="3"/>
  <c r="F1262" i="3"/>
  <c r="D1262" i="3"/>
  <c r="C1262" i="3"/>
  <c r="B1262" i="3"/>
  <c r="A1262" i="3"/>
  <c r="J1261" i="3"/>
  <c r="I1261" i="3"/>
  <c r="H1261" i="3"/>
  <c r="G1261" i="3"/>
  <c r="F1261" i="3"/>
  <c r="D1261" i="3"/>
  <c r="C1261" i="3"/>
  <c r="B1261" i="3"/>
  <c r="A1261" i="3"/>
  <c r="J1260" i="3"/>
  <c r="I1260" i="3"/>
  <c r="H1260" i="3"/>
  <c r="G1260" i="3"/>
  <c r="F1260" i="3"/>
  <c r="D1260" i="3"/>
  <c r="C1260" i="3"/>
  <c r="B1260" i="3"/>
  <c r="A1260" i="3"/>
  <c r="J1259" i="3"/>
  <c r="I1259" i="3"/>
  <c r="H1259" i="3"/>
  <c r="G1259" i="3"/>
  <c r="F1259" i="3"/>
  <c r="D1259" i="3"/>
  <c r="C1259" i="3"/>
  <c r="B1259" i="3"/>
  <c r="A1259" i="3"/>
  <c r="J1258" i="3"/>
  <c r="I1258" i="3"/>
  <c r="H1258" i="3"/>
  <c r="G1258" i="3"/>
  <c r="F1258" i="3"/>
  <c r="D1258" i="3"/>
  <c r="C1258" i="3"/>
  <c r="B1258" i="3"/>
  <c r="A1258" i="3"/>
  <c r="J1257" i="3"/>
  <c r="I1257" i="3"/>
  <c r="H1257" i="3"/>
  <c r="G1257" i="3"/>
  <c r="F1257" i="3"/>
  <c r="D1257" i="3"/>
  <c r="C1257" i="3"/>
  <c r="B1257" i="3"/>
  <c r="A1257" i="3"/>
  <c r="J1256" i="3"/>
  <c r="I1256" i="3"/>
  <c r="H1256" i="3"/>
  <c r="G1256" i="3"/>
  <c r="F1256" i="3"/>
  <c r="D1256" i="3"/>
  <c r="C1256" i="3"/>
  <c r="B1256" i="3"/>
  <c r="A1256" i="3"/>
  <c r="J1255" i="3"/>
  <c r="I1255" i="3"/>
  <c r="H1255" i="3"/>
  <c r="G1255" i="3"/>
  <c r="F1255" i="3"/>
  <c r="D1255" i="3"/>
  <c r="C1255" i="3"/>
  <c r="B1255" i="3"/>
  <c r="A1255" i="3"/>
  <c r="J1254" i="3"/>
  <c r="I1254" i="3"/>
  <c r="H1254" i="3"/>
  <c r="G1254" i="3"/>
  <c r="F1254" i="3"/>
  <c r="D1254" i="3"/>
  <c r="C1254" i="3"/>
  <c r="B1254" i="3"/>
  <c r="A1254" i="3"/>
  <c r="J1253" i="3"/>
  <c r="I1253" i="3"/>
  <c r="H1253" i="3"/>
  <c r="G1253" i="3"/>
  <c r="F1253" i="3"/>
  <c r="D1253" i="3"/>
  <c r="C1253" i="3"/>
  <c r="B1253" i="3"/>
  <c r="A1253" i="3"/>
  <c r="J1252" i="3"/>
  <c r="I1252" i="3"/>
  <c r="H1252" i="3"/>
  <c r="G1252" i="3"/>
  <c r="F1252" i="3"/>
  <c r="D1252" i="3"/>
  <c r="C1252" i="3"/>
  <c r="B1252" i="3"/>
  <c r="A1252" i="3"/>
  <c r="J1251" i="3"/>
  <c r="I1251" i="3"/>
  <c r="H1251" i="3"/>
  <c r="G1251" i="3"/>
  <c r="F1251" i="3"/>
  <c r="D1251" i="3"/>
  <c r="C1251" i="3"/>
  <c r="B1251" i="3"/>
  <c r="A1251" i="3"/>
  <c r="J1250" i="3"/>
  <c r="I1250" i="3"/>
  <c r="H1250" i="3"/>
  <c r="G1250" i="3"/>
  <c r="F1250" i="3"/>
  <c r="D1250" i="3"/>
  <c r="C1250" i="3"/>
  <c r="B1250" i="3"/>
  <c r="A1250" i="3"/>
  <c r="J1249" i="3"/>
  <c r="I1249" i="3"/>
  <c r="H1249" i="3"/>
  <c r="G1249" i="3"/>
  <c r="F1249" i="3"/>
  <c r="D1249" i="3"/>
  <c r="C1249" i="3"/>
  <c r="B1249" i="3"/>
  <c r="A1249" i="3"/>
  <c r="J1248" i="3"/>
  <c r="I1248" i="3"/>
  <c r="H1248" i="3"/>
  <c r="G1248" i="3"/>
  <c r="F1248" i="3"/>
  <c r="D1248" i="3"/>
  <c r="C1248" i="3"/>
  <c r="B1248" i="3"/>
  <c r="A1248" i="3"/>
  <c r="J1247" i="3"/>
  <c r="I1247" i="3"/>
  <c r="H1247" i="3"/>
  <c r="G1247" i="3"/>
  <c r="F1247" i="3"/>
  <c r="D1247" i="3"/>
  <c r="C1247" i="3"/>
  <c r="B1247" i="3"/>
  <c r="A1247" i="3"/>
  <c r="J1246" i="3"/>
  <c r="I1246" i="3"/>
  <c r="H1246" i="3"/>
  <c r="G1246" i="3"/>
  <c r="F1246" i="3"/>
  <c r="D1246" i="3"/>
  <c r="C1246" i="3"/>
  <c r="B1246" i="3"/>
  <c r="A1246" i="3"/>
  <c r="J1245" i="3"/>
  <c r="I1245" i="3"/>
  <c r="H1245" i="3"/>
  <c r="G1245" i="3"/>
  <c r="F1245" i="3"/>
  <c r="D1245" i="3"/>
  <c r="C1245" i="3"/>
  <c r="B1245" i="3"/>
  <c r="A1245" i="3"/>
  <c r="J1244" i="3"/>
  <c r="I1244" i="3"/>
  <c r="H1244" i="3"/>
  <c r="G1244" i="3"/>
  <c r="F1244" i="3"/>
  <c r="D1244" i="3"/>
  <c r="C1244" i="3"/>
  <c r="B1244" i="3"/>
  <c r="A1244" i="3"/>
  <c r="J1243" i="3"/>
  <c r="I1243" i="3"/>
  <c r="H1243" i="3"/>
  <c r="G1243" i="3"/>
  <c r="F1243" i="3"/>
  <c r="D1243" i="3"/>
  <c r="C1243" i="3"/>
  <c r="B1243" i="3"/>
  <c r="A1243" i="3"/>
  <c r="J1242" i="3"/>
  <c r="I1242" i="3"/>
  <c r="H1242" i="3"/>
  <c r="G1242" i="3"/>
  <c r="F1242" i="3"/>
  <c r="D1242" i="3"/>
  <c r="C1242" i="3"/>
  <c r="B1242" i="3"/>
  <c r="A1242" i="3"/>
  <c r="J1241" i="3"/>
  <c r="I1241" i="3"/>
  <c r="H1241" i="3"/>
  <c r="G1241" i="3"/>
  <c r="F1241" i="3"/>
  <c r="D1241" i="3"/>
  <c r="C1241" i="3"/>
  <c r="B1241" i="3"/>
  <c r="A1241" i="3"/>
  <c r="J1240" i="3"/>
  <c r="I1240" i="3"/>
  <c r="H1240" i="3"/>
  <c r="G1240" i="3"/>
  <c r="F1240" i="3"/>
  <c r="D1240" i="3"/>
  <c r="C1240" i="3"/>
  <c r="B1240" i="3"/>
  <c r="A1240" i="3"/>
  <c r="J1239" i="3"/>
  <c r="I1239" i="3"/>
  <c r="H1239" i="3"/>
  <c r="G1239" i="3"/>
  <c r="F1239" i="3"/>
  <c r="D1239" i="3"/>
  <c r="C1239" i="3"/>
  <c r="B1239" i="3"/>
  <c r="A1239" i="3"/>
  <c r="J1238" i="3"/>
  <c r="I1238" i="3"/>
  <c r="H1238" i="3"/>
  <c r="G1238" i="3"/>
  <c r="F1238" i="3"/>
  <c r="D1238" i="3"/>
  <c r="C1238" i="3"/>
  <c r="B1238" i="3"/>
  <c r="A1238" i="3"/>
  <c r="J1237" i="3"/>
  <c r="I1237" i="3"/>
  <c r="H1237" i="3"/>
  <c r="G1237" i="3"/>
  <c r="F1237" i="3"/>
  <c r="D1237" i="3"/>
  <c r="C1237" i="3"/>
  <c r="B1237" i="3"/>
  <c r="A1237" i="3"/>
  <c r="J1236" i="3"/>
  <c r="I1236" i="3"/>
  <c r="H1236" i="3"/>
  <c r="G1236" i="3"/>
  <c r="F1236" i="3"/>
  <c r="D1236" i="3"/>
  <c r="C1236" i="3"/>
  <c r="B1236" i="3"/>
  <c r="A1236" i="3"/>
  <c r="J1235" i="3"/>
  <c r="I1235" i="3"/>
  <c r="H1235" i="3"/>
  <c r="G1235" i="3"/>
  <c r="F1235" i="3"/>
  <c r="D1235" i="3"/>
  <c r="C1235" i="3"/>
  <c r="B1235" i="3"/>
  <c r="A1235" i="3"/>
  <c r="J1234" i="3"/>
  <c r="I1234" i="3"/>
  <c r="H1234" i="3"/>
  <c r="G1234" i="3"/>
  <c r="F1234" i="3"/>
  <c r="D1234" i="3"/>
  <c r="C1234" i="3"/>
  <c r="B1234" i="3"/>
  <c r="A1234" i="3"/>
  <c r="J1233" i="3"/>
  <c r="I1233" i="3"/>
  <c r="H1233" i="3"/>
  <c r="G1233" i="3"/>
  <c r="F1233" i="3"/>
  <c r="D1233" i="3"/>
  <c r="C1233" i="3"/>
  <c r="B1233" i="3"/>
  <c r="A1233" i="3"/>
  <c r="J1232" i="3"/>
  <c r="I1232" i="3"/>
  <c r="H1232" i="3"/>
  <c r="G1232" i="3"/>
  <c r="F1232" i="3"/>
  <c r="D1232" i="3"/>
  <c r="C1232" i="3"/>
  <c r="B1232" i="3"/>
  <c r="A1232" i="3"/>
  <c r="J1231" i="3"/>
  <c r="I1231" i="3"/>
  <c r="H1231" i="3"/>
  <c r="G1231" i="3"/>
  <c r="F1231" i="3"/>
  <c r="D1231" i="3"/>
  <c r="C1231" i="3"/>
  <c r="B1231" i="3"/>
  <c r="A1231" i="3"/>
  <c r="J1230" i="3"/>
  <c r="I1230" i="3"/>
  <c r="H1230" i="3"/>
  <c r="G1230" i="3"/>
  <c r="F1230" i="3"/>
  <c r="D1230" i="3"/>
  <c r="C1230" i="3"/>
  <c r="B1230" i="3"/>
  <c r="A1230" i="3"/>
  <c r="J1229" i="3"/>
  <c r="I1229" i="3"/>
  <c r="H1229" i="3"/>
  <c r="G1229" i="3"/>
  <c r="F1229" i="3"/>
  <c r="D1229" i="3"/>
  <c r="C1229" i="3"/>
  <c r="B1229" i="3"/>
  <c r="A1229" i="3"/>
  <c r="J1228" i="3"/>
  <c r="I1228" i="3"/>
  <c r="H1228" i="3"/>
  <c r="G1228" i="3"/>
  <c r="F1228" i="3"/>
  <c r="D1228" i="3"/>
  <c r="C1228" i="3"/>
  <c r="B1228" i="3"/>
  <c r="A1228" i="3"/>
  <c r="J1227" i="3"/>
  <c r="I1227" i="3"/>
  <c r="H1227" i="3"/>
  <c r="G1227" i="3"/>
  <c r="F1227" i="3"/>
  <c r="D1227" i="3"/>
  <c r="C1227" i="3"/>
  <c r="B1227" i="3"/>
  <c r="A1227" i="3"/>
  <c r="J1226" i="3"/>
  <c r="I1226" i="3"/>
  <c r="H1226" i="3"/>
  <c r="G1226" i="3"/>
  <c r="F1226" i="3"/>
  <c r="D1226" i="3"/>
  <c r="C1226" i="3"/>
  <c r="B1226" i="3"/>
  <c r="A1226" i="3"/>
  <c r="J1225" i="3"/>
  <c r="I1225" i="3"/>
  <c r="H1225" i="3"/>
  <c r="G1225" i="3"/>
  <c r="F1225" i="3"/>
  <c r="D1225" i="3"/>
  <c r="C1225" i="3"/>
  <c r="B1225" i="3"/>
  <c r="A1225" i="3"/>
  <c r="J1224" i="3"/>
  <c r="I1224" i="3"/>
  <c r="H1224" i="3"/>
  <c r="G1224" i="3"/>
  <c r="F1224" i="3"/>
  <c r="D1224" i="3"/>
  <c r="C1224" i="3"/>
  <c r="B1224" i="3"/>
  <c r="A1224" i="3"/>
  <c r="J1223" i="3"/>
  <c r="I1223" i="3"/>
  <c r="H1223" i="3"/>
  <c r="G1223" i="3"/>
  <c r="F1223" i="3"/>
  <c r="D1223" i="3"/>
  <c r="C1223" i="3"/>
  <c r="B1223" i="3"/>
  <c r="A1223" i="3"/>
  <c r="J1222" i="3"/>
  <c r="I1222" i="3"/>
  <c r="H1222" i="3"/>
  <c r="G1222" i="3"/>
  <c r="F1222" i="3"/>
  <c r="D1222" i="3"/>
  <c r="C1222" i="3"/>
  <c r="B1222" i="3"/>
  <c r="A1222" i="3"/>
  <c r="J1221" i="3"/>
  <c r="I1221" i="3"/>
  <c r="H1221" i="3"/>
  <c r="G1221" i="3"/>
  <c r="F1221" i="3"/>
  <c r="D1221" i="3"/>
  <c r="C1221" i="3"/>
  <c r="B1221" i="3"/>
  <c r="A1221" i="3"/>
  <c r="J1220" i="3"/>
  <c r="I1220" i="3"/>
  <c r="H1220" i="3"/>
  <c r="G1220" i="3"/>
  <c r="F1220" i="3"/>
  <c r="D1220" i="3"/>
  <c r="C1220" i="3"/>
  <c r="B1220" i="3"/>
  <c r="A1220" i="3"/>
  <c r="J1219" i="3"/>
  <c r="I1219" i="3"/>
  <c r="H1219" i="3"/>
  <c r="G1219" i="3"/>
  <c r="F1219" i="3"/>
  <c r="D1219" i="3"/>
  <c r="C1219" i="3"/>
  <c r="B1219" i="3"/>
  <c r="A1219" i="3"/>
  <c r="J1218" i="3"/>
  <c r="I1218" i="3"/>
  <c r="H1218" i="3"/>
  <c r="G1218" i="3"/>
  <c r="F1218" i="3"/>
  <c r="D1218" i="3"/>
  <c r="C1218" i="3"/>
  <c r="B1218" i="3"/>
  <c r="A1218" i="3"/>
  <c r="J1217" i="3"/>
  <c r="I1217" i="3"/>
  <c r="H1217" i="3"/>
  <c r="G1217" i="3"/>
  <c r="F1217" i="3"/>
  <c r="D1217" i="3"/>
  <c r="C1217" i="3"/>
  <c r="B1217" i="3"/>
  <c r="A1217" i="3"/>
  <c r="J1216" i="3"/>
  <c r="I1216" i="3"/>
  <c r="H1216" i="3"/>
  <c r="G1216" i="3"/>
  <c r="F1216" i="3"/>
  <c r="D1216" i="3"/>
  <c r="C1216" i="3"/>
  <c r="B1216" i="3"/>
  <c r="A1216" i="3"/>
  <c r="J1215" i="3"/>
  <c r="I1215" i="3"/>
  <c r="H1215" i="3"/>
  <c r="G1215" i="3"/>
  <c r="F1215" i="3"/>
  <c r="D1215" i="3"/>
  <c r="C1215" i="3"/>
  <c r="B1215" i="3"/>
  <c r="A1215" i="3"/>
  <c r="J1214" i="3"/>
  <c r="I1214" i="3"/>
  <c r="H1214" i="3"/>
  <c r="G1214" i="3"/>
  <c r="F1214" i="3"/>
  <c r="D1214" i="3"/>
  <c r="C1214" i="3"/>
  <c r="B1214" i="3"/>
  <c r="A1214" i="3"/>
  <c r="J1213" i="3"/>
  <c r="I1213" i="3"/>
  <c r="H1213" i="3"/>
  <c r="G1213" i="3"/>
  <c r="F1213" i="3"/>
  <c r="D1213" i="3"/>
  <c r="C1213" i="3"/>
  <c r="B1213" i="3"/>
  <c r="A1213" i="3"/>
  <c r="J1212" i="3"/>
  <c r="I1212" i="3"/>
  <c r="H1212" i="3"/>
  <c r="G1212" i="3"/>
  <c r="F1212" i="3"/>
  <c r="D1212" i="3"/>
  <c r="C1212" i="3"/>
  <c r="B1212" i="3"/>
  <c r="A1212" i="3"/>
  <c r="J1211" i="3"/>
  <c r="I1211" i="3"/>
  <c r="H1211" i="3"/>
  <c r="G1211" i="3"/>
  <c r="F1211" i="3"/>
  <c r="D1211" i="3"/>
  <c r="C1211" i="3"/>
  <c r="B1211" i="3"/>
  <c r="A1211" i="3"/>
  <c r="J1210" i="3"/>
  <c r="I1210" i="3"/>
  <c r="H1210" i="3"/>
  <c r="G1210" i="3"/>
  <c r="F1210" i="3"/>
  <c r="D1210" i="3"/>
  <c r="C1210" i="3"/>
  <c r="B1210" i="3"/>
  <c r="A1210" i="3"/>
  <c r="J1209" i="3"/>
  <c r="I1209" i="3"/>
  <c r="H1209" i="3"/>
  <c r="G1209" i="3"/>
  <c r="F1209" i="3"/>
  <c r="D1209" i="3"/>
  <c r="C1209" i="3"/>
  <c r="B1209" i="3"/>
  <c r="A1209" i="3"/>
  <c r="J1208" i="3"/>
  <c r="I1208" i="3"/>
  <c r="H1208" i="3"/>
  <c r="G1208" i="3"/>
  <c r="F1208" i="3"/>
  <c r="D1208" i="3"/>
  <c r="C1208" i="3"/>
  <c r="B1208" i="3"/>
  <c r="A1208" i="3"/>
  <c r="J1207" i="3"/>
  <c r="I1207" i="3"/>
  <c r="H1207" i="3"/>
  <c r="G1207" i="3"/>
  <c r="F1207" i="3"/>
  <c r="D1207" i="3"/>
  <c r="C1207" i="3"/>
  <c r="B1207" i="3"/>
  <c r="A1207" i="3"/>
  <c r="J1206" i="3"/>
  <c r="I1206" i="3"/>
  <c r="H1206" i="3"/>
  <c r="G1206" i="3"/>
  <c r="F1206" i="3"/>
  <c r="D1206" i="3"/>
  <c r="C1206" i="3"/>
  <c r="B1206" i="3"/>
  <c r="A1206" i="3"/>
  <c r="J1205" i="3"/>
  <c r="I1205" i="3"/>
  <c r="H1205" i="3"/>
  <c r="G1205" i="3"/>
  <c r="F1205" i="3"/>
  <c r="D1205" i="3"/>
  <c r="C1205" i="3"/>
  <c r="B1205" i="3"/>
  <c r="A1205" i="3"/>
  <c r="J1204" i="3"/>
  <c r="I1204" i="3"/>
  <c r="H1204" i="3"/>
  <c r="G1204" i="3"/>
  <c r="F1204" i="3"/>
  <c r="D1204" i="3"/>
  <c r="C1204" i="3"/>
  <c r="B1204" i="3"/>
  <c r="A1204" i="3"/>
  <c r="J1203" i="3"/>
  <c r="I1203" i="3"/>
  <c r="H1203" i="3"/>
  <c r="G1203" i="3"/>
  <c r="F1203" i="3"/>
  <c r="D1203" i="3"/>
  <c r="C1203" i="3"/>
  <c r="B1203" i="3"/>
  <c r="A1203" i="3"/>
  <c r="J1202" i="3"/>
  <c r="I1202" i="3"/>
  <c r="H1202" i="3"/>
  <c r="G1202" i="3"/>
  <c r="F1202" i="3"/>
  <c r="D1202" i="3"/>
  <c r="C1202" i="3"/>
  <c r="B1202" i="3"/>
  <c r="A1202" i="3"/>
  <c r="J1201" i="3"/>
  <c r="I1201" i="3"/>
  <c r="H1201" i="3"/>
  <c r="G1201" i="3"/>
  <c r="F1201" i="3"/>
  <c r="D1201" i="3"/>
  <c r="C1201" i="3"/>
  <c r="B1201" i="3"/>
  <c r="A1201" i="3"/>
  <c r="J1200" i="3"/>
  <c r="I1200" i="3"/>
  <c r="H1200" i="3"/>
  <c r="G1200" i="3"/>
  <c r="F1200" i="3"/>
  <c r="D1200" i="3"/>
  <c r="C1200" i="3"/>
  <c r="B1200" i="3"/>
  <c r="A1200" i="3"/>
  <c r="J1199" i="3"/>
  <c r="I1199" i="3"/>
  <c r="H1199" i="3"/>
  <c r="G1199" i="3"/>
  <c r="F1199" i="3"/>
  <c r="D1199" i="3"/>
  <c r="C1199" i="3"/>
  <c r="B1199" i="3"/>
  <c r="A1199" i="3"/>
  <c r="J1198" i="3"/>
  <c r="I1198" i="3"/>
  <c r="H1198" i="3"/>
  <c r="G1198" i="3"/>
  <c r="F1198" i="3"/>
  <c r="D1198" i="3"/>
  <c r="C1198" i="3"/>
  <c r="B1198" i="3"/>
  <c r="A1198" i="3"/>
  <c r="J1197" i="3"/>
  <c r="I1197" i="3"/>
  <c r="H1197" i="3"/>
  <c r="G1197" i="3"/>
  <c r="F1197" i="3"/>
  <c r="D1197" i="3"/>
  <c r="C1197" i="3"/>
  <c r="B1197" i="3"/>
  <c r="A1197" i="3"/>
  <c r="J1196" i="3"/>
  <c r="I1196" i="3"/>
  <c r="H1196" i="3"/>
  <c r="G1196" i="3"/>
  <c r="F1196" i="3"/>
  <c r="D1196" i="3"/>
  <c r="C1196" i="3"/>
  <c r="B1196" i="3"/>
  <c r="A1196" i="3"/>
  <c r="J1195" i="3"/>
  <c r="I1195" i="3"/>
  <c r="H1195" i="3"/>
  <c r="G1195" i="3"/>
  <c r="F1195" i="3"/>
  <c r="D1195" i="3"/>
  <c r="C1195" i="3"/>
  <c r="B1195" i="3"/>
  <c r="A1195" i="3"/>
  <c r="J1194" i="3"/>
  <c r="I1194" i="3"/>
  <c r="H1194" i="3"/>
  <c r="G1194" i="3"/>
  <c r="F1194" i="3"/>
  <c r="D1194" i="3"/>
  <c r="C1194" i="3"/>
  <c r="B1194" i="3"/>
  <c r="A1194" i="3"/>
  <c r="J1193" i="3"/>
  <c r="I1193" i="3"/>
  <c r="H1193" i="3"/>
  <c r="G1193" i="3"/>
  <c r="F1193" i="3"/>
  <c r="D1193" i="3"/>
  <c r="C1193" i="3"/>
  <c r="B1193" i="3"/>
  <c r="A1193" i="3"/>
  <c r="J1192" i="3"/>
  <c r="I1192" i="3"/>
  <c r="H1192" i="3"/>
  <c r="G1192" i="3"/>
  <c r="F1192" i="3"/>
  <c r="D1192" i="3"/>
  <c r="C1192" i="3"/>
  <c r="B1192" i="3"/>
  <c r="A1192" i="3"/>
  <c r="J1191" i="3"/>
  <c r="I1191" i="3"/>
  <c r="H1191" i="3"/>
  <c r="G1191" i="3"/>
  <c r="F1191" i="3"/>
  <c r="D1191" i="3"/>
  <c r="C1191" i="3"/>
  <c r="B1191" i="3"/>
  <c r="A1191" i="3"/>
  <c r="J1190" i="3"/>
  <c r="I1190" i="3"/>
  <c r="H1190" i="3"/>
  <c r="G1190" i="3"/>
  <c r="F1190" i="3"/>
  <c r="D1190" i="3"/>
  <c r="C1190" i="3"/>
  <c r="B1190" i="3"/>
  <c r="A1190" i="3"/>
  <c r="J1189" i="3"/>
  <c r="I1189" i="3"/>
  <c r="H1189" i="3"/>
  <c r="G1189" i="3"/>
  <c r="F1189" i="3"/>
  <c r="D1189" i="3"/>
  <c r="C1189" i="3"/>
  <c r="B1189" i="3"/>
  <c r="A1189" i="3"/>
  <c r="J1188" i="3"/>
  <c r="I1188" i="3"/>
  <c r="H1188" i="3"/>
  <c r="G1188" i="3"/>
  <c r="F1188" i="3"/>
  <c r="D1188" i="3"/>
  <c r="C1188" i="3"/>
  <c r="B1188" i="3"/>
  <c r="A1188" i="3"/>
  <c r="J1187" i="3"/>
  <c r="I1187" i="3"/>
  <c r="H1187" i="3"/>
  <c r="G1187" i="3"/>
  <c r="F1187" i="3"/>
  <c r="D1187" i="3"/>
  <c r="C1187" i="3"/>
  <c r="B1187" i="3"/>
  <c r="A1187" i="3"/>
  <c r="J1186" i="3"/>
  <c r="I1186" i="3"/>
  <c r="H1186" i="3"/>
  <c r="G1186" i="3"/>
  <c r="F1186" i="3"/>
  <c r="D1186" i="3"/>
  <c r="C1186" i="3"/>
  <c r="B1186" i="3"/>
  <c r="A1186" i="3"/>
  <c r="J1185" i="3"/>
  <c r="I1185" i="3"/>
  <c r="H1185" i="3"/>
  <c r="G1185" i="3"/>
  <c r="F1185" i="3"/>
  <c r="D1185" i="3"/>
  <c r="C1185" i="3"/>
  <c r="B1185" i="3"/>
  <c r="A1185" i="3"/>
  <c r="J1184" i="3"/>
  <c r="I1184" i="3"/>
  <c r="H1184" i="3"/>
  <c r="G1184" i="3"/>
  <c r="F1184" i="3"/>
  <c r="D1184" i="3"/>
  <c r="C1184" i="3"/>
  <c r="B1184" i="3"/>
  <c r="A1184" i="3"/>
  <c r="J1183" i="3"/>
  <c r="I1183" i="3"/>
  <c r="H1183" i="3"/>
  <c r="G1183" i="3"/>
  <c r="F1183" i="3"/>
  <c r="D1183" i="3"/>
  <c r="C1183" i="3"/>
  <c r="B1183" i="3"/>
  <c r="A1183" i="3"/>
  <c r="J1182" i="3"/>
  <c r="I1182" i="3"/>
  <c r="H1182" i="3"/>
  <c r="G1182" i="3"/>
  <c r="F1182" i="3"/>
  <c r="D1182" i="3"/>
  <c r="C1182" i="3"/>
  <c r="B1182" i="3"/>
  <c r="A1182" i="3"/>
  <c r="J1181" i="3"/>
  <c r="I1181" i="3"/>
  <c r="H1181" i="3"/>
  <c r="G1181" i="3"/>
  <c r="F1181" i="3"/>
  <c r="D1181" i="3"/>
  <c r="C1181" i="3"/>
  <c r="B1181" i="3"/>
  <c r="A1181" i="3"/>
  <c r="J1180" i="3"/>
  <c r="I1180" i="3"/>
  <c r="H1180" i="3"/>
  <c r="G1180" i="3"/>
  <c r="F1180" i="3"/>
  <c r="D1180" i="3"/>
  <c r="C1180" i="3"/>
  <c r="B1180" i="3"/>
  <c r="A1180" i="3"/>
  <c r="J1179" i="3"/>
  <c r="I1179" i="3"/>
  <c r="H1179" i="3"/>
  <c r="G1179" i="3"/>
  <c r="F1179" i="3"/>
  <c r="D1179" i="3"/>
  <c r="C1179" i="3"/>
  <c r="B1179" i="3"/>
  <c r="A1179" i="3"/>
  <c r="J1178" i="3"/>
  <c r="I1178" i="3"/>
  <c r="H1178" i="3"/>
  <c r="G1178" i="3"/>
  <c r="F1178" i="3"/>
  <c r="D1178" i="3"/>
  <c r="C1178" i="3"/>
  <c r="B1178" i="3"/>
  <c r="A1178" i="3"/>
  <c r="J1177" i="3"/>
  <c r="I1177" i="3"/>
  <c r="H1177" i="3"/>
  <c r="G1177" i="3"/>
  <c r="F1177" i="3"/>
  <c r="D1177" i="3"/>
  <c r="C1177" i="3"/>
  <c r="B1177" i="3"/>
  <c r="A1177" i="3"/>
  <c r="J1176" i="3"/>
  <c r="I1176" i="3"/>
  <c r="H1176" i="3"/>
  <c r="G1176" i="3"/>
  <c r="F1176" i="3"/>
  <c r="D1176" i="3"/>
  <c r="C1176" i="3"/>
  <c r="B1176" i="3"/>
  <c r="A1176" i="3"/>
  <c r="J1175" i="3"/>
  <c r="I1175" i="3"/>
  <c r="H1175" i="3"/>
  <c r="G1175" i="3"/>
  <c r="F1175" i="3"/>
  <c r="D1175" i="3"/>
  <c r="C1175" i="3"/>
  <c r="B1175" i="3"/>
  <c r="A1175" i="3"/>
  <c r="J1174" i="3"/>
  <c r="I1174" i="3"/>
  <c r="H1174" i="3"/>
  <c r="G1174" i="3"/>
  <c r="F1174" i="3"/>
  <c r="D1174" i="3"/>
  <c r="C1174" i="3"/>
  <c r="B1174" i="3"/>
  <c r="A1174" i="3"/>
  <c r="J1173" i="3"/>
  <c r="I1173" i="3"/>
  <c r="H1173" i="3"/>
  <c r="G1173" i="3"/>
  <c r="F1173" i="3"/>
  <c r="D1173" i="3"/>
  <c r="C1173" i="3"/>
  <c r="B1173" i="3"/>
  <c r="A1173" i="3"/>
  <c r="J1172" i="3"/>
  <c r="I1172" i="3"/>
  <c r="H1172" i="3"/>
  <c r="G1172" i="3"/>
  <c r="F1172" i="3"/>
  <c r="D1172" i="3"/>
  <c r="C1172" i="3"/>
  <c r="B1172" i="3"/>
  <c r="A1172" i="3"/>
  <c r="J1171" i="3"/>
  <c r="I1171" i="3"/>
  <c r="H1171" i="3"/>
  <c r="G1171" i="3"/>
  <c r="F1171" i="3"/>
  <c r="D1171" i="3"/>
  <c r="C1171" i="3"/>
  <c r="B1171" i="3"/>
  <c r="A1171" i="3"/>
  <c r="J1170" i="3"/>
  <c r="I1170" i="3"/>
  <c r="H1170" i="3"/>
  <c r="G1170" i="3"/>
  <c r="F1170" i="3"/>
  <c r="D1170" i="3"/>
  <c r="C1170" i="3"/>
  <c r="B1170" i="3"/>
  <c r="A1170" i="3"/>
  <c r="J1169" i="3"/>
  <c r="I1169" i="3"/>
  <c r="H1169" i="3"/>
  <c r="G1169" i="3"/>
  <c r="F1169" i="3"/>
  <c r="D1169" i="3"/>
  <c r="C1169" i="3"/>
  <c r="B1169" i="3"/>
  <c r="A1169" i="3"/>
  <c r="J1168" i="3"/>
  <c r="I1168" i="3"/>
  <c r="H1168" i="3"/>
  <c r="G1168" i="3"/>
  <c r="F1168" i="3"/>
  <c r="D1168" i="3"/>
  <c r="C1168" i="3"/>
  <c r="B1168" i="3"/>
  <c r="A1168" i="3"/>
  <c r="J1167" i="3"/>
  <c r="I1167" i="3"/>
  <c r="H1167" i="3"/>
  <c r="G1167" i="3"/>
  <c r="F1167" i="3"/>
  <c r="D1167" i="3"/>
  <c r="C1167" i="3"/>
  <c r="B1167" i="3"/>
  <c r="A1167" i="3"/>
  <c r="J1166" i="3"/>
  <c r="I1166" i="3"/>
  <c r="H1166" i="3"/>
  <c r="G1166" i="3"/>
  <c r="F1166" i="3"/>
  <c r="D1166" i="3"/>
  <c r="C1166" i="3"/>
  <c r="B1166" i="3"/>
  <c r="A1166" i="3"/>
  <c r="J1165" i="3"/>
  <c r="I1165" i="3"/>
  <c r="H1165" i="3"/>
  <c r="G1165" i="3"/>
  <c r="F1165" i="3"/>
  <c r="D1165" i="3"/>
  <c r="C1165" i="3"/>
  <c r="B1165" i="3"/>
  <c r="A1165" i="3"/>
  <c r="J1164" i="3"/>
  <c r="I1164" i="3"/>
  <c r="H1164" i="3"/>
  <c r="G1164" i="3"/>
  <c r="F1164" i="3"/>
  <c r="D1164" i="3"/>
  <c r="C1164" i="3"/>
  <c r="B1164" i="3"/>
  <c r="A1164" i="3"/>
  <c r="J1163" i="3"/>
  <c r="I1163" i="3"/>
  <c r="H1163" i="3"/>
  <c r="G1163" i="3"/>
  <c r="F1163" i="3"/>
  <c r="D1163" i="3"/>
  <c r="C1163" i="3"/>
  <c r="B1163" i="3"/>
  <c r="A1163" i="3"/>
  <c r="J1162" i="3"/>
  <c r="I1162" i="3"/>
  <c r="H1162" i="3"/>
  <c r="G1162" i="3"/>
  <c r="F1162" i="3"/>
  <c r="D1162" i="3"/>
  <c r="C1162" i="3"/>
  <c r="B1162" i="3"/>
  <c r="A1162" i="3"/>
  <c r="J1161" i="3"/>
  <c r="I1161" i="3"/>
  <c r="H1161" i="3"/>
  <c r="G1161" i="3"/>
  <c r="F1161" i="3"/>
  <c r="D1161" i="3"/>
  <c r="C1161" i="3"/>
  <c r="B1161" i="3"/>
  <c r="A1161" i="3"/>
  <c r="J1160" i="3"/>
  <c r="I1160" i="3"/>
  <c r="H1160" i="3"/>
  <c r="G1160" i="3"/>
  <c r="F1160" i="3"/>
  <c r="D1160" i="3"/>
  <c r="C1160" i="3"/>
  <c r="B1160" i="3"/>
  <c r="A1160" i="3"/>
  <c r="J1159" i="3"/>
  <c r="I1159" i="3"/>
  <c r="H1159" i="3"/>
  <c r="G1159" i="3"/>
  <c r="F1159" i="3"/>
  <c r="D1159" i="3"/>
  <c r="C1159" i="3"/>
  <c r="B1159" i="3"/>
  <c r="A1159" i="3"/>
  <c r="J1158" i="3"/>
  <c r="I1158" i="3"/>
  <c r="H1158" i="3"/>
  <c r="G1158" i="3"/>
  <c r="F1158" i="3"/>
  <c r="D1158" i="3"/>
  <c r="C1158" i="3"/>
  <c r="B1158" i="3"/>
  <c r="A1158" i="3"/>
  <c r="J1157" i="3"/>
  <c r="I1157" i="3"/>
  <c r="H1157" i="3"/>
  <c r="G1157" i="3"/>
  <c r="F1157" i="3"/>
  <c r="D1157" i="3"/>
  <c r="C1157" i="3"/>
  <c r="B1157" i="3"/>
  <c r="A1157" i="3"/>
  <c r="J1156" i="3"/>
  <c r="I1156" i="3"/>
  <c r="H1156" i="3"/>
  <c r="G1156" i="3"/>
  <c r="F1156" i="3"/>
  <c r="D1156" i="3"/>
  <c r="C1156" i="3"/>
  <c r="B1156" i="3"/>
  <c r="A1156" i="3"/>
  <c r="J1155" i="3"/>
  <c r="I1155" i="3"/>
  <c r="H1155" i="3"/>
  <c r="G1155" i="3"/>
  <c r="F1155" i="3"/>
  <c r="D1155" i="3"/>
  <c r="C1155" i="3"/>
  <c r="B1155" i="3"/>
  <c r="A1155" i="3"/>
  <c r="J1154" i="3"/>
  <c r="I1154" i="3"/>
  <c r="H1154" i="3"/>
  <c r="G1154" i="3"/>
  <c r="F1154" i="3"/>
  <c r="D1154" i="3"/>
  <c r="C1154" i="3"/>
  <c r="B1154" i="3"/>
  <c r="A1154" i="3"/>
  <c r="J1153" i="3"/>
  <c r="I1153" i="3"/>
  <c r="H1153" i="3"/>
  <c r="G1153" i="3"/>
  <c r="F1153" i="3"/>
  <c r="D1153" i="3"/>
  <c r="C1153" i="3"/>
  <c r="B1153" i="3"/>
  <c r="A1153" i="3"/>
  <c r="J1152" i="3"/>
  <c r="I1152" i="3"/>
  <c r="H1152" i="3"/>
  <c r="G1152" i="3"/>
  <c r="F1152" i="3"/>
  <c r="D1152" i="3"/>
  <c r="C1152" i="3"/>
  <c r="B1152" i="3"/>
  <c r="A1152" i="3"/>
  <c r="J1151" i="3"/>
  <c r="I1151" i="3"/>
  <c r="H1151" i="3"/>
  <c r="G1151" i="3"/>
  <c r="F1151" i="3"/>
  <c r="D1151" i="3"/>
  <c r="C1151" i="3"/>
  <c r="B1151" i="3"/>
  <c r="A1151" i="3"/>
  <c r="J1150" i="3"/>
  <c r="I1150" i="3"/>
  <c r="H1150" i="3"/>
  <c r="G1150" i="3"/>
  <c r="F1150" i="3"/>
  <c r="D1150" i="3"/>
  <c r="C1150" i="3"/>
  <c r="B1150" i="3"/>
  <c r="A1150" i="3"/>
  <c r="J1149" i="3"/>
  <c r="I1149" i="3"/>
  <c r="H1149" i="3"/>
  <c r="G1149" i="3"/>
  <c r="F1149" i="3"/>
  <c r="D1149" i="3"/>
  <c r="C1149" i="3"/>
  <c r="B1149" i="3"/>
  <c r="A1149" i="3"/>
  <c r="J1148" i="3"/>
  <c r="I1148" i="3"/>
  <c r="H1148" i="3"/>
  <c r="G1148" i="3"/>
  <c r="F1148" i="3"/>
  <c r="D1148" i="3"/>
  <c r="C1148" i="3"/>
  <c r="B1148" i="3"/>
  <c r="A1148" i="3"/>
  <c r="J1147" i="3"/>
  <c r="I1147" i="3"/>
  <c r="H1147" i="3"/>
  <c r="G1147" i="3"/>
  <c r="F1147" i="3"/>
  <c r="D1147" i="3"/>
  <c r="C1147" i="3"/>
  <c r="B1147" i="3"/>
  <c r="A1147" i="3"/>
  <c r="J1146" i="3"/>
  <c r="I1146" i="3"/>
  <c r="H1146" i="3"/>
  <c r="G1146" i="3"/>
  <c r="F1146" i="3"/>
  <c r="D1146" i="3"/>
  <c r="C1146" i="3"/>
  <c r="B1146" i="3"/>
  <c r="A1146" i="3"/>
  <c r="J1145" i="3"/>
  <c r="I1145" i="3"/>
  <c r="H1145" i="3"/>
  <c r="G1145" i="3"/>
  <c r="F1145" i="3"/>
  <c r="D1145" i="3"/>
  <c r="C1145" i="3"/>
  <c r="B1145" i="3"/>
  <c r="A1145" i="3"/>
  <c r="J1144" i="3"/>
  <c r="I1144" i="3"/>
  <c r="H1144" i="3"/>
  <c r="G1144" i="3"/>
  <c r="F1144" i="3"/>
  <c r="D1144" i="3"/>
  <c r="C1144" i="3"/>
  <c r="B1144" i="3"/>
  <c r="A1144" i="3"/>
  <c r="J1143" i="3"/>
  <c r="I1143" i="3"/>
  <c r="H1143" i="3"/>
  <c r="G1143" i="3"/>
  <c r="F1143" i="3"/>
  <c r="D1143" i="3"/>
  <c r="C1143" i="3"/>
  <c r="B1143" i="3"/>
  <c r="A1143" i="3"/>
  <c r="J1142" i="3"/>
  <c r="I1142" i="3"/>
  <c r="H1142" i="3"/>
  <c r="G1142" i="3"/>
  <c r="F1142" i="3"/>
  <c r="D1142" i="3"/>
  <c r="C1142" i="3"/>
  <c r="B1142" i="3"/>
  <c r="A1142" i="3"/>
  <c r="J1141" i="3"/>
  <c r="I1141" i="3"/>
  <c r="H1141" i="3"/>
  <c r="G1141" i="3"/>
  <c r="F1141" i="3"/>
  <c r="D1141" i="3"/>
  <c r="C1141" i="3"/>
  <c r="B1141" i="3"/>
  <c r="A1141" i="3"/>
  <c r="J1140" i="3"/>
  <c r="I1140" i="3"/>
  <c r="H1140" i="3"/>
  <c r="G1140" i="3"/>
  <c r="F1140" i="3"/>
  <c r="D1140" i="3"/>
  <c r="C1140" i="3"/>
  <c r="B1140" i="3"/>
  <c r="A1140" i="3"/>
  <c r="J1139" i="3"/>
  <c r="I1139" i="3"/>
  <c r="H1139" i="3"/>
  <c r="G1139" i="3"/>
  <c r="F1139" i="3"/>
  <c r="D1139" i="3"/>
  <c r="C1139" i="3"/>
  <c r="B1139" i="3"/>
  <c r="A1139" i="3"/>
  <c r="J1138" i="3"/>
  <c r="I1138" i="3"/>
  <c r="H1138" i="3"/>
  <c r="G1138" i="3"/>
  <c r="F1138" i="3"/>
  <c r="D1138" i="3"/>
  <c r="C1138" i="3"/>
  <c r="B1138" i="3"/>
  <c r="A1138" i="3"/>
  <c r="J1137" i="3"/>
  <c r="I1137" i="3"/>
  <c r="H1137" i="3"/>
  <c r="G1137" i="3"/>
  <c r="F1137" i="3"/>
  <c r="D1137" i="3"/>
  <c r="C1137" i="3"/>
  <c r="B1137" i="3"/>
  <c r="A1137" i="3"/>
  <c r="J1136" i="3"/>
  <c r="I1136" i="3"/>
  <c r="H1136" i="3"/>
  <c r="G1136" i="3"/>
  <c r="F1136" i="3"/>
  <c r="D1136" i="3"/>
  <c r="C1136" i="3"/>
  <c r="B1136" i="3"/>
  <c r="A1136" i="3"/>
  <c r="J1135" i="3"/>
  <c r="I1135" i="3"/>
  <c r="H1135" i="3"/>
  <c r="G1135" i="3"/>
  <c r="F1135" i="3"/>
  <c r="D1135" i="3"/>
  <c r="C1135" i="3"/>
  <c r="B1135" i="3"/>
  <c r="A1135" i="3"/>
  <c r="J1134" i="3"/>
  <c r="I1134" i="3"/>
  <c r="H1134" i="3"/>
  <c r="G1134" i="3"/>
  <c r="F1134" i="3"/>
  <c r="D1134" i="3"/>
  <c r="C1134" i="3"/>
  <c r="B1134" i="3"/>
  <c r="A1134" i="3"/>
  <c r="J1133" i="3"/>
  <c r="I1133" i="3"/>
  <c r="H1133" i="3"/>
  <c r="G1133" i="3"/>
  <c r="F1133" i="3"/>
  <c r="D1133" i="3"/>
  <c r="C1133" i="3"/>
  <c r="B1133" i="3"/>
  <c r="A1133" i="3"/>
  <c r="J1132" i="3"/>
  <c r="I1132" i="3"/>
  <c r="H1132" i="3"/>
  <c r="G1132" i="3"/>
  <c r="F1132" i="3"/>
  <c r="D1132" i="3"/>
  <c r="C1132" i="3"/>
  <c r="B1132" i="3"/>
  <c r="A1132" i="3"/>
  <c r="J1131" i="3"/>
  <c r="I1131" i="3"/>
  <c r="H1131" i="3"/>
  <c r="G1131" i="3"/>
  <c r="F1131" i="3"/>
  <c r="D1131" i="3"/>
  <c r="C1131" i="3"/>
  <c r="B1131" i="3"/>
  <c r="A1131" i="3"/>
  <c r="J1130" i="3"/>
  <c r="I1130" i="3"/>
  <c r="H1130" i="3"/>
  <c r="G1130" i="3"/>
  <c r="F1130" i="3"/>
  <c r="D1130" i="3"/>
  <c r="C1130" i="3"/>
  <c r="B1130" i="3"/>
  <c r="A1130" i="3"/>
  <c r="J1129" i="3"/>
  <c r="I1129" i="3"/>
  <c r="H1129" i="3"/>
  <c r="G1129" i="3"/>
  <c r="F1129" i="3"/>
  <c r="D1129" i="3"/>
  <c r="C1129" i="3"/>
  <c r="B1129" i="3"/>
  <c r="A1129" i="3"/>
  <c r="J1128" i="3"/>
  <c r="I1128" i="3"/>
  <c r="H1128" i="3"/>
  <c r="G1128" i="3"/>
  <c r="F1128" i="3"/>
  <c r="D1128" i="3"/>
  <c r="C1128" i="3"/>
  <c r="B1128" i="3"/>
  <c r="A1128" i="3"/>
  <c r="J1127" i="3"/>
  <c r="I1127" i="3"/>
  <c r="H1127" i="3"/>
  <c r="G1127" i="3"/>
  <c r="F1127" i="3"/>
  <c r="D1127" i="3"/>
  <c r="C1127" i="3"/>
  <c r="B1127" i="3"/>
  <c r="A1127" i="3"/>
  <c r="J1126" i="3"/>
  <c r="I1126" i="3"/>
  <c r="H1126" i="3"/>
  <c r="G1126" i="3"/>
  <c r="F1126" i="3"/>
  <c r="D1126" i="3"/>
  <c r="C1126" i="3"/>
  <c r="B1126" i="3"/>
  <c r="A1126" i="3"/>
  <c r="J1125" i="3"/>
  <c r="I1125" i="3"/>
  <c r="H1125" i="3"/>
  <c r="G1125" i="3"/>
  <c r="F1125" i="3"/>
  <c r="D1125" i="3"/>
  <c r="C1125" i="3"/>
  <c r="B1125" i="3"/>
  <c r="A1125" i="3"/>
  <c r="J1124" i="3"/>
  <c r="I1124" i="3"/>
  <c r="H1124" i="3"/>
  <c r="G1124" i="3"/>
  <c r="F1124" i="3"/>
  <c r="D1124" i="3"/>
  <c r="C1124" i="3"/>
  <c r="B1124" i="3"/>
  <c r="A1124" i="3"/>
  <c r="J1123" i="3"/>
  <c r="I1123" i="3"/>
  <c r="H1123" i="3"/>
  <c r="G1123" i="3"/>
  <c r="F1123" i="3"/>
  <c r="D1123" i="3"/>
  <c r="C1123" i="3"/>
  <c r="B1123" i="3"/>
  <c r="A1123" i="3"/>
  <c r="J1122" i="3"/>
  <c r="I1122" i="3"/>
  <c r="H1122" i="3"/>
  <c r="G1122" i="3"/>
  <c r="F1122" i="3"/>
  <c r="D1122" i="3"/>
  <c r="C1122" i="3"/>
  <c r="B1122" i="3"/>
  <c r="A1122" i="3"/>
  <c r="J1121" i="3"/>
  <c r="I1121" i="3"/>
  <c r="H1121" i="3"/>
  <c r="G1121" i="3"/>
  <c r="F1121" i="3"/>
  <c r="D1121" i="3"/>
  <c r="C1121" i="3"/>
  <c r="B1121" i="3"/>
  <c r="A1121" i="3"/>
  <c r="J1120" i="3"/>
  <c r="I1120" i="3"/>
  <c r="H1120" i="3"/>
  <c r="G1120" i="3"/>
  <c r="F1120" i="3"/>
  <c r="D1120" i="3"/>
  <c r="C1120" i="3"/>
  <c r="B1120" i="3"/>
  <c r="A1120" i="3"/>
  <c r="J1119" i="3"/>
  <c r="I1119" i="3"/>
  <c r="H1119" i="3"/>
  <c r="G1119" i="3"/>
  <c r="F1119" i="3"/>
  <c r="D1119" i="3"/>
  <c r="C1119" i="3"/>
  <c r="B1119" i="3"/>
  <c r="A1119" i="3"/>
  <c r="J1118" i="3"/>
  <c r="I1118" i="3"/>
  <c r="H1118" i="3"/>
  <c r="G1118" i="3"/>
  <c r="F1118" i="3"/>
  <c r="D1118" i="3"/>
  <c r="C1118" i="3"/>
  <c r="B1118" i="3"/>
  <c r="A1118" i="3"/>
  <c r="J1117" i="3"/>
  <c r="I1117" i="3"/>
  <c r="H1117" i="3"/>
  <c r="G1117" i="3"/>
  <c r="F1117" i="3"/>
  <c r="D1117" i="3"/>
  <c r="C1117" i="3"/>
  <c r="B1117" i="3"/>
  <c r="A1117" i="3"/>
  <c r="J1116" i="3"/>
  <c r="I1116" i="3"/>
  <c r="H1116" i="3"/>
  <c r="G1116" i="3"/>
  <c r="F1116" i="3"/>
  <c r="D1116" i="3"/>
  <c r="C1116" i="3"/>
  <c r="B1116" i="3"/>
  <c r="A1116" i="3"/>
  <c r="J1115" i="3"/>
  <c r="I1115" i="3"/>
  <c r="H1115" i="3"/>
  <c r="G1115" i="3"/>
  <c r="F1115" i="3"/>
  <c r="D1115" i="3"/>
  <c r="C1115" i="3"/>
  <c r="B1115" i="3"/>
  <c r="A1115" i="3"/>
  <c r="J1114" i="3"/>
  <c r="I1114" i="3"/>
  <c r="H1114" i="3"/>
  <c r="G1114" i="3"/>
  <c r="F1114" i="3"/>
  <c r="D1114" i="3"/>
  <c r="C1114" i="3"/>
  <c r="B1114" i="3"/>
  <c r="A1114" i="3"/>
  <c r="J1113" i="3"/>
  <c r="I1113" i="3"/>
  <c r="H1113" i="3"/>
  <c r="G1113" i="3"/>
  <c r="F1113" i="3"/>
  <c r="D1113" i="3"/>
  <c r="C1113" i="3"/>
  <c r="B1113" i="3"/>
  <c r="A1113" i="3"/>
  <c r="J1112" i="3"/>
  <c r="I1112" i="3"/>
  <c r="H1112" i="3"/>
  <c r="G1112" i="3"/>
  <c r="F1112" i="3"/>
  <c r="D1112" i="3"/>
  <c r="C1112" i="3"/>
  <c r="B1112" i="3"/>
  <c r="A1112" i="3"/>
  <c r="J1111" i="3"/>
  <c r="I1111" i="3"/>
  <c r="H1111" i="3"/>
  <c r="G1111" i="3"/>
  <c r="F1111" i="3"/>
  <c r="D1111" i="3"/>
  <c r="C1111" i="3"/>
  <c r="B1111" i="3"/>
  <c r="A1111" i="3"/>
  <c r="J1110" i="3"/>
  <c r="I1110" i="3"/>
  <c r="H1110" i="3"/>
  <c r="G1110" i="3"/>
  <c r="F1110" i="3"/>
  <c r="D1110" i="3"/>
  <c r="C1110" i="3"/>
  <c r="B1110" i="3"/>
  <c r="A1110" i="3"/>
  <c r="J1109" i="3"/>
  <c r="I1109" i="3"/>
  <c r="H1109" i="3"/>
  <c r="G1109" i="3"/>
  <c r="F1109" i="3"/>
  <c r="D1109" i="3"/>
  <c r="C1109" i="3"/>
  <c r="B1109" i="3"/>
  <c r="A1109" i="3"/>
  <c r="J1108" i="3"/>
  <c r="I1108" i="3"/>
  <c r="H1108" i="3"/>
  <c r="G1108" i="3"/>
  <c r="F1108" i="3"/>
  <c r="D1108" i="3"/>
  <c r="C1108" i="3"/>
  <c r="B1108" i="3"/>
  <c r="A1108" i="3"/>
  <c r="J1107" i="3"/>
  <c r="I1107" i="3"/>
  <c r="H1107" i="3"/>
  <c r="G1107" i="3"/>
  <c r="F1107" i="3"/>
  <c r="D1107" i="3"/>
  <c r="C1107" i="3"/>
  <c r="B1107" i="3"/>
  <c r="A1107" i="3"/>
  <c r="J1106" i="3"/>
  <c r="I1106" i="3"/>
  <c r="H1106" i="3"/>
  <c r="G1106" i="3"/>
  <c r="F1106" i="3"/>
  <c r="D1106" i="3"/>
  <c r="C1106" i="3"/>
  <c r="B1106" i="3"/>
  <c r="A1106" i="3"/>
  <c r="J1105" i="3"/>
  <c r="I1105" i="3"/>
  <c r="H1105" i="3"/>
  <c r="G1105" i="3"/>
  <c r="F1105" i="3"/>
  <c r="D1105" i="3"/>
  <c r="C1105" i="3"/>
  <c r="B1105" i="3"/>
  <c r="A1105" i="3"/>
  <c r="J1104" i="3"/>
  <c r="I1104" i="3"/>
  <c r="H1104" i="3"/>
  <c r="G1104" i="3"/>
  <c r="F1104" i="3"/>
  <c r="D1104" i="3"/>
  <c r="C1104" i="3"/>
  <c r="B1104" i="3"/>
  <c r="A1104" i="3"/>
  <c r="J1103" i="3"/>
  <c r="I1103" i="3"/>
  <c r="H1103" i="3"/>
  <c r="G1103" i="3"/>
  <c r="F1103" i="3"/>
  <c r="D1103" i="3"/>
  <c r="C1103" i="3"/>
  <c r="B1103" i="3"/>
  <c r="A1103" i="3"/>
  <c r="J1102" i="3"/>
  <c r="I1102" i="3"/>
  <c r="H1102" i="3"/>
  <c r="G1102" i="3"/>
  <c r="F1102" i="3"/>
  <c r="D1102" i="3"/>
  <c r="C1102" i="3"/>
  <c r="B1102" i="3"/>
  <c r="A1102" i="3"/>
  <c r="J1101" i="3"/>
  <c r="I1101" i="3"/>
  <c r="H1101" i="3"/>
  <c r="G1101" i="3"/>
  <c r="F1101" i="3"/>
  <c r="D1101" i="3"/>
  <c r="C1101" i="3"/>
  <c r="B1101" i="3"/>
  <c r="A1101" i="3"/>
  <c r="J1100" i="3"/>
  <c r="I1100" i="3"/>
  <c r="H1100" i="3"/>
  <c r="G1100" i="3"/>
  <c r="F1100" i="3"/>
  <c r="D1100" i="3"/>
  <c r="C1100" i="3"/>
  <c r="B1100" i="3"/>
  <c r="A1100" i="3"/>
  <c r="J1099" i="3"/>
  <c r="I1099" i="3"/>
  <c r="H1099" i="3"/>
  <c r="G1099" i="3"/>
  <c r="F1099" i="3"/>
  <c r="D1099" i="3"/>
  <c r="C1099" i="3"/>
  <c r="B1099" i="3"/>
  <c r="A1099" i="3"/>
  <c r="J1098" i="3"/>
  <c r="I1098" i="3"/>
  <c r="H1098" i="3"/>
  <c r="G1098" i="3"/>
  <c r="F1098" i="3"/>
  <c r="D1098" i="3"/>
  <c r="C1098" i="3"/>
  <c r="B1098" i="3"/>
  <c r="A1098" i="3"/>
  <c r="J1097" i="3"/>
  <c r="I1097" i="3"/>
  <c r="H1097" i="3"/>
  <c r="G1097" i="3"/>
  <c r="F1097" i="3"/>
  <c r="D1097" i="3"/>
  <c r="C1097" i="3"/>
  <c r="B1097" i="3"/>
  <c r="A1097" i="3"/>
  <c r="J1096" i="3"/>
  <c r="I1096" i="3"/>
  <c r="H1096" i="3"/>
  <c r="G1096" i="3"/>
  <c r="F1096" i="3"/>
  <c r="D1096" i="3"/>
  <c r="C1096" i="3"/>
  <c r="B1096" i="3"/>
  <c r="A1096" i="3"/>
  <c r="J1095" i="3"/>
  <c r="I1095" i="3"/>
  <c r="H1095" i="3"/>
  <c r="G1095" i="3"/>
  <c r="F1095" i="3"/>
  <c r="D1095" i="3"/>
  <c r="C1095" i="3"/>
  <c r="B1095" i="3"/>
  <c r="A1095" i="3"/>
  <c r="J1094" i="3"/>
  <c r="I1094" i="3"/>
  <c r="H1094" i="3"/>
  <c r="G1094" i="3"/>
  <c r="F1094" i="3"/>
  <c r="D1094" i="3"/>
  <c r="C1094" i="3"/>
  <c r="B1094" i="3"/>
  <c r="A1094" i="3"/>
  <c r="J1093" i="3"/>
  <c r="I1093" i="3"/>
  <c r="H1093" i="3"/>
  <c r="G1093" i="3"/>
  <c r="F1093" i="3"/>
  <c r="D1093" i="3"/>
  <c r="C1093" i="3"/>
  <c r="B1093" i="3"/>
  <c r="A1093" i="3"/>
  <c r="J1092" i="3"/>
  <c r="I1092" i="3"/>
  <c r="H1092" i="3"/>
  <c r="G1092" i="3"/>
  <c r="F1092" i="3"/>
  <c r="D1092" i="3"/>
  <c r="C1092" i="3"/>
  <c r="B1092" i="3"/>
  <c r="A1092" i="3"/>
  <c r="J1091" i="3"/>
  <c r="I1091" i="3"/>
  <c r="H1091" i="3"/>
  <c r="G1091" i="3"/>
  <c r="F1091" i="3"/>
  <c r="D1091" i="3"/>
  <c r="C1091" i="3"/>
  <c r="B1091" i="3"/>
  <c r="A1091" i="3"/>
  <c r="J1090" i="3"/>
  <c r="I1090" i="3"/>
  <c r="H1090" i="3"/>
  <c r="G1090" i="3"/>
  <c r="F1090" i="3"/>
  <c r="D1090" i="3"/>
  <c r="C1090" i="3"/>
  <c r="B1090" i="3"/>
  <c r="A1090" i="3"/>
  <c r="J1089" i="3"/>
  <c r="I1089" i="3"/>
  <c r="H1089" i="3"/>
  <c r="G1089" i="3"/>
  <c r="F1089" i="3"/>
  <c r="D1089" i="3"/>
  <c r="C1089" i="3"/>
  <c r="B1089" i="3"/>
  <c r="A1089" i="3"/>
  <c r="J1088" i="3"/>
  <c r="I1088" i="3"/>
  <c r="H1088" i="3"/>
  <c r="G1088" i="3"/>
  <c r="F1088" i="3"/>
  <c r="D1088" i="3"/>
  <c r="C1088" i="3"/>
  <c r="B1088" i="3"/>
  <c r="A1088" i="3"/>
  <c r="J1087" i="3"/>
  <c r="I1087" i="3"/>
  <c r="H1087" i="3"/>
  <c r="G1087" i="3"/>
  <c r="F1087" i="3"/>
  <c r="D1087" i="3"/>
  <c r="C1087" i="3"/>
  <c r="B1087" i="3"/>
  <c r="A1087" i="3"/>
  <c r="J1086" i="3"/>
  <c r="I1086" i="3"/>
  <c r="H1086" i="3"/>
  <c r="G1086" i="3"/>
  <c r="F1086" i="3"/>
  <c r="D1086" i="3"/>
  <c r="C1086" i="3"/>
  <c r="B1086" i="3"/>
  <c r="A1086" i="3"/>
  <c r="J1085" i="3"/>
  <c r="I1085" i="3"/>
  <c r="H1085" i="3"/>
  <c r="G1085" i="3"/>
  <c r="F1085" i="3"/>
  <c r="D1085" i="3"/>
  <c r="C1085" i="3"/>
  <c r="B1085" i="3"/>
  <c r="A1085" i="3"/>
  <c r="J1084" i="3"/>
  <c r="I1084" i="3"/>
  <c r="H1084" i="3"/>
  <c r="G1084" i="3"/>
  <c r="F1084" i="3"/>
  <c r="D1084" i="3"/>
  <c r="C1084" i="3"/>
  <c r="B1084" i="3"/>
  <c r="A1084" i="3"/>
  <c r="J1083" i="3"/>
  <c r="I1083" i="3"/>
  <c r="H1083" i="3"/>
  <c r="G1083" i="3"/>
  <c r="F1083" i="3"/>
  <c r="D1083" i="3"/>
  <c r="C1083" i="3"/>
  <c r="B1083" i="3"/>
  <c r="A1083" i="3"/>
  <c r="J1082" i="3"/>
  <c r="I1082" i="3"/>
  <c r="H1082" i="3"/>
  <c r="G1082" i="3"/>
  <c r="F1082" i="3"/>
  <c r="D1082" i="3"/>
  <c r="C1082" i="3"/>
  <c r="B1082" i="3"/>
  <c r="A1082" i="3"/>
  <c r="J1081" i="3"/>
  <c r="I1081" i="3"/>
  <c r="H1081" i="3"/>
  <c r="G1081" i="3"/>
  <c r="F1081" i="3"/>
  <c r="D1081" i="3"/>
  <c r="C1081" i="3"/>
  <c r="B1081" i="3"/>
  <c r="A1081" i="3"/>
  <c r="J1080" i="3"/>
  <c r="I1080" i="3"/>
  <c r="H1080" i="3"/>
  <c r="G1080" i="3"/>
  <c r="F1080" i="3"/>
  <c r="D1080" i="3"/>
  <c r="C1080" i="3"/>
  <c r="B1080" i="3"/>
  <c r="A1080" i="3"/>
  <c r="J1079" i="3"/>
  <c r="I1079" i="3"/>
  <c r="H1079" i="3"/>
  <c r="G1079" i="3"/>
  <c r="F1079" i="3"/>
  <c r="D1079" i="3"/>
  <c r="C1079" i="3"/>
  <c r="B1079" i="3"/>
  <c r="A1079" i="3"/>
  <c r="J1078" i="3"/>
  <c r="I1078" i="3"/>
  <c r="H1078" i="3"/>
  <c r="G1078" i="3"/>
  <c r="F1078" i="3"/>
  <c r="D1078" i="3"/>
  <c r="C1078" i="3"/>
  <c r="B1078" i="3"/>
  <c r="A1078" i="3"/>
  <c r="J1077" i="3"/>
  <c r="I1077" i="3"/>
  <c r="H1077" i="3"/>
  <c r="G1077" i="3"/>
  <c r="F1077" i="3"/>
  <c r="D1077" i="3"/>
  <c r="C1077" i="3"/>
  <c r="B1077" i="3"/>
  <c r="A1077" i="3"/>
  <c r="J1076" i="3"/>
  <c r="I1076" i="3"/>
  <c r="H1076" i="3"/>
  <c r="G1076" i="3"/>
  <c r="F1076" i="3"/>
  <c r="D1076" i="3"/>
  <c r="C1076" i="3"/>
  <c r="B1076" i="3"/>
  <c r="A1076" i="3"/>
  <c r="J1075" i="3"/>
  <c r="I1075" i="3"/>
  <c r="H1075" i="3"/>
  <c r="G1075" i="3"/>
  <c r="F1075" i="3"/>
  <c r="D1075" i="3"/>
  <c r="C1075" i="3"/>
  <c r="B1075" i="3"/>
  <c r="A1075" i="3"/>
  <c r="J1074" i="3"/>
  <c r="I1074" i="3"/>
  <c r="H1074" i="3"/>
  <c r="G1074" i="3"/>
  <c r="F1074" i="3"/>
  <c r="D1074" i="3"/>
  <c r="C1074" i="3"/>
  <c r="B1074" i="3"/>
  <c r="A1074" i="3"/>
  <c r="J1073" i="3"/>
  <c r="I1073" i="3"/>
  <c r="H1073" i="3"/>
  <c r="G1073" i="3"/>
  <c r="F1073" i="3"/>
  <c r="D1073" i="3"/>
  <c r="C1073" i="3"/>
  <c r="B1073" i="3"/>
  <c r="A1073" i="3"/>
  <c r="J1072" i="3"/>
  <c r="I1072" i="3"/>
  <c r="H1072" i="3"/>
  <c r="G1072" i="3"/>
  <c r="F1072" i="3"/>
  <c r="D1072" i="3"/>
  <c r="C1072" i="3"/>
  <c r="B1072" i="3"/>
  <c r="A1072" i="3"/>
  <c r="J1071" i="3"/>
  <c r="I1071" i="3"/>
  <c r="H1071" i="3"/>
  <c r="G1071" i="3"/>
  <c r="F1071" i="3"/>
  <c r="D1071" i="3"/>
  <c r="C1071" i="3"/>
  <c r="B1071" i="3"/>
  <c r="A1071" i="3"/>
  <c r="J1070" i="3"/>
  <c r="I1070" i="3"/>
  <c r="H1070" i="3"/>
  <c r="G1070" i="3"/>
  <c r="F1070" i="3"/>
  <c r="D1070" i="3"/>
  <c r="C1070" i="3"/>
  <c r="B1070" i="3"/>
  <c r="A1070" i="3"/>
  <c r="J1069" i="3"/>
  <c r="I1069" i="3"/>
  <c r="H1069" i="3"/>
  <c r="G1069" i="3"/>
  <c r="F1069" i="3"/>
  <c r="D1069" i="3"/>
  <c r="C1069" i="3"/>
  <c r="B1069" i="3"/>
  <c r="A1069" i="3"/>
  <c r="J1068" i="3"/>
  <c r="I1068" i="3"/>
  <c r="H1068" i="3"/>
  <c r="G1068" i="3"/>
  <c r="F1068" i="3"/>
  <c r="D1068" i="3"/>
  <c r="C1068" i="3"/>
  <c r="B1068" i="3"/>
  <c r="A1068" i="3"/>
  <c r="J1067" i="3"/>
  <c r="I1067" i="3"/>
  <c r="H1067" i="3"/>
  <c r="G1067" i="3"/>
  <c r="F1067" i="3"/>
  <c r="D1067" i="3"/>
  <c r="C1067" i="3"/>
  <c r="B1067" i="3"/>
  <c r="A1067" i="3"/>
  <c r="J1066" i="3"/>
  <c r="I1066" i="3"/>
  <c r="H1066" i="3"/>
  <c r="G1066" i="3"/>
  <c r="F1066" i="3"/>
  <c r="D1066" i="3"/>
  <c r="C1066" i="3"/>
  <c r="B1066" i="3"/>
  <c r="A1066" i="3"/>
  <c r="J1065" i="3"/>
  <c r="I1065" i="3"/>
  <c r="H1065" i="3"/>
  <c r="G1065" i="3"/>
  <c r="F1065" i="3"/>
  <c r="D1065" i="3"/>
  <c r="C1065" i="3"/>
  <c r="B1065" i="3"/>
  <c r="A1065" i="3"/>
  <c r="J1064" i="3"/>
  <c r="I1064" i="3"/>
  <c r="H1064" i="3"/>
  <c r="G1064" i="3"/>
  <c r="F1064" i="3"/>
  <c r="D1064" i="3"/>
  <c r="C1064" i="3"/>
  <c r="B1064" i="3"/>
  <c r="A1064" i="3"/>
  <c r="J1063" i="3"/>
  <c r="I1063" i="3"/>
  <c r="H1063" i="3"/>
  <c r="G1063" i="3"/>
  <c r="F1063" i="3"/>
  <c r="D1063" i="3"/>
  <c r="C1063" i="3"/>
  <c r="B1063" i="3"/>
  <c r="A1063" i="3"/>
  <c r="J1062" i="3"/>
  <c r="I1062" i="3"/>
  <c r="H1062" i="3"/>
  <c r="G1062" i="3"/>
  <c r="F1062" i="3"/>
  <c r="D1062" i="3"/>
  <c r="C1062" i="3"/>
  <c r="B1062" i="3"/>
  <c r="A1062" i="3"/>
  <c r="J1061" i="3"/>
  <c r="I1061" i="3"/>
  <c r="H1061" i="3"/>
  <c r="G1061" i="3"/>
  <c r="F1061" i="3"/>
  <c r="D1061" i="3"/>
  <c r="C1061" i="3"/>
  <c r="B1061" i="3"/>
  <c r="A1061" i="3"/>
  <c r="J1060" i="3"/>
  <c r="I1060" i="3"/>
  <c r="H1060" i="3"/>
  <c r="G1060" i="3"/>
  <c r="F1060" i="3"/>
  <c r="D1060" i="3"/>
  <c r="C1060" i="3"/>
  <c r="B1060" i="3"/>
  <c r="A1060" i="3"/>
  <c r="J1059" i="3"/>
  <c r="I1059" i="3"/>
  <c r="H1059" i="3"/>
  <c r="G1059" i="3"/>
  <c r="F1059" i="3"/>
  <c r="D1059" i="3"/>
  <c r="C1059" i="3"/>
  <c r="B1059" i="3"/>
  <c r="A1059" i="3"/>
  <c r="J1058" i="3"/>
  <c r="I1058" i="3"/>
  <c r="H1058" i="3"/>
  <c r="G1058" i="3"/>
  <c r="F1058" i="3"/>
  <c r="D1058" i="3"/>
  <c r="C1058" i="3"/>
  <c r="B1058" i="3"/>
  <c r="A1058" i="3"/>
  <c r="J1057" i="3"/>
  <c r="I1057" i="3"/>
  <c r="H1057" i="3"/>
  <c r="G1057" i="3"/>
  <c r="F1057" i="3"/>
  <c r="D1057" i="3"/>
  <c r="C1057" i="3"/>
  <c r="B1057" i="3"/>
  <c r="A1057" i="3"/>
  <c r="J1056" i="3"/>
  <c r="I1056" i="3"/>
  <c r="H1056" i="3"/>
  <c r="G1056" i="3"/>
  <c r="F1056" i="3"/>
  <c r="D1056" i="3"/>
  <c r="C1056" i="3"/>
  <c r="B1056" i="3"/>
  <c r="A1056" i="3"/>
  <c r="J1055" i="3"/>
  <c r="I1055" i="3"/>
  <c r="H1055" i="3"/>
  <c r="G1055" i="3"/>
  <c r="F1055" i="3"/>
  <c r="D1055" i="3"/>
  <c r="C1055" i="3"/>
  <c r="B1055" i="3"/>
  <c r="A1055" i="3"/>
  <c r="J1054" i="3"/>
  <c r="I1054" i="3"/>
  <c r="H1054" i="3"/>
  <c r="G1054" i="3"/>
  <c r="F1054" i="3"/>
  <c r="D1054" i="3"/>
  <c r="C1054" i="3"/>
  <c r="B1054" i="3"/>
  <c r="A1054" i="3"/>
  <c r="J1053" i="3"/>
  <c r="I1053" i="3"/>
  <c r="H1053" i="3"/>
  <c r="G1053" i="3"/>
  <c r="F1053" i="3"/>
  <c r="D1053" i="3"/>
  <c r="C1053" i="3"/>
  <c r="B1053" i="3"/>
  <c r="A1053" i="3"/>
  <c r="J1052" i="3"/>
  <c r="I1052" i="3"/>
  <c r="H1052" i="3"/>
  <c r="G1052" i="3"/>
  <c r="F1052" i="3"/>
  <c r="D1052" i="3"/>
  <c r="C1052" i="3"/>
  <c r="B1052" i="3"/>
  <c r="A1052" i="3"/>
  <c r="J1051" i="3"/>
  <c r="I1051" i="3"/>
  <c r="H1051" i="3"/>
  <c r="G1051" i="3"/>
  <c r="F1051" i="3"/>
  <c r="D1051" i="3"/>
  <c r="C1051" i="3"/>
  <c r="B1051" i="3"/>
  <c r="A1051" i="3"/>
  <c r="J1050" i="3"/>
  <c r="I1050" i="3"/>
  <c r="H1050" i="3"/>
  <c r="G1050" i="3"/>
  <c r="F1050" i="3"/>
  <c r="D1050" i="3"/>
  <c r="C1050" i="3"/>
  <c r="B1050" i="3"/>
  <c r="A1050" i="3"/>
  <c r="J1049" i="3"/>
  <c r="I1049" i="3"/>
  <c r="H1049" i="3"/>
  <c r="G1049" i="3"/>
  <c r="F1049" i="3"/>
  <c r="D1049" i="3"/>
  <c r="C1049" i="3"/>
  <c r="B1049" i="3"/>
  <c r="A1049" i="3"/>
  <c r="J1048" i="3"/>
  <c r="I1048" i="3"/>
  <c r="H1048" i="3"/>
  <c r="G1048" i="3"/>
  <c r="F1048" i="3"/>
  <c r="D1048" i="3"/>
  <c r="C1048" i="3"/>
  <c r="B1048" i="3"/>
  <c r="A1048" i="3"/>
  <c r="J1047" i="3"/>
  <c r="I1047" i="3"/>
  <c r="H1047" i="3"/>
  <c r="G1047" i="3"/>
  <c r="F1047" i="3"/>
  <c r="D1047" i="3"/>
  <c r="C1047" i="3"/>
  <c r="B1047" i="3"/>
  <c r="A1047" i="3"/>
  <c r="J1046" i="3"/>
  <c r="I1046" i="3"/>
  <c r="H1046" i="3"/>
  <c r="G1046" i="3"/>
  <c r="F1046" i="3"/>
  <c r="D1046" i="3"/>
  <c r="C1046" i="3"/>
  <c r="B1046" i="3"/>
  <c r="A1046" i="3"/>
  <c r="J1045" i="3"/>
  <c r="I1045" i="3"/>
  <c r="H1045" i="3"/>
  <c r="G1045" i="3"/>
  <c r="F1045" i="3"/>
  <c r="D1045" i="3"/>
  <c r="C1045" i="3"/>
  <c r="B1045" i="3"/>
  <c r="A1045" i="3"/>
  <c r="J1044" i="3"/>
  <c r="I1044" i="3"/>
  <c r="H1044" i="3"/>
  <c r="G1044" i="3"/>
  <c r="F1044" i="3"/>
  <c r="D1044" i="3"/>
  <c r="C1044" i="3"/>
  <c r="B1044" i="3"/>
  <c r="A1044" i="3"/>
  <c r="J1043" i="3"/>
  <c r="I1043" i="3"/>
  <c r="H1043" i="3"/>
  <c r="G1043" i="3"/>
  <c r="F1043" i="3"/>
  <c r="D1043" i="3"/>
  <c r="C1043" i="3"/>
  <c r="B1043" i="3"/>
  <c r="A1043" i="3"/>
  <c r="J1042" i="3"/>
  <c r="I1042" i="3"/>
  <c r="H1042" i="3"/>
  <c r="G1042" i="3"/>
  <c r="F1042" i="3"/>
  <c r="D1042" i="3"/>
  <c r="C1042" i="3"/>
  <c r="B1042" i="3"/>
  <c r="A1042" i="3"/>
  <c r="J1041" i="3"/>
  <c r="I1041" i="3"/>
  <c r="H1041" i="3"/>
  <c r="G1041" i="3"/>
  <c r="F1041" i="3"/>
  <c r="D1041" i="3"/>
  <c r="C1041" i="3"/>
  <c r="B1041" i="3"/>
  <c r="A1041" i="3"/>
  <c r="J1040" i="3"/>
  <c r="I1040" i="3"/>
  <c r="H1040" i="3"/>
  <c r="G1040" i="3"/>
  <c r="F1040" i="3"/>
  <c r="D1040" i="3"/>
  <c r="C1040" i="3"/>
  <c r="B1040" i="3"/>
  <c r="A1040" i="3"/>
  <c r="J1039" i="3"/>
  <c r="I1039" i="3"/>
  <c r="H1039" i="3"/>
  <c r="G1039" i="3"/>
  <c r="F1039" i="3"/>
  <c r="D1039" i="3"/>
  <c r="C1039" i="3"/>
  <c r="B1039" i="3"/>
  <c r="A1039" i="3"/>
  <c r="J1038" i="3"/>
  <c r="I1038" i="3"/>
  <c r="H1038" i="3"/>
  <c r="G1038" i="3"/>
  <c r="F1038" i="3"/>
  <c r="D1038" i="3"/>
  <c r="C1038" i="3"/>
  <c r="B1038" i="3"/>
  <c r="A1038" i="3"/>
  <c r="J1037" i="3"/>
  <c r="I1037" i="3"/>
  <c r="H1037" i="3"/>
  <c r="G1037" i="3"/>
  <c r="F1037" i="3"/>
  <c r="D1037" i="3"/>
  <c r="C1037" i="3"/>
  <c r="B1037" i="3"/>
  <c r="A1037" i="3"/>
  <c r="J1036" i="3"/>
  <c r="I1036" i="3"/>
  <c r="H1036" i="3"/>
  <c r="G1036" i="3"/>
  <c r="F1036" i="3"/>
  <c r="D1036" i="3"/>
  <c r="C1036" i="3"/>
  <c r="B1036" i="3"/>
  <c r="A1036" i="3"/>
  <c r="J1035" i="3"/>
  <c r="I1035" i="3"/>
  <c r="H1035" i="3"/>
  <c r="G1035" i="3"/>
  <c r="F1035" i="3"/>
  <c r="D1035" i="3"/>
  <c r="C1035" i="3"/>
  <c r="B1035" i="3"/>
  <c r="A1035" i="3"/>
  <c r="J1034" i="3"/>
  <c r="I1034" i="3"/>
  <c r="H1034" i="3"/>
  <c r="G1034" i="3"/>
  <c r="F1034" i="3"/>
  <c r="D1034" i="3"/>
  <c r="C1034" i="3"/>
  <c r="B1034" i="3"/>
  <c r="A1034" i="3"/>
  <c r="J1033" i="3"/>
  <c r="I1033" i="3"/>
  <c r="H1033" i="3"/>
  <c r="G1033" i="3"/>
  <c r="F1033" i="3"/>
  <c r="D1033" i="3"/>
  <c r="C1033" i="3"/>
  <c r="B1033" i="3"/>
  <c r="A1033" i="3"/>
  <c r="J1032" i="3"/>
  <c r="I1032" i="3"/>
  <c r="H1032" i="3"/>
  <c r="G1032" i="3"/>
  <c r="F1032" i="3"/>
  <c r="D1032" i="3"/>
  <c r="C1032" i="3"/>
  <c r="B1032" i="3"/>
  <c r="A1032" i="3"/>
  <c r="J1031" i="3"/>
  <c r="I1031" i="3"/>
  <c r="H1031" i="3"/>
  <c r="G1031" i="3"/>
  <c r="F1031" i="3"/>
  <c r="D1031" i="3"/>
  <c r="C1031" i="3"/>
  <c r="B1031" i="3"/>
  <c r="A1031" i="3"/>
  <c r="J1030" i="3"/>
  <c r="I1030" i="3"/>
  <c r="H1030" i="3"/>
  <c r="G1030" i="3"/>
  <c r="F1030" i="3"/>
  <c r="D1030" i="3"/>
  <c r="C1030" i="3"/>
  <c r="B1030" i="3"/>
  <c r="A1030" i="3"/>
  <c r="J1029" i="3"/>
  <c r="I1029" i="3"/>
  <c r="H1029" i="3"/>
  <c r="G1029" i="3"/>
  <c r="F1029" i="3"/>
  <c r="D1029" i="3"/>
  <c r="C1029" i="3"/>
  <c r="B1029" i="3"/>
  <c r="A1029" i="3"/>
  <c r="J1028" i="3"/>
  <c r="I1028" i="3"/>
  <c r="H1028" i="3"/>
  <c r="G1028" i="3"/>
  <c r="F1028" i="3"/>
  <c r="D1028" i="3"/>
  <c r="C1028" i="3"/>
  <c r="B1028" i="3"/>
  <c r="A1028" i="3"/>
  <c r="J1027" i="3"/>
  <c r="I1027" i="3"/>
  <c r="H1027" i="3"/>
  <c r="G1027" i="3"/>
  <c r="F1027" i="3"/>
  <c r="D1027" i="3"/>
  <c r="C1027" i="3"/>
  <c r="B1027" i="3"/>
  <c r="A1027" i="3"/>
  <c r="J1026" i="3"/>
  <c r="I1026" i="3"/>
  <c r="H1026" i="3"/>
  <c r="G1026" i="3"/>
  <c r="F1026" i="3"/>
  <c r="D1026" i="3"/>
  <c r="C1026" i="3"/>
  <c r="B1026" i="3"/>
  <c r="A1026" i="3"/>
  <c r="J1025" i="3"/>
  <c r="I1025" i="3"/>
  <c r="H1025" i="3"/>
  <c r="G1025" i="3"/>
  <c r="F1025" i="3"/>
  <c r="D1025" i="3"/>
  <c r="C1025" i="3"/>
  <c r="B1025" i="3"/>
  <c r="A1025" i="3"/>
  <c r="J1024" i="3"/>
  <c r="I1024" i="3"/>
  <c r="H1024" i="3"/>
  <c r="G1024" i="3"/>
  <c r="F1024" i="3"/>
  <c r="D1024" i="3"/>
  <c r="C1024" i="3"/>
  <c r="B1024" i="3"/>
  <c r="A1024" i="3"/>
  <c r="J1023" i="3"/>
  <c r="I1023" i="3"/>
  <c r="H1023" i="3"/>
  <c r="G1023" i="3"/>
  <c r="F1023" i="3"/>
  <c r="D1023" i="3"/>
  <c r="C1023" i="3"/>
  <c r="B1023" i="3"/>
  <c r="A1023" i="3"/>
  <c r="J1022" i="3"/>
  <c r="I1022" i="3"/>
  <c r="H1022" i="3"/>
  <c r="G1022" i="3"/>
  <c r="F1022" i="3"/>
  <c r="D1022" i="3"/>
  <c r="C1022" i="3"/>
  <c r="B1022" i="3"/>
  <c r="A1022" i="3"/>
  <c r="J1021" i="3"/>
  <c r="I1021" i="3"/>
  <c r="H1021" i="3"/>
  <c r="G1021" i="3"/>
  <c r="F1021" i="3"/>
  <c r="D1021" i="3"/>
  <c r="C1021" i="3"/>
  <c r="B1021" i="3"/>
  <c r="A1021" i="3"/>
  <c r="J1020" i="3"/>
  <c r="I1020" i="3"/>
  <c r="H1020" i="3"/>
  <c r="G1020" i="3"/>
  <c r="F1020" i="3"/>
  <c r="D1020" i="3"/>
  <c r="C1020" i="3"/>
  <c r="B1020" i="3"/>
  <c r="A1020" i="3"/>
  <c r="J1019" i="3"/>
  <c r="I1019" i="3"/>
  <c r="H1019" i="3"/>
  <c r="G1019" i="3"/>
  <c r="F1019" i="3"/>
  <c r="D1019" i="3"/>
  <c r="C1019" i="3"/>
  <c r="B1019" i="3"/>
  <c r="A1019" i="3"/>
  <c r="J1018" i="3"/>
  <c r="I1018" i="3"/>
  <c r="H1018" i="3"/>
  <c r="G1018" i="3"/>
  <c r="F1018" i="3"/>
  <c r="D1018" i="3"/>
  <c r="C1018" i="3"/>
  <c r="B1018" i="3"/>
  <c r="A1018" i="3"/>
  <c r="J1017" i="3"/>
  <c r="I1017" i="3"/>
  <c r="H1017" i="3"/>
  <c r="G1017" i="3"/>
  <c r="F1017" i="3"/>
  <c r="D1017" i="3"/>
  <c r="C1017" i="3"/>
  <c r="B1017" i="3"/>
  <c r="A1017" i="3"/>
  <c r="J1016" i="3"/>
  <c r="I1016" i="3"/>
  <c r="H1016" i="3"/>
  <c r="G1016" i="3"/>
  <c r="F1016" i="3"/>
  <c r="D1016" i="3"/>
  <c r="C1016" i="3"/>
  <c r="B1016" i="3"/>
  <c r="A1016" i="3"/>
  <c r="J1015" i="3"/>
  <c r="I1015" i="3"/>
  <c r="H1015" i="3"/>
  <c r="G1015" i="3"/>
  <c r="F1015" i="3"/>
  <c r="D1015" i="3"/>
  <c r="C1015" i="3"/>
  <c r="B1015" i="3"/>
  <c r="A1015" i="3"/>
  <c r="J1014" i="3"/>
  <c r="I1014" i="3"/>
  <c r="H1014" i="3"/>
  <c r="G1014" i="3"/>
  <c r="F1014" i="3"/>
  <c r="D1014" i="3"/>
  <c r="C1014" i="3"/>
  <c r="B1014" i="3"/>
  <c r="A1014" i="3"/>
  <c r="J1013" i="3"/>
  <c r="I1013" i="3"/>
  <c r="H1013" i="3"/>
  <c r="G1013" i="3"/>
  <c r="F1013" i="3"/>
  <c r="D1013" i="3"/>
  <c r="C1013" i="3"/>
  <c r="B1013" i="3"/>
  <c r="A1013" i="3"/>
  <c r="J1012" i="3"/>
  <c r="I1012" i="3"/>
  <c r="H1012" i="3"/>
  <c r="G1012" i="3"/>
  <c r="F1012" i="3"/>
  <c r="D1012" i="3"/>
  <c r="C1012" i="3"/>
  <c r="B1012" i="3"/>
  <c r="A1012" i="3"/>
  <c r="J1011" i="3"/>
  <c r="I1011" i="3"/>
  <c r="H1011" i="3"/>
  <c r="G1011" i="3"/>
  <c r="F1011" i="3"/>
  <c r="D1011" i="3"/>
  <c r="C1011" i="3"/>
  <c r="B1011" i="3"/>
  <c r="A1011" i="3"/>
  <c r="J1010" i="3"/>
  <c r="I1010" i="3"/>
  <c r="H1010" i="3"/>
  <c r="G1010" i="3"/>
  <c r="F1010" i="3"/>
  <c r="D1010" i="3"/>
  <c r="C1010" i="3"/>
  <c r="B1010" i="3"/>
  <c r="A1010" i="3"/>
  <c r="J1009" i="3"/>
  <c r="I1009" i="3"/>
  <c r="H1009" i="3"/>
  <c r="G1009" i="3"/>
  <c r="F1009" i="3"/>
  <c r="D1009" i="3"/>
  <c r="C1009" i="3"/>
  <c r="B1009" i="3"/>
  <c r="A1009" i="3"/>
  <c r="J1008" i="3"/>
  <c r="I1008" i="3"/>
  <c r="H1008" i="3"/>
  <c r="G1008" i="3"/>
  <c r="F1008" i="3"/>
  <c r="D1008" i="3"/>
  <c r="C1008" i="3"/>
  <c r="B1008" i="3"/>
  <c r="A1008" i="3"/>
  <c r="J1007" i="3"/>
  <c r="I1007" i="3"/>
  <c r="H1007" i="3"/>
  <c r="G1007" i="3"/>
  <c r="F1007" i="3"/>
  <c r="D1007" i="3"/>
  <c r="C1007" i="3"/>
  <c r="B1007" i="3"/>
  <c r="A1007" i="3"/>
  <c r="J1006" i="3"/>
  <c r="I1006" i="3"/>
  <c r="H1006" i="3"/>
  <c r="G1006" i="3"/>
  <c r="F1006" i="3"/>
  <c r="D1006" i="3"/>
  <c r="C1006" i="3"/>
  <c r="B1006" i="3"/>
  <c r="A1006" i="3"/>
  <c r="J1005" i="3"/>
  <c r="I1005" i="3"/>
  <c r="H1005" i="3"/>
  <c r="G1005" i="3"/>
  <c r="F1005" i="3"/>
  <c r="D1005" i="3"/>
  <c r="C1005" i="3"/>
  <c r="B1005" i="3"/>
  <c r="A1005" i="3"/>
  <c r="J1004" i="3"/>
  <c r="I1004" i="3"/>
  <c r="H1004" i="3"/>
  <c r="G1004" i="3"/>
  <c r="F1004" i="3"/>
  <c r="D1004" i="3"/>
  <c r="C1004" i="3"/>
  <c r="B1004" i="3"/>
  <c r="A1004" i="3"/>
  <c r="J1003" i="3"/>
  <c r="I1003" i="3"/>
  <c r="H1003" i="3"/>
  <c r="G1003" i="3"/>
  <c r="F1003" i="3"/>
  <c r="D1003" i="3"/>
  <c r="C1003" i="3"/>
  <c r="B1003" i="3"/>
  <c r="A1003" i="3"/>
  <c r="J1002" i="3"/>
  <c r="I1002" i="3"/>
  <c r="H1002" i="3"/>
  <c r="G1002" i="3"/>
  <c r="F1002" i="3"/>
  <c r="D1002" i="3"/>
  <c r="C1002" i="3"/>
  <c r="B1002" i="3"/>
  <c r="A1002" i="3"/>
  <c r="J1001" i="3"/>
  <c r="I1001" i="3"/>
  <c r="H1001" i="3"/>
  <c r="G1001" i="3"/>
  <c r="F1001" i="3"/>
  <c r="D1001" i="3"/>
  <c r="C1001" i="3"/>
  <c r="B1001" i="3"/>
  <c r="A1001" i="3"/>
  <c r="J1000" i="3"/>
  <c r="I1000" i="3"/>
  <c r="H1000" i="3"/>
  <c r="G1000" i="3"/>
  <c r="F1000" i="3"/>
  <c r="D1000" i="3"/>
  <c r="C1000" i="3"/>
  <c r="B1000" i="3"/>
  <c r="A1000" i="3"/>
  <c r="J999" i="3"/>
  <c r="I999" i="3"/>
  <c r="H999" i="3"/>
  <c r="G999" i="3"/>
  <c r="F999" i="3"/>
  <c r="D999" i="3"/>
  <c r="C999" i="3"/>
  <c r="B999" i="3"/>
  <c r="A999" i="3"/>
  <c r="J998" i="3"/>
  <c r="I998" i="3"/>
  <c r="H998" i="3"/>
  <c r="G998" i="3"/>
  <c r="F998" i="3"/>
  <c r="D998" i="3"/>
  <c r="C998" i="3"/>
  <c r="B998" i="3"/>
  <c r="A998" i="3"/>
  <c r="J997" i="3"/>
  <c r="I997" i="3"/>
  <c r="H997" i="3"/>
  <c r="G997" i="3"/>
  <c r="F997" i="3"/>
  <c r="D997" i="3"/>
  <c r="C997" i="3"/>
  <c r="B997" i="3"/>
  <c r="A997" i="3"/>
  <c r="J996" i="3"/>
  <c r="I996" i="3"/>
  <c r="H996" i="3"/>
  <c r="G996" i="3"/>
  <c r="F996" i="3"/>
  <c r="D996" i="3"/>
  <c r="C996" i="3"/>
  <c r="B996" i="3"/>
  <c r="A996" i="3"/>
  <c r="J995" i="3"/>
  <c r="I995" i="3"/>
  <c r="H995" i="3"/>
  <c r="G995" i="3"/>
  <c r="F995" i="3"/>
  <c r="D995" i="3"/>
  <c r="C995" i="3"/>
  <c r="B995" i="3"/>
  <c r="A995" i="3"/>
  <c r="J994" i="3"/>
  <c r="I994" i="3"/>
  <c r="H994" i="3"/>
  <c r="G994" i="3"/>
  <c r="F994" i="3"/>
  <c r="D994" i="3"/>
  <c r="C994" i="3"/>
  <c r="B994" i="3"/>
  <c r="A994" i="3"/>
  <c r="J993" i="3"/>
  <c r="I993" i="3"/>
  <c r="H993" i="3"/>
  <c r="G993" i="3"/>
  <c r="F993" i="3"/>
  <c r="D993" i="3"/>
  <c r="C993" i="3"/>
  <c r="B993" i="3"/>
  <c r="A993" i="3"/>
  <c r="J992" i="3"/>
  <c r="I992" i="3"/>
  <c r="H992" i="3"/>
  <c r="G992" i="3"/>
  <c r="F992" i="3"/>
  <c r="D992" i="3"/>
  <c r="C992" i="3"/>
  <c r="B992" i="3"/>
  <c r="A992" i="3"/>
  <c r="J991" i="3"/>
  <c r="I991" i="3"/>
  <c r="H991" i="3"/>
  <c r="G991" i="3"/>
  <c r="F991" i="3"/>
  <c r="D991" i="3"/>
  <c r="C991" i="3"/>
  <c r="B991" i="3"/>
  <c r="A991" i="3"/>
  <c r="J990" i="3"/>
  <c r="I990" i="3"/>
  <c r="H990" i="3"/>
  <c r="G990" i="3"/>
  <c r="F990" i="3"/>
  <c r="D990" i="3"/>
  <c r="C990" i="3"/>
  <c r="B990" i="3"/>
  <c r="A990" i="3"/>
  <c r="J989" i="3"/>
  <c r="I989" i="3"/>
  <c r="H989" i="3"/>
  <c r="G989" i="3"/>
  <c r="F989" i="3"/>
  <c r="D989" i="3"/>
  <c r="C989" i="3"/>
  <c r="B989" i="3"/>
  <c r="A989" i="3"/>
  <c r="J988" i="3"/>
  <c r="I988" i="3"/>
  <c r="H988" i="3"/>
  <c r="G988" i="3"/>
  <c r="F988" i="3"/>
  <c r="D988" i="3"/>
  <c r="C988" i="3"/>
  <c r="B988" i="3"/>
  <c r="A988" i="3"/>
  <c r="J987" i="3"/>
  <c r="I987" i="3"/>
  <c r="H987" i="3"/>
  <c r="G987" i="3"/>
  <c r="F987" i="3"/>
  <c r="D987" i="3"/>
  <c r="C987" i="3"/>
  <c r="B987" i="3"/>
  <c r="A987" i="3"/>
  <c r="J986" i="3"/>
  <c r="I986" i="3"/>
  <c r="H986" i="3"/>
  <c r="G986" i="3"/>
  <c r="F986" i="3"/>
  <c r="D986" i="3"/>
  <c r="C986" i="3"/>
  <c r="B986" i="3"/>
  <c r="A986" i="3"/>
  <c r="J985" i="3"/>
  <c r="I985" i="3"/>
  <c r="H985" i="3"/>
  <c r="G985" i="3"/>
  <c r="F985" i="3"/>
  <c r="D985" i="3"/>
  <c r="C985" i="3"/>
  <c r="B985" i="3"/>
  <c r="A985" i="3"/>
  <c r="J984" i="3"/>
  <c r="I984" i="3"/>
  <c r="H984" i="3"/>
  <c r="G984" i="3"/>
  <c r="F984" i="3"/>
  <c r="D984" i="3"/>
  <c r="C984" i="3"/>
  <c r="B984" i="3"/>
  <c r="A984" i="3"/>
  <c r="J983" i="3"/>
  <c r="I983" i="3"/>
  <c r="H983" i="3"/>
  <c r="G983" i="3"/>
  <c r="F983" i="3"/>
  <c r="D983" i="3"/>
  <c r="C983" i="3"/>
  <c r="B983" i="3"/>
  <c r="A983" i="3"/>
  <c r="J982" i="3"/>
  <c r="I982" i="3"/>
  <c r="H982" i="3"/>
  <c r="G982" i="3"/>
  <c r="F982" i="3"/>
  <c r="D982" i="3"/>
  <c r="C982" i="3"/>
  <c r="B982" i="3"/>
  <c r="A982" i="3"/>
  <c r="J981" i="3"/>
  <c r="I981" i="3"/>
  <c r="H981" i="3"/>
  <c r="G981" i="3"/>
  <c r="F981" i="3"/>
  <c r="D981" i="3"/>
  <c r="C981" i="3"/>
  <c r="B981" i="3"/>
  <c r="A981" i="3"/>
  <c r="J980" i="3"/>
  <c r="I980" i="3"/>
  <c r="H980" i="3"/>
  <c r="G980" i="3"/>
  <c r="F980" i="3"/>
  <c r="D980" i="3"/>
  <c r="C980" i="3"/>
  <c r="B980" i="3"/>
  <c r="A980" i="3"/>
  <c r="J979" i="3"/>
  <c r="I979" i="3"/>
  <c r="H979" i="3"/>
  <c r="G979" i="3"/>
  <c r="F979" i="3"/>
  <c r="D979" i="3"/>
  <c r="C979" i="3"/>
  <c r="B979" i="3"/>
  <c r="A979" i="3"/>
  <c r="J978" i="3"/>
  <c r="I978" i="3"/>
  <c r="H978" i="3"/>
  <c r="G978" i="3"/>
  <c r="F978" i="3"/>
  <c r="D978" i="3"/>
  <c r="C978" i="3"/>
  <c r="B978" i="3"/>
  <c r="A978" i="3"/>
  <c r="J977" i="3"/>
  <c r="I977" i="3"/>
  <c r="H977" i="3"/>
  <c r="G977" i="3"/>
  <c r="F977" i="3"/>
  <c r="D977" i="3"/>
  <c r="C977" i="3"/>
  <c r="B977" i="3"/>
  <c r="A977" i="3"/>
  <c r="J976" i="3"/>
  <c r="I976" i="3"/>
  <c r="H976" i="3"/>
  <c r="G976" i="3"/>
  <c r="F976" i="3"/>
  <c r="D976" i="3"/>
  <c r="C976" i="3"/>
  <c r="B976" i="3"/>
  <c r="A976" i="3"/>
  <c r="J975" i="3"/>
  <c r="I975" i="3"/>
  <c r="H975" i="3"/>
  <c r="G975" i="3"/>
  <c r="F975" i="3"/>
  <c r="D975" i="3"/>
  <c r="C975" i="3"/>
  <c r="B975" i="3"/>
  <c r="A975" i="3"/>
  <c r="J974" i="3"/>
  <c r="I974" i="3"/>
  <c r="H974" i="3"/>
  <c r="G974" i="3"/>
  <c r="F974" i="3"/>
  <c r="D974" i="3"/>
  <c r="C974" i="3"/>
  <c r="B974" i="3"/>
  <c r="A974" i="3"/>
  <c r="J973" i="3"/>
  <c r="I973" i="3"/>
  <c r="H973" i="3"/>
  <c r="G973" i="3"/>
  <c r="F973" i="3"/>
  <c r="D973" i="3"/>
  <c r="C973" i="3"/>
  <c r="B973" i="3"/>
  <c r="A973" i="3"/>
  <c r="J972" i="3"/>
  <c r="I972" i="3"/>
  <c r="H972" i="3"/>
  <c r="G972" i="3"/>
  <c r="F972" i="3"/>
  <c r="D972" i="3"/>
  <c r="C972" i="3"/>
  <c r="B972" i="3"/>
  <c r="A972" i="3"/>
  <c r="J971" i="3"/>
  <c r="I971" i="3"/>
  <c r="H971" i="3"/>
  <c r="G971" i="3"/>
  <c r="F971" i="3"/>
  <c r="D971" i="3"/>
  <c r="C971" i="3"/>
  <c r="B971" i="3"/>
  <c r="A971" i="3"/>
  <c r="J970" i="3"/>
  <c r="I970" i="3"/>
  <c r="H970" i="3"/>
  <c r="G970" i="3"/>
  <c r="F970" i="3"/>
  <c r="D970" i="3"/>
  <c r="C970" i="3"/>
  <c r="B970" i="3"/>
  <c r="A970" i="3"/>
  <c r="J969" i="3"/>
  <c r="I969" i="3"/>
  <c r="H969" i="3"/>
  <c r="G969" i="3"/>
  <c r="F969" i="3"/>
  <c r="D969" i="3"/>
  <c r="C969" i="3"/>
  <c r="B969" i="3"/>
  <c r="A969" i="3"/>
  <c r="J968" i="3"/>
  <c r="I968" i="3"/>
  <c r="H968" i="3"/>
  <c r="G968" i="3"/>
  <c r="F968" i="3"/>
  <c r="D968" i="3"/>
  <c r="C968" i="3"/>
  <c r="B968" i="3"/>
  <c r="A968" i="3"/>
  <c r="J967" i="3"/>
  <c r="I967" i="3"/>
  <c r="H967" i="3"/>
  <c r="G967" i="3"/>
  <c r="F967" i="3"/>
  <c r="D967" i="3"/>
  <c r="C967" i="3"/>
  <c r="B967" i="3"/>
  <c r="A967" i="3"/>
  <c r="J966" i="3"/>
  <c r="I966" i="3"/>
  <c r="H966" i="3"/>
  <c r="G966" i="3"/>
  <c r="F966" i="3"/>
  <c r="D966" i="3"/>
  <c r="C966" i="3"/>
  <c r="B966" i="3"/>
  <c r="A966" i="3"/>
  <c r="J965" i="3"/>
  <c r="I965" i="3"/>
  <c r="H965" i="3"/>
  <c r="G965" i="3"/>
  <c r="F965" i="3"/>
  <c r="D965" i="3"/>
  <c r="C965" i="3"/>
  <c r="B965" i="3"/>
  <c r="A965" i="3"/>
  <c r="J964" i="3"/>
  <c r="I964" i="3"/>
  <c r="H964" i="3"/>
  <c r="G964" i="3"/>
  <c r="F964" i="3"/>
  <c r="D964" i="3"/>
  <c r="C964" i="3"/>
  <c r="B964" i="3"/>
  <c r="A964" i="3"/>
  <c r="J963" i="3"/>
  <c r="I963" i="3"/>
  <c r="H963" i="3"/>
  <c r="G963" i="3"/>
  <c r="F963" i="3"/>
  <c r="D963" i="3"/>
  <c r="C963" i="3"/>
  <c r="B963" i="3"/>
  <c r="A963" i="3"/>
  <c r="J962" i="3"/>
  <c r="I962" i="3"/>
  <c r="H962" i="3"/>
  <c r="G962" i="3"/>
  <c r="F962" i="3"/>
  <c r="D962" i="3"/>
  <c r="C962" i="3"/>
  <c r="B962" i="3"/>
  <c r="A962" i="3"/>
  <c r="J961" i="3"/>
  <c r="I961" i="3"/>
  <c r="H961" i="3"/>
  <c r="G961" i="3"/>
  <c r="F961" i="3"/>
  <c r="D961" i="3"/>
  <c r="C961" i="3"/>
  <c r="B961" i="3"/>
  <c r="A961" i="3"/>
  <c r="J960" i="3"/>
  <c r="I960" i="3"/>
  <c r="H960" i="3"/>
  <c r="G960" i="3"/>
  <c r="F960" i="3"/>
  <c r="D960" i="3"/>
  <c r="C960" i="3"/>
  <c r="B960" i="3"/>
  <c r="A960" i="3"/>
  <c r="J959" i="3"/>
  <c r="I959" i="3"/>
  <c r="H959" i="3"/>
  <c r="G959" i="3"/>
  <c r="F959" i="3"/>
  <c r="D959" i="3"/>
  <c r="C959" i="3"/>
  <c r="B959" i="3"/>
  <c r="A959" i="3"/>
  <c r="J958" i="3"/>
  <c r="I958" i="3"/>
  <c r="H958" i="3"/>
  <c r="G958" i="3"/>
  <c r="F958" i="3"/>
  <c r="D958" i="3"/>
  <c r="C958" i="3"/>
  <c r="B958" i="3"/>
  <c r="A958" i="3"/>
  <c r="J957" i="3"/>
  <c r="I957" i="3"/>
  <c r="H957" i="3"/>
  <c r="G957" i="3"/>
  <c r="F957" i="3"/>
  <c r="D957" i="3"/>
  <c r="C957" i="3"/>
  <c r="B957" i="3"/>
  <c r="A957" i="3"/>
  <c r="J956" i="3"/>
  <c r="I956" i="3"/>
  <c r="H956" i="3"/>
  <c r="G956" i="3"/>
  <c r="F956" i="3"/>
  <c r="D956" i="3"/>
  <c r="C956" i="3"/>
  <c r="B956" i="3"/>
  <c r="A956" i="3"/>
  <c r="J955" i="3"/>
  <c r="I955" i="3"/>
  <c r="H955" i="3"/>
  <c r="G955" i="3"/>
  <c r="F955" i="3"/>
  <c r="D955" i="3"/>
  <c r="C955" i="3"/>
  <c r="B955" i="3"/>
  <c r="A955" i="3"/>
  <c r="J954" i="3"/>
  <c r="I954" i="3"/>
  <c r="H954" i="3"/>
  <c r="G954" i="3"/>
  <c r="F954" i="3"/>
  <c r="D954" i="3"/>
  <c r="C954" i="3"/>
  <c r="B954" i="3"/>
  <c r="A954" i="3"/>
  <c r="J953" i="3"/>
  <c r="I953" i="3"/>
  <c r="H953" i="3"/>
  <c r="G953" i="3"/>
  <c r="F953" i="3"/>
  <c r="D953" i="3"/>
  <c r="C953" i="3"/>
  <c r="B953" i="3"/>
  <c r="A953" i="3"/>
  <c r="J952" i="3"/>
  <c r="I952" i="3"/>
  <c r="H952" i="3"/>
  <c r="G952" i="3"/>
  <c r="F952" i="3"/>
  <c r="D952" i="3"/>
  <c r="C952" i="3"/>
  <c r="B952" i="3"/>
  <c r="A952" i="3"/>
  <c r="J951" i="3"/>
  <c r="I951" i="3"/>
  <c r="H951" i="3"/>
  <c r="G951" i="3"/>
  <c r="F951" i="3"/>
  <c r="D951" i="3"/>
  <c r="C951" i="3"/>
  <c r="B951" i="3"/>
  <c r="A951" i="3"/>
  <c r="J950" i="3"/>
  <c r="I950" i="3"/>
  <c r="H950" i="3"/>
  <c r="G950" i="3"/>
  <c r="F950" i="3"/>
  <c r="D950" i="3"/>
  <c r="C950" i="3"/>
  <c r="B950" i="3"/>
  <c r="A950" i="3"/>
  <c r="J949" i="3"/>
  <c r="I949" i="3"/>
  <c r="H949" i="3"/>
  <c r="G949" i="3"/>
  <c r="F949" i="3"/>
  <c r="D949" i="3"/>
  <c r="C949" i="3"/>
  <c r="B949" i="3"/>
  <c r="A949" i="3"/>
  <c r="J948" i="3"/>
  <c r="I948" i="3"/>
  <c r="H948" i="3"/>
  <c r="G948" i="3"/>
  <c r="F948" i="3"/>
  <c r="D948" i="3"/>
  <c r="C948" i="3"/>
  <c r="B948" i="3"/>
  <c r="A948" i="3"/>
  <c r="J947" i="3"/>
  <c r="I947" i="3"/>
  <c r="H947" i="3"/>
  <c r="G947" i="3"/>
  <c r="F947" i="3"/>
  <c r="D947" i="3"/>
  <c r="C947" i="3"/>
  <c r="B947" i="3"/>
  <c r="A947" i="3"/>
  <c r="J946" i="3"/>
  <c r="I946" i="3"/>
  <c r="H946" i="3"/>
  <c r="G946" i="3"/>
  <c r="F946" i="3"/>
  <c r="D946" i="3"/>
  <c r="C946" i="3"/>
  <c r="B946" i="3"/>
  <c r="A946" i="3"/>
  <c r="J945" i="3"/>
  <c r="I945" i="3"/>
  <c r="H945" i="3"/>
  <c r="G945" i="3"/>
  <c r="F945" i="3"/>
  <c r="D945" i="3"/>
  <c r="C945" i="3"/>
  <c r="B945" i="3"/>
  <c r="A945" i="3"/>
  <c r="J944" i="3"/>
  <c r="I944" i="3"/>
  <c r="H944" i="3"/>
  <c r="G944" i="3"/>
  <c r="F944" i="3"/>
  <c r="D944" i="3"/>
  <c r="C944" i="3"/>
  <c r="B944" i="3"/>
  <c r="A944" i="3"/>
  <c r="J943" i="3"/>
  <c r="I943" i="3"/>
  <c r="H943" i="3"/>
  <c r="G943" i="3"/>
  <c r="F943" i="3"/>
  <c r="D943" i="3"/>
  <c r="C943" i="3"/>
  <c r="B943" i="3"/>
  <c r="A943" i="3"/>
  <c r="J942" i="3"/>
  <c r="I942" i="3"/>
  <c r="H942" i="3"/>
  <c r="G942" i="3"/>
  <c r="F942" i="3"/>
  <c r="D942" i="3"/>
  <c r="C942" i="3"/>
  <c r="B942" i="3"/>
  <c r="A942" i="3"/>
  <c r="J941" i="3"/>
  <c r="I941" i="3"/>
  <c r="H941" i="3"/>
  <c r="G941" i="3"/>
  <c r="F941" i="3"/>
  <c r="D941" i="3"/>
  <c r="C941" i="3"/>
  <c r="B941" i="3"/>
  <c r="A941" i="3"/>
  <c r="J940" i="3"/>
  <c r="I940" i="3"/>
  <c r="H940" i="3"/>
  <c r="G940" i="3"/>
  <c r="F940" i="3"/>
  <c r="D940" i="3"/>
  <c r="C940" i="3"/>
  <c r="B940" i="3"/>
  <c r="A940" i="3"/>
  <c r="J939" i="3"/>
  <c r="I939" i="3"/>
  <c r="H939" i="3"/>
  <c r="G939" i="3"/>
  <c r="F939" i="3"/>
  <c r="D939" i="3"/>
  <c r="C939" i="3"/>
  <c r="B939" i="3"/>
  <c r="A939" i="3"/>
  <c r="J938" i="3"/>
  <c r="I938" i="3"/>
  <c r="H938" i="3"/>
  <c r="G938" i="3"/>
  <c r="F938" i="3"/>
  <c r="D938" i="3"/>
  <c r="C938" i="3"/>
  <c r="B938" i="3"/>
  <c r="A938" i="3"/>
  <c r="J937" i="3"/>
  <c r="I937" i="3"/>
  <c r="H937" i="3"/>
  <c r="G937" i="3"/>
  <c r="F937" i="3"/>
  <c r="D937" i="3"/>
  <c r="C937" i="3"/>
  <c r="B937" i="3"/>
  <c r="A937" i="3"/>
  <c r="J936" i="3"/>
  <c r="I936" i="3"/>
  <c r="H936" i="3"/>
  <c r="G936" i="3"/>
  <c r="F936" i="3"/>
  <c r="D936" i="3"/>
  <c r="C936" i="3"/>
  <c r="B936" i="3"/>
  <c r="A936" i="3"/>
  <c r="J935" i="3"/>
  <c r="I935" i="3"/>
  <c r="H935" i="3"/>
  <c r="G935" i="3"/>
  <c r="F935" i="3"/>
  <c r="D935" i="3"/>
  <c r="C935" i="3"/>
  <c r="B935" i="3"/>
  <c r="A935" i="3"/>
  <c r="J934" i="3"/>
  <c r="I934" i="3"/>
  <c r="H934" i="3"/>
  <c r="G934" i="3"/>
  <c r="F934" i="3"/>
  <c r="D934" i="3"/>
  <c r="C934" i="3"/>
  <c r="B934" i="3"/>
  <c r="A934" i="3"/>
  <c r="J933" i="3"/>
  <c r="I933" i="3"/>
  <c r="H933" i="3"/>
  <c r="G933" i="3"/>
  <c r="F933" i="3"/>
  <c r="D933" i="3"/>
  <c r="C933" i="3"/>
  <c r="B933" i="3"/>
  <c r="A933" i="3"/>
  <c r="J932" i="3"/>
  <c r="I932" i="3"/>
  <c r="H932" i="3"/>
  <c r="G932" i="3"/>
  <c r="F932" i="3"/>
  <c r="D932" i="3"/>
  <c r="C932" i="3"/>
  <c r="B932" i="3"/>
  <c r="A932" i="3"/>
  <c r="J931" i="3"/>
  <c r="I931" i="3"/>
  <c r="H931" i="3"/>
  <c r="G931" i="3"/>
  <c r="F931" i="3"/>
  <c r="D931" i="3"/>
  <c r="C931" i="3"/>
  <c r="B931" i="3"/>
  <c r="A931" i="3"/>
  <c r="J930" i="3"/>
  <c r="I930" i="3"/>
  <c r="H930" i="3"/>
  <c r="G930" i="3"/>
  <c r="F930" i="3"/>
  <c r="D930" i="3"/>
  <c r="C930" i="3"/>
  <c r="B930" i="3"/>
  <c r="A930" i="3"/>
  <c r="J929" i="3"/>
  <c r="I929" i="3"/>
  <c r="H929" i="3"/>
  <c r="G929" i="3"/>
  <c r="F929" i="3"/>
  <c r="D929" i="3"/>
  <c r="C929" i="3"/>
  <c r="B929" i="3"/>
  <c r="A929" i="3"/>
  <c r="J928" i="3"/>
  <c r="I928" i="3"/>
  <c r="H928" i="3"/>
  <c r="G928" i="3"/>
  <c r="F928" i="3"/>
  <c r="D928" i="3"/>
  <c r="C928" i="3"/>
  <c r="B928" i="3"/>
  <c r="A928" i="3"/>
  <c r="J927" i="3"/>
  <c r="I927" i="3"/>
  <c r="H927" i="3"/>
  <c r="G927" i="3"/>
  <c r="F927" i="3"/>
  <c r="D927" i="3"/>
  <c r="C927" i="3"/>
  <c r="B927" i="3"/>
  <c r="A927" i="3"/>
  <c r="J926" i="3"/>
  <c r="I926" i="3"/>
  <c r="H926" i="3"/>
  <c r="G926" i="3"/>
  <c r="F926" i="3"/>
  <c r="D926" i="3"/>
  <c r="C926" i="3"/>
  <c r="B926" i="3"/>
  <c r="A926" i="3"/>
  <c r="J925" i="3"/>
  <c r="I925" i="3"/>
  <c r="H925" i="3"/>
  <c r="G925" i="3"/>
  <c r="F925" i="3"/>
  <c r="D925" i="3"/>
  <c r="C925" i="3"/>
  <c r="B925" i="3"/>
  <c r="A925" i="3"/>
  <c r="J924" i="3"/>
  <c r="I924" i="3"/>
  <c r="H924" i="3"/>
  <c r="G924" i="3"/>
  <c r="F924" i="3"/>
  <c r="D924" i="3"/>
  <c r="C924" i="3"/>
  <c r="B924" i="3"/>
  <c r="A924" i="3"/>
  <c r="J923" i="3"/>
  <c r="I923" i="3"/>
  <c r="H923" i="3"/>
  <c r="G923" i="3"/>
  <c r="F923" i="3"/>
  <c r="D923" i="3"/>
  <c r="C923" i="3"/>
  <c r="B923" i="3"/>
  <c r="A923" i="3"/>
  <c r="J922" i="3"/>
  <c r="I922" i="3"/>
  <c r="H922" i="3"/>
  <c r="G922" i="3"/>
  <c r="F922" i="3"/>
  <c r="D922" i="3"/>
  <c r="C922" i="3"/>
  <c r="B922" i="3"/>
  <c r="A922" i="3"/>
  <c r="J921" i="3"/>
  <c r="I921" i="3"/>
  <c r="H921" i="3"/>
  <c r="G921" i="3"/>
  <c r="F921" i="3"/>
  <c r="D921" i="3"/>
  <c r="C921" i="3"/>
  <c r="B921" i="3"/>
  <c r="A921" i="3"/>
  <c r="J920" i="3"/>
  <c r="I920" i="3"/>
  <c r="H920" i="3"/>
  <c r="G920" i="3"/>
  <c r="F920" i="3"/>
  <c r="D920" i="3"/>
  <c r="C920" i="3"/>
  <c r="B920" i="3"/>
  <c r="A920" i="3"/>
  <c r="J919" i="3"/>
  <c r="I919" i="3"/>
  <c r="H919" i="3"/>
  <c r="G919" i="3"/>
  <c r="F919" i="3"/>
  <c r="D919" i="3"/>
  <c r="C919" i="3"/>
  <c r="B919" i="3"/>
  <c r="A919" i="3"/>
  <c r="J918" i="3"/>
  <c r="I918" i="3"/>
  <c r="H918" i="3"/>
  <c r="G918" i="3"/>
  <c r="F918" i="3"/>
  <c r="D918" i="3"/>
  <c r="C918" i="3"/>
  <c r="B918" i="3"/>
  <c r="A918" i="3"/>
  <c r="J917" i="3"/>
  <c r="I917" i="3"/>
  <c r="H917" i="3"/>
  <c r="G917" i="3"/>
  <c r="F917" i="3"/>
  <c r="D917" i="3"/>
  <c r="C917" i="3"/>
  <c r="B917" i="3"/>
  <c r="A917" i="3"/>
  <c r="J916" i="3"/>
  <c r="I916" i="3"/>
  <c r="H916" i="3"/>
  <c r="G916" i="3"/>
  <c r="F916" i="3"/>
  <c r="D916" i="3"/>
  <c r="C916" i="3"/>
  <c r="B916" i="3"/>
  <c r="A916" i="3"/>
  <c r="J915" i="3"/>
  <c r="I915" i="3"/>
  <c r="H915" i="3"/>
  <c r="G915" i="3"/>
  <c r="F915" i="3"/>
  <c r="D915" i="3"/>
  <c r="C915" i="3"/>
  <c r="B915" i="3"/>
  <c r="A915" i="3"/>
  <c r="J914" i="3"/>
  <c r="I914" i="3"/>
  <c r="H914" i="3"/>
  <c r="G914" i="3"/>
  <c r="F914" i="3"/>
  <c r="D914" i="3"/>
  <c r="C914" i="3"/>
  <c r="B914" i="3"/>
  <c r="A914" i="3"/>
  <c r="J913" i="3"/>
  <c r="I913" i="3"/>
  <c r="H913" i="3"/>
  <c r="G913" i="3"/>
  <c r="F913" i="3"/>
  <c r="D913" i="3"/>
  <c r="C913" i="3"/>
  <c r="B913" i="3"/>
  <c r="A913" i="3"/>
  <c r="J912" i="3"/>
  <c r="I912" i="3"/>
  <c r="H912" i="3"/>
  <c r="G912" i="3"/>
  <c r="F912" i="3"/>
  <c r="D912" i="3"/>
  <c r="C912" i="3"/>
  <c r="B912" i="3"/>
  <c r="A912" i="3"/>
  <c r="J911" i="3"/>
  <c r="I911" i="3"/>
  <c r="H911" i="3"/>
  <c r="G911" i="3"/>
  <c r="F911" i="3"/>
  <c r="D911" i="3"/>
  <c r="C911" i="3"/>
  <c r="B911" i="3"/>
  <c r="A911" i="3"/>
  <c r="J910" i="3"/>
  <c r="I910" i="3"/>
  <c r="H910" i="3"/>
  <c r="G910" i="3"/>
  <c r="F910" i="3"/>
  <c r="D910" i="3"/>
  <c r="C910" i="3"/>
  <c r="B910" i="3"/>
  <c r="A910" i="3"/>
  <c r="J909" i="3"/>
  <c r="I909" i="3"/>
  <c r="H909" i="3"/>
  <c r="G909" i="3"/>
  <c r="F909" i="3"/>
  <c r="D909" i="3"/>
  <c r="C909" i="3"/>
  <c r="B909" i="3"/>
  <c r="A909" i="3"/>
  <c r="J908" i="3"/>
  <c r="I908" i="3"/>
  <c r="H908" i="3"/>
  <c r="G908" i="3"/>
  <c r="F908" i="3"/>
  <c r="D908" i="3"/>
  <c r="C908" i="3"/>
  <c r="B908" i="3"/>
  <c r="A908" i="3"/>
  <c r="J907" i="3"/>
  <c r="I907" i="3"/>
  <c r="H907" i="3"/>
  <c r="G907" i="3"/>
  <c r="F907" i="3"/>
  <c r="D907" i="3"/>
  <c r="C907" i="3"/>
  <c r="B907" i="3"/>
  <c r="A907" i="3"/>
  <c r="J906" i="3"/>
  <c r="I906" i="3"/>
  <c r="H906" i="3"/>
  <c r="G906" i="3"/>
  <c r="F906" i="3"/>
  <c r="D906" i="3"/>
  <c r="C906" i="3"/>
  <c r="B906" i="3"/>
  <c r="A906" i="3"/>
  <c r="J905" i="3"/>
  <c r="I905" i="3"/>
  <c r="H905" i="3"/>
  <c r="G905" i="3"/>
  <c r="F905" i="3"/>
  <c r="D905" i="3"/>
  <c r="C905" i="3"/>
  <c r="B905" i="3"/>
  <c r="A905" i="3"/>
  <c r="J904" i="3"/>
  <c r="I904" i="3"/>
  <c r="H904" i="3"/>
  <c r="G904" i="3"/>
  <c r="F904" i="3"/>
  <c r="D904" i="3"/>
  <c r="C904" i="3"/>
  <c r="B904" i="3"/>
  <c r="A904" i="3"/>
  <c r="J903" i="3"/>
  <c r="I903" i="3"/>
  <c r="H903" i="3"/>
  <c r="G903" i="3"/>
  <c r="F903" i="3"/>
  <c r="D903" i="3"/>
  <c r="C903" i="3"/>
  <c r="B903" i="3"/>
  <c r="A903" i="3"/>
  <c r="J902" i="3"/>
  <c r="I902" i="3"/>
  <c r="H902" i="3"/>
  <c r="G902" i="3"/>
  <c r="F902" i="3"/>
  <c r="D902" i="3"/>
  <c r="C902" i="3"/>
  <c r="B902" i="3"/>
  <c r="A902" i="3"/>
  <c r="J901" i="3"/>
  <c r="I901" i="3"/>
  <c r="H901" i="3"/>
  <c r="G901" i="3"/>
  <c r="F901" i="3"/>
  <c r="D901" i="3"/>
  <c r="C901" i="3"/>
  <c r="B901" i="3"/>
  <c r="A901" i="3"/>
  <c r="J900" i="3"/>
  <c r="I900" i="3"/>
  <c r="H900" i="3"/>
  <c r="G900" i="3"/>
  <c r="F900" i="3"/>
  <c r="D900" i="3"/>
  <c r="C900" i="3"/>
  <c r="B900" i="3"/>
  <c r="A900" i="3"/>
  <c r="J899" i="3"/>
  <c r="I899" i="3"/>
  <c r="H899" i="3"/>
  <c r="G899" i="3"/>
  <c r="F899" i="3"/>
  <c r="D899" i="3"/>
  <c r="C899" i="3"/>
  <c r="B899" i="3"/>
  <c r="A899" i="3"/>
  <c r="J898" i="3"/>
  <c r="I898" i="3"/>
  <c r="H898" i="3"/>
  <c r="G898" i="3"/>
  <c r="F898" i="3"/>
  <c r="D898" i="3"/>
  <c r="C898" i="3"/>
  <c r="B898" i="3"/>
  <c r="A898" i="3"/>
  <c r="J897" i="3"/>
  <c r="I897" i="3"/>
  <c r="H897" i="3"/>
  <c r="G897" i="3"/>
  <c r="F897" i="3"/>
  <c r="D897" i="3"/>
  <c r="C897" i="3"/>
  <c r="B897" i="3"/>
  <c r="A897" i="3"/>
  <c r="J896" i="3"/>
  <c r="I896" i="3"/>
  <c r="H896" i="3"/>
  <c r="G896" i="3"/>
  <c r="F896" i="3"/>
  <c r="D896" i="3"/>
  <c r="C896" i="3"/>
  <c r="B896" i="3"/>
  <c r="A896" i="3"/>
  <c r="J895" i="3"/>
  <c r="I895" i="3"/>
  <c r="H895" i="3"/>
  <c r="G895" i="3"/>
  <c r="F895" i="3"/>
  <c r="D895" i="3"/>
  <c r="C895" i="3"/>
  <c r="B895" i="3"/>
  <c r="A895" i="3"/>
  <c r="J894" i="3"/>
  <c r="I894" i="3"/>
  <c r="H894" i="3"/>
  <c r="G894" i="3"/>
  <c r="F894" i="3"/>
  <c r="D894" i="3"/>
  <c r="C894" i="3"/>
  <c r="B894" i="3"/>
  <c r="A894" i="3"/>
  <c r="J893" i="3"/>
  <c r="I893" i="3"/>
  <c r="H893" i="3"/>
  <c r="G893" i="3"/>
  <c r="F893" i="3"/>
  <c r="D893" i="3"/>
  <c r="C893" i="3"/>
  <c r="B893" i="3"/>
  <c r="A893" i="3"/>
  <c r="J892" i="3"/>
  <c r="I892" i="3"/>
  <c r="H892" i="3"/>
  <c r="G892" i="3"/>
  <c r="F892" i="3"/>
  <c r="D892" i="3"/>
  <c r="C892" i="3"/>
  <c r="B892" i="3"/>
  <c r="A892" i="3"/>
  <c r="J891" i="3"/>
  <c r="I891" i="3"/>
  <c r="H891" i="3"/>
  <c r="G891" i="3"/>
  <c r="F891" i="3"/>
  <c r="D891" i="3"/>
  <c r="C891" i="3"/>
  <c r="B891" i="3"/>
  <c r="A891" i="3"/>
  <c r="J890" i="3"/>
  <c r="I890" i="3"/>
  <c r="H890" i="3"/>
  <c r="G890" i="3"/>
  <c r="F890" i="3"/>
  <c r="D890" i="3"/>
  <c r="C890" i="3"/>
  <c r="B890" i="3"/>
  <c r="A890" i="3"/>
  <c r="J889" i="3"/>
  <c r="I889" i="3"/>
  <c r="H889" i="3"/>
  <c r="G889" i="3"/>
  <c r="F889" i="3"/>
  <c r="D889" i="3"/>
  <c r="C889" i="3"/>
  <c r="B889" i="3"/>
  <c r="A889" i="3"/>
  <c r="J888" i="3"/>
  <c r="I888" i="3"/>
  <c r="H888" i="3"/>
  <c r="G888" i="3"/>
  <c r="F888" i="3"/>
  <c r="D888" i="3"/>
  <c r="C888" i="3"/>
  <c r="B888" i="3"/>
  <c r="A888" i="3"/>
  <c r="J887" i="3"/>
  <c r="I887" i="3"/>
  <c r="H887" i="3"/>
  <c r="G887" i="3"/>
  <c r="F887" i="3"/>
  <c r="D887" i="3"/>
  <c r="C887" i="3"/>
  <c r="B887" i="3"/>
  <c r="A887" i="3"/>
  <c r="J886" i="3"/>
  <c r="I886" i="3"/>
  <c r="H886" i="3"/>
  <c r="G886" i="3"/>
  <c r="F886" i="3"/>
  <c r="D886" i="3"/>
  <c r="C886" i="3"/>
  <c r="B886" i="3"/>
  <c r="A886" i="3"/>
  <c r="J885" i="3"/>
  <c r="I885" i="3"/>
  <c r="H885" i="3"/>
  <c r="G885" i="3"/>
  <c r="F885" i="3"/>
  <c r="D885" i="3"/>
  <c r="C885" i="3"/>
  <c r="B885" i="3"/>
  <c r="A885" i="3"/>
  <c r="J884" i="3"/>
  <c r="I884" i="3"/>
  <c r="H884" i="3"/>
  <c r="G884" i="3"/>
  <c r="F884" i="3"/>
  <c r="D884" i="3"/>
  <c r="C884" i="3"/>
  <c r="B884" i="3"/>
  <c r="A884" i="3"/>
  <c r="J883" i="3"/>
  <c r="I883" i="3"/>
  <c r="H883" i="3"/>
  <c r="G883" i="3"/>
  <c r="F883" i="3"/>
  <c r="D883" i="3"/>
  <c r="C883" i="3"/>
  <c r="B883" i="3"/>
  <c r="A883" i="3"/>
  <c r="J882" i="3"/>
  <c r="I882" i="3"/>
  <c r="H882" i="3"/>
  <c r="G882" i="3"/>
  <c r="F882" i="3"/>
  <c r="D882" i="3"/>
  <c r="C882" i="3"/>
  <c r="B882" i="3"/>
  <c r="A882" i="3"/>
  <c r="J881" i="3"/>
  <c r="I881" i="3"/>
  <c r="H881" i="3"/>
  <c r="G881" i="3"/>
  <c r="F881" i="3"/>
  <c r="D881" i="3"/>
  <c r="C881" i="3"/>
  <c r="B881" i="3"/>
  <c r="A881" i="3"/>
  <c r="J880" i="3"/>
  <c r="I880" i="3"/>
  <c r="H880" i="3"/>
  <c r="G880" i="3"/>
  <c r="F880" i="3"/>
  <c r="D880" i="3"/>
  <c r="C880" i="3"/>
  <c r="B880" i="3"/>
  <c r="A880" i="3"/>
  <c r="J879" i="3"/>
  <c r="I879" i="3"/>
  <c r="H879" i="3"/>
  <c r="G879" i="3"/>
  <c r="F879" i="3"/>
  <c r="D879" i="3"/>
  <c r="C879" i="3"/>
  <c r="B879" i="3"/>
  <c r="A879" i="3"/>
  <c r="J878" i="3"/>
  <c r="I878" i="3"/>
  <c r="H878" i="3"/>
  <c r="G878" i="3"/>
  <c r="F878" i="3"/>
  <c r="D878" i="3"/>
  <c r="C878" i="3"/>
  <c r="B878" i="3"/>
  <c r="A878" i="3"/>
  <c r="J877" i="3"/>
  <c r="I877" i="3"/>
  <c r="H877" i="3"/>
  <c r="G877" i="3"/>
  <c r="F877" i="3"/>
  <c r="D877" i="3"/>
  <c r="C877" i="3"/>
  <c r="B877" i="3"/>
  <c r="A877" i="3"/>
  <c r="J876" i="3"/>
  <c r="I876" i="3"/>
  <c r="H876" i="3"/>
  <c r="G876" i="3"/>
  <c r="F876" i="3"/>
  <c r="D876" i="3"/>
  <c r="C876" i="3"/>
  <c r="B876" i="3"/>
  <c r="A876" i="3"/>
  <c r="J875" i="3"/>
  <c r="I875" i="3"/>
  <c r="H875" i="3"/>
  <c r="G875" i="3"/>
  <c r="F875" i="3"/>
  <c r="D875" i="3"/>
  <c r="C875" i="3"/>
  <c r="B875" i="3"/>
  <c r="A875" i="3"/>
  <c r="J874" i="3"/>
  <c r="I874" i="3"/>
  <c r="H874" i="3"/>
  <c r="G874" i="3"/>
  <c r="F874" i="3"/>
  <c r="D874" i="3"/>
  <c r="C874" i="3"/>
  <c r="B874" i="3"/>
  <c r="A874" i="3"/>
  <c r="J873" i="3"/>
  <c r="I873" i="3"/>
  <c r="H873" i="3"/>
  <c r="G873" i="3"/>
  <c r="F873" i="3"/>
  <c r="D873" i="3"/>
  <c r="C873" i="3"/>
  <c r="B873" i="3"/>
  <c r="A873" i="3"/>
  <c r="J872" i="3"/>
  <c r="I872" i="3"/>
  <c r="H872" i="3"/>
  <c r="G872" i="3"/>
  <c r="F872" i="3"/>
  <c r="D872" i="3"/>
  <c r="C872" i="3"/>
  <c r="B872" i="3"/>
  <c r="A872" i="3"/>
  <c r="J871" i="3"/>
  <c r="I871" i="3"/>
  <c r="H871" i="3"/>
  <c r="G871" i="3"/>
  <c r="F871" i="3"/>
  <c r="D871" i="3"/>
  <c r="C871" i="3"/>
  <c r="B871" i="3"/>
  <c r="A871" i="3"/>
  <c r="J870" i="3"/>
  <c r="I870" i="3"/>
  <c r="H870" i="3"/>
  <c r="G870" i="3"/>
  <c r="F870" i="3"/>
  <c r="D870" i="3"/>
  <c r="C870" i="3"/>
  <c r="B870" i="3"/>
  <c r="A870" i="3"/>
  <c r="J869" i="3"/>
  <c r="I869" i="3"/>
  <c r="H869" i="3"/>
  <c r="G869" i="3"/>
  <c r="F869" i="3"/>
  <c r="D869" i="3"/>
  <c r="C869" i="3"/>
  <c r="B869" i="3"/>
  <c r="A869" i="3"/>
  <c r="J868" i="3"/>
  <c r="I868" i="3"/>
  <c r="H868" i="3"/>
  <c r="G868" i="3"/>
  <c r="F868" i="3"/>
  <c r="D868" i="3"/>
  <c r="C868" i="3"/>
  <c r="B868" i="3"/>
  <c r="A868" i="3"/>
  <c r="J867" i="3"/>
  <c r="I867" i="3"/>
  <c r="H867" i="3"/>
  <c r="G867" i="3"/>
  <c r="F867" i="3"/>
  <c r="D867" i="3"/>
  <c r="C867" i="3"/>
  <c r="B867" i="3"/>
  <c r="A867" i="3"/>
  <c r="J866" i="3"/>
  <c r="I866" i="3"/>
  <c r="H866" i="3"/>
  <c r="G866" i="3"/>
  <c r="F866" i="3"/>
  <c r="D866" i="3"/>
  <c r="C866" i="3"/>
  <c r="B866" i="3"/>
  <c r="A866" i="3"/>
  <c r="J865" i="3"/>
  <c r="I865" i="3"/>
  <c r="H865" i="3"/>
  <c r="G865" i="3"/>
  <c r="F865" i="3"/>
  <c r="D865" i="3"/>
  <c r="C865" i="3"/>
  <c r="B865" i="3"/>
  <c r="A865" i="3"/>
  <c r="J864" i="3"/>
  <c r="I864" i="3"/>
  <c r="H864" i="3"/>
  <c r="G864" i="3"/>
  <c r="F864" i="3"/>
  <c r="D864" i="3"/>
  <c r="C864" i="3"/>
  <c r="B864" i="3"/>
  <c r="A864" i="3"/>
  <c r="J863" i="3"/>
  <c r="I863" i="3"/>
  <c r="H863" i="3"/>
  <c r="G863" i="3"/>
  <c r="F863" i="3"/>
  <c r="D863" i="3"/>
  <c r="C863" i="3"/>
  <c r="B863" i="3"/>
  <c r="A863" i="3"/>
  <c r="J862" i="3"/>
  <c r="I862" i="3"/>
  <c r="H862" i="3"/>
  <c r="G862" i="3"/>
  <c r="F862" i="3"/>
  <c r="D862" i="3"/>
  <c r="C862" i="3"/>
  <c r="B862" i="3"/>
  <c r="A862" i="3"/>
  <c r="J861" i="3"/>
  <c r="I861" i="3"/>
  <c r="H861" i="3"/>
  <c r="G861" i="3"/>
  <c r="F861" i="3"/>
  <c r="D861" i="3"/>
  <c r="C861" i="3"/>
  <c r="B861" i="3"/>
  <c r="A861" i="3"/>
  <c r="J860" i="3"/>
  <c r="I860" i="3"/>
  <c r="H860" i="3"/>
  <c r="G860" i="3"/>
  <c r="F860" i="3"/>
  <c r="D860" i="3"/>
  <c r="C860" i="3"/>
  <c r="B860" i="3"/>
  <c r="A860" i="3"/>
  <c r="J859" i="3"/>
  <c r="I859" i="3"/>
  <c r="H859" i="3"/>
  <c r="G859" i="3"/>
  <c r="F859" i="3"/>
  <c r="D859" i="3"/>
  <c r="C859" i="3"/>
  <c r="B859" i="3"/>
  <c r="A859" i="3"/>
  <c r="J858" i="3"/>
  <c r="I858" i="3"/>
  <c r="H858" i="3"/>
  <c r="G858" i="3"/>
  <c r="F858" i="3"/>
  <c r="D858" i="3"/>
  <c r="C858" i="3"/>
  <c r="B858" i="3"/>
  <c r="A858" i="3"/>
  <c r="J857" i="3"/>
  <c r="I857" i="3"/>
  <c r="H857" i="3"/>
  <c r="G857" i="3"/>
  <c r="F857" i="3"/>
  <c r="D857" i="3"/>
  <c r="C857" i="3"/>
  <c r="B857" i="3"/>
  <c r="A857" i="3"/>
  <c r="J856" i="3"/>
  <c r="I856" i="3"/>
  <c r="H856" i="3"/>
  <c r="G856" i="3"/>
  <c r="F856" i="3"/>
  <c r="D856" i="3"/>
  <c r="C856" i="3"/>
  <c r="B856" i="3"/>
  <c r="A856" i="3"/>
  <c r="J855" i="3"/>
  <c r="I855" i="3"/>
  <c r="H855" i="3"/>
  <c r="G855" i="3"/>
  <c r="F855" i="3"/>
  <c r="D855" i="3"/>
  <c r="C855" i="3"/>
  <c r="B855" i="3"/>
  <c r="A855" i="3"/>
  <c r="J854" i="3"/>
  <c r="I854" i="3"/>
  <c r="H854" i="3"/>
  <c r="G854" i="3"/>
  <c r="F854" i="3"/>
  <c r="D854" i="3"/>
  <c r="C854" i="3"/>
  <c r="B854" i="3"/>
  <c r="A854" i="3"/>
  <c r="J853" i="3"/>
  <c r="I853" i="3"/>
  <c r="H853" i="3"/>
  <c r="G853" i="3"/>
  <c r="F853" i="3"/>
  <c r="D853" i="3"/>
  <c r="C853" i="3"/>
  <c r="B853" i="3"/>
  <c r="A853" i="3"/>
  <c r="J852" i="3"/>
  <c r="I852" i="3"/>
  <c r="H852" i="3"/>
  <c r="G852" i="3"/>
  <c r="F852" i="3"/>
  <c r="D852" i="3"/>
  <c r="C852" i="3"/>
  <c r="B852" i="3"/>
  <c r="A852" i="3"/>
  <c r="J851" i="3"/>
  <c r="I851" i="3"/>
  <c r="H851" i="3"/>
  <c r="G851" i="3"/>
  <c r="F851" i="3"/>
  <c r="D851" i="3"/>
  <c r="C851" i="3"/>
  <c r="B851" i="3"/>
  <c r="A851" i="3"/>
  <c r="J850" i="3"/>
  <c r="I850" i="3"/>
  <c r="H850" i="3"/>
  <c r="G850" i="3"/>
  <c r="F850" i="3"/>
  <c r="D850" i="3"/>
  <c r="C850" i="3"/>
  <c r="B850" i="3"/>
  <c r="A850" i="3"/>
  <c r="J849" i="3"/>
  <c r="I849" i="3"/>
  <c r="H849" i="3"/>
  <c r="G849" i="3"/>
  <c r="F849" i="3"/>
  <c r="D849" i="3"/>
  <c r="C849" i="3"/>
  <c r="B849" i="3"/>
  <c r="A849" i="3"/>
  <c r="J848" i="3"/>
  <c r="I848" i="3"/>
  <c r="H848" i="3"/>
  <c r="G848" i="3"/>
  <c r="F848" i="3"/>
  <c r="D848" i="3"/>
  <c r="C848" i="3"/>
  <c r="B848" i="3"/>
  <c r="A848" i="3"/>
  <c r="J847" i="3"/>
  <c r="I847" i="3"/>
  <c r="H847" i="3"/>
  <c r="G847" i="3"/>
  <c r="F847" i="3"/>
  <c r="D847" i="3"/>
  <c r="C847" i="3"/>
  <c r="B847" i="3"/>
  <c r="A847" i="3"/>
  <c r="J846" i="3"/>
  <c r="I846" i="3"/>
  <c r="H846" i="3"/>
  <c r="G846" i="3"/>
  <c r="F846" i="3"/>
  <c r="D846" i="3"/>
  <c r="C846" i="3"/>
  <c r="B846" i="3"/>
  <c r="A846" i="3"/>
  <c r="J845" i="3"/>
  <c r="I845" i="3"/>
  <c r="H845" i="3"/>
  <c r="G845" i="3"/>
  <c r="F845" i="3"/>
  <c r="D845" i="3"/>
  <c r="C845" i="3"/>
  <c r="B845" i="3"/>
  <c r="A845" i="3"/>
  <c r="J844" i="3"/>
  <c r="I844" i="3"/>
  <c r="H844" i="3"/>
  <c r="G844" i="3"/>
  <c r="F844" i="3"/>
  <c r="D844" i="3"/>
  <c r="C844" i="3"/>
  <c r="B844" i="3"/>
  <c r="A844" i="3"/>
  <c r="J843" i="3"/>
  <c r="I843" i="3"/>
  <c r="H843" i="3"/>
  <c r="G843" i="3"/>
  <c r="F843" i="3"/>
  <c r="D843" i="3"/>
  <c r="C843" i="3"/>
  <c r="B843" i="3"/>
  <c r="A843" i="3"/>
  <c r="J842" i="3"/>
  <c r="I842" i="3"/>
  <c r="H842" i="3"/>
  <c r="G842" i="3"/>
  <c r="F842" i="3"/>
  <c r="D842" i="3"/>
  <c r="C842" i="3"/>
  <c r="B842" i="3"/>
  <c r="A842" i="3"/>
  <c r="J841" i="3"/>
  <c r="I841" i="3"/>
  <c r="H841" i="3"/>
  <c r="G841" i="3"/>
  <c r="F841" i="3"/>
  <c r="D841" i="3"/>
  <c r="C841" i="3"/>
  <c r="B841" i="3"/>
  <c r="A841" i="3"/>
  <c r="J840" i="3"/>
  <c r="I840" i="3"/>
  <c r="H840" i="3"/>
  <c r="G840" i="3"/>
  <c r="F840" i="3"/>
  <c r="D840" i="3"/>
  <c r="C840" i="3"/>
  <c r="B840" i="3"/>
  <c r="A840" i="3"/>
  <c r="J839" i="3"/>
  <c r="I839" i="3"/>
  <c r="H839" i="3"/>
  <c r="G839" i="3"/>
  <c r="F839" i="3"/>
  <c r="D839" i="3"/>
  <c r="C839" i="3"/>
  <c r="B839" i="3"/>
  <c r="A839" i="3"/>
  <c r="J838" i="3"/>
  <c r="I838" i="3"/>
  <c r="H838" i="3"/>
  <c r="G838" i="3"/>
  <c r="F838" i="3"/>
  <c r="D838" i="3"/>
  <c r="C838" i="3"/>
  <c r="B838" i="3"/>
  <c r="A838" i="3"/>
  <c r="J837" i="3"/>
  <c r="I837" i="3"/>
  <c r="H837" i="3"/>
  <c r="G837" i="3"/>
  <c r="F837" i="3"/>
  <c r="D837" i="3"/>
  <c r="C837" i="3"/>
  <c r="B837" i="3"/>
  <c r="A837" i="3"/>
  <c r="J836" i="3"/>
  <c r="I836" i="3"/>
  <c r="H836" i="3"/>
  <c r="G836" i="3"/>
  <c r="F836" i="3"/>
  <c r="D836" i="3"/>
  <c r="C836" i="3"/>
  <c r="B836" i="3"/>
  <c r="A836" i="3"/>
  <c r="J835" i="3"/>
  <c r="I835" i="3"/>
  <c r="H835" i="3"/>
  <c r="G835" i="3"/>
  <c r="F835" i="3"/>
  <c r="D835" i="3"/>
  <c r="C835" i="3"/>
  <c r="B835" i="3"/>
  <c r="A835" i="3"/>
  <c r="J834" i="3"/>
  <c r="I834" i="3"/>
  <c r="H834" i="3"/>
  <c r="G834" i="3"/>
  <c r="F834" i="3"/>
  <c r="D834" i="3"/>
  <c r="C834" i="3"/>
  <c r="B834" i="3"/>
  <c r="A834" i="3"/>
  <c r="J833" i="3"/>
  <c r="I833" i="3"/>
  <c r="H833" i="3"/>
  <c r="G833" i="3"/>
  <c r="F833" i="3"/>
  <c r="D833" i="3"/>
  <c r="C833" i="3"/>
  <c r="B833" i="3"/>
  <c r="A833" i="3"/>
  <c r="J832" i="3"/>
  <c r="I832" i="3"/>
  <c r="H832" i="3"/>
  <c r="G832" i="3"/>
  <c r="F832" i="3"/>
  <c r="D832" i="3"/>
  <c r="C832" i="3"/>
  <c r="B832" i="3"/>
  <c r="A832" i="3"/>
  <c r="J831" i="3"/>
  <c r="I831" i="3"/>
  <c r="H831" i="3"/>
  <c r="G831" i="3"/>
  <c r="F831" i="3"/>
  <c r="D831" i="3"/>
  <c r="C831" i="3"/>
  <c r="B831" i="3"/>
  <c r="A831" i="3"/>
  <c r="J830" i="3"/>
  <c r="I830" i="3"/>
  <c r="H830" i="3"/>
  <c r="G830" i="3"/>
  <c r="F830" i="3"/>
  <c r="D830" i="3"/>
  <c r="C830" i="3"/>
  <c r="B830" i="3"/>
  <c r="A830" i="3"/>
  <c r="J829" i="3"/>
  <c r="I829" i="3"/>
  <c r="H829" i="3"/>
  <c r="G829" i="3"/>
  <c r="F829" i="3"/>
  <c r="D829" i="3"/>
  <c r="C829" i="3"/>
  <c r="B829" i="3"/>
  <c r="A829" i="3"/>
  <c r="J828" i="3"/>
  <c r="I828" i="3"/>
  <c r="H828" i="3"/>
  <c r="G828" i="3"/>
  <c r="F828" i="3"/>
  <c r="D828" i="3"/>
  <c r="C828" i="3"/>
  <c r="B828" i="3"/>
  <c r="A828" i="3"/>
  <c r="J827" i="3"/>
  <c r="I827" i="3"/>
  <c r="H827" i="3"/>
  <c r="G827" i="3"/>
  <c r="F827" i="3"/>
  <c r="D827" i="3"/>
  <c r="C827" i="3"/>
  <c r="B827" i="3"/>
  <c r="A827" i="3"/>
  <c r="J826" i="3"/>
  <c r="I826" i="3"/>
  <c r="H826" i="3"/>
  <c r="G826" i="3"/>
  <c r="F826" i="3"/>
  <c r="D826" i="3"/>
  <c r="C826" i="3"/>
  <c r="B826" i="3"/>
  <c r="A826" i="3"/>
  <c r="J825" i="3"/>
  <c r="I825" i="3"/>
  <c r="H825" i="3"/>
  <c r="G825" i="3"/>
  <c r="F825" i="3"/>
  <c r="D825" i="3"/>
  <c r="C825" i="3"/>
  <c r="B825" i="3"/>
  <c r="A825" i="3"/>
  <c r="J824" i="3"/>
  <c r="I824" i="3"/>
  <c r="H824" i="3"/>
  <c r="G824" i="3"/>
  <c r="F824" i="3"/>
  <c r="D824" i="3"/>
  <c r="C824" i="3"/>
  <c r="B824" i="3"/>
  <c r="A824" i="3"/>
  <c r="J823" i="3"/>
  <c r="I823" i="3"/>
  <c r="H823" i="3"/>
  <c r="G823" i="3"/>
  <c r="F823" i="3"/>
  <c r="D823" i="3"/>
  <c r="C823" i="3"/>
  <c r="B823" i="3"/>
  <c r="A823" i="3"/>
  <c r="J822" i="3"/>
  <c r="I822" i="3"/>
  <c r="H822" i="3"/>
  <c r="G822" i="3"/>
  <c r="F822" i="3"/>
  <c r="D822" i="3"/>
  <c r="C822" i="3"/>
  <c r="B822" i="3"/>
  <c r="A822" i="3"/>
  <c r="J821" i="3"/>
  <c r="I821" i="3"/>
  <c r="H821" i="3"/>
  <c r="G821" i="3"/>
  <c r="F821" i="3"/>
  <c r="D821" i="3"/>
  <c r="C821" i="3"/>
  <c r="B821" i="3"/>
  <c r="A821" i="3"/>
  <c r="J820" i="3"/>
  <c r="I820" i="3"/>
  <c r="H820" i="3"/>
  <c r="G820" i="3"/>
  <c r="F820" i="3"/>
  <c r="D820" i="3"/>
  <c r="C820" i="3"/>
  <c r="B820" i="3"/>
  <c r="A820" i="3"/>
  <c r="J819" i="3"/>
  <c r="I819" i="3"/>
  <c r="H819" i="3"/>
  <c r="G819" i="3"/>
  <c r="F819" i="3"/>
  <c r="D819" i="3"/>
  <c r="C819" i="3"/>
  <c r="B819" i="3"/>
  <c r="A819" i="3"/>
  <c r="J818" i="3"/>
  <c r="I818" i="3"/>
  <c r="H818" i="3"/>
  <c r="G818" i="3"/>
  <c r="F818" i="3"/>
  <c r="D818" i="3"/>
  <c r="C818" i="3"/>
  <c r="B818" i="3"/>
  <c r="A818" i="3"/>
  <c r="J817" i="3"/>
  <c r="I817" i="3"/>
  <c r="H817" i="3"/>
  <c r="G817" i="3"/>
  <c r="F817" i="3"/>
  <c r="D817" i="3"/>
  <c r="C817" i="3"/>
  <c r="B817" i="3"/>
  <c r="A817" i="3"/>
  <c r="J816" i="3"/>
  <c r="I816" i="3"/>
  <c r="H816" i="3"/>
  <c r="G816" i="3"/>
  <c r="F816" i="3"/>
  <c r="D816" i="3"/>
  <c r="C816" i="3"/>
  <c r="B816" i="3"/>
  <c r="A816" i="3"/>
  <c r="J815" i="3"/>
  <c r="I815" i="3"/>
  <c r="H815" i="3"/>
  <c r="G815" i="3"/>
  <c r="F815" i="3"/>
  <c r="D815" i="3"/>
  <c r="C815" i="3"/>
  <c r="B815" i="3"/>
  <c r="A815" i="3"/>
  <c r="J814" i="3"/>
  <c r="I814" i="3"/>
  <c r="H814" i="3"/>
  <c r="G814" i="3"/>
  <c r="F814" i="3"/>
  <c r="D814" i="3"/>
  <c r="C814" i="3"/>
  <c r="B814" i="3"/>
  <c r="A814" i="3"/>
  <c r="J813" i="3"/>
  <c r="I813" i="3"/>
  <c r="H813" i="3"/>
  <c r="G813" i="3"/>
  <c r="F813" i="3"/>
  <c r="D813" i="3"/>
  <c r="C813" i="3"/>
  <c r="B813" i="3"/>
  <c r="A813" i="3"/>
  <c r="J812" i="3"/>
  <c r="I812" i="3"/>
  <c r="H812" i="3"/>
  <c r="G812" i="3"/>
  <c r="F812" i="3"/>
  <c r="D812" i="3"/>
  <c r="C812" i="3"/>
  <c r="B812" i="3"/>
  <c r="A812" i="3"/>
  <c r="J811" i="3"/>
  <c r="I811" i="3"/>
  <c r="H811" i="3"/>
  <c r="G811" i="3"/>
  <c r="F811" i="3"/>
  <c r="D811" i="3"/>
  <c r="C811" i="3"/>
  <c r="B811" i="3"/>
  <c r="A811" i="3"/>
  <c r="J810" i="3"/>
  <c r="I810" i="3"/>
  <c r="H810" i="3"/>
  <c r="G810" i="3"/>
  <c r="F810" i="3"/>
  <c r="D810" i="3"/>
  <c r="C810" i="3"/>
  <c r="B810" i="3"/>
  <c r="A810" i="3"/>
  <c r="J809" i="3"/>
  <c r="I809" i="3"/>
  <c r="H809" i="3"/>
  <c r="G809" i="3"/>
  <c r="F809" i="3"/>
  <c r="D809" i="3"/>
  <c r="C809" i="3"/>
  <c r="B809" i="3"/>
  <c r="A809" i="3"/>
  <c r="J808" i="3"/>
  <c r="I808" i="3"/>
  <c r="H808" i="3"/>
  <c r="G808" i="3"/>
  <c r="F808" i="3"/>
  <c r="D808" i="3"/>
  <c r="C808" i="3"/>
  <c r="B808" i="3"/>
  <c r="A808" i="3"/>
  <c r="J807" i="3"/>
  <c r="I807" i="3"/>
  <c r="H807" i="3"/>
  <c r="G807" i="3"/>
  <c r="F807" i="3"/>
  <c r="D807" i="3"/>
  <c r="C807" i="3"/>
  <c r="B807" i="3"/>
  <c r="A807" i="3"/>
  <c r="J806" i="3"/>
  <c r="I806" i="3"/>
  <c r="H806" i="3"/>
  <c r="G806" i="3"/>
  <c r="F806" i="3"/>
  <c r="D806" i="3"/>
  <c r="C806" i="3"/>
  <c r="B806" i="3"/>
  <c r="A806" i="3"/>
  <c r="J805" i="3"/>
  <c r="I805" i="3"/>
  <c r="H805" i="3"/>
  <c r="G805" i="3"/>
  <c r="F805" i="3"/>
  <c r="D805" i="3"/>
  <c r="C805" i="3"/>
  <c r="B805" i="3"/>
  <c r="A805" i="3"/>
  <c r="J804" i="3"/>
  <c r="I804" i="3"/>
  <c r="H804" i="3"/>
  <c r="G804" i="3"/>
  <c r="F804" i="3"/>
  <c r="D804" i="3"/>
  <c r="C804" i="3"/>
  <c r="B804" i="3"/>
  <c r="A804" i="3"/>
  <c r="J803" i="3"/>
  <c r="I803" i="3"/>
  <c r="H803" i="3"/>
  <c r="G803" i="3"/>
  <c r="F803" i="3"/>
  <c r="D803" i="3"/>
  <c r="C803" i="3"/>
  <c r="B803" i="3"/>
  <c r="A803" i="3"/>
  <c r="J802" i="3"/>
  <c r="I802" i="3"/>
  <c r="H802" i="3"/>
  <c r="G802" i="3"/>
  <c r="F802" i="3"/>
  <c r="D802" i="3"/>
  <c r="C802" i="3"/>
  <c r="B802" i="3"/>
  <c r="A802" i="3"/>
  <c r="J801" i="3"/>
  <c r="I801" i="3"/>
  <c r="H801" i="3"/>
  <c r="G801" i="3"/>
  <c r="F801" i="3"/>
  <c r="D801" i="3"/>
  <c r="C801" i="3"/>
  <c r="B801" i="3"/>
  <c r="A801" i="3"/>
  <c r="J800" i="3"/>
  <c r="I800" i="3"/>
  <c r="H800" i="3"/>
  <c r="G800" i="3"/>
  <c r="F800" i="3"/>
  <c r="D800" i="3"/>
  <c r="C800" i="3"/>
  <c r="B800" i="3"/>
  <c r="A800" i="3"/>
  <c r="J799" i="3"/>
  <c r="I799" i="3"/>
  <c r="H799" i="3"/>
  <c r="G799" i="3"/>
  <c r="F799" i="3"/>
  <c r="D799" i="3"/>
  <c r="C799" i="3"/>
  <c r="B799" i="3"/>
  <c r="A799" i="3"/>
  <c r="J798" i="3"/>
  <c r="I798" i="3"/>
  <c r="H798" i="3"/>
  <c r="G798" i="3"/>
  <c r="F798" i="3"/>
  <c r="D798" i="3"/>
  <c r="C798" i="3"/>
  <c r="B798" i="3"/>
  <c r="A798" i="3"/>
  <c r="J797" i="3"/>
  <c r="I797" i="3"/>
  <c r="H797" i="3"/>
  <c r="G797" i="3"/>
  <c r="F797" i="3"/>
  <c r="D797" i="3"/>
  <c r="C797" i="3"/>
  <c r="B797" i="3"/>
  <c r="A797" i="3"/>
  <c r="J796" i="3"/>
  <c r="I796" i="3"/>
  <c r="H796" i="3"/>
  <c r="G796" i="3"/>
  <c r="F796" i="3"/>
  <c r="D796" i="3"/>
  <c r="C796" i="3"/>
  <c r="B796" i="3"/>
  <c r="A796" i="3"/>
  <c r="J795" i="3"/>
  <c r="I795" i="3"/>
  <c r="H795" i="3"/>
  <c r="G795" i="3"/>
  <c r="F795" i="3"/>
  <c r="D795" i="3"/>
  <c r="C795" i="3"/>
  <c r="B795" i="3"/>
  <c r="A795" i="3"/>
  <c r="J794" i="3"/>
  <c r="I794" i="3"/>
  <c r="H794" i="3"/>
  <c r="G794" i="3"/>
  <c r="F794" i="3"/>
  <c r="D794" i="3"/>
  <c r="C794" i="3"/>
  <c r="B794" i="3"/>
  <c r="A794" i="3"/>
  <c r="J793" i="3"/>
  <c r="I793" i="3"/>
  <c r="H793" i="3"/>
  <c r="G793" i="3"/>
  <c r="F793" i="3"/>
  <c r="D793" i="3"/>
  <c r="C793" i="3"/>
  <c r="B793" i="3"/>
  <c r="A793" i="3"/>
  <c r="J792" i="3"/>
  <c r="I792" i="3"/>
  <c r="H792" i="3"/>
  <c r="G792" i="3"/>
  <c r="F792" i="3"/>
  <c r="D792" i="3"/>
  <c r="C792" i="3"/>
  <c r="B792" i="3"/>
  <c r="A792" i="3"/>
  <c r="J791" i="3"/>
  <c r="I791" i="3"/>
  <c r="H791" i="3"/>
  <c r="G791" i="3"/>
  <c r="F791" i="3"/>
  <c r="D791" i="3"/>
  <c r="C791" i="3"/>
  <c r="B791" i="3"/>
  <c r="A791" i="3"/>
  <c r="J790" i="3"/>
  <c r="I790" i="3"/>
  <c r="H790" i="3"/>
  <c r="G790" i="3"/>
  <c r="F790" i="3"/>
  <c r="D790" i="3"/>
  <c r="C790" i="3"/>
  <c r="B790" i="3"/>
  <c r="A790" i="3"/>
  <c r="J789" i="3"/>
  <c r="I789" i="3"/>
  <c r="H789" i="3"/>
  <c r="G789" i="3"/>
  <c r="F789" i="3"/>
  <c r="D789" i="3"/>
  <c r="C789" i="3"/>
  <c r="B789" i="3"/>
  <c r="A789" i="3"/>
  <c r="J788" i="3"/>
  <c r="I788" i="3"/>
  <c r="H788" i="3"/>
  <c r="G788" i="3"/>
  <c r="F788" i="3"/>
  <c r="D788" i="3"/>
  <c r="C788" i="3"/>
  <c r="B788" i="3"/>
  <c r="A788" i="3"/>
  <c r="J787" i="3"/>
  <c r="I787" i="3"/>
  <c r="H787" i="3"/>
  <c r="G787" i="3"/>
  <c r="F787" i="3"/>
  <c r="D787" i="3"/>
  <c r="C787" i="3"/>
  <c r="B787" i="3"/>
  <c r="A787" i="3"/>
  <c r="J786" i="3"/>
  <c r="I786" i="3"/>
  <c r="H786" i="3"/>
  <c r="G786" i="3"/>
  <c r="F786" i="3"/>
  <c r="D786" i="3"/>
  <c r="C786" i="3"/>
  <c r="B786" i="3"/>
  <c r="A786" i="3"/>
  <c r="J785" i="3"/>
  <c r="I785" i="3"/>
  <c r="H785" i="3"/>
  <c r="G785" i="3"/>
  <c r="F785" i="3"/>
  <c r="D785" i="3"/>
  <c r="C785" i="3"/>
  <c r="B785" i="3"/>
  <c r="A785" i="3"/>
  <c r="J784" i="3"/>
  <c r="I784" i="3"/>
  <c r="H784" i="3"/>
  <c r="G784" i="3"/>
  <c r="F784" i="3"/>
  <c r="D784" i="3"/>
  <c r="C784" i="3"/>
  <c r="B784" i="3"/>
  <c r="A784" i="3"/>
  <c r="J783" i="3"/>
  <c r="I783" i="3"/>
  <c r="H783" i="3"/>
  <c r="G783" i="3"/>
  <c r="F783" i="3"/>
  <c r="D783" i="3"/>
  <c r="C783" i="3"/>
  <c r="B783" i="3"/>
  <c r="A783" i="3"/>
  <c r="J782" i="3"/>
  <c r="I782" i="3"/>
  <c r="H782" i="3"/>
  <c r="G782" i="3"/>
  <c r="F782" i="3"/>
  <c r="D782" i="3"/>
  <c r="C782" i="3"/>
  <c r="B782" i="3"/>
  <c r="A782" i="3"/>
  <c r="J781" i="3"/>
  <c r="I781" i="3"/>
  <c r="H781" i="3"/>
  <c r="G781" i="3"/>
  <c r="F781" i="3"/>
  <c r="D781" i="3"/>
  <c r="C781" i="3"/>
  <c r="B781" i="3"/>
  <c r="A781" i="3"/>
  <c r="J780" i="3"/>
  <c r="I780" i="3"/>
  <c r="H780" i="3"/>
  <c r="G780" i="3"/>
  <c r="F780" i="3"/>
  <c r="D780" i="3"/>
  <c r="C780" i="3"/>
  <c r="B780" i="3"/>
  <c r="A780" i="3"/>
  <c r="J779" i="3"/>
  <c r="I779" i="3"/>
  <c r="H779" i="3"/>
  <c r="G779" i="3"/>
  <c r="F779" i="3"/>
  <c r="D779" i="3"/>
  <c r="C779" i="3"/>
  <c r="B779" i="3"/>
  <c r="A779" i="3"/>
  <c r="J778" i="3"/>
  <c r="I778" i="3"/>
  <c r="H778" i="3"/>
  <c r="G778" i="3"/>
  <c r="F778" i="3"/>
  <c r="D778" i="3"/>
  <c r="C778" i="3"/>
  <c r="B778" i="3"/>
  <c r="A778" i="3"/>
  <c r="J777" i="3"/>
  <c r="I777" i="3"/>
  <c r="H777" i="3"/>
  <c r="G777" i="3"/>
  <c r="F777" i="3"/>
  <c r="D777" i="3"/>
  <c r="C777" i="3"/>
  <c r="B777" i="3"/>
  <c r="A777" i="3"/>
  <c r="J776" i="3"/>
  <c r="I776" i="3"/>
  <c r="H776" i="3"/>
  <c r="G776" i="3"/>
  <c r="F776" i="3"/>
  <c r="D776" i="3"/>
  <c r="C776" i="3"/>
  <c r="B776" i="3"/>
  <c r="A776" i="3"/>
  <c r="J775" i="3"/>
  <c r="I775" i="3"/>
  <c r="H775" i="3"/>
  <c r="G775" i="3"/>
  <c r="F775" i="3"/>
  <c r="D775" i="3"/>
  <c r="C775" i="3"/>
  <c r="B775" i="3"/>
  <c r="A775" i="3"/>
  <c r="J774" i="3"/>
  <c r="I774" i="3"/>
  <c r="H774" i="3"/>
  <c r="G774" i="3"/>
  <c r="F774" i="3"/>
  <c r="D774" i="3"/>
  <c r="C774" i="3"/>
  <c r="B774" i="3"/>
  <c r="A774" i="3"/>
  <c r="J773" i="3"/>
  <c r="I773" i="3"/>
  <c r="H773" i="3"/>
  <c r="G773" i="3"/>
  <c r="F773" i="3"/>
  <c r="D773" i="3"/>
  <c r="C773" i="3"/>
  <c r="B773" i="3"/>
  <c r="A773" i="3"/>
  <c r="J772" i="3"/>
  <c r="I772" i="3"/>
  <c r="H772" i="3"/>
  <c r="G772" i="3"/>
  <c r="F772" i="3"/>
  <c r="D772" i="3"/>
  <c r="C772" i="3"/>
  <c r="B772" i="3"/>
  <c r="A772" i="3"/>
  <c r="J771" i="3"/>
  <c r="I771" i="3"/>
  <c r="H771" i="3"/>
  <c r="G771" i="3"/>
  <c r="F771" i="3"/>
  <c r="D771" i="3"/>
  <c r="C771" i="3"/>
  <c r="B771" i="3"/>
  <c r="A771" i="3"/>
  <c r="J770" i="3"/>
  <c r="I770" i="3"/>
  <c r="H770" i="3"/>
  <c r="G770" i="3"/>
  <c r="F770" i="3"/>
  <c r="D770" i="3"/>
  <c r="C770" i="3"/>
  <c r="B770" i="3"/>
  <c r="A770" i="3"/>
  <c r="J769" i="3"/>
  <c r="I769" i="3"/>
  <c r="H769" i="3"/>
  <c r="G769" i="3"/>
  <c r="F769" i="3"/>
  <c r="D769" i="3"/>
  <c r="C769" i="3"/>
  <c r="B769" i="3"/>
  <c r="A769" i="3"/>
  <c r="J768" i="3"/>
  <c r="I768" i="3"/>
  <c r="H768" i="3"/>
  <c r="G768" i="3"/>
  <c r="F768" i="3"/>
  <c r="D768" i="3"/>
  <c r="C768" i="3"/>
  <c r="B768" i="3"/>
  <c r="A768" i="3"/>
  <c r="J767" i="3"/>
  <c r="I767" i="3"/>
  <c r="H767" i="3"/>
  <c r="G767" i="3"/>
  <c r="F767" i="3"/>
  <c r="D767" i="3"/>
  <c r="C767" i="3"/>
  <c r="B767" i="3"/>
  <c r="A767" i="3"/>
  <c r="J766" i="3"/>
  <c r="I766" i="3"/>
  <c r="H766" i="3"/>
  <c r="G766" i="3"/>
  <c r="F766" i="3"/>
  <c r="D766" i="3"/>
  <c r="C766" i="3"/>
  <c r="B766" i="3"/>
  <c r="A766" i="3"/>
  <c r="J765" i="3"/>
  <c r="I765" i="3"/>
  <c r="H765" i="3"/>
  <c r="G765" i="3"/>
  <c r="F765" i="3"/>
  <c r="D765" i="3"/>
  <c r="C765" i="3"/>
  <c r="B765" i="3"/>
  <c r="A765" i="3"/>
  <c r="J764" i="3"/>
  <c r="I764" i="3"/>
  <c r="H764" i="3"/>
  <c r="G764" i="3"/>
  <c r="F764" i="3"/>
  <c r="D764" i="3"/>
  <c r="C764" i="3"/>
  <c r="B764" i="3"/>
  <c r="A764" i="3"/>
  <c r="J763" i="3"/>
  <c r="I763" i="3"/>
  <c r="H763" i="3"/>
  <c r="G763" i="3"/>
  <c r="F763" i="3"/>
  <c r="D763" i="3"/>
  <c r="C763" i="3"/>
  <c r="B763" i="3"/>
  <c r="A763" i="3"/>
  <c r="J762" i="3"/>
  <c r="I762" i="3"/>
  <c r="H762" i="3"/>
  <c r="G762" i="3"/>
  <c r="F762" i="3"/>
  <c r="D762" i="3"/>
  <c r="C762" i="3"/>
  <c r="B762" i="3"/>
  <c r="A762" i="3"/>
  <c r="J761" i="3"/>
  <c r="I761" i="3"/>
  <c r="H761" i="3"/>
  <c r="G761" i="3"/>
  <c r="F761" i="3"/>
  <c r="D761" i="3"/>
  <c r="C761" i="3"/>
  <c r="B761" i="3"/>
  <c r="A761" i="3"/>
  <c r="J760" i="3"/>
  <c r="I760" i="3"/>
  <c r="H760" i="3"/>
  <c r="G760" i="3"/>
  <c r="F760" i="3"/>
  <c r="D760" i="3"/>
  <c r="C760" i="3"/>
  <c r="B760" i="3"/>
  <c r="A760" i="3"/>
  <c r="J759" i="3"/>
  <c r="I759" i="3"/>
  <c r="H759" i="3"/>
  <c r="G759" i="3"/>
  <c r="F759" i="3"/>
  <c r="D759" i="3"/>
  <c r="C759" i="3"/>
  <c r="B759" i="3"/>
  <c r="A759" i="3"/>
  <c r="J758" i="3"/>
  <c r="I758" i="3"/>
  <c r="H758" i="3"/>
  <c r="G758" i="3"/>
  <c r="F758" i="3"/>
  <c r="D758" i="3"/>
  <c r="C758" i="3"/>
  <c r="B758" i="3"/>
  <c r="A758" i="3"/>
  <c r="J757" i="3"/>
  <c r="I757" i="3"/>
  <c r="H757" i="3"/>
  <c r="G757" i="3"/>
  <c r="F757" i="3"/>
  <c r="D757" i="3"/>
  <c r="C757" i="3"/>
  <c r="B757" i="3"/>
  <c r="A757" i="3"/>
  <c r="J756" i="3"/>
  <c r="I756" i="3"/>
  <c r="H756" i="3"/>
  <c r="G756" i="3"/>
  <c r="F756" i="3"/>
  <c r="D756" i="3"/>
  <c r="C756" i="3"/>
  <c r="B756" i="3"/>
  <c r="A756" i="3"/>
  <c r="J755" i="3"/>
  <c r="I755" i="3"/>
  <c r="H755" i="3"/>
  <c r="G755" i="3"/>
  <c r="F755" i="3"/>
  <c r="D755" i="3"/>
  <c r="C755" i="3"/>
  <c r="B755" i="3"/>
  <c r="A755" i="3"/>
  <c r="J754" i="3"/>
  <c r="I754" i="3"/>
  <c r="H754" i="3"/>
  <c r="G754" i="3"/>
  <c r="F754" i="3"/>
  <c r="D754" i="3"/>
  <c r="C754" i="3"/>
  <c r="B754" i="3"/>
  <c r="A754" i="3"/>
  <c r="J753" i="3"/>
  <c r="I753" i="3"/>
  <c r="H753" i="3"/>
  <c r="G753" i="3"/>
  <c r="F753" i="3"/>
  <c r="D753" i="3"/>
  <c r="C753" i="3"/>
  <c r="B753" i="3"/>
  <c r="A753" i="3"/>
  <c r="J752" i="3"/>
  <c r="I752" i="3"/>
  <c r="H752" i="3"/>
  <c r="G752" i="3"/>
  <c r="F752" i="3"/>
  <c r="D752" i="3"/>
  <c r="C752" i="3"/>
  <c r="B752" i="3"/>
  <c r="A752" i="3"/>
  <c r="J751" i="3"/>
  <c r="I751" i="3"/>
  <c r="H751" i="3"/>
  <c r="G751" i="3"/>
  <c r="F751" i="3"/>
  <c r="D751" i="3"/>
  <c r="C751" i="3"/>
  <c r="B751" i="3"/>
  <c r="A751" i="3"/>
  <c r="J750" i="3"/>
  <c r="I750" i="3"/>
  <c r="H750" i="3"/>
  <c r="G750" i="3"/>
  <c r="F750" i="3"/>
  <c r="D750" i="3"/>
  <c r="C750" i="3"/>
  <c r="B750" i="3"/>
  <c r="A750" i="3"/>
  <c r="J749" i="3"/>
  <c r="I749" i="3"/>
  <c r="H749" i="3"/>
  <c r="G749" i="3"/>
  <c r="F749" i="3"/>
  <c r="D749" i="3"/>
  <c r="C749" i="3"/>
  <c r="B749" i="3"/>
  <c r="A749" i="3"/>
  <c r="J748" i="3"/>
  <c r="I748" i="3"/>
  <c r="H748" i="3"/>
  <c r="G748" i="3"/>
  <c r="F748" i="3"/>
  <c r="D748" i="3"/>
  <c r="C748" i="3"/>
  <c r="B748" i="3"/>
  <c r="A748" i="3"/>
  <c r="J747" i="3"/>
  <c r="I747" i="3"/>
  <c r="H747" i="3"/>
  <c r="G747" i="3"/>
  <c r="F747" i="3"/>
  <c r="D747" i="3"/>
  <c r="C747" i="3"/>
  <c r="B747" i="3"/>
  <c r="A747" i="3"/>
  <c r="J746" i="3"/>
  <c r="I746" i="3"/>
  <c r="H746" i="3"/>
  <c r="G746" i="3"/>
  <c r="F746" i="3"/>
  <c r="D746" i="3"/>
  <c r="C746" i="3"/>
  <c r="B746" i="3"/>
  <c r="A746" i="3"/>
  <c r="J745" i="3"/>
  <c r="I745" i="3"/>
  <c r="H745" i="3"/>
  <c r="G745" i="3"/>
  <c r="F745" i="3"/>
  <c r="D745" i="3"/>
  <c r="C745" i="3"/>
  <c r="B745" i="3"/>
  <c r="A745" i="3"/>
  <c r="J744" i="3"/>
  <c r="I744" i="3"/>
  <c r="H744" i="3"/>
  <c r="G744" i="3"/>
  <c r="F744" i="3"/>
  <c r="D744" i="3"/>
  <c r="C744" i="3"/>
  <c r="B744" i="3"/>
  <c r="A744" i="3"/>
  <c r="J743" i="3"/>
  <c r="I743" i="3"/>
  <c r="H743" i="3"/>
  <c r="G743" i="3"/>
  <c r="F743" i="3"/>
  <c r="D743" i="3"/>
  <c r="C743" i="3"/>
  <c r="B743" i="3"/>
  <c r="A743" i="3"/>
  <c r="J742" i="3"/>
  <c r="I742" i="3"/>
  <c r="H742" i="3"/>
  <c r="G742" i="3"/>
  <c r="F742" i="3"/>
  <c r="D742" i="3"/>
  <c r="C742" i="3"/>
  <c r="B742" i="3"/>
  <c r="A742" i="3"/>
  <c r="J741" i="3"/>
  <c r="I741" i="3"/>
  <c r="H741" i="3"/>
  <c r="G741" i="3"/>
  <c r="F741" i="3"/>
  <c r="D741" i="3"/>
  <c r="C741" i="3"/>
  <c r="B741" i="3"/>
  <c r="A741" i="3"/>
  <c r="J740" i="3"/>
  <c r="I740" i="3"/>
  <c r="H740" i="3"/>
  <c r="G740" i="3"/>
  <c r="F740" i="3"/>
  <c r="D740" i="3"/>
  <c r="C740" i="3"/>
  <c r="B740" i="3"/>
  <c r="A740" i="3"/>
  <c r="J739" i="3"/>
  <c r="I739" i="3"/>
  <c r="H739" i="3"/>
  <c r="G739" i="3"/>
  <c r="F739" i="3"/>
  <c r="D739" i="3"/>
  <c r="C739" i="3"/>
  <c r="B739" i="3"/>
  <c r="A739" i="3"/>
  <c r="J738" i="3"/>
  <c r="I738" i="3"/>
  <c r="H738" i="3"/>
  <c r="G738" i="3"/>
  <c r="F738" i="3"/>
  <c r="D738" i="3"/>
  <c r="C738" i="3"/>
  <c r="B738" i="3"/>
  <c r="A738" i="3"/>
  <c r="J737" i="3"/>
  <c r="I737" i="3"/>
  <c r="H737" i="3"/>
  <c r="G737" i="3"/>
  <c r="F737" i="3"/>
  <c r="D737" i="3"/>
  <c r="C737" i="3"/>
  <c r="B737" i="3"/>
  <c r="A737" i="3"/>
  <c r="J736" i="3"/>
  <c r="I736" i="3"/>
  <c r="H736" i="3"/>
  <c r="G736" i="3"/>
  <c r="F736" i="3"/>
  <c r="D736" i="3"/>
  <c r="C736" i="3"/>
  <c r="B736" i="3"/>
  <c r="A736" i="3"/>
  <c r="J735" i="3"/>
  <c r="I735" i="3"/>
  <c r="H735" i="3"/>
  <c r="G735" i="3"/>
  <c r="F735" i="3"/>
  <c r="D735" i="3"/>
  <c r="C735" i="3"/>
  <c r="B735" i="3"/>
  <c r="A735" i="3"/>
  <c r="J734" i="3"/>
  <c r="I734" i="3"/>
  <c r="H734" i="3"/>
  <c r="G734" i="3"/>
  <c r="F734" i="3"/>
  <c r="D734" i="3"/>
  <c r="C734" i="3"/>
  <c r="B734" i="3"/>
  <c r="A734" i="3"/>
  <c r="J733" i="3"/>
  <c r="I733" i="3"/>
  <c r="H733" i="3"/>
  <c r="G733" i="3"/>
  <c r="F733" i="3"/>
  <c r="D733" i="3"/>
  <c r="C733" i="3"/>
  <c r="B733" i="3"/>
  <c r="A733" i="3"/>
  <c r="J732" i="3"/>
  <c r="I732" i="3"/>
  <c r="H732" i="3"/>
  <c r="G732" i="3"/>
  <c r="F732" i="3"/>
  <c r="D732" i="3"/>
  <c r="C732" i="3"/>
  <c r="B732" i="3"/>
  <c r="A732" i="3"/>
  <c r="J731" i="3"/>
  <c r="I731" i="3"/>
  <c r="H731" i="3"/>
  <c r="G731" i="3"/>
  <c r="F731" i="3"/>
  <c r="D731" i="3"/>
  <c r="C731" i="3"/>
  <c r="B731" i="3"/>
  <c r="A731" i="3"/>
  <c r="J730" i="3"/>
  <c r="I730" i="3"/>
  <c r="H730" i="3"/>
  <c r="G730" i="3"/>
  <c r="F730" i="3"/>
  <c r="D730" i="3"/>
  <c r="C730" i="3"/>
  <c r="B730" i="3"/>
  <c r="A730" i="3"/>
  <c r="J729" i="3"/>
  <c r="I729" i="3"/>
  <c r="H729" i="3"/>
  <c r="G729" i="3"/>
  <c r="F729" i="3"/>
  <c r="D729" i="3"/>
  <c r="C729" i="3"/>
  <c r="B729" i="3"/>
  <c r="A729" i="3"/>
  <c r="J728" i="3"/>
  <c r="I728" i="3"/>
  <c r="H728" i="3"/>
  <c r="G728" i="3"/>
  <c r="F728" i="3"/>
  <c r="D728" i="3"/>
  <c r="C728" i="3"/>
  <c r="B728" i="3"/>
  <c r="A728" i="3"/>
  <c r="J727" i="3"/>
  <c r="I727" i="3"/>
  <c r="H727" i="3"/>
  <c r="G727" i="3"/>
  <c r="F727" i="3"/>
  <c r="D727" i="3"/>
  <c r="C727" i="3"/>
  <c r="B727" i="3"/>
  <c r="A727" i="3"/>
  <c r="J726" i="3"/>
  <c r="I726" i="3"/>
  <c r="H726" i="3"/>
  <c r="G726" i="3"/>
  <c r="F726" i="3"/>
  <c r="D726" i="3"/>
  <c r="C726" i="3"/>
  <c r="B726" i="3"/>
  <c r="A726" i="3"/>
  <c r="J725" i="3"/>
  <c r="I725" i="3"/>
  <c r="H725" i="3"/>
  <c r="G725" i="3"/>
  <c r="F725" i="3"/>
  <c r="D725" i="3"/>
  <c r="C725" i="3"/>
  <c r="B725" i="3"/>
  <c r="A725" i="3"/>
  <c r="J724" i="3"/>
  <c r="I724" i="3"/>
  <c r="H724" i="3"/>
  <c r="G724" i="3"/>
  <c r="F724" i="3"/>
  <c r="D724" i="3"/>
  <c r="C724" i="3"/>
  <c r="B724" i="3"/>
  <c r="A724" i="3"/>
  <c r="J723" i="3"/>
  <c r="I723" i="3"/>
  <c r="H723" i="3"/>
  <c r="G723" i="3"/>
  <c r="F723" i="3"/>
  <c r="D723" i="3"/>
  <c r="C723" i="3"/>
  <c r="B723" i="3"/>
  <c r="A723" i="3"/>
  <c r="J722" i="3"/>
  <c r="I722" i="3"/>
  <c r="H722" i="3"/>
  <c r="G722" i="3"/>
  <c r="F722" i="3"/>
  <c r="D722" i="3"/>
  <c r="C722" i="3"/>
  <c r="B722" i="3"/>
  <c r="A722" i="3"/>
  <c r="J721" i="3"/>
  <c r="I721" i="3"/>
  <c r="H721" i="3"/>
  <c r="G721" i="3"/>
  <c r="F721" i="3"/>
  <c r="D721" i="3"/>
  <c r="C721" i="3"/>
  <c r="B721" i="3"/>
  <c r="A721" i="3"/>
  <c r="J720" i="3"/>
  <c r="I720" i="3"/>
  <c r="H720" i="3"/>
  <c r="G720" i="3"/>
  <c r="F720" i="3"/>
  <c r="D720" i="3"/>
  <c r="C720" i="3"/>
  <c r="B720" i="3"/>
  <c r="A720" i="3"/>
  <c r="J719" i="3"/>
  <c r="I719" i="3"/>
  <c r="H719" i="3"/>
  <c r="G719" i="3"/>
  <c r="F719" i="3"/>
  <c r="D719" i="3"/>
  <c r="C719" i="3"/>
  <c r="B719" i="3"/>
  <c r="A719" i="3"/>
  <c r="J718" i="3"/>
  <c r="I718" i="3"/>
  <c r="H718" i="3"/>
  <c r="G718" i="3"/>
  <c r="F718" i="3"/>
  <c r="D718" i="3"/>
  <c r="C718" i="3"/>
  <c r="B718" i="3"/>
  <c r="A718" i="3"/>
  <c r="J717" i="3"/>
  <c r="I717" i="3"/>
  <c r="H717" i="3"/>
  <c r="G717" i="3"/>
  <c r="F717" i="3"/>
  <c r="D717" i="3"/>
  <c r="C717" i="3"/>
  <c r="B717" i="3"/>
  <c r="A717" i="3"/>
  <c r="J716" i="3"/>
  <c r="I716" i="3"/>
  <c r="H716" i="3"/>
  <c r="G716" i="3"/>
  <c r="F716" i="3"/>
  <c r="D716" i="3"/>
  <c r="C716" i="3"/>
  <c r="B716" i="3"/>
  <c r="A716" i="3"/>
  <c r="J715" i="3"/>
  <c r="I715" i="3"/>
  <c r="H715" i="3"/>
  <c r="G715" i="3"/>
  <c r="F715" i="3"/>
  <c r="D715" i="3"/>
  <c r="C715" i="3"/>
  <c r="B715" i="3"/>
  <c r="A715" i="3"/>
  <c r="J714" i="3"/>
  <c r="I714" i="3"/>
  <c r="H714" i="3"/>
  <c r="G714" i="3"/>
  <c r="F714" i="3"/>
  <c r="D714" i="3"/>
  <c r="C714" i="3"/>
  <c r="B714" i="3"/>
  <c r="A714" i="3"/>
  <c r="J713" i="3"/>
  <c r="I713" i="3"/>
  <c r="H713" i="3"/>
  <c r="G713" i="3"/>
  <c r="F713" i="3"/>
  <c r="D713" i="3"/>
  <c r="C713" i="3"/>
  <c r="B713" i="3"/>
  <c r="A713" i="3"/>
  <c r="J712" i="3"/>
  <c r="I712" i="3"/>
  <c r="H712" i="3"/>
  <c r="G712" i="3"/>
  <c r="F712" i="3"/>
  <c r="D712" i="3"/>
  <c r="C712" i="3"/>
  <c r="B712" i="3"/>
  <c r="A712" i="3"/>
  <c r="J711" i="3"/>
  <c r="I711" i="3"/>
  <c r="H711" i="3"/>
  <c r="G711" i="3"/>
  <c r="F711" i="3"/>
  <c r="D711" i="3"/>
  <c r="C711" i="3"/>
  <c r="B711" i="3"/>
  <c r="A711" i="3"/>
  <c r="J710" i="3"/>
  <c r="I710" i="3"/>
  <c r="H710" i="3"/>
  <c r="G710" i="3"/>
  <c r="F710" i="3"/>
  <c r="D710" i="3"/>
  <c r="C710" i="3"/>
  <c r="B710" i="3"/>
  <c r="A710" i="3"/>
  <c r="J709" i="3"/>
  <c r="I709" i="3"/>
  <c r="H709" i="3"/>
  <c r="G709" i="3"/>
  <c r="F709" i="3"/>
  <c r="D709" i="3"/>
  <c r="C709" i="3"/>
  <c r="B709" i="3"/>
  <c r="A709" i="3"/>
  <c r="J708" i="3"/>
  <c r="I708" i="3"/>
  <c r="H708" i="3"/>
  <c r="G708" i="3"/>
  <c r="F708" i="3"/>
  <c r="D708" i="3"/>
  <c r="C708" i="3"/>
  <c r="B708" i="3"/>
  <c r="A708" i="3"/>
  <c r="J707" i="3"/>
  <c r="I707" i="3"/>
  <c r="H707" i="3"/>
  <c r="G707" i="3"/>
  <c r="F707" i="3"/>
  <c r="D707" i="3"/>
  <c r="C707" i="3"/>
  <c r="B707" i="3"/>
  <c r="A707" i="3"/>
  <c r="J706" i="3"/>
  <c r="I706" i="3"/>
  <c r="H706" i="3"/>
  <c r="G706" i="3"/>
  <c r="F706" i="3"/>
  <c r="D706" i="3"/>
  <c r="C706" i="3"/>
  <c r="B706" i="3"/>
  <c r="A706" i="3"/>
  <c r="J705" i="3"/>
  <c r="I705" i="3"/>
  <c r="H705" i="3"/>
  <c r="G705" i="3"/>
  <c r="F705" i="3"/>
  <c r="D705" i="3"/>
  <c r="C705" i="3"/>
  <c r="B705" i="3"/>
  <c r="A705" i="3"/>
  <c r="J704" i="3"/>
  <c r="I704" i="3"/>
  <c r="H704" i="3"/>
  <c r="G704" i="3"/>
  <c r="F704" i="3"/>
  <c r="D704" i="3"/>
  <c r="C704" i="3"/>
  <c r="B704" i="3"/>
  <c r="A704" i="3"/>
  <c r="J703" i="3"/>
  <c r="I703" i="3"/>
  <c r="H703" i="3"/>
  <c r="G703" i="3"/>
  <c r="F703" i="3"/>
  <c r="D703" i="3"/>
  <c r="C703" i="3"/>
  <c r="B703" i="3"/>
  <c r="A703" i="3"/>
  <c r="J702" i="3"/>
  <c r="I702" i="3"/>
  <c r="H702" i="3"/>
  <c r="G702" i="3"/>
  <c r="F702" i="3"/>
  <c r="D702" i="3"/>
  <c r="C702" i="3"/>
  <c r="B702" i="3"/>
  <c r="A702" i="3"/>
  <c r="J701" i="3"/>
  <c r="I701" i="3"/>
  <c r="H701" i="3"/>
  <c r="G701" i="3"/>
  <c r="F701" i="3"/>
  <c r="D701" i="3"/>
  <c r="C701" i="3"/>
  <c r="B701" i="3"/>
  <c r="A701" i="3"/>
  <c r="J700" i="3"/>
  <c r="I700" i="3"/>
  <c r="H700" i="3"/>
  <c r="G700" i="3"/>
  <c r="F700" i="3"/>
  <c r="D700" i="3"/>
  <c r="C700" i="3"/>
  <c r="B700" i="3"/>
  <c r="A700" i="3"/>
  <c r="J699" i="3"/>
  <c r="I699" i="3"/>
  <c r="H699" i="3"/>
  <c r="G699" i="3"/>
  <c r="F699" i="3"/>
  <c r="D699" i="3"/>
  <c r="C699" i="3"/>
  <c r="B699" i="3"/>
  <c r="A699" i="3"/>
  <c r="J698" i="3"/>
  <c r="I698" i="3"/>
  <c r="H698" i="3"/>
  <c r="G698" i="3"/>
  <c r="F698" i="3"/>
  <c r="D698" i="3"/>
  <c r="C698" i="3"/>
  <c r="B698" i="3"/>
  <c r="A698" i="3"/>
  <c r="J697" i="3"/>
  <c r="I697" i="3"/>
  <c r="H697" i="3"/>
  <c r="G697" i="3"/>
  <c r="F697" i="3"/>
  <c r="D697" i="3"/>
  <c r="C697" i="3"/>
  <c r="B697" i="3"/>
  <c r="A697" i="3"/>
  <c r="J696" i="3"/>
  <c r="I696" i="3"/>
  <c r="H696" i="3"/>
  <c r="G696" i="3"/>
  <c r="F696" i="3"/>
  <c r="D696" i="3"/>
  <c r="C696" i="3"/>
  <c r="B696" i="3"/>
  <c r="A696" i="3"/>
  <c r="J695" i="3"/>
  <c r="I695" i="3"/>
  <c r="H695" i="3"/>
  <c r="G695" i="3"/>
  <c r="F695" i="3"/>
  <c r="D695" i="3"/>
  <c r="C695" i="3"/>
  <c r="B695" i="3"/>
  <c r="A695" i="3"/>
  <c r="J694" i="3"/>
  <c r="I694" i="3"/>
  <c r="H694" i="3"/>
  <c r="G694" i="3"/>
  <c r="F694" i="3"/>
  <c r="D694" i="3"/>
  <c r="C694" i="3"/>
  <c r="B694" i="3"/>
  <c r="A694" i="3"/>
  <c r="J693" i="3"/>
  <c r="I693" i="3"/>
  <c r="H693" i="3"/>
  <c r="G693" i="3"/>
  <c r="F693" i="3"/>
  <c r="D693" i="3"/>
  <c r="C693" i="3"/>
  <c r="B693" i="3"/>
  <c r="A693" i="3"/>
  <c r="J692" i="3"/>
  <c r="I692" i="3"/>
  <c r="H692" i="3"/>
  <c r="G692" i="3"/>
  <c r="F692" i="3"/>
  <c r="D692" i="3"/>
  <c r="C692" i="3"/>
  <c r="B692" i="3"/>
  <c r="A692" i="3"/>
  <c r="J691" i="3"/>
  <c r="I691" i="3"/>
  <c r="H691" i="3"/>
  <c r="G691" i="3"/>
  <c r="F691" i="3"/>
  <c r="D691" i="3"/>
  <c r="C691" i="3"/>
  <c r="B691" i="3"/>
  <c r="A691" i="3"/>
  <c r="J690" i="3"/>
  <c r="I690" i="3"/>
  <c r="H690" i="3"/>
  <c r="G690" i="3"/>
  <c r="F690" i="3"/>
  <c r="D690" i="3"/>
  <c r="C690" i="3"/>
  <c r="B690" i="3"/>
  <c r="A690" i="3"/>
  <c r="J689" i="3"/>
  <c r="I689" i="3"/>
  <c r="H689" i="3"/>
  <c r="G689" i="3"/>
  <c r="F689" i="3"/>
  <c r="D689" i="3"/>
  <c r="C689" i="3"/>
  <c r="B689" i="3"/>
  <c r="A689" i="3"/>
  <c r="J688" i="3"/>
  <c r="I688" i="3"/>
  <c r="H688" i="3"/>
  <c r="G688" i="3"/>
  <c r="F688" i="3"/>
  <c r="D688" i="3"/>
  <c r="C688" i="3"/>
  <c r="B688" i="3"/>
  <c r="A688" i="3"/>
  <c r="J687" i="3"/>
  <c r="I687" i="3"/>
  <c r="H687" i="3"/>
  <c r="G687" i="3"/>
  <c r="F687" i="3"/>
  <c r="D687" i="3"/>
  <c r="C687" i="3"/>
  <c r="B687" i="3"/>
  <c r="A687" i="3"/>
  <c r="J686" i="3"/>
  <c r="I686" i="3"/>
  <c r="H686" i="3"/>
  <c r="G686" i="3"/>
  <c r="F686" i="3"/>
  <c r="D686" i="3"/>
  <c r="C686" i="3"/>
  <c r="B686" i="3"/>
  <c r="A686" i="3"/>
  <c r="J685" i="3"/>
  <c r="I685" i="3"/>
  <c r="H685" i="3"/>
  <c r="G685" i="3"/>
  <c r="F685" i="3"/>
  <c r="D685" i="3"/>
  <c r="C685" i="3"/>
  <c r="B685" i="3"/>
  <c r="A685" i="3"/>
  <c r="J684" i="3"/>
  <c r="I684" i="3"/>
  <c r="H684" i="3"/>
  <c r="G684" i="3"/>
  <c r="F684" i="3"/>
  <c r="D684" i="3"/>
  <c r="C684" i="3"/>
  <c r="B684" i="3"/>
  <c r="A684" i="3"/>
  <c r="J683" i="3"/>
  <c r="I683" i="3"/>
  <c r="H683" i="3"/>
  <c r="G683" i="3"/>
  <c r="F683" i="3"/>
  <c r="D683" i="3"/>
  <c r="C683" i="3"/>
  <c r="B683" i="3"/>
  <c r="A683" i="3"/>
  <c r="J682" i="3"/>
  <c r="I682" i="3"/>
  <c r="H682" i="3"/>
  <c r="G682" i="3"/>
  <c r="F682" i="3"/>
  <c r="D682" i="3"/>
  <c r="C682" i="3"/>
  <c r="B682" i="3"/>
  <c r="A682" i="3"/>
  <c r="J681" i="3"/>
  <c r="I681" i="3"/>
  <c r="H681" i="3"/>
  <c r="G681" i="3"/>
  <c r="F681" i="3"/>
  <c r="D681" i="3"/>
  <c r="C681" i="3"/>
  <c r="B681" i="3"/>
  <c r="A681" i="3"/>
  <c r="J680" i="3"/>
  <c r="I680" i="3"/>
  <c r="H680" i="3"/>
  <c r="G680" i="3"/>
  <c r="F680" i="3"/>
  <c r="D680" i="3"/>
  <c r="C680" i="3"/>
  <c r="B680" i="3"/>
  <c r="A680" i="3"/>
  <c r="J679" i="3"/>
  <c r="I679" i="3"/>
  <c r="H679" i="3"/>
  <c r="G679" i="3"/>
  <c r="F679" i="3"/>
  <c r="D679" i="3"/>
  <c r="C679" i="3"/>
  <c r="B679" i="3"/>
  <c r="A679" i="3"/>
  <c r="J678" i="3"/>
  <c r="I678" i="3"/>
  <c r="H678" i="3"/>
  <c r="G678" i="3"/>
  <c r="F678" i="3"/>
  <c r="D678" i="3"/>
  <c r="C678" i="3"/>
  <c r="B678" i="3"/>
  <c r="A678" i="3"/>
  <c r="J677" i="3"/>
  <c r="I677" i="3"/>
  <c r="H677" i="3"/>
  <c r="G677" i="3"/>
  <c r="F677" i="3"/>
  <c r="D677" i="3"/>
  <c r="C677" i="3"/>
  <c r="B677" i="3"/>
  <c r="A677" i="3"/>
  <c r="J676" i="3"/>
  <c r="I676" i="3"/>
  <c r="H676" i="3"/>
  <c r="G676" i="3"/>
  <c r="F676" i="3"/>
  <c r="D676" i="3"/>
  <c r="C676" i="3"/>
  <c r="B676" i="3"/>
  <c r="A676" i="3"/>
  <c r="J675" i="3"/>
  <c r="I675" i="3"/>
  <c r="H675" i="3"/>
  <c r="G675" i="3"/>
  <c r="F675" i="3"/>
  <c r="D675" i="3"/>
  <c r="C675" i="3"/>
  <c r="B675" i="3"/>
  <c r="A675" i="3"/>
  <c r="J674" i="3"/>
  <c r="I674" i="3"/>
  <c r="H674" i="3"/>
  <c r="G674" i="3"/>
  <c r="F674" i="3"/>
  <c r="D674" i="3"/>
  <c r="C674" i="3"/>
  <c r="B674" i="3"/>
  <c r="A674" i="3"/>
  <c r="J673" i="3"/>
  <c r="I673" i="3"/>
  <c r="H673" i="3"/>
  <c r="G673" i="3"/>
  <c r="F673" i="3"/>
  <c r="D673" i="3"/>
  <c r="C673" i="3"/>
  <c r="B673" i="3"/>
  <c r="A673" i="3"/>
  <c r="J672" i="3"/>
  <c r="I672" i="3"/>
  <c r="H672" i="3"/>
  <c r="G672" i="3"/>
  <c r="F672" i="3"/>
  <c r="D672" i="3"/>
  <c r="C672" i="3"/>
  <c r="B672" i="3"/>
  <c r="A672" i="3"/>
  <c r="J671" i="3"/>
  <c r="I671" i="3"/>
  <c r="H671" i="3"/>
  <c r="G671" i="3"/>
  <c r="F671" i="3"/>
  <c r="D671" i="3"/>
  <c r="C671" i="3"/>
  <c r="B671" i="3"/>
  <c r="A671" i="3"/>
  <c r="J670" i="3"/>
  <c r="I670" i="3"/>
  <c r="H670" i="3"/>
  <c r="G670" i="3"/>
  <c r="F670" i="3"/>
  <c r="D670" i="3"/>
  <c r="C670" i="3"/>
  <c r="B670" i="3"/>
  <c r="A670" i="3"/>
  <c r="J669" i="3"/>
  <c r="I669" i="3"/>
  <c r="H669" i="3"/>
  <c r="G669" i="3"/>
  <c r="F669" i="3"/>
  <c r="D669" i="3"/>
  <c r="C669" i="3"/>
  <c r="B669" i="3"/>
  <c r="A669" i="3"/>
  <c r="J668" i="3"/>
  <c r="I668" i="3"/>
  <c r="H668" i="3"/>
  <c r="G668" i="3"/>
  <c r="F668" i="3"/>
  <c r="D668" i="3"/>
  <c r="C668" i="3"/>
  <c r="B668" i="3"/>
  <c r="A668" i="3"/>
  <c r="J667" i="3"/>
  <c r="I667" i="3"/>
  <c r="H667" i="3"/>
  <c r="G667" i="3"/>
  <c r="F667" i="3"/>
  <c r="D667" i="3"/>
  <c r="C667" i="3"/>
  <c r="B667" i="3"/>
  <c r="A667" i="3"/>
  <c r="J666" i="3"/>
  <c r="I666" i="3"/>
  <c r="H666" i="3"/>
  <c r="G666" i="3"/>
  <c r="F666" i="3"/>
  <c r="D666" i="3"/>
  <c r="C666" i="3"/>
  <c r="B666" i="3"/>
  <c r="A666" i="3"/>
  <c r="J665" i="3"/>
  <c r="I665" i="3"/>
  <c r="H665" i="3"/>
  <c r="G665" i="3"/>
  <c r="F665" i="3"/>
  <c r="D665" i="3"/>
  <c r="C665" i="3"/>
  <c r="B665" i="3"/>
  <c r="A665" i="3"/>
  <c r="J664" i="3"/>
  <c r="I664" i="3"/>
  <c r="H664" i="3"/>
  <c r="G664" i="3"/>
  <c r="F664" i="3"/>
  <c r="D664" i="3"/>
  <c r="C664" i="3"/>
  <c r="B664" i="3"/>
  <c r="A664" i="3"/>
  <c r="J663" i="3"/>
  <c r="I663" i="3"/>
  <c r="H663" i="3"/>
  <c r="G663" i="3"/>
  <c r="F663" i="3"/>
  <c r="D663" i="3"/>
  <c r="C663" i="3"/>
  <c r="B663" i="3"/>
  <c r="A663" i="3"/>
  <c r="J662" i="3"/>
  <c r="I662" i="3"/>
  <c r="H662" i="3"/>
  <c r="G662" i="3"/>
  <c r="F662" i="3"/>
  <c r="D662" i="3"/>
  <c r="C662" i="3"/>
  <c r="B662" i="3"/>
  <c r="A662" i="3"/>
  <c r="J661" i="3"/>
  <c r="I661" i="3"/>
  <c r="H661" i="3"/>
  <c r="G661" i="3"/>
  <c r="F661" i="3"/>
  <c r="D661" i="3"/>
  <c r="C661" i="3"/>
  <c r="B661" i="3"/>
  <c r="A661" i="3"/>
  <c r="J660" i="3"/>
  <c r="I660" i="3"/>
  <c r="H660" i="3"/>
  <c r="G660" i="3"/>
  <c r="F660" i="3"/>
  <c r="D660" i="3"/>
  <c r="C660" i="3"/>
  <c r="B660" i="3"/>
  <c r="A660" i="3"/>
  <c r="J659" i="3"/>
  <c r="I659" i="3"/>
  <c r="H659" i="3"/>
  <c r="G659" i="3"/>
  <c r="F659" i="3"/>
  <c r="D659" i="3"/>
  <c r="C659" i="3"/>
  <c r="B659" i="3"/>
  <c r="A659" i="3"/>
  <c r="J658" i="3"/>
  <c r="I658" i="3"/>
  <c r="H658" i="3"/>
  <c r="G658" i="3"/>
  <c r="F658" i="3"/>
  <c r="D658" i="3"/>
  <c r="C658" i="3"/>
  <c r="B658" i="3"/>
  <c r="A658" i="3"/>
  <c r="J657" i="3"/>
  <c r="I657" i="3"/>
  <c r="H657" i="3"/>
  <c r="G657" i="3"/>
  <c r="F657" i="3"/>
  <c r="D657" i="3"/>
  <c r="C657" i="3"/>
  <c r="B657" i="3"/>
  <c r="A657" i="3"/>
  <c r="J656" i="3"/>
  <c r="I656" i="3"/>
  <c r="H656" i="3"/>
  <c r="G656" i="3"/>
  <c r="F656" i="3"/>
  <c r="D656" i="3"/>
  <c r="C656" i="3"/>
  <c r="B656" i="3"/>
  <c r="A656" i="3"/>
  <c r="J655" i="3"/>
  <c r="I655" i="3"/>
  <c r="H655" i="3"/>
  <c r="G655" i="3"/>
  <c r="F655" i="3"/>
  <c r="D655" i="3"/>
  <c r="C655" i="3"/>
  <c r="B655" i="3"/>
  <c r="A655" i="3"/>
  <c r="J654" i="3"/>
  <c r="I654" i="3"/>
  <c r="H654" i="3"/>
  <c r="G654" i="3"/>
  <c r="F654" i="3"/>
  <c r="D654" i="3"/>
  <c r="C654" i="3"/>
  <c r="B654" i="3"/>
  <c r="A654" i="3"/>
  <c r="J653" i="3"/>
  <c r="I653" i="3"/>
  <c r="H653" i="3"/>
  <c r="G653" i="3"/>
  <c r="F653" i="3"/>
  <c r="D653" i="3"/>
  <c r="C653" i="3"/>
  <c r="B653" i="3"/>
  <c r="A653" i="3"/>
  <c r="J652" i="3"/>
  <c r="I652" i="3"/>
  <c r="H652" i="3"/>
  <c r="G652" i="3"/>
  <c r="F652" i="3"/>
  <c r="D652" i="3"/>
  <c r="C652" i="3"/>
  <c r="B652" i="3"/>
  <c r="A652" i="3"/>
  <c r="J651" i="3"/>
  <c r="I651" i="3"/>
  <c r="H651" i="3"/>
  <c r="G651" i="3"/>
  <c r="F651" i="3"/>
  <c r="D651" i="3"/>
  <c r="C651" i="3"/>
  <c r="B651" i="3"/>
  <c r="A651" i="3"/>
  <c r="J650" i="3"/>
  <c r="I650" i="3"/>
  <c r="H650" i="3"/>
  <c r="G650" i="3"/>
  <c r="F650" i="3"/>
  <c r="D650" i="3"/>
  <c r="C650" i="3"/>
  <c r="B650" i="3"/>
  <c r="A650" i="3"/>
  <c r="J649" i="3"/>
  <c r="I649" i="3"/>
  <c r="H649" i="3"/>
  <c r="G649" i="3"/>
  <c r="F649" i="3"/>
  <c r="D649" i="3"/>
  <c r="C649" i="3"/>
  <c r="B649" i="3"/>
  <c r="A649" i="3"/>
  <c r="J648" i="3"/>
  <c r="I648" i="3"/>
  <c r="H648" i="3"/>
  <c r="G648" i="3"/>
  <c r="F648" i="3"/>
  <c r="D648" i="3"/>
  <c r="C648" i="3"/>
  <c r="B648" i="3"/>
  <c r="A648" i="3"/>
  <c r="J647" i="3"/>
  <c r="I647" i="3"/>
  <c r="H647" i="3"/>
  <c r="G647" i="3"/>
  <c r="F647" i="3"/>
  <c r="D647" i="3"/>
  <c r="C647" i="3"/>
  <c r="B647" i="3"/>
  <c r="A647" i="3"/>
  <c r="J646" i="3"/>
  <c r="I646" i="3"/>
  <c r="H646" i="3"/>
  <c r="G646" i="3"/>
  <c r="F646" i="3"/>
  <c r="D646" i="3"/>
  <c r="C646" i="3"/>
  <c r="B646" i="3"/>
  <c r="A646" i="3"/>
  <c r="J645" i="3"/>
  <c r="I645" i="3"/>
  <c r="H645" i="3"/>
  <c r="G645" i="3"/>
  <c r="F645" i="3"/>
  <c r="D645" i="3"/>
  <c r="C645" i="3"/>
  <c r="B645" i="3"/>
  <c r="A645" i="3"/>
  <c r="J644" i="3"/>
  <c r="I644" i="3"/>
  <c r="H644" i="3"/>
  <c r="G644" i="3"/>
  <c r="F644" i="3"/>
  <c r="D644" i="3"/>
  <c r="C644" i="3"/>
  <c r="B644" i="3"/>
  <c r="A644" i="3"/>
  <c r="J643" i="3"/>
  <c r="I643" i="3"/>
  <c r="H643" i="3"/>
  <c r="G643" i="3"/>
  <c r="F643" i="3"/>
  <c r="D643" i="3"/>
  <c r="C643" i="3"/>
  <c r="B643" i="3"/>
  <c r="A643" i="3"/>
  <c r="J642" i="3"/>
  <c r="I642" i="3"/>
  <c r="H642" i="3"/>
  <c r="G642" i="3"/>
  <c r="F642" i="3"/>
  <c r="D642" i="3"/>
  <c r="C642" i="3"/>
  <c r="B642" i="3"/>
  <c r="A642" i="3"/>
  <c r="J641" i="3"/>
  <c r="I641" i="3"/>
  <c r="H641" i="3"/>
  <c r="G641" i="3"/>
  <c r="F641" i="3"/>
  <c r="D641" i="3"/>
  <c r="C641" i="3"/>
  <c r="B641" i="3"/>
  <c r="A641" i="3"/>
  <c r="J640" i="3"/>
  <c r="I640" i="3"/>
  <c r="H640" i="3"/>
  <c r="G640" i="3"/>
  <c r="F640" i="3"/>
  <c r="D640" i="3"/>
  <c r="C640" i="3"/>
  <c r="B640" i="3"/>
  <c r="A640" i="3"/>
  <c r="J639" i="3"/>
  <c r="I639" i="3"/>
  <c r="H639" i="3"/>
  <c r="G639" i="3"/>
  <c r="F639" i="3"/>
  <c r="D639" i="3"/>
  <c r="C639" i="3"/>
  <c r="B639" i="3"/>
  <c r="A639" i="3"/>
  <c r="J638" i="3"/>
  <c r="I638" i="3"/>
  <c r="H638" i="3"/>
  <c r="G638" i="3"/>
  <c r="F638" i="3"/>
  <c r="D638" i="3"/>
  <c r="C638" i="3"/>
  <c r="B638" i="3"/>
  <c r="A638" i="3"/>
  <c r="J637" i="3"/>
  <c r="I637" i="3"/>
  <c r="H637" i="3"/>
  <c r="G637" i="3"/>
  <c r="F637" i="3"/>
  <c r="D637" i="3"/>
  <c r="C637" i="3"/>
  <c r="B637" i="3"/>
  <c r="A637" i="3"/>
  <c r="J636" i="3"/>
  <c r="I636" i="3"/>
  <c r="H636" i="3"/>
  <c r="G636" i="3"/>
  <c r="F636" i="3"/>
  <c r="D636" i="3"/>
  <c r="C636" i="3"/>
  <c r="B636" i="3"/>
  <c r="A636" i="3"/>
  <c r="J635" i="3"/>
  <c r="I635" i="3"/>
  <c r="H635" i="3"/>
  <c r="G635" i="3"/>
  <c r="F635" i="3"/>
  <c r="D635" i="3"/>
  <c r="C635" i="3"/>
  <c r="B635" i="3"/>
  <c r="A635" i="3"/>
  <c r="J634" i="3"/>
  <c r="I634" i="3"/>
  <c r="H634" i="3"/>
  <c r="G634" i="3"/>
  <c r="F634" i="3"/>
  <c r="D634" i="3"/>
  <c r="C634" i="3"/>
  <c r="B634" i="3"/>
  <c r="A634" i="3"/>
  <c r="J633" i="3"/>
  <c r="I633" i="3"/>
  <c r="H633" i="3"/>
  <c r="G633" i="3"/>
  <c r="F633" i="3"/>
  <c r="D633" i="3"/>
  <c r="C633" i="3"/>
  <c r="B633" i="3"/>
  <c r="A633" i="3"/>
  <c r="J632" i="3"/>
  <c r="I632" i="3"/>
  <c r="H632" i="3"/>
  <c r="G632" i="3"/>
  <c r="F632" i="3"/>
  <c r="D632" i="3"/>
  <c r="C632" i="3"/>
  <c r="B632" i="3"/>
  <c r="A632" i="3"/>
  <c r="J631" i="3"/>
  <c r="I631" i="3"/>
  <c r="H631" i="3"/>
  <c r="G631" i="3"/>
  <c r="F631" i="3"/>
  <c r="D631" i="3"/>
  <c r="C631" i="3"/>
  <c r="B631" i="3"/>
  <c r="A631" i="3"/>
  <c r="J630" i="3"/>
  <c r="I630" i="3"/>
  <c r="H630" i="3"/>
  <c r="G630" i="3"/>
  <c r="F630" i="3"/>
  <c r="D630" i="3"/>
  <c r="C630" i="3"/>
  <c r="B630" i="3"/>
  <c r="A630" i="3"/>
  <c r="J629" i="3"/>
  <c r="I629" i="3"/>
  <c r="H629" i="3"/>
  <c r="G629" i="3"/>
  <c r="F629" i="3"/>
  <c r="D629" i="3"/>
  <c r="C629" i="3"/>
  <c r="B629" i="3"/>
  <c r="A629" i="3"/>
  <c r="J628" i="3"/>
  <c r="I628" i="3"/>
  <c r="H628" i="3"/>
  <c r="G628" i="3"/>
  <c r="F628" i="3"/>
  <c r="D628" i="3"/>
  <c r="C628" i="3"/>
  <c r="B628" i="3"/>
  <c r="A628" i="3"/>
  <c r="J627" i="3"/>
  <c r="I627" i="3"/>
  <c r="H627" i="3"/>
  <c r="G627" i="3"/>
  <c r="F627" i="3"/>
  <c r="D627" i="3"/>
  <c r="C627" i="3"/>
  <c r="B627" i="3"/>
  <c r="A627" i="3"/>
  <c r="J626" i="3"/>
  <c r="I626" i="3"/>
  <c r="H626" i="3"/>
  <c r="G626" i="3"/>
  <c r="F626" i="3"/>
  <c r="D626" i="3"/>
  <c r="C626" i="3"/>
  <c r="B626" i="3"/>
  <c r="A626" i="3"/>
  <c r="J625" i="3"/>
  <c r="I625" i="3"/>
  <c r="H625" i="3"/>
  <c r="G625" i="3"/>
  <c r="F625" i="3"/>
  <c r="D625" i="3"/>
  <c r="C625" i="3"/>
  <c r="B625" i="3"/>
  <c r="A625" i="3"/>
  <c r="J624" i="3"/>
  <c r="I624" i="3"/>
  <c r="H624" i="3"/>
  <c r="G624" i="3"/>
  <c r="F624" i="3"/>
  <c r="D624" i="3"/>
  <c r="C624" i="3"/>
  <c r="B624" i="3"/>
  <c r="A624" i="3"/>
  <c r="J623" i="3"/>
  <c r="I623" i="3"/>
  <c r="H623" i="3"/>
  <c r="G623" i="3"/>
  <c r="F623" i="3"/>
  <c r="D623" i="3"/>
  <c r="C623" i="3"/>
  <c r="B623" i="3"/>
  <c r="A623" i="3"/>
  <c r="J622" i="3"/>
  <c r="I622" i="3"/>
  <c r="H622" i="3"/>
  <c r="G622" i="3"/>
  <c r="F622" i="3"/>
  <c r="D622" i="3"/>
  <c r="C622" i="3"/>
  <c r="B622" i="3"/>
  <c r="A622" i="3"/>
  <c r="J621" i="3"/>
  <c r="I621" i="3"/>
  <c r="H621" i="3"/>
  <c r="G621" i="3"/>
  <c r="F621" i="3"/>
  <c r="D621" i="3"/>
  <c r="C621" i="3"/>
  <c r="B621" i="3"/>
  <c r="A621" i="3"/>
  <c r="J620" i="3"/>
  <c r="I620" i="3"/>
  <c r="H620" i="3"/>
  <c r="G620" i="3"/>
  <c r="F620" i="3"/>
  <c r="D620" i="3"/>
  <c r="C620" i="3"/>
  <c r="B620" i="3"/>
  <c r="A620" i="3"/>
  <c r="J619" i="3"/>
  <c r="I619" i="3"/>
  <c r="H619" i="3"/>
  <c r="G619" i="3"/>
  <c r="F619" i="3"/>
  <c r="D619" i="3"/>
  <c r="C619" i="3"/>
  <c r="B619" i="3"/>
  <c r="A619" i="3"/>
  <c r="J618" i="3"/>
  <c r="I618" i="3"/>
  <c r="H618" i="3"/>
  <c r="G618" i="3"/>
  <c r="F618" i="3"/>
  <c r="D618" i="3"/>
  <c r="C618" i="3"/>
  <c r="B618" i="3"/>
  <c r="A618" i="3"/>
  <c r="J617" i="3"/>
  <c r="I617" i="3"/>
  <c r="H617" i="3"/>
  <c r="G617" i="3"/>
  <c r="F617" i="3"/>
  <c r="D617" i="3"/>
  <c r="C617" i="3"/>
  <c r="B617" i="3"/>
  <c r="A617" i="3"/>
  <c r="J616" i="3"/>
  <c r="I616" i="3"/>
  <c r="H616" i="3"/>
  <c r="G616" i="3"/>
  <c r="F616" i="3"/>
  <c r="D616" i="3"/>
  <c r="C616" i="3"/>
  <c r="B616" i="3"/>
  <c r="A616" i="3"/>
  <c r="J615" i="3"/>
  <c r="I615" i="3"/>
  <c r="H615" i="3"/>
  <c r="G615" i="3"/>
  <c r="F615" i="3"/>
  <c r="D615" i="3"/>
  <c r="C615" i="3"/>
  <c r="B615" i="3"/>
  <c r="A615" i="3"/>
  <c r="J614" i="3"/>
  <c r="I614" i="3"/>
  <c r="H614" i="3"/>
  <c r="G614" i="3"/>
  <c r="F614" i="3"/>
  <c r="D614" i="3"/>
  <c r="C614" i="3"/>
  <c r="B614" i="3"/>
  <c r="A614" i="3"/>
  <c r="J613" i="3"/>
  <c r="I613" i="3"/>
  <c r="H613" i="3"/>
  <c r="G613" i="3"/>
  <c r="F613" i="3"/>
  <c r="D613" i="3"/>
  <c r="C613" i="3"/>
  <c r="B613" i="3"/>
  <c r="A613" i="3"/>
  <c r="J612" i="3"/>
  <c r="I612" i="3"/>
  <c r="H612" i="3"/>
  <c r="G612" i="3"/>
  <c r="F612" i="3"/>
  <c r="D612" i="3"/>
  <c r="C612" i="3"/>
  <c r="B612" i="3"/>
  <c r="A612" i="3"/>
  <c r="J611" i="3"/>
  <c r="I611" i="3"/>
  <c r="H611" i="3"/>
  <c r="G611" i="3"/>
  <c r="F611" i="3"/>
  <c r="D611" i="3"/>
  <c r="C611" i="3"/>
  <c r="B611" i="3"/>
  <c r="A611" i="3"/>
  <c r="J610" i="3"/>
  <c r="I610" i="3"/>
  <c r="H610" i="3"/>
  <c r="G610" i="3"/>
  <c r="F610" i="3"/>
  <c r="D610" i="3"/>
  <c r="C610" i="3"/>
  <c r="B610" i="3"/>
  <c r="A610" i="3"/>
  <c r="J609" i="3"/>
  <c r="I609" i="3"/>
  <c r="H609" i="3"/>
  <c r="G609" i="3"/>
  <c r="F609" i="3"/>
  <c r="D609" i="3"/>
  <c r="C609" i="3"/>
  <c r="B609" i="3"/>
  <c r="A609" i="3"/>
  <c r="J608" i="3"/>
  <c r="I608" i="3"/>
  <c r="H608" i="3"/>
  <c r="G608" i="3"/>
  <c r="F608" i="3"/>
  <c r="D608" i="3"/>
  <c r="C608" i="3"/>
  <c r="B608" i="3"/>
  <c r="A608" i="3"/>
  <c r="J607" i="3"/>
  <c r="I607" i="3"/>
  <c r="H607" i="3"/>
  <c r="G607" i="3"/>
  <c r="F607" i="3"/>
  <c r="D607" i="3"/>
  <c r="C607" i="3"/>
  <c r="B607" i="3"/>
  <c r="A607" i="3"/>
  <c r="J606" i="3"/>
  <c r="I606" i="3"/>
  <c r="H606" i="3"/>
  <c r="G606" i="3"/>
  <c r="F606" i="3"/>
  <c r="D606" i="3"/>
  <c r="C606" i="3"/>
  <c r="B606" i="3"/>
  <c r="A606" i="3"/>
  <c r="J605" i="3"/>
  <c r="I605" i="3"/>
  <c r="H605" i="3"/>
  <c r="G605" i="3"/>
  <c r="F605" i="3"/>
  <c r="D605" i="3"/>
  <c r="C605" i="3"/>
  <c r="B605" i="3"/>
  <c r="A605" i="3"/>
  <c r="J604" i="3"/>
  <c r="I604" i="3"/>
  <c r="H604" i="3"/>
  <c r="G604" i="3"/>
  <c r="F604" i="3"/>
  <c r="D604" i="3"/>
  <c r="C604" i="3"/>
  <c r="B604" i="3"/>
  <c r="A604" i="3"/>
  <c r="J603" i="3"/>
  <c r="I603" i="3"/>
  <c r="H603" i="3"/>
  <c r="G603" i="3"/>
  <c r="F603" i="3"/>
  <c r="D603" i="3"/>
  <c r="C603" i="3"/>
  <c r="B603" i="3"/>
  <c r="A603" i="3"/>
  <c r="J602" i="3"/>
  <c r="I602" i="3"/>
  <c r="H602" i="3"/>
  <c r="G602" i="3"/>
  <c r="F602" i="3"/>
  <c r="D602" i="3"/>
  <c r="C602" i="3"/>
  <c r="B602" i="3"/>
  <c r="A602" i="3"/>
  <c r="J601" i="3"/>
  <c r="I601" i="3"/>
  <c r="H601" i="3"/>
  <c r="G601" i="3"/>
  <c r="F601" i="3"/>
  <c r="D601" i="3"/>
  <c r="C601" i="3"/>
  <c r="B601" i="3"/>
  <c r="A601" i="3"/>
  <c r="J600" i="3"/>
  <c r="I600" i="3"/>
  <c r="H600" i="3"/>
  <c r="G600" i="3"/>
  <c r="F600" i="3"/>
  <c r="D600" i="3"/>
  <c r="C600" i="3"/>
  <c r="B600" i="3"/>
  <c r="A600" i="3"/>
  <c r="J599" i="3"/>
  <c r="I599" i="3"/>
  <c r="H599" i="3"/>
  <c r="G599" i="3"/>
  <c r="F599" i="3"/>
  <c r="D599" i="3"/>
  <c r="C599" i="3"/>
  <c r="B599" i="3"/>
  <c r="A599" i="3"/>
  <c r="J598" i="3"/>
  <c r="I598" i="3"/>
  <c r="H598" i="3"/>
  <c r="G598" i="3"/>
  <c r="F598" i="3"/>
  <c r="D598" i="3"/>
  <c r="C598" i="3"/>
  <c r="B598" i="3"/>
  <c r="A598" i="3"/>
  <c r="J597" i="3"/>
  <c r="I597" i="3"/>
  <c r="H597" i="3"/>
  <c r="G597" i="3"/>
  <c r="F597" i="3"/>
  <c r="D597" i="3"/>
  <c r="C597" i="3"/>
  <c r="B597" i="3"/>
  <c r="A597" i="3"/>
  <c r="J596" i="3"/>
  <c r="I596" i="3"/>
  <c r="H596" i="3"/>
  <c r="G596" i="3"/>
  <c r="F596" i="3"/>
  <c r="D596" i="3"/>
  <c r="C596" i="3"/>
  <c r="B596" i="3"/>
  <c r="A596" i="3"/>
  <c r="J595" i="3"/>
  <c r="I595" i="3"/>
  <c r="H595" i="3"/>
  <c r="G595" i="3"/>
  <c r="F595" i="3"/>
  <c r="D595" i="3"/>
  <c r="C595" i="3"/>
  <c r="B595" i="3"/>
  <c r="A595" i="3"/>
  <c r="J594" i="3"/>
  <c r="I594" i="3"/>
  <c r="H594" i="3"/>
  <c r="G594" i="3"/>
  <c r="F594" i="3"/>
  <c r="D594" i="3"/>
  <c r="C594" i="3"/>
  <c r="B594" i="3"/>
  <c r="A594" i="3"/>
  <c r="J593" i="3"/>
  <c r="I593" i="3"/>
  <c r="H593" i="3"/>
  <c r="G593" i="3"/>
  <c r="F593" i="3"/>
  <c r="D593" i="3"/>
  <c r="C593" i="3"/>
  <c r="B593" i="3"/>
  <c r="A593" i="3"/>
  <c r="J592" i="3"/>
  <c r="I592" i="3"/>
  <c r="H592" i="3"/>
  <c r="G592" i="3"/>
  <c r="F592" i="3"/>
  <c r="D592" i="3"/>
  <c r="C592" i="3"/>
  <c r="B592" i="3"/>
  <c r="A592" i="3"/>
  <c r="J591" i="3"/>
  <c r="I591" i="3"/>
  <c r="H591" i="3"/>
  <c r="G591" i="3"/>
  <c r="F591" i="3"/>
  <c r="D591" i="3"/>
  <c r="C591" i="3"/>
  <c r="B591" i="3"/>
  <c r="A591" i="3"/>
  <c r="J590" i="3"/>
  <c r="I590" i="3"/>
  <c r="H590" i="3"/>
  <c r="G590" i="3"/>
  <c r="F590" i="3"/>
  <c r="D590" i="3"/>
  <c r="C590" i="3"/>
  <c r="B590" i="3"/>
  <c r="A590" i="3"/>
  <c r="J589" i="3"/>
  <c r="I589" i="3"/>
  <c r="H589" i="3"/>
  <c r="G589" i="3"/>
  <c r="F589" i="3"/>
  <c r="D589" i="3"/>
  <c r="C589" i="3"/>
  <c r="B589" i="3"/>
  <c r="A589" i="3"/>
  <c r="J588" i="3"/>
  <c r="I588" i="3"/>
  <c r="H588" i="3"/>
  <c r="G588" i="3"/>
  <c r="F588" i="3"/>
  <c r="D588" i="3"/>
  <c r="C588" i="3"/>
  <c r="B588" i="3"/>
  <c r="A588" i="3"/>
  <c r="J587" i="3"/>
  <c r="I587" i="3"/>
  <c r="H587" i="3"/>
  <c r="G587" i="3"/>
  <c r="F587" i="3"/>
  <c r="D587" i="3"/>
  <c r="C587" i="3"/>
  <c r="B587" i="3"/>
  <c r="A587" i="3"/>
  <c r="J586" i="3"/>
  <c r="I586" i="3"/>
  <c r="H586" i="3"/>
  <c r="G586" i="3"/>
  <c r="F586" i="3"/>
  <c r="D586" i="3"/>
  <c r="C586" i="3"/>
  <c r="B586" i="3"/>
  <c r="A586" i="3"/>
  <c r="J585" i="3"/>
  <c r="I585" i="3"/>
  <c r="H585" i="3"/>
  <c r="G585" i="3"/>
  <c r="F585" i="3"/>
  <c r="D585" i="3"/>
  <c r="C585" i="3"/>
  <c r="B585" i="3"/>
  <c r="A585" i="3"/>
  <c r="J584" i="3"/>
  <c r="I584" i="3"/>
  <c r="H584" i="3"/>
  <c r="G584" i="3"/>
  <c r="F584" i="3"/>
  <c r="D584" i="3"/>
  <c r="C584" i="3"/>
  <c r="B584" i="3"/>
  <c r="A584" i="3"/>
  <c r="J583" i="3"/>
  <c r="I583" i="3"/>
  <c r="H583" i="3"/>
  <c r="G583" i="3"/>
  <c r="F583" i="3"/>
  <c r="D583" i="3"/>
  <c r="C583" i="3"/>
  <c r="B583" i="3"/>
  <c r="A583" i="3"/>
  <c r="J582" i="3"/>
  <c r="I582" i="3"/>
  <c r="H582" i="3"/>
  <c r="G582" i="3"/>
  <c r="F582" i="3"/>
  <c r="D582" i="3"/>
  <c r="C582" i="3"/>
  <c r="B582" i="3"/>
  <c r="A582" i="3"/>
  <c r="J581" i="3"/>
  <c r="I581" i="3"/>
  <c r="H581" i="3"/>
  <c r="G581" i="3"/>
  <c r="F581" i="3"/>
  <c r="D581" i="3"/>
  <c r="C581" i="3"/>
  <c r="B581" i="3"/>
  <c r="A581" i="3"/>
  <c r="J580" i="3"/>
  <c r="I580" i="3"/>
  <c r="H580" i="3"/>
  <c r="G580" i="3"/>
  <c r="F580" i="3"/>
  <c r="D580" i="3"/>
  <c r="C580" i="3"/>
  <c r="B580" i="3"/>
  <c r="A580" i="3"/>
  <c r="J579" i="3"/>
  <c r="I579" i="3"/>
  <c r="H579" i="3"/>
  <c r="G579" i="3"/>
  <c r="F579" i="3"/>
  <c r="D579" i="3"/>
  <c r="C579" i="3"/>
  <c r="B579" i="3"/>
  <c r="A579" i="3"/>
  <c r="J578" i="3"/>
  <c r="I578" i="3"/>
  <c r="H578" i="3"/>
  <c r="G578" i="3"/>
  <c r="F578" i="3"/>
  <c r="D578" i="3"/>
  <c r="C578" i="3"/>
  <c r="B578" i="3"/>
  <c r="A578" i="3"/>
  <c r="J577" i="3"/>
  <c r="I577" i="3"/>
  <c r="H577" i="3"/>
  <c r="G577" i="3"/>
  <c r="F577" i="3"/>
  <c r="D577" i="3"/>
  <c r="C577" i="3"/>
  <c r="B577" i="3"/>
  <c r="A577" i="3"/>
  <c r="J576" i="3"/>
  <c r="I576" i="3"/>
  <c r="H576" i="3"/>
  <c r="G576" i="3"/>
  <c r="F576" i="3"/>
  <c r="D576" i="3"/>
  <c r="C576" i="3"/>
  <c r="B576" i="3"/>
  <c r="A576" i="3"/>
  <c r="J575" i="3"/>
  <c r="I575" i="3"/>
  <c r="H575" i="3"/>
  <c r="G575" i="3"/>
  <c r="F575" i="3"/>
  <c r="D575" i="3"/>
  <c r="C575" i="3"/>
  <c r="B575" i="3"/>
  <c r="A575" i="3"/>
  <c r="J574" i="3"/>
  <c r="I574" i="3"/>
  <c r="H574" i="3"/>
  <c r="G574" i="3"/>
  <c r="F574" i="3"/>
  <c r="D574" i="3"/>
  <c r="C574" i="3"/>
  <c r="B574" i="3"/>
  <c r="A574" i="3"/>
  <c r="J573" i="3"/>
  <c r="I573" i="3"/>
  <c r="H573" i="3"/>
  <c r="G573" i="3"/>
  <c r="F573" i="3"/>
  <c r="D573" i="3"/>
  <c r="C573" i="3"/>
  <c r="B573" i="3"/>
  <c r="A573" i="3"/>
  <c r="J572" i="3"/>
  <c r="I572" i="3"/>
  <c r="H572" i="3"/>
  <c r="G572" i="3"/>
  <c r="F572" i="3"/>
  <c r="D572" i="3"/>
  <c r="C572" i="3"/>
  <c r="B572" i="3"/>
  <c r="A572" i="3"/>
  <c r="J571" i="3"/>
  <c r="I571" i="3"/>
  <c r="H571" i="3"/>
  <c r="G571" i="3"/>
  <c r="F571" i="3"/>
  <c r="D571" i="3"/>
  <c r="C571" i="3"/>
  <c r="B571" i="3"/>
  <c r="A571" i="3"/>
  <c r="J570" i="3"/>
  <c r="I570" i="3"/>
  <c r="H570" i="3"/>
  <c r="G570" i="3"/>
  <c r="F570" i="3"/>
  <c r="D570" i="3"/>
  <c r="C570" i="3"/>
  <c r="B570" i="3"/>
  <c r="A570" i="3"/>
  <c r="J569" i="3"/>
  <c r="I569" i="3"/>
  <c r="H569" i="3"/>
  <c r="G569" i="3"/>
  <c r="F569" i="3"/>
  <c r="D569" i="3"/>
  <c r="C569" i="3"/>
  <c r="B569" i="3"/>
  <c r="A569" i="3"/>
  <c r="J568" i="3"/>
  <c r="I568" i="3"/>
  <c r="H568" i="3"/>
  <c r="G568" i="3"/>
  <c r="F568" i="3"/>
  <c r="D568" i="3"/>
  <c r="C568" i="3"/>
  <c r="B568" i="3"/>
  <c r="A568" i="3"/>
  <c r="J567" i="3"/>
  <c r="I567" i="3"/>
  <c r="H567" i="3"/>
  <c r="G567" i="3"/>
  <c r="F567" i="3"/>
  <c r="D567" i="3"/>
  <c r="C567" i="3"/>
  <c r="B567" i="3"/>
  <c r="A567" i="3"/>
  <c r="J566" i="3"/>
  <c r="I566" i="3"/>
  <c r="H566" i="3"/>
  <c r="G566" i="3"/>
  <c r="F566" i="3"/>
  <c r="D566" i="3"/>
  <c r="C566" i="3"/>
  <c r="B566" i="3"/>
  <c r="A566" i="3"/>
  <c r="J565" i="3"/>
  <c r="I565" i="3"/>
  <c r="H565" i="3"/>
  <c r="G565" i="3"/>
  <c r="F565" i="3"/>
  <c r="D565" i="3"/>
  <c r="C565" i="3"/>
  <c r="B565" i="3"/>
  <c r="A565" i="3"/>
  <c r="J564" i="3"/>
  <c r="I564" i="3"/>
  <c r="H564" i="3"/>
  <c r="G564" i="3"/>
  <c r="F564" i="3"/>
  <c r="D564" i="3"/>
  <c r="C564" i="3"/>
  <c r="B564" i="3"/>
  <c r="A564" i="3"/>
  <c r="J563" i="3"/>
  <c r="I563" i="3"/>
  <c r="H563" i="3"/>
  <c r="G563" i="3"/>
  <c r="F563" i="3"/>
  <c r="D563" i="3"/>
  <c r="C563" i="3"/>
  <c r="B563" i="3"/>
  <c r="A563" i="3"/>
  <c r="J562" i="3"/>
  <c r="I562" i="3"/>
  <c r="H562" i="3"/>
  <c r="G562" i="3"/>
  <c r="F562" i="3"/>
  <c r="D562" i="3"/>
  <c r="C562" i="3"/>
  <c r="B562" i="3"/>
  <c r="A562" i="3"/>
  <c r="J561" i="3"/>
  <c r="I561" i="3"/>
  <c r="H561" i="3"/>
  <c r="G561" i="3"/>
  <c r="F561" i="3"/>
  <c r="D561" i="3"/>
  <c r="C561" i="3"/>
  <c r="B561" i="3"/>
  <c r="A561" i="3"/>
  <c r="J560" i="3"/>
  <c r="I560" i="3"/>
  <c r="H560" i="3"/>
  <c r="G560" i="3"/>
  <c r="F560" i="3"/>
  <c r="D560" i="3"/>
  <c r="C560" i="3"/>
  <c r="B560" i="3"/>
  <c r="A560" i="3"/>
  <c r="J559" i="3"/>
  <c r="I559" i="3"/>
  <c r="H559" i="3"/>
  <c r="G559" i="3"/>
  <c r="F559" i="3"/>
  <c r="D559" i="3"/>
  <c r="C559" i="3"/>
  <c r="B559" i="3"/>
  <c r="A559" i="3"/>
  <c r="J558" i="3"/>
  <c r="I558" i="3"/>
  <c r="H558" i="3"/>
  <c r="G558" i="3"/>
  <c r="F558" i="3"/>
  <c r="D558" i="3"/>
  <c r="C558" i="3"/>
  <c r="B558" i="3"/>
  <c r="A558" i="3"/>
  <c r="J557" i="3"/>
  <c r="I557" i="3"/>
  <c r="H557" i="3"/>
  <c r="G557" i="3"/>
  <c r="F557" i="3"/>
  <c r="D557" i="3"/>
  <c r="C557" i="3"/>
  <c r="B557" i="3"/>
  <c r="A557" i="3"/>
  <c r="J556" i="3"/>
  <c r="I556" i="3"/>
  <c r="H556" i="3"/>
  <c r="G556" i="3"/>
  <c r="F556" i="3"/>
  <c r="D556" i="3"/>
  <c r="C556" i="3"/>
  <c r="B556" i="3"/>
  <c r="A556" i="3"/>
  <c r="J555" i="3"/>
  <c r="I555" i="3"/>
  <c r="H555" i="3"/>
  <c r="G555" i="3"/>
  <c r="F555" i="3"/>
  <c r="D555" i="3"/>
  <c r="C555" i="3"/>
  <c r="B555" i="3"/>
  <c r="A555" i="3"/>
  <c r="J554" i="3"/>
  <c r="I554" i="3"/>
  <c r="H554" i="3"/>
  <c r="G554" i="3"/>
  <c r="F554" i="3"/>
  <c r="D554" i="3"/>
  <c r="C554" i="3"/>
  <c r="B554" i="3"/>
  <c r="A554" i="3"/>
  <c r="J553" i="3"/>
  <c r="I553" i="3"/>
  <c r="H553" i="3"/>
  <c r="G553" i="3"/>
  <c r="F553" i="3"/>
  <c r="D553" i="3"/>
  <c r="C553" i="3"/>
  <c r="B553" i="3"/>
  <c r="A553" i="3"/>
  <c r="J552" i="3"/>
  <c r="I552" i="3"/>
  <c r="H552" i="3"/>
  <c r="G552" i="3"/>
  <c r="F552" i="3"/>
  <c r="D552" i="3"/>
  <c r="C552" i="3"/>
  <c r="B552" i="3"/>
  <c r="A552" i="3"/>
  <c r="J551" i="3"/>
  <c r="I551" i="3"/>
  <c r="H551" i="3"/>
  <c r="G551" i="3"/>
  <c r="F551" i="3"/>
  <c r="D551" i="3"/>
  <c r="C551" i="3"/>
  <c r="B551" i="3"/>
  <c r="A551" i="3"/>
  <c r="J550" i="3"/>
  <c r="I550" i="3"/>
  <c r="H550" i="3"/>
  <c r="G550" i="3"/>
  <c r="F550" i="3"/>
  <c r="D550" i="3"/>
  <c r="C550" i="3"/>
  <c r="B550" i="3"/>
  <c r="A550" i="3"/>
  <c r="J549" i="3"/>
  <c r="I549" i="3"/>
  <c r="H549" i="3"/>
  <c r="G549" i="3"/>
  <c r="F549" i="3"/>
  <c r="D549" i="3"/>
  <c r="C549" i="3"/>
  <c r="B549" i="3"/>
  <c r="A549" i="3"/>
  <c r="J548" i="3"/>
  <c r="I548" i="3"/>
  <c r="H548" i="3"/>
  <c r="G548" i="3"/>
  <c r="F548" i="3"/>
  <c r="D548" i="3"/>
  <c r="C548" i="3"/>
  <c r="B548" i="3"/>
  <c r="A548" i="3"/>
  <c r="J547" i="3"/>
  <c r="I547" i="3"/>
  <c r="H547" i="3"/>
  <c r="G547" i="3"/>
  <c r="F547" i="3"/>
  <c r="D547" i="3"/>
  <c r="C547" i="3"/>
  <c r="B547" i="3"/>
  <c r="A547" i="3"/>
  <c r="J546" i="3"/>
  <c r="I546" i="3"/>
  <c r="H546" i="3"/>
  <c r="G546" i="3"/>
  <c r="F546" i="3"/>
  <c r="D546" i="3"/>
  <c r="C546" i="3"/>
  <c r="B546" i="3"/>
  <c r="A546" i="3"/>
  <c r="J545" i="3"/>
  <c r="I545" i="3"/>
  <c r="H545" i="3"/>
  <c r="G545" i="3"/>
  <c r="F545" i="3"/>
  <c r="D545" i="3"/>
  <c r="C545" i="3"/>
  <c r="B545" i="3"/>
  <c r="A545" i="3"/>
  <c r="J544" i="3"/>
  <c r="I544" i="3"/>
  <c r="H544" i="3"/>
  <c r="G544" i="3"/>
  <c r="F544" i="3"/>
  <c r="D544" i="3"/>
  <c r="C544" i="3"/>
  <c r="B544" i="3"/>
  <c r="A544" i="3"/>
  <c r="J543" i="3"/>
  <c r="I543" i="3"/>
  <c r="H543" i="3"/>
  <c r="G543" i="3"/>
  <c r="F543" i="3"/>
  <c r="D543" i="3"/>
  <c r="C543" i="3"/>
  <c r="B543" i="3"/>
  <c r="A543" i="3"/>
  <c r="J542" i="3"/>
  <c r="I542" i="3"/>
  <c r="H542" i="3"/>
  <c r="G542" i="3"/>
  <c r="F542" i="3"/>
  <c r="D542" i="3"/>
  <c r="C542" i="3"/>
  <c r="B542" i="3"/>
  <c r="A542" i="3"/>
  <c r="J541" i="3"/>
  <c r="I541" i="3"/>
  <c r="H541" i="3"/>
  <c r="G541" i="3"/>
  <c r="F541" i="3"/>
  <c r="D541" i="3"/>
  <c r="C541" i="3"/>
  <c r="B541" i="3"/>
  <c r="A541" i="3"/>
  <c r="J540" i="3"/>
  <c r="I540" i="3"/>
  <c r="H540" i="3"/>
  <c r="G540" i="3"/>
  <c r="F540" i="3"/>
  <c r="D540" i="3"/>
  <c r="C540" i="3"/>
  <c r="B540" i="3"/>
  <c r="A540" i="3"/>
  <c r="J539" i="3"/>
  <c r="I539" i="3"/>
  <c r="H539" i="3"/>
  <c r="G539" i="3"/>
  <c r="F539" i="3"/>
  <c r="D539" i="3"/>
  <c r="C539" i="3"/>
  <c r="B539" i="3"/>
  <c r="A539" i="3"/>
  <c r="J538" i="3"/>
  <c r="I538" i="3"/>
  <c r="H538" i="3"/>
  <c r="G538" i="3"/>
  <c r="F538" i="3"/>
  <c r="D538" i="3"/>
  <c r="C538" i="3"/>
  <c r="B538" i="3"/>
  <c r="A538" i="3"/>
  <c r="J537" i="3"/>
  <c r="I537" i="3"/>
  <c r="H537" i="3"/>
  <c r="G537" i="3"/>
  <c r="F537" i="3"/>
  <c r="D537" i="3"/>
  <c r="C537" i="3"/>
  <c r="B537" i="3"/>
  <c r="A537" i="3"/>
  <c r="J536" i="3"/>
  <c r="I536" i="3"/>
  <c r="H536" i="3"/>
  <c r="G536" i="3"/>
  <c r="F536" i="3"/>
  <c r="D536" i="3"/>
  <c r="C536" i="3"/>
  <c r="B536" i="3"/>
  <c r="A536" i="3"/>
  <c r="J535" i="3"/>
  <c r="I535" i="3"/>
  <c r="H535" i="3"/>
  <c r="G535" i="3"/>
  <c r="F535" i="3"/>
  <c r="D535" i="3"/>
  <c r="C535" i="3"/>
  <c r="B535" i="3"/>
  <c r="A535" i="3"/>
  <c r="J534" i="3"/>
  <c r="I534" i="3"/>
  <c r="H534" i="3"/>
  <c r="G534" i="3"/>
  <c r="F534" i="3"/>
  <c r="D534" i="3"/>
  <c r="C534" i="3"/>
  <c r="B534" i="3"/>
  <c r="A534" i="3"/>
  <c r="J533" i="3"/>
  <c r="I533" i="3"/>
  <c r="H533" i="3"/>
  <c r="G533" i="3"/>
  <c r="F533" i="3"/>
  <c r="D533" i="3"/>
  <c r="C533" i="3"/>
  <c r="B533" i="3"/>
  <c r="A533" i="3"/>
  <c r="J532" i="3"/>
  <c r="I532" i="3"/>
  <c r="H532" i="3"/>
  <c r="G532" i="3"/>
  <c r="F532" i="3"/>
  <c r="D532" i="3"/>
  <c r="C532" i="3"/>
  <c r="B532" i="3"/>
  <c r="A532" i="3"/>
  <c r="J531" i="3"/>
  <c r="I531" i="3"/>
  <c r="H531" i="3"/>
  <c r="G531" i="3"/>
  <c r="F531" i="3"/>
  <c r="D531" i="3"/>
  <c r="C531" i="3"/>
  <c r="B531" i="3"/>
  <c r="A531" i="3"/>
  <c r="J530" i="3"/>
  <c r="I530" i="3"/>
  <c r="H530" i="3"/>
  <c r="G530" i="3"/>
  <c r="F530" i="3"/>
  <c r="D530" i="3"/>
  <c r="C530" i="3"/>
  <c r="B530" i="3"/>
  <c r="A530" i="3"/>
  <c r="J529" i="3"/>
  <c r="I529" i="3"/>
  <c r="H529" i="3"/>
  <c r="G529" i="3"/>
  <c r="F529" i="3"/>
  <c r="D529" i="3"/>
  <c r="C529" i="3"/>
  <c r="B529" i="3"/>
  <c r="A529" i="3"/>
  <c r="J528" i="3"/>
  <c r="I528" i="3"/>
  <c r="H528" i="3"/>
  <c r="G528" i="3"/>
  <c r="F528" i="3"/>
  <c r="D528" i="3"/>
  <c r="C528" i="3"/>
  <c r="B528" i="3"/>
  <c r="A528" i="3"/>
  <c r="J527" i="3"/>
  <c r="I527" i="3"/>
  <c r="H527" i="3"/>
  <c r="G527" i="3"/>
  <c r="F527" i="3"/>
  <c r="D527" i="3"/>
  <c r="C527" i="3"/>
  <c r="B527" i="3"/>
  <c r="A527" i="3"/>
  <c r="J526" i="3"/>
  <c r="I526" i="3"/>
  <c r="H526" i="3"/>
  <c r="G526" i="3"/>
  <c r="F526" i="3"/>
  <c r="D526" i="3"/>
  <c r="C526" i="3"/>
  <c r="B526" i="3"/>
  <c r="A526" i="3"/>
  <c r="J525" i="3"/>
  <c r="I525" i="3"/>
  <c r="H525" i="3"/>
  <c r="G525" i="3"/>
  <c r="F525" i="3"/>
  <c r="D525" i="3"/>
  <c r="C525" i="3"/>
  <c r="B525" i="3"/>
  <c r="A525" i="3"/>
  <c r="J524" i="3"/>
  <c r="I524" i="3"/>
  <c r="H524" i="3"/>
  <c r="G524" i="3"/>
  <c r="F524" i="3"/>
  <c r="D524" i="3"/>
  <c r="C524" i="3"/>
  <c r="B524" i="3"/>
  <c r="A524" i="3"/>
  <c r="J523" i="3"/>
  <c r="I523" i="3"/>
  <c r="H523" i="3"/>
  <c r="G523" i="3"/>
  <c r="F523" i="3"/>
  <c r="D523" i="3"/>
  <c r="C523" i="3"/>
  <c r="B523" i="3"/>
  <c r="A523" i="3"/>
  <c r="J522" i="3"/>
  <c r="I522" i="3"/>
  <c r="H522" i="3"/>
  <c r="G522" i="3"/>
  <c r="F522" i="3"/>
  <c r="D522" i="3"/>
  <c r="C522" i="3"/>
  <c r="B522" i="3"/>
  <c r="A522" i="3"/>
  <c r="J521" i="3"/>
  <c r="I521" i="3"/>
  <c r="H521" i="3"/>
  <c r="G521" i="3"/>
  <c r="F521" i="3"/>
  <c r="D521" i="3"/>
  <c r="C521" i="3"/>
  <c r="B521" i="3"/>
  <c r="A521" i="3"/>
  <c r="J520" i="3"/>
  <c r="I520" i="3"/>
  <c r="H520" i="3"/>
  <c r="G520" i="3"/>
  <c r="F520" i="3"/>
  <c r="D520" i="3"/>
  <c r="C520" i="3"/>
  <c r="B520" i="3"/>
  <c r="A520" i="3"/>
  <c r="J519" i="3"/>
  <c r="I519" i="3"/>
  <c r="H519" i="3"/>
  <c r="G519" i="3"/>
  <c r="F519" i="3"/>
  <c r="D519" i="3"/>
  <c r="C519" i="3"/>
  <c r="B519" i="3"/>
  <c r="A519" i="3"/>
  <c r="J518" i="3"/>
  <c r="I518" i="3"/>
  <c r="H518" i="3"/>
  <c r="G518" i="3"/>
  <c r="F518" i="3"/>
  <c r="D518" i="3"/>
  <c r="C518" i="3"/>
  <c r="B518" i="3"/>
  <c r="A518" i="3"/>
  <c r="J517" i="3"/>
  <c r="I517" i="3"/>
  <c r="H517" i="3"/>
  <c r="G517" i="3"/>
  <c r="F517" i="3"/>
  <c r="D517" i="3"/>
  <c r="C517" i="3"/>
  <c r="B517" i="3"/>
  <c r="A517" i="3"/>
  <c r="J516" i="3"/>
  <c r="I516" i="3"/>
  <c r="H516" i="3"/>
  <c r="G516" i="3"/>
  <c r="F516" i="3"/>
  <c r="D516" i="3"/>
  <c r="C516" i="3"/>
  <c r="B516" i="3"/>
  <c r="A516" i="3"/>
  <c r="J515" i="3"/>
  <c r="I515" i="3"/>
  <c r="H515" i="3"/>
  <c r="G515" i="3"/>
  <c r="F515" i="3"/>
  <c r="D515" i="3"/>
  <c r="C515" i="3"/>
  <c r="B515" i="3"/>
  <c r="A515" i="3"/>
  <c r="J514" i="3"/>
  <c r="I514" i="3"/>
  <c r="H514" i="3"/>
  <c r="G514" i="3"/>
  <c r="F514" i="3"/>
  <c r="D514" i="3"/>
  <c r="C514" i="3"/>
  <c r="B514" i="3"/>
  <c r="A514" i="3"/>
  <c r="J513" i="3"/>
  <c r="I513" i="3"/>
  <c r="H513" i="3"/>
  <c r="G513" i="3"/>
  <c r="F513" i="3"/>
  <c r="D513" i="3"/>
  <c r="C513" i="3"/>
  <c r="B513" i="3"/>
  <c r="A513" i="3"/>
  <c r="J512" i="3"/>
  <c r="I512" i="3"/>
  <c r="H512" i="3"/>
  <c r="G512" i="3"/>
  <c r="F512" i="3"/>
  <c r="D512" i="3"/>
  <c r="C512" i="3"/>
  <c r="B512" i="3"/>
  <c r="A512" i="3"/>
  <c r="J511" i="3"/>
  <c r="I511" i="3"/>
  <c r="H511" i="3"/>
  <c r="G511" i="3"/>
  <c r="F511" i="3"/>
  <c r="D511" i="3"/>
  <c r="C511" i="3"/>
  <c r="B511" i="3"/>
  <c r="A511" i="3"/>
  <c r="J510" i="3"/>
  <c r="I510" i="3"/>
  <c r="H510" i="3"/>
  <c r="G510" i="3"/>
  <c r="F510" i="3"/>
  <c r="D510" i="3"/>
  <c r="C510" i="3"/>
  <c r="B510" i="3"/>
  <c r="A510" i="3"/>
  <c r="J509" i="3"/>
  <c r="I509" i="3"/>
  <c r="H509" i="3"/>
  <c r="G509" i="3"/>
  <c r="F509" i="3"/>
  <c r="D509" i="3"/>
  <c r="C509" i="3"/>
  <c r="B509" i="3"/>
  <c r="A509" i="3"/>
  <c r="J508" i="3"/>
  <c r="I508" i="3"/>
  <c r="H508" i="3"/>
  <c r="G508" i="3"/>
  <c r="F508" i="3"/>
  <c r="D508" i="3"/>
  <c r="C508" i="3"/>
  <c r="B508" i="3"/>
  <c r="A508" i="3"/>
  <c r="J507" i="3"/>
  <c r="I507" i="3"/>
  <c r="H507" i="3"/>
  <c r="G507" i="3"/>
  <c r="F507" i="3"/>
  <c r="D507" i="3"/>
  <c r="C507" i="3"/>
  <c r="B507" i="3"/>
  <c r="A507" i="3"/>
  <c r="J506" i="3"/>
  <c r="I506" i="3"/>
  <c r="H506" i="3"/>
  <c r="G506" i="3"/>
  <c r="F506" i="3"/>
  <c r="D506" i="3"/>
  <c r="C506" i="3"/>
  <c r="B506" i="3"/>
  <c r="A506" i="3"/>
  <c r="J505" i="3"/>
  <c r="I505" i="3"/>
  <c r="H505" i="3"/>
  <c r="G505" i="3"/>
  <c r="F505" i="3"/>
  <c r="D505" i="3"/>
  <c r="C505" i="3"/>
  <c r="B505" i="3"/>
  <c r="A505" i="3"/>
  <c r="J504" i="3"/>
  <c r="I504" i="3"/>
  <c r="H504" i="3"/>
  <c r="G504" i="3"/>
  <c r="F504" i="3"/>
  <c r="D504" i="3"/>
  <c r="C504" i="3"/>
  <c r="B504" i="3"/>
  <c r="A504" i="3"/>
  <c r="J503" i="3"/>
  <c r="I503" i="3"/>
  <c r="H503" i="3"/>
  <c r="G503" i="3"/>
  <c r="F503" i="3"/>
  <c r="D503" i="3"/>
  <c r="C503" i="3"/>
  <c r="B503" i="3"/>
  <c r="A503" i="3"/>
  <c r="J502" i="3"/>
  <c r="I502" i="3"/>
  <c r="H502" i="3"/>
  <c r="G502" i="3"/>
  <c r="F502" i="3"/>
  <c r="D502" i="3"/>
  <c r="C502" i="3"/>
  <c r="B502" i="3"/>
  <c r="A502" i="3"/>
  <c r="J501" i="3"/>
  <c r="I501" i="3"/>
  <c r="H501" i="3"/>
  <c r="G501" i="3"/>
  <c r="F501" i="3"/>
  <c r="D501" i="3"/>
  <c r="C501" i="3"/>
  <c r="B501" i="3"/>
  <c r="A501" i="3"/>
  <c r="J500" i="3"/>
  <c r="I500" i="3"/>
  <c r="H500" i="3"/>
  <c r="G500" i="3"/>
  <c r="F500" i="3"/>
  <c r="D500" i="3"/>
  <c r="C500" i="3"/>
  <c r="B500" i="3"/>
  <c r="A500" i="3"/>
  <c r="J499" i="3"/>
  <c r="I499" i="3"/>
  <c r="H499" i="3"/>
  <c r="G499" i="3"/>
  <c r="F499" i="3"/>
  <c r="D499" i="3"/>
  <c r="C499" i="3"/>
  <c r="B499" i="3"/>
  <c r="A499" i="3"/>
  <c r="J498" i="3"/>
  <c r="I498" i="3"/>
  <c r="H498" i="3"/>
  <c r="G498" i="3"/>
  <c r="F498" i="3"/>
  <c r="D498" i="3"/>
  <c r="C498" i="3"/>
  <c r="B498" i="3"/>
  <c r="A498" i="3"/>
  <c r="J497" i="3"/>
  <c r="I497" i="3"/>
  <c r="H497" i="3"/>
  <c r="G497" i="3"/>
  <c r="F497" i="3"/>
  <c r="D497" i="3"/>
  <c r="C497" i="3"/>
  <c r="B497" i="3"/>
  <c r="A497" i="3"/>
  <c r="J496" i="3"/>
  <c r="I496" i="3"/>
  <c r="H496" i="3"/>
  <c r="G496" i="3"/>
  <c r="F496" i="3"/>
  <c r="D496" i="3"/>
  <c r="C496" i="3"/>
  <c r="B496" i="3"/>
  <c r="A496" i="3"/>
  <c r="J495" i="3"/>
  <c r="I495" i="3"/>
  <c r="H495" i="3"/>
  <c r="G495" i="3"/>
  <c r="F495" i="3"/>
  <c r="D495" i="3"/>
  <c r="C495" i="3"/>
  <c r="B495" i="3"/>
  <c r="A495" i="3"/>
  <c r="J494" i="3"/>
  <c r="I494" i="3"/>
  <c r="H494" i="3"/>
  <c r="G494" i="3"/>
  <c r="F494" i="3"/>
  <c r="D494" i="3"/>
  <c r="C494" i="3"/>
  <c r="B494" i="3"/>
  <c r="A494" i="3"/>
  <c r="J493" i="3"/>
  <c r="I493" i="3"/>
  <c r="H493" i="3"/>
  <c r="G493" i="3"/>
  <c r="F493" i="3"/>
  <c r="D493" i="3"/>
  <c r="C493" i="3"/>
  <c r="B493" i="3"/>
  <c r="A493" i="3"/>
  <c r="J492" i="3"/>
  <c r="I492" i="3"/>
  <c r="H492" i="3"/>
  <c r="G492" i="3"/>
  <c r="F492" i="3"/>
  <c r="D492" i="3"/>
  <c r="C492" i="3"/>
  <c r="B492" i="3"/>
  <c r="A492" i="3"/>
  <c r="J491" i="3"/>
  <c r="I491" i="3"/>
  <c r="H491" i="3"/>
  <c r="G491" i="3"/>
  <c r="F491" i="3"/>
  <c r="D491" i="3"/>
  <c r="C491" i="3"/>
  <c r="B491" i="3"/>
  <c r="A491" i="3"/>
  <c r="J490" i="3"/>
  <c r="I490" i="3"/>
  <c r="H490" i="3"/>
  <c r="G490" i="3"/>
  <c r="F490" i="3"/>
  <c r="D490" i="3"/>
  <c r="C490" i="3"/>
  <c r="B490" i="3"/>
  <c r="A490" i="3"/>
  <c r="J489" i="3"/>
  <c r="I489" i="3"/>
  <c r="H489" i="3"/>
  <c r="G489" i="3"/>
  <c r="F489" i="3"/>
  <c r="D489" i="3"/>
  <c r="C489" i="3"/>
  <c r="B489" i="3"/>
  <c r="A489" i="3"/>
  <c r="J488" i="3"/>
  <c r="I488" i="3"/>
  <c r="H488" i="3"/>
  <c r="G488" i="3"/>
  <c r="F488" i="3"/>
  <c r="D488" i="3"/>
  <c r="C488" i="3"/>
  <c r="B488" i="3"/>
  <c r="A488" i="3"/>
  <c r="J487" i="3"/>
  <c r="I487" i="3"/>
  <c r="H487" i="3"/>
  <c r="G487" i="3"/>
  <c r="F487" i="3"/>
  <c r="D487" i="3"/>
  <c r="C487" i="3"/>
  <c r="B487" i="3"/>
  <c r="A487" i="3"/>
  <c r="J486" i="3"/>
  <c r="I486" i="3"/>
  <c r="H486" i="3"/>
  <c r="G486" i="3"/>
  <c r="F486" i="3"/>
  <c r="D486" i="3"/>
  <c r="C486" i="3"/>
  <c r="B486" i="3"/>
  <c r="A486" i="3"/>
  <c r="J485" i="3"/>
  <c r="I485" i="3"/>
  <c r="H485" i="3"/>
  <c r="G485" i="3"/>
  <c r="F485" i="3"/>
  <c r="D485" i="3"/>
  <c r="C485" i="3"/>
  <c r="B485" i="3"/>
  <c r="A485" i="3"/>
  <c r="J484" i="3"/>
  <c r="I484" i="3"/>
  <c r="H484" i="3"/>
  <c r="G484" i="3"/>
  <c r="F484" i="3"/>
  <c r="D484" i="3"/>
  <c r="C484" i="3"/>
  <c r="B484" i="3"/>
  <c r="A484" i="3"/>
  <c r="J483" i="3"/>
  <c r="I483" i="3"/>
  <c r="H483" i="3"/>
  <c r="G483" i="3"/>
  <c r="F483" i="3"/>
  <c r="D483" i="3"/>
  <c r="C483" i="3"/>
  <c r="B483" i="3"/>
  <c r="A483" i="3"/>
  <c r="J482" i="3"/>
  <c r="I482" i="3"/>
  <c r="H482" i="3"/>
  <c r="G482" i="3"/>
  <c r="F482" i="3"/>
  <c r="D482" i="3"/>
  <c r="C482" i="3"/>
  <c r="B482" i="3"/>
  <c r="A482" i="3"/>
  <c r="J481" i="3"/>
  <c r="I481" i="3"/>
  <c r="H481" i="3"/>
  <c r="G481" i="3"/>
  <c r="F481" i="3"/>
  <c r="D481" i="3"/>
  <c r="C481" i="3"/>
  <c r="B481" i="3"/>
  <c r="A481" i="3"/>
  <c r="J480" i="3"/>
  <c r="I480" i="3"/>
  <c r="H480" i="3"/>
  <c r="G480" i="3"/>
  <c r="F480" i="3"/>
  <c r="D480" i="3"/>
  <c r="C480" i="3"/>
  <c r="B480" i="3"/>
  <c r="A480" i="3"/>
  <c r="J479" i="3"/>
  <c r="I479" i="3"/>
  <c r="H479" i="3"/>
  <c r="G479" i="3"/>
  <c r="F479" i="3"/>
  <c r="D479" i="3"/>
  <c r="C479" i="3"/>
  <c r="B479" i="3"/>
  <c r="A479" i="3"/>
  <c r="J478" i="3"/>
  <c r="I478" i="3"/>
  <c r="H478" i="3"/>
  <c r="G478" i="3"/>
  <c r="F478" i="3"/>
  <c r="D478" i="3"/>
  <c r="C478" i="3"/>
  <c r="B478" i="3"/>
  <c r="A478" i="3"/>
  <c r="J477" i="3"/>
  <c r="I477" i="3"/>
  <c r="H477" i="3"/>
  <c r="G477" i="3"/>
  <c r="F477" i="3"/>
  <c r="D477" i="3"/>
  <c r="C477" i="3"/>
  <c r="B477" i="3"/>
  <c r="A477" i="3"/>
  <c r="J476" i="3"/>
  <c r="I476" i="3"/>
  <c r="H476" i="3"/>
  <c r="G476" i="3"/>
  <c r="F476" i="3"/>
  <c r="D476" i="3"/>
  <c r="C476" i="3"/>
  <c r="B476" i="3"/>
  <c r="A476" i="3"/>
  <c r="J475" i="3"/>
  <c r="I475" i="3"/>
  <c r="H475" i="3"/>
  <c r="G475" i="3"/>
  <c r="F475" i="3"/>
  <c r="D475" i="3"/>
  <c r="C475" i="3"/>
  <c r="B475" i="3"/>
  <c r="A475" i="3"/>
  <c r="J474" i="3"/>
  <c r="I474" i="3"/>
  <c r="H474" i="3"/>
  <c r="G474" i="3"/>
  <c r="F474" i="3"/>
  <c r="D474" i="3"/>
  <c r="C474" i="3"/>
  <c r="B474" i="3"/>
  <c r="A474" i="3"/>
  <c r="J473" i="3"/>
  <c r="I473" i="3"/>
  <c r="H473" i="3"/>
  <c r="G473" i="3"/>
  <c r="F473" i="3"/>
  <c r="D473" i="3"/>
  <c r="C473" i="3"/>
  <c r="B473" i="3"/>
  <c r="A473" i="3"/>
  <c r="J472" i="3"/>
  <c r="I472" i="3"/>
  <c r="H472" i="3"/>
  <c r="G472" i="3"/>
  <c r="F472" i="3"/>
  <c r="D472" i="3"/>
  <c r="C472" i="3"/>
  <c r="B472" i="3"/>
  <c r="A472" i="3"/>
  <c r="J471" i="3"/>
  <c r="I471" i="3"/>
  <c r="H471" i="3"/>
  <c r="G471" i="3"/>
  <c r="F471" i="3"/>
  <c r="D471" i="3"/>
  <c r="C471" i="3"/>
  <c r="B471" i="3"/>
  <c r="A471" i="3"/>
  <c r="J470" i="3"/>
  <c r="I470" i="3"/>
  <c r="H470" i="3"/>
  <c r="G470" i="3"/>
  <c r="F470" i="3"/>
  <c r="D470" i="3"/>
  <c r="C470" i="3"/>
  <c r="B470" i="3"/>
  <c r="A470" i="3"/>
  <c r="J469" i="3"/>
  <c r="I469" i="3"/>
  <c r="H469" i="3"/>
  <c r="G469" i="3"/>
  <c r="F469" i="3"/>
  <c r="D469" i="3"/>
  <c r="C469" i="3"/>
  <c r="B469" i="3"/>
  <c r="A469" i="3"/>
  <c r="J468" i="3"/>
  <c r="I468" i="3"/>
  <c r="H468" i="3"/>
  <c r="G468" i="3"/>
  <c r="F468" i="3"/>
  <c r="D468" i="3"/>
  <c r="C468" i="3"/>
  <c r="B468" i="3"/>
  <c r="A468" i="3"/>
  <c r="J467" i="3"/>
  <c r="I467" i="3"/>
  <c r="H467" i="3"/>
  <c r="G467" i="3"/>
  <c r="F467" i="3"/>
  <c r="D467" i="3"/>
  <c r="C467" i="3"/>
  <c r="B467" i="3"/>
  <c r="A467" i="3"/>
  <c r="J466" i="3"/>
  <c r="I466" i="3"/>
  <c r="H466" i="3"/>
  <c r="G466" i="3"/>
  <c r="F466" i="3"/>
  <c r="D466" i="3"/>
  <c r="C466" i="3"/>
  <c r="B466" i="3"/>
  <c r="A466" i="3"/>
  <c r="J465" i="3"/>
  <c r="I465" i="3"/>
  <c r="H465" i="3"/>
  <c r="G465" i="3"/>
  <c r="F465" i="3"/>
  <c r="D465" i="3"/>
  <c r="C465" i="3"/>
  <c r="B465" i="3"/>
  <c r="A465" i="3"/>
  <c r="J464" i="3"/>
  <c r="I464" i="3"/>
  <c r="H464" i="3"/>
  <c r="G464" i="3"/>
  <c r="F464" i="3"/>
  <c r="D464" i="3"/>
  <c r="C464" i="3"/>
  <c r="B464" i="3"/>
  <c r="A464" i="3"/>
  <c r="J463" i="3"/>
  <c r="I463" i="3"/>
  <c r="H463" i="3"/>
  <c r="G463" i="3"/>
  <c r="F463" i="3"/>
  <c r="D463" i="3"/>
  <c r="C463" i="3"/>
  <c r="B463" i="3"/>
  <c r="A463" i="3"/>
  <c r="J462" i="3"/>
  <c r="I462" i="3"/>
  <c r="H462" i="3"/>
  <c r="G462" i="3"/>
  <c r="F462" i="3"/>
  <c r="D462" i="3"/>
  <c r="C462" i="3"/>
  <c r="B462" i="3"/>
  <c r="A462" i="3"/>
  <c r="J461" i="3"/>
  <c r="I461" i="3"/>
  <c r="H461" i="3"/>
  <c r="G461" i="3"/>
  <c r="F461" i="3"/>
  <c r="D461" i="3"/>
  <c r="C461" i="3"/>
  <c r="B461" i="3"/>
  <c r="A461" i="3"/>
  <c r="J460" i="3"/>
  <c r="I460" i="3"/>
  <c r="H460" i="3"/>
  <c r="G460" i="3"/>
  <c r="F460" i="3"/>
  <c r="D460" i="3"/>
  <c r="C460" i="3"/>
  <c r="B460" i="3"/>
  <c r="A460" i="3"/>
  <c r="J459" i="3"/>
  <c r="I459" i="3"/>
  <c r="H459" i="3"/>
  <c r="G459" i="3"/>
  <c r="F459" i="3"/>
  <c r="D459" i="3"/>
  <c r="C459" i="3"/>
  <c r="B459" i="3"/>
  <c r="A459" i="3"/>
  <c r="J458" i="3"/>
  <c r="I458" i="3"/>
  <c r="H458" i="3"/>
  <c r="G458" i="3"/>
  <c r="F458" i="3"/>
  <c r="D458" i="3"/>
  <c r="C458" i="3"/>
  <c r="B458" i="3"/>
  <c r="A458" i="3"/>
  <c r="J457" i="3"/>
  <c r="I457" i="3"/>
  <c r="H457" i="3"/>
  <c r="G457" i="3"/>
  <c r="F457" i="3"/>
  <c r="D457" i="3"/>
  <c r="C457" i="3"/>
  <c r="B457" i="3"/>
  <c r="A457" i="3"/>
  <c r="J456" i="3"/>
  <c r="I456" i="3"/>
  <c r="H456" i="3"/>
  <c r="G456" i="3"/>
  <c r="F456" i="3"/>
  <c r="D456" i="3"/>
  <c r="C456" i="3"/>
  <c r="B456" i="3"/>
  <c r="A456" i="3"/>
  <c r="J455" i="3"/>
  <c r="I455" i="3"/>
  <c r="H455" i="3"/>
  <c r="G455" i="3"/>
  <c r="F455" i="3"/>
  <c r="D455" i="3"/>
  <c r="C455" i="3"/>
  <c r="B455" i="3"/>
  <c r="A455" i="3"/>
  <c r="J454" i="3"/>
  <c r="I454" i="3"/>
  <c r="H454" i="3"/>
  <c r="G454" i="3"/>
  <c r="F454" i="3"/>
  <c r="D454" i="3"/>
  <c r="C454" i="3"/>
  <c r="B454" i="3"/>
  <c r="A454" i="3"/>
  <c r="J453" i="3"/>
  <c r="I453" i="3"/>
  <c r="H453" i="3"/>
  <c r="G453" i="3"/>
  <c r="F453" i="3"/>
  <c r="D453" i="3"/>
  <c r="C453" i="3"/>
  <c r="B453" i="3"/>
  <c r="A453" i="3"/>
  <c r="J452" i="3"/>
  <c r="I452" i="3"/>
  <c r="H452" i="3"/>
  <c r="G452" i="3"/>
  <c r="F452" i="3"/>
  <c r="D452" i="3"/>
  <c r="C452" i="3"/>
  <c r="B452" i="3"/>
  <c r="A452" i="3"/>
  <c r="J451" i="3"/>
  <c r="I451" i="3"/>
  <c r="H451" i="3"/>
  <c r="G451" i="3"/>
  <c r="F451" i="3"/>
  <c r="D451" i="3"/>
  <c r="C451" i="3"/>
  <c r="B451" i="3"/>
  <c r="A451" i="3"/>
  <c r="J450" i="3"/>
  <c r="I450" i="3"/>
  <c r="H450" i="3"/>
  <c r="G450" i="3"/>
  <c r="F450" i="3"/>
  <c r="D450" i="3"/>
  <c r="C450" i="3"/>
  <c r="B450" i="3"/>
  <c r="A450" i="3"/>
  <c r="J449" i="3"/>
  <c r="I449" i="3"/>
  <c r="H449" i="3"/>
  <c r="G449" i="3"/>
  <c r="F449" i="3"/>
  <c r="D449" i="3"/>
  <c r="C449" i="3"/>
  <c r="B449" i="3"/>
  <c r="A449" i="3"/>
  <c r="J448" i="3"/>
  <c r="I448" i="3"/>
  <c r="H448" i="3"/>
  <c r="G448" i="3"/>
  <c r="F448" i="3"/>
  <c r="D448" i="3"/>
  <c r="C448" i="3"/>
  <c r="B448" i="3"/>
  <c r="A448" i="3"/>
  <c r="J447" i="3"/>
  <c r="I447" i="3"/>
  <c r="H447" i="3"/>
  <c r="G447" i="3"/>
  <c r="F447" i="3"/>
  <c r="D447" i="3"/>
  <c r="C447" i="3"/>
  <c r="B447" i="3"/>
  <c r="A447" i="3"/>
  <c r="J446" i="3"/>
  <c r="I446" i="3"/>
  <c r="H446" i="3"/>
  <c r="G446" i="3"/>
  <c r="F446" i="3"/>
  <c r="D446" i="3"/>
  <c r="C446" i="3"/>
  <c r="B446" i="3"/>
  <c r="A446" i="3"/>
  <c r="J445" i="3"/>
  <c r="I445" i="3"/>
  <c r="H445" i="3"/>
  <c r="G445" i="3"/>
  <c r="F445" i="3"/>
  <c r="D445" i="3"/>
  <c r="C445" i="3"/>
  <c r="B445" i="3"/>
  <c r="A445" i="3"/>
  <c r="J444" i="3"/>
  <c r="I444" i="3"/>
  <c r="H444" i="3"/>
  <c r="G444" i="3"/>
  <c r="F444" i="3"/>
  <c r="D444" i="3"/>
  <c r="C444" i="3"/>
  <c r="B444" i="3"/>
  <c r="A444" i="3"/>
  <c r="J443" i="3"/>
  <c r="I443" i="3"/>
  <c r="H443" i="3"/>
  <c r="G443" i="3"/>
  <c r="F443" i="3"/>
  <c r="D443" i="3"/>
  <c r="C443" i="3"/>
  <c r="B443" i="3"/>
  <c r="A443" i="3"/>
  <c r="J442" i="3"/>
  <c r="I442" i="3"/>
  <c r="H442" i="3"/>
  <c r="G442" i="3"/>
  <c r="F442" i="3"/>
  <c r="D442" i="3"/>
  <c r="C442" i="3"/>
  <c r="B442" i="3"/>
  <c r="A442" i="3"/>
  <c r="J441" i="3"/>
  <c r="I441" i="3"/>
  <c r="H441" i="3"/>
  <c r="G441" i="3"/>
  <c r="F441" i="3"/>
  <c r="D441" i="3"/>
  <c r="C441" i="3"/>
  <c r="B441" i="3"/>
  <c r="A441" i="3"/>
  <c r="J440" i="3"/>
  <c r="I440" i="3"/>
  <c r="H440" i="3"/>
  <c r="G440" i="3"/>
  <c r="F440" i="3"/>
  <c r="D440" i="3"/>
  <c r="C440" i="3"/>
  <c r="B440" i="3"/>
  <c r="A440" i="3"/>
  <c r="J439" i="3"/>
  <c r="I439" i="3"/>
  <c r="H439" i="3"/>
  <c r="G439" i="3"/>
  <c r="F439" i="3"/>
  <c r="D439" i="3"/>
  <c r="C439" i="3"/>
  <c r="B439" i="3"/>
  <c r="A439" i="3"/>
  <c r="J438" i="3"/>
  <c r="I438" i="3"/>
  <c r="H438" i="3"/>
  <c r="G438" i="3"/>
  <c r="F438" i="3"/>
  <c r="D438" i="3"/>
  <c r="C438" i="3"/>
  <c r="B438" i="3"/>
  <c r="A438" i="3"/>
  <c r="J437" i="3"/>
  <c r="I437" i="3"/>
  <c r="H437" i="3"/>
  <c r="G437" i="3"/>
  <c r="F437" i="3"/>
  <c r="D437" i="3"/>
  <c r="C437" i="3"/>
  <c r="B437" i="3"/>
  <c r="A437" i="3"/>
  <c r="J436" i="3"/>
  <c r="I436" i="3"/>
  <c r="H436" i="3"/>
  <c r="G436" i="3"/>
  <c r="F436" i="3"/>
  <c r="D436" i="3"/>
  <c r="C436" i="3"/>
  <c r="B436" i="3"/>
  <c r="A436" i="3"/>
  <c r="J435" i="3"/>
  <c r="I435" i="3"/>
  <c r="H435" i="3"/>
  <c r="G435" i="3"/>
  <c r="F435" i="3"/>
  <c r="D435" i="3"/>
  <c r="C435" i="3"/>
  <c r="B435" i="3"/>
  <c r="A435" i="3"/>
  <c r="J434" i="3"/>
  <c r="I434" i="3"/>
  <c r="H434" i="3"/>
  <c r="G434" i="3"/>
  <c r="F434" i="3"/>
  <c r="D434" i="3"/>
  <c r="C434" i="3"/>
  <c r="B434" i="3"/>
  <c r="A434" i="3"/>
  <c r="J433" i="3"/>
  <c r="I433" i="3"/>
  <c r="H433" i="3"/>
  <c r="G433" i="3"/>
  <c r="F433" i="3"/>
  <c r="D433" i="3"/>
  <c r="C433" i="3"/>
  <c r="B433" i="3"/>
  <c r="A433" i="3"/>
  <c r="J432" i="3"/>
  <c r="I432" i="3"/>
  <c r="H432" i="3"/>
  <c r="G432" i="3"/>
  <c r="F432" i="3"/>
  <c r="D432" i="3"/>
  <c r="C432" i="3"/>
  <c r="B432" i="3"/>
  <c r="A432" i="3"/>
  <c r="J431" i="3"/>
  <c r="I431" i="3"/>
  <c r="H431" i="3"/>
  <c r="G431" i="3"/>
  <c r="F431" i="3"/>
  <c r="D431" i="3"/>
  <c r="C431" i="3"/>
  <c r="B431" i="3"/>
  <c r="A431" i="3"/>
  <c r="J430" i="3"/>
  <c r="I430" i="3"/>
  <c r="H430" i="3"/>
  <c r="G430" i="3"/>
  <c r="F430" i="3"/>
  <c r="D430" i="3"/>
  <c r="C430" i="3"/>
  <c r="B430" i="3"/>
  <c r="A430" i="3"/>
  <c r="J429" i="3"/>
  <c r="I429" i="3"/>
  <c r="H429" i="3"/>
  <c r="G429" i="3"/>
  <c r="F429" i="3"/>
  <c r="D429" i="3"/>
  <c r="C429" i="3"/>
  <c r="B429" i="3"/>
  <c r="A429" i="3"/>
  <c r="J428" i="3"/>
  <c r="I428" i="3"/>
  <c r="H428" i="3"/>
  <c r="G428" i="3"/>
  <c r="F428" i="3"/>
  <c r="D428" i="3"/>
  <c r="C428" i="3"/>
  <c r="B428" i="3"/>
  <c r="A428" i="3"/>
  <c r="J427" i="3"/>
  <c r="I427" i="3"/>
  <c r="H427" i="3"/>
  <c r="G427" i="3"/>
  <c r="F427" i="3"/>
  <c r="D427" i="3"/>
  <c r="C427" i="3"/>
  <c r="B427" i="3"/>
  <c r="A427" i="3"/>
  <c r="J426" i="3"/>
  <c r="I426" i="3"/>
  <c r="H426" i="3"/>
  <c r="G426" i="3"/>
  <c r="F426" i="3"/>
  <c r="D426" i="3"/>
  <c r="C426" i="3"/>
  <c r="B426" i="3"/>
  <c r="A426" i="3"/>
  <c r="J425" i="3"/>
  <c r="I425" i="3"/>
  <c r="H425" i="3"/>
  <c r="G425" i="3"/>
  <c r="F425" i="3"/>
  <c r="D425" i="3"/>
  <c r="C425" i="3"/>
  <c r="B425" i="3"/>
  <c r="A425" i="3"/>
  <c r="J424" i="3"/>
  <c r="I424" i="3"/>
  <c r="H424" i="3"/>
  <c r="G424" i="3"/>
  <c r="F424" i="3"/>
  <c r="D424" i="3"/>
  <c r="C424" i="3"/>
  <c r="B424" i="3"/>
  <c r="A424" i="3"/>
  <c r="J423" i="3"/>
  <c r="I423" i="3"/>
  <c r="H423" i="3"/>
  <c r="G423" i="3"/>
  <c r="F423" i="3"/>
  <c r="D423" i="3"/>
  <c r="C423" i="3"/>
  <c r="B423" i="3"/>
  <c r="A423" i="3"/>
  <c r="J422" i="3"/>
  <c r="I422" i="3"/>
  <c r="H422" i="3"/>
  <c r="G422" i="3"/>
  <c r="F422" i="3"/>
  <c r="D422" i="3"/>
  <c r="C422" i="3"/>
  <c r="B422" i="3"/>
  <c r="A422" i="3"/>
  <c r="J421" i="3"/>
  <c r="I421" i="3"/>
  <c r="H421" i="3"/>
  <c r="G421" i="3"/>
  <c r="F421" i="3"/>
  <c r="D421" i="3"/>
  <c r="C421" i="3"/>
  <c r="B421" i="3"/>
  <c r="A421" i="3"/>
  <c r="J420" i="3"/>
  <c r="I420" i="3"/>
  <c r="H420" i="3"/>
  <c r="G420" i="3"/>
  <c r="F420" i="3"/>
  <c r="D420" i="3"/>
  <c r="C420" i="3"/>
  <c r="B420" i="3"/>
  <c r="A420" i="3"/>
  <c r="J419" i="3"/>
  <c r="I419" i="3"/>
  <c r="H419" i="3"/>
  <c r="G419" i="3"/>
  <c r="F419" i="3"/>
  <c r="D419" i="3"/>
  <c r="C419" i="3"/>
  <c r="B419" i="3"/>
  <c r="A419" i="3"/>
  <c r="J418" i="3"/>
  <c r="I418" i="3"/>
  <c r="H418" i="3"/>
  <c r="G418" i="3"/>
  <c r="F418" i="3"/>
  <c r="D418" i="3"/>
  <c r="C418" i="3"/>
  <c r="B418" i="3"/>
  <c r="A418" i="3"/>
  <c r="J417" i="3"/>
  <c r="I417" i="3"/>
  <c r="H417" i="3"/>
  <c r="G417" i="3"/>
  <c r="F417" i="3"/>
  <c r="D417" i="3"/>
  <c r="C417" i="3"/>
  <c r="B417" i="3"/>
  <c r="A417" i="3"/>
  <c r="J416" i="3"/>
  <c r="I416" i="3"/>
  <c r="H416" i="3"/>
  <c r="G416" i="3"/>
  <c r="F416" i="3"/>
  <c r="D416" i="3"/>
  <c r="C416" i="3"/>
  <c r="B416" i="3"/>
  <c r="A416" i="3"/>
  <c r="J415" i="3"/>
  <c r="I415" i="3"/>
  <c r="H415" i="3"/>
  <c r="G415" i="3"/>
  <c r="F415" i="3"/>
  <c r="D415" i="3"/>
  <c r="C415" i="3"/>
  <c r="B415" i="3"/>
  <c r="A415" i="3"/>
  <c r="J414" i="3"/>
  <c r="I414" i="3"/>
  <c r="H414" i="3"/>
  <c r="G414" i="3"/>
  <c r="F414" i="3"/>
  <c r="D414" i="3"/>
  <c r="C414" i="3"/>
  <c r="B414" i="3"/>
  <c r="A414" i="3"/>
  <c r="J413" i="3"/>
  <c r="I413" i="3"/>
  <c r="H413" i="3"/>
  <c r="G413" i="3"/>
  <c r="F413" i="3"/>
  <c r="D413" i="3"/>
  <c r="C413" i="3"/>
  <c r="B413" i="3"/>
  <c r="A413" i="3"/>
  <c r="J412" i="3"/>
  <c r="I412" i="3"/>
  <c r="H412" i="3"/>
  <c r="G412" i="3"/>
  <c r="F412" i="3"/>
  <c r="D412" i="3"/>
  <c r="C412" i="3"/>
  <c r="B412" i="3"/>
  <c r="A412" i="3"/>
  <c r="J411" i="3"/>
  <c r="I411" i="3"/>
  <c r="H411" i="3"/>
  <c r="G411" i="3"/>
  <c r="F411" i="3"/>
  <c r="D411" i="3"/>
  <c r="C411" i="3"/>
  <c r="B411" i="3"/>
  <c r="A411" i="3"/>
  <c r="J410" i="3"/>
  <c r="I410" i="3"/>
  <c r="H410" i="3"/>
  <c r="G410" i="3"/>
  <c r="F410" i="3"/>
  <c r="D410" i="3"/>
  <c r="C410" i="3"/>
  <c r="B410" i="3"/>
  <c r="A410" i="3"/>
  <c r="J409" i="3"/>
  <c r="I409" i="3"/>
  <c r="H409" i="3"/>
  <c r="G409" i="3"/>
  <c r="F409" i="3"/>
  <c r="D409" i="3"/>
  <c r="C409" i="3"/>
  <c r="B409" i="3"/>
  <c r="A409" i="3"/>
  <c r="J408" i="3"/>
  <c r="I408" i="3"/>
  <c r="H408" i="3"/>
  <c r="G408" i="3"/>
  <c r="F408" i="3"/>
  <c r="D408" i="3"/>
  <c r="C408" i="3"/>
  <c r="B408" i="3"/>
  <c r="A408" i="3"/>
  <c r="J407" i="3"/>
  <c r="I407" i="3"/>
  <c r="H407" i="3"/>
  <c r="G407" i="3"/>
  <c r="F407" i="3"/>
  <c r="D407" i="3"/>
  <c r="C407" i="3"/>
  <c r="B407" i="3"/>
  <c r="A407" i="3"/>
  <c r="J406" i="3"/>
  <c r="I406" i="3"/>
  <c r="H406" i="3"/>
  <c r="G406" i="3"/>
  <c r="F406" i="3"/>
  <c r="D406" i="3"/>
  <c r="C406" i="3"/>
  <c r="B406" i="3"/>
  <c r="A406" i="3"/>
  <c r="J405" i="3"/>
  <c r="I405" i="3"/>
  <c r="H405" i="3"/>
  <c r="G405" i="3"/>
  <c r="F405" i="3"/>
  <c r="D405" i="3"/>
  <c r="C405" i="3"/>
  <c r="B405" i="3"/>
  <c r="A405" i="3"/>
  <c r="J404" i="3"/>
  <c r="I404" i="3"/>
  <c r="H404" i="3"/>
  <c r="G404" i="3"/>
  <c r="F404" i="3"/>
  <c r="D404" i="3"/>
  <c r="C404" i="3"/>
  <c r="B404" i="3"/>
  <c r="A404" i="3"/>
  <c r="J403" i="3"/>
  <c r="I403" i="3"/>
  <c r="H403" i="3"/>
  <c r="G403" i="3"/>
  <c r="F403" i="3"/>
  <c r="D403" i="3"/>
  <c r="C403" i="3"/>
  <c r="B403" i="3"/>
  <c r="A403" i="3"/>
  <c r="J402" i="3"/>
  <c r="I402" i="3"/>
  <c r="H402" i="3"/>
  <c r="G402" i="3"/>
  <c r="F402" i="3"/>
  <c r="D402" i="3"/>
  <c r="C402" i="3"/>
  <c r="B402" i="3"/>
  <c r="A402" i="3"/>
  <c r="J401" i="3"/>
  <c r="I401" i="3"/>
  <c r="H401" i="3"/>
  <c r="G401" i="3"/>
  <c r="F401" i="3"/>
  <c r="D401" i="3"/>
  <c r="C401" i="3"/>
  <c r="B401" i="3"/>
  <c r="A401" i="3"/>
  <c r="J400" i="3"/>
  <c r="I400" i="3"/>
  <c r="H400" i="3"/>
  <c r="G400" i="3"/>
  <c r="F400" i="3"/>
  <c r="D400" i="3"/>
  <c r="C400" i="3"/>
  <c r="B400" i="3"/>
  <c r="A400" i="3"/>
  <c r="J399" i="3"/>
  <c r="I399" i="3"/>
  <c r="H399" i="3"/>
  <c r="G399" i="3"/>
  <c r="F399" i="3"/>
  <c r="D399" i="3"/>
  <c r="C399" i="3"/>
  <c r="B399" i="3"/>
  <c r="A399" i="3"/>
  <c r="J398" i="3"/>
  <c r="I398" i="3"/>
  <c r="H398" i="3"/>
  <c r="G398" i="3"/>
  <c r="F398" i="3"/>
  <c r="D398" i="3"/>
  <c r="C398" i="3"/>
  <c r="B398" i="3"/>
  <c r="A398" i="3"/>
  <c r="J397" i="3"/>
  <c r="I397" i="3"/>
  <c r="H397" i="3"/>
  <c r="G397" i="3"/>
  <c r="F397" i="3"/>
  <c r="D397" i="3"/>
  <c r="C397" i="3"/>
  <c r="B397" i="3"/>
  <c r="A397" i="3"/>
  <c r="J396" i="3"/>
  <c r="I396" i="3"/>
  <c r="H396" i="3"/>
  <c r="G396" i="3"/>
  <c r="F396" i="3"/>
  <c r="D396" i="3"/>
  <c r="C396" i="3"/>
  <c r="B396" i="3"/>
  <c r="A396" i="3"/>
  <c r="J395" i="3"/>
  <c r="I395" i="3"/>
  <c r="H395" i="3"/>
  <c r="G395" i="3"/>
  <c r="F395" i="3"/>
  <c r="D395" i="3"/>
  <c r="C395" i="3"/>
  <c r="B395" i="3"/>
  <c r="A395" i="3"/>
  <c r="J394" i="3"/>
  <c r="I394" i="3"/>
  <c r="H394" i="3"/>
  <c r="G394" i="3"/>
  <c r="F394" i="3"/>
  <c r="D394" i="3"/>
  <c r="C394" i="3"/>
  <c r="B394" i="3"/>
  <c r="A394" i="3"/>
  <c r="J393" i="3"/>
  <c r="I393" i="3"/>
  <c r="H393" i="3"/>
  <c r="G393" i="3"/>
  <c r="F393" i="3"/>
  <c r="D393" i="3"/>
  <c r="C393" i="3"/>
  <c r="B393" i="3"/>
  <c r="A393" i="3"/>
  <c r="J392" i="3"/>
  <c r="I392" i="3"/>
  <c r="H392" i="3"/>
  <c r="G392" i="3"/>
  <c r="F392" i="3"/>
  <c r="D392" i="3"/>
  <c r="C392" i="3"/>
  <c r="B392" i="3"/>
  <c r="A392" i="3"/>
  <c r="J391" i="3"/>
  <c r="I391" i="3"/>
  <c r="H391" i="3"/>
  <c r="G391" i="3"/>
  <c r="F391" i="3"/>
  <c r="D391" i="3"/>
  <c r="C391" i="3"/>
  <c r="B391" i="3"/>
  <c r="A391" i="3"/>
  <c r="J390" i="3"/>
  <c r="I390" i="3"/>
  <c r="H390" i="3"/>
  <c r="G390" i="3"/>
  <c r="F390" i="3"/>
  <c r="D390" i="3"/>
  <c r="C390" i="3"/>
  <c r="B390" i="3"/>
  <c r="A390" i="3"/>
  <c r="J389" i="3"/>
  <c r="I389" i="3"/>
  <c r="H389" i="3"/>
  <c r="G389" i="3"/>
  <c r="F389" i="3"/>
  <c r="D389" i="3"/>
  <c r="C389" i="3"/>
  <c r="B389" i="3"/>
  <c r="A389" i="3"/>
  <c r="J388" i="3"/>
  <c r="I388" i="3"/>
  <c r="H388" i="3"/>
  <c r="G388" i="3"/>
  <c r="F388" i="3"/>
  <c r="D388" i="3"/>
  <c r="C388" i="3"/>
  <c r="B388" i="3"/>
  <c r="A388" i="3"/>
  <c r="J387" i="3"/>
  <c r="I387" i="3"/>
  <c r="H387" i="3"/>
  <c r="G387" i="3"/>
  <c r="F387" i="3"/>
  <c r="D387" i="3"/>
  <c r="C387" i="3"/>
  <c r="B387" i="3"/>
  <c r="A387" i="3"/>
  <c r="J386" i="3"/>
  <c r="I386" i="3"/>
  <c r="H386" i="3"/>
  <c r="G386" i="3"/>
  <c r="F386" i="3"/>
  <c r="D386" i="3"/>
  <c r="C386" i="3"/>
  <c r="B386" i="3"/>
  <c r="A386" i="3"/>
  <c r="J385" i="3"/>
  <c r="I385" i="3"/>
  <c r="H385" i="3"/>
  <c r="G385" i="3"/>
  <c r="F385" i="3"/>
  <c r="D385" i="3"/>
  <c r="C385" i="3"/>
  <c r="B385" i="3"/>
  <c r="A385" i="3"/>
  <c r="J384" i="3"/>
  <c r="I384" i="3"/>
  <c r="H384" i="3"/>
  <c r="G384" i="3"/>
  <c r="F384" i="3"/>
  <c r="D384" i="3"/>
  <c r="C384" i="3"/>
  <c r="B384" i="3"/>
  <c r="A384" i="3"/>
  <c r="J383" i="3"/>
  <c r="I383" i="3"/>
  <c r="H383" i="3"/>
  <c r="G383" i="3"/>
  <c r="F383" i="3"/>
  <c r="D383" i="3"/>
  <c r="C383" i="3"/>
  <c r="B383" i="3"/>
  <c r="A383" i="3"/>
  <c r="J382" i="3"/>
  <c r="I382" i="3"/>
  <c r="H382" i="3"/>
  <c r="G382" i="3"/>
  <c r="F382" i="3"/>
  <c r="D382" i="3"/>
  <c r="C382" i="3"/>
  <c r="B382" i="3"/>
  <c r="A382" i="3"/>
  <c r="J381" i="3"/>
  <c r="I381" i="3"/>
  <c r="H381" i="3"/>
  <c r="G381" i="3"/>
  <c r="F381" i="3"/>
  <c r="D381" i="3"/>
  <c r="C381" i="3"/>
  <c r="B381" i="3"/>
  <c r="A381" i="3"/>
  <c r="J380" i="3"/>
  <c r="I380" i="3"/>
  <c r="H380" i="3"/>
  <c r="G380" i="3"/>
  <c r="F380" i="3"/>
  <c r="D380" i="3"/>
  <c r="C380" i="3"/>
  <c r="B380" i="3"/>
  <c r="A380" i="3"/>
  <c r="J379" i="3"/>
  <c r="I379" i="3"/>
  <c r="H379" i="3"/>
  <c r="G379" i="3"/>
  <c r="F379" i="3"/>
  <c r="D379" i="3"/>
  <c r="C379" i="3"/>
  <c r="B379" i="3"/>
  <c r="A379" i="3"/>
  <c r="J378" i="3"/>
  <c r="I378" i="3"/>
  <c r="H378" i="3"/>
  <c r="G378" i="3"/>
  <c r="F378" i="3"/>
  <c r="D378" i="3"/>
  <c r="C378" i="3"/>
  <c r="B378" i="3"/>
  <c r="A378" i="3"/>
  <c r="J377" i="3"/>
  <c r="I377" i="3"/>
  <c r="H377" i="3"/>
  <c r="G377" i="3"/>
  <c r="F377" i="3"/>
  <c r="D377" i="3"/>
  <c r="C377" i="3"/>
  <c r="B377" i="3"/>
  <c r="A377" i="3"/>
  <c r="J376" i="3"/>
  <c r="I376" i="3"/>
  <c r="H376" i="3"/>
  <c r="G376" i="3"/>
  <c r="F376" i="3"/>
  <c r="D376" i="3"/>
  <c r="C376" i="3"/>
  <c r="B376" i="3"/>
  <c r="A376" i="3"/>
  <c r="J375" i="3"/>
  <c r="I375" i="3"/>
  <c r="H375" i="3"/>
  <c r="G375" i="3"/>
  <c r="F375" i="3"/>
  <c r="D375" i="3"/>
  <c r="C375" i="3"/>
  <c r="B375" i="3"/>
  <c r="A375" i="3"/>
  <c r="J374" i="3"/>
  <c r="I374" i="3"/>
  <c r="H374" i="3"/>
  <c r="G374" i="3"/>
  <c r="F374" i="3"/>
  <c r="D374" i="3"/>
  <c r="C374" i="3"/>
  <c r="B374" i="3"/>
  <c r="A374" i="3"/>
  <c r="J373" i="3"/>
  <c r="I373" i="3"/>
  <c r="H373" i="3"/>
  <c r="G373" i="3"/>
  <c r="F373" i="3"/>
  <c r="D373" i="3"/>
  <c r="C373" i="3"/>
  <c r="B373" i="3"/>
  <c r="A373" i="3"/>
  <c r="J372" i="3"/>
  <c r="I372" i="3"/>
  <c r="H372" i="3"/>
  <c r="G372" i="3"/>
  <c r="F372" i="3"/>
  <c r="D372" i="3"/>
  <c r="C372" i="3"/>
  <c r="B372" i="3"/>
  <c r="A372" i="3"/>
  <c r="J371" i="3"/>
  <c r="I371" i="3"/>
  <c r="H371" i="3"/>
  <c r="G371" i="3"/>
  <c r="F371" i="3"/>
  <c r="D371" i="3"/>
  <c r="C371" i="3"/>
  <c r="B371" i="3"/>
  <c r="A371" i="3"/>
  <c r="J370" i="3"/>
  <c r="I370" i="3"/>
  <c r="H370" i="3"/>
  <c r="G370" i="3"/>
  <c r="F370" i="3"/>
  <c r="D370" i="3"/>
  <c r="C370" i="3"/>
  <c r="B370" i="3"/>
  <c r="A370" i="3"/>
  <c r="J369" i="3"/>
  <c r="I369" i="3"/>
  <c r="H369" i="3"/>
  <c r="G369" i="3"/>
  <c r="F369" i="3"/>
  <c r="D369" i="3"/>
  <c r="C369" i="3"/>
  <c r="B369" i="3"/>
  <c r="A369" i="3"/>
  <c r="J368" i="3"/>
  <c r="I368" i="3"/>
  <c r="H368" i="3"/>
  <c r="G368" i="3"/>
  <c r="F368" i="3"/>
  <c r="D368" i="3"/>
  <c r="C368" i="3"/>
  <c r="B368" i="3"/>
  <c r="A368" i="3"/>
  <c r="J367" i="3"/>
  <c r="I367" i="3"/>
  <c r="H367" i="3"/>
  <c r="G367" i="3"/>
  <c r="F367" i="3"/>
  <c r="D367" i="3"/>
  <c r="C367" i="3"/>
  <c r="B367" i="3"/>
  <c r="A367" i="3"/>
  <c r="J366" i="3"/>
  <c r="I366" i="3"/>
  <c r="H366" i="3"/>
  <c r="G366" i="3"/>
  <c r="F366" i="3"/>
  <c r="D366" i="3"/>
  <c r="C366" i="3"/>
  <c r="B366" i="3"/>
  <c r="A366" i="3"/>
  <c r="J365" i="3"/>
  <c r="I365" i="3"/>
  <c r="H365" i="3"/>
  <c r="G365" i="3"/>
  <c r="F365" i="3"/>
  <c r="D365" i="3"/>
  <c r="C365" i="3"/>
  <c r="B365" i="3"/>
  <c r="A365" i="3"/>
  <c r="J364" i="3"/>
  <c r="I364" i="3"/>
  <c r="H364" i="3"/>
  <c r="G364" i="3"/>
  <c r="F364" i="3"/>
  <c r="D364" i="3"/>
  <c r="C364" i="3"/>
  <c r="B364" i="3"/>
  <c r="A364" i="3"/>
  <c r="J363" i="3"/>
  <c r="I363" i="3"/>
  <c r="H363" i="3"/>
  <c r="G363" i="3"/>
  <c r="F363" i="3"/>
  <c r="D363" i="3"/>
  <c r="C363" i="3"/>
  <c r="B363" i="3"/>
  <c r="A363" i="3"/>
  <c r="J362" i="3"/>
  <c r="I362" i="3"/>
  <c r="H362" i="3"/>
  <c r="G362" i="3"/>
  <c r="F362" i="3"/>
  <c r="D362" i="3"/>
  <c r="C362" i="3"/>
  <c r="B362" i="3"/>
  <c r="A362" i="3"/>
  <c r="J361" i="3"/>
  <c r="I361" i="3"/>
  <c r="H361" i="3"/>
  <c r="G361" i="3"/>
  <c r="F361" i="3"/>
  <c r="D361" i="3"/>
  <c r="C361" i="3"/>
  <c r="B361" i="3"/>
  <c r="A361" i="3"/>
  <c r="J360" i="3"/>
  <c r="I360" i="3"/>
  <c r="H360" i="3"/>
  <c r="G360" i="3"/>
  <c r="F360" i="3"/>
  <c r="D360" i="3"/>
  <c r="C360" i="3"/>
  <c r="B360" i="3"/>
  <c r="A360" i="3"/>
  <c r="J359" i="3"/>
  <c r="I359" i="3"/>
  <c r="H359" i="3"/>
  <c r="G359" i="3"/>
  <c r="F359" i="3"/>
  <c r="D359" i="3"/>
  <c r="C359" i="3"/>
  <c r="B359" i="3"/>
  <c r="A359" i="3"/>
  <c r="J358" i="3"/>
  <c r="I358" i="3"/>
  <c r="H358" i="3"/>
  <c r="G358" i="3"/>
  <c r="F358" i="3"/>
  <c r="D358" i="3"/>
  <c r="C358" i="3"/>
  <c r="B358" i="3"/>
  <c r="A358" i="3"/>
  <c r="J357" i="3"/>
  <c r="I357" i="3"/>
  <c r="H357" i="3"/>
  <c r="G357" i="3"/>
  <c r="F357" i="3"/>
  <c r="D357" i="3"/>
  <c r="C357" i="3"/>
  <c r="B357" i="3"/>
  <c r="A357" i="3"/>
  <c r="J356" i="3"/>
  <c r="I356" i="3"/>
  <c r="H356" i="3"/>
  <c r="G356" i="3"/>
  <c r="F356" i="3"/>
  <c r="D356" i="3"/>
  <c r="C356" i="3"/>
  <c r="B356" i="3"/>
  <c r="A356" i="3"/>
  <c r="J355" i="3"/>
  <c r="I355" i="3"/>
  <c r="H355" i="3"/>
  <c r="G355" i="3"/>
  <c r="F355" i="3"/>
  <c r="D355" i="3"/>
  <c r="C355" i="3"/>
  <c r="B355" i="3"/>
  <c r="A355" i="3"/>
  <c r="J354" i="3"/>
  <c r="I354" i="3"/>
  <c r="H354" i="3"/>
  <c r="G354" i="3"/>
  <c r="F354" i="3"/>
  <c r="D354" i="3"/>
  <c r="C354" i="3"/>
  <c r="B354" i="3"/>
  <c r="A354" i="3"/>
  <c r="J353" i="3"/>
  <c r="I353" i="3"/>
  <c r="H353" i="3"/>
  <c r="G353" i="3"/>
  <c r="F353" i="3"/>
  <c r="D353" i="3"/>
  <c r="C353" i="3"/>
  <c r="B353" i="3"/>
  <c r="A353" i="3"/>
  <c r="J352" i="3"/>
  <c r="I352" i="3"/>
  <c r="H352" i="3"/>
  <c r="G352" i="3"/>
  <c r="F352" i="3"/>
  <c r="D352" i="3"/>
  <c r="C352" i="3"/>
  <c r="B352" i="3"/>
  <c r="A352" i="3"/>
  <c r="J351" i="3"/>
  <c r="I351" i="3"/>
  <c r="H351" i="3"/>
  <c r="G351" i="3"/>
  <c r="F351" i="3"/>
  <c r="D351" i="3"/>
  <c r="C351" i="3"/>
  <c r="B351" i="3"/>
  <c r="A351" i="3"/>
  <c r="J350" i="3"/>
  <c r="I350" i="3"/>
  <c r="H350" i="3"/>
  <c r="G350" i="3"/>
  <c r="F350" i="3"/>
  <c r="D350" i="3"/>
  <c r="C350" i="3"/>
  <c r="B350" i="3"/>
  <c r="A350" i="3"/>
  <c r="J349" i="3"/>
  <c r="I349" i="3"/>
  <c r="H349" i="3"/>
  <c r="G349" i="3"/>
  <c r="F349" i="3"/>
  <c r="D349" i="3"/>
  <c r="C349" i="3"/>
  <c r="B349" i="3"/>
  <c r="A349" i="3"/>
  <c r="J348" i="3"/>
  <c r="I348" i="3"/>
  <c r="H348" i="3"/>
  <c r="G348" i="3"/>
  <c r="F348" i="3"/>
  <c r="D348" i="3"/>
  <c r="C348" i="3"/>
  <c r="B348" i="3"/>
  <c r="A348" i="3"/>
  <c r="J347" i="3"/>
  <c r="I347" i="3"/>
  <c r="H347" i="3"/>
  <c r="G347" i="3"/>
  <c r="F347" i="3"/>
  <c r="D347" i="3"/>
  <c r="C347" i="3"/>
  <c r="B347" i="3"/>
  <c r="A347" i="3"/>
  <c r="J346" i="3"/>
  <c r="I346" i="3"/>
  <c r="H346" i="3"/>
  <c r="G346" i="3"/>
  <c r="F346" i="3"/>
  <c r="D346" i="3"/>
  <c r="C346" i="3"/>
  <c r="B346" i="3"/>
  <c r="A346" i="3"/>
  <c r="J345" i="3"/>
  <c r="I345" i="3"/>
  <c r="H345" i="3"/>
  <c r="G345" i="3"/>
  <c r="F345" i="3"/>
  <c r="D345" i="3"/>
  <c r="C345" i="3"/>
  <c r="B345" i="3"/>
  <c r="A345" i="3"/>
  <c r="J344" i="3"/>
  <c r="I344" i="3"/>
  <c r="H344" i="3"/>
  <c r="G344" i="3"/>
  <c r="F344" i="3"/>
  <c r="D344" i="3"/>
  <c r="C344" i="3"/>
  <c r="B344" i="3"/>
  <c r="A344" i="3"/>
  <c r="J343" i="3"/>
  <c r="I343" i="3"/>
  <c r="H343" i="3"/>
  <c r="G343" i="3"/>
  <c r="F343" i="3"/>
  <c r="D343" i="3"/>
  <c r="C343" i="3"/>
  <c r="B343" i="3"/>
  <c r="A343" i="3"/>
  <c r="J342" i="3"/>
  <c r="I342" i="3"/>
  <c r="H342" i="3"/>
  <c r="G342" i="3"/>
  <c r="F342" i="3"/>
  <c r="D342" i="3"/>
  <c r="C342" i="3"/>
  <c r="B342" i="3"/>
  <c r="A342" i="3"/>
  <c r="J341" i="3"/>
  <c r="I341" i="3"/>
  <c r="H341" i="3"/>
  <c r="G341" i="3"/>
  <c r="F341" i="3"/>
  <c r="D341" i="3"/>
  <c r="C341" i="3"/>
  <c r="B341" i="3"/>
  <c r="A341" i="3"/>
  <c r="J340" i="3"/>
  <c r="I340" i="3"/>
  <c r="H340" i="3"/>
  <c r="G340" i="3"/>
  <c r="F340" i="3"/>
  <c r="D340" i="3"/>
  <c r="C340" i="3"/>
  <c r="B340" i="3"/>
  <c r="A340" i="3"/>
  <c r="J339" i="3"/>
  <c r="I339" i="3"/>
  <c r="H339" i="3"/>
  <c r="G339" i="3"/>
  <c r="F339" i="3"/>
  <c r="D339" i="3"/>
  <c r="C339" i="3"/>
  <c r="B339" i="3"/>
  <c r="A339" i="3"/>
  <c r="J338" i="3"/>
  <c r="I338" i="3"/>
  <c r="H338" i="3"/>
  <c r="G338" i="3"/>
  <c r="F338" i="3"/>
  <c r="D338" i="3"/>
  <c r="C338" i="3"/>
  <c r="B338" i="3"/>
  <c r="A338" i="3"/>
  <c r="J337" i="3"/>
  <c r="I337" i="3"/>
  <c r="H337" i="3"/>
  <c r="G337" i="3"/>
  <c r="F337" i="3"/>
  <c r="D337" i="3"/>
  <c r="C337" i="3"/>
  <c r="B337" i="3"/>
  <c r="A337" i="3"/>
  <c r="J336" i="3"/>
  <c r="I336" i="3"/>
  <c r="H336" i="3"/>
  <c r="G336" i="3"/>
  <c r="F336" i="3"/>
  <c r="D336" i="3"/>
  <c r="C336" i="3"/>
  <c r="B336" i="3"/>
  <c r="A336" i="3"/>
  <c r="J335" i="3"/>
  <c r="I335" i="3"/>
  <c r="H335" i="3"/>
  <c r="G335" i="3"/>
  <c r="F335" i="3"/>
  <c r="D335" i="3"/>
  <c r="C335" i="3"/>
  <c r="B335" i="3"/>
  <c r="A335" i="3"/>
  <c r="J334" i="3"/>
  <c r="I334" i="3"/>
  <c r="H334" i="3"/>
  <c r="G334" i="3"/>
  <c r="F334" i="3"/>
  <c r="D334" i="3"/>
  <c r="C334" i="3"/>
  <c r="B334" i="3"/>
  <c r="A334" i="3"/>
  <c r="J333" i="3"/>
  <c r="I333" i="3"/>
  <c r="H333" i="3"/>
  <c r="G333" i="3"/>
  <c r="F333" i="3"/>
  <c r="D333" i="3"/>
  <c r="C333" i="3"/>
  <c r="B333" i="3"/>
  <c r="A333" i="3"/>
  <c r="J332" i="3"/>
  <c r="I332" i="3"/>
  <c r="H332" i="3"/>
  <c r="G332" i="3"/>
  <c r="F332" i="3"/>
  <c r="D332" i="3"/>
  <c r="C332" i="3"/>
  <c r="B332" i="3"/>
  <c r="A332" i="3"/>
  <c r="J331" i="3"/>
  <c r="I331" i="3"/>
  <c r="H331" i="3"/>
  <c r="G331" i="3"/>
  <c r="F331" i="3"/>
  <c r="D331" i="3"/>
  <c r="C331" i="3"/>
  <c r="B331" i="3"/>
  <c r="A331" i="3"/>
  <c r="J330" i="3"/>
  <c r="I330" i="3"/>
  <c r="H330" i="3"/>
  <c r="G330" i="3"/>
  <c r="F330" i="3"/>
  <c r="D330" i="3"/>
  <c r="C330" i="3"/>
  <c r="B330" i="3"/>
  <c r="A330" i="3"/>
  <c r="J329" i="3"/>
  <c r="I329" i="3"/>
  <c r="H329" i="3"/>
  <c r="G329" i="3"/>
  <c r="F329" i="3"/>
  <c r="D329" i="3"/>
  <c r="C329" i="3"/>
  <c r="B329" i="3"/>
  <c r="A329" i="3"/>
  <c r="J328" i="3"/>
  <c r="I328" i="3"/>
  <c r="H328" i="3"/>
  <c r="G328" i="3"/>
  <c r="F328" i="3"/>
  <c r="D328" i="3"/>
  <c r="C328" i="3"/>
  <c r="B328" i="3"/>
  <c r="A328" i="3"/>
  <c r="J327" i="3"/>
  <c r="I327" i="3"/>
  <c r="H327" i="3"/>
  <c r="G327" i="3"/>
  <c r="F327" i="3"/>
  <c r="D327" i="3"/>
  <c r="C327" i="3"/>
  <c r="B327" i="3"/>
  <c r="A327" i="3"/>
  <c r="J326" i="3"/>
  <c r="I326" i="3"/>
  <c r="H326" i="3"/>
  <c r="G326" i="3"/>
  <c r="F326" i="3"/>
  <c r="D326" i="3"/>
  <c r="C326" i="3"/>
  <c r="B326" i="3"/>
  <c r="A326" i="3"/>
  <c r="J325" i="3"/>
  <c r="I325" i="3"/>
  <c r="H325" i="3"/>
  <c r="G325" i="3"/>
  <c r="F325" i="3"/>
  <c r="D325" i="3"/>
  <c r="C325" i="3"/>
  <c r="B325" i="3"/>
  <c r="A325" i="3"/>
  <c r="J324" i="3"/>
  <c r="I324" i="3"/>
  <c r="H324" i="3"/>
  <c r="G324" i="3"/>
  <c r="F324" i="3"/>
  <c r="D324" i="3"/>
  <c r="C324" i="3"/>
  <c r="B324" i="3"/>
  <c r="A324" i="3"/>
  <c r="J323" i="3"/>
  <c r="I323" i="3"/>
  <c r="H323" i="3"/>
  <c r="G323" i="3"/>
  <c r="F323" i="3"/>
  <c r="D323" i="3"/>
  <c r="C323" i="3"/>
  <c r="B323" i="3"/>
  <c r="A323" i="3"/>
  <c r="J322" i="3"/>
  <c r="I322" i="3"/>
  <c r="H322" i="3"/>
  <c r="G322" i="3"/>
  <c r="F322" i="3"/>
  <c r="D322" i="3"/>
  <c r="C322" i="3"/>
  <c r="B322" i="3"/>
  <c r="A322" i="3"/>
  <c r="J321" i="3"/>
  <c r="I321" i="3"/>
  <c r="H321" i="3"/>
  <c r="G321" i="3"/>
  <c r="F321" i="3"/>
  <c r="D321" i="3"/>
  <c r="C321" i="3"/>
  <c r="B321" i="3"/>
  <c r="A321" i="3"/>
  <c r="J320" i="3"/>
  <c r="I320" i="3"/>
  <c r="H320" i="3"/>
  <c r="G320" i="3"/>
  <c r="F320" i="3"/>
  <c r="D320" i="3"/>
  <c r="C320" i="3"/>
  <c r="B320" i="3"/>
  <c r="A320" i="3"/>
  <c r="J319" i="3"/>
  <c r="I319" i="3"/>
  <c r="H319" i="3"/>
  <c r="G319" i="3"/>
  <c r="F319" i="3"/>
  <c r="D319" i="3"/>
  <c r="C319" i="3"/>
  <c r="B319" i="3"/>
  <c r="A319" i="3"/>
  <c r="J318" i="3"/>
  <c r="I318" i="3"/>
  <c r="H318" i="3"/>
  <c r="G318" i="3"/>
  <c r="F318" i="3"/>
  <c r="D318" i="3"/>
  <c r="C318" i="3"/>
  <c r="B318" i="3"/>
  <c r="A318" i="3"/>
  <c r="J317" i="3"/>
  <c r="I317" i="3"/>
  <c r="H317" i="3"/>
  <c r="G317" i="3"/>
  <c r="F317" i="3"/>
  <c r="D317" i="3"/>
  <c r="C317" i="3"/>
  <c r="B317" i="3"/>
  <c r="A317" i="3"/>
  <c r="J316" i="3"/>
  <c r="I316" i="3"/>
  <c r="H316" i="3"/>
  <c r="G316" i="3"/>
  <c r="F316" i="3"/>
  <c r="D316" i="3"/>
  <c r="C316" i="3"/>
  <c r="B316" i="3"/>
  <c r="A316" i="3"/>
  <c r="J315" i="3"/>
  <c r="I315" i="3"/>
  <c r="H315" i="3"/>
  <c r="G315" i="3"/>
  <c r="F315" i="3"/>
  <c r="D315" i="3"/>
  <c r="C315" i="3"/>
  <c r="B315" i="3"/>
  <c r="A315" i="3"/>
  <c r="J314" i="3"/>
  <c r="I314" i="3"/>
  <c r="H314" i="3"/>
  <c r="G314" i="3"/>
  <c r="F314" i="3"/>
  <c r="D314" i="3"/>
  <c r="C314" i="3"/>
  <c r="B314" i="3"/>
  <c r="A314" i="3"/>
  <c r="J313" i="3"/>
  <c r="I313" i="3"/>
  <c r="H313" i="3"/>
  <c r="G313" i="3"/>
  <c r="F313" i="3"/>
  <c r="D313" i="3"/>
  <c r="C313" i="3"/>
  <c r="B313" i="3"/>
  <c r="A313" i="3"/>
  <c r="J312" i="3"/>
  <c r="I312" i="3"/>
  <c r="H312" i="3"/>
  <c r="G312" i="3"/>
  <c r="F312" i="3"/>
  <c r="D312" i="3"/>
  <c r="C312" i="3"/>
  <c r="B312" i="3"/>
  <c r="A312" i="3"/>
  <c r="J311" i="3"/>
  <c r="I311" i="3"/>
  <c r="H311" i="3"/>
  <c r="G311" i="3"/>
  <c r="F311" i="3"/>
  <c r="D311" i="3"/>
  <c r="C311" i="3"/>
  <c r="B311" i="3"/>
  <c r="A311" i="3"/>
  <c r="J310" i="3"/>
  <c r="I310" i="3"/>
  <c r="H310" i="3"/>
  <c r="G310" i="3"/>
  <c r="F310" i="3"/>
  <c r="D310" i="3"/>
  <c r="C310" i="3"/>
  <c r="B310" i="3"/>
  <c r="A310" i="3"/>
  <c r="J309" i="3"/>
  <c r="I309" i="3"/>
  <c r="H309" i="3"/>
  <c r="G309" i="3"/>
  <c r="F309" i="3"/>
  <c r="D309" i="3"/>
  <c r="C309" i="3"/>
  <c r="B309" i="3"/>
  <c r="A309" i="3"/>
  <c r="J308" i="3"/>
  <c r="I308" i="3"/>
  <c r="H308" i="3"/>
  <c r="G308" i="3"/>
  <c r="F308" i="3"/>
  <c r="D308" i="3"/>
  <c r="C308" i="3"/>
  <c r="B308" i="3"/>
  <c r="A308" i="3"/>
  <c r="J307" i="3"/>
  <c r="I307" i="3"/>
  <c r="H307" i="3"/>
  <c r="G307" i="3"/>
  <c r="F307" i="3"/>
  <c r="D307" i="3"/>
  <c r="C307" i="3"/>
  <c r="B307" i="3"/>
  <c r="A307" i="3"/>
  <c r="J306" i="3"/>
  <c r="I306" i="3"/>
  <c r="H306" i="3"/>
  <c r="G306" i="3"/>
  <c r="F306" i="3"/>
  <c r="D306" i="3"/>
  <c r="C306" i="3"/>
  <c r="B306" i="3"/>
  <c r="A306" i="3"/>
  <c r="J305" i="3"/>
  <c r="I305" i="3"/>
  <c r="H305" i="3"/>
  <c r="G305" i="3"/>
  <c r="F305" i="3"/>
  <c r="D305" i="3"/>
  <c r="C305" i="3"/>
  <c r="B305" i="3"/>
  <c r="A305" i="3"/>
  <c r="J304" i="3"/>
  <c r="I304" i="3"/>
  <c r="H304" i="3"/>
  <c r="G304" i="3"/>
  <c r="F304" i="3"/>
  <c r="D304" i="3"/>
  <c r="C304" i="3"/>
  <c r="B304" i="3"/>
  <c r="A304" i="3"/>
  <c r="J303" i="3"/>
  <c r="I303" i="3"/>
  <c r="H303" i="3"/>
  <c r="G303" i="3"/>
  <c r="F303" i="3"/>
  <c r="D303" i="3"/>
  <c r="C303" i="3"/>
  <c r="B303" i="3"/>
  <c r="A303" i="3"/>
  <c r="J302" i="3"/>
  <c r="I302" i="3"/>
  <c r="H302" i="3"/>
  <c r="G302" i="3"/>
  <c r="F302" i="3"/>
  <c r="D302" i="3"/>
  <c r="C302" i="3"/>
  <c r="B302" i="3"/>
  <c r="A302" i="3"/>
  <c r="J301" i="3"/>
  <c r="I301" i="3"/>
  <c r="H301" i="3"/>
  <c r="G301" i="3"/>
  <c r="F301" i="3"/>
  <c r="D301" i="3"/>
  <c r="C301" i="3"/>
  <c r="B301" i="3"/>
  <c r="A301" i="3"/>
  <c r="J300" i="3"/>
  <c r="I300" i="3"/>
  <c r="H300" i="3"/>
  <c r="G300" i="3"/>
  <c r="F300" i="3"/>
  <c r="D300" i="3"/>
  <c r="C300" i="3"/>
  <c r="B300" i="3"/>
  <c r="A300" i="3"/>
  <c r="J299" i="3"/>
  <c r="I299" i="3"/>
  <c r="H299" i="3"/>
  <c r="G299" i="3"/>
  <c r="F299" i="3"/>
  <c r="D299" i="3"/>
  <c r="C299" i="3"/>
  <c r="B299" i="3"/>
  <c r="A299" i="3"/>
  <c r="J298" i="3"/>
  <c r="I298" i="3"/>
  <c r="H298" i="3"/>
  <c r="G298" i="3"/>
  <c r="F298" i="3"/>
  <c r="D298" i="3"/>
  <c r="C298" i="3"/>
  <c r="B298" i="3"/>
  <c r="A298" i="3"/>
  <c r="J297" i="3"/>
  <c r="I297" i="3"/>
  <c r="H297" i="3"/>
  <c r="G297" i="3"/>
  <c r="F297" i="3"/>
  <c r="D297" i="3"/>
  <c r="C297" i="3"/>
  <c r="B297" i="3"/>
  <c r="A297" i="3"/>
  <c r="J296" i="3"/>
  <c r="I296" i="3"/>
  <c r="H296" i="3"/>
  <c r="G296" i="3"/>
  <c r="F296" i="3"/>
  <c r="D296" i="3"/>
  <c r="C296" i="3"/>
  <c r="B296" i="3"/>
  <c r="A296" i="3"/>
  <c r="J295" i="3"/>
  <c r="I295" i="3"/>
  <c r="H295" i="3"/>
  <c r="G295" i="3"/>
  <c r="F295" i="3"/>
  <c r="D295" i="3"/>
  <c r="C295" i="3"/>
  <c r="B295" i="3"/>
  <c r="A295" i="3"/>
  <c r="J294" i="3"/>
  <c r="I294" i="3"/>
  <c r="H294" i="3"/>
  <c r="G294" i="3"/>
  <c r="F294" i="3"/>
  <c r="D294" i="3"/>
  <c r="C294" i="3"/>
  <c r="B294" i="3"/>
  <c r="A294" i="3"/>
  <c r="J293" i="3"/>
  <c r="I293" i="3"/>
  <c r="H293" i="3"/>
  <c r="G293" i="3"/>
  <c r="F293" i="3"/>
  <c r="D293" i="3"/>
  <c r="C293" i="3"/>
  <c r="B293" i="3"/>
  <c r="A293" i="3"/>
  <c r="J292" i="3"/>
  <c r="I292" i="3"/>
  <c r="H292" i="3"/>
  <c r="G292" i="3"/>
  <c r="F292" i="3"/>
  <c r="D292" i="3"/>
  <c r="C292" i="3"/>
  <c r="B292" i="3"/>
  <c r="A292" i="3"/>
  <c r="J291" i="3"/>
  <c r="I291" i="3"/>
  <c r="H291" i="3"/>
  <c r="G291" i="3"/>
  <c r="F291" i="3"/>
  <c r="D291" i="3"/>
  <c r="C291" i="3"/>
  <c r="B291" i="3"/>
  <c r="A291" i="3"/>
  <c r="J290" i="3"/>
  <c r="I290" i="3"/>
  <c r="H290" i="3"/>
  <c r="G290" i="3"/>
  <c r="F290" i="3"/>
  <c r="D290" i="3"/>
  <c r="C290" i="3"/>
  <c r="B290" i="3"/>
  <c r="A290" i="3"/>
  <c r="J289" i="3"/>
  <c r="I289" i="3"/>
  <c r="H289" i="3"/>
  <c r="G289" i="3"/>
  <c r="F289" i="3"/>
  <c r="D289" i="3"/>
  <c r="C289" i="3"/>
  <c r="B289" i="3"/>
  <c r="A289" i="3"/>
  <c r="J288" i="3"/>
  <c r="I288" i="3"/>
  <c r="H288" i="3"/>
  <c r="G288" i="3"/>
  <c r="F288" i="3"/>
  <c r="D288" i="3"/>
  <c r="C288" i="3"/>
  <c r="B288" i="3"/>
  <c r="A288" i="3"/>
  <c r="J287" i="3"/>
  <c r="I287" i="3"/>
  <c r="H287" i="3"/>
  <c r="G287" i="3"/>
  <c r="F287" i="3"/>
  <c r="D287" i="3"/>
  <c r="C287" i="3"/>
  <c r="B287" i="3"/>
  <c r="A287" i="3"/>
  <c r="J286" i="3"/>
  <c r="I286" i="3"/>
  <c r="H286" i="3"/>
  <c r="G286" i="3"/>
  <c r="F286" i="3"/>
  <c r="D286" i="3"/>
  <c r="C286" i="3"/>
  <c r="B286" i="3"/>
  <c r="A286" i="3"/>
  <c r="J285" i="3"/>
  <c r="I285" i="3"/>
  <c r="H285" i="3"/>
  <c r="G285" i="3"/>
  <c r="F285" i="3"/>
  <c r="D285" i="3"/>
  <c r="C285" i="3"/>
  <c r="B285" i="3"/>
  <c r="A285" i="3"/>
  <c r="J284" i="3"/>
  <c r="I284" i="3"/>
  <c r="H284" i="3"/>
  <c r="G284" i="3"/>
  <c r="F284" i="3"/>
  <c r="D284" i="3"/>
  <c r="C284" i="3"/>
  <c r="B284" i="3"/>
  <c r="A284" i="3"/>
  <c r="J283" i="3"/>
  <c r="I283" i="3"/>
  <c r="H283" i="3"/>
  <c r="G283" i="3"/>
  <c r="F283" i="3"/>
  <c r="D283" i="3"/>
  <c r="C283" i="3"/>
  <c r="B283" i="3"/>
  <c r="A283" i="3"/>
  <c r="J282" i="3"/>
  <c r="I282" i="3"/>
  <c r="H282" i="3"/>
  <c r="G282" i="3"/>
  <c r="F282" i="3"/>
  <c r="D282" i="3"/>
  <c r="C282" i="3"/>
  <c r="B282" i="3"/>
  <c r="A282" i="3"/>
  <c r="J281" i="3"/>
  <c r="I281" i="3"/>
  <c r="H281" i="3"/>
  <c r="G281" i="3"/>
  <c r="F281" i="3"/>
  <c r="D281" i="3"/>
  <c r="C281" i="3"/>
  <c r="B281" i="3"/>
  <c r="A281" i="3"/>
  <c r="J280" i="3"/>
  <c r="I280" i="3"/>
  <c r="H280" i="3"/>
  <c r="G280" i="3"/>
  <c r="F280" i="3"/>
  <c r="D280" i="3"/>
  <c r="C280" i="3"/>
  <c r="B280" i="3"/>
  <c r="A280" i="3"/>
  <c r="J279" i="3"/>
  <c r="I279" i="3"/>
  <c r="H279" i="3"/>
  <c r="G279" i="3"/>
  <c r="F279" i="3"/>
  <c r="D279" i="3"/>
  <c r="C279" i="3"/>
  <c r="B279" i="3"/>
  <c r="A279" i="3"/>
  <c r="J278" i="3"/>
  <c r="I278" i="3"/>
  <c r="H278" i="3"/>
  <c r="G278" i="3"/>
  <c r="F278" i="3"/>
  <c r="D278" i="3"/>
  <c r="C278" i="3"/>
  <c r="B278" i="3"/>
  <c r="A278" i="3"/>
  <c r="J277" i="3"/>
  <c r="I277" i="3"/>
  <c r="H277" i="3"/>
  <c r="G277" i="3"/>
  <c r="F277" i="3"/>
  <c r="D277" i="3"/>
  <c r="C277" i="3"/>
  <c r="B277" i="3"/>
  <c r="A277" i="3"/>
  <c r="J276" i="3"/>
  <c r="I276" i="3"/>
  <c r="H276" i="3"/>
  <c r="G276" i="3"/>
  <c r="F276" i="3"/>
  <c r="D276" i="3"/>
  <c r="C276" i="3"/>
  <c r="B276" i="3"/>
  <c r="A276" i="3"/>
  <c r="J275" i="3"/>
  <c r="I275" i="3"/>
  <c r="H275" i="3"/>
  <c r="G275" i="3"/>
  <c r="F275" i="3"/>
  <c r="D275" i="3"/>
  <c r="C275" i="3"/>
  <c r="B275" i="3"/>
  <c r="A275" i="3"/>
  <c r="J274" i="3"/>
  <c r="I274" i="3"/>
  <c r="H274" i="3"/>
  <c r="G274" i="3"/>
  <c r="F274" i="3"/>
  <c r="D274" i="3"/>
  <c r="C274" i="3"/>
  <c r="B274" i="3"/>
  <c r="A274" i="3"/>
  <c r="J273" i="3"/>
  <c r="I273" i="3"/>
  <c r="H273" i="3"/>
  <c r="G273" i="3"/>
  <c r="F273" i="3"/>
  <c r="D273" i="3"/>
  <c r="C273" i="3"/>
  <c r="B273" i="3"/>
  <c r="A273" i="3"/>
  <c r="J272" i="3"/>
  <c r="I272" i="3"/>
  <c r="H272" i="3"/>
  <c r="G272" i="3"/>
  <c r="F272" i="3"/>
  <c r="D272" i="3"/>
  <c r="C272" i="3"/>
  <c r="B272" i="3"/>
  <c r="A272" i="3"/>
  <c r="J271" i="3"/>
  <c r="I271" i="3"/>
  <c r="H271" i="3"/>
  <c r="G271" i="3"/>
  <c r="F271" i="3"/>
  <c r="D271" i="3"/>
  <c r="C271" i="3"/>
  <c r="B271" i="3"/>
  <c r="A271" i="3"/>
  <c r="J270" i="3"/>
  <c r="I270" i="3"/>
  <c r="H270" i="3"/>
  <c r="G270" i="3"/>
  <c r="F270" i="3"/>
  <c r="D270" i="3"/>
  <c r="C270" i="3"/>
  <c r="B270" i="3"/>
  <c r="A270" i="3"/>
  <c r="J269" i="3"/>
  <c r="I269" i="3"/>
  <c r="H269" i="3"/>
  <c r="G269" i="3"/>
  <c r="F269" i="3"/>
  <c r="D269" i="3"/>
  <c r="C269" i="3"/>
  <c r="B269" i="3"/>
  <c r="A269" i="3"/>
  <c r="J268" i="3"/>
  <c r="I268" i="3"/>
  <c r="H268" i="3"/>
  <c r="G268" i="3"/>
  <c r="F268" i="3"/>
  <c r="D268" i="3"/>
  <c r="C268" i="3"/>
  <c r="B268" i="3"/>
  <c r="A268" i="3"/>
  <c r="J267" i="3"/>
  <c r="I267" i="3"/>
  <c r="H267" i="3"/>
  <c r="G267" i="3"/>
  <c r="F267" i="3"/>
  <c r="D267" i="3"/>
  <c r="C267" i="3"/>
  <c r="B267" i="3"/>
  <c r="A267" i="3"/>
  <c r="J266" i="3"/>
  <c r="I266" i="3"/>
  <c r="H266" i="3"/>
  <c r="G266" i="3"/>
  <c r="F266" i="3"/>
  <c r="D266" i="3"/>
  <c r="C266" i="3"/>
  <c r="B266" i="3"/>
  <c r="A266" i="3"/>
  <c r="J265" i="3"/>
  <c r="I265" i="3"/>
  <c r="H265" i="3"/>
  <c r="G265" i="3"/>
  <c r="F265" i="3"/>
  <c r="D265" i="3"/>
  <c r="C265" i="3"/>
  <c r="B265" i="3"/>
  <c r="A265" i="3"/>
  <c r="J264" i="3"/>
  <c r="I264" i="3"/>
  <c r="H264" i="3"/>
  <c r="G264" i="3"/>
  <c r="F264" i="3"/>
  <c r="D264" i="3"/>
  <c r="C264" i="3"/>
  <c r="B264" i="3"/>
  <c r="A264" i="3"/>
  <c r="J263" i="3"/>
  <c r="I263" i="3"/>
  <c r="H263" i="3"/>
  <c r="G263" i="3"/>
  <c r="F263" i="3"/>
  <c r="D263" i="3"/>
  <c r="C263" i="3"/>
  <c r="B263" i="3"/>
  <c r="A263" i="3"/>
  <c r="J262" i="3"/>
  <c r="I262" i="3"/>
  <c r="H262" i="3"/>
  <c r="G262" i="3"/>
  <c r="F262" i="3"/>
  <c r="D262" i="3"/>
  <c r="C262" i="3"/>
  <c r="B262" i="3"/>
  <c r="A262" i="3"/>
  <c r="J261" i="3"/>
  <c r="I261" i="3"/>
  <c r="H261" i="3"/>
  <c r="G261" i="3"/>
  <c r="F261" i="3"/>
  <c r="D261" i="3"/>
  <c r="C261" i="3"/>
  <c r="B261" i="3"/>
  <c r="A261" i="3"/>
  <c r="J260" i="3"/>
  <c r="I260" i="3"/>
  <c r="H260" i="3"/>
  <c r="G260" i="3"/>
  <c r="F260" i="3"/>
  <c r="D260" i="3"/>
  <c r="C260" i="3"/>
  <c r="B260" i="3"/>
  <c r="A260" i="3"/>
  <c r="J259" i="3"/>
  <c r="I259" i="3"/>
  <c r="H259" i="3"/>
  <c r="G259" i="3"/>
  <c r="F259" i="3"/>
  <c r="D259" i="3"/>
  <c r="C259" i="3"/>
  <c r="B259" i="3"/>
  <c r="A259" i="3"/>
  <c r="J258" i="3"/>
  <c r="I258" i="3"/>
  <c r="H258" i="3"/>
  <c r="G258" i="3"/>
  <c r="F258" i="3"/>
  <c r="D258" i="3"/>
  <c r="C258" i="3"/>
  <c r="B258" i="3"/>
  <c r="A258" i="3"/>
  <c r="J257" i="3"/>
  <c r="I257" i="3"/>
  <c r="H257" i="3"/>
  <c r="G257" i="3"/>
  <c r="F257" i="3"/>
  <c r="D257" i="3"/>
  <c r="C257" i="3"/>
  <c r="B257" i="3"/>
  <c r="A257" i="3"/>
  <c r="J256" i="3"/>
  <c r="I256" i="3"/>
  <c r="H256" i="3"/>
  <c r="G256" i="3"/>
  <c r="F256" i="3"/>
  <c r="D256" i="3"/>
  <c r="C256" i="3"/>
  <c r="B256" i="3"/>
  <c r="A256" i="3"/>
  <c r="J255" i="3"/>
  <c r="I255" i="3"/>
  <c r="H255" i="3"/>
  <c r="G255" i="3"/>
  <c r="F255" i="3"/>
  <c r="D255" i="3"/>
  <c r="C255" i="3"/>
  <c r="B255" i="3"/>
  <c r="A255" i="3"/>
  <c r="J254" i="3"/>
  <c r="I254" i="3"/>
  <c r="H254" i="3"/>
  <c r="G254" i="3"/>
  <c r="F254" i="3"/>
  <c r="D254" i="3"/>
  <c r="C254" i="3"/>
  <c r="B254" i="3"/>
  <c r="A254" i="3"/>
  <c r="J253" i="3"/>
  <c r="I253" i="3"/>
  <c r="H253" i="3"/>
  <c r="G253" i="3"/>
  <c r="F253" i="3"/>
  <c r="D253" i="3"/>
  <c r="C253" i="3"/>
  <c r="B253" i="3"/>
  <c r="A253" i="3"/>
  <c r="J252" i="3"/>
  <c r="I252" i="3"/>
  <c r="H252" i="3"/>
  <c r="G252" i="3"/>
  <c r="F252" i="3"/>
  <c r="D252" i="3"/>
  <c r="C252" i="3"/>
  <c r="B252" i="3"/>
  <c r="A252" i="3"/>
  <c r="J251" i="3"/>
  <c r="I251" i="3"/>
  <c r="H251" i="3"/>
  <c r="G251" i="3"/>
  <c r="F251" i="3"/>
  <c r="D251" i="3"/>
  <c r="C251" i="3"/>
  <c r="B251" i="3"/>
  <c r="A251" i="3"/>
  <c r="J250" i="3"/>
  <c r="I250" i="3"/>
  <c r="H250" i="3"/>
  <c r="G250" i="3"/>
  <c r="F250" i="3"/>
  <c r="D250" i="3"/>
  <c r="C250" i="3"/>
  <c r="B250" i="3"/>
  <c r="A250" i="3"/>
  <c r="J249" i="3"/>
  <c r="I249" i="3"/>
  <c r="H249" i="3"/>
  <c r="G249" i="3"/>
  <c r="F249" i="3"/>
  <c r="D249" i="3"/>
  <c r="C249" i="3"/>
  <c r="B249" i="3"/>
  <c r="A249" i="3"/>
  <c r="J248" i="3"/>
  <c r="I248" i="3"/>
  <c r="H248" i="3"/>
  <c r="G248" i="3"/>
  <c r="F248" i="3"/>
  <c r="D248" i="3"/>
  <c r="C248" i="3"/>
  <c r="B248" i="3"/>
  <c r="A248" i="3"/>
  <c r="J247" i="3"/>
  <c r="I247" i="3"/>
  <c r="H247" i="3"/>
  <c r="G247" i="3"/>
  <c r="F247" i="3"/>
  <c r="D247" i="3"/>
  <c r="C247" i="3"/>
  <c r="B247" i="3"/>
  <c r="A247" i="3"/>
  <c r="J246" i="3"/>
  <c r="I246" i="3"/>
  <c r="H246" i="3"/>
  <c r="G246" i="3"/>
  <c r="F246" i="3"/>
  <c r="D246" i="3"/>
  <c r="C246" i="3"/>
  <c r="B246" i="3"/>
  <c r="A246" i="3"/>
  <c r="J245" i="3"/>
  <c r="I245" i="3"/>
  <c r="H245" i="3"/>
  <c r="G245" i="3"/>
  <c r="F245" i="3"/>
  <c r="D245" i="3"/>
  <c r="C245" i="3"/>
  <c r="B245" i="3"/>
  <c r="A245" i="3"/>
  <c r="J244" i="3"/>
  <c r="I244" i="3"/>
  <c r="H244" i="3"/>
  <c r="G244" i="3"/>
  <c r="F244" i="3"/>
  <c r="D244" i="3"/>
  <c r="C244" i="3"/>
  <c r="B244" i="3"/>
  <c r="A244" i="3"/>
  <c r="J243" i="3"/>
  <c r="I243" i="3"/>
  <c r="H243" i="3"/>
  <c r="G243" i="3"/>
  <c r="F243" i="3"/>
  <c r="D243" i="3"/>
  <c r="C243" i="3"/>
  <c r="B243" i="3"/>
  <c r="A243" i="3"/>
  <c r="J242" i="3"/>
  <c r="I242" i="3"/>
  <c r="H242" i="3"/>
  <c r="G242" i="3"/>
  <c r="F242" i="3"/>
  <c r="D242" i="3"/>
  <c r="C242" i="3"/>
  <c r="B242" i="3"/>
  <c r="A242" i="3"/>
  <c r="J241" i="3"/>
  <c r="I241" i="3"/>
  <c r="H241" i="3"/>
  <c r="G241" i="3"/>
  <c r="F241" i="3"/>
  <c r="D241" i="3"/>
  <c r="C241" i="3"/>
  <c r="B241" i="3"/>
  <c r="A241" i="3"/>
  <c r="J240" i="3"/>
  <c r="I240" i="3"/>
  <c r="H240" i="3"/>
  <c r="G240" i="3"/>
  <c r="F240" i="3"/>
  <c r="D240" i="3"/>
  <c r="C240" i="3"/>
  <c r="B240" i="3"/>
  <c r="A240" i="3"/>
  <c r="J239" i="3"/>
  <c r="I239" i="3"/>
  <c r="H239" i="3"/>
  <c r="G239" i="3"/>
  <c r="F239" i="3"/>
  <c r="D239" i="3"/>
  <c r="C239" i="3"/>
  <c r="B239" i="3"/>
  <c r="A239" i="3"/>
  <c r="J238" i="3"/>
  <c r="I238" i="3"/>
  <c r="H238" i="3"/>
  <c r="G238" i="3"/>
  <c r="F238" i="3"/>
  <c r="D238" i="3"/>
  <c r="C238" i="3"/>
  <c r="B238" i="3"/>
  <c r="A238" i="3"/>
  <c r="J237" i="3"/>
  <c r="I237" i="3"/>
  <c r="H237" i="3"/>
  <c r="G237" i="3"/>
  <c r="F237" i="3"/>
  <c r="D237" i="3"/>
  <c r="C237" i="3"/>
  <c r="B237" i="3"/>
  <c r="A237" i="3"/>
  <c r="J236" i="3"/>
  <c r="I236" i="3"/>
  <c r="H236" i="3"/>
  <c r="G236" i="3"/>
  <c r="F236" i="3"/>
  <c r="D236" i="3"/>
  <c r="C236" i="3"/>
  <c r="B236" i="3"/>
  <c r="A236" i="3"/>
  <c r="J235" i="3"/>
  <c r="I235" i="3"/>
  <c r="H235" i="3"/>
  <c r="G235" i="3"/>
  <c r="F235" i="3"/>
  <c r="D235" i="3"/>
  <c r="C235" i="3"/>
  <c r="B235" i="3"/>
  <c r="A235" i="3"/>
  <c r="J234" i="3"/>
  <c r="I234" i="3"/>
  <c r="H234" i="3"/>
  <c r="G234" i="3"/>
  <c r="F234" i="3"/>
  <c r="D234" i="3"/>
  <c r="C234" i="3"/>
  <c r="B234" i="3"/>
  <c r="A234" i="3"/>
  <c r="J233" i="3"/>
  <c r="I233" i="3"/>
  <c r="H233" i="3"/>
  <c r="G233" i="3"/>
  <c r="F233" i="3"/>
  <c r="D233" i="3"/>
  <c r="C233" i="3"/>
  <c r="B233" i="3"/>
  <c r="A233" i="3"/>
  <c r="J232" i="3"/>
  <c r="I232" i="3"/>
  <c r="H232" i="3"/>
  <c r="G232" i="3"/>
  <c r="F232" i="3"/>
  <c r="D232" i="3"/>
  <c r="C232" i="3"/>
  <c r="B232" i="3"/>
  <c r="A232" i="3"/>
  <c r="J231" i="3"/>
  <c r="I231" i="3"/>
  <c r="H231" i="3"/>
  <c r="G231" i="3"/>
  <c r="F231" i="3"/>
  <c r="D231" i="3"/>
  <c r="C231" i="3"/>
  <c r="B231" i="3"/>
  <c r="A231" i="3"/>
  <c r="J230" i="3"/>
  <c r="I230" i="3"/>
  <c r="H230" i="3"/>
  <c r="G230" i="3"/>
  <c r="F230" i="3"/>
  <c r="D230" i="3"/>
  <c r="C230" i="3"/>
  <c r="B230" i="3"/>
  <c r="A230" i="3"/>
  <c r="J229" i="3"/>
  <c r="I229" i="3"/>
  <c r="H229" i="3"/>
  <c r="G229" i="3"/>
  <c r="F229" i="3"/>
  <c r="D229" i="3"/>
  <c r="C229" i="3"/>
  <c r="B229" i="3"/>
  <c r="A229" i="3"/>
  <c r="J228" i="3"/>
  <c r="I228" i="3"/>
  <c r="H228" i="3"/>
  <c r="G228" i="3"/>
  <c r="F228" i="3"/>
  <c r="D228" i="3"/>
  <c r="C228" i="3"/>
  <c r="B228" i="3"/>
  <c r="A228" i="3"/>
  <c r="J227" i="3"/>
  <c r="I227" i="3"/>
  <c r="H227" i="3"/>
  <c r="G227" i="3"/>
  <c r="F227" i="3"/>
  <c r="D227" i="3"/>
  <c r="C227" i="3"/>
  <c r="B227" i="3"/>
  <c r="A227" i="3"/>
  <c r="J226" i="3"/>
  <c r="I226" i="3"/>
  <c r="H226" i="3"/>
  <c r="G226" i="3"/>
  <c r="F226" i="3"/>
  <c r="D226" i="3"/>
  <c r="C226" i="3"/>
  <c r="B226" i="3"/>
  <c r="A226" i="3"/>
  <c r="J225" i="3"/>
  <c r="I225" i="3"/>
  <c r="H225" i="3"/>
  <c r="G225" i="3"/>
  <c r="F225" i="3"/>
  <c r="D225" i="3"/>
  <c r="C225" i="3"/>
  <c r="B225" i="3"/>
  <c r="A225" i="3"/>
  <c r="J224" i="3"/>
  <c r="I224" i="3"/>
  <c r="H224" i="3"/>
  <c r="G224" i="3"/>
  <c r="F224" i="3"/>
  <c r="D224" i="3"/>
  <c r="C224" i="3"/>
  <c r="B224" i="3"/>
  <c r="A224" i="3"/>
  <c r="J223" i="3"/>
  <c r="I223" i="3"/>
  <c r="H223" i="3"/>
  <c r="G223" i="3"/>
  <c r="F223" i="3"/>
  <c r="D223" i="3"/>
  <c r="C223" i="3"/>
  <c r="B223" i="3"/>
  <c r="A223" i="3"/>
  <c r="J222" i="3"/>
  <c r="I222" i="3"/>
  <c r="H222" i="3"/>
  <c r="G222" i="3"/>
  <c r="F222" i="3"/>
  <c r="D222" i="3"/>
  <c r="C222" i="3"/>
  <c r="B222" i="3"/>
  <c r="A222" i="3"/>
  <c r="J221" i="3"/>
  <c r="I221" i="3"/>
  <c r="H221" i="3"/>
  <c r="G221" i="3"/>
  <c r="F221" i="3"/>
  <c r="D221" i="3"/>
  <c r="C221" i="3"/>
  <c r="B221" i="3"/>
  <c r="A221" i="3"/>
  <c r="J220" i="3"/>
  <c r="I220" i="3"/>
  <c r="H220" i="3"/>
  <c r="G220" i="3"/>
  <c r="F220" i="3"/>
  <c r="D220" i="3"/>
  <c r="C220" i="3"/>
  <c r="B220" i="3"/>
  <c r="A220" i="3"/>
  <c r="J219" i="3"/>
  <c r="I219" i="3"/>
  <c r="H219" i="3"/>
  <c r="G219" i="3"/>
  <c r="F219" i="3"/>
  <c r="D219" i="3"/>
  <c r="C219" i="3"/>
  <c r="B219" i="3"/>
  <c r="A219" i="3"/>
  <c r="J218" i="3"/>
  <c r="I218" i="3"/>
  <c r="H218" i="3"/>
  <c r="G218" i="3"/>
  <c r="F218" i="3"/>
  <c r="D218" i="3"/>
  <c r="C218" i="3"/>
  <c r="B218" i="3"/>
  <c r="A218" i="3"/>
  <c r="J217" i="3"/>
  <c r="I217" i="3"/>
  <c r="H217" i="3"/>
  <c r="G217" i="3"/>
  <c r="F217" i="3"/>
  <c r="D217" i="3"/>
  <c r="C217" i="3"/>
  <c r="B217" i="3"/>
  <c r="A217" i="3"/>
  <c r="J216" i="3"/>
  <c r="I216" i="3"/>
  <c r="H216" i="3"/>
  <c r="G216" i="3"/>
  <c r="F216" i="3"/>
  <c r="D216" i="3"/>
  <c r="C216" i="3"/>
  <c r="B216" i="3"/>
  <c r="A216" i="3"/>
  <c r="J215" i="3"/>
  <c r="I215" i="3"/>
  <c r="H215" i="3"/>
  <c r="G215" i="3"/>
  <c r="F215" i="3"/>
  <c r="D215" i="3"/>
  <c r="C215" i="3"/>
  <c r="B215" i="3"/>
  <c r="A215" i="3"/>
  <c r="J214" i="3"/>
  <c r="I214" i="3"/>
  <c r="H214" i="3"/>
  <c r="G214" i="3"/>
  <c r="F214" i="3"/>
  <c r="D214" i="3"/>
  <c r="C214" i="3"/>
  <c r="B214" i="3"/>
  <c r="A214" i="3"/>
  <c r="J213" i="3"/>
  <c r="I213" i="3"/>
  <c r="H213" i="3"/>
  <c r="G213" i="3"/>
  <c r="F213" i="3"/>
  <c r="D213" i="3"/>
  <c r="C213" i="3"/>
  <c r="B213" i="3"/>
  <c r="A213" i="3"/>
  <c r="J212" i="3"/>
  <c r="I212" i="3"/>
  <c r="H212" i="3"/>
  <c r="G212" i="3"/>
  <c r="F212" i="3"/>
  <c r="D212" i="3"/>
  <c r="C212" i="3"/>
  <c r="B212" i="3"/>
  <c r="A212" i="3"/>
  <c r="J211" i="3"/>
  <c r="I211" i="3"/>
  <c r="H211" i="3"/>
  <c r="G211" i="3"/>
  <c r="F211" i="3"/>
  <c r="D211" i="3"/>
  <c r="C211" i="3"/>
  <c r="B211" i="3"/>
  <c r="A211" i="3"/>
  <c r="J210" i="3"/>
  <c r="I210" i="3"/>
  <c r="H210" i="3"/>
  <c r="G210" i="3"/>
  <c r="F210" i="3"/>
  <c r="D210" i="3"/>
  <c r="C210" i="3"/>
  <c r="B210" i="3"/>
  <c r="A210" i="3"/>
  <c r="J209" i="3"/>
  <c r="I209" i="3"/>
  <c r="H209" i="3"/>
  <c r="G209" i="3"/>
  <c r="F209" i="3"/>
  <c r="D209" i="3"/>
  <c r="C209" i="3"/>
  <c r="B209" i="3"/>
  <c r="A209" i="3"/>
  <c r="J208" i="3"/>
  <c r="I208" i="3"/>
  <c r="H208" i="3"/>
  <c r="G208" i="3"/>
  <c r="F208" i="3"/>
  <c r="D208" i="3"/>
  <c r="C208" i="3"/>
  <c r="B208" i="3"/>
  <c r="A208" i="3"/>
  <c r="J207" i="3"/>
  <c r="I207" i="3"/>
  <c r="H207" i="3"/>
  <c r="G207" i="3"/>
  <c r="F207" i="3"/>
  <c r="D207" i="3"/>
  <c r="C207" i="3"/>
  <c r="B207" i="3"/>
  <c r="A207" i="3"/>
  <c r="J206" i="3"/>
  <c r="I206" i="3"/>
  <c r="H206" i="3"/>
  <c r="G206" i="3"/>
  <c r="F206" i="3"/>
  <c r="D206" i="3"/>
  <c r="C206" i="3"/>
  <c r="B206" i="3"/>
  <c r="A206" i="3"/>
  <c r="J205" i="3"/>
  <c r="I205" i="3"/>
  <c r="H205" i="3"/>
  <c r="G205" i="3"/>
  <c r="F205" i="3"/>
  <c r="D205" i="3"/>
  <c r="C205" i="3"/>
  <c r="B205" i="3"/>
  <c r="A205" i="3"/>
  <c r="J204" i="3"/>
  <c r="I204" i="3"/>
  <c r="H204" i="3"/>
  <c r="G204" i="3"/>
  <c r="F204" i="3"/>
  <c r="D204" i="3"/>
  <c r="C204" i="3"/>
  <c r="B204" i="3"/>
  <c r="A204" i="3"/>
  <c r="J203" i="3"/>
  <c r="I203" i="3"/>
  <c r="H203" i="3"/>
  <c r="G203" i="3"/>
  <c r="F203" i="3"/>
  <c r="D203" i="3"/>
  <c r="C203" i="3"/>
  <c r="B203" i="3"/>
  <c r="A203" i="3"/>
  <c r="J202" i="3"/>
  <c r="I202" i="3"/>
  <c r="H202" i="3"/>
  <c r="G202" i="3"/>
  <c r="F202" i="3"/>
  <c r="D202" i="3"/>
  <c r="C202" i="3"/>
  <c r="B202" i="3"/>
  <c r="A202" i="3"/>
  <c r="J201" i="3"/>
  <c r="I201" i="3"/>
  <c r="H201" i="3"/>
  <c r="G201" i="3"/>
  <c r="F201" i="3"/>
  <c r="D201" i="3"/>
  <c r="C201" i="3"/>
  <c r="B201" i="3"/>
  <c r="A201" i="3"/>
  <c r="J200" i="3"/>
  <c r="I200" i="3"/>
  <c r="H200" i="3"/>
  <c r="G200" i="3"/>
  <c r="F200" i="3"/>
  <c r="D200" i="3"/>
  <c r="C200" i="3"/>
  <c r="B200" i="3"/>
  <c r="A200" i="3"/>
  <c r="J199" i="3"/>
  <c r="I199" i="3"/>
  <c r="H199" i="3"/>
  <c r="G199" i="3"/>
  <c r="F199" i="3"/>
  <c r="D199" i="3"/>
  <c r="C199" i="3"/>
  <c r="B199" i="3"/>
  <c r="A199" i="3"/>
  <c r="J198" i="3"/>
  <c r="I198" i="3"/>
  <c r="H198" i="3"/>
  <c r="G198" i="3"/>
  <c r="F198" i="3"/>
  <c r="D198" i="3"/>
  <c r="C198" i="3"/>
  <c r="B198" i="3"/>
  <c r="A198" i="3"/>
  <c r="J197" i="3"/>
  <c r="I197" i="3"/>
  <c r="H197" i="3"/>
  <c r="G197" i="3"/>
  <c r="F197" i="3"/>
  <c r="D197" i="3"/>
  <c r="C197" i="3"/>
  <c r="B197" i="3"/>
  <c r="A197" i="3"/>
  <c r="J196" i="3"/>
  <c r="I196" i="3"/>
  <c r="H196" i="3"/>
  <c r="G196" i="3"/>
  <c r="F196" i="3"/>
  <c r="D196" i="3"/>
  <c r="C196" i="3"/>
  <c r="B196" i="3"/>
  <c r="A196" i="3"/>
  <c r="J195" i="3"/>
  <c r="I195" i="3"/>
  <c r="H195" i="3"/>
  <c r="G195" i="3"/>
  <c r="F195" i="3"/>
  <c r="D195" i="3"/>
  <c r="C195" i="3"/>
  <c r="B195" i="3"/>
  <c r="A195" i="3"/>
  <c r="J194" i="3"/>
  <c r="I194" i="3"/>
  <c r="H194" i="3"/>
  <c r="G194" i="3"/>
  <c r="F194" i="3"/>
  <c r="D194" i="3"/>
  <c r="C194" i="3"/>
  <c r="B194" i="3"/>
  <c r="A194" i="3"/>
  <c r="J193" i="3"/>
  <c r="I193" i="3"/>
  <c r="H193" i="3"/>
  <c r="G193" i="3"/>
  <c r="F193" i="3"/>
  <c r="D193" i="3"/>
  <c r="C193" i="3"/>
  <c r="B193" i="3"/>
  <c r="A193" i="3"/>
  <c r="J192" i="3"/>
  <c r="I192" i="3"/>
  <c r="H192" i="3"/>
  <c r="G192" i="3"/>
  <c r="F192" i="3"/>
  <c r="D192" i="3"/>
  <c r="C192" i="3"/>
  <c r="B192" i="3"/>
  <c r="A192" i="3"/>
  <c r="J191" i="3"/>
  <c r="I191" i="3"/>
  <c r="H191" i="3"/>
  <c r="G191" i="3"/>
  <c r="F191" i="3"/>
  <c r="D191" i="3"/>
  <c r="C191" i="3"/>
  <c r="B191" i="3"/>
  <c r="A191" i="3"/>
  <c r="J190" i="3"/>
  <c r="I190" i="3"/>
  <c r="H190" i="3"/>
  <c r="G190" i="3"/>
  <c r="F190" i="3"/>
  <c r="D190" i="3"/>
  <c r="C190" i="3"/>
  <c r="B190" i="3"/>
  <c r="A190" i="3"/>
  <c r="J189" i="3"/>
  <c r="I189" i="3"/>
  <c r="H189" i="3"/>
  <c r="G189" i="3"/>
  <c r="F189" i="3"/>
  <c r="D189" i="3"/>
  <c r="C189" i="3"/>
  <c r="B189" i="3"/>
  <c r="A189" i="3"/>
  <c r="J188" i="3"/>
  <c r="I188" i="3"/>
  <c r="H188" i="3"/>
  <c r="G188" i="3"/>
  <c r="F188" i="3"/>
  <c r="D188" i="3"/>
  <c r="C188" i="3"/>
  <c r="B188" i="3"/>
  <c r="A188" i="3"/>
  <c r="J187" i="3"/>
  <c r="I187" i="3"/>
  <c r="H187" i="3"/>
  <c r="G187" i="3"/>
  <c r="F187" i="3"/>
  <c r="D187" i="3"/>
  <c r="C187" i="3"/>
  <c r="B187" i="3"/>
  <c r="A187" i="3"/>
  <c r="J186" i="3"/>
  <c r="I186" i="3"/>
  <c r="H186" i="3"/>
  <c r="G186" i="3"/>
  <c r="F186" i="3"/>
  <c r="D186" i="3"/>
  <c r="C186" i="3"/>
  <c r="B186" i="3"/>
  <c r="A186" i="3"/>
  <c r="J185" i="3"/>
  <c r="I185" i="3"/>
  <c r="H185" i="3"/>
  <c r="G185" i="3"/>
  <c r="F185" i="3"/>
  <c r="D185" i="3"/>
  <c r="C185" i="3"/>
  <c r="B185" i="3"/>
  <c r="A185" i="3"/>
  <c r="J184" i="3"/>
  <c r="I184" i="3"/>
  <c r="H184" i="3"/>
  <c r="G184" i="3"/>
  <c r="F184" i="3"/>
  <c r="D184" i="3"/>
  <c r="C184" i="3"/>
  <c r="B184" i="3"/>
  <c r="A184" i="3"/>
  <c r="J183" i="3"/>
  <c r="I183" i="3"/>
  <c r="H183" i="3"/>
  <c r="G183" i="3"/>
  <c r="F183" i="3"/>
  <c r="D183" i="3"/>
  <c r="C183" i="3"/>
  <c r="B183" i="3"/>
  <c r="A183" i="3"/>
  <c r="J182" i="3"/>
  <c r="I182" i="3"/>
  <c r="H182" i="3"/>
  <c r="G182" i="3"/>
  <c r="F182" i="3"/>
  <c r="D182" i="3"/>
  <c r="C182" i="3"/>
  <c r="B182" i="3"/>
  <c r="A182" i="3"/>
  <c r="J181" i="3"/>
  <c r="I181" i="3"/>
  <c r="H181" i="3"/>
  <c r="G181" i="3"/>
  <c r="F181" i="3"/>
  <c r="D181" i="3"/>
  <c r="C181" i="3"/>
  <c r="B181" i="3"/>
  <c r="A181" i="3"/>
  <c r="J180" i="3"/>
  <c r="I180" i="3"/>
  <c r="H180" i="3"/>
  <c r="G180" i="3"/>
  <c r="F180" i="3"/>
  <c r="D180" i="3"/>
  <c r="C180" i="3"/>
  <c r="B180" i="3"/>
  <c r="A180" i="3"/>
  <c r="J179" i="3"/>
  <c r="I179" i="3"/>
  <c r="H179" i="3"/>
  <c r="G179" i="3"/>
  <c r="F179" i="3"/>
  <c r="D179" i="3"/>
  <c r="C179" i="3"/>
  <c r="B179" i="3"/>
  <c r="A179" i="3"/>
  <c r="J178" i="3"/>
  <c r="I178" i="3"/>
  <c r="H178" i="3"/>
  <c r="G178" i="3"/>
  <c r="F178" i="3"/>
  <c r="D178" i="3"/>
  <c r="C178" i="3"/>
  <c r="B178" i="3"/>
  <c r="A178" i="3"/>
  <c r="J177" i="3"/>
  <c r="I177" i="3"/>
  <c r="H177" i="3"/>
  <c r="G177" i="3"/>
  <c r="F177" i="3"/>
  <c r="D177" i="3"/>
  <c r="C177" i="3"/>
  <c r="B177" i="3"/>
  <c r="A177" i="3"/>
  <c r="J176" i="3"/>
  <c r="I176" i="3"/>
  <c r="H176" i="3"/>
  <c r="G176" i="3"/>
  <c r="F176" i="3"/>
  <c r="D176" i="3"/>
  <c r="C176" i="3"/>
  <c r="B176" i="3"/>
  <c r="A176" i="3"/>
  <c r="J175" i="3"/>
  <c r="I175" i="3"/>
  <c r="H175" i="3"/>
  <c r="G175" i="3"/>
  <c r="F175" i="3"/>
  <c r="D175" i="3"/>
  <c r="C175" i="3"/>
  <c r="B175" i="3"/>
  <c r="A175" i="3"/>
  <c r="J174" i="3"/>
  <c r="I174" i="3"/>
  <c r="H174" i="3"/>
  <c r="G174" i="3"/>
  <c r="F174" i="3"/>
  <c r="D174" i="3"/>
  <c r="C174" i="3"/>
  <c r="B174" i="3"/>
  <c r="A174" i="3"/>
  <c r="J173" i="3"/>
  <c r="I173" i="3"/>
  <c r="H173" i="3"/>
  <c r="G173" i="3"/>
  <c r="F173" i="3"/>
  <c r="D173" i="3"/>
  <c r="C173" i="3"/>
  <c r="B173" i="3"/>
  <c r="A173" i="3"/>
  <c r="J172" i="3"/>
  <c r="I172" i="3"/>
  <c r="H172" i="3"/>
  <c r="G172" i="3"/>
  <c r="F172" i="3"/>
  <c r="D172" i="3"/>
  <c r="C172" i="3"/>
  <c r="B172" i="3"/>
  <c r="A172" i="3"/>
  <c r="J171" i="3"/>
  <c r="I171" i="3"/>
  <c r="H171" i="3"/>
  <c r="G171" i="3"/>
  <c r="F171" i="3"/>
  <c r="D171" i="3"/>
  <c r="C171" i="3"/>
  <c r="B171" i="3"/>
  <c r="A171" i="3"/>
  <c r="J170" i="3"/>
  <c r="I170" i="3"/>
  <c r="H170" i="3"/>
  <c r="G170" i="3"/>
  <c r="F170" i="3"/>
  <c r="D170" i="3"/>
  <c r="C170" i="3"/>
  <c r="B170" i="3"/>
  <c r="A170" i="3"/>
  <c r="J169" i="3"/>
  <c r="I169" i="3"/>
  <c r="H169" i="3"/>
  <c r="G169" i="3"/>
  <c r="F169" i="3"/>
  <c r="D169" i="3"/>
  <c r="C169" i="3"/>
  <c r="B169" i="3"/>
  <c r="A169" i="3"/>
  <c r="J168" i="3"/>
  <c r="I168" i="3"/>
  <c r="H168" i="3"/>
  <c r="G168" i="3"/>
  <c r="F168" i="3"/>
  <c r="D168" i="3"/>
  <c r="C168" i="3"/>
  <c r="B168" i="3"/>
  <c r="A168" i="3"/>
  <c r="J167" i="3"/>
  <c r="I167" i="3"/>
  <c r="H167" i="3"/>
  <c r="G167" i="3"/>
  <c r="F167" i="3"/>
  <c r="D167" i="3"/>
  <c r="C167" i="3"/>
  <c r="B167" i="3"/>
  <c r="A167" i="3"/>
  <c r="J166" i="3"/>
  <c r="I166" i="3"/>
  <c r="H166" i="3"/>
  <c r="G166" i="3"/>
  <c r="F166" i="3"/>
  <c r="D166" i="3"/>
  <c r="C166" i="3"/>
  <c r="B166" i="3"/>
  <c r="A166" i="3"/>
  <c r="J165" i="3"/>
  <c r="I165" i="3"/>
  <c r="H165" i="3"/>
  <c r="G165" i="3"/>
  <c r="F165" i="3"/>
  <c r="D165" i="3"/>
  <c r="C165" i="3"/>
  <c r="B165" i="3"/>
  <c r="A165" i="3"/>
  <c r="J164" i="3"/>
  <c r="I164" i="3"/>
  <c r="H164" i="3"/>
  <c r="G164" i="3"/>
  <c r="F164" i="3"/>
  <c r="D164" i="3"/>
  <c r="C164" i="3"/>
  <c r="B164" i="3"/>
  <c r="A164" i="3"/>
  <c r="J163" i="3"/>
  <c r="I163" i="3"/>
  <c r="H163" i="3"/>
  <c r="G163" i="3"/>
  <c r="F163" i="3"/>
  <c r="D163" i="3"/>
  <c r="C163" i="3"/>
  <c r="B163" i="3"/>
  <c r="A163" i="3"/>
  <c r="J162" i="3"/>
  <c r="I162" i="3"/>
  <c r="H162" i="3"/>
  <c r="G162" i="3"/>
  <c r="F162" i="3"/>
  <c r="D162" i="3"/>
  <c r="C162" i="3"/>
  <c r="B162" i="3"/>
  <c r="A162" i="3"/>
  <c r="J161" i="3"/>
  <c r="I161" i="3"/>
  <c r="H161" i="3"/>
  <c r="G161" i="3"/>
  <c r="F161" i="3"/>
  <c r="D161" i="3"/>
  <c r="C161" i="3"/>
  <c r="B161" i="3"/>
  <c r="A161" i="3"/>
  <c r="J160" i="3"/>
  <c r="I160" i="3"/>
  <c r="H160" i="3"/>
  <c r="G160" i="3"/>
  <c r="F160" i="3"/>
  <c r="D160" i="3"/>
  <c r="C160" i="3"/>
  <c r="B160" i="3"/>
  <c r="A160" i="3"/>
  <c r="J159" i="3"/>
  <c r="I159" i="3"/>
  <c r="H159" i="3"/>
  <c r="G159" i="3"/>
  <c r="F159" i="3"/>
  <c r="D159" i="3"/>
  <c r="C159" i="3"/>
  <c r="B159" i="3"/>
  <c r="A159" i="3"/>
  <c r="J158" i="3"/>
  <c r="I158" i="3"/>
  <c r="H158" i="3"/>
  <c r="G158" i="3"/>
  <c r="F158" i="3"/>
  <c r="D158" i="3"/>
  <c r="C158" i="3"/>
  <c r="B158" i="3"/>
  <c r="A158" i="3"/>
  <c r="J157" i="3"/>
  <c r="I157" i="3"/>
  <c r="H157" i="3"/>
  <c r="G157" i="3"/>
  <c r="F157" i="3"/>
  <c r="D157" i="3"/>
  <c r="C157" i="3"/>
  <c r="B157" i="3"/>
  <c r="A157" i="3"/>
  <c r="J156" i="3"/>
  <c r="I156" i="3"/>
  <c r="H156" i="3"/>
  <c r="G156" i="3"/>
  <c r="F156" i="3"/>
  <c r="D156" i="3"/>
  <c r="C156" i="3"/>
  <c r="B156" i="3"/>
  <c r="A156" i="3"/>
  <c r="J155" i="3"/>
  <c r="I155" i="3"/>
  <c r="H155" i="3"/>
  <c r="G155" i="3"/>
  <c r="F155" i="3"/>
  <c r="D155" i="3"/>
  <c r="C155" i="3"/>
  <c r="B155" i="3"/>
  <c r="A155" i="3"/>
  <c r="J154" i="3"/>
  <c r="I154" i="3"/>
  <c r="H154" i="3"/>
  <c r="G154" i="3"/>
  <c r="F154" i="3"/>
  <c r="D154" i="3"/>
  <c r="C154" i="3"/>
  <c r="B154" i="3"/>
  <c r="A154" i="3"/>
  <c r="J153" i="3"/>
  <c r="I153" i="3"/>
  <c r="H153" i="3"/>
  <c r="G153" i="3"/>
  <c r="F153" i="3"/>
  <c r="D153" i="3"/>
  <c r="C153" i="3"/>
  <c r="B153" i="3"/>
  <c r="A153" i="3"/>
  <c r="J152" i="3"/>
  <c r="I152" i="3"/>
  <c r="H152" i="3"/>
  <c r="G152" i="3"/>
  <c r="F152" i="3"/>
  <c r="D152" i="3"/>
  <c r="C152" i="3"/>
  <c r="B152" i="3"/>
  <c r="A152" i="3"/>
  <c r="J151" i="3"/>
  <c r="I151" i="3"/>
  <c r="H151" i="3"/>
  <c r="G151" i="3"/>
  <c r="F151" i="3"/>
  <c r="D151" i="3"/>
  <c r="C151" i="3"/>
  <c r="B151" i="3"/>
  <c r="A151" i="3"/>
  <c r="J150" i="3"/>
  <c r="I150" i="3"/>
  <c r="H150" i="3"/>
  <c r="G150" i="3"/>
  <c r="F150" i="3"/>
  <c r="D150" i="3"/>
  <c r="C150" i="3"/>
  <c r="B150" i="3"/>
  <c r="A150" i="3"/>
  <c r="J149" i="3"/>
  <c r="I149" i="3"/>
  <c r="H149" i="3"/>
  <c r="G149" i="3"/>
  <c r="F149" i="3"/>
  <c r="D149" i="3"/>
  <c r="C149" i="3"/>
  <c r="B149" i="3"/>
  <c r="A149" i="3"/>
  <c r="J148" i="3"/>
  <c r="I148" i="3"/>
  <c r="H148" i="3"/>
  <c r="G148" i="3"/>
  <c r="F148" i="3"/>
  <c r="D148" i="3"/>
  <c r="C148" i="3"/>
  <c r="B148" i="3"/>
  <c r="A148" i="3"/>
  <c r="J147" i="3"/>
  <c r="I147" i="3"/>
  <c r="H147" i="3"/>
  <c r="G147" i="3"/>
  <c r="F147" i="3"/>
  <c r="D147" i="3"/>
  <c r="C147" i="3"/>
  <c r="B147" i="3"/>
  <c r="A147" i="3"/>
  <c r="J146" i="3"/>
  <c r="I146" i="3"/>
  <c r="H146" i="3"/>
  <c r="G146" i="3"/>
  <c r="F146" i="3"/>
  <c r="D146" i="3"/>
  <c r="C146" i="3"/>
  <c r="B146" i="3"/>
  <c r="A146" i="3"/>
  <c r="J145" i="3"/>
  <c r="I145" i="3"/>
  <c r="H145" i="3"/>
  <c r="G145" i="3"/>
  <c r="F145" i="3"/>
  <c r="D145" i="3"/>
  <c r="C145" i="3"/>
  <c r="B145" i="3"/>
  <c r="A145" i="3"/>
  <c r="J144" i="3"/>
  <c r="I144" i="3"/>
  <c r="H144" i="3"/>
  <c r="G144" i="3"/>
  <c r="F144" i="3"/>
  <c r="D144" i="3"/>
  <c r="C144" i="3"/>
  <c r="B144" i="3"/>
  <c r="A144" i="3"/>
  <c r="J143" i="3"/>
  <c r="I143" i="3"/>
  <c r="H143" i="3"/>
  <c r="G143" i="3"/>
  <c r="F143" i="3"/>
  <c r="D143" i="3"/>
  <c r="C143" i="3"/>
  <c r="B143" i="3"/>
  <c r="A143" i="3"/>
  <c r="J142" i="3"/>
  <c r="I142" i="3"/>
  <c r="H142" i="3"/>
  <c r="G142" i="3"/>
  <c r="F142" i="3"/>
  <c r="D142" i="3"/>
  <c r="C142" i="3"/>
  <c r="B142" i="3"/>
  <c r="A142" i="3"/>
  <c r="J141" i="3"/>
  <c r="I141" i="3"/>
  <c r="H141" i="3"/>
  <c r="G141" i="3"/>
  <c r="F141" i="3"/>
  <c r="D141" i="3"/>
  <c r="C141" i="3"/>
  <c r="B141" i="3"/>
  <c r="A141" i="3"/>
  <c r="J140" i="3"/>
  <c r="I140" i="3"/>
  <c r="H140" i="3"/>
  <c r="G140" i="3"/>
  <c r="F140" i="3"/>
  <c r="D140" i="3"/>
  <c r="C140" i="3"/>
  <c r="B140" i="3"/>
  <c r="A140" i="3"/>
  <c r="J139" i="3"/>
  <c r="I139" i="3"/>
  <c r="H139" i="3"/>
  <c r="G139" i="3"/>
  <c r="F139" i="3"/>
  <c r="D139" i="3"/>
  <c r="C139" i="3"/>
  <c r="B139" i="3"/>
  <c r="A139" i="3"/>
  <c r="J138" i="3"/>
  <c r="I138" i="3"/>
  <c r="H138" i="3"/>
  <c r="G138" i="3"/>
  <c r="F138" i="3"/>
  <c r="D138" i="3"/>
  <c r="C138" i="3"/>
  <c r="B138" i="3"/>
  <c r="A138" i="3"/>
  <c r="J137" i="3"/>
  <c r="I137" i="3"/>
  <c r="H137" i="3"/>
  <c r="G137" i="3"/>
  <c r="F137" i="3"/>
  <c r="D137" i="3"/>
  <c r="C137" i="3"/>
  <c r="B137" i="3"/>
  <c r="A137" i="3"/>
  <c r="J136" i="3"/>
  <c r="I136" i="3"/>
  <c r="H136" i="3"/>
  <c r="G136" i="3"/>
  <c r="F136" i="3"/>
  <c r="D136" i="3"/>
  <c r="C136" i="3"/>
  <c r="B136" i="3"/>
  <c r="A136" i="3"/>
  <c r="J135" i="3"/>
  <c r="I135" i="3"/>
  <c r="H135" i="3"/>
  <c r="G135" i="3"/>
  <c r="F135" i="3"/>
  <c r="D135" i="3"/>
  <c r="C135" i="3"/>
  <c r="B135" i="3"/>
  <c r="A135" i="3"/>
  <c r="J134" i="3"/>
  <c r="I134" i="3"/>
  <c r="H134" i="3"/>
  <c r="G134" i="3"/>
  <c r="F134" i="3"/>
  <c r="D134" i="3"/>
  <c r="C134" i="3"/>
  <c r="B134" i="3"/>
  <c r="A134" i="3"/>
  <c r="J133" i="3"/>
  <c r="I133" i="3"/>
  <c r="H133" i="3"/>
  <c r="G133" i="3"/>
  <c r="F133" i="3"/>
  <c r="D133" i="3"/>
  <c r="C133" i="3"/>
  <c r="B133" i="3"/>
  <c r="A133" i="3"/>
  <c r="J132" i="3"/>
  <c r="I132" i="3"/>
  <c r="H132" i="3"/>
  <c r="G132" i="3"/>
  <c r="F132" i="3"/>
  <c r="D132" i="3"/>
  <c r="C132" i="3"/>
  <c r="B132" i="3"/>
  <c r="A132" i="3"/>
  <c r="J131" i="3"/>
  <c r="I131" i="3"/>
  <c r="H131" i="3"/>
  <c r="G131" i="3"/>
  <c r="F131" i="3"/>
  <c r="D131" i="3"/>
  <c r="C131" i="3"/>
  <c r="B131" i="3"/>
  <c r="A131" i="3"/>
  <c r="J130" i="3"/>
  <c r="I130" i="3"/>
  <c r="H130" i="3"/>
  <c r="G130" i="3"/>
  <c r="F130" i="3"/>
  <c r="D130" i="3"/>
  <c r="C130" i="3"/>
  <c r="B130" i="3"/>
  <c r="A130" i="3"/>
  <c r="J129" i="3"/>
  <c r="I129" i="3"/>
  <c r="H129" i="3"/>
  <c r="G129" i="3"/>
  <c r="F129" i="3"/>
  <c r="D129" i="3"/>
  <c r="C129" i="3"/>
  <c r="B129" i="3"/>
  <c r="A129" i="3"/>
  <c r="J128" i="3"/>
  <c r="I128" i="3"/>
  <c r="H128" i="3"/>
  <c r="G128" i="3"/>
  <c r="F128" i="3"/>
  <c r="D128" i="3"/>
  <c r="C128" i="3"/>
  <c r="B128" i="3"/>
  <c r="A128" i="3"/>
  <c r="J127" i="3"/>
  <c r="I127" i="3"/>
  <c r="H127" i="3"/>
  <c r="G127" i="3"/>
  <c r="F127" i="3"/>
  <c r="D127" i="3"/>
  <c r="C127" i="3"/>
  <c r="B127" i="3"/>
  <c r="A127" i="3"/>
  <c r="J126" i="3"/>
  <c r="I126" i="3"/>
  <c r="H126" i="3"/>
  <c r="G126" i="3"/>
  <c r="F126" i="3"/>
  <c r="D126" i="3"/>
  <c r="C126" i="3"/>
  <c r="B126" i="3"/>
  <c r="A126" i="3"/>
  <c r="J125" i="3"/>
  <c r="I125" i="3"/>
  <c r="H125" i="3"/>
  <c r="G125" i="3"/>
  <c r="F125" i="3"/>
  <c r="D125" i="3"/>
  <c r="C125" i="3"/>
  <c r="B125" i="3"/>
  <c r="A125" i="3"/>
  <c r="J124" i="3"/>
  <c r="I124" i="3"/>
  <c r="H124" i="3"/>
  <c r="G124" i="3"/>
  <c r="F124" i="3"/>
  <c r="D124" i="3"/>
  <c r="C124" i="3"/>
  <c r="B124" i="3"/>
  <c r="A124" i="3"/>
  <c r="J123" i="3"/>
  <c r="I123" i="3"/>
  <c r="H123" i="3"/>
  <c r="G123" i="3"/>
  <c r="F123" i="3"/>
  <c r="D123" i="3"/>
  <c r="C123" i="3"/>
  <c r="B123" i="3"/>
  <c r="A123" i="3"/>
  <c r="J122" i="3"/>
  <c r="I122" i="3"/>
  <c r="H122" i="3"/>
  <c r="G122" i="3"/>
  <c r="F122" i="3"/>
  <c r="D122" i="3"/>
  <c r="C122" i="3"/>
  <c r="B122" i="3"/>
  <c r="A122" i="3"/>
  <c r="J121" i="3"/>
  <c r="I121" i="3"/>
  <c r="H121" i="3"/>
  <c r="G121" i="3"/>
  <c r="F121" i="3"/>
  <c r="D121" i="3"/>
  <c r="C121" i="3"/>
  <c r="B121" i="3"/>
  <c r="A121" i="3"/>
  <c r="J120" i="3"/>
  <c r="I120" i="3"/>
  <c r="H120" i="3"/>
  <c r="G120" i="3"/>
  <c r="F120" i="3"/>
  <c r="D120" i="3"/>
  <c r="C120" i="3"/>
  <c r="B120" i="3"/>
  <c r="A120" i="3"/>
  <c r="J119" i="3"/>
  <c r="I119" i="3"/>
  <c r="H119" i="3"/>
  <c r="G119" i="3"/>
  <c r="F119" i="3"/>
  <c r="D119" i="3"/>
  <c r="C119" i="3"/>
  <c r="B119" i="3"/>
  <c r="A119" i="3"/>
  <c r="J118" i="3"/>
  <c r="I118" i="3"/>
  <c r="H118" i="3"/>
  <c r="G118" i="3"/>
  <c r="F118" i="3"/>
  <c r="D118" i="3"/>
  <c r="C118" i="3"/>
  <c r="B118" i="3"/>
  <c r="A118" i="3"/>
  <c r="J117" i="3"/>
  <c r="I117" i="3"/>
  <c r="H117" i="3"/>
  <c r="G117" i="3"/>
  <c r="F117" i="3"/>
  <c r="D117" i="3"/>
  <c r="C117" i="3"/>
  <c r="B117" i="3"/>
  <c r="A117" i="3"/>
  <c r="J116" i="3"/>
  <c r="I116" i="3"/>
  <c r="H116" i="3"/>
  <c r="G116" i="3"/>
  <c r="F116" i="3"/>
  <c r="D116" i="3"/>
  <c r="C116" i="3"/>
  <c r="B116" i="3"/>
  <c r="A116" i="3"/>
  <c r="J115" i="3"/>
  <c r="I115" i="3"/>
  <c r="H115" i="3"/>
  <c r="G115" i="3"/>
  <c r="F115" i="3"/>
  <c r="D115" i="3"/>
  <c r="C115" i="3"/>
  <c r="B115" i="3"/>
  <c r="A115" i="3"/>
  <c r="J114" i="3"/>
  <c r="I114" i="3"/>
  <c r="H114" i="3"/>
  <c r="G114" i="3"/>
  <c r="F114" i="3"/>
  <c r="D114" i="3"/>
  <c r="C114" i="3"/>
  <c r="B114" i="3"/>
  <c r="A114" i="3"/>
  <c r="J113" i="3"/>
  <c r="I113" i="3"/>
  <c r="H113" i="3"/>
  <c r="G113" i="3"/>
  <c r="F113" i="3"/>
  <c r="D113" i="3"/>
  <c r="C113" i="3"/>
  <c r="B113" i="3"/>
  <c r="A113" i="3"/>
  <c r="J112" i="3"/>
  <c r="I112" i="3"/>
  <c r="H112" i="3"/>
  <c r="G112" i="3"/>
  <c r="F112" i="3"/>
  <c r="D112" i="3"/>
  <c r="C112" i="3"/>
  <c r="B112" i="3"/>
  <c r="A112" i="3"/>
  <c r="J111" i="3"/>
  <c r="I111" i="3"/>
  <c r="H111" i="3"/>
  <c r="G111" i="3"/>
  <c r="F111" i="3"/>
  <c r="D111" i="3"/>
  <c r="C111" i="3"/>
  <c r="B111" i="3"/>
  <c r="A111" i="3"/>
  <c r="J110" i="3"/>
  <c r="I110" i="3"/>
  <c r="H110" i="3"/>
  <c r="G110" i="3"/>
  <c r="F110" i="3"/>
  <c r="D110" i="3"/>
  <c r="C110" i="3"/>
  <c r="B110" i="3"/>
  <c r="A110" i="3"/>
  <c r="J109" i="3"/>
  <c r="I109" i="3"/>
  <c r="H109" i="3"/>
  <c r="G109" i="3"/>
  <c r="F109" i="3"/>
  <c r="D109" i="3"/>
  <c r="C109" i="3"/>
  <c r="B109" i="3"/>
  <c r="A109" i="3"/>
  <c r="J108" i="3"/>
  <c r="I108" i="3"/>
  <c r="H108" i="3"/>
  <c r="G108" i="3"/>
  <c r="F108" i="3"/>
  <c r="D108" i="3"/>
  <c r="C108" i="3"/>
  <c r="B108" i="3"/>
  <c r="A108" i="3"/>
  <c r="J107" i="3"/>
  <c r="I107" i="3"/>
  <c r="H107" i="3"/>
  <c r="G107" i="3"/>
  <c r="F107" i="3"/>
  <c r="D107" i="3"/>
  <c r="C107" i="3"/>
  <c r="B107" i="3"/>
  <c r="A107" i="3"/>
  <c r="J106" i="3"/>
  <c r="I106" i="3"/>
  <c r="H106" i="3"/>
  <c r="G106" i="3"/>
  <c r="F106" i="3"/>
  <c r="D106" i="3"/>
  <c r="C106" i="3"/>
  <c r="B106" i="3"/>
  <c r="A106" i="3"/>
  <c r="J105" i="3"/>
  <c r="I105" i="3"/>
  <c r="H105" i="3"/>
  <c r="G105" i="3"/>
  <c r="F105" i="3"/>
  <c r="D105" i="3"/>
  <c r="C105" i="3"/>
  <c r="B105" i="3"/>
  <c r="A105" i="3"/>
  <c r="J104" i="3"/>
  <c r="I104" i="3"/>
  <c r="H104" i="3"/>
  <c r="G104" i="3"/>
  <c r="F104" i="3"/>
  <c r="D104" i="3"/>
  <c r="C104" i="3"/>
  <c r="B104" i="3"/>
  <c r="A104" i="3"/>
  <c r="J103" i="3"/>
  <c r="I103" i="3"/>
  <c r="H103" i="3"/>
  <c r="G103" i="3"/>
  <c r="F103" i="3"/>
  <c r="D103" i="3"/>
  <c r="C103" i="3"/>
  <c r="B103" i="3"/>
  <c r="A103" i="3"/>
  <c r="J102" i="3"/>
  <c r="I102" i="3"/>
  <c r="H102" i="3"/>
  <c r="G102" i="3"/>
  <c r="F102" i="3"/>
  <c r="D102" i="3"/>
  <c r="C102" i="3"/>
  <c r="B102" i="3"/>
  <c r="A102" i="3"/>
  <c r="J101" i="3"/>
  <c r="I101" i="3"/>
  <c r="H101" i="3"/>
  <c r="G101" i="3"/>
  <c r="F101" i="3"/>
  <c r="D101" i="3"/>
  <c r="C101" i="3"/>
  <c r="B101" i="3"/>
  <c r="A101" i="3"/>
  <c r="J100" i="3"/>
  <c r="I100" i="3"/>
  <c r="H100" i="3"/>
  <c r="G100" i="3"/>
  <c r="F100" i="3"/>
  <c r="D100" i="3"/>
  <c r="C100" i="3"/>
  <c r="B100" i="3"/>
  <c r="A100" i="3"/>
  <c r="J99" i="3"/>
  <c r="I99" i="3"/>
  <c r="H99" i="3"/>
  <c r="G99" i="3"/>
  <c r="F99" i="3"/>
  <c r="D99" i="3"/>
  <c r="C99" i="3"/>
  <c r="B99" i="3"/>
  <c r="A99" i="3"/>
  <c r="J98" i="3"/>
  <c r="I98" i="3"/>
  <c r="H98" i="3"/>
  <c r="G98" i="3"/>
  <c r="F98" i="3"/>
  <c r="D98" i="3"/>
  <c r="C98" i="3"/>
  <c r="B98" i="3"/>
  <c r="A98" i="3"/>
  <c r="J97" i="3"/>
  <c r="I97" i="3"/>
  <c r="H97" i="3"/>
  <c r="G97" i="3"/>
  <c r="F97" i="3"/>
  <c r="D97" i="3"/>
  <c r="C97" i="3"/>
  <c r="B97" i="3"/>
  <c r="A97" i="3"/>
  <c r="J96" i="3"/>
  <c r="I96" i="3"/>
  <c r="H96" i="3"/>
  <c r="G96" i="3"/>
  <c r="F96" i="3"/>
  <c r="D96" i="3"/>
  <c r="C96" i="3"/>
  <c r="B96" i="3"/>
  <c r="A96" i="3"/>
  <c r="J95" i="3"/>
  <c r="I95" i="3"/>
  <c r="H95" i="3"/>
  <c r="G95" i="3"/>
  <c r="F95" i="3"/>
  <c r="D95" i="3"/>
  <c r="C95" i="3"/>
  <c r="B95" i="3"/>
  <c r="A95" i="3"/>
  <c r="J94" i="3"/>
  <c r="I94" i="3"/>
  <c r="H94" i="3"/>
  <c r="G94" i="3"/>
  <c r="F94" i="3"/>
  <c r="D94" i="3"/>
  <c r="C94" i="3"/>
  <c r="B94" i="3"/>
  <c r="A94" i="3"/>
  <c r="J93" i="3"/>
  <c r="I93" i="3"/>
  <c r="H93" i="3"/>
  <c r="G93" i="3"/>
  <c r="F93" i="3"/>
  <c r="D93" i="3"/>
  <c r="C93" i="3"/>
  <c r="B93" i="3"/>
  <c r="A93" i="3"/>
  <c r="J92" i="3"/>
  <c r="I92" i="3"/>
  <c r="H92" i="3"/>
  <c r="G92" i="3"/>
  <c r="F92" i="3"/>
  <c r="D92" i="3"/>
  <c r="C92" i="3"/>
  <c r="B92" i="3"/>
  <c r="A92" i="3"/>
  <c r="J91" i="3"/>
  <c r="I91" i="3"/>
  <c r="H91" i="3"/>
  <c r="G91" i="3"/>
  <c r="F91" i="3"/>
  <c r="D91" i="3"/>
  <c r="C91" i="3"/>
  <c r="B91" i="3"/>
  <c r="A91" i="3"/>
  <c r="J90" i="3"/>
  <c r="I90" i="3"/>
  <c r="H90" i="3"/>
  <c r="G90" i="3"/>
  <c r="F90" i="3"/>
  <c r="D90" i="3"/>
  <c r="C90" i="3"/>
  <c r="B90" i="3"/>
  <c r="A90" i="3"/>
  <c r="J89" i="3"/>
  <c r="I89" i="3"/>
  <c r="H89" i="3"/>
  <c r="G89" i="3"/>
  <c r="F89" i="3"/>
  <c r="D89" i="3"/>
  <c r="C89" i="3"/>
  <c r="B89" i="3"/>
  <c r="A89" i="3"/>
  <c r="J88" i="3"/>
  <c r="I88" i="3"/>
  <c r="H88" i="3"/>
  <c r="G88" i="3"/>
  <c r="F88" i="3"/>
  <c r="D88" i="3"/>
  <c r="C88" i="3"/>
  <c r="B88" i="3"/>
  <c r="A88" i="3"/>
  <c r="J87" i="3"/>
  <c r="I87" i="3"/>
  <c r="H87" i="3"/>
  <c r="G87" i="3"/>
  <c r="F87" i="3"/>
  <c r="D87" i="3"/>
  <c r="C87" i="3"/>
  <c r="B87" i="3"/>
  <c r="A87" i="3"/>
  <c r="J86" i="3"/>
  <c r="I86" i="3"/>
  <c r="H86" i="3"/>
  <c r="G86" i="3"/>
  <c r="F86" i="3"/>
  <c r="D86" i="3"/>
  <c r="C86" i="3"/>
  <c r="B86" i="3"/>
  <c r="A86" i="3"/>
  <c r="J85" i="3"/>
  <c r="I85" i="3"/>
  <c r="H85" i="3"/>
  <c r="G85" i="3"/>
  <c r="F85" i="3"/>
  <c r="D85" i="3"/>
  <c r="C85" i="3"/>
  <c r="B85" i="3"/>
  <c r="A85" i="3"/>
  <c r="J84" i="3"/>
  <c r="I84" i="3"/>
  <c r="H84" i="3"/>
  <c r="G84" i="3"/>
  <c r="F84" i="3"/>
  <c r="D84" i="3"/>
  <c r="C84" i="3"/>
  <c r="B84" i="3"/>
  <c r="A84" i="3"/>
  <c r="J83" i="3"/>
  <c r="I83" i="3"/>
  <c r="H83" i="3"/>
  <c r="G83" i="3"/>
  <c r="F83" i="3"/>
  <c r="D83" i="3"/>
  <c r="C83" i="3"/>
  <c r="B83" i="3"/>
  <c r="A83" i="3"/>
  <c r="J82" i="3"/>
  <c r="I82" i="3"/>
  <c r="H82" i="3"/>
  <c r="G82" i="3"/>
  <c r="F82" i="3"/>
  <c r="D82" i="3"/>
  <c r="C82" i="3"/>
  <c r="B82" i="3"/>
  <c r="A82" i="3"/>
  <c r="J81" i="3"/>
  <c r="I81" i="3"/>
  <c r="H81" i="3"/>
  <c r="G81" i="3"/>
  <c r="F81" i="3"/>
  <c r="D81" i="3"/>
  <c r="C81" i="3"/>
  <c r="B81" i="3"/>
  <c r="A81" i="3"/>
  <c r="J80" i="3"/>
  <c r="I80" i="3"/>
  <c r="H80" i="3"/>
  <c r="G80" i="3"/>
  <c r="F80" i="3"/>
  <c r="D80" i="3"/>
  <c r="C80" i="3"/>
  <c r="B80" i="3"/>
  <c r="A80" i="3"/>
  <c r="J79" i="3"/>
  <c r="I79" i="3"/>
  <c r="H79" i="3"/>
  <c r="G79" i="3"/>
  <c r="F79" i="3"/>
  <c r="D79" i="3"/>
  <c r="C79" i="3"/>
  <c r="B79" i="3"/>
  <c r="A79" i="3"/>
  <c r="J78" i="3"/>
  <c r="I78" i="3"/>
  <c r="H78" i="3"/>
  <c r="G78" i="3"/>
  <c r="F78" i="3"/>
  <c r="D78" i="3"/>
  <c r="C78" i="3"/>
  <c r="B78" i="3"/>
  <c r="A78" i="3"/>
  <c r="J77" i="3"/>
  <c r="I77" i="3"/>
  <c r="H77" i="3"/>
  <c r="G77" i="3"/>
  <c r="F77" i="3"/>
  <c r="D77" i="3"/>
  <c r="C77" i="3"/>
  <c r="B77" i="3"/>
  <c r="A77" i="3"/>
  <c r="J76" i="3"/>
  <c r="I76" i="3"/>
  <c r="H76" i="3"/>
  <c r="G76" i="3"/>
  <c r="F76" i="3"/>
  <c r="D76" i="3"/>
  <c r="C76" i="3"/>
  <c r="B76" i="3"/>
  <c r="A76" i="3"/>
  <c r="J75" i="3"/>
  <c r="I75" i="3"/>
  <c r="H75" i="3"/>
  <c r="G75" i="3"/>
  <c r="F75" i="3"/>
  <c r="D75" i="3"/>
  <c r="C75" i="3"/>
  <c r="B75" i="3"/>
  <c r="A75" i="3"/>
  <c r="J74" i="3"/>
  <c r="I74" i="3"/>
  <c r="H74" i="3"/>
  <c r="G74" i="3"/>
  <c r="F74" i="3"/>
  <c r="D74" i="3"/>
  <c r="C74" i="3"/>
  <c r="B74" i="3"/>
  <c r="A74" i="3"/>
  <c r="J73" i="3"/>
  <c r="I73" i="3"/>
  <c r="H73" i="3"/>
  <c r="G73" i="3"/>
  <c r="F73" i="3"/>
  <c r="D73" i="3"/>
  <c r="C73" i="3"/>
  <c r="B73" i="3"/>
  <c r="A73" i="3"/>
  <c r="J72" i="3"/>
  <c r="I72" i="3"/>
  <c r="H72" i="3"/>
  <c r="G72" i="3"/>
  <c r="F72" i="3"/>
  <c r="D72" i="3"/>
  <c r="C72" i="3"/>
  <c r="B72" i="3"/>
  <c r="A72" i="3"/>
  <c r="J71" i="3"/>
  <c r="I71" i="3"/>
  <c r="H71" i="3"/>
  <c r="G71" i="3"/>
  <c r="F71" i="3"/>
  <c r="D71" i="3"/>
  <c r="C71" i="3"/>
  <c r="B71" i="3"/>
  <c r="A71" i="3"/>
  <c r="J70" i="3"/>
  <c r="I70" i="3"/>
  <c r="H70" i="3"/>
  <c r="G70" i="3"/>
  <c r="F70" i="3"/>
  <c r="D70" i="3"/>
  <c r="C70" i="3"/>
  <c r="B70" i="3"/>
  <c r="A70" i="3"/>
  <c r="J69" i="3"/>
  <c r="I69" i="3"/>
  <c r="H69" i="3"/>
  <c r="G69" i="3"/>
  <c r="F69" i="3"/>
  <c r="D69" i="3"/>
  <c r="C69" i="3"/>
  <c r="B69" i="3"/>
  <c r="A69" i="3"/>
  <c r="J68" i="3"/>
  <c r="I68" i="3"/>
  <c r="H68" i="3"/>
  <c r="G68" i="3"/>
  <c r="F68" i="3"/>
  <c r="D68" i="3"/>
  <c r="C68" i="3"/>
  <c r="B68" i="3"/>
  <c r="A68" i="3"/>
  <c r="J67" i="3"/>
  <c r="I67" i="3"/>
  <c r="H67" i="3"/>
  <c r="G67" i="3"/>
  <c r="F67" i="3"/>
  <c r="D67" i="3"/>
  <c r="C67" i="3"/>
  <c r="B67" i="3"/>
  <c r="A67" i="3"/>
  <c r="J66" i="3"/>
  <c r="I66" i="3"/>
  <c r="H66" i="3"/>
  <c r="G66" i="3"/>
  <c r="F66" i="3"/>
  <c r="D66" i="3"/>
  <c r="C66" i="3"/>
  <c r="B66" i="3"/>
  <c r="A66" i="3"/>
  <c r="J65" i="3"/>
  <c r="I65" i="3"/>
  <c r="H65" i="3"/>
  <c r="G65" i="3"/>
  <c r="F65" i="3"/>
  <c r="D65" i="3"/>
  <c r="C65" i="3"/>
  <c r="B65" i="3"/>
  <c r="A65" i="3"/>
  <c r="J64" i="3"/>
  <c r="I64" i="3"/>
  <c r="H64" i="3"/>
  <c r="G64" i="3"/>
  <c r="F64" i="3"/>
  <c r="D64" i="3"/>
  <c r="C64" i="3"/>
  <c r="B64" i="3"/>
  <c r="A64" i="3"/>
  <c r="J63" i="3"/>
  <c r="I63" i="3"/>
  <c r="H63" i="3"/>
  <c r="G63" i="3"/>
  <c r="F63" i="3"/>
  <c r="D63" i="3"/>
  <c r="C63" i="3"/>
  <c r="B63" i="3"/>
  <c r="A63" i="3"/>
  <c r="J62" i="3"/>
  <c r="I62" i="3"/>
  <c r="H62" i="3"/>
  <c r="G62" i="3"/>
  <c r="F62" i="3"/>
  <c r="D62" i="3"/>
  <c r="C62" i="3"/>
  <c r="B62" i="3"/>
  <c r="A62" i="3"/>
  <c r="J61" i="3"/>
  <c r="I61" i="3"/>
  <c r="H61" i="3"/>
  <c r="G61" i="3"/>
  <c r="F61" i="3"/>
  <c r="D61" i="3"/>
  <c r="C61" i="3"/>
  <c r="B61" i="3"/>
  <c r="A61" i="3"/>
  <c r="J60" i="3"/>
  <c r="I60" i="3"/>
  <c r="H60" i="3"/>
  <c r="G60" i="3"/>
  <c r="F60" i="3"/>
  <c r="D60" i="3"/>
  <c r="C60" i="3"/>
  <c r="B60" i="3"/>
  <c r="A60" i="3"/>
  <c r="J59" i="3"/>
  <c r="I59" i="3"/>
  <c r="H59" i="3"/>
  <c r="G59" i="3"/>
  <c r="F59" i="3"/>
  <c r="D59" i="3"/>
  <c r="C59" i="3"/>
  <c r="B59" i="3"/>
  <c r="A59" i="3"/>
  <c r="J58" i="3"/>
  <c r="I58" i="3"/>
  <c r="H58" i="3"/>
  <c r="G58" i="3"/>
  <c r="F58" i="3"/>
  <c r="D58" i="3"/>
  <c r="C58" i="3"/>
  <c r="B58" i="3"/>
  <c r="A58" i="3"/>
  <c r="J57" i="3"/>
  <c r="I57" i="3"/>
  <c r="H57" i="3"/>
  <c r="G57" i="3"/>
  <c r="F57" i="3"/>
  <c r="D57" i="3"/>
  <c r="C57" i="3"/>
  <c r="B57" i="3"/>
  <c r="A57" i="3"/>
  <c r="J56" i="3"/>
  <c r="I56" i="3"/>
  <c r="H56" i="3"/>
  <c r="G56" i="3"/>
  <c r="F56" i="3"/>
  <c r="D56" i="3"/>
  <c r="C56" i="3"/>
  <c r="B56" i="3"/>
  <c r="A56" i="3"/>
  <c r="J55" i="3"/>
  <c r="I55" i="3"/>
  <c r="H55" i="3"/>
  <c r="G55" i="3"/>
  <c r="F55" i="3"/>
  <c r="D55" i="3"/>
  <c r="C55" i="3"/>
  <c r="B55" i="3"/>
  <c r="A55" i="3"/>
  <c r="J54" i="3"/>
  <c r="I54" i="3"/>
  <c r="H54" i="3"/>
  <c r="G54" i="3"/>
  <c r="F54" i="3"/>
  <c r="D54" i="3"/>
  <c r="C54" i="3"/>
  <c r="B54" i="3"/>
  <c r="A54" i="3"/>
  <c r="J53" i="3"/>
  <c r="I53" i="3"/>
  <c r="H53" i="3"/>
  <c r="G53" i="3"/>
  <c r="F53" i="3"/>
  <c r="D53" i="3"/>
  <c r="C53" i="3"/>
  <c r="B53" i="3"/>
  <c r="A53" i="3"/>
  <c r="J52" i="3"/>
  <c r="I52" i="3"/>
  <c r="H52" i="3"/>
  <c r="G52" i="3"/>
  <c r="F52" i="3"/>
  <c r="D52" i="3"/>
  <c r="C52" i="3"/>
  <c r="B52" i="3"/>
  <c r="A52" i="3"/>
  <c r="J51" i="3"/>
  <c r="I51" i="3"/>
  <c r="H51" i="3"/>
  <c r="G51" i="3"/>
  <c r="F51" i="3"/>
  <c r="D51" i="3"/>
  <c r="C51" i="3"/>
  <c r="B51" i="3"/>
  <c r="A51" i="3"/>
  <c r="J50" i="3"/>
  <c r="I50" i="3"/>
  <c r="H50" i="3"/>
  <c r="G50" i="3"/>
  <c r="F50" i="3"/>
  <c r="D50" i="3"/>
  <c r="C50" i="3"/>
  <c r="B50" i="3"/>
  <c r="A50" i="3"/>
  <c r="J49" i="3"/>
  <c r="I49" i="3"/>
  <c r="H49" i="3"/>
  <c r="G49" i="3"/>
  <c r="F49" i="3"/>
  <c r="D49" i="3"/>
  <c r="C49" i="3"/>
  <c r="B49" i="3"/>
  <c r="A49" i="3"/>
  <c r="J48" i="3"/>
  <c r="I48" i="3"/>
  <c r="H48" i="3"/>
  <c r="G48" i="3"/>
  <c r="F48" i="3"/>
  <c r="D48" i="3"/>
  <c r="C48" i="3"/>
  <c r="B48" i="3"/>
  <c r="A48" i="3"/>
  <c r="J47" i="3"/>
  <c r="I47" i="3"/>
  <c r="H47" i="3"/>
  <c r="G47" i="3"/>
  <c r="F47" i="3"/>
  <c r="D47" i="3"/>
  <c r="C47" i="3"/>
  <c r="B47" i="3"/>
  <c r="A47" i="3"/>
  <c r="J46" i="3"/>
  <c r="I46" i="3"/>
  <c r="H46" i="3"/>
  <c r="G46" i="3"/>
  <c r="F46" i="3"/>
  <c r="D46" i="3"/>
  <c r="C46" i="3"/>
  <c r="B46" i="3"/>
  <c r="A46" i="3"/>
  <c r="J45" i="3"/>
  <c r="I45" i="3"/>
  <c r="H45" i="3"/>
  <c r="G45" i="3"/>
  <c r="F45" i="3"/>
  <c r="D45" i="3"/>
  <c r="C45" i="3"/>
  <c r="B45" i="3"/>
  <c r="A45" i="3"/>
  <c r="J44" i="3"/>
  <c r="I44" i="3"/>
  <c r="H44" i="3"/>
  <c r="G44" i="3"/>
  <c r="F44" i="3"/>
  <c r="D44" i="3"/>
  <c r="C44" i="3"/>
  <c r="B44" i="3"/>
  <c r="A44" i="3"/>
  <c r="J43" i="3"/>
  <c r="I43" i="3"/>
  <c r="H43" i="3"/>
  <c r="G43" i="3"/>
  <c r="F43" i="3"/>
  <c r="D43" i="3"/>
  <c r="C43" i="3"/>
  <c r="B43" i="3"/>
  <c r="A43" i="3"/>
  <c r="J42" i="3"/>
  <c r="I42" i="3"/>
  <c r="H42" i="3"/>
  <c r="G42" i="3"/>
  <c r="F42" i="3"/>
  <c r="D42" i="3"/>
  <c r="C42" i="3"/>
  <c r="B42" i="3"/>
  <c r="A42" i="3"/>
  <c r="J41" i="3"/>
  <c r="I41" i="3"/>
  <c r="H41" i="3"/>
  <c r="G41" i="3"/>
  <c r="F41" i="3"/>
  <c r="D41" i="3"/>
  <c r="C41" i="3"/>
  <c r="B41" i="3"/>
  <c r="A41" i="3"/>
  <c r="J40" i="3"/>
  <c r="I40" i="3"/>
  <c r="H40" i="3"/>
  <c r="G40" i="3"/>
  <c r="F40" i="3"/>
  <c r="D40" i="3"/>
  <c r="C40" i="3"/>
  <c r="B40" i="3"/>
  <c r="A40" i="3"/>
  <c r="J39" i="3"/>
  <c r="I39" i="3"/>
  <c r="H39" i="3"/>
  <c r="G39" i="3"/>
  <c r="F39" i="3"/>
  <c r="D39" i="3"/>
  <c r="C39" i="3"/>
  <c r="B39" i="3"/>
  <c r="A39" i="3"/>
  <c r="J38" i="3"/>
  <c r="I38" i="3"/>
  <c r="H38" i="3"/>
  <c r="G38" i="3"/>
  <c r="F38" i="3"/>
  <c r="D38" i="3"/>
  <c r="C38" i="3"/>
  <c r="B38" i="3"/>
  <c r="A38" i="3"/>
  <c r="J37" i="3"/>
  <c r="I37" i="3"/>
  <c r="H37" i="3"/>
  <c r="G37" i="3"/>
  <c r="F37" i="3"/>
  <c r="D37" i="3"/>
  <c r="C37" i="3"/>
  <c r="B37" i="3"/>
  <c r="A37" i="3"/>
  <c r="J36" i="3"/>
  <c r="I36" i="3"/>
  <c r="H36" i="3"/>
  <c r="G36" i="3"/>
  <c r="F36" i="3"/>
  <c r="D36" i="3"/>
  <c r="C36" i="3"/>
  <c r="B36" i="3"/>
  <c r="A36" i="3"/>
  <c r="J35" i="3"/>
  <c r="I35" i="3"/>
  <c r="H35" i="3"/>
  <c r="G35" i="3"/>
  <c r="F35" i="3"/>
  <c r="D35" i="3"/>
  <c r="C35" i="3"/>
  <c r="B35" i="3"/>
  <c r="A35" i="3"/>
  <c r="J34" i="3"/>
  <c r="I34" i="3"/>
  <c r="H34" i="3"/>
  <c r="G34" i="3"/>
  <c r="F34" i="3"/>
  <c r="D34" i="3"/>
  <c r="C34" i="3"/>
  <c r="B34" i="3"/>
  <c r="A34" i="3"/>
  <c r="J33" i="3"/>
  <c r="I33" i="3"/>
  <c r="H33" i="3"/>
  <c r="G33" i="3"/>
  <c r="F33" i="3"/>
  <c r="D33" i="3"/>
  <c r="C33" i="3"/>
  <c r="B33" i="3"/>
  <c r="A33" i="3"/>
  <c r="J32" i="3"/>
  <c r="I32" i="3"/>
  <c r="H32" i="3"/>
  <c r="G32" i="3"/>
  <c r="F32" i="3"/>
  <c r="D32" i="3"/>
  <c r="C32" i="3"/>
  <c r="B32" i="3"/>
  <c r="A32" i="3"/>
  <c r="J31" i="3"/>
  <c r="I31" i="3"/>
  <c r="H31" i="3"/>
  <c r="G31" i="3"/>
  <c r="F31" i="3"/>
  <c r="D31" i="3"/>
  <c r="C31" i="3"/>
  <c r="B31" i="3"/>
  <c r="A31" i="3"/>
  <c r="J30" i="3"/>
  <c r="I30" i="3"/>
  <c r="H30" i="3"/>
  <c r="G30" i="3"/>
  <c r="F30" i="3"/>
  <c r="D30" i="3"/>
  <c r="C30" i="3"/>
  <c r="B30" i="3"/>
  <c r="A30" i="3"/>
  <c r="J29" i="3"/>
  <c r="I29" i="3"/>
  <c r="H29" i="3"/>
  <c r="G29" i="3"/>
  <c r="F29" i="3"/>
  <c r="D29" i="3"/>
  <c r="C29" i="3"/>
  <c r="B29" i="3"/>
  <c r="A29" i="3"/>
  <c r="J28" i="3"/>
  <c r="I28" i="3"/>
  <c r="H28" i="3"/>
  <c r="G28" i="3"/>
  <c r="F28" i="3"/>
  <c r="D28" i="3"/>
  <c r="C28" i="3"/>
  <c r="B28" i="3"/>
  <c r="A28" i="3"/>
  <c r="J27" i="3"/>
  <c r="I27" i="3"/>
  <c r="H27" i="3"/>
  <c r="G27" i="3"/>
  <c r="F27" i="3"/>
  <c r="D27" i="3"/>
  <c r="C27" i="3"/>
  <c r="B27" i="3"/>
  <c r="A27" i="3"/>
  <c r="J26" i="3"/>
  <c r="I26" i="3"/>
  <c r="H26" i="3"/>
  <c r="G26" i="3"/>
  <c r="F26" i="3"/>
  <c r="D26" i="3"/>
  <c r="C26" i="3"/>
  <c r="B26" i="3"/>
  <c r="A26" i="3"/>
  <c r="J25" i="3"/>
  <c r="I25" i="3"/>
  <c r="H25" i="3"/>
  <c r="G25" i="3"/>
  <c r="F25" i="3"/>
  <c r="D25" i="3"/>
  <c r="C25" i="3"/>
  <c r="B25" i="3"/>
  <c r="A25" i="3"/>
  <c r="J24" i="3"/>
  <c r="I24" i="3"/>
  <c r="H24" i="3"/>
  <c r="G24" i="3"/>
  <c r="F24" i="3"/>
  <c r="D24" i="3"/>
  <c r="C24" i="3"/>
  <c r="B24" i="3"/>
  <c r="A24" i="3"/>
  <c r="J23" i="3"/>
  <c r="I23" i="3"/>
  <c r="H23" i="3"/>
  <c r="G23" i="3"/>
  <c r="F23" i="3"/>
  <c r="D23" i="3"/>
  <c r="C23" i="3"/>
  <c r="B23" i="3"/>
  <c r="A23" i="3"/>
  <c r="J22" i="3"/>
  <c r="I22" i="3"/>
  <c r="H22" i="3"/>
  <c r="G22" i="3"/>
  <c r="F22" i="3"/>
  <c r="D22" i="3"/>
  <c r="C22" i="3"/>
  <c r="B22" i="3"/>
  <c r="A22" i="3"/>
  <c r="J21" i="3"/>
  <c r="I21" i="3"/>
  <c r="H21" i="3"/>
  <c r="G21" i="3"/>
  <c r="F21" i="3"/>
  <c r="D21" i="3"/>
  <c r="C21" i="3"/>
  <c r="B21" i="3"/>
  <c r="A21" i="3"/>
  <c r="J20" i="3"/>
  <c r="I20" i="3"/>
  <c r="H20" i="3"/>
  <c r="G20" i="3"/>
  <c r="F20" i="3"/>
  <c r="D20" i="3"/>
  <c r="C20" i="3"/>
  <c r="B20" i="3"/>
  <c r="A20" i="3"/>
  <c r="J19" i="3"/>
  <c r="I19" i="3"/>
  <c r="H19" i="3"/>
  <c r="G19" i="3"/>
  <c r="F19" i="3"/>
  <c r="D19" i="3"/>
  <c r="C19" i="3"/>
  <c r="B19" i="3"/>
  <c r="A19" i="3"/>
  <c r="J18" i="3"/>
  <c r="I18" i="3"/>
  <c r="H18" i="3"/>
  <c r="G18" i="3"/>
  <c r="F18" i="3"/>
  <c r="D18" i="3"/>
  <c r="C18" i="3"/>
  <c r="B18" i="3"/>
  <c r="A18" i="3"/>
  <c r="J17" i="3"/>
  <c r="I17" i="3"/>
  <c r="H17" i="3"/>
  <c r="G17" i="3"/>
  <c r="F17" i="3"/>
  <c r="D17" i="3"/>
  <c r="C17" i="3"/>
  <c r="B17" i="3"/>
  <c r="A17" i="3"/>
  <c r="J16" i="3"/>
  <c r="I16" i="3"/>
  <c r="H16" i="3"/>
  <c r="G16" i="3"/>
  <c r="F16" i="3"/>
  <c r="D16" i="3"/>
  <c r="C16" i="3"/>
  <c r="B16" i="3"/>
  <c r="A16" i="3"/>
  <c r="J15" i="3"/>
  <c r="I15" i="3"/>
  <c r="H15" i="3"/>
  <c r="G15" i="3"/>
  <c r="F15" i="3"/>
  <c r="D15" i="3"/>
  <c r="C15" i="3"/>
  <c r="B15" i="3"/>
  <c r="A15" i="3"/>
  <c r="J14" i="3"/>
  <c r="I14" i="3"/>
  <c r="H14" i="3"/>
  <c r="G14" i="3"/>
  <c r="F14" i="3"/>
  <c r="D14" i="3"/>
  <c r="C14" i="3"/>
  <c r="B14" i="3"/>
  <c r="A14" i="3"/>
  <c r="J13" i="3"/>
  <c r="I13" i="3"/>
  <c r="H13" i="3"/>
  <c r="G13" i="3"/>
  <c r="F13" i="3"/>
  <c r="D13" i="3"/>
  <c r="C13" i="3"/>
  <c r="B13" i="3"/>
  <c r="A13" i="3"/>
  <c r="J12" i="3"/>
  <c r="I12" i="3"/>
  <c r="H12" i="3"/>
  <c r="G12" i="3"/>
  <c r="F12" i="3"/>
  <c r="D12" i="3"/>
  <c r="C12" i="3"/>
  <c r="B12" i="3"/>
  <c r="A12" i="3"/>
  <c r="J11" i="3"/>
  <c r="I11" i="3"/>
  <c r="H11" i="3"/>
  <c r="G11" i="3"/>
  <c r="F11" i="3"/>
  <c r="D11" i="3"/>
  <c r="C11" i="3"/>
  <c r="B11" i="3"/>
  <c r="A11" i="3"/>
  <c r="J10" i="3"/>
  <c r="I10" i="3"/>
  <c r="H10" i="3"/>
  <c r="G10" i="3"/>
  <c r="F10" i="3"/>
  <c r="D10" i="3"/>
  <c r="C10" i="3"/>
  <c r="B10" i="3"/>
  <c r="A10" i="3"/>
  <c r="J9" i="3"/>
  <c r="I9" i="3"/>
  <c r="H9" i="3"/>
  <c r="G9" i="3"/>
  <c r="F9" i="3"/>
  <c r="D9" i="3"/>
  <c r="C9" i="3"/>
  <c r="B9" i="3"/>
  <c r="A9" i="3"/>
  <c r="J8" i="3"/>
  <c r="I8" i="3"/>
  <c r="H8" i="3"/>
  <c r="G8" i="3"/>
  <c r="F8" i="3"/>
  <c r="D8" i="3"/>
  <c r="C8" i="3"/>
  <c r="B8" i="3"/>
  <c r="A8" i="3"/>
  <c r="J7" i="3"/>
  <c r="I7" i="3"/>
  <c r="H7" i="3"/>
  <c r="G7" i="3"/>
  <c r="F7" i="3"/>
  <c r="D7" i="3"/>
  <c r="C7" i="3"/>
  <c r="B7" i="3"/>
  <c r="A7" i="3"/>
  <c r="J6" i="3"/>
  <c r="I6" i="3"/>
  <c r="H6" i="3"/>
  <c r="G6" i="3"/>
  <c r="F6" i="3"/>
  <c r="D6" i="3"/>
  <c r="C6" i="3"/>
  <c r="B6" i="3"/>
  <c r="A6" i="3"/>
  <c r="J5" i="3"/>
  <c r="I5" i="3"/>
  <c r="H5" i="3"/>
  <c r="G5" i="3"/>
  <c r="F5" i="3"/>
  <c r="D5" i="3"/>
  <c r="C5" i="3"/>
  <c r="B5" i="3"/>
  <c r="A5" i="3"/>
  <c r="J4" i="3"/>
  <c r="I4" i="3"/>
  <c r="H4" i="3"/>
  <c r="G4" i="3"/>
  <c r="F4" i="3"/>
  <c r="D4" i="3"/>
  <c r="C4" i="3"/>
  <c r="B4" i="3"/>
  <c r="A4" i="3"/>
  <c r="J3" i="3"/>
  <c r="I3" i="3"/>
  <c r="H3" i="3"/>
  <c r="G3" i="3"/>
  <c r="F3" i="3"/>
  <c r="D3" i="3"/>
  <c r="C3" i="3"/>
  <c r="B3" i="3"/>
  <c r="A3" i="3"/>
  <c r="J2" i="3"/>
  <c r="I2" i="3"/>
  <c r="H2" i="3"/>
  <c r="G2" i="3"/>
  <c r="F2" i="3"/>
  <c r="D2" i="3"/>
  <c r="C2" i="3"/>
  <c r="B2" i="3"/>
  <c r="A2" i="3"/>
</calcChain>
</file>

<file path=xl/sharedStrings.xml><?xml version="1.0" encoding="utf-8"?>
<sst xmlns="http://schemas.openxmlformats.org/spreadsheetml/2006/main" count="34455" uniqueCount="2257">
  <si>
    <t>Supporter ID</t>
  </si>
  <si>
    <t>Supporter Email</t>
  </si>
  <si>
    <t>Campaign ID</t>
  </si>
  <si>
    <t>Campaign Date</t>
  </si>
  <si>
    <t>Country</t>
  </si>
  <si>
    <t>Death Penalty</t>
  </si>
  <si>
    <t>Human Rights Defenders</t>
  </si>
  <si>
    <t>Climate Justice</t>
  </si>
  <si>
    <t>lisafrucci@att.net</t>
  </si>
  <si>
    <t>EVERGREEN - UAN Gated Content - Embedded Petition</t>
  </si>
  <si>
    <t>nsosnove@nexusmarine.com</t>
  </si>
  <si>
    <t>lettiecatalfamo@gmail.com</t>
  </si>
  <si>
    <t>EVERGREEN - Website Email Capture Form - UAN Pre-Footer</t>
  </si>
  <si>
    <t>mssenn29@gmail.com</t>
  </si>
  <si>
    <t>patrizialopreno@bluewin.ch</t>
  </si>
  <si>
    <t>s_innes99@hotmail.com</t>
  </si>
  <si>
    <t>bongoboycd@sbcglobal.net</t>
  </si>
  <si>
    <t>davidbmitchell42@hotmail.com</t>
  </si>
  <si>
    <t>vickilkerr@gmail.com</t>
  </si>
  <si>
    <t>kpettitdc@yahoo.com</t>
  </si>
  <si>
    <t>tompyrek@hotmail.com</t>
  </si>
  <si>
    <t>alessandra@alessandracolfi.com</t>
  </si>
  <si>
    <t>marnah@mindspring.com</t>
  </si>
  <si>
    <t>almower@earthlink.net</t>
  </si>
  <si>
    <t>meliflaw@gmail.com</t>
  </si>
  <si>
    <t>llynchhome@gmail.com</t>
  </si>
  <si>
    <t>UAN mid-page Lightbox - Step 1 of 4 - Landing Page</t>
  </si>
  <si>
    <t>UAN mid-page Lightbox - Step 2 of 4 - More personal info fields</t>
  </si>
  <si>
    <t>UAN mid-page Lightbox - Step 3 of 4 - More opt-ins</t>
  </si>
  <si>
    <t>lizharrow@gmail.com</t>
  </si>
  <si>
    <t>cliqueofone@mac.com</t>
  </si>
  <si>
    <t>susan_huebert@yahoo.ca</t>
  </si>
  <si>
    <t>tena.hoke@gmail.com</t>
  </si>
  <si>
    <t>zorgon@frontiernet.net</t>
  </si>
  <si>
    <t>beirutmoores@gmail.com</t>
  </si>
  <si>
    <t>orion4643@hotmail.com</t>
  </si>
  <si>
    <t>krsnan11@yahoo.com</t>
  </si>
  <si>
    <t>den14smi@hotmail.com</t>
  </si>
  <si>
    <t>garagekey1947@yahoo.com</t>
  </si>
  <si>
    <t>nhenry72@gmail.com</t>
  </si>
  <si>
    <t>elisacovar@gmail.com</t>
  </si>
  <si>
    <t>kilianailik@gmail.com</t>
  </si>
  <si>
    <t>judibabcock@gmail.com</t>
  </si>
  <si>
    <t>cathy.nieman@gmail.com</t>
  </si>
  <si>
    <t>tjfitzgibbons@gmail.com</t>
  </si>
  <si>
    <t>rjbalzer.1@gmail.com</t>
  </si>
  <si>
    <t>sessions21@hotmail.com</t>
  </si>
  <si>
    <t>susanforste@gmail.com</t>
  </si>
  <si>
    <t>lwestkeyes@gmail.com</t>
  </si>
  <si>
    <t>joheb@aol.com</t>
  </si>
  <si>
    <t>marsha.brofkaberends@gmail.com</t>
  </si>
  <si>
    <t>stoneguard@sprynet.com</t>
  </si>
  <si>
    <t>magic@ecentral.com</t>
  </si>
  <si>
    <t>azadta@gmail.com</t>
  </si>
  <si>
    <t>csicher@msn.com</t>
  </si>
  <si>
    <t>priscillad@roadrunner.com</t>
  </si>
  <si>
    <t>sdawnpwood@yahoo.co.uk</t>
  </si>
  <si>
    <t>paulmarsh@comcast.net</t>
  </si>
  <si>
    <t>aiusa@aol.com</t>
  </si>
  <si>
    <t>angus@well.com</t>
  </si>
  <si>
    <t>clementi33@aol.com</t>
  </si>
  <si>
    <t>msand@isunet.net</t>
  </si>
  <si>
    <t>cgabriel@aiusa.org</t>
  </si>
  <si>
    <t>dowling_mike_j@yahoo.com</t>
  </si>
  <si>
    <t>caryn@lmi.net</t>
  </si>
  <si>
    <t>jmihevc@barrington220.org</t>
  </si>
  <si>
    <t>jgintzler@hotmail.com</t>
  </si>
  <si>
    <t>elfyalfreda803@gmail.com</t>
  </si>
  <si>
    <t>cadzubak@gmail.com</t>
  </si>
  <si>
    <t>ursulacohrs@gmail.com</t>
  </si>
  <si>
    <t>ffranck1@yahoo.com</t>
  </si>
  <si>
    <t>leahdgoldman@gmail.com</t>
  </si>
  <si>
    <t>socjusticeadvocate@verizon.net</t>
  </si>
  <si>
    <t>adbowesdmd@gmail.com</t>
  </si>
  <si>
    <t>earthangel@riousa.com</t>
  </si>
  <si>
    <t>tom_g_zeller@yahoo.com</t>
  </si>
  <si>
    <t>maryrich@isunet.net</t>
  </si>
  <si>
    <t>dankoz29@gmail.com</t>
  </si>
  <si>
    <t>ajanahadley@gmail.com</t>
  </si>
  <si>
    <t>g.holly.cq@gmail.com</t>
  </si>
  <si>
    <t>jessica629@hotmail.com</t>
  </si>
  <si>
    <t>matt@aps.org</t>
  </si>
  <si>
    <t>eeebbb@aol.com</t>
  </si>
  <si>
    <t>evil.sausage@gmail.com</t>
  </si>
  <si>
    <t>kuehlcarrie@gmail.com</t>
  </si>
  <si>
    <t>12newmoons@gmail.com</t>
  </si>
  <si>
    <t>robadams@compuserve.com</t>
  </si>
  <si>
    <t>cantormikezoos@gmail.com</t>
  </si>
  <si>
    <t>renee.lewis@outlook.com</t>
  </si>
  <si>
    <t>burgerlw@tds.net</t>
  </si>
  <si>
    <t>slongene@bridgewater.edu</t>
  </si>
  <si>
    <t>tung@kzoo.edu</t>
  </si>
  <si>
    <t>uchiyama@earthlink.net</t>
  </si>
  <si>
    <t>gino.morelli@gmail.com</t>
  </si>
  <si>
    <t>barbnjoe@sbcglobal.net</t>
  </si>
  <si>
    <t>shodo.spring@gmail.com</t>
  </si>
  <si>
    <t>sharareh.hashemy@gmail.com</t>
  </si>
  <si>
    <t>lauran68@gmail.com</t>
  </si>
  <si>
    <t>tvbasr@gmail.com</t>
  </si>
  <si>
    <t>egbakersmith@gmail.com</t>
  </si>
  <si>
    <t>lvschlumberger@gmail.com</t>
  </si>
  <si>
    <t>sarawolsey@yahoo.com</t>
  </si>
  <si>
    <t>pjl2094@gmail.com</t>
  </si>
  <si>
    <t>iwanttorun@gmail.com</t>
  </si>
  <si>
    <t>hardyzachary18@yahoo.com</t>
  </si>
  <si>
    <t>emjathome@yahoo.com</t>
  </si>
  <si>
    <t>astillness@yahoo.com</t>
  </si>
  <si>
    <t>brettbos@yahoo.com</t>
  </si>
  <si>
    <t>kdavos249@gmail.com</t>
  </si>
  <si>
    <t>sybil.sch@gmail.com</t>
  </si>
  <si>
    <t>peggy.lamb@sbcglobal.net</t>
  </si>
  <si>
    <t>rdwright67@gmail.com</t>
  </si>
  <si>
    <t>cmille640@gmail.com</t>
  </si>
  <si>
    <t>autumnrainbow@gmail.com</t>
  </si>
  <si>
    <t>chrisd285@gmail.com</t>
  </si>
  <si>
    <t>paul@themailpath.com</t>
  </si>
  <si>
    <t>lmehler444@gmail.com</t>
  </si>
  <si>
    <t>pplellis@yahoo.com</t>
  </si>
  <si>
    <t>prb@umn.edu</t>
  </si>
  <si>
    <t>mikerain@earthlink.net</t>
  </si>
  <si>
    <t>yvonne.kravitz@gmail.com</t>
  </si>
  <si>
    <t>claudiawornum@comcast.net</t>
  </si>
  <si>
    <t>bentehoegsberg@gmail.com</t>
  </si>
  <si>
    <t>lapollast@egcsd.org</t>
  </si>
  <si>
    <t>meb4116@gmail.com</t>
  </si>
  <si>
    <t>smeltbrooke@yahoo.com</t>
  </si>
  <si>
    <t>piersonjim@gmail.com</t>
  </si>
  <si>
    <t>sec1350@yahoo.com</t>
  </si>
  <si>
    <t>blueinmo@hotmail.com</t>
  </si>
  <si>
    <t>deanka_grisham@hotmail.com</t>
  </si>
  <si>
    <t>sarahfaitken@hotmail.com</t>
  </si>
  <si>
    <t>maryanna@foskettco.com</t>
  </si>
  <si>
    <t>phyllisaca@comcast.net</t>
  </si>
  <si>
    <t>debby@the4dgroup.com</t>
  </si>
  <si>
    <t>zappa2004@earthlink.net</t>
  </si>
  <si>
    <t>tombennerlaw@yahoo.com</t>
  </si>
  <si>
    <t>pdx.videozine@gmail.com</t>
  </si>
  <si>
    <t>anna_ungaro@fitnyc.edu</t>
  </si>
  <si>
    <t>ilecun@gmail.com</t>
  </si>
  <si>
    <t>davesanford@comcast.net</t>
  </si>
  <si>
    <t>probyngregory@gmail.com</t>
  </si>
  <si>
    <t>debbieculter@yahoo.com</t>
  </si>
  <si>
    <t>lehayes@alumni.princeton.edu</t>
  </si>
  <si>
    <t>wilbur@wilbur.us</t>
  </si>
  <si>
    <t>derrick.redhead@gmail.com</t>
  </si>
  <si>
    <t>jfriesem@gmail.com</t>
  </si>
  <si>
    <t>david.strozzi@gmail.com</t>
  </si>
  <si>
    <t>krigone@gmail.com</t>
  </si>
  <si>
    <t>bwrdtk1973@gmail.com</t>
  </si>
  <si>
    <t>donshawcats@mac.com</t>
  </si>
  <si>
    <t>murdock_ls@hotmail.com</t>
  </si>
  <si>
    <t>scottysusan@gmail.com</t>
  </si>
  <si>
    <t>mississippijen@gmail.com</t>
  </si>
  <si>
    <t>ground@hvc.rr.com</t>
  </si>
  <si>
    <t>mv9508@sbcglobal.net</t>
  </si>
  <si>
    <t>chucktaylor111@msn.com</t>
  </si>
  <si>
    <t>amjad.kayyal@gmail.com</t>
  </si>
  <si>
    <t>danjesposito@yahoo.com</t>
  </si>
  <si>
    <t>j65d65@gmail.com</t>
  </si>
  <si>
    <t>glennn.zen@verizon.net</t>
  </si>
  <si>
    <t>givory@nmsu.edu</t>
  </si>
  <si>
    <t>linda.graham@beehivebotanicals.com</t>
  </si>
  <si>
    <t>sstaples27@yahoo.com</t>
  </si>
  <si>
    <t>sjfenster@gmail.com</t>
  </si>
  <si>
    <t>marvel.maddox@gmail.com</t>
  </si>
  <si>
    <t>willie.leight@gmail.com</t>
  </si>
  <si>
    <t>cherez66@aol.com</t>
  </si>
  <si>
    <t>ksgolden56@gmail.com</t>
  </si>
  <si>
    <t>dgendvil@gmail.com</t>
  </si>
  <si>
    <t>kevinofthelake@yahoo.com</t>
  </si>
  <si>
    <t>joel@abrams.net</t>
  </si>
  <si>
    <t>klwhit19@gmail.com</t>
  </si>
  <si>
    <t>rakedon1@yahoo.com</t>
  </si>
  <si>
    <t>rredfern@charter.net</t>
  </si>
  <si>
    <t>17jordan@cox.net</t>
  </si>
  <si>
    <t>brucemagnuson@yahoo.com</t>
  </si>
  <si>
    <t>kbwordsworth@gmail.com</t>
  </si>
  <si>
    <t>hwhite321@yahoo.com</t>
  </si>
  <si>
    <t>punkin5170@gmail.com</t>
  </si>
  <si>
    <t>charles_budd@hotmail.com</t>
  </si>
  <si>
    <t>dvayo@iwu.edu</t>
  </si>
  <si>
    <t>brenskelle@aol.com</t>
  </si>
  <si>
    <t>jmullin422@hotmail.com</t>
  </si>
  <si>
    <t>afadel97@gmail.com</t>
  </si>
  <si>
    <t>jimimack23@yahoo.com</t>
  </si>
  <si>
    <t>lesleylaing1@gmail.com</t>
  </si>
  <si>
    <t>msmcin2@gmail.com</t>
  </si>
  <si>
    <t>hummelc2@gmail.com</t>
  </si>
  <si>
    <t>azanella@kecksci.claremont.edu</t>
  </si>
  <si>
    <t>lisa@affentranger.ch</t>
  </si>
  <si>
    <t>mariabauluz@gmail.com</t>
  </si>
  <si>
    <t>smwaters@uw.edu</t>
  </si>
  <si>
    <t>cowman2424@gmail.com</t>
  </si>
  <si>
    <t>wvandekamp@att.net</t>
  </si>
  <si>
    <t>mtglu2000@yahoo.com</t>
  </si>
  <si>
    <t>denicetraina@gmail.com</t>
  </si>
  <si>
    <t>kzickterman@gmail.com</t>
  </si>
  <si>
    <t>dtaylor@plenus.ca</t>
  </si>
  <si>
    <t>dorothyjeanrich@gmail.com</t>
  </si>
  <si>
    <t>lara3d@hotmail.com</t>
  </si>
  <si>
    <t>juli3@aol.com</t>
  </si>
  <si>
    <t>lisa.boeschenstein@bluewin.ch</t>
  </si>
  <si>
    <t>oceanminded09@gmail.com</t>
  </si>
  <si>
    <t>airwormdad@yahoo.com</t>
  </si>
  <si>
    <t>fogcitypete@hotmail.com</t>
  </si>
  <si>
    <t>howardmead@comcast.net</t>
  </si>
  <si>
    <t>srkepner@comcast.net</t>
  </si>
  <si>
    <t>lakepoet@pacbell.net</t>
  </si>
  <si>
    <t>gavrilah@sbcglobal.net</t>
  </si>
  <si>
    <t>contactlindanelson@gmail.com</t>
  </si>
  <si>
    <t>hgoldstein55@gmail.com</t>
  </si>
  <si>
    <t>sandywag@gmail.com</t>
  </si>
  <si>
    <t>kagetsu26@yahoo.com</t>
  </si>
  <si>
    <t>jwelan@gmail.com</t>
  </si>
  <si>
    <t>tierrabodhi@gmail.com</t>
  </si>
  <si>
    <t>citizenkahn@gmail.com</t>
  </si>
  <si>
    <t>masheahan@aol.com</t>
  </si>
  <si>
    <t>specialkvh@verizon.net</t>
  </si>
  <si>
    <t>ewb2@cornell.edu</t>
  </si>
  <si>
    <t>ceciliaburns001@hotmail.com</t>
  </si>
  <si>
    <t>ksinks@hotmail.com</t>
  </si>
  <si>
    <t>shanzboilini@yahoo.com</t>
  </si>
  <si>
    <t>shyviola@gmail.com</t>
  </si>
  <si>
    <t>meleib48@gmail.com</t>
  </si>
  <si>
    <t>marabraverman@gmail.com</t>
  </si>
  <si>
    <t>jimmycarl@hotmail.com</t>
  </si>
  <si>
    <t>fpbelcast@gmail.com</t>
  </si>
  <si>
    <t>jconsiglio@rocketmail.com</t>
  </si>
  <si>
    <t>victoria.brogdon@yahoo.com</t>
  </si>
  <si>
    <t>landers1961@yahoo.com</t>
  </si>
  <si>
    <t>pavadai.sarah@gmail.com</t>
  </si>
  <si>
    <t>azamnrad@gmail.com</t>
  </si>
  <si>
    <t>jquatrine@gmail.com</t>
  </si>
  <si>
    <t>kathsfort@yahoo.com</t>
  </si>
  <si>
    <t>occbass@hotmail.com</t>
  </si>
  <si>
    <t>bibliofool1@verizon.net</t>
  </si>
  <si>
    <t>na.overgard@gmail.com</t>
  </si>
  <si>
    <t>mrs.sapience@gmail.com</t>
  </si>
  <si>
    <t>sslyman@verizon.net</t>
  </si>
  <si>
    <t>tomrepko@gmail.com</t>
  </si>
  <si>
    <t>jerry.mcintire@gmail.com</t>
  </si>
  <si>
    <t>pfairbank@yahoo.com</t>
  </si>
  <si>
    <t>colleenhcurtis@hotmail.com</t>
  </si>
  <si>
    <t>beralmu@gmail.com</t>
  </si>
  <si>
    <t>threeoutside@gmail.com</t>
  </si>
  <si>
    <t>dfwiest@comcast.net</t>
  </si>
  <si>
    <t>craigcollinsyoung@gmail.com</t>
  </si>
  <si>
    <t>mgrant9850@gmail.com</t>
  </si>
  <si>
    <t>beralmu@hotmail.com</t>
  </si>
  <si>
    <t>lsdarman@gmail.com</t>
  </si>
  <si>
    <t>gkgrunow@grunows.net</t>
  </si>
  <si>
    <t>allisonmidorireilly@gmail.com</t>
  </si>
  <si>
    <t>sauerbac@mchsi.com</t>
  </si>
  <si>
    <t>bdmcgee@gmail.com</t>
  </si>
  <si>
    <t>jdunn936@yahoo.com</t>
  </si>
  <si>
    <t>jimloveland52@yahoo.com</t>
  </si>
  <si>
    <t>amy.sellars@gmail.com</t>
  </si>
  <si>
    <t>sogilvie@msn.com</t>
  </si>
  <si>
    <t>mkenosha@aol.com</t>
  </si>
  <si>
    <t>mechannon@yahoo.com</t>
  </si>
  <si>
    <t>bosolds@lisco.com</t>
  </si>
  <si>
    <t>peaceman@purecode.com</t>
  </si>
  <si>
    <t>pwtate12@yahoo.com</t>
  </si>
  <si>
    <t>palmer.r.violin@gmail.com</t>
  </si>
  <si>
    <t>mary@lindleyg.com</t>
  </si>
  <si>
    <t>chrisriff@aol.com</t>
  </si>
  <si>
    <t>dgkphildon@verizon.net</t>
  </si>
  <si>
    <t>taniahharrison@gmail.com</t>
  </si>
  <si>
    <t>willjudymack@gmail.com</t>
  </si>
  <si>
    <t>patricia.p0907@att.net</t>
  </si>
  <si>
    <t>jo.margaret.murphy@gmail.com</t>
  </si>
  <si>
    <t>ebertranou@csbsju.edu</t>
  </si>
  <si>
    <t>snaimon@yahoo.com</t>
  </si>
  <si>
    <t>lolo2636@verizon.net</t>
  </si>
  <si>
    <t>julie.ann.southwell@gmail.com</t>
  </si>
  <si>
    <t>maruortiz324@yahoo.com</t>
  </si>
  <si>
    <t>maggyjv27@gmail.com</t>
  </si>
  <si>
    <t>nannickers@gmail.com</t>
  </si>
  <si>
    <t>vincentamari1@gmail.com</t>
  </si>
  <si>
    <t>jameslinda81@gmail.com</t>
  </si>
  <si>
    <t>304pms@gmail.com</t>
  </si>
  <si>
    <t>reginaie@uol.com.br</t>
  </si>
  <si>
    <t>aahuddleson@yahoo.com</t>
  </si>
  <si>
    <t>bentelcri@gmail.com</t>
  </si>
  <si>
    <t>lrossthedens@gmail.com</t>
  </si>
  <si>
    <t>barbquin@gmail.com</t>
  </si>
  <si>
    <t>walshkevink@yahoo.com</t>
  </si>
  <si>
    <t>pmbrown1944@gmail.com</t>
  </si>
  <si>
    <t>gravjm55@gmail.com</t>
  </si>
  <si>
    <t>jgould1526@gmail.com</t>
  </si>
  <si>
    <t>8tinaann@gmail.com</t>
  </si>
  <si>
    <t>khborges@icloud.com</t>
  </si>
  <si>
    <t>conbro.32578@gmail.com</t>
  </si>
  <si>
    <t>citizenmonkey@gmail.com</t>
  </si>
  <si>
    <t>billwesq@mail.com</t>
  </si>
  <si>
    <t>rayeharper34@gmail.com</t>
  </si>
  <si>
    <t>sargani@comcast.net</t>
  </si>
  <si>
    <t>stephanielarro@gmail.com</t>
  </si>
  <si>
    <t>emilyblank@gmail.com</t>
  </si>
  <si>
    <t>rod.weaver23@yahoo.com</t>
  </si>
  <si>
    <t>georgeshermanjr@gmail.com</t>
  </si>
  <si>
    <t>rhenighan@igc.org</t>
  </si>
  <si>
    <t>mystenamarina@yahoo.com</t>
  </si>
  <si>
    <t>mbrothe71@gmail.com</t>
  </si>
  <si>
    <t>sebastien.vigneau@gmail.com</t>
  </si>
  <si>
    <t>joteed2000@yahoo.com</t>
  </si>
  <si>
    <t>jeanne184490@gmail.com</t>
  </si>
  <si>
    <t>lannyclawler@gmail.com</t>
  </si>
  <si>
    <t>keetcat@cjpsd.com</t>
  </si>
  <si>
    <t>marchoffman313@gmail.com</t>
  </si>
  <si>
    <t>krisheartstone@gmail.com</t>
  </si>
  <si>
    <t>chuckgyver@aceweb.com</t>
  </si>
  <si>
    <t>amnesty39@gmail.com</t>
  </si>
  <si>
    <t>nasreenm@hushmail.com</t>
  </si>
  <si>
    <t>rae33710@gmail.com</t>
  </si>
  <si>
    <t>jjsuhr621953@gmail.com</t>
  </si>
  <si>
    <t>svondehn@hotmail.com</t>
  </si>
  <si>
    <t>lccleary@gmail.com</t>
  </si>
  <si>
    <t>reidrussell24@gmail.com</t>
  </si>
  <si>
    <t>agoldberg16@nyc.rr.com</t>
  </si>
  <si>
    <t>adahle48@gmail.com</t>
  </si>
  <si>
    <t>sisterpamop@gmail.com</t>
  </si>
  <si>
    <t>mslattery0404@gmail.com</t>
  </si>
  <si>
    <t>gregfest@cltel.net</t>
  </si>
  <si>
    <t>stluc2.4@gmail.com</t>
  </si>
  <si>
    <t>rmarshall@fastmail.com</t>
  </si>
  <si>
    <t>luismesquitafonseca@hotmail.com</t>
  </si>
  <si>
    <t>jnkpauley@gmail.com</t>
  </si>
  <si>
    <t>cclaireham@gmail.com</t>
  </si>
  <si>
    <t>pbchmelik@icloud.com</t>
  </si>
  <si>
    <t>sfinlan@bu.edu</t>
  </si>
  <si>
    <t>blsbrown@yahoo.com</t>
  </si>
  <si>
    <t>mattrector26@gmail.com</t>
  </si>
  <si>
    <t>amnestykc@gmail.com</t>
  </si>
  <si>
    <t>eperryire@gmail.com</t>
  </si>
  <si>
    <t>denisemarlowe5729@gmail.com</t>
  </si>
  <si>
    <t>sashasampaio@gmail.com</t>
  </si>
  <si>
    <t>lorilstefano@gmail.com</t>
  </si>
  <si>
    <t>mstuhlreyer@ihmsisters.org</t>
  </si>
  <si>
    <t>yogablu@gmail.com</t>
  </si>
  <si>
    <t>hbrogers@yahoo.com</t>
  </si>
  <si>
    <t>alexeritrea1@yahoo.co.uk</t>
  </si>
  <si>
    <t>sdelturk@outlook.com</t>
  </si>
  <si>
    <t>gemmadee2003@gmail.com</t>
  </si>
  <si>
    <t>ddonahue60@gmail.com</t>
  </si>
  <si>
    <t>chip.lee54@yahoo.com</t>
  </si>
  <si>
    <t>ecollin7@gmail.com</t>
  </si>
  <si>
    <t>dasred@msn.com</t>
  </si>
  <si>
    <t>tmmacc15@aol.com</t>
  </si>
  <si>
    <t>mkboz1313@gmail.com</t>
  </si>
  <si>
    <t>stevepastis@yahoo.com</t>
  </si>
  <si>
    <t>jagsingh@comcast.net</t>
  </si>
  <si>
    <t>elagamytarek@yahoo.com</t>
  </si>
  <si>
    <t>jimcorriere@yahoo.com</t>
  </si>
  <si>
    <t>csimonian@fastmail.net</t>
  </si>
  <si>
    <t>kwandawn@gmail.com</t>
  </si>
  <si>
    <t>annemariesaxe@gmail.com</t>
  </si>
  <si>
    <t>patience.robbins@gmail.com</t>
  </si>
  <si>
    <t>conderc@me.com</t>
  </si>
  <si>
    <t>querido@queridomundo.com</t>
  </si>
  <si>
    <t>dianne.smith.rn@gmail.com</t>
  </si>
  <si>
    <t>navarrochristine@hotmail.com</t>
  </si>
  <si>
    <t>prolixities@yahoo.com</t>
  </si>
  <si>
    <t>frephill@icloud.com</t>
  </si>
  <si>
    <t>rebecca.saclolo@gmail.com</t>
  </si>
  <si>
    <t>shirley.vernick@gmail.com</t>
  </si>
  <si>
    <t>b_margay@yahoo.com</t>
  </si>
  <si>
    <t>debby20878@yahoo.com</t>
  </si>
  <si>
    <t>azanella@jsd.claremont.edu</t>
  </si>
  <si>
    <t>jilevy55@gmail.com</t>
  </si>
  <si>
    <t>mltessler88@gmail.com</t>
  </si>
  <si>
    <t>luckydog@tutamail.com</t>
  </si>
  <si>
    <t>sujamthe@gmail.com</t>
  </si>
  <si>
    <t>pheralicious@yahoo.com</t>
  </si>
  <si>
    <t>kii081682@gmail.com</t>
  </si>
  <si>
    <t>jpmasiello@aol.com</t>
  </si>
  <si>
    <t>swetstein21@gmail.com</t>
  </si>
  <si>
    <t>lwlmon@aol.com</t>
  </si>
  <si>
    <t>pepperlafreniere@gmail.com</t>
  </si>
  <si>
    <t>mandrpanes@gmail.com</t>
  </si>
  <si>
    <t>gemk65@mailbox.org</t>
  </si>
  <si>
    <t>a3sth3tic@hotmail.com</t>
  </si>
  <si>
    <t>georginashanley@gmail.com</t>
  </si>
  <si>
    <t>renee.enteen@gmail.com</t>
  </si>
  <si>
    <t>indiacruz65@gmail.com</t>
  </si>
  <si>
    <t>dstemarie39@gmail.com</t>
  </si>
  <si>
    <t>alexhowe333@gmail.com</t>
  </si>
  <si>
    <t>jackdavidm@gmail.com</t>
  </si>
  <si>
    <t>rreichmann76@gmail.com</t>
  </si>
  <si>
    <t>dmaclean2@macleanfogg.com</t>
  </si>
  <si>
    <t>mcrowden@aol.com</t>
  </si>
  <si>
    <t>julieellen56@gmail.com</t>
  </si>
  <si>
    <t>fatimachagani@gmail.com</t>
  </si>
  <si>
    <t>philad49@att.net</t>
  </si>
  <si>
    <t>maryl.ml570@gmail.com</t>
  </si>
  <si>
    <t>aprilarleneyahne@gmail.com</t>
  </si>
  <si>
    <t>ordersolnit@optonline.net</t>
  </si>
  <si>
    <t>amenoartemis@gmail.com</t>
  </si>
  <si>
    <t>annbromig@gmail.com</t>
  </si>
  <si>
    <t>rroebig119@gmail.com</t>
  </si>
  <si>
    <t>marklattman@gmail.com</t>
  </si>
  <si>
    <t>toucheboucher@gmail.com</t>
  </si>
  <si>
    <t>betzpi@aol.com</t>
  </si>
  <si>
    <t>wingscatchfire@gmail.com</t>
  </si>
  <si>
    <t>lizeth.gomez@gmail.com</t>
  </si>
  <si>
    <t>pmc.politics@outlook.com</t>
  </si>
  <si>
    <t>leighjcoffey@gmail.com</t>
  </si>
  <si>
    <t>dodge611@icloud.com</t>
  </si>
  <si>
    <t>rhlinsey@gmail.com</t>
  </si>
  <si>
    <t>gailhazengonsalves@gmail.com</t>
  </si>
  <si>
    <t>artsy.tayeh@gmail.com</t>
  </si>
  <si>
    <t>deanza222@gmail.com</t>
  </si>
  <si>
    <t>ssue1995@gmail.com</t>
  </si>
  <si>
    <t>kims.opin@gmail.com</t>
  </si>
  <si>
    <t>amy@wozabooks.com</t>
  </si>
  <si>
    <t>agoodwin@aiusa.org</t>
  </si>
  <si>
    <t>inkeepingnotsorestless@gmail.com</t>
  </si>
  <si>
    <t>marth0214@gmail.com</t>
  </si>
  <si>
    <t>coloraturacanary@gmail.com</t>
  </si>
  <si>
    <t>gmumma17@gmail.com</t>
  </si>
  <si>
    <t>wendy.manganiello@gmail.com</t>
  </si>
  <si>
    <t>jsgoodly@gmail.com</t>
  </si>
  <si>
    <t>djchit@yahoo.com</t>
  </si>
  <si>
    <t>wabaldwin@aol.com</t>
  </si>
  <si>
    <t>nanking1224@earthlink.net</t>
  </si>
  <si>
    <t>anthony.tuemler@yahoo.com</t>
  </si>
  <si>
    <t>marcarr9@comcast.net</t>
  </si>
  <si>
    <t>dragonfly6160@yahoo.com</t>
  </si>
  <si>
    <t>ax2tap@gmail.com</t>
  </si>
  <si>
    <t>maureens5656@aol.com</t>
  </si>
  <si>
    <t>janetlsmarr@gmail.com</t>
  </si>
  <si>
    <t>dmlongrie@gmail.com</t>
  </si>
  <si>
    <t>pinkypico@yahoo.com</t>
  </si>
  <si>
    <t>davidwolfson@sbcglobal.net</t>
  </si>
  <si>
    <t>bnewberg@kent.edu</t>
  </si>
  <si>
    <t>mejat3@gmail.com</t>
  </si>
  <si>
    <t>tommayhew@gmail.com</t>
  </si>
  <si>
    <t>rdibble265@gmail.com</t>
  </si>
  <si>
    <t>leslielethridge2658@comcast.net</t>
  </si>
  <si>
    <t>abeisiegelvt@gmail.com</t>
  </si>
  <si>
    <t>elkes.mw@gmail.com</t>
  </si>
  <si>
    <t>lambtrees@gmail.com</t>
  </si>
  <si>
    <t>tomcborkowski@yahoo.com</t>
  </si>
  <si>
    <t>keith@burmaoaks.com</t>
  </si>
  <si>
    <t>stacy.strobel@gordon.edu</t>
  </si>
  <si>
    <t>sdpabken@gmail.com</t>
  </si>
  <si>
    <t>mcraealexander@yahoo.com.au</t>
  </si>
  <si>
    <t>philbertr46@gmail.com</t>
  </si>
  <si>
    <t>psabol19@gmail.com</t>
  </si>
  <si>
    <t>cchambers06@icloud.com</t>
  </si>
  <si>
    <t>makerttula@comcast.net</t>
  </si>
  <si>
    <t>lrdeegan123@gmail.com</t>
  </si>
  <si>
    <t>sgreenough@charter.net</t>
  </si>
  <si>
    <t>beakylenore@gmail.com</t>
  </si>
  <si>
    <t>mallorybacon@protonmail.com</t>
  </si>
  <si>
    <t>judiokeefe@yahoo.com</t>
  </si>
  <si>
    <t>diane.rosenblum@gmail.com</t>
  </si>
  <si>
    <t>aclu@ricks-cafe.net</t>
  </si>
  <si>
    <t>catherine.clemo@gmail.com</t>
  </si>
  <si>
    <t>oldtimeradio@riseup.net</t>
  </si>
  <si>
    <t>world1livemtg@gmail.com</t>
  </si>
  <si>
    <t>mfookson@gmail.com</t>
  </si>
  <si>
    <t>rp4rp@verizon.net</t>
  </si>
  <si>
    <t>jillhamze@gmail.com</t>
  </si>
  <si>
    <t>n.hughey623@gmail.com</t>
  </si>
  <si>
    <t>smbitney@gmail.com</t>
  </si>
  <si>
    <t>pattianderson60@yahoo.com</t>
  </si>
  <si>
    <t>nancy.obyrne@currently.com</t>
  </si>
  <si>
    <t>mccpax@gmail.com</t>
  </si>
  <si>
    <t>mabbott14214@yahoo.com</t>
  </si>
  <si>
    <t>brooksrobinson335@yahoo.com</t>
  </si>
  <si>
    <t>margaretsheeran515@gmail.com</t>
  </si>
  <si>
    <t>josephzefran@gmail.com</t>
  </si>
  <si>
    <t>gramdot91@gmail.com</t>
  </si>
  <si>
    <t>clellyd@bigpond.com</t>
  </si>
  <si>
    <t>richalbert@comcast.net</t>
  </si>
  <si>
    <t>masood.ahmad.sheikh@gmail.com</t>
  </si>
  <si>
    <t>sherry_g_b@hotmail.com</t>
  </si>
  <si>
    <t>rebekahcolours@gmail.com</t>
  </si>
  <si>
    <t>kaylustig7@gmail.com</t>
  </si>
  <si>
    <t>alacossct@gmail.com</t>
  </si>
  <si>
    <t>sarahholehouse@gmail.com</t>
  </si>
  <si>
    <t>louisewhipple1@gmail.com</t>
  </si>
  <si>
    <t>fportesine@yahoo.it</t>
  </si>
  <si>
    <t>stemendell@gmail.com</t>
  </si>
  <si>
    <t>stephroz@gmail.com</t>
  </si>
  <si>
    <t>joe@thevaughnclarks.com</t>
  </si>
  <si>
    <t>bertbarryoakland@gmail.com</t>
  </si>
  <si>
    <t>hanna_bruns@hotmail.com</t>
  </si>
  <si>
    <t>mveve7@gmail.com</t>
  </si>
  <si>
    <t>soe705353@gmail.com</t>
  </si>
  <si>
    <t>lovis.teg@gmail.com</t>
  </si>
  <si>
    <t>emailyjohnson@gmail.com</t>
  </si>
  <si>
    <t>bjh55@sbcglobal.net</t>
  </si>
  <si>
    <t>shastalassen1@gmail.com</t>
  </si>
  <si>
    <t>jessntd@gmail.com</t>
  </si>
  <si>
    <t>kar.harris77@gmail.com</t>
  </si>
  <si>
    <t>djbaconbits@outlook.com</t>
  </si>
  <si>
    <t>whitefoxsocialmedia@gmail.com</t>
  </si>
  <si>
    <t>kmayers@aiusacs.org</t>
  </si>
  <si>
    <t>garberart@gmail.com</t>
  </si>
  <si>
    <t>setapartforservice@yahoo.com</t>
  </si>
  <si>
    <t>maria17katt@hotmail.com</t>
  </si>
  <si>
    <t>franjunejo@gmail.com</t>
  </si>
  <si>
    <t>dodimelnicoff@gmail.com</t>
  </si>
  <si>
    <t>bdomoff@gmail.com</t>
  </si>
  <si>
    <t>franceline.villasenor@gmail.com</t>
  </si>
  <si>
    <t>terri.falbo@gmail.com</t>
  </si>
  <si>
    <t>amanda.fanniff@gmail.com</t>
  </si>
  <si>
    <t>mario.alvarado@amnesty.org</t>
  </si>
  <si>
    <t>rklein1964@hotmail.com</t>
  </si>
  <si>
    <t>safetyisabasicneed@gmail.com</t>
  </si>
  <si>
    <t>bronwen.edw.kubiak@gmail.com</t>
  </si>
  <si>
    <t>qadrimohsin35@gmail.com</t>
  </si>
  <si>
    <t>heshaochun1989@gmail.com</t>
  </si>
  <si>
    <t>busraasici25@gmail.com</t>
  </si>
  <si>
    <t>26tegsum@student.mcpsmt.org</t>
  </si>
  <si>
    <t>annamakelapdx@gmail.com</t>
  </si>
  <si>
    <t>kimk554830@gmail.com</t>
  </si>
  <si>
    <t>jedbellzim@gmail.com</t>
  </si>
  <si>
    <t>bonniegorman1@gmail.com</t>
  </si>
  <si>
    <t>raffi.merino@gmail.com</t>
  </si>
  <si>
    <t>shirley@burmaoaks.com</t>
  </si>
  <si>
    <t>amylstromme@gmail.com</t>
  </si>
  <si>
    <t>abijlefeld@yahoo.com</t>
  </si>
  <si>
    <t>edkatz_adelphia1@comcast.net</t>
  </si>
  <si>
    <t>fishjoyner2@hotmail.com</t>
  </si>
  <si>
    <t>slbazarian@comcast.net</t>
  </si>
  <si>
    <t>brmarkwardt@dolgeville.org</t>
  </si>
  <si>
    <t>mrubin111@gmail.com</t>
  </si>
  <si>
    <t>debbieam@charter.net</t>
  </si>
  <si>
    <t>felixmosesmakola@gmail.com</t>
  </si>
  <si>
    <t>davidabrunetti1@gmail.com</t>
  </si>
  <si>
    <t>leesds1984@gmail.com</t>
  </si>
  <si>
    <t>annafrogacki@gmail.com</t>
  </si>
  <si>
    <t>karen@cielo-clan.com</t>
  </si>
  <si>
    <t>gwampfler2@earthlink.net</t>
  </si>
  <si>
    <t>mhardy@ara.com</t>
  </si>
  <si>
    <t>jkelsberg@gmail.com</t>
  </si>
  <si>
    <t>political.lsdp@gmail.com</t>
  </si>
  <si>
    <t>rosenberg.carl@yahoo.ca</t>
  </si>
  <si>
    <t>ppleuss@hotmail.com</t>
  </si>
  <si>
    <t>hurryback635@gmail.com</t>
  </si>
  <si>
    <t>mjlsr02@comcast.net</t>
  </si>
  <si>
    <t>jake.bill@hughes.net</t>
  </si>
  <si>
    <t>210296@students.avhsd.org</t>
  </si>
  <si>
    <t>mimunmos@gmail.com</t>
  </si>
  <si>
    <t>barcat609@gmail.com</t>
  </si>
  <si>
    <t>new1rachel@gmail.com</t>
  </si>
  <si>
    <t>parkers14454@gmail.com</t>
  </si>
  <si>
    <t>bigmoneyoutofpolitics@gmail.com</t>
  </si>
  <si>
    <t>saltzhealley@gmail.com</t>
  </si>
  <si>
    <t>rlema1284@gmail.com</t>
  </si>
  <si>
    <t>25shulla72@manheimcentral.org</t>
  </si>
  <si>
    <t>ekramer@aiusa.org</t>
  </si>
  <si>
    <t>jsperian01@bvsd.org</t>
  </si>
  <si>
    <t>amargalit01@bvsd.org</t>
  </si>
  <si>
    <t>cmuldowney@aiusa.org</t>
  </si>
  <si>
    <t>casselupe@gmail.com</t>
  </si>
  <si>
    <t>mdiaz@bluestate.co</t>
  </si>
  <si>
    <t>michaelhartt@hotmail.com</t>
  </si>
  <si>
    <t>eileen.ridge@gmail.com</t>
  </si>
  <si>
    <t>amnesty.6lmhe@passfwd.com</t>
  </si>
  <si>
    <t>bryan.casler@gmail.com</t>
  </si>
  <si>
    <t>amnestyinternational519@gmail.com</t>
  </si>
  <si>
    <t>w-schramm@chello.at</t>
  </si>
  <si>
    <t>neil.heyden@gmail.com</t>
  </si>
  <si>
    <t>emilypodwoiska27@gmail.com</t>
  </si>
  <si>
    <t>jgorton25@pacificridge.org</t>
  </si>
  <si>
    <t>ogriffis26@pacificridge.org</t>
  </si>
  <si>
    <t>samertallauze@yahoo.com</t>
  </si>
  <si>
    <t>mvheesewijk@icloud.com</t>
  </si>
  <si>
    <t>medonohue@outlook.com</t>
  </si>
  <si>
    <t>deirdreoreilly2005@yahoo.co.uk</t>
  </si>
  <si>
    <t>kaitlyncoppola@gmail.com</t>
  </si>
  <si>
    <t>omama.marzuq@gmail.com</t>
  </si>
  <si>
    <t>venla.annukka@gmail.com</t>
  </si>
  <si>
    <t>cassandratorrico@yahoo.com</t>
  </si>
  <si>
    <t>happpymomoften@gmail.com</t>
  </si>
  <si>
    <t>rzhang0326@berkeley.edu</t>
  </si>
  <si>
    <t>david92rm@gmail.com</t>
  </si>
  <si>
    <t>swambo6@gmail.com</t>
  </si>
  <si>
    <t>cheryl.greenberg@trincoll.edu</t>
  </si>
  <si>
    <t>mizdclark@gmail.com</t>
  </si>
  <si>
    <t>nbehizadeh@gmail.com</t>
  </si>
  <si>
    <t>beamralph3@gmail.com</t>
  </si>
  <si>
    <t>lvr1258@gmail.com</t>
  </si>
  <si>
    <t>dbktw2005@gmail.com</t>
  </si>
  <si>
    <t>naznin975@gmail.com</t>
  </si>
  <si>
    <t>catwhisker72@gmail.com</t>
  </si>
  <si>
    <t>jonathan.flerra@mail.com</t>
  </si>
  <si>
    <t>emeryflatt03@gmail.com</t>
  </si>
  <si>
    <t>harrieteliz@gmail.com</t>
  </si>
  <si>
    <t>robbie9576@gmail.com</t>
  </si>
  <si>
    <t>gab162@pitt.edu</t>
  </si>
  <si>
    <t>sharon458@hotmail.com</t>
  </si>
  <si>
    <t>bhuvana.betini@gmail.com</t>
  </si>
  <si>
    <t>dfhspam@gmail.com</t>
  </si>
  <si>
    <t>yckim2180@gmail.com</t>
  </si>
  <si>
    <t>estherlermanmft@gmail.com</t>
  </si>
  <si>
    <t>amkwdmll@aol.com</t>
  </si>
  <si>
    <t>annalisewood@cvsdvt.org</t>
  </si>
  <si>
    <t>maitri.dubey@yahoo.com</t>
  </si>
  <si>
    <t>64amberh@gmail.com</t>
  </si>
  <si>
    <t>mclaughlin.rochelle@gmail.com</t>
  </si>
  <si>
    <t>dances.w.words@gmail.com</t>
  </si>
  <si>
    <t>gormsby@ooip.net</t>
  </si>
  <si>
    <t>mggrunow@gmail.com</t>
  </si>
  <si>
    <t>hgarrett@nkc.org</t>
  </si>
  <si>
    <t>mpalowoda@yahoo.com</t>
  </si>
  <si>
    <t>jasirisjd@gmail.com</t>
  </si>
  <si>
    <t>elsavoelcker1@gmail.com</t>
  </si>
  <si>
    <t>tara.bott@gmail.com</t>
  </si>
  <si>
    <t>tcalina@aiusacs.org</t>
  </si>
  <si>
    <t>deettdbuttimer@gmail.com</t>
  </si>
  <si>
    <t>ahennessey010@gmail.com</t>
  </si>
  <si>
    <t>areilly@aiusa.org</t>
  </si>
  <si>
    <t>tasleyma@yahoo.com</t>
  </si>
  <si>
    <t>kkhb22@gmail.com</t>
  </si>
  <si>
    <t>h.masazumi7017@outlook.jp</t>
  </si>
  <si>
    <t>timothy.g.caron@gmail.com</t>
  </si>
  <si>
    <t>hollyknouff@gmail.com</t>
  </si>
  <si>
    <t>lju.doutreleau@gmail.com</t>
  </si>
  <si>
    <t>kenngabcar@icloud.com</t>
  </si>
  <si>
    <t>sahiba.lal@gmail.com</t>
  </si>
  <si>
    <t>67733@sunprairieschools.org</t>
  </si>
  <si>
    <t>stephintolove@gmail.com</t>
  </si>
  <si>
    <t>ebrahif@gmail.com</t>
  </si>
  <si>
    <t>26cootay@student.mcpsmt.org</t>
  </si>
  <si>
    <t>gonzalezalexistori33@gmail.com</t>
  </si>
  <si>
    <t>cchen26@episcopalhighschool.org</t>
  </si>
  <si>
    <t>v.mayan@amnistia.pt</t>
  </si>
  <si>
    <t>rossiannette@gmail.com</t>
  </si>
  <si>
    <t>aynz@yahoo.com</t>
  </si>
  <si>
    <t>sheilamusaji@aol.com</t>
  </si>
  <si>
    <t>alexmechanic@gmail.com</t>
  </si>
  <si>
    <t>veroviala@hotmail.com</t>
  </si>
  <si>
    <t>tozein@gmx.de</t>
  </si>
  <si>
    <t>aidanmck@yahoo.com</t>
  </si>
  <si>
    <t>oleyer@snet.net</t>
  </si>
  <si>
    <t>akshayam6762@gmail.com</t>
  </si>
  <si>
    <t>drsoadkh@yahoo.com</t>
  </si>
  <si>
    <t>withkathrynlee@gmail.com</t>
  </si>
  <si>
    <t>carolina@indietechsolutions.com</t>
  </si>
  <si>
    <t>caroline.mazurek25@montville.net</t>
  </si>
  <si>
    <t>jennifer.brody@gmail.com</t>
  </si>
  <si>
    <t>michael.espelin@gmail.com</t>
  </si>
  <si>
    <t>aina30119@gmail.com</t>
  </si>
  <si>
    <t>akshaya.mohan@duke.edu</t>
  </si>
  <si>
    <t>clairehelmsley@gmail.com</t>
  </si>
  <si>
    <t>pasisz@gmail.com</t>
  </si>
  <si>
    <t>dungnguyen15046@gmail.com</t>
  </si>
  <si>
    <t>katherynmselby@gmail.com</t>
  </si>
  <si>
    <t>loz_iswayout@hotmail.com</t>
  </si>
  <si>
    <t>robertkurnick@gmail.com</t>
  </si>
  <si>
    <t>ellinoora.riutta@outlook.com</t>
  </si>
  <si>
    <t>anam.shah2012@gmail.com</t>
  </si>
  <si>
    <t>al123477gonz@gmail.com</t>
  </si>
  <si>
    <t>nimairene@gmail.com</t>
  </si>
  <si>
    <t>kbokenkamp@aiusa.org</t>
  </si>
  <si>
    <t>maryfyeager@gmail.com</t>
  </si>
  <si>
    <t>tayaba.azher@gmail.com</t>
  </si>
  <si>
    <t>memcgilligan53@gmail.com</t>
  </si>
  <si>
    <t>jimnute69@gmail.com</t>
  </si>
  <si>
    <t>lazlkay69@gmail.com</t>
  </si>
  <si>
    <t>michelleamaris13@gmail.com</t>
  </si>
  <si>
    <t>ronaldowens8585@gmail.com</t>
  </si>
  <si>
    <t>jaznit28@yahoo.com</t>
  </si>
  <si>
    <t>nextlevel4blessing@mail.fresnostate.edu</t>
  </si>
  <si>
    <t>christismith56@global.net</t>
  </si>
  <si>
    <t>milpitasamnestu@gmail.com</t>
  </si>
  <si>
    <t>milpitasamnesty@gmail.com</t>
  </si>
  <si>
    <t>sisbo064@gmail.com</t>
  </si>
  <si>
    <t>pedroacastillo446@gmail.com</t>
  </si>
  <si>
    <t>yountandrea9@gmail.com</t>
  </si>
  <si>
    <t>veldkampleida@gmail.com</t>
  </si>
  <si>
    <t>burkesean53@gmail.com</t>
  </si>
  <si>
    <t>mandykabbey@gmail.com</t>
  </si>
  <si>
    <t>hades_jungle@yahoo.com</t>
  </si>
  <si>
    <t>geralyned@gmail.com</t>
  </si>
  <si>
    <t>nikaucafe@gmail.com</t>
  </si>
  <si>
    <t>annfarr46@gmail.com</t>
  </si>
  <si>
    <t>razia.haniff.rh@gmail.com</t>
  </si>
  <si>
    <t>keim.joe@gmail.com</t>
  </si>
  <si>
    <t>ellenbruijs@live.nl</t>
  </si>
  <si>
    <t>jeanferrol@hotmail.co.uk</t>
  </si>
  <si>
    <t>usamah82@gmail.com</t>
  </si>
  <si>
    <t>rm.minns@btinternet.com</t>
  </si>
  <si>
    <t>sync_raisin5f@icloud.com</t>
  </si>
  <si>
    <t>ri@adslhome.dk</t>
  </si>
  <si>
    <t>carolemarz@icloud.com</t>
  </si>
  <si>
    <t>raquel44raquel@gmail.com</t>
  </si>
  <si>
    <t>annekenealy2@icloud.com</t>
  </si>
  <si>
    <t>denisemacquire@phonecoop.coop</t>
  </si>
  <si>
    <t>dpaoletti@sympatico.ca</t>
  </si>
  <si>
    <t>idunha@gmail.com</t>
  </si>
  <si>
    <t>rayatkins@hotmail.co.uk</t>
  </si>
  <si>
    <t>qoe4baskets@gmail.com</t>
  </si>
  <si>
    <t>p.mercurio@outlook.com</t>
  </si>
  <si>
    <t>snonline@athayoga.info</t>
  </si>
  <si>
    <t>adriana_nedeva@yahoo.com</t>
  </si>
  <si>
    <t>mariamiguelr@gmail.com</t>
  </si>
  <si>
    <t>ulrichherbeck@gmx.net</t>
  </si>
  <si>
    <t>dsec@tutamail.com</t>
  </si>
  <si>
    <t>seczkowskidominik05@gmail.com</t>
  </si>
  <si>
    <t>rhodleri11@gmail.com</t>
  </si>
  <si>
    <t>dandypark5@hotmail.com</t>
  </si>
  <si>
    <t>johncheshire@btinternet.com</t>
  </si>
  <si>
    <t>tajsings4peace@gmail.com</t>
  </si>
  <si>
    <t>flealcott@yahoo.com</t>
  </si>
  <si>
    <t>suemcgavin.sm@gmail.com</t>
  </si>
  <si>
    <t>marthachristinemiller@gmail.com</t>
  </si>
  <si>
    <t>terisatu@uoguelph.ca</t>
  </si>
  <si>
    <t>melhagrassy.neuromod@gmail.com</t>
  </si>
  <si>
    <t>manateeeee@gmail.com</t>
  </si>
  <si>
    <t>hibachi-lode.8a@icloud.com</t>
  </si>
  <si>
    <t>jlgbsn@gmail.com</t>
  </si>
  <si>
    <t>lynstmail@gmail.com</t>
  </si>
  <si>
    <t>alexandra.ibrahim13@gmail.com</t>
  </si>
  <si>
    <t>kezialewins237@gmail.com</t>
  </si>
  <si>
    <t>jrgrant127@gmail.com</t>
  </si>
  <si>
    <t>gkitani@hotmail.com</t>
  </si>
  <si>
    <t>david.dennisnz@gmail.com</t>
  </si>
  <si>
    <t>kmfitani@hotmail.com</t>
  </si>
  <si>
    <t>lsimpson_5@hotmail.com</t>
  </si>
  <si>
    <t>saranialazar@gmail.com</t>
  </si>
  <si>
    <t>painbren@yahoo.com</t>
  </si>
  <si>
    <t>salzahed84@gmail.com</t>
  </si>
  <si>
    <t>mghalib@msn.com</t>
  </si>
  <si>
    <t>sebastiendodedjiadounsa@gmail.com</t>
  </si>
  <si>
    <t>sabah2002@gmail.com</t>
  </si>
  <si>
    <t>margaakerboom@gmail.com</t>
  </si>
  <si>
    <t>r_jose17@icloud.com</t>
  </si>
  <si>
    <t>zaha@elbosily.com</t>
  </si>
  <si>
    <t>carmen.depaz@gmail.com</t>
  </si>
  <si>
    <t>joyhofer@shaw.ca</t>
  </si>
  <si>
    <t>rght65@hotmail.com</t>
  </si>
  <si>
    <t>borbollaraquel85@gmail.com</t>
  </si>
  <si>
    <t>intofrench@frenchlink.com</t>
  </si>
  <si>
    <t>lailahigazi@hotmail.com</t>
  </si>
  <si>
    <t>goodalldaisy96@gmail.com</t>
  </si>
  <si>
    <t>melindiboschsnyman@gmail.com</t>
  </si>
  <si>
    <t>jonesbria97@gmail.com</t>
  </si>
  <si>
    <t>bignmoneyoutofpolitics@gmail.com</t>
  </si>
  <si>
    <t>cmlawrence@protonmail.com</t>
  </si>
  <si>
    <t>dunya@gmail.com</t>
  </si>
  <si>
    <t>snub.legatos-2d@icloud.com</t>
  </si>
  <si>
    <t>hspontak@yahoo.com</t>
  </si>
  <si>
    <t>kirymurray@gmail.com</t>
  </si>
  <si>
    <t>rinconmezangelica@gmail.com</t>
  </si>
  <si>
    <t>rafaelvolpi@gmail.com</t>
  </si>
  <si>
    <t>kfeifer@gmail.com</t>
  </si>
  <si>
    <t>laurenlkowalis@gmail.com</t>
  </si>
  <si>
    <t>amyenoyes@gmail.com</t>
  </si>
  <si>
    <t>aibannedbooksweekaction@gmail.com</t>
  </si>
  <si>
    <t>nswords1817@gmail.com</t>
  </si>
  <si>
    <t>whitefoxsociamedia@gmail.com</t>
  </si>
  <si>
    <t>valerieosagie92@gmail.com</t>
  </si>
  <si>
    <t>nidra.ellis@gmail.com</t>
  </si>
  <si>
    <t>klcolaric@gmail.com</t>
  </si>
  <si>
    <t>amandakatherine79@gmail.com</t>
  </si>
  <si>
    <t>kathleenboone21@gmail.com</t>
  </si>
  <si>
    <t>99058664@my.hartdistrict.org</t>
  </si>
  <si>
    <t>11@gmail.com</t>
  </si>
  <si>
    <t>btb.uk.president@gmail.com</t>
  </si>
  <si>
    <t>aduran01@yahoo.com</t>
  </si>
  <si>
    <t>chaos1sk@gmail.com</t>
  </si>
  <si>
    <t>bryan+20250128v1@4sitestudios.com</t>
  </si>
  <si>
    <t>sarah.ross425@gmail.com</t>
  </si>
  <si>
    <t>37.traps.chanter@icloud.com</t>
  </si>
  <si>
    <t>captbethe@gmail.com</t>
  </si>
  <si>
    <t>slayingmantis555@gmail.com</t>
  </si>
  <si>
    <t>flkells@gmail.com</t>
  </si>
  <si>
    <t>andrealcrowell@gmail.com</t>
  </si>
  <si>
    <t>americahope64@gmail.com</t>
  </si>
  <si>
    <t>25ciccaral1@egcsd.org</t>
  </si>
  <si>
    <t>jmdaubin@me.com</t>
  </si>
  <si>
    <t>ronaldham477@gmail.com</t>
  </si>
  <si>
    <t>lightning.blitz@hotmail.com</t>
  </si>
  <si>
    <t>edgarphotographz104@gmail.com</t>
  </si>
  <si>
    <t>greywolf14@duck.com</t>
  </si>
  <si>
    <t>pedroacastllo446@gmail.com</t>
  </si>
  <si>
    <t>russnriss@yahoo.com</t>
  </si>
  <si>
    <t>dolce.perez@yahoo.com</t>
  </si>
  <si>
    <t>carrie@lasmanis.com</t>
  </si>
  <si>
    <t>namishintl2@gmail.com</t>
  </si>
  <si>
    <t>pennyanddordy@gmail.com</t>
  </si>
  <si>
    <t>ktbigsky@yahoo.com</t>
  </si>
  <si>
    <t>clnnewton@hotmail.com</t>
  </si>
  <si>
    <t>karen.allred@gmail.com</t>
  </si>
  <si>
    <t>vdmayan@gmail.com</t>
  </si>
  <si>
    <t>alynn15@4j.lane.edu</t>
  </si>
  <si>
    <t>mzemper27@gmal.com</t>
  </si>
  <si>
    <t>heathermcveigh7@gmail.com</t>
  </si>
  <si>
    <t>kevinmac2@gmail.vom</t>
  </si>
  <si>
    <t>gvpachomes@gmail.com</t>
  </si>
  <si>
    <t>galethecook@gmail.com</t>
  </si>
  <si>
    <t>marsha@brofkaberends.com</t>
  </si>
  <si>
    <t>repairs.winder.9i@icloud.com</t>
  </si>
  <si>
    <t>adbowesxdmd@gmail.com</t>
  </si>
  <si>
    <t>stellasingsloud@gmail.com</t>
  </si>
  <si>
    <t>theresa.knopf.morgan@gmail.com</t>
  </si>
  <si>
    <t>socialjusticeadvocate@verizon.net</t>
  </si>
  <si>
    <t>daniellelanden@arizona.edu</t>
  </si>
  <si>
    <t>shastalassen@gmail.com</t>
  </si>
  <si>
    <t>rbraslau@chemistry.ucsc.edu</t>
  </si>
  <si>
    <t>edgren59@gmail.com</t>
  </si>
  <si>
    <t>koellhofferc@sistersofihm.org</t>
  </si>
  <si>
    <t>christina2108@yahoo.com</t>
  </si>
  <si>
    <t>victoriaroan+action@gmail.com</t>
  </si>
  <si>
    <t>ellingsenjasmine@gmail.com</t>
  </si>
  <si>
    <t>tanvi.kamana@gmail.com</t>
  </si>
  <si>
    <t>aneshah09@gmail.com</t>
  </si>
  <si>
    <t>asullivan01@student.dasd.org</t>
  </si>
  <si>
    <t>moonyabouraya@icloud.com</t>
  </si>
  <si>
    <t>anna7gremlin@gmail.com</t>
  </si>
  <si>
    <t>patariciakates@comcast.net</t>
  </si>
  <si>
    <t>gravjm55@gmaqil.com</t>
  </si>
  <si>
    <t>kloss_william@yahoo.com</t>
  </si>
  <si>
    <t>pokapoor@umich.edu</t>
  </si>
  <si>
    <t>dreamchaser1185@gmail.com</t>
  </si>
  <si>
    <t>mayragarcia100@icloud.com</t>
  </si>
  <si>
    <t>davidhbarry@me.com</t>
  </si>
  <si>
    <t>tewodrosemamo220@gmail.com</t>
  </si>
  <si>
    <t>chavezmaudicel@gmail.com</t>
  </si>
  <si>
    <t>becarre2@orange.fr</t>
  </si>
  <si>
    <t>cbzyk@yahoo.com</t>
  </si>
  <si>
    <t>lindsaypcoyle@gmail.com</t>
  </si>
  <si>
    <t>marisa.lucero64@gmail.com</t>
  </si>
  <si>
    <t>elizabethj2288@gmail.com</t>
  </si>
  <si>
    <t>davidwolfson@sbcglobl.net</t>
  </si>
  <si>
    <t>danzeh01@gmail.com</t>
  </si>
  <si>
    <t>anthony.tuem@yahoo.com</t>
  </si>
  <si>
    <t>aschimpf.aiib@gmail.com</t>
  </si>
  <si>
    <t>od.weaver23@yahoo.com</t>
  </si>
  <si>
    <t>evan.hadingham@icloud.com</t>
  </si>
  <si>
    <t>alyssa.k.howard@gmail.com</t>
  </si>
  <si>
    <t>scott.riotto@montville.net</t>
  </si>
  <si>
    <t>26tegsum@studebt.mcpsmt.org</t>
  </si>
  <si>
    <t>rheliza59@gmail.com</t>
  </si>
  <si>
    <t>mersingerkatie@gmail.com</t>
  </si>
  <si>
    <t>kifka@sdf.org</t>
  </si>
  <si>
    <t>maazshe2010@gmail.com</t>
  </si>
  <si>
    <t>srk.kaushik2010@gmail.com</t>
  </si>
  <si>
    <t>raaghavi.kalluri@icloud.com</t>
  </si>
  <si>
    <t>External Reference 6 (Country)</t>
  </si>
  <si>
    <t>External Reference 7 (Case Number)</t>
  </si>
  <si>
    <t>External Reference 8 (Topics)</t>
  </si>
  <si>
    <t>External Reference 10 (Year)</t>
  </si>
  <si>
    <t>External Reference 10 (Type)</t>
  </si>
  <si>
    <t>Count</t>
  </si>
  <si>
    <t>Unique Supporters</t>
  </si>
  <si>
    <t>Case Number</t>
  </si>
  <si>
    <t>100.24 Uganda</t>
  </si>
  <si>
    <t>101.24 Iran</t>
  </si>
  <si>
    <t>105.24 USA</t>
  </si>
  <si>
    <t>11.25 Afghanistan</t>
  </si>
  <si>
    <t>2.25 Azerbaijan</t>
  </si>
  <si>
    <t>3.25 IOPT</t>
  </si>
  <si>
    <t>4.25 USA</t>
  </si>
  <si>
    <t>Second 43.24 Tunisia</t>
  </si>
  <si>
    <t>Second 76.24 Tunisia</t>
  </si>
  <si>
    <t>Second 80.23 Egypt</t>
  </si>
  <si>
    <t>Afghanistan</t>
  </si>
  <si>
    <t>Azerbaijan</t>
  </si>
  <si>
    <t>Egypt</t>
  </si>
  <si>
    <t>Iran</t>
  </si>
  <si>
    <t>Israel and Occupied Palestinian Territories</t>
  </si>
  <si>
    <t>Tunisia</t>
  </si>
  <si>
    <t>Uganda</t>
  </si>
  <si>
    <t>USA</t>
  </si>
  <si>
    <t>Topic</t>
  </si>
  <si>
    <t>Freedom of Expression</t>
  </si>
  <si>
    <t>Health</t>
  </si>
  <si>
    <t>Individuals At Risk</t>
  </si>
  <si>
    <t>Refugee and Migrant Rights</t>
  </si>
  <si>
    <t>Right to Protest</t>
  </si>
  <si>
    <t>Year</t>
  </si>
  <si>
    <t>Type</t>
  </si>
  <si>
    <t>Email</t>
  </si>
  <si>
    <t>Letter</t>
  </si>
  <si>
    <t>Month</t>
  </si>
  <si>
    <t>Seventh 103.22 Iran</t>
  </si>
  <si>
    <t>103.24 Niger</t>
  </si>
  <si>
    <t>97.24 Venezuela</t>
  </si>
  <si>
    <t>Ninth 190.18 Egypt</t>
  </si>
  <si>
    <t>98.24 China</t>
  </si>
  <si>
    <t>8.25 Tunisia</t>
  </si>
  <si>
    <t>10.25 Iran</t>
  </si>
  <si>
    <t>1.25 Venezuela</t>
  </si>
  <si>
    <t>Third 73.23 Egypt</t>
  </si>
  <si>
    <t>109.24 Türkiye</t>
  </si>
  <si>
    <t>88.24 Dominican Republic</t>
  </si>
  <si>
    <t>6.25 Iran</t>
  </si>
  <si>
    <t>Third 12.24 Colombia</t>
  </si>
  <si>
    <t>12.25 Libya</t>
  </si>
  <si>
    <t>96.24 USA</t>
  </si>
  <si>
    <t>107.24 Singapore</t>
  </si>
  <si>
    <t>Second 109.24 Türkiye</t>
  </si>
  <si>
    <t>9.25 Uganda</t>
  </si>
  <si>
    <t>104.24 Saudi Arabia</t>
  </si>
  <si>
    <t>Second 85.23 Saudi Arabia</t>
  </si>
  <si>
    <t>Fourth 55.24 USA</t>
  </si>
  <si>
    <t>99.24 Canada</t>
  </si>
  <si>
    <t>102.24 Russia</t>
  </si>
  <si>
    <t>Fourth 29.23 Egypt</t>
  </si>
  <si>
    <t>106.24 China</t>
  </si>
  <si>
    <t>Fifth 257.12</t>
  </si>
  <si>
    <t>Second 23.24 Russia</t>
  </si>
  <si>
    <t>5.25 Colombia</t>
  </si>
  <si>
    <t>7.25 Afghanistan</t>
  </si>
  <si>
    <t>92.24 Mexico</t>
  </si>
  <si>
    <t>Second 85.24 Honduras</t>
  </si>
  <si>
    <t>Niger</t>
  </si>
  <si>
    <t>Venezuela</t>
  </si>
  <si>
    <t>China</t>
  </si>
  <si>
    <t>Turkiye</t>
  </si>
  <si>
    <t>Dominican Republic</t>
  </si>
  <si>
    <t>Colombia</t>
  </si>
  <si>
    <t>Libya</t>
  </si>
  <si>
    <t>Singapore</t>
  </si>
  <si>
    <t>Saudi Arabia</t>
  </si>
  <si>
    <t>Canada</t>
  </si>
  <si>
    <t>Russian Federation</t>
  </si>
  <si>
    <t>Mexico</t>
  </si>
  <si>
    <t>Honduras</t>
  </si>
  <si>
    <t>Indigenous Rights</t>
  </si>
  <si>
    <t>Women's Rights</t>
  </si>
  <si>
    <t>2025-02</t>
  </si>
  <si>
    <t>2025-01</t>
  </si>
  <si>
    <t>Account ID</t>
  </si>
  <si>
    <t>Date Created</t>
  </si>
  <si>
    <t>Date Modified</t>
  </si>
  <si>
    <t>Campaign Number</t>
  </si>
  <si>
    <t>Campaign Type</t>
  </si>
  <si>
    <t>Campaign Time</t>
  </si>
  <si>
    <t>Campaign Status</t>
  </si>
  <si>
    <t>Campaign Data 1</t>
  </si>
  <si>
    <t>Campaign Data 2</t>
  </si>
  <si>
    <t>Campaign Data 3</t>
  </si>
  <si>
    <t>Campaign Data 4</t>
  </si>
  <si>
    <t>Campaign Data 5</t>
  </si>
  <si>
    <t>Campaign Data 6</t>
  </si>
  <si>
    <t>Campaign Data 7</t>
  </si>
  <si>
    <t>Campaign Data 8</t>
  </si>
  <si>
    <t>Campaign Data 9</t>
  </si>
  <si>
    <t>Campaign Data 10</t>
  </si>
  <si>
    <t>Campaign Data 11</t>
  </si>
  <si>
    <t>Campaign Data 12</t>
  </si>
  <si>
    <t>Campaign Data 13</t>
  </si>
  <si>
    <t>Campaign Data 14</t>
  </si>
  <si>
    <t>Campaign Data 15</t>
  </si>
  <si>
    <t>Campaign Data 16</t>
  </si>
  <si>
    <t>Campaign Data 17</t>
  </si>
  <si>
    <t>Campaign Data 18</t>
  </si>
  <si>
    <t>Campaign Data 19</t>
  </si>
  <si>
    <t>Campaign Data 20</t>
  </si>
  <si>
    <t>Campaign Data 21</t>
  </si>
  <si>
    <t>Campaign Data 22</t>
  </si>
  <si>
    <t>Campaign Data 23</t>
  </si>
  <si>
    <t>Campaign Data 24</t>
  </si>
  <si>
    <t>Campaign Data 25</t>
  </si>
  <si>
    <t>Campaign Data 26</t>
  </si>
  <si>
    <t>Campaign Data 27</t>
  </si>
  <si>
    <t>Campaign Data 28</t>
  </si>
  <si>
    <t>Campaign Data 29</t>
  </si>
  <si>
    <t>Campaign Data 30</t>
  </si>
  <si>
    <t>Campaign Data 31</t>
  </si>
  <si>
    <t>Campaign Data 32</t>
  </si>
  <si>
    <t>Campaign Data 33</t>
  </si>
  <si>
    <t>Campaign Data 34</t>
  </si>
  <si>
    <t>Campaign Data 35</t>
  </si>
  <si>
    <t>External Reference 1</t>
  </si>
  <si>
    <t>External Reference 2</t>
  </si>
  <si>
    <t>External Reference 3</t>
  </si>
  <si>
    <t>External Reference 4</t>
  </si>
  <si>
    <t>External Reference 5</t>
  </si>
  <si>
    <t>External Reference 6</t>
  </si>
  <si>
    <t>External Reference 7</t>
  </si>
  <si>
    <t>External Reference 8</t>
  </si>
  <si>
    <t>External Reference 9</t>
  </si>
  <si>
    <t>External Reference 10</t>
  </si>
  <si>
    <t>Email Address</t>
  </si>
  <si>
    <t>PET</t>
  </si>
  <si>
    <t>P</t>
  </si>
  <si>
    <t>mobile:N~tablet:N~device:APPLE~os:Mac OS X~browser:Safari</t>
  </si>
  <si>
    <t>https://act.amnestyusa.org/page/153818/petition/1?submit_btn_text=Get+the+sample+letter&amp;page_title=HUMAN+RIGHTS+DEFENDER+ON+HUNGER+STRIKE+%5BSecond+UA+76.24+Tunisia%5D&amp;page_url_params=utm_source%3Dutm_source%253Dtest_source%2526utm_medium%253Dads&amp;Campaign+Date=02%2F04%2F25&amp;Campaign+Time=03%3A34%3A50&amp;en_txn6=Country%3A+Tunisia&amp;en_txn7=CaseNumber%3A+Second+76.24+Tunisia&amp;en_txn8=Topic%3A+Freedom+of+Expression%2C+Human+Rights+Defenders&amp;en_txn10=YearType%3A+2025%2C+Email&amp;color=%23f26722&amp;height=422</t>
  </si>
  <si>
    <t>ADD CODE HERE</t>
  </si>
  <si>
    <t>Country: Tunisia</t>
  </si>
  <si>
    <t>CaseNumber: Second 76.24 Tunisia</t>
  </si>
  <si>
    <t>Topic: Freedom of Expression, Human Rights Defenders</t>
  </si>
  <si>
    <t>YearType: 2025, Email</t>
  </si>
  <si>
    <t>mobile:N~tablet:N~device:MICROSOFT~os:Windows 10~browser:Chrome 13</t>
  </si>
  <si>
    <t>https://act.amnestyusa.org/page/153818/petition/1?submit_btn_text=Get+the+sample+letter&amp;page_title=HUMAN+RIGHTS+DEFENDER+ON+HUNGER+STRIKE+%5BSecond+UA+76.24+Tunisia%5D&amp;page_url_params=utm_source%3Dutm_source%253Dtest_source%2526utm_medium%253Dads&amp;Campaign+Date=02%2F06%2F25&amp;Campaign+Time=13%3A30%3A57&amp;en_txn6=Country%3A+Tunisia&amp;en_txn7=CaseNumber%3A+Second+76.24+Tunisia&amp;en_txn8=Topic%3A+Freedom+of+Expression%2C+Human+Rights+Defenders&amp;en_txn10=YearType%3A+2025%2C+Email&amp;color=%23f26722&amp;height=422</t>
  </si>
  <si>
    <t>https://act.amnestyusa.org/page/153818/petition/1?submit_btn_text=Get+the+sample+letter&amp;page_title=PEOPLE+SEEKING+SAFETY+AT+RISK+IN+THE+USA+%5BUSA+4.25%5D&amp;page_url_params=utm_source%3Dutm_source%253Dtest_source%2526utm_medium%253Dads&amp;Campaign+Date=01%2F30%2F25&amp;Campaign+Time=15%3A30%3A06&amp;en_txn6=Country%3A+USA&amp;en_txn7=CaseNumber%3A+4.25+USA&amp;en_txn8=Topic%3A+Individuals+At+Risk%2C+Refugee+and+Migrant+Rights&amp;en_txn10=YearType%3A+2025%2C+Letter&amp;color=%23f26722&amp;height=422</t>
  </si>
  <si>
    <t>DCF</t>
  </si>
  <si>
    <t>mobile:N~tablet:N~device:~os:~browser:</t>
  </si>
  <si>
    <t>https://act.amnestyusa.org/page/153818/petition/1?submit_btn_text=Get+the+sample+letter&amp;page_title=HUMAN+RIGHTS+DEFENDER+ON+HUNGER+STRIKE+%5BSecond+UA+76.24+Tunisia%5D&amp;page_url_params=utm_source%3Dutm_source%253Dtest_source%2526utm_medium%253Dads&amp;Campaign+Date=02%2F13%2F25&amp;Campaign+Time=18%3A33%3A45&amp;en_txn6=Country%3A+Tunisia&amp;en_txn7=CaseNumber%3A+Second+76.24+Tunisia&amp;en_txn8=Topic%3A+Freedom+of+Expression%2C+Human+Rights+Defenders&amp;en_txn10=YearType%3A+2025%2C+Email&amp;color=%23f26722&amp;height=422</t>
  </si>
  <si>
    <t>mobile:Y~tablet:N~device:APPLE~os:Mac OS X (iPhone)~browser:Mobile Safari</t>
  </si>
  <si>
    <t>https://act.amnestyusa.org/page/153818/petition/1?submit_btn_text=Get+the+sample+letter&amp;page_title=HUMAN+RIGHTS+DEFENDER+ON+HUNGER+STRIKE+%5BSecond+UA+76.24+Tunisia%5D&amp;page_url_params=utm_source%3Dutm_source%253Dtest_source%2526utm_medium%253Dads&amp;Campaign+Date=01%2F31%2F25&amp;Campaign+Time=19%3A57%3A07&amp;en_txn6=Country%3A+Tunisia&amp;en_txn7=CaseNumber%3A+Second+76.24+Tunisia&amp;en_txn8=Topic%3A+Freedom+of+Expression%2C+Human+Rights+Defenders&amp;en_txn10=YearType%3A+2025%2C+Email&amp;color=%23f26722&amp;height=422</t>
  </si>
  <si>
    <t>mobile:N~tablet:N~device:GOOGLE~os:Chrome OS~browser:Chrome 10</t>
  </si>
  <si>
    <t>https://act.amnestyusa.org/page/153818/petition/1?submit_btn_text=Get+the+sample+letter&amp;page_title=RISKS+OF+FURTHER+PROTEST-RELATED+EXECUTIONS&amp;page_url_params=utm_source%3Dutm_source%253Dtest_source%2526utm_medium%253Dads&amp;Campaign+Date=01%2F25%2F25&amp;Campaign+Time=08%3A05%3A46&amp;en_txn6=Country%3A+Iran&amp;en_txn7=CaseNumber%3A+Seventh+103.22+Iran&amp;en_txn8=Topic%3A+Death+Penalty%2C+Freedom+of+Expression%2C+Individuals+At+Risk&amp;en_txn10=YearType%3A+2024%2C+Email&amp;color=%23f26722&amp;height=422</t>
  </si>
  <si>
    <t>Country: Iran</t>
  </si>
  <si>
    <t>CaseNumber: Seventh 103.22 Iran</t>
  </si>
  <si>
    <t>Topic: Death Penalty, Freedom of Expression, Individuals At Risk</t>
  </si>
  <si>
    <t>YearType: 2024, Email</t>
  </si>
  <si>
    <t>https://act.amnestyusa.org/page/153818/petition/1?email_text=Thank+you+for+taking+action+on+PROMINENT+HUMAN+RIGHTS+DEFENDER+DETAINED.&amp;email_cta_text=VIEW+MORE+URGENT+ACTIONS&amp;email_cta_url=https%3A%2F%2Fwww.amnestyusa.org%2Fget-involved%2Fgrassroots-activism%2Furgent-action-network%2Factions%2F%3Fstatus%3Dactive%26fyear%3D2025%26sortby%3Dnewest%26pg%3D1&amp;submit_btn_text=Get+the+sample+letter&amp;page_title=PROMINENT+HUMAN+RIGHTS+DEFENDER+DETAINED&amp;page_url_params=utm_source%3Dutm_source%253Dtest_source%2526utm_medium%253Dads&amp;Campaign+Date=01%2F23%2F25&amp;Campaign+Time=20%3A40%3A14&amp;en_txn6=Country%3A+Niger&amp;en_txn7=CaseNumber%3A+103.24+Niger&amp;en_txn8=Topic%3A+Freedom+of+Expression%2C+Human+Rights+Defenders&amp;en_txn10=YearType%3A+2024%2C+Email&amp;color=%23f26722&amp;height=422</t>
  </si>
  <si>
    <t>Country: Niger</t>
  </si>
  <si>
    <t>CaseNumber: 103.24 Niger</t>
  </si>
  <si>
    <t>mobile:Y~tablet:N~device:GOOGLE~os:Android~browser:Chrome 13</t>
  </si>
  <si>
    <t>https://act.amnestyusa.org/page/153818/petition/1?email_text=Thank+you+for+taking+action+on+PEOPLE+SEEKING+SAFETY+AT+RISK+IN+THE+USA+%5BUSA+4.25%5D.&amp;email_cta_text=VIEW+MORE+URGENT+ACTIONS&amp;email_cta_url=https%3A%2F%2Fwww.amnestyusa.org%2Fget-involved%2Fgrassroots-activism%2Furgent-action-network%2Factions%2F%3Fstatus%3Dactive%26fyear%3D2025%26sortby%3Dnewest%26pg%3D1&amp;submit_btn_text=Get+the+sample+letter&amp;page_title=PEOPLE+SEEKING+SAFETY+AT+RISK+IN+THE+USA+%5BUSA+4.25%5D&amp;page_url_params=utm_source%3Dutm_source%253Dtest_source%2526utm_medium%253Dads&amp;Campaign+Date=01%2F23%2F25&amp;Campaign+Time=19%3A28%3A08&amp;en_txn6=Country%3A+USA&amp;en_txn7=CaseNumber%3A+4.25+USA&amp;en_txn8=Topic%3A+Individuals+At+Risk%2C+Refugee+and+Migrant+Rights&amp;en_txn10=YearType%3A+2025%2C+Letter&amp;color=%23f26722&amp;height=422</t>
  </si>
  <si>
    <t>Country: USA</t>
  </si>
  <si>
    <t>CaseNumber: 4.25 USA</t>
  </si>
  <si>
    <t>Topic: Individuals At Risk, Refugee and Migrant Rights</t>
  </si>
  <si>
    <t>YearType: 2025, Letter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</si>
  <si>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16%2F25&amp;Campaign+Time=21%3A13%3A16&amp;en_txn6=Country%3A+Israel+and+Occupied+Palestinian+Territories&amp;en_txn7=CaseNumber%3A+3.25+IOPT&amp;en_txn8=Topic%3A+Freedom+of+Expression%2C+Individuals+At+Risk&amp;en_txn10=YearType%3A+2025%2C+Email&amp;color=%23f26722&amp;height=422</t>
  </si>
  <si>
    <t>Country: Israel and Occupied Palestinian Territories</t>
  </si>
  <si>
    <t>CaseNumber: 3.25 IOPT</t>
  </si>
  <si>
    <t>Topic: Freedom of Expression, Individuals At Risk</t>
  </si>
  <si>
    <t>https://act.amnestyusa.org/page/153818/petition/1?email_text=Thank+you+for+your+support%21&amp;email_cta_text=Take+Action&amp;email_cta_url=https%3A%2F%2Fwww.amnestyusa.org&amp;submit_btn_text=Get+the+sample+letter&amp;page_title=HEALTH+CONCERNS+FOR+JAILED+UYGHUR+MUSICIAN%C2%A0&amp;page_url_params=utm_source%3Dutm_source%253Dtest_source%2526utm_medium%253Dads&amp;Campaign+Date=12%2F12%2F24&amp;Campaign+Time=22%3A32%3A32&amp;en_txn6=Country%3A+China&amp;en_txn7=CaseNumber%3A+98.24+China&amp;en_txn8=Topic%3A+Freedom+of+Expression%2C+Individuals+At+Risk&amp;en_txn10=YearType%3A+2024%2C+Letter&amp;color=%23f26722&amp;height=422</t>
  </si>
  <si>
    <t>Country: China</t>
  </si>
  <si>
    <t>CaseNumber: 98.24 China</t>
  </si>
  <si>
    <t>YearType: 2024, Letter</t>
  </si>
  <si>
    <t>https://act.amnestyusa.org/page/153818/petition/1?email_text=Thank+you+for+your+support%21&amp;email_cta_text=Take+Action&amp;email_cta_url=https%3A%2F%2Fwww.amnestyusa.org&amp;submit_btn_text=Get+the+sample+letter&amp;page_title=STOP+PERSECUTING+VENEZUELAN+NGO&amp;page_url_params=utm_source%3Dutm_source%253Dtest_source%2526utm_medium%253Dads&amp;Campaign+Date=12%2F12%2F24&amp;Campaign+Time=22%3A12%3A51&amp;en_txn6=Country%3A+Venezuela&amp;en_txn7=CaseNumber%3A+97.24+Venezuela&amp;en_txn8=Topic%3A+Freedom+of+Expression&amp;en_txn10=YearType%3A+2024%2C+Letter&amp;color=%23f26722&amp;height=422</t>
  </si>
  <si>
    <t>Country: Venezuela</t>
  </si>
  <si>
    <t>CaseNumber: 97.24 Venezuela</t>
  </si>
  <si>
    <t>Topic: Freedom of Expression</t>
  </si>
  <si>
    <t>https://act.amnestyusa.org/page/153818/petition/1?email_text=Thank+you+for+your+support%21&amp;email_cta_text=Take+Action&amp;email_cta_url=https%3A%2F%2Fwww.amnestyusa.org&amp;submit_btn_text=Get+the+sample+letter&amp;page_title=UNJUSTLY+JAILED+LAWYER%E2%80%99S+HEALTH+AT+RISK&amp;page_url_params=utm_source%3Dutm_source%253Dtest_source%2526utm_medium%253Dads&amp;Campaign+Date=12%2F12%2F24&amp;Campaign+Time=17%3A57%3A59&amp;en_txn6=Country%3A+Egypt&amp;en_txn7=CaseNumber%3A+Ninth+190.18+Egypt&amp;en_txn8=Topic%3A+Freedom+of+Expression%2C+Individuals+At+Risk&amp;en_txn10=YearType%3A+2024%2C+Letter&amp;color=%23f26722&amp;height=422</t>
  </si>
  <si>
    <t>Country: Egypt</t>
  </si>
  <si>
    <t>CaseNumber: Ninth 190.18 Egypt</t>
  </si>
  <si>
    <t>https://act.amnestyusa.org/page/153818/petition/1?email_text=Thank+you+for+your+support%21&amp;email_cta_text=Take+Action&amp;email_cta_url=https%3A%2F%2Fwww.amnestyusa.org&amp;submit_btn_text=Get+the+sample+letter&amp;page_title=INDIANA%E2%80%99S+FIRST+EXECUTION+IN+15+YEARS+LOOMS&amp;page_url_params=utm_source%3Dutm_source%253Dtest_source%2526utm_medium%253Dads&amp;Campaign+Date=12%2F12%2F24&amp;Campaign+Time=17%3A15%3A17&amp;en_txn6=Country%3A+USA&amp;en_txn7=CaseNumber%3A+105.24+USA&amp;en_txn8=Topic%3A+Death+Penalty&amp;en_txn10=YearType%3A+2024%2C+Email&amp;color=%23f26722&amp;height=422</t>
  </si>
  <si>
    <t>CaseNumber: 105.24 USA</t>
  </si>
  <si>
    <t>Topic: Death Penalty</t>
  </si>
  <si>
    <t>https://act.amnestyusa.org/page/153818/petition/1?submit_btn_text=Get+the+sample+letter&amp;page_title=PROMINENT+HUMAN+RIGHTS+DEFENDER+DETAINED&amp;page_url_params=utm_source%3Dutm_source%253Dtest_source%2526utm_medium%253Dads&amp;Campaign+Date=02%2F11%2F25&amp;Campaign+Time=21%3A27%3A30&amp;en_txn6=Country%3A+Niger&amp;en_txn7=CaseNumber%3A+103.24+Niger&amp;en_txn8=Topic%3A+Freedom+of+Expression%2C+Human+Rights+Defenders&amp;en_txn10=YearType%3A+2024%2C+Email&amp;color=%23f26722&amp;height=422</t>
  </si>
  <si>
    <t>https://act.amnestyusa.org/page/153818/petition/1?submit_btn_text=Get+the+sample+letter&amp;page_title=PROMINENT+JOURNALIST+ARBITRARILY+DETAINED+%5BTunisia+8.25%5D&amp;page_url_params=utm_source%3Dutm_source%253Dtest_source%2526utm_medium%253Dads&amp;Campaign+Date=02%2F12%2F25&amp;Campaign+Time=12%3A27%3A27&amp;en_txn6=Country%3A+Tunisia&amp;en_txn7=CaseNumber%3A+8.25+Tunisia&amp;en_txn8=Topic%3A+Freedom+of+Expression&amp;en_txn10=YearType%3A+2025%2C+Email&amp;color=%23f26722&amp;height=422</t>
  </si>
  <si>
    <t>CaseNumber: 8.25 Tunisia</t>
  </si>
  <si>
    <t>https://act.amnestyusa.org/page/153818/petition/1?submit_btn_text=Get+the+sample+letter&amp;page_title=UNJUSTLY+JAILED+RIGHTS+LAWYER+REFERRED+TO+TRIAL+%5BEgypt+Second+UA+80.23%5D&amp;page_url_params=utm_source%3Dutm_source%253Dtest_source%2526utm_medium%253Dads&amp;Campaign+Date=02%2F11%2F25&amp;Campaign+Time=03%3A25%3A27&amp;en_txn6=Country%3A+Egypt&amp;en_txn7=CaseNumber%3A+Second+80.23+Egypt&amp;en_txn8=Topic%3A+Health%2C+Individuals+At+Risk&amp;en_txn10=YearType%3A+2025%2C+Email&amp;color=%23f26722&amp;height=422</t>
  </si>
  <si>
    <t>CaseNumber: Second 80.23 Egypt</t>
  </si>
  <si>
    <t>Topic: Health, Individuals At Risk</t>
  </si>
  <si>
    <t>https://act.amnestyusa.org/page/153818/petition/1?submit_btn_text=Get+the+sample+letter&amp;page_title=PRISONERS+AT+IMMINENT+RISK+OF+EXECUTION+%5BIran+10.25%5D&amp;page_url_params=utm_source%3Dutm_source%253Dtest_source%2526utm_medium%253Dads&amp;Campaign+Date=02%2F06%2F25&amp;Campaign+Time=17%3A56%3A48&amp;en_txn6=Country%3A+Iran&amp;en_txn7=CaseNumber%3A+10.25+Iran&amp;en_txn8=Topic%3A+Death+Penalty%2C+Individuals+At+Risk&amp;en_txn10=YearType%3A+2025%2C+Email&amp;color=%23f26722&amp;height=422</t>
  </si>
  <si>
    <t>CaseNumber: 10.25 Iran</t>
  </si>
  <si>
    <t>Topic: Death Penalty, Individuals At Risk</t>
  </si>
  <si>
    <t>mobile:Y~tablet:N~device:APPLE~os:Mac OS X (iPhone)~browser:Chrome Mobile</t>
  </si>
  <si>
    <t>https://act.amnestyusa.org/page/153818/petition/1?submit_btn_text=Get+the+sample+letter&amp;page_title=RELEASE+JOURNALISTS+ARRESTED+AFTER+COP29&amp;page_url_params=utm_source%3Dutm_source%253Dtest_source%2526utm_medium%253Dads&amp;Campaign+Date=02%2F02%2F25&amp;Campaign+Time=03%3A38%3A56&amp;en_txn6=Country%3A+Azerbaijan&amp;en_txn7=CaseNumber%3A+2.25+Azerbaijan&amp;en_txn8=Topic%3A+Freedom+of+Expression%2C+Human+Rights+Defenders&amp;en_txn10=YearType%3A+2025%2C+Email&amp;color=%23f26722&amp;height=422</t>
  </si>
  <si>
    <t>Country: Azerbaijan</t>
  </si>
  <si>
    <t>CaseNumber: 2.25 Azerbaijan</t>
  </si>
  <si>
    <t>https://act.amnestyusa.org/page/153818/petition/1?submit_btn_text=Get+the+sample+letter&amp;page_title=FREE+VENEZUELAN+HUMAN+RIGHTS+DEFENDERS&amp;page_url_params=utm_source%3Dutm_source%253Dtest_source%2526utm_medium%253Dads&amp;Campaign+Date=01%2F30%2F25&amp;Campaign+Time=18%3A51%3A17&amp;en_txn6=Country%3A+Venezuela&amp;en_txn7=CaseNumber%3A+1.25+Venezuela&amp;en_txn8=Topic%3A+Human+Rights+Defenders%2C+Individuals+At+Risk&amp;en_txn10=YearType%3A+2025%2C+Letter&amp;color=%23f26722&amp;height=422</t>
  </si>
  <si>
    <t>CaseNumber: 1.25 Venezuela</t>
  </si>
  <si>
    <t>Topic: Human Rights Defenders, Individuals At Risk</t>
  </si>
  <si>
    <t>https://act.amnestyusa.org/page/153818/petition/1?email_text=Thank+you+for+taking+action+on+RELEASE+PEDIATRICIAN+AND+HOSPITAL+DIRECTOR+%5BIOPT+3.25%5D.&amp;email_cta_text=VIEW+MORE+URGENT+ACTIONS&amp;email_cta_url=https%3A%2F%2Fwww.amnestyusa.org%2Fget-involved%2Fgrassroots-activism%2Furgent-action-network%2Factions%2F%3Fstatus%3Dactive%26fyear%3D2025%26sortby%3Dnewest%26pg%3D1&amp;submit_btn_text=Get+the+sample+letter&amp;page_title=RELEASE+PEDIATRICIAN+AND+HOSPITAL+DIRECTOR+%5BIOPT+3.25%5D&amp;page_url_params=utm_source%3Dutm_source%253Dtest_source%2526utm_medium%253Dads&amp;Campaign+Date=01%2F23%2F25&amp;Campaign+Time=21%3A23%3A06&amp;en_txn6=Country%3A+Israel+and+Occupied+Palestinian+Territories&amp;en_txn7=CaseNumber%3A+3.25+IOPT&amp;en_txn8=Topic%3A+Freedom+of+Expression%2C+Individuals+At+Risk&amp;en_txn10=YearType%3A+2025%2C+Email&amp;color=%23f26722&amp;height=422</t>
  </si>
  <si>
    <t>https://act.amnestyusa.org/page/153818/petition/1?submit_btn_text=Get+the+sample+letter&amp;page_title=PEOPLE+SEEKING+SAFETY+AT+RISK+IN+THE+USA+%5BUSA+4.25%5D&amp;page_url_params=utm_source%3Dutm_source%253Dtest_source%2526utm_medium%253Dads&amp;Campaign+Date=01%2F20%2F25&amp;Campaign+Time=17%3A23%3A51&amp;en_txn6=Country%3A+USA&amp;en_txn7=CaseNumber%3A+4.25+USA&amp;en_txn8=Topic%3A+Individuals+At+Risk%2C+Refugee+and+Migrant+Rights&amp;en_txn10=YearType%3A+2025%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</si>
  <si>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ISKS+OF+FURTHER+PROTEST-RELATED+EXECUTIONS&amp;page_url_params=utm_source%3Dutm_source%253Dtest_source%2526utm_medium%253Dads&amp;Campaign+Date=01%2F17%2F25&amp;Campaign+Time=19%3A01%3A20&amp;en_txn6=Country%3A+Iran&amp;en_txn7=CaseNumber%3A+Seventh+103.22+Iran&amp;en_txn8=Topic%3A+Death+Penalty%2C+Freedom+of+Expression%2C+Individuals+At+Risk&amp;en_txn10=YearType%3A+2024%2C+Email&amp;color=%23f26722&amp;height=422</t>
  </si>
  <si>
    <t>https://act.amnestyusa.org/page/153818/petition/1?email_text=Thank+you+for+taking+action+on+PEOPLE+SEEKING+SAFETY+AT+RISK+IN+THE+USA+%5BUSA+4.25%5D.&amp;email_cta_text=VIEW+MORE+URGENT+ACTIONS&amp;email_cta_url=https%3A%2F%2Fwww.amnestyusa.org%2Fget-involved%2Fgrassroots-activism%2Furgent-action-network%2Factions%2F%3Fstatus%3Dactive%26fyear%3D2025%26sortby%3Dnewest%26pg%3D1&amp;submit_btn_text=Get+the+sample+letter&amp;page_title=PEOPLE+SEEKING+SAFETY+AT+RISK+IN+THE+USA+%5BUSA+4.25%5D&amp;page_url_params=utm_source%3Dutm_source%253Dtest_source%2526utm_medium%253Dads&amp;Campaign+Date=01%2F21%2F25&amp;Campaign+Time=11%3A56%3A33&amp;en_txn6=Country%3A+USA&amp;en_txn7=CaseNumber%3A+4.25+USA&amp;en_txn8=Topic%3A+Individuals+At+Risk%2C+Refugee+and+Migrant+Rights&amp;en_txn10=YearType%3A+2025%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</si>
  <si>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End+Racist+Deportations+of+Haitians&amp;page_url_params=utm_source%3Dutm_source%253Dtest_source%2526utm_medium%253Dads&amp;Campaign+Date=11%2F26%2F24&amp;Campaign+Time=19%3A56%3A26&amp;en_txn6=Country%3A+Dominican+Republic&amp;en_txn7=CaseNumber%3A+88.24+Dominican+Republic&amp;en_txn8=Topic%3A+Individuals+At+Risk%2C+Refugee+and+Migrant+Rights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</si>
  <si>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LAWYER%E2%80%99S+HEALTH+AT+RISK&amp;page_url_params=utm_source%3Dutm_source%253Dtest_source%2526utm_medium%253Dads&amp;Campaign+Date=11%2F26%2F24&amp;Campaign+Time=18%3A58%3A42&amp;en_txn6=Country%3A+Egypt&amp;en_txn7=CaseNumber%3A+Ninth+190.18+Egypt&amp;en_txn8=Topic%3A+Freedom+of+Expression%2C+Individuals+At+Risk&amp;en_txn10=YearType%3A+2024%2C+Letter&amp;color=%23f26722&amp;height=422</t>
  </si>
  <si>
    <t>Country: Dominican Republic</t>
  </si>
  <si>
    <t>CaseNumber: 88.24 Dominican Republic</t>
  </si>
  <si>
    <t>https://act.amnestyusa.org/page/153818/petition/1?email_text=Thank+you+for+your+support%21&amp;email_cta_text=Take+Action&amp;email_cta_url=https%3A%2F%2Fwww.amnestyusa.org&amp;submit_btn_text=Get+the+sample+letter&amp;page_title=UNJUSTLY+JAILED+LAWYER+TREATED+INHUMANELY&amp;page_url_params=utm_source%3Dutm_source%253Dtest_source%2526utm_medium%253Dads&amp;Campaign+Date=12%2F26%2F24&amp;Campaign+Time=23%3A36%3A19&amp;en_txn6=Country%3A+Tunisia&amp;en_txn7=CaseNumber%3A+Second+43.24+Tunisia&amp;en_txn8=Topic%3A+Freedom+of+Expression%2C+Individuals+At+Risk&amp;en_txn10=YearType%3A+2024%2C+Email&amp;color=%23f26722&amp;height=422</t>
  </si>
  <si>
    <t>CaseNumber: Second 43.24 Tunisia</t>
  </si>
  <si>
    <t>https://act.amnestyusa.org/page/153818/petition/1?submit_btn_text=Get+the+sample+letter&amp;page_title=RELEASE+JOURNALISTS+ARRESTED+AFTER+COP29&amp;page_url_params=utm_source%3Dutm_source%253Dtest_source%2526utm_medium%253Dads&amp;Campaign+Date=01%2F30%2F25&amp;Campaign+Time=19%3A56%3A07&amp;en_txn6=Country%3A+Azerbaijan&amp;en_txn7=CaseNumber%3A+2.25+Azerbaijan&amp;en_txn8=Topic%3A+Freedom+of+Expression%2C+Human+Rights+Defenders&amp;en_txn10=YearType%3A+2025%2C+Email&amp;color=%23f26722&amp;height=422</t>
  </si>
  <si>
    <t>https://act.amnestyusa.org/page/153818/petition/1?submit_btn_text=Get+the+sample+letter&amp;page_title=RELEASE+PEDIATRICIAN+AND+HOSPITAL+DIRECTOR+%5BIOPT+3.25%5D&amp;page_url_params=utm_source%3Dutm_source%253Dtest_source%2526utm_medium%253Dads&amp;Campaign+Date=02%2F01%2F25&amp;Campaign+Time=10%3A13%3A19&amp;en_txn6=Country%3A+Israel+and+Occupied+Palestinian+Territories&amp;en_txn7=CaseNumber%3A+3.25+IOPT&amp;en_txn8=Topic%3A+Freedom+of+Expression%2C+Individuals+At+Risk&amp;en_txn10=YearType%3A+2025%2C+Email&amp;color=%23f26722&amp;height=422</t>
  </si>
  <si>
    <t>https://act.amnestyusa.org/page/153818/petition/1?submit_btn_text=Get+the+sample+letter&amp;page_title=PROTECT+DEFENDERS+FROM+ARMED+GROUPS+%5BColombia+Third+UA+12.24%5D&amp;page_url_params=utm_source%3Dutm_source%253Dtest_source%2526utm_medium%253Dads&amp;Campaign+Date=01%2F30%2F25&amp;Campaign+Time=19%3A26%3A13&amp;en_txn6=Country%3A+Colombia&amp;en_txn7=CaseNumber%3A+Third+12.24+Colombia&amp;en_txn8=Topic%3A+Human+Rights+Defenders%2C+Individuals+At+Risk&amp;en_txn10=YearType%3A+2025%2C+Email&amp;color=%23f26722&amp;height=422</t>
  </si>
  <si>
    <t>Country: Colombia</t>
  </si>
  <si>
    <t>CaseNumber: Third 12.24 Colombia</t>
  </si>
  <si>
    <t>https://act.amnestyusa.org/page/153818/petition/1?submit_btn_text=Get+the+sample+letter&amp;page_title=SIX+MEN+AT+RISK+OF+EXECUTION+AFTER+GROSSLY+UNFAIR+TRIAL+%5BIran+6.25%5D&amp;page_url_params=utm_source%3Dutm_source%253Dtest_source%2526utm_medium%253Dads&amp;Campaign+Date=01%2F30%2F25&amp;Campaign+Time=17%3A26%3A41&amp;en_txn6=Country%3A+Iran&amp;en_txn7=CaseNumber%3A+6.25+Iran&amp;en_txn8=Topic%3A+Death+Penalty%2C+Freedom+of+Expression%2C+Individuals+At+Risk&amp;en_txn10=YearType%3A+2025%2C+Email&amp;color=%23f26722&amp;height=422</t>
  </si>
  <si>
    <t>CaseNumber: 6.25 Iran</t>
  </si>
  <si>
    <t>https://act.amnestyusa.org/page/153818/petition/1?submit_btn_text=Get+the+sample+letter&amp;page_title=HUMAN+RIGHTS+DEFENDER+ON+HUNGER+STRIKE+%5BSecond+UA+76.24+Tunisia%5D&amp;page_url_params=utm_source%3Dutm_source%253Dtest_source%2526utm_medium%253Dads&amp;Campaign+Date=01%2F31%2F25&amp;Campaign+Time=19%3A55%3A51&amp;en_txn6=Country%3A+Tunisia&amp;en_txn7=CaseNumber%3A+Second+76.24+Tunisia&amp;en_txn8=Topic%3A+Freedom+of+Expression%2C+Human+Rights+Defenders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</si>
  <si>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FATHER+APPEALS+PRISON+TERM&amp;page_url_params=utm_source%3Dutm_source%253Dtest_source%2526utm_medium%253Dads&amp;Campaign+Date=12%2F27%2F24&amp;Campaign+Time=00%3A12%3A12&amp;en_txn6=Country%3A+Egypt&amp;en_txn7=CaseNumber%3A+Third+73.23+Egypt&amp;en_txn8=Topic%3A+Individuals+At+Risk&amp;en_txn10=YearType%3A+2024%2C+Email&amp;color=%23f26722&amp;height=422</t>
  </si>
  <si>
    <t>CaseNumber: Third 73.23 Egypt</t>
  </si>
  <si>
    <t>Topic: Individuals At Risk</t>
  </si>
  <si>
    <t>https://act.amnestyusa.org/page/153818/petition/1?email_text=Thank+you+for+your+support%21&amp;email_cta_text=Take+Action&amp;email_cta_url=https%3A%2F%2Fwww.amnestyusa.org&amp;submit_btn_text=Get+the+sample+letter&amp;page_title=HUMAN+RIGHTS+DEFENDER+IMPRISONED&amp;page_url_params=utm_source%3Dutm_source%253Dtest_source%2526utm_medium%253Dads&amp;Campaign+Date=12%2F27%2F24&amp;Campaign+Time=00%3A12%3A47&amp;en_txn6=Country%3A+Turkiye&amp;en_txn7=CaseNumber%3A+109.24+T%C3%BCrkiye&amp;en_txn8=Topic%3A+Human+Rights+Defenders%2C+Individuals+At+Risk&amp;en_txn10=YearType%3A+2024%2C+Email&amp;color=%23f26722&amp;height=422</t>
  </si>
  <si>
    <t>Country: Turkiye</t>
  </si>
  <si>
    <t>CaseNumber: 109.24 T√ºrkiye</t>
  </si>
  <si>
    <t>https://act.amnestyusa.org/page/153818/petition/1?email_text=Thank+you+for+your+support%21&amp;email_cta_text=Take+Action&amp;email_cta_url=https%3A%2F%2Fwww.amnestyusa.org&amp;submit_btn_text=Get+the+sample+letter&amp;page_title=PROMINENT+HUMAN+RIGHTS+DEFENDER+DETAINED&amp;page_url_params=utm_source%3Dutm_source%253Dtest_source%2526utm_medium%253Dads&amp;Campaign+Date=12%2F27%2F24&amp;Campaign+Time=00%3A13%3A00&amp;en_txn6=Country%3A+Niger&amp;en_txn7=CaseNumber%3A+103.24+Niger&amp;en_txn8=Topic%3A+Freedom+of+Expression%2C+Human+Rights+Defenders&amp;en_txn10=YearType%3A+2024%2C+Email&amp;color=%23f26722&amp;height=422</t>
  </si>
  <si>
    <t>EMS</t>
  </si>
  <si>
    <t>https://donate.amnestyusa.org/page/157642/subscribe/1?_gl=1*1vdnlut*_gcl_au*MTM5NDk5NjU3NS4xNzI1MTI4NTE2&amp;color=%23252525</t>
  </si>
  <si>
    <t>https://donate.amnestyusa.org/page/157648/subscribe/1?chain</t>
  </si>
  <si>
    <t>https://donate.amnestyusa.org/page/157826/subscribe/1?chain</t>
  </si>
  <si>
    <t>https://act.amnestyusa.org/page/153818/petition/1?email_text=Thank+you+for+your+support%21&amp;email_cta_text=Take+Action&amp;email_cta_url=https%3A%2F%2Fwww.amnestyusa.org&amp;submit_btn_text=Get+the+sample+letter&amp;page_title=UNJUSTLY+JAILED+FATHER+APPEALS+PRISON+TERM&amp;page_url_params=utm_source%3Dutm_source%253Dtest_source%2526utm_medium%253Dads&amp;Campaign+Date=01%2F07%2F25&amp;Campaign+Time=15%3A16%3A07&amp;en_txn6=Country%3A+Egypt&amp;en_txn7=CaseNumber%3A+Third+73.23+Egypt&amp;en_txn8=Topic%3A+Individuals+At+Risk&amp;en_txn10=YearType%3A+2024%2C+Email&amp;color=%23f26722&amp;height=422</t>
  </si>
  <si>
    <t>https://act.amnestyusa.org/page/153818/petition/1?submit_btn_text=Get+the+sample+letter&amp;page_title=OLDER+SUFI+SHEIKH+FORCIBLY+DISAPPEARED+FOR+A+YEAR+%5BLibya+12.25%5D&amp;page_url_params=utm_source%3Dutm_source%253Dtest_source%2526utm_medium%253Dads&amp;Campaign+Date=02%2F14%2F25&amp;Campaign+Time=12%3A16%3A40&amp;en_txn6=Country%3A+Libya&amp;en_txn7=CaseNumber%3A+12.25+Libya&amp;en_txn8=Topic%3A+Freedom+of+Expression%2C+Health%2C+Individuals+At+Risk&amp;en_txn10=YearType%3A+2025%2C+Email&amp;color=%23f26722&amp;height=422</t>
  </si>
  <si>
    <t>Country: Libya</t>
  </si>
  <si>
    <t>CaseNumber: 12.25 Libya</t>
  </si>
  <si>
    <t>Topic: Freedom of Expression, Health, Individuals At Risk</t>
  </si>
  <si>
    <t>https://act.amnestyusa.org/page/153818/petition/1?submit_btn_text=Get+the+sample+letter&amp;page_title=PEOPLE+SEEKING+SAFETY+AT+RISK+IN+THE+USA+%5BUSA+4.25%5D&amp;page_url_params=utm_source%3Dutm_source%253Dtest_source%2526utm_medium%253Dads&amp;Campaign+Date=01%2F20%2F25&amp;Campaign+Time=17%3A23%3A31&amp;en_txn6=Country%3A+USA&amp;en_txn7=CaseNumber%3A+4.25+USA&amp;en_txn8=Topic%3A+Individuals+At+Risk%2C+Refugee+and+Migrant+Rights&amp;en_txn10=YearType%3A+2025%2C+Letter&amp;color=%23f26722&amp;height=422</t>
  </si>
  <si>
    <t>cjtraveler@msn.com</t>
  </si>
  <si>
    <t>https://act.amnestyusa.org/page/153818/petition/1?email_text=Thank+you+for+your+support%21&amp;email_cta_text=Take+Action&amp;email_cta_url=https%3A%2F%2Fwww.amnestyusa.org&amp;submit_btn_text=Get+the+sample+letter&amp;page_title=INDIANA%E2%80%99S+FIRST+EXECUTION+IN+15+YEARS+LOOMS&amp;page_url_params=utm_source%3Dutm_source%253Dtest_source%2526utm_medium%253Dads&amp;Campaign+Date=12%2F12%2F24&amp;Campaign+Time=13%3A40%3A02&amp;en_txn6=Country%3A+USA&amp;en_txn7=CaseNumber%3A+105.24+USA&amp;en_txn8=Topic%3A+Death+Penalty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</si>
  <si>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LAWYER%E2%80%99S+HEALTH+AT+RISK&amp;page_url_params=utm_source%3Dutm_source%253Dtest_source%2526utm_medium%253Dads&amp;Campaign+Date=12%2F12%2F24&amp;Campaign+Time=16%3A34%3A32&amp;en_txn6=Country%3A+Egypt&amp;en_txn7=CaseNumber%3A+Ninth+190.18+Egypt&amp;en_txn8=Topic%3A+Freedom+of+Expression%2C+Individuals+At+Risk&amp;en_txn10=YearType%3A+2024%2C+Letter&amp;color=%23f26722&amp;height=422</t>
  </si>
  <si>
    <t>https://donate.amnestyusa.org/page/157642/subscribe/1?_gl=1*1mmmnyt*_gcl_au*NzUzMjA2NDI2LjE3MzcwOTE4OTI.&amp;color=%23000000</t>
  </si>
  <si>
    <t>https://donate.amnestyusa.org/page/157642/subscribe/1?_gl=1*180wzpi*_gcl_au*NzUzMjA2NDI2LjE3MzcwOTE4OTI.&amp;color=%23252525</t>
  </si>
  <si>
    <t>mobile:N~tablet:N~device:APPLE~os:Mac OS X~browser:Chrome 13</t>
  </si>
  <si>
    <t>mobile:Y~tablet:N~device:GOOGLE~os:Android 1.x~browser:Chrome Mobile</t>
  </si>
  <si>
    <t>knowltonew@earthlink.net</t>
  </si>
  <si>
    <t>mobile:N~tablet:N~device:MICROSOFT~os:Windows 10~browser:Firefox 13</t>
  </si>
  <si>
    <t>https://act.amnestyusa.org/page/153818/petition/1?submit_btn_text=Get+the+sample+letter&amp;page_title=HUMAN+RIGHTS+DEFENDER+ON+HUNGER+STRIKE+%5BSecond+UA+76.24+Tunisia%5D&amp;page_url_params=utm_source%3Dutm_source%253Dtest_source%2526utm_medium%253Dads&amp;Campaign+Date=02%2F20%2F25&amp;Campaign+Time=23%3A57%3A49&amp;en_txn6=Country%3A+Tunisia&amp;en_txn7=CaseNumber%3A+Second+76.24+Tunisia&amp;en_txn8=Topic%3A+Freedom+of+Expression%2C+Human+Rights+Defenders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</si>
  <si>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STOP+PERSECUTING+VENEZUELAN+NGO&amp;page_url_params=utm_source%3Dutm_source%253Dtest_source%2526utm_medium%253Dads&amp;Campaign+Date=12%2F12%2F24&amp;Campaign+Time=15%3A27%3A02&amp;en_txn6=Country%3A+Venezuela&amp;en_txn7=CaseNumber%3A+97.24+Venezuela&amp;en_txn8=Topic%3A+Freedom+of+Expression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</si>
  <si>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ISKS+OF+FURTHER+PROTEST-RELATED+EXECUTIONS&amp;page_url_params=utm_source%3Dutm_source%253Dtest_source%2526utm_medium%253Dads&amp;Campaign+Date=01%2F17%2F25&amp;Campaign+Time=18%3A32%3A20&amp;en_txn6=Country%3A+Iran&amp;en_txn7=CaseNumber%3A+Seventh+103.22+Iran&amp;en_txn8=Topic%3A+Death+Penalty%2C+Freedom+of+Expression%2C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</si>
  <si>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INDIANA%E2%80%99S+FIRST+EXECUTION+IN+15+YEARS+LOOMS&amp;page_url_params=utm_source%3Dutm_source%253Dtest_source%2526utm_medium%253Dads&amp;Campaign+Date=12%2F09%2F24&amp;Campaign+Time=07%3A25%3A09&amp;en_txn6=Country%3A+USA&amp;en_txn7=CaseNumber%3A+105.24+USA&amp;en_txn8=Topic%3A+Death+Penalty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</si>
  <si>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STOP+PERSECUTING+VENEZUELAN+NGO&amp;page_url_params=utm_source%3Dutm_source%253Dtest_source%2526utm_medium%253Dads&amp;Campaign+Date=12%2F09%2F24&amp;Campaign+Time=14%3A16%3A47&amp;en_txn6=Country%3A+Venezuela&amp;en_txn7=CaseNumber%3A+97.24+Venezuela&amp;en_txn8=Topic%3A+Freedom+of+Expression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</si>
  <si>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HEALTH+CONCERNS+FOR+JAILED+UYGHUR+MUSICIAN%C2%A0&amp;page_url_params=utm_source%3Dutm_source%253Dtest_source%2526utm_medium%253Dads&amp;Campaign+Date=12%2F09%2F24&amp;Campaign+Time=02%3A25%3A35&amp;en_txn6=Country%3A+China&amp;en_txn7=CaseNumber%3A+98.24+China&amp;en_txn8=Topic%3A+Freedom+of+Expression%2C+Individuals+At+Risk&amp;en_txn10=YearType%3A+2024%2C+Letter&amp;color=%23f26722&amp;height=422</t>
  </si>
  <si>
    <t>test@test.com</t>
  </si>
  <si>
    <t>https://act.amnestyusa.org/page/153818/petition/1?email_text=Thank+you+for+your+support%21&amp;email_cta_text=Take+Action&amp;email_cta_url=https%3A%2F%2Fwww.amnestyusa.org&amp;submit_btn_text=ADD+MY+NAME&amp;page_title=Parent+Page+Title&amp;page_id=99999&amp;page_url_params=utm_source%3Dutm_source%3Dtest_source%26utm_medium%3Dads&amp;color=%23f26722&amp;height=422</t>
  </si>
  <si>
    <t>bevphilpott@gmail.com</t>
  </si>
  <si>
    <t>https://act.amnestyusa.org/page/153818/petition/1?email_text=Thank+you+for+your+support%21&amp;email_cta_text=Take+Action&amp;email_cta_url=https%3A%2F%2Fwww.amnestyusa.org&amp;submit_btn_text=Get+the+sample+letter&amp;page_title=Stop+the+Execution+of+Carey+Grayson&amp;page_url_params=utm_source%3Dutm_source%253Dtest_source%2526utm_medium%253Dads&amp;Campaign+Date=11%2F20%2F24&amp;Campaign+Time=17%3A20%3A57&amp;en_txn6=Country%3A+USA&amp;en_txn7=CaseNumber%3A+96.24+USA&amp;en_txn8=Topic%3A+Death+Penalty&amp;en_txn10=YearType%3A+2024%2C+Email&amp;color=%23f26722&amp;height=422</t>
  </si>
  <si>
    <t>CaseNumber: 96.24 USA</t>
  </si>
  <si>
    <t>https://act.amnestyusa.org/page/153818/petition/1?email_text=Thank+you+for+your+support%21&amp;email_cta_text=Take+Action&amp;email_cta_url=https%3A%2F%2Fwww.amnestyusa.org&amp;submit_btn_text=Get+the+sample+letter&amp;page_title=End+Racist+Deportations+of+Haitians&amp;page_url_params=utm_source%3Dutm_source%253Dtest_source%2526utm_medium%253Dads&amp;Campaign+Date=11%2F20%2F24&amp;Campaign+Time=16%3A08%3A30&amp;en_txn6=Country%3A+Dominican+Republic&amp;en_txn7=CaseNumber%3A+88.24+Dominican+Republic&amp;en_txn8=Topic%3A+Individuals+At+Risk%2C+Refugee+and+Migrant+Rights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</si>
  <si>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ELEASE+JOURNALISTS+ARRESTED+AFTER+COP29&amp;page_url_params=utm_source%3Dutm_source%253Dtest_source%2526utm_medium%253Dads&amp;Campaign+Date=01%2F17%2F25&amp;Campaign+Time=16%3A20%3A05&amp;en_txn6=Country%3A+Azerbaijan&amp;en_txn7=CaseNumber%3A+2.25+Azerbaijan&amp;en_txn8=Topic%3A+Freedom+of+Expression%2C+Human+Rights+Defenders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</si>
  <si>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HEALTH+CONCERNS+FOR+JAILED+UYGHUR+MUSICIAN%C2%A0&amp;page_url_params=utm_source%3Dutm_source%253Dtest_source%2526utm_medium%253Dads&amp;Campaign+Date=12%2F12%2F24&amp;Campaign+Time=20%3A43%3A59&amp;en_txn6=Country%3A+China&amp;en_txn7=CaseNumber%3A+98.24+China&amp;en_txn8=Topic%3A+Freedom+of+Expression%2C+Individuals+At+Risk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</si>
  <si>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PROMINENT+HUMAN+RIGHTS+DEFENDER+DETAINED&amp;page_url_params=utm_source%3Dutm_source%253Dtest_source%2526utm_medium%253Dads&amp;Campaign+Date=01%2F17%2F25&amp;Campaign+Time=19%3A02%3A05&amp;en_txn6=Country%3A+Niger&amp;en_txn7=CaseNumber%3A+103.24+Niger&amp;en_txn8=Topic%3A+Freedom+of+Expression%2C+Human+Rights+Defenders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</si>
  <si>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INDIANA%E2%80%99S+FIRST+EXECUTION+IN+15+YEARS+LOOMS&amp;page_url_params=utm_source%3Dutm_source%253Dtest_source%2526utm_medium%253Dads&amp;Campaign+Date=12%2F11%2F24&amp;Campaign+Time=06%3A51%3A26&amp;en_txn6=Country%3A+USA&amp;en_txn7=CaseNumber%3A+105.24+USA&amp;en_txn8=Topic%3A+Death+Penalty&amp;en_txn10=YearType%3A+2024%2C+Email&amp;color=%23f26722&amp;height=422</t>
  </si>
  <si>
    <t>https://act.amnestyusa.org/page/153818/petition/1?submit_btn_text=Get+the+sample+letter&amp;page_title=HUMAN+RIGHTS+DEFENDER+ON+HUNGER+STRIKE+%5BSecond+UA+76.24+Tunisia%5D&amp;page_url_params=utm_source%3Dutm_source%253Dtest_source%2526utm_medium%253Dads&amp;Campaign+Date=02%2F06%2F25&amp;Campaign+Time=13%3A36%3A35&amp;en_txn6=Country%3A+Tunisia&amp;en_txn7=CaseNumber%3A+Second+76.24+Tunisia&amp;en_txn8=Topic%3A+Freedom+of+Expression%2C+Human+Rights+Defenders&amp;en_txn10=YearType%3A+2025%2C+Email&amp;color=%23f26722&amp;height=422</t>
  </si>
  <si>
    <t>mobile:Y~tablet:N~device:APPLE~os:Mac OS X (iPhone)~browser:Firefox Mobile (iOS)</t>
  </si>
  <si>
    <t>https://act.amnestyusa.org/page/153818/petition/1?email_text=Thank+you+for+taking+action+on+PEOPLE+SEEKING+SAFETY+AT+RISK+IN+THE+USA+%5BUSA+4.25%5D.&amp;email_cta_text=VIEW+MORE+URGENT+ACTIONS&amp;email_cta_url=https%3A%2F%2Fwww.amnestyusa.org%2Fget-involved%2Fgrassroots-activism%2Furgent-action-network%2Factions%2F%3Fstatus%3Dactive%26fyear%3D2025%26sortby%3Dnewest%26pg%3D1&amp;submit_btn_text=Get+the+sample+letter&amp;page_title=PEOPLE+SEEKING+SAFETY+AT+RISK+IN+THE+USA+%5BUSA+4.25%5D&amp;page_url_params=utm_source%3Dutm_source%253Dtest_source%2526utm_medium%253Dads&amp;Campaign+Date=01%2F20%2F25&amp;Campaign+Time=21%3A37%3A03&amp;en_txn6=Country%3A+USA&amp;en_txn7=CaseNumber%3A+4.25+USA&amp;en_txn8=Topic%3A+Individuals+At+Risk%2C+Refugee+and+Migrant+Rights&amp;en_txn10=YearType%3A+2025%2C+Letter&amp;color=%23f26722&amp;height=422</t>
  </si>
  <si>
    <t>https://act.amnestyusa.org/page/153818/petition/1?submit_btn_text=Get+the+sample+letter&amp;page_title=RELEASE+JOURNALISTS+ARRESTED+AFTER+COP29&amp;page_url_params=utm_source%3Dutm_source%253Dtest_source%2526utm_medium%253Dads&amp;Campaign+Date=01%2F28%2F25&amp;Campaign+Time=18%3A49%3A36&amp;en_txn6=Country%3A+Azerbaijan&amp;en_txn7=CaseNumber%3A+2.25+Azerbaijan&amp;en_txn8=Topic%3A+Freedom+of+Expression%2C+Human+Rights+Defenders&amp;en_txn10=YearType%3A+2025%2C+Email&amp;color=%23f26722&amp;height=422</t>
  </si>
  <si>
    <t>mobile:N~tablet:N~device:MICROSOFT~os:Windows 10~browser:Chrome 12</t>
  </si>
  <si>
    <t>https://act.amnestyusa.org/page/153818/petition/1?submit_btn_text=Get+the+sample+letter&amp;page_title=PEOPLE+SEEKING+SAFETY+AT+RISK+IN+THE+USA+%5BUSA+4.25%5D&amp;page_url_params=utm_source%3Dutm_source%253Dtest_source%2526utm_medium%253Dads&amp;Campaign+Date=01%2F28%2F25&amp;Campaign+Time=19%3A03%3A15&amp;en_txn6=Country%3A+USA&amp;en_txn7=CaseNumber%3A+4.25+USA&amp;en_txn8=Topic%3A+Individuals+At+Risk%2C+Refugee+and+Migrant+Rights&amp;en_txn10=YearType%3A+2025%2C+Letter&amp;color=%23f26722&amp;height=422</t>
  </si>
  <si>
    <t>rsaulnier@hotmail.com</t>
  </si>
  <si>
    <t>isis1567@aol.com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</si>
  <si>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17%2F25&amp;Campaign+Time=00%3A18%3A16&amp;en_txn6=Country%3A+Israel+and+Occupied+Palestinian+Territories&amp;en_txn7=CaseNumber%3A+3.25+IOPT&amp;en_txn8=Topic%3A+Freedom+of+Expression%2C+Individuals+At+Risk&amp;en_txn10=YearType%3A+2025%2C+Email&amp;color=%23f26722&amp;height=422</t>
  </si>
  <si>
    <t>https://donate.amnestyusa.org/page/157642/subscribe/1?color=%23252525</t>
  </si>
  <si>
    <t>karencoulterperkins@gmail.com</t>
  </si>
  <si>
    <t>brummie2004@yahoo.com</t>
  </si>
  <si>
    <t>https://act.amnestyusa.org/page/153818/petition/1?email_text=Thank+you+for+your+support%21&amp;email_cta_text=Take+Action&amp;email_cta_url=https%3A%2F%2Fwww.amnestyusa.org&amp;submit_btn_text=Get+the+sample+letter&amp;page_title=PROMINENT+HUMAN+RIGHTS+DEFENDER+DETAINED&amp;page_url_params=utm_source%3Dutm_source%253Dtest_source%2526utm_medium%253Dads&amp;Campaign+Date=01%2F17%2F25&amp;Campaign+Time=19%3A01%3A20&amp;en_txn6=Country%3A+Niger&amp;en_txn7=CaseNumber%3A+103.24+Niger&amp;en_txn8=Topic%3A+Freedom+of+Expression%2C+Human+Rights+Defenders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</si>
  <si>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LAWYER%E2%80%99S+HEALTH+AT+RISK&amp;page_url_params=utm_source%3Dutm_source%253Dtest_source%2526utm_medium%253Dads&amp;Campaign+Date=12%2F10%2F24&amp;Campaign+Time=16%3A07%3A26&amp;en_txn6=Country%3A+Egypt&amp;en_txn7=CaseNumber%3A+Ninth+190.18+Egypt&amp;en_txn8=Topic%3A+Freedom+of+Expression%2C+Individuals+At+Risk&amp;en_txn10=YearType%3A+2024%2C+Letter&amp;color=%23f26722&amp;height=422</t>
  </si>
  <si>
    <t>https://act.amnestyusa.org/page/153818/petition/1?submit_btn_text=Get+the+sample+letter&amp;page_title=KURDISH+DISSIDENT+SENTENCED+TO+DEATH+IN+IRAN&amp;page_url_params=utm_source%3Dutm_source%253Dtest_source%2526utm_medium%253Dads&amp;Campaign+Date=02%2F03%2F25&amp;Campaign+Time=21%3A18%3A24&amp;en_txn6=Country%3A+Iran&amp;en_txn7=CaseNumber%3A+101.24+Iran&amp;en_txn8=Topic%3A+Death+Penalty%2C+Freedom+of+Expression%2C+Individuals+At+Risk%2C+Right+to+Protest&amp;en_txn10=YearType%3A+2024%2C+Email&amp;color=%23f26722&amp;height=422</t>
  </si>
  <si>
    <t>CaseNumber: 101.24 Iran</t>
  </si>
  <si>
    <t>Topic: Death Penalty, Freedom of Expression, Individuals At Risk, Right to Protest</t>
  </si>
  <si>
    <t>https://act.amnestyusa.org/page/153818/petition/1?email_text=Thank+you+for+your+support%21&amp;email_cta_text=Take+Action&amp;email_cta_url=https%3A%2F%2Fwww.amnestyusa.org&amp;submit_btn_text=Get+the+sample+letter&amp;page_title=RELEASE+PAEDIATRICIAN+AND+HOSPITAL+DIRECTOR&amp;page_url_params=utm_source%3Dutm_source%253Dtest_source%2526utm_medium%253Dads&amp;Campaign+Date=01%2F14%2F25&amp;Campaign+Time=22%3A03%3A18&amp;en_txn6=Country%3A+Israel+and+Occupied+Palestinian+Territories&amp;en_txn7=CaseNumber%3A+3.25+IOPT&amp;en_txn8=Topic%3A+Freedom+of+Expression%2C+Individuals+At+Risk&amp;en_txn10=YearType%3A+2025%2C+Email&amp;color=%23f26722&amp;height=422&amp;fbclid=IwY2xjawH1KcVleHRuA2FlbQIxMAABHQdvivsA8sRCIozGFBHTZ8QEUI46jAKF7cvm3CP7dvSlQxbmmdOT7LZyQQ_aem_awLDZ-Ljsf8VAHCxG8ubrg</t>
  </si>
  <si>
    <t>scorpioncastle20002000@yahoo.com</t>
  </si>
  <si>
    <t>https://act.amnestyusa.org/page/153818/petition/1?submit_btn_text=Get+the+sample+letter&amp;page_title=PROMINENT+JOURNALIST+ARBITRARILY+DETAINED+%5BTunisia+8.25%5D&amp;page_url_params=utm_source%3Dutm_source%253Dtest_source%2526utm_medium%253Dads&amp;Campaign+Date=02%2F06%2F25&amp;Campaign+Time=04%3A06%3A03&amp;en_txn6=Country%3A+Tunisia&amp;en_txn7=CaseNumber%3A+8.25+Tunisia&amp;en_txn8=Topic%3A+Freedom+of+Expression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</si>
  <si>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INDIANA%E2%80%99S+FIRST+EXECUTION+IN+15+YEARS+LOOMS&amp;page_url_params=utm_source%3Dutm_source%253Dtest_source%2526utm_medium%253Dads&amp;Campaign+Date=12%2F08%2F24&amp;Campaign+Time=18%3A35%3A27&amp;en_txn6=Country%3A+USA&amp;en_txn7=CaseNumber%3A+105.24+USA&amp;en_txn8=Topic%3A+Death+Penalty&amp;en_txn10=YearType%3A+2024%2C+Email&amp;color=%23f26722&amp;height=422</t>
  </si>
  <si>
    <t>https://act.amnestyusa.org/page/153818/petition/1?submit_btn_text=Get+the+sample+letter&amp;page_title=HUMAN+RIGHTS+DEFENDER+ON+HUNGER+STRIKE+%5BSecond+UA+76.24+Tunisia%5D&amp;page_url_params=utm_source%3Dutm_source%253Dtest_source%2526utm_medium%253Dads&amp;Campaign+Date=02%2F01%2F25&amp;Campaign+Time=06%3A43%3A19&amp;en_txn6=Country%3A+Tunisia&amp;en_txn7=CaseNumber%3A+Second+76.24+Tunisia&amp;en_txn8=Topic%3A+Freedom+of+Expression%2C+Human+Rights+Defenders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</si>
  <si>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HEALTH+CONCERNS+FOR+JAILED+UYGHUR+MUSICIAN%C2%A0&amp;page_url_params=utm_source%3Dutm_source%253Dtest_source%2526utm_medium%253Dads&amp;Campaign+Date=12%2F09%2F24&amp;Campaign+Time=07%3A23%3A59&amp;en_txn6=Country%3A+China&amp;en_txn7=CaseNumber%3A+98.24+China&amp;en_txn8=Topic%3A+Freedom+of+Expression%2C+Individuals+At+Risk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</si>
  <si>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KURDISH+DISSIDENT+SENTENCED+TO+DEATH+IN+IRAN&amp;page_url_params=utm_source%3Dutm_source%253Dtest_source%2526utm_medium%253Dads&amp;Campaign+Date=12%2F09%2F24&amp;Campaign+Time=22%3A00%3A50&amp;en_txn6=Country%3A+Iran&amp;en_txn7=CaseNumber%3A+101.24+Iran&amp;en_txn8=Topic%3A+Death+Penalty%2C+Freedom+of+Expression%2C+Individuals+At+Risk%2C+Right+to+Protest&amp;en_txn10=YearType%3A+2024%2C+Email&amp;color=%23f26722&amp;height=422</t>
  </si>
  <si>
    <t>https://act.amnestyusa.org/page/153818/petition/1?submit_btn_text=Get+the+sample+letter&amp;page_title=SIX+MEN+AT+RISK+OF+EXECUTION+AFTER+GROSSLY+UNFAIR+TRIAL+%5BIran+6.25%5D&amp;page_url_params=utm_source%3Dutm_source%253Dtest_source%2526utm_medium%253Dads&amp;Campaign+Date=01%2F30%2F25&amp;Campaign+Time=15%3A46%3A46&amp;en_txn6=Country%3A+Iran&amp;en_txn7=CaseNumber%3A+6.25+Iran&amp;en_txn8=Topic%3A+Death+Penalty%2C+Freedom+of+Expression%2C+Individuals+At+Risk&amp;en_txn10=YearType%3A+2025%2C+Email&amp;color=%23f26722&amp;height=422</t>
  </si>
  <si>
    <t>https://act.amnestyusa.org/page/153818/petition/1?submit_btn_text=Get+the+sample+letter&amp;page_title=FREE+IMPRISONED+HUMAN+RIGHTS+DEFENDER&amp;page_url_params=utm_source%3Dutm_source%253Dtest_source%2526utm_medium%253Dads&amp;Campaign+Date=02%2F01%2F25&amp;Campaign+Time=19%3A50%3A48&amp;en_txn6=Country%3A+Turkiye&amp;en_txn7=CaseNumber%3A+Second+109.24+T%C3%BCrkiye&amp;en_txn8=Topic%3A+Human+Rights+Defenders&amp;en_txn10=YearType%3A+2025%2C+Email&amp;color=%23f26722&amp;height=422</t>
  </si>
  <si>
    <t>CaseNumber: Second 109.24 T√ºrkiye</t>
  </si>
  <si>
    <t>Topic: Human Rights Defenders</t>
  </si>
  <si>
    <t>https://act.amnestyusa.org/page/153818/petition/1?submit_btn_text=Get+the+sample+letter&amp;page_title=PROTECT+DEFENDERS+FROM+ARMED+GROUPS+%5BColombia+Third+UA+12.24%5D&amp;page_url_params=utm_source%3Dutm_source%253Dtest_source%2526utm_medium%253Dads&amp;Campaign+Date=02%2F03%2F25&amp;Campaign+Time=01%3A34%3A29&amp;en_txn6=Country%3A+Colombia&amp;en_txn7=CaseNumber%3A+Third+12.24+Colombia&amp;en_txn8=Topic%3A+Human+Rights+Defenders%2C+Individuals+At+Risk&amp;en_txn10=YearType%3A+2025%2C+Email&amp;color=%23f26722&amp;height=422</t>
  </si>
  <si>
    <t>https://act.amnestyusa.org/page/153818/petition/1?submit_btn_text=Get+the+sample+letter&amp;page_title=MALAYSIAN+MAN+BELIEVED+AT+RISK+OF+EXECUTION%C2%A0&amp;page_url_params=utm_source%3Dutm_source%253Dtest_source%2526utm_medium%253Dads&amp;Campaign+Date=02%2F04%2F25&amp;Campaign+Time=08%3A07%3A58&amp;en_txn6=Country%3A+Singapore&amp;en_txn7=CaseNumber%3A+107.24+Singapore&amp;en_txn8=Topic%3A+Death+Penalty&amp;en_txn10=YearType%3A+2024%2C+Email&amp;color=%23f26722&amp;height=422</t>
  </si>
  <si>
    <t>Country: Singapore</t>
  </si>
  <si>
    <t>CaseNumber: 107.24 Singapore</t>
  </si>
  <si>
    <t>https://act.amnestyusa.org/page/153818/petition/1?email_text=Thank+you+for+your+support%21&amp;email_cta_text=Take+Action&amp;email_cta_url=https%3A%2F%2Fwww.amnestyusa.org&amp;submit_btn_text=Get+the+sample+letter&amp;page_title=End+Racist+Deportations+of+Haitians&amp;page_url_params=utm_source%3Dutm_source%253Dtest_source%2526utm_medium%253Dads&amp;Campaign+Date=12%2F10%2F24&amp;Campaign+Time=16%3A55%3A26&amp;en_txn6=Country%3A+Dominican+Republic&amp;en_txn7=CaseNumber%3A+88.24+Dominican+Republic&amp;en_txn8=Topic%3A+Individuals+At+Risk%2C+Refugee+and+Migrant+Rights&amp;en_txn10=YearType%3A+2024%2C+Letter&amp;color=%23f26722&amp;height=422</t>
  </si>
  <si>
    <t>mobile:N~tablet:N~device:APPLE~os:Mac OS X~browser:Firefox 13</t>
  </si>
  <si>
    <t>https://act.amnestyusa.org/</t>
  </si>
  <si>
    <t>https://act.amnestyusa.org/page/153818/petition/1?submit_btn_text=Get+the+sample+letter&amp;page_title=PEOPLE+SEEKING+SAFETY+AT+RISK+IN+THE+USA+%5BUSA+4.25%5D&amp;page_url_params=utm_source%3Dutm_source%253Dtest_source%2526utm_medium%253Dads&amp;Campaign+Date=01%2F20%2F25&amp;Campaign+Time=17%3A22%3A24&amp;en_txn6=Country%3A+USA&amp;en_txn7=CaseNumber%3A+4.25+USA&amp;en_txn8=Topic%3A+Individuals+At+Risk%2C+Refugee+and+Migrant+Rights&amp;en_txn10=YearType%3A+2025%2C+Letter&amp;color=%23f26722&amp;height=422</t>
  </si>
  <si>
    <t>https://act.amnestyusa.org/page/153818/petition/1?submit_btn_text=Get+the+sample+letter&amp;page_title=PEOPLE+SEEKING+SAFETY+AT+RISK+IN+THE+USA+%5BUSA+4.25%5D&amp;page_url_params=utm_source%3Dutm_source%253Dtest_source%2526utm_medium%253Dads&amp;Campaign+Date=01%2F20%2F25&amp;Campaign+Time=17%3A23%3A07&amp;en_txn6=Country%3A+USA&amp;en_txn7=CaseNumber%3A+4.25+USA&amp;en_txn8=Topic%3A+Individuals+At+Risk%2C+Refugee+and+Migrant+Rights&amp;en_txn10=YearType%3A+2025%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</si>
  <si>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MALAYSIAN+MAN+BELIEVED+AT+RISK+OF+EXECUTION%C2%A0&amp;page_url_params=utm_source%3Dutm_source%253Dtest_source%2526utm_medium%253Dads&amp;Campaign+Date=12%2F20%2F24&amp;Campaign+Time=00%3A43%3A52&amp;en_txn6=Country%3A+Singapore&amp;en_txn7=CaseNumber%3A+107.24+Singapore&amp;en_txn8=Topic%3A+Death+Penalty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</si>
  <si>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End+Racist+Deportations+of+Haitians&amp;page_url_params=utm_source%3Dutm_source%253Dtest_source%2526utm_medium%253Dads&amp;Campaign+Date=11%2F15%2F24&amp;Campaign+Time=17%3A46%3A05&amp;Country=Dominican+Republic&amp;CaseNumber=88.24+Dominican+Republic&amp;YearType=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</si>
  <si>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End+Racist+Deportations+of+Haitians&amp;page_url_params=utm_source%3Dutm_source%253Dtest_source%2526utm_medium%253Dads&amp;Campaign+Date=11%2F15%2F24&amp;Campaign+Time=17%3A53%3A55&amp;Country=Dominican+Republic&amp;CaseNumber=88.24+Dominican+Republic&amp;YearType=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</si>
  <si>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End+Racist+Deportations+of+Haitians&amp;page_url_params=utm_source%3Dutm_source%253Dtest_source%2526utm_medium%253Dads&amp;Campaign+Date=11%2F15%2F24&amp;Campaign+Time=18%3A04%3A08&amp;Country=Dominican+Republic&amp;CaseNumber=88.24+Dominican+Republic&amp;YearType=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</si>
  <si>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Stop+the+Execution+of+Carey+Grayson&amp;page_url_params=utm_source%3Dutm_source%253Dtest_source%2526utm_medium%253Dads&amp;Campaign+Date=11%2F15%2F24&amp;Campaign+Time=18%3A23%3A38&amp;Country=USA&amp;CaseNumber=96.24+USA&amp;YearType=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</si>
  <si>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Stop+the+Execution+of+Carey+Grayson&amp;page_url_params=utm_source%3Dutm_source%253Dtest_source%2526utm_medium%253Dads&amp;Campaign+Date=11%2F20%2F24&amp;Campaign+Time=15%3A28%3A22&amp;en_txn6=Country%3A+USA&amp;en_txn7=CaseNumber%3A+96.24+USA&amp;en_txn8=Topic%3A+Death+Penalty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</si>
  <si>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LAWYER%E2%80%99S+HEALTH+AT+RISK&amp;page_url_params=utm_source%3Dutm_source%253Dtest_source%2526utm_medium%253Dads&amp;Campaign+Date=11%2F21%2F24&amp;Campaign+Time=12%3A37%3A13&amp;en_txn6=Country%3A+Egypt&amp;en_txn7=CaseNumber%3A+Ninth+190.18+Egypt&amp;en_txn8=Topic%3A+Freedom+of+Expression%2C+Individuals+At+Risk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</si>
  <si>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End+Racist+Deportations+of+Haitians&amp;page_url_params=utm_source%3Dutm_source%253Dtest_source%2526utm_medium%253Dads&amp;Campaign+Date=11%2F21%2F24&amp;Campaign+Time=16%3A45%3A41&amp;en_txn6=Country%3A+Dominican+Republic&amp;en_txn7=CaseNumber%3A+88.24+Dominican+Republic&amp;en_txn8=Topic%3A+Individuals+At+Risk%2C+Refugee+and+Migrant+Rights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</si>
  <si>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INDIANA%E2%80%99S+FIRST+EXECUTION+IN+15+YEARS+LOOMS&amp;page_url_params=utm_source%3Dutm_source%253Dtest_source%2526utm_medium%253Dads&amp;Campaign+Date=12%2F06%2F24&amp;Campaign+Time=18%3A33%3A52&amp;en_txn6=Country%3A+USA&amp;en_txn7=CaseNumber%3A+105.24+USA&amp;en_txn8=Topic%3A+Death+Penalty&amp;en_txn10=YearType%3A+2024%2C+Email&amp;color=%23f26722&amp;height=422</t>
  </si>
  <si>
    <t>https://act.amnestyusa.org/page/153818/petition/1?submit_btn_text=Get+the+sample+letter&amp;page_title=PEOPLE+SEEKING+SAFETY+AT+RISK+IN+THE+USA+%5BUSA+4.25%5D&amp;page_url_params=utm_source%3Dutm_source%253Dtest_source%2526utm_medium%253Dads&amp;Campaign+Date=01%2F20%2F25&amp;Campaign+Time=17%3A21%3A29&amp;en_txn6=Country%3A+USA&amp;en_txn7=CaseNumber%3A+4.25+USA&amp;en_txn8=Topic%3A+Individuals+At+Risk%2C+Refugee+and+Migrant+Rights&amp;en_txn10=YearType%3A+2025%2C+Letter&amp;color=%23f26722&amp;height=422</t>
  </si>
  <si>
    <t>https://act.amnestyusa.org/page/153818/petition/1?submit_btn_text=Get+the+sample+letter&amp;page_title=PEOPLE+SEEKING+SAFETY+AT+RISK+IN+THE+USA+%5BUSA+4.25%5D&amp;page_url_params=utm_source%3Dutm_source%253Dtest_source%2526utm_medium%253Dads&amp;Campaign+Date=01%2F20%2F25&amp;Campaign+Time=17%3A19%3A33&amp;en_txn6=Country%3A+USA&amp;en_txn7=CaseNumber%3A+4.25+USA&amp;en_txn8=Topic%3A+Individuals+At+Risk%2C+Refugee+and+Migrant+Rights&amp;en_txn10=YearType%3A+2025%2C+Letter&amp;color=%23f26722&amp;height=422</t>
  </si>
  <si>
    <t>https://act.amnestyusa.org/page/153818/petition/1?submit_btn_text=Get+the+sample+letter&amp;page_title=PEOPLE+SEEKING+SAFETY+AT+RISK+IN+THE+USA+%5BUSA+4.25%5D&amp;page_url_params=utm_source%3Dutm_source%253Dtest_source%2526utm_medium%253Dads&amp;Campaign+Date=01%2F20%2F25&amp;Campaign+Time=17%3A18%3A45&amp;en_txn6=Country%3A+USA&amp;en_txn7=CaseNumber%3A+4.25+USA&amp;en_txn8=Topic%3A+Individuals+At+Risk%2C+Refugee+and+Migrant+Rights&amp;en_txn10=YearType%3A+2025%2C+Letter&amp;color=%23f26722&amp;height=422</t>
  </si>
  <si>
    <t>https://act.amnestyusa.org/page/153818/petition/1?submit_btn_text=Get+the+sample+letter&amp;page_title=PEOPLE+SEEKING+SAFETY+AT+RISK+IN+THE+USA+%5BUSA+4.25%5D&amp;page_url_params=utm_source%3Dutm_source%253Dtest_source%2526utm_medium%253Dads&amp;Campaign+Date=01%2F20%2F25&amp;Campaign+Time=17%3A15%3A52&amp;en_txn6=Country%3A+USA&amp;en_txn7=CaseNumber%3A+4.25+USA&amp;en_txn8=Topic%3A+Individuals+At+Risk%2C+Refugee+and+Migrant+Rights&amp;en_txn10=YearType%3A+2025%2C+Letter&amp;color=%23f26722&amp;height=422</t>
  </si>
  <si>
    <t>https://act.amnestyusa.org/page/153818/petition/1?submit_btn_text=Get+the+sample+letter&amp;page_title=RELEASE+PEDIATRICIAN+AND+HOSPITAL+DIRECTOR+%5BIOPT+3.25%5D&amp;page_url_params=utm_source%3Dutm_source%253Dtest_source%2526utm_medium%253Dads&amp;Campaign+Date=01%2F20%2F25&amp;Campaign+Time=17%3A10%3A52&amp;en_txn6=Country%3A+Israel+and+Occupied+Palestinian+Territories&amp;en_txn7=CaseNumber%3A+3.25+IOPT&amp;en_txn8=Topic%3A+Freedom+of+Expression%2C+Individuals+At+Risk&amp;en_txn10=YearType%3A+2025%2C+Email&amp;color=%23f26722&amp;height=422</t>
  </si>
  <si>
    <t>https://act.amnestyusa.org/page/153818/petition/1?submit_btn_text=Get+the+sample+letter&amp;page_title=PEOPLE+SEEKING+SAFETY+AT+RISK+IN+THE+USA+%5BUSA+4.25%5D&amp;page_url_params=utm_source%3Dutm_source%253Dtest_source%2526utm_medium%253Dads&amp;Campaign+Date=01%2F20%2F25&amp;Campaign+Time=17%3A08%3A33&amp;en_txn6=Country%3A+USA&amp;en_txn7=CaseNumber%3A+4.25+USA&amp;en_txn8=Topic%3A+Individuals+At+Risk%2C+Refugee+and+Migrant+Rights&amp;en_txn10=YearType%3A+2025%2C+Letter&amp;color=%23f26722&amp;height=422</t>
  </si>
  <si>
    <t>https://act.amnestyusa.org/page/153818/petition/1?submit_btn_text=Get+the+sample+letter&amp;page_title=PEOPLE+SEEKING+SAFETY+AT+RISK+IN+THE+USA+%5BUSA+4.25%5D&amp;page_url_params=utm_source%3Dutm_source%253Dtest_source%2526utm_medium%253Dads&amp;Campaign+Date=01%2F20%2F25&amp;Campaign+Time=17%3A05%3A55&amp;en_txn6=Country%3A+USA&amp;en_txn7=CaseNumber%3A+4.25+USA&amp;en_txn8=Topic%3A+Individuals+At+Risk%2C+Refugee+and+Migrant+Rights&amp;en_txn10=YearType%3A+2025%2C+Letter&amp;color=%23f26722&amp;height=422</t>
  </si>
  <si>
    <t>https://act.amnestyusa.org/page/153818/petition/1?val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</si>
  <si>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17%2F25&amp;Campaign+Time=19%3A35%3A41&amp;en_txn6=Country%3A+Israel+and+Occupied+Palestinian+Territories&amp;en_txn7=CaseNumber%3A+3.25+IOPT&amp;en_txn8=Topic%3A+Freedom+of+Expression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</si>
  <si>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17%2F25&amp;Campaign+Time=19%3A26%3A14&amp;en_txn6=Country%3A+Israel+and+Occupied+Palestinian+Territories&amp;en_txn7=CaseNumber%3A+3.25+IOPT&amp;en_txn8=Topic%3A+Freedom+of+Expression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</si>
  <si>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16%2F25&amp;Campaign+Time=18%3A20%3A02&amp;en_txn6=Country%3A+Israel+and+Occupied+Palestinian+Territories&amp;en_txn7=CaseNumber%3A+3.25+IOPT&amp;en_txn8=Topic%3A+Freedom+of+Expression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</si>
  <si>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16%2F25&amp;Campaign+Time=15%3A36%3A52&amp;en_txn6=Country%3A+Israel+and+Occupied+Palestinian+Territories&amp;en_txn7=CaseNumber%3A+3.25+IOPT&amp;en_txn8=Topic%3A+Freedom+of+Expression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</si>
  <si>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15%2F25&amp;Campaign+Time=19%3A59%3A05&amp;en_txn6=Country%3A+Israel+and+Occupied+Palestinian+Territories&amp;en_txn7=CaseNumber%3A+3.25+IOPT&amp;en_txn8=Topic%3A+Freedom+of+Expression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</si>
  <si>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ELEASE+PAEDIATRICIAN+AND+HOSPITAL+DIRECTOR&amp;page_url_params=utm_source%3Dutm_source%253Dtest_source%2526utm_medium%253Dads&amp;Campaign+Date=01%2F14%2F25&amp;Campaign+Time=22%3A07%3A11&amp;en_txn6=Country%3A+Israel+and+Occupied+Palestinian+Territories&amp;en_txn7=CaseNumber%3A+3.25+IOPT&amp;en_txn8=Topic%3A+Freedom+of+Expression%2C+Individuals+At+Risk&amp;en_txn10=YearType%3A+2025%2C+Email&amp;color=%23f26722&amp;height=422</t>
  </si>
  <si>
    <t>https://act.amnestyusa.org/page/153818/petition/1?email_text=Thank+you+for+taking+action+on+PEOPLE+SEEKING+SAFETY+AT+RISK+IN+THE+USA+%5BUSA+4.25%5D.&amp;email_cta_text=VIEW+MORE+URGENT+ACTIONS&amp;email_cta_url=https%3A%2F%2Fwww.amnestyusa.org%2Fget-involved%2Fgrassroots-activism%2Furgent-action-network%2Factions%2F%3Fstatus%3Dactive%26fyear%3D2025%26sortby%3Dnewest%26pg%3D1&amp;submit_btn_text=Get+the+sample+letter&amp;page_title=PEOPLE+SEEKING+SAFETY+AT+RISK+IN+THE+USA+%5BUSA+4.25%5D&amp;page_url_params=utm_source%3Dutm_source%253Dtest_source%2526utm_medium%253Dads&amp;Campaign+Date=01%2F21%2F25&amp;Campaign+Time=16%3A16%3A09&amp;en_txn6=Country%3A+USA&amp;en_txn7=CaseNumber%3A+4.25+USA&amp;en_txn8=Topic%3A+Individuals+At+Risk%2C+Refugee+and+Migrant+Rights&amp;en_txn10=YearType%3A+2025%2C+Letter&amp;color=%23f26722&amp;height=422</t>
  </si>
  <si>
    <t>https://act.amnestyusa.org/page/153818/petition/1?email_text=Thank+you+for+taking+action+on+PEOPLE+SEEKING+SAFETY+AT+RISK+IN+THE+USA+%5BUSA+4.25%5D.&amp;email_cta_text=VIEW+MORE+URGENT+ACTIONS&amp;email_cta_url=https%3A%2F%2Fwww.amnestyusa.org%2Fget-involved%2Fgrassroots-activism%2Furgent-action-network%2Factions%2F%3Fstatus%3Dactive%26fyear%3D2025%26sortby%3Dnewest%26pg%3D1&amp;submit_btn_text=Get+the+sample+letter&amp;page_title=PEOPLE+SEEKING+SAFETY+AT+RISK+IN+THE+USA+%5BUSA+4.25%5D&amp;page_url_params=utm_source%3Dutm_source%253Dtest_source%2526utm_medium%253Dads&amp;Campaign+Date=01%2F20%2F25&amp;Campaign+Time=23%3A08%3A13&amp;en_txn6=Country%3A+USA&amp;en_txn7=CaseNumber%3A+4.25+USA&amp;en_txn8=Topic%3A+Individuals+At+Risk%2C+Refugee+and+Migrant+Rights&amp;en_txn10=YearType%3A+2025%2C+Letter&amp;color=%23f26722&amp;height=422</t>
  </si>
  <si>
    <t>https://act.amnestyusa.org/page/153818/petition/1?submit_btn_text=Get+the+sample+letter&amp;page_title=PEOPLE+SEEKING+SAFETY+AT+RISK+IN+THE+USA+%5BUSA+4.25%5D&amp;page_url_params=utm_source%3Dutm_source%253Dtest_source%2526utm_medium%253Dads&amp;Campaign+Date=01%2F20%2F25&amp;Campaign+Time=18%3A05%3A20&amp;en_txn6=Country%3A+USA&amp;en_txn7=CaseNumber%3A+4.25+USA&amp;en_txn8=Topic%3A+Individuals+At+Risk%2C+Refugee+and+Migrant+Rights&amp;en_txn10=YearType%3A+2025%2C+Letter&amp;color=%23f26722&amp;height=422</t>
  </si>
  <si>
    <t>https://act.amnestyusa.org/page/153818/petition/1?submit_btn_text=Get+the+sample+letter&amp;page_title=PEOPLE+SEEKING+SAFETY+AT+RISK+IN+THE+USA+%5BUSA+4.25%5D&amp;page_url_params=utm_source%3Dutm_source%253Dtest_source%2526utm_medium%253Dads&amp;Campaign+Date=01%2F20%2F25&amp;Campaign+Time=17%3A42%3A34&amp;en_txn6=Country%3A+USA&amp;en_txn7=CaseNumber%3A+4.25+USA&amp;en_txn8=Topic%3A+Individuals+At+Risk%2C+Refugee+and+Migrant+Rights&amp;en_txn10=YearType%3A+2025%2C+Letter&amp;color=%23f26722&amp;height=422</t>
  </si>
  <si>
    <t>https://act.amnestyusa.org/page/153818/petition/1?submit_btn_text=Get+the+sample+letter&amp;page_title=MILITARY+COURT+CONVICTS+HUMAN+RIGHTS+LAWYER+%5BUganda+9.24%5D&amp;page_url_params=utm_source%3Dutm_source%253Dtest_source%2526utm_medium%253Dads&amp;Campaign+Date=02%2F13%2F25&amp;Campaign+Time=19%3A50%3A42&amp;en_txn6=Country%3A+Uganda&amp;en_txn7=CaseNumber%3A+9.25+Uganda&amp;en_txn8=Topic%3A+Freedom+of+Expression%2C+Human+Rights+Defenders&amp;en_txn10=YearType%3A+2025%2C+Email&amp;color=%23f26722&amp;height=422</t>
  </si>
  <si>
    <t>Country: Uganda</t>
  </si>
  <si>
    <t>CaseNumber: 9.25 Uganda</t>
  </si>
  <si>
    <t>https://act.amnestyusa.org/page/153818/petition/1?submit_btn_text=Get+the+sample+letter&amp;page_title=PEOPLE+SEEKING+SAFETY+AT+RISK+IN+THE+USA+%5BUSA+4.25%5D&amp;page_url_params=utm_source%3Dutm_source%253Dtest_source%2526utm_medium%253Dads&amp;Campaign+Date=02%2F13%2F25&amp;Campaign+Time=18%3A41%3A10&amp;en_txn6=Country%3A+USA&amp;en_txn7=CaseNumber%3A+4.25+USA&amp;en_txn8=Topic%3A+Individuals+At+Risk%2C+Refugee+and+Migrant+Rights&amp;en_txn10=YearType%3A+2025%2C+Letter&amp;color=%23f26722&amp;height=422</t>
  </si>
  <si>
    <t>https://donate.amnestyusa.org/page/157642/subscribe/1?_gl=1*1ec6foa*_gcl_au*NTkwMzA3MTI4LjE3MzA3NDg2Njk.&amp;color=%23252525</t>
  </si>
  <si>
    <t>suzannewright1715@gmail.com</t>
  </si>
  <si>
    <t>https://act.amnestyusa.org/page/153818/petition/1?email_text=Thank+you+for+your+support%21&amp;email_cta_text=Take+Action&amp;email_cta_url=https%3A%2F%2Fwww.amnestyusa.org&amp;submit_btn_text=Get+the+sample+letter&amp;page_title=HEALTH+CONCERNS+FOR+JAILED+UYGHUR+MUSICIAN%C2%A0&amp;page_url_params=utm_source%3Dutm_source%253Dtest_source%2526utm_medium%253Dads&amp;Campaign+Date=12%2F11%2F24&amp;Campaign+Time=13%3A30%3A28&amp;en_txn6=Country%3A+China&amp;en_txn7=CaseNumber%3A+98.24+China&amp;en_txn8=Topic%3A+Freedom+of+Expression%2C+Individuals+At+Risk&amp;en_txn10=YearType%3A+2024%2C+Letter&amp;color=%23f26722&amp;height=422</t>
  </si>
  <si>
    <t>brianarnett1@gmail.com</t>
  </si>
  <si>
    <t>https://act.amnestyusa.org/page/153818/petition/1?submit_btn_text=Get+the+sample+letter&amp;page_title=LIFT+MOHAMMED+AL-QAHTANI%26%238217%3BS+TRAVEL+BAN+%5BSaudi+Arabia+Fifth+UA+257.12%5D&amp;page_url_params=utm_source%3Dutm_source%253Dtest_source%2526utm_medium%253Dads&amp;Campaign+Date=02%2F21%2F25&amp;Campaign+Time=01%3A17%3A45&amp;en_txn6=Country%3A+Saudi+Arabia&amp;en_txn7=CaseNumber%3A+Fifth+257.12&amp;en_txn8=Topic%3A+Freedom+of+Expression%2C+Human+Rights+Defenders&amp;en_txn10=YearType%3A+2025%2C+Email&amp;color=%23f26722&amp;height=422</t>
  </si>
  <si>
    <t>Country: Saudi Arabia</t>
  </si>
  <si>
    <t>CaseNumber: Fifth 257.12</t>
  </si>
  <si>
    <t>https://act.amnestyusa.org/page/153818/petition/1?email_text=Thank+you+for+your+support%21&amp;email_cta_text=Take+Action&amp;email_cta_url=https%3A%2F%2Fwww.amnestyusa.org&amp;submit_btn_text=Get+the+sample+letter&amp;page_title=DEATH+SENTENCE+FOR+SOCIAL+MEDIA+POSTS+COMMUTED&amp;page_url_params=utm_source%3Dutm_source%253Dtest_source%2526utm_medium%253Dads&amp;Campaign+Date=11%2F22%2F24&amp;Campaign+Time=19%3A23%3A48&amp;en_txn6=Country%3A+Saudi+Arabia&amp;en_txn7=CaseNumber%3A+Second+85.23+Saudi+Arabia&amp;en_txn8=Topic%3A+Freedom+of+Expression&amp;en_txn10=YearType%3A+2024%2C+Letter&amp;color=%23f26722&amp;height=422</t>
  </si>
  <si>
    <t>CaseNumber: Second 85.23 Saudi Arabia</t>
  </si>
  <si>
    <t>https://act.amnestyusa.org/page/153818/petition/1?email_text=Thank+you+for+your+support%21&amp;email_cta_text=Take+Action&amp;email_cta_url=https%3A%2F%2Fwww.amnestyusa.org&amp;submit_btn_text=Get+the+sample+letter&amp;page_title=UNJUSTLY+JAILED+LAWYER%E2%80%99S+HEALTH+AT+RISK&amp;page_url_params=utm_source%3Dutm_source%253Dtest_source%2526utm_medium%253Dads&amp;Campaign+Date=11%2F22%2F24&amp;Campaign+Time=22%3A35%3A54&amp;en_txn6=Country%3A+Egypt&amp;en_txn7=CaseNumber%3A+Ninth+190.18+Egypt&amp;en_txn8=Topic%3A+Freedom+of+Expression%2C+Individuals+At+Risk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</si>
  <si>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STOP+EXTRADITION+OF+TORTURE+SURVIVOR+TO+EGYPT&amp;page_url_params=utm_source%3Dutm_source%253Dtest_source%2526utm_medium%253Dads&amp;Campaign+Date=12%2F20%2F24&amp;Campaign+Time=13%3A12%3A49&amp;en_txn6=Country%3A+Saudi+Arabia&amp;en_txn7=CaseNumber%3A+104.24+Saudi+Arabia&amp;en_txn8=Topic%3A+Individuals+At+Risk%2C+Refugee+and+Migrant+Rights&amp;en_txn10=YearType%3A+2024%2C+Email&amp;color=%23f26722&amp;height=422</t>
  </si>
  <si>
    <t>CaseNumber: 104.24 Saudi Arabia</t>
  </si>
  <si>
    <t>https://act.amnestyusa.org/page/153818/petition/1?email_text=Thank+you+for+your+support%21&amp;email_cta_text=Take+Action&amp;email_cta_url=https%3A%2F%2Fwww.amnestyusa.org&amp;submit_btn_text=Get+the+sample+letter&amp;page_title=UNJUSTLY+JAILED+FATHER+APPEALS+PRISON+TERM&amp;page_url_params=utm_source%3Dutm_source%253Dtest_source%2526utm_medium%253Dads&amp;Campaign+Date=12%2F20%2F24&amp;Campaign+Time=21%3A38%3A34&amp;en_txn6=Country%3A+Egypt&amp;en_txn7=CaseNumber%3A+Third+73.23+Egypt&amp;en_txn8=Topic%3A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</si>
  <si>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MALAYSIAN+MAN+BELIEVED+AT+RISK+OF+EXECUTION%C2%A0&amp;page_url_params=utm_source%3Dutm_source%253Dtest_source%2526utm_medium%253Dads&amp;Campaign+Date=12%2F12%2F24&amp;Campaign+Time=20%3A09%3A41&amp;en_txn6=Country%3A+Singapore&amp;en_txn7=CaseNumber%3A+107.24+Singapore&amp;en_txn8=Topic%3A+Death+Penalty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</si>
  <si>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PROMINENT+HUMAN+RIGHTS+DEFENDER+DETAINED&amp;page_url_params=utm_source%3Dutm_source%253Dtest_source%2526utm_medium%253Dads&amp;Campaign+Date=12%2F19%2F24&amp;Campaign+Time=21%3A09%3A32&amp;en_txn6=Country%3A+Niger&amp;en_txn7=CaseNumber%3A+103.24+Niger&amp;en_txn8=Topic%3A+Freedom+of+Expression%2C+Human+Rights+Defenders&amp;en_txn10=YearType%3A+2024%2C+Email&amp;color=%23f26722&amp;height=422</t>
  </si>
  <si>
    <t>https://act.amnestyusa.org/page/153818/petition/1?submit_btn_text=Get+the+sample+letter&amp;page_title=MILITARY+COURT+CONVICTS+HUMAN+RIGHTS+LAWYER+%5BUganda+9.24%5D&amp;page_url_params=utm_source%3Dutm_source%253Dtest_source%2526utm_medium%253Dads&amp;Campaign+Date=02%2F20%2F25&amp;Campaign+Time=18%3A44%3A36&amp;en_txn6=Country%3A+Uganda&amp;en_txn7=CaseNumber%3A+9.25+Uganda&amp;en_txn8=Topic%3A+Freedom+of+Expression%2C+Human+Rights+Defenders&amp;en_txn10=YearType%3A+2025%2C+Email&amp;color=%23f26722&amp;height=422</t>
  </si>
  <si>
    <t>https://act.amnestyusa.org/page/153818/petition/1?submit_btn_text=Get+the+sample+letter&amp;page_title=UNJUSTLY+JAILED+RIGHTS+LAWYER+REFERRED+TO+TRIAL+%5BEgypt+Second+UA+80.23%5D&amp;page_url_params=utm_source%3Dutm_source%253Dtest_source%2526utm_medium%253Dads&amp;Campaign+Date=02%2F22%2F25&amp;Campaign+Time=20%3A37%3A22&amp;en_txn6=Country%3A+Egypt&amp;en_txn7=CaseNumber%3A+Second+80.23+Egypt&amp;en_txn8=Topic%3A+Health%2C+Individuals+At+Risk&amp;en_txn10=YearType%3A+2025%2C+Email&amp;color=%23f26722&amp;height=422</t>
  </si>
  <si>
    <t>https://act.amnestyusa.org/page/153818/petition/1?submit_btn_text=Get+the+sample+letter&amp;page_title=OLDER+SUFI+SHEIKH+FORCIBLY+DISAPPEARED+FOR+A+YEAR+%5BLibya+12.25%5D&amp;page_url_params=utm_source%3Dutm_source%253Dtest_source%2526utm_medium%253Dads&amp;Campaign+Date=02%2F20%2F25&amp;Campaign+Time=23%3A22%3A19&amp;en_txn6=Country%3A+Libya&amp;en_txn7=CaseNumber%3A+12.25+Libya&amp;en_txn8=Topic%3A+Freedom+of+Expression%2C+Health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</si>
  <si>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End+Racist+Deportations+of+Haitians&amp;page_url_params=utm_source%3Dutm_source%253Dtest_source%2526utm_medium%253Dads&amp;Campaign+Date=11%2F22%2F24&amp;Campaign+Time=19%3A48%3A48&amp;en_txn6=Country%3A+Dominican+Republic&amp;en_txn7=CaseNumber%3A+88.24+Dominican+Republic&amp;en_txn8=Topic%3A+Individuals+At+Risk%2C+Refugee+and+Migrant+Rights&amp;en_txn10=YearType%3A+2024%2C+Letter&amp;color=%23f26722&amp;height=422</t>
  </si>
  <si>
    <t>rlsingerman@gmail.com</t>
  </si>
  <si>
    <t>https://act.amnestyusa.org/page/153818/petition/1?email_text=Thank+you+for+your+support%21&amp;email_cta_text=Take+Action&amp;email_cta_url=https%3A%2F%2Fwww.amnestyusa.org&amp;submit_btn_text=Get+the+sample+letter&amp;page_title=HEALTH+CONCERNS+FOR+JAILED+UYGHUR+MUSICIAN%C2%A0&amp;page_url_params=utm_source%3Dutm_source%253Dtest_source%2526utm_medium%253Dads&amp;Campaign+Date=12%2F27%2F24&amp;Campaign+Time=19%3A03%3A17&amp;en_txn6=Country%3A+China&amp;en_txn7=CaseNumber%3A+98.24+China&amp;en_txn8=Topic%3A+Freedom+of+Expression%2C+Individuals+At+Risk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</si>
  <si>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LAWYER%E2%80%99S+HEALTH+AT+RISK&amp;page_url_params=utm_source%3Dutm_source%253Dtest_source%2526utm_medium%253Dads&amp;Campaign+Date=12%2F27%2F24&amp;Campaign+Time=17%3A59%3A43&amp;en_txn6=Country%3A+Egypt&amp;en_txn7=CaseNumber%3A+Ninth+190.18+Egypt&amp;en_txn8=Topic%3A+Freedom+of+Expression%2C+Individuals+At+Risk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</si>
  <si>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STOP+PERSECUTING+VENEZUELAN+NGO&amp;page_url_params=utm_source%3Dutm_source%253Dtest_source%2526utm_medium%253Dads&amp;Campaign+Date=12%2F29%2F24&amp;Campaign+Time=23%3A35%3A19&amp;en_txn6=Country%3A+Venezuela&amp;en_txn7=CaseNumber%3A+97.24+Venezuela&amp;en_txn8=Topic%3A+Freedom+of+Expression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</si>
  <si>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FATHER+APPEALS+PRISON+TERM&amp;page_url_params=utm_source%3Dutm_source%253Dtest_source%2526utm_medium%253Dads&amp;Campaign+Date=01%2F17%2F25&amp;Campaign+Time=19%3A32%3A30&amp;en_txn6=Country%3A+Egypt&amp;en_txn7=CaseNumber%3A+Third+73.23+Egypt&amp;en_txn8=Topic%3A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</si>
  <si>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ENVIRONMENTAL+LAWYER+MUST+BE+PARDONED&amp;page_url_params=utm_source%3Dutm_source%253Dtest_source%2526utm_medium%253Dads&amp;Campaign+Date=01%2F17%2F25&amp;Campaign+Time=19%3A23%3A12&amp;en_txn6=Country%3A+USA&amp;en_txn7=CaseNumber%3A+Fourth+55.24+USA&amp;en_txn8=Topic%3A+Climate+Justice%2C+Individuals+At+Risk&amp;en_txn10=YearType%3A+2025%2C+Email&amp;color=%23f26722&amp;height=422</t>
  </si>
  <si>
    <t>CaseNumber: Fourth 55.24 USA</t>
  </si>
  <si>
    <t>Topic: Climate Justice, Individuals At Risk</t>
  </si>
  <si>
    <t>https://act.amnestyusa.org/page/153818/petition/1?email_text=Thank+you+for+your+support%21&amp;email_cta_text=Take+Action&amp;email_cta_url=https%3A%2F%2Fwww.amnestyusa.org&amp;submit_btn_text=Get+the+sample+letter&amp;page_title=FREE+VENEZUELAN+HUMAN+RIGHTS+DEFENDERS&amp;page_url_params=utm_source%3Dutm_source%253Dtest_source%2526utm_medium%253Dads&amp;Campaign+Date=01%2F17%2F25&amp;Campaign+Time=17%3A59%3A09&amp;en_txn6=Country%3A+Venezuela&amp;en_txn7=CaseNumber%3A+1.25+Venezuela&amp;en_txn8=Topic%3A+Human+Rights+Defenders%2C+Individuals+At+Risk&amp;en_txn10=YearType%3A+2025%2C+Letter&amp;color=%23f26722&amp;height=422</t>
  </si>
  <si>
    <t>lawinters@optonline.net</t>
  </si>
  <si>
    <t>mobile:N~tablet:N~device:MICROSOFT~os:Windows 7~browser:Firefox 11</t>
  </si>
  <si>
    <t>https://act.amnestyusa.org/page/153818/petition/1?submit_btn_text=Get+the+sample+letter&amp;page_title=HUMAN+RIGHTS+DEFENDER+ON+HUNGER+STRIKE+%5BSecond+UA+76.24+Tunisia%5D&amp;page_url_params=utm_source%3Dutm_source%253Dtest_source%2526utm_medium%253Dads&amp;Campaign+Date=02%2F13%2F25&amp;Campaign+Time=22%3A07%3A54&amp;en_txn6=Country%3A+Tunisia&amp;en_txn7=CaseNumber%3A+Second+76.24+Tunisia&amp;en_txn8=Topic%3A+Freedom+of+Expression%2C+Human+Rights+Defenders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</si>
  <si>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INDIANA%E2%80%99S+FIRST+EXECUTION+IN+15+YEARS+LOOMS&amp;page_url_params=utm_source%3Dutm_source%253Dtest_source%2526utm_medium%253Dads&amp;Campaign+Date=12%2F09%2F24&amp;Campaign+Time=07%3A15%3A59&amp;en_txn6=Country%3A+USA&amp;en_txn7=CaseNumber%3A+105.24+USA&amp;en_txn8=Topic%3A+Death+Penalty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</si>
  <si>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STOP+PERSECUTING+VENEZUELAN+NGO&amp;page_url_params=utm_source%3Dutm_source%253Dtest_source%2526utm_medium%253Dads&amp;Campaign+Date=12%2F09%2F24&amp;Campaign+Time=14%3A48%3A55&amp;en_txn6=Country%3A+Venezuela&amp;en_txn7=CaseNumber%3A+97.24+Venezuela&amp;en_txn8=Topic%3A+Freedom+of+Expression&amp;en_txn10=YearType%3A+2024%2C+Letter&amp;color=%23f26722&amp;height=422</t>
  </si>
  <si>
    <t>https://act.amnestyusa.org/page/153818/petition/1?supporter.appealCode=W2412WDHRD0LB&amp;color=%23000000</t>
  </si>
  <si>
    <t>W2412WDHRD0LB</t>
  </si>
  <si>
    <t>https://act.amnestyusa.org/page/153818/petition/1?email_text=Thank+you+for+your+support%21&amp;email_cta_text=Take+Action&amp;email_cta_url=https%3A%2F%2Fwww.amnestyusa.org&amp;submit_btn_text=Get+the+sample+letter&amp;page_title=FREE+VENEZUELAN+HUMAN+RIGHTS+DEFENDERS&amp;page_url_params=utm_source%3Dutm_source%253Dtest_source%2526utm_medium%253Dads&amp;Campaign+Date=01%2F13%2F25&amp;Campaign+Time=21%3A11%3A03&amp;en_txn6=Country%3A+Venezuela&amp;en_txn7=CaseNumber%3A+1.25+Venezuela&amp;en_txn8=Topic%3A+Human+Rights+Defenders%2C+Individuals+At+Risk&amp;en_txn10=YearType%3A+2025%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</si>
  <si>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LAWYER%E2%80%99S+HEALTH+AT+RISK&amp;page_url_params=utm_source%3Dutm_source%253Dtest_source%2526utm_medium%253Dads&amp;Campaign+Date=11%2F30%2F24&amp;Campaign+Time=16%3A49%3A41&amp;en_txn6=Country%3A+Egypt&amp;en_txn7=CaseNumber%3A+Ninth+190.18+Egypt&amp;en_txn8=Topic%3A+Freedom+of+Expression%2C+Individuals+At+Risk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</si>
  <si>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HALT+PIPELINE+PROJECT+WITH+OUTDATED+PERMIT%C2%A0&amp;page_url_params=utm_source%3Dutm_source%253Dtest_source%2526utm_medium%253Dads&amp;Campaign+Date=11%2F25%2F24&amp;Campaign+Time=21%3A26%3A10&amp;en_txn6=Country%3A+Canada&amp;en_txn7=CaseNumber%3A+99.24+Canada&amp;en_txn8=Topic%3A+Climate+Justice%2C+Indigenous+Rights%2C+Right+to+Protest&amp;en_txn10=YearType%3A+2024%2C+Letter&amp;color=%23f26722&amp;height=422</t>
  </si>
  <si>
    <t>Country: Canada</t>
  </si>
  <si>
    <t>CaseNumber: 99.24 Canada</t>
  </si>
  <si>
    <t>Topic: Climate Justice, Indigenous Rights, Right to Protest</t>
  </si>
  <si>
    <t>https://act.amnestyusa.org/page/153818/petition/1?submit_btn_text=Get+the+sample+letter&amp;page_title=PEOPLE+SEEKING+SAFETY+AT+RISK+IN+THE+USA+%5BUSA+4.25%5D&amp;page_url_params=utm_source%3Dutm_source%253Dtest_source%2526utm_medium%253Dads&amp;Campaign+Date=01%2F27%2F25&amp;Campaign+Time=17%3A07%3A58&amp;en_txn6=Country%3A+USA&amp;en_txn7=CaseNumber%3A+4.25+USA&amp;en_txn8=Topic%3A+Individuals+At+Risk%2C+Refugee+and+Migrant+Rights&amp;en_txn10=YearType%3A+2025%2C+Letter&amp;color=%23f26722&amp;height=422</t>
  </si>
  <si>
    <t>https://act.amnestyusa.org/page/153818/petition/1?submit_btn_text=Get+the+sample+letter&amp;page_title=RELEASE+JOURNALIST+CONVICTED+OF+PROPAGANDA+%5BAfghanistan+11.25%5D&amp;page_url_params=utm_source%3Dutm_source%253Dtest_source%2526utm_medium%253Dads&amp;Campaign+Date=02%2F08%2F25&amp;Campaign+Time=00%3A53%3A32&amp;en_txn6=Country%3A+Afghanistan&amp;en_txn7=CaseNumber%3A+11.25+Afghanistan&amp;en_txn8=Topic%3A+Freedom+of+Expression%2C+Health%2C+Individuals+At+Risk&amp;en_txn10=YearType%3A+2025%2C+Email&amp;color=%23f26722&amp;height=422</t>
  </si>
  <si>
    <t>Country: Afghanistan</t>
  </si>
  <si>
    <t>CaseNumber: 11.25 Afghanistan</t>
  </si>
  <si>
    <t>https://act.amnestyusa.org/page/153818/petition/1?email_text=Thank+you+for+your+support%21&amp;email_cta_text=Take+Action&amp;email_cta_url=https%3A%2F%2Fwww.amnestyusa.org&amp;submit_btn_text=Get+the+sample+letter&amp;page_title=INDIANA%E2%80%99S+FIRST+EXECUTION+IN+15+YEARS+LOOMS&amp;page_url_params=utm_source%3Dutm_source%253Dtest_source%2526utm_medium%253Dads&amp;Campaign+Date=12%2F11%2F24&amp;Campaign+Time=05%3A52%3A44&amp;en_txn6=Country%3A+USA&amp;en_txn7=CaseNumber%3A+105.24+USA&amp;en_txn8=Topic%3A+Death+Penalty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</si>
  <si>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LAWYER%E2%80%99S+HEALTH+AT+RISK&amp;page_url_params=utm_source%3Dutm_source%253Dtest_source%2526utm_medium%253Dads&amp;Campaign+Date=12%2F11%2F24&amp;Campaign+Time=05%3A54%3A10&amp;en_txn6=Country%3A+Egypt&amp;en_txn7=CaseNumber%3A+Ninth+190.18+Egypt&amp;en_txn8=Topic%3A+Freedom+of+Expression%2C+Individuals+At+Risk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</si>
  <si>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STOP+PERSECUTING+VENEZUELAN+NGO&amp;page_url_params=utm_source%3Dutm_source%253Dtest_source%2526utm_medium%253Dads&amp;Campaign+Date=12%2F11%2F24&amp;Campaign+Time=06%3A02%3A42&amp;en_txn6=Country%3A+Venezuela&amp;en_txn7=CaseNumber%3A+97.24+Venezuela&amp;en_txn8=Topic%3A+Freedom+of+Expression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</si>
  <si>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HEALTH+CONCERNS+FOR+JAILED+UYGHUR+MUSICIAN%C2%A0&amp;page_url_params=utm_source%3Dutm_source%253Dtest_source%2526utm_medium%253Dads&amp;Campaign+Date=12%2F11%2F24&amp;Campaign+Time=06%3A08%3A47&amp;en_txn6=Country%3A+China&amp;en_txn7=CaseNumber%3A+98.24+China&amp;en_txn8=Topic%3A+Freedom+of+Expression%2C+Individuals+At+Risk&amp;en_txn10=YearType%3A+2024%2C+Letter&amp;color=%23f26722&amp;height=422</t>
  </si>
  <si>
    <t>https://act.amnestyusa.org/page/153818/petition/1?submit_btn_text=Get+the+sample+letter&amp;page_title=PRISONERS+AT+IMMINENT+RISK+OF+EXECUTION+%5BIran+10.25%5D&amp;page_url_params=utm_source%3Dutm_source%253Dtest_source%2526utm_medium%253Dads&amp;Campaign+Date=02%2F21%2F25&amp;Campaign+Time=08%3A13%3A33&amp;en_txn6=Country%3A+Iran&amp;en_txn7=CaseNumber%3A+10.25+Iran&amp;en_txn8=Topic%3A+Death+Penalty%2C+Individuals+At+Risk&amp;en_txn10=YearType%3A+2025%2C+Email&amp;color=%23f26722&amp;height=422</t>
  </si>
  <si>
    <t>https://act.amnestyusa.org/page/153818/petition/1?submit_btn_text=Get+the+sample+letter&amp;page_title=PROMINENT+JOURNALIST+ARBITRARILY+DETAINED+%5BTunisia+8.25%5D&amp;page_url_params=utm_source%3Dutm_source%253Dtest_source%2526utm_medium%253Dads&amp;Campaign+Date=02%2F21%2F25&amp;Campaign+Time=08%3A14%3A41&amp;en_txn6=Country%3A+Tunisia&amp;en_txn7=CaseNumber%3A+8.25+Tunisia&amp;en_txn8=Topic%3A+Freedom+of+Expression&amp;en_txn10=YearType%3A+2025%2C+Email&amp;color=%23f26722&amp;height=422</t>
  </si>
  <si>
    <t>https://act.amnestyusa.org/page/153818/petition/1?submit_btn_text=Get+the+sample+letter&amp;page_title=RELEASE+JOURNALIST+CONVICTED+OF+PROPAGANDA+%5BAfghanistan+11.25%5D&amp;page_url_params=utm_source%3Dutm_source%253Dtest_source%2526utm_medium%253Dads&amp;Campaign+Date=02%2F20%2F25&amp;Campaign+Time=15%3A45%3A46&amp;en_txn6=Country%3A+Afghanistan&amp;en_txn7=CaseNumber%3A+11.25+Afghanistan&amp;en_txn8=Topic%3A+Freedom+of+Expression%2C+Health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</si>
  <si>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PROMINENT+ARTIST+ARRESTED+FOR+HIS+WORK&amp;page_url_params=utm_source%3Dutm_source%253Dtest_source%2526utm_medium%253Dads&amp;Campaign+Date=01%2F17%2F25&amp;Campaign+Time=19%3A03%3A57&amp;en_txn6=Country%3A+China&amp;en_txn7=CaseNumber%3A+106.24+China&amp;en_txn8=Topic%3A+Freedom+of+Expression%2C+Individuals+At+Risk&amp;en_txn10=YearType%3A+2024%2C+Email&amp;color=%23f26722&amp;height=422</t>
  </si>
  <si>
    <t>CaseNumber: 106.24 China</t>
  </si>
  <si>
    <t>https://act.amnestyusa.org/page/153818/petition/1?email_text=Thank+you+for+your+support%21&amp;email_cta_text=Take+Action&amp;email_cta_url=https%3A%2F%2Fwww.amnestyusa.org&amp;submit_btn_text=Get+the+sample+letter&amp;page_title=UNJUSTLY+JAILED+LAWYER+TREATED+INHUMANELY&amp;page_url_params=utm_source%3Dutm_source%253Dtest_source%2526utm_medium%253Dads&amp;Campaign+Date=01%2F17%2F25&amp;Campaign+Time=20%3A19%3A02&amp;en_txn6=Country%3A+Tunisia&amp;en_txn7=CaseNumber%3A+Second+43.24+Tunisia&amp;en_txn8=Topic%3A+Freedom+of+Expression%2C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</si>
  <si>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HUMAN+RIGHTS+DEFENDER+IMPRISONED&amp;page_url_params=utm_source%3Dutm_source%253Dtest_source%2526utm_medium%253Dads&amp;Campaign+Date=01%2F17%2F25&amp;Campaign+Time=20%3A10%3A52&amp;en_txn6=Country%3A+Turkiye&amp;en_txn7=CaseNumber%3A+109.24+T%C3%BCrkiye&amp;en_txn8=Topic%3A+Human+Rights+Defenders%2C+Individuals+At+Risk&amp;en_txn10=YearType%3A+2024%2C+Email&amp;color=%23f26722&amp;height=422</t>
  </si>
  <si>
    <t>https://act.amnestyusa.org/page/153818/petition/1?email_text=Thank+you+for+taking+action+on+MALAYSIAN+MAN+BELIEVED+AT+RISK+OF+EXECUTION%C2%A0.&amp;email_cta_text=VIEW+MORE+URGENT+ACTIONS&amp;email_cta_url=https%3A%2F%2Fwww.amnestyusa.org%2Fget-involved%2Fgrassroots-activism%2Furgent-action-network%2Factions%2F%3Fstatus%3Dactive%26fyear%3D2025%26sortby%3Dnewest%26pg%3D1&amp;submit_btn_text=Get+the+sample+letter&amp;page_title=MALAYSIAN+MAN+BELIEVED+AT+RISK+OF+EXECUTION%C2%A0&amp;page_url_params=utm_source%3Dutm_source%253Dtest_source%2526utm_medium%253Dads&amp;Campaign+Date=01%2F21%2F25&amp;Campaign+Time=02%3A12%3A09&amp;en_txn6=Country%3A+Singapore&amp;en_txn7=CaseNumber%3A+107.24+Singapore&amp;en_txn8=Topic%3A+Death+Penalty&amp;en_txn10=YearType%3A+2024%2C+Email&amp;color=%23f26722&amp;height=422</t>
  </si>
  <si>
    <t>https://act.amnestyusa.org/page/153818/petition/1?email_text=Thank+you+for+taking+action+on+STOP+EXTRADITION+OF+TORTURE+SURVIVOR+TO+EGYPT.&amp;email_cta_text=VIEW+MORE+URGENT+ACTIONS&amp;email_cta_url=https%3A%2F%2Fwww.amnestyusa.org%2Fget-involved%2Fgrassroots-activism%2Furgent-action-network%2Factions%2F%3Fstatus%3Dactive%26fyear%3D2025%26sortby%3Dnewest%26pg%3D1&amp;submit_btn_text=Get+the+sample+letter&amp;page_title=STOP+EXTRADITION+OF+TORTURE+SURVIVOR+TO+EGYPT&amp;page_url_params=utm_source%3Dutm_source%253Dtest_source%2526utm_medium%253Dads&amp;Campaign+Date=01%2F21%2F25&amp;Campaign+Time=02%3A39%3A57&amp;en_txn6=Country%3A+Saudi+Arabia&amp;en_txn7=CaseNumber%3A+104.24+Saudi+Arabia&amp;en_txn8=Topic%3A+Individuals+At+Risk%2C+Refugee+and+Migrant+Rights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</si>
  <si>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POLITICIAN%E2%80%99S+SON%E2%80%99S+HEALTH+AT+RISK&amp;page_url_params=utm_source%3Dutm_source%253Dtest_source%2526utm_medium%253Dads&amp;Campaign+Date=01%2F20%2F25&amp;Campaign+Time=13%3A32%3A26&amp;en_txn6=Country%3A+Egypt&amp;en_txn7=CaseNumber%3A+Fourth+29.23+Egypt&amp;en_txn8=Topic%3A+Freedom+of+Expression%2C+Individuals+At+Risk%2C+Right+to+Protest&amp;en_txn10=YearType%3A+2024%2C+Email&amp;color=%23f26722&amp;height=422</t>
  </si>
  <si>
    <t>CaseNumber: Fourth 29.23 Egypt</t>
  </si>
  <si>
    <t>Topic: Freedom of Expression, Individuals At Risk, Right to Protest</t>
  </si>
  <si>
    <t>https://act.amnestyusa.org/page/153818/petition/1?email_text=Thank+you+for+your+support%21&amp;email_cta_text=Take+Action&amp;email_cta_url=https%3A%2F%2Fwww.amnestyusa.org&amp;submit_btn_text=Get+the+sample+letter&amp;page_title=IMPRISONED+POET+IS+AT+RISK+OF+TORTURE&amp;page_url_params=utm_source%3Dutm_source%253Dtest_source%2526utm_medium%253Dads&amp;Campaign+Date=01%2F20%2F25&amp;Campaign+Time=13%3A33%3A16&amp;en_txn6=Country%3A+Russian+Federation&amp;en_txn7=CaseNumber%3A+102.24+Russia&amp;en_txn8=Topic%3A+Freedom+of+Expression%2C+Individuals+At+Risk%2C+Right+to+Protest&amp;en_txn10=YearType%3A+2024%2C+Email&amp;color=%23f26722&amp;height=422</t>
  </si>
  <si>
    <t>Country: Russian Federation</t>
  </si>
  <si>
    <t>CaseNumber: 102.24 Russia</t>
  </si>
  <si>
    <t>https://act.amnestyusa.org/page/153818/petition/1?email_text=Thank+you+for+taking+action+on+OPPOSITION+POLITICIAN+CHARGED+AFTER+ABDUCTION.&amp;email_cta_text=VIEW+MORE+URGENT+ACTIONS&amp;email_cta_url=https%3A%2F%2Fwww.amnestyusa.org%2Fget-involved%2Fgrassroots-activism%2Furgent-action-network%2Factions%2F%3Fstatus%3Dactive%26fyear%3D2025%26sortby%3Dnewest%26pg%3D1&amp;submit_btn_text=Get+the+sample+letter&amp;page_title=OPPOSITION+POLITICIAN+CHARGED+AFTER+ABDUCTION&amp;page_url_params=utm_source%3Dutm_source%253Dtest_source%2526utm_medium%253Dads&amp;Campaign+Date=01%2F20%2F25&amp;Campaign+Time=22%3A45%3A12&amp;en_txn6=Country%3A+Uganda&amp;en_txn7=CaseNumber%3A+100.24+Uganda&amp;en_txn8=Topic%3A+Freedom+of+Expression&amp;en_txn10=YearType%3A+2024%2C+Email&amp;color=%23f26722&amp;height=422</t>
  </si>
  <si>
    <t>CaseNumber: 100.24 Uganda</t>
  </si>
  <si>
    <t>https://act.amnestyusa.org/page/153818/petition/1?submit_btn_text=Get+the+sample+letter&amp;page_title=KURDISH+DISSIDENT+SENTENCED+TO+DEATH+IN+IRAN&amp;page_url_params=utm_source%3Dutm_source%253Dtest_source%2526utm_medium%253Dads&amp;Campaign+Date=01%2F25%2F25&amp;Campaign+Time=07%3A27%3A57&amp;en_txn6=Country%3A+Iran&amp;en_txn7=CaseNumber%3A+101.24+Iran&amp;en_txn8=Topic%3A+Death+Penalty%2C+Freedom+of+Expression%2C+Individuals+At+Risk%2C+Right+to+Protest&amp;en_txn10=YearType%3A+2024%2C+Email&amp;color=%23f26722&amp;height=422</t>
  </si>
  <si>
    <t>https://act.amnestyusa.org/page/153818/petition/1?submit_btn_text=Get+the+sample+letter&amp;page_title=STOP+PERSECUTING+VENEZUELAN+NGO&amp;page_url_params=utm_source%3Dutm_source%253Dtest_source%2526utm_medium%253Dads&amp;Campaign+Date=01%2F25%2F25&amp;Campaign+Time=07%3A30%3A35&amp;en_txn6=Country%3A+Venezuela&amp;en_txn7=CaseNumber%3A+97.24+Venezuela&amp;en_txn8=Topic%3A+Freedom+of+Expression&amp;en_txn10=YearType%3A+2024%2C+Letter&amp;color=%23f26722&amp;height=422</t>
  </si>
  <si>
    <t>https://act.amnestyusa.org/page/153818/petition/1?submit_btn_text=Get+the+sample+letter&amp;page_title=HEALTH+CONCERNS+FOR+JAILED+UYGHUR+MUSICIAN%C2%A0&amp;page_url_params=utm_source%3Dutm_source%253Dtest_source%2526utm_medium%253Dads&amp;Campaign+Date=01%2F25%2F25&amp;Campaign+Time=07%3A33%3A19&amp;en_txn6=Country%3A+China&amp;en_txn7=CaseNumber%3A+98.24+China&amp;en_txn8=Topic%3A+Freedom+of+Expression%2C+Individuals+At+Risk&amp;en_txn10=YearType%3A+2024%2C+Letter&amp;color=%23f26722&amp;height=422</t>
  </si>
  <si>
    <t>https://act.amnestyusa.org/page/153818/petition/1?submit_btn_text=Get+the+sample+letter&amp;page_title=UNJUSTLY+JAILED+LAWYER%E2%80%99S+HEALTH+AT+RISK&amp;page_url_params=utm_source%3Dutm_source%253Dtest_source%2526utm_medium%253Dads&amp;Campaign+Date=01%2F25%2F25&amp;Campaign+Time=07%3A36%3A16&amp;en_txn6=Country%3A+Egypt&amp;en_txn7=CaseNumber%3A+Ninth+190.18+Egypt&amp;en_txn8=Topic%3A+Freedom+of+Expression%2C+Individuals+At+Risk&amp;en_txn10=YearType%3A+2024%2C+Letter&amp;color=%23f26722&amp;height=422</t>
  </si>
  <si>
    <t>https://act.amnestyusa.org/page/153818/petition/1?submit_btn_text=Get+the+sample+letter&amp;page_title=DEATH+SENTENCE+FOR+SOCIAL+MEDIA+POSTS+COMMUTED&amp;page_url_params=utm_source%3Dutm_source%253Dtest_source%2526utm_medium%253Dads&amp;Campaign+Date=01%2F25%2F25&amp;Campaign+Time=07%3A38%3A50&amp;en_txn6=Country%3A+Saudi+Arabia&amp;en_txn7=CaseNumber%3A+Second+85.23+Saudi+Arabia&amp;en_txn8=Topic%3A+Freedom+of+Expression&amp;en_txn10=YearType%3A+2024%2C+Letter&amp;color=%23f26722&amp;height=422</t>
  </si>
  <si>
    <t>https://act.amnestyusa.org/page/153818/petition/1?submit_btn_text=Get+the+sample+letter&amp;page_title=End+Racist+Deportations+of+Haitians&amp;page_url_params=utm_source%3Dutm_source%253Dtest_source%2526utm_medium%253Dads&amp;Campaign+Date=01%2F25%2F25&amp;Campaign+Time=13%3A53%3A24&amp;en_txn6=Country%3A+Dominican+Republic&amp;en_txn7=CaseNumber%3A+88.24+Dominican+Republic&amp;en_txn8=Topic%3A+Individuals+At+Risk%2C+Refugee+and+Migrant+Rights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</si>
  <si>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STOP+PERSECUTING+VENEZUELAN+NGO&amp;page_url_params=utm_source%3Dutm_source%253Dtest_source%2526utm_medium%253Dads&amp;Campaign+Date=12%2F11%2F24&amp;Campaign+Time=06%3A05%3A31&amp;en_txn6=Country%3A+Venezuela&amp;en_txn7=CaseNumber%3A+97.24+Venezuela&amp;en_txn8=Topic%3A+Freedom+of+Expression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</si>
  <si>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LAWYER%E2%80%99S+HEALTH+AT+RISK&amp;page_url_params=utm_source%3Dutm_source%253Dtest_source%2526utm_medium%253Dads&amp;Campaign+Date=12%2F11%2F24&amp;Campaign+Time=06%3A51%3A48&amp;en_txn6=Country%3A+Egypt&amp;en_txn7=CaseNumber%3A+Ninth+190.18+Egypt&amp;en_txn8=Topic%3A+Freedom+of+Expression%2C+Individuals+At+Risk&amp;en_txn10=YearType%3A+2024%2C+Letter&amp;color=%23f26722&amp;height=422</t>
  </si>
  <si>
    <t>mobile:Y~tablet:N~device:APPLE~os:Mac OS X (iPhone)~browser:Apple WebKit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</si>
  <si>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16%2F25&amp;Campaign+Time=21%3A13%3A16&amp;en_txn6=Country%3A+Israel+and+Occupied+Palestinian+Territories&amp;en_txn7=CaseNumber%3A+3.25+IOPT&amp;en_txn8=Topic%3A+Freedom+of+Expression%2C+Individuals+At+Risk&amp;en_txn10=YearType%3A+2025%2C+Email&amp;color=%23f26722&amp;height=422&amp;fbclid=IwZXh0bgNhZW0CMTEAAR2l0lC2pjSAlSB--f_JocHBsGBYmosA8YR8IYW3dQUqjMhYbbLJIGhEgt4_aem_cKRdHOeZabZ5tPr-UUmOvg</t>
  </si>
  <si>
    <t>mobile:N~tablet:N~device:MICROSOFT~os:Windows 10~browser:Chrome 10</t>
  </si>
  <si>
    <t>https://act.amnestyusa.org/page/153818/petition/1?submit_btn_text=Get+the+sample+letter&amp;page_title=FREE+VENEZUELAN+HUMAN+RIGHTS+DEFENDERS&amp;page_url_params=utm_source%3Dutm_source%253Dtest_source%2526utm_medium%253Dads&amp;Campaign+Date=01%2F27%2F25&amp;Campaign+Time=16%3A04%3A26&amp;en_txn6=Country%3A+Venezuela&amp;en_txn7=CaseNumber%3A+1.25+Venezuela&amp;en_txn8=Topic%3A+Human+Rights+Defenders%2C+Individuals+At+Risk&amp;en_txn10=YearType%3A+2025%2C+Letter&amp;color=%23f26722&amp;height=422</t>
  </si>
  <si>
    <t>edgracely@verizon.net</t>
  </si>
  <si>
    <t>https://act.amnestyusa.org/page/153818/petition/1?email_text=Thank+you+for+your+support%21&amp;email_cta_text=Take+Action&amp;email_cta_url=https%3A%2F%2Fwww.amnestyusa.org&amp;submit_btn_text=Get+the+sample+letter&amp;page_title=STOP+PERSECUTING+VENEZUELAN+NGO&amp;page_url_params=utm_source%3Dutm_source%253Dtest_source%2526utm_medium%253Dads&amp;Campaign+Date=12%2F21%2F24&amp;Campaign+Time=07%3A08%3A27&amp;en_txn6=Country%3A+Venezuela&amp;en_txn7=CaseNumber%3A+97.24+Venezuela&amp;en_txn8=Topic%3A+Freedom+of+Expression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</si>
  <si>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End+Racist+Deportations+of+Haitians&amp;page_url_params=utm_source%3Dutm_source%253Dtest_source%2526utm_medium%253Dads&amp;Campaign+Date=12%2F27%2F24&amp;Campaign+Time=22%3A31%3A11&amp;en_txn6=Country%3A+Dominican+Republic&amp;en_txn7=CaseNumber%3A+88.24+Dominican+Republic&amp;en_txn8=Topic%3A+Individuals+At+Risk%2C+Refugee+and+Migrant+Rights&amp;en_txn10=YearType%3A+2024%2C+Letter&amp;color=%23f26722&amp;height=422</t>
  </si>
  <si>
    <t>rhilliar@richmond.edu</t>
  </si>
  <si>
    <t>https://act.amnestyusa.org/page/153818/petition/1?submit_btn_text=Get+the+sample+letter&amp;page_title=PRISONERS+AT+IMMINENT+RISK+OF+EXECUTION+%5BIran+10.25%5D&amp;page_url_params=utm_source%3Dutm_source%253Dtest_source%2526utm_medium%253Dads&amp;Campaign+Date=02%2F24%2F25&amp;Campaign+Time=05%3A18%3A38&amp;en_txn6=Country%3A+Iran&amp;en_txn7=CaseNumber%3A+10.25+Iran&amp;en_txn8=Topic%3A+Death+Penalty%2C+Individuals+At+Risk&amp;en_txn10=YearType%3A+2025%2C+Email&amp;color=%23f26722&amp;height=422</t>
  </si>
  <si>
    <t>patricia.richter99@gmail.com</t>
  </si>
  <si>
    <t>mobile:Y~tablet:N~device:GOOGLE~os:Android 1.x~browser:Firefox Mobile</t>
  </si>
  <si>
    <t>https://act.amnestyusa.org/page/153818/petition/1?email_text=Thank+you+for+your+support%21&amp;email_cta_text=Take+Action&amp;email_cta_url=https%3A%2F%2Fwww.amnestyusa.org&amp;submit_btn_text=Get+the+sample+letter&amp;page_title=UNJUSTLY+JAILED+LAWYER%E2%80%99S+HEALTH+AT+RISK&amp;page_url_params=utm_source%3Dutm_source%253Dtest_source%2526utm_medium%253Dads&amp;Campaign+Date=12%2F09%2F24&amp;Campaign+Time=12%3A39%3A05&amp;en_txn6=Country%3A+Egypt&amp;en_txn7=CaseNumber%3A+Ninth+190.18+Egypt&amp;en_txn8=Topic%3A+Freedom+of+Expression%2C+Individuals+At+Risk&amp;en_txn10=YearType%3A+2024%2C+Letter&amp;color=%23f26722&amp;height=422</t>
  </si>
  <si>
    <t>https://act.amnestyusa.org/page/153818/petition/1?submit_btn_text=Get+the+sample+letter&amp;page_title=LIFT+MOHAMMED+AL-QAHTANI%26%238217%3BS+TRAVEL+BAN+%5BSaudi+Arabia+Fifth+UA+257.12%5D&amp;page_url_params=utm_source%3Dutm_source%253Dtest_source%2526utm_medium%253Dads&amp;Campaign+Date=02%2F07%2F25&amp;Campaign+Time=22%3A14%3A36&amp;en_txn6=Country%3A+Saudi+Arabia&amp;en_txn7=CaseNumber%3A+Fifth+257.12&amp;en_txn8=Topic%3A+Freedom+of+Expression%2C+Human+Rights+Defenders&amp;en_txn10=YearType%3A+2025%2C+Email&amp;color=%23f26722&amp;height=422</t>
  </si>
  <si>
    <t>https://act.amnestyusa.org/page/153818/petition/1?submit_btn_text=Get+the+sample+letter&amp;page_title=OLDER+SUFI+SHEIKH+FORCIBLY+DISAPPEARED+FOR+A+YEAR+%5BLibya+12.25%5D&amp;page_url_params=utm_source%3Dutm_source%253Dtest_source%2526utm_medium%253Dads&amp;Campaign+Date=02%2F10%2F25&amp;Campaign+Time=18%3A51%3A09&amp;en_txn6=Country%3A+Libya&amp;en_txn7=CaseNumber%3A+12.25+Libya&amp;en_txn8=Topic%3A+Freedom+of+Expression%2C+Health%2C+Individuals+At+Risk&amp;en_txn10=YearType%3A+2025%2C+Email&amp;color=%23f26722&amp;height=422</t>
  </si>
  <si>
    <t>https://act.amnestyusa.org/page/153818/petition/1?submit_btn_text=Get+the+sample+letter&amp;page_title=PRISONERS+AT+IMMINENT+RISK+OF+EXECUTION+%5BIran+10.25%5D&amp;page_url_params=utm_source%3Dutm_source%253Dtest_source%2526utm_medium%253Dads&amp;Campaign+Date=02%2F07%2F25&amp;Campaign+Time=06%3A10%3A33&amp;en_txn6=Country%3A+Iran&amp;en_txn7=CaseNumber%3A+10.25+Iran&amp;en_txn8=Topic%3A+Death+Penalty%2C+Individuals+At+Risk&amp;en_txn10=YearType%3A+2025%2C+Email&amp;color=%23f26722&amp;height=422</t>
  </si>
  <si>
    <t>https://act.amnestyusa.org/page/153818/petition/1?submit_btn_text=Get+the+sample+letter&amp;page_title=UNJUSTLY+JAILED+RIGHTS+LAWYER+REFERRED+TO+TRIAL+%5BEgypt+Second+UA+80.23%5D&amp;page_url_params=utm_source%3Dutm_source%253Dtest_source%2526utm_medium%253Dads&amp;Campaign+Date=02%2F11%2F25&amp;Campaign+Time=20%3A37%3A24&amp;en_txn6=Country%3A+Egypt&amp;en_txn7=CaseNumber%3A+Second+80.23+Egypt&amp;en_txn8=Topic%3A+Health%2C+Individuals+At+Risk&amp;en_txn10=YearType%3A+2025%2C+Email&amp;color=%23f26722&amp;height=422</t>
  </si>
  <si>
    <t>safutrell@ucdavis.edu</t>
  </si>
  <si>
    <t>https://act.amnestyusa.org/page/153818/petition/1?email_text=Thank+you+for+your+support%21&amp;email_cta_text=Take+Action&amp;email_cta_url=https%3A%2F%2Fwww.amnestyusa.org&amp;submit_btn_text=Get+the+sample+letter&amp;page_title=End+Racist+Deportations+of+Haitians&amp;page_url_params=utm_source%3Dutm_source%253Dtest_source%2526utm_medium%253Dads&amp;Campaign+Date=11%2F20%2F24&amp;Campaign+Time=18%3A36%3A45&amp;en_txn6=Country%3A+Dominican+Republic&amp;en_txn7=CaseNumber%3A+88.24+Dominican+Republic&amp;en_txn8=Topic%3A+Individuals+At+Risk%2C+Refugee+and+Migrant+Rights&amp;en_txn10=YearType%3A+2024%2C+Letter&amp;color=%23f26722&amp;height=422</t>
  </si>
  <si>
    <t>https://act.amnestyusa.org/page/153818/petition/1?submit_btn_text=Get+the+sample+letter&amp;page_title=PEOPLE+SEEKING+SAFETY+AT+RISK+IN+THE+USA+%5BUSA+4.25%5D&amp;page_url_params=utm_source%3Dutm_source%253Dtest_source%2526utm_medium%253Dads&amp;Campaign+Date=01%2F30%2F25&amp;Campaign+Time=15%3A27%3A04&amp;en_txn6=Country%3A+USA&amp;en_txn7=CaseNumber%3A+4.25+USA&amp;en_txn8=Topic%3A+Individuals+At+Risk%2C+Refugee+and+Migrant+Rights&amp;en_txn10=YearType%3A+2025%2C+Letter&amp;color=%23f26722&amp;height=422</t>
  </si>
  <si>
    <t>megremple@gmail.com</t>
  </si>
  <si>
    <t>https://act.amnestyusa.org/page/153818/petition/1?email_text=Thank+you+for+your+support%21&amp;email_cta_text=Take+Action&amp;email_cta_url=https%3A%2F%2Fwww.amnestyusa.org&amp;submit_btn_text=Get+the+sample+letter&amp;page_title=OPPOSITION+POLITICIAN+CHARGED+AFTER+ABDUCTION&amp;page_url_params=utm_source%3Dutm_source%253Dtest_source%2526utm_medium%253Dads&amp;Campaign+Date=01%2F07%2F25&amp;Campaign+Time=15%3A16%3A01&amp;en_txn6=Country%3A+Uganda&amp;en_txn7=CaseNumber%3A+100.24+Uganda&amp;en_txn8=Topic%3A+Freedom+of+Expression&amp;en_txn10=YearType%3A+2024%2C+Email&amp;color=%23f26722&amp;height=422</t>
  </si>
  <si>
    <t>https://act.amnestyusa.org/page/153818/petition/1?submit_btn_text=Get+the+sample+letter&amp;page_title=PRISONERS+AT+IMMINENT+RISK+OF+EXECUTION+%5BIran+10.25%5D&amp;page_url_params=utm_source%3Dutm_source%253Dtest_source%2526utm_medium%253Dads&amp;Campaign+Date=02%2F13%2F25&amp;Campaign+Time=20%3A12%3A58&amp;en_txn6=Country%3A+Iran&amp;en_txn7=CaseNumber%3A+10.25+Iran&amp;en_txn8=Topic%3A+Death+Penalty%2C+Individuals+At+Risk&amp;en_txn10=YearType%3A+2025%2C+Email&amp;color=%23f26722&amp;height=422</t>
  </si>
  <si>
    <t>mobile:N~tablet:N~device:GOOGLE~os:Chrome OS~browser:Chrome 13</t>
  </si>
  <si>
    <t>https://act.amnestyusa.org/page/153818/petition/1?email_text=Thank+you+for+your+support%21&amp;email_cta_text=Take+Action&amp;email_cta_url=https%3A%2F%2Fwww.amnestyusa.org&amp;submit_btn_text=Get+the+sample+letter&amp;page_title=RELEASE+PAEDIATRICIAN+AND+HOSPITAL+DIRECTOR&amp;page_url_params=utm_source%3Dutm_source%253Dtest_source%2526utm_medium%253Dads&amp;Campaign+Date=01%2F14%2F25&amp;Campaign+Time=22%3A03%3A18&amp;en_txn6=Country%3A+Israel+and+Occupied+Palestinian+Territories&amp;en_txn7=CaseNumber%3A+3.25+IOPT&amp;en_txn8=Topic%3A+Freedom+of+Expression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</si>
  <si>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16%2F25&amp;Campaign+Time=09%3A20%3A07&amp;en_txn6=Country%3A+Israel+and+Occupied+Palestinian+Territories&amp;en_txn7=CaseNumber%3A+3.25+IOPT&amp;en_txn8=Topic%3A+Freedom+of+Expression%2C+Individuals+At+Risk&amp;en_txn10=YearType%3A+2025%2C+Email&amp;color=%23f26722&amp;height=422</t>
  </si>
  <si>
    <t>shulingsu1@gmail.com</t>
  </si>
  <si>
    <t>https://act.amnestyusa.org/page/153818/petition/1?email_text=Thank+you+for+your+support%21&amp;email_cta_text=Take+Action&amp;email_cta_url=https%3A%2F%2Fwww.amnestyusa.org&amp;submit_btn_text=Get+the+sample+letter&amp;page_title=INDIANA%E2%80%99S+FIRST+EXECUTION+IN+15+YEARS+LOOMS&amp;page_url_params=utm_source%3Dutm_source%253Dtest_source%2526utm_medium%253Dads&amp;Campaign+Date=12%2F10%2F24&amp;Campaign+Time=00%3A41%3A09&amp;en_txn6=Country%3A+USA&amp;en_txn7=CaseNumber%3A+105.24+USA&amp;en_txn8=Topic%3A+Death+Penalty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</si>
  <si>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KURDISH+DISSIDENT+SENTENCED+TO+DEATH+IN+IRAN&amp;page_url_params=utm_source%3Dutm_source%253Dtest_source%2526utm_medium%253Dads&amp;Campaign+Date=12%2F09%2F24&amp;Campaign+Time=20%3A28%3A35&amp;en_txn6=Country%3A+Iran&amp;en_txn7=CaseNumber%3A+101.24+Iran&amp;en_txn8=Topic%3A+Death+Penalty%2C+Freedom+of+Expression%2C+Individuals+At+Risk%2C+Right+to+Protest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</si>
  <si>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OPPOSITION+POLITICIAN+CHARGED+AFTER+ABDUCTION&amp;page_url_params=utm_source%3Dutm_source%253Dtest_source%2526utm_medium%253Dads&amp;Campaign+Date=12%2F09%2F24&amp;Campaign+Time=20%3A59%3A21&amp;en_txn6=Country%3A+Uganda&amp;en_txn7=CaseNumber%3A+100.24+Uganda&amp;en_txn8=Topic%3A+Freedom+of+Expression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</si>
  <si>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USSIA%2C+RELEASE+ALEKSEI+GORINOV%21&amp;page_url_params=utm_source%3Dutm_source%253Dtest_source%2526utm_medium%253Dads&amp;Campaign+Date=12%2F10%2F24&amp;Campaign+Time=04%3A23%3A16&amp;en_txn6=Country%3A+Russian+Federation&amp;en_txn7=CaseNumber%3A+Second+23.24+Russia&amp;en_txn8=Topic%3A+Freedom+of+Expression&amp;en_txn10=YearType%3A+2024%2C+Letter&amp;color=%23f26722&amp;height=422</t>
  </si>
  <si>
    <t>CaseNumber: Second 23.24 Russia</t>
  </si>
  <si>
    <t>https://act.amnestyusa.org/page/153818/petition/1?email_text=Thank+you+for+your+support%21&amp;email_cta_text=Take+Action&amp;email_cta_url=https%3A%2F%2Fwww.amnestyusa.org&amp;submit_btn_text=Get+the+sample+letter&amp;page_title=INDIANA%E2%80%99S+FIRST+EXECUTION+IN+15+YEARS+LOOMS&amp;page_url_params=utm_source%3Dutm_source%253Dtest_source%2526utm_medium%253Dads&amp;Campaign+Date=12%2F10%2F24&amp;Campaign+Time=16%3A44%3A00&amp;en_txn6=Country%3A+USA&amp;en_txn7=CaseNumber%3A+105.24+USA&amp;en_txn8=Topic%3A+Death+Penalty&amp;en_txn10=YearType%3A+2024%2C+Email&amp;color=%23f26722&amp;height=422</t>
  </si>
  <si>
    <t>https://act.amnestyusa.org/page/153818/petition/1?submit_btn_text=Get+the+sample+letter&amp;page_title=PEOPLE+SEEKING+SAFETY+AT+RISK+IN+THE+USA+%5BUSA+4.25%5D&amp;page_url_params=utm_source%3Dutm_source%253Dtest_source%2526utm_medium%253Dads&amp;Campaign+Date=01%2F20%2F25&amp;Campaign+Time=17%3A42%3A39&amp;en_txn6=Country%3A+USA&amp;en_txn7=CaseNumber%3A+4.25+USA&amp;en_txn8=Topic%3A+Individuals+At+Risk%2C+Refugee+and+Migrant+Rights&amp;en_txn10=YearType%3A+2025%2C+Letter&amp;color=%23f26722&amp;height=422</t>
  </si>
  <si>
    <t>https://act.amnestyusa.org/page/153818/petition/1?submit_btn_text=Get+the+sample+letter&amp;page_title=HUMAN+RIGHTS+DEFENDER+ON+HUNGER+STRIKE+%5BSecond+UA+76.24+Tunisia%5D&amp;page_url_params=utm_source%3Dutm_source%253Dtest_source%2526utm_medium%253Dads&amp;Campaign+Date=02%2F04%2F25&amp;Campaign+Time=10%3A07%3A52&amp;en_txn6=Country%3A+Tunisia&amp;en_txn7=CaseNumber%3A+Second+76.24+Tunisia&amp;en_txn8=Topic%3A+Freedom+of+Expression%2C+Human+Rights+Defenders&amp;en_txn10=YearType%3A+2025%2C+Email&amp;color=%23f26722&amp;height=422</t>
  </si>
  <si>
    <t>https://act.amnestyusa.org/page/153818/petition/1?submit_btn_text=Get+the+sample+letter&amp;page_title=HUMAN+RIGHTS+DEFENDER+ON+HUNGER+STRIKE+%5BSecond+UA+76.24+Tunisia%5D&amp;page_url_params=utm_source%3Dutm_source%253Dtest_source%2526utm_medium%253Dads&amp;Campaign+Date=02%2F01%2F25&amp;Campaign+Time=14%3A09%3A56&amp;en_txn6=Country%3A+Tunisia&amp;en_txn7=CaseNumber%3A+Second+76.24+Tunisia&amp;en_txn8=Topic%3A+Freedom+of+Expression%2C+Human+Rights+Defenders&amp;en_txn10=YearType%3A+2025%2C+Email&amp;color=%23f26722&amp;height=422</t>
  </si>
  <si>
    <t>dundance@gmail.com</t>
  </si>
  <si>
    <t>https://act.amnestyusa.org/page/153818/petition/1?email_text=Thank+you+for+your+support%21&amp;email_cta_text=Take+Action&amp;email_cta_url=https%3A%2F%2Fwww.amnestyusa.org&amp;submit_btn_text=Get+the+sample+letter&amp;page_title=Stop+the+Execution+of+Carey+Grayson&amp;page_url_params=utm_source%3Dutm_source%253Dtest_source%2526utm_medium%253Dads&amp;Campaign+Date=11%2F20%2F24&amp;Campaign+Time=18%3A34%3A28&amp;en_txn6=Country%3A+USA&amp;en_txn7=CaseNumber%3A+96.24+USA&amp;en_txn8=Topic%3A+Death+Penalty&amp;en_txn10=YearType%3A+2024%2C+Email&amp;color=%23f26722&amp;height=422</t>
  </si>
  <si>
    <t>https://act.amnestyusa.org/page/153818/petition/1?submit_btn_text=Get+the+sample+letter&amp;page_title=UNJUSTLY+JAILED+RIGHTS+LAWYER+REFERRED+TO+TRIAL+%5BEgypt+Second+UA+80.23%5D&amp;page_url_params=utm_source%3Dutm_source%253Dtest_source%2526utm_medium%253Dads&amp;Campaign+Date=02%2F13%2F25&amp;Campaign+Time=17%3A36%3A31&amp;en_txn6=Country%3A+Egypt&amp;en_txn7=CaseNumber%3A+Second+80.23+Egypt&amp;en_txn8=Topic%3A+Health%2C+Individuals+At+Risk&amp;en_txn10=YearType%3A+2025%2C+Email&amp;color=%23f26722&amp;height=422</t>
  </si>
  <si>
    <t>https://act.amnestyusa.org/page/153818/petition/1?submit_btn_text=Get+the+sample+letter&amp;page_title=RELEASE+JOURNALIST+CONVICTED+OF+PROPAGANDA+%5BAfghanistan+11.25%5D&amp;page_url_params=utm_source%3Dutm_source%253Dtest_source%2526utm_medium%253Dads&amp;Campaign+Date=02%2F13%2F25&amp;Campaign+Time=20%3A09%3A32&amp;en_txn6=Country%3A+Afghanistan&amp;en_txn7=CaseNumber%3A+11.25+Afghanistan&amp;en_txn8=Topic%3A+Freedom+of+Expression%2C+Health%2C+Individuals+At+Risk&amp;en_txn10=YearType%3A+2025%2C+Email&amp;color=%23f26722&amp;height=422</t>
  </si>
  <si>
    <t>https://act.amnestyusa.org/page/153818/petition/1?submit_btn_text=Get+the+sample+letter&amp;page_title=LIFT+MOHAMMED+AL-QAHTANI%26%238217%3BS+TRAVEL+BAN+%5BSaudi+Arabia+Fifth+UA+257.12%5D&amp;page_url_params=utm_source%3Dutm_source%253Dtest_source%2526utm_medium%253Dads&amp;Campaign+Date=02%2F13%2F25&amp;Campaign+Time=20%3A27%3A52&amp;en_txn6=Country%3A+Saudi+Arabia&amp;en_txn7=CaseNumber%3A+Fifth+257.12&amp;en_txn8=Topic%3A+Freedom+of+Expression%2C+Human+Rights+Defenders&amp;en_txn10=YearType%3A+2025%2C+Email&amp;color=%23f26722&amp;height=422</t>
  </si>
  <si>
    <t>https://act.amnestyusa.org/page/153818/petition/1?submit_btn_text=Get+the+sample+letter&amp;page_title=FILMMAKER+ARBITRARILY+DETAINED+%5BAfghanistan+7.25%5D&amp;page_url_params=utm_source%3Dutm_source%253Dtest_source%2526utm_medium%253Dads&amp;Campaign+Date=02%2F10%2F25&amp;Campaign+Time=19%3A05%3A09&amp;en_txn6=Country%3A+Afghanistan&amp;en_txn7=CaseNumber%3A+7.25+Afghanistan&amp;en_txn8=Topic%3A+Freedom+of+Expression%2C+Individuals+At+Risk%2C+Women%27s+Rights&amp;en_txn10=YearType%3A+2025%2C+Email&amp;color=%23f26722&amp;height=422</t>
  </si>
  <si>
    <t>CaseNumber: 7.25 Afghanistan</t>
  </si>
  <si>
    <t>Topic: Freedom of Expression, Individuals At Risk, Women's Rights</t>
  </si>
  <si>
    <t>https://act.amnestyusa.org/page/153818/petition/1?submit_btn_text=Get+the+sample+letter&amp;page_title=PROMINENT+JOURNALIST+ARBITRARILY+DETAINED+%5BTunisia+8.25%5D&amp;page_url_params=utm_source%3Dutm_source%253Dtest_source%2526utm_medium%253Dads&amp;Campaign+Date=02%2F11%2F25&amp;Campaign+Time=19%3A12%3A45&amp;en_txn6=Country%3A+Tunisia&amp;en_txn7=CaseNumber%3A+8.25+Tunisia&amp;en_txn8=Topic%3A+Freedom+of+Expression&amp;en_txn10=YearType%3A+2025%2C+Email&amp;color=%23f26722&amp;height=422</t>
  </si>
  <si>
    <t>https://act.amnestyusa.org/page/153818/petition/1?submit_btn_text=Get+the+sample+letter&amp;page_title=MILITARY+COURT+CONVICTS+HUMAN+RIGHTS+LAWYER+%5BUganda+9.24%5D&amp;page_url_params=utm_source%3Dutm_source%253Dtest_source%2526utm_medium%253Dads&amp;Campaign+Date=02%2F06%2F25&amp;Campaign+Time=05%3A55%3A57&amp;en_txn6=Country%3A+Uganda&amp;en_txn7=CaseNumber%3A+9.25+Uganda&amp;en_txn8=Topic%3A+Freedom+of+Expression%2C+Human+Rights+Defenders&amp;en_txn10=YearType%3A+2025%2C+Email&amp;color=%23f26722&amp;height=422</t>
  </si>
  <si>
    <t>https://act.amnestyusa.org/page/153818/petition/1?submit_btn_text=Get+the+sample+letter&amp;page_title=PROTECT+CIVILIANS+IN+CATATUMBO+%5BColombia+5.25%5D&amp;page_url_params=utm_source%3Dutm_source%253Dtest_source%2526utm_medium%253Dads&amp;Campaign+Date=01%2F30%2F25&amp;Campaign+Time=15%3A23%3A14&amp;en_txn6=Country%3A+Colombia&amp;en_txn7=CaseNumber%3A+5.25+Colombia&amp;en_txn8=Topic%3A+Human+Rights+Defenders%2C+Individuals+At+Risk&amp;en_txn10=YearType%3A+2025%2C+Email&amp;color=%23f26722&amp;height=422</t>
  </si>
  <si>
    <t>CaseNumber: 5.25 Colombia</t>
  </si>
  <si>
    <t>https://act.amnestyusa.org/page/153818/petition/1?submit_btn_text=Get+the+sample+letter&amp;page_title=FREE+IMPRISONED+HUMAN+RIGHTS+DEFENDER&amp;page_url_params=utm_source%3Dutm_source%253Dtest_source%2526utm_medium%253Dads&amp;Campaign+Date=01%2F31%2F25&amp;Campaign+Time=05%3A24%3A25&amp;en_txn6=Country%3A+Turkiye&amp;en_txn7=CaseNumber%3A+Second+109.24+T%C3%BCrkiye&amp;en_txn8=Topic%3A+Human+Rights+Defenders&amp;en_txn10=YearType%3A+2025%2C+Email&amp;color=%23f26722&amp;height=422</t>
  </si>
  <si>
    <t>https://act.amnestyusa.org/page/153818/petition/1?submit_btn_text=Get+the+sample+letter&amp;page_title=OLDER+SUFI+SHEIKH+FORCIBLY+DISAPPEARED+FOR+A+YEAR+%5BLibya+12.25%5D&amp;page_url_params=utm_source%3Dutm_source%253Dtest_source%2526utm_medium%253Dads&amp;Campaign+Date=02%2F13%2F25&amp;Campaign+Time=17%3A59%3A04&amp;en_txn6=Country%3A+Libya&amp;en_txn7=CaseNumber%3A+12.25+Libya&amp;en_txn8=Topic%3A+Freedom+of+Expression%2C+Health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</si>
  <si>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ENVIRONMENTAL+LAWYER+MUST+BE+PARDONED&amp;page_url_params=utm_source%3Dutm_source%253Dtest_source%2526utm_medium%253Dads&amp;Campaign+Date=01%2F08%2F25&amp;Campaign+Time=19%3A41%3A22&amp;en_txn6=Country%3A+USA&amp;en_txn7=CaseNumber%3A+Fourth+55.24+USA&amp;en_txn8=Topic%3A+Climate+Justice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</si>
  <si>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ELEASE+JOURNALISTS+ARRESTED+AFTER+COP29&amp;page_url_params=utm_source%3Dutm_source%253Dtest_source%2526utm_medium%253Dads&amp;Campaign+Date=01%2F14%2F25&amp;Campaign+Time=20%3A29%3A37&amp;en_txn6=Country%3A+Azerbaijan&amp;en_txn7=CaseNumber%3A+2.25+Azerbaijan&amp;en_txn8=Topic%3A+Freedom+of+Expression%2C+Human+Rights+Defenders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</si>
  <si>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FREE+VENEZUELAN+HUMAN+RIGHTS+DEFENDERS&amp;page_url_params=utm_source%3Dutm_source%253Dtest_source%2526utm_medium%253Dads&amp;Campaign+Date=01%2F14%2F25&amp;Campaign+Time=21%3A18%3A56&amp;en_txn6=Country%3A+Venezuela&amp;en_txn7=CaseNumber%3A+1.25+Venezuela&amp;en_txn8=Topic%3A+Human+Rights+Defenders%2C+Individuals+At+Risk&amp;en_txn10=YearType%3A+2025%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</si>
  <si>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PROMINENT+ARTIST+ARRESTED+FOR+HIS+WORK&amp;page_url_params=utm_source%3Dutm_source%253Dtest_source%2526utm_medium%253Dads&amp;Campaign+Date=12%2F18%2F24&amp;Campaign+Time=03%3A42%3A53&amp;en_txn6=Country%3A+China&amp;en_txn7=CaseNumber%3A+106.24+China&amp;en_txn8=Topic%3A+Freedom+of+Expression%2C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</si>
  <si>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LAWYER+TREATED+INHUMANELY&amp;page_url_params=utm_source%3Dutm_source%253Dtest_source%2526utm_medium%253Dads&amp;Campaign+Date=12%2F19%2F24&amp;Campaign+Time=19%3A43%3A07&amp;en_txn6=Country%3A+Tunisia&amp;en_txn7=CaseNumber%3A+Second+43.24+Tunisia&amp;en_txn8=Topic%3A+Freedom+of+Expression%2C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</si>
  <si>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HUMAN+RIGHTS+DEFENDER+IMPRISONED&amp;page_url_params=utm_source%3Dutm_source%253Dtest_source%2526utm_medium%253Dads&amp;Campaign+Date=12%2F20%2F24&amp;Campaign+Time=16%3A15%3A49&amp;en_txn6=Country%3A+Turkiye&amp;en_txn7=CaseNumber%3A+109.24+T%C3%BCrkiye&amp;en_txn8=Topic%3A+Human+Rights+Defenders%2C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</si>
  <si>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FATHER+APPEALS+PRISON+TERM&amp;page_url_params=utm_source%3Dutm_source%253Dtest_source%2526utm_medium%253Dads&amp;Campaign+Date=12%2F26%2F24&amp;Campaign+Time=18%3A46%3A20&amp;en_txn6=Country%3A+Egypt&amp;en_txn7=CaseNumber%3A+Third+73.23+Egypt&amp;en_txn8=Topic%3A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</si>
  <si>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ISKS+OF+FURTHER+PROTEST-RELATED+EXECUTIONS&amp;page_url_params=utm_source%3Dutm_source%253Dtest_source%2526utm_medium%253Dads&amp;Campaign+Date=01%2F01%2F25&amp;Campaign+Time=18%3A24%3A01&amp;en_txn6=Country%3A+Iran&amp;en_txn7=CaseNumber%3A+Seventh+103.22+Iran&amp;en_txn8=Topic%3A+Death+Penalty%2C+Freedom+of+Expression%2C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</si>
  <si>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DEATH+SENTENCE+FOR+SOCIAL+MEDIA+POSTS+COMMUTED&amp;page_url_params=utm_source%3Dutm_source%253Dtest_source%2526utm_medium%253Dads&amp;Campaign+Date=11%2F26%2F24&amp;Campaign+Time=20%3A21%3A55&amp;en_txn6=Country%3A+Saudi+Arabia&amp;en_txn7=CaseNumber%3A+Second+85.23+Saudi+Arabia&amp;en_txn8=Topic%3A+Freedom+of+Expression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</si>
  <si>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HALT+PIPELINE+PROJECT+WITH+OUTDATED+PERMIT%C2%A0&amp;page_url_params=utm_source%3Dutm_source%253Dtest_source%2526utm_medium%253Dads&amp;Campaign+Date=12%2F05%2F24&amp;Campaign+Time=18%3A01%3A00&amp;en_txn6=Country%3A+Canada&amp;en_txn7=CaseNumber%3A+99.24+Canada&amp;en_txn8=Topic%3A+Climate+Justice%2C+Indigenous+Rights%2C+Right+to+Protest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</si>
  <si>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USSIA%2C+RELEASE+ALEKSEI+GORINOV%21&amp;page_url_params=utm_source%3Dutm_source%253Dtest_source%2526utm_medium%253Dads&amp;Campaign+Date=12%2F05%2F24&amp;Campaign+Time=15%3A35%3A21&amp;en_txn6=Country%3A+Russian+Federation&amp;en_txn7=CaseNumber%3A+Second+23.24+Russia&amp;en_txn8=Topic%3A+Freedom+of+Expression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</si>
  <si>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HEALTH+CONCERNS+FOR+JAILED+UYGHUR+MUSICIAN%C2%A0&amp;page_url_params=utm_source%3Dutm_source%253Dtest_source%2526utm_medium%253Dads&amp;Campaign+Date=12%2F05%2F24&amp;Campaign+Time=17%3A58%3A35&amp;en_txn6=Country%3A+China&amp;en_txn7=CaseNumber%3A+98.24+China&amp;en_txn8=Topic%3A+Freedom+of+Expression%2C+Individuals+At+Risk&amp;en_txn10=YearType%3A+2024%2C+Letter&amp;color=%23f26722&amp;height=422</t>
  </si>
  <si>
    <t>https://act.amnestyusa.org/page/153818/petition/1?submit_btn_text=Get+the+sample+letter&amp;page_title=PEOPLE+SEEKING+SAFETY+AT+RISK+IN+THE+USA+%5BUSA+4.25%5D&amp;page_url_params=utm_source%3Dutm_source%253Dtest_source%2526utm_medium%253Dads&amp;Campaign+Date=02%2F05%2F25&amp;Campaign+Time=17%3A33%3A57&amp;en_txn6=Country%3A+USA&amp;en_txn7=CaseNumber%3A+4.25+USA&amp;en_txn8=Topic%3A+Individuals+At+Risk%2C+Refugee+and+Migrant+Rights&amp;en_txn10=YearType%3A+2025%2C+Letter&amp;color=%23f26722&amp;height=422</t>
  </si>
  <si>
    <t>https://act.amnestyusa.org/page/153818/petition/1?submit_btn_text=Get+the+sample+letter&amp;page_title=PEOPLE+SEEKING+SAFETY+AT+RISK+IN+THE+USA+%5BUSA+4.25%5D&amp;page_url_params=utm_source%3Dutm_source%253Dtest_source%2526utm_medium%253Dads&amp;Campaign+Date=02%2F02%2F25&amp;Campaign+Time=22%3A12%3A46&amp;en_txn6=Country%3A+USA&amp;en_txn7=CaseNumber%3A+4.25+USA&amp;en_txn8=Topic%3A+Individuals+At+Risk%2C+Refugee+and+Migrant+Rights&amp;en_txn10=YearType%3A+2025%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</si>
  <si>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OPPOSITION+POLITICIAN+CHARGED+AFTER+ABDUCTION&amp;page_url_params=utm_source%3Dutm_source%253Dtest_source%2526utm_medium%253Dads&amp;Campaign+Date=12%2F11%2F24&amp;Campaign+Time=08%3A29%3A05&amp;en_txn6=Country%3A+Uganda&amp;en_txn7=CaseNumber%3A+100.24+Uganda&amp;en_txn8=Topic%3A+Freedom+of+Expression&amp;en_txn10=YearType%3A+2024%2C+Email&amp;color=%23f26722&amp;height=422</t>
  </si>
  <si>
    <t>https://act.amnestyusa.org/page/153818/petition/1?submit_btn_text=Get+the+sample+letter&amp;page_title=LIFT+MOHAMMED+AL-QAHTANI%26%238217%3BS+TRAVEL+BAN+%5BSaudi+Arabia+Fifth+UA+257.12%5D&amp;page_url_params=utm_source%3Dutm_source%253Dtest_source%2526utm_medium%253Dads&amp;Campaign+Date=02%2F07%2F25&amp;Campaign+Time=20%3A14%3A16&amp;en_txn6=Country%3A+Saudi+Arabia&amp;en_txn7=CaseNumber%3A+Fifth+257.12&amp;en_txn8=Topic%3A+Freedom+of+Expression%2C+Human+Rights+Defenders&amp;en_txn10=YearType%3A+2025%2C+Email&amp;color=%23f26722&amp;height=422</t>
  </si>
  <si>
    <t>https://act.amnestyusa.org/page/153818/petition/1?submit_btn_text=Get+the+sample+letter&amp;page_title=FREE+VENEZUELAN+HUMAN+RIGHTS+DEFENDERS&amp;page_url_params=utm_source%3Dutm_source%253Dtest_source%2526utm_medium%253Dads&amp;Campaign+Date=01%2F25%2F25&amp;Campaign+Time=07%3A46%3A32&amp;en_txn6=Country%3A+Venezuela&amp;en_txn7=CaseNumber%3A+1.25+Venezuela&amp;en_txn8=Topic%3A+Human+Rights+Defenders%2C+Individuals+At+Risk&amp;en_txn10=YearType%3A+2025%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</si>
  <si>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ISKS+OF+FURTHER+PROTEST-RELATED+EXECUTIONS&amp;page_url_params=utm_source%3Dutm_source%253Dtest_source%2526utm_medium%253Dads&amp;Campaign+Date=01%2F07%2F25&amp;Campaign+Time=12%3A29%3A11&amp;en_txn6=Country%3A+Iran&amp;en_txn7=CaseNumber%3A+Seventh+103.22+Iran&amp;en_txn8=Topic%3A+Death+Penalty%2C+Freedom+of+Expression%2C+Individuals+At+Risk&amp;en_txn10=YearType%3A+2024%2C+Email&amp;color=%23f26722&amp;height=422</t>
  </si>
  <si>
    <t>https://act.amnestyusa.org/page/153818/petition/1?submit_btn_text=Get+the+sample+letter&amp;page_title=PROMINENT+HUMAN+RIGHTS+DEFENDER+DETAINED&amp;page_url_params=utm_source%3Dutm_source%253Dtest_source%2526utm_medium%253Dads&amp;Campaign+Date=01%2F25%2F25&amp;Campaign+Time=07%3A09%3A06&amp;en_txn6=Country%3A+Niger&amp;en_txn7=CaseNumber%3A+103.24+Niger&amp;en_txn8=Topic%3A+Freedom+of+Expression%2C+Human+Rights+Defenders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</si>
  <si>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End+Racist+Deportations+of+Haitians&amp;page_url_params=utm_source%3Dutm_source%253Dtest_source%2526utm_medium%253Dads&amp;Campaign+Date=11%2F21%2F24&amp;Campaign+Time=05%3A24%3A01&amp;en_txn6=Country%3A+Dominican+Republic&amp;en_txn7=CaseNumber%3A+88.24+Dominican+Republic&amp;en_txn8=Topic%3A+Individuals+At+Risk%2C+Refugee+and+Migrant+Rights&amp;en_txn10=YearType%3A+2024%2C+Letter&amp;color=%23f26722&amp;height=422</t>
  </si>
  <si>
    <t>mobile:N~tablet:N~device:OTHER~os:Linux~browser:Chrome 13</t>
  </si>
  <si>
    <t>https://act.amnestyusa.org/page/153818/petition/1?email_text=Thank+you+for+your+support%21&amp;email_cta_text=Take+Action&amp;email_cta_url=https%3A%2F%2Fwww.amnestyusa.org&amp;submit_btn_text=Get+the+sample+letter&amp;page_title=KURDISH+DISSIDENT+SENTENCED+TO+DEATH+IN+IRAN&amp;page_url_params=utm_source%3Dutm_source%253Dtest_source%2526utm_medium%253Dads&amp;Campaign+Date=01%2F03%2F25&amp;Campaign+Time=06%3A39%3A35&amp;en_txn6=Country%3A+Iran&amp;en_txn7=CaseNumber%3A+101.24+Iran&amp;en_txn8=Topic%3A+Death+Penalty%2C+Freedom+of+Expression%2C+Individuals+At+Risk%2C+Right+to+Protest&amp;en_txn10=YearType%3A+2024%2C+Email&amp;color=%23f26722&amp;height=422</t>
  </si>
  <si>
    <t>mobile:N~tablet:N~device:CONONICAL~os:Ubuntu~browser:Firefox 13</t>
  </si>
  <si>
    <t>https://act.amnestyusa.org/page/153818/petition/1?val&amp;submit_btn_text=Get+the+sample+letter&amp;page_title=PEOPLE+SEEKING+SAFETY+AT+RISK+IN+THE+USA+%5BUSA+4.25%5D&amp;page_url_params=utm_source%3Dutm_source%253Dtest_source%2526utm_medium%253Dads&amp;Campaign+Date=01%2F20%2F25&amp;Campaign+Time=17%3A24%3A15&amp;en_txn6=Country%3A+USA&amp;en_txn7=CaseNumber%3A+4.25+USA&amp;en_txn8=Topic%3A+Individuals+At+Risk%2C+Refugee+and+Migrant+Rights&amp;en_txn10=YearType%3A+2025%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</si>
  <si>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ENVIRONMENTAL+LAWYER+MUST+BE+PARDONED&amp;page_url_params=utm_source%3Dutm_source%253Dtest_source%2526utm_medium%253Dads&amp;Campaign+Date=01%2F16%2F25&amp;Campaign+Time=19%3A09%3A51&amp;en_txn6=Country%3A+USA&amp;en_txn7=CaseNumber%3A+Fourth+55.24+USA&amp;en_txn8=Topic%3A+Climate+Justice%2C+Individuals+At+Risk&amp;en_txn10=YearType%3A+2025%2C+Email&amp;color=%23f26722&amp;height=422</t>
  </si>
  <si>
    <t>swbisa@windstream.net</t>
  </si>
  <si>
    <t>dms2@mindspring.com</t>
  </si>
  <si>
    <t>https://act.amnestyusa.org/page/153818/petition/1?email_text=Thank+you+for+your+support%21&amp;email_cta_text=Take+Action&amp;email_cta_url=https%3A%2F%2Fwww.amnestyusa.org&amp;submit_btn_text=Get+the+sample+letter&amp;page_title=INDIANA%E2%80%99S+FIRST+EXECUTION+IN+15+YEARS+LOOMS&amp;page_url_params=utm_source%3Dutm_source%253Dtest_source%2526utm_medium%253Dads&amp;Campaign+Date=12%2F06%2F24&amp;Campaign+Time=17%3A49%3A41&amp;en_txn6=Country%3A+USA&amp;en_txn7=CaseNumber%3A+105.24+USA&amp;en_txn8=Topic%3A+Death+Penalty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</si>
  <si>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INDIANA%E2%80%99S+FIRST+EXECUTION+IN+15+YEARS+LOOMS&amp;page_url_params=utm_source%3Dutm_source%253Dtest_source%2526utm_medium%253Dads&amp;Campaign+Date=12%2F13%2F24&amp;Campaign+Time=09%3A56%3A46&amp;en_txn6=Country%3A+USA&amp;en_txn7=CaseNumber%3A+105.24+USA&amp;en_txn8=Topic%3A+Death+Penalty&amp;en_txn10=YearType%3A+2024%2C+Email&amp;color=%23f26722&amp;height=422</t>
  </si>
  <si>
    <t>twalker22@wi.rr.com</t>
  </si>
  <si>
    <t>nmhoffman@mindspring.com</t>
  </si>
  <si>
    <t>https://act.amnestyusa.org/page/153818/petition/1?email_text=Thank+you+for+your+support%21&amp;email_cta_text=Take+Action&amp;email_cta_url=https%3A%2F%2Fwww.amnestyusa.org&amp;submit_btn_text=Get+the+sample+letter&amp;page_title=OPPOSITION+POLITICIAN+CHARGED+AFTER+ABDUCTION&amp;page_url_params=utm_source%3Dutm_source%253Dtest_source%2526utm_medium%253Dads&amp;Campaign+Date=01%2F17%2F25&amp;Campaign+Time=20%3A06%3A53&amp;en_txn6=Country%3A+Uganda&amp;en_txn7=CaseNumber%3A+100.24+Uganda&amp;en_txn8=Topic%3A+Freedom+of+Expression&amp;en_txn10=YearType%3A+2024%2C+Email&amp;color=%23f26722&amp;height=422</t>
  </si>
  <si>
    <t>whizcats@sbcglobal.net</t>
  </si>
  <si>
    <t>https://act.amnestyusa.org/page/153818/petition/1?email_text=Thank+you+for+your+support%21&amp;email_cta_text=Take+Action&amp;email_cta_url=https%3A%2F%2Fwww.amnestyusa.org&amp;submit_btn_text=Get+the+sample+letter&amp;page_title=HUMAN+RIGHTS+DEFENDER+IMPRISONED&amp;page_url_params=utm_source%3Dutm_source%253Dtest_source%2526utm_medium%253Dads&amp;Campaign+Date=01%2F03%2F25&amp;Campaign+Time=22%3A46%3A19&amp;en_txn6=Country%3A+Turkiye&amp;en_txn7=CaseNumber%3A+109.24+T%C3%BCrkiye&amp;en_txn8=Topic%3A+Human+Rights+Defenders%2C+Individuals+At+Risk&amp;en_txn10=YearType%3A+2024%2C+Email&amp;color=%23f26722&amp;height=422</t>
  </si>
  <si>
    <t>https://act.amnestyusa.org/page/153818/petition/1?submit_btn_text=Get+the+sample+letter&amp;page_title=PROMINENT+ARTIST+ARRESTED+FOR+HIS+WORK&amp;page_url_params=utm_source%3Dutm_source%253Dtest_source%2526utm_medium%253Dads&amp;Campaign+Date=02%2F04%2F25&amp;Campaign+Time=21%3A35%3A35&amp;en_txn6=Country%3A+China&amp;en_txn7=CaseNumber%3A+106.24+China&amp;en_txn8=Topic%3A+Freedom+of+Expression%2C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</si>
  <si>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FREE+VENEZUELAN+HUMAN+RIGHTS+DEFENDERS&amp;page_url_params=utm_source%3Dutm_source%253Dtest_source%2526utm_medium%253Dads&amp;Campaign+Date=01%2F18%2F25&amp;Campaign+Time=12%3A14%3A54&amp;en_txn6=Country%3A+Venezuela&amp;en_txn7=CaseNumber%3A+1.25+Venezuela&amp;en_txn8=Topic%3A+Human+Rights+Defenders%2C+Individuals+At+Risk&amp;en_txn10=YearType%3A+2025%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</si>
  <si>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ISKS+OF+FURTHER+PROTEST-RELATED+EXECUTIONS&amp;page_url_params=utm_source%3Dutm_source%253Dtest_source%2526utm_medium%253Dads&amp;Campaign+Date=01%2F18%2F25&amp;Campaign+Time=06%3A41%3A23&amp;en_txn6=Country%3A+Iran&amp;en_txn7=CaseNumber%3A+Seventh+103.22+Iran&amp;en_txn8=Topic%3A+Death+Penalty%2C+Freedom+of+Expression%2C+Individuals+At+Risk&amp;en_txn10=YearType%3A+2024%2C+Email&amp;color=%23f26722&amp;height=422</t>
  </si>
  <si>
    <t>mobile:N~tablet:N~device:GOOGLE~os:Chrome OS~browser:Chrome 12</t>
  </si>
  <si>
    <t>https://donate.amnestyusa.org/page/157642/subscribe/1?_gl=1*7550h5*_gcl_au*MTczOTY1NDk5Ni4xNzM5NjA4Mzgy&amp;color=%23252525</t>
  </si>
  <si>
    <t>https://act.amnestyusa.org/page/153818/petition/1?email_text=Thank+you+for+your+support%21&amp;email_cta_text=Take+Action&amp;email_cta_url=https%3A%2F%2Fwww.amnestyusa.org&amp;submit_btn_text=Get+the+sample+letter&amp;page_title=OPPOSITION+POLITICIAN+CHARGED+AFTER+ABDUCTION&amp;page_url_params=utm_source%3Dutm_source%253Dtest_source%2526utm_medium%253Dads&amp;Campaign+Date=12%2F09%2F24&amp;Campaign+Time=20%3A47%3A56&amp;en_txn6=Country%3A+Uganda&amp;en_txn7=CaseNumber%3A+100.24+Uganda&amp;en_txn8=Topic%3A+Freedom+of+Expression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</si>
  <si>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INDIANA%E2%80%99S+FIRST+EXECUTION+IN+15+YEARS+LOOMS&amp;page_url_params=utm_source%3Dutm_source%253Dtest_source%2526utm_medium%253Dads&amp;Campaign+Date=12%2F11%2F24&amp;Campaign+Time=04%3A16%3A59&amp;en_txn6=Country%3A+USA&amp;en_txn7=CaseNumber%3A+105.24+USA&amp;en_txn8=Topic%3A+Death+Penalty&amp;en_txn10=YearType%3A+2024%2C+Email&amp;color=%23f26722&amp;height=422</t>
  </si>
  <si>
    <t>https://act.amnestyusa.org/page/153818/petition/1?submit_btn_text=Get+the+sample+letter&amp;page_title=MILITARY+COURT+CONVICTS+HUMAN+RIGHTS+LAWYER+%5BUganda+9.24%5D&amp;page_url_params=utm_source%3Dutm_source%253Dtest_source%2526utm_medium%253Dads&amp;Campaign+Date=02%2F14%2F25&amp;Campaign+Time=01%3A58%3A03&amp;en_txn6=Country%3A+Uganda&amp;en_txn7=CaseNumber%3A+9.25+Uganda&amp;en_txn8=Topic%3A+Freedom+of+Expression%2C+Human+Rights+Defenders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</si>
  <si>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ISKS+OF+FURTHER+PROTEST-RELATED+EXECUTIONS&amp;page_url_params=utm_source%3Dutm_source%253Dtest_source%2526utm_medium%253Dads&amp;Campaign+Date=01%2F01%2F25&amp;Campaign+Time=14%3A04%3A08&amp;en_txn6=Country%3A+Iran&amp;en_txn7=CaseNumber%3A+Seventh+103.22+Iran&amp;en_txn8=Topic%3A+Death+Penalty%2C+Freedom+of+Expression%2C+Individuals+At+Risk&amp;en_txn10=YearType%3A+2024%2C+Email&amp;color=%23f26722&amp;height=422</t>
  </si>
  <si>
    <t>https://act.amnestyusa.org/page/153818/petition/1?submit_btn_text=Get+the+sample+letter&amp;page_title=RELEASE+PEDIATRICIAN+AND+HOSPITAL+DIRECTOR+%5BIOPT+3.25%5D&amp;page_url_params=utm_source%3Dutm_source%253Dtest_source%2526utm_medium%253Dads&amp;Campaign+Date=02%2F08%2F25&amp;Campaign+Time=08%3A39%3A27&amp;en_txn6=Country%3A+Israel+and+Occupied+Palestinian+Territories&amp;en_txn7=CaseNumber%3A+3.25+IOPT&amp;en_txn8=Topic%3A+Freedom+of+Expression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</si>
  <si>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Stop+the+Execution+of+Carey+Grayson&amp;page_url_params=utm_source%3Dutm_source%253Dtest_source%2526utm_medium%253Dads&amp;Campaign+Date=11%2F21%2F24&amp;Campaign+Time=20%3A21%3A07&amp;en_txn6=Country%3A+USA&amp;en_txn7=CaseNumber%3A+96.24+USA&amp;en_txn8=Topic%3A+Death+Penalty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</si>
  <si>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End+Racist+Deportations+of+Haitians&amp;page_url_params=utm_source%3Dutm_source%253Dtest_source%2526utm_medium%253Dads&amp;Campaign+Date=11%2F21%2F24&amp;Campaign+Time=20%3A27%3A53&amp;en_txn6=Country%3A+Dominican+Republic&amp;en_txn7=CaseNumber%3A+88.24+Dominican+Republic&amp;en_txn8=Topic%3A+Individuals+At+Risk%2C+Refugee+and+Migrant+Rights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</si>
  <si>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STOP+PERSECUTING+VENEZUELAN+NGO&amp;page_url_params=utm_source%3Dutm_source%253Dtest_source%2526utm_medium%253Dads&amp;Campaign+Date=12%2F15%2F24&amp;Campaign+Time=21%3A59%3A43&amp;en_txn6=Country%3A+Venezuela&amp;en_txn7=CaseNumber%3A+97.24+Venezuela&amp;en_txn8=Topic%3A+Freedom+of+Expression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</si>
  <si>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STOP+EXTRADITION+OF+TORTURE+SURVIVOR+TO+EGYPT&amp;page_url_params=utm_source%3Dutm_source%253Dtest_source%2526utm_medium%253Dads&amp;Campaign+Date=01%2F06%2F25&amp;Campaign+Time=15%3A42%3A09&amp;en_txn6=Country%3A+Saudi+Arabia&amp;en_txn7=CaseNumber%3A+104.24+Saudi+Arabia&amp;en_txn8=Topic%3A+Individuals+At+Risk%2C+Refugee+and+Migrant+Rights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</si>
  <si>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ELEASE+JOURNALISTS+ARRESTED+AFTER+COP29&amp;page_url_params=utm_source%3Dutm_source%253Dtest_source%2526utm_medium%253Dads&amp;Campaign+Date=01%2F16%2F25&amp;Campaign+Time=10%3A43%3A18&amp;en_txn6=Country%3A+Azerbaijan&amp;en_txn7=CaseNumber%3A+2.25+Azerbaijan&amp;en_txn8=Topic%3A+Freedom+of+Expression%2C+Human+Rights+Defenders&amp;en_txn10=YearType%3A+2025%2C+Email&amp;color=%23f26722&amp;height=422</t>
  </si>
  <si>
    <t>yidshlid@earthlink.net</t>
  </si>
  <si>
    <t>https://act.amnestyusa.org/page/153818/petition/1?email_text=Thank+you+for+your+support%21&amp;email_cta_text=Take+Action&amp;email_cta_url=https%3A%2F%2Fwww.amnestyusa.org&amp;submit_btn_text=Get+the+sample+letter&amp;page_title=PROMINENT+ARTIST+ARRESTED+FOR+HIS+WORK&amp;page_url_params=utm_source%3Dutm_source%253Dtest_source%2526utm_medium%253Dads&amp;Campaign+Date=12%2F12%2F24&amp;Campaign+Time=23%3A59%3A32&amp;en_txn6=Country%3A+China&amp;en_txn7=CaseNumber%3A+106.24+China&amp;en_txn8=Topic%3A+Freedom+of+Expression%2C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</si>
  <si>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INDIANA%E2%80%99S+FIRST+EXECUTION+IN+15+YEARS+LOOMS&amp;page_url_params=utm_source%3Dutm_source%253Dtest_source%2526utm_medium%253Dads&amp;Campaign+Date=12%2F11%2F24&amp;Campaign+Time=06%3A29%3A33&amp;en_txn6=Country%3A+USA&amp;en_txn7=CaseNumber%3A+105.24+USA&amp;en_txn8=Topic%3A+Death+Penalty&amp;en_txn10=YearType%3A+2024%2C+Email&amp;color=%23f26722&amp;height=422</t>
  </si>
  <si>
    <t>https://act.amnestyusa.org/page/153818/petition/1?submit_btn_text=Get+the+sample+letter&amp;page_title=RISKS+OF+FURTHER+PROTEST-RELATED+EXECUTIONS&amp;page_url_params=utm_source%3Dutm_source%253Dtest_source%2526utm_medium%253Dads&amp;Campaign+Date=01%2F20%2F25&amp;Campaign+Time=18%3A51%3A13&amp;en_txn6=Country%3A+Iran&amp;en_txn7=CaseNumber%3A+Seventh+103.22+Iran&amp;en_txn8=Topic%3A+Death+Penalty%2C+Freedom+of+Expression%2C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</si>
  <si>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OPPOSITION+POLITICIAN+CHARGED+AFTER+ABDUCTION&amp;page_url_params=utm_source%3Dutm_source%253Dtest_source%2526utm_medium%253Dads&amp;Campaign+Date=01%2F20%2F25&amp;Campaign+Time=05%3A52%3A32&amp;en_txn6=Country%3A+Uganda&amp;en_txn7=CaseNumber%3A+100.24+Uganda&amp;en_txn8=Topic%3A+Freedom+of+Expression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</si>
  <si>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MALAYSIAN+MAN+BELIEVED+AT+RISK+OF+EXECUTION%C2%A0&amp;page_url_params=utm_source%3Dutm_source%253Dtest_source%2526utm_medium%253Dads&amp;Campaign+Date=01%2F20%2F25&amp;Campaign+Time=05%3A32%3A00&amp;en_txn6=Country%3A+Singapore&amp;en_txn7=CaseNumber%3A+107.24+Singapore&amp;en_txn8=Topic%3A+Death+Penalty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</si>
  <si>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HUMAN+RIGHTS+DEFENDER+IMPRISONED&amp;page_url_params=utm_source%3Dutm_source%253Dtest_source%2526utm_medium%253Dads&amp;Campaign+Date=01%2F20%2F25&amp;Campaign+Time=05%3A22%3A59&amp;en_txn6=Country%3A+Turkiye&amp;en_txn7=CaseNumber%3A+109.24+T%C3%BCrkiye&amp;en_txn8=Topic%3A+Human+Rights+Defenders%2C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</si>
  <si>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FATHER+APPEALS+PRISON+TERM&amp;page_url_params=utm_source%3Dutm_source%253Dtest_source%2526utm_medium%253Dads&amp;Campaign+Date=01%2F20%2F25&amp;Campaign+Time=05%3A50%3A00&amp;en_txn6=Country%3A+Egypt&amp;en_txn7=CaseNumber%3A+Third+73.23+Egypt&amp;en_txn8=Topic%3A+Individuals+At+Risk&amp;en_txn10=YearType%3A+2024%2C+Email&amp;color=%23f26722&amp;height=422</t>
  </si>
  <si>
    <t>https://act.amnestyusa.org/page/153818/petition/1?submit_btn_text=Get+the+sample+letter&amp;page_title=FREE+VENEZUELAN+HUMAN+RIGHTS+DEFENDERS&amp;page_url_params=utm_source%3Dutm_source%253Dtest_source%2526utm_medium%253Dads&amp;Campaign+Date=01%2F20%2F25&amp;Campaign+Time=20%3A31%3A36&amp;en_txn6=Country%3A+Venezuela&amp;en_txn7=CaseNumber%3A+1.25+Venezuela&amp;en_txn8=Topic%3A+Human+Rights+Defenders%2C+Individuals+At+Risk&amp;en_txn10=YearType%3A+2025%2C+Letter&amp;color=%23f26722&amp;height=422</t>
  </si>
  <si>
    <t>https://act.amnestyusa.org/page/153818/petition/1?submit_btn_text=Get+the+sample+letter&amp;page_title=IMPRISONED+POET+IS+AT+RISK+OF+TORTURE&amp;page_url_params=utm_source%3Dutm_source%253Dtest_source%2526utm_medium%253Dads&amp;Campaign+Date=01%2F20%2F25&amp;Campaign+Time=21%3A12%3A22&amp;en_txn6=Country%3A+Russian+Federation&amp;en_txn7=CaseNumber%3A+102.24+Russia&amp;en_txn8=Topic%3A+Freedom+of+Expression%2C+Individuals+At+Risk%2C+Right+to+Protest&amp;en_txn10=YearType%3A+2024%2C+Email&amp;color=%23f26722&amp;height=422</t>
  </si>
  <si>
    <t>anne.geyer@comcast.net</t>
  </si>
  <si>
    <t>https://donate.amnestyusa.org/page/157642/subscribe/1?_gl=1*3e8xdr*_gcl_au*MTgxMzA1MDEyMy4xNzMwMjI3MjMy&amp;color=%23252525</t>
  </si>
  <si>
    <t>https://act.amnestyusa.org/page/153818/petition/1?email_text=Thank+you+for+your+support%21&amp;email_cta_text=Take+Action&amp;email_cta_url=https%3A%2F%2Fwww.amnestyusa.org&amp;submit_btn_text=Get+the+sample+letter&amp;page_title=RELEASE+JOURNALISTS+ARRESTED+AFTER+COP29&amp;page_url_params=utm_source%3Dutm_source%253Dtest_source%2526utm_medium%253Dads&amp;Campaign+Date=01%2F20%2F25&amp;Campaign+Time=14%3A05%3A05&amp;en_txn6=Country%3A+Azerbaijan&amp;en_txn7=CaseNumber%3A+2.25+Azerbaijan&amp;en_txn8=Topic%3A+Freedom+of+Expression%2C+Human+Rights+Defenders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</si>
  <si>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LAWYER%E2%80%99S+HEALTH+AT+RISK&amp;page_url_params=utm_source%3Dutm_source%253Dtest_source%2526utm_medium%253Dads&amp;Campaign+Date=11%2F22%2F24&amp;Campaign+Time=21%3A09%3A34&amp;en_txn6=Country%3A+Egypt&amp;en_txn7=CaseNumber%3A+Ninth+190.18+Egypt&amp;en_txn8=Topic%3A+Freedom+of+Expression%2C+Individuals+At+Risk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</si>
  <si>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DEATH+SENTENCE+FOR+SOCIAL+MEDIA+POSTS+COMMUTED&amp;page_url_params=utm_source%3Dutm_source%253Dtest_source%2526utm_medium%253Dads&amp;Campaign+Date=11%2F27%2F24&amp;Campaign+Time=01%3A36%3A34&amp;en_txn6=Country%3A+Saudi+Arabia&amp;en_txn7=CaseNumber%3A+Second+85.23+Saudi+Arabia&amp;en_txn8=Topic%3A+Freedom+of+Expression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</si>
  <si>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FATHER+APPEALS+PRISON+TERM&amp;page_url_params=utm_source%3Dutm_source%253Dtest_source%2526utm_medium%253Dads&amp;Campaign+Date=12%2F26%2F24&amp;Campaign+Time=15%3A43%3A40&amp;en_txn6=Country%3A+Egypt&amp;en_txn7=CaseNumber%3A+Third+73.23+Egypt&amp;en_txn8=Topic%3A+Individuals+At+Risk&amp;en_txn10=YearType%3A+2024%2C+Email&amp;color=%23f26722&amp;height=422</t>
  </si>
  <si>
    <t>sapicard@earthlink.net</t>
  </si>
  <si>
    <t>mobile:N~tablet:Y~device:APPLE~os:Mac OS X (iPad)~browser:Mobile Safari</t>
  </si>
  <si>
    <t>janedineen@gmail.com</t>
  </si>
  <si>
    <t>https://act.amnestyusa.org/page/153818/petition/1?email_text=Thank+you+for+your+support%21&amp;email_cta_text=Take+Action&amp;email_cta_url=https%3A%2F%2Fwww.amnestyusa.org&amp;submit_btn_text=Get+the+sample+letter&amp;page_title=UNJUSTLY+JAILED+LAWYER%E2%80%99S+HEALTH+AT+RISK&amp;page_url_params=utm_source%3Dutm_source%253Dtest_source%2526utm_medium%253Dads&amp;Campaign+Date=12%2F10%2F24&amp;Campaign+Time=17%3A03%3A28&amp;en_txn6=Country%3A+Egypt&amp;en_txn7=CaseNumber%3A+Ninth+190.18+Egypt&amp;en_txn8=Topic%3A+Freedom+of+Expression%2C+Individuals+At+Risk&amp;en_txn10=YearType%3A+2024%2C+Letter&amp;color=%23f26722&amp;height=422</t>
  </si>
  <si>
    <t>losborncoffey@gmail.com</t>
  </si>
  <si>
    <t>https://act.amnestyusa.org/page/153818/petition/1?email_text=Thank+you+for+your+support%21&amp;email_cta_text=Take+Action&amp;email_cta_url=https%3A%2F%2Fwww.amnestyusa.org&amp;submit_btn_text=Get+the+sample+letter&amp;page_title=End+Racist+Deportations+of+Haitians&amp;page_url_params=utm_source%3Dutm_source%253Dtest_source%2526utm_medium%253Dads&amp;Campaign+Date=11%2F21%2F24&amp;Campaign+Time=20%3A22%3A18&amp;en_txn6=Country%3A+Dominican+Republic&amp;en_txn7=CaseNumber%3A+88.24+Dominican+Republic&amp;en_txn8=Topic%3A+Individuals+At+Risk%2C+Refugee+and+Migrant+Rights&amp;en_txn10=YearType%3A+2024%2C+Letter&amp;color=%23f26722&amp;height=422</t>
  </si>
  <si>
    <t>kunstef@msn.com</t>
  </si>
  <si>
    <t>https://act.amnestyusa.org/page/153818/petition/1?email_text=Thank+you+for+your+support%21&amp;email_cta_text=Take+Action&amp;email_cta_url=https%3A%2F%2Fwww.amnestyusa.org&amp;submit_btn_text=Get+the+sample+letter&amp;page_title=Stop+the+Execution+of+Carey+Grayson&amp;page_url_params=utm_source%3Dutm_source%253Dtest_source%2526utm_medium%253Dads&amp;Campaign+Date=11%2F19%2F24&amp;Campaign+Time=07%3A58%3A54&amp;Country=USA&amp;CaseNumber=96.24+USA&amp;Topic=Death+Penalty&amp;YearType=2024%2C+Email&amp;color=%23f26722&amp;height=422</t>
  </si>
  <si>
    <t>firebyrd@earthlink.net</t>
  </si>
  <si>
    <t>https://act.amnestyusa.org/page/153818/petition/1?email_text=Thank+you+for+your+support%21&amp;email_cta_text=Take+Action&amp;email_cta_url=https%3A%2F%2Fwww.amnestyusa.org&amp;submit_btn_text=Get+the+sample+letter&amp;page_title=End+Racist+Deportations+of+Haitians&amp;page_url_params=utm_source%3Dutm_source%253Dtest_source%2526utm_medium%253Dads&amp;Campaign+Date=11%2F21%2F24&amp;Campaign+Time=17%3A06%3A00&amp;en_txn6=Country%3A+Dominican+Republic&amp;en_txn7=CaseNumber%3A+88.24+Dominican+Republic&amp;en_txn8=Topic%3A+Individuals+At+Risk%2C+Refugee+and+Migrant+Rights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</si>
  <si>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LAWYER%E2%80%99S+HEALTH+AT+RISK&amp;page_url_params=utm_source%3Dutm_source%253Dtest_source%2526utm_medium%253Dads&amp;Campaign+Date=11%2F21%2F24&amp;Campaign+Time=19%3A17%3A37&amp;en_txn6=Country%3A+Egypt&amp;en_txn7=CaseNumber%3A+Ninth+190.18+Egypt&amp;en_txn8=Topic%3A+Freedom+of+Expression%2C+Individuals+At+Risk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</si>
  <si>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DEATH+SENTENCE+FOR+SOCIAL+MEDIA+POSTS+COMMUTED&amp;page_url_params=utm_source%3Dutm_source%253Dtest_source%2526utm_medium%253Dads&amp;Campaign+Date=11%2F21%2F24&amp;Campaign+Time=19%3A15%3A55&amp;en_txn6=Country%3A+Saudi+Arabia&amp;en_txn7=CaseNumber%3A+Second+85.23+Saudi+Arabia&amp;en_txn8=Topic%3A+Freedom+of+Expression&amp;en_txn10=YearType%3A+2024%2C+Letter&amp;color=%23f26722&amp;height=422</t>
  </si>
  <si>
    <t>https://act.amnestyusa.org/page/153818/petition/1?submit_btn_text=Get+the+sample+letter&amp;page_title=PRISONERS+AT+IMMINENT+RISK+OF+EXECUTION+%5BIran+10.25%5D&amp;page_url_params=utm_source%3Dutm_source%253Dtest_source%2526utm_medium%253Dads&amp;Campaign+Date=02%2F19%2F25&amp;Campaign+Time=02%3A12%3A54&amp;en_txn6=Country%3A+Iran&amp;en_txn7=CaseNumber%3A+10.25+Iran&amp;en_txn8=Topic%3A+Death+Penalty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</si>
  <si>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Stop+the+Execution+of+Carey+Grayson&amp;page_url_params=utm_source%3Dutm_source%253Dtest_source%2526utm_medium%253Dads&amp;Campaign+Date=11%2F20%2F24&amp;Campaign+Time=20%3A07%3A47&amp;en_txn6=Country%3A+USA&amp;en_txn7=CaseNumber%3A+96.24+USA&amp;en_txn8=Topic%3A+Death+Penalty&amp;en_txn10=YearType%3A+2024%2C+Email&amp;color=%23f26722&amp;height=422</t>
  </si>
  <si>
    <t>enohuwa@yahoo.com</t>
  </si>
  <si>
    <t>https://act.amnestyusa.org/page/153818/petition/1?email_text=Thank+you+for+your+support%21&amp;email_cta_text=Take+Action&amp;email_cta_url=https%3A%2F%2Fwww.amnestyusa.org&amp;submit_btn_text=Get+the+sample+letter&amp;page_title=OPPOSITION+POLITICIAN+CHARGED+AFTER+ABDUCTION&amp;page_url_params=utm_source%3Dutm_source%253Dtest_source%2526utm_medium%253Dads&amp;Campaign+Date=12%2F10%2F24&amp;Campaign+Time=14%3A47%3A56&amp;en_txn6=Country%3A+Uganda&amp;en_txn7=CaseNumber%3A+100.24+Uganda&amp;en_txn8=Topic%3A+Freedom+of+Expression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</si>
  <si>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INDIANA%E2%80%99S+FIRST+EXECUTION+IN+15+YEARS+LOOMS&amp;page_url_params=utm_source%3Dutm_source%253Dtest_source%2526utm_medium%253Dads&amp;Campaign+Date=12%2F09%2F24&amp;Campaign+Time=16%3A34%3A14&amp;en_txn6=Country%3A+USA&amp;en_txn7=CaseNumber%3A+105.24+USA&amp;en_txn8=Topic%3A+Death+Penalty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</si>
  <si>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KURDISH+DISSIDENT+SENTENCED+TO+DEATH+IN+IRAN&amp;page_url_params=utm_source%3Dutm_source%253Dtest_source%2526utm_medium%253Dads&amp;Campaign+Date=12%2F10%2F24&amp;Campaign+Time=16%3A22%3A50&amp;en_txn6=Country%3A+Iran&amp;en_txn7=CaseNumber%3A+101.24+Iran&amp;en_txn8=Topic%3A+Death+Penalty%2C+Freedom+of+Expression%2C+Individuals+At+Risk%2C+Right+to+Protest&amp;en_txn10=YearType%3A+2024%2C+Email&amp;color=%23f26722&amp;height=422</t>
  </si>
  <si>
    <t>https://act.amnestyusa.org/page/153818/petition/1?submit_btn_text=Get+the+sample+letter&amp;page_title=HUMAN+RIGHTS+DEFENDER+ON+HUNGER+STRIKE+%5BSecond+UA+76.24+Tunisia%5D&amp;page_url_params=utm_source%3Dutm_source%253Dtest_source%2526utm_medium%253Dads&amp;Campaign+Date=02%2F19%2F25&amp;Campaign+Time=20%3A51%3A12&amp;en_txn6=Country%3A+Tunisia&amp;en_txn7=CaseNumber%3A+Second+76.24+Tunisia&amp;en_txn8=Topic%3A+Freedom+of+Expression%2C+Human+Rights+Defenders&amp;en_txn10=YearType%3A+2025%2C+Email&amp;color=%23f26722&amp;height=422</t>
  </si>
  <si>
    <t>https://act.amnestyusa.org/page/153818/petition/1?submit_btn_text=Get+the+sample+letter&amp;page_title=PROMINENT+JOURNALIST+ARBITRARILY+DETAINED+%5BTunisia+8.25%5D&amp;page_url_params=utm_source%3Dutm_source%253Dtest_source%2526utm_medium%253Dads&amp;Campaign+Date=02%2F06%2F25&amp;Campaign+Time=09%3A53%3A30&amp;en_txn6=Country%3A+Tunisia&amp;en_txn7=CaseNumber%3A+8.25+Tunisia&amp;en_txn8=Topic%3A+Freedom+of+Expression&amp;en_txn10=YearType%3A+2025%2C+Email&amp;color=%23f26722&amp;height=422</t>
  </si>
  <si>
    <t>https://act.amnestyusa.org/page/153818/petition/1?submit_btn_text=Get+the+sample+letter&amp;page_title=PRISONERS+AT+IMMINENT+RISK+OF+EXECUTION+%5BIran+10.25%5D&amp;page_url_params=utm_source%3Dutm_source%253Dtest_source%2526utm_medium%253Dads&amp;Campaign+Date=02%2F23%2F25&amp;Campaign+Time=14%3A29%3A50&amp;en_txn6=Country%3A+Iran&amp;en_txn7=CaseNumber%3A+10.25+Iran&amp;en_txn8=Topic%3A+Death+Penalty%2C+Individuals+At+Risk&amp;en_txn10=YearType%3A+2025%2C+Email&amp;color=%23f26722&amp;height=422</t>
  </si>
  <si>
    <t>https://act.amnestyusa.org/page/153818/petition/1?submit_btn_text=Get+the+sample+letter&amp;page_title=UNJUSTLY+JAILED+RIGHTS+LAWYER+REFERRED+TO+TRIAL+%5BEgypt+Second+UA+80.23%5D&amp;page_url_params=utm_source%3Dutm_source%253Dtest_source%2526utm_medium%253Dads&amp;Campaign+Date=02%2F23%2F25&amp;Campaign+Time=14%3A31%3A05&amp;en_txn6=Country%3A+Egypt&amp;en_txn7=CaseNumber%3A+Second+80.23+Egypt&amp;en_txn8=Topic%3A+Health%2C+Individuals+At+Risk&amp;en_txn10=YearType%3A+2025%2C+Email&amp;color=%23f26722&amp;height=422</t>
  </si>
  <si>
    <t>https://act.amnestyusa.org/page/153818/petition/1?submit_btn_text=Get+the+sample+letter&amp;page_title=OLDER+SUFI+SHEIKH+FORCIBLY+DISAPPEARED+FOR+A+YEAR+%5BLibya+12.25%5D&amp;page_url_params=utm_source%3Dutm_source%253Dtest_source%2526utm_medium%253Dads&amp;Campaign+Date=02%2F22%2F25&amp;Campaign+Time=17%3A33%3A41&amp;en_txn6=Country%3A+Libya&amp;en_txn7=CaseNumber%3A+12.25+Libya&amp;en_txn8=Topic%3A+Freedom+of+Expression%2C+Health%2C+Individuals+At+Risk&amp;en_txn10=YearType%3A+2025%2C+Email&amp;color=%23f26722&amp;height=422</t>
  </si>
  <si>
    <t>https://act.amnestyusa.org/page/153818/petition/1?submit_btn_text=Get+the+sample+letter&amp;page_title=RELEASE+JOURNALIST+CONVICTED+OF+PROPAGANDA+%5BAfghanistan+11.25%5D&amp;page_url_params=utm_source%3Dutm_source%253Dtest_source%2526utm_medium%253Dads&amp;Campaign+Date=02%2F21%2F25&amp;Campaign+Time=08%3A09%3A42&amp;en_txn6=Country%3A+Afghanistan&amp;en_txn7=CaseNumber%3A+11.25+Afghanistan&amp;en_txn8=Topic%3A+Freedom+of+Expression%2C+Health%2C+Individuals+At+Risk&amp;en_txn10=YearType%3A+2025%2C+Email&amp;color=%23f26722&amp;height=422</t>
  </si>
  <si>
    <t>https://act.amnestyusa.org/page/153818/petition/1?submit_btn_text=Get+the+sample+letter&amp;page_title=LIFT+MOHAMMED+AL-QAHTANI%26%238217%3BS+TRAVEL+BAN+%5BSaudi+Arabia+Fifth+UA+257.12%5D&amp;page_url_params=utm_source%3Dutm_source%253Dtest_source%2526utm_medium%253Dads&amp;Campaign+Date=02%2F23%2F25&amp;Campaign+Time=14%3A35%3A52&amp;en_txn6=Country%3A+Saudi+Arabia&amp;en_txn7=CaseNumber%3A+Fifth+257.12&amp;en_txn8=Topic%3A+Freedom+of+Expression%2C+Human+Rights+Defenders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</si>
  <si>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LAWYER+TREATED+INHUMANELY&amp;page_url_params=utm_source%3Dutm_source%253Dtest_source%2526utm_medium%253Dads&amp;Campaign+Date=01%2F08%2F25&amp;Campaign+Time=19%3A24%3A09&amp;en_txn6=Country%3A+Tunisia&amp;en_txn7=CaseNumber%3A+Second+43.24+Tunisia&amp;en_txn8=Topic%3A+Freedom+of+Expression%2C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</si>
  <si>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ENVIRONMENTAL+LAWYER+MUST+BE+PARDONED&amp;page_url_params=utm_source%3Dutm_source%253Dtest_source%2526utm_medium%253Dads&amp;Campaign+Date=01%2F08%2F25&amp;Campaign+Time=21%3A45%3A18&amp;en_txn6=Country%3A+USA&amp;en_txn7=CaseNumber%3A+Fourth+55.24+USA&amp;en_txn8=Topic%3A+Climate+Justice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</si>
  <si>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PROMINENT+HUMAN+RIGHTS+DEFENDER+DETAINED&amp;page_url_params=utm_source%3Dutm_source%253Dtest_source%2526utm_medium%253Dads&amp;Campaign+Date=01%2F15%2F25&amp;Campaign+Time=01%3A59%3A42&amp;en_txn6=Country%3A+Niger&amp;en_txn7=CaseNumber%3A+103.24+Niger&amp;en_txn8=Topic%3A+Freedom+of+Expression%2C+Human+Rights+Defenders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</si>
  <si>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HUMAN+RIGHTS+DEFENDER+IMPRISONED&amp;page_url_params=utm_source%3Dutm_source%253Dtest_source%2526utm_medium%253Dads&amp;Campaign+Date=01%2F15%2F25&amp;Campaign+Time=03%3A28%3A56&amp;en_txn6=Country%3A+Turkiye&amp;en_txn7=CaseNumber%3A+109.24+T%C3%BCrkiye&amp;en_txn8=Topic%3A+Human+Rights+Defenders%2C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</si>
  <si>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FATHER+APPEALS+PRISON+TERM&amp;page_url_params=utm_source%3Dutm_source%253Dtest_source%2526utm_medium%253Dads&amp;Campaign+Date=01%2F15%2F25&amp;Campaign+Time=03%3A30%3A18&amp;en_txn6=Country%3A+Egypt&amp;en_txn7=CaseNumber%3A+Third+73.23+Egypt&amp;en_txn8=Topic%3A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</si>
  <si>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14%2F25&amp;Campaign+Time=23%3A18%3A40&amp;en_txn6=Country%3A+Israel+and+Occupied+Palestinian+Territories&amp;en_txn7=CaseNumber%3A+3.25+IOPT&amp;en_txn8=Topic%3A+Freedom+of+Expression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</si>
  <si>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FREE+VENEZUELAN+HUMAN+RIGHTS+DEFENDERS&amp;page_url_params=utm_source%3Dutm_source%253Dtest_source%2526utm_medium%253Dads&amp;Campaign+Date=01%2F15%2F25&amp;Campaign+Time=00%3A01%3A21&amp;en_txn6=Country%3A+Venezuela&amp;en_txn7=CaseNumber%3A+1.25+Venezuela&amp;en_txn8=Topic%3A+Human+Rights+Defenders%2C+Individuals+At+Risk&amp;en_txn10=YearType%3A+2025%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</si>
  <si>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ELEASE+JOURNALISTS+ARRESTED+AFTER+COP29&amp;page_url_params=utm_source%3Dutm_source%253Dtest_source%2526utm_medium%253Dads&amp;Campaign+Date=01%2F15%2F25&amp;Campaign+Time=00%3A01%3A21&amp;en_txn6=Country%3A+Azerbaijan&amp;en_txn7=CaseNumber%3A+2.25+Azerbaijan&amp;en_txn8=Topic%3A+Freedom+of+Expression%2C+Human+Rights+Defenders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</si>
  <si>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ENVIRONMENTAL+LAWYER+MUST+BE+PARDONED&amp;page_url_params=utm_source%3Dutm_source%253Dtest_source%2526utm_medium%253Dads&amp;Campaign+Date=01%2F17%2F25&amp;Campaign+Time=19%3A56%3A49&amp;en_txn6=Country%3A+USA&amp;en_txn7=CaseNumber%3A+Fourth+55.24+USA&amp;en_txn8=Topic%3A+Climate+Justice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</si>
  <si>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Stop+the+Execution+of+Carey+Grayson&amp;page_url_params=utm_source%3Dutm_source%253Dtest_source%2526utm_medium%253Dads&amp;Campaign+Date=11%2F20%2F24&amp;Campaign+Time=19%3A56%3A42&amp;en_txn6=Country%3A+USA&amp;en_txn7=CaseNumber%3A+96.24+USA&amp;en_txn8=Topic%3A+Death+Penalty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</si>
  <si>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LAWYER%E2%80%99S+HEALTH+AT+RISK&amp;page_url_params=utm_source%3Dutm_source%253Dtest_source%2526utm_medium%253Dads&amp;Campaign+Date=12%2F05%2F24&amp;Campaign+Time=02%3A12%3A23&amp;en_txn6=Country%3A+Egypt&amp;en_txn7=CaseNumber%3A+Ninth+190.18+Egypt&amp;en_txn8=Topic%3A+Freedom+of+Expression%2C+Individuals+At+Risk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</si>
  <si>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LAWYER%E2%80%99S+HEALTH+AT+RISK&amp;page_url_params=utm_source%3Dutm_source%253Dtest_source%2526utm_medium%253Dads&amp;Campaign+Date=12%2F05%2F24&amp;Campaign+Time=20%3A20%3A19&amp;en_txn6=Country%3A+Egypt&amp;en_txn7=CaseNumber%3A+Ninth+190.18+Egypt&amp;en_txn8=Topic%3A+Freedom+of+Expression%2C+Individuals+At+Risk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</si>
  <si>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End+Racist+Deportations+of+Haitians&amp;page_url_params=utm_source%3Dutm_source%253Dtest_source%2526utm_medium%253Dads&amp;Campaign+Date=12%2F05%2F24&amp;Campaign+Time=15%3A05%3A32&amp;en_txn6=Country%3A+Dominican+Republic&amp;en_txn7=CaseNumber%3A+88.24+Dominican+Republic&amp;en_txn8=Topic%3A+Individuals+At+Risk%2C+Refugee+and+Migrant+Rights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</si>
  <si>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HALT+PIPELINE+PROJECT+WITH+OUTDATED+PERMIT%C2%A0&amp;page_url_params=utm_source%3Dutm_source%253Dtest_source%2526utm_medium%253Dads&amp;Campaign+Date=12%2F10%2F24&amp;Campaign+Time=02%3A00%3A01&amp;en_txn6=Country%3A+Canada&amp;en_txn7=CaseNumber%3A+99.24+Canada&amp;en_txn8=Topic%3A+Climate+Justice%2C+Indigenous+Rights%2C+Right+to+Protest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</si>
  <si>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USSIA%2C+RELEASE+ALEKSEI+GORINOV%21&amp;page_url_params=utm_source%3Dutm_source%253Dtest_source%2526utm_medium%253Dads&amp;Campaign+Date=12%2F10%2F24&amp;Campaign+Time=02%3A04%3A29&amp;en_txn6=Country%3A+Russian+Federation&amp;en_txn7=CaseNumber%3A+Second+23.24+Russia&amp;en_txn8=Topic%3A+Freedom+of+Expression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</si>
  <si>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USSIA%2C+RELEASE+ALEKSEI+GORINOV%21&amp;page_url_params=utm_source%3Dutm_source%253Dtest_source%2526utm_medium%253Dads&amp;Campaign+Date=12%2F11%2F24&amp;Campaign+Time=15%3A39%3A48&amp;en_txn6=Country%3A+Russian+Federation&amp;en_txn7=CaseNumber%3A+Second+23.24+Russia&amp;en_txn8=Topic%3A+Freedom+of+Expression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</si>
  <si>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USSIA%2C+RELEASE+ALEKSEI+GORINOV%21&amp;page_url_params=utm_source%3Dutm_source%253Dtest_source%2526utm_medium%253Dads&amp;Campaign+Date=12%2F12%2F24&amp;Campaign+Time=11%3A04%3A44&amp;en_txn6=Country%3A+Russian+Federation&amp;en_txn7=CaseNumber%3A+Second+23.24+Russia&amp;en_txn8=Topic%3A+Freedom+of+Expression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</si>
  <si>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PROMINENT+ARTIST+ARRESTED+FOR+HIS+WORK&amp;page_url_params=utm_source%3Dutm_source%253Dtest_source%2526utm_medium%253Dads&amp;Campaign+Date=12%2F31%2F24&amp;Campaign+Time=17%3A52%3A00&amp;en_txn6=Country%3A+China&amp;en_txn7=CaseNumber%3A+106.24+China&amp;en_txn8=Topic%3A+Freedom+of+Expression%2C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</si>
  <si>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LAWYER+TREATED+INHUMANELY&amp;page_url_params=utm_source%3Dutm_source%253Dtest_source%2526utm_medium%253Dads&amp;Campaign+Date=12%2F31%2F24&amp;Campaign+Time=17%3A44%3A18&amp;en_txn6=Country%3A+Tunisia&amp;en_txn7=CaseNumber%3A+Second+43.24+Tunisia&amp;en_txn8=Topic%3A+Freedom+of+Expression%2C+Individuals+At+Risk&amp;en_txn10=YearType%3A+2024%2C+Email&amp;color=%23f26722&amp;height=422</t>
  </si>
  <si>
    <t>https://act.amnestyusa.org/page/153818/petition/1?submit_btn_text=Get+the+sample+letter&amp;page_title=FILMMAKER+ARBITRARILY+DETAINED+%5BAfghanistan+7.25%5D&amp;page_url_params=utm_source%3Dutm_source%253Dtest_source%2526utm_medium%253Dads&amp;Campaign+Date=02%2F06%2F25&amp;Campaign+Time=22%3A07%3A11&amp;en_txn6=Country%3A+Afghanistan&amp;en_txn7=CaseNumber%3A+7.25+Afghanistan&amp;en_txn8=Topic%3A+Freedom+of+Expression%2C+Individuals+At+Risk%2C+Women%27s+Rights&amp;en_txn10=YearType%3A+2025%2C+Email&amp;color=%23f26722&amp;height=422</t>
  </si>
  <si>
    <t>https://donate.amnestyusa.org/page/157642/subscribe/1?_gl=1*16or9fw*_gcl_aw*R0NMLjE3MzIwNTI4OTUuRUFJYUlRb2JDaE1Ja1lIZC01N3BpUU1WNm01X0FCM09HUldTRUFBWUFTQUFFZ0lTVVBEX0J3RQ..*_gcl_dc*R0NMLjE3MzIwNTI4OTUuRUFJYUlRb2JDaE1Ja1lIZC01N3BpUU1WNm01X0FCM09HUldTRUFBWUFTQUFFZ0lTVVBEX0J3RQ..*_gcl_au*MTc1NDgwNDQ1Mi4xNzI2NjE2ODAy&amp;color=%23252525</t>
  </si>
  <si>
    <t>https://donate.amnestyusa.org/page/157642/subscribe/1?_gl=1*13ifunw*_gcl_au*MTY1MjAxODI0Ny4xNzM2Mzg1MjA2&amp;color=%23252525</t>
  </si>
  <si>
    <t>johnhill@telus.net</t>
  </si>
  <si>
    <t>https://act.amnestyusa.org/page/153818/petition/1?submit_btn_text=Get+the+sample+letter&amp;page_title=RISKS+OF+FURTHER+PROTEST-RELATED+EXECUTIONS&amp;page_url_params=utm_source%3Dutm_source%253Dtest_source%2526utm_medium%253Dads&amp;Campaign+Date=02%2F06%2F25&amp;Campaign+Time=15%3A56%3A31&amp;en_txn6=Country%3A+Iran&amp;en_txn7=CaseNumber%3A+Seventh+103.22+Iran&amp;en_txn8=Topic%3A+Death+Penalty%2C+Freedom+of+Expression%2C+Individuals+At+Risk&amp;en_txn10=YearType%3A+2024%2C+Email&amp;color=%23f26722&amp;height=422</t>
  </si>
  <si>
    <t>https://act.amnestyusa.org/page/153818/petition/1?submit_btn_text=Get+the+sample+letter&amp;page_title=RELEASE+PEDIATRICIAN+AND+HOSPITAL+DIRECTOR+%5BIOPT+3.25%5D&amp;page_url_params=utm_source%3Dutm_source%253Dtest_source%2526utm_medium%253Dads&amp;Campaign+Date=01%2F25%2F25&amp;Campaign+Time=04%3A21%3A03&amp;en_txn6=Country%3A+Israel+and+Occupied+Palestinian+Territories&amp;en_txn7=CaseNumber%3A+3.25+IOPT&amp;en_txn8=Topic%3A+Freedom+of+Expression%2C+Individuals+At+Risk&amp;en_txn10=YearType%3A+2025%2C+Email&amp;color=%23f26722&amp;height=422</t>
  </si>
  <si>
    <t>https://act.amnestyusa.org/page/153818/petition/1?submit_btn_text=Get+the+sample+letter&amp;page_title=PROMINENT+HUMAN+RIGHTS+DEFENDER+DETAINED&amp;page_url_params=utm_source%3Dutm_source%253Dtest_source%2526utm_medium%253Dads&amp;Campaign+Date=02%2F06%2F25&amp;Campaign+Time=15%3A45%3A21&amp;en_txn6=Country%3A+Niger&amp;en_txn7=CaseNumber%3A+103.24+Niger&amp;en_txn8=Topic%3A+Freedom+of+Expression%2C+Human+Rights+Defenders&amp;en_txn10=YearType%3A+2024%2C+Email&amp;color=%23f26722&amp;height=422</t>
  </si>
  <si>
    <t>galemfran@gmail.com</t>
  </si>
  <si>
    <t>wfeltham9@gmail.com</t>
  </si>
  <si>
    <t>https://act.amnestyusa.org/page/153818/petition/1?email_text=Thank+you+for+your+support%21&amp;email_cta_text=Take+Action&amp;email_cta_url=https%3A%2F%2Fwww.amnestyusa.org&amp;submit_btn_text=Get+the+sample+letter&amp;page_title=UNJUSTLY+JAILED+LAWYER%E2%80%99S+HEALTH+AT+RISK&amp;page_url_params=utm_source%3Dutm_source%253Dtest_source%2526utm_medium%253Dads&amp;Campaign+Date=12%2F11%2F24&amp;Campaign+Time=07%3A47%3A58&amp;en_txn6=Country%3A+Egypt&amp;en_txn7=CaseNumber%3A+Ninth+190.18+Egypt&amp;en_txn8=Topic%3A+Freedom+of+Expression%2C+Individuals+At+Risk&amp;en_txn10=YearType%3A+2024%2C+Letter&amp;color=%23f26722&amp;height=422</t>
  </si>
  <si>
    <t>https://act.amnestyusa.org/page/153818/petition/1?submit_btn_text=Get+the+sample+letter&amp;page_title=RISKS+OF+FURTHER+PROTEST-RELATED+EXECUTIONS&amp;page_url_params=utm_source%3Dutm_source%253Dtest_source%2526utm_medium%253Dads&amp;Campaign+Date=01%2F30%2F25&amp;Campaign+Time=16%3A02%3A09&amp;en_txn6=Country%3A+Iran&amp;en_txn7=CaseNumber%3A+Seventh+103.22+Iran&amp;en_txn8=Topic%3A+Death+Penalty%2C+Freedom+of+Expression%2C+Individuals+At+Risk&amp;en_txn10=YearType%3A+2024%2C+Email&amp;color=%23f26722&amp;height=422</t>
  </si>
  <si>
    <t>https://act.amnestyusa.org/page/153818/petition/1?submit_btn_text=Get+the+sample+letter&amp;page_title=PROMINENT+HUMAN+RIGHTS+DEFENDER+DETAINED&amp;page_url_params=utm_source%3Dutm_source%253Dtest_source%2526utm_medium%253Dads&amp;Campaign+Date=01%2F30%2F25&amp;Campaign+Time=15%3A50%3A45&amp;en_txn6=Country%3A+Niger&amp;en_txn7=CaseNumber%3A+103.24+Niger&amp;en_txn8=Topic%3A+Freedom+of+Expression%2C+Human+Rights+Defenders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</si>
  <si>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USSIA%2C+RELEASE+ALEKSEI+GORINOV%21&amp;page_url_params=utm_source%3Dutm_source%253Dtest_source%2526utm_medium%253Dads&amp;Campaign+Date=12%2F03%2F24&amp;Campaign+Time=18%3A49%3A26&amp;en_txn6=Country%3A+Russian+Federation&amp;en_txn7=CaseNumber%3A+Second+23.24+Russia&amp;en_txn8=Topic%3A+Freedom+of+Expression&amp;en_txn10=YearType%3A+2024%2C+Letter&amp;color=%23f26722&amp;height=422</t>
  </si>
  <si>
    <t>https://act.amnestyusa.org/page/153818/petition/1?submit_btn_text=Get+the+sample+letter&amp;page_title=FREE+VENEZUELAN+HUMAN+RIGHTS+DEFENDERS&amp;page_url_params=utm_source%3Dutm_source%253Dtest_source%2526utm_medium%253Dads&amp;Campaign+Date=01%2F30%2F25&amp;Campaign+Time=15%3A38%3A42&amp;en_txn6=Country%3A+Venezuela&amp;en_txn7=CaseNumber%3A+1.25+Venezuela&amp;en_txn8=Topic%3A+Human+Rights+Defenders%2C+Individuals+At+Risk&amp;en_txn10=YearType%3A+2025%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</si>
  <si>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End+Racist+Deportations+of+Haitians&amp;page_url_params=utm_source%3Dutm_source%253Dtest_source%2526utm_medium%253Dads&amp;Campaign+Date=12%2F03%2F24&amp;Campaign+Time=18%3A44%3A11&amp;en_txn6=Country%3A+Dominican+Republic&amp;en_txn7=CaseNumber%3A+88.24+Dominican+Republic&amp;en_txn8=Topic%3A+Individuals+At+Risk%2C+Refugee+and+Migrant+Rights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</si>
  <si>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LAWYER%E2%80%99S+HEALTH+AT+RISK&amp;page_url_params=utm_source%3Dutm_source%253Dtest_source%2526utm_medium%253Dads&amp;Campaign+Date=12%2F03%2F24&amp;Campaign+Time=18%3A34%3A27&amp;en_txn6=Country%3A+Egypt&amp;en_txn7=CaseNumber%3A+Ninth+190.18+Egypt&amp;en_txn8=Topic%3A+Freedom+of+Expression%2C+Individuals+At+Risk&amp;en_txn10=YearType%3A+2024%2C+Letter&amp;color=%23f26722&amp;height=422</t>
  </si>
  <si>
    <t>https://act.amnestyusa.org/page/153818/petition/1?submit_btn_text=Get+the+sample+letter&amp;page_title=PEOPLE+SEEKING+SAFETY+AT+RISK+IN+THE+USA+%5BUSA+4.25%5D&amp;page_url_params=utm_source%3Dutm_source%253Dtest_source%2526utm_medium%253Dads&amp;Campaign+Date=01%2F31%2F25&amp;Campaign+Time=21%3A01%3A34&amp;en_txn6=Country%3A+USA&amp;en_txn7=CaseNumber%3A+4.25+USA&amp;en_txn8=Topic%3A+Individuals+At+Risk%2C+Refugee+and+Migrant+Rights&amp;en_txn10=YearType%3A+2025%2C+Letter&amp;color=%23f26722&amp;height=422</t>
  </si>
  <si>
    <t>https://act.amnestyusa.org/page/153818/petition/1?submit_btn_text=Get+the+sample+letter&amp;page_title=RELEASE+JOURNALISTS+ARRESTED+AFTER+COP29&amp;page_url_params=utm_source%3Dutm_source%253Dtest_source%2526utm_medium%253Dads&amp;Campaign+Date=02%2F08%2F25&amp;Campaign+Time=18%3A36%3A29&amp;en_txn6=Country%3A+Azerbaijan&amp;en_txn7=CaseNumber%3A+2.25+Azerbaijan&amp;en_txn8=Topic%3A+Freedom+of+Expression%2C+Human+Rights+Defenders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</si>
  <si>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LAWYER%E2%80%99S+HEALTH+AT+RISK&amp;page_url_params=utm_source%3Dutm_source%253Dtest_source%2526utm_medium%253Dads&amp;Campaign+Date=11%2F22%2F24&amp;Campaign+Time=20%3A02%3A12&amp;en_txn6=Country%3A+Egypt&amp;en_txn7=CaseNumber%3A+Ninth+190.18+Egypt&amp;en_txn8=Topic%3A+Freedom+of+Expression%2C+Individuals+At+Risk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</si>
  <si>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End+Racist+Deportations+of+Haitians&amp;page_url_params=utm_source%3Dutm_source%253Dtest_source%2526utm_medium%253Dads&amp;Campaign+Date=11%2F21%2F24&amp;Campaign+Time=11%3A17%3A09&amp;en_txn6=Country%3A+Dominican+Republic&amp;en_txn7=CaseNumber%3A+88.24+Dominican+Republic&amp;en_txn8=Topic%3A+Individuals+At+Risk%2C+Refugee+and+Migrant+Rights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</si>
  <si>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OPPOSITION+POLITICIAN+CHARGED+AFTER+ABDUCTION&amp;page_url_params=utm_source%3Dutm_source%253Dtest_source%2526utm_medium%253Dads&amp;Campaign+Date=12%2F09%2F24&amp;Campaign+Time=21%3A17%3A52&amp;en_txn6=Country%3A+Uganda&amp;en_txn7=CaseNumber%3A+100.24+Uganda&amp;en_txn8=Topic%3A+Freedom+of+Expression&amp;en_txn10=YearType%3A+2024%2C+Email&amp;color=%23f26722&amp;height=422</t>
  </si>
  <si>
    <t>liz@carletonmccambridge.com</t>
  </si>
  <si>
    <t>https://act.amnestyusa.org/page/153818/petition/1?email_text=Thank+you+for+your+support%21&amp;email_cta_text=Take+Action&amp;email_cta_url=https%3A%2F%2Fwww.amnestyusa.org&amp;submit_btn_text=Get+the+sample+letter&amp;page_title=HALT+PIPELINE+PROJECT+WITH+OUTDATED+PERMIT%C2%A0&amp;page_url_params=utm_source%3Dutm_source%253Dtest_source%2526utm_medium%253Dads&amp;Campaign+Date=12%2F10%2F24&amp;Campaign+Time=15%3A58%3A14&amp;en_txn6=Country%3A+Canada&amp;en_txn7=CaseNumber%3A+99.24+Canada&amp;en_txn8=Topic%3A+Climate+Justice%2C+Indigenous+Rights%2C+Right+to+Protest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</si>
  <si>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DEATH+SENTENCE+FOR+SOCIAL+MEDIA+POSTS+COMMUTED&amp;page_url_params=utm_source%3Dutm_source%253Dtest_source%2526utm_medium%253Dads&amp;Campaign+Date=12%2F09%2F24&amp;Campaign+Time=15%3A59%3A59&amp;en_txn6=Country%3A+Saudi+Arabia&amp;en_txn7=CaseNumber%3A+Second+85.23+Saudi+Arabia&amp;en_txn8=Topic%3A+Freedom+of+Expression&amp;en_txn10=YearType%3A+2024%2C+Letter&amp;color=%23f26722&amp;height=422</t>
  </si>
  <si>
    <t>https://act.amnestyusa.org/page/153818/petition/1?submit_btn_text=Get+the+sample+letter&amp;page_title=RELEASE+JOURNALIST+CONVICTED+OF+PROPAGANDA+%5BAfghanistan+11.25%5D&amp;page_url_params=utm_source%3Dutm_source%253Dtest_source%2526utm_medium%253Dads&amp;Campaign+Date=02%2F07%2F25&amp;Campaign+Time=19%3A49%3A31&amp;en_txn6=Country%3A+Afghanistan&amp;en_txn7=CaseNumber%3A+11.25+Afghanistan&amp;en_txn8=Topic%3A+Freedom+of+Expression%2C+Health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</si>
  <si>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HUMAN+RIGHTS+DEFENDER+IMPRISONED&amp;page_url_params=utm_source%3Dutm_source%253Dtest_source%2526utm_medium%253Dads&amp;Campaign+Date=12%2F27%2F24&amp;Campaign+Time=02%3A04%3A04&amp;en_txn6=Country%3A+Turkiye&amp;en_txn7=CaseNumber%3A+109.24+T%C3%BCrkiye&amp;en_txn8=Topic%3A+Human+Rights+Defenders%2C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</si>
  <si>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LAWYER+TREATED+INHUMANELY&amp;page_url_params=utm_source%3Dutm_source%253Dtest_source%2526utm_medium%253Dads&amp;Campaign+Date=01%2F02%2F25&amp;Campaign+Time=19%3A33%3A22&amp;en_txn6=Country%3A+Tunisia&amp;en_txn7=CaseNumber%3A+Second+43.24+Tunisia&amp;en_txn8=Topic%3A+Freedom+of+Expression%2C+Individuals+At+Risk&amp;en_txn10=YearType%3A+2024%2C+Email&amp;color=%23f26722&amp;height=422</t>
  </si>
  <si>
    <t>ndurantini@roadrunner.com</t>
  </si>
  <si>
    <t>https://act.amnestyusa.org/page/153818/petition/1?email_text=Thank+you+for+your+support%21&amp;email_cta_text=Take+Action&amp;email_cta_url=https%3A%2F%2Fwww.amnestyusa.org&amp;submit_btn_text=Get+the+sample+letter&amp;page_title=UNJUSTLY+JAILED+LAWYER%E2%80%99S+HEALTH+AT+RISK&amp;page_url_params=utm_source%3Dutm_source%253Dtest_source%2526utm_medium%253Dads&amp;Campaign+Date=11%2F20%2F24&amp;Campaign+Time=23%3A23%3A07&amp;en_txn6=Country%3A+Egypt&amp;en_txn7=CaseNumber%3A+Ninth+190.18+Egypt&amp;en_txn8=Topic%3A+Freedom+of+Expression%2C+Individuals+At+Risk&amp;en_txn10=YearType%3A+2024%2C+Letter&amp;color=%23f26722&amp;height=422</t>
  </si>
  <si>
    <t>david.kalant@mcgill.ca</t>
  </si>
  <si>
    <t>https://act.amnestyusa.org/page/153818/petition/1?email_text=Thank+you+for+your+support%21&amp;email_cta_text=Take+Action&amp;email_cta_url=https%3A%2F%2Fwww.amnestyusa.org&amp;submit_btn_text=Get+the+sample+letter&amp;page_title=INDIANA%E2%80%99S+FIRST+EXECUTION+IN+15+YEARS+LOOMS&amp;page_url_params=utm_source%3Dutm_source%253Dtest_source%2526utm_medium%253Dads&amp;Campaign+Date=12%2F11%2F24&amp;Campaign+Time=06%3A51%3A26&amp;en_txn6=Country%3A+USA&amp;en_txn7=CaseNumber%3A+105.24+USA&amp;en_txn8=Topic%3A+Death+Penalty&amp;en_txn10=YearType%3A+2024%2C+Email&amp;color=%23f26722&amp;height=422&amp;utm_source=substack&amp;utm_medium=email</t>
  </si>
  <si>
    <t>substack</t>
  </si>
  <si>
    <t>email</t>
  </si>
  <si>
    <t>https://act.amnestyusa.org/page/153818/petition/1?email_text=Thank+you+for+taking+action+on+RELEASE+PEDIATRICIAN+AND+HOSPITAL+DIRECTOR+%5BIOPT+3.25%5D.&amp;email_cta_text=VIEW+MORE+URGENT+ACTIONS&amp;email_cta_url=https%3A%2F%2Fwww.amnestyusa.org%2Fget-involved%2Fgrassroots-activism%2Furgent-action-network%2Factions%2F%3Fstatus%3Dactive%26fyear%3D2025%26sortby%3Dnewest%26pg%3D1&amp;submit_btn_text=Get+the+sample+letter&amp;page_title=RELEASE+PEDIATRICIAN+AND+HOSPITAL+DIRECTOR+%5BIOPT+3.25%5D&amp;page_url_params=utm_source%3Dutm_source%253Dtest_source%2526utm_medium%253Dads&amp;Campaign+Date=01%2F23%2F25&amp;Campaign+Time=18%3A39%3A05&amp;en_txn6=Country%3A+Israel+and+Occupied+Palestinian+Territories&amp;en_txn7=CaseNumber%3A+3.25+IOPT&amp;en_txn8=Topic%3A+Freedom+of+Expression%2C+Individuals+At+Risk&amp;en_txn10=YearType%3A+2025%2C+Email&amp;color=%23f26722&amp;height=422</t>
  </si>
  <si>
    <t>cfgeorge64@gmail.com</t>
  </si>
  <si>
    <t>https://act.amnestyusa.org/page/153818/petition/1?email_text=Thank+you+for+your+support%21&amp;email_cta_text=Take+Action&amp;email_cta_url=https%3A%2F%2Fwww.amnestyusa.org&amp;submit_btn_text=Get+the+sample+letter&amp;page_title=INDIANA%E2%80%99S+FIRST+EXECUTION+IN+15+YEARS+LOOMS&amp;page_url_params=utm_source%3Dutm_source%253Dtest_source%2526utm_medium%253Dads&amp;Campaign+Date=12%2F09%2F24&amp;Campaign+Time=07%3A25%3A09&amp;en_txn6=Country%3A+USA&amp;en_txn7=CaseNumber%3A+105.24+USA&amp;en_txn8=Topic%3A+Death+Penalty&amp;en_txn10=YearType%3A+2024%2C+Email&amp;color=%23f26722&amp;height=422&amp;utm_source=substack&amp;utm_medium=email</t>
  </si>
  <si>
    <t>nsconrad@gmail.com</t>
  </si>
  <si>
    <t>mobile:N~tablet:Y~device:APPLE~os:Mac OS X (iPad)~browser:Chrome Mobile</t>
  </si>
  <si>
    <t>https://act.amnestyusa.org/page/153818/petition/1?email_text=Thank+you+for+your+support%21&amp;email_cta_text=Take+Action&amp;email_cta_url=https%3A%2F%2Fwww.amnestyusa.org&amp;submit_btn_text=Get+the+sample+letter&amp;page_title=End+Racist+Deportations+of+Haitians&amp;page_url_params=utm_source%3Dutm_source%253Dtest_source%2526utm_medium%253Dads&amp;Campaign+Date=11%2F21%2F24&amp;Campaign+Time=05%3A06%3A43&amp;en_txn6=Country%3A+Dominican+Republic&amp;en_txn7=CaseNumber%3A+88.24+Dominican+Republic&amp;en_txn8=Topic%3A+Individuals+At+Risk%2C+Refugee+and+Migrant+Rights&amp;en_txn10=YearType%3A+2024%2C+Letter&amp;color=%23f26722&amp;height=422</t>
  </si>
  <si>
    <t>vandermude@acm.org</t>
  </si>
  <si>
    <t>https://donate.amnestyusa.org/page/157642/subscribe/1?_gl=1*vjt801*_gcl_au*MjE4MzI4NzExLjE3MjU0NzI3MzY.&amp;color=%23252525</t>
  </si>
  <si>
    <t>k.esancy@live.com</t>
  </si>
  <si>
    <t>https://act.amnestyusa.org/page/153818/petition/1?email_text=Thank+you+for+your+support%21&amp;email_cta_text=Take+Action&amp;email_cta_url=https%3A%2F%2Fwww.amnestyusa.org&amp;submit_btn_text=Get+the+sample+letter&amp;page_title=End+Racist+Deportations+of+Haitians&amp;page_url_params=utm_source%3Dutm_source%253Dtest_source%2526utm_medium%253Dads&amp;Campaign+Date=01%2F07%2F25&amp;Campaign+Time=17%3A06%3A31&amp;en_txn6=Country%3A+Dominican+Republic&amp;en_txn7=CaseNumber%3A+88.24+Dominican+Republic&amp;en_txn8=Topic%3A+Individuals+At+Risk%2C+Refugee+and+Migrant+Rights&amp;en_txn10=YearType%3A+2024%2C+Letter&amp;color=%23f26722&amp;height=422</t>
  </si>
  <si>
    <t>awerneke@earthlink.net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</si>
  <si>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17%2F25&amp;Campaign+Time=19%3A45%3A47&amp;en_txn6=Country%3A+Israel+and+Occupied+Palestinian+Territories&amp;en_txn7=CaseNumber%3A+3.25+IOPT&amp;en_txn8=Topic%3A+Freedom+of+Expression%2C+Individuals+At+Risk&amp;en_txn10=YearType%3A+2025%2C+Email&amp;color=%23f26722&amp;height=422</t>
  </si>
  <si>
    <t>https://act.amnestyusa.org/page/153818/petition/1?submit_btn_text=Get+the+sample+letter&amp;page_title=RELEASE+PEDIATRICIAN+AND+HOSPITAL+DIRECTOR+%5BIOPT+3.25%5D&amp;page_url_params=utm_source%3Dutm_source%253Dtest_source%2526utm_medium%253Dads&amp;Campaign+Date=02%2F22%2F25&amp;Campaign+Time=06%3A53%3A50&amp;en_txn6=Country%3A+Israel+and+Occupied+Palestinian+Territories&amp;en_txn7=CaseNumber%3A+3.25+IOPT&amp;en_txn8=Topic%3A+Freedom+of+Expression%2C+Individuals+At+Risk&amp;en_txn10=YearType%3A+2025%2C+Email&amp;color=%23f26722&amp;height=422</t>
  </si>
  <si>
    <t>https://donate.amnestyusa.org/page/157642/subscribe/1?_gl=1*jjkz8j*_gcl_au*NTQwNTExMjI4LjE3MzI5MDU5OTY.&amp;color=%23252525</t>
  </si>
  <si>
    <t>https://act.amnestyusa.org/page/153818/petition/1?submit_btn_text=Get+the+sample+letter&amp;page_title=RELEASE+PEDIATRICIAN+AND+HOSPITAL+DIRECTOR+%5BIOPT+3.25%5D&amp;page_url_params=utm_source%3Dutm_source%253Dtest_source%2526utm_medium%253Dads&amp;Campaign+Date=02%2F05%2F25&amp;Campaign+Time=20%3A32%3A09&amp;en_txn6=Country%3A+Israel+and+Occupied+Palestinian+Territories&amp;en_txn7=CaseNumber%3A+3.25+IOPT&amp;en_txn8=Topic%3A+Freedom+of+Expression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</si>
  <si>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DEATH+SENTENCE+FOR+SOCIAL+MEDIA+POSTS+COMMUTED&amp;page_url_params=utm_source%3Dutm_source%253Dtest_source%2526utm_medium%253Dads&amp;Campaign+Date=11%2F25%2F24&amp;Campaign+Time=19%3A38%3A40&amp;en_txn6=Country%3A+Saudi+Arabia&amp;en_txn7=CaseNumber%3A+Second+85.23+Saudi+Arabia&amp;en_txn8=Topic%3A+Freedom+of+Expression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</si>
  <si>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LAWYER%E2%80%99S+HEALTH+AT+RISK&amp;page_url_params=utm_source%3Dutm_source%253Dtest_source%2526utm_medium%253Dads&amp;Campaign+Date=11%2F25%2F24&amp;Campaign+Time=19%3A36%3A39&amp;en_txn6=Country%3A+Egypt&amp;en_txn7=CaseNumber%3A+Ninth+190.18+Egypt&amp;en_txn8=Topic%3A+Freedom+of+Expression%2C+Individuals+At+Risk&amp;en_txn10=YearType%3A+2024%2C+Letter&amp;color=%23f26722&amp;height=422</t>
  </si>
  <si>
    <t>https://act.amnestyusa.org/page/153818/petition/1?submit_btn_text=Get+the+sample+letter&amp;page_title=FREE+VENEZUELAN+HUMAN+RIGHTS+DEFENDERS&amp;page_url_params=utm_source%3Dutm_source%253Dtest_source%2526utm_medium%253Dads&amp;Campaign+Date=02%2F13%2F25&amp;Campaign+Time=21%3A02%3A44&amp;en_txn6=Country%3A+Venezuela&amp;en_txn7=CaseNumber%3A+1.25+Venezuela&amp;en_txn8=Topic%3A+Human+Rights+Defenders%2C+Individuals+At+Risk&amp;en_txn10=YearType%3A+2025%2C+Letter&amp;color=%23f26722&amp;height=422</t>
  </si>
  <si>
    <t>https://act.amnestyusa.org/page/153818/petition/1?email_text=Thank+you+for+taking+action+on+STOP+PERSECUTING+VENEZUELAN+NGO.&amp;email_cta_text=VIEW+MORE+URGENT+ACTIONS&amp;email_cta_url=https%3A%2F%2Fwww.amnestyusa.org%2Fget-involved%2Fgrassroots-activism%2Furgent-action-network%2Factions%2F%3Fstatus%3Dactive%26fyear%3D2025%26sortby%3Dnewest%26pg%3D1&amp;submit_btn_text=Get+the+sample+letter&amp;page_title=STOP+PERSECUTING+VENEZUELAN+NGO&amp;page_url_params=utm_source%3Dutm_source%253Dtest_source%2526utm_medium%253Dads&amp;Campaign+Date=01%2F22%2F25&amp;Campaign+Time=03%3A47%3A13&amp;en_txn6=Country%3A+Venezuela&amp;en_txn7=CaseNumber%3A+97.24+Venezuela&amp;en_txn8=Topic%3A+Freedom+of+Expression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</si>
  <si>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ISKS+OF+FURTHER+PROTEST-RELATED+EXECUTIONS&amp;page_url_params=utm_source%3Dutm_source%253Dtest_source%2526utm_medium%253Dads&amp;Campaign+Date=01%2F20%2F25&amp;Campaign+Time=05%3A08%3A29&amp;en_txn6=Country%3A+Iran&amp;en_txn7=CaseNumber%3A+Seventh+103.22+Iran&amp;en_txn8=Topic%3A+Death+Penalty%2C+Freedom+of+Expression%2C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</si>
  <si>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PROMINENT+HUMAN+RIGHTS+DEFENDER+DETAINED&amp;page_url_params=utm_source%3Dutm_source%253Dtest_source%2526utm_medium%253Dads&amp;Campaign+Date=01%2F20%2F25&amp;Campaign+Time=05%3A12%3A14&amp;en_txn6=Country%3A+Niger&amp;en_txn7=CaseNumber%3A+103.24+Niger&amp;en_txn8=Topic%3A+Freedom+of+Expression%2C+Human+Rights+Defenders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</si>
  <si>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LAWYER%E2%80%99S+HEALTH+AT+RISK&amp;page_url_params=utm_source%3Dutm_source%253Dtest_source%2526utm_medium%253Dads&amp;Campaign+Date=01%2F20%2F25&amp;Campaign+Time=13%3A34%3A22&amp;en_txn6=Country%3A+Egypt&amp;en_txn7=CaseNumber%3A+Ninth+190.18+Egypt&amp;en_txn8=Topic%3A+Freedom+of+Expression%2C+Individuals+At+Risk&amp;en_txn10=YearType%3A+2024%2C+Letter&amp;color=%23f26722&amp;height=422</t>
  </si>
  <si>
    <t>https://act.amnestyusa.org/page/153818/petition/1?email_text=Thank+you+for+taking+action+on+HEALTH+CONCERNS+FOR+JAILED+UYGHUR+MUSICIAN%C2%A0.&amp;email_cta_text=VIEW+MORE+URGENT+ACTIONS&amp;email_cta_url=https%3A%2F%2Fwww.amnestyusa.org%2Fget-involved%2Fgrassroots-activism%2Furgent-action-network%2Factions%2F%3Fstatus%3Dactive%26fyear%3D2025%26sortby%3Dnewest%26pg%3D1&amp;submit_btn_text=Get+the+sample+letter&amp;page_title=HEALTH+CONCERNS+FOR+JAILED+UYGHUR+MUSICIAN%C2%A0&amp;page_url_params=utm_source%3Dutm_source%253Dtest_source%2526utm_medium%253Dads&amp;Campaign+Date=01%2F22%2F25&amp;Campaign+Time=03%3A47%3A24&amp;en_txn6=Country%3A+China&amp;en_txn7=CaseNumber%3A+98.24+China&amp;en_txn8=Topic%3A+Freedom+of+Expression%2C+Individuals+At+Risk&amp;en_txn10=YearType%3A+2024%2C+Letter&amp;color=%23f26722&amp;height=422</t>
  </si>
  <si>
    <t>https://act.amnestyusa.org/page/153818/petition/1?submit_btn_text=Get+the+sample+letter&amp;page_title=PROMINENT+ARTIST+ARRESTED+FOR+HIS+WORK&amp;page_url_params=utm_source%3Dutm_source%253Dtest_source%2526utm_medium%253Dads&amp;Campaign+Date=02%2F15%2F25&amp;Campaign+Time=04%3A14%3A13&amp;en_txn6=Country%3A+China&amp;en_txn7=CaseNumber%3A+106.24+China&amp;en_txn8=Topic%3A+Freedom+of+Expression%2C+Individuals+At+Risk&amp;en_txn10=YearType%3A+2024%2C+Email&amp;color=%23f26722&amp;height=422</t>
  </si>
  <si>
    <t>mobile:N~tablet:N~device:APPLE~os:Mac OS X~browser:Chrome 11</t>
  </si>
  <si>
    <t>https://act.amnestyusa.org/page/153818/petition/1?email_text=Thank+you+for+taking+action+on+RELEASE+PEDIATRICIAN+AND+HOSPITAL+DIRECTOR+%5BIOPT+3.25%5D.&amp;email_cta_text=VIEW+MORE+URGENT+ACTIONS&amp;email_cta_url=https%3A%2F%2Fwww.amnestyusa.org%2Fget-involved%2Fgrassroots-activism%2Furgent-action-network%2Factions%2F%3Fstatus%3Dactive%26fyear%3D2025%26sortby%3Dnewest%26pg%3D1&amp;submit_btn_text=Get+the+sample+letter&amp;page_title=RELEASE+PEDIATRICIAN+AND+HOSPITAL+DIRECTOR+%5BIOPT+3.25%5D&amp;page_url_params=utm_source%3Dutm_source%253Dtest_source%2526utm_medium%253Dads&amp;Campaign+Date=01%2F21%2F25&amp;Campaign+Time=09%3A28%3A29&amp;en_txn6=Country%3A+Israel+and+Occupied+Palestinian+Territories&amp;en_txn7=CaseNumber%3A+3.25+IOPT&amp;en_txn8=Topic%3A+Freedom+of+Expression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</si>
  <si>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Stop+the+Execution+of+Carey+Grayson&amp;page_url_params=utm_source%3Dutm_source%253Dtest_source%2526utm_medium%253Dads&amp;Campaign+Date=11%2F18%2F24&amp;Campaign+Time=15%3A38%3A34&amp;Country=USA&amp;CaseNumber=96.24+USA&amp;Topic=Death+Penalty&amp;YearType=2024%2C+Email&amp;color=%23f26722&amp;height=422</t>
  </si>
  <si>
    <t>mobile:N~tablet:N~device:APPLE~os:Mac OS X~browser:Firefox 12</t>
  </si>
  <si>
    <t>https://act.amnestyusa.org/page/153818/petition/1?email_text=Thank+you+for+your+support%21&amp;email_cta_text=Take+Action&amp;email_cta_url=https%3A%2F%2Fwww.amnestyusa.org&amp;submit_btn_text=Get+the+sample+letter&amp;page_title=RUSSIA%2C+RELEASE+ALEKSEI+GORINOV%21&amp;page_url_params=utm_source%3Dutm_source%253Dtest_source%2526utm_medium%253Dads&amp;Campaign+Date=12%2F17%2F24&amp;Campaign+Time=18%3A56%3A58&amp;en_txn6=Country%3A+Russian+Federation&amp;en_txn7=CaseNumber%3A+Second+23.24+Russia&amp;en_txn8=Topic%3A+Freedom+of+Expression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</si>
  <si>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KURDISH+DISSIDENT+SENTENCED+TO+DEATH+IN+IRAN&amp;page_url_params=utm_source%3Dutm_source%253Dtest_source%2526utm_medium%253Dads&amp;Campaign+Date=12%2F17%2F24&amp;Campaign+Time=00%3A58%3A52&amp;en_txn6=Country%3A+Iran&amp;en_txn7=CaseNumber%3A+101.24+Iran&amp;en_txn8=Topic%3A+Death+Penalty%2C+Freedom+of+Expression%2C+Individuals+At+Risk%2C+Right+to+Protest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</si>
  <si>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OPPOSITION+POLITICIAN+CHARGED+AFTER+ABDUCTION&amp;page_url_params=utm_source%3Dutm_source%253Dtest_source%2526utm_medium%253Dads&amp;Campaign+Date=12%2F14%2F24&amp;Campaign+Time=23%3A11%3A20&amp;en_txn6=Country%3A+Uganda&amp;en_txn7=CaseNumber%3A+100.24+Uganda&amp;en_txn8=Topic%3A+Freedom+of+Expression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</si>
  <si>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POLITICIAN%E2%80%99S+SON%E2%80%99S+HEALTH+AT+RISK&amp;page_url_params=utm_source%3Dutm_source%253Dtest_source%2526utm_medium%253Dads&amp;Campaign+Date=12%2F15%2F24&amp;Campaign+Time=02%3A42%3A25&amp;en_txn6=Country%3A+Egypt&amp;en_txn7=CaseNumber%3A+Fourth+29.23+Egypt&amp;en_txn8=Topic%3A+Freedom+of+Expression%2C+Individuals+At+Risk%2C+Right+to+Protest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</si>
  <si>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STOP+EXTRADITION+OF+TORTURE+SURVIVOR+TO+EGYPT&amp;page_url_params=utm_source%3Dutm_source%253Dtest_source%2526utm_medium%253Dads&amp;Campaign+Date=12%2F12%2F24&amp;Campaign+Time=19%3A51%3A33&amp;en_txn6=Country%3A+&amp;en_txn7=CaseNumber%3A+104.24+Saudi+Arabia&amp;en_txn8=Topic%3A+&amp;en_txn10=YearType%3A+2024%2C+Letter&amp;color=%23f26722&amp;height=422</t>
  </si>
  <si>
    <t xml:space="preserve">Country: </t>
  </si>
  <si>
    <t xml:space="preserve">Topic: 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</si>
  <si>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14%2F25&amp;Campaign+Time=22%3A48%3A34&amp;en_txn6=Country%3A+Israel+and+Occupied+Palestinian+Territories&amp;en_txn7=CaseNumber%3A+3.25+IOPT&amp;en_txn8=Topic%3A+Freedom+of+Expression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</si>
  <si>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STOP+PERSECUTING+VENEZUELAN+NGO&amp;page_url_params=utm_source%3Dutm_source%253Dtest_source%2526utm_medium%253Dads&amp;Campaign+Date=01%2F14%2F25&amp;Campaign+Time=23%3A04%3A04&amp;en_txn6=Country%3A+Venezuela&amp;en_txn7=CaseNumber%3A+97.24+Venezuela&amp;en_txn8=Topic%3A+Freedom+of+Expression&amp;en_txn10=YearType%3A+2024%2C+Letter&amp;color=%23f26722&amp;height=422</t>
  </si>
  <si>
    <t>https://act.amnestyusa.org/page/153818/petition/1?submit_btn_text=Get+the+sample+letter&amp;page_title=MILITARY+COURT+CONVICTS+HUMAN+RIGHTS+LAWYER+%5BUganda+9.24%5D&amp;page_url_params=utm_source%3Dutm_source%253Dtest_source%2526utm_medium%253Dads&amp;Campaign+Date=02%2F06%2F25&amp;Campaign+Time=03%3A17%3A13&amp;en_txn6=Country%3A+Uganda&amp;en_txn7=CaseNumber%3A+9.25+Uganda&amp;en_txn8=Topic%3A+Freedom+of+Expression%2C+Human+Rights+Defenders&amp;en_txn10=YearType%3A+2025%2C+Email&amp;color=%23f26722&amp;height=422</t>
  </si>
  <si>
    <t>https://act.amnestyusa.org/page/153818/petition/1?submit_btn_text=Get+the+sample+letter&amp;page_title=UNJUSTLY+JAILED+RIGHTS+LAWYER+REFERRED+TO+TRIAL+%5BEgypt+Second+UA+80.23%5D&amp;page_url_params=utm_source%3Dutm_source%253Dtest_source%2526utm_medium%253Dads&amp;Campaign+Date=02%2F13%2F25&amp;Campaign+Time=18%3A28%3A55&amp;en_txn6=Country%3A+Egypt&amp;en_txn7=CaseNumber%3A+Second+80.23+Egypt&amp;en_txn8=Topic%3A+Health%2C+Individuals+At+Risk&amp;en_txn10=YearType%3A+2025%2C+Email&amp;color=%23f26722&amp;height=422</t>
  </si>
  <si>
    <t>https://act.amnestyusa.org/page/153818/petition/1?submit_btn_text=Get+the+sample+letter&amp;page_title=LIFT+MOHAMMED+AL-QAHTANI%26%238217%3BS+TRAVEL+BAN+%5BSaudi+Arabia+Fifth+UA+257.12%5D&amp;page_url_params=utm_source%3Dutm_source%253Dtest_source%2526utm_medium%253Dads&amp;Campaign+Date=02%2F18%2F25&amp;Campaign+Time=00%3A17%3A34&amp;en_txn6=Country%3A+Saudi+Arabia&amp;en_txn7=CaseNumber%3A+Fifth+257.12&amp;en_txn8=Topic%3A+Freedom+of+Expression%2C+Human+Rights+Defenders&amp;en_txn10=YearType%3A+2025%2C+Email&amp;color=%23f26722&amp;height=422</t>
  </si>
  <si>
    <t>https://act.amnestyusa.org/page/153818/petition/1?submit_btn_text=Get+the+sample+letter&amp;page_title=RELEASE+JOURNALIST+CONVICTED+OF+PROPAGANDA+%5BAfghanistan+11.25%5D&amp;page_url_params=utm_source%3Dutm_source%253Dtest_source%2526utm_medium%253Dads&amp;Campaign+Date=02%2F16%2F25&amp;Campaign+Time=13%3A45%3A52&amp;en_txn6=Country%3A+Afghanistan&amp;en_txn7=CaseNumber%3A+11.25+Afghanistan&amp;en_txn8=Topic%3A+Freedom+of+Expression%2C+Health%2C+Individuals+At+Risk&amp;en_txn10=YearType%3A+2025%2C+Email&amp;color=%23f26722&amp;height=422</t>
  </si>
  <si>
    <t>https://act.amnestyusa.org/page/153818/petition/1?submit_btn_text=Get+the+sample+letter&amp;page_title=PRISONERS+AT+IMMINENT+RISK+OF+EXECUTION+%5BIran+10.25%5D&amp;page_url_params=utm_source%3Dutm_source%253Dtest_source%2526utm_medium%253Dads&amp;Campaign+Date=02%2F17%2F25&amp;Campaign+Time=07%3A43%3A42&amp;en_txn6=Country%3A+Iran&amp;en_txn7=CaseNumber%3A+10.25+Iran&amp;en_txn8=Topic%3A+Death+Penalty%2C+Individuals+At+Risk&amp;en_txn10=YearType%3A+2025%2C+Email&amp;color=%23f26722&amp;height=422</t>
  </si>
  <si>
    <t>https://act.amnestyusa.org/page/153818/petition/1?submit_btn_text=Get+the+sample+letter&amp;page_title=FREE+IMPRISONED+HUMAN+RIGHTS+DEFENDER&amp;page_url_params=utm_source%3Dutm_source%253Dtest_source%2526utm_medium%253Dads&amp;Campaign+Date=02%2F18%2F25&amp;Campaign+Time=21%3A54%3A17&amp;en_txn6=Country%3A+Turkiye&amp;en_txn7=CaseNumber%3A+Second+109.24+T%C3%BCrkiye&amp;en_txn8=Topic%3A+Human+Rights+Defenders&amp;en_txn10=YearType%3A+2025%2C+Email&amp;color=%23f26722&amp;height=422</t>
  </si>
  <si>
    <t>https://act.amnestyusa.org/page/153818/petition/1?submit_btn_text=Get+the+sample+letter&amp;page_title=SIX+MEN+AT+RISK+OF+EXECUTION+AFTER+GROSSLY+UNFAIR+TRIAL+%5BIran+6.25%5D&amp;page_url_params=utm_source%3Dutm_source%253Dtest_source%2526utm_medium%253Dads&amp;Campaign+Date=02%2F18%2F25&amp;Campaign+Time=21%3A59%3A55&amp;en_txn6=Country%3A+Iran&amp;en_txn7=CaseNumber%3A+6.25+Iran&amp;en_txn8=Topic%3A+Death+Penalty%2C+Freedom+of+Expression%2C+Individuals+At+Risk&amp;en_txn10=YearType%3A+2025%2C+Email&amp;color=%23f26722&amp;height=422</t>
  </si>
  <si>
    <t>https://act.amnestyusa.org/page/153818/petition/1?submit_btn_text=Get+the+sample+letter&amp;page_title=PROMINENT+JOURNALIST+ARBITRARILY+DETAINED+%5BTunisia+8.25%5D&amp;page_url_params=utm_source%3Dutm_source%253Dtest_source%2526utm_medium%253Dads&amp;Campaign+Date=02%2F18%2F25&amp;Campaign+Time=15%3A29%3A33&amp;en_txn6=Country%3A+Tunisia&amp;en_txn7=CaseNumber%3A+8.25+Tunisia&amp;en_txn8=Topic%3A+Freedom+of+Expression&amp;en_txn10=YearType%3A+2025%2C+Email&amp;color=%23f26722&amp;height=422</t>
  </si>
  <si>
    <t>https://act.amnestyusa.org/page/153818/petition/1?submit_btn_text=Get+the+sample+letter&amp;page_title=HUMAN+RIGHTS+DEFENDER+ON+HUNGER+STRIKE+%5BSecond+UA+76.24+Tunisia%5D&amp;page_url_params=utm_source%3Dutm_source%253Dtest_source%2526utm_medium%253Dads&amp;Campaign+Date=02%2F18%2F25&amp;Campaign+Time=22%3A05%3A44&amp;en_txn6=Country%3A+Tunisia&amp;en_txn7=CaseNumber%3A+Second+76.24+Tunisia&amp;en_txn8=Topic%3A+Freedom+of+Expression%2C+Human+Rights+Defenders&amp;en_txn10=YearType%3A+2025%2C+Email&amp;color=%23f26722&amp;height=422</t>
  </si>
  <si>
    <t>https://act.amnestyusa.org/page/153818/petition/1?submit_btn_text=Get+the+sample+letter&amp;page_title=KURDISH+DISSIDENT+SENTENCED+TO+DEATH+IN+IRAN&amp;page_url_params=utm_source%3Dutm_source%253Dtest_source%2526utm_medium%253Dads&amp;Campaign+Date=01%2F20%2F25&amp;Campaign+Time=21%3A13%3A06&amp;en_txn6=Country%3A+Iran&amp;en_txn7=CaseNumber%3A+101.24+Iran&amp;en_txn8=Topic%3A+Death+Penalty%2C+Freedom+of+Expression%2C+Individuals+At+Risk%2C+Right+to+Protest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</si>
  <si>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WOMAN+HUMAN+RIGHTS+DEFENDER+DISAPPEARED&amp;page_url_params=utm_source%3Dutm_source%253Dtest_source%2526utm_medium%253Dads&amp;Campaign+Date=01%2F18%2F25&amp;Campaign+Time=14%3A07%3A07&amp;en_txn6=Country%3A+Mexico&amp;en_txn7=CaseNumber%3A+92.24+Mexico&amp;en_txn8=Topic%3A+Human+Rights+Defenders&amp;en_txn10=YearType%3A+2024%2C+Email&amp;color=%23f26722&amp;height=422</t>
  </si>
  <si>
    <t>Country: Mexico</t>
  </si>
  <si>
    <t>CaseNumber: 92.24 Mexico</t>
  </si>
  <si>
    <t>https://act.amnestyusa.org/page/153818/petition/1?email_text=Thank+you+for+your+support%21&amp;email_cta_text=Take+Action&amp;email_cta_url=https%3A%2F%2Fwww.amnestyusa.org&amp;submit_btn_text=Get+the+sample+letter&amp;page_title=JUSTICE+FOR+WATER+DEFENDER+KILLED&amp;page_url_params=utm_source%3Dutm_source%253Dtest_source%2526utm_medium%253Dads&amp;Campaign+Date=01%2F18%2F25&amp;Campaign+Time=13%3A59%3A32&amp;en_txn6=Country%3A+Honduras&amp;en_txn7=CaseNumber%3A+Second+85.24+Honduras&amp;en_txn8=Topic%3A+Climate+Justice%2C+Human+Rights+Defenders%2C+Right+to+Protest&amp;en_txn10=YearType%3A+2024%2C+Email&amp;color=%23f26722&amp;height=422</t>
  </si>
  <si>
    <t>Country: Honduras</t>
  </si>
  <si>
    <t>CaseNumber: Second 85.24 Honduras</t>
  </si>
  <si>
    <t>Topic: Climate Justice, Human Rights Defenders, Right to Protest</t>
  </si>
  <si>
    <t>https://donate.amnestyusa.org/page/157642/subscribe/1?_gl=1*1wkds1*_gcl_au*MTA4OTMxOTAyNC4xNzMyODk4OTgw&amp;color=%23252525</t>
  </si>
  <si>
    <t>https://donate.amnestyusa.org/page/157642/subscribe/1?_gl=1*fd2j5j*_gcl_au*OTY3NDA2NjI3LjE3MjUwMTM5MzQ.&amp;color=%23252525</t>
  </si>
  <si>
    <t>mobile:N~tablet:N~device:GOOGLE~os:Chrome OS~browser:Chrome 9</t>
  </si>
  <si>
    <t>https://act.amnestyusa.org/page/153818/petition/1?email_text=Thank+you+for+your+support%21&amp;email_cta_text=Take+Action&amp;email_cta_url=https%3A%2F%2Fwww.amnestyusa.org&amp;submit_btn_text=Get+the+sample+letter&amp;page_title=IMPRISONED+POET+IS+AT+RISK+OF+TORTURE&amp;page_url_params=utm_source%3Dutm_source%253Dtest_source%2526utm_medium%253Dads&amp;Campaign+Date=12%2F21%2F24&amp;Campaign+Time=06%3A07%3A42&amp;en_txn6=Country%3A+Russian+Federation&amp;en_txn7=CaseNumber%3A+102.24+Russia&amp;en_txn8=Topic%3A+Freedom+of+Expression%2C+Individuals+At+Risk%2C+Right+to+Protest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</si>
  <si>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PROMINENT+HUMAN+RIGHTS+DEFENDER+DETAINED&amp;page_url_params=utm_source%3Dutm_source%253Dtest_source%2526utm_medium%253Dads&amp;Campaign+Date=01%2F06%2F25&amp;Campaign+Time=04%3A07%3A47&amp;en_txn6=Country%3A+Niger&amp;en_txn7=CaseNumber%3A+103.24+Niger&amp;en_txn8=Topic%3A+Freedom+of+Expression%2C+Human+Rights+Defenders&amp;en_txn10=YearType%3A+2024%2C+Email&amp;color=%23f26722&amp;height=422</t>
  </si>
  <si>
    <t>https://act.amnestyusa.org/page/153818/petition/1?submit_btn_text=Get+the+sample+letter&amp;page_title=HEALTH+CONCERNS+FOR+JAILED+UYGHUR+MUSICIAN%C2%A0&amp;page_url_params=utm_source%3Dutm_source%253Dtest_source%2526utm_medium%253Dads&amp;Campaign+Date=02%2F21%2F25&amp;Campaign+Time=01%3A25%3A12&amp;en_txn6=Country%3A+China&amp;en_txn7=CaseNumber%3A+98.24+China&amp;en_txn8=Topic%3A+Freedom+of+Expression%2C+Individuals+At+Risk&amp;en_txn10=YearType%3A+2024%2C+Letter&amp;color=%23f26722&amp;height=422</t>
  </si>
  <si>
    <t>https://act.amnestyusa.org/page/153818/petition/1?submit_btn_text=Get+the+sample+letter&amp;page_title=WOMAN+HUMAN+RIGHTS+DEFENDER+DISAPPEARED&amp;page_url_params=utm_source%3Dutm_source%253Dtest_source%2526utm_medium%253Dads&amp;Campaign+Date=02%2F10%2F25&amp;Campaign+Time=23%3A54%3A26&amp;en_txn6=Country%3A+Mexico&amp;en_txn7=CaseNumber%3A+92.24+Mexico&amp;en_txn8=Topic%3A+Human+Rights+Defenders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</si>
  <si>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End+Racist+Deportations+of+Haitians&amp;page_url_params=utm_source%3Dutm_source%253Dtest_source%2526utm_medium%253Dads&amp;Campaign+Date=11%2F29%2F24&amp;Campaign+Time=22%3A13%3A39&amp;en_txn6=Country%3A+Dominican+Republic&amp;en_txn7=CaseNumber%3A+88.24+Dominican+Republic&amp;en_txn8=Topic%3A+Individuals+At+Risk%2C+Refugee+and+Migrant+Rights&amp;en_txn10=YearType%3A+2024%2C+Letter&amp;color=%23f26722&amp;height=422</t>
  </si>
  <si>
    <t>smilburn@igc.org</t>
  </si>
  <si>
    <t>https://act.amnestyusa.org/page/153818/petition/1?email_text=Thank+you+for+your+support%21&amp;email_cta_text=Take+Action&amp;email_cta_url=https%3A%2F%2Fwww.amnestyusa.org&amp;submit_btn_text=Get+the+sample+letter&amp;page_title=RELEASE+JOURNALISTS+ARRESTED+AFTER+COP29&amp;page_url_params=utm_source%3Dutm_source%253Dtest_source%2526utm_medium%253Dads&amp;Campaign+Date=01%2F17%2F25&amp;Campaign+Time=19%3A56%3A21&amp;en_txn6=Country%3A+Azerbaijan&amp;en_txn7=CaseNumber%3A+2.25+Azerbaijan&amp;en_txn8=Topic%3A+Freedom+of+Expression%2C+Human+Rights+Defenders&amp;en_txn10=YearType%3A+2025%2C+Email&amp;color=%23f26722&amp;height=422</t>
  </si>
  <si>
    <t>https://act.amnestyusa.org/page/153818/petition/1?submit_btn_text=Get+the+sample+letter&amp;page_title=OLDER+SUFI+SHEIKH+FORCIBLY+DISAPPEARED+FOR+A+YEAR+%5BLibya+12.25%5D&amp;page_url_params=utm_source%3Dutm_source%253Dtest_source%2526utm_medium%253Dads&amp;Campaign+Date=02%2F07%2F25&amp;Campaign+Time=19%3A28%3A03&amp;en_txn6=Country%3A+Libya&amp;en_txn7=CaseNumber%3A+12.25+Libya&amp;en_txn8=Topic%3A+Freedom+of+Expression%2C+Health%2C+Individuals+At+Risk&amp;en_txn10=YearType%3A+2025%2C+Email&amp;color=%23f26722&amp;height=422</t>
  </si>
  <si>
    <t>https://act.amnestyusa.org/page/153818/petition/1?submit_btn_text=Get+the+sample+letter&amp;page_title=UNJUSTLY+JAILED+RIGHTS+LAWYER+REFERRED+TO+TRIAL+%5BEgypt+Second+UA+80.23%5D&amp;page_url_params=utm_source%3Dutm_source%253Dtest_source%2526utm_medium%253Dads&amp;Campaign+Date=02%2F08%2F25&amp;Campaign+Time=00%3A47%3A14&amp;en_txn6=Country%3A+Egypt&amp;en_txn7=CaseNumber%3A+Second+80.23+Egypt&amp;en_txn8=Topic%3A+Health%2C+Individuals+At+Risk&amp;en_txn10=YearType%3A+2025%2C+Email&amp;color=%23f26722&amp;height=422</t>
  </si>
  <si>
    <t>https://act.amnestyusa.org/page/153818/petition/1?submit_btn_text=Get+the+sample+letter&amp;page_title=HUMAN+RIGHTS+DEFENDER+ON+HUNGER+STRIKE+%5BSecond+UA+76.24+Tunisia%5D&amp;page_url_params=utm_source%3Dutm_source%253Dtest_source%2526utm_medium%253Dads&amp;Campaign+Date=02%2F14%2F25&amp;Campaign+Time=16%3A53%3A00&amp;en_txn6=Country%3A+Tunisia&amp;en_txn7=CaseNumber%3A+Second+76.24+Tunisia&amp;en_txn8=Topic%3A+Freedom+of+Expression%2C+Human+Rights+Defenders&amp;en_txn10=YearType%3A+2025%2C+Email&amp;color=%23f26722&amp;height=422</t>
  </si>
  <si>
    <t>https://act.amnestyusa.org/page/153818/petition/1?submit_btn_text=Get+the+sample+letter&amp;page_title=RELEASE+PEDIATRICIAN+AND+HOSPITAL+DIRECTOR+%5BIOPT+3.25%5D&amp;page_url_params=utm_source%3Dutm_source%253Dtest_source%2526utm_medium%253Dads&amp;Campaign+Date=01%2F20%2F25&amp;Campaign+Time=16%3A23%3A16&amp;en_txn6=Country%3A+Israel+and+Occupied+Palestinian+Territories&amp;en_txn7=CaseNumber%3A+3.25+IOPT&amp;en_txn8=Topic%3A+Freedom+of+Expression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</si>
  <si>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HUMAN+RIGHTS+DEFENDER+IMPRISONED&amp;page_url_params=utm_source%3Dutm_source%253Dtest_source%2526utm_medium%253Dads&amp;Campaign+Date=01%2F02%2F25&amp;Campaign+Time=23%3A51%3A37&amp;en_txn6=Country%3A+Turkiye&amp;en_txn7=CaseNumber%3A+109.24+T%C3%BCrkiye&amp;en_txn8=Topic%3A+Human+Rights+Defenders%2C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</si>
  <si>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FATHER+APPEALS+PRISON+TERM&amp;page_url_params=utm_source%3Dutm_source%253Dtest_source%2526utm_medium%253Dads&amp;Campaign+Date=01%2F06%2F25&amp;Campaign+Time=16%3A02%3A19&amp;en_txn6=Country%3A+Egypt&amp;en_txn7=CaseNumber%3A+Third+73.23+Egypt&amp;en_txn8=Topic%3A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</si>
  <si>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PROMINENT+HUMAN+RIGHTS+DEFENDER+DETAINED&amp;page_url_params=utm_source%3Dutm_source%253Dtest_source%2526utm_medium%253Dads&amp;Campaign+Date=01%2F02%2F25&amp;Campaign+Time=04%3A07%3A03&amp;en_txn6=Country%3A+Niger&amp;en_txn7=CaseNumber%3A+103.24+Niger&amp;en_txn8=Topic%3A+Freedom+of+Expression%2C+Human+Rights+Defenders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</si>
  <si>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LAWYER+TREATED+INHUMANELY&amp;page_url_params=utm_source%3Dutm_source%253Dtest_source%2526utm_medium%253Dads&amp;Campaign+Date=01%2F02%2F25&amp;Campaign+Time=12%3A43%3A28&amp;en_txn6=Country%3A+Tunisia&amp;en_txn7=CaseNumber%3A+Second+43.24+Tunisia&amp;en_txn8=Topic%3A+Freedom+of+Expression%2C+Individuals+At+Risk&amp;en_txn10=YearType%3A+2024%2C+Email&amp;color=%23f26722&amp;height=422</t>
  </si>
  <si>
    <t>https://act.amnestyusa.org/page/153818/petition/1?submit_btn_text=Get+the+sample+letter&amp;page_title=RELEASE+PEDIATRICIAN+AND+HOSPITAL+DIRECTOR+%5BIOPT+3.25%5D&amp;page_url_params=utm_source%3Dutm_source%253Dtest_source%2526utm_medium%253Dads&amp;Campaign+Date=01%2F20%2F25&amp;Campaign+Time=16%3A19%3A33&amp;en_txn6=Country%3A+Israel+and+Occupied+Palestinian+Territories&amp;en_txn7=CaseNumber%3A+3.25+IOPT&amp;en_txn8=Topic%3A+Freedom+of+Expression%2C+Individuals+At+Risk&amp;en_txn10=YearType%3A+2025%2C+Email&amp;color=%23f26722&amp;height=422</t>
  </si>
  <si>
    <t>rredford112@gmail.com</t>
  </si>
  <si>
    <t>spgcowst</t>
  </si>
  <si>
    <t>https://act.amnestyusa.org/page/153818/petition/1?submit_btn_text=Get+the+sample+letter&amp;page_title=OLDER+SUFI+SHEIKH+FORCIBLY+DISAPPEARED+FOR+A+YEAR+%5BLibya+12.25%5D&amp;page_url_params=utm_source%3Dutm_source%253Dtest_source%2526utm_medium%253Dads&amp;Campaign+Date=02%2F07%2F25&amp;Campaign+Time=19%3A33%3A03&amp;en_txn6=Country%3A+Libya&amp;en_txn7=CaseNumber%3A+12.25+Libya&amp;en_txn8=Topic%3A+Freedom+of+Expression%2C+Health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</si>
  <si>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USSIA%2C+RELEASE+ALEKSEI+GORINOV%21&amp;page_url_params=utm_source%3Dutm_source%253Dtest_source%2526utm_medium%253Dads&amp;Campaign+Date=12%2F12%2F24&amp;Campaign+Time=11%3A03%3A49&amp;en_txn6=Country%3A+Russian+Federation&amp;en_txn7=CaseNumber%3A+Second+23.24+Russia&amp;en_txn8=Topic%3A+Freedom+of+Expression&amp;en_txn10=YearType%3A+2024%2C+Letter&amp;color=%23f26722&amp;height=422</t>
  </si>
  <si>
    <t>https://act.amnestyusa.org/page/153818/petition/1?submit_btn_text=Get+the+sample+letter&amp;page_title=OLDER+SUFI+SHEIKH+FORCIBLY+DISAPPEARED+FOR+A+YEAR+%5BLibya+12.25%5D&amp;page_url_params=utm_source%3Dutm_source%253Dtest_source%2526utm_medium%253Dads&amp;Campaign+Date=02%2F14%2F25&amp;Campaign+Time=10%3A52%3A21&amp;en_txn6=Country%3A+Libya&amp;en_txn7=CaseNumber%3A+12.25+Libya&amp;en_txn8=Topic%3A+Freedom+of+Expression%2C+Health%2C+Individuals+At+Risk&amp;en_txn10=YearType%3A+2025%2C+Email&amp;color=%23f26722&amp;height=422</t>
  </si>
  <si>
    <t>https://act.amnestyusa.org/page/153818/petition/1?submit_btn_text=Get+the+sample+letter&amp;page_title=UNJUSTLY+JAILED+FATHER+APPEALS+PRISON+TERM&amp;page_url_params=utm_source%3Dutm_source%253Dtest_source%2526utm_medium%253Dads&amp;Campaign+Date=01%2F25%2F25&amp;Campaign+Time=08%3A23%3A33&amp;en_txn6=Country%3A+Egypt&amp;en_txn7=CaseNumber%3A+Third+73.23+Egypt&amp;en_txn8=Topic%3A+Individuals+At+Risk&amp;en_txn10=YearType%3A+2024%2C+Email&amp;color=%23f26722&amp;height=422</t>
  </si>
  <si>
    <t>https://act.amnestyusa.org/page/153818/petition/1?submit_btn_text=Get+the+sample+letter&amp;page_title=HUMAN+RIGHTS+DEFENDER+IMPRISONED&amp;page_url_params=utm_source%3Dutm_source%253Dtest_source%2526utm_medium%253Dads&amp;Campaign+Date=01%2F25%2F25&amp;Campaign+Time=07%3A06%3A52&amp;en_txn6=Country%3A+Turkiye&amp;en_txn7=CaseNumber%3A+109.24+T%C3%BCrkiye&amp;en_txn8=Topic%3A+Human+Rights+Defenders%2C+Individuals+At+Risk&amp;en_txn10=YearType%3A+2024%2C+Email&amp;color=%23f26722&amp;height=422</t>
  </si>
  <si>
    <t>https://act.amnestyusa.org/page/153818/petition/1?submit_btn_text=Get+the+sample+letter&amp;page_title=UNJUSTLY+JAILED+LAWYER+TREATED+INHUMANELY&amp;page_url_params=utm_source%3Dutm_source%253Dtest_source%2526utm_medium%253Dads&amp;Campaign+Date=01%2F25%2F25&amp;Campaign+Time=07%3A11%3A36&amp;en_txn6=Country%3A+Tunisia&amp;en_txn7=CaseNumber%3A+Second+43.24+Tunisia&amp;en_txn8=Topic%3A+Freedom+of+Expression%2C+Individuals+At+Risk&amp;en_txn10=YearType%3A+2024%2C+Email&amp;color=%23f26722&amp;height=422</t>
  </si>
  <si>
    <t>https://act.amnestyusa.org/page/153818/petition/1?submit_btn_text=Get+the+sample+letter&amp;page_title=MALAYSIAN+MAN+BELIEVED+AT+RISK+OF+EXECUTION%C2%A0&amp;page_url_params=utm_source%3Dutm_source%253Dtest_source%2526utm_medium%253Dads&amp;Campaign+Date=01%2F25%2F25&amp;Campaign+Time=07%3A16%3A41&amp;en_txn6=Country%3A+Singapore&amp;en_txn7=CaseNumber%3A+107.24+Singapore&amp;en_txn8=Topic%3A+Death+Penalty&amp;en_txn10=YearType%3A+2024%2C+Email&amp;color=%23f26722&amp;height=422</t>
  </si>
  <si>
    <t>https://act.amnestyusa.org/page/153818/petition/1?submit_btn_text=Get+the+sample+letter&amp;page_title=UNJUSTLY+JAILED+POLITICIAN%E2%80%99S+SON%E2%80%99S+HEALTH+AT+RISK&amp;page_url_params=utm_source%3Dutm_source%253Dtest_source%2526utm_medium%253Dads&amp;Campaign+Date=01%2F25%2F25&amp;Campaign+Time=07%3A22%3A09&amp;en_txn6=Country%3A+Egypt&amp;en_txn7=CaseNumber%3A+Fourth+29.23+Egypt&amp;en_txn8=Topic%3A+Freedom+of+Expression%2C+Individuals+At+Risk%2C+Right+to+Protest&amp;en_txn10=YearType%3A+2024%2C+Email&amp;color=%23f26722&amp;height=422</t>
  </si>
  <si>
    <t>https://act.amnestyusa.org/page/153818/petition/1?submit_btn_text=Get+the+sample+letter&amp;page_title=OPPOSITION+POLITICIAN+CHARGED+AFTER+ABDUCTION&amp;page_url_params=utm_source%3Dutm_source%253Dtest_source%2526utm_medium%253Dads&amp;Campaign+Date=01%2F25%2F25&amp;Campaign+Time=07%3A25%3A05&amp;en_txn6=Country%3A+Uganda&amp;en_txn7=CaseNumber%3A+100.24+Uganda&amp;en_txn8=Topic%3A+Freedom+of+Expression&amp;en_txn10=YearType%3A+2024%2C+Email&amp;color=%23f26722&amp;height=422</t>
  </si>
  <si>
    <t>https://act.amnestyusa.org/page/153818/petition/1?submit_btn_text=Get+the+sample+letter&amp;page_title=RELEASE+JOURNALISTS+ARRESTED+AFTER+COP29&amp;page_url_params=utm_source%3Dutm_source%253Dtest_source%2526utm_medium%253Dads&amp;Campaign+Date=01%2F25%2F25&amp;Campaign+Time=07%3A56%3A09&amp;en_txn6=Country%3A+Azerbaijan&amp;en_txn7=CaseNumber%3A+2.25+Azerbaijan&amp;en_txn8=Topic%3A+Freedom+of+Expression%2C+Human+Rights+Defenders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</si>
  <si>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KURDISH+DISSIDENT+SENTENCED+TO+DEATH+IN+IRAN&amp;page_url_params=utm_source%3Dutm_source%253Dtest_source%2526utm_medium%253Dads&amp;Campaign+Date=12%2F12%2F24&amp;Campaign+Time=16%3A38%3A32&amp;en_txn6=Country%3A+Iran&amp;en_txn7=CaseNumber%3A+101.24+Iran&amp;en_txn8=Topic%3A+Death+Penalty%2C+Freedom+of+Expression%2C+Individuals+At+Risk%2C+Right+to+Protest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</si>
  <si>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OPPOSITION+POLITICIAN+CHARGED+AFTER+ABDUCTION&amp;page_url_params=utm_source%3Dutm_source%253Dtest_source%2526utm_medium%253Dads&amp;Campaign+Date=12%2F12%2F24&amp;Campaign+Time=15%3A37%3A19&amp;en_txn6=Country%3A+Uganda&amp;en_txn7=CaseNumber%3A+100.24+Uganda&amp;en_txn8=Topic%3A+Freedom+of+Expression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</si>
  <si>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ELEASE+PAEDIATRICIAN+AND+HOSPITAL+DIRECTOR&amp;page_url_params=utm_source%3Dutm_source%253Dtest_source%2526utm_medium%253Dads&amp;Campaign+Date=01%2F14%2F25&amp;Campaign+Time=22%3A03%3A15&amp;en_txn6=Country%3A+Israel+and+Occupied+Palestinian+Territories&amp;en_txn7=CaseNumber%3A+3.25+IOPT&amp;en_txn8=Topic%3A+Freedom+of+Expression%2C+Individuals+At+Risk&amp;en_txn10=YearType%3A+2025%2C+Email&amp;color=%23f26722&amp;height=422</t>
  </si>
  <si>
    <t>mobile:N~tablet:N~device:APPLE~os:Mac OS X~browser:Firefox 11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</si>
  <si>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15%2F25&amp;Campaign+Time=23%3A06%3A27&amp;en_txn6=Country%3A+Israel+and+Occupied+Palestinian+Territories&amp;en_txn7=CaseNumber%3A+3.25+IOPT&amp;en_txn8=Topic%3A+Freedom+of+Expression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</si>
  <si>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HEALTH+CONCERNS+FOR+JAILED+UYGHUR+MUSICIAN%C2%A0&amp;page_url_params=utm_source%3Dutm_source%253Dtest_source%2526utm_medium%253Dads&amp;Campaign+Date=01%2F03%2F25&amp;Campaign+Time=00%3A46%3A10&amp;en_txn6=Country%3A+China&amp;en_txn7=CaseNumber%3A+98.24+China&amp;en_txn8=Topic%3A+Freedom+of+Expression%2C+Individuals+At+Risk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</si>
  <si>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STOP+PERSECUTING+VENEZUELAN+NGO&amp;page_url_params=utm_source%3Dutm_source%253Dtest_source%2526utm_medium%253Dads&amp;Campaign+Date=01%2F04%2F25&amp;Campaign+Time=20%3A47%3A00&amp;en_txn6=Country%3A+Venezuela&amp;en_txn7=CaseNumber%3A+97.24+Venezuela&amp;en_txn8=Topic%3A+Freedom+of+Expression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</si>
  <si>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IMPRISONED+POET+IS+AT+RISK+OF+TORTURE&amp;page_url_params=utm_source%3Dutm_source%253Dtest_source%2526utm_medium%253Dads&amp;Campaign+Date=01%2F17%2F25&amp;Campaign+Time=19%3A48%3A09&amp;en_txn6=Country%3A+Russian+Federation&amp;en_txn7=CaseNumber%3A+102.24+Russia&amp;en_txn8=Topic%3A+Freedom+of+Expression%2C+Individuals+At+Risk%2C+Right+to+Protest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</si>
  <si>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LAWYER%E2%80%99S+HEALTH+AT+RISK&amp;page_url_params=utm_source%3Dutm_source%253Dtest_source%2526utm_medium%253Dads&amp;Campaign+Date=01%2F03%2F25&amp;Campaign+Time=19%3A01%3A20&amp;en_txn6=Country%3A+Egypt&amp;en_txn7=CaseNumber%3A+Ninth+190.18+Egypt&amp;en_txn8=Topic%3A+Freedom+of+Expression%2C+Individuals+At+Risk&amp;en_txn10=YearType%3A+2024%2C+Letter&amp;color=%23f26722&amp;height=422</t>
  </si>
  <si>
    <t>https://act.amnestyusa.org/page/153818/petition/1?submit_btn_text=Get+the+sample+letter&amp;page_title=MILITARY+COURT+CONVICTS+HUMAN+RIGHTS+LAWYER+%5BUganda+9.24%5D&amp;page_url_params=utm_source%3Dutm_source%253Dtest_source%2526utm_medium%253Dads&amp;Campaign+Date=02%2F18%2F25&amp;Campaign+Time=17%3A41%3A02&amp;en_txn6=Country%3A+Uganda&amp;en_txn7=CaseNumber%3A+9.25+Uganda&amp;en_txn8=Topic%3A+Freedom+of+Expression%2C+Human+Rights+Defenders&amp;en_txn10=YearType%3A+2025%2C+Email&amp;color=%23f26722&amp;height=422</t>
  </si>
  <si>
    <t>https://act.amnestyusa.org/page/153818/petition/1?email_text=Thank+you+for+taking+action+on+JUSTICE+FOR+WATER+DEFENDER+KILLED.&amp;email_cta_text=VIEW+MORE+URGENT+ACTIONS&amp;email_cta_url=https%3A%2F%2Fwww.amnestyusa.org%2Fget-involved%2Fgrassroots-activism%2Furgent-action-network%2Factions%2F%3Fstatus%3Dactive%26fyear%3D2025%26sortby%3Dnewest%26pg%3D1&amp;submit_btn_text=Get+the+sample+letter&amp;page_title=JUSTICE+FOR+WATER+DEFENDER+KILLED&amp;page_url_params=utm_source%3Dutm_source%253Dtest_source%2526utm_medium%253Dads&amp;Campaign+Date=01%2F21%2F25&amp;Campaign+Time=16%3A24%3A20&amp;en_txn6=Country%3A+Honduras&amp;en_txn7=CaseNumber%3A+Second+85.24+Honduras&amp;en_txn8=Topic%3A+Climate+Justice%2C+Human+Rights+Defenders%2C+Right+to+Protest&amp;en_txn10=YearType%3A+2024%2C+Email&amp;color=%23f26722&amp;height=422</t>
  </si>
  <si>
    <t>https://act.amnestyusa.org/page/153818/petition/1?submit_btn_text=Get+the+sample+letter&amp;page_title=FREE+VENEZUELAN+HUMAN+RIGHTS+DEFENDERS&amp;page_url_params=utm_source%3Dutm_source%253Dtest_source%2526utm_medium%253Dads&amp;Campaign+Date=01%2F20%2F25&amp;Campaign+Time=16%3A33%3A58&amp;en_txn6=Country%3A+Venezuela&amp;en_txn7=CaseNumber%3A+1.25+Venezuela&amp;en_txn8=Topic%3A+Human+Rights+Defenders%2C+Individuals+At+Risk&amp;en_txn10=YearType%3A+2025%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</si>
  <si>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End+Racist+Deportations+of+Haitians&amp;page_url_params=utm_source%3Dutm_source%253Dtest_source%2526utm_medium%253Dads&amp;Campaign+Date=11%2F19%2F24&amp;Campaign+Time=11%3A49%3A38&amp;Country=Dominican+Republic&amp;CaseNumber=88.24+Dominican+Republic&amp;Topic=Individuals+At+Risk%2C+Refugee+and+Migrant+Rights&amp;YearType=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</si>
  <si>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End+Racist+Deportations+of+Haitians&amp;page_url_params=utm_source%3Dutm_source%253Dtest_source%2526utm_medium%253Dads&amp;Campaign+Date=11%2F18%2F24&amp;Campaign+Time=09%3A15%3A08&amp;Country=Dominican+Republic&amp;CaseNumber=88.24+Dominican+Republic&amp;Topic=Individuals+At+Risk%2C+Refugee+and+Migrant+Rights&amp;YearType=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</si>
  <si>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End+Racist+Deportations+of+Haitians&amp;page_url_params=utm_source%3Dutm_source%253Dtest_source%2526utm_medium%253Dads&amp;Campaign+Date=11%2F18%2F24&amp;Campaign+Time=17%3A50%3A31&amp;Country=Dominican+Republic&amp;CaseNumber=88.24+Dominican+Republic&amp;Topic=Individuals+At+Risk%2C+Refugee+and+Migrant+Rights&amp;YearType=2024%2C+Letter&amp;color=%23f26722&amp;height=422</t>
  </si>
  <si>
    <t>lonnajean@gmail.com</t>
  </si>
  <si>
    <t>m.mk@juno.com</t>
  </si>
  <si>
    <t>https://act.amnestyusa.org/page/153818/petition/1?email_text=Thank+you+for+your+support%21&amp;email_cta_text=Take+Action&amp;email_cta_url=https%3A%2F%2Fwww.amnestyusa.org&amp;submit_btn_text=Get+the+sample+letter&amp;page_title=MALAYSIAN+MAN+BELIEVED+AT+RISK+OF+EXECUTION%C2%A0&amp;page_url_params=utm_source%3Dutm_source%253Dtest_source%2526utm_medium%253Dads&amp;Campaign+Date=01%2F17%2F25&amp;Campaign+Time=21%3A33%3A55&amp;en_txn6=Country%3A+Singapore&amp;en_txn7=CaseNumber%3A+107.24+Singapore&amp;en_txn8=Topic%3A+Death+Penalty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</si>
  <si>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STOP+EXTRADITION+OF+TORTURE+SURVIVOR+TO+EGYPT&amp;page_url_params=utm_source%3Dutm_source%253Dtest_source%2526utm_medium%253Dads&amp;Campaign+Date=01%2F17%2F25&amp;Campaign+Time=20%3A24%3A19&amp;en_txn6=Country%3A+Saudi+Arabia&amp;en_txn7=CaseNumber%3A+104.24+Saudi+Arabia&amp;en_txn8=Topic%3A+Individuals+At+Risk%2C+Refugee+and+Migrant+Rights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</si>
  <si>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POLITICIAN%E2%80%99S+SON%E2%80%99S+HEALTH+AT+RISK&amp;page_url_params=utm_source%3Dutm_source%253Dtest_source%2526utm_medium%253Dads&amp;Campaign+Date=01%2F17%2F25&amp;Campaign+Time=20%3A18%3A25&amp;en_txn6=Country%3A+Egypt&amp;en_txn7=CaseNumber%3A+Fourth+29.23+Egypt&amp;en_txn8=Topic%3A+Freedom+of+Expression%2C+Individuals+At+Risk%2C+Right+to+Protest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</si>
  <si>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KURDISH+DISSIDENT+SENTENCED+TO+DEATH+IN+IRAN&amp;page_url_params=utm_source%3Dutm_source%253Dtest_source%2526utm_medium%253Dads&amp;Campaign+Date=01%2F17%2F25&amp;Campaign+Time=20%3A03%3A09&amp;en_txn6=Country%3A+Iran&amp;en_txn7=CaseNumber%3A+101.24+Iran&amp;en_txn8=Topic%3A+Death+Penalty%2C+Freedom+of+Expression%2C+Individuals+At+Risk%2C+Right+to+Protest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</si>
  <si>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HEALTH+CONCERNS+FOR+JAILED+UYGHUR+MUSICIAN%C2%A0&amp;page_url_params=utm_source%3Dutm_source%253Dtest_source%2526utm_medium%253Dads&amp;Campaign+Date=01%2F17%2F25&amp;Campaign+Time=19%3A57%3A25&amp;en_txn6=Country%3A+China&amp;en_txn7=CaseNumber%3A+98.24+China&amp;en_txn8=Topic%3A+Freedom+of+Expression%2C+Individuals+At+Risk&amp;en_txn10=YearType%3A+2024%2C+Letter&amp;color=%23f26722&amp;height=422</t>
  </si>
  <si>
    <t>amanda.armstrong08@gmail.com</t>
  </si>
  <si>
    <t>https://act.amnestyusa.org/page/153818/petition/1?email_text=Thank+you+for+your+support%21&amp;email_cta_text=Take+Action&amp;email_cta_url=https%3A%2F%2Fwww.amnestyusa.org&amp;submit_btn_text=Get+the+sample+letter&amp;page_title=End+Racist+Deportations+of+Haitians&amp;page_url_params=utm_source%3Dutm_source%253Dtest_source%2526utm_medium%253Dads&amp;Campaign+Date=12%2F04%2F24&amp;Campaign+Time=01%3A41%3A13&amp;en_txn6=Country%3A+Dominican+Republic&amp;en_txn7=CaseNumber%3A+88.24+Dominican+Republic&amp;en_txn8=Topic%3A+Individuals+At+Risk%2C+Refugee+and+Migrant+Rights&amp;en_txn10=YearType%3A+2024%2C+Letter&amp;color=%23f26722&amp;height=422</t>
  </si>
  <si>
    <t>lfurman844@gmail.com</t>
  </si>
  <si>
    <t>https://act.amnestyusa.org/page/153818/petition/1?email_text=Thank+you+for+your+support%21&amp;email_cta_text=Take+Action&amp;email_cta_url=https%3A%2F%2Fwww.amnestyusa.org&amp;submit_btn_text=Get+the+sample+letter&amp;page_title=RISKS+OF+FURTHER+PROTEST-RELATED+EXECUTIONS&amp;page_url_params=utm_source%3Dutm_source%253Dtest_source%2526utm_medium%253Dads&amp;Campaign+Date=01%2F14%2F25&amp;Campaign+Time=22%3A27%3A01&amp;en_txn6=Country%3A+Iran&amp;en_txn7=CaseNumber%3A+Seventh+103.22+Iran&amp;en_txn8=Topic%3A+Death+Penalty%2C+Freedom+of+Expression%2C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</si>
  <si>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ENVIRONMENTAL+LAWYER+MUST+BE+PARDONED&amp;page_url_params=utm_source%3Dutm_source%253Dtest_source%2526utm_medium%253Dads&amp;Campaign+Date=01%2F14%2F25&amp;Campaign+Time=20%3A37%3A55&amp;en_txn6=Country%3A+USA&amp;en_txn7=CaseNumber%3A+Fourth+55.24+USA&amp;en_txn8=Topic%3A+Climate+Justice%2C+Individuals+At+Risk&amp;en_txn10=YearType%3A+2025%2C+Email&amp;color=%23f26722&amp;height=422</t>
  </si>
  <si>
    <t>https://act.amnestyusa.org/page/153818/petition/1?submit_btn_text=Get+the+sample+letter&amp;page_title=UNJUSTLY+JAILED+RIGHTS+LAWYER+REFERRED+TO+TRIAL+%5BEgypt+Second+UA+80.23%5D&amp;page_url_params=utm_source%3Dutm_source%253Dtest_source%2526utm_medium%253Dads&amp;Campaign+Date=02%2F06%2F25&amp;Campaign+Time=19%3A34%3A42&amp;en_txn6=Country%3A+Egypt&amp;en_txn7=CaseNumber%3A+Second+80.23+Egypt&amp;en_txn8=Topic%3A+Health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</si>
  <si>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LAWYER%E2%80%99S+HEALTH+AT+RISK&amp;page_url_params=utm_source%3Dutm_source%253Dtest_source%2526utm_medium%253Dads&amp;Campaign+Date=11%2F22%2F24&amp;Campaign+Time=18%3A31%3A04&amp;en_txn6=Country%3A+Egypt&amp;en_txn7=CaseNumber%3A+Ninth+190.18+Egypt&amp;en_txn8=Topic%3A+Freedom+of+Expression%2C+Individuals+At+Risk&amp;en_txn10=YearType%3A+2024%2C+Letter&amp;color=%23f26722&amp;height=422</t>
  </si>
  <si>
    <t>mobile:N~tablet:N~device:APPLE~os:Mac OS X~browser:Chrome 12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</si>
  <si>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16%2F25&amp;Campaign+Time=20%3A28%3A26&amp;en_txn6=Country%3A+Israel+and+Occupied+Palestinian+Territories&amp;en_txn7=CaseNumber%3A+3.25+IOPT&amp;en_txn8=Topic%3A+Freedom+of+Expression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</si>
  <si>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PROMINENT+HUMAN+RIGHTS+DEFENDER+DETAINED&amp;page_url_params=utm_source%3Dutm_source%253Dtest_source%2526utm_medium%253Dads&amp;Campaign+Date=01%2F07%2F25&amp;Campaign+Time=19%3A13%3A57&amp;en_txn6=Country%3A+Niger&amp;en_txn7=CaseNumber%3A+103.24+Niger&amp;en_txn8=Topic%3A+Freedom+of+Expression%2C+Human+Rights+Defenders&amp;en_txn10=YearType%3A+2024%2C+Email&amp;color=%23f26722&amp;height=422</t>
  </si>
  <si>
    <t>https://donate.amnestyusa.org/page/157642/subscribe/1?_gl=1*1aka4ab*_gcl_au*ODg2MDM4NTc5LjE3MjkwMTU2MTg.</t>
  </si>
  <si>
    <t>kukaber33@gmail.com</t>
  </si>
  <si>
    <t>https://act.amnestyusa.org/page/153818/petition/1?email_text=Thank+you+for+your+support%21&amp;email_cta_text=Take+Action&amp;email_cta_url=https%3A%2F%2Fwww.amnestyusa.org&amp;submit_btn_text=Get+the+sample+letter&amp;page_title=KURDISH+DISSIDENT+SENTENCED+TO+DEATH+IN+IRAN&amp;page_url_params=utm_source%3Dutm_source%253Dtest_source%2526utm_medium%253Dads&amp;Campaign+Date=12%2F11%2F24&amp;Campaign+Time=08%3A29%3A05&amp;en_txn6=Country%3A+Iran&amp;en_txn7=CaseNumber%3A+101.24+Iran&amp;en_txn8=Topic%3A+Death+Penalty%2C+Freedom+of+Expression%2C+Individuals+At+Risk%2C+Right+to+Protest&amp;en_txn10=YearType%3A+2024%2C+Email&amp;color=%23f26722&amp;height=422</t>
  </si>
  <si>
    <t>https://act.amnestyusa.org/page/153818/petition/1?email_text=Thank+you+for+taking+action+on+RELEASE+JOURNALISTS+ARRESTED+AFTER+COP29.&amp;email_cta_text=VIEW+MORE+URGENT+ACTIONS&amp;email_cta_url=https%3A%2F%2Fwww.amnestyusa.org%2Fget-involved%2Fgrassroots-activism%2Furgent-action-network%2Factions%2F%3Fstatus%3Dactive%26fyear%3D2025%26sortby%3Dnewest%26pg%3D1&amp;submit_btn_text=Get+the+sample+letter&amp;page_title=RELEASE+JOURNALISTS+ARRESTED+AFTER+COP29&amp;page_url_params=utm_source%3Dutm_source%253Dtest_source%2526utm_medium%253Dads&amp;Campaign+Date=01%2F24%2F25&amp;Campaign+Time=13%3A50%3A09&amp;en_txn6=Country%3A+Azerbaijan&amp;en_txn7=CaseNumber%3A+2.25+Azerbaijan&amp;en_txn8=Topic%3A+Freedom+of+Expression%2C+Human+Rights+Defenders&amp;en_txn10=YearType%3A+2025%2C+Email&amp;color=%23f26722&amp;height=422</t>
  </si>
  <si>
    <t>https://act.amnestyusa.org/page/153818/petition/1?email_text=Thank+you+for+taking+action+on+RISKS+OF+FURTHER+PROTEST-RELATED+EXECUTIONS.&amp;email_cta_text=VIEW+MORE+URGENT+ACTIONS&amp;email_cta_url=https%3A%2F%2Fwww.amnestyusa.org%2Fget-involved%2Fgrassroots-activism%2Furgent-action-network%2Factions%2F%3Fstatus%3Dactive%26fyear%3D2025%26sortby%3Dnewest%26pg%3D1&amp;submit_btn_text=Get+the+sample+letter&amp;page_title=RISKS+OF+FURTHER+PROTEST-RELATED+EXECUTIONS&amp;page_url_params=utm_source%3Dutm_source%253Dtest_source%2526utm_medium%253Dads&amp;Campaign+Date=01%2F23%2F25&amp;Campaign+Time=18%3A33%3A07&amp;en_txn6=Country%3A+Iran&amp;en_txn7=CaseNumber%3A+Seventh+103.22+Iran&amp;en_txn8=Topic%3A+Death+Penalty%2C+Freedom+of+Expression%2C+Individuals+At+Risk&amp;en_txn10=YearType%3A+2024%2C+Email&amp;color=%23f26722&amp;height=422</t>
  </si>
  <si>
    <t>alicia@alilippman.com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</si>
  <si>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15%2F25&amp;Campaign+Time=21%3A11%3A36&amp;en_txn6=Country%3A+Israel+and+Occupied+Palestinian+Territories&amp;en_txn7=CaseNumber%3A+3.25+IOPT&amp;en_txn8=Topic%3A+Freedom+of+Expression%2C+Individuals+At+Risk&amp;en_txn10=YearType%3A+2025%2C+Email&amp;color=%23f26722&amp;height=422&amp;fbclid=IwY2xjawH1F49leHRuA2FlbQIxMQABHQCL0KLXK1MdII5HcvGf83HX3jbukguRjMNsJH6hTZQJRhFXa6YWk-UKMQ_aem_-Zu1w4PhfVc7M6rD1m-Lhg</t>
  </si>
  <si>
    <t>susieseligson@gmail.com</t>
  </si>
  <si>
    <t>https://act.amnestyusa.org/page/153818/petition/1?submit_btn_text=Get+the+sample+letter&amp;page_title=HUMAN+RIGHTS+DEFENDER+ON+HUNGER+STRIKE+%5BSecond+UA+76.24+Tunisia%5D&amp;page_url_params=utm_source%3Dutm_source%253Dtest_source%2526utm_medium%253Dads&amp;Campaign+Date=02%2F18%2F25&amp;Campaign+Time=09%3A19%3A07&amp;en_txn6=Country%3A+Tunisia&amp;en_txn7=CaseNumber%3A+Second+76.24+Tunisia&amp;en_txn8=Topic%3A+Freedom+of+Expression%2C+Human+Rights+Defenders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</si>
  <si>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Stop+the+Execution+of+Carey+Grayson&amp;page_url_params=utm_source%3Dutm_source%253Dtest_source%2526utm_medium%253Dads&amp;Campaign+Date=11%2F18%2F24&amp;Campaign+Time=21%3A35%3A20&amp;Country=USA&amp;CaseNumber=96.24+USA&amp;Topic=Death+Penalty&amp;YearType=2024%2C+Email&amp;color=%23f26722&amp;height=422</t>
  </si>
  <si>
    <t>https://act.amnestyusa.org/page/153818/petition/1?submit_btn_text=Get+the+sample+letter&amp;page_title=UNJUSTLY+JAILED+LAWYER%E2%80%99S+HEALTH+AT+RISK&amp;page_url_params=utm_source%3Dutm_source%253Dtest_source%2526utm_medium%253Dads&amp;Campaign+Date=02%2F21%2F25&amp;Campaign+Time=01%3A25%3A14&amp;en_txn6=Country%3A+Egypt&amp;en_txn7=CaseNumber%3A+Ninth+190.18+Egypt&amp;en_txn8=Topic%3A+Freedom+of+Expression%2C+Individuals+At+Risk&amp;en_txn10=YearType%3A+2024%2C+Letter&amp;color=%23f26722&amp;height=422</t>
  </si>
  <si>
    <t>https://act.amnestyusa.org/page/153818/petition/1?submit_btn_text=Get+the+sample+letter&amp;page_title=UNJUSTLY+JAILED+FATHER+APPEALS+PRISON+TERM&amp;page_url_params=utm_source%3Dutm_source%253Dtest_source%2526utm_medium%253Dads&amp;Campaign+Date=01%2F20%2F25&amp;Campaign+Time=17%3A25%3A14&amp;en_txn6=Country%3A+Egypt&amp;en_txn7=CaseNumber%3A+Third+73.23+Egypt&amp;en_txn8=Topic%3A+Individuals+At+Risk&amp;en_txn10=YearType%3A+2024%2C+Email&amp;color=%23f26722&amp;height=422</t>
  </si>
  <si>
    <t>https://act.amnestyusa.org/page/153818/petition/1?submit_btn_text=Get+the+sample+letter&amp;page_title=RELEASE+JOURNALIST+CONVICTED+OF+PROPAGANDA+%5BAfghanistan+11.25%5D&amp;page_url_params=utm_source%3Dutm_source%253Dtest_source%2526utm_medium%253Dads&amp;Campaign+Date=02%2F19%2F25&amp;Campaign+Time=23%3A14%3A39&amp;en_txn6=Country%3A+Afghanistan&amp;en_txn7=CaseNumber%3A+11.25+Afghanistan&amp;en_txn8=Topic%3A+Freedom+of+Expression%2C+Health%2C+Individuals+At+Risk&amp;en_txn10=YearType%3A+2025%2C+Email&amp;color=%23f26722&amp;height=422</t>
  </si>
  <si>
    <t>dancingredraven@hotmail.com</t>
  </si>
  <si>
    <t>amiwoman@gmail.com</t>
  </si>
  <si>
    <t>https://act.amnestyusa.org/page/153818/petition/1?email_text=Thank+you+for+your+support%21&amp;email_cta_text=Take+Action&amp;email_cta_url=https%3A%2F%2Fwww.amnestyusa.org&amp;submit_btn_text=Get+the+sample+letter&amp;page_title=UNJUSTLY+JAILED+FATHER+APPEALS+PRISON+TERM&amp;page_url_params=utm_source%3Dutm_source%253Dtest_source%2526utm_medium%253Dads&amp;Campaign+Date=01%2F14%2F25&amp;Campaign+Time=20%3A38%3A18&amp;en_txn6=Country%3A+Egypt&amp;en_txn7=CaseNumber%3A+Third+73.23+Egypt&amp;en_txn8=Topic%3A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</si>
  <si>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DEATH+SENTENCE+FOR+SOCIAL+MEDIA+POSTS+COMMUTED&amp;page_url_params=utm_source%3Dutm_source%253Dtest_source%2526utm_medium%253Dads&amp;Campaign+Date=12%2F05%2F24&amp;Campaign+Time=18%3A23%3A52&amp;en_txn6=Country%3A+Saudi+Arabia&amp;en_txn7=CaseNumber%3A+Second+85.23+Saudi+Arabia&amp;en_txn8=Topic%3A+Freedom+of+Expression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</si>
  <si>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LAWYER%E2%80%99S+HEALTH+AT+RISK&amp;page_url_params=utm_source%3Dutm_source%253Dtest_source%2526utm_medium%253Dads&amp;Campaign+Date=12%2F05%2F24&amp;Campaign+Time=18%3A21%3A30&amp;en_txn6=Country%3A+Egypt&amp;en_txn7=CaseNumber%3A+Ninth+190.18+Egypt&amp;en_txn8=Topic%3A+Freedom+of+Expression%2C+Individuals+At+Risk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</si>
  <si>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End+Racist+Deportations+of+Haitians&amp;page_url_params=utm_source%3Dutm_source%253Dtest_source%2526utm_medium%253Dads&amp;Campaign+Date=12%2F05%2F24&amp;Campaign+Time=18%3A17%3A17&amp;en_txn6=Country%3A+Dominican+Republic&amp;en_txn7=CaseNumber%3A+88.24+Dominican+Republic&amp;en_txn8=Topic%3A+Individuals+At+Risk%2C+Refugee+and+Migrant+Rights&amp;en_txn10=YearType%3A+2024%2C+Letter&amp;color=%23f26722&amp;height=422</t>
  </si>
  <si>
    <t>shenyen@wavecable.com</t>
  </si>
  <si>
    <t>https://act.amnestyusa.org/page/153818/petition/1?email_text=Thank+you+for+your+support%21&amp;email_cta_text=Take+Action&amp;email_cta_url=https%3A%2F%2Fwww.amnestyusa.org&amp;submit_btn_text=Get+the+sample+letter&amp;page_title=End+Racist+Deportations+of+Haitians&amp;page_url_params=utm_source%3Dutm_source%253Dtest_source%2526utm_medium%253Dads&amp;Campaign+Date=11%2F22%2F24&amp;Campaign+Time=16%3A54%3A15&amp;en_txn6=Country%3A+Dominican+Republic&amp;en_txn7=CaseNumber%3A+88.24+Dominican+Republic&amp;en_txn8=Topic%3A+Individuals+At+Risk%2C+Refugee+and+Migrant+Rights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</si>
  <si>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DEATH+SENTENCE+FOR+SOCIAL+MEDIA+POSTS+COMMUTED&amp;page_url_params=utm_source%3Dutm_source%253Dtest_source%2526utm_medium%253Dads&amp;Campaign+Date=11%2F22%2F24&amp;Campaign+Time=16%3A48%3A04&amp;en_txn6=Country%3A+Saudi+Arabia&amp;en_txn7=CaseNumber%3A+Second+85.23+Saudi+Arabia&amp;en_txn8=Topic%3A+Freedom+of+Expression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</si>
  <si>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LAWYER%E2%80%99S+HEALTH+AT+RISK&amp;page_url_params=utm_source%3Dutm_source%253Dtest_source%2526utm_medium%253Dads&amp;Campaign+Date=11%2F22%2F24&amp;Campaign+Time=16%3A43%3A37&amp;en_txn6=Country%3A+Egypt&amp;en_txn7=CaseNumber%3A+Ninth+190.18+Egypt&amp;en_txn8=Topic%3A+Freedom+of+Expression%2C+Individuals+At+Risk&amp;en_txn10=YearType%3A+2024%2C+Letter&amp;color=%23f26722&amp;height=422</t>
  </si>
  <si>
    <t>karen.burkhart.in@gmail.com</t>
  </si>
  <si>
    <t>https://act.amnestyusa.org/page/153818/petition/1?email_text=Thank+you+for+your+support%21&amp;email_cta_text=Take+Action&amp;email_cta_url=https%3A%2F%2Fwww.amnestyusa.org&amp;submit_btn_text=Get+the+sample+letter&amp;page_title=DEATH+SENTENCE+FOR+SOCIAL+MEDIA+POSTS+COMMUTED&amp;page_url_params=utm_source%3Dutm_source%253Dtest_source%2526utm_medium%253Dads&amp;Campaign+Date=11%2F20%2F24&amp;Campaign+Time=19%3A54%3A05&amp;en_txn6=Country%3A+Saudi+Arabia&amp;en_txn7=CaseNumber%3A+Second+85.23+Saudi+Arabia&amp;en_txn8=Topic%3A+Freedom+of+Expression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</si>
  <si>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PROMINENT+HUMAN+RIGHTS+DEFENDER+DETAINED&amp;page_url_params=utm_source%3Dutm_source%253Dtest_source%2526utm_medium%253Dads&amp;Campaign+Date=12%2F19%2F24&amp;Campaign+Time=21%3A05%3A23&amp;en_txn6=Country%3A+Niger&amp;en_txn7=CaseNumber%3A+103.24+Niger&amp;en_txn8=Topic%3A+Freedom+of+Expression%2C+Human+Rights+Defenders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</si>
  <si>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MALAYSIAN+MAN+BELIEVED+AT+RISK+OF+EXECUTION%C2%A0&amp;page_url_params=utm_source%3Dutm_source%253Dtest_source%2526utm_medium%253Dads&amp;Campaign+Date=12%2F21%2F24&amp;Campaign+Time=19%3A04%3A22&amp;en_txn6=Country%3A+Singapore&amp;en_txn7=CaseNumber%3A+107.24+Singapore&amp;en_txn8=Topic%3A+Death+Penalty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</si>
  <si>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HUMAN+RIGHTS+DEFENDER+IMPRISONED&amp;page_url_params=utm_source%3Dutm_source%253Dtest_source%2526utm_medium%253Dads&amp;Campaign+Date=12%2F20%2F24&amp;Campaign+Time=21%3A18%3A24&amp;en_txn6=Country%3A+Turkiye&amp;en_txn7=CaseNumber%3A+109.24+T%C3%BCrkiye&amp;en_txn8=Topic%3A+Human+Rights+Defenders%2C+Individuals+At+Risk&amp;en_txn10=YearType%3A+2024%2C+Email&amp;color=%23f26722&amp;height=422</t>
  </si>
  <si>
    <t>https://act.amnestyusa.org/page/153818/petition/1?submit_btn_text=Get+the+sample+letter&amp;page_title=LIFT+MOHAMMED+AL-QAHTANI%26%238217%3BS+TRAVEL+BAN+%5BSaudi+Arabia+Fifth+UA+257.12%5D&amp;page_url_params=utm_source%3Dutm_source%253Dtest_source%2526utm_medium%253Dads&amp;Campaign+Date=02%2F20%2F25&amp;Campaign+Time=17%3A04%3A41&amp;en_txn6=Country%3A+Saudi+Arabia&amp;en_txn7=CaseNumber%3A+Fifth+257.12&amp;en_txn8=Topic%3A+Freedom+of+Expression%2C+Human+Rights+Defenders&amp;en_txn10=YearType%3A+2025%2C+Email&amp;color=%23f26722&amp;height=422</t>
  </si>
  <si>
    <t>https://act.amnestyusa.org/page/153818/petition/1?submit_btn_text=Get+the+sample+letter&amp;page_title=UNJUSTLY+JAILED+RIGHTS+LAWYER+REFERRED+TO+TRIAL+%5BEgypt+Second+UA+80.23%5D&amp;page_url_params=utm_source%3Dutm_source%253Dtest_source%2526utm_medium%253Dads&amp;Campaign+Date=02%2F19%2F25&amp;Campaign+Time=16%3A39%3A21&amp;en_txn6=Country%3A+Egypt&amp;en_txn7=CaseNumber%3A+Second+80.23+Egypt&amp;en_txn8=Topic%3A+Health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</si>
  <si>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USSIA%2C+RELEASE+ALEKSEI+GORINOV%21&amp;page_url_params=utm_source%3Dutm_source%253Dtest_source%2526utm_medium%253Dads&amp;Campaign+Date=12%2F05%2F24&amp;Campaign+Time=14%3A47%3A38&amp;en_txn6=Country%3A+Russian+Federation&amp;en_txn7=CaseNumber%3A+Second+23.24+Russia&amp;en_txn8=Topic%3A+Freedom+of+Expression&amp;en_txn10=YearType%3A+2024%2C+Letter&amp;color=%23f26722&amp;height=422</t>
  </si>
  <si>
    <t>https://act.amnestyusa.org/page/153818/petition/1?submit_btn_text=Get+the+sample+letter&amp;page_title=OLDER+SUFI+SHEIKH+FORCIBLY+DISAPPEARED+FOR+A+YEAR+%5BLibya+12.25%5D&amp;page_url_params=utm_source%3Dutm_source%253Dtest_source%2526utm_medium%253Dads&amp;Campaign+Date=02%2F16%2F25&amp;Campaign+Time=16%3A14%3A29&amp;en_txn6=Country%3A+Libya&amp;en_txn7=CaseNumber%3A+12.25+Libya&amp;en_txn8=Topic%3A+Freedom+of+Expression%2C+Health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</si>
  <si>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LAWYER%E2%80%99S+HEALTH+AT+RISK&amp;page_url_params=utm_source%3Dutm_source%253Dtest_source%2526utm_medium%253Dads&amp;Campaign+Date=11%2F28%2F24&amp;Campaign+Time=16%3A53%3A47&amp;en_txn6=Country%3A+Egypt&amp;en_txn7=CaseNumber%3A+Ninth+190.18+Egypt&amp;en_txn8=Topic%3A+Freedom+of+Expression%2C+Individuals+At+Risk&amp;en_txn10=YearType%3A+2024%2C+Letter&amp;color=%23f26722&amp;height=422</t>
  </si>
  <si>
    <t>mobile:Y~tablet:N~device:GOOGLE~os:Android 1.x~browser:Chrome 13</t>
  </si>
  <si>
    <t>brian@bcmaarch.com</t>
  </si>
  <si>
    <t>https://act.amnestyusa.org/page/153818/petition/1?email_text=Thank+you+for+your+support%21&amp;email_cta_text=Take+Action&amp;email_cta_url=https%3A%2F%2Fwww.amnestyusa.org&amp;submit_btn_text=Get+the+sample+letter&amp;page_title=HEALTH+CONCERNS+FOR+JAILED+UYGHUR+MUSICIAN%C2%A0&amp;page_url_params=utm_source%3Dutm_source%253Dtest_source%2526utm_medium%253Dads&amp;Campaign+Date=12%2F10%2F24&amp;Campaign+Time=15%3A16%3A06&amp;en_txn6=Country%3A+China&amp;en_txn7=CaseNumber%3A+98.24+China&amp;en_txn8=Topic%3A+Freedom+of+Expression%2C+Individuals+At+Risk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</si>
  <si>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STOP+PERSECUTING+VENEZUELAN+NGO&amp;page_url_params=utm_source%3Dutm_source%253Dtest_source%2526utm_medium%253Dads&amp;Campaign+Date=12%2F10%2F24&amp;Campaign+Time=16%3A38%3A20&amp;en_txn6=Country%3A+Venezuela&amp;en_txn7=CaseNumber%3A+97.24+Venezuela&amp;en_txn8=Topic%3A+Freedom+of+Expression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</si>
  <si>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PROMINENT+HUMAN+RIGHTS+DEFENDER+DETAINED&amp;page_url_params=utm_source%3Dutm_source%253Dtest_source%2526utm_medium%253Dads&amp;Campaign+Date=01%2F07%2F25&amp;Campaign+Time=16%3A29%3A23&amp;en_txn6=Country%3A+Niger&amp;en_txn7=CaseNumber%3A+103.24+Niger&amp;en_txn8=Topic%3A+Freedom+of+Expression%2C+Human+Rights+Defenders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</si>
  <si>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ISKS+OF+FURTHER+PROTEST-RELATED+EXECUTIONS&amp;page_url_params=utm_source%3Dutm_source%253Dtest_source%2526utm_medium%253Dads&amp;Campaign+Date=01%2F10%2F25&amp;Campaign+Time=09%3A06%3A04&amp;en_txn6=Country%3A+Iran&amp;en_txn7=CaseNumber%3A+Seventh+103.22+Iran&amp;en_txn8=Topic%3A+Death+Penalty%2C+Freedom+of+Expression%2C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</si>
  <si>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17%2F25&amp;Campaign+Time=16%3A24%3A31&amp;en_txn6=Country%3A+Israel+and+Occupied+Palestinian+Territories&amp;en_txn7=CaseNumber%3A+3.25+IOPT&amp;en_txn8=Topic%3A+Freedom+of+Expression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</si>
  <si>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LAWYER%E2%80%99S+HEALTH+AT+RISK&amp;page_url_params=utm_source%3Dutm_source%253Dtest_source%2526utm_medium%253Dads&amp;Campaign+Date=01%2F17%2F25&amp;Campaign+Time=18%3A16%3A38&amp;en_txn6=Country%3A+Egypt&amp;en_txn7=CaseNumber%3A+Ninth+190.18+Egypt&amp;en_txn8=Topic%3A+Freedom+of+Expression%2C+Individuals+At+Risk&amp;en_txn10=YearType%3A+2024%2C+Letter&amp;color=%23f26722&amp;height=422</t>
  </si>
  <si>
    <t>mobile:N~tablet:N~device:OTHER~os:Linux~browser:Firefox 13</t>
  </si>
  <si>
    <t>https://act.amnestyusa.org/page/153818/petition/1?submit_btn_text=Get+the+sample+letter&amp;page_title=PEOPLE+SEEKING+SAFETY+AT+RISK+IN+THE+USA+%5BUSA+4.25%5D&amp;page_url_params=utm_source%3Dutm_source%253Dtest_source%2526utm_medium%253Dads&amp;Campaign+Date=01%2F27%2F25&amp;Campaign+Time=19%3A15%3A03&amp;en_txn6=Country%3A+USA&amp;en_txn7=CaseNumber%3A+4.25+USA&amp;en_txn8=Topic%3A+Individuals+At+Risk%2C+Refugee+and+Migrant+Rights&amp;en_txn10=YearType%3A+2025%2C+Letter&amp;color=%23f26722&amp;height=422</t>
  </si>
  <si>
    <t>https://act.amnestyusa.org/page/153818/petition/1?submit_btn_text=Get+the+sample+letter&amp;page_title=RISKS+OF+FURTHER+PROTEST-RELATED+EXECUTIONS&amp;page_url_params=utm_source%3Dutm_source%253Dtest_source%2526utm_medium%253Dads&amp;Campaign+Date=01%2F28%2F25&amp;Campaign+Time=02%3A30%3A12&amp;en_txn6=Country%3A+Iran&amp;en_txn7=CaseNumber%3A+Seventh+103.22+Iran&amp;en_txn8=Topic%3A+Death+Penalty%2C+Freedom+of+Expression%2C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</si>
  <si>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ELEASE+PAEDIATRICIAN+AND+HOSPITAL+DIRECTOR&amp;page_url_params=utm_source%3Dutm_source%253Dtest_source%2526utm_medium%253Dads&amp;Campaign+Date=01%2F14%2F25&amp;Campaign+Time=22%3A31%3A45&amp;en_txn6=Country%3A+Israel+and+Occupied+Palestinian+Territories&amp;en_txn7=CaseNumber%3A+3.25+IOPT&amp;en_txn8=Topic%3A+Freedom+of+Expression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</si>
  <si>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End+Racist+Deportations+of+Haitians&amp;page_url_params=utm_source%3Dutm_source%253Dtest_source%2526utm_medium%253Dads&amp;Campaign+Date=12%2F05%2F24&amp;Campaign+Time=03%3A42%3A24&amp;en_txn6=Country%3A+Dominican+Republic&amp;en_txn7=CaseNumber%3A+88.24+Dominican+Republic&amp;en_txn8=Topic%3A+Individuals+At+Risk%2C+Refugee+and+Migrant+Rights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</si>
  <si>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PROMINENT+HUMAN+RIGHTS+DEFENDER+DETAINED&amp;page_url_params=utm_source%3Dutm_source%253Dtest_source%2526utm_medium%253Dads&amp;Campaign+Date=01%2F01%2F25&amp;Campaign+Time=17%3A59%3A16&amp;en_txn6=Country%3A+Niger&amp;en_txn7=CaseNumber%3A+103.24+Niger&amp;en_txn8=Topic%3A+Freedom+of+Expression%2C+Human+Rights+Defenders&amp;en_txn10=YearType%3A+2024%2C+Email&amp;color=%23f26722&amp;height=422</t>
  </si>
  <si>
    <t>https://donate.amnestyusa.org/page/157642/subscribe/1?_gl=1*nx7swm*_gcl_aw*R0NMLjE3MzIwNTg1NTAuQ2owS0NRaUFpX0c1QmhEWEFSSXNBTjVTWDdwR2thc0pHX1lqdlhKZmY5d3VPX282aWxRMlJEbmYxLU16akNqZWdTRmJyQ2kyMU9jcUJpOGFBbDZrRUFMd193Y0I.*_gcl_dc*R0NMLjE3MzIwNTg1NTAuQ2owS0NRaUFpX0c1QmhEWEFSSXNBTjVTWDdwR2thc0pHX1lqdlhKZmY5d3VPX282aWxRMlJEbmYxLU16akNqZWdTRmJyQ2kyMU9jcUJpOGFBbDZrRUFMd193Y0I.*_gcl_au*MTU5NzMzMjUuMTczMjA1NzU3OQ..&amp;color=%23252525</t>
  </si>
  <si>
    <t>johnjbalza@gmail.com</t>
  </si>
  <si>
    <t>https://act.amnestyusa.org/page/153818/petition/1?submit_btn_text=Get+the+sample+letter&amp;page_title=RISKS+OF+FURTHER+PROTEST-RELATED+EXECUTIONS&amp;page_url_params=utm_source%3Dutm_source%253Dtest_source%2526utm_medium%253Dads&amp;Campaign+Date=02%2F10%2F25&amp;Campaign+Time=17%3A19%3A42&amp;en_txn6=Country%3A+Iran&amp;en_txn7=CaseNumber%3A+Seventh+103.22+Iran&amp;en_txn8=Topic%3A+Death+Penalty%2C+Freedom+of+Expression%2C+Individuals+At+Risk&amp;en_txn10=YearType%3A+2024%2C+Email&amp;color=%23f26722&amp;height=422</t>
  </si>
  <si>
    <t>https://act.amnestyusa.org/page/153818/petition/1?submit_btn_text=Get+the+sample+letter&amp;page_title=RELEASE+JOURNALIST+CONVICTED+OF+PROPAGANDA+%5BAfghanistan+11.25%5D&amp;page_url_params=utm_source%3Dutm_source%253Dtest_source%2526utm_medium%253Dads&amp;Campaign+Date=02%2F11%2F25&amp;Campaign+Time=16%3A07%3A10&amp;en_txn6=Country%3A+Afghanistan&amp;en_txn7=CaseNumber%3A+11.25+Afghanistan&amp;en_txn8=Topic%3A+Freedom+of+Expression%2C+Health%2C+Individuals+At+Risk&amp;en_txn10=YearType%3A+2025%2C+Email&amp;color=%23f26722&amp;height=422</t>
  </si>
  <si>
    <t>https://act.amnestyusa.org/page/153818/petition/1?submit_btn_text=Get+the+sample+letter&amp;page_title=OLDER+SUFI+SHEIKH+FORCIBLY+DISAPPEARED+FOR+A+YEAR+%5BLibya+12.25%5D&amp;page_url_params=utm_source%3Dutm_source%253Dtest_source%2526utm_medium%253Dads&amp;Campaign+Date=02%2F11%2F25&amp;Campaign+Time=23%3A04%3A03&amp;en_txn6=Country%3A+Libya&amp;en_txn7=CaseNumber%3A+12.25+Libya&amp;en_txn8=Topic%3A+Freedom+of+Expression%2C+Health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</si>
  <si>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HUMAN+RIGHTS+DEFENDER+IMPRISONED&amp;page_url_params=utm_source%3Dutm_source%253Dtest_source%2526utm_medium%253Dads&amp;Campaign+Date=01%2F20%2F25&amp;Campaign+Time=09%3A30%3A59&amp;en_txn6=Country%3A+Turkiye&amp;en_txn7=CaseNumber%3A+109.24+T%C3%BCrkiye&amp;en_txn8=Topic%3A+Human+Rights+Defenders%2C+Individuals+At+Risk&amp;en_txn10=YearType%3A+2024%2C+Email&amp;color=%23f26722&amp;height=422</t>
  </si>
  <si>
    <t>sadie8882@gmail.com</t>
  </si>
  <si>
    <t>r_e_rutkowski@att.net</t>
  </si>
  <si>
    <t>jesaitisl@gmail.com</t>
  </si>
  <si>
    <t>https://act.amnestyusa.org/page/153818/petition/1?email_text=Thank+you+for+your+support%21&amp;email_cta_text=Take+Action&amp;email_cta_url=https%3A%2F%2Fwww.amnestyusa.org&amp;submit_btn_text=Get+the+sample+letter&amp;page_title=DEATH+SENTENCE+FOR+SOCIAL+MEDIA+POSTS+COMMUTED&amp;page_url_params=utm_source%3Dutm_source%253Dtest_source%2526utm_medium%253Dads&amp;Campaign+Date=11%2F20%2F24&amp;Campaign+Time=20%3A22%3A36&amp;en_txn6=Country%3A+Saudi+Arabia&amp;en_txn7=CaseNumber%3A+Second+85.23+Saudi+Arabia&amp;en_txn8=Topic%3A+Freedom+of+Expression&amp;en_txn10=YearType%3A+2024%2C+Letter&amp;color=%23f26722&amp;height=422</t>
  </si>
  <si>
    <t>khernd@gmail.com</t>
  </si>
  <si>
    <t>https://act.amnestyusa.org/page/153818/petition/1?email_text=Thank+you+for+your+support%21&amp;email_cta_text=Take+Action&amp;email_cta_url=https%3A%2F%2Fwww.amnestyusa.org&amp;submit_btn_text=Get+the+sample+letter&amp;page_title=STOP+PERSECUTING+VENEZUELAN+NGO&amp;page_url_params=utm_source%3Dutm_source%253Dtest_source%2526utm_medium%253Dads&amp;Campaign+Date=12%2F05%2F24&amp;Campaign+Time=21%3A09%3A27&amp;en_txn6=Country%3A+Venezuela&amp;en_txn7=CaseNumber%3A+97.24+Venezuela&amp;en_txn8=Topic%3A+Freedom+of+Expression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</si>
  <si>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LAWYER%E2%80%99S+HEALTH+AT+RISK&amp;page_url_params=utm_source%3Dutm_source%253Dtest_source%2526utm_medium%253Dads&amp;Campaign+Date=11%2F26%2F24&amp;Campaign+Time=15%3A41%3A18&amp;en_txn6=Country%3A+Egypt&amp;en_txn7=CaseNumber%3A+Ninth+190.18+Egypt&amp;en_txn8=Topic%3A+Freedom+of+Expression%2C+Individuals+At+Risk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</si>
  <si>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LAWYER%E2%80%99S+HEALTH+AT+RISK&amp;page_url_params=utm_source%3Dutm_source%253Dtest_source%2526utm_medium%253Dads&amp;Campaign+Date=12%2F03%2F24&amp;Campaign+Time=16%3A25%3A23&amp;en_txn6=Country%3A+Egypt&amp;en_txn7=CaseNumber%3A+Ninth+190.18+Egypt&amp;en_txn8=Topic%3A+Freedom+of+Expression%2C+Individuals+At+Risk&amp;en_txn10=YearType%3A+2024%2C+Letter&amp;color=%23f26722&amp;height=422</t>
  </si>
  <si>
    <t>https://act.amnestyusa.org/page/153818/petition/1?submit_btn_text=Get+the+sample+letter&amp;page_title=MILITARY+COURT+CONVICTS+HUMAN+RIGHTS+LAWYER+%5BUganda+9.24%5D&amp;page_url_params=utm_source%3Dutm_source%253Dtest_source%2526utm_medium%253Dads&amp;Campaign+Date=02%2F18%2F25&amp;Campaign+Time=04%3A29%3A28&amp;en_txn6=Country%3A+Uganda&amp;en_txn7=CaseNumber%3A+9.25+Uganda&amp;en_txn8=Topic%3A+Freedom+of+Expression%2C+Human+Rights+Defenders&amp;en_txn10=YearType%3A+2025%2C+Email&amp;color=%23f26722&amp;height=422</t>
  </si>
  <si>
    <t>https://act.amnestyusa.org/page/153818/petition/1?submit_btn_text=Get+the+sample+letter&amp;page_title=MILITARY+COURT+CONVICTS+HUMAN+RIGHTS+LAWYER+%5BUganda+9.24%5D&amp;page_url_params=utm_source%3Dutm_source%253Dtest_source%2526utm_medium%253Dads&amp;Campaign+Date=02%2F19%2F25&amp;Campaign+Time=21%3A00%3A57&amp;en_txn6=Country%3A+Uganda&amp;en_txn7=CaseNumber%3A+9.25+Uganda&amp;en_txn8=Topic%3A+Freedom+of+Expression%2C+Human+Rights+Defenders&amp;en_txn10=YearType%3A+2025%2C+Email&amp;color=%23f26722&amp;height=422</t>
  </si>
  <si>
    <t>https://act.amnestyusa.org/page/153818/petition/1?submit_btn_text=Get+the+sample+letter&amp;page_title=MILITARY+COURT+CONVICTS+HUMAN+RIGHTS+LAWYER+%5BUganda+9.24%5D&amp;page_url_params=utm_source%3Dutm_source%253Dtest_source%2526utm_medium%253Dads&amp;Campaign+Date=02%2F19%2F25&amp;Campaign+Time=04%3A24%3A09&amp;en_txn6=Country%3A+Uganda&amp;en_txn7=CaseNumber%3A+9.25+Uganda&amp;en_txn8=Topic%3A+Freedom+of+Expression%2C+Human+Rights+Defenders&amp;en_txn10=YearType%3A+2025%2C+Email&amp;color=%23f26722&amp;height=422</t>
  </si>
  <si>
    <t>https://donate.amnestyusa.org/page/157642/subscribe/1?_gl=1*1cuxgz7*_gcl_au*NDMzMjI3NzE3LjE3MzU1Mjk5MDk.&amp;color=%23252525</t>
  </si>
  <si>
    <t>https://act.amnestyusa.org/page/153818/petition/1?submit_btn_text=Get+the+sample+letter&amp;page_title=RELEASE+JOURNALIST+CONVICTED+OF+PROPAGANDA+%5BAfghanistan+11.25%5D&amp;page_url_params=utm_source%3Dutm_source%253Dtest_source%2526utm_medium%253Dads&amp;Campaign+Date=02%2F18%2F25&amp;Campaign+Time=20%3A50%3A54&amp;en_txn6=Country%3A+Afghanistan&amp;en_txn7=CaseNumber%3A+11.25+Afghanistan&amp;en_txn8=Topic%3A+Freedom+of+Expression%2C+Health%2C+Individuals+At+Risk&amp;en_txn10=YearType%3A+2025%2C+Email&amp;color=%23f26722&amp;height=422</t>
  </si>
  <si>
    <t>https://act.amnestyusa.org/page/153818/petition/1?submit_btn_text=Get+the+sample+letter&amp;page_title=UNJUSTLY+JAILED+RIGHTS+LAWYER+REFERRED+TO+TRIAL+%5BEgypt+Second+UA+80.23%5D&amp;page_url_params=utm_source%3Dutm_source%253Dtest_source%2526utm_medium%253Dads&amp;Campaign+Date=02%2F18%2F25&amp;Campaign+Time=15%3A25%3A59&amp;en_txn6=Country%3A+Egypt&amp;en_txn7=CaseNumber%3A+Second+80.23+Egypt&amp;en_txn8=Topic%3A+Health%2C+Individuals+At+Risk&amp;en_txn10=YearType%3A+2025%2C+Email&amp;color=%23f26722&amp;height=422</t>
  </si>
  <si>
    <t>captainirons@gmail.com</t>
  </si>
  <si>
    <t>https://act.amnestyusa.org/page/153818/petition/1?submit_btn_text=Get+the+sample+letter&amp;page_title=PEOPLE+SEEKING+SAFETY+AT+RISK+IN+THE+USA+%5BUSA+4.25%5D&amp;page_url_params=utm_source%3Dutm_source%253Dtest_source%2526utm_medium%253Dads&amp;Campaign+Date=01%2F25%2F25&amp;Campaign+Time=06%3A09%3A02&amp;en_txn6=Country%3A+USA&amp;en_txn7=CaseNumber%3A+4.25+USA&amp;en_txn8=Topic%3A+Individuals+At+Risk%2C+Refugee+and+Migrant+Rights&amp;en_txn10=YearType%3A+2025%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</si>
  <si>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FATHER+APPEALS+PRISON+TERM&amp;page_url_params=utm_source%3Dutm_source%253Dtest_source%2526utm_medium%253Dads&amp;Campaign+Date=12%2F25%2F24&amp;Campaign+Time=19%3A14%3A51&amp;en_txn6=Country%3A+Egypt&amp;en_txn7=CaseNumber%3A+Third+73.23+Egypt&amp;en_txn8=Topic%3A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</si>
  <si>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HUMAN+RIGHTS+DEFENDER+IMPRISONED&amp;page_url_params=utm_source%3Dutm_source%253Dtest_source%2526utm_medium%253Dads&amp;Campaign+Date=12%2F25%2F24&amp;Campaign+Time=19%3A15%3A30&amp;en_txn6=Country%3A+Turkiye&amp;en_txn7=CaseNumber%3A+109.24+T%C3%BCrkiye&amp;en_txn8=Topic%3A+Human+Rights+Defenders%2C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</si>
  <si>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LAWYER+TREATED+INHUMANELY&amp;page_url_params=utm_source%3Dutm_source%253Dtest_source%2526utm_medium%253Dads&amp;Campaign+Date=12%2F25%2F24&amp;Campaign+Time=04%3A38%3A28&amp;en_txn6=Country%3A+Tunisia&amp;en_txn7=CaseNumber%3A+Second+43.24+Tunisia&amp;en_txn8=Topic%3A+Freedom+of+Expression%2C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</si>
  <si>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STOP+EXTRADITION+OF+TORTURE+SURVIVOR+TO+EGYPT&amp;page_url_params=utm_source%3Dutm_source%253Dtest_source%2526utm_medium%253Dads&amp;Campaign+Date=12%2F25%2F24&amp;Campaign+Time=19%3A17%3A36&amp;en_txn6=Country%3A+Saudi+Arabia&amp;en_txn7=CaseNumber%3A+104.24+Saudi+Arabia&amp;en_txn8=Topic%3A+Individuals+At+Risk%2C+Refugee+and+Migrant+Rights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</si>
  <si>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POLITICIAN%E2%80%99S+SON%E2%80%99S+HEALTH+AT+RISK&amp;page_url_params=utm_source%3Dutm_source%253Dtest_source%2526utm_medium%253Dads&amp;Campaign+Date=12%2F25%2F24&amp;Campaign+Time=19%3A18%3A00&amp;en_txn6=Country%3A+Egypt&amp;en_txn7=CaseNumber%3A+Fourth+29.23+Egypt&amp;en_txn8=Topic%3A+Freedom+of+Expression%2C+Individuals+At+Risk%2C+Right+to+Protest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</si>
  <si>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IMPRISONED+POET+IS+AT+RISK+OF+TORTURE&amp;page_url_params=utm_source%3Dutm_source%253Dtest_source%2526utm_medium%253Dads&amp;Campaign+Date=12%2F25%2F24&amp;Campaign+Time=19%3A18%3A34&amp;en_txn6=Country%3A+Russian+Federation&amp;en_txn7=CaseNumber%3A+102.24+Russia&amp;en_txn8=Topic%3A+Freedom+of+Expression%2C+Individuals+At+Risk%2C+Right+to+Protest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</si>
  <si>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OPPOSITION+POLITICIAN+CHARGED+AFTER+ABDUCTION&amp;page_url_params=utm_source%3Dutm_source%253Dtest_source%2526utm_medium%253Dads&amp;Campaign+Date=12%2F25%2F24&amp;Campaign+Time=19%3A19%3A59&amp;en_txn6=Country%3A+Uganda&amp;en_txn7=CaseNumber%3A+100.24+Uganda&amp;en_txn8=Topic%3A+Freedom+of+Expression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</si>
  <si>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KURDISH+DISSIDENT+SENTENCED+TO+DEATH+IN+IRAN&amp;page_url_params=utm_source%3Dutm_source%253Dtest_source%2526utm_medium%253Dads&amp;Campaign+Date=12%2F25%2F24&amp;Campaign+Time=19%3A20%3A40&amp;en_txn6=Country%3A+Iran&amp;en_txn7=CaseNumber%3A+101.24+Iran&amp;en_txn8=Topic%3A+Death+Penalty%2C+Freedom+of+Expression%2C+Individuals+At+Risk%2C+Right+to+Protest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</si>
  <si>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FATHER+APPEALS+PRISON+TERM&amp;page_url_params=utm_source%3Dutm_source%253Dtest_source%2526utm_medium%253Dads&amp;Campaign+Date=12%2F28%2F24&amp;Campaign+Time=17%3A14%3A33&amp;en_txn6=Country%3A+Egypt&amp;en_txn7=CaseNumber%3A+Third+73.23+Egypt&amp;en_txn8=Topic%3A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</si>
  <si>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LAWYER+TREATED+INHUMANELY&amp;page_url_params=utm_source%3Dutm_source%253Dtest_source%2526utm_medium%253Dads&amp;Campaign+Date=12%2F27%2F24&amp;Campaign+Time=00%3A59%3A24&amp;en_txn6=Country%3A+Tunisia&amp;en_txn7=CaseNumber%3A+Second+43.24+Tunisia&amp;en_txn8=Topic%3A+Freedom+of+Expression%2C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</si>
  <si>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PROMINENT+HUMAN+RIGHTS+DEFENDER+DETAINED&amp;page_url_params=utm_source%3Dutm_source%253Dtest_source%2526utm_medium%253Dads&amp;Campaign+Date=12%2F28%2F24&amp;Campaign+Time=17%3A56%3A32&amp;en_txn6=Country%3A+Niger&amp;en_txn7=CaseNumber%3A+103.24+Niger&amp;en_txn8=Topic%3A+Freedom+of+Expression%2C+Human+Rights+Defenders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</si>
  <si>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OPPOSITION+POLITICIAN+CHARGED+AFTER+ABDUCTION&amp;page_url_params=utm_source%3Dutm_source%253Dtest_source%2526utm_medium%253Dads&amp;Campaign+Date=12%2F28%2F24&amp;Campaign+Time=18%3A07%3A25&amp;en_txn6=Country%3A+Uganda&amp;en_txn7=CaseNumber%3A+100.24+Uganda&amp;en_txn8=Topic%3A+Freedom+of+Expression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</si>
  <si>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STOP+PERSECUTING+VENEZUELAN+NGO&amp;page_url_params=utm_source%3Dutm_source%253Dtest_source%2526utm_medium%253Dads&amp;Campaign+Date=12%2F28%2F24&amp;Campaign+Time=18%3A14%3A41&amp;en_txn6=Country%3A+Venezuela&amp;en_txn7=CaseNumber%3A+97.24+Venezuela&amp;en_txn8=Topic%3A+Freedom+of+Expression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</si>
  <si>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KURDISH+DISSIDENT+SENTENCED+TO+DEATH+IN+IRAN&amp;page_url_params=utm_source%3Dutm_source%253Dtest_source%2526utm_medium%253Dads&amp;Campaign+Date=12%2F28%2F24&amp;Campaign+Time=18%3A16%3A21&amp;en_txn6=Country%3A+Iran&amp;en_txn7=CaseNumber%3A+101.24+Iran&amp;en_txn8=Topic%3A+Death+Penalty%2C+Freedom+of+Expression%2C+Individuals+At+Risk%2C+Right+to+Protest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</si>
  <si>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STOP+EXTRADITION+OF+TORTURE+SURVIVOR+TO+EGYPT&amp;page_url_params=utm_source%3Dutm_source%253Dtest_source%2526utm_medium%253Dads&amp;Campaign+Date=12%2F28%2F24&amp;Campaign+Time=18%3A32%3A22&amp;en_txn6=Country%3A+Saudi+Arabia&amp;en_txn7=CaseNumber%3A+104.24+Saudi+Arabia&amp;en_txn8=Topic%3A+Individuals+At+Risk%2C+Refugee+and+Migrant+Rights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</si>
  <si>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PROMINENT+ARTIST+ARRESTED+FOR+HIS+WORK&amp;page_url_params=utm_source%3Dutm_source%253Dtest_source%2526utm_medium%253Dads&amp;Campaign+Date=12%2F28%2F24&amp;Campaign+Time=18%3A06%3A56&amp;en_txn6=Country%3A+China&amp;en_txn7=CaseNumber%3A+106.24+China&amp;en_txn8=Topic%3A+Freedom+of+Expression%2C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</si>
  <si>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FREE+VENEZUELAN+HUMAN+RIGHTS+DEFENDERS&amp;page_url_params=utm_source%3Dutm_source%253Dtest_source%2526utm_medium%253Dads&amp;Campaign+Date=01%2F13%2F25&amp;Campaign+Time=21%3A56%3A54&amp;en_txn6=Country%3A+Venezuela&amp;en_txn7=CaseNumber%3A+1.25+Venezuela&amp;en_txn8=Topic%3A+Human+Rights+Defenders%2C+Individuals+At+Risk&amp;en_txn10=YearType%3A+2025%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</si>
  <si>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ELEASE+JOURNALISTS+ARRESTED+AFTER+COP29&amp;page_url_params=utm_source%3Dutm_source%253Dtest_source%2526utm_medium%253Dads&amp;Campaign+Date=01%2F13%2F25&amp;Campaign+Time=21%3A54%3A47&amp;en_txn6=Country%3A+Azerbaijan&amp;en_txn7=CaseNumber%3A+2.25+Azerbaijan&amp;en_txn8=Topic%3A+Freedom+of+Expression%2C+Human+Rights+Defenders&amp;en_txn10=YearType%3A+2025%2C+Email&amp;color=%23f26722&amp;height=422</t>
  </si>
  <si>
    <t>https://act.amnestyusa.org/page/153818/petition/1?submit_btn_text=Get+the+sample+letter&amp;page_title=PEOPLE+SEEKING+SAFETY+AT+RISK+IN+THE+USA+%5BUSA+4.25%5D&amp;page_url_params=utm_source%3Dutm_source%253Dtest_source%2526utm_medium%253Dads&amp;Campaign+Date=01%2F25%2F25&amp;Campaign+Time=13%3A43%3A25&amp;en_txn6=Country%3A+USA&amp;en_txn7=CaseNumber%3A+4.25+USA&amp;en_txn8=Topic%3A+Individuals+At+Risk%2C+Refugee+and+Migrant+Rights&amp;en_txn10=YearType%3A+2025%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</si>
  <si>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FREE+VENEZUELAN+HUMAN+RIGHTS+DEFENDERS&amp;page_url_params=utm_source%3Dutm_source%253Dtest_source%2526utm_medium%253Dads&amp;Campaign+Date=01%2F17%2F25&amp;Campaign+Time=19%3A08%3A53&amp;en_txn6=Country%3A+Venezuela&amp;en_txn7=CaseNumber%3A+1.25+Venezuela&amp;en_txn8=Topic%3A+Human+Rights+Defenders%2C+Individuals+At+Risk&amp;en_txn10=YearType%3A+2025%2C+Letter&amp;color=%23f26722&amp;height=422</t>
  </si>
  <si>
    <t>https://act.amnestyusa.org/page/153818/petition/1?submit_btn_text=Get+the+sample+letter&amp;page_title=FREE+IMPRISONED+HUMAN+RIGHTS+DEFENDER&amp;page_url_params=utm_source%3Dutm_source%253Dtest_source%2526utm_medium%253Dads&amp;Campaign+Date=01%2F28%2F25&amp;Campaign+Time=05%3A36%3A09&amp;en_txn6=Country%3A+Turkiye&amp;en_txn7=CaseNumber%3A+Second+109.24+T%C3%BCrkiye&amp;en_txn8=Topic%3A+Human+Rights+Defenders&amp;en_txn10=YearType%3A+2025%2C+Email&amp;color=%23f26722&amp;height=422</t>
  </si>
  <si>
    <t>https://act.amnestyusa.org/page/153818/petition/1?submit_btn_text=Get+the+sample+letter&amp;page_title=PROTECT+CIVILIANS+IN+CATATUMBO+%5BColombia+5.25%5D&amp;page_url_params=utm_source%3Dutm_source%253Dtest_source%2526utm_medium%253Dads&amp;Campaign+Date=01%2F27%2F25&amp;Campaign+Time=21%3A15%3A55&amp;en_txn6=Country%3A+Colombia&amp;en_txn7=CaseNumber%3A+5.25+Colombia&amp;en_txn8=Topic%3A+Human+Rights+Defenders%2C+Individuals+At+Risk&amp;en_txn10=YearType%3A+2025%2C+Email&amp;color=%23f26722&amp;height=422</t>
  </si>
  <si>
    <t>https://act.amnestyusa.org/page/153818/petition/1?submit_btn_text=Get+the+sample+letter&amp;page_title=PROTECT+DEFENDERS+FROM+ARMED+GROUPS+%5BColombia+Third+UA+12.24%5D&amp;page_url_params=utm_source%3Dutm_source%253Dtest_source%2526utm_medium%253Dads&amp;Campaign+Date=01%2F27%2F25&amp;Campaign+Time=21%3A21%3A26&amp;en_txn6=Country%3A+Colombia&amp;en_txn7=CaseNumber%3A+Third+12.24+Colombia&amp;en_txn8=Topic%3A+Human+Rights+Defenders%2C+Individuals+At+Risk&amp;en_txn10=YearType%3A+2025%2C+Email&amp;color=%23f26722&amp;height=422</t>
  </si>
  <si>
    <t>https://act.amnestyusa.org/page/153818/petition/1?submit_btn_text=Get+the+sample+letter&amp;page_title=UNJUSTLY+JAILED+RIGHTS+LAWYER+REFERRED+TO+TRIAL+%5BEgypt+Second+UA+80.23%5D&amp;page_url_params=utm_source%3Dutm_source%253Dtest_source%2526utm_medium%253Dads&amp;Campaign+Date=02%2F09%2F25&amp;Campaign+Time=05%3A33%3A17&amp;en_txn6=Country%3A+Egypt&amp;en_txn7=CaseNumber%3A+Second+80.23+Egypt&amp;en_txn8=Topic%3A+Health%2C+Individuals+At+Risk&amp;en_txn10=YearType%3A+2025%2C+Email&amp;color=%23f26722&amp;height=422</t>
  </si>
  <si>
    <t>https://act.amnestyusa.org/page/153818/petition/1?submit_btn_text=Get+the+sample+letter&amp;page_title=PROMINENT+JOURNALIST+ARBITRARILY+DETAINED+%5BTunisia+8.25%5D&amp;page_url_params=utm_source%3Dutm_source%253Dtest_source%2526utm_medium%253Dads&amp;Campaign+Date=02%2F09%2F25&amp;Campaign+Time=20%3A48%3A58&amp;en_txn6=Country%3A+Tunisia&amp;en_txn7=CaseNumber%3A+8.25+Tunisia&amp;en_txn8=Topic%3A+Freedom+of+Expression&amp;en_txn10=YearType%3A+2025%2C+Email&amp;color=%23f26722&amp;height=422</t>
  </si>
  <si>
    <t>https://act.amnestyusa.org/page/153818/petition/1?submit_btn_text=Get+the+sample+letter&amp;page_title=FILMMAKER+ARBITRARILY+DETAINED+%5BAfghanistan+7.25%5D&amp;page_url_params=utm_source%3Dutm_source%253Dtest_source%2526utm_medium%253Dads&amp;Campaign+Date=02%2F09%2F25&amp;Campaign+Time=20%3A57%3A11&amp;en_txn6=Country%3A+Afghanistan&amp;en_txn7=CaseNumber%3A+7.25+Afghanistan&amp;en_txn8=Topic%3A+Freedom+of+Expression%2C+Individuals+At+Risk%2C+Women%27s+Rights&amp;en_txn10=YearType%3A+2025%2C+Email&amp;color=%23f26722&amp;height=422</t>
  </si>
  <si>
    <t>https://act.amnestyusa.org/page/153818/petition/1?submit_btn_text=Get+the+sample+letter&amp;page_title=FREE+IMPRISONED+HUMAN+RIGHTS+DEFENDER&amp;page_url_params=utm_source%3Dutm_source%253Dtest_source%2526utm_medium%253Dads&amp;Campaign+Date=02%2F07%2F25&amp;Campaign+Time=19%3A48%3A03&amp;en_txn6=Country%3A+Turkiye&amp;en_txn7=CaseNumber%3A+Second+109.24+T%C3%BCrkiye&amp;en_txn8=Topic%3A+Human+Rights+Defenders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</si>
  <si>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DEATH+SENTENCE+FOR+SOCIAL+MEDIA+POSTS+COMMUTED&amp;page_url_params=utm_source%3Dutm_source%253Dtest_source%2526utm_medium%253Dads&amp;Campaign+Date=11%2F22%2F24&amp;Campaign+Time=21%3A38%3A07&amp;en_txn6=Country%3A+Saudi+Arabia&amp;en_txn7=CaseNumber%3A+Second+85.23+Saudi+Arabia&amp;en_txn8=Topic%3A+Freedom+of+Expression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</si>
  <si>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USSIA%2C+RELEASE+ALEKSEI+GORINOV%21&amp;page_url_params=utm_source%3Dutm_source%253Dtest_source%2526utm_medium%253Dads&amp;Campaign+Date=12%2F05%2F24&amp;Campaign+Time=01%3A17%3A38&amp;en_txn6=Country%3A+Russian+Federation&amp;en_txn7=CaseNumber%3A+Second+23.24+Russia&amp;en_txn8=Topic%3A+Freedom+of+Expression&amp;en_txn10=YearType%3A+2024%2C+Letter&amp;color=%23f26722&amp;height=422</t>
  </si>
  <si>
    <t>https://act.amnestyusa.org/page/153818/petition/1?submit_btn_text=Get+the+sample+letter&amp;page_title=OLDER+SUFI+SHEIKH+FORCIBLY+DISAPPEARED+FOR+A+YEAR+%5BLibya+12.25%5D&amp;page_url_params=utm_source%3Dutm_source%253Dtest_source%2526utm_medium%253Dads&amp;Campaign+Date=02%2F19%2F25&amp;Campaign+Time=20%3A47%3A05&amp;en_txn6=Country%3A+Libya&amp;en_txn7=CaseNumber%3A+12.25+Libya&amp;en_txn8=Topic%3A+Freedom+of+Expression%2C+Health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</si>
  <si>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IMPRISONED+POET+IS+AT+RISK+OF+TORTURE&amp;page_url_params=utm_source%3Dutm_source%253Dtest_source%2526utm_medium%253Dads&amp;Campaign+Date=01%2F11%2F25&amp;Campaign+Time=00%3A05%3A00&amp;en_txn6=Country%3A+Russian+Federation&amp;en_txn7=CaseNumber%3A+102.24+Russia&amp;en_txn8=Topic%3A+Freedom+of+Expression%2C+Individuals+At+Risk%2C+Right+to+Protest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</si>
  <si>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ISKS+OF+FURTHER+PROTEST-RELATED+EXECUTIONS&amp;page_url_params=utm_source%3Dutm_source%253Dtest_source%2526utm_medium%253Dads&amp;Campaign+Date=01%2F07%2F25&amp;Campaign+Time=12%3A52%3A48&amp;en_txn6=Country%3A+Iran&amp;en_txn7=CaseNumber%3A+Seventh+103.22+Iran&amp;en_txn8=Topic%3A+Death+Penalty%2C+Freedom+of+Expression%2C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</si>
  <si>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MALAYSIAN+MAN+BELIEVED+AT+RISK+OF+EXECUTION%C2%A0&amp;page_url_params=utm_source%3Dutm_source%253Dtest_source%2526utm_medium%253Dads&amp;Campaign+Date=12%2F13%2F24&amp;Campaign+Time=17%3A28%3A19&amp;en_txn6=Country%3A+Singapore&amp;en_txn7=CaseNumber%3A+107.24+Singapore&amp;en_txn8=Topic%3A+Death+Penalty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</si>
  <si>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POLITICIAN%E2%80%99S+SON%E2%80%99S+HEALTH+AT+RISK&amp;page_url_params=utm_source%3Dutm_source%253Dtest_source%2526utm_medium%253Dads&amp;Campaign+Date=01%2F08%2F25&amp;Campaign+Time=01%3A27%3A49&amp;en_txn6=Country%3A+Egypt&amp;en_txn7=CaseNumber%3A+Fourth+29.23+Egypt&amp;en_txn8=Topic%3A+Freedom+of+Expression%2C+Individuals+At+Risk%2C+Right+to+Protest&amp;en_txn10=YearType%3A+2024%2C+Email&amp;color=%23f26722&amp;height=422</t>
  </si>
  <si>
    <t>bha19@comcast.net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</si>
  <si>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16%2F25&amp;Campaign+Time=09%3A00%3A29&amp;en_txn6=Country%3A+Israel+and+Occupied+Palestinian+Territories&amp;en_txn7=CaseNumber%3A+3.25+IOPT&amp;en_txn8=Topic%3A+Freedom+of+Expression%2C+Individuals+At+Risk&amp;en_txn10=YearType%3A+2025%2C+Email&amp;color=%23f26722&amp;height=422</t>
  </si>
  <si>
    <t>https://act.amnestyusa.org/page/153818/petition/1?email_text=Thank+you+for+taking+action+on+UNJUSTLY+JAILED+LAWYER%E2%80%99S+HEALTH+AT+RISK.&amp;email_cta_text=VIEW+MORE+URGENT+ACTIONS&amp;email_cta_url=https%3A%2F%2Fwww.amnestyusa.org%2Fget-involved%2Fgrassroots-activism%2Furgent-action-network%2Factions%2F%3Fstatus%3Dactive%26fyear%3D2025%26sortby%3Dnewest%26pg%3D1&amp;submit_btn_text=Get+the+sample+letter&amp;page_title=UNJUSTLY+JAILED+LAWYER%E2%80%99S+HEALTH+AT+RISK&amp;page_url_params=utm_source%3Dutm_source%253Dtest_source%2526utm_medium%253Dads&amp;Campaign+Date=01%2F24%2F25&amp;Campaign+Time=03%3A25%3A22&amp;en_txn6=Country%3A+Egypt&amp;en_txn7=CaseNumber%3A+Ninth+190.18+Egypt&amp;en_txn8=Topic%3A+Freedom+of+Expression%2C+Individuals+At+Risk&amp;en_txn10=YearType%3A+2024%2C+Letter&amp;color=%23f26722&amp;height=422</t>
  </si>
  <si>
    <t>https://act.amnestyusa.org/page/153818/petition/1?submit_btn_text=Get+the+sample+letter&amp;page_title=WOMAN+HUMAN+RIGHTS+DEFENDER+DISAPPEARED&amp;page_url_params=utm_source%3Dutm_source%253Dtest_source%2526utm_medium%253Dads&amp;Campaign+Date=01%2F30%2F25&amp;Campaign+Time=18%3A28%3A23&amp;en_txn6=Country%3A+Mexico&amp;en_txn7=CaseNumber%3A+92.24+Mexico&amp;en_txn8=Topic%3A+Human+Rights+Defenders&amp;en_txn10=YearType%3A+2024%2C+Email&amp;color=%23f26722&amp;height=422</t>
  </si>
  <si>
    <t>https://act.amnestyusa.org/page/153818/petition/1?submit_btn_text=Get+the+sample+letter&amp;page_title=JUSTICE+FOR+WATER+DEFENDER+KILLED&amp;page_url_params=utm_source%3Dutm_source%253Dtest_source%2526utm_medium%253Dads&amp;Campaign+Date=01%2F28%2F25&amp;Campaign+Time=01%3A32%3A47&amp;en_txn6=Country%3A+Honduras&amp;en_txn7=CaseNumber%3A+Second+85.24+Honduras&amp;en_txn8=Topic%3A+Climate+Justice%2C+Human+Rights+Defenders%2C+Right+to+Protest&amp;en_txn10=YearType%3A+2024%2C+Email&amp;color=%23f26722&amp;height=422</t>
  </si>
  <si>
    <t>https://act.amnestyusa.org/page/153818/petition/1?email_text=Thank+you+for+taking+action+on+KURDISH+DISSIDENT+SENTENCED+TO+DEATH+IN+IRAN.&amp;email_cta_text=VIEW+MORE+URGENT+ACTIONS&amp;email_cta_url=https%3A%2F%2Fwww.amnestyusa.org%2Fget-involved%2Fgrassroots-activism%2Furgent-action-network%2Factions%2F%3Fstatus%3Dactive%26fyear%3D2025%26sortby%3Dnewest%26pg%3D1&amp;submit_btn_text=Get+the+sample+letter&amp;page_title=KURDISH+DISSIDENT+SENTENCED+TO+DEATH+IN+IRAN&amp;page_url_params=utm_source%3Dutm_source%253Dtest_source%2526utm_medium%253Dads&amp;Campaign+Date=01%2F22%2F25&amp;Campaign+Time=03%3A43%3A50&amp;en_txn6=Country%3A+Iran&amp;en_txn7=CaseNumber%3A+101.24+Iran&amp;en_txn8=Topic%3A+Death+Penalty%2C+Freedom+of+Expression%2C+Individuals+At+Risk%2C+Right+to+Protest&amp;en_txn10=YearType%3A+2024%2C+Email&amp;color=%23f26722&amp;height=422</t>
  </si>
  <si>
    <t>https://act.amnestyusa.org/page/153818/petition/1?email_text=Thank+you+for+taking+action+on+DEATH+SENTENCE+FOR+SOCIAL+MEDIA+POSTS+COMMUTED.&amp;email_cta_text=VIEW+MORE+URGENT+ACTIONS&amp;email_cta_url=https%3A%2F%2Fwww.amnestyusa.org%2Fget-involved%2Fgrassroots-activism%2Furgent-action-network%2Factions%2F%3Fstatus%3Dactive%26fyear%3D2025%26sortby%3Dnewest%26pg%3D1&amp;submit_btn_text=Get+the+sample+letter&amp;page_title=DEATH+SENTENCE+FOR+SOCIAL+MEDIA+POSTS+COMMUTED&amp;page_url_params=utm_source%3Dutm_source%253Dtest_source%2526utm_medium%253Dads&amp;Campaign+Date=01%2F24%2F25&amp;Campaign+Time=03%3A28%3A38&amp;en_txn6=Country%3A+Saudi+Arabia&amp;en_txn7=CaseNumber%3A+Second+85.23+Saudi+Arabia&amp;en_txn8=Topic%3A+Freedom+of+Expression&amp;en_txn10=YearType%3A+2024%2C+Letter&amp;color=%23f26722&amp;height=422</t>
  </si>
  <si>
    <t>https://act.amnestyusa.org/page/153818/petition/1?email_text=Thank+you+for+taking+action+on+End+Racist+Deportations+of+Haitians.&amp;email_cta_text=VIEW+MORE+URGENT+ACTIONS&amp;email_cta_url=https%3A%2F%2Fwww.amnestyusa.org%2Fget-involved%2Fgrassroots-activism%2Furgent-action-network%2Factions%2F%3Fstatus%3Dactive%26fyear%3D2025%26sortby%3Dnewest%26pg%3D1&amp;submit_btn_text=Get+the+sample+letter&amp;page_title=End+Racist+Deportations+of+Haitians&amp;page_url_params=utm_source%3Dutm_source%253Dtest_source%2526utm_medium%253Dads&amp;Campaign+Date=01%2F24%2F25&amp;Campaign+Time=03%3A31%3A00&amp;en_txn6=Country%3A+Dominican+Republic&amp;en_txn7=CaseNumber%3A+88.24+Dominican+Republic&amp;en_txn8=Topic%3A+Individuals+At+Risk%2C+Refugee+and+Migrant+Rights&amp;en_txn10=YearType%3A+2024%2C+Letter&amp;color=%23f26722&amp;height=422</t>
  </si>
  <si>
    <t>https://act.amnestyusa.org/page/153818/petition/1?submit_btn_text=Get+the+sample+letter&amp;page_title=SIX+MEN+AT+RISK+OF+EXECUTION+AFTER+GROSSLY+UNFAIR+TRIAL+%5BIran+6.25%5D&amp;page_url_params=utm_source%3Dutm_source%253Dtest_source%2526utm_medium%253Dads&amp;Campaign+Date=02%2F24%2F25&amp;Campaign+Time=19%3A29%3A43&amp;en_txn6=Country%3A+Iran&amp;en_txn7=CaseNumber%3A+6.25+Iran&amp;en_txn8=Topic%3A+Death+Penalty%2C+Freedom+of+Expression%2C+Individuals+At+Risk&amp;en_txn10=YearType%3A+2025%2C+Email&amp;color=%23f26722&amp;height=422</t>
  </si>
  <si>
    <t>https://act.amnestyusa.org/page/153818/petition/1?submit_btn_text=Get+the+sample+letter&amp;page_title=PROTECT+DEFENDERS+FROM+ARMED+GROUPS+%5BColombia+Third+UA+12.24%5D&amp;page_url_params=utm_source%3Dutm_source%253Dtest_source%2526utm_medium%253Dads&amp;Campaign+Date=02%2F22%2F25&amp;Campaign+Time=02%3A14%3A09&amp;en_txn6=Country%3A+Colombia&amp;en_txn7=CaseNumber%3A+Third+12.24+Colombia&amp;en_txn8=Topic%3A+Human+Rights+Defenders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</si>
  <si>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HUMAN+RIGHTS+DEFENDER+IMPRISONED&amp;page_url_params=utm_source%3Dutm_source%253Dtest_source%2526utm_medium%253Dads&amp;Campaign+Date=01%2F07%2F25&amp;Campaign+Time=19%3A11%3A42&amp;en_txn6=Country%3A+Turkiye&amp;en_txn7=CaseNumber%3A+109.24+T%C3%BCrkiye&amp;en_txn8=Topic%3A+Human+Rights+Defenders%2C+Individuals+At+Risk&amp;en_txn10=YearType%3A+2024%2C+Email&amp;color=%23f26722&amp;height=422</t>
  </si>
  <si>
    <t>https://act.amnestyusa.org/page/153818/petition/1?email_text=Thank+you+for+taking+action+on+MALAYSIAN+MAN+BELIEVED+AT+RISK+OF+EXECUTION%C2%A0.&amp;email_cta_text=VIEW+MORE+URGENT+ACTIONS&amp;email_cta_url=https%3A%2F%2Fwww.amnestyusa.org%2Fget-involved%2Fgrassroots-activism%2Furgent-action-network%2Factions%2F%3Fstatus%3Dactive%26fyear%3D2025%26sortby%3Dnewest%26pg%3D1&amp;submit_btn_text=Get+the+sample+letter&amp;page_title=MALAYSIAN+MAN+BELIEVED+AT+RISK+OF+EXECUTION%C2%A0&amp;page_url_params=utm_source%3Dutm_source%253Dtest_source%2526utm_medium%253Dads&amp;Campaign+Date=01%2F24%2F25&amp;Campaign+Time=01%3A16%3A15&amp;en_txn6=Country%3A+Singapore&amp;en_txn7=CaseNumber%3A+107.24+Singapore&amp;en_txn8=Topic%3A+Death+Penalty&amp;en_txn10=YearType%3A+2024%2C+Email&amp;color=%23f26722&amp;height=422</t>
  </si>
  <si>
    <t>https://act.amnestyusa.org/page/153818/petition/1?email_text=Thank+you+for+taking+action+on+UNJUSTLY+JAILED+LAWYER+TREATED+INHUMANELY.&amp;email_cta_text=VIEW+MORE+URGENT+ACTIONS&amp;email_cta_url=https%3A%2F%2Fwww.amnestyusa.org%2Fget-involved%2Fgrassroots-activism%2Furgent-action-network%2Factions%2F%3Fstatus%3Dactive%26fyear%3D2025%26sortby%3Dnewest%26pg%3D1&amp;submit_btn_text=Get+the+sample+letter&amp;page_title=UNJUSTLY+JAILED+LAWYER+TREATED+INHUMANELY&amp;page_url_params=utm_source%3Dutm_source%253Dtest_source%2526utm_medium%253Dads&amp;Campaign+Date=01%2F24%2F25&amp;Campaign+Time=08%3A50%3A56&amp;en_txn6=Country%3A+Tunisia&amp;en_txn7=CaseNumber%3A+Second+43.24+Tunisia&amp;en_txn8=Topic%3A+Freedom+of+Expression%2C+Individuals+At+Risk&amp;en_txn10=YearType%3A+2024%2C+Email&amp;color=%23f26722&amp;height=422</t>
  </si>
  <si>
    <t>https://act.amnestyusa.org/page/153818/petition/1?email_text=Thank+you+for+taking+action+on+UNJUSTLY+JAILED+POLITICIAN%E2%80%99S+SON%E2%80%99S+HEALTH+AT+RISK.&amp;email_cta_text=VIEW+MORE+URGENT+ACTIONS&amp;email_cta_url=https%3A%2F%2Fwww.amnestyusa.org%2Fget-involved%2Fgrassroots-activism%2Furgent-action-network%2Factions%2F%3Fstatus%3Dactive%26fyear%3D2025%26sortby%3Dnewest%26pg%3D1&amp;submit_btn_text=Get+the+sample+letter&amp;page_title=UNJUSTLY+JAILED+POLITICIAN%E2%80%99S+SON%E2%80%99S+HEALTH+AT+RISK&amp;page_url_params=utm_source%3Dutm_source%253Dtest_source%2526utm_medium%253Dads&amp;Campaign+Date=01%2F23%2F25&amp;Campaign+Time=18%3A57%3A33&amp;en_txn6=Country%3A+Egypt&amp;en_txn7=CaseNumber%3A+Fourth+29.23+Egypt&amp;en_txn8=Topic%3A+Freedom+of+Expression%2C+Individuals+At+Risk%2C+Right+to+Protest&amp;en_txn10=YearType%3A+2024%2C+Email&amp;color=%23f26722&amp;height=422</t>
  </si>
  <si>
    <t>https://act.amnestyusa.org/page/153818/petition/1?email_text=Thank+you+for+taking+action+on+DEATH+SENTENCE+FOR+SOCIAL+MEDIA+POSTS+COMMUTED.&amp;email_cta_text=VIEW+MORE+URGENT+ACTIONS&amp;email_cta_url=https%3A%2F%2Fwww.amnestyusa.org%2Fget-involved%2Fgrassroots-activism%2Furgent-action-network%2Factions%2F%3Fstatus%3Dactive%26fyear%3D2025%26sortby%3Dnewest%26pg%3D1&amp;submit_btn_text=Get+the+sample+letter&amp;page_title=DEATH+SENTENCE+FOR+SOCIAL+MEDIA+POSTS+COMMUTED&amp;page_url_params=utm_source%3Dutm_source%253Dtest_source%2526utm_medium%253Dads&amp;Campaign+Date=01%2F24%2F25&amp;Campaign+Time=20%3A48%3A37&amp;en_txn6=Country%3A+Saudi+Arabia&amp;en_txn7=CaseNumber%3A+Second+85.23+Saudi+Arabia&amp;en_txn8=Topic%3A+Freedom+of+Expression&amp;en_txn10=YearType%3A+2024%2C+Letter&amp;color=%23f26722&amp;height=422</t>
  </si>
  <si>
    <t>https://act.amnestyusa.org/page/153818/petition/1?email_text=Thank+you+for+taking+action+on+FREE+VENEZUELAN+HUMAN+RIGHTS+DEFENDERS.&amp;email_cta_text=VIEW+MORE+URGENT+ACTIONS&amp;email_cta_url=https%3A%2F%2Fwww.amnestyusa.org%2Fget-involved%2Fgrassroots-activism%2Furgent-action-network%2Factions%2F%3Fstatus%3Dactive%26fyear%3D2025%26sortby%3Dnewest%26pg%3D1&amp;submit_btn_text=Get+the+sample+letter&amp;page_title=FREE+VENEZUELAN+HUMAN+RIGHTS+DEFENDERS&amp;page_url_params=utm_source%3Dutm_source%253Dtest_source%2526utm_medium%253Dads&amp;Campaign+Date=01%2F23%2F25&amp;Campaign+Time=23%3A58%3A15&amp;en_txn6=Country%3A+Venezuela&amp;en_txn7=CaseNumber%3A+1.25+Venezuela&amp;en_txn8=Topic%3A+Human+Rights+Defenders%2C+Individuals+At+Risk&amp;en_txn10=YearType%3A+2025%2C+Letter&amp;color=%23f26722&amp;height=422</t>
  </si>
  <si>
    <t>https://act.amnestyusa.org/page/153818/petition/1?submit_btn_text=Get+the+sample+letter&amp;page_title=PROMINENT+ARTIST+ARRESTED+FOR+HIS+WORK&amp;page_url_params=utm_source%3Dutm_source%253Dtest_source%2526utm_medium%253Dads&amp;Campaign+Date=01%2F27%2F25&amp;Campaign+Time=17%3A53%3A31&amp;en_txn6=Country%3A+China&amp;en_txn7=CaseNumber%3A+106.24+China&amp;en_txn8=Topic%3A+Freedom+of+Expression%2C+Individuals+At+Risk&amp;en_txn10=YearType%3A+2024%2C+Email&amp;color=%23f26722&amp;height=422</t>
  </si>
  <si>
    <t>https://act.amnestyusa.org/page/153818/petition/1?submit_btn_text=Get+the+sample+letter&amp;page_title=HEALTH+CONCERNS+FOR+JAILED+UYGHUR+MUSICIAN%C2%A0&amp;page_url_params=utm_source%3Dutm_source%253Dtest_source%2526utm_medium%253Dads&amp;Campaign+Date=01%2F27%2F25&amp;Campaign+Time=17%3A55%3A25&amp;en_txn6=Country%3A+China&amp;en_txn7=CaseNumber%3A+98.24+China&amp;en_txn8=Topic%3A+Freedom+of+Expression%2C+Individuals+At+Risk&amp;en_txn10=YearType%3A+2024%2C+Letter&amp;color=%23f26722&amp;height=422</t>
  </si>
  <si>
    <t>https://act.amnestyusa.org/page/153818/petition/1?email_text=Thank+you+for+taking+action+on+PEOPLE+SEEKING+SAFETY+AT+RISK+IN+THE+USA+%5BUSA+4.25%5D.&amp;email_cta_text=VIEW+MORE+URGENT+ACTIONS&amp;email_cta_url=https%3A%2F%2Fwww.amnestyusa.org%2Fget-involved%2Fgrassroots-activism%2Furgent-action-network%2Factions%2F%3Fstatus%3Dactive%26fyear%3D2025%26sortby%3Dnewest%26pg%3D1&amp;submit_btn_text=Get+the+sample+letter&amp;page_title=PEOPLE+SEEKING+SAFETY+AT+RISK+IN+THE+USA+%5BUSA+4.25%5D&amp;page_url_params=utm_source%3Dutm_source%253Dtest_source%2526utm_medium%253Dads&amp;Campaign+Date=01%2F23%2F25&amp;Campaign+Time=18%3A44%3A20&amp;en_txn6=Country%3A+USA&amp;en_txn7=CaseNumber%3A+4.25+USA&amp;en_txn8=Topic%3A+Individuals+At+Risk%2C+Refugee+and+Migrant+Rights&amp;en_txn10=YearType%3A+2025%2C+Letter&amp;color=%23f26722&amp;height=422</t>
  </si>
  <si>
    <t>https://act.amnestyusa.org/page/153818/petition/1?email_text=Thank+you+for+taking+action+on+RELEASE+JOURNALISTS+ARRESTED+AFTER+COP29.&amp;email_cta_text=VIEW+MORE+URGENT+ACTIONS&amp;email_cta_url=https%3A%2F%2Fwww.amnestyusa.org%2Fget-involved%2Fgrassroots-activism%2Furgent-action-network%2Factions%2F%3Fstatus%3Dactive%26fyear%3D2025%26sortby%3Dnewest%26pg%3D1&amp;submit_btn_text=Get+the+sample+letter&amp;page_title=RELEASE+JOURNALISTS+ARRESTED+AFTER+COP29&amp;page_url_params=utm_source%3Dutm_source%253Dtest_source%2526utm_medium%253Dads&amp;Campaign+Date=01%2F23%2F25&amp;Campaign+Time=18%3A44%3A06&amp;en_txn6=Country%3A+Azerbaijan&amp;en_txn7=CaseNumber%3A+2.25+Azerbaijan&amp;en_txn8=Topic%3A+Freedom+of+Expression%2C+Human+Rights+Defenders&amp;en_txn10=YearType%3A+2025%2C+Email&amp;color=%23f26722&amp;height=422</t>
  </si>
  <si>
    <t>https://act.amnestyusa.org/page/153818/petition/1?email_text=Thank+you+for+taking+action+on+HUMAN+RIGHTS+DEFENDER+IMPRISONED.&amp;email_cta_text=VIEW+MORE+URGENT+ACTIONS&amp;email_cta_url=https%3A%2F%2Fwww.amnestyusa.org%2Fget-involved%2Fgrassroots-activism%2Furgent-action-network%2Factions%2F%3Fstatus%3Dactive%26fyear%3D2025%26sortby%3Dnewest%26pg%3D1&amp;submit_btn_text=Get+the+sample+letter&amp;page_title=HUMAN+RIGHTS+DEFENDER+IMPRISONED&amp;page_url_params=utm_source%3Dutm_source%253Dtest_source%2526utm_medium%253Dads&amp;Campaign+Date=01%2F24%2F25&amp;Campaign+Time=01%3A08%3A50&amp;en_txn6=Country%3A+Turkiye&amp;en_txn7=CaseNumber%3A+109.24+T%C3%BCrkiye&amp;en_txn8=Topic%3A+Human+Rights+Defenders%2C+Individuals+At+Risk&amp;en_txn10=YearType%3A+2024%2C+Email&amp;color=%23f26722&amp;height=422</t>
  </si>
  <si>
    <t>https://act.amnestyusa.org/page/153818/petition/1?submit_btn_text=Get+the+sample+letter&amp;page_title=FREE+IMPRISONED+HUMAN+RIGHTS+DEFENDER&amp;page_url_params=utm_source%3Dutm_source%253Dtest_source%2526utm_medium%253Dads&amp;Campaign+Date=02%2F22%2F25&amp;Campaign+Time=21%3A20%3A05&amp;en_txn6=Country%3A+Turkiye&amp;en_txn7=CaseNumber%3A+Second+109.24+T%C3%BCrkiye&amp;en_txn8=Topic%3A+Human+Rights+Defenders&amp;en_txn10=YearType%3A+2025%2C+Email&amp;color=%23f26722&amp;height=422</t>
  </si>
  <si>
    <t>jamiek@netidea.com</t>
  </si>
  <si>
    <t>https://act.amnestyusa.org/page/153818/petition/1?email_text=Thank+you+for+your+support%21&amp;email_cta_text=Take+Action&amp;email_cta_url=https%3A%2F%2Fwww.amnestyusa.org&amp;submit_btn_text=Get+the+sample+letter&amp;page_title=STOP+PERSECUTING+VENEZUELAN+NGO&amp;page_url_params=utm_source%3Dutm_source%253Dtest_source%2526utm_medium%253Dads&amp;Campaign+Date=12%2F05%2F24&amp;Campaign+Time=20%3A13%3A07&amp;en_txn6=Country%3A+Venezuela&amp;en_txn7=CaseNumber%3A+97.24+Venezuela&amp;en_txn8=Topic%3A+Freedom+of+Expression&amp;en_txn10=YearType%3A+2024%2C+Letter&amp;color=%23f26722&amp;height=422</t>
  </si>
  <si>
    <t>https://act.amnestyusa.org/page/153818/petition/1?submit_btn_text=Get+the+sample+letter&amp;page_title=RELEASE+JOURNALIST+CONVICTED+OF+PROPAGANDA+%5BAfghanistan+11.25%5D&amp;page_url_params=utm_source%3Dutm_source%253Dtest_source%2526utm_medium%253Dads&amp;Campaign+Date=02%2F24%2F25&amp;Campaign+Time=13%3A28%3A41&amp;en_txn6=Country%3A+Afghanistan&amp;en_txn7=CaseNumber%3A+11.25+Afghanistan&amp;en_txn8=Topic%3A+Freedom+of+Expression%2C+Health%2C+Individuals+At+Risk&amp;en_txn10=YearType%3A+2025%2C+Email&amp;color=%23f26722&amp;height=422</t>
  </si>
  <si>
    <t>https://act.amnestyusa.org/page/153818/petition/1?submit_btn_text=Get+the+sample+letter&amp;page_title=UNJUSTLY+JAILED+RIGHTS+LAWYER+REFERRED+TO+TRIAL+%5BEgypt+Second+UA+80.23%5D&amp;page_url_params=utm_source%3Dutm_source%253Dtest_source%2526utm_medium%253Dads&amp;Campaign+Date=02%2F21%2F25&amp;Campaign+Time=01%3A02%3A32&amp;en_txn6=Country%3A+Egypt&amp;en_txn7=CaseNumber%3A+Second+80.23+Egypt&amp;en_txn8=Topic%3A+Health%2C+Individuals+At+Risk&amp;en_txn10=YearType%3A+2025%2C+Email&amp;color=%23f26722&amp;height=422</t>
  </si>
  <si>
    <t>timlietzke@gmail.com</t>
  </si>
  <si>
    <t>https://act.amnestyusa.org/page/153818/petition/1?email_text=Thank+you+for+your+support%21&amp;email_cta_text=Take+Action&amp;email_cta_url=https%3A%2F%2Fwww.amnestyusa.org&amp;submit_btn_text=Get+the+sample+letter&amp;page_title=RISKS+OF+FURTHER+PROTEST-RELATED+EXECUTIONS&amp;page_url_params=utm_source%3Dutm_source%253Dtest_source%2526utm_medium%253Dads&amp;Campaign+Date=12%2F30%2F24&amp;Campaign+Time=18%3A17%3A24&amp;en_txn6=Country%3A+Iran&amp;en_txn7=CaseNumber%3A+Seventh+103.22+Iran&amp;en_txn8=Topic%3A+Death+Penalty%2C+Freedom+of+Expression%2C+Individuals+At+Risk&amp;en_txn10=YearType%3A+2024%2C+Email&amp;color=%23f26722&amp;height=422</t>
  </si>
  <si>
    <t>https://act.amnestyusa.org/page/153818/petition/1?submit_btn_text=Get+the+sample+letter&amp;page_title=HEALTH+CONCERNS+FOR+JAILED+UYGHUR+MUSICIAN%C2%A0&amp;page_url_params=utm_source%3Dutm_source%253Dtest_source%2526utm_medium%253Dads&amp;Campaign+Date=01%2F28%2F25&amp;Campaign+Time=21%3A55%3A15&amp;en_txn6=Country%3A+China&amp;en_txn7=CaseNumber%3A+98.24+China&amp;en_txn8=Topic%3A+Freedom+of+Expression%2C+Individuals+At+Risk&amp;en_txn10=YearType%3A+2024%2C+Letter&amp;color=%23f26722&amp;height=422</t>
  </si>
  <si>
    <t>https://act.amnestyusa.org/page/153818/petition/1?submit_btn_text=Get+the+sample+letter&amp;page_title=PEOPLE+SEEKING+SAFETY+AT+RISK+IN+THE+USA+%5BUSA+4.25%5D&amp;page_url_params=utm_source%3Dutm_source%253Dtest_source%2526utm_medium%253Dads&amp;Campaign+Date=02%2F19%2F25&amp;Campaign+Time=18%3A02%3A36&amp;en_txn6=Country%3A+USA&amp;en_txn7=CaseNumber%3A+4.25+USA&amp;en_txn8=Topic%3A+Individuals+At+Risk%2C+Refugee+and+Migrant+Rights&amp;en_txn10=YearType%3A+2025%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</si>
  <si>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DEATH+SENTENCE+FOR+SOCIAL+MEDIA+POSTS+COMMUTED&amp;page_url_params=utm_source%3Dutm_source%253Dtest_source%2526utm_medium%253Dads&amp;Campaign+Date=11%2F30%2F24&amp;Campaign+Time=21%3A07%3A07&amp;en_txn6=Country%3A+Saudi+Arabia&amp;en_txn7=CaseNumber%3A+Second+85.23+Saudi+Arabia&amp;en_txn8=Topic%3A+Freedom+of+Expression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</si>
  <si>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INDIANA%E2%80%99S+FIRST+EXECUTION+IN+15+YEARS+LOOMS&amp;page_url_params=utm_source%3Dutm_source%253Dtest_source%2526utm_medium%253Dads&amp;Campaign+Date=12%2F06%2F24&amp;Campaign+Time=17%3A52%3A15&amp;en_txn6=Country%3A+USA&amp;en_txn7=CaseNumber%3A+105.24+USA&amp;en_txn8=Topic%3A+Death+Penalty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</si>
  <si>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HALT+PIPELINE+PROJECT+WITH+OUTDATED+PERMIT%C2%A0&amp;page_url_params=utm_source%3Dutm_source%253Dtest_source%2526utm_medium%253Dads&amp;Campaign+Date=12%2F12%2F24&amp;Campaign+Time=21%3A26%3A05&amp;en_txn6=Country%3A+Canada&amp;en_txn7=CaseNumber%3A+99.24+Canada&amp;en_txn8=Topic%3A+Climate+Justice%2C+Indigenous+Rights%2C+Right+to+Protest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</si>
  <si>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ISKS+OF+FURTHER+PROTEST-RELATED+EXECUTIONS&amp;page_url_params=utm_source%3Dutm_source%253Dtest_source%2526utm_medium%253Dads&amp;Campaign+Date=12%2F29%2F24&amp;Campaign+Time=02%3A28%3A18&amp;en_txn6=Country%3A+Iran&amp;en_txn7=CaseNumber%3A+Seventh+103.22+Iran&amp;en_txn8=Topic%3A+Death+Penalty%2C+Freedom+of+Expression%2C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</si>
  <si>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HALT+PIPELINE+PROJECT+WITH+OUTDATED+PERMIT%C2%A0&amp;page_url_params=utm_source%3Dutm_source%253Dtest_source%2526utm_medium%253Dads&amp;Campaign+Date=01%2F05%2F25&amp;Campaign+Time=17%3A54%3A42&amp;en_txn6=Country%3A+Canada&amp;en_txn7=CaseNumber%3A+99.24+Canada&amp;en_txn8=Topic%3A+Climate+Justice%2C+Indigenous+Rights%2C+Right+to+Protest&amp;en_txn10=YearType%3A+2024%2C+Letter&amp;color=%23f26722&amp;height=422</t>
  </si>
  <si>
    <t>https://act.amnestyusa.org/page/153818/petition/1?submit_btn_text=Get+the+sample+letter&amp;page_title=LIFT+MOHAMMED+AL-QAHTANI%26%238217%3BS+TRAVEL+BAN+%5BSaudi+Arabia+Fifth+UA+257.12%5D&amp;page_url_params=utm_source%3Dutm_source%253Dtest_source%2526utm_medium%253Dads&amp;Campaign+Date=02%2F13%2F25&amp;Campaign+Time=21%3A45%3A08&amp;en_txn6=Country%3A+Saudi+Arabia&amp;en_txn7=CaseNumber%3A+Fifth+257.12&amp;en_txn8=Topic%3A+Freedom+of+Expression%2C+Human+Rights+Defenders&amp;en_txn10=YearType%3A+2025%2C+Email&amp;color=%23f26722&amp;height=422</t>
  </si>
  <si>
    <t>https://act.amnestyusa.org/page/153818/petition/1?submit_btn_text=Get+the+sample+letter&amp;page_title=OLDER+SUFI+SHEIKH+FORCIBLY+DISAPPEARED+FOR+A+YEAR+%5BLibya+12.25%5D&amp;page_url_params=utm_source%3Dutm_source%253Dtest_source%2526utm_medium%253Dads&amp;Campaign+Date=02%2F19%2F25&amp;Campaign+Time=19%3A03%3A06&amp;en_txn6=Country%3A+Libya&amp;en_txn7=CaseNumber%3A+12.25+Libya&amp;en_txn8=Topic%3A+Freedom+of+Expression%2C+Health%2C+Individuals+At+Risk&amp;en_txn10=YearType%3A+2025%2C+Email&amp;color=%23f26722&amp;height=422</t>
  </si>
  <si>
    <t>cabomail@comcast.net</t>
  </si>
  <si>
    <t>https://act.amnestyusa.org/page/153818/petition/1?submit_btn_text=Get+the+sample+letter&amp;page_title=PEOPLE+SEEKING+SAFETY+AT+RISK+IN+THE+USA+%5BUSA+4.25%5D&amp;page_url_params=utm_source%3Dutm_source%253Dtest_source%2526utm_medium%253Dads&amp;Campaign+Date=01%2F28%2F25&amp;Campaign+Time=17%3A50%3A04&amp;en_txn6=Country%3A+USA&amp;en_txn7=CaseNumber%3A+4.25+USA&amp;en_txn8=Topic%3A+Individuals+At+Risk%2C+Refugee+and+Migrant+Rights&amp;en_txn10=YearType%3A+2025%2C+Letter&amp;color=%23f26722&amp;height=422</t>
  </si>
  <si>
    <t>vdestefano54@gmail.com</t>
  </si>
  <si>
    <t>https://act.amnestyusa.org/page/153818/petition/1?email_text=Thank+you+for+your+support%21&amp;email_cta_text=Take+Action&amp;email_cta_url=https%3A%2F%2Fwww.amnestyusa.org&amp;submit_btn_text=Get+the+sample+letter&amp;page_title=End+Racist+Deportations+of+Haitians&amp;page_url_params=utm_source%3Dutm_source%253Dtest_source%2526utm_medium%253Dads&amp;Campaign+Date=11%2F21%2F24&amp;Campaign+Time=17%3A00%3A47&amp;en_txn6=Country%3A+Dominican+Republic&amp;en_txn7=CaseNumber%3A+88.24+Dominican+Republic&amp;en_txn8=Topic%3A+Individuals+At+Risk%2C+Refugee+and+Migrant+Rights&amp;en_txn10=YearType%3A+2024%2C+Letter&amp;color=%23f26722&amp;height=422</t>
  </si>
  <si>
    <t>kcirtap61@gmail.com</t>
  </si>
  <si>
    <t>ann.v.stevenson@gmail.com</t>
  </si>
  <si>
    <t>https://act.amnestyusa.org/page/153818/petition/1?email_text=Thank+you+for+your+support%21&amp;email_cta_text=Take+Action&amp;email_cta_url=https%3A%2F%2Fwww.amnestyusa.org&amp;submit_btn_text=Get+the+sample+letter&amp;page_title=RISKS+OF+FURTHER+PROTEST-RELATED+EXECUTIONS&amp;page_url_params=utm_source%3Dutm_source%253Dtest_source%2526utm_medium%253Dads&amp;Campaign+Date=12%2F30%2F24&amp;Campaign+Time=21%3A43%3A08&amp;en_txn6=Country%3A+Iran&amp;en_txn7=CaseNumber%3A+Seventh+103.22+Iran&amp;en_txn8=Topic%3A+Death+Penalty%2C+Freedom+of+Expression%2C+Individuals+At+Risk&amp;en_txn10=YearType%3A+2024%2C+Email&amp;color=%23f26722&amp;height=422</t>
  </si>
  <si>
    <t>mobile:N~tablet:N~device:APPLE~os:Mac OS X~browser:Chrome 10</t>
  </si>
  <si>
    <t>novicedetective@gmail.com</t>
  </si>
  <si>
    <t>https://act.amnestyusa.org/page/153818/petition/1?submit_btn_text=Get+the+sample+letter&amp;page_title=PROMINENT+HUMAN+RIGHTS+DEFENDER+DETAINED&amp;page_url_params=utm_source%3Dutm_source%253Dtest_source%2526utm_medium%253Dads&amp;Campaign+Date=01%2F25%2F25&amp;Campaign+Time=03%3A25%3A36&amp;en_txn6=Country%3A+Niger&amp;en_txn7=CaseNumber%3A+103.24+Niger&amp;en_txn8=Topic%3A+Freedom+of+Expression%2C+Human+Rights+Defenders&amp;en_txn10=YearType%3A+2024%2C+Email&amp;color=%23f26722&amp;height=422</t>
  </si>
  <si>
    <t>raddink@nycap.rr.com</t>
  </si>
  <si>
    <t>https://act.amnestyusa.org/page/153818/petition/1?email_text=Thank+you+for+your+support%21&amp;email_cta_text=Take+Action&amp;email_cta_url=https%3A%2F%2Fwww.amnestyusa.org&amp;submit_btn_text=Get+the+sample+letter&amp;page_title=PROMINENT+ARTIST+ARRESTED+FOR+HIS+WORK&amp;page_url_params=utm_source%3Dutm_source%253Dtest_source%2526utm_medium%253Dads&amp;Campaign+Date=12%2F27%2F24&amp;Campaign+Time=18%3A40%3A26&amp;en_txn6=Country%3A+China&amp;en_txn7=CaseNumber%3A+106.24+China&amp;en_txn8=Topic%3A+Freedom+of+Expression%2C+Individuals+At+Risk&amp;en_txn10=YearType%3A+2024%2C+Email&amp;color=%23f26722&amp;height=422</t>
  </si>
  <si>
    <t>https://act.amnestyusa.org/page/153818/petition/1?submit_btn_text=Get+the+sample+letter&amp;page_title=FREE+IMPRISONED+HUMAN+RIGHTS+DEFENDER&amp;page_url_params=utm_source%3Dutm_source%253Dtest_source%2526utm_medium%253Dads&amp;Campaign+Date=01%2F28%2F25&amp;Campaign+Time=19%3A09%3A16&amp;en_txn6=Country%3A+Turkiye&amp;en_txn7=CaseNumber%3A+Second+109.24+T%C3%BCrkiye&amp;en_txn8=Topic%3A+Human+Rights+Defenders&amp;en_txn10=YearType%3A+2025%2C+Email&amp;color=%23f26722&amp;height=422</t>
  </si>
  <si>
    <t>https://act.amnestyusa.org/page/153818/petition/1?submit_btn_text=Get+the+sample+letter&amp;page_title=PROTECT+DEFENDERS+FROM+ARMED+GROUPS+%5BColombia+Third+UA+12.24%5D&amp;page_url_params=utm_source%3Dutm_source%253Dtest_source%2526utm_medium%253Dads&amp;Campaign+Date=01%2F28%2F25&amp;Campaign+Time=19%3A11%3A49&amp;en_txn6=Country%3A+Colombia&amp;en_txn7=CaseNumber%3A+Third+12.24+Colombia&amp;en_txn8=Topic%3A+Human+Rights+Defenders%2C+Individuals+At+Risk&amp;en_txn10=YearType%3A+2025%2C+Email&amp;color=%23f26722&amp;height=422</t>
  </si>
  <si>
    <t>https://act.amnestyusa.org/page/153818/petition/1?email_text=Thank+you+for+taking+action+on+FREE+VENEZUELAN+HUMAN+RIGHTS+DEFENDERS.&amp;email_cta_text=VIEW+MORE+URGENT+ACTIONS&amp;email_cta_url=https%3A%2F%2Fwww.amnestyusa.org%2Fget-involved%2Fgrassroots-activism%2Furgent-action-network%2Factions%2F%3Fstatus%3Dactive%26fyear%3D2025%26sortby%3Dnewest%26pg%3D1&amp;submit_btn_text=Get+the+sample+letter&amp;page_title=FREE+VENEZUELAN+HUMAN+RIGHTS+DEFENDERS&amp;page_url_params=utm_source%3Dutm_source%253Dtest_source%2526utm_medium%253Dads&amp;Campaign+Date=01%2F23%2F25&amp;Campaign+Time=20%3A07%3A02&amp;en_txn6=Country%3A+Venezuela&amp;en_txn7=CaseNumber%3A+1.25+Venezuela&amp;en_txn8=Topic%3A+Human+Rights+Defenders%2C+Individuals+At+Risk&amp;en_txn10=YearType%3A+2025%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</si>
  <si>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IMPRISONED+POET+IS+AT+RISK+OF+TORTURE&amp;page_url_params=utm_source%3Dutm_source%253Dtest_source%2526utm_medium%253Dads&amp;Campaign+Date=01%2F02%2F25&amp;Campaign+Time=04%3A14%3A19&amp;en_txn6=Country%3A+Russian+Federation&amp;en_txn7=CaseNumber%3A+102.24+Russia&amp;en_txn8=Topic%3A+Freedom+of+Expression%2C+Individuals+At+Risk%2C+Right+to+Protest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</si>
  <si>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FATHER+APPEALS+PRISON+TERM&amp;page_url_params=utm_source%3Dutm_source%253Dtest_source%2526utm_medium%253Dads&amp;Campaign+Date=01%2F13%2F25&amp;Campaign+Time=19%3A41%3A12&amp;en_txn6=Country%3A+Egypt&amp;en_txn7=CaseNumber%3A+Third+73.23+Egypt&amp;en_txn8=Topic%3A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</si>
  <si>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ISKS+OF+FURTHER+PROTEST-RELATED+EXECUTIONS&amp;page_url_params=utm_source%3Dutm_source%253Dtest_source%2526utm_medium%253Dads&amp;Campaign+Date=01%2F16%2F25&amp;Campaign+Time=15%3A13%3A31&amp;en_txn6=Country%3A+Iran&amp;en_txn7=CaseNumber%3A+Seventh+103.22+Iran&amp;en_txn8=Topic%3A+Death+Penalty%2C+Freedom+of+Expression%2C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</si>
  <si>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IMPRISONED+POET+IS+AT+RISK+OF+TORTURE&amp;page_url_params=utm_source%3Dutm_source%253Dtest_source%2526utm_medium%253Dads&amp;Campaign+Date=12%2F14%2F24&amp;Campaign+Time=07%3A54%3A08&amp;en_txn6=Country%3A+Russian+Federation&amp;en_txn7=CaseNumber%3A+102.24+Russia&amp;en_txn8=Topic%3A+Freedom+of+Expression%2C+Individuals+At+Risk%2C+Right+to+Protest&amp;en_txn10=YearType%3A+2024%2C+Email&amp;color=%23f26722&amp;height=422</t>
  </si>
  <si>
    <t>https://act.amnestyusa.org/page/153818/petition/1?submit_btn_text=Get+the+sample+letter&amp;page_title=OLDER+SUFI+SHEIKH+FORCIBLY+DISAPPEARED+FOR+A+YEAR+%5BLibya+12.25%5D&amp;page_url_params=utm_source%3Dutm_source%253Dtest_source%2526utm_medium%253Dads&amp;Campaign+Date=02%2F18%2F25&amp;Campaign+Time=20%3A11%3A10&amp;en_txn6=Country%3A+Libya&amp;en_txn7=CaseNumber%3A+12.25+Libya&amp;en_txn8=Topic%3A+Freedom+of+Expression%2C+Health%2C+Individuals+At+Risk&amp;en_txn10=YearType%3A+2025%2C+Email&amp;color=%23f26722&amp;height=422</t>
  </si>
  <si>
    <t>https://act.amnestyusa.org/page/153818/petition/1?submit_btn_text=Get+the+sample+letter&amp;page_title=KURDISH+DISSIDENT+SENTENCED+TO+DEATH+IN+IRAN&amp;page_url_params=utm_source%3Dutm_source%253Dtest_source%2526utm_medium%253Dads&amp;Campaign+Date=02%2F10%2F25&amp;Campaign+Time=19%3A26%3A24&amp;en_txn6=Country%3A+Iran&amp;en_txn7=CaseNumber%3A+101.24+Iran&amp;en_txn8=Topic%3A+Death+Penalty%2C+Freedom+of+Expression%2C+Individuals+At+Risk%2C+Right+to+Protest&amp;en_txn10=YearType%3A+2024%2C+Email&amp;color=%23f26722&amp;height=422</t>
  </si>
  <si>
    <t>https://act.amnestyusa.org/page/153818/petition/1?submit_btn_text=Get+the+sample+letter&amp;page_title=PROMINENT+JOURNALIST+ARBITRARILY+DETAINED+%5BTunisia+8.25%5D&amp;page_url_params=utm_source%3Dutm_source%253Dtest_source%2526utm_medium%253Dads&amp;Campaign+Date=02%2F16%2F25&amp;Campaign+Time=18%3A53%3A22&amp;en_txn6=Country%3A+Tunisia&amp;en_txn7=CaseNumber%3A+8.25+Tunisia&amp;en_txn8=Topic%3A+Freedom+of+Expression&amp;en_txn10=YearType%3A+2025%2C+Email&amp;color=%23f26722&amp;height=422</t>
  </si>
  <si>
    <t>https://act.amnestyusa.org/page/153818/petition/1?submit_btn_text=Get+the+sample+letter&amp;page_title=FILMMAKER+ARBITRARILY+DETAINED+%5BAfghanistan+7.25%5D&amp;page_url_params=utm_source%3Dutm_source%253Dtest_source%2526utm_medium%253Dads&amp;Campaign+Date=02%2F16%2F25&amp;Campaign+Time=18%3A51%3A54&amp;en_txn6=Country%3A+Afghanistan&amp;en_txn7=CaseNumber%3A+7.25+Afghanistan&amp;en_txn8=Topic%3A+Freedom+of+Expression%2C+Individuals+At+Risk%2C+Women%27s+Rights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</si>
  <si>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LAWYER%E2%80%99S+HEALTH+AT+RISK&amp;page_url_params=utm_source%3Dutm_source%253Dtest_source%2526utm_medium%253Dads&amp;Campaign+Date=01%2F17%2F25&amp;Campaign+Time=19%3A59%3A17&amp;en_txn6=Country%3A+Egypt&amp;en_txn7=CaseNumber%3A+Ninth+190.18+Egypt&amp;en_txn8=Topic%3A+Freedom+of+Expression%2C+Individuals+At+Risk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</si>
  <si>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HEALTH+CONCERNS+FOR+JAILED+UYGHUR+MUSICIAN%C2%A0&amp;page_url_params=utm_source%3Dutm_source%253Dtest_source%2526utm_medium%253Dads&amp;Campaign+Date=01%2F17%2F25&amp;Campaign+Time=19%3A59%3A10&amp;en_txn6=Country%3A+China&amp;en_txn7=CaseNumber%3A+98.24+China&amp;en_txn8=Topic%3A+Freedom+of+Expression%2C+Individuals+At+Risk&amp;en_txn10=YearType%3A+2024%2C+Letter&amp;color=%23f26722&amp;height=422</t>
  </si>
  <si>
    <t>mobile:N~tablet:N~device:OTHER~os:Linux~browser:Chrome 12</t>
  </si>
  <si>
    <t>https://act.amnestyusa.org/page/153818/petition/1?email_text=Thank+you+for+your+support%21&amp;email_cta_text=Take+Action&amp;email_cta_url=https%3A%2F%2Fwww.amnestyusa.org&amp;submit_btn_text=Get+the+sample+letter&amp;page_title=End+Racist+Deportations+of+Haitians&amp;page_url_params=utm_source%3Dutm_source%253Dtest_source%2526utm_medium%253Dads&amp;Campaign+Date=11%2F26%2F24&amp;Campaign+Time=19%3A25%3A53&amp;en_txn6=Country%3A+Dominican+Republic&amp;en_txn7=CaseNumber%3A+88.24+Dominican+Republic&amp;en_txn8=Topic%3A+Individuals+At+Risk%2C+Refugee+and+Migrant+Rights&amp;en_txn10=YearType%3A+2024%2C+Letter&amp;color=%23f26722&amp;height=422</t>
  </si>
  <si>
    <t>https://act.amnestyusa.org/page/153818/petition/1?submit_btn_text=Get+the+sample+letter&amp;page_title=PEOPLE+SEEKING+SAFETY+AT+RISK+IN+THE+USA+%5BUSA+4.25%5D&amp;page_url_params=utm_source%3Dutm_source%253Dtest_source%2526utm_medium%253Dads&amp;Campaign+Date=02%2F13%2F25&amp;Campaign+Time=18%3A19%3A23&amp;en_txn6=Country%3A+USA&amp;en_txn7=CaseNumber%3A+4.25+USA&amp;en_txn8=Topic%3A+Individuals+At+Risk%2C+Refugee+and+Migrant+Rights&amp;en_txn10=YearType%3A+2025%2C+Letter&amp;color=%23f26722&amp;height=422</t>
  </si>
  <si>
    <t>https://act.amnestyusa.org/page/153818/petition/1?submit_btn_text=Get+the+sample+letter&amp;page_title=RELEASE+PEDIATRICIAN+AND+HOSPITAL+DIRECTOR+%5BIOPT+3.25%5D&amp;page_url_params=utm_source%3Dutm_source%253Dtest_source%2526utm_medium%253Dads&amp;Campaign+Date=02%2F01%2F25&amp;Campaign+Time=10%3A13%3A19&amp;en_txn6=Country%3A+Israel+and+Occupied+Palestinian+Territories&amp;en_txn7=CaseNumber%3A+3.25+IOPT&amp;en_txn8=Topic%3A+Freedom+of+Expression%2C+Individuals+At+Risk&amp;en_txn10=YearType%3A+2025%2C+Email&amp;color=%23f26722&amp;height=422&amp;fbclid=IwZXh0bgNhZW0CMTEAAR3kvAAuEuKVEgUiHZ_ZhAzBHXEi9HmFnK54MvQYw9PThFFFfaFAX1JCuxY_aem_DIF2QCQ5Y2f6EkcXdCFwOQ</t>
  </si>
  <si>
    <t>https://act.amnestyusa.org/page/153818/petition/1?submit_btn_text=Get+the+sample+letter&amp;page_title=RELEASE+JOURNALIST+CONVICTED+OF+PROPAGANDA+%5BAfghanistan+11.25%5D&amp;page_url_params=utm_source%3Dutm_source%253Dtest_source%2526utm_medium%253Dads&amp;Campaign+Date=02%2F13%2F25&amp;Campaign+Time=02%3A50%3A17&amp;en_txn6=Country%3A+Afghanistan&amp;en_txn7=CaseNumber%3A+11.25+Afghanistan&amp;en_txn8=Topic%3A+Freedom+of+Expression%2C+Health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</si>
  <si>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HEALTH+CONCERNS+FOR+JAILED+UYGHUR+MUSICIAN%C2%A0&amp;page_url_params=utm_source%3Dutm_source%253Dtest_source%2526utm_medium%253Dads&amp;Campaign+Date=12%2F05%2F24&amp;Campaign+Time=18%3A10%3A19&amp;en_txn6=Country%3A+China&amp;en_txn7=CaseNumber%3A+98.24+China&amp;en_txn8=Topic%3A+Freedom+of+Expression%2C+Individuals+At+Risk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</si>
  <si>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FATHER+APPEALS+PRISON+TERM&amp;page_url_params=utm_source%3Dutm_source%253Dtest_source%2526utm_medium%253Dads&amp;Campaign+Date=12%2F20%2F24&amp;Campaign+Time=21%3A33%3A26&amp;en_txn6=Country%3A+Egypt&amp;en_txn7=CaseNumber%3A+Third+73.23+Egypt&amp;en_txn8=Topic%3A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</si>
  <si>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HUMAN+RIGHTS+DEFENDER+IMPRISONED&amp;page_url_params=utm_source%3Dutm_source%253Dtest_source%2526utm_medium%253Dads&amp;Campaign+Date=12%2F23%2F24&amp;Campaign+Time=15%3A23%3A23&amp;en_txn6=Country%3A+Turkiye&amp;en_txn7=CaseNumber%3A+109.24+T%C3%BCrkiye&amp;en_txn8=Topic%3A+Human+Rights+Defenders%2C+Individuals+At+Risk&amp;en_txn10=YearType%3A+2024%2C+Email&amp;color=%23f26722&amp;height=422</t>
  </si>
  <si>
    <t>https://act.amnestyusa.org/page/153818/petition/1?submit_btn_text=Get+the+sample+letter&amp;page_title=PROTECT+DEFENDERS+FROM+ARMED+GROUPS+%5BColombia+Third+UA+12.24%5D&amp;page_url_params=utm_source%3Dutm_source%253Dtest_source%2526utm_medium%253Dads&amp;Campaign+Date=01%2F28%2F25&amp;Campaign+Time=18%3A57%3A38&amp;en_txn6=Country%3A+Colombia&amp;en_txn7=CaseNumber%3A+Third+12.24+Colombia&amp;en_txn8=Topic%3A+Human+Rights+Defenders%2C+Individuals+At+Risk&amp;en_txn10=YearType%3A+2025%2C+Email&amp;color=%23f26722&amp;height=422</t>
  </si>
  <si>
    <t>https://act.amnestyusa.org/page/153818/petition/1?submit_btn_text=Get+the+sample+letter&amp;page_title=SIX+MEN+AT+RISK+OF+EXECUTION+AFTER+GROSSLY+UNFAIR+TRIAL+%5BIran+6.25%5D&amp;page_url_params=utm_source%3Dutm_source%253Dtest_source%2526utm_medium%253Dads&amp;Campaign+Date=01%2F29%2F25&amp;Campaign+Time=21%3A50%3A26&amp;en_txn6=Country%3A+Iran&amp;en_txn7=CaseNumber%3A+6.25+Iran&amp;en_txn8=Topic%3A+Death+Penalty%2C+Freedom+of+Expression%2C+Individuals+At+Risk&amp;en_txn10=YearType%3A+2025%2C+Email&amp;color=%23f26722&amp;height=422</t>
  </si>
  <si>
    <t>https://act.amnestyusa.org/page/153818/petition/1?submit_btn_text=Get+the+sample+letter&amp;page_title=PROTECT+CIVILIANS+IN+CATATUMBO+%5BColombia+5.25%5D&amp;page_url_params=utm_source%3Dutm_source%253Dtest_source%2526utm_medium%253Dads&amp;Campaign+Date=01%2F30%2F25&amp;Campaign+Time=16%3A27%3A37&amp;en_txn6=Country%3A+Colombia&amp;en_txn7=CaseNumber%3A+5.25+Colombia&amp;en_txn8=Topic%3A+Human+Rights+Defenders%2C+Individuals+At+Risk&amp;en_txn10=YearType%3A+2025%2C+Email&amp;color=%23f26722&amp;height=422</t>
  </si>
  <si>
    <t>https://act.amnestyusa.org/page/153818/petition/1?submit_btn_text=Get+the+sample+letter&amp;page_title=LIFT+MOHAMMED+AL-QAHTANI%26%238217%3BS+TRAVEL+BAN+%5BSaudi+Arabia+Fifth+UA+257.12%5D&amp;page_url_params=utm_source%3Dutm_source%253Dtest_source%2526utm_medium%253Dads&amp;Campaign+Date=02%2F19%2F25&amp;Campaign+Time=19%3A00%3A21&amp;en_txn6=Country%3A+Saudi+Arabia&amp;en_txn7=CaseNumber%3A+Fifth+257.12&amp;en_txn8=Topic%3A+Freedom+of+Expression%2C+Human+Rights+Defenders&amp;en_txn10=YearType%3A+2025%2C+Email&amp;color=%23f26722&amp;height=422</t>
  </si>
  <si>
    <t>bgershenson@yahoo.com</t>
  </si>
  <si>
    <t>ouassim.sadellah@gmail.com</t>
  </si>
  <si>
    <t>mobile:Y~tablet:N~device:GOOGLE~os:Android 6.x~browser:Chrome Mobile</t>
  </si>
  <si>
    <t>mangcoding@gmail.com</t>
  </si>
  <si>
    <t>https://act.amnestyusa.org/page/153818/petition/1?email_text=Thank+you+for+your+support%21&amp;email_cta_text=Take+Action&amp;email_cta_url=https%3A%2F%2Fwww.amnestyusa.org&amp;submit_btn_text=Get+the+sample+letter&amp;page_title=End+Racist+Deportations+of+Haitians&amp;page_url_params=utm_source%3Dutm_source%253Dtest_source%2526utm_medium%253Dads&amp;Campaign+Date=11%2F15%2F24&amp;Campaign+Time=22%3A07%3A13&amp;Country=Dominican+Republic&amp;CaseNumber=88.24+Dominican+Republic&amp;Topic=Individuals+At+Risk%2C+Refugee+and+Migrant+Rights&amp;YearType=2024%2C+Letter&amp;color=%23f26722&amp;height=422</t>
  </si>
  <si>
    <t>kenj46@gmail.com</t>
  </si>
  <si>
    <t>tigana0118@gmail.com</t>
  </si>
  <si>
    <t>saenzalca@gmail.com</t>
  </si>
  <si>
    <t>mobile:N~tablet:N~device:MICROSOFT~os:Windows 7~browser:Chrome 10</t>
  </si>
  <si>
    <t>https://act.amnestyusa.org/page/153818/petition/1?submit_btn_text=Get+the+sample+letter&amp;page_title=PEOPLE+SEEKING+SAFETY+AT+RISK+IN+THE+USA+%5BUSA+4.25%5D&amp;page_url_params=utm_source%3Dutm_source%253Dtest_source%2526utm_medium%253Dads&amp;Campaign+Date=02%2F09%2F25&amp;Campaign+Time=19%3A37%3A00&amp;en_txn6=Country%3A+USA&amp;en_txn7=CaseNumber%3A+4.25+USA&amp;en_txn8=Topic%3A+Individuals+At+Risk%2C+Refugee+and+Migrant+Rights&amp;en_txn10=YearType%3A+2025%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</si>
  <si>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ISKS+OF+FURTHER+PROTEST-RELATED+EXECUTIONS&amp;page_url_params=utm_source%3Dutm_source%253Dtest_source%2526utm_medium%253Dads&amp;Campaign+Date=01%2F13%2F25&amp;Campaign+Time=09%3A49%3A19&amp;en_txn6=Country%3A+Iran&amp;en_txn7=CaseNumber%3A+Seventh+103.22+Iran&amp;en_txn8=Topic%3A+Death+Penalty%2C+Freedom+of+Expression%2C+Individuals+At+Risk&amp;en_txn10=YearType%3A+2024%2C+Email&amp;color=%23f26722&amp;height=422</t>
  </si>
  <si>
    <t>https://act.amnestyusa.org/page/153818/petition/1?submit_btn_text=Get+the+sample+letter&amp;page_title=PROMINENT+HUMAN+RIGHTS+DEFENDER+DETAINED&amp;page_url_params=utm_source%3Dutm_source%253Dtest_source%2526utm_medium%253Dads&amp;Campaign+Date=02%2F04%2F25&amp;Campaign+Time=05%3A05%3A39&amp;en_txn6=Country%3A+Niger&amp;en_txn7=CaseNumber%3A+103.24+Niger&amp;en_txn8=Topic%3A+Freedom+of+Expression%2C+Human+Rights+Defenders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</si>
  <si>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LAWYER+TREATED+INHUMANELY&amp;page_url_params=utm_source%3Dutm_source%253Dtest_source%2526utm_medium%253Dads&amp;Campaign+Date=01%2F10%2F25&amp;Campaign+Time=23%3A58%3A10&amp;en_txn6=Country%3A+Tunisia&amp;en_txn7=CaseNumber%3A+Second+43.24+Tunisia&amp;en_txn8=Topic%3A+Freedom+of+Expression%2C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</si>
  <si>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PROMINENT+ARTIST+ARRESTED+FOR+HIS+WORK&amp;page_url_params=utm_source%3Dutm_source%253Dtest_source%2526utm_medium%253Dads&amp;Campaign+Date=01%2F07%2F25&amp;Campaign+Time=21%3A55%3A57&amp;en_txn6=Country%3A+China&amp;en_txn7=CaseNumber%3A+106.24+China&amp;en_txn8=Topic%3A+Freedom+of+Expression%2C+Individuals+At+Risk&amp;en_txn10=YearType%3A+2024%2C+Email&amp;color=%23f26722&amp;height=422</t>
  </si>
  <si>
    <t>https://act.amnestyusa.org/page/153818/petition/1?submit_btn_text=Get+the+sample+letter&amp;page_title=SIX+MEN+AT+RISK+OF+EXECUTION+AFTER+GROSSLY+UNFAIR+TRIAL+%5BIran+6.25%5D&amp;page_url_params=utm_source%3Dutm_source%253Dtest_source%2526utm_medium%253Dads&amp;Campaign+Date=02%2F08%2F25&amp;Campaign+Time=14%3A23%3A50&amp;en_txn6=Country%3A+Iran&amp;en_txn7=CaseNumber%3A+6.25+Iran&amp;en_txn8=Topic%3A+Death+Penalty%2C+Freedom+of+Expression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</si>
  <si>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ISKS+OF+FURTHER+PROTEST-RELATED+EXECUTIONS&amp;page_url_params=utm_source%3Dutm_source%253Dtest_source%2526utm_medium%253Dads&amp;Campaign+Date=01%2F17%2F25&amp;Campaign+Time=20%3A26%3A26&amp;en_txn6=Country%3A+Iran&amp;en_txn7=CaseNumber%3A+Seventh+103.22+Iran&amp;en_txn8=Topic%3A+Death+Penalty%2C+Freedom+of+Expression%2C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</si>
  <si>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PROMINENT+HUMAN+RIGHTS+DEFENDER+DETAINED&amp;page_url_params=utm_source%3Dutm_source%253Dtest_source%2526utm_medium%253Dads&amp;Campaign+Date=01%2F17%2F25&amp;Campaign+Time=20%3A27%3A51&amp;en_txn6=Country%3A+Niger&amp;en_txn7=CaseNumber%3A+103.24+Niger&amp;en_txn8=Topic%3A+Freedom+of+Expression%2C+Human+Rights+Defenders&amp;en_txn10=YearType%3A+2024%2C+Email&amp;color=%23f26722&amp;height=422</t>
  </si>
  <si>
    <t>fernando@4sitestudios.com</t>
  </si>
  <si>
    <t>https://donate.amnestyusa.org/page/157642/subscribe/1?val&amp;color=%23252525</t>
  </si>
  <si>
    <t>lovetruemusic@gmail.com</t>
  </si>
  <si>
    <t>https://act.amnestyusa.org/page/153818/petition/1?email_text=Thank+you+for+your+support%21&amp;email_cta_text=Take+Action&amp;email_cta_url=https%3A%2F%2Fwww.amnestyusa.org&amp;submit_btn_text=Get+the+sample+letter&amp;page_title=HALT+PIPELINE+PROJECT+WITH+OUTDATED+PERMIT%C2%A0&amp;page_url_params=utm_source%3Dutm_source%253Dtest_source%2526utm_medium%253Dads&amp;Campaign+Date=12%2F16%2F24&amp;Campaign+Time=03%3A19%3A51&amp;en_txn6=Country%3A+Canada&amp;en_txn7=CaseNumber%3A+99.24+Canada&amp;en_txn8=Topic%3A+Climate+Justice%2C+Indigenous+Rights%2C+Right+to+Protest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</si>
  <si>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End+Racist+Deportations+of+Haitians&amp;page_url_params=utm_source%3Dutm_source%253Dtest_source%2526utm_medium%253Dads&amp;Campaign+Date=12%2F18%2F24&amp;Campaign+Time=00%3A20%3A05&amp;en_txn6=Country%3A+Dominican+Republic&amp;en_txn7=CaseNumber%3A+88.24+Dominican+Republic&amp;en_txn8=Topic%3A+Individuals+At+Risk%2C+Refugee+and+Migrant+Rights&amp;en_txn10=YearType%3A+2024%2C+Letter&amp;color=%23f26722&amp;height=422</t>
  </si>
  <si>
    <t>missikiti@gmail.com</t>
  </si>
  <si>
    <t>jagsingh@comast.net</t>
  </si>
  <si>
    <t>https://donate.amnestyusa.org/page/157642/subscribe/1?_gl=1*ue55pt*_gcl_au*MTQxNTgzNzU3MC4xNzI3Mzg3MTMy&amp;color=%23252525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</si>
  <si>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17%2F25&amp;Campaign+Time=16%3A41%3A00&amp;en_txn6=Country%3A+Israel+and+Occupied+Palestinian+Territories&amp;en_txn7=CaseNumber%3A+3.25+IOPT&amp;en_txn8=Topic%3A+Freedom+of+Expression%2C+Individuals+At+Risk&amp;en_txn10=YearType%3A+2025%2C+Email&amp;color=%23f26722&amp;height=422&amp;fbclid=IwY2xjawH3icRleHRuA2FlbQIxMQABHR8h4Fa0x3IPZd1NVASvCl9LadH3KjqRtPT_Gtkj-wVDeL_WwJMfIGhO_g_aem_07nq8PZYCJL55I41YtaKKQ</t>
  </si>
  <si>
    <t>xchtlzpt@gmail.com</t>
  </si>
  <si>
    <t>https://act.amnestyusa.org/page/153818/petition/1?submit_btn_text=Get+the+sample+letter&amp;page_title=PEOPLE+SEEKING+SAFETY+AT+RISK+IN+THE+USA+%5BUSA+4.25%5D&amp;page_url_params=utm_source%3Dutm_source%253Dtest_source%2526utm_medium%253Dads&amp;Campaign+Date=02%2F20%2F25&amp;Campaign+Time=15%3A29%3A07&amp;en_txn6=Country%3A+USA&amp;en_txn7=CaseNumber%3A+4.25+USA&amp;en_txn8=Topic%3A+Individuals+At+Risk%2C+Refugee+and+Migrant+Rights&amp;en_txn10=YearType%3A+2025%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</si>
  <si>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STOP+PERSECUTING+VENEZUELAN+NGO&amp;page_url_params=utm_source%3Dutm_source%253Dtest_source%2526utm_medium%253Dads&amp;Campaign+Date=12%2F12%2F24&amp;Campaign+Time=03%3A08%3A38&amp;en_txn6=Country%3A+Venezuela&amp;en_txn7=CaseNumber%3A+97.24+Venezuela&amp;en_txn8=Topic%3A+Freedom+of+Expression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</si>
  <si>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LAWYER%E2%80%99S+HEALTH+AT+RISK&amp;page_url_params=utm_source%3Dutm_source%253Dtest_source%2526utm_medium%253Dads&amp;Campaign+Date=12%2F12%2F24&amp;Campaign+Time=03%3A03%3A09&amp;en_txn6=Country%3A+Egypt&amp;en_txn7=CaseNumber%3A+Ninth+190.18+Egypt&amp;en_txn8=Topic%3A+Freedom+of+Expression%2C+Individuals+At+Risk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</si>
  <si>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KURDISH+DISSIDENT+SENTENCED+TO+DEATH+IN+IRAN&amp;page_url_params=utm_source%3Dutm_source%253Dtest_source%2526utm_medium%253Dads&amp;Campaign+Date=01%2F06%2F25&amp;Campaign+Time=05%3A35%3A19&amp;en_txn6=Country%3A+Iran&amp;en_txn7=CaseNumber%3A+101.24+Iran&amp;en_txn8=Topic%3A+Death+Penalty%2C+Freedom+of+Expression%2C+Individuals+At+Risk%2C+Right+to+Protest&amp;en_txn10=YearType%3A+2024%2C+Email&amp;color=%23f26722&amp;height=422</t>
  </si>
  <si>
    <t>rgrooms321@gmail.com</t>
  </si>
  <si>
    <t>https://act.amnestyusa.org/page/153818/petition/1?email_text=Thank+you+for+your+support%21&amp;email_cta_text=Take+Action&amp;email_cta_url=https%3A%2F%2Fwww.amnestyusa.org&amp;submit_btn_text=Get+the+sample+letter&amp;page_title=UNJUSTLY+JAILED+LAWYER%E2%80%99S+HEALTH+AT+RISK&amp;page_url_params=utm_source%3Dutm_source%253Dtest_source%2526utm_medium%253Dads&amp;Campaign+Date=12%2F27%2F24&amp;Campaign+Time=01%3A12%3A19&amp;en_txn6=Country%3A+Egypt&amp;en_txn7=CaseNumber%3A+Ninth+190.18+Egypt&amp;en_txn8=Topic%3A+Freedom+of+Expression%2C+Individuals+At+Risk&amp;en_txn10=YearType%3A+2024%2C+Letter&amp;color=%23f26722&amp;height=422</t>
  </si>
  <si>
    <t>pobriensubscribe@gmail.com</t>
  </si>
  <si>
    <t>colleranbarbara@gmail.com</t>
  </si>
  <si>
    <t>https://act.amnestyusa.org/page/153818/petition/1?submit_btn_text=Get+the+sample+letter&amp;page_title=RELEASE+PEDIATRICIAN+AND+HOSPITAL+DIRECTOR+%5BIOPT+3.25%5D&amp;page_url_params=utm_source%3Dutm_source%253Dtest_source%2526utm_medium%253Dads&amp;Campaign+Date=01%2F27%2F25&amp;Campaign+Time=18%3A46%3A57&amp;en_txn6=Country%3A+Israel+and+Occupied+Palestinian+Territories&amp;en_txn7=CaseNumber%3A+3.25+IOPT&amp;en_txn8=Topic%3A+Freedom+of+Expression%2C+Individuals+At+Risk&amp;en_txn10=YearType%3A+2025%2C+Email&amp;color=%23f26722&amp;height=422</t>
  </si>
  <si>
    <t>jthomas581@aol.com</t>
  </si>
  <si>
    <t>https://donate.amnestyusa.org/page/157642/subscribe/1?_gl=1*1yimkj7*_gcl_au*MTQ2Nzk0MDg1NS4xNzI4MTM2MjIz&amp;color=%23252525</t>
  </si>
  <si>
    <t>https://act.amnestyusa.org/page/153818/petition/1?email_text=Thank+you+for+your+support%21&amp;email_cta_text=Take+Action&amp;email_cta_url=https%3A%2F%2Fwww.amnestyusa.org&amp;submit_btn_text=Get+the+sample+letter&amp;page_title=IMPRISONED+POET+IS+AT+RISK+OF+TORTURE&amp;page_url_params=utm_source%3Dutm_source%253Dtest_source%2526utm_medium%253Dads&amp;Campaign+Date=01%2F13%2F25&amp;Campaign+Time=21%3A44%3A32&amp;en_txn6=Country%3A+Russian+Federation&amp;en_txn7=CaseNumber%3A+102.24+Russia&amp;en_txn8=Topic%3A+Freedom+of+Expression%2C+Individuals+At+Risk%2C+Right+to+Protest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</si>
  <si>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ELEASE+PAEDIATRICIAN+AND+HOSPITAL+DIRECTOR&amp;page_url_params=utm_source%3Dutm_source%253Dtest_source%2526utm_medium%253Dads&amp;Campaign+Date=01%2F14%2F25&amp;Campaign+Time=22%3A31%3A45&amp;en_txn6=Country%3A+Israel+and+Occupied+Palestinian+Territories&amp;en_txn7=CaseNumber%3A+3.25+IOPT&amp;en_txn8=Topic%3A+Freedom+of+Expression%2C+Individuals+At+Risk&amp;en_txn10=YearType%3A+2025%2C+Email&amp;color=%23f26722&amp;height=422&amp;fbclid=IwZXh0bgNhZW0BMQABHcVjdhVVMWdwr33nHg6Qkme4Eh9k3YXSKGFhKTFDxTwsotwrVIeH-Dccbg_aem_NhiSAUoZeQoqbbivo2AA7w</t>
  </si>
  <si>
    <t>https://act.amnestyusa.org/page/153818/petition/1?email_text=Thank+you+for+your+support%21&amp;email_cta_text=Take+Action&amp;email_cta_url=https%3A%2F%2Fwww.amnestyusa.org&amp;submit_btn_text=Get+the+sample+letter&amp;page_title=RELEASE+PAEDIATRICIAN+AND+HOSPITAL+DIRECTOR&amp;page_url_params=utm_source%3Dutm_source%253Dtest_source%2526utm_medium%253Dads&amp;Campaign+Date=01%2F14%2F25&amp;Campaign+Time=22%3A31%3A45&amp;en_txn6=Country%3A+Israel+and+Occupied+Palestinian+Territories&amp;en_txn7=CaseNumber%3A+3.25+IOPT&amp;en_txn8=Topic%3A+Freedom+of+Expression%2C+Individuals+At+Risk&amp;en_txn10=YearType%3A+2025%2C+Email&amp;color=%23f26722&amp;height=422&amp;fbclid=IwZXh0bgNhZW0CMTEAAR2vtHhsHkQQl1T-PZV5EtoSVZ_3clmsG9K9HA6cRPxqKfWscitl4zYFTkc_aem_MYg8ivgxXOJDRxC3gEG3ZA</t>
  </si>
  <si>
    <t>https://donate.amnestyusa.org/page/157642/subscribe/1?_gl=1*1abswc3*_gcl_au*MTIwMTkzNjkwLjE3Mzc3NTk4MDM.&amp;color=%23252525</t>
  </si>
  <si>
    <t>andigherard@gmail.com</t>
  </si>
  <si>
    <t>kramere1@go.stockton.edu</t>
  </si>
  <si>
    <t>https://act.amnestyusa.org/page/153818/petition/1?submit_btn_text=Get+the+sample+letter&amp;page_title=OLDER+SUFI+SHEIKH+FORCIBLY+DISAPPEARED+FOR+A+YEAR+%5BLibya+12.25%5D&amp;page_url_params=utm_source%3Dutm_source%253Dtest_source%2526utm_medium%253Dads&amp;Campaign+Date=02%2F18%2F25&amp;Campaign+Time=19%3A16%3A36&amp;en_txn6=Country%3A+Libya&amp;en_txn7=CaseNumber%3A+12.25+Libya&amp;en_txn8=Topic%3A+Freedom+of+Expression%2C+Health%2C+Individuals+At+Risk&amp;en_txn10=YearType%3A+2025%2C+Email&amp;color=%23f26722&amp;height=422</t>
  </si>
  <si>
    <t>https://act.amnestyusa.org/page/153818/petition/1?submit_btn_text=Get+the+sample+letter&amp;page_title=FREE+IMPRISONED+HUMAN+RIGHTS+DEFENDER&amp;page_url_params=utm_source%3Dutm_source%253Dtest_source%2526utm_medium%253Dads&amp;Campaign+Date=02%2F03%2F25&amp;Campaign+Time=21%3A28%3A04&amp;en_txn6=Country%3A+Turkiye&amp;en_txn7=CaseNumber%3A+Second+109.24+T%C3%BCrkiye&amp;en_txn8=Topic%3A+Human+Rights+Defenders&amp;en_txn10=YearType%3A+2025%2C+Email&amp;color=%23f26722&amp;height=422</t>
  </si>
  <si>
    <t>https://act.amnestyusa.org/page/153818/petition/1?submit_btn_text=Get+the+sample+letter&amp;page_title=UNJUSTLY+JAILED+LAWYER+TREATED+INHUMANELY&amp;page_url_params=utm_source%3Dutm_source%253Dtest_source%2526utm_medium%253Dads&amp;Campaign+Date=02%2F04%2F25&amp;Campaign+Time=13%3A46%3A15&amp;en_txn6=Country%3A+Tunisia&amp;en_txn7=CaseNumber%3A+Second+43.24+Tunisia&amp;en_txn8=Topic%3A+Freedom+of+Expression%2C+Individuals+At+Risk&amp;en_txn10=YearType%3A+2024%2C+Email&amp;color=%23f26722&amp;height=422</t>
  </si>
  <si>
    <t>https://act.amnestyusa.org/page/153818/petition/1?submit_btn_text=Get+the+sample+letter&amp;page_title=UNJUSTLY+JAILED+RIGHTS+LAWYER+REFERRED+TO+TRIAL+%5BEgypt+Second+UA+80.23%5D&amp;page_url_params=utm_source%3Dutm_source%253Dtest_source%2526utm_medium%253Dads&amp;Campaign+Date=02%2F06%2F25&amp;Campaign+Time=21%3A19%3A03&amp;en_txn6=Country%3A+Egypt&amp;en_txn7=CaseNumber%3A+Second+80.23+Egypt&amp;en_txn8=Topic%3A+Health%2C+Individuals+At+Risk&amp;en_txn10=YearType%3A+2025%2C+Email&amp;color=%23f26722&amp;height=422</t>
  </si>
  <si>
    <t>https://act.amnestyusa.org/page/153818/petition/1?submit_btn_text=Get+the+sample+letter&amp;page_title=HUMAN+RIGHTS+DEFENDER+IMPRISONED&amp;page_url_params=utm_source%3Dutm_source%253Dtest_source%2526utm_medium%253Dads&amp;Campaign+Date=02%2F06%2F25&amp;Campaign+Time=09%3A53%3A09&amp;en_txn6=Country%3A+Turkiye&amp;en_txn7=CaseNumber%3A+109.24+T%C3%BCrkiye&amp;en_txn8=Topic%3A+Human+Rights+Defenders%2C+Individuals+At+Risk&amp;en_txn10=YearType%3A+2024%2C+Email&amp;color=%23f26722&amp;height=422</t>
  </si>
  <si>
    <t>kmayers@sfc.edu</t>
  </si>
  <si>
    <t>neillh53@westriv.com</t>
  </si>
  <si>
    <t>https://act.amnestyusa.org/page/153818/petition/1?submit_btn_text=Get+the+sample+letter&amp;page_title=HUMAN+RIGHTS+DEFENDER+ON+HUNGER+STRIKE+%5BSecond+UA+76.24+Tunisia%5D&amp;page_url_params=utm_source%3Dutm_source%253Dtest_source%2526utm_medium%253Dads&amp;Campaign+Date=02%2F24%2F25&amp;Campaign+Time=19%3A30%3A59&amp;en_txn6=Country%3A+Tunisia&amp;en_txn7=CaseNumber%3A+Second+76.24+Tunisia&amp;en_txn8=Topic%3A+Freedom+of+Expression%2C+Human+Rights+Defenders&amp;en_txn10=YearType%3A+2025%2C+Email&amp;color=%23f26722&amp;height=422</t>
  </si>
  <si>
    <t>alchemistkat@gmail.com</t>
  </si>
  <si>
    <t>https://act.amnestyusa.org/page/153818/petition/1?val&amp;submit_btn_text=Get+the+sample+letter&amp;page_title=HUMAN+RIGHTS+DEFENDER+ON+HUNGER+STRIKE+%5BSecond+UA+76.24+Tunisia%5D&amp;page_url_params=utm_source%3Dutm_source%253Dtest_source%2526utm_medium%253Dads&amp;Campaign+Date=01%2F31%2F25&amp;Campaign+Time=19%3A55%3A51&amp;en_txn6=Country%3A+Tunisia&amp;en_txn7=CaseNumber%3A+Second+76.24+Tunisia&amp;en_txn8=Topic%3A+Freedom+of+Expression%2C+Human+Rights+Defenders&amp;en_txn10=YearType%3A+2025%2C+Email&amp;color=%23f26722&amp;height=422</t>
  </si>
  <si>
    <t>https://donate.amnestyusa.org/page/157642/subscribe/1?_gl=1*70m8k1*_gcl_au*MjA4Nzk1MjY1Ni4xNzM3NTE4MjAx&amp;color=%23252525</t>
  </si>
  <si>
    <t>dmontgomery9812@gmail.com</t>
  </si>
  <si>
    <t>https://act.amnestyusa.org/page/153818/petition/1?email_text=Thank+you+for+your+support%21&amp;email_cta_text=Take+Action&amp;email_cta_url=https%3A%2F%2Fwww.amnestyusa.org&amp;submit_btn_text=Get+the+sample+letter&amp;page_title=UNJUSTLY+JAILED+LAWYER+TREATED+INHUMANELY&amp;page_url_params=utm_source%3Dutm_source%253Dtest_source%2526utm_medium%253Dads&amp;Campaign+Date=01%2F07%2F25&amp;Campaign+Time=21%3A10%3A08&amp;en_txn6=Country%3A+Tunisia&amp;en_txn7=CaseNumber%3A+Second+43.24+Tunisia&amp;en_txn8=Topic%3A+Freedom+of+Expression%2C+Individuals+At+Risk&amp;en_txn10=YearType%3A+2024%2C+Email&amp;color=%23f26722&amp;height=422</t>
  </si>
  <si>
    <t>https://act.amnestyusa.org/page/153818/petition/1?submit_btn_text=Get+the+sample+letter&amp;page_title=RELEASE+PEDIATRICIAN+AND+HOSPITAL+DIRECTOR+%5BIOPT+3.25%5D&amp;page_url_params=utm_source%3Dutm_source%253Dtest_source%2526utm_medium%253Dads&amp;Campaign+Date=02%2F13%2F25&amp;Campaign+Time=18%3A49%3A54&amp;en_txn6=Country%3A+Israel+and+Occupied+Palestinian+Territories&amp;en_txn7=CaseNumber%3A+3.25+IOPT&amp;en_txn8=Topic%3A+Freedom+of+Expression%2C+Individuals+At+Risk&amp;en_txn10=YearType%3A+2025%2C+Email&amp;color=%23f26722&amp;height=422</t>
  </si>
  <si>
    <t>https://act.amnestyusa.org/page/153818/petition/1?submit_btn_text=Get+the+sample+letter&amp;page_title=RELEASE+PEDIATRICIAN+AND+HOSPITAL+DIRECTOR+%5BIOPT+3.25%5D&amp;page_url_params=utm_source%3Dutm_source%253Dtest_source%2526utm_medium%253Dads&amp;Campaign+Date=02%2F07%2F25&amp;Campaign+Time=04%3A37%3A22&amp;en_txn6=Country%3A+Israel+and+Occupied+Palestinian+Territories&amp;en_txn7=CaseNumber%3A+3.25+IOPT&amp;en_txn8=Topic%3A+Freedom+of+Expression%2C+Individuals+At+Risk&amp;en_txn10=YearType%3A+2025%2C+Email&amp;color=%23f26722&amp;height=422</t>
  </si>
  <si>
    <t>https://act.amnestyusa.org/page/153818/petition/1?submit_btn_text=Get+the+sample+letter&amp;page_title=HUMAN+RIGHTS+DEFENDER+ON+HUNGER+STRIKE+%5BSecond+UA+76.24+Tunisia%5D&amp;page_url_params=utm_source%3Dutm_source%253Dtest_source%2526utm_medium%253Dads&amp;Campaign+Date=02%2F06%2F25&amp;Campaign+Time=14%3A33%3A58&amp;en_txn6=Country%3A+Tunisia&amp;en_txn7=CaseNumber%3A+Second+76.24+Tunisia&amp;en_txn8=Topic%3A+Freedom+of+Expression%2C+Human+Rights+Defenders&amp;en_txn10=YearType%3A+2025%2C+Email&amp;color=%23f26722&amp;height=422</t>
  </si>
  <si>
    <t>https://act.amnestyusa.org/page/153818/petition/1?submit_btn_text=Get+the+sample+letter&amp;page_title=PEOPLE+SEEKING+SAFETY+AT+RISK+IN+THE+USA+%5BUSA+4.25%5D&amp;page_url_params=utm_source%3Dutm_source%253Dtest_source%2526utm_medium%253Dads&amp;Campaign+Date=02%2F06%2F25&amp;Campaign+Time=14%3A42%3A06&amp;en_txn6=Country%3A+USA&amp;en_txn7=CaseNumber%3A+4.25+USA&amp;en_txn8=Topic%3A+Individuals+At+Risk%2C+Refugee+and+Migrant+Rights&amp;en_txn10=YearType%3A+2025%2C+Letter&amp;color=%23f26722&amp;height=422</t>
  </si>
  <si>
    <t>casey86@protonmail.com</t>
  </si>
  <si>
    <t>ebonyqueenvocalist@yahoo.com</t>
  </si>
  <si>
    <t>https://act.amnestyusa.org/page/153818/petition/1?email_text=Thank+you+for+your+support%21&amp;email_cta_text=Take+Action&amp;email_cta_url=https%3A%2F%2Fwww.amnestyusa.org&amp;submit_btn_text=Get+the+sample+letter&amp;page_title=Stop+the+Execution+of+Carey+Grayson&amp;page_url_params=utm_source%3Dutm_source%253Dtest_source%2526utm_medium%253Dads&amp;Campaign+Date=11%2F19%2F24&amp;Campaign+Time=07%3A37%3A54&amp;Country=USA&amp;CaseNumber=96.24+USA&amp;Topic=Death+Penalty&amp;YearType=2024%2C+Email&amp;color=%23f26722&amp;height=422&amp;fbclid=IwZXh0bgNhZW0CMTEAAR02IJ0jxVVLOX_wUCFTauRDVUKUXVCU36tDzj325346RxSl3o0V2eKBg_U_aem_LiwUDtifjvWMd4WJYatQ_A</t>
  </si>
  <si>
    <t>https://act.amnestyusa.org/page/153818/petition/1?submit_btn_text=Get+the+sample+letter&amp;page_title=FREE+IMPRISONED+HUMAN+RIGHTS+DEFENDER&amp;page_url_params=utm_source%3Dutm_source%253Dtest_source%2526utm_medium%253Dads&amp;Campaign+Date=02%2F14%2F25&amp;Campaign+Time=16%3A52%3A26&amp;en_txn6=Country%3A+Turkiye&amp;en_txn7=CaseNumber%3A+Second+109.24+T%C3%BCrkiye&amp;en_txn8=Topic%3A+Human+Rights+Defenders&amp;en_txn10=YearType%3A+2025%2C+Email&amp;color=%23f26722&amp;height=422</t>
  </si>
  <si>
    <t>https://act.amnestyusa.org/page/153818/petition/1?submit_btn_text=Get+the+sample+letter&amp;page_title=RISKS+OF+FURTHER+PROTEST-RELATED+EXECUTIONS&amp;page_url_params=utm_source%3Dutm_source%253Dtest_source%2526utm_medium%253Dads&amp;Campaign+Date=02%2F14%2F25&amp;Campaign+Time=18%3A41%3A51&amp;en_txn6=Country%3A+Iran&amp;en_txn7=CaseNumber%3A+Seventh+103.22+Iran&amp;en_txn8=Topic%3A+Death+Penalty%2C+Freedom+of+Expression%2C+Individuals+At+Risk&amp;en_txn10=YearType%3A+2024%2C+Email&amp;color=%23f26722&amp;height=422</t>
  </si>
  <si>
    <t>https://act.amnestyusa.org/page/153818/petition/1?submit_btn_text=Get+the+sample+letter&amp;page_title=KURDISH+DISSIDENT+SENTENCED+TO+DEATH+IN+IRAN&amp;page_url_params=utm_source%3Dutm_source%253Dtest_source%2526utm_medium%253Dads&amp;Campaign+Date=02%2F14%2F25&amp;Campaign+Time=18%3A46%3A55&amp;en_txn6=Country%3A+Iran&amp;en_txn7=CaseNumber%3A+101.24+Iran&amp;en_txn8=Topic%3A+Death+Penalty%2C+Freedom+of+Expression%2C+Individuals+At+Risk%2C+Right+to+Protest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</si>
  <si>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ELEASE+PAEDIATRICIAN+AND+HOSPITAL+DIRECTOR&amp;page_url_params=utm_source%3Dutm_source%253Dtest_source%2526utm_medium%253Dads&amp;Campaign+Date=01%2F14%2F25&amp;Campaign+Time=22%3A03%3A18&amp;en_txn6=Country%3A+Israel+and+Occupied+Palestinian+Territories&amp;en_txn7=CaseNumber%3A+3.25+IOPT&amp;en_txn8=Topic%3A+Freedom+of+Expression%2C+Individuals+At+Risk&amp;en_txn10=YearType%3A+2025%2C+Email&amp;color=%23f26722&amp;height=422&amp;fbclid=IwZXh0bgNhZW0CMTAAAR3vGuLi3hdZVIbM3n0tRK5xCg-uACkqn_C0L3-nUUw7SiE8WWCx0Kqjze8_aem_mjwsthAbNR3Q0kqvMDnwTQ</t>
  </si>
  <si>
    <t>https://act.amnestyusa.org/page/153818/petition/1?submit_btn_text=Get+the+sample+letter&amp;page_title=PEOPLE+SEEKING+SAFETY+AT+RISK+IN+THE+USA+%5BUSA+4.25%5D&amp;page_url_params=utm_source%3Dutm_source%253Dtest_source%2526utm_medium%253Dads&amp;Campaign+Date=02%2F20%2F25&amp;Campaign+Time=15%3A21%3A39&amp;en_txn6=Country%3A+USA&amp;en_txn7=CaseNumber%3A+4.25+USA&amp;en_txn8=Topic%3A+Individuals+At+Risk%2C+Refugee+and+Migrant+Rights&amp;en_txn10=YearType%3A+2025%2C+Letter&amp;color=%23f26722&amp;height=422</t>
  </si>
  <si>
    <t>https://act.amnestyusa.org/page/153818/petition/1?submit_btn_text=Get+the+sample+letter&amp;page_title=PEOPLE+SEEKING+SAFETY+AT+RISK+IN+THE+USA+%5BUSA+4.25%5D&amp;page_url_params=utm_source%3Dutm_source%253Dtest_source%2526utm_medium%253Dads&amp;Campaign+Date=02%2F07%2F25&amp;Campaign+Time=17%3A14%3A48&amp;en_txn6=Country%3A+USA&amp;en_txn7=CaseNumber%3A+4.25+USA&amp;en_txn8=Topic%3A+Individuals+At+Risk%2C+Refugee+and+Migrant+Rights&amp;en_txn10=YearType%3A+2025%2C+Letter&amp;color=%23f26722&amp;height=422</t>
  </si>
  <si>
    <t>https://act.amnestyusa.org/page/153818/petition/1?submit_btn_text=Get+the+sample+letter&amp;page_title=STOP+PERSECUTING+VENEZUELAN+NGO&amp;page_url_params=utm_source%3Dutm_source%253Dtest_source%2526utm_medium%253Dads&amp;Campaign+Date=01%2F26%2F25&amp;Campaign+Time=13%3A11%3A42&amp;en_txn6=Country%3A+Venezuela&amp;en_txn7=CaseNumber%3A+97.24+Venezuela&amp;en_txn8=Topic%3A+Freedom+of+Expression&amp;en_txn10=YearType%3A+2024%2C+Letter&amp;color=%23f26722&amp;height=422</t>
  </si>
  <si>
    <t>https://act.amnestyusa.org/page/153818/petition/1?submit_btn_text=Get+the+sample+letter&amp;page_title=STOP+EXTRADITION+OF+TORTURE+SURVIVOR+TO+EGYPT&amp;page_url_params=utm_source%3Dutm_source%253Dtest_source%2526utm_medium%253Dads&amp;Campaign+Date=01%2F26%2F25&amp;Campaign+Time=13%3A55%3A49&amp;en_txn6=Country%3A+Saudi+Arabia&amp;en_txn7=CaseNumber%3A+104.24+Saudi+Arabia&amp;en_txn8=Topic%3A+Individuals+At+Risk%2C+Refugee+and+Migrant+Rights&amp;en_txn10=YearType%3A+2024%2C+Email&amp;color=%23f26722&amp;height=422</t>
  </si>
  <si>
    <t>https://act.amnestyusa.org/page/153818/petition/1?submit_btn_text=Get+the+sample+letter&amp;page_title=FREE+VENEZUELAN+HUMAN+RIGHTS+DEFENDERS&amp;page_url_params=utm_source%3Dutm_source%253Dtest_source%2526utm_medium%253Dads&amp;Campaign+Date=01%2F26%2F25&amp;Campaign+Time=13%3A44%3A58&amp;en_txn6=Country%3A+Venezuela&amp;en_txn7=CaseNumber%3A+1.25+Venezuela&amp;en_txn8=Topic%3A+Human+Rights+Defenders%2C+Individuals+At+Risk&amp;en_txn10=YearType%3A+2025%2C+Letter&amp;color=%23f26722&amp;height=422</t>
  </si>
  <si>
    <t>jwalsh2611@gmail.com</t>
  </si>
  <si>
    <t>bryancolombo@gmail.com</t>
  </si>
  <si>
    <t>https://act.amnestyusa.org/page/153818/petition/1?email_text=Thank+you+for+your+support%21&amp;email_cta_text=Take+Action&amp;email_cta_url=https%3A%2F%2Fwww.amnestyusa.org&amp;submit_btn_text=Get+the+sample+letter&amp;page_title=Stop+the+Execution+of+Carey+Grayson&amp;page_url_params=utm_source%3Dutm_source%253Dtest_source%2526utm_medium%253Dads&amp;Campaign+Date=11%2F18%2F24&amp;Campaign+Time=21%3A02%3A39&amp;Country=USA&amp;CaseNumber=96.24+USA&amp;Topic=Death+Penalty&amp;YearType=2024%2C+Email&amp;color=%23f26722&amp;height=422</t>
  </si>
  <si>
    <t>junebsc@gmail.com</t>
  </si>
  <si>
    <t>https://act.amnestyusa.org/page/153818/petition/1?email_text=Thank+you+for+your+support%21&amp;email_cta_text=Take+Action&amp;email_cta_url=https%3A%2F%2Fwww.amnestyusa.org&amp;submit_btn_text=Get+the+sample+letter&amp;page_title=PROMINENT+HUMAN+RIGHTS+DEFENDER+DETAINED&amp;page_url_params=utm_source%3Dutm_source%253Dtest_source%2526utm_medium%253Dads&amp;Campaign+Date=12%2F31%2F24&amp;Campaign+Time=06%3A38%3A17&amp;en_txn6=Country%3A+Niger&amp;en_txn7=CaseNumber%3A+103.24+Niger&amp;en_txn8=Topic%3A+Freedom+of+Expression%2C+Human+Rights+Defenders&amp;en_txn10=YearType%3A+2024%2C+Email&amp;color=%23f26722&amp;height=422</t>
  </si>
  <si>
    <t>mobile:N~tablet:N~device:APPLE~os:Mac OS X~browser:Firefox 7</t>
  </si>
  <si>
    <t>cubalake1222@gmail.com</t>
  </si>
  <si>
    <t>mobile:Y~tablet:N~device:GOOGLE~os:Android 8.x~browser:Chrome Mobile</t>
  </si>
  <si>
    <t>https://act.amnestyusa.org/page/153818/petition/1?email_text=Thank+you+for+your+support%21&amp;email_cta_text=Take+Action&amp;email_cta_url=https%3A%2F%2Fwww.amnestyusa.org&amp;submit_btn_text=Get+the+sample+letter&amp;page_title=UNJUSTLY+JAILED+LAWYER%E2%80%99S+HEALTH+AT+RISK&amp;page_url_params=utm_source%3Dutm_source%253Dtest_source%2526utm_medium%253Dads&amp;Campaign+Date=11%2F26%2F24&amp;Campaign+Time=21%3A34%3A04&amp;en_txn6=Country%3A+Egypt&amp;en_txn7=CaseNumber%3A+Ninth+190.18+Egypt&amp;en_txn8=Topic%3A+Freedom+of+Expression%2C+Individuals+At+Risk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</si>
  <si>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End+Racist+Deportations+of+Haitians&amp;page_url_params=utm_source%3Dutm_source%253Dtest_source%2526utm_medium%253Dads&amp;Campaign+Date=11%2F28%2F24&amp;Campaign+Time=13%3A17%3A42&amp;en_txn6=Country%3A+Dominican+Republic&amp;en_txn7=CaseNumber%3A+88.24+Dominican+Republic&amp;en_txn8=Topic%3A+Individuals+At+Risk%2C+Refugee+and+Migrant+Rights&amp;en_txn10=YearType%3A+2024%2C+Letter&amp;color=%23f26722&amp;height=422</t>
  </si>
  <si>
    <t>dianepaul475@gmail.com</t>
  </si>
  <si>
    <t>bryan@4sitestudios.com</t>
  </si>
  <si>
    <t>https://act.amnestyusa.org/page/153818/petition/1?email_text=Thank+you+for+your+support%21&amp;email_cta_text=Take+Action&amp;email_cta_url=https%3A%2F%2Fwww.amnestyusa.org&amp;submit_btn_text=ADD+MY+NAME&amp;page_title=Parent+Page+Title&amp;page_id=99999&amp;page_url_params=utm_source%3Dutm_source%3Dtest_source%26utm_medium%3Dads&amp;color=%23f26722&amp;height=422px</t>
  </si>
  <si>
    <t>https://act.amnestyusa.org/page/153818/petition/1?email_text=Thank+you+for+your+support%21&amp;email_cta_text=Take+Action&amp;email_cta_url=https%3A%2F%2Fwww.amnestyusa.org&amp;submit_btn_text=ADD+MY+NAME&amp;page_title=Parent+Page+Title&amp;page_id=99999&amp;page_url_params=utm_source%3Dutm_source%3Dtest_source%26utm_medium%3Dads&amp;color=%23f26722&amp;height=422&amp;debug=true</t>
  </si>
  <si>
    <t>https://act.amnestyusa.org/page/153818/petition/1?val&amp;val&amp;email_text=Thank+you+for+your+support%21&amp;email_cta_text=Take+Action&amp;email_cta_url=https%3A%2F%2Fwww.amnestyusa.org&amp;submit_btn_text=ADD+MY+NAME&amp;page_title=Parent+Page+Title&amp;page_id=99999&amp;page_url_params=utm_source%3Dutm_source%3Dtest_source%26utm_medium%3Dads&amp;color=%23f26722&amp;height=422</t>
  </si>
  <si>
    <t>https://act.amnestyusa.org/page/153818/petition/1?email_text=Thank+you+for+your+support%21&amp;email_cta_text=Take+Action&amp;email_cta_url=https%3A%2F%2Fwww.amnestyusa.org&amp;submit_btn_text=ADD+MY+NAME&amp;page_title=Parent+Page+Title&amp;page_id=99999&amp;page_url_params=utm_source%3Dutm_source%3Dtest_source%26utm_medium%3Dads&amp;color=%23f26722&amp;height=500px&amp;preview_id=104143&amp;preview_nonce=4856cf9c51&amp;preview=true</t>
  </si>
  <si>
    <t>https://act.amnestyusa.org/page/153818/petition/1?email_text=Thank+you+for+your+support%21&amp;email_cta_text=Take+Action&amp;email_cta_url=https%3A%2F%2Fwww.amnestyusa.org&amp;submit_btn_text=Get+the+sample+letter&amp;page_title=End+Racist+Deportations+of+Haitians&amp;page_url_params=utm_source%3Dutm_source%253Dtest_source%2526utm_medium%253Dads&amp;Campaign+Date=11%2F19%2F24&amp;Campaign+Time=18%3A05%3A20&amp;Country=Dominican+Republic&amp;CaseNumber=88.24+Dominican+Republic&amp;Topic=Individuals+At+Risk%2C+Refugee+and+Migrant+Rights&amp;YearType=2024%2C+Letter&amp;color=%23f26722&amp;height=422</t>
  </si>
  <si>
    <t>https://act.amnestyusa.org/page/153818/petition/1?email_text=Thank%20you%20for%20your%20support!&amp;email_cta_text=Take%20Action&amp;email_cta_url=https://www.amnestyusa.org&amp;submit_btn_text=ADD%20MY%20NAME&amp;page_title=Parent%20Page%20Title&amp;page_id=99999&amp;page_url_params=utm_source=utm_source%3Dtest_source%26utm_medium%3Dads</t>
  </si>
  <si>
    <t>https://donate.amnestyusa.org/page/157642/subscribe/1?color=%23252525&amp;message=pantheon-cleared-url-cache</t>
  </si>
  <si>
    <t>https://donate.amnestyusa.org/page/157642/subscribe/1</t>
  </si>
  <si>
    <t>https://act.amnestyusa.org/page/153818/petition/1?email_text=Thank+you+for+your+support%21&amp;email_cta_text=Take+Action&amp;email_cta_url=https%3A%2F%2Fwww.amnestyusa.org&amp;submit_btn_text=Get+the+sample+letter&amp;page_title=INDIANA%E2%80%99S+FIRST+EXECUTION+IN+15+YEARS+LOOMS&amp;page_url_params=utm_source%3Dutm_source%253Dtest_source%2526utm_medium%253Dads&amp;Campaign+Date=12%2F12%2F24&amp;Campaign+Time=04%3A15%3A00&amp;en_txn6=Country%3A+USA&amp;en_txn7=CaseNumber%3A+105.24+USA&amp;en_txn8=Topic%3A+Death+Penalty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</si>
  <si>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LAWYER%E2%80%99S+HEALTH+AT+RISK&amp;page_url_params=utm_source%3Dutm_source%253Dtest_source%2526utm_medium%253Dads&amp;Campaign+Date=12%2F12%2F24&amp;Campaign+Time=09%3A59%3A25&amp;en_txn6=Country%3A+Egypt&amp;en_txn7=CaseNumber%3A+Ninth+190.18+Egypt&amp;en_txn8=Topic%3A+Freedom+of+Expression%2C+Individuals+At+Risk&amp;en_txn10=YearType%3A+2024%2C+Letter&amp;color=%23f26722&amp;height=422</t>
  </si>
  <si>
    <t>mabdelsatar@aiusacs.org</t>
  </si>
  <si>
    <t>https://act.amnestyusa.org/page/153818/petition/1?email_text=Thank+you+for+your+support%21&amp;email_cta_text=Take+Action&amp;email_cta_url=https%3A%2F%2Fwww.amnestyusa.org&amp;submit_btn_text=Get+the+sample+letter&amp;page_title=PROMINENT+ARTIST+ARRESTED+FOR+HIS+WORK&amp;page_url_params=utm_source%3Dutm_source%253Dtest_source%2526utm_medium%253Dads&amp;Campaign+Date=12%2F12%2F24&amp;Campaign+Time=21%3A10%3A30&amp;en_txn6=Country%3A+China&amp;en_txn7=CaseNumber%3A+106.24+China&amp;en_txn8=Topic%3A+Freedom+of+Expression%2C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</si>
  <si>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ELEASE+PAEDIATRICIAN+AND+HOSPITAL+DIRECTOR&amp;page_url_params=utm_source%3Dutm_source%253Dtest_source%2526utm_medium%253Dads&amp;Campaign+Date=01%2F14%2F25&amp;Campaign+Time=22%3A31%3A45&amp;en_txn6=Country%3A+Israel+and+</t>
  </si>
  <si>
    <t xml:space="preserve">Country: Israel and </t>
  </si>
  <si>
    <t>hannigan.terry@yahoo.com</t>
  </si>
  <si>
    <t>emilykramer02@yahoo.com</t>
  </si>
  <si>
    <t>nugraha@indietechsolutions.com</t>
  </si>
  <si>
    <t>https://act.amnestyusa.org/page/153818/petition/1?email_text=Thank+you+for+your+support%21&amp;email_cta_text=Take+Action&amp;email_cta_url=https%3A%2F%2Fwww.amnestyusa.org&amp;submit_btn_text=Get+the+sample+letter&amp;page_title=End+Racist+Deportations+of+Haitians&amp;page_url_params=utm_source%3Dutm_source%253Dtest_source%2526utm_medium%253Dads&amp;Campaign+Date=11%2F15%2F24&amp;Campaign+Time=16%3A44%3A21&amp;Country=Dominican+Republic&amp;CaseNumber=88.24+Dominican+Republic&amp;YearType=2024%2C+Letter&amp;color=%23f26722&amp;height=422</t>
  </si>
  <si>
    <t>wjced.dunedin@verizon.net</t>
  </si>
  <si>
    <t>sameenau@yahoo.com</t>
  </si>
  <si>
    <t>https://act.amnestyusa.org/page/153818/petition/1?submit_btn_text=Get+the+sample+letter&amp;page_title=RISKS+OF+FURTHER+PROTEST-RELATED+EXECUTIONS&amp;page_url_params=utm_source%3Dutm_source%253Dtest_source%2526utm_medium%253Dads&amp;Campaign+Date=02%2F17%2F25&amp;Campaign+Time=17%3A59%3A42&amp;en_txn6=Country%3A+Iran&amp;en_txn7=CaseNumber%3A+Seventh+103.22+Iran&amp;en_txn8=Topic%3A+Death+Penalty%2C+Freedom+of+Expression%2C+Individuals+At+Risk&amp;en_txn10=YearType%3A+2024%2C+Email&amp;color=%23f26722&amp;height=422</t>
  </si>
  <si>
    <t>https://act.amnestyusa.org/page/153818/petition/1?submit_btn_text=Get+the+sample+letter&amp;page_title=RISKS+OF+FURTHER+PROTEST-RELATED+EXECUTIONS&amp;page_url_params=utm_source%3Dutm_source%253Dtest_source%2526utm_medium%253Dads&amp;Campaign+Date=02%2F20%2F25&amp;Campaign+Time=16%3A11%3A45&amp;en_txn6=Country%3A+Iran&amp;en_txn7=CaseNumber%3A+Seventh+103.22+Iran&amp;en_txn8=Topic%3A+Death+Penalty%2C+Freedom+of+Expression%2C+Individuals+At+Risk&amp;en_txn10=YearType%3A+2024%2C+Email&amp;color=%23f26722&amp;height=422</t>
  </si>
  <si>
    <t>meganjrader@gmail.com</t>
  </si>
  <si>
    <t>https://act.amnestyusa.org/page/153818/petition/1?email_text=Thank+you+for+your+support%21&amp;email_cta_text=Take+Action&amp;email_cta_url=https%3A%2F%2Fwww.amnestyusa.org&amp;submit_btn_text=Get+the+sample+letter&amp;page_title=KURDISH+DISSIDENT+SENTENCED+TO+DEATH+IN+IRAN&amp;page_url_params=utm_source%3Dutm_source%253Dtest_source%2526utm_medium%253Dads&amp;Campaign+Date=01%2F17%2F25&amp;Campaign+Time=19%3A58%3A58&amp;en_txn6=Country%3A+Iran&amp;en_txn7=CaseNumber%3A+101.24+Iran&amp;en_txn8=Topic%3A+Death+Penalty%2C+Freedom+of+Expression%2C+Individuals+At+Risk%2C+Right+to+Protest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</si>
  <si>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OPPOSITION+POLITICIAN+CHARGED+AFTER+ABDUCTION&amp;page_url_params=utm_source%3Dutm_source%253Dtest_source%2526utm_medium%253Dads&amp;Campaign+Date=01%2F17%2F25&amp;Campaign+Time=19%3A58%3A51&amp;en_txn6=Country%3A+Uganda&amp;en_txn7=CaseNumber%3A+100.24+Uganda&amp;en_txn8=Topic%3A+Freedom+of+Expression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</si>
  <si>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IMPRISONED+POET+IS+AT+RISK+OF+TORTURE&amp;page_url_params=utm_source%3Dutm_source%253Dtest_source%2526utm_medium%253Dads&amp;Campaign+Date=01%2F17%2F25&amp;Campaign+Time=19%3A23%3A27&amp;en_txn6=Country%3A+Russian+Federation&amp;en_txn7=CaseNumber%3A+102.24+Russia&amp;en_txn8=Topic%3A+Freedom+of+Expression%2C+Individuals+At+Risk%2C+Right+to+Protest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</si>
  <si>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POLITICIAN%E2%80%99S+SON%E2%80%99S+HEALTH+AT+RISK&amp;page_url_params=utm_source%3Dutm_source%253Dtest_source%2526utm_medium%253Dads&amp;Campaign+Date=01%2F17%2F25&amp;Campaign+Time=19%3A58%3A37&amp;en_txn6=Country%3A+Egypt&amp;en_txn7=CaseNumber%3A+Fourth+29.23+Egypt&amp;en_txn8=Topic%3A+Freedom+of+Expression%2C+Individuals+At+Risk%2C+Right+to+Protest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</si>
  <si>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STOP+EXTRADITION+OF+TORTURE+SURVIVOR+TO+EGYPT&amp;page_url_params=utm_source%3Dutm_source%253Dtest_source%2526utm_medium%253Dads&amp;Campaign+Date=01%2F17%2F25&amp;Campaign+Time=19%3A58%3A30&amp;en_txn6=Country%3A+Saudi+Arabia&amp;en_txn7=CaseNumber%3A+104.24+Saudi+Arabia&amp;en_txn8=Topic%3A+Individuals+At+Risk%2C+Refugee+and+Migrant+Rights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</si>
  <si>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MALAYSIAN+MAN+BELIEVED+AT+RISK+OF+EXECUTION%C2%A0&amp;page_url_params=utm_source%3Dutm_source%253Dtest_source%2526utm_medium%253Dads&amp;Campaign+Date=01%2F17%2F25&amp;Campaign+Time=19%3A58%3A23&amp;en_txn6=Country%3A+Singapore&amp;en_txn7=CaseNumber%3A+107.24+Singapore&amp;en_txn8=Topic%3A+Death+Penalty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</si>
  <si>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PROMINENT+ARTIST+ARRESTED+FOR+HIS+WORK&amp;page_url_params=utm_source%3Dutm_source%253Dtest_source%2526utm_medium%253Dads&amp;Campaign+Date=01%2F17%2F25&amp;Campaign+Time=19%3A58%3A12&amp;en_txn6=Country%3A+China&amp;en_txn7=CaseNumber%3A+106.24+China&amp;en_txn8=Topic%3A+Freedom+of+Expression%2C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</si>
  <si>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LAWYER+TREATED+INHUMANELY&amp;page_url_params=utm_source%3Dutm_source%253Dtest_source%2526utm_medium%253Dads&amp;Campaign+Date=01%2F17%2F25&amp;Campaign+Time=19%3A58%3A01&amp;en_txn6=Country%3A+Tunisia&amp;en_txn7=CaseNumber%3A+Second+43.24+Tunisia&amp;en_txn8=Topic%3A+Freedom+of+Expression%2C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</si>
  <si>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HUMAN+RIGHTS+DEFENDER+IMPRISONED&amp;page_url_params=utm_source%3Dutm_source%253Dtest_source%2526utm_medium%253Dads&amp;Campaign+Date=01%2F17%2F25&amp;Campaign+Time=19%3A57%3A38&amp;en_txn6=Country%3A+Turkiye&amp;en_txn7=CaseNumber%3A+109.24+T%C3%BCrkiye&amp;en_txn8=Topic%3A+Human+Rights+Defenders%2C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</si>
  <si>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FATHER+APPEALS+PRISON+TERM&amp;page_url_params=utm_source%3Dutm_source%253Dtest_source%2526utm_medium%253Dads&amp;Campaign+Date=01%2F17%2F25&amp;Campaign+Time=19%3A57%3A16&amp;en_txn6=Country%3A+Egypt&amp;en_txn7=CaseNumber%3A+Third+73.23+Egypt&amp;en_txn8=Topic%3A+Individuals+At+Risk&amp;en_txn10=YearType%3A+2024%2C+Email&amp;color=%23f26722&amp;height=422</t>
  </si>
  <si>
    <t>megan@indietechsolutions.com</t>
  </si>
  <si>
    <t>https://act.amnestyusa.org/page/153818/petition/1?email_text=Thank+you+for+your+support%21&amp;email_cta_text=Take+Action&amp;email_cta_url=https%3A%2F%2Fwww.amnestyusa.org&amp;submit_btn_text=Get+the+sample+letter&amp;page_title=&amp;page_url_params=utm_source%3Dutm_source%253Dtest_source%2526utm_medium%253Dads&amp;Campaign+Date=11%2F19%2F24&amp;Campaign+Time=22%3A35%3A24&amp;YearType=2024%2C+Letter&amp;color=%23f26722&amp;height=422&amp;post_type=urgent_actions&amp;p=109629</t>
  </si>
  <si>
    <t>https://act.amnestyusa.org/page/153818/petition/1?email_text=Thank+you+for+your+support%21&amp;email_cta_text=Take+Action&amp;email_cta_url=https%3A%2F%2Fwww.amnestyusa.org&amp;submit_btn_text=Get+the+sample+letter&amp;page_title=Stop+the+Execution+of+Carey+Grayson&amp;page_url_params=utm_source%3Dutm_source%253Dtest_source%2526utm_medium%253Dads&amp;Campaign+Date=11%2F18%2F24&amp;Campaign+Time=00%3A04%3A26&amp;Country=USA&amp;CaseNumber=96.24+USA&amp;Topic=Death+Penalty&amp;YearType=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</si>
  <si>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End+Racist+Deportations+of+Haitians&amp;page_url_params=utm_source%3Dutm_source%253Dtest_source%2526utm_medium%253Dads&amp;Campaign+Date=11%2F15%2F24&amp;Campaign+Time=18%3A36%3A31&amp;Country=Dominican+Republic&amp;CaseNumber=88.24+Dominican+Republic&amp;YearType=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</si>
  <si>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Parent+Page+Title&amp;page_id=99999&amp;page_url_params=utm_source%3Dutm_source%3Dtest_source%26utm_medium%3Dads&amp;color=%23f26722&amp;height=422</t>
  </si>
  <si>
    <t>https://act.amnestyusa.org/page/153818/petition/1?color=%23000000&amp;sortby=newest&amp;pg=1</t>
  </si>
  <si>
    <t>https://act.amnestyusa.org/page/153818/petition/1?email_text=Thank+you+for+your+support%21&amp;email_cta_text=Take+Action&amp;email_cta_url=https%3A%2F%2Fwww.amnestyusa.org&amp;submit_btn_text=Get+the+sample+letter&amp;page_title=STOP+PERSECUTING+VENEZUELAN+NGO&amp;page_url_params=utm_source%3Dutm_source%253Dtest_source%2526utm_medium%253Dads&amp;Campaign+Date=01%2F07%2F25&amp;Campaign+Time=19%3A12%3A41&amp;en_txn6=Country%3A+Venezuela&amp;en_txn7=CaseNumber%3A+97.24+Venezuela&amp;en_txn8=Topic%3A+Freedom+of+Expression&amp;en_txn10=YearType%3A+2024%2C+Letter&amp;color=%23f26722&amp;height=422</t>
  </si>
  <si>
    <t>https://act.amnestyusa.org/page/153818/petition/1?submit_btn_text=Get+the+sample+letter&amp;page_title=PRISONERS+AT+IMMINENT+RISK+OF+EXECUTION+%5BIran+10.25%5D&amp;page_url_params=utm_source%3Dutm_source%253Dtest_source%2526utm_medium%253Dads&amp;Campaign+Date=02%2F06%2F25&amp;Campaign+Time=17%3A55%3A21&amp;en_txn6=Country%3A+Iran&amp;en_txn7=CaseNumber%3A+10.25+Iran&amp;en_txn8=Topic%3A+Death+Penalty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</si>
  <si>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End+Racist+Deportations+of+Haitians&amp;page_url_params=utm_source%3Dutm_source%253Dtest_source%2526utm_medium%253Dads&amp;Campaign+Date=11%2F15%2F24&amp;Campaign+Time=20%3A15%3A44&amp;Country=Dominican+Republic&amp;CaseNumber=88.24+Dominican+Republic&amp;YearType=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</si>
  <si>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End+Racist+Deportations+of+Haitians&amp;page_url_params=utm_source%3Dutm_source%253Dtest_source%2526utm_medium%253Dads&amp;Campaign+Date=11%2F15%2F24&amp;Campaign+Time=20%3A16%3A25&amp;Country=Dominican+Republic&amp;CaseNumber=88.24+Dominican+Republic&amp;YearType=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</si>
  <si>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End+Racist+Deportations+of+Haitians&amp;page_url_params=utm_source%3Dutm_source%253Dtest_source%2526utm_medium%253Dads&amp;Campaign+Date=11%2F18%2F24&amp;Campaign+Time=20%3A08%3A48&amp;Country=Dominican+Republic&amp;CaseNumber=88.24+Dominican+Republic&amp;Topic=Individuals+At+Risk%2C+Refugee+and+Migrant+Rights&amp;YearType=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</si>
  <si>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STOP+PERSECUTING+VENEZUELAN+NGO&amp;page_url_params=utm_source%3Dutm_source%253Dtest_source%2526utm_medium%253Dads&amp;Campaign+Date=12%2F05%2F24&amp;Campaign+Time=21%3A22%3A05&amp;en_txn6=Country%3A+Venezuela&amp;en_txn7=CaseNumber%3A+97.24+Venezuela&amp;en_txn8=Topic%3A+Freedom+of+Expression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</si>
  <si>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OPPOSITION+POLITICIAN+CHARGED+AFTER+ABDUCTION&amp;page_url_params=utm_source%3Dutm_source%253Dtest_source%2526utm_medium%253Dads&amp;Campaign+Date=12%2F09%2F24&amp;Campaign+Time=21%3A32%3A15&amp;en_txn6=Country%3A+Uganda&amp;en_txn7=CaseNumber%3A+100.24+Uganda&amp;en_txn8=Topic%3A+Freedom+of+Expression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</si>
  <si>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Stop+the+Execution+of+Carey+Grayson&amp;page_url_params=utm_source%3Dutm_source%253Dtest_source%2526utm_medium%253Dads&amp;Campaign+Date=11%2F18%2F24&amp;Campaign+Time=21%3A35%3A13&amp;Country=USA&amp;CaseNumber=96.24+USA&amp;Topic=Death+Penalty&amp;YearType=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</si>
  <si>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End+Racist+Deportations+of+Haitians&amp;page_url_params=utm_source%3Dutm_source%253Dtest_source%2526utm_medium%253Dads&amp;Campaign+Date=11%2F20%2F24&amp;Campaign+Time=17%3A29%3A25&amp;en_txn6=Country%3A+Dominican+Republic&amp;en_txn7=CaseNumber%3A+88.24+Dominican+Republic&amp;en_txn8=Topic%3A+Individuals+At+Risk%2C+Refugee+and+Migrant+Rights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</si>
  <si>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Stop+the+Execution+of+Carey+Grayson&amp;page_url_params=utm_source%3Dutm_source%253Dtest_source%2526utm_medium%253Dads&amp;Campaign+Date=11%2F20%2F24&amp;Campaign+Time=17%3A31%3A06&amp;en_txn6=Country%3A+USA&amp;en_txn7=CaseNumber%3A+96.24+USA&amp;en_txn8=Topic%3A+Death+Penalty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</si>
  <si>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Stop+the+Execution+of+Carey+Grayson&amp;page_url_params=utm_source%3Dutm_source%253Dtest_source%2526utm_medium%253Dads&amp;Campaign+Date=11%2F20%2F24&amp;Campaign+Time=21%3A08%3A43&amp;en_txn6=Country%3A+USA&amp;en_txn7=CaseNumber%3A+96.24+USA&amp;en_txn8=Topic%3A+Death+Penalty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</si>
  <si>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FATHER+APPEALS+PRISON+TERM&amp;page_url_params=utm_source%3Dutm_source%253Dtest_source%2526utm_medium%253Dads&amp;Campaign+Date=01%2F14%2F25&amp;Campaign+Time=19%3A50%3A13&amp;en_txn6=Country%3A+Egypt&amp;en_txn7=CaseNumber%3A+Third+73.23+Egypt&amp;en_txn8=Topic%3A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</si>
  <si>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ELEASE+PAEDIATRICIAN+AND+HOSPITAL+DIRECTOR&amp;page_url_params=utm_source%3Dutm_source%253Dtest_source%2526utm_medium%253Dads&amp;Campaign+Date=01%2F14%2F25&amp;Campaign+Time=20%3A10%3A22&amp;en_txn6=Country%3A+Israel+and+Occupied+Palestinian+Territories&amp;en_txn7=CaseNumber%3A+3.25+IOPT&amp;en_txn8=Topic%3A+Freedom+of+Expression%2C+Individuals+At+Risk&amp;en_txn10=YearType%3A+2025%2C+Email&amp;color=%23f26722&amp;height=422&amp;post_type=urgent_actions&amp;p=111780&amp;preview=true</t>
  </si>
  <si>
    <t>https://act.amnestyusa.org/page/153818/petition/1?email_text=Thank+you+for+your+support%21&amp;email_cta_text=Take+Action&amp;email_cta_url=https%3A%2F%2Fwww.amnestyusa.org&amp;submit_btn_text=Get+the+sample+letter&amp;page_title=RELEASE+PAEDIATRICIAN+AND+HOSPITAL+DIRECTOR&amp;page_url_params=utm_source%3Dutm_source%253Dtest_source%2526utm_medium%253Dads&amp;Campaign+Date=01%2F14%2F25&amp;Campaign+Time=22%3A15%3A30&amp;en_txn6=Country%3A+Israel+and+Occupied+Palestinian+Territories&amp;en_txn7=CaseNumber%3A+3.25+IOPT&amp;en_txn8=Topic%3A+Freedom+of+Expression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</si>
  <si>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ELEASE+PAEDIATRICIAN+AND+HOSPITAL+DIRECTOR&amp;page_url_params=utm_source%3Dutm_source%253Dtest_source%2526utm_medium%253Dads&amp;Campaign+Date=01%2F14%2F25&amp;Campaign+Time=22%3A28%3A50&amp;en_txn6=Country%3A+Israel+and+Occupied+Palestinian+Territories&amp;en_txn7=CaseNumber%3A+3.25+IOPT&amp;en_txn8=Topic%3A+Freedom+of+Expression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</si>
  <si>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14%2F25&amp;Campaign+Time=22%3A43%3A52&amp;en_txn6=Country%3A+Israel+and+Occupied+Palestinian+Territories&amp;en_txn7=CaseNumber%3A+3.25+IOPT&amp;en_txn8=Topic%3A+Freedom+of+Expression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</si>
  <si>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INDIANA%E2%80%99S+FIRST+EXECUTION+IN+15+YEARS+LOOMS&amp;page_url_params=utm_source%3Dutm_source%253Dtest_source%2526utm_medium%253Dads&amp;Campaign+Date=12%2F11%2F24&amp;Campaign+Time=14%3A35%3A58&amp;en_txn6=Country%3A+USA&amp;en_txn7=CaseNumber%3A+105.24+USA&amp;en_txn8=Topic%3A+Death+Penalty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</si>
  <si>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INDIANA%E2%80%99S+FIRST+EXECUTION+IN+15+YEARS+LOOMS&amp;page_url_params=utm_source%3Dutm_source%253Dtest_source%2526utm_medium%253Dads&amp;Campaign+Date=12%2F11%2F24&amp;Campaign+Time=14%3A36%3A17&amp;en_txn6=Country%3A+USA&amp;en_txn7=CaseNumber%3A+105.24+USA&amp;en_txn8=Topic%3A+Death+Penalty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</si>
  <si>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USSIA%2C+RELEASE+ALEKSEI+GORINOV%21&amp;page_url_params=utm_source%3Dutm_source%253Dtest_source%2526utm_medium%253Dads&amp;Campaign+Date=12%2F12%2F24&amp;Campaign+Time=21%3A19%3A34&amp;en_txn6=Country%3A+Russian+Federation&amp;en_txn7=CaseNumber%3A+Second+23.24+Russia&amp;en_txn8=Topic%3A+Freedom+of+Expression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</si>
  <si>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HEALTH+CONCERNS+FOR+JAILED+UYGHUR+MUSICIAN%C2%A0&amp;page_url_params=utm_source%3Dutm_source%253Dtest_source%2526utm_medium%253Dads&amp;Campaign+Date=12%2F12%2F24&amp;Campaign+Time=21%3A24%3A15&amp;en_txn6=Country%3A+China&amp;en_txn7=CaseNumber%3A+98.24+China&amp;en_txn8=Topic%3A+Freedom+of+Expression%2C+Individuals+At+Risk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</si>
  <si>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INDIANA%E2%80%99S+FIRST+EXECUTION+IN+15+YEARS+LOOMS&amp;page_url_params=utm_source%3Dutm_source%253Dtest_source%2526utm_medium%253Dads&amp;Campaign+Date=12%2F12%2F24&amp;Campaign+Time=21%3A29%3A14&amp;en_txn6=Country%3A+USA&amp;en_txn7=CaseNumber%3A+105.24+USA&amp;en_txn8=Topic%3A+Death+Penalty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</si>
  <si>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OPPOSITION+POLITICIAN+CHARGED+AFTER+ABDUCTION&amp;page_url_params=utm_source%3Dutm_source%253Dtest_source%2526utm_medium%253Dads&amp;Campaign+Date=12%2F12%2F24&amp;Campaign+Time=21%3A30%3A50&amp;en_txn6=Country%3A+Uganda&amp;en_txn7=CaseNumber%3A+100.24+Uganda&amp;en_txn8=Topic%3A+Freedom+of+Expression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</si>
  <si>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KURDISH+DISSIDENT+SENTENCED+TO+DEATH+IN+IRAN&amp;page_url_params=utm_source%3Dutm_source%253Dtest_source%2526utm_medium%253Dads&amp;Campaign+Date=12%2F12%2F24&amp;Campaign+Time=21%3A32%3A51&amp;en_txn6=Country%3A+Iran&amp;en_txn7=CaseNumber%3A+101.24+Iran&amp;en_txn8=Topic%3A+Death+Penalty%2C+Freedom+of+Expression%2C+Individuals+At+Risk%2C+Right+to+Protest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</si>
  <si>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IMPRISONED+POET+IS+AT+RISK+OF+TORTURE&amp;page_url_params=utm_source%3Dutm_source%253Dtest_source%2526utm_medium%253Dads&amp;Campaign+Date=12%2F12%2F24&amp;Campaign+Time=21%3A34%3A34&amp;en_txn6=Country%3A+Russian+Federation&amp;en_txn7=CaseNumber%3A+102.24+Russia&amp;en_txn8=Topic%3A+Freedom+of+Expression%2C+Individuals+At+Risk%2C+Right+to+Protest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</si>
  <si>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POLITICIAN%E2%80%99S+SON%E2%80%99S+HEALTH+AT+RISK&amp;page_url_params=utm_source%3Dutm_source%253Dtest_source%2526utm_medium%253Dads&amp;Campaign+Date=12%2F12%2F24&amp;Campaign+Time=21%3A36%3A07&amp;en_txn6=Country%3A+Egypt&amp;en_txn7=CaseNumber%3A+Fourth+29.23+Egypt&amp;en_txn8=Topic%3A+Freedom+of+Expression%2C+Individuals+At+Risk%2C+Right+to+Protest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</si>
  <si>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STOP+EXTRADITION+OF+TORTURE+SURVIVOR+TO+EGYPT&amp;page_url_params=utm_source%3Dutm_source%253Dtest_source%2526utm_medium%253Dads&amp;Campaign+Date=12%2F12%2F24&amp;Campaign+Time=21%3A38%3A34&amp;en_txn6=Country%3A+Saudi+Arabia&amp;en_txn7=CaseNumber%3A+104.24+Saudi+Arabia&amp;en_txn8=Topic%3A+Individuals+At+Risk%2C+Refugee+and+Migrant+Rights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</si>
  <si>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MALAYSIAN+MAN+BELIEVED+AT+RISK+OF+EXECUTION%C2%A0&amp;page_url_params=utm_source%3Dutm_source%253Dtest_source%2526utm_medium%253Dads&amp;Campaign+Date=12%2F12%2F24&amp;Campaign+Time=21%3A40%3A04&amp;en_txn6=Country%3A+Singapore&amp;en_txn7=CaseNumber%3A+107.24+Singapore&amp;en_txn8=Topic%3A+Death+Penalty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</si>
  <si>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PROMINENT+ARTIST+ARRESTED+FOR+HIS+WORK&amp;page_url_params=utm_source%3Dutm_source%253Dtest_source%2526utm_medium%253Dads&amp;Campaign+Date=12%2F12%2F24&amp;Campaign+Time=21%3A42%3A03&amp;en_txn6=Country%3A+China&amp;en_txn7=CaseNumber%3A+106.24+China&amp;en_txn8=Topic%3A+Freedom+of+Expression%2C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</si>
  <si>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INDIANA%E2%80%99S+FIRST+EXECUTION+IN+15+YEARS+LOOMS&amp;page_url_params=utm_source%3Dutm_source%253Dtest_source%2526utm_medium%253Dads&amp;Campaign+Date=12%2F17%2F24&amp;Campaign+Time=17%3A13%3A20&amp;en_txn6=Country%3A+USA&amp;en_txn7=CaseNumber%3A+105.24+USA&amp;en_txn8=Topic%3A+Death+Penalty&amp;en_txn10=YearType%3A+2024%2C+Email&amp;color=%23f26722&amp;height=422</t>
  </si>
  <si>
    <t>https://act.amnestyusa.org/page/153818/petition/1?email_text=Thank+you+for+taking+action+on+PEOPLE+SEEKING+SAFETY+AT+RISK+IN+THE+USA+%5BUSA+4.25%5D.&amp;email_cta_text=VIEW+MORE+URGENT+ACTIONS&amp;email_cta_url=https%3A%2F%2Fwww.amnestyusa.org%2Fget-involved%2Fgrassroots-activism%2Furgent-action-network%2Factions%2F%3Fstatus%3Dactive%26fyear%3D2025%26sortby%3Dnewest%26pg%3D1&amp;submit_btn_text=Get+the+sample+letter&amp;page_title=PEOPLE+SEEKING+SAFETY+AT+RISK+IN+THE+USA+%5BUSA+4.25%5D&amp;page_url_params=utm_source%3Dutm_source%253Dtest_source%2526utm_medium%253Dads&amp;Campaign+Date=01%2F22%2F25&amp;Campaign+Time=18%3A13%3A27&amp;en_txn6=Country%3A+USA&amp;en_txn7=CaseNumber%3A+4.25+USA&amp;en_txn8=Topic%3A+Individuals+At+Risk%2C+Refugee+and+Migrant+Rights&amp;en_txn10=YearType%3A+2025%2C+Letter&amp;color=%23f26722&amp;height=422</t>
  </si>
  <si>
    <t>https://act.amnestyusa.org/page/153818/petition/1?email_text=Thank+you+for+taking+action+on+PEOPLE+SEEKING+SAFETY+AT+RISK+IN+THE+USA+%5BUSA+4.25%5D.&amp;email_cta_text=VIEW+MORE+URGENT+ACTIONS&amp;email_cta_url=https%3A%2F%2Fwww.amnestyusa.org%2Fget-involved%2Fgrassroots-activism%2Furgent-action-network%2Factions%2F%3Fstatus%3Dactive%26fyear%3D2025%26sortby%3Dnewest%26pg%3D1&amp;submit_btn_text=Get+the+sample+letter&amp;page_title=PEOPLE+SEEKING+SAFETY+AT+RISK+IN+THE+USA+%5BUSA+4.25%5D&amp;page_url_params=utm_source%3Dutm_source%253Dtest_source%2526utm_medium%253Dads&amp;Campaign+Date=01%2F22%2F25&amp;Campaign+Time=19%3A48%3A51&amp;en_txn6=Country%3A+USA&amp;en_txn7=CaseNumber%3A+4.25+USA&amp;en_txn8=Topic%3A+Individuals+At+Risk%2C+Refugee+and+Migrant+Rights&amp;en_txn10=YearType%3A+2025%2C+Letter&amp;color=%23f26722&amp;height=422</t>
  </si>
  <si>
    <t>https://act.amnestyusa.org/page/153818/petition/1?email_text=Thank+you+for+taking+action+on+PEOPLE+SEEKING+SAFETY+AT+RISK+IN+THE+USA+%5BUSA+4.25%5D.&amp;email_cta_text=VIEW+MORE+URGENT+ACTIONS&amp;email_cta_url=https%3A%2F%2Fwww.amnestyusa.org%2Fget-involved%2Fgrassroots-activism%2Furgent-action-network%2Factions%2F%3Fstatus%3Dactive%26fyear%3D2025%26sortby%3Dnewest%26pg%3D1&amp;submit_btn_text=Get+the+sample+letter&amp;page_title=PEOPLE+SEEKING+SAFETY+AT+RISK+IN+THE+USA+%5BUSA+4.25%5D&amp;page_url_params=utm_source%3Dutm_source%253Dtest_source%2526utm_medium%253Dads&amp;Campaign+Date=01%2F22%2F25&amp;Campaign+Time=19%3A50%3A52&amp;en_txn6=Country%3A+USA&amp;en_txn7=CaseNumber%3A+4.25+USA&amp;en_txn8=Topic%3A+Individuals+At+Risk%2C+Refugee+and+Migrant+Rights&amp;en_txn10=YearType%3A+2025%2C+Letter&amp;color=%23f26722&amp;height=422</t>
  </si>
  <si>
    <t>https://act.amnestyusa.org/page/153818/petition/1?email_text=Thank+you+for+taking+action+on+PEOPLE+SEEKING+SAFETY+AT+RISK+IN+THE+USA+%5BUSA+4.25%5D.&amp;email_cta_text=VIEW+MORE+URGENT+ACTIONS&amp;email_cta_url=https%3A%2F%2Fwww.amnestyusa.org%2Fget-involved%2Fgrassroots-activism%2Furgent-action-network%2Factions%2F%3Fstatus%3Dactive%26fyear%3D2025%26sortby%3Dnewest%26pg%3D1&amp;submit_btn_text=Get+the+sample+letter&amp;page_title=PEOPLE+SEEKING+SAFETY+AT+RISK+IN+THE+USA+%5BUSA+4.25%5D&amp;page_url_params=utm_source%3Dutm_source%253Dtest_source%2526utm_medium%253Dads&amp;Campaign+Date=01%2F22%2F25&amp;Campaign+Time=19%3A54%3A53&amp;en_txn6=Country%3A+USA&amp;en_txn7=CaseNumber%3A+4.25+USA&amp;en_txn8=Topic%3A+Individuals+At+Risk%2C+Refugee+and+Migrant+Rights&amp;en_txn10=YearType%3A+2025%2C+Letter&amp;color=%23f26722&amp;height=422</t>
  </si>
  <si>
    <t>https://act.amnestyusa.org/page/153818/petition/1?email_text=Thank+you+for+taking+action+on+PEOPLE+SEEKING+SAFETY+AT+RISK+IN+THE+USA+%5BUSA+4.25%5D.&amp;email_cta_text=VIEW+MORE+URGENT+ACTIONS&amp;email_cta_url=https%3A%2F%2Fwww.amnestyusa.org%2Fget-involved%2Fgrassroots-activism%2Furgent-action-network%2Factions%2F%3Fstatus%3Dactive%26fyear%3D2025%26sortby%3Dnewest%26pg%3D1&amp;submit_btn_text=Get+the+sample+letter&amp;page_title=PEOPLE+SEEKING+SAFETY+AT+RISK+IN+THE+USA+%5BUSA+4.25%5D&amp;page_url_params=utm_source%3Dutm_source%253Dtest_source%2526utm_medium%253Dads&amp;Campaign+Date=01%2F22%2F25&amp;Campaign+Time=20%3A47%3A23&amp;en_txn6=Country%3A+USA&amp;en_txn7=CaseNumber%3A+4.25+USA&amp;en_txn8=Topic%3A+Individuals+At+Risk%2C+Refugee+and+Migrant+Rights&amp;en_txn10=YearType%3A+2025%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</si>
  <si>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16%2F25&amp;Campaign+Time=15%3A20%3A53&amp;en_txn6=Country%3A+Israel+and+Occupied+Palestinian+Territories&amp;en_txn7=CaseNumber%3A+3.25+IOPT&amp;en_txn8=Topic%3A+Freedom+of+Expression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</si>
  <si>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16%2F25&amp;Campaign+Time=18%3A08%3A33&amp;en_txn6=Country%3A+Israel+and+Occupied+Palestinian+Territories&amp;en_txn7=CaseNumber%3A+3.25+IOPT&amp;en_txn8=Topic%3A+Freedom+of+Expression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</si>
  <si>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ISKS+OF+FURTHER+PROTEST-RELATED+EXECUTIONS&amp;page_url_params=utm_source%3Dutm_source%253Dtest_source%2526utm_medium%253Dads&amp;Campaign+Date=01%2F16%2F25&amp;Campaign+Time=18%3A09%3A19&amp;en_txn6=Country%3A+Iran&amp;en_txn7=CaseNumber%3A+Seventh+103.22+Iran&amp;en_txn8=Topic%3A+Death+Penalty%2C+Freedom+of+Expression%2C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</si>
  <si>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17%2F25&amp;Campaign+Time=19%3A35%3A45&amp;en_txn6=Country%3A+Israel+and+Occupied+Palestinian+Territories&amp;en_txn7=CaseNumber%3A+3.25+IOPT&amp;en_txn8=Topic%3A+Freedom+of+Expression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</si>
  <si>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PEOPLE+SEEKING+SAFETY+AT+RISK+IN+THE+USA&amp;page_url_params=utm_source%3Dutm_source%253Dtest_source%2526utm_medium%253Dads&amp;Campaign+Date=01%2F17%2F25&amp;Campaign+Time=20%3A08%3A42&amp;en_txn6=Country%3A+USA&amp;en_txn7=CaseNumber%3A+4.25+USA&amp;en_txn8=Topic%3A+Individuals+At+Risk%2C+Refugee+and+Migrant+Rights&amp;en_txn10=YearType%3A+2025%2C+Letter&amp;color=%23f26722&amp;height=422&amp;post_type=urgent_actions&amp;p=111947&amp;preview=true&amp;_thumbnail_id=111950</t>
  </si>
  <si>
    <t>https://act.amnestyusa.org/page/153818/petition/1?email_text=Thank+you+for+your+support%21&amp;email_cta_text=Take+Action&amp;email_cta_url=https%3A%2F%2Fwww.amnestyusa.org&amp;submit_btn_text=Get+the+sample+letter&amp;page_title=PEOPLE+SEEKING+SAFETY+AT+RISK+IN+THE+USA&amp;page_url_params=utm_source%3Dutm_source%253Dtest_source%2526utm_medium%253Dads&amp;Campaign+Date=01%2F17%2F25&amp;Campaign+Time=20%3A09%3A23&amp;en_txn6=Country%3A+USA&amp;en_txn7=CaseNumber%3A+4.25+USA&amp;en_txn8=Topic%3A+Individuals+At+Risk%2C+Refugee+and+Migrant+Rights&amp;en_txn10=YearType%3A+2025%2C+Letter&amp;color=%23f26722&amp;height=422&amp;post_type=urgent_actions&amp;p=111947&amp;preview=true&amp;_thumbnail_id=111950</t>
  </si>
  <si>
    <t>https://act.amnestyusa.org/page/153818/petition/1?submit_btn_text=Get+the+sample+letter&amp;page_title=PEOPLE+SEEKING+SAFETY+AT+RISK+IN+THE+USA+%5BUSA+4.25%5D&amp;page_url_params=utm_source%3Dutm_source%253Dtest_source%2526utm_medium%253Dads&amp;Campaign+Date=01%2F28%2F25&amp;Campaign+Time=21%3A23%3A31&amp;en_txn6=Country%3A+USA&amp;en_txn7=CaseNumber%3A+4.25+USA&amp;en_txn8=Topic%3A+Individuals+At+Risk%2C+Refugee+and+Migrant+Rights&amp;en_txn10=YearType%3A+2025%2C+Letter&amp;color=%23f26722&amp;height=422</t>
  </si>
  <si>
    <t>https://act.amnestyusa.org/page/153818/petition/1?submit_btn_text=Get+the+sample+letter&amp;page_title=PROTECT+DEFENDERS+FROM+ARMED+GROUPS+%5BColombia+Third+UA+12.24%5D&amp;page_url_params=utm_source%3Dutm_source%253Dtest_source%2526utm_medium%253Dads&amp;Campaign+Date=01%2F29%2F25&amp;Campaign+Time=21%3A48%3A36&amp;en_txn6=Country%3A+Colombia&amp;en_txn7=CaseNumber%3A+Third+12.24+Colombia&amp;en_txn8=Topic%3A+Human+Rights+Defenders%2C+Individuals+At+Risk&amp;en_txn10=YearType%3A+2025%2C+Email&amp;color=%23f26722&amp;height=422</t>
  </si>
  <si>
    <t>https://act.amnestyusa.org/page/153818/petition/1?submit_btn_text=Get+the+sample+letter&amp;page_title=PROTECT+CIVILIANS+IN+CATATUMBO+%5BColombia+5.25%5D&amp;page_url_params=utm_source%3Dutm_source%253Dtest_source%2526utm_medium%253Dads&amp;Campaign+Date=01%2F29%2F25&amp;Campaign+Time=21%3A51%3A03&amp;en_txn6=Country%3A+Colombia&amp;en_txn7=CaseNumber%3A+5.25+Colombia&amp;en_txn8=Topic%3A+Human+Rights+Defenders%2C+Individuals+At+Risk&amp;en_txn10=YearType%3A+2025%2C+Email&amp;color=%23f26722&amp;height=422</t>
  </si>
  <si>
    <t>https://act.amnestyusa.org/page/153818/petition/1?submit_btn_text=Get+the+sample+letter&amp;page_title=FREE+IMPRISONED+HUMAN+RIGHTS+DEFENDER&amp;page_url_params=utm_source%3Dutm_source%253Dtest_source%2526utm_medium%253Dads&amp;Campaign+Date=01%2F29%2F25&amp;Campaign+Time=21%3A54%3A36&amp;en_txn6=Country%3A+Turkiye&amp;en_txn7=CaseNumber%3A+Second+109.24+T%C3%BCrkiye&amp;en_txn8=Topic%3A+Human+Rights+Defenders&amp;en_txn10=YearType%3A+2025%2C+Email&amp;color=%23f26722&amp;height=422</t>
  </si>
  <si>
    <t>https://act.amnestyusa.org/page/153818/petition/1?submit_btn_text=Get+the+sample+letter&amp;page_title=SIX+MEN+AT+RISK+OF+EXECUTION+AFTER+GROSSLY+UNFAIR+TRIAL+%5BIran+6.25%5D&amp;page_url_params=utm_source%3Dutm_source%253Dtest_source%2526utm_medium%253Dads&amp;Campaign+Date=01%2F29%2F25&amp;Campaign+Time=21%3A56%3A47&amp;en_txn6=Country%3A+Iran&amp;en_txn7=CaseNumber%3A+6.25+Iran&amp;en_txn8=Topic%3A+Death+Penalty%2C+Freedom+of+Expression%2C+Individuals+At+Risk&amp;en_txn10=YearType%3A+2025%2C+Email&amp;color=%23f26722&amp;height=422</t>
  </si>
  <si>
    <t>https://act.amnestyusa.org/page/153818/petition/1?email_text=Thank+you+for+taking+action+on+RELEASE+PEDIATRICIAN+AND+HOSPITAL+DIRECTOR+%5BIOPT+3.25%5D.&amp;email_cta_text=VIEW+MORE+URGENT+ACTIONS&amp;email_cta_url=https%3A%2F%2Fwww.amnestyusa.org%2Fget-involved%2Fgrassroots-activism%2Furgent-action-network%2Factions%2F%3Fstatus%3Dactive%26fyear%3D2025%26sortby%3Dnewest%26pg%3D1&amp;submit_btn_text=Get+the+sample+letter&amp;page_title=RELEASE+PEDIATRICIAN+AND+HOSPITAL+DIRECTOR+%5BIOPT+3.25%5D&amp;page_url_params=utm_source%3Dutm_source%253Dtest_source%2526utm_medium%253Dads&amp;Campaign+Date=01%2F23%2F25&amp;Campaign+Time=21%3A00%3A32&amp;en_txn6=Country%3A+Israel+and+Occupied+Palestinian+Territories&amp;en_txn7=CaseNumber%3A+3.25+IOPT&amp;en_txn8=Topic%3A+Freedom+of+Expression%2C+Individuals+At+Risk&amp;en_txn10=YearType%3A+2025%2C+Email&amp;color=%23f26722&amp;height=422</t>
  </si>
  <si>
    <t>https://act.amnestyusa.org/page/153818/petition/1?submit_btn_text=Get+the+sample+letter&amp;page_title=PEOPLE+SEEKING+SAFETY+AT+RISK+IN+THE+USA+%5BUSA+4.25%5D&amp;page_url_params=utm_source%3Dutm_source%253Dtest_source%2526utm_medium%253Dads&amp;Campaign+Date=01%2F20%2F25&amp;Campaign+Time=16%3A17%3A30&amp;en_txn6=Country%3A+USA&amp;en_txn7=CaseNumber%3A+4.25+USA&amp;en_txn8=Topic%3A+Individuals+At+Risk%2C+Refugee+and+Migrant+Rights&amp;en_txn10=YearType%3A+2025%2C+Letter&amp;color=%23f26722&amp;height=422&amp;post_type=urgent_actions&amp;p=111947&amp;preview=true&amp;_thumbnail_id=111950</t>
  </si>
  <si>
    <t>https://act.amnestyusa.org/page/153818/petition/1?submit_btn_text=Get+the+sample+letter&amp;page_title=MILITARY+COURT+CONVICTS+HUMAN+RIGHTS+LAWYER+%5BUganda+9.24%5D&amp;page_url_params=utm_source%3Dutm_source%253Dtest_source%2526utm_medium%253Dads&amp;Campaign+Date=02%2F06%2F25&amp;Campaign+Time=17%3A53%3A05&amp;en_txn6=Country%3A+Uganda&amp;en_txn7=CaseNumber%3A+9.25+Uganda&amp;en_txn8=Topic%3A+Freedom+of+Expression%2C+Human+Rights+Defenders&amp;en_txn10=YearType%3A+2025%2C+Email&amp;color=%23f26722&amp;height=422</t>
  </si>
  <si>
    <t>https://act.amnestyusa.org/page/153818/petition/1?submit_btn_text=Get+the+sample+letter&amp;page_title=SIX+MEN+AT+RISK+OF+EXECUTION+AFTER+GROSSLY+UNFAIR+TRIAL+%5BIran+6.25%5D&amp;page_url_params=utm_source%3Dutm_source%253Dtest_source%2526utm_medium%253Dads&amp;Campaign+Date=02%2F06%2F25&amp;Campaign+Time=17%3A41%3A48&amp;en_txn6=Country%3A+Iran&amp;en_txn7=CaseNumber%3A+6.25+Iran&amp;en_txn8=Topic%3A+Death+Penalty%2C+Freedom+of+Expression%2C+Individuals+At+Risk&amp;en_txn10=YearType%3A+2025%2C+Email&amp;color=%23f26722&amp;height=422</t>
  </si>
  <si>
    <t>https://act.amnestyusa.org/page/153818/petition/1?submit_btn_text=Get+the+sample+letter&amp;page_title=HUMAN+RIGHTS+DEFENDER+ON+HUNGER+STRIKE+%5BSecond+UA+76.24+Tunisia%5D&amp;page_url_params=utm_source%3Dutm_source%253Dtest_source%2526utm_medium%253Dads&amp;Campaign+Date=02%2F06%2F25&amp;Campaign+Time=17%3A43%3A45&amp;en_txn6=Country%3A+Tunisia&amp;en_txn7=CaseNumber%3A+Second+76.24+Tunisia&amp;en_txn8=Topic%3A+Freedom+of+Expression%2C+Human+Rights+Defenders&amp;en_txn10=YearType%3A+2025%2C+Email&amp;color=%23f26722&amp;height=422</t>
  </si>
  <si>
    <t>https://act.amnestyusa.org/page/153818/petition/1?submit_btn_text=Get+the+sample+letter&amp;page_title=FILMMAKER+ARBITRARILY+DETAINED+%5BAfghanistan+7.25%5D&amp;page_url_params=utm_source%3Dutm_source%253Dtest_source%2526utm_medium%253Dads&amp;Campaign+Date=02%2F06%2F25&amp;Campaign+Time=17%3A47%3A18&amp;en_txn6=Country%3A+Afghanistan&amp;en_txn7=CaseNumber%3A+7.25+Afghanistan&amp;en_txn8=Topic%3A+Freedom+of+Expression%2C+Individuals+At+Risk%2C+Women%27s+Rights&amp;en_txn10=YearType%3A+2025%2C+Email&amp;color=%23f26722&amp;height=422</t>
  </si>
  <si>
    <t>https://act.amnestyusa.org/page/153818/petition/1?submit_btn_text=Get+the+sample+letter&amp;page_title=PROMINENT+JOURNALIST+ARBITRARILY+DETAINED+%5BTunisia+8.25%5D&amp;page_url_params=utm_source%3Dutm_source%253Dtest_source%2526utm_medium%253Dads&amp;Campaign+Date=02%2F06%2F25&amp;Campaign+Time=17%3A50%3A59&amp;en_txn6=Country%3A+Tunisia&amp;en_txn7=CaseNumber%3A+8.25+Tunisia&amp;en_txn8=Topic%3A+Freedom+of+Expression&amp;en_txn10=YearType%3A+2025%2C+Email&amp;color=%23f26722&amp;height=422</t>
  </si>
  <si>
    <t>https://act.amnestyusa.org/page/153818/petition/1?submit_btn_text=Get+the+sample+letter&amp;page_title=PEOPLE+SEEKING+SAFETY+AT+RISK+IN+THE+USA+%5BUSA+4.25%5D&amp;page_url_params=utm_source%3Dutm_source%253Dtest_source%2526utm_medium%253Dads&amp;Campaign+Date=02%2F18%2F25&amp;Campaign+Time=19%3A13%3A29&amp;en_txn6=Country%3A+USA&amp;en_txn7=CaseNumber%3A+4.25+USA&amp;en_txn8=Topic%3A+Individuals+At+Risk%2C+Refugee+and+Migrant+Rights&amp;en_txn10=YearType%3A+2025%2C+Letter&amp;color=%23f26722&amp;height=422</t>
  </si>
  <si>
    <t>https://donate.amnestyusa.org/page/157642/subscribe/1?_gl=1*18xkf0h*_gcl_au*NTg1NTIzMjkyLjE3Mzc0ODIxMzE.&amp;color=%23000000</t>
  </si>
  <si>
    <t>https://act.amnestyusa.org/page/153818/petition/1?email_text=Thank+you+for+your+support%21&amp;email_cta_text=Take+Action&amp;email_cta_url=https%3A%2F%2Fwww.amnestyusa.org&amp;submit_btn_text=Get+the+sample+letter&amp;page_title=Stop+the+Execution+of+Carey+Grayson&amp;page_url_params=utm_source%3Dutm_source%253Dtest_source%2526utm_medium%253Dads&amp;Campaign+Date=11%2F18%2F24&amp;Campaign+Time=17%3A21%3A14&amp;Country=USA&amp;CaseNumber=96.24+USA&amp;Topic=Death+Penalty&amp;YearType=2024%2C+Email&amp;color=%23f26722&amp;height=422</t>
  </si>
  <si>
    <t>fedebarbera@wanadoo.es</t>
  </si>
  <si>
    <t>https://act.amnestyusa.org/page/153818/petition/1?submit_btn_text=Get+the+sample+letter&amp;page_title=PROMINENT+JOURNALIST+ARBITRARILY+DETAINED+%5BTunisia+8.25%5D&amp;page_url_params=utm_source%3Dutm_source%253Dtest_source%2526utm_medium%253Dads&amp;Campaign+Date=02%2F21%2F25&amp;Campaign+Time=21%3A08%3A32&amp;en_txn6=Country%3A+Tunisia&amp;en_txn7=CaseNumber%3A+8.25+Tunisia&amp;en_txn8=Topic%3A+Freedom+of+Expression&amp;en_txn10=YearType%3A+2025%2C+Email&amp;color=%23f26722&amp;height=422</t>
  </si>
  <si>
    <t>https://act.amnestyusa.org/page/153818/petition/1?submit_btn_text=Get+the+sample+letter&amp;page_title=FILMMAKER+ARBITRARILY+DETAINED+%5BAfghanistan+7.25%5D&amp;page_url_params=utm_source%3Dutm_source%253Dtest_source%2526utm_medium%253Dads&amp;Campaign+Date=02%2F21%2F25&amp;Campaign+Time=20%3A53%3A07&amp;en_txn6=Country%3A+Afghanistan&amp;en_txn7=CaseNumber%3A+7.25+Afghanistan&amp;en_txn8=Topic%3A+Freedom+of+Expression%2C+Individuals+At+Risk%2C+Women%27s+Rights&amp;en_txn10=YearType%3A+2025%2C+Email&amp;color=%23f26722&amp;height=422</t>
  </si>
  <si>
    <t>https://act.amnestyusa.org/page/153818/petition/1?submit_btn_text=Get+the+sample+letter&amp;page_title=MILITARY+COURT+CONVICTS+HUMAN+RIGHTS+LAWYER+%5BUganda+9.24%5D&amp;page_url_params=utm_source%3Dutm_source%253Dtest_source%2526utm_medium%253Dads&amp;Campaign+Date=02%2F21%2F25&amp;Campaign+Time=14%3A57%3A53&amp;en_txn6=Country%3A+Uganda&amp;en_txn7=CaseNumber%3A+9.25+Uganda&amp;en_txn8=Topic%3A+Freedom+of+Expression%2C+Human+Rights+Defenders&amp;en_txn10=YearType%3A+2025%2C+Email&amp;color=%23f26722&amp;height=422</t>
  </si>
  <si>
    <t>https://act.amnestyusa.org/page/153818/petition/1?submit_btn_text=Get+the+sample+letter&amp;page_title=LIFT+MOHAMMED+AL-QAHTANI%26%238217%3BS+TRAVEL+BAN+%5BSaudi+Arabia+Fifth+UA+257.12%5D&amp;page_url_params=utm_source%3Dutm_source%253Dtest_source%2526utm_medium%253Dads&amp;Campaign+Date=02%2F21%2F25&amp;Campaign+Time=21%3A35%3A49&amp;en_txn6=Country%3A+Saudi+Arabia&amp;en_txn7=CaseNumber%3A+Fifth+257.12&amp;en_txn8=Topic%3A+Freedom+of+Expression%2C+Human+Rights+Defenders&amp;en_txn10=YearType%3A+2025%2C+Email&amp;color=%23f26722&amp;height=422</t>
  </si>
  <si>
    <t>https://act.amnestyusa.org/page/153818/petition/1?submit_btn_text=Get+the+sample+letter&amp;page_title=RELEASE+PEDIATRICIAN+AND+HOSPITAL+DIRECTOR+%5BIOPT+3.25%5D&amp;page_url_params=utm_source%3Dutm_source%253Dtest_source%2526utm_medium%253Dads&amp;Campaign+Date=01%2F25%2F25&amp;Campaign+Time=14%3A44%3A14&amp;en_txn6=Country%3A+Israel+and+Occupied+Palestinian+Territories&amp;en_txn7=CaseNumber%3A+3.25+IOPT&amp;en_txn8=Topic%3A+Freedom+of+Expression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</si>
  <si>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INDIANA%E2%80%99S+FIRST+EXECUTION+IN+15+YEARS+LOOMS&amp;page_url_params=utm_source%3Dutm_source%253Dtest_source%2526utm_medium%253Dads&amp;Campaign+Date=12%2F18%2F24&amp;Campaign+Time=07%3A46%3A09&amp;en_txn6=Country%3A+USA&amp;en_txn7=CaseNumber%3A+105.24+USA&amp;en_txn8=Topic%3A+Death+Penalty&amp;en_txn10=YearType%3A+2024%2C+Email&amp;color=%23f26722&amp;height=422</t>
  </si>
  <si>
    <t>https://act.amnestyusa.org/page/153818/petition/1?submit_btn_text=Get+the+sample+letter&amp;page_title=RISKS+OF+FURTHER+PROTEST-RELATED+EXECUTIONS&amp;page_url_params=utm_source%3Dutm_source%253Dtest_source%2526utm_medium%253Dads&amp;Campaign+Date=02%2F05%2F25&amp;Campaign+Time=15%3A33%3A40&amp;en_txn6=Country%3A+Iran&amp;en_txn7=CaseNumber%3A+Seventh+103.22+Iran&amp;en_txn8=Topic%3A+Death+Penalty%2C+Freedom+of+Expression%2C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</si>
  <si>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DEATH+SENTENCE+FOR+SOCIAL+MEDIA+POSTS+COMMUTED&amp;page_url_params=utm_source%3Dutm_source%253Dtest_source%2526utm_medium%253Dads&amp;Campaign+Date=11%2F30%2F24&amp;Campaign+Time=20%3A26%3A58&amp;en_txn6=Country%3A+Saudi+Arabia&amp;en_txn7=CaseNumber%3A+Second+85.23+Saudi+Arabia&amp;en_txn8=Topic%3A+Freedom+of+Expression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</si>
  <si>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LAWYER%E2%80%99S+HEALTH+AT+RISK&amp;page_url_params=utm_source%3Dutm_source%253Dtest_source%2526utm_medium%253Dads&amp;Campaign+Date=11%2F27%2F24&amp;Campaign+Time=15%3A58%3A57&amp;en_txn6=Country%3A+Egypt&amp;en_txn7=CaseNumber%3A+Ninth+190.18+Egypt&amp;en_txn8=Topic%3A+Freedom+of+Expression%2C+Individuals+At+Risk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</si>
  <si>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PROMINENT+ARTIST+ARRESTED+FOR+HIS+WORK&amp;page_url_params=utm_source%3Dutm_source%253Dtest_source%2526utm_medium%253Dads&amp;Campaign+Date=12%2F12%2F24&amp;Campaign+Time=21%3A11%3A40&amp;en_txn6=Country%3A+China&amp;en_txn7=CaseNumber%3A+106.24+China&amp;en_txn8=Topic%3A+Freedom+of+Expression%2C+Individuals+At+Risk&amp;en_txn10=YearType%3A+2024%2C+Email&amp;color=%23f26722&amp;height=422</t>
  </si>
  <si>
    <t>https://act.amnestyusa.org/page/153818/petition/1?submit_btn_text=Get+the+sample+letter&amp;page_title=UNJUSTLY+JAILED+LAWYER%E2%80%99S+HEALTH+AT+RISK&amp;page_url_params=utm_source%3Dutm_source%253Dtest_source%2526utm_medium%253Dads&amp;Campaign+Date=02%2F09%2F25&amp;Campaign+Time=16%3A40%3A18&amp;en_txn6=Country%3A+Egypt&amp;en_txn7=CaseNumber%3A+Ninth+190.18+Egypt&amp;en_txn8=Topic%3A+Freedom+of+Expression%2C+Individuals+At+Risk&amp;en_txn10=YearType%3A+2024%2C+Letter&amp;color=%23f26722&amp;height=422</t>
  </si>
  <si>
    <t>https://act.amnestyusa.org/page/153818/petition/1?submit_btn_text=Get+the+sample+letter&amp;page_title=HEALTH+CONCERNS+FOR+JAILED+UYGHUR+MUSICIAN%C2%A0&amp;page_url_params=utm_source%3Dutm_source%253Dtest_source%2526utm_medium%253Dads&amp;Campaign+Date=02%2F09%2F25&amp;Campaign+Time=16%3A31%3A39&amp;en_txn6=Country%3A+China&amp;en_txn7=CaseNumber%3A+98.24+China&amp;en_txn8=Topic%3A+Freedom+of+Expression%2C+Individuals+At+Risk&amp;en_txn10=YearType%3A+2024%2C+Letter&amp;color=%23f26722&amp;height=422</t>
  </si>
  <si>
    <t>https://act.amnestyusa.org/page/153818/petition/1?submit_btn_text=Get+the+sample+letter&amp;page_title=KURDISH+DISSIDENT+SENTENCED+TO+DEATH+IN+IRAN&amp;page_url_params=utm_source%3Dutm_source%253Dtest_source%2526utm_medium%253Dads&amp;Campaign+Date=02%2F09%2F25&amp;Campaign+Time=16%3A17%3A52&amp;en_txn6=Country%3A+Iran&amp;en_txn7=CaseNumber%3A+101.24+Iran&amp;en_txn8=Topic%3A+Death+Penalty%2C+Freedom+of+Expression%2C+Individuals+At+Risk%2C+Right+to+Protest&amp;en_txn10=YearType%3A+2024%2C+Email&amp;color=%23f26722&amp;height=422</t>
  </si>
  <si>
    <t>https://act.amnestyusa.org/page/153818/petition/1?submit_btn_text=Get+the+sample+letter&amp;page_title=OPPOSITION+POLITICIAN+CHARGED+AFTER+ABDUCTION&amp;page_url_params=utm_source%3Dutm_source%253Dtest_source%2526utm_medium%253Dads&amp;Campaign+Date=02%2F07%2F25&amp;Campaign+Time=15%3A26%3A29&amp;en_txn6=Country%3A+Uganda&amp;en_txn7=CaseNumber%3A+100.24+Uganda&amp;en_txn8=Topic%3A+Freedom+of+Expression&amp;en_txn10=YearType%3A+2024%2C+Email&amp;color=%23f26722&amp;height=422</t>
  </si>
  <si>
    <t>https://act.amnestyusa.org/page/153818/petition/1?submit_btn_text=Get+the+sample+letter&amp;page_title=UNJUSTLY+JAILED+POLITICIAN%E2%80%99S+SON%E2%80%99S+HEALTH+AT+RISK&amp;page_url_params=utm_source%3Dutm_source%253Dtest_source%2526utm_medium%253Dads&amp;Campaign+Date=02%2F09%2F25&amp;Campaign+Time=16%3A00%3A44&amp;en_txn6=Country%3A+Egypt&amp;en_txn7=CaseNumber%3A+Fourth+29.23+Egypt&amp;en_txn8=Topic%3A+Freedom+of+Expression%2C+Individuals+At+Risk%2C+Right+to+Protest&amp;en_txn10=YearType%3A+2024%2C+Email&amp;color=%23f26722&amp;height=422</t>
  </si>
  <si>
    <t>https://act.amnestyusa.org/page/153818/petition/1?submit_btn_text=Get+the+sample+letter&amp;page_title=MALAYSIAN+MAN+BELIEVED+AT+RISK+OF+EXECUTION%C2%A0&amp;page_url_params=utm_source%3Dutm_source%253Dtest_source%2526utm_medium%253Dads&amp;Campaign+Date=02%2F09%2F25&amp;Campaign+Time=15%3A52%3A41&amp;en_txn6=Country%3A+Singapore&amp;en_txn7=CaseNumber%3A+107.24+Singapore&amp;en_txn8=Topic%3A+Death+Penalty&amp;en_txn10=YearType%3A+2024%2C+Email&amp;color=%23f26722&amp;height=422</t>
  </si>
  <si>
    <t>https://act.amnestyusa.org/page/153818/petition/1?submit_btn_text=Get+the+sample+letter&amp;page_title=PROMINENT+ARTIST+ARRESTED+FOR+HIS+WORK&amp;page_url_params=utm_source%3Dutm_source%253Dtest_source%2526utm_medium%253Dads&amp;Campaign+Date=02%2F09%2F25&amp;Campaign+Time=15%3A40%3A18&amp;en_txn6=Country%3A+China&amp;en_txn7=CaseNumber%3A+106.24+China&amp;en_txn8=Topic%3A+Freedom+of+Expression%2C+Individuals+At+Risk&amp;en_txn10=YearType%3A+2024%2C+Email&amp;color=%23f26722&amp;height=422</t>
  </si>
  <si>
    <t>https://act.amnestyusa.org/page/153818/petition/1?submit_btn_text=Get+the+sample+letter&amp;page_title=UNJUSTLY+JAILED+LAWYER+TREATED+INHUMANELY&amp;page_url_params=utm_source%3Dutm_source%253Dtest_source%2526utm_medium%253Dads&amp;Campaign+Date=02%2F05%2F25&amp;Campaign+Time=15%3A33%3A00&amp;en_txn6=Country%3A+Tunisia&amp;en_txn7=CaseNumber%3A+Second+43.24+Tunisia&amp;en_txn8=Topic%3A+Freedom+of+Expression%2C+Individuals+At+Risk&amp;en_txn10=YearType%3A+2024%2C+Email&amp;color=%23f26722&amp;height=422</t>
  </si>
  <si>
    <t>https://act.amnestyusa.org/page/153818/petition/1?submit_btn_text=Get+the+sample+letter&amp;page_title=DEATH+SENTENCE+FOR+SOCIAL+MEDIA+POSTS+COMMUTED&amp;page_url_params=utm_source%3Dutm_source%253Dtest_source%2526utm_medium%253Dads&amp;Campaign+Date=02%2F09%2F25&amp;Campaign+Time=16%3A46%3A53&amp;en_txn6=Country%3A+Saudi+Arabia&amp;en_txn7=CaseNumber%3A+Second+85.23+Saudi+Arabia&amp;en_txn8=Topic%3A+Freedom+of+Expression&amp;en_txn10=YearType%3A+2024%2C+Letter&amp;color=%23f26722&amp;height=422</t>
  </si>
  <si>
    <t>https://act.amnestyusa.org/page/153818/petition/1?submit_btn_text=Get+the+sample+letter&amp;page_title=JUSTICE+FOR+WATER+DEFENDER+KILLED&amp;page_url_params=utm_source%3Dutm_source%253Dtest_source%2526utm_medium%253Dads&amp;Campaign+Date=02%2F09%2F25&amp;Campaign+Time=16%3A54%3A37&amp;en_txn6=Country%3A+Honduras&amp;en_txn7=CaseNumber%3A+Second+85.24+Honduras&amp;en_txn8=Topic%3A+Climate+Justice%2C+Human+Rights+Defenders%2C+Right+to+Protest&amp;en_txn10=YearType%3A+2024%2C+Email&amp;color=%23f26722&amp;height=422</t>
  </si>
  <si>
    <t>https://act.amnestyusa.org/page/153818/petition/1?submit_btn_text=Get+the+sample+letter&amp;page_title=WOMAN+HUMAN+RIGHTS+DEFENDER+DISAPPEARED&amp;page_url_params=utm_source%3Dutm_source%253Dtest_source%2526utm_medium%253Dads&amp;Campaign+Date=02%2F09%2F25&amp;Campaign+Time=17%3A11%3A02&amp;en_txn6=Country%3A+Mexico&amp;en_txn7=CaseNumber%3A+92.24+Mexico&amp;en_txn8=Topic%3A+Human+Rights+Defenders&amp;en_txn10=YearType%3A+2024%2C+Email&amp;color=%23f26722&amp;height=422</t>
  </si>
  <si>
    <t>https://act.amnestyusa.org/page/153818/petition/1?submit_btn_text=Get+the+sample+letter&amp;page_title=LIFT+MOHAMMED+AL-QAHTANI%26%238217%3BS+TRAVEL+BAN+%5BSaudi+Arabia+Fifth+UA+257.12%5D&amp;page_url_params=utm_source%3Dutm_source%253Dtest_source%2526utm_medium%253Dads&amp;Campaign+Date=02%2F07%2F25&amp;Campaign+Time=20%3A14%3A25&amp;en_txn6=Country%3A+Saudi+Arabia&amp;en_txn7=CaseNumber%3A+Fifth+257.12&amp;en_txn8=Topic%3A+Freedom+of+Expression%2C+Human+Rights+Defenders&amp;en_txn10=YearType%3A+2025%2C+Email&amp;color=%23f26722&amp;height=422</t>
  </si>
  <si>
    <t>https://act.amnestyusa.org/page/153818/petition/1?submit_btn_text=Get+the+sample+letter&amp;page_title=RELEASE+JOURNALIST+CONVICTED+OF+PROPAGANDA+%5BAfghanistan+11.25%5D&amp;page_url_params=utm_source%3Dutm_source%253Dtest_source%2526utm_medium%253Dads&amp;Campaign+Date=02%2F07%2F25&amp;Campaign+Time=19%3A49%3A48&amp;en_txn6=Country%3A+Afghanistan&amp;en_txn7=CaseNumber%3A+11.25+Afghanistan&amp;en_txn8=Topic%3A+Freedom+of+Expression%2C+Health%2C+Individuals+At+Risk&amp;en_txn10=YearType%3A+2025%2C+Email&amp;color=%23f26722&amp;height=422</t>
  </si>
  <si>
    <t>https://act.amnestyusa.org/page/153818/petition/1?submit_btn_text=Get+the+sample+letter&amp;page_title=OLDER+SUFI+SHEIKH+FORCIBLY+DISAPPEARED+FOR+A+YEAR+%5BLibya+12.25%5D&amp;page_url_params=utm_source%3Dutm_source%253Dtest_source%2526utm_medium%253Dads&amp;Campaign+Date=02%2F07%2F25&amp;Campaign+Time=19%3A28%3A21&amp;en_txn6=Country%3A+Libya&amp;en_txn7=CaseNumber%3A+12.25+Libya&amp;en_txn8=Topic%3A+Freedom+of+Expression%2C+Health%2C+Individuals+At+Risk&amp;en_txn10=YearType%3A+2025%2C+Email&amp;color=%23f26722&amp;height=422</t>
  </si>
  <si>
    <t>https://act.amnestyusa.org/page/153818/petition/1?submit_btn_text=Get+the+sample+letter&amp;page_title=UNJUSTLY+JAILED+RIGHTS+LAWYER+REFERRED+TO+TRIAL+%5BEgypt+Second+UA+80.23%5D&amp;page_url_params=utm_source%3Dutm_source%253Dtest_source%2526utm_medium%253Dads&amp;Campaign+Date=02%2F08%2F25&amp;Campaign+Time=12%3A12%3A55&amp;en_txn6=Country%3A+Egypt&amp;en_txn7=CaseNumber%3A+Second+80.23+Egypt&amp;en_txn8=Topic%3A+Health%2C+Individuals+At+Risk&amp;en_txn10=YearType%3A+2025%2C+Email&amp;color=%23f26722&amp;height=422</t>
  </si>
  <si>
    <t>https://act.amnestyusa.org/page/153818/petition/1?submit_btn_text=Get+the+sample+letter&amp;page_title=PRISONERS+AT+IMMINENT+RISK+OF+EXECUTION+%5BIran+10.25%5D&amp;page_url_params=utm_source%3Dutm_source%253Dtest_source%2526utm_medium%253Dads&amp;Campaign+Date=02%2F07%2F25&amp;Campaign+Time=23%3A41%3A18&amp;en_txn6=Country%3A+Iran&amp;en_txn7=CaseNumber%3A+10.25+Iran&amp;en_txn8=Topic%3A+Death+Penalty%2C+Individuals+At+Risk&amp;en_txn10=YearType%3A+2025%2C+Email&amp;color=%23f26722&amp;height=422</t>
  </si>
  <si>
    <t>https://act.amnestyusa.org/page/153818/petition/1?submit_btn_text=Get+the+sample+letter&amp;page_title=MILITARY+COURT+CONVICTS+HUMAN+RIGHTS+LAWYER+%5BUganda+9.24%5D&amp;page_url_params=utm_source%3Dutm_source%253Dtest_source%2526utm_medium%253Dads&amp;Campaign+Date=02%2F06%2F25&amp;Campaign+Time=03%3A17%3A16&amp;en_txn6=Country%3A+Uganda&amp;en_txn7=CaseNumber%3A+9.25+Uganda&amp;en_txn8=Topic%3A+Freedom+of+Expression%2C+Human+Rights+Defenders&amp;en_txn10=YearType%3A+2025%2C+Email&amp;color=%23f26722&amp;height=422</t>
  </si>
  <si>
    <t>https://act.amnestyusa.org/page/153818/petition/1?submit_btn_text=Get+the+sample+letter&amp;page_title=RELEASE+PEDIATRICIAN+AND+HOSPITAL+DIRECTOR+%5BIOPT+3.25%5D&amp;page_url_params=utm_source%3Dutm_source%253Dtest_source%2526utm_medium%253Dads&amp;Campaign+Date=02%2F01%2F25&amp;Campaign+Time=22%3A14%3A07&amp;en_txn6=Country%3A+Israel+and+Occupied+Palestinian+Territories&amp;en_txn7=CaseNumber%3A+3.25+IOPT&amp;en_txn8=Topic%3A+Freedom+of+Expression%2C+Individuals+At+Risk&amp;en_txn10=YearType%3A+2025%2C+Email&amp;color=%23f26722&amp;height=422</t>
  </si>
  <si>
    <t>https://act.amnestyusa.org/page/153818/petition/1?submit_btn_text=Get+the+sample+letter&amp;page_title=PROMINENT+JOURNALIST+ARBITRARILY+DETAINED+%5BTunisia+8.25%5D&amp;page_url_params=utm_source%3Dutm_source%253Dtest_source%2526utm_medium%253Dads&amp;Campaign+Date=02%2F08%2F25&amp;Campaign+Time=13%3A23%3A18&amp;en_txn6=Country%3A+Tunisia&amp;en_txn7=CaseNumber%3A+8.25+Tunisia&amp;en_txn8=Topic%3A+Freedom+of+Expression&amp;en_txn10=YearType%3A+2025%2C+Email&amp;color=%23f26722&amp;height=422</t>
  </si>
  <si>
    <t>https://act.amnestyusa.org/page/153818/petition/1?submit_btn_text=Get+the+sample+letter&amp;page_title=FILMMAKER+ARBITRARILY+DETAINED+%5BAfghanistan+7.25%5D&amp;page_url_params=utm_source%3Dutm_source%253Dtest_source%2526utm_medium%253Dads&amp;Campaign+Date=02%2F06%2F25&amp;Campaign+Time=18%3A36%3A38&amp;en_txn6=Country%3A+Afghanistan&amp;en_txn7=CaseNumber%3A+7.25+Afghanistan&amp;en_txn8=Topic%3A+Freedom+of+Expression%2C+Individuals+At+Risk%2C+Women%27s+Rights&amp;en_txn10=YearType%3A+2025%2C+Email&amp;color=%23f26722&amp;height=422</t>
  </si>
  <si>
    <t>https://act.amnestyusa.org/page/153818/petition/1?submit_btn_text=Get+the+sample+letter&amp;page_title=SIX+MEN+AT+RISK+OF+EXECUTION+AFTER+GROSSLY+UNFAIR+TRIAL+%5BIran+6.25%5D&amp;page_url_params=utm_source%3Dutm_source%253Dtest_source%2526utm_medium%253Dads&amp;Campaign+Date=02%2F09%2F25&amp;Campaign+Time=13%3A37%3A44&amp;en_txn6=Country%3A+Iran&amp;en_txn7=CaseNumber%3A+6.25+Iran&amp;en_txn8=Topic%3A+Death+Penalty%2C+Freedom+of+Expression%2C+Individuals+At+Risk&amp;en_txn10=YearType%3A+2025%2C+Email&amp;color=%23f26722&amp;height=422</t>
  </si>
  <si>
    <t>https://act.amnestyusa.org/page/153818/petition/1?submit_btn_text=Get+the+sample+letter&amp;page_title=FREE+IMPRISONED+HUMAN+RIGHTS+DEFENDER&amp;page_url_params=utm_source%3Dutm_source%253Dtest_source%2526utm_medium%253Dads&amp;Campaign+Date=02%2F09%2F25&amp;Campaign+Time=13%3A49%3A24&amp;en_txn6=Country%3A+Turkiye&amp;en_txn7=CaseNumber%3A+Second+109.24+T%C3%BCrkiye&amp;en_txn8=Topic%3A+Human+Rights+Defenders&amp;en_txn10=YearType%3A+2025%2C+Email&amp;color=%23f26722&amp;height=422</t>
  </si>
  <si>
    <t>https://act.amnestyusa.org/page/153818/petition/1?submit_btn_text=Get+the+sample+letter&amp;page_title=PROTECT+DEFENDERS+FROM+ARMED+GROUPS+%5BColombia+Third+UA+12.24%5D&amp;page_url_params=utm_source%3Dutm_source%253Dtest_source%2526utm_medium%253Dads&amp;Campaign+Date=02%2F09%2F25&amp;Campaign+Time=14%3A17%3A07&amp;en_txn6=Country%3A+Colombia&amp;en_txn7=CaseNumber%3A+Third+12.24+Colombia&amp;en_txn8=Topic%3A+Human+Rights+Defenders%2C+Individuals+At+Risk&amp;en_txn10=YearType%3A+2025%2C+Email&amp;color=%23f26722&amp;height=422</t>
  </si>
  <si>
    <t>https://act.amnestyusa.org/page/153818/petition/1?submit_btn_text=Get+the+sample+letter&amp;page_title=FREE+VENEZUELAN+HUMAN+RIGHTS+DEFENDERS&amp;page_url_params=utm_source%3Dutm_source%253Dtest_source%2526utm_medium%253Dads&amp;Campaign+Date=02%2F09%2F25&amp;Campaign+Time=14%3A29%3A57&amp;en_txn6=Country%3A+Venezuela&amp;en_txn7=CaseNumber%3A+1.25+Venezuela&amp;en_txn8=Topic%3A+Human+Rights+Defenders%2C+Individuals+At+Risk&amp;en_txn10=YearType%3A+2025%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</si>
  <si>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End+Racist+Deportations+of+Haitians&amp;page_url_params=utm_source%3Dutm_source%253Dtest_source%2526utm_medium%253Dads&amp;Campaign+Date=11%2F30%2F24&amp;Campaign+Time=16%3A08%3A57&amp;en_txn6=Country%3A+Dominican+Republic&amp;en_txn7=CaseNumber%3A+88.24+Dominican+Republic&amp;en_txn8=Topic%3A+Individuals+At+Risk%2C+Refugee+and+Migrant+Rights&amp;en_txn10=YearType%3A+2024%2C+Letter&amp;color=%23f26722&amp;height=422</t>
  </si>
  <si>
    <t>https://act.amnestyusa.org/page/153818/petition/1?submit_btn_text=Get+the+sample+letter&amp;page_title=UNJUSTLY+JAILED+FATHER+APPEALS+PRISON+TERM&amp;page_url_params=utm_source%3Dutm_source%253Dtest_source%2526utm_medium%253Dads&amp;Campaign+Date=02%2F09%2F25&amp;Campaign+Time=15%3A03%3A36&amp;en_txn6=Country%3A+Egypt&amp;en_txn7=CaseNumber%3A+Third+73.23+Egypt&amp;en_txn8=Topic%3A+Individuals+At+Risk&amp;en_txn10=YearType%3A+2024%2C+Email&amp;color=%23f26722&amp;height=422</t>
  </si>
  <si>
    <t>https://act.amnestyusa.org/page/153818/petition/1?submit_btn_text=Get+the+sample+letter&amp;page_title=HUMAN+RIGHTS+DEFENDER+IMPRISONED&amp;page_url_params=utm_source%3Dutm_source%253Dtest_source%2526utm_medium%253Dads&amp;Campaign+Date=02%2F09%2F25&amp;Campaign+Time=15%3A12%3A19&amp;en_txn6=Country%3A+Turkiye&amp;en_txn7=CaseNumber%3A+109.24+T%C3%BCrkiye&amp;en_txn8=Topic%3A+Human+Rights+Defenders%2C+Individuals+At+Risk&amp;en_txn10=YearType%3A+2024%2C+Email&amp;color=%23f26722&amp;height=422</t>
  </si>
  <si>
    <t>https://act.amnestyusa.org/page/153818/petition/1?submit_btn_text=Get+the+sample+letter&amp;page_title=PROMINENT+HUMAN+RIGHTS+DEFENDER+DETAINED&amp;page_url_params=utm_source%3Dutm_source%253Dtest_source%2526utm_medium%253Dads&amp;Campaign+Date=02%2F09%2F25&amp;Campaign+Time=15%3A20%3A06&amp;en_txn6=Country%3A+Niger&amp;en_txn7=CaseNumber%3A+103.24+Niger&amp;en_txn8=Topic%3A+Freedom+of+Expression%2C+Human+Rights+Defenders&amp;en_txn10=YearType%3A+2024%2C+Email&amp;color=%23f26722&amp;height=422</t>
  </si>
  <si>
    <t>susmani@aiusa.org</t>
  </si>
  <si>
    <t>https://act.amnestyusa.org/page/153818/petition/1?submit_btn_text=Get+the+sample+letter&amp;page_title=RELEASE+PEDIATRICIAN+AND+HOSPITAL+DIRECTOR+%5BIOPT+3.25%5D&amp;page_url_params=utm_source%3Dutm_source%253Dtest_source%2526utm_medium%253Dads&amp;Campaign+Date=01%2F28%2F25&amp;Campaign+Time=20%3A26%3A22&amp;en_txn6=Country%3A+Israel+and+Occupied+Palestinian+Territories&amp;en_txn7=CaseNumber%3A+3.25+IOPT&amp;en_txn8=Topic%3A+Freedom+of+Expression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</si>
  <si>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16%2F25&amp;Campaign+Time=21%3A30%3A48&amp;en_txn6=Country%3A+Israel+and+Occupied+Palestinian+Territories&amp;en_txn7=CaseNumber%3A+3.25+IOPT&amp;en_txn8=Topic%3A+Freedom+of+Expression%2C+Individuals+At+Risk&amp;en_txn10=YearType%3A+2025%2C+Email&amp;color=%23f26722&amp;height=422</t>
  </si>
  <si>
    <t>https://act.amnestyusa.org/page/153818/petition/1?submit_btn_text=Get+the+sample+letter&amp;page_title=SIX+MEN+AT+RISK+OF+EXECUTION+AFTER+GROSSLY+UNFAIR+TRIAL+%5BIran+6.25%5D&amp;page_url_params=utm_source%3Dutm_source%253Dtest_source%2526utm_medium%253Dads&amp;Campaign+Date=02%2F15%2F25&amp;Campaign+Time=20%3A49%3A10&amp;en_txn6=Country%3A+Iran&amp;en_txn7=CaseNumber%3A+6.25+Iran&amp;en_txn8=Topic%3A+Death+Penalty%2C+Freedom+of+Expression%2C+Individuals+At+Risk&amp;en_txn10=YearType%3A+2025%2C+Email&amp;color=%23f26722&amp;height=422</t>
  </si>
  <si>
    <t>gcapone2@illinois.edu</t>
  </si>
  <si>
    <t>https://act.amnestyusa.org/page/153818/petition/1?submit_btn_text=Get+the+sample+letter&amp;page_title=MALAYSIAN+MAN+BELIEVED+AT+RISK+OF+EXECUTION%C2%A0&amp;page_url_params=utm_source%3Dutm_source%253Dtest_source%2526utm_medium%253Dads&amp;Campaign+Date=02%2F18%2F25&amp;Campaign+Time=14%3A25%3A47&amp;en_txn6=Country%3A+Singapore&amp;en_txn7=CaseNumber%3A+107.24+Singapore&amp;en_txn8=Topic%3A+Death+Penalty&amp;en_txn10=YearType%3A+2024%2C+Email&amp;color=%23f26722&amp;height=422</t>
  </si>
  <si>
    <t>https://act.amnestyusa.org/page/153818/petition/1?submit_btn_text=Get+the+sample+letter&amp;page_title=PROTECT+CIVILIANS+IN+CATATUMBO+%5BColombia+5.25%5D&amp;page_url_params=utm_source%3Dutm_source%253Dtest_source%2526utm_medium%253Dads&amp;Campaign+Date=02%2F02%2F25&amp;Campaign+Time=21%3A34%3A33&amp;en_txn6=Country%3A+Colombia&amp;en_txn7=CaseNumber%3A+5.25+Colombia&amp;en_txn8=Topic%3A+Human+Rights+Defenders%2C+Individuals+At+Risk&amp;en_txn10=YearType%3A+2025%2C+Email&amp;color=%23f26722&amp;height=422</t>
  </si>
  <si>
    <t>https://act.amnestyusa.org/page/153818/petition/1?submit_btn_text=Get+the+sample+letter&amp;page_title=STOP+PERSECUTING+VENEZUELAN+NGO&amp;page_url_params=utm_source%3Dutm_source%253Dtest_source%2526utm_medium%253Dads&amp;Campaign+Date=01%2F29%2F25&amp;Campaign+Time=19%3A59%3A44&amp;en_txn6=Country%3A+Venezuela&amp;en_txn7=CaseNumber%3A+97.24+Venezuela&amp;en_txn8=Topic%3A+Freedom+of+Expression&amp;en_txn10=YearType%3A+2024%2C+Letter&amp;color=%23f26722&amp;height=422</t>
  </si>
  <si>
    <t>https://act.amnestyusa.org/page/153818/petition/1?submit_btn_text=Get+the+sample+letter&amp;page_title=RELEASE+PEDIATRICIAN+AND+HOSPITAL+DIRECTOR+%5BIOPT+3.25%5D&amp;page_url_params=utm_source%3Dutm_source%253Dtest_source%2526utm_medium%253Dads&amp;Campaign+Date=02%2F01%2F25&amp;Campaign+Time=14%3A14%3A27&amp;en_txn6=Country%3A+Israel+and+Occupied+Palestinian+Territories&amp;en_txn7=CaseNumber%3A+3.25+IOPT&amp;en_txn8=Topic%3A+Freedom+of+Expression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</si>
  <si>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USSIA%2C+RELEASE+ALEKSEI+GORINOV%21&amp;page_url_params=utm_source%3Dutm_source%253Dtest_source%2526utm_medium%253Dads&amp;Campaign+Date=12%2F27%2F24&amp;Campaign+Time=21%3A33%3A40&amp;en_txn6=Country%3A+Russian+Federation&amp;en_txn7=CaseNumber%3A+Second+23.24+Russia&amp;en_txn8=Topic%3A+Freedom+of+Expression&amp;en_txn10=YearType%3A+2024%2C+Letter&amp;color=%23f26722&amp;height=422</t>
  </si>
  <si>
    <t>https://act.amnestyusa.org/page/153818/petition/1?submit_btn_text=Get+the+sample+letter&amp;page_title=MALAYSIAN+MAN+BELIEVED+AT+RISK+OF+EXECUTION%C2%A0&amp;page_url_params=utm_source%3Dutm_source%253Dtest_source%2526utm_medium%253Dads&amp;Campaign+Date=02%2F17%2F25&amp;Campaign+Time=18%3A46%3A59&amp;en_txn6=Country%3A+Singapore&amp;en_txn7=CaseNumber%3A+107.24+Singapore&amp;en_txn8=Topic%3A+Death+Penalty&amp;en_txn10=YearType%3A+2024%2C+Email&amp;color=%23f26722&amp;height=422</t>
  </si>
  <si>
    <t>https://act.amnestyusa.org/page/153818/petition/1?submit_btn_text=Get+the+sample+letter&amp;page_title=OLDER+SUFI+SHEIKH+FORCIBLY+DISAPPEARED+FOR+A+YEAR+%5BLibya+12.25%5D&amp;page_url_params=utm_source%3Dutm_source%253Dtest_source%2526utm_medium%253Dads&amp;Campaign+Date=02%2F16%2F25&amp;Campaign+Time=14%3A52%3A06&amp;en_txn6=Country%3A+Libya&amp;en_txn7=CaseNumber%3A+12.25+Libya&amp;en_txn8=Topic%3A+Freedom+of+Expression%2C+Health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</si>
  <si>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ELEASE+PAEDIATRICIAN+AND+HOSPITAL+DIRECTOR&amp;page_url_params=utm_source%3Dutm_source%253Dtest_source%2526utm_medium%253Dads&amp;Campaign+Date=01%2F14%2F25&amp;Campaign+Time=22%3A03%3A18&amp;en_txn6=Country%3A+Israel+and+Occupied+Palestinian+Territories&amp;en_txn7=CaseNumber%3A+3.25+IOPT&amp;en_txn8=Topic%3A+Freedom+of+Expression%2C+Individuals+At+Risk&amp;en_txn10=YearType%3A+2025%2C+Email&amp;color=%23f26722&amp;height=422&amp;fbclid=IwZXh0bgNhZW0CMTAAAR00_mIlV2ChfK-qrXZSvM26cAMBYTCT5UxWCsHt2AgwNZHwXzQhjLAhCAI_aem_n40bC-Zpwty80wc7f52jDg</t>
  </si>
  <si>
    <t>https://donate.amnestyusa.org/page/157642/subscribe/1?_gl=1*1ighlh8*_gcl_au*MTE2NjAwMzM2NC4xNzMzNzU0NzEx&amp;color=%23000000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</si>
  <si>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15%2F25&amp;Campaign+Time=21%3A27%3A21&amp;en_txn6=Country%3A+Israel+and+Occupied+Palestinian+Territories&amp;en_txn7=CaseNumber%3A+3.25+IOPT&amp;en_txn8=Topic%3A+Freedom+of+Expression%2C+Individuals+At+Risk&amp;en_txn10=YearType%3A+2025%2C+Email&amp;color=%23f26722&amp;height=422</t>
  </si>
  <si>
    <t>peacetechie@proton.me</t>
  </si>
  <si>
    <t>https://act.amnestyusa.org/page/153818/petition/1?submit_btn_text=Get+the+sample+letter&amp;page_title=LIFT+MOHAMMED+AL-QAHTANI%26%238217%3BS+TRAVEL+BAN+%5BSaudi+Arabia+Fifth+UA+257.12%5D&amp;page_url_params=utm_source%3Dutm_source%253Dtest_source%2526utm_medium%253Dads&amp;Campaign+Date=02%2F19%2F25&amp;Campaign+Time=00%3A21%3A46&amp;en_txn6=Country%3A+Saudi+Arabia&amp;en_txn7=CaseNumber%3A+Fifth+257.12&amp;en_txn8=Topic%3A+Freedom+of+Expression%2C+Human+Rights+Defenders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</si>
  <si>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STOP+PERSECUTING+VENEZUELAN+NGO&amp;page_url_params=utm_source%3Dutm_source%253Dtest_source%2526utm_medium%253Dads&amp;Campaign+Date=12%2F06%2F24&amp;Campaign+Time=03%3A11%3A28&amp;en_txn6=Country%3A+Venezuela&amp;en_txn7=CaseNumber%3A+97.24+Venezuela&amp;en_txn8=Topic%3A+Freedom+of+Expression&amp;en_txn10=YearType%3A+2024%2C+Letter&amp;color=%23f26722&amp;height=422</t>
  </si>
  <si>
    <t>https://act.amnestyusa.org/page/153818/petition/1?submit_btn_text=Get+the+sample+letter&amp;page_title=RELEASE+JOURNALIST+CONVICTED+OF+PROPAGANDA+%5BAfghanistan+11.25%5D&amp;page_url_params=utm_source%3Dutm_source%253Dtest_source%2526utm_medium%253Dads&amp;Campaign+Date=02%2F15%2F25&amp;Campaign+Time=02%3A22%3A25&amp;en_txn6=Country%3A+Afghanistan&amp;en_txn7=CaseNumber%3A+11.25+Afghanistan&amp;en_txn8=Topic%3A+Freedom+of+Expression%2C+Health%2C+Individuals+At+Risk&amp;en_txn10=YearType%3A+2025%2C+Email&amp;color=%23f26722&amp;height=422</t>
  </si>
  <si>
    <t>https://act.amnestyusa.org/page/153818/petition/1?submit_btn_text=Get+the+sample+letter&amp;page_title=MILITARY+COURT+CONVICTS+HUMAN+RIGHTS+LAWYER+%5BUganda+9.24%5D&amp;page_url_params=utm_source%3Dutm_source%253Dtest_source%2526utm_medium%253Dads&amp;Campaign+Date=02%2F12%2F25&amp;Campaign+Time=01%3A13%3A02&amp;en_txn6=Country%3A+Uganda&amp;en_txn7=CaseNumber%3A+9.25+Uganda&amp;en_txn8=Topic%3A+Freedom+of+Expression%2C+Human+Rights+Defenders&amp;en_txn10=YearType%3A+2025%2C+Email&amp;color=%23f26722&amp;height=422</t>
  </si>
  <si>
    <t>https://act.amnestyusa.org/page/153818/petition/1?submit_btn_text=Get+the+sample+letter&amp;page_title=UNJUSTLY+JAILED+RIGHTS+LAWYER+REFERRED+TO+TRIAL+%5BEgypt+Second+UA+80.23%5D&amp;page_url_params=utm_source%3Dutm_source%253Dtest_source%2526utm_medium%253Dads&amp;Campaign+Date=02%2F08%2F25&amp;Campaign+Time=00%3A45%3A30&amp;en_txn6=Country%3A+Egypt&amp;en_txn7=CaseNumber%3A+Second+80.23+Egypt&amp;en_txn8=Topic%3A+Health%2C+Individuals+At+Risk&amp;en_txn10=YearType%3A+2025%2C+Email&amp;color=%23f26722&amp;height=422</t>
  </si>
  <si>
    <t>https://act.amnestyusa.org/page/153818/petition/1?submit_btn_text=Get+the+sample+letter&amp;page_title=PRISONERS+AT+IMMINENT+RISK+OF+EXECUTION+%5BIran+10.25%5D&amp;page_url_params=utm_source%3Dutm_source%253Dtest_source%2526utm_medium%253Dads&amp;Campaign+Date=02%2F07%2F25&amp;Campaign+Time=01%3A07%3A08&amp;en_txn6=Country%3A+Iran&amp;en_txn7=CaseNumber%3A+10.25+Iran&amp;en_txn8=Topic%3A+Death+Penalty%2C+Individuals+At+Risk&amp;en_txn10=YearType%3A+2025%2C+Email&amp;color=%23f26722&amp;height=422</t>
  </si>
  <si>
    <t>https://act.amnestyusa.org/page/153818/petition/1?submit_btn_text=Get+the+sample+letter&amp;page_title=PROTECT+DEFENDERS+FROM+ARMED+GROUPS+%5BColombia+Third+UA+12.24%5D&amp;page_url_params=utm_source%3Dutm_source%253Dtest_source%2526utm_medium%253Dads&amp;Campaign+Date=02%2F04%2F25&amp;Campaign+Time=03%3A36%3A55&amp;en_txn6=Country%3A+Colombia&amp;en_txn7=CaseNumber%3A+Third+12.24+Colombia&amp;en_txn8=Topic%3A+Human+Rights+Defenders%2C+Individuals+At+Risk&amp;en_txn10=YearType%3A+2025%2C+Email&amp;color=%23f26722&amp;height=422</t>
  </si>
  <si>
    <t>https://act.amnestyusa.org/page/153818/petition/1?submit_btn_text=Get+the+sample+letter&amp;page_title=FREE+IMPRISONED+HUMAN+RIGHTS+DEFENDER&amp;page_url_params=utm_source%3Dutm_source%253Dtest_source%2526utm_medium%253Dads&amp;Campaign+Date=02%2F06%2F25&amp;Campaign+Time=00%3A08%3A20&amp;en_txn6=Country%3A+Turkiye&amp;en_txn7=CaseNumber%3A+Second+109.24+T%C3%BCrkiye&amp;en_txn8=Topic%3A+Human+Rights+Defenders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</si>
  <si>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ENVIRONMENTAL+LAWYER+MUST+BE+PARDONED&amp;page_url_params=utm_source%3Dutm_source%253Dtest_source%2526utm_medium%253Dads&amp;Campaign+Date=01%2F17%2F25&amp;Campaign+Time=01%3A25%3A04&amp;en_txn6=Country%3A+USA&amp;en_txn7=CaseNumber%3A+Fourth+55.24+USA&amp;en_txn8=Topic%3A+Climate+Justice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</si>
  <si>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ENVIRONMENTAL+LAWYER+MUST+BE+PARDONED&amp;page_url_params=utm_source%3Dutm_source%253Dtest_source%2526utm_medium%253Dads&amp;Campaign+Date=01%2F18%2F25&amp;Campaign+Time=00%3A26%3A17&amp;en_txn6=Country%3A+USA&amp;en_txn7=CaseNumber%3A+Fourth+55.24+USA&amp;en_txn8=Topic%3A+Climate+Justice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</si>
  <si>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FREE+VENEZUELAN+HUMAN+RIGHTS+DEFENDERS&amp;page_url_params=utm_source%3Dutm_source%253Dtest_source%2526utm_medium%253Dads&amp;Campaign+Date=01%2F18%2F25&amp;Campaign+Time=00%3A43%3A29&amp;en_txn6=Country%3A+Venezuela&amp;en_txn7=CaseNumber%3A+1.25+Venezuela&amp;en_txn8=Topic%3A+Human+Rights+Defenders%2C+Individuals+At+Risk&amp;en_txn10=YearType%3A+2025%2C+Letter&amp;color=%23f26722&amp;height=422</t>
  </si>
  <si>
    <t>https://act.amnestyusa.org/page/153818/petition/1?submit_btn_text=Get+the+sample+letter&amp;page_title=OLDER+SUFI+SHEIKH+FORCIBLY+DISAPPEARED+FOR+A+YEAR+%5BLibya+12.25%5D&amp;page_url_params=utm_source%3Dutm_source%253Dtest_source%2526utm_medium%253Dads&amp;Campaign+Date=02%2F14%2F25&amp;Campaign+Time=01%3A52%3A00&amp;en_txn6=Country%3A+Libya&amp;en_txn7=CaseNumber%3A+12.25+Libya&amp;en_txn8=Topic%3A+Freedom+of+Expression%2C+Health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</si>
  <si>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STOP+PERSECUTING+VENEZUELAN+NGO&amp;page_url_params=utm_source%3Dutm_source%253Dtest_source%2526utm_medium%253Dads&amp;Campaign+Date=12%2F06%2F24&amp;Campaign+Time=23%3A52%3A36&amp;en_txn6=Country%3A+Venezuela&amp;en_txn7=CaseNumber%3A+97.24+Venezuela&amp;en_txn8=Topic%3A+Freedom+of+Expression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</si>
  <si>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ENVIRONMENTAL+LAWYER+MUST+BE+PARDONED&amp;page_url_params=utm_source%3Dutm_source%253Dtest_source%2526utm_medium%253Dads&amp;Campaign+Date=01%2F15%2F25&amp;Campaign+Time=01%3A51%3A11&amp;en_txn6=Country%3A+USA&amp;en_txn7=CaseNumber%3A+Fourth+55.24+USA&amp;en_txn8=Topic%3A+Climate+Justice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</si>
  <si>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HUMAN+RIGHTS+DEFENDER+IMPRISONED&amp;page_url_params=utm_source%3Dutm_source%253Dtest_source%2526utm_medium%253Dads&amp;Campaign+Date=01%2F02%2F25&amp;Campaign+Time=00%3A27%3A55&amp;en_txn6=Country%3A+Turkiye&amp;en_txn7=CaseNumber%3A+109.24+T%C3%BCrkiye&amp;en_txn8=Topic%3A+Human+Rights+Defenders%2C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</si>
  <si>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FATHER+APPEALS+PRISON+TERM&amp;page_url_params=utm_source%3Dutm_source%253Dtest_source%2526utm_medium%253Dads&amp;Campaign+Date=01%2F03%2F25&amp;Campaign+Time=02%3A15%3A19&amp;en_txn6=Country%3A+Egypt&amp;en_txn7=CaseNumber%3A+Third+73.23+Egypt&amp;en_txn8=Topic%3A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</si>
  <si>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FATHER+APPEALS+PRISON+TERM&amp;page_url_params=utm_source%3Dutm_source%253Dtest_source%2526utm_medium%253Dads&amp;Campaign+Date=01%2F06%2F25&amp;Campaign+Time=05%3A27%3A02&amp;en_txn6=Country%3A+Egypt&amp;en_txn7=CaseNumber%3A+Third+73.23+Egypt&amp;en_txn8=Topic%3A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</si>
  <si>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FATHER+APPEALS+PRISON+TERM&amp;page_url_params=utm_source%3Dutm_source%253Dtest_source%2526utm_medium%253Dads&amp;Campaign+Date=01%2F07%2F25&amp;Campaign+Time=00%3A32%3A18&amp;en_txn6=Country%3A+Egypt&amp;en_txn7=CaseNumber%3A+Third+73.23+Egypt&amp;en_txn8=Topic%3A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</si>
  <si>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ISKS+OF+FURTHER+PROTEST-RELATED+EXECUTIONS&amp;page_url_params=utm_source%3Dutm_source%253Dtest_source%2526utm_medium%253Dads&amp;Campaign+Date=01%2F06%2F25&amp;Campaign+Time=15%3A22%3A09&amp;en_txn6=Country%3A+Iran&amp;en_txn7=CaseNumber%3A+Seventh+103.22+Iran&amp;en_txn8=Topic%3A+Death+Penalty%2C+Freedom+of+Expression%2C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</si>
  <si>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ENVIRONMENTAL+LAWYER+MUST+BE+PARDONED&amp;page_url_params=utm_source%3Dutm_source%253Dtest_source%2526utm_medium%253Dads&amp;Campaign+Date=01%2F09%2F25&amp;Campaign+Time=04%3A43%3A43&amp;en_txn6=Country%3A+USA&amp;en_txn7=CaseNumber%3A+Fourth+55.24+USA&amp;en_txn8=Topic%3A+Climate+Justice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</si>
  <si>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ENVIRONMENTAL+LAWYER+MUST+BE+PARDONED&amp;page_url_params=utm_source%3Dutm_source%253Dtest_source%2526utm_medium%253Dads&amp;Campaign+Date=01%2F10%2F25&amp;Campaign+Time=00%3A42%3A59&amp;en_txn6=Country%3A+USA&amp;en_txn7=CaseNumber%3A+Fourth+55.24+USA&amp;en_txn8=Topic%3A+Climate+Justice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</si>
  <si>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MALAYSIAN+MAN+BELIEVED+AT+RISK+OF+EXECUTION%C2%A0&amp;page_url_params=utm_source%3Dutm_source%253Dtest_source%2526utm_medium%253Dads&amp;Campaign+Date=12%2F25%2F24&amp;Campaign+Time=00%3A58%3A59&amp;en_txn6=Country%3A+Singapore&amp;en_txn7=CaseNumber%3A+107.24+Singapore&amp;en_txn8=Topic%3A+Death+Penalty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</si>
  <si>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LAWYER+TREATED+INHUMANELY&amp;page_url_params=utm_source%3Dutm_source%253Dtest_source%2526utm_medium%253Dads&amp;Campaign+Date=12%2F27%2F24&amp;Campaign+Time=00%3A59%3A54&amp;en_txn6=Country%3A+Tunisia&amp;en_txn7=CaseNumber%3A+Second+43.24+Tunisia&amp;en_txn8=Topic%3A+Freedom+of+Expression%2C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</si>
  <si>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PROMINENT+HUMAN+RIGHTS+DEFENDER+DETAINED&amp;page_url_params=utm_source%3Dutm_source%253Dtest_source%2526utm_medium%253Dads&amp;Campaign+Date=12%2F28%2F24&amp;Campaign+Time=23%3A44%3A13&amp;en_txn6=Country%3A+Niger&amp;en_txn7=CaseNumber%3A+103.24+Niger&amp;en_txn8=Topic%3A+Freedom+of+Expression%2C+Human+Rights+Defenders&amp;en_txn10=YearType%3A+2024%2C+Email&amp;color=%23f26722&amp;height=422</t>
  </si>
  <si>
    <t>https://act.amnestyusa.org/page/153818/petition/1?val&amp;email_text=Thank+you+for+your+support%21&amp;email_cta_text=Take+Action&amp;email_cta_url=https%3A%2F%2Fwww.amnestyusa.org&amp;submit_btn_text=Get+the+sample+letter&amp;page_title=KURDISH+DISSIDENT+SENTENCED+TO+DEATH+IN+IRAN&amp;page_url_params=utm_source%3Dutm_source%253Dtest_source%2526utm_medium%253Dads&amp;Campaign+Date=12%2F10%2F24&amp;Campaign+Time=23%3A51%3A00&amp;en_txn6=Country%3A+Iran&amp;en_txn7=CaseNumber%3A+101.24+Iran&amp;en_txn8=Topic%3A+Death+Penalty%2C+Freedom+of+Expression%2C+Individuals+At+Risk%2C+Right+to+Protest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</si>
  <si>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End+Racist+Deportations+of+Haitians&amp;page_url_params=utm_source%3Dutm_source%253Dtest_source%2526utm_medium%253Dads&amp;Campaign+Date=11%2F28%2F24&amp;Campaign+Time=04%3A49%3A56&amp;en_txn6=Country%3A+Dominican+Republic&amp;en_txn7=CaseNumber%3A+88.24+Dominican+Republic&amp;en_txn8=Topic%3A+Individuals+At+Risk%2C+Refugee+and+Migrant+Rights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</si>
  <si>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LAWYER%E2%80%99S+HEALTH+AT+RISK&amp;page_url_params=utm_source%3Dutm_source%253Dtest_source%2526utm_medium%253Dads&amp;Campaign+Date=11%2F28%2F24&amp;Campaign+Time=23%3A57%3A33&amp;en_txn6=Country%3A+Egypt&amp;en_txn7=CaseNumber%3A+Ninth+190.18+Egypt&amp;en_txn8=Topic%3A+Freedom+of+Expression%2C+Individuals+At+Risk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</si>
  <si>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DEATH+SENTENCE+FOR+SOCIAL+MEDIA+POSTS+COMMUTED&amp;page_url_params=utm_source%3Dutm_source%253Dtest_source%2526utm_medium%253Dads&amp;Campaign+Date=12%2F02%2F24&amp;Campaign+Time=23%3A51%3A07&amp;en_txn6=Country%3A+Saudi+Arabia&amp;en_txn7=CaseNumber%3A+Second+85.23+Saudi+Arabia&amp;en_txn8=Topic%3A+Freedom+of+Expression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</si>
  <si>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USSIA%2C+RELEASE+ALEKSEI+GORINOV%21&amp;page_url_params=utm_source%3Dutm_source%253Dtest_source%2526utm_medium%253Dads&amp;Campaign+Date=12%2F05%2F24&amp;Campaign+Time=23%3A59%3A19&amp;en_txn6=Country%3A+Russian+Federation&amp;en_txn7=CaseNumber%3A+Second+23.24+Russia&amp;en_txn8=Topic%3A+Freedom+of+Expression&amp;en_txn10=YearType%3A+2024%2C+Letter&amp;color=%23f26722&amp;height=422</t>
  </si>
  <si>
    <t>rodneyneill@hotmail.com</t>
  </si>
  <si>
    <t>https://act.amnestyusa.org/page/153818/petition/1?email_text=Thank+you+for+your+support%21&amp;email_cta_text=Take+Action&amp;email_cta_url=https%3A%2F%2Fwww.amnestyusa.org&amp;submit_btn_text=Get+the+sample+letter&amp;page_title=UNJUSTLY+JAILED+LAWYER+TREATED+INHUMANELY&amp;page_url_params=utm_source%3Dutm_source%253Dtest_source%2526utm_medium%253Dads&amp;Campaign+Date=12%2F20%2F24&amp;Campaign+Time=21%3A45%3A04&amp;en_txn6=Country%3A+Tunisia&amp;en_txn7=CaseNumber%3A+Second+43.24+Tunisia&amp;en_txn8=Topic%3A+Freedom+of+Expression%2C+Individuals+At+Risk&amp;en_txn10=YearType%3A+2024%2C+Email&amp;color=%23f26722&amp;height=422</t>
  </si>
  <si>
    <t>ulf.c.berg@outlook.com</t>
  </si>
  <si>
    <t>https://donate.amnestyusa.org/page/157642/subscribe/1?_gl=1*e9jwps*_gcl_au*MTg1NDY0NzQwNS4xNzMyNDY0MDc5&amp;color=%23252525</t>
  </si>
  <si>
    <t>cloveless782@gmail.com</t>
  </si>
  <si>
    <t>https://act.amnestyusa.org/page/153818/petition/1?email_text=Thank+you+for+your+support%21&amp;email_cta_text=Take+Action&amp;email_cta_url=https%3A%2F%2Fwww.amnestyusa.org&amp;submit_btn_text=Get+the+sample+letter&amp;page_title=RELEASE+JOURNALISTS+ARRESTED+AFTER+COP29&amp;page_url_params=utm_source%3Dutm_source%253Dtest_source%2526utm_medium%253Dads&amp;Campaign+Date=01%2F20%2F25&amp;Campaign+Time=04%3A15%3A53&amp;en_txn6=Country%3A+Azerbaijan&amp;en_txn7=CaseNumber%3A+2.25+Azerbaijan&amp;en_txn8=Topic%3A+Freedom+of+Expression%2C+Human+Rights+Defenders&amp;en_txn10=YearType%3A+2025%2C+Email&amp;color=%23f26722&amp;height=422</t>
  </si>
  <si>
    <t>kam2367@columbia.edu</t>
  </si>
  <si>
    <t>https://act.amnestyusa.org/page/153818/petition/1?submit_btn_text=Get+the+sample+letter&amp;page_title=FREE+VENEZUELAN+HUMAN+RIGHTS+DEFENDERS&amp;page_url_params=utm_source%3Dutm_source%253Dtest_source%2526utm_medium%253Dads&amp;Campaign+Date=01%2F29%2F25&amp;Campaign+Time=01%3A11%3A59&amp;en_txn6=Country%3A+Venezuela&amp;en_txn7=CaseNumber%3A+1.25+Venezuela&amp;en_txn8=Topic%3A+Human+Rights+Defenders%2C+Individuals+At+Risk&amp;en_txn10=YearType%3A+2025%2C+Letter&amp;color=%23f26722&amp;height=422</t>
  </si>
  <si>
    <t>michaelt@4sitestudios.com</t>
  </si>
  <si>
    <t>https://act.amnestyusa.org/page/153818/petition/1?mode=DEMO&amp;assets=local&amp;debug=false</t>
  </si>
  <si>
    <t>https://act.amnestyusa.org/page/153818/petition/1?val&amp;color=%23000000</t>
  </si>
  <si>
    <t>michaelthomas372@gmail.com</t>
  </si>
  <si>
    <t>https://act.amnestyusa.org/page/153818/petition/1?val&amp;mode=DEMO&amp;assets=local&amp;debug=false</t>
  </si>
  <si>
    <t>bryan@4sitestuidos.com</t>
  </si>
  <si>
    <t>https://act.amnestyusa.org/page/153818/petition/1?submit_btn_text=Get+the+sample+letter&amp;page_title=RELEASE+PEDIATRICIAN+AND+HOSPITAL+DIRECTOR+%5BIOPT+3.25%5D&amp;page_url_params=utm_source%3Dutm_source%253Dtest_source%2526utm_medium%253Dads&amp;Campaign+Date=01%2F25%2F25&amp;Campaign+Time=12%3A42%3A09&amp;en_txn6=Country%3A+Israel+and+Occupied+Palestinian+Territories&amp;en_txn7=CaseNumber%3A+3.25+IOPT&amp;en_txn8=Topic%3A+Freedom+of+Expression%2C+Individuals+At+Risk&amp;en_txn10=YearType%3A+2025%2C+Email&amp;color=%23f26722&amp;height=422</t>
  </si>
  <si>
    <t>lgoldman@aiusacs.org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</si>
  <si>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16%2F25&amp;Campaign+Time=09%3A20%3A07&amp;en_txn6=Country%3A+Israel+and+Occupied+Palestinian+Territories&amp;en_txn7=CaseNumber%3A+3.25+IOPT&amp;en_txn8=Topic%3A+Freedom+of+Expression%2C+Individuals+At+Risk&amp;en_txn10=YearType%3A+2025%2C+Email&amp;color=%23f26722&amp;height=422&amp;fbclid=IwZXh0bgNhZW0CMTEAAR0cknb1oTbthRBZYZEYIicm7fsP0Wsc8dYO5oaENKyor_KYIrzTH08MZtg_aem_vZa_08Au8DuhmsE6aq6LMg</t>
  </si>
  <si>
    <t>https://act.amnestyusa.org/page/153818/petition/1?submit_btn_text=Get+the+sample+letter&amp;page_title=PROTECT+CIVILIANS+IN+CATATUMBO+%5BColombia+5.25%5D&amp;page_url_params=utm_source%3Dutm_source%253Dtest_source%2526utm_medium%253Dads&amp;Campaign+Date=01%2F28%2F25&amp;Campaign+Time=07%3A44%3A54&amp;en_txn6=Country%3A+Colombia&amp;en_txn7=CaseNumber%3A+5.25+Colombia&amp;en_txn8=Topic%3A+Human+Rights+Defenders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</si>
  <si>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INDIANA%E2%80%99S+FIRST+EXECUTION+IN+15+YEARS+LOOMS&amp;page_url_params=utm_source%3Dutm_source%253Dtest_source%2526utm_medium%253Dads&amp;Campaign+Date=12%2F11%2F24&amp;Campaign+Time=21%3A27%3A09&amp;en_txn6=Country%3A+USA&amp;en_txn7=CaseNumber%3A+105.24+USA&amp;en_txn8=Topic%3A+Death+Penalty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</si>
  <si>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ISKS+OF+FURTHER+PROTEST-RELATED+EXECUTIONS&amp;page_url_params=utm_source%3Dutm_source%253Dtest_source%2526utm_medium%253Dads&amp;Campaign+Date=01%2F06%2F25&amp;Campaign+Time=10%3A39%3A18&amp;en_txn6=Country%3A+Iran&amp;en_txn7=CaseNumber%3A+Seventh+103.22+Iran&amp;en_txn8=Topic%3A+Death+Penalty%2C+Freedom+of+Expression%2C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</si>
  <si>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FATHER+APPEALS+PRISON+TERM&amp;page_url_params=utm_source%3Dutm_source%253Dtest_source%2526utm_medium%253Dads&amp;Campaign+Date=01%2F06%2F25&amp;Campaign+Time=10%3A35%3A13&amp;en_txn6=Country%3A+Egypt&amp;en_txn7=CaseNumber%3A+Third+73.23+Egypt&amp;en_txn8=Topic%3A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</si>
  <si>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HUMAN+RIGHTS+DEFENDER+IMPRISONED&amp;page_url_params=utm_source%3Dutm_source%253Dtest_source%2526utm_medium%253Dads&amp;Campaign+Date=01%2F06%2F25&amp;Campaign+Time=10%3A28%3A13&amp;en_txn6=Country%3A+Turkiye&amp;en_txn7=CaseNumber%3A+109.24+T%C3%BCrkiye&amp;en_txn8=Topic%3A+Human+Rights+Defenders%2C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</si>
  <si>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PROMINENT+HUMAN+RIGHTS+DEFENDER+DETAINED&amp;page_url_params=utm_source%3Dutm_source%253Dtest_source%2526utm_medium%253Dads&amp;Campaign+Date=01%2F06%2F25&amp;Campaign+Time=10%3A21%3A17&amp;en_txn6=Country%3A+Niger&amp;en_txn7=CaseNumber%3A+103.24+Niger&amp;en_txn8=Topic%3A+Freedom+of+Expression%2C+Human+Rights+Defenders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</si>
  <si>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LAWYER+TREATED+INHUMANELY&amp;page_url_params=utm_source%3Dutm_source%253Dtest_source%2526utm_medium%253Dads&amp;Campaign+Date=01%2F06%2F25&amp;Campaign+Time=09%3A29%3A24&amp;en_txn6=Country%3A+Tunisia&amp;en_txn7=CaseNumber%3A+Second+43.24+Tunisia&amp;en_txn8=Topic%3A+Freedom+of+Expression%2C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</si>
  <si>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PROMINENT+ARTIST+ARRESTED+FOR+HIS+WORK&amp;page_url_params=utm_source%3Dutm_source%253Dtest_source%2526utm_medium%253Dads&amp;Campaign+Date=01%2F06%2F25&amp;Campaign+Time=09%3A20%3A27&amp;en_txn6=Country%3A+China&amp;en_txn7=CaseNumber%3A+106.24+China&amp;en_txn8=Topic%3A+Freedom+of+Expression%2C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</si>
  <si>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15%2F25&amp;Campaign+Time=09%3A22%3A25&amp;en_txn6=Country%3A+Israel+and+Occupied+Palestinian+Territories&amp;en_txn7=CaseNumber%3A+3.25+IOPT&amp;en_txn8=Topic%3A+Freedom+of+Expression%2C+Individuals+At+Risk&amp;en_txn10=YearType%3A+2025%2C+Email&amp;color=%23f26722&amp;height=422</t>
  </si>
  <si>
    <t>https://act.amnestyusa.org/page/153818/petition/1?submit_btn_text=Get+the+sample+letter&amp;page_title=UNJUSTLY+JAILED+RIGHTS+LAWYER+REFERRED+TO+TRIAL+%5BEgypt+Second+UA+80.23%5D&amp;page_url_params=utm_source%3Dutm_source%253Dtest_source%2526utm_medium%253Dads&amp;Campaign+Date=02%2F10%2F25&amp;Campaign+Time=07%3A47%3A11&amp;en_txn6=Country%3A+Egypt&amp;en_txn7=CaseNumber%3A+Second+80.23+Egypt&amp;en_txn8=Topic%3A+Health%2C+Individuals+At+Risk&amp;en_txn10=YearType%3A+2025%2C+Email&amp;color=%23f26722&amp;height=422</t>
  </si>
  <si>
    <t>https://act.amnestyusa.org/page/153818/petition/1?submit_btn_text=Get+the+sample+letter&amp;page_title=OLDER+SUFI+SHEIKH+FORCIBLY+DISAPPEARED+FOR+A+YEAR+%5BLibya+12.25%5D&amp;page_url_params=utm_source%3Dutm_source%253Dtest_source%2526utm_medium%253Dads&amp;Campaign+Date=02%2F10%2F25&amp;Campaign+Time=07%3A53%3A09&amp;en_txn6=Country%3A+Libya&amp;en_txn7=CaseNumber%3A+12.25+Libya&amp;en_txn8=Topic%3A+Freedom+of+Expression%2C+Health%2C+Individuals+At+Risk&amp;en_txn10=YearType%3A+2025%2C+Email&amp;color=%23f26722&amp;height=422</t>
  </si>
  <si>
    <t>https://act.amnestyusa.org/page/153818/petition/1?submit_btn_text=Get+the+sample+letter&amp;page_title=RELEASE+JOURNALIST+CONVICTED+OF+PROPAGANDA+%5BAfghanistan+11.25%5D&amp;page_url_params=utm_source%3Dutm_source%253Dtest_source%2526utm_medium%253Dads&amp;Campaign+Date=02%2F10%2F25&amp;Campaign+Time=08%3A00%3A03&amp;en_txn6=Country%3A+Afghanistan&amp;en_txn7=CaseNumber%3A+11.25+Afghanistan&amp;en_txn8=Topic%3A+Freedom+of+Expression%2C+Health%2C+Individuals+At+Risk&amp;en_txn10=YearType%3A+2025%2C+Email&amp;color=%23f26722&amp;height=422</t>
  </si>
  <si>
    <t>https://act.amnestyusa.org/page/153818/petition/1?submit_btn_text=Get+the+sample+letter&amp;page_title=LIFT+MOHAMMED+AL-QAHTANI%26%238217%3BS+TRAVEL+BAN+%5BSaudi+Arabia+Fifth+UA+257.12%5D&amp;page_url_params=utm_source%3Dutm_source%253Dtest_source%2526utm_medium%253Dads&amp;Campaign+Date=02%2F10%2F25&amp;Campaign+Time=08%3A02%3A32&amp;en_txn6=Country%3A+Saudi+Arabia&amp;en_txn7=CaseNumber%3A+Fifth+257.12&amp;en_txn8=Topic%3A+Freedom+of+Expression%2C+Human+Rights+Defenders&amp;en_txn10=YearType%3A+2025%2C+Email&amp;color=%23f26722&amp;height=422</t>
  </si>
  <si>
    <t>https://act.amnestyusa.org/page/153818/petition/1?submit_btn_text=Get+the+sample+letter&amp;page_title=PROTECT+DEFENDERS+FROM+ARMED+GROUPS+%5BColombia+Third+UA+12.24%5D&amp;page_url_params=utm_source%3Dutm_source%253Dtest_source%2526utm_medium%253Dads&amp;Campaign+Date=02%2F04%2F25&amp;Campaign+Time=09%3A44%3A47&amp;en_txn6=Country%3A+Colombia&amp;en_txn7=CaseNumber%3A+Third+12.24+Colombia&amp;en_txn8=Topic%3A+Human+Rights+Defenders%2C+Individuals+At+Risk&amp;en_txn10=YearType%3A+2025%2C+Email&amp;color=%23f26722&amp;height=422</t>
  </si>
  <si>
    <t>https://act.amnestyusa.org/page/153818/petition/1?submit_btn_text=Get+the+sample+letter&amp;page_title=FREE+IMPRISONED+HUMAN+RIGHTS+DEFENDER&amp;page_url_params=utm_source%3Dutm_source%253Dtest_source%2526utm_medium%253Dads&amp;Campaign+Date=02%2F04%2F25&amp;Campaign+Time=09%3A51%3A28&amp;en_txn6=Country%3A+Turkiye&amp;en_txn7=CaseNumber%3A+Second+109.24+T%C3%BCrkiye&amp;en_txn8=Topic%3A+Human+Rights+Defenders&amp;en_txn10=YearType%3A+2025%2C+Email&amp;color=%23f26722&amp;height=422</t>
  </si>
  <si>
    <t>https://act.amnestyusa.org/page/153818/petition/1?submit_btn_text=Get+the+sample+letter&amp;page_title=SIX+MEN+AT+RISK+OF+EXECUTION+AFTER+GROSSLY+UNFAIR+TRIAL+%5BIran+6.25%5D&amp;page_url_params=utm_source%3Dutm_source%253Dtest_source%2526utm_medium%253Dads&amp;Campaign+Date=02%2F04%2F25&amp;Campaign+Time=09%3A56%3A00&amp;en_txn6=Country%3A+Iran&amp;en_txn7=CaseNumber%3A+6.25+Iran&amp;en_txn8=Topic%3A+Death+Penalty%2C+Freedom+of+Expression%2C+Individuals+At+Risk&amp;en_txn10=YearType%3A+2025%2C+Email&amp;color=%23f26722&amp;height=422</t>
  </si>
  <si>
    <t>https://act.amnestyusa.org/page/153818/petition/1?submit_btn_text=Get+the+sample+letter&amp;page_title=PROMINENT+JOURNALIST+ARBITRARILY+DETAINED+%5BTunisia+8.25%5D&amp;page_url_params=utm_source%3Dutm_source%253Dtest_source%2526utm_medium%253Dads&amp;Campaign+Date=02%2F06%2F25&amp;Campaign+Time=07%3A24%3A25&amp;en_txn6=Country%3A+Tunisia&amp;en_txn7=CaseNumber%3A+8.25+Tunisia&amp;en_txn8=Topic%3A+Freedom+of+Expression&amp;en_txn10=YearType%3A+2025%2C+Email&amp;color=%23f26722&amp;height=422</t>
  </si>
  <si>
    <t>https://act.amnestyusa.org/page/153818/petition/1?submit_btn_text=Get+the+sample+letter&amp;page_title=MILITARY+COURT+CONVICTS+HUMAN+RIGHTS+LAWYER+%5BUganda+9.24%5D&amp;page_url_params=utm_source%3Dutm_source%253Dtest_source%2526utm_medium%253Dads&amp;Campaign+Date=02%2F06%2F25&amp;Campaign+Time=07%3A30%3A28&amp;en_txn6=Country%3A+Uganda&amp;en_txn7=CaseNumber%3A+9.25+Uganda&amp;en_txn8=Topic%3A+Freedom+of+Expression%2C+Human+Rights+Defenders&amp;en_txn10=YearType%3A+2025%2C+Email&amp;color=%23f26722&amp;height=422</t>
  </si>
  <si>
    <t>https://act.amnestyusa.org/page/153818/petition/1?submit_btn_text=Get+the+sample+letter&amp;page_title=PRISONERS+AT+IMMINENT+RISK+OF+EXECUTION+%5BIran+10.25%5D&amp;page_url_params=utm_source%3Dutm_source%253Dtest_source%2526utm_medium%253Dads&amp;Campaign+Date=02%2F06%2F25&amp;Campaign+Time=07%3A34%3A56&amp;en_txn6=Country%3A+Iran&amp;en_txn7=CaseNumber%3A+10.25+Iran&amp;en_txn8=Topic%3A+Death+Penalty%2C+Individuals+At+Risk&amp;en_txn10=YearType%3A+2025%2C+Email&amp;color=%23f26722&amp;height=422</t>
  </si>
  <si>
    <t>https://act.amnestyusa.org/page/153818/petition/1?submit_btn_text=Get+the+sample+letter&amp;page_title=PROTECT+DEFENDERS+FROM+ARMED+GROUPS+%5BColombia+Third+UA+12.24%5D&amp;page_url_params=utm_source%3Dutm_source%253Dtest_source%2526utm_medium%253Dads&amp;Campaign+Date=01%2F28%2F25&amp;Campaign+Time=07%3A33%3A18&amp;en_txn6=Country%3A+Colombia&amp;en_txn7=CaseNumber%3A+Third+12.24+Colombia&amp;en_txn8=Topic%3A+Human+Rights+Defenders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</si>
  <si>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LAWYER%E2%80%99S+HEALTH+AT+RISK&amp;page_url_params=utm_source%3Dutm_source%253Dtest_source%2526utm_medium%253Dads&amp;Campaign+Date=12%2F11%2F24&amp;Campaign+Time=21%3A36%3A24&amp;en_txn6=Country%3A+Egypt&amp;en_txn7=CaseNumber%3A+Ninth+190.18+Egypt&amp;en_txn8=Topic%3A+Freedom+of+Expression%2C+Individuals+At+Risk&amp;en_txn10=YearType%3A+2024%2C+Letter&amp;color=%23f26722&amp;height=422</t>
  </si>
  <si>
    <t>https://act.amnestyusa.org/page/153818/petition/1?submit_btn_text=Get+the+sample+letter&amp;page_title=FREE+IMPRISONED+HUMAN+RIGHTS+DEFENDER&amp;page_url_params=utm_source%3Dutm_source%253Dtest_source%2526utm_medium%253Dads&amp;Campaign+Date=01%2F28%2F25&amp;Campaign+Time=07%3A51%3A14&amp;en_txn6=Country%3A+Turkiye&amp;en_txn7=CaseNumber%3A+Second+109.24+T%C3%BCrkiye&amp;en_txn8=Topic%3A+Human+Rights+Defenders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</si>
  <si>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HUMAN+RIGHTS+DEFENDER+IMPRISONED&amp;page_url_params=utm_source%3Dutm_source%253Dtest_source%2526utm_medium%253Dads&amp;Campaign+Date=01%2F14%2F25&amp;Campaign+Time=10%3A34%3A38&amp;en_txn6=Country%3A+Turkiye&amp;en_txn7=CaseNumber%3A+109.24+T%C3%BCrkiye&amp;en_txn8=Topic%3A+Human+Rights+Defenders%2C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</si>
  <si>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UNJUSTLY+JAILED+FATHER+APPEALS+PRISON+TERM&amp;page_url_params=utm_source%3Dutm_source%253Dtest_source%2526utm_medium%253Dads&amp;Campaign+Date=01%2F14%2F25&amp;Campaign+Time=10%3A40%3A51&amp;en_txn6=Country%3A+Egypt&amp;en_txn7=CaseNumber%3A+Third+73.23+Egypt&amp;en_txn8=Topic%3A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</si>
  <si>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ISKS+OF+FURTHER+PROTEST-RELATED+EXECUTIONS&amp;page_url_params=utm_source%3Dutm_source%253Dtest_source%2526utm_medium%253Dads&amp;Campaign+Date=01%2F14%2F25&amp;Campaign+Time=10%3A48%3A02&amp;en_txn6=Country%3A+Iran&amp;en_txn7=CaseNumber%3A+Seventh+103.22+Iran&amp;en_txn8=Topic%3A+Death+Penalty%2C+Freedom+of+Expression%2C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</si>
  <si>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ELEASE+JOURNALISTS+ARRESTED+AFTER+COP29&amp;page_url_params=utm_source%3Dutm_source%253Dtest_source%2526utm_medium%253Dads&amp;Campaign+Date=01%2F14%2F25&amp;Campaign+Time=10%3A53%3A54&amp;en_txn6=Country%3A+Azerbaijan&amp;en_txn7=CaseNumber%3A+2.25+Azerbaijan&amp;en_txn8=Topic%3A+Freedom+of+Expression%2C+Human+Rights+Defenders&amp;en_txn10=YearType%3A+2025%2C+Email&amp;color=%23f26722&amp;height=422</t>
  </si>
  <si>
    <t>https://donate.amnestyusa.org/page/157642/subscribe/1?_gl=1*m3byrv*_gcl_au*MTY5NDM0NjAyNS4xNzM5MTczNTY4&amp;color=%23252525</t>
  </si>
  <si>
    <t>https://donate.amnestyusa.org/page/157642/subscribe/1?_gl=1*1huq90p*_gcl_au*MTY5NDM0NjAyNS4xNzM5MTczNTY4&amp;color=%23252525</t>
  </si>
  <si>
    <t>https://act.amnestyusa.org/page/153818/petition/1?val&amp;email_text=Thank+you+for+taking+action+on+RISKS+OF+FURTHER+PROTEST-RELATED+EXECUTIONS.&amp;email_cta_text=VIEW+MORE+URGENT+ACTIONS&amp;email_cta_url=https%3A%2F%2Fwww.amnestyusa.org%2Fget-involved%2Fgrassroots-activism%2Furgent-action-network%2Factions%2F%3Fstatus%3Dactive%26fyear%3D2025%26sortby%3Dnewest%26pg%3D1&amp;submit_btn_text=Get+the+sample+letter&amp;page_title=RISKS+OF+FURTHER+PROTEST-RELATED+EXECUTIONS&amp;page_url_params=utm_source%3Dutm_source%253Dtest_source%2526utm_medium%253Dads&amp;Campaign+Date=01%2F21%2F25&amp;Campaign+Time=22%3A09%3A00&amp;en_txn6=Country%3A+Iran&amp;en_txn7=CaseNumber%3A+Seventh+103.22+Iran&amp;en_txn8=Topic%3A+Death+Penalty%2C+Freedom+of+Expression%2C+Individuals+At+Risk&amp;en_txn10=YearType%3A+2024%2C+Email&amp;color=%23f26722&amp;height=422</t>
  </si>
  <si>
    <t>rcadmaven@gmail.com</t>
  </si>
  <si>
    <t>https://act.amnestyusa.org/page/153818/petition/1?submit_btn_text=Get+the+sample+letter&amp;page_title=PEOPLE+SEEKING+SAFETY+AT+RISK+IN+THE+USA+%5BUSA+4.25%5D&amp;page_url_params=utm_source%3Dutm_source%253Dtest_source%2526utm_medium%253Dads&amp;Campaign+Date=02%2F18%2F25&amp;Campaign+Time=17%3A03%3A48&amp;en_txn6=Country%3A+USA&amp;en_txn7=CaseNumber%3A+4.25+USA&amp;en_txn8=Topic%3A+Individuals+At+Risk%2C+Refugee+and+Migrant+Rights&amp;en_txn10=YearType%3A+2025%2C+Letter&amp;color=%23f26722&amp;height=422</t>
  </si>
  <si>
    <t>https://act.amnestyusa.org/page/153818/petition/1?submit_btn_text=Get+the+sample+letter&amp;page_title=RELEASE+JOURNALISTS+ARRESTED+AFTER+COP29&amp;page_url_params=utm_source%3Dutm_source%253Dtest_source%2526utm_medium%253Dads&amp;Campaign+Date=01%2F20%2F25&amp;Campaign+Time=19%3A49%3A40&amp;en_txn6=Country%3A+Azerbaijan&amp;en_txn7=CaseNumber%3A+2.25+Azerbaijan&amp;en_txn8=Topic%3A+Freedom+of+Expression%2C+Human+Rights+Defenders&amp;en_txn10=YearType%3A+2025%2C+Email&amp;color=%23f26722&amp;height=422</t>
  </si>
  <si>
    <t>ouassim@its.com</t>
  </si>
  <si>
    <t>oo@test.com</t>
  </si>
  <si>
    <t>peacenik1972@gmail.com</t>
  </si>
  <si>
    <t>https://donate.amnestyusa.org/page/157642/subscribe/1?_gl=1*1awlgqs*_gcl_au*MTg3MzUxMDQ4MS4xNzM4MjQ5NjIx&amp;color=%23252525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</si>
  <si>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14%2F25&amp;Campaign+Time=22%3A58%3A22&amp;en_txn6=Country%3A+Israel+and+Occupied+Palestinian+Territories&amp;en_txn7=CaseNumber%3A+3.25+IOPT&amp;en_txn8=Topic%3A+Freedom+of+Expression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</si>
  <si>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ELEASE+PAEDIATRICIAN+AND+HOSPITAL+DIRECTOR&amp;page_url_params=utm_source%3Dutm_source%253Dtest_source%2526utm_medium%253Dads&amp;Campaign+Date=01%2F14%2F25&amp;Campaign+Time=22%3A31%3A45&amp;en_txn6=Country%3A+Israel+and+Occupied+Palestinian+Territories&amp;en_txn7=CaseNumber%3A+3.25+IOPT&amp;en_txn8=Topic%3A+Freedom+of+Expression%2C+Individuals+At+Risk&amp;en_txn10=YearType%3A+2025%2C+Email&amp;color=%23f26722&amp;height=422&amp;fbclid=IwY2xjawH0Jo1leHRuA2FlbQIxMAABHWUY6_zWziVXpVbOv56Z2Am_l-1HZVx2EMk2lxyDAK9BlUagYKSuuXzEXg_aem_ecAYPXcr6T20FO0N4Oo-ig</t>
  </si>
  <si>
    <t>mobile:N~tablet:Y~device:APPLE~os:Mac OS X (iPad)~browser:Apple WebKit</t>
  </si>
  <si>
    <t>https://act.amnestyusa.org/page/153818/petition/1?submit_btn_text=Get+the+sample+letter&amp;page_title=RELEASE+PEDIATRICIAN+AND+HOSPITAL+DIRECTOR+%5BIOPT+3.25%5D&amp;page_url_params=utm_source%3Dutm_source%253Dtest_source%2526utm_medium%253Dads&amp;Campaign+Date=02%2F01%2F25&amp;Campaign+Time=04%3A25%3A35&amp;en_txn6=Country%3A+Israel+and+Occupied+Palestinian+Territories&amp;en_txn7=CaseNumber%3A+3.25+IOPT&amp;en_txn8=Topic%3A+Freedom+of+Expression%2C+Individuals+At+Risk&amp;en_txn10=YearType%3A+2025%2C+Email&amp;color=%23f26722&amp;height=422&amp;fbclid=IwZXh0bgNhZW0BMQABHcWz1ax8cqUVVgacSgkoQLoj2NhRF7q9sKVD7HeYVtmJ_OhXuL1AnK8c2w_aem_u4Hx7V7g1T6w08ApivuQ0w</t>
  </si>
  <si>
    <t>leo.nollet@telenet.be</t>
  </si>
  <si>
    <t>https://act.amnestyusa.org/page/153818/petition/1?email_text=Thank+you+for+your+support%21&amp;email_cta_text=Take+Action&amp;email_cta_url=https%3A%2F%2Fwww.amnestyusa.org&amp;submit_btn_text=Get+the+sample+letter&amp;page_title=End+Racist+Deportations+of+Haitians&amp;page_url_params=utm_source%3Dutm_source%253Dtest_source%2526utm_medium%253Dads&amp;Campaign+Date=11%2F21%2F24&amp;Campaign+Time=10%3A36%3A49&amp;en_txn6=Country%3A+Dominican+Republic&amp;en_txn7=CaseNumber%3A+88.24+Dominican+Republic&amp;en_txn8=Topic%3A+Individuals+At+Risk%2C+Refugee+and+Migrant+Rights&amp;en_txn10=YearType%3A+2024%2C+Letter&amp;color=%23f26722&amp;height=422</t>
  </si>
  <si>
    <t>https://act.amnestyusa.org/page/153818/petition/1?submit_btn_text=Get+the+sample+letter&amp;page_title=HUMAN+RIGHTS+DEFENDER+ON+HUNGER+STRIKE+%5BSecond+UA+76.24+Tunisia%5D&amp;page_url_params=utm_source%3Dutm_source%253Dtest_source%2526utm_medium%253Dads&amp;Campaign+Date=02%2F13%2F25&amp;Campaign+Time=06%3A52%3A49&amp;en_txn6=Country%3A+Tunisia&amp;en_txn7=CaseNumber%3A+Second+76.24+Tunisia&amp;en_txn8=Topic%3A+Freedom+of+Expression%2C+Human+Rights+Defenders&amp;en_txn10=YearType%3A+2025%2C+Email&amp;color=%23f26722&amp;height=422</t>
  </si>
  <si>
    <t>paul_allard@hotmail.com</t>
  </si>
  <si>
    <t>https://act.amnestyusa.org/page/153818/petition/1?email_text=Thank+you+for+your+support%21&amp;email_cta_text=Take+Action&amp;email_cta_url=https%3A%2F%2Fwww.amnestyusa.org&amp;submit_btn_text=Get+the+sample+letter&amp;page_title=End+Racist+Deportations+of+Haitians&amp;page_url_params=utm_source%3Dutm_source%253Dtest_source%2526utm_medium%253Dads&amp;Campaign+Date=11%2F20%2F24&amp;Campaign+Time=20%3A03%3A26&amp;en_txn6=Country%3A+Dominican+Republic&amp;en_txn7=CaseNumber%3A+88.24+Dominican+Republic&amp;en_txn8=Topic%3A+Individuals+At+Risk%2C+Refugee+and+Migrant+Rights&amp;en_txn10=YearType%3A+2024%2C+Letter&amp;color=%23f26722&amp;height=422</t>
  </si>
  <si>
    <t>jean-marc.bruneel@orange.fr</t>
  </si>
  <si>
    <t>https://act.amnestyusa.org/page/153818/petition/1?email_text=Thank+you+for+your+support%21&amp;email_cta_text=Take+Action&amp;email_cta_url=https%3A%2F%2Fwww.amnestyusa.org&amp;submit_btn_text=Get+the+sample+letter&amp;page_title=INDIANA%E2%80%99S+FIRST+EXECUTION+IN+15+YEARS+LOOMS&amp;page_url_params=utm_source%3Dutm_source%253Dtest_source%2526utm_medium%253Dads&amp;Campaign+Date=12%2F11%2F24&amp;Campaign+Time=07%3A36%3A46&amp;en_txn6=Country%3A+USA&amp;en_txn7=CaseNumber%3A+105.24+USA&amp;en_txn8=Topic%3A+Death+Penalty&amp;en_txn10=YearType%3A+2024%2C+Email&amp;color=%23f26722&amp;height=422</t>
  </si>
  <si>
    <t>ritadeswaef2@yahoo.be</t>
  </si>
  <si>
    <t>erik.van.broeck@telenet.be</t>
  </si>
  <si>
    <t>https://act.amnestyusa.org/page/153818/petition/1?email_text=Thank+you+for+your+support%21&amp;email_cta_text=Take+Action&amp;email_cta_url=https%3A%2F%2Fwww.amnestyusa.org&amp;submit_btn_text=Get+the+sample+letter&amp;page_title=DEATH+SENTENCE+FOR+SOCIAL+MEDIA+POSTS+COMMUTED&amp;page_url_params=utm_source%3Dutm_source%253Dtest_source%2526utm_medium%253Dads&amp;Campaign+Date=11%2F25%2F24&amp;Campaign+Time=17%3A06%3A14&amp;en_txn6=Country%3A+Saudi+Arabia&amp;en_txn7=CaseNumber%3A+Second+85.23+Saudi+Arabia&amp;en_txn8=Topic%3A+Freedom+of+Expression&amp;en_txn10=YearType%3A+2024%2C+Letter&amp;color=%23f26722&amp;height=422</t>
  </si>
  <si>
    <t>test@test.net</t>
  </si>
  <si>
    <t>sholloww@umich.edu</t>
  </si>
  <si>
    <t>https://act.amnestyusa.org/page/153818/petition/1?submit_btn_text=Get+the+sample+letter&amp;page_title=RELEASE+PEDIATRICIAN+AND+HOSPITAL+DIRECTOR+%5BIOPT+3.25%5D&amp;page_url_params=utm_source%3Dutm_source%253Dtest_source%2526utm_medium%253Dads&amp;Campaign+Date=02%2F22%2F25&amp;Campaign+Time=00%3A18%3A17&amp;en_txn6=Country%3A+Israel+and+Occupied+Palestinian+Territories&amp;en_txn7=CaseNumber%3A+3.25+IOPT&amp;en_txn8=Topic%3A+Freedom+of+Expression%2C+Individuals+At+Risk&amp;en_txn10=YearType%3A+2025%2C+Email&amp;color=%23f26722&amp;height=422</t>
  </si>
  <si>
    <t>https://act.amnestyusa.org/page/153818/petition/1?submit_btn_text=Get+the+sample+letter&amp;page_title=RELEASE+JOURNALIST+CONVICTED+OF+PROPAGANDA+%5BAfghanistan+11.25%5D&amp;page_url_params=utm_source%3Dutm_source%253Dtest_source%2526utm_medium%253Dads&amp;Campaign+Date=02%2F13%2F25&amp;Campaign+Time=19%3A02%3A59&amp;en_txn6=Country%3A+Afghanistan&amp;en_txn7=CaseNumber%3A+11.25+Afghanistan&amp;en_txn8=Topic%3A+Freedom+of+Expression%2C+Health%2C+Individuals+At+Risk&amp;en_txn10=YearType%3A+2025%2C+Email&amp;color=%23f26722&amp;height=422</t>
  </si>
  <si>
    <t>https://act.amnestyusa.org/page/153818/petition/1?submit_btn_text=Get+the+sample+letter&amp;page_title=KURDISH+DISSIDENT+SENTENCED+TO+DEATH+IN+IRAN&amp;page_url_params=utm_source%3Dutm_source%253Dtest_source%2526utm_medium%253Dads&amp;Campaign+Date=02%2F21%2F25&amp;Campaign+Time=01%3A25%3A10&amp;en_txn6=Country%3A+Iran&amp;en_txn7=CaseNumber%3A+101.24+Iran&amp;en_txn8=Topic%3A+Death+Penalty%2C+Freedom+of+Expression%2C+Individuals+At+Risk%2C+Right+to+Protest&amp;en_txn10=YearType%3A+2024%2C+Email&amp;color=%23f26722&amp;height=422</t>
  </si>
  <si>
    <t>https://act.amnestyusa.org/page/153818/petition/1?submit_btn_text=Get+the+sample+letter&amp;page_title=OPPOSITION+POLITICIAN+CHARGED+AFTER+ABDUCTION&amp;page_url_params=utm_source%3Dutm_source%253Dtest_source%2526utm_medium%253Dads&amp;Campaign+Date=02%2F21%2F25&amp;Campaign+Time=01%3A25%3A08&amp;en_txn6=Country%3A+Uganda&amp;en_txn7=CaseNumber%3A+100.24+Uganda&amp;en_txn8=Topic%3A+Freedom+of+Expression&amp;en_txn10=YearType%3A+2024%2C+Email&amp;color=%23f26722&amp;height=422</t>
  </si>
  <si>
    <t>https://act.amnestyusa.org/page/153818/petition/1?submit_btn_text=Get+the+sample+letter&amp;page_title=UNJUSTLY+JAILED+POLITICIAN%E2%80%99S+SON%E2%80%99S+HEALTH+AT+RISK&amp;page_url_params=utm_source%3Dutm_source%253Dtest_source%2526utm_medium%253Dads&amp;Campaign+Date=02%2F21%2F25&amp;Campaign+Time=01%3A25%3A05&amp;en_txn6=Country%3A+Egypt&amp;en_txn7=CaseNumber%3A+Fourth+29.23+Egypt&amp;en_txn8=Topic%3A+Freedom+of+Expression%2C+Individuals+At+Risk%2C+Right+to+Protest&amp;en_txn10=YearType%3A+2024%2C+Email&amp;color=%23f26722&amp;height=422</t>
  </si>
  <si>
    <t>https://act.amnestyusa.org/page/153818/petition/1?submit_btn_text=Get+the+sample+letter&amp;page_title=MALAYSIAN+MAN+BELIEVED+AT+RISK+OF+EXECUTION%C2%A0&amp;page_url_params=utm_source%3Dutm_source%253Dtest_source%2526utm_medium%253Dads&amp;Campaign+Date=02%2F20%2F25&amp;Campaign+Time=15%3A40%3A33&amp;en_txn6=Country%3A+Singapore&amp;en_txn7=CaseNumber%3A+107.24+Singapore&amp;en_txn8=Topic%3A+Death+Penalty&amp;en_txn10=YearType%3A+2024%2C+Email&amp;color=%23f26722&amp;height=422</t>
  </si>
  <si>
    <t>https://act.amnestyusa.org/page/153818/petition/1?submit_btn_text=Get+the+sample+letter&amp;page_title=SIX+MEN+AT+RISK+OF+EXECUTION+AFTER+GROSSLY+UNFAIR+TRIAL+%5BIran+6.25%5D&amp;page_url_params=utm_source%3Dutm_source%253Dtest_source%2526utm_medium%253Dads&amp;Campaign+Date=02%2F20%2F25&amp;Campaign+Time=11%3A48%3A13&amp;en_txn6=Country%3A+Iran&amp;en_txn7=CaseNumber%3A+6.25+Iran&amp;en_txn8=Topic%3A+Death+Penalty%2C+Freedom+of+Expression%2C+Individuals+At+Risk&amp;en_txn10=YearType%3A+2025%2C+Email&amp;color=%23f26722&amp;height=422</t>
  </si>
  <si>
    <t>https://act.amnestyusa.org/page/153818/petition/1?submit_btn_text=Get+the+sample+letter&amp;page_title=UNJUSTLY+JAILED+FATHER+APPEALS+PRISON+TERM&amp;page_url_params=utm_source%3Dutm_source%253Dtest_source%2526utm_medium%253Dads&amp;Campaign+Date=02%2F15%2F25&amp;Campaign+Time=10%3A08%3A23&amp;en_txn6=Country%3A+Egypt&amp;en_txn7=CaseNumber%3A+Third+73.23+Egypt&amp;en_txn8=Topic%3A+Individuals+At+Risk&amp;en_txn10=YearType%3A+2024%2C+Email&amp;color=%23f26722&amp;height=422</t>
  </si>
  <si>
    <t>https://act.amnestyusa.org/page/153818/petition/1?submit_btn_text=Get+the+sample+letter&amp;page_title=PROTECT+DEFENDERS+FROM+ARMED+GROUPS+%5BColombia+Third+UA+12.24%5D&amp;page_url_params=utm_source%3Dutm_source%253Dtest_source%2526utm_medium%253Dads&amp;Campaign+Date=02%2F18%2F25&amp;Campaign+Time=12%3A20%3A21&amp;en_txn6=Country%3A+Colombia&amp;en_txn7=CaseNumber%3A+Third+12.24+Colombia&amp;en_txn8=Topic%3A+Human+Rights+Defenders%2C+Individuals+At+Risk&amp;en_txn10=YearType%3A+2025%2C+Email&amp;color=%23f26722&amp;height=422</t>
  </si>
  <si>
    <t>https://act.amnestyusa.org/page/153818/petition/1?email_text=Thank+you+for+taking+action+on+PEOPLE+SEEKING+SAFETY+AT+RISK+IN+THE+USA+%5BUSA+4.25%5D.&amp;email_cta_text=VIEW+MORE+URGENT+ACTIONS&amp;email_cta_url=https%3A%2F%2Fwww.amnestyusa.org%2Fget-involved%2Fgrassroots-activism%2Furgent-action-network%2Factions%2F%3Fstatus%3Dactive%26fyear%3D2025%26sortby%3Dnewest%26pg%3D1&amp;submit_btn_text=Get+the+sample+letter&amp;page_title=PEOPLE+SEEKING+SAFETY+AT+RISK+IN+THE+USA+%5BUSA+4.25%5D&amp;page_url_params=utm_source%3Dutm_source%253Dtest_source%2526utm_medium%253Dads&amp;Campaign+Date=01%2F21%2F25&amp;Campaign+Time=13%3A15%3A11&amp;en_txn6=Country%3A+USA&amp;en_txn7=CaseNumber%3A+4.25+USA&amp;en_txn8=Topic%3A+Individuals+At+Risk%2C+Refugee+and+Migrant+Rights&amp;en_txn10=YearType%3A+2025%2C+Letter&amp;color=%23f26722&amp;height=422</t>
  </si>
  <si>
    <t>https://act.amnestyusa.org/page/153818/petition/1?email_text=Thank+you+for+taking+action+on+RELEASE+PEDIATRICIAN+AND+HOSPITAL+DIRECTOR+%5BIOPT+3.25%5D.&amp;email_cta_text=VIEW+MORE+URGENT+ACTIONS&amp;email_cta_url=https%3A%2F%2Fwww.amnestyusa.org%2Fget-involved%2Fgrassroots-activism%2Furgent-action-network%2Factions%2F%3Fstatus%3Dactive%26fyear%3D2025%26sortby%3Dnewest%26pg%3D1&amp;submit_btn_text=Get+the+sample+letter&amp;page_title=RELEASE+PEDIATRICIAN+AND+HOSPITAL+DIRECTOR+%5BIOPT+3.25%5D&amp;page_url_params=utm_source%3Dutm_source%253Dtest_source%2526utm_medium%253Dads&amp;Campaign+Date=01%2F21%2F25&amp;Campaign+Time=12%3A26%3A22&amp;en_txn6=Country%3A+Israel+and+Occupied+Palestinian+Territories&amp;en_txn7=CaseNumber%3A+3.25+IOPT&amp;en_txn8=Topic%3A+Freedom+of+Expression%2C+Individuals+At+Risk&amp;en_txn10=YearType%3A+2025%2C+Email&amp;color=%23f26722&amp;height=422</t>
  </si>
  <si>
    <t>https://act.amnestyusa.org/page/153818/petition/1?submit_btn_text=Get+the+sample+letter&amp;page_title=PEOPLE+SEEKING+SAFETY+AT+RISK+IN+THE+USA+%5BUSA+4.25%5D&amp;page_url_params=utm_source%3Dutm_source%253Dtest_source%2526utm_medium%253Dads&amp;Campaign+Date=01%2F20%2F25&amp;Campaign+Time=17%3A42%3A14&amp;en_txn6=Country%3A+USA&amp;en_txn7=CaseNumber%3A+4.25+USA&amp;en_txn8=Topic%3A+Individuals+At+Risk%2C+Refugee+and+Migrant+Rights&amp;en_txn10=YearType%3A+2025%2C+Letter&amp;color=%23f26722&amp;height=422</t>
  </si>
  <si>
    <t>echristina202@gmail.com</t>
  </si>
  <si>
    <t>kev.bryant1@gmail.com</t>
  </si>
  <si>
    <t>jhughson75@gmail.com</t>
  </si>
  <si>
    <t>daveskr@aol.com</t>
  </si>
  <si>
    <t>https://act.amnestyusa.org/page/153818/petition/1?email_text=Thank+you+for+your+support%21&amp;email_cta_text=Take+Action&amp;email_cta_url=https%3A%2F%2Fwww.amnestyusa.org&amp;submit_btn_text=Get+the+sample+letter&amp;page_title=Stop+the+Execution+of+Carey+Grayson&amp;page_url_params=utm_source%3Dutm_source%253Dtest_source%2526utm_medium%253Dads&amp;Campaign+Date=11%2F19%2F24&amp;Campaign+Time=07%3A33%3A10&amp;Country=USA&amp;CaseNumber=96.24+USA&amp;Topic=Death+Penalty&amp;YearType=2024%2C+Email&amp;color=%23f26722&amp;height=422</t>
  </si>
  <si>
    <t>drewstu0@gmail.com</t>
  </si>
  <si>
    <t>https://act.amnestyusa.org/page/153818/petition/1?email_text=Thank+you+for+your+support%21&amp;email_cta_text=Take+Action&amp;email_cta_url=https%3A%2F%2Fwww.amnestyusa.org&amp;submit_btn_text=Get+the+sample+letter&amp;page_title=Stop+the+Execution+of+Carey+Grayson&amp;page_url_params=utm_source%3Dutm_source%253Dtest_source%2526utm_medium%253Dads&amp;Campaign+Date=11%2F19%2F24&amp;Campaign+Time=07%3A37%3A54&amp;Country=USA&amp;CaseNumber=96.24+USA&amp;Topic=Death+Penalty&amp;YearType=2024%2C+Email&amp;color=%23f26722&amp;height=422</t>
  </si>
  <si>
    <t>agoldberg167@nyc.rr.com</t>
  </si>
  <si>
    <t>luckbigk@gmail.com</t>
  </si>
  <si>
    <t>https://act.amnestyusa.org/page/153818/petition/1?email_text=Thank+you+for+your+support%21&amp;email_cta_text=Take+Action&amp;email_cta_url=https%3A%2F%2Fwww.amnestyusa.org&amp;submit_btn_text=Get+the+sample+letter&amp;page_title=Stop+the+Execution+of+Carey+Grayson&amp;page_url_params=utm_source%3Dutm_source%253Dtest_source%2526utm_medium%253Dads&amp;Campaign+Date=11%2F19%2F24&amp;Campaign+Time=08%3A56%3A14&amp;Country=USA&amp;CaseNumber=96.24+USA&amp;Topic=Death+Penalty&amp;YearType=2024%2C+Email&amp;color=%23f26722&amp;height=422</t>
  </si>
  <si>
    <t>bryan+20251120v3@4sitstudios.com</t>
  </si>
  <si>
    <t>katie_grierson@redlands.edu</t>
  </si>
  <si>
    <t>kleidich@jrclosaltos.org</t>
  </si>
  <si>
    <t>k9ofkaos@gmail.com</t>
  </si>
  <si>
    <t>https://act.amnestyusa.org/page/153818/petition/1?email_text=Thank+you+for+your+support%21&amp;email_cta_text=Take+Action&amp;email_cta_url=https%3A%2F%2Fwww.amnestyusa.org&amp;submit_btn_text=Get+the+sample+letter&amp;page_title=Stop+the+Execution+of+Carey+Grayson&amp;page_url_params=utm_source%3Dutm_source%253Dtest_source%2526utm_medium%253Dads&amp;Campaign+Date=11%2F21%2F24&amp;Campaign+Time=19%3A54%3A05&amp;en_txn6=Country%3A+USA&amp;en_txn7=CaseNumber%3A+96.24+USA&amp;en_txn8=Topic%3A+Death+Penalty&amp;en_txn10=YearType%3A+2024%2C+Email&amp;color=%23f26722&amp;height=422</t>
  </si>
  <si>
    <t>merelis.ortiz@gmail.com</t>
  </si>
  <si>
    <t>mybubs336@gmail.com</t>
  </si>
  <si>
    <t>https://act.amnestyusa.org/page/153818/petition/1?email_text=Thank+you+for+your+support%21&amp;email_cta_text=Take+Action&amp;email_cta_url=https%3A%2F%2Fwww.amnestyusa.org&amp;submit_btn_text=Get+the+sample+letter&amp;page_title=DEATH+SENTENCE+FOR+SOCIAL+MEDIA+POSTS+COMMUTED&amp;page_url_params=utm_source%3Dutm_source%253Dtest_source%2526utm_medium%253Dads&amp;Campaign+Date=11%2F26%2F24&amp;Campaign+Time=10%3A48%3A02&amp;en_txn6=Country%3A+Saudi+Arabia&amp;en_txn7=CaseNumber%3A+Second+85.23+Saudi+Arabia&amp;en_txn8=Topic%3A+Freedom+of+Expression&amp;en_txn10=YearType%3A+2024%2C+Letter&amp;color=%23f26722&amp;height=422</t>
  </si>
  <si>
    <t>natachablankenship@icloud.com</t>
  </si>
  <si>
    <t>https://act.amnestyusa.org/page/153818/petition/1?email_text=Thank+you+for+your+support%21&amp;email_cta_text=Take+Action&amp;email_cta_url=https%3A%2F%2Fwww.amnestyusa.org&amp;submit_btn_text=Get+the+sample+letter&amp;page_title=End+Racist+Deportations+of+Haitians&amp;page_url_params=utm_source%3Dutm_source%253Dtest_source%2526utm_medium%253Dads&amp;Campaign+Date=11%2F26%2F24&amp;Campaign+Time=20%3A34%3A44&amp;en_txn6=Country%3A+Dominican+Republic&amp;en_txn7=CaseNumber%3A+88.24+Dominican+Republic&amp;en_txn8=Topic%3A+Individuals+At+Risk%2C+Refugee+and+Migrant+Rights&amp;en_txn10=YearType%3A+2024%2C+Letter&amp;color=%23f26722&amp;height=422</t>
  </si>
  <si>
    <t>maaya.demenocal@gmailc.om</t>
  </si>
  <si>
    <t>https://act.amnestyusa.org/page/153818/petition/1?email_text=Thank+you+for+your+support%21&amp;email_cta_text=Take+Action&amp;email_cta_url=https%3A%2F%2Fwww.amnestyusa.org&amp;submit_btn_text=Get+the+sample+letter&amp;page_title=ENVIRONMENTAL+LAWYER+MUST+BE+PARDONED&amp;page_url_params=utm_source%3Dutm_source%253Dtest_source%2526utm_medium%253Dads&amp;Campaign+Date=01%2F18%2F25&amp;Campaign+Time=11%3A59%3A46&amp;en_txn6=Country%3A+USA&amp;en_txn7=CaseNumber%3A+Fourth+55.24+USA&amp;en_txn8=Topic%3A+Climate+Justice%2C+Individuals+At+Risk&amp;en_txn10=YearType%3A+2025%2C+Email&amp;color=%23f26722&amp;height=422</t>
  </si>
  <si>
    <t>bethany@criss.pro</t>
  </si>
  <si>
    <t>michelle.mcaffee@signiaworks.com</t>
  </si>
  <si>
    <t>https://act.amnestyusa.org/page/153818/petition/1?email_text=Thank+you+for+your+support%21&amp;email_cta_text=Take+Action&amp;email_cta_url=https%3A%2F%2Fwww.amnestyusa.org&amp;submit_btn_text=Get+the+sample+letter&amp;page_title=RUSSIA%2C+RELEASE+ALEKSEI+GORINOV%21&amp;page_url_params=utm_source%3Dutm_source%253Dtest_source%2526utm_medium%253Dads&amp;Campaign+Date=12%2F04%2F24&amp;Campaign+Time=19%3A59%3A53&amp;en_txn6=Country%3A+Russian+Federation&amp;en_txn7=CaseNumber%3A+Second+23.24+Russia&amp;en_txn8=Topic%3A+Freedom+of+Expression&amp;en_txn10=YearType%3A+2024%2C+Letter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</si>
  <si>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PROMINENT+HUMAN+RIGHTS+DEFENDER+DETAINED&amp;page_url_params=utm_source%3Dutm_source%253Dtest_source%2526utm_medium%253Dads&amp;Campaign+Date=01%2F06%2F25&amp;Campaign+Time=10%3A46%3A02&amp;en_txn6=Country%3A+Niger&amp;en_txn7=CaseNumber%3A+103.24+Niger&amp;en_txn8=Topic%3A+Freedom+of+Expression%2C+Human+Rights+Defenders&amp;en_txn10=YearType%3A+2024%2C+Email&amp;color=%23f26722&amp;height=422</t>
  </si>
  <si>
    <t>eperryire@glail.com</t>
  </si>
  <si>
    <t>jnb66897@gmail.com</t>
  </si>
  <si>
    <t>https://act.amnestyusa.org/page/153818/petition/1?email_text=Thank+you+for+your+support%21&amp;email_cta_text=Take+Action&amp;email_cta_url=https%3A%2F%2Fwww.amnestyusa.org&amp;submit_btn_text=Get+the+sample+letter&amp;page_title=DEATH+SENTENCE+FOR+SOCIAL+MEDIA+POSTS+COMMUTED&amp;page_url_params=utm_source%3Dutm_source%253Dtest_source%2526utm_medium%253Dads&amp;Campaign+Date=12%2F07%2F24&amp;Campaign+Time=04%3A09%3A02&amp;en_txn6=Country%3A+Saudi+Arabia&amp;en_txn7=CaseNumber%3A+Second+85.23+Saudi+Arabia&amp;en_txn8=Topic%3A+Freedom+of+Expression&amp;en_txn10=YearType%3A+2024%2C+Letter&amp;color=%23f26722&amp;height=422</t>
  </si>
  <si>
    <t>https://act.amnestyusa.org/page/153818/petition/1?submit_btn_text=Get+the+sample+letter&amp;page_title=PRISONERS+AT+IMMINENT+RISK+OF+EXECUTION+%5BIran+10.25%5D&amp;page_url_params=utm_source%3Dutm_source%253Dtest_source%2526utm_medium%253Dads&amp;Campaign+Date=02%2F07%2F25&amp;Campaign+Time=07%3A16%3A37&amp;en_txn6=Country%3A+Iran&amp;en_txn7=CaseNumber%3A+10.25+Iran&amp;en_txn8=Topic%3A+Death+Penalty%2C+Individuals+At+Risk&amp;en_txn10=YearType%3A+2025%2C+Email&amp;color=%23f26722&amp;height=422</t>
  </si>
  <si>
    <t>julialiuzzi@hotmail.com</t>
  </si>
  <si>
    <t>cassy@puntney.com</t>
  </si>
  <si>
    <t>ray.flynn@outlook.com</t>
  </si>
  <si>
    <t>https://act.amnestyusa.org/page/153818/petition/1?email_text=Thank+you+for+your+support%21&amp;email_cta_text=Take+Action&amp;email_cta_url=https%3A%2F%2Fwww.amnestyusa.org&amp;submit_btn_text=Get+the+sample+letter&amp;page_title=INDIANA%E2%80%99S+FIRST+EXECUTION+IN+15+YEARS+LOOMS&amp;page_url_params=utm_source%3Dutm_source%253Dtest_source%2526utm_medium%253Dads&amp;Campaign+Date=12%2F09%2F24&amp;Campaign+Time=16%3A34%3A14&amp;en_txn6=Country%3A+USA&amp;en_txn7=CaseNumber%3A+105.24+USA&amp;en_txn8=Topic%3A+Death+Penalty&amp;en_txn10=YearType%3A+2024%2C+Email&amp;color=%23f26722&amp;height=422&amp;utm_source=substack&amp;utm_medium=email</t>
  </si>
  <si>
    <t>rcmaven@gmail.com</t>
  </si>
  <si>
    <t>douglas.kent.barry@gmail.com</t>
  </si>
  <si>
    <t>mgadsden04@gmail.com</t>
  </si>
  <si>
    <t>https://donate.amnestyusa.org/page/157642/subscribe/1?val&amp;_gl=1*18eaorn*_gcl_au*MTU5NjU4NTMyMi4xNzMzODY5NDgw&amp;color=%23252525</t>
  </si>
  <si>
    <t>beirutmppres@gmail.com</t>
  </si>
  <si>
    <t>socjsticeadvocate@verizon.net</t>
  </si>
  <si>
    <t>js.mcgrath@ntlworld.com</t>
  </si>
  <si>
    <t>https://act.amnestyusa.org/page/153818/petition/1?email_text=Thank+you+for+your+support%21&amp;email_cta_text=Take+Action&amp;email_cta_url=https%3A%2F%2Fwww.amnestyusa.org&amp;submit_btn_text=Get+the+sample+letter&amp;page_title=STOP+PERSECUTING+VENEZUELAN+NGO&amp;page_url_params=utm_source%3Dutm_source%253Dtest_source%2526utm_medium%253Dads&amp;Campaign+Date=12%2F12%2F24&amp;Campaign+Time=11%3A26%3A57&amp;en_txn6=Country%3A+Venezuela&amp;en_txn7=CaseNumber%3A+97.24+Venezuela&amp;en_txn8=Topic%3A+Freedom+of+Expression&amp;en_txn10=YearType%3A+2024%2C+Letter&amp;color=%23f26722&amp;height=422</t>
  </si>
  <si>
    <t>cgvenegas91@gmail.com</t>
  </si>
  <si>
    <t>https://donate.amnestyusa.org/page/157642/subscribe/1?_gl=1*1qo8a5m*_gcl_aw*R0NMLjE3MzI1NjE0MzAuQ2p3S0NBaUEzWkM2QmhCYUVpd0FlcWZ2eXVoaVIxY1lYRjZrMVZ1bGNzY1N1dlpHU3hZOVhQcVNyTkp6N2Q4a3BjMzBTeHRxVVVCVDRSb0NOOVFRQXZEX0J3RQ..*_gcl_dc*R0NMLjE3MzI1NjE0MzAuQ2p3S0NBaUEzWkM2QmhCYUVpd0FlcWZ2eXVoaVIxY1lYRjZrMVZ1bGNzY1N1dlpHU3hZOVhQcVNyTkp6N2Q4a3BjMzBTeHRxVVVCVDRSb0NOOVFRQXZEX0J3RQ..*_gcl_au*OTA1OTI5Mjc1LjE3MzMxNjU5NDE.&amp;color=%23252525</t>
  </si>
  <si>
    <t>cchmbers06@icloud.com</t>
  </si>
  <si>
    <t>n.maylewis@fmail.com</t>
  </si>
  <si>
    <t>anthony.tuemler@dyahoo.com</t>
  </si>
  <si>
    <t>catetono@yahoo.it</t>
  </si>
  <si>
    <t>https://act.amnestyusa.org/page/153818/petition/1?email_text=Thank+you+for+your+support%21&amp;email_cta_text=Take+Action&amp;email_cta_url=https%3A%2F%2Fwww.amnestyusa.org&amp;submit_btn_text=Get+the+sample+letter&amp;page_title=UNJUSTLY+JAILED+LAWYER%E2%80%99S+HEALTH+AT+RISK&amp;page_url_params=utm_source%3Dutm_source%253Dtest_source%2526utm_medium%253Dads&amp;Campaign+Date=12%2F25%2F24&amp;Campaign+Time=15%3A08%3A45&amp;en_txn6=Country%3A+Egypt&amp;en_txn7=CaseNumber%3A+Ninth+190.18+Egypt&amp;en_txn8=Topic%3A+Freedom+of+Expression%2C+Individuals+At+Risk&amp;en_txn10=YearType%3A+2024%2C+Letter&amp;color=%23f26722&amp;height=422</t>
  </si>
  <si>
    <t>denisestepp60@gmail.com</t>
  </si>
  <si>
    <t>govholcomb@gov.in.gov</t>
  </si>
  <si>
    <t>mjlsr02@comcadt.net</t>
  </si>
  <si>
    <t>https://act.amnestyusa.org/page/153818/petition/1?email_text=Thank+you+for+your+support%21&amp;email_cta_text=Take+Action&amp;email_cta_url=https%3A%2F%2Fwww.amnestyusa.org&amp;submit_btn_text=Get+the+sample+letter&amp;page_title=HALT+PIPELINE+PROJECT+WITH+OUTDATED+PERMIT%C2%A0&amp;page_url_params=utm_source%3Dutm_source%253Dtest_source%2526utm_medium%253Dads&amp;Campaign+Date=12%2F13%2F24&amp;Campaign+Time=06%3A13%3A30&amp;en_txn6=Country%3A+Canada&amp;en_txn7=CaseNumber%3A+99.24+Canada&amp;en_txn8=Topic%3A+Climate+Justice%2C+Indigenous+Rights%2C+Right+to+Protest&amp;en_txn10=YearType%3A+2024%2C+Letter&amp;color=%23f26722&amp;height=422</t>
  </si>
  <si>
    <t>nhehry72@gmail.com</t>
  </si>
  <si>
    <t>https://act.amnestyusa.org/page/153818/petition/1?email_text=Thank+you+for+your+support%21&amp;email_cta_text=Take+Action&amp;email_cta_url=https%3A%2F%2Fwww.amnestyusa.org&amp;submit_btn_text=Get+the+sample+letter&amp;page_title=KURDISH+DISSIDENT+SENTENCED+TO+DEATH+IN+IRAN&amp;page_url_params=utm_source%3Dutm_source%253Dtest_source%2526utm_medium%253Dads&amp;Campaign+Date=12%2F13%2F24&amp;Campaign+Time=15%3A43%3A14&amp;en_txn6=Country%3A+Iran&amp;en_txn7=CaseNumber%3A+101.24+Iran&amp;en_txn8=Topic%3A+Death+Penalty%2C+Freedom+of+Expression%2C+Individuals+At+Risk%2C+Right+to+Protest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</si>
  <si>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ISKS+OF+FURTHER+PROTEST-RELATED+EXECUTIONS&amp;page_url_params=utm_source%3Dutm_source%253Dtest_source%2526utm_medium%253Dads&amp;Campaign+Date=12%2F29%2F24&amp;Campaign+Time=02%3A29%3A08&amp;en_txn6=Country%3A+Iran&amp;en_txn7=CaseNumber%3A+Seventh+103.22+Iran&amp;en_txn8=Topic%3A+Death+Penalty%2C+Freedom+of+Expression%2C+Individuals+At+Risk&amp;en_txn10=YearType%3A+2024%2C+Email&amp;color=%23f26722&amp;height=422</t>
  </si>
  <si>
    <t>https://act.amnestyusa.org/page/153818/petition/1?email_text=Thank+you+for+taking+action+on+MALAYSIAN+MAN+BELIEVED+AT+RISK+OF+EXECUTION%C2%A0.&amp;email_cta_text=VIEW+MORE+URGENT+ACTIONS&amp;email_cta_url=https%3A%2F%2Fwww.amnestyusa.org%2Fget-involved%2Fgrassroots-activism%2Furgent-action-network%2Factions%2F%3Fstatus%3Dactive%26fyear%3D2025%26sortby%3Dnewest%26pg%3D1&amp;submit_btn_text=Get+the+sample+letter&amp;page_title=MALAYSIAN+MAN+BELIEVED+AT+RISK+OF+EXECUTION%C2%A0&amp;page_url_params=utm_source%3Dutm_source%253Dtest_source%2526utm_medium%253Dads&amp;Campaign+Date=01%2F22%2F25&amp;Campaign+Time=11%3A31%3A09&amp;en_txn6=Country%3A+Singapore&amp;en_txn7=CaseNumber%3A+107.24+Singapore&amp;en_txn8=Topic%3A+Death+Penalty&amp;en_txn10=YearType%3A+2024%2C+Email&amp;color=%23f26722&amp;height=422</t>
  </si>
  <si>
    <t>https://act.amnestyusa.org/page/153818/petition/1?submit_btn_text=Get+the+sample+letter&amp;page_title=PEOPLE+SEEKING+SAFETY+AT+RISK+IN+THE+USA+%5BUSA+4.25%5D&amp;page_url_params=utm_source%3Dutm_source%253Dtest_source%2526utm_medium%253Dads&amp;Campaign+Date=01%2F20%2F25&amp;Campaign+Time=17%3A24%3A15&amp;en_txn6=Country%3A+USA&amp;en_txn7=CaseNumber%3A+4.25+USA&amp;en_txn8=Topic%3A+Individuals+At+Risk%2C+Refugee+and+Migrant+Rights&amp;en_txn10=YearType%3A+2025%2C+Letter&amp;color=%23f26722&amp;height=422</t>
  </si>
  <si>
    <t>https://act.amnestyusa.org/page/153818/petition/1?submit_btn_text=Get+the+sample+letter&amp;page_title=PEOPLE+SEEKING+SAFETY+AT+RISK+IN+THE+USA+%5BUSA+4.25%5D&amp;page_url_params=utm_source%3Dutm_source%253Dtest_source%2526utm_medium%253Dads&amp;Campaign+Date=01%2F27%2F25&amp;Campaign+Time=19%3A47%3A19&amp;en_txn6=Country%3A+USA&amp;en_txn7=CaseNumber%3A+4.25+USA&amp;en_txn8=Topic%3A+Individuals+At+Risk%2C+Refugee+and+Migrant+Rights&amp;en_txn10=YearType%3A+2025%2C+Letter&amp;color=%23f26722&amp;height=422</t>
  </si>
  <si>
    <t>https://act.amnestyusa.org/page/153818/petition/1?submit_btn_text=Get+the+sample+letter&amp;page_title=RELEASE+JOURNALIST+CONVICTED+OF+PROPAGANDA+%5BAfghanistan+11.25%5D&amp;page_url_params=utm_source%3Dutm_source%253Dtest_source%2526utm_medium%253Dads&amp;Campaign+Date=02%2F14%2F25&amp;Campaign+Time=12%3A05%3A33&amp;en_txn6=Country%3A+Afghanistan&amp;en_txn7=CaseNumber%3A+11.25+Afghanistan&amp;en_txn8=Topic%3A+Freedom+of+Expression%2C+Health%2C+Individuals+At+Risk&amp;en_txn10=YearType%3A+2025%2C+Email&amp;color=%23f26722&amp;height=422</t>
  </si>
  <si>
    <t>https://act.amnestyusa.org/page/153818/petition/1?submit_btn_text=Get+the+sample+letter&amp;page_title=SIX+MEN+AT+RISK+OF+EXECUTION+AFTER+GROSSLY+UNFAIR+TRIAL+%5BIran+6.25%5D&amp;page_url_params=utm_source%3Dutm_source%253Dtest_source%2526utm_medium%253Dads&amp;Campaign+Date=02%2F15%2F25&amp;Campaign+Time=13%3A17%3A06&amp;en_txn6=Country%3A+Iran&amp;en_txn7=CaseNumber%3A+6.25+Iran&amp;en_txn8=Topic%3A+Death+Penalty%2C+Freedom+of+Expression%2C+Individuals+At+Risk&amp;en_txn10=YearType%3A+2025%2C+Email&amp;color=%23f26722&amp;height=422</t>
  </si>
  <si>
    <t>https://act.amnestyusa.org/page/153818/petition/1?submit_btn_text=Get+the+sample+letter&amp;page_title=RELEASE+JOURNALIST+CONVICTED+OF+PROPAGANDA+%5BAfghanistan+11.25%5D&amp;page_url_params=utm_source%3Dutm_source%253Dtest_source%2526utm_medium%253Dads&amp;Campaign+Date=02%2F21%2F25&amp;Campaign+Time=17%3A27%3A10&amp;en_txn6=Country%3A+Afghanistan&amp;en_txn7=CaseNumber%3A+11.25+Afghanistan&amp;en_txn8=Topic%3A+Freedom+of+Expression%2C+Health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</si>
  <si>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ISKS+OF+FURTHER+PROTEST-RELATED+EXECUTIONS&amp;page_url_params=utm_source%3Dutm_source%253Dtest_source%2526utm_medium%253Dads&amp;Campaign+Date=12%2F29%2F24&amp;Campaign+Time=07%3A15%3A03&amp;en_txn6=Country%3A+Iran&amp;en_txn7=CaseNumber%3A+Seventh+103.22+Iran&amp;en_txn8=Topic%3A+Death+Penalty%2C+Freedom+of+Expression%2C+Individuals+At+Risk&amp;en_txn10=YearType%3A+2024%2C+Email&amp;color=%23f26722&amp;height=422</t>
  </si>
  <si>
    <t>lisa_boerboom@hotmail.com</t>
  </si>
  <si>
    <t>https://act.amnestyusa.org/page/153818/petition/1?email_text=Thank+you+for+your+support%21&amp;email_cta_text=Take+Action&amp;email_cta_url=https%3A%2F%2Fwww.amnestyusa.org&amp;submit_btn_text=Get+the+sample+letter&amp;page_title=End+Racist+Deportations+of+Haitians&amp;page_url_params=utm_source%3Dutm_source%253Dtest_source%2526utm_medium%253Dads&amp;Campaign+Date=12%2F12%2F24&amp;Campaign+Time=21%3A10%3A48&amp;en_txn6=Country%3A+Dominican+Republic&amp;en_txn7=CaseNumber%3A+88.24+Dominican+Republic&amp;en_txn8=Topic%3A+Individuals+At+Risk%2C+Refugee+and+Migrant+Rights&amp;en_txn10=YearType%3A+2024%2C+Letter&amp;color=%23f26722&amp;height=422</t>
  </si>
  <si>
    <t>anisarashad11@gmail.com</t>
  </si>
  <si>
    <t>https://donate.amnestyusa.org/page/157642/subscribe/1?_gl=1*1qgn6xb*_gcl_au*MTc0NzY2NzM2LjE3MzQ0ODczODk.&amp;color=%23252525</t>
  </si>
  <si>
    <t>https://act.amnestyusa.org/page/153818/petition/1?submit_btn_text=Get+the+sample+letter&amp;page_title=PRISONERS+AT+IMMINENT+RISK+OF+EXECUTION+%5BIran+10.25%5D&amp;page_url_params=utm_source%3Dutm_source%253Dtest_source%2526utm_medium%253Dads&amp;Campaign+Date=02%2F06%2F25&amp;Campaign+Time=20%3A27%3A43&amp;en_txn6=Country%3A+Iran&amp;en_txn7=CaseNumber%3A+10.25+Iran&amp;en_txn8=Topic%3A+Death+Penalty%2C+Individuals+At+Risk&amp;en_txn10=YearType%3A+2025%2C+Email&amp;color=%23f26722&amp;height=422</t>
  </si>
  <si>
    <t>rocco153@hotmail.com</t>
  </si>
  <si>
    <t>https://act.amnestyusa.org/page/153818/petition/1?email_text=Thank+you+for+your+support%21&amp;email_cta_text=Take+Action&amp;email_cta_url=https%3A%2F%2Fwww.amnestyusa.org&amp;submit_btn_text=Get+the+sample+letter&amp;page_title=WOMAN+HUMAN+RIGHTS+DEFENDER+DISAPPEARED&amp;page_url_params=utm_source%3Dutm_source%253Dtest_source%2526utm_medium%253Dads&amp;Campaign+Date=12%2F20%2F24&amp;Campaign+Time=15%3A58%3A21&amp;en_txn6=Country%3A+Mexico&amp;en_txn7=CaseNumber%3A+92.24+Mexico&amp;en_txn8=Topic%3A+Human+Rights+Defenders&amp;en_txn10=YearType%3A+2024%2C+Email&amp;color=%23f26722&amp;height=422</t>
  </si>
  <si>
    <t>https://act.amnestyusa.org/page/153818/petition/1?submit_btn_text=Get+the+sample+letter&amp;page_title=RELEASE+PEDIATRICIAN+AND+HOSPITAL+DIRECTOR+%5BIOPT+3.25%5D&amp;page_url_params=utm_source%3Dutm_source%253Dtest_source%2526utm_medium%253Dads&amp;Campaign+Date=02%2F01%2F25&amp;Campaign+Time=10%3A13%3A19&amp;en_txn6=Country%3A+Israel+and+Occupied+Palestinian+Territories&amp;en_txn7=CaseNumber%3A+3.25+IOPT&amp;en_txn8=Topic%3A+Freedom+of+Expression%2C+Individuals+At+Risk&amp;en_txn10=YearType%3A+2025%2C+Email&amp;color=%23f26722&amp;height=422&amp;fbclid=IwY2xjawIMuhRleHRuA2FlbQIxMQABHfmLKz9AuZrlS8_khiuqyCpk7fslOQUuqo1TLeYD3K0LymIlTomVJibPGw_aem_GV2UdV72q9xacFbj7Sg_Mg</t>
  </si>
  <si>
    <t>martynandian@icloud.com</t>
  </si>
  <si>
    <t>https://act.amnestyusa.org/page/153818/petition/1?email_text=Thank+you+for+your+support%21&amp;email_cta_text=Take+Action&amp;email_cta_url=https%3A%2F%2Fwww.amnestyusa.org&amp;submit_btn_text=Get+the+sample+letter&amp;page_title=UNJUSTLY+JAILED+FATHER+APPEALS+PRISON+TERM&amp;page_url_params=utm_source%3Dutm_source%253Dtest_source%2526utm_medium%253Dads&amp;Campaign+Date=12%2F22%2F24&amp;Campaign+Time=23%3A04%3A50&amp;en_txn6=Country%3A+Egypt&amp;en_txn7=CaseNumber%3A+Third+73.23+Egypt&amp;en_txn8=Topic%3A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</si>
  <si>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PROMINENT+HUMAN+RIGHTS+DEFENDER+DETAINED&amp;page_url_params=utm_source%3Dutm_source%253Dtest_source%2526utm_medium%253Dads&amp;Campaign+Date=12%2F20%2F24&amp;Campaign+Time=23%3A25%3A46&amp;en_txn6=Country%3A+Niger&amp;en_txn7=CaseNumber%3A+103.24+Niger&amp;en_txn8=Topic%3A+Freedom+of+Expression%2C+Human+Rights+Defenders&amp;en_txn10=YearType%3A+2024%2C+Email&amp;color=%23f26722&amp;height=422</t>
  </si>
  <si>
    <t>rahimiahmadwais@gmail.com</t>
  </si>
  <si>
    <t>https://act.amnestyusa.org/page/153818/petition/1?email_text=Thank+you+for+your+support%21&amp;email_cta_text=Take+Action&amp;email_cta_url=https%3A%2F%2Fwww.amnestyusa.org&amp;submit_btn_text=Get+the+sample+letter&amp;page_title=PROMINENT+HUMAN+RIGHTS+DEFENDER+DETAINED&amp;page_url_params=utm_source%3Dutm_source%253Dtest_source%2526utm_medium%253Dads&amp;Campaign+Date=12%2F25%2F24&amp;Campaign+Time=14%3A08%3A49&amp;en_txn6=Country%3A+Niger&amp;en_txn7=CaseNumber%3A+103.24+Niger&amp;en_txn8=Topic%3A+Freedom+of+Expression%2C+Human+Rights+Defenders&amp;en_txn10=YearType%3A+2024%2C+Email&amp;color=%23f26722&amp;height=422</t>
  </si>
  <si>
    <t>zghalsadok1@gmail.com</t>
  </si>
  <si>
    <t>https://act.amnestyusa.org/page/153818/petition/1?email_text=Thank+you+for+your+support%21&amp;email_cta_text=Take+Action&amp;email_cta_url=https%3A%2F%2Fwww.amnestyusa.org&amp;submit_btn_text=Get+the+sample+letter&amp;page_title=UNJUSTLY+JAILED+LAWYER+TREATED+INHUMANELY&amp;page_url_params=utm_source%3Dutm_source%253Dtest_source%2526utm_medium%253Dads&amp;Campaign+Date=12%2F26%2F24&amp;Campaign+Time=14%3A09%3A08&amp;en_txn6=Country%3A+Tunisia&amp;en_txn7=CaseNumber%3A+Second+43.24+Tunisia&amp;en_txn8=Topic%3A+Freedom+of+Expression%2C+Individuals+At+Risk&amp;en_txn10=YearType%3A+2024%2C+Email&amp;color=%23f26722&amp;height=422</t>
  </si>
  <si>
    <t>784241@pdsb.net</t>
  </si>
  <si>
    <t>https://donate.amnestyusa.org/page/157642/subscribe/1?_gl=1*f1bdui*_gcl_au*MTQ1MzE5MTMzOC4xNzMzNTIxNTEw&amp;color=%23252525</t>
  </si>
  <si>
    <t>thompsonlamonte@gmail.com</t>
  </si>
  <si>
    <t>sma40005@gmail.com</t>
  </si>
  <si>
    <t>https://act.amnestyusa.org/page/153818/petition/1?email_text=Thank+you+for+your+support%21&amp;email_cta_text=Take+Action&amp;email_cta_url=https%3A%2F%2Fwww.amnestyusa.org&amp;submit_btn_text=Get+the+sample+letter&amp;page_title=RISKS+OF+FURTHER+PROTEST-RELATED+EXECUTIONS&amp;page_url_params=utm_source%3Dutm_source%253Dtest_source%2526utm_medium%253Dads&amp;Campaign+Date=01%2F13%2F25&amp;Campaign+Time=15%3A11%3A50&amp;en_txn6=Country%3A+Iran&amp;en_txn7=CaseNumber%3A+Seventh+103.22+Iran&amp;en_txn8=Topic%3A+Death+Penalty%2C+Freedom+of+Expression%2C+Individuals+At+Risk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</si>
  <si>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MALAYSIAN+MAN+BELIEVED+AT+RISK+OF+EXECUTION%C2%A0&amp;page_url_params=utm_source%3Dutm_source%253Dtest_source%2526utm_medium%253Dads&amp;Campaign+Date=01%2F13%2F25&amp;Campaign+Time=12%3A14%3A32&amp;en_txn6=Country%3A+Singapore&amp;en_txn7=CaseNumber%3A+107.24+Singapore&amp;en_txn8=Topic%3A+Death+Penalty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</si>
  <si>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KURDISH+DISSIDENT+SENTENCED+TO+DEATH+IN+IRAN&amp;page_url_params=utm_source%3Dutm_source%253Dtest_source%2526utm_medium%253Dads&amp;Campaign+Date=01%2F12%2F25&amp;Campaign+Time=18%3A56%3A38&amp;en_txn6=Country%3A+Iran&amp;en_txn7=CaseNumber%3A+101.24+Iran&amp;en_txn8=Topic%3A+Death+Penalty%2C+Freedom+of+Expression%2C+Individuals+At+Risk%2C+Right+to+Protest&amp;en_txn10=YearType%3A+2024%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</si>
  <si>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14%2F25&amp;Campaign+Time=23%3A47%3A50&amp;en_txn6=Country%3A+Israel+and+Occupied+Palestinian+Territories&amp;en_txn7=CaseNumber%3A+3.25+IOPT&amp;en_txn8=Topic%3A+Freedom+of+Expression%2C+Individuals+At+Risk&amp;en_txn10=YearType%3A+2025%2C+Email&amp;color=%23f26722&amp;height=422&amp;fbclid=IwZXh0bgNhZW0CMTEAAR0KBeoLkuXLRarpc_k3Zkm_gZhRV7TIOWsWq73o_uj05qo3siuKtEix0kI_aem_hPMeNiS-o73e45A73bjSQQ</t>
  </si>
  <si>
    <t>https://act.amnestyusa.org/page/153818/petition/1?submit_btn_text=Get+the+sample+letter&amp;page_title=HUMAN+RIGHTS+DEFENDER+ON+HUNGER+STRIKE+%5BSecond+UA+76.24+Tunisia%5D&amp;page_url_params=utm_source%3Dutm_source%253Dtest_source%2526utm_medium%253Dads&amp;Campaign+Date=02%2F06%2F25&amp;Campaign+Time=13%3A43%3A09&amp;en_txn6=Country%3A+Tunisia&amp;en_txn7=CaseNumber%3A+Second+76.24+Tunisia&amp;en_txn8=Topic%3A+Freedom+of+Expression%2C+Human+Rights+Defenders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</si>
  <si>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14%2F25&amp;Campaign+Time=22%3A58%3A22&amp;en_txn6=Country%3A+Israel+and+Occupied+Palestinian+Territories&amp;en_txn7=CaseNumber%3A+3.25+IOPT&amp;en_txn8=Topic%3A+Freedom+of+Expression%2C+Individuals+At+Risk&amp;en_txn10=YearType%3A+2025%2C+Email&amp;color=%23f26722&amp;height=422&amp;fbclid=IwZXh0bgNhZW0CMTEAAR2agei8PQPwJowV9IGp3mJKYwdaPkIB7S0r_Wbq3XnjIDuWfCHfmOHG7U0_aem_KQ3TxaRMiFRwEqssUYjHXQ</t>
  </si>
  <si>
    <t>https://act.amnestyusa.org/page/153818/petition/1?email_text=Thank+you+for+your+support%21&amp;email_cta_text=Take+Action&amp;email_cta_url=https%3A%2F%2Fwww.amnestyusa.org&amp;submit_btn_text=Get+the+sample+letter&amp;page_title=RELEASE+PAEDIATRICIAN+AND+HOSPITAL+DIRECTOR&amp;page_url_params=utm_source%3Dutm_source%253Dtest_source%2526utm_medium%253Dads&amp;Campaign+Date=01%2F14%2F25&amp;Campaign+Time=22%3A31%3A45&amp;en_txn6=Country%3A+Israel+and+Occupied+Palestinian+Territories&amp;en_txn7=CaseNumber%3A+3.25+IOPT&amp;en_txn8=Topic%3A+Freedom+of+Expression%2C+Individuals+At+Risk&amp;en_txn10=YearType%3A+2025%2C+Email&amp;color=%23f26722&amp;height=422&amp;fbclid=IwZXh0bgNhZW0CMTEAAR0tuVX48LpJ51Y8KZ_PQx2TDui-W9t5vX5ObQlBlcCgmY7y3_lhi-BFVQ8_aem_VBV0fApwrayHP5EhycoC6w</t>
  </si>
  <si>
    <t>https://act.amnestyusa.org/page/153818/petition/1?email_text=Thank+you+for+your+support%21&amp;email_cta_text=Take+Action&amp;email_cta_url=https%3A%2F%2Fwww.amnestyusa.org&amp;submit_btn_text=Get+the+sample+letter&amp;page_title=RELEASE+PAEDIATRICIAN+AND+HOSPITAL+DIRECTOR&amp;page_url_params=utm_source%3Dutm_source%253Dtest_source%2526utm_medium%253Dads&amp;Campaign+Date=01%2F14%2F25&amp;Campaign+Time=22%3A31%3A45&amp;en_txn6=Country%3A+Israel+and+Occupied+Palestinian+Territories&amp;en_txn7=CaseNumber%3A+3.25+IOPT&amp;en_txn8=Topic%3A+Freedom+of+Expression%2C+Individuals+At+Risk&amp;en_txn10=YearType%3A+2025%2C+Email&amp;color=%23f26722&amp;height=422&amp;fbclid=IwY2xjawH0QIRleHRuA2FlbQIxMAABHW5nWuyJPc17-3fc7JP4etFB5lN_XxG67BfEhxPr71feRHPCjj0nRySeiw_aem_u5GEgZPQH9G47y6bBKeURw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</si>
  <si>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14%2F25&amp;Campaign+Time=23%3A47%3A50&amp;en_txn6=Country%3A+Israel+and+Occupied+Palestinian+Territories&amp;en_txn7=CaseNumber%3A+3.25+IOPT&amp;en_txn8=Topic%3A+Freedom+of+Expression%2C+Individuals+At+Risk&amp;en_txn10=YearType%3A+2025%2C+Email&amp;color=%23f26722&amp;height=422&amp;fbclid=IwZXh0bgNhZW0CMTEAAR3tproYEvotm77zxQihrlAHPjHcFPBDr0LBwqZmJI72BbdcG7prISjU-ts_aem_JIMqmb2Sgcc4H_1FIJHQ_g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</si>
  <si>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14%2F25&amp;Campaign+Time=22%3A58%3A22&amp;en_txn6=Country%3A+Israel+and+Occupied+Palestinian+Territories&amp;en_txn7=CaseNumber%3A+3.25+IOPT&amp;en_txn8=Topic%3A+Freedom+of+Expression%2C+Individuals+At+Risk&amp;en_txn10=YearType%3A+2025%2C+Email&amp;color=%23f26722&amp;height=422&amp;fbclid=IwZXh0bgNhZW0CMTEAAR0TDOS55wYFuKYk5IuwREnTtC3to8O0dNoGQiDl-JUcXfwl_ikOocMWP88_aem_RpP_ZW7hYMjF79IRwDUmbg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</si>
  <si>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14%2F25&amp;Campaign+Time=22%3A58%3A22&amp;en_txn6=Country%3A+Israel+and+Occupied+Palestinian+Territories&amp;en_txn7=CaseNumber%3A+3.25+IOPT&amp;en_txn8=Topic%3A+Freedom+of+Expression%2C+Individuals+At+Risk&amp;en_txn10=YearType%3A+2025%2C+Email&amp;color=%23f26722&amp;height=422&amp;fbclid=IwZXh0bgNhZW0CMTEAAR0c9xO3p-svzRtQwByd6hrz_2pIVDLWBTlUrYYIets1OMNPuPlhfADcTKk_aem_kTmMx-o9yflWUDh32Aom-A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</si>
  <si>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14%2F25&amp;Campaign+Time=23%3A47%3A50&amp;en_txn6=Country%3A+Israel+and+Occupied+Palestinian+Territories&amp;en_txn7=CaseNumber%3A+3.25+IOPT&amp;en_txn8=Topic%3A+Freedom+of+Expression%2C+Individuals+At+Risk&amp;en_txn10=YearType%3A+2025%2C+Email&amp;color=%23f26722&amp;height=422&amp;fbclid=IwY2xjawH0YeFleHRuA2FlbQIxMQABHYd9U_Q2enZGuy0otNwMszrxn6wBGFLg89SgfurNGvm_mFyP2HObqABTkQ_aem_bfvsSYpKx1aYso40-9nshg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</si>
  <si>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14%2F25&amp;Campaign+Time=22%3A58%3A22&amp;en_txn6=Country%3A+Israel+and+Occupied+Palestinian+Territories&amp;en_txn7=CaseNumber%3A+3.25+IOPT&amp;en_txn8=Topic%3A+Freedom+of+Expression%2C+Individuals+At+Risk&amp;en_txn10=YearType%3A+2025%2C+Email&amp;color=%23f26722&amp;height=422&amp;fbclid=IwY2xjawH0bI9leHRuA2FlbQIxMQABHVcDPf8lUQ9a-QKnaEjH_uiDWQjSyAdNu3Tei4PaM9Vlvy6R0a9HjPvaIQ_aem_KoQu_Hnqg5K8weKG4yioaw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</si>
  <si>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15%2F25&amp;Campaign+Time=06%3A38%3A11&amp;en_txn6=Country%3A+Israel+and+Occupied+Palestinian+Territories&amp;en_txn7=CaseNumber%3A+3.25+IOPT&amp;en_txn8=Topic%3A+Freedom+of+Expression%2C+Individuals+At+Risk&amp;en_txn10=YearType%3A+2025%2C+Email&amp;color=%23f26722&amp;height=422&amp;fbclid=IwY2xjawH0ct5leHRuA2FlbQIxMAABHXYt9yf6kBMCaKXkpVr-5drXSQtvGvIBFVoZ043BK_Da3gtjWxZwcjYFUg_aem_JqIyjjODPxqcFBgOC7mOHQ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</si>
  <si>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14%2F25&amp;Campaign+Time=22%3A58%3A22&amp;en_txn6=Country%3A+Israel+and+Occupied+Palestinian+Territories&amp;en_txn7=CaseNumber%3A+3.25+IOPT&amp;en_txn8=Topic%3A+Freedom+of+Expression%2C+Individuals+At+Risk&amp;en_txn10=YearType%3A+2025%2C+Email&amp;color=%23f26722&amp;height=422&amp;fbclid=IwZXh0bgNhZW0CMTAAAR3ZQQtSuLy9vdJnfiJ6PoQOIbXQIjb7j-eQ7klZHUTnGwWVRUFYwK2QFlo_aem_zl-42OlPnngcPfFFj_iqaA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</si>
  <si>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15%2F25&amp;Campaign+Time=09%3A22%3A25&amp;en_txn6=Country%3A+Israel+and+Occupied+Palestinian+Territories&amp;en_txn7=CaseNumber%3A+3.25+IOPT&amp;en_txn8=Topic%3A+Freedom+of+Expression%2C+Individuals+At+Risk&amp;en_txn10=YearType%3A+2025%2C+Email&amp;color=%23f26722&amp;height=422&amp;fbclid=IwZXh0bgNhZW0CMTAAAR2ygOJthmdAm9HImmCWJgUIa-wCogHMIVraVyOkexZymFr_22gCyC9sWKc_aem_O7JC7KuSnir8hSuwF08Asg</t>
  </si>
  <si>
    <t>https://act.amnestyusa.org/page/153818/petition/1?email_text=Thank+you+for+your+support%21&amp;email_cta_text=Take+Action&amp;email_cta_url=https%3A%2F%2Fwww.amnestyusa.org&amp;submit_btn_text=Get+the+sample+letter&amp;page_title=RELEASE+PAEDIATRICIAN+AND+HOSPITAL+DIRECTOR&amp;page_url_params=utm_source%3Dutm_source%253Dtest_source%2526utm_medium%253Dads&amp;Campaign+Date=01%2F14%2F25&amp;Campaign+Time=22%3A03%3A15&amp;en_txn6=Country%3A+Israel+and+Occupied+Palestinian+Territories&amp;en_txn7=CaseNumber%3A+3.25+IOPT&amp;en_txn8=Topic%3A+Freedom+of+Expression%2C+Individuals+At+Risk&amp;en_txn10=YearType%3A+2025%2C+Email&amp;color=%23f26722&amp;height=422&amp;fbclid=IwZXh0bgNhZW0CMTEAAR2WgZ_BH7lE0HGdUfgJ9VmfZjTv7JzxvKg7PsDhq65wslq0Pdnxdjl0oHo_aem_5udcNbpdGjSqd1vSuTnoaQ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</si>
  <si>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14%2F25&amp;Campaign+Time=22%3A58%3A22&amp;en_txn6=Country%3A+Israel+and+Occupied+Palestinian+Territories&amp;en_txn7=CaseNumber%3A+3.25+IOPT&amp;en_txn8=Topic%3A+Freedom+of+Expression%2C+Individuals+At+Risk&amp;en_txn10=YearType%3A+2025%2C+Email&amp;color=%23f26722&amp;height=422&amp;fbclid=IwY2xjawH0oHNleHRuA2FlbQIxMQABHZC0MfIxqtj-c3Z5-9Pw5wzmzfJ5SO4RCoCUMdLIumEIQqlUsKN2UCra9Q_aem_8z2eon97cKxAD9nlwC4hmw</t>
  </si>
  <si>
    <t>https://act.amnestyusa.org/page/153818/petition/1?email_text=Thank+you+for+your+support%21&amp;email_cta_text=Take+Action&amp;email_cta_url=https%3A%2F%2Fwww.amnestyusa.org&amp;submit_btn_text=Get+the+sample+letter&amp;page_title=RELEASE+PAEDIATRICIAN+AND+HOSPITAL+DIRECTOR&amp;page_url_params=utm_source%3Dutm_source%253Dtest_source%2526utm_medium%253Dads&amp;Campaign+Date=01%2F14%2F25&amp;Campaign+Time=22%3A03%3A18&amp;en_txn6=Country%3A+Israel+and+Occupied+Palestinian+Territories&amp;en_txn7=CaseNumber%3A+3.25+IOPT&amp;en_txn8=Topic%3A+Freedom+of+Expression%2C+Individuals+At+Risk&amp;en_txn10=YearType%3A+2025%2C+Email&amp;color=%23f26722&amp;height=422&amp;fbclid=IwZXh0bgNhZW0CMTAAAR2QbpJNLYcWEeA8Ub2RjgCm_FQE3-1hFYNbvuGe-H1AltJrVwKFiuesdXw_aem_Wu0Q8bHHJwR-C50Eq0_0Cw</t>
  </si>
  <si>
    <t>https://act.amnestyusa.org/page/153818/petition/1?email_text=Thank+you+for+your+support%21&amp;email_cta_text=Take+Action&amp;email_cta_url=https%3A%2F%2Fwww.amnestyusa.org&amp;submit_btn_text=Get+the+sample+letter&amp;page_title=RELEASE+PAEDIATRICIAN+AND+HOSPITAL+DIRECTOR&amp;page_url_params=utm_source%3Dutm_source%253Dtest_source%2526utm_medium%253Dads&amp;Campaign+Date=01%2F14%2F25&amp;Campaign+Time=22%3A03%3A15&amp;en_txn6=Country%3A+Israel+and+Occupied+Palestinian+Territories&amp;en_txn7=CaseNumber%3A+3.25+IOPT&amp;en_txn8=Topic%3A+Freedom+of+Expression%2C+Individuals+At+Risk&amp;en_txn10=YearType%3A+2025%2C+Email&amp;color=%23f26722&amp;height=422&amp;fbclid=IwZXh0bgNhZW0CMTEAAR1E_mizotraZQ-DIqvzF8nXzNuQGvzXjIW5e1nTIcSUzfLtDiOzkMBGxnE_aem_MgYvI_V5NJGiNwV2PJBApg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</si>
  <si>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14%2F25&amp;Campaign+Time=22%3A58%3A22&amp;en_txn6=Country%3A+Israel+and+Occupied+Palestinian+Territories&amp;en_txn7=CaseNumber%3A+3.25+IOPT&amp;en_txn8=Topic%3A+Freedom+of+Expression%2C+Individuals+At+Risk&amp;en_txn10=YearType%3A+2025%2C+Email&amp;color=%23f26722&amp;height=422&amp;fbclid=IwZXh0bgNhZW0CMTEAAR1CwIRk4ftky9aAnq75lX_nF2lgF2IL2TmOrhKPtyEHwcunN6LBufNPdGA_aem_9eSmIDg-9dSXpgPE2IgiLA</t>
  </si>
  <si>
    <t>https://act.amnestyusa.org/page/153818/petition/1?email_text=Thank+you+for+your+support%21&amp;email_cta_text=Take+Action&amp;email_cta_url=https%3A%2F%2Fwww.amnestyusa.org&amp;submit_btn_text=Get+the+sample+letter&amp;page_title=RELEASE+PAEDIATRICIAN+AND+HOSPITAL+DIRECTOR&amp;page_url_params=utm_source%3Dutm_source%253Dtest_source%2526utm_medium%253Dads&amp;Campaign+Date=01%2F14%2F25&amp;Campaign+Time=22%3A03%3A15&amp;en_txn6=Country%3A+Israel+and+Occupied+Palestinian+Territories&amp;en_txn7=CaseNumber%3A+3.25+IOPT&amp;en_txn8=Topic%3A+Freedom+of+Expression%2C+Individuals+At+Risk&amp;en_txn10=YearType%3A+2025%2C+Email&amp;color=%23f26722&amp;height=422&amp;fbclid=IwY2xjawH0zR5leHRuA2FlbQIxMAABHRWFraZKemJd6Jn7JD7twnUmtyoc66ps8Swa3hyHyRBzVw4zz64H665sjA_aem_mvQMH2tSFABcAqlqcllNrA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</si>
  <si>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14%2F25&amp;Campaign+Time=22%3A58%3A22&amp;en_txn6=Country%3A+Israel+and+Occupied+Palestinian+Territories&amp;en_txn7=CaseNumber%3A+3.25+IOPT&amp;en_txn8=Topic%3A+Freedom+of+Expression%2C+Individuals+At+Risk&amp;en_txn10=YearType%3A+2025%2C+Email&amp;color=%23f26722&amp;height=422&amp;fbclid=IwY2xjawH04sVleHRuA2FlbQIxMQABHZRWYqieUStD1DUiDPDK50CTO8vsTC4olX9uz_atnWOcQUDyeLGUGvcujQ_aem_t46CxMya7ImQ1SzA8dlysw</t>
  </si>
  <si>
    <t>https://act.amnestyusa.org/page/153818/petition/1?email_text=Thank+you+for+your+support%21&amp;email_cta_text=Take+Action&amp;email_cta_url=https%3A%2F%2Fwww.amnestyusa.org&amp;submit_btn_text=Get+the+sample+letter&amp;page_title=RELEASE+PAEDIATRICIAN+AND+HOSPITAL+DIRECTOR&amp;page_url_params=utm_source%3Dutm_source%253Dtest_source%2526utm_medium%253Dads&amp;Campaign+Date=01%2F14%2F25&amp;Campaign+Time=22%3A03%3A15&amp;en_txn6=Country%3A+Israel+and+Occupied+Palestinian+Territories&amp;en_txn7=CaseNumber%3A+3.25+IOPT&amp;en_txn8=Topic%3A+Freedom+of+Expression%2C+Individuals+At+Risk&amp;en_txn10=YearType%3A+2025%2C+Email&amp;color=%23f26722&amp;height=422&amp;fbclid=IwY2xjawH08A9leHRuA2FlbQIxMQABHZqXzRmEsaamUICzD9VR6zngKVyzQO7Up_yYH5ko1n1vvtqyw8oV_hQ7kA_aem_rwYLBNKjf7d_mI6EQYuUJg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</si>
  <si>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15%2F25&amp;Campaign+Time=21%3A32%3A55&amp;en_txn6=Country%3A+Israel+and+Occupied+Palestinian+Territories&amp;en_txn7=CaseNumber%3A+3.25+IOPT&amp;en_txn8=Topic%3A+Freedom+of+Expression%2C+Individuals+At+Risk&amp;en_txn10=YearType%3A+2025%2C+Email&amp;color=%23f26722&amp;height=422&amp;fbclid=IwZXh0bgNhZW0CMTEAAR0MH9XZiTYNPTDfmqSibP0kU27o_VxGj-uqRhVDLOYcWGmDbR2Q8hz4OpE_aem_OIP8ZqIJp7Ha6ZPsY1Sipw</t>
  </si>
  <si>
    <t>mobile:N~tablet:Y~device:GOOGLE~os:Android 5.x Tablet~browser:Chrome 10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</si>
  <si>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15%2F25&amp;Campaign+Time=21%3A32%3A55&amp;en_txn6=Country%3A+Israel+and+Occupied+Palestinian+Territories&amp;en_txn7=CaseNumber%3A+3.25+IOPT&amp;en_txn8=Topic%3A+Freedom+of+Expression%2C+Individuals+At+Risk&amp;en_txn10=YearType%3A+2025%2C+Email&amp;color=%23f26722&amp;height=422&amp;fbclid=IwY2xjawH1GEVleHRuA2FlbQIxMAABHUFDFfjIE1vrzvqHl2l1sl9Wun_QQHj_8tVKVNkrgKwy_-231pKUsBsNVg_aem_W74HaB7Y7tCE7OfXrOACrg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</si>
  <si>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15%2F25&amp;Campaign+Time=21%3A32%3A55&amp;en_txn6=Country%3A+Israel+and+Occupied+Palestinian+Territories&amp;en_txn7=CaseNumber%3A+3.25+IOPT&amp;en_txn8=Topic%3A+Freedom+of+Expression%2C+Individuals+At+Risk&amp;en_txn10=YearType%3A+2025%2C+Email&amp;color=%23f26722&amp;height=422&amp;fbclid=IwY2xjawH1G-ZleHRuA2FlbQIxMQABHTmpgS-msod5GzJnQQT0SLN-3F5ALlQFk_-CATpqy_ETJKPQwXYKTE0QcA_aem_gtNGlwGRf1agfZ9tDQNPwg</t>
  </si>
  <si>
    <t>https://act.amnestyusa.org/page/153818/petition/1?email_text=Thank+you+for+your+support%21&amp;email_cta_text=Take+Action&amp;email_cta_url=https%3A%2F%2Fwww.amnestyusa.org&amp;submit_btn_text=Get+the+sample+letter&amp;page_title=RELEASE+PAEDIATRICIAN+AND+HOSPITAL+DIRECTOR&amp;page_url_params=utm_source%3Dutm_source%253Dtest_source%2526utm_medium%253Dads&amp;Campaign+Date=01%2F14%2F25&amp;Campaign+Time=22%3A31%3A45&amp;en_txn6=Country%3A+Israel+and+Occupied+Palestinian+Territories&amp;en_txn7=CaseNumber%3A+3.25+IOPT&amp;en_txn8=Topic%3A+Freedom+of+Expression%2C+Individuals+At+Risk&amp;en_txn10=YearType%3A+2025%2C+Email&amp;color=%23f26722&amp;height=422&amp;fbclid=IwY2xjawH1HwVleHRuA2FlbQIxMAABHW5ZWAM9R7mab7MiziGvJQUf5if0kkaaqz--L7TZ2ylYKqbhN2EFfyWbjg_aem_t5q-T8b4Ed4q-efZjGwjFg</t>
  </si>
  <si>
    <t>https://act.amnestyusa.org/page/153818/petition/1?email_text=Thank+you+for+your+support%21&amp;email_cta_text=Take+Action&amp;email_cta_url=https%3A%2F%2Fwww.amnestyusa.org&amp;submit_btn_text=Get+the+sample+letter&amp;page_title=RELEASE+PAEDIATRICIAN+AND+HOSPITAL+DIRECTOR&amp;page_url_params=utm_source%3Dutm_source%253Dtest_source%2526utm_medium%253Dads&amp;Campaign+Date=01%2F14%2F25&amp;Campaign+Time=22%3A03%3A18&amp;en_txn6=Country%3A+Israel+and+Occupied+Palestinian+Territories&amp;en_txn7=CaseNumber%3A+3.25+IOPT&amp;en_txn8=Topic%3A+Freedom+of+Expression%2C+Individuals+At+Risk&amp;en_txn10=YearType%3A+2025%2C+Email&amp;color=%23f26722&amp;height=422&amp;fbclid=IwZXh0bgNhZW0CMTEAAR1OV53yTEuWUnGOnOT0cHjz0oeDEdLaL1V5dZfVgSRB_CZJKytdNxYwQDA_aem_BPfTb3Ckd44J-RN-R3LzZg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</si>
  <si>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15%2F25&amp;Campaign+Time=21%3A32%3A55&amp;en_txn6=Country%3A+Israel+and+Occupied+Palestinian+Territories&amp;en_txn7=CaseNumber%3A+3.25+IOPT&amp;en_txn8=Topic%3A+Freedom+of+Expression%2C+Individuals+At+Risk&amp;en_txn10=YearType%3A+2025%2C+Email&amp;color=%23f26722&amp;height=422&amp;fbclid=IwZXh0bgNhZW0CMTEAAR3dPtyWx3UNuS137oPC_dzWzbThTEEreQLyBBCTRuooa3z7fpb28CxiAqY_aem_pL7qsM-p5QY5zgSnWcr-CQ</t>
  </si>
  <si>
    <t>https://act.amnestyusa.org/page/153818/petition/1?email_text=Thank+you+for+your+support%21&amp;email_cta_text=Take+Action&amp;email_cta_url=https%3A%2F%2Fwww.amnestyusa.org&amp;submit_btn_text=Get+the+sample+letter&amp;page_title=RELEASE+PAEDIATRICIAN+AND+HOSPITAL+DIRECTOR&amp;page_url_params=utm_source%3Dutm_source%253Dtest_source%2526utm_medium%253Dads&amp;Campaign+Date=01%2F14%2F25&amp;Campaign+Time=22%3A03%3A18&amp;en_txn6=Country%3A+Israel+and+Occupied+Palestinian+Territories&amp;en_txn7=CaseNumber%3A+3.25+IOPT&amp;en_txn8=Topic%3A+Freedom+of+Expression%2C+Individuals+At+Risk&amp;en_txn10=YearType%3A+2025%2C+Email&amp;color=%23f26722&amp;height=422&amp;fbclid=IwZXh0bgNhZW0CMTEAAR0-BDQV8XAHEjXI52z5cElp4umqIWJ5he7UYDVXFWeaIcJlj24j1pequPk_aem_a5Ri_cuZ-PKbnUXHfT7zSg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</si>
  <si>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15%2F25&amp;Campaign+Time=21%3A32%3A55&amp;en_txn6=Country%3A+Israel+and+Occupied+Palestinian+Territories&amp;en_txn7=CaseNumber%3A+3.25+IOPT&amp;en_txn8=Topic%3A+Freedom+of+Expression%2C+Individuals+At+Risk&amp;en_txn10=YearType%3A+2025%2C+Email&amp;color=%23f26722&amp;height=422&amp;fbclid=IwY2xjawH1eNNleHRuA2FlbQIxMQABHQQAfs4OnLQY67rBuvQomrJsnWwzLSkUtgKpmphPkCw1MC_YkTzZp9txxw_aem_AcE6pBtxnMRXNtV6Ba8NxQ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</si>
  <si>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16%2F25&amp;Campaign+Time=09%3A07%3A45&amp;en_txn6=Country%3A+Israel+and+Occupied+Palestinian+Territories&amp;en_txn7=CaseNumber%3A+3.25+IOPT&amp;en_txn8=Topic%3A+Freedom+of+Expression%2C+Individuals+At+Risk&amp;en_txn10=YearType%3A+2025%2C+Email&amp;color=%23f26722&amp;height=422&amp;fbclid=IwY2xjawH1q65leHRuA2FlbQIxMAABHTJajGMK1iU_WM11OifYHYZMMyHTBJUKC5TmkzkmuPzX69lrqsFzq6zwwg_aem_8Pd1Xa7-c5Z8X3T11NTrsg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</si>
  <si>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16%2F25&amp;Campaign+Time=09%3A07%3A45&amp;en_txn6=Country%3A+Israel+and+Occupied+Palestinian+Territories&amp;en_txn7=CaseNumber%3A+3.25+IOPT&amp;en_txn8=Topic%3A+Freedom+of+Expression%2C+Individuals+At+Risk&amp;en_txn10=YearType%3A+2025%2C+Email&amp;color=%23f26722&amp;height=422&amp;fbclid=IwY2xjawH1vKVleHRuA2FlbQIxMAABHbuLw59nos8p5HR1tQc2-alfXphXJQ2bWDne0JFCXO4AIwwlyskRAQtnbQ_aem_4qSdkffyAEPHZ14GymbURA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</si>
  <si>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16%2F25&amp;Campaign+Time=09%3A00%3A29&amp;en_txn6=Country%3A+Israel+and+Occupied+Palestinian+Territories&amp;en_txn7=CaseNumber%3A+3.25+IOPT&amp;en_txn8=Topic%3A+Freedom+of+Expression%2C+Individuals+At+Risk&amp;en_txn10=YearType%3A+2025%2C+Email&amp;color=%23f26722&amp;height=422&amp;fbclid=IwZXh0bgNhZW0CMTEAAR1Z277jDEWL7qsarZWozt6Z-p6cpRzuhTFWSzdhBfBx9luf0rRC2Iu2Qec_aem__SG6YDcnCCgjj8C84iHJzw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</si>
  <si>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16%2F25&amp;Campaign+Time=09%3A47%3A53&amp;en_txn6=Country%3A+Israel+and+Occupied+Palestinian+Territories&amp;en_txn7=CaseNumber%3A+3.25+IOPT&amp;en_txn8=Topic%3A+Freedom+of+Expression%2C+Individuals+At+Risk&amp;en_txn10=YearType%3A+2025%2C+Email&amp;color=%23f26722&amp;height=422&amp;fbclid=IwY2xjawH2DBVleHRuA2FlbQIxMAABHVetS94tdeVwu0PigE957MYev8C-j7vdb7rGUzof8UxO9lV_bq6pboGPag_aem_fNnHdb5KhVurIrCSwe2Bag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</si>
  <si>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16%2F25&amp;Campaign+Time=09%3A20%3A07&amp;en_txn6=Country%3A+Israel+and+Occupied+Palestinian+Territories&amp;en_txn7=CaseNumber%3A+3.25+IOPT&amp;en_txn8=Topic%3A+Freedom+of+Expression%2C+Individuals+At+Risk&amp;en_txn10=YearType%3A+2025%2C+Email&amp;color=%23f26722&amp;height=422&amp;fbclid=IwZXh0bgNhZW0CMTEAAR1KjC9YR8TzvIK5PPkDGxLNC5PZOrdkRIdZdSf5kKsyqA9domV8Ma0Pxeo_aem_qoFYiQ6aBW0nDyIEpfqZ4g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</si>
  <si>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16%2F25&amp;Campaign+Time=09%3A47%3A53&amp;en_txn6=Country%3A+Israel+and+Occupied+Palestinian+Territories&amp;en_txn7=CaseNumber%3A+3.25+IOPT&amp;en_txn8=Topic%3A+Freedom+of+Expression%2C+Individuals+At+Risk&amp;en_txn10=YearType%3A+2025%2C+Email&amp;color=%23f26722&amp;height=422&amp;fbclid=IwY2xjawH2F_hleHRuA2FlbQIxMAABHdqMvE_q8ZfuUtkOiG852RrWJQd-93S3uApY-VN5VBdMwNtjxKgxkzJHww_aem_R3AqoH4Agh-a9uske0JLxg</t>
  </si>
  <si>
    <t>https://act.amnestyusa.org/page/153818/petition/1?val&amp;actionPage=%2Fpage%2F164198%2Faction%2F1&amp;chain&amp;supporter.firstName=Carmen&amp;supporter.lastName=De%20Paz&amp;supporter.emailAddress=carmen.depaz@gmail.com&amp;supporter.appealCode=W2501UAMNA0&amp;supporter.address1=Calle%20San%20Pedro%207&amp;supporter.city=Madrid&amp;supporter.region=Madrid&amp;supporter.postcode=28014&amp;supporter.country=ES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</si>
  <si>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16%2F25&amp;Campaign+Time=09%3A20%3A07&amp;en_txn6=Country%3A+Israel+and+Occupied+Palestinian+Territories&amp;en_txn7=CaseNumber%3A+3.25+IOPT&amp;en_txn8=Topic%3A+Freedom+of+Expression%2C+Individuals+At+Risk&amp;en_txn10=YearType%3A+2025%2C+Email&amp;color=%23f26722&amp;height=422&amp;fbclid=IwY2xjawH2Gg9leHRuA2FlbQIxMAABHfaBqb4zApP0kGbCoj1Na2iTsSJHtcqkFDnQQXkCXKVVpT2nRg0W1KyYAQ_aem_Y2skzmnrDTGBlTDIUirMDg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</si>
  <si>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16%2F25&amp;Campaign+Time=18%3A51%3A48&amp;en_txn6=Country%3A+Israel+and+Occupied+Palestinian+Territories&amp;en_txn7=CaseNumber%3A+3.25+IOPT&amp;en_txn8=Topic%3A+Freedom+of+Expression%2C+Individuals+At+Risk&amp;en_txn10=YearType%3A+2025%2C+Email&amp;color=%23f26722&amp;height=422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</si>
  <si>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16%2F25&amp;Campaign+Time=20%3A28%3A26&amp;en_txn6=Country%3A+Israel+and+Occupied+Palestinian+Territories&amp;en_txn7=CaseNumber%3A+3.25+IOPT&amp;en_txn8=Topic%3A+Freedom+of+Expression%2C+Individuals+At+Risk&amp;en_txn10=YearType%3A+2025%2C+Email&amp;color=%23f26722&amp;height=422&amp;fbclid=IwY2xjawH2lsRleHRuA2FlbQIxMQABHZxuqdJt7lt9eNY_kyltif8HMFjNFtYLicFpJQ9C7DpKGNDIsWuc8nqcDg_aem_-bGr2UPw8FA1TzXIliXIag</t>
  </si>
  <si>
    <t>https://act.amnestyusa.org/page/153818/petition/1?email_text=Thank+you+for+your+support%21&amp;email_cta_text=Take+Action&amp;email_cta_url=https%3A%2F%2Fwww.amnestyusa.org&amp;submit_btn_text=Get+the+sample+letter&amp;page_title=RELEASE+PEDIATRICIAN+AND+HOSPITAL+DIRECTOR&amp;page_url_params=utm_source%3Dutm_source%253Dtest_source%2526utm_medium%253Dads&amp;Campaign+Date=01%2F16%2F25&amp;Campaign+Time=21%3A30%3A16&amp;en_txn6=Country%3A+Israel+and+Occupied+Palestinian+Territories&amp;en_txn7=CaseNumber%3A+3.25+IOPT&amp;en_txn8=Topic%3A+Freedom+of+Expression%2C+Individuals+At+Risk&amp;en_txn10=YearType%3A+2025%2C+Email&amp;color=%23f26722&amp;height=422</t>
  </si>
  <si>
    <t>https://donate.amnestyusa.org/page/157642/subscribe/1?_gl=1*16n8ieh*_gcl_au*MTM5MTY3MDEyNi4xNzM3MTMyNzcx&amp;color=%23000000</t>
  </si>
  <si>
    <t>https://donate.amnestyusa.org/page/157642/subscribe/1?_gl=1*1cbfhqh*_gcl_au*MTU4MjU5NDQ2LjE3MzcyOTgxNTQ.&amp;color=%23252525</t>
  </si>
  <si>
    <t>https://act.amnestyusa.org/page/153818/petition/1?val&amp;email_text=Thank+you+for+your+support%21&amp;email_cta_text=Take+Action&amp;email_cta_url=https%3A%2F%2Fwww.amnestyusa.org&amp;submit_btn_text=Get+the+sample+letter&amp;page_title=UNJUSTLY+JAILED+FATHER+APPEALS+PRISON+TERM&amp;page_url_params=utm_source%3Dutm_source%253Dtest_source%2526utm_medium%253Dads&amp;Campaign+Date=01%2F19%2F25&amp;Campaign+Time=12%3A54%3A23&amp;en_txn6=Country%3A+Egypt&amp;en_txn7=CaseNumber%3A+Third+73.23+Egypt&amp;en_txn8=Topic%3A+Individuals+At+Risk&amp;en_txn10=YearType%3A+2024%2C+Email&amp;color=%23f26722&amp;height=422</t>
  </si>
  <si>
    <t>https://act.amnestyusa.org/page/153818/petition/1?email_text=Thank+you+for+taking+action+on+FREE+VENEZUELAN+HUMAN+RIGHTS+DEFENDERS.&amp;email_cta_text=VIEW+MORE+URGENT+ACTIONS&amp;email_cta_url=https%3A%2F%2Fwww.amnestyusa.org%2Fget-involved%2Fgrassroots-activism%2Furgent-action-network%2Factions%2F%3Fstatus%3Dactive%26fyear%3D2025%26sortby%3Dnewest%26pg%3D1&amp;submit_btn_text=Get+the+sample+letter&amp;page_title=FREE+VENEZUELAN+HUMAN+RIGHTS+DEFENDERS&amp;page_url_params=utm_source%3Dutm_source%253Dtest_source%2526utm_medium%253Dads&amp;Campaign+Date=01%2F20%2F25&amp;Campaign+Time=21%3A05%3A10&amp;en_txn6=Country%3A+Venezuela&amp;en_txn7=CaseNumber%3A+1.25+Venezuela&amp;en_txn8=Topic%3A+Human+Rights+Defenders%2C+Individuals+At+Risk&amp;en_txn10=YearType%3A+2025%2C+Letter&amp;color=%23f26722&amp;height=422</t>
  </si>
  <si>
    <t>https://act.amnestyusa.org/page/153818/petition/1?email_text=Thank+you+for+taking+action+on+PEOPLE+SEEKING+SAFETY+AT+RISK+IN+THE+USA+%5BUSA+4.25%5D.&amp;email_cta_text=VIEW+MORE+URGENT+ACTIONS&amp;email_cta_url=https%3A%2F%2Fwww.amnestyusa.org%2Fget-involved%2Fgrassroots-activism%2Furgent-action-network%2Factions%2F%3Fstatus%3Dactive%26fyear%3D2025%26sortby%3Dnewest%26pg%3D1&amp;submit_btn_text=Get+the+sample+letter&amp;page_title=PEOPLE+SEEKING+SAFETY+AT+RISK+IN+THE+USA+%5BUSA+4.25%5D&amp;page_url_params=utm_source%3Dutm_source%253Dtest_source%2526utm_medium%253Dads&amp;Campaign+Date=01%2F20%2F25&amp;Campaign+Time=21%3A18%3A04&amp;en_txn6=Country%3A+USA&amp;en_txn7=CaseNumber%3A+4.25+USA&amp;en_txn8=Topic%3A+Individuals+At+Risk%2C+Refugee+and+Migrant+Rights&amp;en_txn10=YearType%3A+2025%2C+Letter&amp;color=%23f26722&amp;height=422</t>
  </si>
  <si>
    <t>https://donate.amnestyusa.org/page/157642/subscribe/1?_gl=1*1iwo65r*_gcl_aw*R0NMLjE3Mzc0MzQ1MDUuQ2owS0NRaUFoYmk4QmhESUFSSXNBSkxPbHVjNXA0NjRwOVlNTC10RV9ocUN3RXkxU3FxalRuNDF3ZXY3T2owRll3X0tTTm9ndi1BTWxQMGFBdVNRRUFMd193Y0I.*_gcl_dc*R0NMLjE3Mzc0MzQ1MDUuQ2owS0NRaUFoYmk4QmhESUFSSXNBSkxPbHVjNXA0NjRwOVlNTC10RV9ocUN3RXkxU3FxalRuNDF3ZXY3T2owRll3X0tTTm9ndi1BTWxQMGFBdVNRRUFMd193Y0I.*_gcl_au*MTM1Mzc5MjE5LjE3Mzc0MzQ1MDU.&amp;color=%23252525</t>
  </si>
  <si>
    <t>https://act.amnestyusa.org/page/153818/petition/1?email_text=Thank+you+for+taking+action+on+PEOPLE+SEEKING+SAFETY+AT+RISK+IN+THE+USA+%5BUSA+4.25%5D.&amp;email_cta_text=VIEW+MORE+URGENT+ACTIONS&amp;email_cta_url=https%3A%2F%2Fwww.amnestyusa.org%2Fget-involved%2Fgrassroots-activism%2Furgent-action-network%2Factions%2F%3Fstatus%3Dactive%26fyear%3D2025%26sortby%3Dnewest%26pg%3D1&amp;submit_btn_text=Get+the+sample+letter&amp;page_title=PEOPLE+SEEKING+SAFETY+AT+RISK+IN+THE+USA+%5BUSA+4.25%5D&amp;page_url_params=utm_source%3Dutm_source%253Dtest_source%2526utm_medium%253Dads&amp;Campaign+Date=01%2F21%2F25&amp;Campaign+Time=17%3A45%3A53&amp;en_txn6=Country%3A+USA&amp;en_txn7=CaseNumber%3A+4.25+USA&amp;en_txn8=Topic%3A+Individuals+At+Risk%2C+Refugee+and+Migrant+Rights&amp;en_txn10=YearType%3A+2025%2C+Letter&amp;color=%23f26722&amp;height=422</t>
  </si>
  <si>
    <t>https://act.amnestyusa.org/page/153818/petition/1?submit_btn_text=Get+the+sample+letter&amp;page_title=RELEASE+PEDIATRICIAN+AND+HOSPITAL+DIRECTOR+%5BIOPT+3.25%5D&amp;page_url_params=utm_source%3Dutm_source%253Dtest_source%2526utm_medium%253Dads&amp;Campaign+Date=01%2F20%2F25&amp;Campaign+Time=16%3A19%3A33&amp;en_txn6=Country%3A+Israel+and+Occupied+Palestinian+Territories&amp;en_txn7=CaseNumber%3A+3.25+IOPT&amp;en_txn8=Topic%3A+Freedom+of+Expression%2C+Individuals+At+Risk&amp;en_txn10=YearType%3A+2025%2C+Email&amp;color=%23f26722&amp;height=422&amp;fbclid=IwY2xjawH9QcdleHRuA2FlbQIxMAABHZ3L1ZcTFHd2Edpb6_qpqQL4_6QEeIzVBfxKTgXR9wDQD6wUbBYp5N9ruw_aem_NG1CGreviQgu2ShnxKq5wg</t>
  </si>
  <si>
    <t>https://act.amnestyusa.org/page/153818/petition/1?submit_btn_text=Get+the+sample+letter&amp;page_title=PEOPLE+SEEKING+SAFETY+AT+RISK+IN+THE+USA+%5BUSA+4.25%5D&amp;page_url_params=utm_source%3Dutm_source%253Dtest_source%2526utm_medium%253Dads&amp;Campaign+Date=01%2F27%2F25&amp;Campaign+Time=18%3A52%3A22&amp;en_txn6=Country%3A+USA&amp;en_txn7=CaseNumber%3A+4.25+USA&amp;en_txn8=Topic%3A+Individuals+At+Risk%2C+Refugee+and+Migrant+Rights&amp;en_txn10=YearType%3A+2025%2C+Letter&amp;color=%23f26722&amp;height=422</t>
  </si>
  <si>
    <t>https://act.amnestyusa.org/page/153818/petition/1?submit_btn_text=Get+the+sample+letter&amp;page_title=PROTECT+CIVILIANS+IN+CATATUMBO+%5BColombia+5.25%5D&amp;page_url_params=utm_source%3Dutm_source%253Dtest_source%2526utm_medium%253Dads&amp;Campaign+Date=01%2F28%2F25&amp;Campaign+Time=03%3A50%3A18&amp;en_txn6=Country%3A+Colombia&amp;en_txn7=CaseNumber%3A+5.25+Colombia&amp;en_txn8=Topic%3A+Human+Rights+Defenders%2C+Individuals+At+Risk&amp;en_txn10=YearType%3A+2025%2C+Email&amp;color=%23f26722&amp;height=422</t>
  </si>
  <si>
    <t>https://act.amnestyusa.org/page/153818/petition/1?submit_btn_text=Get+the+sample+letter&amp;page_title=PEOPLE+SEEKING+SAFETY+AT+RISK+IN+THE+USA+%5BUSA+4.25%5D&amp;page_url_params=utm_source%3Dutm_source%253Dtest_source%2526utm_medium%253Dads&amp;Campaign+Date=01%2F28%2F25&amp;Campaign+Time=16%3A40%3A11&amp;en_txn6=Country%3A+USA&amp;en_txn7=CaseNumber%3A+4.25+USA&amp;en_txn8=Topic%3A+Individuals+At+Risk%2C+Refugee+and+Migrant+Rights&amp;en_txn10=YearType%3A+2025%2C+Letter&amp;color=%23f26722&amp;height=422</t>
  </si>
  <si>
    <t>https://act.amnestyusa.org/page/153818/petition/1?submit_btn_text=Get+the+sample+letter&amp;page_title=PEOPLE+SEEKING+SAFETY+AT+RISK+IN+THE+USA+%5BUSA+4.25%5D&amp;page_url_params=utm_source%3Dutm_source%253Dtest_source%2526utm_medium%253Dads&amp;Campaign+Date=02%2F05%2F25&amp;Campaign+Time=09%3A36%3A50&amp;en_txn6=Country%3A+USA&amp;en_txn7=CaseNumber%3A+4.25+USA&amp;en_txn8=Topic%3A+Individuals+At+Risk%2C+Refugee+and+Migrant+Rights&amp;en_txn10=YearType%3A+2025%2C+Letter&amp;color=%23f26722&amp;height=422</t>
  </si>
  <si>
    <t>https://act.amnestyusa.org/page/153818/petition/1?submit_btn_text=Get+the+sample+letter&amp;page_title=RELEASE+PEDIATRICIAN+AND+HOSPITAL+DIRECTOR+%5BIOPT+3.25%5D&amp;page_url_params=utm_source%3Dutm_source%253Dtest_source%2526utm_medium%253Dads&amp;Campaign+Date=02%2F10%2F25&amp;Campaign+Time=12%3A34%3A16&amp;en_txn6=Country%3A+Israel+and+Occupied+Palestinian+Territories&amp;en_txn7=CaseNumber%3A+3.25+IOPT&amp;en_txn8=Topic%3A+Freedom+of+Expression%2C+Individuals+At+Risk&amp;en_txn10=YearType%3A+2025%2C+Email&amp;color=%23f26722&amp;height=422</t>
  </si>
  <si>
    <t>https://donate.amnestyusa.org/page/157642/subscribe/1?_gl=1*4s024s*_gcl_au*MTE5MDAzMjgxNC4xNzM4ODY5MzQz&amp;color=%23252525</t>
  </si>
  <si>
    <t>https://act.amnestyusa.org/page/153818/petition/1?submit_btn_text=Get+the+sample+letter&amp;page_title=UNJUSTLY+JAILED+FATHER+APPEALS+PRISON+TERM&amp;page_url_params=utm_source%3Dutm_source%253Dtest_source%2526utm_medium%253Dads&amp;Campaign+Date=02%2F06%2F25&amp;Campaign+Time=21%3A11%3A50&amp;en_txn6=Country%3A+Egypt&amp;en_txn7=CaseNumber%3A+Third+73.23+Egypt&amp;en_txn8=Topic%3A+Individuals+At+Risk&amp;en_txn10=YearType%3A+2024%2C+Email&amp;color=%23f26722&amp;height=422</t>
  </si>
  <si>
    <t>https://act.amnestyusa.org/page/153818/petition/1?submit_btn_text=Get+the+sample+letter&amp;page_title=UNJUSTLY+JAILED+LAWYER+TREATED+INHUMANELY&amp;page_url_params=utm_source%3Dutm_source%253Dtest_source%2526utm_medium%253Dads&amp;Campaign+Date=02%2F18%2F25&amp;Campaign+Time=00%3A58%3A30&amp;en_txn6=Country%3A+Tunisia&amp;en_txn7=CaseNumber%3A+Second+43.24+Tunisia&amp;en_txn8=Topic%3A+Freedom+of+Expression%2C+Individuals+At+Risk&amp;en_txn10=YearType%3A+2024%2C+Email&amp;color=%23f26722&amp;height=422</t>
  </si>
  <si>
    <t>https://act.amnestyusa.org/page/153818/petition/1?submit_btn_text=Get+the+sample+letter&amp;page_title=MALAYSIAN+MAN+BELIEVED+AT+RISK+OF+EXECUTION%C2%A0&amp;page_url_params=utm_source%3Dutm_source%253Dtest_source%2526utm_medium%253Dads&amp;Campaign+Date=02%2F17%2F25&amp;Campaign+Time=00%3A51%3A41&amp;en_txn6=Country%3A+Singapore&amp;en_txn7=CaseNumber%3A+107.24+Singapore&amp;en_txn8=Topic%3A+Death+Penalty&amp;en_txn10=YearType%3A+2024%2C+Email&amp;color=%23f26722&amp;height=422</t>
  </si>
  <si>
    <t>https://act.amnestyusa.org/page/153818/petition/1?submit_btn_text=Get+the+sample+letter&amp;page_title=UNJUSTLY+JAILED+POLITICIAN%E2%80%99S+SON%E2%80%99S+HEALTH+AT+RISK&amp;page_url_params=utm_source%3Dutm_source%253Dtest_source%2526utm_medium%253Dads&amp;Campaign+Date=02%2F18%2F25&amp;Campaign+Time=01%3A11%3A44&amp;en_txn6=Country%3A+Egypt&amp;en_txn7=CaseNumber%3A+Fourth+29.23+Egypt&amp;en_txn8=Topic%3A+Freedom+of+Expression%2C+Individuals+At+Risk%2C+Right+to+Protest&amp;en_txn10=YearType%3A+2024%2C+Email&amp;color=%23f26722&amp;height=422</t>
  </si>
  <si>
    <t>https://act.amnestyusa.org/page/153818/petition/1?submit_btn_text=Get+the+sample+letter&amp;page_title=RELEASE+JOURNALIST+CONVICTED+OF+PROPAGANDA+%5BAfghanistan+11.25%5D&amp;page_url_params=utm_source%3Dutm_source%253Dtest_source%2526utm_medium%253Dads&amp;Campaign+Date=02%2F08%2F25&amp;Campaign+Time=06%3A31%3A51&amp;en_txn6=Country%3A+Afghanistan&amp;en_txn7=CaseNumber%3A+11.25+Afghanistan&amp;en_txn8=Topic%3A+Freedom+of+Expression%2C+Health%2C+Individuals+At+Risk&amp;en_txn10=YearType%3A+2025%2C+Email&amp;color=%23f26722&amp;height=422</t>
  </si>
  <si>
    <t>https://act.amnestyusa.org/page/153818/petition/1?submit_btn_text=Get+the+sample+letter&amp;page_title=JUSTICE+FOR+WATER+DEFENDER+KILLED&amp;page_url_params=utm_source%3Dutm_source%253Dtest_source%2526utm_medium%253Dads&amp;Campaign+Date=02%2F05%2F25&amp;Campaign+Time=20%3A16%3A10&amp;en_txn6=Country%3A+Honduras&amp;en_txn7=CaseNumber%3A+Second+85.24+Honduras&amp;en_txn8=Topic%3A+Climate+Justice%2C+Human+Rights+Defenders%2C+Right+to+Protest&amp;en_txn10=YearType%3A+2024%2C+Email&amp;color=%23f26722&amp;height=422</t>
  </si>
  <si>
    <t>https://act.amnestyusa.org/page/153818/petition/1?submit_btn_text=Get+the+sample+letter&amp;page_title=JUSTICE+FOR+WATER+DEFENDER+KILLED&amp;page_url_params=utm_source%3Dutm_source%253Dtest_source%2526utm_medium%253Dads&amp;Campaign+Date=02%2F14%2F25&amp;Campaign+Time=22%3A07%3A59&amp;en_txn6=Country%3A+Honduras&amp;en_txn7=CaseNumber%3A+Second+85.24+Honduras&amp;en_txn8=Topic%3A+Climate+Justice%2C+Human+Rights+Defenders%2C+Right+to+Protest&amp;en_txn10=YearType%3A+2024%2C+Email&amp;color=%23f26722&amp;height=422</t>
  </si>
  <si>
    <t>https://act.amnestyusa.org/page/153818/petition/1?submit_btn_text=Get+the+sample+letter&amp;page_title=KURDISH+DISSIDENT+SENTENCED+TO+DEATH+IN+IRAN&amp;page_url_params=utm_source%3Dutm_source%253Dtest_source%2526utm_medium%253Dads&amp;Campaign+Date=02%2F12%2F25&amp;Campaign+Time=19%3A06%3A45&amp;en_txn6=Country%3A+Iran&amp;en_txn7=CaseNumber%3A+101.24+Iran&amp;en_txn8=Topic%3A+Death+Penalty%2C+Freedom+of+Expression%2C+Individuals+At+Risk%2C+Right+to+Protest&amp;en_txn10=YearType%3A+2024%2C+Email&amp;color=%23f26722&amp;height=422</t>
  </si>
  <si>
    <t>https://act.amnestyusa.org/page/153818/petition/1?submit_btn_text=Get+the+sample+letter&amp;page_title=MILITARY+COURT+CONVICTS+HUMAN+RIGHTS+LAWYER+%5BUganda+9.24%5D&amp;page_url_params=utm_source%3Dutm_source%253Dtest_source%2526utm_medium%253Dads&amp;Campaign+Date=02%2F13%2F25&amp;Campaign+Time=20%3A52%3A24&amp;en_txn6=Country%3A+Uganda&amp;en_txn7=CaseNumber%3A+9.25+Uganda&amp;en_txn8=Topic%3A+Freedom+of+Expression%2C+Human+Rights+Defenders&amp;en_txn10=YearType%3A+2025%2C+Email&amp;color=%23f26722&amp;height=422</t>
  </si>
  <si>
    <t>https://act.amnestyusa.org/page/153818/petition/1?submit_btn_text=Get+the+sample+letter&amp;page_title=PRISONERS+AT+IMMINENT+RISK+OF+EXECUTION+%5BIran+10.25%5D&amp;page_url_params=utm_source%3Dutm_source%253Dtest_source%2526utm_medium%253Dads&amp;Campaign+Date=02%2F15%2F25&amp;Campaign+Time=17%3A50%3A10&amp;en_txn6=Country%3A+Iran&amp;en_txn7=CaseNumber%3A+10.25+Iran&amp;en_txn8=Topic%3A+Death+Penalty%2C+Individuals+At+Risk&amp;en_txn10=YearType%3A+2025%2C+Email&amp;color=%23f26722&amp;height=422</t>
  </si>
  <si>
    <t>https://act.amnestyusa.org/page/153818/petition/1?submit_btn_text=Get+the+sample+letter&amp;page_title=UNJUSTLY+JAILED+LAWYER+TREATED+INHUMANELY&amp;page_url_params=utm_source%3Dutm_source%253Dtest_source%2526utm_medium%253Dads&amp;Campaign+Date=02%2F19%2F25&amp;Campaign+Time=16%3A39%3A55&amp;en_txn6=Country%3A+Tunisia&amp;en_txn7=CaseNumber%3A+Second+43.24+Tunisia&amp;en_txn8=Topic%3A+Freedom+of+Expression%2C+Individuals+At+Risk&amp;en_txn10=YearType%3A+2024%2C+Email&amp;color=%23f26722&amp;height=422</t>
  </si>
  <si>
    <t>https://act.amnestyusa.org/page/153818/petition/1?submit_btn_text=Get+the+sample+letter&amp;page_title=UNJUSTLY+JAILED+RIGHTS+LAWYER+REFERRED+TO+TRIAL+%5BEgypt+Second+UA+80.23%5D&amp;page_url_params=utm_source%3Dutm_source%253Dtest_source%2526utm_medium%253Dads&amp;Campaign+Date=02%2F20%2F25&amp;Campaign+Time=05%3A53%3A39&amp;en_txn6=Country%3A+Egypt&amp;en_txn7=CaseNumber%3A+Second+80.23+Egypt&amp;en_txn8=Topic%3A+Health%2C+Individuals+At+Risk&amp;en_txn10=YearType%3A+2025%2C+Email&amp;color=%23f26722&amp;height=422</t>
  </si>
  <si>
    <t>jennaclaire97@yahoo.com</t>
  </si>
  <si>
    <t>rvmcgrew@gmail.com</t>
  </si>
  <si>
    <t>kurshatbilgin721@gmail.com</t>
  </si>
  <si>
    <t>fatimabaraka@hotmail.com</t>
  </si>
  <si>
    <t>https://act.amnestyusa.org/page/153818/petition/1?submit_btn_text=Get+the+sample+letter&amp;page_title=RELEASE+PEDIATRICIAN+AND+HOSPITAL+DIRECTOR+%5BIOPT+3.25%5D&amp;page_url_params=utm_source%3Dutm_source%253Dtest_source%2526utm_medium%253Dads&amp;Campaign+Date=02%2F24%2F25&amp;Campaign+Time=02%3A22%3A14&amp;en_txn6=Country%3A+Israel+and+Occupied+Palestinian+Territories&amp;en_txn7=CaseNumber%3A+3.25+IOPT&amp;en_txn8=Topic%3A+Freedom+of+Expression%2C+Individuals+At+Risk&amp;en_txn10=YearType%3A+2025%2C+Email&amp;color=%23f26722&amp;height=422</t>
  </si>
  <si>
    <t>abhinavann2960@gmail.com</t>
  </si>
  <si>
    <t>https://act.amnestyusa.org/page/153818/petition/1?submit_btn_text=Get+the+sample+letter&amp;page_title=RELEASE+JOURNALISTS+ARRESTED+AFTER+COP29&amp;page_url_params=utm_source%3Dutm_source%253Dtest_source%2526utm_medium%253Dads&amp;Campaign+Date=02%2F21%2F25&amp;Campaign+Time=21%3A10%3A26&amp;en_txn6=Country%3A+Azerbaijan&amp;en_txn7=CaseNumber%3A+2.25+Azerbaijan&amp;en_txn8=Topic%3A+Freedom+of+Expression%2C+Human+Rights+Defenders&amp;en_txn10=YearType%3A+2025%2C+Email&amp;color=%23f26722&amp;height=422</t>
  </si>
  <si>
    <t>jo@fallshaw.com.au</t>
  </si>
  <si>
    <t>https://act.amnestyusa.org/page/153818/petition/1?submit_btn_text=Get+the+sample+letter&amp;page_title=RELEASE+PEDIATRICIAN+AND+HOSPITAL+DIRECTOR+%5BIOPT+3.25%5D&amp;page_url_params=utm_source%3Dutm_source%253Dtest_source%2526utm_medium%253Dads&amp;Campaign+Date=02%2F24%2F25&amp;Campaign+Time=02%3A22%3A14&amp;en_txn6=Country%3A+Israel+and+Occupied+Palestinian+Territories&amp;en_txn7=CaseNumber%3A+3.25+IOPT&amp;en_txn8=Topic%3A+Freedom+of+Expression%2C+Individuals+At+Risk&amp;en_txn10=YearType%3A+2025%2C+Email&amp;color=%23f26722&amp;height=422&amp;fbclid=IwZXh0bgNhZW0CMTEAAR2TkzRLUpGeLwOD5IpYh6Yl3CdKxF7YsyOKE7MsQ_1uBGLkZ8bgdGAUaoY_aem_PUl-QOZqTaELA8ByxZTXrg</t>
  </si>
  <si>
    <t>katelyn.m.bernarde@gmail.com</t>
  </si>
  <si>
    <t>katrinairawati@hotmail.com</t>
  </si>
  <si>
    <t>https://act.amnestyusa.org/page/153818/petition/1?submit_btn_text=Get+the+sample+letter&amp;page_title=RELEASE+PEDIATRICIAN+AND+HOSPITAL+DIRECTOR+%5BIOPT+3.25%5D&amp;page_url_params=utm_source%3Dutm_source%253Dtest_source%2526utm_medium%253Dads&amp;Campaign+Date=02%2F24%2F25&amp;Campaign+Time=02%3A22%3A14&amp;en_txn6=Country%3A+Israel+and+Occupied+Palestinian+Territories&amp;en_txn7=CaseNumber%3A+3.25+IOPT&amp;en_txn8=Topic%3A+Freedom+of+Expression%2C+Individuals+At+Risk&amp;en_txn10=YearType%3A+2025%2C+Email&amp;color=%23f26722&amp;height=422&amp;fbclid=IwY2xjawIqEOVleHRuA2FlbQIxMAABHd2GHb8cmCbX7TeADZ3I14_fjFs813q88bWSsWwjt_8RHBKoEc-VG2LsjA_aem_UzbwtxkWFrQjSo9Qw-PKXg</t>
  </si>
  <si>
    <t>schneider.jacqueline@gmail.com</t>
  </si>
  <si>
    <t>https://act.amnestyusa.org/page/153818/petition/1?submit_btn_text=Get+the+sample+letter&amp;page_title=RELEASE+PEDIATRICIAN+AND+HOSPITAL+DIRECTOR+%5BIOPT+3.25%5D&amp;page_url_params=utm_source%3Dutm_source%253Dtest_source%2526utm_medium%253Dads&amp;Campaign+Date=02%2F24%2F25&amp;Campaign+Time=02%3A22%3A14&amp;en_txn6=Country%3A+Israel+and+Occupied+Palestinian+Territories&amp;en_txn7=CaseNumber%3A+3.25+IOPT&amp;en_txn8=Topic%3A+Freedom+of+Expression%2C+Individuals+At+Risk&amp;en_txn10=YearType%3A+2025%2C+Email&amp;color=%23f26722&amp;height=422&amp;fbclid=IwY2xjawIqlcZleHRuA2FlbQIxMAABHY_QsxXkiIKNZAEptCc1E5FwgQDbZuVaRRViPaLB32lfnxJxpgpeMJ_1kQ_aem_R8gDH5ldwh-XVS5RMG2K5w</t>
  </si>
  <si>
    <t>Report</t>
  </si>
  <si>
    <t>Date</t>
  </si>
  <si>
    <t>Start Date</t>
  </si>
  <si>
    <t>End Date</t>
  </si>
  <si>
    <t>Page Title</t>
  </si>
  <si>
    <t>Israel and</t>
  </si>
  <si>
    <t>2024-07</t>
  </si>
  <si>
    <t>2024-09</t>
  </si>
  <si>
    <t>2024-10</t>
  </si>
  <si>
    <t>2024-11</t>
  </si>
  <si>
    <t>2024-12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</si>
</sst>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6" x14ac:knownFonts="1">
    <font>
      <sz val="10"/>
      <color rgb="FF000000"/>
      <name val="Arial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9">
    <xf numFmtId="0" fontId="0" fillId="0" borderId="0" xfId="0"/>
    <xf numFmtId="0" fontId="2" fillId="0" borderId="0" xfId="0" applyFont="1"/>
    <xf numFmtId="0" fontId="1" fillId="0" borderId="0" xfId="0" applyFont="1" applyAlignment="1">
      <alignment horizontal="left"/>
    </xf>
    <xf numFmtId="0" fontId="1" fillId="0" borderId="0" xfId="0" applyFont="1"/>
    <xf numFmtId="0" fontId="2" fillId="0" borderId="0" xfId="0" applyFont="1" applyAlignment="1">
      <alignment horizontal="left"/>
    </xf>
    <xf numFmtId="164" fontId="2" fillId="0" borderId="0" xfId="0" applyNumberFormat="1" applyFont="1" applyAlignment="1">
      <alignment horizontal="left"/>
    </xf>
    <xf numFmtId="0" fontId="3" fillId="0" borderId="0" xfId="0" applyFont="1"/>
    <xf numFmtId="14" fontId="0" fillId="0" borderId="0" xfId="0" applyNumberFormat="1"/>
    <xf numFmtId="21" fontId="0" fillId="0" borderId="0" xfId="0" applyNumberFormat="1"/>
    <xf numFmtId="0" fontId="0" fillId="0" borderId="1" xfId="0" applyBorder="1"/>
    <xf numFmtId="0" fontId="3" fillId="2" borderId="1" xfId="0" applyFont="1" applyFill="1" applyBorder="1"/>
    <xf numFmtId="0" fontId="3" fillId="2" borderId="1" xfId="0" applyFont="1" applyFill="1" applyBorder="1" applyAlignment="1">
      <alignment horizontal="right"/>
    </xf>
    <xf numFmtId="14" fontId="0" fillId="0" borderId="1" xfId="0" applyNumberFormat="1" applyBorder="1" applyAlignment="1">
      <alignment horizontal="right"/>
    </xf>
    <xf numFmtId="0" fontId="0" fillId="0" borderId="0" xfId="0" applyAlignment="1">
      <alignment horizontal="right"/>
    </xf>
    <xf numFmtId="0" fontId="0" fillId="0" borderId="1" xfId="0" applyBorder="1" applyAlignment="1">
      <alignment horizontal="right"/>
    </xf>
    <xf numFmtId="0" fontId="3" fillId="2" borderId="0" xfId="0" applyFont="1" applyFill="1"/>
    <xf numFmtId="0" fontId="3" fillId="2" borderId="0" xfId="0" applyFont="1" applyFill="1" applyAlignment="1">
      <alignment horizontal="right"/>
    </xf>
    <xf numFmtId="0" fontId="4" fillId="0" borderId="0" xfId="0" applyFont="1"/>
    <xf numFmtId="0" fontId="5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act.amnestyusa.org/page/153818/petition/1?submit_btn_text=Get+the+sample+letter&amp;page_title=PROMINENT+JOURNALIST+ARBITRARILY+DETAINED+%5BTunisia+8.25%5D&amp;page_url_params=utm_source%3Dutm_source%253Dtest_source%2526utm_medium%253Dads&amp;Campaign+Date=02%2F12%2F25&amp;Campaign+Time=12%3A27%3A27&amp;en_txn6=Country%3A+Tunisia&amp;en_txn7=CaseNumber%3A+8.25+Tunisia&amp;en_txn8=Topic%3A+Freedom+of+Expression&amp;en_txn10=YearType%3A+2025%2C+Email&amp;color=%23f26722&amp;height=42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F1006"/>
  <sheetViews>
    <sheetView showGridLines="0" workbookViewId="0">
      <pane ySplit="1" topLeftCell="A2" activePane="bottomLeft" state="frozen"/>
      <selection pane="bottomLeft" activeCell="E27" sqref="E27"/>
    </sheetView>
  </sheetViews>
  <sheetFormatPr baseColWidth="10" defaultColWidth="12.6640625" defaultRowHeight="15.75" customHeight="1" x14ac:dyDescent="0.15"/>
  <cols>
    <col min="1" max="1" width="9" bestFit="1" customWidth="1"/>
    <col min="2" max="2" width="7.1640625" bestFit="1" customWidth="1"/>
    <col min="3" max="3" width="2.83203125" customWidth="1"/>
    <col min="4" max="4" width="51.1640625" bestFit="1" customWidth="1"/>
    <col min="5" max="5" width="5.83203125" bestFit="1" customWidth="1"/>
    <col min="6" max="6" width="16.5" bestFit="1" customWidth="1"/>
    <col min="7" max="7" width="2.83203125" customWidth="1"/>
    <col min="8" max="8" width="9.33203125" bestFit="1" customWidth="1"/>
    <col min="9" max="9" width="5.83203125" bestFit="1" customWidth="1"/>
    <col min="10" max="11" width="2.83203125" customWidth="1"/>
    <col min="12" max="12" width="23" bestFit="1" customWidth="1"/>
    <col min="13" max="14" width="2.83203125" customWidth="1"/>
    <col min="15" max="15" width="34.33203125" bestFit="1" customWidth="1"/>
    <col min="16" max="17" width="2.83203125" customWidth="1"/>
    <col min="18" max="18" width="23.1640625" bestFit="1" customWidth="1"/>
    <col min="19" max="20" width="2.83203125" customWidth="1"/>
    <col min="21" max="21" width="5.6640625" bestFit="1" customWidth="1"/>
    <col min="22" max="23" width="2.83203125" customWidth="1"/>
    <col min="24" max="24" width="5.1640625" bestFit="1" customWidth="1"/>
    <col min="25" max="26" width="2.83203125" customWidth="1"/>
    <col min="28" max="29" width="2.83203125" customWidth="1"/>
  </cols>
  <sheetData>
    <row r="1" spans="1:32" ht="15.75" customHeight="1" x14ac:dyDescent="0.15">
      <c r="A1" s="10" t="s">
        <v>2246</v>
      </c>
      <c r="B1" s="11" t="s">
        <v>2247</v>
      </c>
      <c r="D1" s="10" t="s">
        <v>2</v>
      </c>
      <c r="E1" s="11" t="s">
        <v>850</v>
      </c>
      <c r="F1" s="11" t="s">
        <v>851</v>
      </c>
      <c r="H1" s="10" t="s">
        <v>2250</v>
      </c>
      <c r="I1" s="11" t="s">
        <v>850</v>
      </c>
      <c r="J1" s="11" t="s">
        <v>851</v>
      </c>
      <c r="L1" s="10" t="s">
        <v>852</v>
      </c>
      <c r="M1" s="11" t="s">
        <v>850</v>
      </c>
      <c r="O1" s="10" t="s">
        <v>4</v>
      </c>
      <c r="P1" s="11" t="s">
        <v>850</v>
      </c>
      <c r="R1" s="10" t="s">
        <v>871</v>
      </c>
      <c r="S1" s="11" t="s">
        <v>850</v>
      </c>
      <c r="U1" s="10" t="s">
        <v>878</v>
      </c>
      <c r="V1" s="11" t="s">
        <v>850</v>
      </c>
      <c r="X1" s="10" t="s">
        <v>877</v>
      </c>
      <c r="Y1" s="11" t="s">
        <v>850</v>
      </c>
      <c r="AA1" s="10" t="s">
        <v>881</v>
      </c>
      <c r="AB1" s="11" t="s">
        <v>850</v>
      </c>
      <c r="AD1" s="10" t="s">
        <v>0</v>
      </c>
      <c r="AE1" s="10" t="s">
        <v>1</v>
      </c>
      <c r="AF1" s="11" t="s">
        <v>850</v>
      </c>
    </row>
    <row r="2" spans="1:32" ht="15.75" customHeight="1" x14ac:dyDescent="0.15">
      <c r="A2" s="9" t="s">
        <v>2248</v>
      </c>
      <c r="B2" s="12">
        <v>45491</v>
      </c>
      <c r="D2" s="9" t="s">
        <v>9</v>
      </c>
      <c r="E2" s="14">
        <v>2540</v>
      </c>
      <c r="F2" s="14">
        <v>953</v>
      </c>
      <c r="I2" s="13"/>
      <c r="J2" s="13"/>
      <c r="L2" s="9" t="s">
        <v>889</v>
      </c>
      <c r="M2" s="14">
        <v>64</v>
      </c>
      <c r="O2" s="9" t="s">
        <v>863</v>
      </c>
      <c r="P2" s="14">
        <v>43</v>
      </c>
      <c r="R2" s="9" t="s">
        <v>7</v>
      </c>
      <c r="S2" s="14">
        <v>57</v>
      </c>
      <c r="U2" s="9" t="s">
        <v>879</v>
      </c>
      <c r="V2" s="14">
        <v>1691</v>
      </c>
      <c r="X2" s="9">
        <v>2024</v>
      </c>
      <c r="Y2" s="14">
        <v>1120</v>
      </c>
      <c r="AA2" s="9" t="s">
        <v>2252</v>
      </c>
      <c r="AB2" s="14">
        <v>26</v>
      </c>
      <c r="AD2" s="9">
        <v>100847660</v>
      </c>
      <c r="AE2" s="9" t="s">
        <v>1616</v>
      </c>
      <c r="AF2" s="14">
        <v>1</v>
      </c>
    </row>
    <row r="3" spans="1:32" ht="15.75" customHeight="1" x14ac:dyDescent="0.15">
      <c r="A3" s="9" t="s">
        <v>2249</v>
      </c>
      <c r="B3" s="12">
        <v>45708</v>
      </c>
      <c r="D3" s="9" t="s">
        <v>12</v>
      </c>
      <c r="E3" s="14">
        <v>66</v>
      </c>
      <c r="F3" s="14">
        <v>59</v>
      </c>
      <c r="L3" s="9" t="s">
        <v>888</v>
      </c>
      <c r="M3" s="14">
        <v>34</v>
      </c>
      <c r="O3" s="9" t="s">
        <v>864</v>
      </c>
      <c r="P3" s="14">
        <v>69</v>
      </c>
      <c r="R3" s="9" t="s">
        <v>5</v>
      </c>
      <c r="S3" s="14">
        <v>449</v>
      </c>
      <c r="U3" s="9" t="s">
        <v>880</v>
      </c>
      <c r="V3" s="14">
        <v>713</v>
      </c>
      <c r="X3" s="9">
        <v>2025</v>
      </c>
      <c r="Y3" s="14">
        <v>1284</v>
      </c>
      <c r="AA3" s="9" t="s">
        <v>2253</v>
      </c>
      <c r="AB3" s="14">
        <v>49</v>
      </c>
      <c r="AD3" s="9">
        <v>100852661</v>
      </c>
      <c r="AE3" s="9" t="s">
        <v>323</v>
      </c>
      <c r="AF3" s="14">
        <v>1</v>
      </c>
    </row>
    <row r="4" spans="1:32" ht="15.75" customHeight="1" x14ac:dyDescent="0.15">
      <c r="D4" s="9" t="s">
        <v>26</v>
      </c>
      <c r="E4" s="14">
        <v>64</v>
      </c>
      <c r="F4" s="14">
        <v>35</v>
      </c>
      <c r="L4" s="9" t="s">
        <v>853</v>
      </c>
      <c r="M4" s="14">
        <v>42</v>
      </c>
      <c r="O4" s="9" t="s">
        <v>922</v>
      </c>
      <c r="P4" s="14">
        <v>12</v>
      </c>
      <c r="R4" s="9" t="s">
        <v>872</v>
      </c>
      <c r="S4" s="14">
        <v>1550</v>
      </c>
      <c r="AA4" s="9" t="s">
        <v>2254</v>
      </c>
      <c r="AB4" s="14">
        <v>34</v>
      </c>
      <c r="AD4" s="9">
        <v>101796544</v>
      </c>
      <c r="AE4" s="9" t="s">
        <v>324</v>
      </c>
      <c r="AF4" s="14">
        <v>1</v>
      </c>
    </row>
    <row r="5" spans="1:32" ht="15.75" customHeight="1" x14ac:dyDescent="0.15">
      <c r="D5" s="9" t="s">
        <v>27</v>
      </c>
      <c r="E5" s="14">
        <v>43</v>
      </c>
      <c r="F5" s="14">
        <v>30</v>
      </c>
      <c r="L5" s="9" t="s">
        <v>854</v>
      </c>
      <c r="M5" s="14">
        <v>47</v>
      </c>
      <c r="O5" s="9" t="s">
        <v>915</v>
      </c>
      <c r="P5" s="14">
        <v>103</v>
      </c>
      <c r="R5" s="9" t="s">
        <v>873</v>
      </c>
      <c r="S5" s="14">
        <v>97</v>
      </c>
      <c r="AA5" s="9" t="s">
        <v>2255</v>
      </c>
      <c r="AB5" s="14">
        <v>225</v>
      </c>
      <c r="AD5" s="9">
        <v>103712330</v>
      </c>
      <c r="AE5" s="9" t="s">
        <v>325</v>
      </c>
      <c r="AF5" s="14">
        <v>3</v>
      </c>
    </row>
    <row r="6" spans="1:32" ht="15.75" customHeight="1" x14ac:dyDescent="0.15">
      <c r="D6" s="9" t="s">
        <v>28</v>
      </c>
      <c r="E6" s="14">
        <v>35</v>
      </c>
      <c r="F6" s="14">
        <v>27</v>
      </c>
      <c r="L6" s="9" t="s">
        <v>904</v>
      </c>
      <c r="M6" s="14">
        <v>14</v>
      </c>
      <c r="O6" s="9" t="s">
        <v>918</v>
      </c>
      <c r="P6" s="14">
        <v>26</v>
      </c>
      <c r="R6" s="9" t="s">
        <v>6</v>
      </c>
      <c r="S6" s="14">
        <v>778</v>
      </c>
      <c r="AA6" s="9" t="s">
        <v>2256</v>
      </c>
      <c r="AB6" s="14">
        <v>609</v>
      </c>
      <c r="AD6" s="9">
        <v>104935454</v>
      </c>
      <c r="AE6" s="9" t="s">
        <v>326</v>
      </c>
      <c r="AF6" s="14">
        <v>1</v>
      </c>
    </row>
    <row r="7" spans="1:32" ht="15.75" customHeight="1" x14ac:dyDescent="0.15">
      <c r="L7" s="9" t="s">
        <v>883</v>
      </c>
      <c r="M7" s="14">
        <v>82</v>
      </c>
      <c r="O7" s="9" t="s">
        <v>917</v>
      </c>
      <c r="P7" s="14">
        <v>75</v>
      </c>
      <c r="R7" s="9" t="s">
        <v>926</v>
      </c>
      <c r="S7" s="14">
        <v>12</v>
      </c>
      <c r="AA7" s="9" t="s">
        <v>929</v>
      </c>
      <c r="AB7" s="14">
        <v>909</v>
      </c>
      <c r="AD7" s="9">
        <v>106012094</v>
      </c>
      <c r="AE7" s="9" t="s">
        <v>327</v>
      </c>
      <c r="AF7" s="14">
        <v>1</v>
      </c>
    </row>
    <row r="8" spans="1:32" ht="15.75" customHeight="1" x14ac:dyDescent="0.15">
      <c r="L8" s="9" t="s">
        <v>900</v>
      </c>
      <c r="M8" s="14">
        <v>15</v>
      </c>
      <c r="O8" s="9" t="s">
        <v>865</v>
      </c>
      <c r="P8" s="14">
        <v>197</v>
      </c>
      <c r="R8" s="9" t="s">
        <v>874</v>
      </c>
      <c r="S8" s="14">
        <v>1346</v>
      </c>
      <c r="AA8" s="9" t="s">
        <v>928</v>
      </c>
      <c r="AB8" s="14">
        <v>896</v>
      </c>
      <c r="AD8" s="9">
        <v>108543739</v>
      </c>
      <c r="AE8" s="9" t="s">
        <v>328</v>
      </c>
      <c r="AF8" s="14">
        <v>1</v>
      </c>
    </row>
    <row r="9" spans="1:32" ht="15.75" customHeight="1" x14ac:dyDescent="0.15">
      <c r="L9" s="9" t="s">
        <v>855</v>
      </c>
      <c r="M9" s="14">
        <v>134</v>
      </c>
      <c r="O9" s="9" t="s">
        <v>925</v>
      </c>
      <c r="P9" s="14">
        <v>8</v>
      </c>
      <c r="R9" s="9" t="s">
        <v>875</v>
      </c>
      <c r="S9" s="14">
        <v>332</v>
      </c>
      <c r="AD9" s="9">
        <v>111279340</v>
      </c>
      <c r="AE9" s="9" t="s">
        <v>329</v>
      </c>
      <c r="AF9" s="14">
        <v>9</v>
      </c>
    </row>
    <row r="10" spans="1:32" ht="15.75" customHeight="1" x14ac:dyDescent="0.15">
      <c r="L10" s="9" t="s">
        <v>906</v>
      </c>
      <c r="M10" s="14">
        <v>30</v>
      </c>
      <c r="O10" s="9" t="s">
        <v>866</v>
      </c>
      <c r="P10" s="14">
        <v>241</v>
      </c>
      <c r="R10" s="9" t="s">
        <v>876</v>
      </c>
      <c r="S10" s="14">
        <v>94</v>
      </c>
      <c r="AD10" s="9">
        <v>113364663</v>
      </c>
      <c r="AE10" s="9" t="s">
        <v>330</v>
      </c>
      <c r="AF10" s="14">
        <v>4</v>
      </c>
    </row>
    <row r="11" spans="1:32" ht="15.75" customHeight="1" x14ac:dyDescent="0.15">
      <c r="L11" s="9" t="s">
        <v>897</v>
      </c>
      <c r="M11" s="14">
        <v>28</v>
      </c>
      <c r="O11" s="9" t="s">
        <v>2251</v>
      </c>
      <c r="P11" s="14">
        <v>1</v>
      </c>
      <c r="R11" s="9" t="s">
        <v>927</v>
      </c>
      <c r="S11" s="14">
        <v>8</v>
      </c>
      <c r="AD11" s="9">
        <v>113668735</v>
      </c>
      <c r="AE11" s="9" t="s">
        <v>331</v>
      </c>
      <c r="AF11" s="14">
        <v>1</v>
      </c>
    </row>
    <row r="12" spans="1:32" ht="15.75" customHeight="1" x14ac:dyDescent="0.15">
      <c r="L12" s="9" t="s">
        <v>891</v>
      </c>
      <c r="M12" s="14">
        <v>36</v>
      </c>
      <c r="O12" s="9" t="s">
        <v>867</v>
      </c>
      <c r="P12" s="14">
        <v>189</v>
      </c>
      <c r="AD12" s="9">
        <v>114167972</v>
      </c>
      <c r="AE12" s="9" t="s">
        <v>332</v>
      </c>
      <c r="AF12" s="14">
        <v>2</v>
      </c>
    </row>
    <row r="13" spans="1:32" ht="15.75" customHeight="1" x14ac:dyDescent="0.15">
      <c r="L13" s="9" t="s">
        <v>856</v>
      </c>
      <c r="M13" s="14">
        <v>35</v>
      </c>
      <c r="O13" s="9" t="s">
        <v>919</v>
      </c>
      <c r="P13" s="14">
        <v>32</v>
      </c>
      <c r="AD13" s="9">
        <v>115371035</v>
      </c>
      <c r="AE13" s="9" t="s">
        <v>333</v>
      </c>
      <c r="AF13" s="14">
        <v>6</v>
      </c>
    </row>
    <row r="14" spans="1:32" ht="15.75" customHeight="1" x14ac:dyDescent="0.15">
      <c r="L14" s="9" t="s">
        <v>895</v>
      </c>
      <c r="M14" s="14">
        <v>32</v>
      </c>
      <c r="O14" s="9" t="s">
        <v>924</v>
      </c>
      <c r="P14" s="14">
        <v>6</v>
      </c>
      <c r="AD14" s="9">
        <v>117019199</v>
      </c>
      <c r="AE14" s="9" t="s">
        <v>334</v>
      </c>
      <c r="AF14" s="14">
        <v>4</v>
      </c>
    </row>
    <row r="15" spans="1:32" ht="15.75" customHeight="1" x14ac:dyDescent="0.15">
      <c r="L15" s="9" t="s">
        <v>857</v>
      </c>
      <c r="M15" s="14">
        <v>69</v>
      </c>
      <c r="O15" s="9" t="s">
        <v>913</v>
      </c>
      <c r="P15" s="14">
        <v>82</v>
      </c>
      <c r="AD15" s="9">
        <v>117505282</v>
      </c>
      <c r="AE15" s="9" t="s">
        <v>335</v>
      </c>
      <c r="AF15" s="14">
        <v>3</v>
      </c>
    </row>
    <row r="16" spans="1:32" ht="15.75" customHeight="1" x14ac:dyDescent="0.15">
      <c r="L16" s="9" t="s">
        <v>858</v>
      </c>
      <c r="M16" s="14">
        <v>189</v>
      </c>
      <c r="O16" s="9" t="s">
        <v>923</v>
      </c>
      <c r="P16" s="14">
        <v>38</v>
      </c>
      <c r="AD16" s="9">
        <v>118188099</v>
      </c>
      <c r="AE16" s="9" t="s">
        <v>1626</v>
      </c>
      <c r="AF16" s="14">
        <v>2</v>
      </c>
    </row>
    <row r="17" spans="12:32" ht="15.75" customHeight="1" x14ac:dyDescent="0.15">
      <c r="L17" s="9" t="s">
        <v>859</v>
      </c>
      <c r="M17" s="14">
        <v>244</v>
      </c>
      <c r="O17" s="9" t="s">
        <v>921</v>
      </c>
      <c r="P17" s="14">
        <v>78</v>
      </c>
      <c r="AD17" s="9">
        <v>118274883</v>
      </c>
      <c r="AE17" s="9" t="s">
        <v>336</v>
      </c>
      <c r="AF17" s="14">
        <v>1</v>
      </c>
    </row>
    <row r="18" spans="12:32" ht="15.75" customHeight="1" x14ac:dyDescent="0.15">
      <c r="L18" s="9" t="s">
        <v>909</v>
      </c>
      <c r="M18" s="14">
        <v>9</v>
      </c>
      <c r="O18" s="9" t="s">
        <v>920</v>
      </c>
      <c r="P18" s="14">
        <v>28</v>
      </c>
      <c r="AD18" s="9">
        <v>118283878</v>
      </c>
      <c r="AE18" s="9" t="s">
        <v>337</v>
      </c>
      <c r="AF18" s="14">
        <v>1</v>
      </c>
    </row>
    <row r="19" spans="12:32" ht="15.75" customHeight="1" x14ac:dyDescent="0.15">
      <c r="L19" s="9" t="s">
        <v>893</v>
      </c>
      <c r="M19" s="14">
        <v>18</v>
      </c>
      <c r="O19" s="9" t="s">
        <v>868</v>
      </c>
      <c r="P19" s="14">
        <v>444</v>
      </c>
      <c r="AD19" s="9">
        <v>118293070</v>
      </c>
      <c r="AE19" s="9" t="s">
        <v>338</v>
      </c>
      <c r="AF19" s="14">
        <v>1</v>
      </c>
    </row>
    <row r="20" spans="12:32" ht="15.75" customHeight="1" x14ac:dyDescent="0.15">
      <c r="L20" s="9" t="s">
        <v>910</v>
      </c>
      <c r="M20" s="14">
        <v>8</v>
      </c>
      <c r="O20" s="9" t="s">
        <v>916</v>
      </c>
      <c r="P20" s="14">
        <v>53</v>
      </c>
      <c r="AD20" s="9">
        <v>118295600</v>
      </c>
      <c r="AE20" s="9" t="s">
        <v>339</v>
      </c>
      <c r="AF20" s="14">
        <v>1</v>
      </c>
    </row>
    <row r="21" spans="12:32" ht="15.75" customHeight="1" x14ac:dyDescent="0.15">
      <c r="L21" s="9" t="s">
        <v>887</v>
      </c>
      <c r="M21" s="14">
        <v>11</v>
      </c>
      <c r="O21" s="9" t="s">
        <v>870</v>
      </c>
      <c r="P21" s="14">
        <v>461</v>
      </c>
      <c r="AD21" s="9">
        <v>118295697</v>
      </c>
      <c r="AE21" s="9" t="s">
        <v>340</v>
      </c>
      <c r="AF21" s="14">
        <v>1</v>
      </c>
    </row>
    <row r="22" spans="12:32" ht="15.75" customHeight="1" x14ac:dyDescent="0.15">
      <c r="L22" s="9" t="s">
        <v>892</v>
      </c>
      <c r="M22" s="14">
        <v>75</v>
      </c>
      <c r="O22" s="9" t="s">
        <v>869</v>
      </c>
      <c r="P22" s="14">
        <v>78</v>
      </c>
      <c r="AD22" s="9">
        <v>118429002</v>
      </c>
      <c r="AE22" s="9" t="s">
        <v>341</v>
      </c>
      <c r="AF22" s="14">
        <v>1</v>
      </c>
    </row>
    <row r="23" spans="12:32" ht="15.75" customHeight="1" x14ac:dyDescent="0.15">
      <c r="L23" s="9" t="s">
        <v>899</v>
      </c>
      <c r="M23" s="14">
        <v>36</v>
      </c>
      <c r="O23" s="9" t="s">
        <v>914</v>
      </c>
      <c r="P23" s="14">
        <v>139</v>
      </c>
      <c r="AD23" s="9">
        <v>118779909</v>
      </c>
      <c r="AE23" s="9" t="s">
        <v>342</v>
      </c>
      <c r="AF23" s="14">
        <v>1</v>
      </c>
    </row>
    <row r="24" spans="12:32" ht="15.75" customHeight="1" x14ac:dyDescent="0.15">
      <c r="L24" s="9" t="s">
        <v>911</v>
      </c>
      <c r="M24" s="14">
        <v>6</v>
      </c>
      <c r="AD24" s="9">
        <v>118788101</v>
      </c>
      <c r="AE24" s="9" t="s">
        <v>343</v>
      </c>
      <c r="AF24" s="14">
        <v>2</v>
      </c>
    </row>
    <row r="25" spans="12:32" ht="15.75" customHeight="1" x14ac:dyDescent="0.15">
      <c r="L25" s="9" t="s">
        <v>896</v>
      </c>
      <c r="M25" s="14">
        <v>46</v>
      </c>
      <c r="AD25" s="9">
        <v>119184246</v>
      </c>
      <c r="AE25" s="9" t="s">
        <v>344</v>
      </c>
      <c r="AF25" s="14">
        <v>1</v>
      </c>
    </row>
    <row r="26" spans="12:32" ht="15.75" customHeight="1" x14ac:dyDescent="0.15">
      <c r="L26" s="9" t="s">
        <v>884</v>
      </c>
      <c r="M26" s="14">
        <v>75</v>
      </c>
      <c r="AD26" s="9">
        <v>119568159</v>
      </c>
      <c r="AE26" s="9" t="s">
        <v>345</v>
      </c>
      <c r="AF26" s="14">
        <v>1</v>
      </c>
    </row>
    <row r="27" spans="12:32" ht="15.75" customHeight="1" x14ac:dyDescent="0.15">
      <c r="L27" s="9" t="s">
        <v>886</v>
      </c>
      <c r="M27" s="14">
        <v>73</v>
      </c>
      <c r="AD27" s="9">
        <v>119619422</v>
      </c>
      <c r="AE27" s="9" t="s">
        <v>346</v>
      </c>
      <c r="AF27" s="14">
        <v>1</v>
      </c>
    </row>
    <row r="28" spans="12:32" ht="15.75" customHeight="1" x14ac:dyDescent="0.15">
      <c r="L28" s="9" t="s">
        <v>903</v>
      </c>
      <c r="M28" s="14">
        <v>12</v>
      </c>
      <c r="AD28" s="9">
        <v>119806655</v>
      </c>
      <c r="AE28" s="9" t="s">
        <v>347</v>
      </c>
      <c r="AF28" s="14">
        <v>1</v>
      </c>
    </row>
    <row r="29" spans="12:32" ht="15.75" customHeight="1" x14ac:dyDescent="0.15">
      <c r="L29" s="9" t="s">
        <v>907</v>
      </c>
      <c r="M29" s="14">
        <v>33</v>
      </c>
      <c r="AD29" s="9">
        <v>119808753</v>
      </c>
      <c r="AE29" s="9" t="s">
        <v>348</v>
      </c>
      <c r="AF29" s="14">
        <v>1</v>
      </c>
    </row>
    <row r="30" spans="12:32" ht="15.75" customHeight="1" x14ac:dyDescent="0.15">
      <c r="L30" s="9" t="s">
        <v>905</v>
      </c>
      <c r="M30" s="14">
        <v>13</v>
      </c>
      <c r="AD30" s="9">
        <v>119814476</v>
      </c>
      <c r="AE30" s="9" t="s">
        <v>349</v>
      </c>
      <c r="AF30" s="14">
        <v>1</v>
      </c>
    </row>
    <row r="31" spans="12:32" ht="15.75" customHeight="1" x14ac:dyDescent="0.15">
      <c r="L31" s="9" t="s">
        <v>902</v>
      </c>
      <c r="M31" s="14">
        <v>37</v>
      </c>
      <c r="AD31" s="9">
        <v>119857509</v>
      </c>
      <c r="AE31" s="9" t="s">
        <v>350</v>
      </c>
      <c r="AF31" s="14">
        <v>54</v>
      </c>
    </row>
    <row r="32" spans="12:32" ht="15.75" customHeight="1" x14ac:dyDescent="0.15">
      <c r="L32" s="9" t="s">
        <v>885</v>
      </c>
      <c r="M32" s="14">
        <v>112</v>
      </c>
      <c r="AD32" s="9">
        <v>120113464</v>
      </c>
      <c r="AE32" s="9" t="s">
        <v>351</v>
      </c>
      <c r="AF32" s="14">
        <v>20</v>
      </c>
    </row>
    <row r="33" spans="12:32" ht="15.75" customHeight="1" x14ac:dyDescent="0.15">
      <c r="L33" s="9" t="s">
        <v>898</v>
      </c>
      <c r="M33" s="14">
        <v>17</v>
      </c>
      <c r="AD33" s="9">
        <v>120113492</v>
      </c>
      <c r="AE33" s="9" t="s">
        <v>352</v>
      </c>
      <c r="AF33" s="14">
        <v>1</v>
      </c>
    </row>
    <row r="34" spans="12:32" ht="15.75" customHeight="1" x14ac:dyDescent="0.15">
      <c r="L34" s="9" t="s">
        <v>908</v>
      </c>
      <c r="M34" s="14">
        <v>24</v>
      </c>
      <c r="AD34" s="9">
        <v>120418912</v>
      </c>
      <c r="AE34" s="9" t="s">
        <v>353</v>
      </c>
      <c r="AF34" s="14">
        <v>1</v>
      </c>
    </row>
    <row r="35" spans="12:32" ht="15.75" customHeight="1" x14ac:dyDescent="0.15">
      <c r="L35" s="9" t="s">
        <v>860</v>
      </c>
      <c r="M35" s="14">
        <v>32</v>
      </c>
      <c r="AD35" s="9">
        <v>120578233</v>
      </c>
      <c r="AE35" s="9" t="s">
        <v>354</v>
      </c>
      <c r="AF35" s="14">
        <v>1</v>
      </c>
    </row>
    <row r="36" spans="12:32" ht="15.75" customHeight="1" x14ac:dyDescent="0.15">
      <c r="L36" s="9" t="s">
        <v>861</v>
      </c>
      <c r="M36" s="14">
        <v>401</v>
      </c>
      <c r="AD36" s="9">
        <v>120680752</v>
      </c>
      <c r="AE36" s="9" t="s">
        <v>355</v>
      </c>
      <c r="AF36" s="14">
        <v>3</v>
      </c>
    </row>
    <row r="37" spans="12:32" ht="15.75" customHeight="1" x14ac:dyDescent="0.15">
      <c r="L37" s="9" t="s">
        <v>862</v>
      </c>
      <c r="M37" s="14">
        <v>30</v>
      </c>
      <c r="AD37" s="9">
        <v>121280949</v>
      </c>
      <c r="AE37" s="9" t="s">
        <v>1662</v>
      </c>
      <c r="AF37" s="14">
        <v>1</v>
      </c>
    </row>
    <row r="38" spans="12:32" ht="15.75" customHeight="1" x14ac:dyDescent="0.15">
      <c r="L38" s="9" t="s">
        <v>901</v>
      </c>
      <c r="M38" s="14">
        <v>32</v>
      </c>
      <c r="AD38" s="9">
        <v>121481416</v>
      </c>
      <c r="AE38" s="9" t="s">
        <v>356</v>
      </c>
      <c r="AF38" s="14">
        <v>1</v>
      </c>
    </row>
    <row r="39" spans="12:32" ht="15.75" customHeight="1" x14ac:dyDescent="0.15">
      <c r="L39" s="9" t="s">
        <v>912</v>
      </c>
      <c r="M39" s="14">
        <v>8</v>
      </c>
      <c r="AD39" s="9">
        <v>121714432</v>
      </c>
      <c r="AE39" s="9" t="s">
        <v>357</v>
      </c>
      <c r="AF39" s="14">
        <v>2</v>
      </c>
    </row>
    <row r="40" spans="12:32" ht="15.75" customHeight="1" x14ac:dyDescent="0.15">
      <c r="L40" s="9" t="s">
        <v>882</v>
      </c>
      <c r="M40" s="14">
        <v>142</v>
      </c>
      <c r="AD40" s="9">
        <v>122173299</v>
      </c>
      <c r="AE40" s="9" t="s">
        <v>358</v>
      </c>
      <c r="AF40" s="14">
        <v>3</v>
      </c>
    </row>
    <row r="41" spans="12:32" ht="15.75" customHeight="1" x14ac:dyDescent="0.15">
      <c r="L41" s="9" t="s">
        <v>894</v>
      </c>
      <c r="M41" s="14">
        <v>17</v>
      </c>
      <c r="AD41" s="9">
        <v>122358189</v>
      </c>
      <c r="AE41" s="9" t="s">
        <v>359</v>
      </c>
      <c r="AF41" s="14">
        <v>1</v>
      </c>
    </row>
    <row r="42" spans="12:32" ht="15.75" customHeight="1" x14ac:dyDescent="0.15">
      <c r="L42" s="9" t="s">
        <v>890</v>
      </c>
      <c r="M42" s="14">
        <v>42</v>
      </c>
      <c r="AD42" s="9">
        <v>122524473</v>
      </c>
      <c r="AE42" s="9" t="s">
        <v>360</v>
      </c>
      <c r="AF42" s="14">
        <v>1</v>
      </c>
    </row>
    <row r="43" spans="12:32" ht="15.75" customHeight="1" x14ac:dyDescent="0.15">
      <c r="AD43" s="9">
        <v>122626488</v>
      </c>
      <c r="AE43" s="9" t="s">
        <v>361</v>
      </c>
      <c r="AF43" s="14">
        <v>1</v>
      </c>
    </row>
    <row r="44" spans="12:32" ht="15.75" customHeight="1" x14ac:dyDescent="0.15">
      <c r="AD44" s="9">
        <v>123194952</v>
      </c>
      <c r="AE44" s="9" t="s">
        <v>362</v>
      </c>
      <c r="AF44" s="14">
        <v>1</v>
      </c>
    </row>
    <row r="45" spans="12:32" ht="15.75" customHeight="1" x14ac:dyDescent="0.15">
      <c r="AD45" s="9">
        <v>123215564</v>
      </c>
      <c r="AE45" s="9" t="s">
        <v>363</v>
      </c>
      <c r="AF45" s="14">
        <v>1</v>
      </c>
    </row>
    <row r="46" spans="12:32" ht="15.75" customHeight="1" x14ac:dyDescent="0.15">
      <c r="AD46" s="9">
        <v>124050476</v>
      </c>
      <c r="AE46" s="9" t="s">
        <v>364</v>
      </c>
      <c r="AF46" s="14">
        <v>1</v>
      </c>
    </row>
    <row r="47" spans="12:32" ht="15.75" customHeight="1" x14ac:dyDescent="0.15">
      <c r="AD47" s="9">
        <v>124091599</v>
      </c>
      <c r="AE47" s="9" t="s">
        <v>365</v>
      </c>
      <c r="AF47" s="14">
        <v>18</v>
      </c>
    </row>
    <row r="48" spans="12:32" ht="15.75" customHeight="1" x14ac:dyDescent="0.15">
      <c r="AD48" s="9">
        <v>124197325</v>
      </c>
      <c r="AE48" s="9" t="s">
        <v>366</v>
      </c>
      <c r="AF48" s="14">
        <v>2</v>
      </c>
    </row>
    <row r="49" spans="30:32" ht="15.75" customHeight="1" x14ac:dyDescent="0.15">
      <c r="AD49" s="9">
        <v>124231681</v>
      </c>
      <c r="AE49" s="9" t="s">
        <v>367</v>
      </c>
      <c r="AF49" s="14">
        <v>1</v>
      </c>
    </row>
    <row r="50" spans="30:32" ht="15.75" customHeight="1" x14ac:dyDescent="0.15">
      <c r="AD50" s="9">
        <v>124365896</v>
      </c>
      <c r="AE50" s="9" t="s">
        <v>368</v>
      </c>
      <c r="AF50" s="14">
        <v>7</v>
      </c>
    </row>
    <row r="51" spans="30:32" ht="15.75" customHeight="1" x14ac:dyDescent="0.15">
      <c r="AD51" s="9">
        <v>124432460</v>
      </c>
      <c r="AE51" s="9" t="s">
        <v>369</v>
      </c>
      <c r="AF51" s="14">
        <v>1</v>
      </c>
    </row>
    <row r="52" spans="30:32" ht="15.75" customHeight="1" x14ac:dyDescent="0.15">
      <c r="AD52" s="9">
        <v>124926707</v>
      </c>
      <c r="AE52" s="9" t="s">
        <v>370</v>
      </c>
      <c r="AF52" s="14">
        <v>3</v>
      </c>
    </row>
    <row r="53" spans="30:32" ht="15.75" customHeight="1" x14ac:dyDescent="0.15">
      <c r="AD53" s="9">
        <v>125096057</v>
      </c>
      <c r="AE53" s="9" t="s">
        <v>371</v>
      </c>
      <c r="AF53" s="14">
        <v>19</v>
      </c>
    </row>
    <row r="54" spans="30:32" ht="15.75" customHeight="1" x14ac:dyDescent="0.15">
      <c r="AD54" s="9">
        <v>125152026</v>
      </c>
      <c r="AE54" s="9" t="s">
        <v>372</v>
      </c>
      <c r="AF54" s="14">
        <v>1</v>
      </c>
    </row>
    <row r="55" spans="30:32" ht="15.75" customHeight="1" x14ac:dyDescent="0.15">
      <c r="AD55" s="9">
        <v>125225643</v>
      </c>
      <c r="AE55" s="9" t="s">
        <v>1684</v>
      </c>
      <c r="AF55" s="14">
        <v>1</v>
      </c>
    </row>
    <row r="56" spans="30:32" ht="15.75" customHeight="1" x14ac:dyDescent="0.15">
      <c r="AD56" s="9">
        <v>125278096</v>
      </c>
      <c r="AE56" s="9" t="s">
        <v>373</v>
      </c>
      <c r="AF56" s="14">
        <v>1</v>
      </c>
    </row>
    <row r="57" spans="30:32" ht="15.75" customHeight="1" x14ac:dyDescent="0.15">
      <c r="AD57" s="9">
        <v>126182769</v>
      </c>
      <c r="AE57" s="9" t="s">
        <v>374</v>
      </c>
      <c r="AF57" s="14">
        <v>1</v>
      </c>
    </row>
    <row r="58" spans="30:32" ht="15.75" customHeight="1" x14ac:dyDescent="0.15">
      <c r="AD58" s="9">
        <v>127660598</v>
      </c>
      <c r="AE58" s="9" t="s">
        <v>375</v>
      </c>
      <c r="AF58" s="14">
        <v>1</v>
      </c>
    </row>
    <row r="59" spans="30:32" ht="15.75" customHeight="1" x14ac:dyDescent="0.15">
      <c r="AD59" s="9">
        <v>127693417</v>
      </c>
      <c r="AE59" s="9" t="s">
        <v>376</v>
      </c>
      <c r="AF59" s="14">
        <v>8</v>
      </c>
    </row>
    <row r="60" spans="30:32" ht="15.75" customHeight="1" x14ac:dyDescent="0.15">
      <c r="AD60" s="9">
        <v>128007191</v>
      </c>
      <c r="AE60" s="9" t="s">
        <v>377</v>
      </c>
      <c r="AF60" s="14">
        <v>2</v>
      </c>
    </row>
    <row r="61" spans="30:32" ht="15.75" customHeight="1" x14ac:dyDescent="0.15">
      <c r="AD61" s="9">
        <v>128077216</v>
      </c>
      <c r="AE61" s="9" t="s">
        <v>378</v>
      </c>
      <c r="AF61" s="14">
        <v>1</v>
      </c>
    </row>
    <row r="62" spans="30:32" ht="15.75" customHeight="1" x14ac:dyDescent="0.15">
      <c r="AD62" s="9">
        <v>128411593</v>
      </c>
      <c r="AE62" s="9" t="s">
        <v>379</v>
      </c>
      <c r="AF62" s="14">
        <v>6</v>
      </c>
    </row>
    <row r="63" spans="30:32" ht="15.75" customHeight="1" x14ac:dyDescent="0.15">
      <c r="AD63" s="9">
        <v>128464291</v>
      </c>
      <c r="AE63" s="9" t="s">
        <v>380</v>
      </c>
      <c r="AF63" s="14">
        <v>1</v>
      </c>
    </row>
    <row r="64" spans="30:32" ht="15.75" customHeight="1" x14ac:dyDescent="0.15">
      <c r="AD64" s="9">
        <v>130466319</v>
      </c>
      <c r="AE64" s="9" t="s">
        <v>381</v>
      </c>
      <c r="AF64" s="14">
        <v>1</v>
      </c>
    </row>
    <row r="65" spans="30:32" ht="15.75" customHeight="1" x14ac:dyDescent="0.15">
      <c r="AD65" s="9">
        <v>130466443</v>
      </c>
      <c r="AE65" s="9" t="s">
        <v>1688</v>
      </c>
      <c r="AF65" s="14">
        <v>1</v>
      </c>
    </row>
    <row r="66" spans="30:32" ht="15.75" customHeight="1" x14ac:dyDescent="0.15">
      <c r="AD66" s="9">
        <v>130963270</v>
      </c>
      <c r="AE66" s="9" t="s">
        <v>382</v>
      </c>
      <c r="AF66" s="14">
        <v>1</v>
      </c>
    </row>
    <row r="67" spans="30:32" ht="15.75" customHeight="1" x14ac:dyDescent="0.15">
      <c r="AD67" s="9">
        <v>131805566</v>
      </c>
      <c r="AE67" s="9" t="s">
        <v>383</v>
      </c>
      <c r="AF67" s="14">
        <v>1</v>
      </c>
    </row>
    <row r="68" spans="30:32" ht="15.75" customHeight="1" x14ac:dyDescent="0.15">
      <c r="AD68" s="9">
        <v>134510762</v>
      </c>
      <c r="AE68" s="9" t="s">
        <v>384</v>
      </c>
      <c r="AF68" s="14">
        <v>1</v>
      </c>
    </row>
    <row r="69" spans="30:32" ht="15.75" customHeight="1" x14ac:dyDescent="0.15">
      <c r="AD69" s="9">
        <v>135292365</v>
      </c>
      <c r="AE69" s="9" t="s">
        <v>385</v>
      </c>
      <c r="AF69" s="14">
        <v>3</v>
      </c>
    </row>
    <row r="70" spans="30:32" ht="15.75" customHeight="1" x14ac:dyDescent="0.15">
      <c r="AD70" s="9">
        <v>135702714</v>
      </c>
      <c r="AE70" s="9" t="s">
        <v>386</v>
      </c>
      <c r="AF70" s="14">
        <v>6</v>
      </c>
    </row>
    <row r="71" spans="30:32" ht="15.75" customHeight="1" x14ac:dyDescent="0.15">
      <c r="AD71" s="9">
        <v>135727591</v>
      </c>
      <c r="AE71" s="9" t="s">
        <v>387</v>
      </c>
      <c r="AF71" s="14">
        <v>3</v>
      </c>
    </row>
    <row r="72" spans="30:32" ht="15.75" customHeight="1" x14ac:dyDescent="0.15">
      <c r="AD72" s="9">
        <v>135729680</v>
      </c>
      <c r="AE72" s="9" t="s">
        <v>388</v>
      </c>
      <c r="AF72" s="14">
        <v>13</v>
      </c>
    </row>
    <row r="73" spans="30:32" ht="15.75" customHeight="1" x14ac:dyDescent="0.15">
      <c r="AD73" s="9">
        <v>135951287</v>
      </c>
      <c r="AE73" s="9" t="s">
        <v>389</v>
      </c>
      <c r="AF73" s="14">
        <v>13</v>
      </c>
    </row>
    <row r="74" spans="30:32" ht="15.75" customHeight="1" x14ac:dyDescent="0.15">
      <c r="AD74" s="9">
        <v>136012659</v>
      </c>
      <c r="AE74" s="9" t="s">
        <v>390</v>
      </c>
      <c r="AF74" s="14">
        <v>1</v>
      </c>
    </row>
    <row r="75" spans="30:32" ht="15.75" customHeight="1" x14ac:dyDescent="0.15">
      <c r="AD75" s="9">
        <v>136120416</v>
      </c>
      <c r="AE75" s="9" t="s">
        <v>391</v>
      </c>
      <c r="AF75" s="14">
        <v>1</v>
      </c>
    </row>
    <row r="76" spans="30:32" ht="15.75" customHeight="1" x14ac:dyDescent="0.15">
      <c r="AD76" s="9">
        <v>136429130</v>
      </c>
      <c r="AE76" s="9" t="s">
        <v>392</v>
      </c>
      <c r="AF76" s="14">
        <v>20</v>
      </c>
    </row>
    <row r="77" spans="30:32" ht="15.75" customHeight="1" x14ac:dyDescent="0.15">
      <c r="AD77" s="9">
        <v>137224579</v>
      </c>
      <c r="AE77" s="9" t="s">
        <v>393</v>
      </c>
      <c r="AF77" s="14">
        <v>1</v>
      </c>
    </row>
    <row r="78" spans="30:32" ht="15.75" customHeight="1" x14ac:dyDescent="0.15">
      <c r="AD78" s="9">
        <v>137388026</v>
      </c>
      <c r="AE78" s="9" t="s">
        <v>1699</v>
      </c>
      <c r="AF78" s="14">
        <v>2</v>
      </c>
    </row>
    <row r="79" spans="30:32" ht="15.75" customHeight="1" x14ac:dyDescent="0.15">
      <c r="AD79" s="9">
        <v>137990095</v>
      </c>
      <c r="AE79" s="9" t="s">
        <v>394</v>
      </c>
      <c r="AF79" s="14">
        <v>1</v>
      </c>
    </row>
    <row r="80" spans="30:32" ht="15.75" customHeight="1" x14ac:dyDescent="0.15">
      <c r="AD80" s="9">
        <v>138353222</v>
      </c>
      <c r="AE80" s="9" t="s">
        <v>395</v>
      </c>
      <c r="AF80" s="14">
        <v>1</v>
      </c>
    </row>
    <row r="81" spans="30:32" ht="15.75" customHeight="1" x14ac:dyDescent="0.15">
      <c r="AD81" s="9">
        <v>138418435</v>
      </c>
      <c r="AE81" s="9" t="s">
        <v>396</v>
      </c>
      <c r="AF81" s="14">
        <v>2</v>
      </c>
    </row>
    <row r="82" spans="30:32" ht="15.75" customHeight="1" x14ac:dyDescent="0.15">
      <c r="AD82" s="9">
        <v>139182238</v>
      </c>
      <c r="AE82" s="9" t="s">
        <v>397</v>
      </c>
      <c r="AF82" s="14">
        <v>5</v>
      </c>
    </row>
    <row r="83" spans="30:32" ht="15.75" customHeight="1" x14ac:dyDescent="0.15">
      <c r="AD83" s="9">
        <v>139443425</v>
      </c>
      <c r="AE83" s="9" t="s">
        <v>398</v>
      </c>
      <c r="AF83" s="14">
        <v>1</v>
      </c>
    </row>
    <row r="84" spans="30:32" ht="15.75" customHeight="1" x14ac:dyDescent="0.15">
      <c r="AD84" s="9">
        <v>140043434</v>
      </c>
      <c r="AE84" s="9" t="s">
        <v>399</v>
      </c>
      <c r="AF84" s="14">
        <v>1</v>
      </c>
    </row>
    <row r="85" spans="30:32" ht="15.75" customHeight="1" x14ac:dyDescent="0.15">
      <c r="AD85" s="9">
        <v>140695542</v>
      </c>
      <c r="AE85" s="9" t="s">
        <v>400</v>
      </c>
      <c r="AF85" s="14">
        <v>1</v>
      </c>
    </row>
    <row r="86" spans="30:32" ht="15.75" customHeight="1" x14ac:dyDescent="0.15">
      <c r="AD86" s="9">
        <v>142075276</v>
      </c>
      <c r="AE86" s="9" t="s">
        <v>1701</v>
      </c>
      <c r="AF86" s="14">
        <v>1</v>
      </c>
    </row>
    <row r="87" spans="30:32" ht="15.75" customHeight="1" x14ac:dyDescent="0.15">
      <c r="AD87" s="9">
        <v>142746541</v>
      </c>
      <c r="AE87" s="9" t="s">
        <v>401</v>
      </c>
      <c r="AF87" s="14">
        <v>1</v>
      </c>
    </row>
    <row r="88" spans="30:32" ht="15.75" customHeight="1" x14ac:dyDescent="0.15">
      <c r="AD88" s="9">
        <v>142753892</v>
      </c>
      <c r="AE88" s="9" t="s">
        <v>402</v>
      </c>
      <c r="AF88" s="14">
        <v>1</v>
      </c>
    </row>
    <row r="89" spans="30:32" ht="15.75" customHeight="1" x14ac:dyDescent="0.15">
      <c r="AD89" s="9">
        <v>143032636</v>
      </c>
      <c r="AE89" s="9" t="s">
        <v>403</v>
      </c>
      <c r="AF89" s="14">
        <v>1</v>
      </c>
    </row>
    <row r="90" spans="30:32" ht="15.75" customHeight="1" x14ac:dyDescent="0.15">
      <c r="AD90" s="9">
        <v>143231423</v>
      </c>
      <c r="AE90" s="9" t="s">
        <v>404</v>
      </c>
      <c r="AF90" s="14">
        <v>1</v>
      </c>
    </row>
    <row r="91" spans="30:32" ht="15.75" customHeight="1" x14ac:dyDescent="0.15">
      <c r="AD91" s="9">
        <v>145083380</v>
      </c>
      <c r="AE91" s="9" t="s">
        <v>405</v>
      </c>
      <c r="AF91" s="14">
        <v>1</v>
      </c>
    </row>
    <row r="92" spans="30:32" ht="15.75" customHeight="1" x14ac:dyDescent="0.15">
      <c r="AD92" s="9">
        <v>147576359</v>
      </c>
      <c r="AE92" s="9" t="s">
        <v>406</v>
      </c>
      <c r="AF92" s="14">
        <v>2</v>
      </c>
    </row>
    <row r="93" spans="30:32" ht="15.75" customHeight="1" x14ac:dyDescent="0.15">
      <c r="AD93" s="9">
        <v>149056573</v>
      </c>
      <c r="AE93" s="9" t="s">
        <v>407</v>
      </c>
      <c r="AF93" s="14">
        <v>1</v>
      </c>
    </row>
    <row r="94" spans="30:32" ht="15.75" customHeight="1" x14ac:dyDescent="0.15">
      <c r="AD94" s="9">
        <v>149802003</v>
      </c>
      <c r="AE94" s="9" t="s">
        <v>408</v>
      </c>
      <c r="AF94" s="14">
        <v>1</v>
      </c>
    </row>
    <row r="95" spans="30:32" ht="15.75" customHeight="1" x14ac:dyDescent="0.15">
      <c r="AD95" s="9">
        <v>149901183</v>
      </c>
      <c r="AE95" s="9" t="s">
        <v>409</v>
      </c>
      <c r="AF95" s="14">
        <v>1</v>
      </c>
    </row>
    <row r="96" spans="30:32" ht="15.75" customHeight="1" x14ac:dyDescent="0.15">
      <c r="AD96" s="9">
        <v>150000962</v>
      </c>
      <c r="AE96" s="9" t="s">
        <v>410</v>
      </c>
      <c r="AF96" s="14">
        <v>1</v>
      </c>
    </row>
    <row r="97" spans="30:32" ht="15.75" customHeight="1" x14ac:dyDescent="0.15">
      <c r="AD97" s="9">
        <v>150070492</v>
      </c>
      <c r="AE97" s="9" t="s">
        <v>411</v>
      </c>
      <c r="AF97" s="14">
        <v>1</v>
      </c>
    </row>
    <row r="98" spans="30:32" ht="15.75" customHeight="1" x14ac:dyDescent="0.15">
      <c r="AD98" s="9">
        <v>151001318</v>
      </c>
      <c r="AE98" s="9" t="s">
        <v>412</v>
      </c>
      <c r="AF98" s="14">
        <v>9</v>
      </c>
    </row>
    <row r="99" spans="30:32" ht="15.75" customHeight="1" x14ac:dyDescent="0.15">
      <c r="AD99" s="9">
        <v>151696660</v>
      </c>
      <c r="AE99" s="9" t="s">
        <v>1703</v>
      </c>
      <c r="AF99" s="14">
        <v>1</v>
      </c>
    </row>
    <row r="100" spans="30:32" ht="15.75" customHeight="1" x14ac:dyDescent="0.15">
      <c r="AD100" s="9">
        <v>154613277</v>
      </c>
      <c r="AE100" s="9" t="s">
        <v>1704</v>
      </c>
      <c r="AF100" s="14">
        <v>1</v>
      </c>
    </row>
    <row r="101" spans="30:32" ht="15.75" customHeight="1" x14ac:dyDescent="0.15">
      <c r="AD101" s="9">
        <v>154768599</v>
      </c>
      <c r="AE101" s="9" t="s">
        <v>413</v>
      </c>
      <c r="AF101" s="14">
        <v>1</v>
      </c>
    </row>
    <row r="102" spans="30:32" ht="15.75" customHeight="1" x14ac:dyDescent="0.15">
      <c r="AD102" s="9">
        <v>155580479</v>
      </c>
      <c r="AE102" s="9" t="s">
        <v>414</v>
      </c>
      <c r="AF102" s="14">
        <v>3</v>
      </c>
    </row>
    <row r="103" spans="30:32" ht="15.75" customHeight="1" x14ac:dyDescent="0.15">
      <c r="AD103" s="9">
        <v>155606080</v>
      </c>
      <c r="AE103" s="9" t="s">
        <v>415</v>
      </c>
      <c r="AF103" s="14">
        <v>2</v>
      </c>
    </row>
    <row r="104" spans="30:32" ht="15.75" customHeight="1" x14ac:dyDescent="0.15">
      <c r="AD104" s="9">
        <v>155902891</v>
      </c>
      <c r="AE104" s="9" t="s">
        <v>416</v>
      </c>
      <c r="AF104" s="14">
        <v>1</v>
      </c>
    </row>
    <row r="105" spans="30:32" ht="15.75" customHeight="1" x14ac:dyDescent="0.15">
      <c r="AD105" s="9">
        <v>155905619</v>
      </c>
      <c r="AE105" s="9" t="s">
        <v>417</v>
      </c>
      <c r="AF105" s="14">
        <v>4</v>
      </c>
    </row>
    <row r="106" spans="30:32" ht="15.75" customHeight="1" x14ac:dyDescent="0.15">
      <c r="AD106" s="9">
        <v>155941743</v>
      </c>
      <c r="AE106" s="9" t="s">
        <v>1707</v>
      </c>
      <c r="AF106" s="14">
        <v>1</v>
      </c>
    </row>
    <row r="107" spans="30:32" ht="15.75" customHeight="1" x14ac:dyDescent="0.15">
      <c r="AD107" s="9">
        <v>156763166</v>
      </c>
      <c r="AE107" s="9" t="s">
        <v>418</v>
      </c>
      <c r="AF107" s="14">
        <v>2</v>
      </c>
    </row>
    <row r="108" spans="30:32" ht="15.75" customHeight="1" x14ac:dyDescent="0.15">
      <c r="AD108" s="9">
        <v>157686459</v>
      </c>
      <c r="AE108" s="9" t="s">
        <v>419</v>
      </c>
      <c r="AF108" s="14">
        <v>3</v>
      </c>
    </row>
    <row r="109" spans="30:32" ht="15.75" customHeight="1" x14ac:dyDescent="0.15">
      <c r="AD109" s="9">
        <v>158993404</v>
      </c>
      <c r="AE109" s="9" t="s">
        <v>420</v>
      </c>
      <c r="AF109" s="14">
        <v>1</v>
      </c>
    </row>
    <row r="110" spans="30:32" ht="15.75" customHeight="1" x14ac:dyDescent="0.15">
      <c r="AD110" s="9">
        <v>160778536</v>
      </c>
      <c r="AE110" s="9" t="s">
        <v>421</v>
      </c>
      <c r="AF110" s="14">
        <v>1</v>
      </c>
    </row>
    <row r="111" spans="30:32" ht="15.75" customHeight="1" x14ac:dyDescent="0.15">
      <c r="AD111" s="9">
        <v>160847928</v>
      </c>
      <c r="AE111" s="9" t="s">
        <v>422</v>
      </c>
      <c r="AF111" s="14">
        <v>1</v>
      </c>
    </row>
    <row r="112" spans="30:32" ht="15.75" customHeight="1" x14ac:dyDescent="0.15">
      <c r="AD112" s="9">
        <v>160850862</v>
      </c>
      <c r="AE112" s="9" t="s">
        <v>1709</v>
      </c>
      <c r="AF112" s="14">
        <v>4</v>
      </c>
    </row>
    <row r="113" spans="30:32" ht="15.75" customHeight="1" x14ac:dyDescent="0.15">
      <c r="AD113" s="9">
        <v>160851888</v>
      </c>
      <c r="AE113" s="9" t="s">
        <v>423</v>
      </c>
      <c r="AF113" s="14">
        <v>1</v>
      </c>
    </row>
    <row r="114" spans="30:32" ht="15.75" customHeight="1" x14ac:dyDescent="0.15">
      <c r="AD114" s="9">
        <v>160894541</v>
      </c>
      <c r="AE114" s="9" t="s">
        <v>424</v>
      </c>
      <c r="AF114" s="14">
        <v>3</v>
      </c>
    </row>
    <row r="115" spans="30:32" ht="15.75" customHeight="1" x14ac:dyDescent="0.15">
      <c r="AD115" s="9">
        <v>160894542</v>
      </c>
      <c r="AE115" s="9" t="s">
        <v>425</v>
      </c>
      <c r="AF115" s="14">
        <v>30</v>
      </c>
    </row>
    <row r="116" spans="30:32" ht="15.75" customHeight="1" x14ac:dyDescent="0.15">
      <c r="AD116" s="9">
        <v>160894620</v>
      </c>
      <c r="AE116" s="9" t="s">
        <v>426</v>
      </c>
      <c r="AF116" s="14">
        <v>3</v>
      </c>
    </row>
    <row r="117" spans="30:32" ht="15.75" customHeight="1" x14ac:dyDescent="0.15">
      <c r="AD117" s="9">
        <v>160894625</v>
      </c>
      <c r="AE117" s="9" t="s">
        <v>427</v>
      </c>
      <c r="AF117" s="14">
        <v>2</v>
      </c>
    </row>
    <row r="118" spans="30:32" ht="15.75" customHeight="1" x14ac:dyDescent="0.15">
      <c r="AD118" s="9">
        <v>160894732</v>
      </c>
      <c r="AE118" s="9" t="s">
        <v>428</v>
      </c>
      <c r="AF118" s="14">
        <v>1</v>
      </c>
    </row>
    <row r="119" spans="30:32" ht="15.75" customHeight="1" x14ac:dyDescent="0.15">
      <c r="AD119" s="9">
        <v>160934209</v>
      </c>
      <c r="AE119" s="9" t="s">
        <v>429</v>
      </c>
      <c r="AF119" s="14">
        <v>1</v>
      </c>
    </row>
    <row r="120" spans="30:32" ht="15.75" customHeight="1" x14ac:dyDescent="0.15">
      <c r="AD120" s="9">
        <v>160971296</v>
      </c>
      <c r="AE120" s="9" t="s">
        <v>430</v>
      </c>
      <c r="AF120" s="14">
        <v>1</v>
      </c>
    </row>
    <row r="121" spans="30:32" ht="15.75" customHeight="1" x14ac:dyDescent="0.15">
      <c r="AD121" s="9">
        <v>161568213</v>
      </c>
      <c r="AE121" s="9" t="s">
        <v>431</v>
      </c>
      <c r="AF121" s="14">
        <v>6</v>
      </c>
    </row>
    <row r="122" spans="30:32" ht="15.75" customHeight="1" x14ac:dyDescent="0.15">
      <c r="AD122" s="9">
        <v>164998965</v>
      </c>
      <c r="AE122" s="9" t="s">
        <v>432</v>
      </c>
      <c r="AF122" s="14">
        <v>1</v>
      </c>
    </row>
    <row r="123" spans="30:32" ht="15.75" customHeight="1" x14ac:dyDescent="0.15">
      <c r="AD123" s="9">
        <v>165520775</v>
      </c>
      <c r="AE123" s="9" t="s">
        <v>433</v>
      </c>
      <c r="AF123" s="14">
        <v>25</v>
      </c>
    </row>
    <row r="124" spans="30:32" ht="15.75" customHeight="1" x14ac:dyDescent="0.15">
      <c r="AD124" s="9">
        <v>165662256</v>
      </c>
      <c r="AE124" s="9" t="s">
        <v>434</v>
      </c>
      <c r="AF124" s="14">
        <v>1</v>
      </c>
    </row>
    <row r="125" spans="30:32" ht="15.75" customHeight="1" x14ac:dyDescent="0.15">
      <c r="AD125" s="9">
        <v>166897144</v>
      </c>
      <c r="AE125" s="9" t="s">
        <v>435</v>
      </c>
      <c r="AF125" s="14">
        <v>1</v>
      </c>
    </row>
    <row r="126" spans="30:32" ht="15.75" customHeight="1" x14ac:dyDescent="0.15">
      <c r="AD126" s="9">
        <v>166898507</v>
      </c>
      <c r="AE126" s="9" t="s">
        <v>436</v>
      </c>
      <c r="AF126" s="14">
        <v>1</v>
      </c>
    </row>
    <row r="127" spans="30:32" ht="15.75" customHeight="1" x14ac:dyDescent="0.15">
      <c r="AD127" s="9">
        <v>167351100</v>
      </c>
      <c r="AE127" s="9" t="s">
        <v>437</v>
      </c>
      <c r="AF127" s="14">
        <v>1</v>
      </c>
    </row>
    <row r="128" spans="30:32" ht="15.75" customHeight="1" x14ac:dyDescent="0.15">
      <c r="AD128" s="9">
        <v>167745279</v>
      </c>
      <c r="AE128" s="9" t="s">
        <v>438</v>
      </c>
      <c r="AF128" s="14">
        <v>1</v>
      </c>
    </row>
    <row r="129" spans="30:32" ht="15.75" customHeight="1" x14ac:dyDescent="0.15">
      <c r="AD129" s="9">
        <v>167769882</v>
      </c>
      <c r="AE129" s="9" t="s">
        <v>1736</v>
      </c>
      <c r="AF129" s="14">
        <v>1</v>
      </c>
    </row>
    <row r="130" spans="30:32" ht="15.75" customHeight="1" x14ac:dyDescent="0.15">
      <c r="AD130" s="9">
        <v>171119272</v>
      </c>
      <c r="AE130" s="9" t="s">
        <v>439</v>
      </c>
      <c r="AF130" s="14">
        <v>1</v>
      </c>
    </row>
    <row r="131" spans="30:32" ht="15.75" customHeight="1" x14ac:dyDescent="0.15">
      <c r="AD131" s="9">
        <v>173429159</v>
      </c>
      <c r="AE131" s="9" t="s">
        <v>440</v>
      </c>
      <c r="AF131" s="14">
        <v>2</v>
      </c>
    </row>
    <row r="132" spans="30:32" ht="15.75" customHeight="1" x14ac:dyDescent="0.15">
      <c r="AD132" s="9">
        <v>175751700</v>
      </c>
      <c r="AE132" s="9" t="s">
        <v>441</v>
      </c>
      <c r="AF132" s="14">
        <v>2</v>
      </c>
    </row>
    <row r="133" spans="30:32" ht="15.75" customHeight="1" x14ac:dyDescent="0.15">
      <c r="AD133" s="9">
        <v>178860948</v>
      </c>
      <c r="AE133" s="9" t="s">
        <v>442</v>
      </c>
      <c r="AF133" s="14">
        <v>1</v>
      </c>
    </row>
    <row r="134" spans="30:32" ht="15.75" customHeight="1" x14ac:dyDescent="0.15">
      <c r="AD134" s="9">
        <v>179115374</v>
      </c>
      <c r="AE134" s="9" t="s">
        <v>1737</v>
      </c>
      <c r="AF134" s="14">
        <v>1</v>
      </c>
    </row>
    <row r="135" spans="30:32" ht="15.75" customHeight="1" x14ac:dyDescent="0.15">
      <c r="AD135" s="9">
        <v>179116905</v>
      </c>
      <c r="AE135" s="9" t="s">
        <v>1739</v>
      </c>
      <c r="AF135" s="14">
        <v>2</v>
      </c>
    </row>
    <row r="136" spans="30:32" ht="15.75" customHeight="1" x14ac:dyDescent="0.15">
      <c r="AD136" s="9">
        <v>179549632</v>
      </c>
      <c r="AE136" s="9" t="s">
        <v>1741</v>
      </c>
      <c r="AF136" s="14">
        <v>1</v>
      </c>
    </row>
    <row r="137" spans="30:32" ht="15.75" customHeight="1" x14ac:dyDescent="0.15">
      <c r="AD137" s="9">
        <v>180736750</v>
      </c>
      <c r="AE137" s="9" t="s">
        <v>443</v>
      </c>
      <c r="AF137" s="14">
        <v>1</v>
      </c>
    </row>
    <row r="138" spans="30:32" ht="15.75" customHeight="1" x14ac:dyDescent="0.15">
      <c r="AD138" s="9">
        <v>182001403</v>
      </c>
      <c r="AE138" s="9" t="s">
        <v>444</v>
      </c>
      <c r="AF138" s="14">
        <v>1</v>
      </c>
    </row>
    <row r="139" spans="30:32" ht="15.75" customHeight="1" x14ac:dyDescent="0.15">
      <c r="AD139" s="9">
        <v>183753171</v>
      </c>
      <c r="AE139" s="9" t="s">
        <v>1742</v>
      </c>
      <c r="AF139" s="14">
        <v>4</v>
      </c>
    </row>
    <row r="140" spans="30:32" ht="15.75" customHeight="1" x14ac:dyDescent="0.15">
      <c r="AD140" s="9">
        <v>183979957</v>
      </c>
      <c r="AE140" s="9" t="s">
        <v>445</v>
      </c>
      <c r="AF140" s="14">
        <v>3</v>
      </c>
    </row>
    <row r="141" spans="30:32" ht="15.75" customHeight="1" x14ac:dyDescent="0.15">
      <c r="AD141" s="9">
        <v>185767454</v>
      </c>
      <c r="AE141" s="9" t="s">
        <v>1743</v>
      </c>
      <c r="AF141" s="14">
        <v>2</v>
      </c>
    </row>
    <row r="142" spans="30:32" ht="15.75" customHeight="1" x14ac:dyDescent="0.15">
      <c r="AD142" s="9">
        <v>185891764</v>
      </c>
      <c r="AE142" s="9" t="s">
        <v>446</v>
      </c>
      <c r="AF142" s="14">
        <v>5</v>
      </c>
    </row>
    <row r="143" spans="30:32" ht="15.75" customHeight="1" x14ac:dyDescent="0.15">
      <c r="AD143" s="9">
        <v>186657703</v>
      </c>
      <c r="AE143" s="9" t="s">
        <v>447</v>
      </c>
      <c r="AF143" s="14">
        <v>6</v>
      </c>
    </row>
    <row r="144" spans="30:32" ht="15.75" customHeight="1" x14ac:dyDescent="0.15">
      <c r="AD144" s="9">
        <v>186875078</v>
      </c>
      <c r="AE144" s="9" t="s">
        <v>448</v>
      </c>
      <c r="AF144" s="14">
        <v>20</v>
      </c>
    </row>
    <row r="145" spans="30:32" ht="15.75" customHeight="1" x14ac:dyDescent="0.15">
      <c r="AD145" s="9">
        <v>188333836</v>
      </c>
      <c r="AE145" s="9" t="s">
        <v>449</v>
      </c>
      <c r="AF145" s="14">
        <v>5</v>
      </c>
    </row>
    <row r="146" spans="30:32" ht="15.75" customHeight="1" x14ac:dyDescent="0.15">
      <c r="AD146" s="9">
        <v>189531814</v>
      </c>
      <c r="AE146" s="9" t="s">
        <v>450</v>
      </c>
      <c r="AF146" s="14">
        <v>2</v>
      </c>
    </row>
    <row r="147" spans="30:32" ht="15.75" customHeight="1" x14ac:dyDescent="0.15">
      <c r="AD147" s="9">
        <v>189648150</v>
      </c>
      <c r="AE147" s="9" t="s">
        <v>451</v>
      </c>
      <c r="AF147" s="14">
        <v>1</v>
      </c>
    </row>
    <row r="148" spans="30:32" ht="15.75" customHeight="1" x14ac:dyDescent="0.15">
      <c r="AD148" s="9">
        <v>191927105</v>
      </c>
      <c r="AE148" s="9" t="s">
        <v>1753</v>
      </c>
      <c r="AF148" s="14">
        <v>3</v>
      </c>
    </row>
    <row r="149" spans="30:32" ht="15.75" customHeight="1" x14ac:dyDescent="0.15">
      <c r="AD149" s="9">
        <v>192023408</v>
      </c>
      <c r="AE149" s="9" t="s">
        <v>1755</v>
      </c>
      <c r="AF149" s="14">
        <v>1</v>
      </c>
    </row>
    <row r="150" spans="30:32" ht="15.75" customHeight="1" x14ac:dyDescent="0.15">
      <c r="AD150" s="9">
        <v>194337839</v>
      </c>
      <c r="AE150" s="9" t="s">
        <v>452</v>
      </c>
      <c r="AF150" s="14">
        <v>5</v>
      </c>
    </row>
    <row r="151" spans="30:32" ht="15.75" customHeight="1" x14ac:dyDescent="0.15">
      <c r="AD151" s="9">
        <v>194397598</v>
      </c>
      <c r="AE151" s="9" t="s">
        <v>453</v>
      </c>
      <c r="AF151" s="14">
        <v>2</v>
      </c>
    </row>
    <row r="152" spans="30:32" ht="15.75" customHeight="1" x14ac:dyDescent="0.15">
      <c r="AD152" s="9">
        <v>194448242</v>
      </c>
      <c r="AE152" s="9" t="s">
        <v>454</v>
      </c>
      <c r="AF152" s="14">
        <v>2</v>
      </c>
    </row>
    <row r="153" spans="30:32" ht="15.75" customHeight="1" x14ac:dyDescent="0.15">
      <c r="AD153" s="9">
        <v>194448253</v>
      </c>
      <c r="AE153" s="9" t="s">
        <v>1758</v>
      </c>
      <c r="AF153" s="14">
        <v>1</v>
      </c>
    </row>
    <row r="154" spans="30:32" ht="15.75" customHeight="1" x14ac:dyDescent="0.15">
      <c r="AD154" s="9">
        <v>194687454</v>
      </c>
      <c r="AE154" s="9" t="s">
        <v>455</v>
      </c>
      <c r="AF154" s="14">
        <v>6</v>
      </c>
    </row>
    <row r="155" spans="30:32" ht="15.75" customHeight="1" x14ac:dyDescent="0.15">
      <c r="AD155" s="9">
        <v>195443226</v>
      </c>
      <c r="AE155" s="9" t="s">
        <v>1759</v>
      </c>
      <c r="AF155" s="14">
        <v>3</v>
      </c>
    </row>
    <row r="156" spans="30:32" ht="15.75" customHeight="1" x14ac:dyDescent="0.15">
      <c r="AD156" s="9">
        <v>196580510</v>
      </c>
      <c r="AE156" s="9" t="s">
        <v>456</v>
      </c>
      <c r="AF156" s="14">
        <v>1</v>
      </c>
    </row>
    <row r="157" spans="30:32" ht="15.75" customHeight="1" x14ac:dyDescent="0.15">
      <c r="AD157" s="9">
        <v>197076156</v>
      </c>
      <c r="AE157" s="9" t="s">
        <v>457</v>
      </c>
      <c r="AF157" s="14">
        <v>1</v>
      </c>
    </row>
    <row r="158" spans="30:32" ht="15.75" customHeight="1" x14ac:dyDescent="0.15">
      <c r="AD158" s="9">
        <v>197703120</v>
      </c>
      <c r="AE158" s="9" t="s">
        <v>458</v>
      </c>
      <c r="AF158" s="14">
        <v>1</v>
      </c>
    </row>
    <row r="159" spans="30:32" ht="15.75" customHeight="1" x14ac:dyDescent="0.15">
      <c r="AD159" s="9">
        <v>197877512</v>
      </c>
      <c r="AE159" s="9" t="s">
        <v>459</v>
      </c>
      <c r="AF159" s="14">
        <v>1</v>
      </c>
    </row>
    <row r="160" spans="30:32" ht="15.75" customHeight="1" x14ac:dyDescent="0.15">
      <c r="AD160" s="9">
        <v>197883238</v>
      </c>
      <c r="AE160" s="9" t="s">
        <v>460</v>
      </c>
      <c r="AF160" s="14">
        <v>1</v>
      </c>
    </row>
    <row r="161" spans="30:32" ht="15.75" customHeight="1" x14ac:dyDescent="0.15">
      <c r="AD161" s="9">
        <v>198698033</v>
      </c>
      <c r="AE161" s="9" t="s">
        <v>461</v>
      </c>
      <c r="AF161" s="14">
        <v>1</v>
      </c>
    </row>
    <row r="162" spans="30:32" ht="15.75" customHeight="1" x14ac:dyDescent="0.15">
      <c r="AD162" s="9">
        <v>199224208</v>
      </c>
      <c r="AE162" s="9" t="s">
        <v>462</v>
      </c>
      <c r="AF162" s="14">
        <v>3</v>
      </c>
    </row>
    <row r="163" spans="30:32" ht="15.75" customHeight="1" x14ac:dyDescent="0.15">
      <c r="AD163" s="9">
        <v>200541701</v>
      </c>
      <c r="AE163" s="9" t="s">
        <v>463</v>
      </c>
      <c r="AF163" s="14">
        <v>1</v>
      </c>
    </row>
    <row r="164" spans="30:32" ht="15.75" customHeight="1" x14ac:dyDescent="0.15">
      <c r="AD164" s="9">
        <v>200544077</v>
      </c>
      <c r="AE164" s="9" t="s">
        <v>464</v>
      </c>
      <c r="AF164" s="14">
        <v>22</v>
      </c>
    </row>
    <row r="165" spans="30:32" ht="15.75" customHeight="1" x14ac:dyDescent="0.15">
      <c r="AD165" s="9">
        <v>200545729</v>
      </c>
      <c r="AE165" s="9" t="s">
        <v>465</v>
      </c>
      <c r="AF165" s="14">
        <v>1</v>
      </c>
    </row>
    <row r="166" spans="30:32" ht="15.75" customHeight="1" x14ac:dyDescent="0.15">
      <c r="AD166" s="9">
        <v>200809966</v>
      </c>
      <c r="AE166" s="9" t="s">
        <v>466</v>
      </c>
      <c r="AF166" s="14">
        <v>1</v>
      </c>
    </row>
    <row r="167" spans="30:32" ht="15.75" customHeight="1" x14ac:dyDescent="0.15">
      <c r="AD167" s="9">
        <v>201190809</v>
      </c>
      <c r="AE167" s="9" t="s">
        <v>467</v>
      </c>
      <c r="AF167" s="14">
        <v>1</v>
      </c>
    </row>
    <row r="168" spans="30:32" ht="15.75" customHeight="1" x14ac:dyDescent="0.15">
      <c r="AD168" s="9">
        <v>201561805</v>
      </c>
      <c r="AE168" s="9" t="s">
        <v>468</v>
      </c>
      <c r="AF168" s="14">
        <v>2</v>
      </c>
    </row>
    <row r="169" spans="30:32" ht="15.75" customHeight="1" x14ac:dyDescent="0.15">
      <c r="AD169" s="9">
        <v>201872392</v>
      </c>
      <c r="AE169" s="9" t="s">
        <v>469</v>
      </c>
      <c r="AF169" s="14">
        <v>1</v>
      </c>
    </row>
    <row r="170" spans="30:32" ht="15.75" customHeight="1" x14ac:dyDescent="0.15">
      <c r="AD170" s="9">
        <v>201874257</v>
      </c>
      <c r="AE170" s="9" t="s">
        <v>470</v>
      </c>
      <c r="AF170" s="14">
        <v>2</v>
      </c>
    </row>
    <row r="171" spans="30:32" ht="15.75" customHeight="1" x14ac:dyDescent="0.15">
      <c r="AD171" s="9">
        <v>202305675</v>
      </c>
      <c r="AE171" s="9" t="s">
        <v>471</v>
      </c>
      <c r="AF171" s="14">
        <v>11</v>
      </c>
    </row>
    <row r="172" spans="30:32" ht="15.75" customHeight="1" x14ac:dyDescent="0.15">
      <c r="AD172" s="9">
        <v>202543547</v>
      </c>
      <c r="AE172" s="9" t="s">
        <v>472</v>
      </c>
      <c r="AF172" s="14">
        <v>3</v>
      </c>
    </row>
    <row r="173" spans="30:32" ht="15.75" customHeight="1" x14ac:dyDescent="0.15">
      <c r="AD173" s="9">
        <v>203554051</v>
      </c>
      <c r="AE173" s="9" t="s">
        <v>1767</v>
      </c>
      <c r="AF173" s="14">
        <v>3</v>
      </c>
    </row>
    <row r="174" spans="30:32" ht="15.75" customHeight="1" x14ac:dyDescent="0.15">
      <c r="AD174" s="9">
        <v>203555183</v>
      </c>
      <c r="AE174" s="9" t="s">
        <v>473</v>
      </c>
      <c r="AF174" s="14">
        <v>2</v>
      </c>
    </row>
    <row r="175" spans="30:32" ht="15.75" customHeight="1" x14ac:dyDescent="0.15">
      <c r="AD175" s="9">
        <v>203555549</v>
      </c>
      <c r="AE175" s="9" t="s">
        <v>474</v>
      </c>
      <c r="AF175" s="14">
        <v>1</v>
      </c>
    </row>
    <row r="176" spans="30:32" ht="15.75" customHeight="1" x14ac:dyDescent="0.15">
      <c r="AD176" s="9">
        <v>203601947</v>
      </c>
      <c r="AE176" s="9" t="s">
        <v>1769</v>
      </c>
      <c r="AF176" s="14">
        <v>1</v>
      </c>
    </row>
    <row r="177" spans="30:32" ht="15.75" customHeight="1" x14ac:dyDescent="0.15">
      <c r="AD177" s="9">
        <v>203720807</v>
      </c>
      <c r="AE177" s="9" t="s">
        <v>1770</v>
      </c>
      <c r="AF177" s="14">
        <v>1</v>
      </c>
    </row>
    <row r="178" spans="30:32" ht="15.75" customHeight="1" x14ac:dyDescent="0.15">
      <c r="AD178" s="9">
        <v>204186197</v>
      </c>
      <c r="AE178" s="9" t="s">
        <v>475</v>
      </c>
      <c r="AF178" s="14">
        <v>2</v>
      </c>
    </row>
    <row r="179" spans="30:32" ht="15.75" customHeight="1" x14ac:dyDescent="0.15">
      <c r="AD179" s="9">
        <v>204964218</v>
      </c>
      <c r="AE179" s="9" t="s">
        <v>476</v>
      </c>
      <c r="AF179" s="14">
        <v>1</v>
      </c>
    </row>
    <row r="180" spans="30:32" ht="15.75" customHeight="1" x14ac:dyDescent="0.15">
      <c r="AD180" s="9">
        <v>204964671</v>
      </c>
      <c r="AE180" s="9" t="s">
        <v>477</v>
      </c>
      <c r="AF180" s="14">
        <v>1</v>
      </c>
    </row>
    <row r="181" spans="30:32" ht="15.75" customHeight="1" x14ac:dyDescent="0.15">
      <c r="AD181" s="9">
        <v>205038505</v>
      </c>
      <c r="AE181" s="9" t="s">
        <v>1772</v>
      </c>
      <c r="AF181" s="14">
        <v>3</v>
      </c>
    </row>
    <row r="182" spans="30:32" ht="15.75" customHeight="1" x14ac:dyDescent="0.15">
      <c r="AD182" s="9">
        <v>206851367</v>
      </c>
      <c r="AE182" s="9" t="s">
        <v>478</v>
      </c>
      <c r="AF182" s="14">
        <v>2</v>
      </c>
    </row>
    <row r="183" spans="30:32" ht="15.75" customHeight="1" x14ac:dyDescent="0.15">
      <c r="AD183" s="9">
        <v>211234238</v>
      </c>
      <c r="AE183" s="9" t="s">
        <v>479</v>
      </c>
      <c r="AF183" s="14">
        <v>2</v>
      </c>
    </row>
    <row r="184" spans="30:32" ht="15.75" customHeight="1" x14ac:dyDescent="0.15">
      <c r="AD184" s="9">
        <v>214260881</v>
      </c>
      <c r="AE184" s="9" t="s">
        <v>480</v>
      </c>
      <c r="AF184" s="14">
        <v>1</v>
      </c>
    </row>
    <row r="185" spans="30:32" ht="15.75" customHeight="1" x14ac:dyDescent="0.15">
      <c r="AD185" s="9">
        <v>215996578</v>
      </c>
      <c r="AE185" s="9" t="s">
        <v>481</v>
      </c>
      <c r="AF185" s="14">
        <v>1</v>
      </c>
    </row>
    <row r="186" spans="30:32" ht="15.75" customHeight="1" x14ac:dyDescent="0.15">
      <c r="AD186" s="9">
        <v>216276753</v>
      </c>
      <c r="AE186" s="9" t="s">
        <v>482</v>
      </c>
      <c r="AF186" s="14">
        <v>1</v>
      </c>
    </row>
    <row r="187" spans="30:32" ht="15.75" customHeight="1" x14ac:dyDescent="0.15">
      <c r="AD187" s="9">
        <v>216340190</v>
      </c>
      <c r="AE187" s="9" t="s">
        <v>483</v>
      </c>
      <c r="AF187" s="14">
        <v>1</v>
      </c>
    </row>
    <row r="188" spans="30:32" ht="15.75" customHeight="1" x14ac:dyDescent="0.15">
      <c r="AD188" s="9">
        <v>219658761</v>
      </c>
      <c r="AE188" s="9" t="s">
        <v>484</v>
      </c>
      <c r="AF188" s="14">
        <v>2</v>
      </c>
    </row>
    <row r="189" spans="30:32" ht="15.75" customHeight="1" x14ac:dyDescent="0.15">
      <c r="AD189" s="9">
        <v>219993136</v>
      </c>
      <c r="AE189" s="9" t="s">
        <v>485</v>
      </c>
      <c r="AF189" s="14">
        <v>2</v>
      </c>
    </row>
    <row r="190" spans="30:32" ht="15.75" customHeight="1" x14ac:dyDescent="0.15">
      <c r="AD190" s="9">
        <v>223412125</v>
      </c>
      <c r="AE190" s="9" t="s">
        <v>486</v>
      </c>
      <c r="AF190" s="14">
        <v>4</v>
      </c>
    </row>
    <row r="191" spans="30:32" ht="15.75" customHeight="1" x14ac:dyDescent="0.15">
      <c r="AD191" s="9">
        <v>223859370</v>
      </c>
      <c r="AE191" s="9" t="s">
        <v>487</v>
      </c>
      <c r="AF191" s="14">
        <v>7</v>
      </c>
    </row>
    <row r="192" spans="30:32" ht="15.75" customHeight="1" x14ac:dyDescent="0.15">
      <c r="AD192" s="9">
        <v>224783140</v>
      </c>
      <c r="AE192" s="9" t="s">
        <v>1778</v>
      </c>
      <c r="AF192" s="14">
        <v>1</v>
      </c>
    </row>
    <row r="193" spans="30:32" ht="15.75" customHeight="1" x14ac:dyDescent="0.15">
      <c r="AD193" s="9">
        <v>225071142</v>
      </c>
      <c r="AE193" s="9" t="s">
        <v>488</v>
      </c>
      <c r="AF193" s="14">
        <v>1</v>
      </c>
    </row>
    <row r="194" spans="30:32" ht="15.75" customHeight="1" x14ac:dyDescent="0.15">
      <c r="AD194" s="9">
        <v>225723238</v>
      </c>
      <c r="AE194" s="9" t="s">
        <v>489</v>
      </c>
      <c r="AF194" s="14">
        <v>1</v>
      </c>
    </row>
    <row r="195" spans="30:32" ht="15.75" customHeight="1" x14ac:dyDescent="0.15">
      <c r="AD195" s="9">
        <v>227294005</v>
      </c>
      <c r="AE195" s="9" t="s">
        <v>1779</v>
      </c>
      <c r="AF195" s="14">
        <v>1</v>
      </c>
    </row>
    <row r="196" spans="30:32" ht="15.75" customHeight="1" x14ac:dyDescent="0.15">
      <c r="AD196" s="9">
        <v>227831021</v>
      </c>
      <c r="AE196" s="9" t="s">
        <v>490</v>
      </c>
      <c r="AF196" s="14">
        <v>1</v>
      </c>
    </row>
    <row r="197" spans="30:32" ht="15.75" customHeight="1" x14ac:dyDescent="0.15">
      <c r="AD197" s="9">
        <v>228169912</v>
      </c>
      <c r="AE197" s="9" t="s">
        <v>491</v>
      </c>
      <c r="AF197" s="14">
        <v>1</v>
      </c>
    </row>
    <row r="198" spans="30:32" ht="15.75" customHeight="1" x14ac:dyDescent="0.15">
      <c r="AD198" s="9">
        <v>228249725</v>
      </c>
      <c r="AE198" s="9" t="s">
        <v>492</v>
      </c>
      <c r="AF198" s="14">
        <v>1</v>
      </c>
    </row>
    <row r="199" spans="30:32" ht="15.75" customHeight="1" x14ac:dyDescent="0.15">
      <c r="AD199" s="9">
        <v>228250677</v>
      </c>
      <c r="AE199" s="9" t="s">
        <v>493</v>
      </c>
      <c r="AF199" s="14">
        <v>1</v>
      </c>
    </row>
    <row r="200" spans="30:32" ht="15.75" customHeight="1" x14ac:dyDescent="0.15">
      <c r="AD200" s="9">
        <v>228273661</v>
      </c>
      <c r="AE200" s="9" t="s">
        <v>494</v>
      </c>
      <c r="AF200" s="14">
        <v>13</v>
      </c>
    </row>
    <row r="201" spans="30:32" ht="15.75" customHeight="1" x14ac:dyDescent="0.15">
      <c r="AD201" s="9">
        <v>228318861</v>
      </c>
      <c r="AE201" s="9" t="s">
        <v>1785</v>
      </c>
      <c r="AF201" s="14">
        <v>1</v>
      </c>
    </row>
    <row r="202" spans="30:32" ht="15.75" customHeight="1" x14ac:dyDescent="0.15">
      <c r="AD202" s="9">
        <v>228421997</v>
      </c>
      <c r="AE202" s="9" t="s">
        <v>1786</v>
      </c>
      <c r="AF202" s="14">
        <v>2</v>
      </c>
    </row>
    <row r="203" spans="30:32" ht="15.75" customHeight="1" x14ac:dyDescent="0.15">
      <c r="AD203" s="9">
        <v>229658415</v>
      </c>
      <c r="AE203" s="9" t="s">
        <v>495</v>
      </c>
      <c r="AF203" s="14">
        <v>1</v>
      </c>
    </row>
    <row r="204" spans="30:32" ht="15.75" customHeight="1" x14ac:dyDescent="0.15">
      <c r="AD204" s="9">
        <v>231261132</v>
      </c>
      <c r="AE204" s="9" t="s">
        <v>496</v>
      </c>
      <c r="AF204" s="14">
        <v>1</v>
      </c>
    </row>
    <row r="205" spans="30:32" ht="15.75" customHeight="1" x14ac:dyDescent="0.15">
      <c r="AD205" s="9">
        <v>231574805</v>
      </c>
      <c r="AE205" s="9" t="s">
        <v>1788</v>
      </c>
      <c r="AF205" s="14">
        <v>1</v>
      </c>
    </row>
    <row r="206" spans="30:32" ht="15.75" customHeight="1" x14ac:dyDescent="0.15">
      <c r="AD206" s="9">
        <v>231575038</v>
      </c>
      <c r="AE206" s="9" t="s">
        <v>497</v>
      </c>
      <c r="AF206" s="14">
        <v>1</v>
      </c>
    </row>
    <row r="207" spans="30:32" ht="15.75" customHeight="1" x14ac:dyDescent="0.15">
      <c r="AD207" s="9">
        <v>232199827</v>
      </c>
      <c r="AE207" s="9" t="s">
        <v>498</v>
      </c>
      <c r="AF207" s="14">
        <v>8</v>
      </c>
    </row>
    <row r="208" spans="30:32" ht="15.75" customHeight="1" x14ac:dyDescent="0.15">
      <c r="AD208" s="9">
        <v>233803762</v>
      </c>
      <c r="AE208" s="9" t="s">
        <v>1791</v>
      </c>
      <c r="AF208" s="14">
        <v>2</v>
      </c>
    </row>
    <row r="209" spans="30:32" ht="15.75" customHeight="1" x14ac:dyDescent="0.15">
      <c r="AD209" s="9">
        <v>235037417</v>
      </c>
      <c r="AE209" s="9" t="s">
        <v>499</v>
      </c>
      <c r="AF209" s="14">
        <v>1</v>
      </c>
    </row>
    <row r="210" spans="30:32" ht="15.75" customHeight="1" x14ac:dyDescent="0.15">
      <c r="AD210" s="9">
        <v>235537998</v>
      </c>
      <c r="AE210" s="9" t="s">
        <v>500</v>
      </c>
      <c r="AF210" s="14">
        <v>1</v>
      </c>
    </row>
    <row r="211" spans="30:32" ht="15.75" customHeight="1" x14ac:dyDescent="0.15">
      <c r="AD211" s="9">
        <v>236211638</v>
      </c>
      <c r="AE211" s="9" t="s">
        <v>501</v>
      </c>
      <c r="AF211" s="14">
        <v>1</v>
      </c>
    </row>
    <row r="212" spans="30:32" ht="15.75" customHeight="1" x14ac:dyDescent="0.15">
      <c r="AD212" s="9">
        <v>236854515</v>
      </c>
      <c r="AE212" s="9" t="s">
        <v>502</v>
      </c>
      <c r="AF212" s="14">
        <v>1</v>
      </c>
    </row>
    <row r="213" spans="30:32" ht="15.75" customHeight="1" x14ac:dyDescent="0.15">
      <c r="AD213" s="9">
        <v>237110521</v>
      </c>
      <c r="AE213" s="9" t="s">
        <v>503</v>
      </c>
      <c r="AF213" s="14">
        <v>3</v>
      </c>
    </row>
    <row r="214" spans="30:32" ht="15.75" customHeight="1" x14ac:dyDescent="0.15">
      <c r="AD214" s="9">
        <v>237643629</v>
      </c>
      <c r="AE214" s="9" t="s">
        <v>504</v>
      </c>
      <c r="AF214" s="14">
        <v>1</v>
      </c>
    </row>
    <row r="215" spans="30:32" ht="15.75" customHeight="1" x14ac:dyDescent="0.15">
      <c r="AD215" s="9">
        <v>237643947</v>
      </c>
      <c r="AE215" s="9" t="s">
        <v>1797</v>
      </c>
      <c r="AF215" s="14">
        <v>3</v>
      </c>
    </row>
    <row r="216" spans="30:32" ht="15.75" customHeight="1" x14ac:dyDescent="0.15">
      <c r="AD216" s="9">
        <v>237644270</v>
      </c>
      <c r="AE216" s="9" t="s">
        <v>1798</v>
      </c>
      <c r="AF216" s="14">
        <v>1</v>
      </c>
    </row>
    <row r="217" spans="30:32" ht="15.75" customHeight="1" x14ac:dyDescent="0.15">
      <c r="AD217" s="9">
        <v>239402362</v>
      </c>
      <c r="AE217" s="9" t="s">
        <v>505</v>
      </c>
      <c r="AF217" s="14">
        <v>4</v>
      </c>
    </row>
    <row r="218" spans="30:32" ht="15.75" customHeight="1" x14ac:dyDescent="0.15">
      <c r="AD218" s="9">
        <v>239593555</v>
      </c>
      <c r="AE218" s="9" t="s">
        <v>506</v>
      </c>
      <c r="AF218" s="14">
        <v>2</v>
      </c>
    </row>
    <row r="219" spans="30:32" ht="15.75" customHeight="1" x14ac:dyDescent="0.15">
      <c r="AD219" s="9">
        <v>239917487</v>
      </c>
      <c r="AE219" s="9" t="s">
        <v>507</v>
      </c>
      <c r="AF219" s="14">
        <v>1</v>
      </c>
    </row>
    <row r="220" spans="30:32" ht="15.75" customHeight="1" x14ac:dyDescent="0.15">
      <c r="AD220" s="9">
        <v>240044767</v>
      </c>
      <c r="AE220" s="9" t="s">
        <v>508</v>
      </c>
      <c r="AF220" s="14">
        <v>1</v>
      </c>
    </row>
    <row r="221" spans="30:32" ht="15.75" customHeight="1" x14ac:dyDescent="0.15">
      <c r="AD221" s="9">
        <v>240072178</v>
      </c>
      <c r="AE221" s="9" t="s">
        <v>509</v>
      </c>
      <c r="AF221" s="14">
        <v>1</v>
      </c>
    </row>
    <row r="222" spans="30:32" ht="15.75" customHeight="1" x14ac:dyDescent="0.15">
      <c r="AD222" s="9">
        <v>240837955</v>
      </c>
      <c r="AE222" s="9" t="s">
        <v>510</v>
      </c>
      <c r="AF222" s="14">
        <v>1</v>
      </c>
    </row>
    <row r="223" spans="30:32" ht="15.75" customHeight="1" x14ac:dyDescent="0.15">
      <c r="AD223" s="9">
        <v>241658676</v>
      </c>
      <c r="AE223" s="9" t="s">
        <v>511</v>
      </c>
      <c r="AF223" s="14">
        <v>3</v>
      </c>
    </row>
    <row r="224" spans="30:32" ht="15.75" customHeight="1" x14ac:dyDescent="0.15">
      <c r="AD224" s="9">
        <v>241712020</v>
      </c>
      <c r="AE224" s="9" t="s">
        <v>512</v>
      </c>
      <c r="AF224" s="14">
        <v>4</v>
      </c>
    </row>
    <row r="225" spans="30:32" ht="15.75" customHeight="1" x14ac:dyDescent="0.15">
      <c r="AD225" s="9">
        <v>242389446</v>
      </c>
      <c r="AE225" s="9" t="s">
        <v>513</v>
      </c>
      <c r="AF225" s="14">
        <v>4</v>
      </c>
    </row>
    <row r="226" spans="30:32" ht="15.75" customHeight="1" x14ac:dyDescent="0.15">
      <c r="AD226" s="9">
        <v>245476419</v>
      </c>
      <c r="AE226" s="9" t="s">
        <v>514</v>
      </c>
      <c r="AF226" s="14">
        <v>3</v>
      </c>
    </row>
    <row r="227" spans="30:32" ht="15.75" customHeight="1" x14ac:dyDescent="0.15">
      <c r="AD227" s="9">
        <v>245947538</v>
      </c>
      <c r="AE227" s="9" t="s">
        <v>1809</v>
      </c>
      <c r="AF227" s="14">
        <v>2</v>
      </c>
    </row>
    <row r="228" spans="30:32" ht="15.75" customHeight="1" x14ac:dyDescent="0.15">
      <c r="AD228" s="9">
        <v>245975180</v>
      </c>
      <c r="AE228" s="9" t="s">
        <v>515</v>
      </c>
      <c r="AF228" s="14">
        <v>1</v>
      </c>
    </row>
    <row r="229" spans="30:32" ht="15.75" customHeight="1" x14ac:dyDescent="0.15">
      <c r="AD229" s="9">
        <v>246745135</v>
      </c>
      <c r="AE229" s="9" t="s">
        <v>516</v>
      </c>
      <c r="AF229" s="14">
        <v>1</v>
      </c>
    </row>
    <row r="230" spans="30:32" ht="15.75" customHeight="1" x14ac:dyDescent="0.15">
      <c r="AD230" s="9">
        <v>247426735</v>
      </c>
      <c r="AE230" s="9" t="s">
        <v>517</v>
      </c>
      <c r="AF230" s="14">
        <v>1</v>
      </c>
    </row>
    <row r="231" spans="30:32" ht="15.75" customHeight="1" x14ac:dyDescent="0.15">
      <c r="AD231" s="9">
        <v>248386359</v>
      </c>
      <c r="AE231" s="9" t="s">
        <v>518</v>
      </c>
      <c r="AF231" s="14">
        <v>3</v>
      </c>
    </row>
    <row r="232" spans="30:32" ht="15.75" customHeight="1" x14ac:dyDescent="0.15">
      <c r="AD232" s="9">
        <v>248392274</v>
      </c>
      <c r="AE232" s="9" t="s">
        <v>519</v>
      </c>
      <c r="AF232" s="14">
        <v>1</v>
      </c>
    </row>
    <row r="233" spans="30:32" ht="15.75" customHeight="1" x14ac:dyDescent="0.15">
      <c r="AD233" s="9">
        <v>249194217</v>
      </c>
      <c r="AE233" s="9" t="s">
        <v>1810</v>
      </c>
      <c r="AF233" s="14">
        <v>1</v>
      </c>
    </row>
    <row r="234" spans="30:32" ht="15.75" customHeight="1" x14ac:dyDescent="0.15">
      <c r="AD234" s="9">
        <v>249598428</v>
      </c>
      <c r="AE234" s="9" t="s">
        <v>520</v>
      </c>
      <c r="AF234" s="14">
        <v>2</v>
      </c>
    </row>
    <row r="235" spans="30:32" ht="15.75" customHeight="1" x14ac:dyDescent="0.15">
      <c r="AD235" s="9">
        <v>250287615</v>
      </c>
      <c r="AE235" s="9" t="s">
        <v>521</v>
      </c>
      <c r="AF235" s="14">
        <v>1</v>
      </c>
    </row>
    <row r="236" spans="30:32" ht="15.75" customHeight="1" x14ac:dyDescent="0.15">
      <c r="AD236" s="9">
        <v>250685646</v>
      </c>
      <c r="AE236" s="9" t="s">
        <v>1812</v>
      </c>
      <c r="AF236" s="14">
        <v>2</v>
      </c>
    </row>
    <row r="237" spans="30:32" ht="15.75" customHeight="1" x14ac:dyDescent="0.15">
      <c r="AD237" s="9">
        <v>250885776</v>
      </c>
      <c r="AE237" s="9" t="s">
        <v>522</v>
      </c>
      <c r="AF237" s="14">
        <v>2</v>
      </c>
    </row>
    <row r="238" spans="30:32" ht="15.75" customHeight="1" x14ac:dyDescent="0.15">
      <c r="AD238" s="9">
        <v>251369290</v>
      </c>
      <c r="AE238" s="9" t="s">
        <v>523</v>
      </c>
      <c r="AF238" s="14">
        <v>1</v>
      </c>
    </row>
    <row r="239" spans="30:32" ht="15.75" customHeight="1" x14ac:dyDescent="0.15">
      <c r="AD239" s="9">
        <v>251570742</v>
      </c>
      <c r="AE239" s="9" t="s">
        <v>524</v>
      </c>
      <c r="AF239" s="14">
        <v>2</v>
      </c>
    </row>
    <row r="240" spans="30:32" ht="15.75" customHeight="1" x14ac:dyDescent="0.15">
      <c r="AD240" s="9">
        <v>251757231</v>
      </c>
      <c r="AE240" s="9" t="s">
        <v>525</v>
      </c>
      <c r="AF240" s="14">
        <v>1</v>
      </c>
    </row>
    <row r="241" spans="30:32" ht="15.75" customHeight="1" x14ac:dyDescent="0.15">
      <c r="AD241" s="9">
        <v>251960036</v>
      </c>
      <c r="AE241" s="9" t="s">
        <v>526</v>
      </c>
      <c r="AF241" s="14">
        <v>1</v>
      </c>
    </row>
    <row r="242" spans="30:32" ht="15.75" customHeight="1" x14ac:dyDescent="0.15">
      <c r="AD242" s="9">
        <v>251983731</v>
      </c>
      <c r="AE242" s="9" t="s">
        <v>527</v>
      </c>
      <c r="AF242" s="14">
        <v>1</v>
      </c>
    </row>
    <row r="243" spans="30:32" ht="15.75" customHeight="1" x14ac:dyDescent="0.15">
      <c r="AD243" s="9">
        <v>252208031</v>
      </c>
      <c r="AE243" s="9" t="s">
        <v>528</v>
      </c>
      <c r="AF243" s="14">
        <v>1</v>
      </c>
    </row>
    <row r="244" spans="30:32" ht="15.75" customHeight="1" x14ac:dyDescent="0.15">
      <c r="AD244" s="9">
        <v>252221595</v>
      </c>
      <c r="AE244" s="9" t="s">
        <v>529</v>
      </c>
      <c r="AF244" s="14">
        <v>1</v>
      </c>
    </row>
    <row r="245" spans="30:32" ht="15.75" customHeight="1" x14ac:dyDescent="0.15">
      <c r="AD245" s="9">
        <v>252647783</v>
      </c>
      <c r="AE245" s="9" t="s">
        <v>1815</v>
      </c>
      <c r="AF245" s="14">
        <v>2</v>
      </c>
    </row>
    <row r="246" spans="30:32" ht="15.75" customHeight="1" x14ac:dyDescent="0.15">
      <c r="AD246" s="9">
        <v>252756498</v>
      </c>
      <c r="AE246" s="9" t="s">
        <v>530</v>
      </c>
      <c r="AF246" s="14">
        <v>1</v>
      </c>
    </row>
    <row r="247" spans="30:32" ht="15.75" customHeight="1" x14ac:dyDescent="0.15">
      <c r="AD247" s="9">
        <v>253032817</v>
      </c>
      <c r="AE247" s="9" t="s">
        <v>531</v>
      </c>
      <c r="AF247" s="14">
        <v>5</v>
      </c>
    </row>
    <row r="248" spans="30:32" ht="15.75" customHeight="1" x14ac:dyDescent="0.15">
      <c r="AD248" s="9">
        <v>254345406</v>
      </c>
      <c r="AE248" s="9" t="s">
        <v>532</v>
      </c>
      <c r="AF248" s="14">
        <v>2</v>
      </c>
    </row>
    <row r="249" spans="30:32" ht="15.75" customHeight="1" x14ac:dyDescent="0.15">
      <c r="AD249" s="9">
        <v>254475090</v>
      </c>
      <c r="AE249" s="9" t="s">
        <v>533</v>
      </c>
      <c r="AF249" s="14">
        <v>1</v>
      </c>
    </row>
    <row r="250" spans="30:32" ht="15.75" customHeight="1" x14ac:dyDescent="0.15">
      <c r="AD250" s="9">
        <v>254561071</v>
      </c>
      <c r="AE250" s="9" t="s">
        <v>534</v>
      </c>
      <c r="AF250" s="14">
        <v>1</v>
      </c>
    </row>
    <row r="251" spans="30:32" ht="15.75" customHeight="1" x14ac:dyDescent="0.15">
      <c r="AD251" s="9">
        <v>255094705</v>
      </c>
      <c r="AE251" s="9" t="s">
        <v>535</v>
      </c>
      <c r="AF251" s="14">
        <v>1</v>
      </c>
    </row>
    <row r="252" spans="30:32" ht="15.75" customHeight="1" x14ac:dyDescent="0.15">
      <c r="AD252" s="9">
        <v>255480793</v>
      </c>
      <c r="AE252" s="9" t="s">
        <v>1819</v>
      </c>
      <c r="AF252" s="14">
        <v>1</v>
      </c>
    </row>
    <row r="253" spans="30:32" ht="15.75" customHeight="1" x14ac:dyDescent="0.15">
      <c r="AD253" s="9">
        <v>255647411</v>
      </c>
      <c r="AE253" s="9" t="s">
        <v>1820</v>
      </c>
      <c r="AF253" s="14">
        <v>56</v>
      </c>
    </row>
    <row r="254" spans="30:32" ht="15.75" customHeight="1" x14ac:dyDescent="0.15">
      <c r="AD254" s="9">
        <v>257952563</v>
      </c>
      <c r="AE254" s="9" t="s">
        <v>536</v>
      </c>
      <c r="AF254" s="14">
        <v>8</v>
      </c>
    </row>
    <row r="255" spans="30:32" ht="15.75" customHeight="1" x14ac:dyDescent="0.15">
      <c r="AD255" s="9">
        <v>258879313</v>
      </c>
      <c r="AE255" s="9" t="s">
        <v>537</v>
      </c>
      <c r="AF255" s="14">
        <v>2</v>
      </c>
    </row>
    <row r="256" spans="30:32" ht="15.75" customHeight="1" x14ac:dyDescent="0.15">
      <c r="AD256" s="9">
        <v>258879455</v>
      </c>
      <c r="AE256" s="9" t="s">
        <v>538</v>
      </c>
      <c r="AF256" s="14">
        <v>1</v>
      </c>
    </row>
    <row r="257" spans="30:32" ht="15.75" customHeight="1" x14ac:dyDescent="0.15">
      <c r="AD257" s="9">
        <v>258882406</v>
      </c>
      <c r="AE257" s="9" t="s">
        <v>539</v>
      </c>
      <c r="AF257" s="14">
        <v>1</v>
      </c>
    </row>
    <row r="258" spans="30:32" ht="15.75" customHeight="1" x14ac:dyDescent="0.15">
      <c r="AD258" s="9">
        <v>259067769</v>
      </c>
      <c r="AE258" s="9" t="s">
        <v>1831</v>
      </c>
      <c r="AF258" s="14">
        <v>1</v>
      </c>
    </row>
    <row r="259" spans="30:32" ht="15.75" customHeight="1" x14ac:dyDescent="0.15">
      <c r="AD259" s="9">
        <v>259260280</v>
      </c>
      <c r="AE259" s="9" t="s">
        <v>540</v>
      </c>
      <c r="AF259" s="14">
        <v>1</v>
      </c>
    </row>
    <row r="260" spans="30:32" ht="15.75" customHeight="1" x14ac:dyDescent="0.15">
      <c r="AD260" s="9">
        <v>259271029</v>
      </c>
      <c r="AE260" s="9" t="s">
        <v>541</v>
      </c>
      <c r="AF260" s="14">
        <v>8</v>
      </c>
    </row>
    <row r="261" spans="30:32" ht="15.75" customHeight="1" x14ac:dyDescent="0.15">
      <c r="AD261" s="9">
        <v>259681307</v>
      </c>
      <c r="AE261" s="9" t="s">
        <v>542</v>
      </c>
      <c r="AF261" s="14">
        <v>1</v>
      </c>
    </row>
    <row r="262" spans="30:32" ht="15.75" customHeight="1" x14ac:dyDescent="0.15">
      <c r="AD262" s="9">
        <v>259939220</v>
      </c>
      <c r="AE262" s="9" t="s">
        <v>543</v>
      </c>
      <c r="AF262" s="14">
        <v>4</v>
      </c>
    </row>
    <row r="263" spans="30:32" ht="15.75" customHeight="1" x14ac:dyDescent="0.15">
      <c r="AD263" s="9">
        <v>260089977</v>
      </c>
      <c r="AE263" s="9" t="s">
        <v>544</v>
      </c>
      <c r="AF263" s="14">
        <v>1</v>
      </c>
    </row>
    <row r="264" spans="30:32" ht="15.75" customHeight="1" x14ac:dyDescent="0.15">
      <c r="AD264" s="9">
        <v>260680669</v>
      </c>
      <c r="AE264" s="9" t="s">
        <v>545</v>
      </c>
      <c r="AF264" s="14">
        <v>1</v>
      </c>
    </row>
    <row r="265" spans="30:32" ht="15.75" customHeight="1" x14ac:dyDescent="0.15">
      <c r="AD265" s="9">
        <v>260752974</v>
      </c>
      <c r="AE265" s="9" t="s">
        <v>546</v>
      </c>
      <c r="AF265" s="14">
        <v>1</v>
      </c>
    </row>
    <row r="266" spans="30:32" ht="15.75" customHeight="1" x14ac:dyDescent="0.15">
      <c r="AD266" s="9">
        <v>260770353</v>
      </c>
      <c r="AE266" s="9" t="s">
        <v>1835</v>
      </c>
      <c r="AF266" s="14">
        <v>1</v>
      </c>
    </row>
    <row r="267" spans="30:32" ht="15.75" customHeight="1" x14ac:dyDescent="0.15">
      <c r="AD267" s="9">
        <v>261502293</v>
      </c>
      <c r="AE267" s="9" t="s">
        <v>1836</v>
      </c>
      <c r="AF267" s="14">
        <v>1</v>
      </c>
    </row>
    <row r="268" spans="30:32" ht="15.75" customHeight="1" x14ac:dyDescent="0.15">
      <c r="AD268" s="9">
        <v>261792891</v>
      </c>
      <c r="AE268" s="9" t="s">
        <v>547</v>
      </c>
      <c r="AF268" s="14">
        <v>1</v>
      </c>
    </row>
    <row r="269" spans="30:32" ht="15.75" customHeight="1" x14ac:dyDescent="0.15">
      <c r="AD269" s="9">
        <v>262072154</v>
      </c>
      <c r="AE269" s="9" t="s">
        <v>1837</v>
      </c>
      <c r="AF269" s="14">
        <v>9</v>
      </c>
    </row>
    <row r="270" spans="30:32" ht="15.75" customHeight="1" x14ac:dyDescent="0.15">
      <c r="AD270" s="9">
        <v>262080547</v>
      </c>
      <c r="AE270" s="9" t="s">
        <v>1839</v>
      </c>
      <c r="AF270" s="14">
        <v>3</v>
      </c>
    </row>
    <row r="271" spans="30:32" ht="15.75" customHeight="1" x14ac:dyDescent="0.15">
      <c r="AD271" s="9">
        <v>263648361</v>
      </c>
      <c r="AE271" s="9" t="s">
        <v>548</v>
      </c>
      <c r="AF271" s="14">
        <v>1</v>
      </c>
    </row>
    <row r="272" spans="30:32" ht="15.75" customHeight="1" x14ac:dyDescent="0.15">
      <c r="AD272" s="9">
        <v>263815204</v>
      </c>
      <c r="AE272" s="9" t="s">
        <v>1840</v>
      </c>
      <c r="AF272" s="14">
        <v>1</v>
      </c>
    </row>
    <row r="273" spans="30:32" ht="15.75" customHeight="1" x14ac:dyDescent="0.15">
      <c r="AD273" s="9">
        <v>263842418</v>
      </c>
      <c r="AE273" s="9" t="s">
        <v>549</v>
      </c>
      <c r="AF273" s="14">
        <v>5</v>
      </c>
    </row>
    <row r="274" spans="30:32" ht="15.75" customHeight="1" x14ac:dyDescent="0.15">
      <c r="AD274" s="9">
        <v>264092849</v>
      </c>
      <c r="AE274" s="9" t="s">
        <v>1843</v>
      </c>
      <c r="AF274" s="14">
        <v>2</v>
      </c>
    </row>
    <row r="275" spans="30:32" ht="15.75" customHeight="1" x14ac:dyDescent="0.15">
      <c r="AD275" s="9">
        <v>264390375</v>
      </c>
      <c r="AE275" s="9" t="s">
        <v>550</v>
      </c>
      <c r="AF275" s="14">
        <v>16</v>
      </c>
    </row>
    <row r="276" spans="30:32" ht="15.75" customHeight="1" x14ac:dyDescent="0.15">
      <c r="AD276" s="9">
        <v>264915254</v>
      </c>
      <c r="AE276" s="9" t="s">
        <v>551</v>
      </c>
      <c r="AF276" s="14">
        <v>1</v>
      </c>
    </row>
    <row r="277" spans="30:32" ht="15.75" customHeight="1" x14ac:dyDescent="0.15">
      <c r="AD277" s="9">
        <v>264924177</v>
      </c>
      <c r="AE277" s="9" t="s">
        <v>1854</v>
      </c>
      <c r="AF277" s="14">
        <v>18</v>
      </c>
    </row>
    <row r="278" spans="30:32" ht="15.75" customHeight="1" x14ac:dyDescent="0.15">
      <c r="AD278" s="9">
        <v>265472149</v>
      </c>
      <c r="AE278" s="9" t="s">
        <v>552</v>
      </c>
      <c r="AF278" s="14">
        <v>1</v>
      </c>
    </row>
    <row r="279" spans="30:32" ht="15.75" customHeight="1" x14ac:dyDescent="0.15">
      <c r="AD279" s="9">
        <v>266972729</v>
      </c>
      <c r="AE279" s="9" t="s">
        <v>553</v>
      </c>
      <c r="AF279" s="14">
        <v>2</v>
      </c>
    </row>
    <row r="280" spans="30:32" ht="15.75" customHeight="1" x14ac:dyDescent="0.15">
      <c r="AD280" s="9">
        <v>267343847</v>
      </c>
      <c r="AE280" s="9" t="s">
        <v>554</v>
      </c>
      <c r="AF280" s="14">
        <v>55</v>
      </c>
    </row>
    <row r="281" spans="30:32" ht="15.75" customHeight="1" x14ac:dyDescent="0.15">
      <c r="AD281" s="9">
        <v>267999976</v>
      </c>
      <c r="AE281" s="9" t="s">
        <v>555</v>
      </c>
      <c r="AF281" s="14">
        <v>1</v>
      </c>
    </row>
    <row r="282" spans="30:32" ht="15.75" customHeight="1" x14ac:dyDescent="0.15">
      <c r="AD282" s="9">
        <v>267999987</v>
      </c>
      <c r="AE282" s="9" t="s">
        <v>556</v>
      </c>
      <c r="AF282" s="14">
        <v>1</v>
      </c>
    </row>
    <row r="283" spans="30:32" ht="15.75" customHeight="1" x14ac:dyDescent="0.15">
      <c r="AD283" s="9">
        <v>268530320</v>
      </c>
      <c r="AE283" s="9" t="s">
        <v>557</v>
      </c>
      <c r="AF283" s="14">
        <v>3</v>
      </c>
    </row>
    <row r="284" spans="30:32" ht="15.75" customHeight="1" x14ac:dyDescent="0.15">
      <c r="AD284" s="9">
        <v>269292860</v>
      </c>
      <c r="AE284" s="9" t="s">
        <v>558</v>
      </c>
      <c r="AF284" s="14">
        <v>2</v>
      </c>
    </row>
    <row r="285" spans="30:32" ht="15.75" customHeight="1" x14ac:dyDescent="0.15">
      <c r="AD285" s="9">
        <v>269604702</v>
      </c>
      <c r="AE285" s="9" t="s">
        <v>559</v>
      </c>
      <c r="AF285" s="14">
        <v>4</v>
      </c>
    </row>
    <row r="286" spans="30:32" ht="15.75" customHeight="1" x14ac:dyDescent="0.15">
      <c r="AD286" s="9">
        <v>270449197</v>
      </c>
      <c r="AE286" s="9" t="s">
        <v>560</v>
      </c>
      <c r="AF286" s="14">
        <v>4</v>
      </c>
    </row>
    <row r="287" spans="30:32" ht="15.75" customHeight="1" x14ac:dyDescent="0.15">
      <c r="AD287" s="9">
        <v>270557219</v>
      </c>
      <c r="AE287" s="9" t="s">
        <v>561</v>
      </c>
      <c r="AF287" s="14">
        <v>1</v>
      </c>
    </row>
    <row r="288" spans="30:32" ht="15.75" customHeight="1" x14ac:dyDescent="0.15">
      <c r="AD288" s="9">
        <v>270559112</v>
      </c>
      <c r="AE288" s="9" t="s">
        <v>562</v>
      </c>
      <c r="AF288" s="14">
        <v>1</v>
      </c>
    </row>
    <row r="289" spans="30:32" ht="15.75" customHeight="1" x14ac:dyDescent="0.15">
      <c r="AD289" s="9">
        <v>270755311</v>
      </c>
      <c r="AE289" s="9" t="s">
        <v>563</v>
      </c>
      <c r="AF289" s="14">
        <v>7</v>
      </c>
    </row>
    <row r="290" spans="30:32" ht="15.75" customHeight="1" x14ac:dyDescent="0.15">
      <c r="AD290" s="9">
        <v>271055544</v>
      </c>
      <c r="AE290" s="9" t="s">
        <v>564</v>
      </c>
      <c r="AF290" s="14">
        <v>1</v>
      </c>
    </row>
    <row r="291" spans="30:32" ht="15.75" customHeight="1" x14ac:dyDescent="0.15">
      <c r="AD291" s="9">
        <v>271110070</v>
      </c>
      <c r="AE291" s="9" t="s">
        <v>565</v>
      </c>
      <c r="AF291" s="14">
        <v>36</v>
      </c>
    </row>
    <row r="292" spans="30:32" ht="15.75" customHeight="1" x14ac:dyDescent="0.15">
      <c r="AD292" s="9">
        <v>271125362</v>
      </c>
      <c r="AE292" s="9" t="s">
        <v>1954</v>
      </c>
      <c r="AF292" s="14">
        <v>1</v>
      </c>
    </row>
    <row r="293" spans="30:32" ht="15.75" customHeight="1" x14ac:dyDescent="0.15">
      <c r="AD293" s="9">
        <v>271157700</v>
      </c>
      <c r="AE293" s="9" t="s">
        <v>566</v>
      </c>
      <c r="AF293" s="14">
        <v>5</v>
      </c>
    </row>
    <row r="294" spans="30:32" ht="15.75" customHeight="1" x14ac:dyDescent="0.15">
      <c r="AD294" s="9">
        <v>271344927</v>
      </c>
      <c r="AE294" s="9" t="s">
        <v>567</v>
      </c>
      <c r="AF294" s="14">
        <v>1</v>
      </c>
    </row>
    <row r="295" spans="30:32" ht="15.75" customHeight="1" x14ac:dyDescent="0.15">
      <c r="AD295" s="9">
        <v>271494066</v>
      </c>
      <c r="AE295" s="9" t="s">
        <v>568</v>
      </c>
      <c r="AF295" s="14">
        <v>1</v>
      </c>
    </row>
    <row r="296" spans="30:32" ht="15.75" customHeight="1" x14ac:dyDescent="0.15">
      <c r="AD296" s="9">
        <v>271494116</v>
      </c>
      <c r="AE296" s="9" t="s">
        <v>569</v>
      </c>
      <c r="AF296" s="14">
        <v>1</v>
      </c>
    </row>
    <row r="297" spans="30:32" ht="15.75" customHeight="1" x14ac:dyDescent="0.15">
      <c r="AD297" s="9">
        <v>271529394</v>
      </c>
      <c r="AE297" s="9" t="s">
        <v>570</v>
      </c>
      <c r="AF297" s="14">
        <v>1</v>
      </c>
    </row>
    <row r="298" spans="30:32" ht="15.75" customHeight="1" x14ac:dyDescent="0.15">
      <c r="AD298" s="9">
        <v>271666438</v>
      </c>
      <c r="AE298" s="9" t="s">
        <v>571</v>
      </c>
      <c r="AF298" s="14">
        <v>1</v>
      </c>
    </row>
    <row r="299" spans="30:32" ht="15.75" customHeight="1" x14ac:dyDescent="0.15">
      <c r="AD299" s="9">
        <v>272212710</v>
      </c>
      <c r="AE299" s="9" t="s">
        <v>572</v>
      </c>
      <c r="AF299" s="14">
        <v>1</v>
      </c>
    </row>
    <row r="300" spans="30:32" ht="15.75" customHeight="1" x14ac:dyDescent="0.15">
      <c r="AD300" s="9">
        <v>272324914</v>
      </c>
      <c r="AE300" s="9" t="s">
        <v>573</v>
      </c>
      <c r="AF300" s="14">
        <v>7</v>
      </c>
    </row>
    <row r="301" spans="30:32" ht="15.75" customHeight="1" x14ac:dyDescent="0.15">
      <c r="AD301" s="9">
        <v>272729444</v>
      </c>
      <c r="AE301" s="9" t="s">
        <v>574</v>
      </c>
      <c r="AF301" s="14">
        <v>1</v>
      </c>
    </row>
    <row r="302" spans="30:32" ht="15.75" customHeight="1" x14ac:dyDescent="0.15">
      <c r="AD302" s="9">
        <v>272729482</v>
      </c>
      <c r="AE302" s="9" t="s">
        <v>575</v>
      </c>
      <c r="AF302" s="14">
        <v>1</v>
      </c>
    </row>
    <row r="303" spans="30:32" ht="15.75" customHeight="1" x14ac:dyDescent="0.15">
      <c r="AD303" s="9">
        <v>27279631</v>
      </c>
      <c r="AE303" s="9" t="s">
        <v>8</v>
      </c>
      <c r="AF303" s="14">
        <v>1</v>
      </c>
    </row>
    <row r="304" spans="30:32" ht="15.75" customHeight="1" x14ac:dyDescent="0.15">
      <c r="AD304" s="9">
        <v>27279678</v>
      </c>
      <c r="AE304" s="9" t="s">
        <v>10</v>
      </c>
      <c r="AF304" s="14">
        <v>1</v>
      </c>
    </row>
    <row r="305" spans="30:32" ht="15.75" customHeight="1" x14ac:dyDescent="0.15">
      <c r="AD305" s="9">
        <v>27280298</v>
      </c>
      <c r="AE305" s="9" t="s">
        <v>11</v>
      </c>
      <c r="AF305" s="14">
        <v>4</v>
      </c>
    </row>
    <row r="306" spans="30:32" ht="15.75" customHeight="1" x14ac:dyDescent="0.15">
      <c r="AD306" s="9">
        <v>272976613</v>
      </c>
      <c r="AE306" s="9" t="s">
        <v>576</v>
      </c>
      <c r="AF306" s="14">
        <v>1</v>
      </c>
    </row>
    <row r="307" spans="30:32" ht="15.75" customHeight="1" x14ac:dyDescent="0.15">
      <c r="AD307" s="9">
        <v>273007733</v>
      </c>
      <c r="AE307" s="9" t="s">
        <v>577</v>
      </c>
      <c r="AF307" s="14">
        <v>1</v>
      </c>
    </row>
    <row r="308" spans="30:32" ht="15.75" customHeight="1" x14ac:dyDescent="0.15">
      <c r="AD308" s="9">
        <v>273008441</v>
      </c>
      <c r="AE308" s="9" t="s">
        <v>578</v>
      </c>
      <c r="AF308" s="14">
        <v>1</v>
      </c>
    </row>
    <row r="309" spans="30:32" ht="15.75" customHeight="1" x14ac:dyDescent="0.15">
      <c r="AD309" s="9">
        <v>273406380</v>
      </c>
      <c r="AE309" s="9" t="s">
        <v>579</v>
      </c>
      <c r="AF309" s="14">
        <v>1</v>
      </c>
    </row>
    <row r="310" spans="30:32" ht="15.75" customHeight="1" x14ac:dyDescent="0.15">
      <c r="AD310" s="9">
        <v>273429702</v>
      </c>
      <c r="AE310" s="9" t="s">
        <v>580</v>
      </c>
      <c r="AF310" s="14">
        <v>1</v>
      </c>
    </row>
    <row r="311" spans="30:32" ht="15.75" customHeight="1" x14ac:dyDescent="0.15">
      <c r="AD311" s="9">
        <v>273580132</v>
      </c>
      <c r="AE311" s="9" t="s">
        <v>581</v>
      </c>
      <c r="AF311" s="14">
        <v>1</v>
      </c>
    </row>
    <row r="312" spans="30:32" ht="15.75" customHeight="1" x14ac:dyDescent="0.15">
      <c r="AD312" s="9">
        <v>273644162</v>
      </c>
      <c r="AE312" s="9" t="s">
        <v>582</v>
      </c>
      <c r="AF312" s="14">
        <v>4</v>
      </c>
    </row>
    <row r="313" spans="30:32" ht="15.75" customHeight="1" x14ac:dyDescent="0.15">
      <c r="AD313" s="9">
        <v>273720848</v>
      </c>
      <c r="AE313" s="9" t="s">
        <v>583</v>
      </c>
      <c r="AF313" s="14">
        <v>2</v>
      </c>
    </row>
    <row r="314" spans="30:32" ht="15.75" customHeight="1" x14ac:dyDescent="0.15">
      <c r="AD314" s="9">
        <v>273747046</v>
      </c>
      <c r="AE314" s="9" t="s">
        <v>584</v>
      </c>
      <c r="AF314" s="14">
        <v>1</v>
      </c>
    </row>
    <row r="315" spans="30:32" ht="15.75" customHeight="1" x14ac:dyDescent="0.15">
      <c r="AD315" s="9">
        <v>273748751</v>
      </c>
      <c r="AE315" s="9" t="s">
        <v>585</v>
      </c>
      <c r="AF315" s="14">
        <v>1</v>
      </c>
    </row>
    <row r="316" spans="30:32" ht="15.75" customHeight="1" x14ac:dyDescent="0.15">
      <c r="AD316" s="9">
        <v>273881535</v>
      </c>
      <c r="AE316" s="9" t="s">
        <v>586</v>
      </c>
      <c r="AF316" s="14">
        <v>2</v>
      </c>
    </row>
    <row r="317" spans="30:32" ht="15.75" customHeight="1" x14ac:dyDescent="0.15">
      <c r="AD317" s="9">
        <v>273899709</v>
      </c>
      <c r="AE317" s="9" t="s">
        <v>1969</v>
      </c>
      <c r="AF317" s="14">
        <v>3</v>
      </c>
    </row>
    <row r="318" spans="30:32" ht="15.75" customHeight="1" x14ac:dyDescent="0.15">
      <c r="AD318" s="9">
        <v>274476222</v>
      </c>
      <c r="AE318" s="9" t="s">
        <v>587</v>
      </c>
      <c r="AF318" s="14">
        <v>30</v>
      </c>
    </row>
    <row r="319" spans="30:32" ht="15.75" customHeight="1" x14ac:dyDescent="0.15">
      <c r="AD319" s="9">
        <v>274534751</v>
      </c>
      <c r="AE319" s="9" t="s">
        <v>1999</v>
      </c>
      <c r="AF319" s="14">
        <v>1</v>
      </c>
    </row>
    <row r="320" spans="30:32" ht="15.75" customHeight="1" x14ac:dyDescent="0.15">
      <c r="AD320" s="9">
        <v>274545128</v>
      </c>
      <c r="AE320" s="9" t="s">
        <v>588</v>
      </c>
      <c r="AF320" s="14">
        <v>1</v>
      </c>
    </row>
    <row r="321" spans="30:32" ht="15.75" customHeight="1" x14ac:dyDescent="0.15">
      <c r="AD321" s="9">
        <v>275024224</v>
      </c>
      <c r="AE321" s="9" t="s">
        <v>589</v>
      </c>
      <c r="AF321" s="14">
        <v>1</v>
      </c>
    </row>
    <row r="322" spans="30:32" ht="15.75" customHeight="1" x14ac:dyDescent="0.15">
      <c r="AD322" s="9">
        <v>275092733</v>
      </c>
      <c r="AE322" s="9" t="s">
        <v>2001</v>
      </c>
      <c r="AF322" s="14">
        <v>3</v>
      </c>
    </row>
    <row r="323" spans="30:32" ht="15.75" customHeight="1" x14ac:dyDescent="0.15">
      <c r="AD323" s="9">
        <v>275118408</v>
      </c>
      <c r="AE323" s="9" t="s">
        <v>590</v>
      </c>
      <c r="AF323" s="14">
        <v>1</v>
      </c>
    </row>
    <row r="324" spans="30:32" ht="15.75" customHeight="1" x14ac:dyDescent="0.15">
      <c r="AD324" s="9">
        <v>275261344</v>
      </c>
      <c r="AE324" s="9" t="s">
        <v>591</v>
      </c>
      <c r="AF324" s="14">
        <v>1</v>
      </c>
    </row>
    <row r="325" spans="30:32" ht="15.75" customHeight="1" x14ac:dyDescent="0.15">
      <c r="AD325" s="9">
        <v>275353891</v>
      </c>
      <c r="AE325" s="9" t="s">
        <v>592</v>
      </c>
      <c r="AF325" s="14">
        <v>1</v>
      </c>
    </row>
    <row r="326" spans="30:32" ht="15.75" customHeight="1" x14ac:dyDescent="0.15">
      <c r="AD326" s="9">
        <v>275408425</v>
      </c>
      <c r="AE326" s="9" t="s">
        <v>2003</v>
      </c>
      <c r="AF326" s="14">
        <v>1</v>
      </c>
    </row>
    <row r="327" spans="30:32" ht="15.75" customHeight="1" x14ac:dyDescent="0.15">
      <c r="AD327" s="9">
        <v>275539081</v>
      </c>
      <c r="AE327" s="9" t="s">
        <v>593</v>
      </c>
      <c r="AF327" s="14">
        <v>1</v>
      </c>
    </row>
    <row r="328" spans="30:32" ht="15.75" customHeight="1" x14ac:dyDescent="0.15">
      <c r="AD328" s="9">
        <v>275950473</v>
      </c>
      <c r="AE328" s="9" t="s">
        <v>594</v>
      </c>
      <c r="AF328" s="14">
        <v>3</v>
      </c>
    </row>
    <row r="329" spans="30:32" ht="15.75" customHeight="1" x14ac:dyDescent="0.15">
      <c r="AD329" s="9">
        <v>276005807</v>
      </c>
      <c r="AE329" s="9" t="s">
        <v>595</v>
      </c>
      <c r="AF329" s="14">
        <v>1</v>
      </c>
    </row>
    <row r="330" spans="30:32" ht="15.75" customHeight="1" x14ac:dyDescent="0.15">
      <c r="AD330" s="9">
        <v>276102839</v>
      </c>
      <c r="AE330" s="9" t="s">
        <v>596</v>
      </c>
      <c r="AF330" s="14">
        <v>2</v>
      </c>
    </row>
    <row r="331" spans="30:32" ht="15.75" customHeight="1" x14ac:dyDescent="0.15">
      <c r="AD331" s="9">
        <v>276143544</v>
      </c>
      <c r="AE331" s="9" t="s">
        <v>597</v>
      </c>
      <c r="AF331" s="14">
        <v>2</v>
      </c>
    </row>
    <row r="332" spans="30:32" ht="15.75" customHeight="1" x14ac:dyDescent="0.15">
      <c r="AD332" s="9">
        <v>276170359</v>
      </c>
      <c r="AE332" s="9" t="s">
        <v>598</v>
      </c>
      <c r="AF332" s="14">
        <v>8</v>
      </c>
    </row>
    <row r="333" spans="30:32" ht="15.75" customHeight="1" x14ac:dyDescent="0.15">
      <c r="AD333" s="9">
        <v>276180131</v>
      </c>
      <c r="AE333" s="9" t="s">
        <v>599</v>
      </c>
      <c r="AF333" s="14">
        <v>3</v>
      </c>
    </row>
    <row r="334" spans="30:32" ht="15.75" customHeight="1" x14ac:dyDescent="0.15">
      <c r="AD334" s="9">
        <v>276180294</v>
      </c>
      <c r="AE334" s="9" t="s">
        <v>600</v>
      </c>
      <c r="AF334" s="14">
        <v>1</v>
      </c>
    </row>
    <row r="335" spans="30:32" ht="15.75" customHeight="1" x14ac:dyDescent="0.15">
      <c r="AD335" s="9">
        <v>276351131</v>
      </c>
      <c r="AE335" s="9" t="s">
        <v>2005</v>
      </c>
      <c r="AF335" s="14">
        <v>1</v>
      </c>
    </row>
    <row r="336" spans="30:32" ht="15.75" customHeight="1" x14ac:dyDescent="0.15">
      <c r="AD336" s="9">
        <v>276713496</v>
      </c>
      <c r="AE336" s="9" t="s">
        <v>601</v>
      </c>
      <c r="AF336" s="14">
        <v>2</v>
      </c>
    </row>
    <row r="337" spans="30:32" ht="15.75" customHeight="1" x14ac:dyDescent="0.15">
      <c r="AD337" s="9">
        <v>276757412</v>
      </c>
      <c r="AE337" s="9" t="s">
        <v>602</v>
      </c>
      <c r="AF337" s="14">
        <v>1</v>
      </c>
    </row>
    <row r="338" spans="30:32" ht="15.75" customHeight="1" x14ac:dyDescent="0.15">
      <c r="AD338" s="9">
        <v>276880572</v>
      </c>
      <c r="AE338" s="9" t="s">
        <v>603</v>
      </c>
      <c r="AF338" s="14">
        <v>2</v>
      </c>
    </row>
    <row r="339" spans="30:32" ht="15.75" customHeight="1" x14ac:dyDescent="0.15">
      <c r="AD339" s="9">
        <v>276902753</v>
      </c>
      <c r="AE339" s="9" t="s">
        <v>604</v>
      </c>
      <c r="AF339" s="14">
        <v>1</v>
      </c>
    </row>
    <row r="340" spans="30:32" ht="15.75" customHeight="1" x14ac:dyDescent="0.15">
      <c r="AD340" s="9">
        <v>277210957</v>
      </c>
      <c r="AE340" s="9" t="s">
        <v>2007</v>
      </c>
      <c r="AF340" s="14">
        <v>8</v>
      </c>
    </row>
    <row r="341" spans="30:32" ht="15.75" customHeight="1" x14ac:dyDescent="0.15">
      <c r="AD341" s="9">
        <v>277501453</v>
      </c>
      <c r="AE341" s="9" t="s">
        <v>605</v>
      </c>
      <c r="AF341" s="14">
        <v>3</v>
      </c>
    </row>
    <row r="342" spans="30:32" ht="15.75" customHeight="1" x14ac:dyDescent="0.15">
      <c r="AD342" s="9">
        <v>277642282</v>
      </c>
      <c r="AE342" s="9" t="s">
        <v>606</v>
      </c>
      <c r="AF342" s="14">
        <v>4</v>
      </c>
    </row>
    <row r="343" spans="30:32" ht="15.75" customHeight="1" x14ac:dyDescent="0.15">
      <c r="AD343" s="9">
        <v>277717328</v>
      </c>
      <c r="AE343" s="9" t="s">
        <v>607</v>
      </c>
      <c r="AF343" s="14">
        <v>1</v>
      </c>
    </row>
    <row r="344" spans="30:32" ht="15.75" customHeight="1" x14ac:dyDescent="0.15">
      <c r="AD344" s="9">
        <v>277721360</v>
      </c>
      <c r="AE344" s="9" t="s">
        <v>2010</v>
      </c>
      <c r="AF344" s="14">
        <v>1</v>
      </c>
    </row>
    <row r="345" spans="30:32" ht="15.75" customHeight="1" x14ac:dyDescent="0.15">
      <c r="AD345" s="9">
        <v>277779457</v>
      </c>
      <c r="AE345" s="9" t="s">
        <v>608</v>
      </c>
      <c r="AF345" s="14">
        <v>1</v>
      </c>
    </row>
    <row r="346" spans="30:32" ht="15.75" customHeight="1" x14ac:dyDescent="0.15">
      <c r="AD346" s="9">
        <v>277856377</v>
      </c>
      <c r="AE346" s="9" t="s">
        <v>609</v>
      </c>
      <c r="AF346" s="14">
        <v>2</v>
      </c>
    </row>
    <row r="347" spans="30:32" ht="15.75" customHeight="1" x14ac:dyDescent="0.15">
      <c r="AD347" s="9">
        <v>278450157</v>
      </c>
      <c r="AE347" s="9" t="s">
        <v>610</v>
      </c>
      <c r="AF347" s="14">
        <v>1</v>
      </c>
    </row>
    <row r="348" spans="30:32" ht="15.75" customHeight="1" x14ac:dyDescent="0.15">
      <c r="AD348" s="9">
        <v>279024728</v>
      </c>
      <c r="AE348" s="9" t="s">
        <v>611</v>
      </c>
      <c r="AF348" s="14">
        <v>1</v>
      </c>
    </row>
    <row r="349" spans="30:32" ht="15.75" customHeight="1" x14ac:dyDescent="0.15">
      <c r="AD349" s="9">
        <v>279156421</v>
      </c>
      <c r="AE349" s="9" t="s">
        <v>2012</v>
      </c>
      <c r="AF349" s="14">
        <v>1</v>
      </c>
    </row>
    <row r="350" spans="30:32" ht="15.75" customHeight="1" x14ac:dyDescent="0.15">
      <c r="AD350" s="9">
        <v>279190366</v>
      </c>
      <c r="AE350" s="9" t="s">
        <v>612</v>
      </c>
      <c r="AF350" s="14">
        <v>3</v>
      </c>
    </row>
    <row r="351" spans="30:32" ht="15.75" customHeight="1" x14ac:dyDescent="0.15">
      <c r="AD351" s="9">
        <v>279218940</v>
      </c>
      <c r="AE351" s="9" t="s">
        <v>2014</v>
      </c>
      <c r="AF351" s="14">
        <v>1</v>
      </c>
    </row>
    <row r="352" spans="30:32" ht="15.75" customHeight="1" x14ac:dyDescent="0.15">
      <c r="AD352" s="9">
        <v>279256437</v>
      </c>
      <c r="AE352" s="9" t="s">
        <v>613</v>
      </c>
      <c r="AF352" s="14">
        <v>1</v>
      </c>
    </row>
    <row r="353" spans="30:32" ht="15.75" customHeight="1" x14ac:dyDescent="0.15">
      <c r="AD353" s="9">
        <v>280840488</v>
      </c>
      <c r="AE353" s="9" t="s">
        <v>614</v>
      </c>
      <c r="AF353" s="14">
        <v>1</v>
      </c>
    </row>
    <row r="354" spans="30:32" ht="15.75" customHeight="1" x14ac:dyDescent="0.15">
      <c r="AD354" s="9">
        <v>280913203</v>
      </c>
      <c r="AE354" s="9" t="s">
        <v>615</v>
      </c>
      <c r="AF354" s="14">
        <v>1</v>
      </c>
    </row>
    <row r="355" spans="30:32" ht="15.75" customHeight="1" x14ac:dyDescent="0.15">
      <c r="AD355" s="9">
        <v>280964679</v>
      </c>
      <c r="AE355" s="9" t="s">
        <v>616</v>
      </c>
      <c r="AF355" s="14">
        <v>1</v>
      </c>
    </row>
    <row r="356" spans="30:32" ht="15.75" customHeight="1" x14ac:dyDescent="0.15">
      <c r="AD356" s="9">
        <v>281267381</v>
      </c>
      <c r="AE356" s="9" t="s">
        <v>617</v>
      </c>
      <c r="AF356" s="14">
        <v>1</v>
      </c>
    </row>
    <row r="357" spans="30:32" ht="15.75" customHeight="1" x14ac:dyDescent="0.15">
      <c r="AD357" s="9">
        <v>281607345</v>
      </c>
      <c r="AE357" s="9" t="s">
        <v>618</v>
      </c>
      <c r="AF357" s="14">
        <v>1</v>
      </c>
    </row>
    <row r="358" spans="30:32" ht="15.75" customHeight="1" x14ac:dyDescent="0.15">
      <c r="AD358" s="9">
        <v>282035070</v>
      </c>
      <c r="AE358" s="9" t="s">
        <v>619</v>
      </c>
      <c r="AF358" s="14">
        <v>29</v>
      </c>
    </row>
    <row r="359" spans="30:32" ht="15.75" customHeight="1" x14ac:dyDescent="0.15">
      <c r="AD359" s="9">
        <v>282434602</v>
      </c>
      <c r="AE359" s="9" t="s">
        <v>620</v>
      </c>
      <c r="AF359" s="14">
        <v>1</v>
      </c>
    </row>
    <row r="360" spans="30:32" ht="15.75" customHeight="1" x14ac:dyDescent="0.15">
      <c r="AD360" s="9">
        <v>282509387</v>
      </c>
      <c r="AE360" s="9" t="s">
        <v>621</v>
      </c>
      <c r="AF360" s="14">
        <v>1</v>
      </c>
    </row>
    <row r="361" spans="30:32" ht="15.75" customHeight="1" x14ac:dyDescent="0.15">
      <c r="AD361" s="9">
        <v>282718957</v>
      </c>
      <c r="AE361" s="9" t="s">
        <v>622</v>
      </c>
      <c r="AF361" s="14">
        <v>1</v>
      </c>
    </row>
    <row r="362" spans="30:32" ht="15.75" customHeight="1" x14ac:dyDescent="0.15">
      <c r="AD362" s="9">
        <v>283125007</v>
      </c>
      <c r="AE362" s="9" t="s">
        <v>623</v>
      </c>
      <c r="AF362" s="14">
        <v>1</v>
      </c>
    </row>
    <row r="363" spans="30:32" ht="15.75" customHeight="1" x14ac:dyDescent="0.15">
      <c r="AD363" s="9">
        <v>283183623</v>
      </c>
      <c r="AE363" s="9" t="s">
        <v>624</v>
      </c>
      <c r="AF363" s="14">
        <v>1</v>
      </c>
    </row>
    <row r="364" spans="30:32" ht="15.75" customHeight="1" x14ac:dyDescent="0.15">
      <c r="AD364" s="9">
        <v>283238167</v>
      </c>
      <c r="AE364" s="9" t="s">
        <v>2045</v>
      </c>
      <c r="AF364" s="14">
        <v>6</v>
      </c>
    </row>
    <row r="365" spans="30:32" ht="15.75" customHeight="1" x14ac:dyDescent="0.15">
      <c r="AD365" s="9">
        <v>283484324</v>
      </c>
      <c r="AE365" s="9" t="s">
        <v>625</v>
      </c>
      <c r="AF365" s="14">
        <v>10</v>
      </c>
    </row>
    <row r="366" spans="30:32" ht="15.75" customHeight="1" x14ac:dyDescent="0.15">
      <c r="AD366" s="9">
        <v>283520340</v>
      </c>
      <c r="AE366" s="9" t="s">
        <v>626</v>
      </c>
      <c r="AF366" s="14">
        <v>1</v>
      </c>
    </row>
    <row r="367" spans="30:32" ht="15.75" customHeight="1" x14ac:dyDescent="0.15">
      <c r="AD367" s="9">
        <v>283595323</v>
      </c>
      <c r="AE367" s="9" t="s">
        <v>627</v>
      </c>
      <c r="AF367" s="14">
        <v>1</v>
      </c>
    </row>
    <row r="368" spans="30:32" ht="15.75" customHeight="1" x14ac:dyDescent="0.15">
      <c r="AD368" s="9">
        <v>283602933</v>
      </c>
      <c r="AE368" s="9" t="s">
        <v>628</v>
      </c>
      <c r="AF368" s="14">
        <v>1</v>
      </c>
    </row>
    <row r="369" spans="30:32" ht="15.75" customHeight="1" x14ac:dyDescent="0.15">
      <c r="AD369" s="9">
        <v>283639340</v>
      </c>
      <c r="AE369" s="9" t="s">
        <v>2048</v>
      </c>
      <c r="AF369" s="14">
        <v>1</v>
      </c>
    </row>
    <row r="370" spans="30:32" ht="15.75" customHeight="1" x14ac:dyDescent="0.15">
      <c r="AD370" s="9">
        <v>283824079</v>
      </c>
      <c r="AE370" s="9" t="s">
        <v>629</v>
      </c>
      <c r="AF370" s="14">
        <v>1</v>
      </c>
    </row>
    <row r="371" spans="30:32" ht="15.75" customHeight="1" x14ac:dyDescent="0.15">
      <c r="AD371" s="9">
        <v>283834572</v>
      </c>
      <c r="AE371" s="9" t="s">
        <v>2049</v>
      </c>
      <c r="AF371" s="14">
        <v>1</v>
      </c>
    </row>
    <row r="372" spans="30:32" ht="15.75" customHeight="1" x14ac:dyDescent="0.15">
      <c r="AD372" s="9">
        <v>284041268</v>
      </c>
      <c r="AE372" s="9" t="s">
        <v>630</v>
      </c>
      <c r="AF372" s="14">
        <v>1</v>
      </c>
    </row>
    <row r="373" spans="30:32" ht="15.75" customHeight="1" x14ac:dyDescent="0.15">
      <c r="AD373" s="9">
        <v>284076252</v>
      </c>
      <c r="AE373" s="9" t="s">
        <v>2050</v>
      </c>
      <c r="AF373" s="14">
        <v>1</v>
      </c>
    </row>
    <row r="374" spans="30:32" ht="15.75" customHeight="1" x14ac:dyDescent="0.15">
      <c r="AD374" s="9">
        <v>284155605</v>
      </c>
      <c r="AE374" s="9" t="s">
        <v>631</v>
      </c>
      <c r="AF374" s="14">
        <v>1</v>
      </c>
    </row>
    <row r="375" spans="30:32" ht="15.75" customHeight="1" x14ac:dyDescent="0.15">
      <c r="AD375" s="9">
        <v>284230552</v>
      </c>
      <c r="AE375" s="9" t="s">
        <v>632</v>
      </c>
      <c r="AF375" s="14">
        <v>1</v>
      </c>
    </row>
    <row r="376" spans="30:32" ht="15.75" customHeight="1" x14ac:dyDescent="0.15">
      <c r="AD376" s="9">
        <v>284271655</v>
      </c>
      <c r="AE376" s="9" t="s">
        <v>633</v>
      </c>
      <c r="AF376" s="14">
        <v>1</v>
      </c>
    </row>
    <row r="377" spans="30:32" ht="15.75" customHeight="1" x14ac:dyDescent="0.15">
      <c r="AD377" s="9">
        <v>284284630</v>
      </c>
      <c r="AE377" s="9" t="s">
        <v>634</v>
      </c>
      <c r="AF377" s="14">
        <v>1</v>
      </c>
    </row>
    <row r="378" spans="30:32" ht="15.75" customHeight="1" x14ac:dyDescent="0.15">
      <c r="AD378" s="9">
        <v>284317624</v>
      </c>
      <c r="AE378" s="9" t="s">
        <v>635</v>
      </c>
      <c r="AF378" s="14">
        <v>1</v>
      </c>
    </row>
    <row r="379" spans="30:32" ht="15.75" customHeight="1" x14ac:dyDescent="0.15">
      <c r="AD379" s="9">
        <v>284480741</v>
      </c>
      <c r="AE379" s="9" t="s">
        <v>2056</v>
      </c>
      <c r="AF379" s="14">
        <v>1</v>
      </c>
    </row>
    <row r="380" spans="30:32" ht="15.75" customHeight="1" x14ac:dyDescent="0.15">
      <c r="AD380" s="9">
        <v>284480995</v>
      </c>
      <c r="AE380" s="9" t="s">
        <v>636</v>
      </c>
      <c r="AF380" s="14">
        <v>1</v>
      </c>
    </row>
    <row r="381" spans="30:32" ht="15.75" customHeight="1" x14ac:dyDescent="0.15">
      <c r="AD381" s="9">
        <v>284481051</v>
      </c>
      <c r="AE381" s="9" t="s">
        <v>637</v>
      </c>
      <c r="AF381" s="14">
        <v>1</v>
      </c>
    </row>
    <row r="382" spans="30:32" ht="15.75" customHeight="1" x14ac:dyDescent="0.15">
      <c r="AD382" s="9">
        <v>284481166</v>
      </c>
      <c r="AE382" s="9" t="s">
        <v>2059</v>
      </c>
      <c r="AF382" s="14">
        <v>1</v>
      </c>
    </row>
    <row r="383" spans="30:32" ht="15.75" customHeight="1" x14ac:dyDescent="0.15">
      <c r="AD383" s="9">
        <v>284481387</v>
      </c>
      <c r="AE383" s="9" t="s">
        <v>2061</v>
      </c>
      <c r="AF383" s="14">
        <v>1</v>
      </c>
    </row>
    <row r="384" spans="30:32" ht="15.75" customHeight="1" x14ac:dyDescent="0.15">
      <c r="AD384" s="9">
        <v>284481637</v>
      </c>
      <c r="AE384" s="9" t="s">
        <v>2063</v>
      </c>
      <c r="AF384" s="14">
        <v>1</v>
      </c>
    </row>
    <row r="385" spans="30:32" ht="15.75" customHeight="1" x14ac:dyDescent="0.15">
      <c r="AD385" s="9">
        <v>284482502</v>
      </c>
      <c r="AE385" s="9" t="s">
        <v>638</v>
      </c>
      <c r="AF385" s="14">
        <v>2</v>
      </c>
    </row>
    <row r="386" spans="30:32" ht="15.75" customHeight="1" x14ac:dyDescent="0.15">
      <c r="AD386" s="9">
        <v>284482682</v>
      </c>
      <c r="AE386" s="9" t="s">
        <v>639</v>
      </c>
      <c r="AF386" s="14">
        <v>1</v>
      </c>
    </row>
    <row r="387" spans="30:32" ht="15.75" customHeight="1" x14ac:dyDescent="0.15">
      <c r="AD387" s="9">
        <v>284483247</v>
      </c>
      <c r="AE387" s="9" t="s">
        <v>2064</v>
      </c>
      <c r="AF387" s="14">
        <v>1</v>
      </c>
    </row>
    <row r="388" spans="30:32" ht="15.75" customHeight="1" x14ac:dyDescent="0.15">
      <c r="AD388" s="9">
        <v>284531924</v>
      </c>
      <c r="AE388" s="9" t="s">
        <v>640</v>
      </c>
      <c r="AF388" s="14">
        <v>1</v>
      </c>
    </row>
    <row r="389" spans="30:32" ht="15.75" customHeight="1" x14ac:dyDescent="0.15">
      <c r="AD389" s="9">
        <v>284533329</v>
      </c>
      <c r="AE389" s="9" t="s">
        <v>641</v>
      </c>
      <c r="AF389" s="14">
        <v>1</v>
      </c>
    </row>
    <row r="390" spans="30:32" ht="15.75" customHeight="1" x14ac:dyDescent="0.15">
      <c r="AD390" s="9">
        <v>284551516</v>
      </c>
      <c r="AE390" s="9" t="s">
        <v>2066</v>
      </c>
      <c r="AF390" s="14">
        <v>1</v>
      </c>
    </row>
    <row r="391" spans="30:32" ht="15.75" customHeight="1" x14ac:dyDescent="0.15">
      <c r="AD391" s="9">
        <v>285509458</v>
      </c>
      <c r="AE391" s="9" t="s">
        <v>642</v>
      </c>
      <c r="AF391" s="14">
        <v>16</v>
      </c>
    </row>
    <row r="392" spans="30:32" ht="15.75" customHeight="1" x14ac:dyDescent="0.15">
      <c r="AD392" s="9">
        <v>285532559</v>
      </c>
      <c r="AE392" s="9" t="s">
        <v>643</v>
      </c>
      <c r="AF392" s="14">
        <v>4</v>
      </c>
    </row>
    <row r="393" spans="30:32" ht="15.75" customHeight="1" x14ac:dyDescent="0.15">
      <c r="AD393" s="9">
        <v>285603762</v>
      </c>
      <c r="AE393" s="9" t="s">
        <v>2080</v>
      </c>
      <c r="AF393" s="14">
        <v>1</v>
      </c>
    </row>
    <row r="394" spans="30:32" ht="15.75" customHeight="1" x14ac:dyDescent="0.15">
      <c r="AD394" s="9">
        <v>285606116</v>
      </c>
      <c r="AE394" s="9" t="s">
        <v>2081</v>
      </c>
      <c r="AF394" s="14">
        <v>1</v>
      </c>
    </row>
    <row r="395" spans="30:32" ht="15.75" customHeight="1" x14ac:dyDescent="0.15">
      <c r="AD395" s="9">
        <v>285609761</v>
      </c>
      <c r="AE395" s="9" t="s">
        <v>2082</v>
      </c>
      <c r="AF395" s="14">
        <v>1</v>
      </c>
    </row>
    <row r="396" spans="30:32" ht="15.75" customHeight="1" x14ac:dyDescent="0.15">
      <c r="AD396" s="9">
        <v>285616298</v>
      </c>
      <c r="AE396" s="9" t="s">
        <v>2083</v>
      </c>
      <c r="AF396" s="14">
        <v>1</v>
      </c>
    </row>
    <row r="397" spans="30:32" ht="15.75" customHeight="1" x14ac:dyDescent="0.15">
      <c r="AD397" s="9">
        <v>285638713</v>
      </c>
      <c r="AE397" s="9" t="s">
        <v>644</v>
      </c>
      <c r="AF397" s="14">
        <v>2</v>
      </c>
    </row>
    <row r="398" spans="30:32" ht="15.75" customHeight="1" x14ac:dyDescent="0.15">
      <c r="AD398" s="9">
        <v>285650023</v>
      </c>
      <c r="AE398" s="9" t="s">
        <v>2085</v>
      </c>
      <c r="AF398" s="14">
        <v>1</v>
      </c>
    </row>
    <row r="399" spans="30:32" ht="15.75" customHeight="1" x14ac:dyDescent="0.15">
      <c r="AD399" s="9">
        <v>285661888</v>
      </c>
      <c r="AE399" s="9" t="s">
        <v>2087</v>
      </c>
      <c r="AF399" s="14">
        <v>1</v>
      </c>
    </row>
    <row r="400" spans="30:32" ht="15.75" customHeight="1" x14ac:dyDescent="0.15">
      <c r="AD400" s="9">
        <v>285675964</v>
      </c>
      <c r="AE400" s="9" t="s">
        <v>2088</v>
      </c>
      <c r="AF400" s="14">
        <v>1</v>
      </c>
    </row>
    <row r="401" spans="30:32" ht="15.75" customHeight="1" x14ac:dyDescent="0.15">
      <c r="AD401" s="9">
        <v>285686940</v>
      </c>
      <c r="AE401" s="9" t="s">
        <v>2090</v>
      </c>
      <c r="AF401" s="14">
        <v>1</v>
      </c>
    </row>
    <row r="402" spans="30:32" ht="15.75" customHeight="1" x14ac:dyDescent="0.15">
      <c r="AD402" s="9">
        <v>285689763</v>
      </c>
      <c r="AE402" s="9" t="s">
        <v>2091</v>
      </c>
      <c r="AF402" s="14">
        <v>1</v>
      </c>
    </row>
    <row r="403" spans="30:32" ht="15.75" customHeight="1" x14ac:dyDescent="0.15">
      <c r="AD403" s="9">
        <v>285697960</v>
      </c>
      <c r="AE403" s="9" t="s">
        <v>2092</v>
      </c>
      <c r="AF403" s="14">
        <v>2</v>
      </c>
    </row>
    <row r="404" spans="30:32" ht="15.75" customHeight="1" x14ac:dyDescent="0.15">
      <c r="AD404" s="9">
        <v>285727986</v>
      </c>
      <c r="AE404" s="9" t="s">
        <v>2093</v>
      </c>
      <c r="AF404" s="14">
        <v>1</v>
      </c>
    </row>
    <row r="405" spans="30:32" ht="15.75" customHeight="1" x14ac:dyDescent="0.15">
      <c r="AD405" s="9">
        <v>285733043</v>
      </c>
      <c r="AE405" s="9" t="s">
        <v>2095</v>
      </c>
      <c r="AF405" s="14">
        <v>1</v>
      </c>
    </row>
    <row r="406" spans="30:32" ht="15.75" customHeight="1" x14ac:dyDescent="0.15">
      <c r="AD406" s="9">
        <v>285845523</v>
      </c>
      <c r="AE406" s="9" t="s">
        <v>2096</v>
      </c>
      <c r="AF406" s="14">
        <v>1</v>
      </c>
    </row>
    <row r="407" spans="30:32" ht="15.75" customHeight="1" x14ac:dyDescent="0.15">
      <c r="AD407" s="9">
        <v>285883933</v>
      </c>
      <c r="AE407" s="9" t="s">
        <v>2098</v>
      </c>
      <c r="AF407" s="14">
        <v>1</v>
      </c>
    </row>
    <row r="408" spans="30:32" ht="15.75" customHeight="1" x14ac:dyDescent="0.15">
      <c r="AD408" s="9">
        <v>285902820</v>
      </c>
      <c r="AE408" s="9" t="s">
        <v>645</v>
      </c>
      <c r="AF408" s="14">
        <v>1</v>
      </c>
    </row>
    <row r="409" spans="30:32" ht="15.75" customHeight="1" x14ac:dyDescent="0.15">
      <c r="AD409" s="9">
        <v>285918347</v>
      </c>
      <c r="AE409" s="9" t="s">
        <v>2100</v>
      </c>
      <c r="AF409" s="14">
        <v>2</v>
      </c>
    </row>
    <row r="410" spans="30:32" ht="15.75" customHeight="1" x14ac:dyDescent="0.15">
      <c r="AD410" s="9">
        <v>285964476</v>
      </c>
      <c r="AE410" s="9" t="s">
        <v>646</v>
      </c>
      <c r="AF410" s="14">
        <v>1</v>
      </c>
    </row>
    <row r="411" spans="30:32" ht="15.75" customHeight="1" x14ac:dyDescent="0.15">
      <c r="AD411" s="9">
        <v>285989990</v>
      </c>
      <c r="AE411" s="9" t="s">
        <v>647</v>
      </c>
      <c r="AF411" s="14">
        <v>4</v>
      </c>
    </row>
    <row r="412" spans="30:32" ht="15.75" customHeight="1" x14ac:dyDescent="0.15">
      <c r="AD412" s="9">
        <v>286030236</v>
      </c>
      <c r="AE412" s="9" t="s">
        <v>2102</v>
      </c>
      <c r="AF412" s="14">
        <v>1</v>
      </c>
    </row>
    <row r="413" spans="30:32" ht="15.75" customHeight="1" x14ac:dyDescent="0.15">
      <c r="AD413" s="9">
        <v>286070851</v>
      </c>
      <c r="AE413" s="9" t="s">
        <v>2103</v>
      </c>
      <c r="AF413" s="14">
        <v>1</v>
      </c>
    </row>
    <row r="414" spans="30:32" ht="15.75" customHeight="1" x14ac:dyDescent="0.15">
      <c r="AD414" s="9">
        <v>286088675</v>
      </c>
      <c r="AE414" s="9" t="s">
        <v>648</v>
      </c>
      <c r="AF414" s="14">
        <v>1</v>
      </c>
    </row>
    <row r="415" spans="30:32" ht="15.75" customHeight="1" x14ac:dyDescent="0.15">
      <c r="AD415" s="9">
        <v>286088802</v>
      </c>
      <c r="AE415" s="9" t="s">
        <v>649</v>
      </c>
      <c r="AF415" s="14">
        <v>1</v>
      </c>
    </row>
    <row r="416" spans="30:32" ht="15.75" customHeight="1" x14ac:dyDescent="0.15">
      <c r="AD416" s="9">
        <v>286112808</v>
      </c>
      <c r="AE416" s="9" t="s">
        <v>2106</v>
      </c>
      <c r="AF416" s="14">
        <v>1</v>
      </c>
    </row>
    <row r="417" spans="30:32" ht="15.75" customHeight="1" x14ac:dyDescent="0.15">
      <c r="AD417" s="9">
        <v>286135841</v>
      </c>
      <c r="AE417" s="9" t="s">
        <v>650</v>
      </c>
      <c r="AF417" s="14">
        <v>1</v>
      </c>
    </row>
    <row r="418" spans="30:32" ht="15.75" customHeight="1" x14ac:dyDescent="0.15">
      <c r="AD418" s="9">
        <v>286157489</v>
      </c>
      <c r="AE418" s="9" t="s">
        <v>2107</v>
      </c>
      <c r="AF418" s="14">
        <v>1</v>
      </c>
    </row>
    <row r="419" spans="30:32" ht="15.75" customHeight="1" x14ac:dyDescent="0.15">
      <c r="AD419" s="9">
        <v>286161014</v>
      </c>
      <c r="AE419" s="9" t="s">
        <v>651</v>
      </c>
      <c r="AF419" s="14">
        <v>1</v>
      </c>
    </row>
    <row r="420" spans="30:32" ht="15.75" customHeight="1" x14ac:dyDescent="0.15">
      <c r="AD420" s="9">
        <v>286199864</v>
      </c>
      <c r="AE420" s="9" t="s">
        <v>652</v>
      </c>
      <c r="AF420" s="14">
        <v>1</v>
      </c>
    </row>
    <row r="421" spans="30:32" ht="15.75" customHeight="1" x14ac:dyDescent="0.15">
      <c r="AD421" s="9">
        <v>286209181</v>
      </c>
      <c r="AE421" s="9" t="s">
        <v>653</v>
      </c>
      <c r="AF421" s="14">
        <v>1</v>
      </c>
    </row>
    <row r="422" spans="30:32" ht="15.75" customHeight="1" x14ac:dyDescent="0.15">
      <c r="AD422" s="9">
        <v>286216484</v>
      </c>
      <c r="AE422" s="9" t="s">
        <v>2110</v>
      </c>
      <c r="AF422" s="14">
        <v>1</v>
      </c>
    </row>
    <row r="423" spans="30:32" ht="15.75" customHeight="1" x14ac:dyDescent="0.15">
      <c r="AD423" s="9">
        <v>286234021</v>
      </c>
      <c r="AE423" s="9" t="s">
        <v>2111</v>
      </c>
      <c r="AF423" s="14">
        <v>1</v>
      </c>
    </row>
    <row r="424" spans="30:32" ht="15.75" customHeight="1" x14ac:dyDescent="0.15">
      <c r="AD424" s="9">
        <v>286236106</v>
      </c>
      <c r="AE424" s="9" t="s">
        <v>2112</v>
      </c>
      <c r="AF424" s="14">
        <v>1</v>
      </c>
    </row>
    <row r="425" spans="30:32" ht="15.75" customHeight="1" x14ac:dyDescent="0.15">
      <c r="AD425" s="9">
        <v>286237451</v>
      </c>
      <c r="AE425" s="9" t="s">
        <v>2114</v>
      </c>
      <c r="AF425" s="14">
        <v>1</v>
      </c>
    </row>
    <row r="426" spans="30:32" ht="15.75" customHeight="1" x14ac:dyDescent="0.15">
      <c r="AD426" s="9">
        <v>286237952</v>
      </c>
      <c r="AE426" s="9" t="s">
        <v>2115</v>
      </c>
      <c r="AF426" s="14">
        <v>1</v>
      </c>
    </row>
    <row r="427" spans="30:32" ht="15.75" customHeight="1" x14ac:dyDescent="0.15">
      <c r="AD427" s="9">
        <v>286241321</v>
      </c>
      <c r="AE427" s="9" t="s">
        <v>654</v>
      </c>
      <c r="AF427" s="14">
        <v>1</v>
      </c>
    </row>
    <row r="428" spans="30:32" ht="15.75" customHeight="1" x14ac:dyDescent="0.15">
      <c r="AD428" s="9">
        <v>286244761</v>
      </c>
      <c r="AE428" s="9" t="s">
        <v>2116</v>
      </c>
      <c r="AF428" s="14">
        <v>3</v>
      </c>
    </row>
    <row r="429" spans="30:32" ht="15.75" customHeight="1" x14ac:dyDescent="0.15">
      <c r="AD429" s="9">
        <v>286247086</v>
      </c>
      <c r="AE429" s="9" t="s">
        <v>2118</v>
      </c>
      <c r="AF429" s="14">
        <v>1</v>
      </c>
    </row>
    <row r="430" spans="30:32" ht="15.75" customHeight="1" x14ac:dyDescent="0.15">
      <c r="AD430" s="9">
        <v>286248956</v>
      </c>
      <c r="AE430" s="9" t="s">
        <v>2119</v>
      </c>
      <c r="AF430" s="14">
        <v>1</v>
      </c>
    </row>
    <row r="431" spans="30:32" ht="15.75" customHeight="1" x14ac:dyDescent="0.15">
      <c r="AD431" s="9">
        <v>286279658</v>
      </c>
      <c r="AE431" s="9" t="s">
        <v>2120</v>
      </c>
      <c r="AF431" s="14">
        <v>1</v>
      </c>
    </row>
    <row r="432" spans="30:32" ht="15.75" customHeight="1" x14ac:dyDescent="0.15">
      <c r="AD432" s="9">
        <v>286300811</v>
      </c>
      <c r="AE432" s="9" t="s">
        <v>2122</v>
      </c>
      <c r="AF432" s="14">
        <v>3</v>
      </c>
    </row>
    <row r="433" spans="30:32" ht="15.75" customHeight="1" x14ac:dyDescent="0.15">
      <c r="AD433" s="9">
        <v>286305117</v>
      </c>
      <c r="AE433" s="9" t="s">
        <v>2124</v>
      </c>
      <c r="AF433" s="14">
        <v>1</v>
      </c>
    </row>
    <row r="434" spans="30:32" ht="15.75" customHeight="1" x14ac:dyDescent="0.15">
      <c r="AD434" s="9">
        <v>286305282</v>
      </c>
      <c r="AE434" s="9" t="s">
        <v>2125</v>
      </c>
      <c r="AF434" s="14">
        <v>1</v>
      </c>
    </row>
    <row r="435" spans="30:32" ht="15.75" customHeight="1" x14ac:dyDescent="0.15">
      <c r="AD435" s="9">
        <v>286349764</v>
      </c>
      <c r="AE435" s="9" t="s">
        <v>2126</v>
      </c>
      <c r="AF435" s="14">
        <v>1</v>
      </c>
    </row>
    <row r="436" spans="30:32" ht="15.75" customHeight="1" x14ac:dyDescent="0.15">
      <c r="AD436" s="9">
        <v>286352508</v>
      </c>
      <c r="AE436" s="9" t="s">
        <v>2127</v>
      </c>
      <c r="AF436" s="14">
        <v>1</v>
      </c>
    </row>
    <row r="437" spans="30:32" ht="15.75" customHeight="1" x14ac:dyDescent="0.15">
      <c r="AD437" s="9">
        <v>286364112</v>
      </c>
      <c r="AE437" s="9" t="s">
        <v>2129</v>
      </c>
      <c r="AF437" s="14">
        <v>1</v>
      </c>
    </row>
    <row r="438" spans="30:32" ht="15.75" customHeight="1" x14ac:dyDescent="0.15">
      <c r="AD438" s="9">
        <v>286373377</v>
      </c>
      <c r="AE438" s="9" t="s">
        <v>2130</v>
      </c>
      <c r="AF438" s="14">
        <v>1</v>
      </c>
    </row>
    <row r="439" spans="30:32" ht="15.75" customHeight="1" x14ac:dyDescent="0.15">
      <c r="AD439" s="9">
        <v>286387278</v>
      </c>
      <c r="AE439" s="9" t="s">
        <v>2131</v>
      </c>
      <c r="AF439" s="14">
        <v>1</v>
      </c>
    </row>
    <row r="440" spans="30:32" ht="15.75" customHeight="1" x14ac:dyDescent="0.15">
      <c r="AD440" s="9">
        <v>286398206</v>
      </c>
      <c r="AE440" s="9" t="s">
        <v>2133</v>
      </c>
      <c r="AF440" s="14">
        <v>1</v>
      </c>
    </row>
    <row r="441" spans="30:32" ht="15.75" customHeight="1" x14ac:dyDescent="0.15">
      <c r="AD441" s="9">
        <v>286402974</v>
      </c>
      <c r="AE441" s="9" t="s">
        <v>655</v>
      </c>
      <c r="AF441" s="14">
        <v>10</v>
      </c>
    </row>
    <row r="442" spans="30:32" ht="15.75" customHeight="1" x14ac:dyDescent="0.15">
      <c r="AD442" s="9">
        <v>286554886</v>
      </c>
      <c r="AE442" s="9" t="s">
        <v>656</v>
      </c>
      <c r="AF442" s="14">
        <v>1</v>
      </c>
    </row>
    <row r="443" spans="30:32" ht="15.75" customHeight="1" x14ac:dyDescent="0.15">
      <c r="AD443" s="9">
        <v>286560951</v>
      </c>
      <c r="AE443" s="9" t="s">
        <v>657</v>
      </c>
      <c r="AF443" s="14">
        <v>6</v>
      </c>
    </row>
    <row r="444" spans="30:32" ht="15.75" customHeight="1" x14ac:dyDescent="0.15">
      <c r="AD444" s="9">
        <v>286561946</v>
      </c>
      <c r="AE444" s="9" t="s">
        <v>2143</v>
      </c>
      <c r="AF444" s="14">
        <v>1</v>
      </c>
    </row>
    <row r="445" spans="30:32" ht="15.75" customHeight="1" x14ac:dyDescent="0.15">
      <c r="AD445" s="9">
        <v>286570395</v>
      </c>
      <c r="AE445" s="9" t="s">
        <v>2145</v>
      </c>
      <c r="AF445" s="14">
        <v>3</v>
      </c>
    </row>
    <row r="446" spans="30:32" ht="15.75" customHeight="1" x14ac:dyDescent="0.15">
      <c r="AD446" s="9">
        <v>286577082</v>
      </c>
      <c r="AE446" s="9" t="s">
        <v>658</v>
      </c>
      <c r="AF446" s="14">
        <v>1</v>
      </c>
    </row>
    <row r="447" spans="30:32" ht="15.75" customHeight="1" x14ac:dyDescent="0.15">
      <c r="AD447" s="9">
        <v>286577174</v>
      </c>
      <c r="AE447" s="9" t="s">
        <v>659</v>
      </c>
      <c r="AF447" s="14">
        <v>1</v>
      </c>
    </row>
    <row r="448" spans="30:32" ht="15.75" customHeight="1" x14ac:dyDescent="0.15">
      <c r="AD448" s="9">
        <v>286636723</v>
      </c>
      <c r="AE448" s="9" t="s">
        <v>2148</v>
      </c>
      <c r="AF448" s="14">
        <v>1</v>
      </c>
    </row>
    <row r="449" spans="30:32" ht="15.75" customHeight="1" x14ac:dyDescent="0.15">
      <c r="AD449" s="9">
        <v>286737312</v>
      </c>
      <c r="AE449" s="9" t="s">
        <v>660</v>
      </c>
      <c r="AF449" s="14">
        <v>1</v>
      </c>
    </row>
    <row r="450" spans="30:32" ht="15.75" customHeight="1" x14ac:dyDescent="0.15">
      <c r="AD450" s="9">
        <v>286737650</v>
      </c>
      <c r="AE450" s="9" t="s">
        <v>661</v>
      </c>
      <c r="AF450" s="14">
        <v>1</v>
      </c>
    </row>
    <row r="451" spans="30:32" ht="15.75" customHeight="1" x14ac:dyDescent="0.15">
      <c r="AD451" s="9">
        <v>286767136</v>
      </c>
      <c r="AE451" s="9" t="s">
        <v>2151</v>
      </c>
      <c r="AF451" s="14">
        <v>2</v>
      </c>
    </row>
    <row r="452" spans="30:32" ht="15.75" customHeight="1" x14ac:dyDescent="0.15">
      <c r="AD452" s="9">
        <v>286869748</v>
      </c>
      <c r="AE452" s="9" t="s">
        <v>2154</v>
      </c>
      <c r="AF452" s="14">
        <v>1</v>
      </c>
    </row>
    <row r="453" spans="30:32" ht="15.75" customHeight="1" x14ac:dyDescent="0.15">
      <c r="AD453" s="9">
        <v>286890592</v>
      </c>
      <c r="AE453" s="9" t="s">
        <v>662</v>
      </c>
      <c r="AF453" s="14">
        <v>2</v>
      </c>
    </row>
    <row r="454" spans="30:32" ht="15.75" customHeight="1" x14ac:dyDescent="0.15">
      <c r="AD454" s="9">
        <v>286893516</v>
      </c>
      <c r="AE454" s="9" t="s">
        <v>2156</v>
      </c>
      <c r="AF454" s="14">
        <v>1</v>
      </c>
    </row>
    <row r="455" spans="30:32" ht="15.75" customHeight="1" x14ac:dyDescent="0.15">
      <c r="AD455" s="9">
        <v>286915103</v>
      </c>
      <c r="AE455" s="9" t="s">
        <v>2158</v>
      </c>
      <c r="AF455" s="14">
        <v>3</v>
      </c>
    </row>
    <row r="456" spans="30:32" ht="15.75" customHeight="1" x14ac:dyDescent="0.15">
      <c r="AD456" s="9">
        <v>286920889</v>
      </c>
      <c r="AE456" s="9" t="s">
        <v>663</v>
      </c>
      <c r="AF456" s="14">
        <v>2</v>
      </c>
    </row>
    <row r="457" spans="30:32" ht="15.75" customHeight="1" x14ac:dyDescent="0.15">
      <c r="AD457" s="9">
        <v>286928091</v>
      </c>
      <c r="AE457" s="9" t="s">
        <v>2160</v>
      </c>
      <c r="AF457" s="14">
        <v>4</v>
      </c>
    </row>
    <row r="458" spans="30:32" ht="15.75" customHeight="1" x14ac:dyDescent="0.15">
      <c r="AD458" s="9">
        <v>286978010</v>
      </c>
      <c r="AE458" s="9" t="s">
        <v>664</v>
      </c>
      <c r="AF458" s="14">
        <v>2</v>
      </c>
    </row>
    <row r="459" spans="30:32" ht="15.75" customHeight="1" x14ac:dyDescent="0.15">
      <c r="AD459" s="9">
        <v>287050098</v>
      </c>
      <c r="AE459" s="9" t="s">
        <v>665</v>
      </c>
      <c r="AF459" s="14">
        <v>1</v>
      </c>
    </row>
    <row r="460" spans="30:32" ht="15.75" customHeight="1" x14ac:dyDescent="0.15">
      <c r="AD460" s="9">
        <v>287096340</v>
      </c>
      <c r="AE460" s="9" t="s">
        <v>666</v>
      </c>
      <c r="AF460" s="14">
        <v>1</v>
      </c>
    </row>
    <row r="461" spans="30:32" ht="15.75" customHeight="1" x14ac:dyDescent="0.15">
      <c r="AD461" s="9">
        <v>287106956</v>
      </c>
      <c r="AE461" s="9" t="s">
        <v>667</v>
      </c>
      <c r="AF461" s="14">
        <v>1</v>
      </c>
    </row>
    <row r="462" spans="30:32" ht="15.75" customHeight="1" x14ac:dyDescent="0.15">
      <c r="AD462" s="9">
        <v>287231334</v>
      </c>
      <c r="AE462" s="9" t="s">
        <v>668</v>
      </c>
      <c r="AF462" s="14">
        <v>1</v>
      </c>
    </row>
    <row r="463" spans="30:32" ht="15.75" customHeight="1" x14ac:dyDescent="0.15">
      <c r="AD463" s="9">
        <v>287291465</v>
      </c>
      <c r="AE463" s="9" t="s">
        <v>669</v>
      </c>
      <c r="AF463" s="14">
        <v>1</v>
      </c>
    </row>
    <row r="464" spans="30:32" ht="15.75" customHeight="1" x14ac:dyDescent="0.15">
      <c r="AD464" s="9">
        <v>287299767</v>
      </c>
      <c r="AE464" s="9" t="s">
        <v>670</v>
      </c>
      <c r="AF464" s="14">
        <v>1</v>
      </c>
    </row>
    <row r="465" spans="30:32" ht="15.75" customHeight="1" x14ac:dyDescent="0.15">
      <c r="AD465" s="9">
        <v>287299771</v>
      </c>
      <c r="AE465" s="9" t="s">
        <v>671</v>
      </c>
      <c r="AF465" s="14">
        <v>3</v>
      </c>
    </row>
    <row r="466" spans="30:32" ht="15.75" customHeight="1" x14ac:dyDescent="0.15">
      <c r="AD466" s="9">
        <v>287337759</v>
      </c>
      <c r="AE466" s="9" t="s">
        <v>672</v>
      </c>
      <c r="AF466" s="14">
        <v>3</v>
      </c>
    </row>
    <row r="467" spans="30:32" ht="15.75" customHeight="1" x14ac:dyDescent="0.15">
      <c r="AD467" s="9">
        <v>287342614</v>
      </c>
      <c r="AE467" s="9" t="s">
        <v>673</v>
      </c>
      <c r="AF467" s="14">
        <v>4</v>
      </c>
    </row>
    <row r="468" spans="30:32" ht="15.75" customHeight="1" x14ac:dyDescent="0.15">
      <c r="AD468" s="9">
        <v>287363158</v>
      </c>
      <c r="AE468" s="9" t="s">
        <v>674</v>
      </c>
      <c r="AF468" s="14">
        <v>1</v>
      </c>
    </row>
    <row r="469" spans="30:32" ht="15.75" customHeight="1" x14ac:dyDescent="0.15">
      <c r="AD469" s="9">
        <v>287368356</v>
      </c>
      <c r="AE469" s="9" t="s">
        <v>675</v>
      </c>
      <c r="AF469" s="14">
        <v>1</v>
      </c>
    </row>
    <row r="470" spans="30:32" ht="15.75" customHeight="1" x14ac:dyDescent="0.15">
      <c r="AD470" s="9">
        <v>287372158</v>
      </c>
      <c r="AE470" s="9" t="s">
        <v>676</v>
      </c>
      <c r="AF470" s="14">
        <v>2</v>
      </c>
    </row>
    <row r="471" spans="30:32" ht="15.75" customHeight="1" x14ac:dyDescent="0.15">
      <c r="AD471" s="9">
        <v>287372229</v>
      </c>
      <c r="AE471" s="9" t="s">
        <v>677</v>
      </c>
      <c r="AF471" s="14">
        <v>1</v>
      </c>
    </row>
    <row r="472" spans="30:32" ht="15.75" customHeight="1" x14ac:dyDescent="0.15">
      <c r="AD472" s="9">
        <v>287372244</v>
      </c>
      <c r="AE472" s="9" t="s">
        <v>678</v>
      </c>
      <c r="AF472" s="14">
        <v>1</v>
      </c>
    </row>
    <row r="473" spans="30:32" ht="15.75" customHeight="1" x14ac:dyDescent="0.15">
      <c r="AD473" s="9">
        <v>287372776</v>
      </c>
      <c r="AE473" s="9" t="s">
        <v>679</v>
      </c>
      <c r="AF473" s="14">
        <v>1</v>
      </c>
    </row>
    <row r="474" spans="30:32" ht="15.75" customHeight="1" x14ac:dyDescent="0.15">
      <c r="AD474" s="9">
        <v>287372805</v>
      </c>
      <c r="AE474" s="9" t="s">
        <v>680</v>
      </c>
      <c r="AF474" s="14">
        <v>1</v>
      </c>
    </row>
    <row r="475" spans="30:32" ht="15.75" customHeight="1" x14ac:dyDescent="0.15">
      <c r="AD475" s="9">
        <v>287373577</v>
      </c>
      <c r="AE475" s="9" t="s">
        <v>681</v>
      </c>
      <c r="AF475" s="14">
        <v>1</v>
      </c>
    </row>
    <row r="476" spans="30:32" ht="15.75" customHeight="1" x14ac:dyDescent="0.15">
      <c r="AD476" s="9">
        <v>287373899</v>
      </c>
      <c r="AE476" s="9" t="s">
        <v>682</v>
      </c>
      <c r="AF476" s="14">
        <v>1</v>
      </c>
    </row>
    <row r="477" spans="30:32" ht="15.75" customHeight="1" x14ac:dyDescent="0.15">
      <c r="AD477" s="9">
        <v>287374037</v>
      </c>
      <c r="AE477" s="9" t="s">
        <v>683</v>
      </c>
      <c r="AF477" s="14">
        <v>1</v>
      </c>
    </row>
    <row r="478" spans="30:32" ht="15.75" customHeight="1" x14ac:dyDescent="0.15">
      <c r="AD478" s="9">
        <v>287374099</v>
      </c>
      <c r="AE478" s="9" t="s">
        <v>684</v>
      </c>
      <c r="AF478" s="14">
        <v>1</v>
      </c>
    </row>
    <row r="479" spans="30:32" ht="15.75" customHeight="1" x14ac:dyDescent="0.15">
      <c r="AD479" s="9">
        <v>287374868</v>
      </c>
      <c r="AE479" s="9" t="s">
        <v>685</v>
      </c>
      <c r="AF479" s="14">
        <v>1</v>
      </c>
    </row>
    <row r="480" spans="30:32" ht="15.75" customHeight="1" x14ac:dyDescent="0.15">
      <c r="AD480" s="9">
        <v>287375755</v>
      </c>
      <c r="AE480" s="9" t="s">
        <v>686</v>
      </c>
      <c r="AF480" s="14">
        <v>1</v>
      </c>
    </row>
    <row r="481" spans="30:32" ht="15.75" customHeight="1" x14ac:dyDescent="0.15">
      <c r="AD481" s="9">
        <v>287377037</v>
      </c>
      <c r="AE481" s="9" t="s">
        <v>687</v>
      </c>
      <c r="AF481" s="14">
        <v>1</v>
      </c>
    </row>
    <row r="482" spans="30:32" ht="15.75" customHeight="1" x14ac:dyDescent="0.15">
      <c r="AD482" s="9">
        <v>287377391</v>
      </c>
      <c r="AE482" s="9" t="s">
        <v>688</v>
      </c>
      <c r="AF482" s="14">
        <v>1</v>
      </c>
    </row>
    <row r="483" spans="30:32" ht="15.75" customHeight="1" x14ac:dyDescent="0.15">
      <c r="AD483" s="9">
        <v>287380456</v>
      </c>
      <c r="AE483" s="9" t="s">
        <v>689</v>
      </c>
      <c r="AF483" s="14">
        <v>1</v>
      </c>
    </row>
    <row r="484" spans="30:32" ht="15.75" customHeight="1" x14ac:dyDescent="0.15">
      <c r="AD484" s="9">
        <v>287380686</v>
      </c>
      <c r="AE484" s="9" t="s">
        <v>690</v>
      </c>
      <c r="AF484" s="14">
        <v>1</v>
      </c>
    </row>
    <row r="485" spans="30:32" ht="15.75" customHeight="1" x14ac:dyDescent="0.15">
      <c r="AD485" s="9">
        <v>287381002</v>
      </c>
      <c r="AE485" s="9" t="s">
        <v>691</v>
      </c>
      <c r="AF485" s="14">
        <v>1</v>
      </c>
    </row>
    <row r="486" spans="30:32" ht="15.75" customHeight="1" x14ac:dyDescent="0.15">
      <c r="AD486" s="9">
        <v>287381171</v>
      </c>
      <c r="AE486" s="9" t="s">
        <v>692</v>
      </c>
      <c r="AF486" s="14">
        <v>1</v>
      </c>
    </row>
    <row r="487" spans="30:32" ht="15.75" customHeight="1" x14ac:dyDescent="0.15">
      <c r="AD487" s="9">
        <v>287381222</v>
      </c>
      <c r="AE487" s="9" t="s">
        <v>693</v>
      </c>
      <c r="AF487" s="14">
        <v>1</v>
      </c>
    </row>
    <row r="488" spans="30:32" ht="15.75" customHeight="1" x14ac:dyDescent="0.15">
      <c r="AD488" s="9">
        <v>287381889</v>
      </c>
      <c r="AE488" s="9" t="s">
        <v>694</v>
      </c>
      <c r="AF488" s="14">
        <v>2</v>
      </c>
    </row>
    <row r="489" spans="30:32" ht="15.75" customHeight="1" x14ac:dyDescent="0.15">
      <c r="AD489" s="9">
        <v>287382361</v>
      </c>
      <c r="AE489" s="9" t="s">
        <v>695</v>
      </c>
      <c r="AF489" s="14">
        <v>1</v>
      </c>
    </row>
    <row r="490" spans="30:32" ht="15.75" customHeight="1" x14ac:dyDescent="0.15">
      <c r="AD490" s="9">
        <v>287384410</v>
      </c>
      <c r="AE490" s="9" t="s">
        <v>696</v>
      </c>
      <c r="AF490" s="14">
        <v>1</v>
      </c>
    </row>
    <row r="491" spans="30:32" ht="15.75" customHeight="1" x14ac:dyDescent="0.15">
      <c r="AD491" s="9">
        <v>287384881</v>
      </c>
      <c r="AE491" s="9" t="s">
        <v>697</v>
      </c>
      <c r="AF491" s="14">
        <v>1</v>
      </c>
    </row>
    <row r="492" spans="30:32" ht="15.75" customHeight="1" x14ac:dyDescent="0.15">
      <c r="AD492" s="9">
        <v>287386448</v>
      </c>
      <c r="AE492" s="9" t="s">
        <v>698</v>
      </c>
      <c r="AF492" s="14">
        <v>1</v>
      </c>
    </row>
    <row r="493" spans="30:32" ht="15.75" customHeight="1" x14ac:dyDescent="0.15">
      <c r="AD493" s="9">
        <v>287389904</v>
      </c>
      <c r="AE493" s="9" t="s">
        <v>699</v>
      </c>
      <c r="AF493" s="14">
        <v>1</v>
      </c>
    </row>
    <row r="494" spans="30:32" ht="15.75" customHeight="1" x14ac:dyDescent="0.15">
      <c r="AD494" s="9">
        <v>287394583</v>
      </c>
      <c r="AE494" s="9" t="s">
        <v>700</v>
      </c>
      <c r="AF494" s="14">
        <v>1</v>
      </c>
    </row>
    <row r="495" spans="30:32" ht="15.75" customHeight="1" x14ac:dyDescent="0.15">
      <c r="AD495" s="9">
        <v>287395667</v>
      </c>
      <c r="AE495" s="9" t="s">
        <v>701</v>
      </c>
      <c r="AF495" s="14">
        <v>1</v>
      </c>
    </row>
    <row r="496" spans="30:32" ht="15.75" customHeight="1" x14ac:dyDescent="0.15">
      <c r="AD496" s="9">
        <v>287395815</v>
      </c>
      <c r="AE496" s="9" t="s">
        <v>702</v>
      </c>
      <c r="AF496" s="14">
        <v>1</v>
      </c>
    </row>
    <row r="497" spans="30:32" ht="15.75" customHeight="1" x14ac:dyDescent="0.15">
      <c r="AD497" s="9">
        <v>287396541</v>
      </c>
      <c r="AE497" s="9" t="s">
        <v>703</v>
      </c>
      <c r="AF497" s="14">
        <v>7</v>
      </c>
    </row>
    <row r="498" spans="30:32" ht="15.75" customHeight="1" x14ac:dyDescent="0.15">
      <c r="AD498" s="9">
        <v>287396668</v>
      </c>
      <c r="AE498" s="9" t="s">
        <v>704</v>
      </c>
      <c r="AF498" s="14">
        <v>1</v>
      </c>
    </row>
    <row r="499" spans="30:32" ht="15.75" customHeight="1" x14ac:dyDescent="0.15">
      <c r="AD499" s="9">
        <v>287398176</v>
      </c>
      <c r="AE499" s="9" t="s">
        <v>705</v>
      </c>
      <c r="AF499" s="14">
        <v>1</v>
      </c>
    </row>
    <row r="500" spans="30:32" ht="15.75" customHeight="1" x14ac:dyDescent="0.15">
      <c r="AD500" s="9">
        <v>287398785</v>
      </c>
      <c r="AE500" s="9" t="s">
        <v>706</v>
      </c>
      <c r="AF500" s="14">
        <v>1</v>
      </c>
    </row>
    <row r="501" spans="30:32" ht="15.75" customHeight="1" x14ac:dyDescent="0.15">
      <c r="AD501" s="9">
        <v>287399041</v>
      </c>
      <c r="AE501" s="9" t="s">
        <v>707</v>
      </c>
      <c r="AF501" s="14">
        <v>1</v>
      </c>
    </row>
    <row r="502" spans="30:32" ht="15.75" customHeight="1" x14ac:dyDescent="0.15">
      <c r="AD502" s="9">
        <v>287399238</v>
      </c>
      <c r="AE502" s="9" t="s">
        <v>708</v>
      </c>
      <c r="AF502" s="14">
        <v>1</v>
      </c>
    </row>
    <row r="503" spans="30:32" ht="15.75" customHeight="1" x14ac:dyDescent="0.15">
      <c r="AD503" s="9">
        <v>287401106</v>
      </c>
      <c r="AE503" s="9" t="s">
        <v>709</v>
      </c>
      <c r="AF503" s="14">
        <v>1</v>
      </c>
    </row>
    <row r="504" spans="30:32" ht="15.75" customHeight="1" x14ac:dyDescent="0.15">
      <c r="AD504" s="9">
        <v>287401365</v>
      </c>
      <c r="AE504" s="9" t="s">
        <v>710</v>
      </c>
      <c r="AF504" s="14">
        <v>1</v>
      </c>
    </row>
    <row r="505" spans="30:32" ht="15.75" customHeight="1" x14ac:dyDescent="0.15">
      <c r="AD505" s="9">
        <v>287401951</v>
      </c>
      <c r="AE505" s="9" t="s">
        <v>711</v>
      </c>
      <c r="AF505" s="14">
        <v>1</v>
      </c>
    </row>
    <row r="506" spans="30:32" ht="15.75" customHeight="1" x14ac:dyDescent="0.15">
      <c r="AD506" s="9">
        <v>287402033</v>
      </c>
      <c r="AE506" s="9" t="s">
        <v>712</v>
      </c>
      <c r="AF506" s="14">
        <v>1</v>
      </c>
    </row>
    <row r="507" spans="30:32" ht="15.75" customHeight="1" x14ac:dyDescent="0.15">
      <c r="AD507" s="9">
        <v>287402258</v>
      </c>
      <c r="AE507" s="9" t="s">
        <v>713</v>
      </c>
      <c r="AF507" s="14">
        <v>2</v>
      </c>
    </row>
    <row r="508" spans="30:32" ht="15.75" customHeight="1" x14ac:dyDescent="0.15">
      <c r="AD508" s="9">
        <v>287402416</v>
      </c>
      <c r="AE508" s="9" t="s">
        <v>714</v>
      </c>
      <c r="AF508" s="14">
        <v>1</v>
      </c>
    </row>
    <row r="509" spans="30:32" ht="15.75" customHeight="1" x14ac:dyDescent="0.15">
      <c r="AD509" s="9">
        <v>287402863</v>
      </c>
      <c r="AE509" s="9" t="s">
        <v>715</v>
      </c>
      <c r="AF509" s="14">
        <v>1</v>
      </c>
    </row>
    <row r="510" spans="30:32" ht="15.75" customHeight="1" x14ac:dyDescent="0.15">
      <c r="AD510" s="9">
        <v>287402995</v>
      </c>
      <c r="AE510" s="9" t="s">
        <v>716</v>
      </c>
      <c r="AF510" s="14">
        <v>1</v>
      </c>
    </row>
    <row r="511" spans="30:32" ht="15.75" customHeight="1" x14ac:dyDescent="0.15">
      <c r="AD511" s="9">
        <v>287404083</v>
      </c>
      <c r="AE511" s="9" t="s">
        <v>717</v>
      </c>
      <c r="AF511" s="14">
        <v>1</v>
      </c>
    </row>
    <row r="512" spans="30:32" ht="15.75" customHeight="1" x14ac:dyDescent="0.15">
      <c r="AD512" s="9">
        <v>287404235</v>
      </c>
      <c r="AE512" s="9" t="s">
        <v>718</v>
      </c>
      <c r="AF512" s="14">
        <v>1</v>
      </c>
    </row>
    <row r="513" spans="30:32" ht="15.75" customHeight="1" x14ac:dyDescent="0.15">
      <c r="AD513" s="9">
        <v>287404293</v>
      </c>
      <c r="AE513" s="9" t="s">
        <v>719</v>
      </c>
      <c r="AF513" s="14">
        <v>1</v>
      </c>
    </row>
    <row r="514" spans="30:32" ht="15.75" customHeight="1" x14ac:dyDescent="0.15">
      <c r="AD514" s="9">
        <v>287404507</v>
      </c>
      <c r="AE514" s="9" t="s">
        <v>720</v>
      </c>
      <c r="AF514" s="14">
        <v>1</v>
      </c>
    </row>
    <row r="515" spans="30:32" ht="15.75" customHeight="1" x14ac:dyDescent="0.15">
      <c r="AD515" s="9">
        <v>287404846</v>
      </c>
      <c r="AE515" s="9" t="s">
        <v>721</v>
      </c>
      <c r="AF515" s="14">
        <v>1</v>
      </c>
    </row>
    <row r="516" spans="30:32" ht="15.75" customHeight="1" x14ac:dyDescent="0.15">
      <c r="AD516" s="9">
        <v>287405915</v>
      </c>
      <c r="AE516" s="9" t="s">
        <v>722</v>
      </c>
      <c r="AF516" s="14">
        <v>1</v>
      </c>
    </row>
    <row r="517" spans="30:32" ht="15.75" customHeight="1" x14ac:dyDescent="0.15">
      <c r="AD517" s="9">
        <v>287405947</v>
      </c>
      <c r="AE517" s="9" t="s">
        <v>723</v>
      </c>
      <c r="AF517" s="14">
        <v>1</v>
      </c>
    </row>
    <row r="518" spans="30:32" ht="15.75" customHeight="1" x14ac:dyDescent="0.15">
      <c r="AD518" s="9">
        <v>287406924</v>
      </c>
      <c r="AE518" s="9" t="s">
        <v>724</v>
      </c>
      <c r="AF518" s="14">
        <v>1</v>
      </c>
    </row>
    <row r="519" spans="30:32" ht="15.75" customHeight="1" x14ac:dyDescent="0.15">
      <c r="AD519" s="9">
        <v>287407486</v>
      </c>
      <c r="AE519" s="9" t="s">
        <v>725</v>
      </c>
      <c r="AF519" s="14">
        <v>1</v>
      </c>
    </row>
    <row r="520" spans="30:32" ht="15.75" customHeight="1" x14ac:dyDescent="0.15">
      <c r="AD520" s="9">
        <v>287408072</v>
      </c>
      <c r="AE520" s="9" t="s">
        <v>726</v>
      </c>
      <c r="AF520" s="14">
        <v>1</v>
      </c>
    </row>
    <row r="521" spans="30:32" ht="15.75" customHeight="1" x14ac:dyDescent="0.15">
      <c r="AD521" s="9">
        <v>287409424</v>
      </c>
      <c r="AE521" s="9" t="s">
        <v>727</v>
      </c>
      <c r="AF521" s="14">
        <v>1</v>
      </c>
    </row>
    <row r="522" spans="30:32" ht="15.75" customHeight="1" x14ac:dyDescent="0.15">
      <c r="AD522" s="9">
        <v>287409567</v>
      </c>
      <c r="AE522" s="9" t="s">
        <v>728</v>
      </c>
      <c r="AF522" s="14">
        <v>1</v>
      </c>
    </row>
    <row r="523" spans="30:32" ht="15.75" customHeight="1" x14ac:dyDescent="0.15">
      <c r="AD523" s="9">
        <v>287412372</v>
      </c>
      <c r="AE523" s="9" t="s">
        <v>729</v>
      </c>
      <c r="AF523" s="14">
        <v>1</v>
      </c>
    </row>
    <row r="524" spans="30:32" ht="15.75" customHeight="1" x14ac:dyDescent="0.15">
      <c r="AD524" s="9">
        <v>287412995</v>
      </c>
      <c r="AE524" s="9" t="s">
        <v>730</v>
      </c>
      <c r="AF524" s="14">
        <v>1</v>
      </c>
    </row>
    <row r="525" spans="30:32" ht="15.75" customHeight="1" x14ac:dyDescent="0.15">
      <c r="AD525" s="9">
        <v>287413139</v>
      </c>
      <c r="AE525" s="9" t="s">
        <v>731</v>
      </c>
      <c r="AF525" s="14">
        <v>1</v>
      </c>
    </row>
    <row r="526" spans="30:32" ht="15.75" customHeight="1" x14ac:dyDescent="0.15">
      <c r="AD526" s="9">
        <v>287413457</v>
      </c>
      <c r="AE526" s="9" t="s">
        <v>732</v>
      </c>
      <c r="AF526" s="14">
        <v>1</v>
      </c>
    </row>
    <row r="527" spans="30:32" ht="15.75" customHeight="1" x14ac:dyDescent="0.15">
      <c r="AD527" s="9">
        <v>287413627</v>
      </c>
      <c r="AE527" s="9" t="s">
        <v>733</v>
      </c>
      <c r="AF527" s="14">
        <v>1</v>
      </c>
    </row>
    <row r="528" spans="30:32" ht="15.75" customHeight="1" x14ac:dyDescent="0.15">
      <c r="AD528" s="9">
        <v>287414102</v>
      </c>
      <c r="AE528" s="9" t="s">
        <v>734</v>
      </c>
      <c r="AF528" s="14">
        <v>2</v>
      </c>
    </row>
    <row r="529" spans="30:32" ht="15.75" customHeight="1" x14ac:dyDescent="0.15">
      <c r="AD529" s="9">
        <v>287414262</v>
      </c>
      <c r="AE529" s="9" t="s">
        <v>735</v>
      </c>
      <c r="AF529" s="14">
        <v>1</v>
      </c>
    </row>
    <row r="530" spans="30:32" ht="15.75" customHeight="1" x14ac:dyDescent="0.15">
      <c r="AD530" s="9">
        <v>287418247</v>
      </c>
      <c r="AE530" s="9" t="s">
        <v>736</v>
      </c>
      <c r="AF530" s="14">
        <v>1</v>
      </c>
    </row>
    <row r="531" spans="30:32" ht="15.75" customHeight="1" x14ac:dyDescent="0.15">
      <c r="AD531" s="9">
        <v>287421211</v>
      </c>
      <c r="AE531" s="9" t="s">
        <v>737</v>
      </c>
      <c r="AF531" s="14">
        <v>1</v>
      </c>
    </row>
    <row r="532" spans="30:32" ht="15.75" customHeight="1" x14ac:dyDescent="0.15">
      <c r="AD532" s="9">
        <v>287424256</v>
      </c>
      <c r="AE532" s="9" t="s">
        <v>738</v>
      </c>
      <c r="AF532" s="14">
        <v>1</v>
      </c>
    </row>
    <row r="533" spans="30:32" ht="15.75" customHeight="1" x14ac:dyDescent="0.15">
      <c r="AD533" s="9">
        <v>287427322</v>
      </c>
      <c r="AE533" s="9" t="s">
        <v>739</v>
      </c>
      <c r="AF533" s="14">
        <v>1</v>
      </c>
    </row>
    <row r="534" spans="30:32" ht="15.75" customHeight="1" x14ac:dyDescent="0.15">
      <c r="AD534" s="9">
        <v>287429944</v>
      </c>
      <c r="AE534" s="9" t="s">
        <v>740</v>
      </c>
      <c r="AF534" s="14">
        <v>1</v>
      </c>
    </row>
    <row r="535" spans="30:32" ht="15.75" customHeight="1" x14ac:dyDescent="0.15">
      <c r="AD535" s="9">
        <v>287437210</v>
      </c>
      <c r="AE535" s="9" t="s">
        <v>741</v>
      </c>
      <c r="AF535" s="14">
        <v>3</v>
      </c>
    </row>
    <row r="536" spans="30:32" ht="15.75" customHeight="1" x14ac:dyDescent="0.15">
      <c r="AD536" s="9">
        <v>287438386</v>
      </c>
      <c r="AE536" s="9" t="s">
        <v>742</v>
      </c>
      <c r="AF536" s="14">
        <v>1</v>
      </c>
    </row>
    <row r="537" spans="30:32" ht="15.75" customHeight="1" x14ac:dyDescent="0.15">
      <c r="AD537" s="9">
        <v>287447139</v>
      </c>
      <c r="AE537" s="9" t="s">
        <v>743</v>
      </c>
      <c r="AF537" s="14">
        <v>2</v>
      </c>
    </row>
    <row r="538" spans="30:32" ht="15.75" customHeight="1" x14ac:dyDescent="0.15">
      <c r="AD538" s="9">
        <v>287452560</v>
      </c>
      <c r="AE538" s="9" t="s">
        <v>744</v>
      </c>
      <c r="AF538" s="14">
        <v>9</v>
      </c>
    </row>
    <row r="539" spans="30:32" ht="15.75" customHeight="1" x14ac:dyDescent="0.15">
      <c r="AD539" s="9">
        <v>287453934</v>
      </c>
      <c r="AE539" s="9" t="s">
        <v>745</v>
      </c>
      <c r="AF539" s="14">
        <v>1</v>
      </c>
    </row>
    <row r="540" spans="30:32" ht="15.75" customHeight="1" x14ac:dyDescent="0.15">
      <c r="AD540" s="9">
        <v>287454170</v>
      </c>
      <c r="AE540" s="9" t="s">
        <v>746</v>
      </c>
      <c r="AF540" s="14">
        <v>1</v>
      </c>
    </row>
    <row r="541" spans="30:32" ht="15.75" customHeight="1" x14ac:dyDescent="0.15">
      <c r="AD541" s="9">
        <v>287456644</v>
      </c>
      <c r="AE541" s="9" t="s">
        <v>747</v>
      </c>
      <c r="AF541" s="14">
        <v>1</v>
      </c>
    </row>
    <row r="542" spans="30:32" ht="15.75" customHeight="1" x14ac:dyDescent="0.15">
      <c r="AD542" s="9">
        <v>287502358</v>
      </c>
      <c r="AE542" s="9" t="s">
        <v>748</v>
      </c>
      <c r="AF542" s="14">
        <v>3</v>
      </c>
    </row>
    <row r="543" spans="30:32" ht="15.75" customHeight="1" x14ac:dyDescent="0.15">
      <c r="AD543" s="9">
        <v>287516414</v>
      </c>
      <c r="AE543" s="9" t="s">
        <v>749</v>
      </c>
      <c r="AF543" s="14">
        <v>1</v>
      </c>
    </row>
    <row r="544" spans="30:32" ht="15.75" customHeight="1" x14ac:dyDescent="0.15">
      <c r="AD544" s="9">
        <v>287532846</v>
      </c>
      <c r="AE544" s="9" t="s">
        <v>750</v>
      </c>
      <c r="AF544" s="14">
        <v>2</v>
      </c>
    </row>
    <row r="545" spans="30:32" ht="15.75" customHeight="1" x14ac:dyDescent="0.15">
      <c r="AD545" s="9">
        <v>287535440</v>
      </c>
      <c r="AE545" s="9" t="s">
        <v>751</v>
      </c>
      <c r="AF545" s="14">
        <v>3</v>
      </c>
    </row>
    <row r="546" spans="30:32" ht="15.75" customHeight="1" x14ac:dyDescent="0.15">
      <c r="AD546" s="9">
        <v>287535757</v>
      </c>
      <c r="AE546" s="9" t="s">
        <v>752</v>
      </c>
      <c r="AF546" s="14">
        <v>2</v>
      </c>
    </row>
    <row r="547" spans="30:32" ht="15.75" customHeight="1" x14ac:dyDescent="0.15">
      <c r="AD547" s="9">
        <v>287537353</v>
      </c>
      <c r="AE547" s="9" t="s">
        <v>753</v>
      </c>
      <c r="AF547" s="14">
        <v>3</v>
      </c>
    </row>
    <row r="548" spans="30:32" ht="15.75" customHeight="1" x14ac:dyDescent="0.15">
      <c r="AD548" s="9">
        <v>287552333</v>
      </c>
      <c r="AE548" s="9" t="s">
        <v>754</v>
      </c>
      <c r="AF548" s="14">
        <v>1</v>
      </c>
    </row>
    <row r="549" spans="30:32" ht="15.75" customHeight="1" x14ac:dyDescent="0.15">
      <c r="AD549" s="9">
        <v>287563319</v>
      </c>
      <c r="AE549" s="9" t="s">
        <v>755</v>
      </c>
      <c r="AF549" s="14">
        <v>1</v>
      </c>
    </row>
    <row r="550" spans="30:32" ht="15.75" customHeight="1" x14ac:dyDescent="0.15">
      <c r="AD550" s="9">
        <v>287563721</v>
      </c>
      <c r="AE550" s="9" t="s">
        <v>756</v>
      </c>
      <c r="AF550" s="14">
        <v>1</v>
      </c>
    </row>
    <row r="551" spans="30:32" ht="15.75" customHeight="1" x14ac:dyDescent="0.15">
      <c r="AD551" s="9">
        <v>287590138</v>
      </c>
      <c r="AE551" s="9" t="s">
        <v>757</v>
      </c>
      <c r="AF551" s="14">
        <v>1</v>
      </c>
    </row>
    <row r="552" spans="30:32" ht="15.75" customHeight="1" x14ac:dyDescent="0.15">
      <c r="AD552" s="9">
        <v>287602904</v>
      </c>
      <c r="AE552" s="9" t="s">
        <v>758</v>
      </c>
      <c r="AF552" s="14">
        <v>1</v>
      </c>
    </row>
    <row r="553" spans="30:32" ht="15.75" customHeight="1" x14ac:dyDescent="0.15">
      <c r="AD553" s="9">
        <v>287623413</v>
      </c>
      <c r="AE553" s="9" t="s">
        <v>759</v>
      </c>
      <c r="AF553" s="14">
        <v>1</v>
      </c>
    </row>
    <row r="554" spans="30:32" ht="15.75" customHeight="1" x14ac:dyDescent="0.15">
      <c r="AD554" s="9">
        <v>287623670</v>
      </c>
      <c r="AE554" s="9" t="s">
        <v>760</v>
      </c>
      <c r="AF554" s="14">
        <v>1</v>
      </c>
    </row>
    <row r="555" spans="30:32" ht="15.75" customHeight="1" x14ac:dyDescent="0.15">
      <c r="AD555" s="9">
        <v>287628311</v>
      </c>
      <c r="AE555" s="9" t="s">
        <v>761</v>
      </c>
      <c r="AF555" s="14">
        <v>3</v>
      </c>
    </row>
    <row r="556" spans="30:32" ht="15.75" customHeight="1" x14ac:dyDescent="0.15">
      <c r="AD556" s="9">
        <v>287631644</v>
      </c>
      <c r="AE556" s="9" t="s">
        <v>762</v>
      </c>
      <c r="AF556" s="14">
        <v>2</v>
      </c>
    </row>
    <row r="557" spans="30:32" ht="15.75" customHeight="1" x14ac:dyDescent="0.15">
      <c r="AD557" s="9">
        <v>287694837</v>
      </c>
      <c r="AE557" s="9" t="s">
        <v>763</v>
      </c>
      <c r="AF557" s="14">
        <v>1</v>
      </c>
    </row>
    <row r="558" spans="30:32" ht="15.75" customHeight="1" x14ac:dyDescent="0.15">
      <c r="AD558" s="9">
        <v>287710952</v>
      </c>
      <c r="AE558" s="9" t="s">
        <v>764</v>
      </c>
      <c r="AF558" s="14">
        <v>1</v>
      </c>
    </row>
    <row r="559" spans="30:32" ht="15.75" customHeight="1" x14ac:dyDescent="0.15">
      <c r="AD559" s="9">
        <v>287723042</v>
      </c>
      <c r="AE559" s="9" t="s">
        <v>765</v>
      </c>
      <c r="AF559" s="14">
        <v>1</v>
      </c>
    </row>
    <row r="560" spans="30:32" ht="15.75" customHeight="1" x14ac:dyDescent="0.15">
      <c r="AD560" s="9">
        <v>287728356</v>
      </c>
      <c r="AE560" s="9" t="s">
        <v>766</v>
      </c>
      <c r="AF560" s="14">
        <v>1</v>
      </c>
    </row>
    <row r="561" spans="30:32" ht="15.75" customHeight="1" x14ac:dyDescent="0.15">
      <c r="AD561" s="9">
        <v>287729649</v>
      </c>
      <c r="AE561" s="9" t="s">
        <v>767</v>
      </c>
      <c r="AF561" s="14">
        <v>1</v>
      </c>
    </row>
    <row r="562" spans="30:32" ht="15.75" customHeight="1" x14ac:dyDescent="0.15">
      <c r="AD562" s="9">
        <v>287764710</v>
      </c>
      <c r="AE562" s="9" t="s">
        <v>768</v>
      </c>
      <c r="AF562" s="14">
        <v>1</v>
      </c>
    </row>
    <row r="563" spans="30:32" ht="15.75" customHeight="1" x14ac:dyDescent="0.15">
      <c r="AD563" s="9">
        <v>287783169</v>
      </c>
      <c r="AE563" s="9" t="s">
        <v>769</v>
      </c>
      <c r="AF563" s="14">
        <v>1</v>
      </c>
    </row>
    <row r="564" spans="30:32" ht="15.75" customHeight="1" x14ac:dyDescent="0.15">
      <c r="AD564" s="9">
        <v>287794623</v>
      </c>
      <c r="AE564" s="9" t="s">
        <v>770</v>
      </c>
      <c r="AF564" s="14">
        <v>1</v>
      </c>
    </row>
    <row r="565" spans="30:32" ht="15.75" customHeight="1" x14ac:dyDescent="0.15">
      <c r="AD565" s="9">
        <v>287833543</v>
      </c>
      <c r="AE565" s="9" t="s">
        <v>771</v>
      </c>
      <c r="AF565" s="14">
        <v>1</v>
      </c>
    </row>
    <row r="566" spans="30:32" ht="15.75" customHeight="1" x14ac:dyDescent="0.15">
      <c r="AD566" s="9">
        <v>287836355</v>
      </c>
      <c r="AE566" s="9" t="s">
        <v>772</v>
      </c>
      <c r="AF566" s="14">
        <v>1</v>
      </c>
    </row>
    <row r="567" spans="30:32" ht="15.75" customHeight="1" x14ac:dyDescent="0.15">
      <c r="AD567" s="9">
        <v>287841414</v>
      </c>
      <c r="AE567" s="9" t="s">
        <v>773</v>
      </c>
      <c r="AF567" s="14">
        <v>1</v>
      </c>
    </row>
    <row r="568" spans="30:32" ht="15.75" customHeight="1" x14ac:dyDescent="0.15">
      <c r="AD568" s="9">
        <v>287841664</v>
      </c>
      <c r="AE568" s="9" t="s">
        <v>774</v>
      </c>
      <c r="AF568" s="14">
        <v>1</v>
      </c>
    </row>
    <row r="569" spans="30:32" ht="15.75" customHeight="1" x14ac:dyDescent="0.15">
      <c r="AD569" s="9">
        <v>287842406</v>
      </c>
      <c r="AE569" s="9" t="s">
        <v>775</v>
      </c>
      <c r="AF569" s="14">
        <v>2</v>
      </c>
    </row>
    <row r="570" spans="30:32" ht="15.75" customHeight="1" x14ac:dyDescent="0.15">
      <c r="AD570" s="9">
        <v>287843899</v>
      </c>
      <c r="AE570" s="9" t="s">
        <v>776</v>
      </c>
      <c r="AF570" s="14">
        <v>1</v>
      </c>
    </row>
    <row r="571" spans="30:32" ht="15.75" customHeight="1" x14ac:dyDescent="0.15">
      <c r="AD571" s="9">
        <v>287917298</v>
      </c>
      <c r="AE571" s="9" t="s">
        <v>777</v>
      </c>
      <c r="AF571" s="14">
        <v>1</v>
      </c>
    </row>
    <row r="572" spans="30:32" ht="15.75" customHeight="1" x14ac:dyDescent="0.15">
      <c r="AD572" s="9">
        <v>287921091</v>
      </c>
      <c r="AE572" s="9" t="s">
        <v>778</v>
      </c>
      <c r="AF572" s="14">
        <v>1</v>
      </c>
    </row>
    <row r="573" spans="30:32" ht="15.75" customHeight="1" x14ac:dyDescent="0.15">
      <c r="AD573" s="9">
        <v>287933586</v>
      </c>
      <c r="AE573" s="9" t="s">
        <v>779</v>
      </c>
      <c r="AF573" s="14">
        <v>1</v>
      </c>
    </row>
    <row r="574" spans="30:32" ht="15.75" customHeight="1" x14ac:dyDescent="0.15">
      <c r="AD574" s="9">
        <v>287934770</v>
      </c>
      <c r="AE574" s="9" t="s">
        <v>780</v>
      </c>
      <c r="AF574" s="14">
        <v>1</v>
      </c>
    </row>
    <row r="575" spans="30:32" ht="15.75" customHeight="1" x14ac:dyDescent="0.15">
      <c r="AD575" s="9">
        <v>287936075</v>
      </c>
      <c r="AE575" s="9" t="s">
        <v>781</v>
      </c>
      <c r="AF575" s="14">
        <v>1</v>
      </c>
    </row>
    <row r="576" spans="30:32" ht="15.75" customHeight="1" x14ac:dyDescent="0.15">
      <c r="AD576" s="9">
        <v>287948258</v>
      </c>
      <c r="AE576" s="9" t="s">
        <v>782</v>
      </c>
      <c r="AF576" s="14">
        <v>1</v>
      </c>
    </row>
    <row r="577" spans="30:32" ht="15.75" customHeight="1" x14ac:dyDescent="0.15">
      <c r="AD577" s="9">
        <v>287949657</v>
      </c>
      <c r="AE577" s="9" t="s">
        <v>783</v>
      </c>
      <c r="AF577" s="14">
        <v>1</v>
      </c>
    </row>
    <row r="578" spans="30:32" ht="15.75" customHeight="1" x14ac:dyDescent="0.15">
      <c r="AD578" s="9">
        <v>287958036</v>
      </c>
      <c r="AE578" s="9" t="s">
        <v>784</v>
      </c>
      <c r="AF578" s="14">
        <v>1</v>
      </c>
    </row>
    <row r="579" spans="30:32" ht="15.75" customHeight="1" x14ac:dyDescent="0.15">
      <c r="AD579" s="9">
        <v>287959593</v>
      </c>
      <c r="AE579" s="9" t="s">
        <v>785</v>
      </c>
      <c r="AF579" s="14">
        <v>1</v>
      </c>
    </row>
    <row r="580" spans="30:32" ht="15.75" customHeight="1" x14ac:dyDescent="0.15">
      <c r="AD580" s="9">
        <v>287987038</v>
      </c>
      <c r="AE580" s="9" t="s">
        <v>786</v>
      </c>
      <c r="AF580" s="14">
        <v>1</v>
      </c>
    </row>
    <row r="581" spans="30:32" ht="15.75" customHeight="1" x14ac:dyDescent="0.15">
      <c r="AD581" s="9">
        <v>288001521</v>
      </c>
      <c r="AE581" s="9" t="s">
        <v>787</v>
      </c>
      <c r="AF581" s="14">
        <v>1</v>
      </c>
    </row>
    <row r="582" spans="30:32" ht="15.75" customHeight="1" x14ac:dyDescent="0.15">
      <c r="AD582" s="9">
        <v>288005801</v>
      </c>
      <c r="AE582" s="9" t="s">
        <v>788</v>
      </c>
      <c r="AF582" s="14">
        <v>1</v>
      </c>
    </row>
    <row r="583" spans="30:32" ht="15.75" customHeight="1" x14ac:dyDescent="0.15">
      <c r="AD583" s="9">
        <v>288012983</v>
      </c>
      <c r="AE583" s="9" t="s">
        <v>789</v>
      </c>
      <c r="AF583" s="14">
        <v>1</v>
      </c>
    </row>
    <row r="584" spans="30:32" ht="15.75" customHeight="1" x14ac:dyDescent="0.15">
      <c r="AD584" s="9">
        <v>288018266</v>
      </c>
      <c r="AE584" s="9" t="s">
        <v>790</v>
      </c>
      <c r="AF584" s="14">
        <v>2</v>
      </c>
    </row>
    <row r="585" spans="30:32" ht="15.75" customHeight="1" x14ac:dyDescent="0.15">
      <c r="AD585" s="9">
        <v>288032964</v>
      </c>
      <c r="AE585" s="9" t="s">
        <v>791</v>
      </c>
      <c r="AF585" s="14">
        <v>1</v>
      </c>
    </row>
    <row r="586" spans="30:32" ht="15.75" customHeight="1" x14ac:dyDescent="0.15">
      <c r="AD586" s="9">
        <v>288034018</v>
      </c>
      <c r="AE586" s="9" t="s">
        <v>792</v>
      </c>
      <c r="AF586" s="14">
        <v>1</v>
      </c>
    </row>
    <row r="587" spans="30:32" ht="15.75" customHeight="1" x14ac:dyDescent="0.15">
      <c r="AD587" s="9">
        <v>288035498</v>
      </c>
      <c r="AE587" s="9" t="s">
        <v>793</v>
      </c>
      <c r="AF587" s="14">
        <v>1</v>
      </c>
    </row>
    <row r="588" spans="30:32" ht="15.75" customHeight="1" x14ac:dyDescent="0.15">
      <c r="AD588" s="9">
        <v>288052398</v>
      </c>
      <c r="AE588" s="9" t="s">
        <v>794</v>
      </c>
      <c r="AF588" s="14">
        <v>1</v>
      </c>
    </row>
    <row r="589" spans="30:32" ht="15.75" customHeight="1" x14ac:dyDescent="0.15">
      <c r="AD589" s="9">
        <v>288053737</v>
      </c>
      <c r="AE589" s="9" t="s">
        <v>795</v>
      </c>
      <c r="AF589" s="14">
        <v>1</v>
      </c>
    </row>
    <row r="590" spans="30:32" ht="15.75" customHeight="1" x14ac:dyDescent="0.15">
      <c r="AD590" s="9">
        <v>288053839</v>
      </c>
      <c r="AE590" s="9" t="s">
        <v>796</v>
      </c>
      <c r="AF590" s="14">
        <v>1</v>
      </c>
    </row>
    <row r="591" spans="30:32" ht="15.75" customHeight="1" x14ac:dyDescent="0.15">
      <c r="AD591" s="9">
        <v>288054315</v>
      </c>
      <c r="AE591" s="9" t="s">
        <v>797</v>
      </c>
      <c r="AF591" s="14">
        <v>1</v>
      </c>
    </row>
    <row r="592" spans="30:32" ht="15.75" customHeight="1" x14ac:dyDescent="0.15">
      <c r="AD592" s="9">
        <v>288054608</v>
      </c>
      <c r="AE592" s="9" t="s">
        <v>798</v>
      </c>
      <c r="AF592" s="14">
        <v>1</v>
      </c>
    </row>
    <row r="593" spans="30:32" ht="15.75" customHeight="1" x14ac:dyDescent="0.15">
      <c r="AD593" s="9">
        <v>288055481</v>
      </c>
      <c r="AE593" s="9" t="s">
        <v>799</v>
      </c>
      <c r="AF593" s="14">
        <v>1</v>
      </c>
    </row>
    <row r="594" spans="30:32" ht="15.75" customHeight="1" x14ac:dyDescent="0.15">
      <c r="AD594" s="9">
        <v>288055632</v>
      </c>
      <c r="AE594" s="9" t="s">
        <v>800</v>
      </c>
      <c r="AF594" s="14">
        <v>1</v>
      </c>
    </row>
    <row r="595" spans="30:32" ht="15.75" customHeight="1" x14ac:dyDescent="0.15">
      <c r="AD595" s="9">
        <v>288055919</v>
      </c>
      <c r="AE595" s="9" t="s">
        <v>801</v>
      </c>
      <c r="AF595" s="14">
        <v>1</v>
      </c>
    </row>
    <row r="596" spans="30:32" ht="15.75" customHeight="1" x14ac:dyDescent="0.15">
      <c r="AD596" s="9">
        <v>288058055</v>
      </c>
      <c r="AE596" s="9" t="s">
        <v>802</v>
      </c>
      <c r="AF596" s="14">
        <v>1</v>
      </c>
    </row>
    <row r="597" spans="30:32" ht="15.75" customHeight="1" x14ac:dyDescent="0.15">
      <c r="AD597" s="9">
        <v>288058947</v>
      </c>
      <c r="AE597" s="9" t="s">
        <v>803</v>
      </c>
      <c r="AF597" s="14">
        <v>1</v>
      </c>
    </row>
    <row r="598" spans="30:32" ht="15.75" customHeight="1" x14ac:dyDescent="0.15">
      <c r="AD598" s="9">
        <v>288061591</v>
      </c>
      <c r="AE598" s="9" t="s">
        <v>804</v>
      </c>
      <c r="AF598" s="14">
        <v>1</v>
      </c>
    </row>
    <row r="599" spans="30:32" ht="15.75" customHeight="1" x14ac:dyDescent="0.15">
      <c r="AD599" s="9">
        <v>288062179</v>
      </c>
      <c r="AE599" s="9" t="s">
        <v>805</v>
      </c>
      <c r="AF599" s="14">
        <v>1</v>
      </c>
    </row>
    <row r="600" spans="30:32" ht="15.75" customHeight="1" x14ac:dyDescent="0.15">
      <c r="AD600" s="9">
        <v>288062455</v>
      </c>
      <c r="AE600" s="9" t="s">
        <v>806</v>
      </c>
      <c r="AF600" s="14">
        <v>1</v>
      </c>
    </row>
    <row r="601" spans="30:32" ht="15.75" customHeight="1" x14ac:dyDescent="0.15">
      <c r="AD601" s="9">
        <v>288064905</v>
      </c>
      <c r="AE601" s="9" t="s">
        <v>807</v>
      </c>
      <c r="AF601" s="14">
        <v>1</v>
      </c>
    </row>
    <row r="602" spans="30:32" ht="15.75" customHeight="1" x14ac:dyDescent="0.15">
      <c r="AD602" s="9">
        <v>288065568</v>
      </c>
      <c r="AE602" s="9" t="s">
        <v>808</v>
      </c>
      <c r="AF602" s="14">
        <v>1</v>
      </c>
    </row>
    <row r="603" spans="30:32" ht="15.75" customHeight="1" x14ac:dyDescent="0.15">
      <c r="AD603" s="9">
        <v>288073094</v>
      </c>
      <c r="AE603" s="9" t="s">
        <v>809</v>
      </c>
      <c r="AF603" s="14">
        <v>1</v>
      </c>
    </row>
    <row r="604" spans="30:32" ht="15.75" customHeight="1" x14ac:dyDescent="0.15">
      <c r="AD604" s="9">
        <v>288076762</v>
      </c>
      <c r="AE604" s="9" t="s">
        <v>810</v>
      </c>
      <c r="AF604" s="14">
        <v>2</v>
      </c>
    </row>
    <row r="605" spans="30:32" ht="15.75" customHeight="1" x14ac:dyDescent="0.15">
      <c r="AD605" s="9">
        <v>288076771</v>
      </c>
      <c r="AE605" s="9" t="s">
        <v>811</v>
      </c>
      <c r="AF605" s="14">
        <v>2</v>
      </c>
    </row>
    <row r="606" spans="30:32" ht="15.75" customHeight="1" x14ac:dyDescent="0.15">
      <c r="AD606" s="9">
        <v>288076772</v>
      </c>
      <c r="AE606" s="9" t="s">
        <v>812</v>
      </c>
      <c r="AF606" s="14">
        <v>2</v>
      </c>
    </row>
    <row r="607" spans="30:32" ht="15.75" customHeight="1" x14ac:dyDescent="0.15">
      <c r="AD607" s="9">
        <v>288076801</v>
      </c>
      <c r="AE607" s="9" t="s">
        <v>813</v>
      </c>
      <c r="AF607" s="14">
        <v>2</v>
      </c>
    </row>
    <row r="608" spans="30:32" ht="15.75" customHeight="1" x14ac:dyDescent="0.15">
      <c r="AD608" s="9">
        <v>288076824</v>
      </c>
      <c r="AE608" s="9" t="s">
        <v>814</v>
      </c>
      <c r="AF608" s="14">
        <v>1</v>
      </c>
    </row>
    <row r="609" spans="30:32" ht="15.75" customHeight="1" x14ac:dyDescent="0.15">
      <c r="AD609" s="9">
        <v>288077655</v>
      </c>
      <c r="AE609" s="9" t="s">
        <v>815</v>
      </c>
      <c r="AF609" s="14">
        <v>1</v>
      </c>
    </row>
    <row r="610" spans="30:32" ht="15.75" customHeight="1" x14ac:dyDescent="0.15">
      <c r="AD610" s="9">
        <v>288081870</v>
      </c>
      <c r="AE610" s="9" t="s">
        <v>816</v>
      </c>
      <c r="AF610" s="14">
        <v>1</v>
      </c>
    </row>
    <row r="611" spans="30:32" ht="15.75" customHeight="1" x14ac:dyDescent="0.15">
      <c r="AD611" s="9">
        <v>288082662</v>
      </c>
      <c r="AE611" s="9" t="s">
        <v>817</v>
      </c>
      <c r="AF611" s="14">
        <v>1</v>
      </c>
    </row>
    <row r="612" spans="30:32" ht="15.75" customHeight="1" x14ac:dyDescent="0.15">
      <c r="AD612" s="9">
        <v>288085581</v>
      </c>
      <c r="AE612" s="9" t="s">
        <v>818</v>
      </c>
      <c r="AF612" s="14">
        <v>1</v>
      </c>
    </row>
    <row r="613" spans="30:32" ht="15.75" customHeight="1" x14ac:dyDescent="0.15">
      <c r="AD613" s="9">
        <v>288089832</v>
      </c>
      <c r="AE613" s="9" t="s">
        <v>819</v>
      </c>
      <c r="AF613" s="14">
        <v>3</v>
      </c>
    </row>
    <row r="614" spans="30:32" ht="15.75" customHeight="1" x14ac:dyDescent="0.15">
      <c r="AD614" s="9">
        <v>288114604</v>
      </c>
      <c r="AE614" s="9" t="s">
        <v>820</v>
      </c>
      <c r="AF614" s="14">
        <v>1</v>
      </c>
    </row>
    <row r="615" spans="30:32" ht="15.75" customHeight="1" x14ac:dyDescent="0.15">
      <c r="AD615" s="9">
        <v>288127455</v>
      </c>
      <c r="AE615" s="9" t="s">
        <v>821</v>
      </c>
      <c r="AF615" s="14">
        <v>1</v>
      </c>
    </row>
    <row r="616" spans="30:32" ht="15.75" customHeight="1" x14ac:dyDescent="0.15">
      <c r="AD616" s="9">
        <v>288141136</v>
      </c>
      <c r="AE616" s="9" t="s">
        <v>822</v>
      </c>
      <c r="AF616" s="14">
        <v>1</v>
      </c>
    </row>
    <row r="617" spans="30:32" ht="15.75" customHeight="1" x14ac:dyDescent="0.15">
      <c r="AD617" s="9">
        <v>288141720</v>
      </c>
      <c r="AE617" s="9" t="s">
        <v>823</v>
      </c>
      <c r="AF617" s="14">
        <v>1</v>
      </c>
    </row>
    <row r="618" spans="30:32" ht="15.75" customHeight="1" x14ac:dyDescent="0.15">
      <c r="AD618" s="9">
        <v>288142696</v>
      </c>
      <c r="AE618" s="9" t="s">
        <v>824</v>
      </c>
      <c r="AF618" s="14">
        <v>1</v>
      </c>
    </row>
    <row r="619" spans="30:32" ht="15.75" customHeight="1" x14ac:dyDescent="0.15">
      <c r="AD619" s="9">
        <v>288143660</v>
      </c>
      <c r="AE619" s="9" t="s">
        <v>825</v>
      </c>
      <c r="AF619" s="14">
        <v>1</v>
      </c>
    </row>
    <row r="620" spans="30:32" ht="15.75" customHeight="1" x14ac:dyDescent="0.15">
      <c r="AD620" s="9">
        <v>288145379</v>
      </c>
      <c r="AE620" s="9" t="s">
        <v>826</v>
      </c>
      <c r="AF620" s="14">
        <v>1</v>
      </c>
    </row>
    <row r="621" spans="30:32" ht="15.75" customHeight="1" x14ac:dyDescent="0.15">
      <c r="AD621" s="9">
        <v>288145385</v>
      </c>
      <c r="AE621" s="9" t="s">
        <v>827</v>
      </c>
      <c r="AF621" s="14">
        <v>1</v>
      </c>
    </row>
    <row r="622" spans="30:32" ht="15.75" customHeight="1" x14ac:dyDescent="0.15">
      <c r="AD622" s="9">
        <v>288150586</v>
      </c>
      <c r="AE622" s="9" t="s">
        <v>828</v>
      </c>
      <c r="AF622" s="14">
        <v>2</v>
      </c>
    </row>
    <row r="623" spans="30:32" ht="15.75" customHeight="1" x14ac:dyDescent="0.15">
      <c r="AD623" s="9">
        <v>288153052</v>
      </c>
      <c r="AE623" s="9" t="s">
        <v>829</v>
      </c>
      <c r="AF623" s="14">
        <v>1</v>
      </c>
    </row>
    <row r="624" spans="30:32" ht="15.75" customHeight="1" x14ac:dyDescent="0.15">
      <c r="AD624" s="9">
        <v>288177562</v>
      </c>
      <c r="AE624" s="9" t="s">
        <v>830</v>
      </c>
      <c r="AF624" s="14">
        <v>1</v>
      </c>
    </row>
    <row r="625" spans="30:32" ht="15.75" customHeight="1" x14ac:dyDescent="0.15">
      <c r="AD625" s="9">
        <v>288194017</v>
      </c>
      <c r="AE625" s="9" t="s">
        <v>831</v>
      </c>
      <c r="AF625" s="14">
        <v>1</v>
      </c>
    </row>
    <row r="626" spans="30:32" ht="15.75" customHeight="1" x14ac:dyDescent="0.15">
      <c r="AD626" s="9">
        <v>288196425</v>
      </c>
      <c r="AE626" s="9" t="s">
        <v>832</v>
      </c>
      <c r="AF626" s="14">
        <v>1</v>
      </c>
    </row>
    <row r="627" spans="30:32" ht="15.75" customHeight="1" x14ac:dyDescent="0.15">
      <c r="AD627" s="9">
        <v>288226565</v>
      </c>
      <c r="AE627" s="9" t="s">
        <v>833</v>
      </c>
      <c r="AF627" s="14">
        <v>1</v>
      </c>
    </row>
    <row r="628" spans="30:32" ht="15.75" customHeight="1" x14ac:dyDescent="0.15">
      <c r="AD628" s="9">
        <v>288265891</v>
      </c>
      <c r="AE628" s="9" t="s">
        <v>834</v>
      </c>
      <c r="AF628" s="14">
        <v>1</v>
      </c>
    </row>
    <row r="629" spans="30:32" ht="15.75" customHeight="1" x14ac:dyDescent="0.15">
      <c r="AD629" s="9">
        <v>288303929</v>
      </c>
      <c r="AE629" s="9" t="s">
        <v>835</v>
      </c>
      <c r="AF629" s="14">
        <v>2</v>
      </c>
    </row>
    <row r="630" spans="30:32" ht="15.75" customHeight="1" x14ac:dyDescent="0.15">
      <c r="AD630" s="9">
        <v>288303974</v>
      </c>
      <c r="AE630" s="9" t="s">
        <v>836</v>
      </c>
      <c r="AF630" s="14">
        <v>1</v>
      </c>
    </row>
    <row r="631" spans="30:32" ht="15.75" customHeight="1" x14ac:dyDescent="0.15">
      <c r="AD631" s="9">
        <v>288313883</v>
      </c>
      <c r="AE631" s="9" t="s">
        <v>837</v>
      </c>
      <c r="AF631" s="14">
        <v>2</v>
      </c>
    </row>
    <row r="632" spans="30:32" ht="15.75" customHeight="1" x14ac:dyDescent="0.15">
      <c r="AD632" s="9">
        <v>288322539</v>
      </c>
      <c r="AE632" s="9" t="s">
        <v>838</v>
      </c>
      <c r="AF632" s="14">
        <v>1</v>
      </c>
    </row>
    <row r="633" spans="30:32" ht="15.75" customHeight="1" x14ac:dyDescent="0.15">
      <c r="AD633" s="9">
        <v>288417615</v>
      </c>
      <c r="AE633" s="9" t="s">
        <v>839</v>
      </c>
      <c r="AF633" s="14">
        <v>1</v>
      </c>
    </row>
    <row r="634" spans="30:32" ht="15.75" customHeight="1" x14ac:dyDescent="0.15">
      <c r="AD634" s="9">
        <v>288418652</v>
      </c>
      <c r="AE634" s="9" t="s">
        <v>840</v>
      </c>
      <c r="AF634" s="14">
        <v>1</v>
      </c>
    </row>
    <row r="635" spans="30:32" ht="15.75" customHeight="1" x14ac:dyDescent="0.15">
      <c r="AD635" s="9">
        <v>288443490</v>
      </c>
      <c r="AE635" s="9" t="s">
        <v>841</v>
      </c>
      <c r="AF635" s="14">
        <v>1</v>
      </c>
    </row>
    <row r="636" spans="30:32" ht="15.75" customHeight="1" x14ac:dyDescent="0.15">
      <c r="AD636" s="9">
        <v>288448061</v>
      </c>
      <c r="AE636" s="9" t="s">
        <v>842</v>
      </c>
      <c r="AF636" s="14">
        <v>1</v>
      </c>
    </row>
    <row r="637" spans="30:32" ht="15.75" customHeight="1" x14ac:dyDescent="0.15">
      <c r="AD637" s="9">
        <v>288448085</v>
      </c>
      <c r="AE637" s="9" t="s">
        <v>843</v>
      </c>
      <c r="AF637" s="14">
        <v>1</v>
      </c>
    </row>
    <row r="638" spans="30:32" ht="15.75" customHeight="1" x14ac:dyDescent="0.15">
      <c r="AD638" s="9">
        <v>288454055</v>
      </c>
      <c r="AE638" s="9" t="s">
        <v>844</v>
      </c>
      <c r="AF638" s="14">
        <v>2</v>
      </c>
    </row>
    <row r="639" spans="30:32" ht="15.75" customHeight="1" x14ac:dyDescent="0.15">
      <c r="AD639" s="9">
        <v>28905247</v>
      </c>
      <c r="AE639" s="9" t="s">
        <v>13</v>
      </c>
      <c r="AF639" s="14">
        <v>1</v>
      </c>
    </row>
    <row r="640" spans="30:32" ht="15.75" customHeight="1" x14ac:dyDescent="0.15">
      <c r="AD640" s="9">
        <v>28908236</v>
      </c>
      <c r="AE640" s="9" t="s">
        <v>14</v>
      </c>
      <c r="AF640" s="14">
        <v>1</v>
      </c>
    </row>
    <row r="641" spans="30:32" ht="15.75" customHeight="1" x14ac:dyDescent="0.15">
      <c r="AD641" s="9">
        <v>28908436</v>
      </c>
      <c r="AE641" s="9" t="s">
        <v>15</v>
      </c>
      <c r="AF641" s="14">
        <v>3</v>
      </c>
    </row>
    <row r="642" spans="30:32" ht="15.75" customHeight="1" x14ac:dyDescent="0.15">
      <c r="AD642" s="9">
        <v>28926613</v>
      </c>
      <c r="AE642" s="9" t="s">
        <v>16</v>
      </c>
      <c r="AF642" s="14">
        <v>1</v>
      </c>
    </row>
    <row r="643" spans="30:32" ht="15.75" customHeight="1" x14ac:dyDescent="0.15">
      <c r="AD643" s="9">
        <v>28933368</v>
      </c>
      <c r="AE643" s="9" t="s">
        <v>17</v>
      </c>
      <c r="AF643" s="14">
        <v>3</v>
      </c>
    </row>
    <row r="644" spans="30:32" ht="15.75" customHeight="1" x14ac:dyDescent="0.15">
      <c r="AD644" s="9">
        <v>28963554</v>
      </c>
      <c r="AE644" s="9" t="s">
        <v>18</v>
      </c>
      <c r="AF644" s="14">
        <v>7</v>
      </c>
    </row>
    <row r="645" spans="30:32" ht="15.75" customHeight="1" x14ac:dyDescent="0.15">
      <c r="AD645" s="9">
        <v>28985034</v>
      </c>
      <c r="AE645" s="9" t="s">
        <v>19</v>
      </c>
      <c r="AF645" s="14">
        <v>4</v>
      </c>
    </row>
    <row r="646" spans="30:32" ht="15.75" customHeight="1" x14ac:dyDescent="0.15">
      <c r="AD646" s="9">
        <v>28989864</v>
      </c>
      <c r="AE646" s="9" t="s">
        <v>20</v>
      </c>
      <c r="AF646" s="14">
        <v>2</v>
      </c>
    </row>
    <row r="647" spans="30:32" ht="15.75" customHeight="1" x14ac:dyDescent="0.15">
      <c r="AD647" s="9">
        <v>29001552</v>
      </c>
      <c r="AE647" s="9" t="s">
        <v>21</v>
      </c>
      <c r="AF647" s="14">
        <v>4</v>
      </c>
    </row>
    <row r="648" spans="30:32" ht="15.75" customHeight="1" x14ac:dyDescent="0.15">
      <c r="AD648" s="9">
        <v>29002720</v>
      </c>
      <c r="AE648" s="9" t="s">
        <v>22</v>
      </c>
      <c r="AF648" s="14">
        <v>1</v>
      </c>
    </row>
    <row r="649" spans="30:32" ht="15.75" customHeight="1" x14ac:dyDescent="0.15">
      <c r="AD649" s="9">
        <v>29013507</v>
      </c>
      <c r="AE649" s="9" t="s">
        <v>23</v>
      </c>
      <c r="AF649" s="14">
        <v>2</v>
      </c>
    </row>
    <row r="650" spans="30:32" ht="15.75" customHeight="1" x14ac:dyDescent="0.15">
      <c r="AD650" s="9">
        <v>29022130</v>
      </c>
      <c r="AE650" s="9" t="s">
        <v>24</v>
      </c>
      <c r="AF650" s="14">
        <v>1</v>
      </c>
    </row>
    <row r="651" spans="30:32" ht="15.75" customHeight="1" x14ac:dyDescent="0.15">
      <c r="AD651" s="9">
        <v>29024381</v>
      </c>
      <c r="AE651" s="9" t="s">
        <v>25</v>
      </c>
      <c r="AF651" s="14">
        <v>17</v>
      </c>
    </row>
    <row r="652" spans="30:32" ht="15.75" customHeight="1" x14ac:dyDescent="0.15">
      <c r="AD652" s="9">
        <v>29029887</v>
      </c>
      <c r="AE652" s="9" t="s">
        <v>29</v>
      </c>
      <c r="AF652" s="14">
        <v>2</v>
      </c>
    </row>
    <row r="653" spans="30:32" ht="15.75" customHeight="1" x14ac:dyDescent="0.15">
      <c r="AD653" s="9">
        <v>29109980</v>
      </c>
      <c r="AE653" s="9" t="s">
        <v>30</v>
      </c>
      <c r="AF653" s="14">
        <v>1</v>
      </c>
    </row>
    <row r="654" spans="30:32" ht="15.75" customHeight="1" x14ac:dyDescent="0.15">
      <c r="AD654" s="9">
        <v>29129871</v>
      </c>
      <c r="AE654" s="9" t="s">
        <v>31</v>
      </c>
      <c r="AF654" s="14">
        <v>1</v>
      </c>
    </row>
    <row r="655" spans="30:32" ht="15.75" customHeight="1" x14ac:dyDescent="0.15">
      <c r="AD655" s="9">
        <v>29148269</v>
      </c>
      <c r="AE655" s="9" t="s">
        <v>1084</v>
      </c>
      <c r="AF655" s="14">
        <v>3</v>
      </c>
    </row>
    <row r="656" spans="30:32" ht="15.75" customHeight="1" x14ac:dyDescent="0.15">
      <c r="AD656" s="9">
        <v>29150877</v>
      </c>
      <c r="AE656" s="9" t="s">
        <v>32</v>
      </c>
      <c r="AF656" s="14">
        <v>4</v>
      </c>
    </row>
    <row r="657" spans="30:32" ht="15.75" customHeight="1" x14ac:dyDescent="0.15">
      <c r="AD657" s="9">
        <v>29153617</v>
      </c>
      <c r="AE657" s="9" t="s">
        <v>33</v>
      </c>
      <c r="AF657" s="14">
        <v>1</v>
      </c>
    </row>
    <row r="658" spans="30:32" ht="15.75" customHeight="1" x14ac:dyDescent="0.15">
      <c r="AD658" s="9">
        <v>29167220</v>
      </c>
      <c r="AE658" s="9" t="s">
        <v>34</v>
      </c>
      <c r="AF658" s="14">
        <v>1</v>
      </c>
    </row>
    <row r="659" spans="30:32" ht="15.75" customHeight="1" x14ac:dyDescent="0.15">
      <c r="AD659" s="9">
        <v>29208194</v>
      </c>
      <c r="AE659" s="9" t="s">
        <v>35</v>
      </c>
      <c r="AF659" s="14">
        <v>1</v>
      </c>
    </row>
    <row r="660" spans="30:32" ht="15.75" customHeight="1" x14ac:dyDescent="0.15">
      <c r="AD660" s="9">
        <v>29237015</v>
      </c>
      <c r="AE660" s="9" t="s">
        <v>1091</v>
      </c>
      <c r="AF660" s="14">
        <v>1</v>
      </c>
    </row>
    <row r="661" spans="30:32" ht="15.75" customHeight="1" x14ac:dyDescent="0.15">
      <c r="AD661" s="9">
        <v>29423346</v>
      </c>
      <c r="AE661" s="9" t="s">
        <v>36</v>
      </c>
      <c r="AF661" s="14">
        <v>5</v>
      </c>
    </row>
    <row r="662" spans="30:32" ht="15.75" customHeight="1" x14ac:dyDescent="0.15">
      <c r="AD662" s="9">
        <v>29470311</v>
      </c>
      <c r="AE662" s="9" t="s">
        <v>1099</v>
      </c>
      <c r="AF662" s="14">
        <v>1</v>
      </c>
    </row>
    <row r="663" spans="30:32" ht="15.75" customHeight="1" x14ac:dyDescent="0.15">
      <c r="AD663" s="9">
        <v>29572986</v>
      </c>
      <c r="AE663" s="9" t="s">
        <v>1101</v>
      </c>
      <c r="AF663" s="14">
        <v>1</v>
      </c>
    </row>
    <row r="664" spans="30:32" ht="15.75" customHeight="1" x14ac:dyDescent="0.15">
      <c r="AD664" s="9">
        <v>29648947</v>
      </c>
      <c r="AE664" s="9" t="s">
        <v>37</v>
      </c>
      <c r="AF664" s="14">
        <v>4</v>
      </c>
    </row>
    <row r="665" spans="30:32" ht="15.75" customHeight="1" x14ac:dyDescent="0.15">
      <c r="AD665" s="9">
        <v>29664907</v>
      </c>
      <c r="AE665" s="9" t="s">
        <v>38</v>
      </c>
      <c r="AF665" s="14">
        <v>1</v>
      </c>
    </row>
    <row r="666" spans="30:32" ht="15.75" customHeight="1" x14ac:dyDescent="0.15">
      <c r="AD666" s="9">
        <v>29668979</v>
      </c>
      <c r="AE666" s="9" t="s">
        <v>39</v>
      </c>
      <c r="AF666" s="14">
        <v>3</v>
      </c>
    </row>
    <row r="667" spans="30:32" ht="15.75" customHeight="1" x14ac:dyDescent="0.15">
      <c r="AD667" s="9">
        <v>30230413</v>
      </c>
      <c r="AE667" s="9" t="s">
        <v>40</v>
      </c>
      <c r="AF667" s="14">
        <v>1</v>
      </c>
    </row>
    <row r="668" spans="30:32" ht="15.75" customHeight="1" x14ac:dyDescent="0.15">
      <c r="AD668" s="9">
        <v>30232575</v>
      </c>
      <c r="AE668" s="9" t="s">
        <v>41</v>
      </c>
      <c r="AF668" s="14">
        <v>2</v>
      </c>
    </row>
    <row r="669" spans="30:32" ht="15.75" customHeight="1" x14ac:dyDescent="0.15">
      <c r="AD669" s="9">
        <v>30236247</v>
      </c>
      <c r="AE669" s="9" t="s">
        <v>42</v>
      </c>
      <c r="AF669" s="14">
        <v>1</v>
      </c>
    </row>
    <row r="670" spans="30:32" ht="15.75" customHeight="1" x14ac:dyDescent="0.15">
      <c r="AD670" s="9">
        <v>30236381</v>
      </c>
      <c r="AE670" s="9" t="s">
        <v>43</v>
      </c>
      <c r="AF670" s="14">
        <v>1</v>
      </c>
    </row>
    <row r="671" spans="30:32" ht="15.75" customHeight="1" x14ac:dyDescent="0.15">
      <c r="AD671" s="9">
        <v>30243874</v>
      </c>
      <c r="AE671" s="9" t="s">
        <v>44</v>
      </c>
      <c r="AF671" s="14">
        <v>1</v>
      </c>
    </row>
    <row r="672" spans="30:32" ht="15.75" customHeight="1" x14ac:dyDescent="0.15">
      <c r="AD672" s="9">
        <v>30246297</v>
      </c>
      <c r="AE672" s="9" t="s">
        <v>45</v>
      </c>
      <c r="AF672" s="14">
        <v>1</v>
      </c>
    </row>
    <row r="673" spans="30:32" ht="15.75" customHeight="1" x14ac:dyDescent="0.15">
      <c r="AD673" s="9">
        <v>30259226</v>
      </c>
      <c r="AE673" s="9" t="s">
        <v>46</v>
      </c>
      <c r="AF673" s="14">
        <v>1</v>
      </c>
    </row>
    <row r="674" spans="30:32" ht="15.75" customHeight="1" x14ac:dyDescent="0.15">
      <c r="AD674" s="9">
        <v>30260574</v>
      </c>
      <c r="AE674" s="9" t="s">
        <v>47</v>
      </c>
      <c r="AF674" s="14">
        <v>1</v>
      </c>
    </row>
    <row r="675" spans="30:32" ht="15.75" customHeight="1" x14ac:dyDescent="0.15">
      <c r="AD675" s="9">
        <v>30269691</v>
      </c>
      <c r="AE675" s="9" t="s">
        <v>1115</v>
      </c>
      <c r="AF675" s="14">
        <v>1</v>
      </c>
    </row>
    <row r="676" spans="30:32" ht="15.75" customHeight="1" x14ac:dyDescent="0.15">
      <c r="AD676" s="9">
        <v>30270634</v>
      </c>
      <c r="AE676" s="9" t="s">
        <v>1116</v>
      </c>
      <c r="AF676" s="14">
        <v>1</v>
      </c>
    </row>
    <row r="677" spans="30:32" ht="15.75" customHeight="1" x14ac:dyDescent="0.15">
      <c r="AD677" s="9">
        <v>30272782</v>
      </c>
      <c r="AE677" s="9" t="s">
        <v>48</v>
      </c>
      <c r="AF677" s="14">
        <v>1</v>
      </c>
    </row>
    <row r="678" spans="30:32" ht="15.75" customHeight="1" x14ac:dyDescent="0.15">
      <c r="AD678" s="9">
        <v>30284991</v>
      </c>
      <c r="AE678" s="9" t="s">
        <v>49</v>
      </c>
      <c r="AF678" s="14">
        <v>3</v>
      </c>
    </row>
    <row r="679" spans="30:32" ht="15.75" customHeight="1" x14ac:dyDescent="0.15">
      <c r="AD679" s="9">
        <v>30288116</v>
      </c>
      <c r="AE679" s="9" t="s">
        <v>50</v>
      </c>
      <c r="AF679" s="14">
        <v>1</v>
      </c>
    </row>
    <row r="680" spans="30:32" ht="15.75" customHeight="1" x14ac:dyDescent="0.15">
      <c r="AD680" s="9">
        <v>30294983</v>
      </c>
      <c r="AE680" s="9" t="s">
        <v>1119</v>
      </c>
      <c r="AF680" s="14">
        <v>1</v>
      </c>
    </row>
    <row r="681" spans="30:32" ht="15.75" customHeight="1" x14ac:dyDescent="0.15">
      <c r="AD681" s="9">
        <v>30297913</v>
      </c>
      <c r="AE681" s="9" t="s">
        <v>51</v>
      </c>
      <c r="AF681" s="14">
        <v>2</v>
      </c>
    </row>
    <row r="682" spans="30:32" ht="15.75" customHeight="1" x14ac:dyDescent="0.15">
      <c r="AD682" s="9">
        <v>30299373</v>
      </c>
      <c r="AE682" s="9" t="s">
        <v>52</v>
      </c>
      <c r="AF682" s="14">
        <v>1</v>
      </c>
    </row>
    <row r="683" spans="30:32" ht="15.75" customHeight="1" x14ac:dyDescent="0.15">
      <c r="AD683" s="9">
        <v>30303449</v>
      </c>
      <c r="AE683" s="9" t="s">
        <v>53</v>
      </c>
      <c r="AF683" s="14">
        <v>1</v>
      </c>
    </row>
    <row r="684" spans="30:32" ht="15.75" customHeight="1" x14ac:dyDescent="0.15">
      <c r="AD684" s="9">
        <v>30304792</v>
      </c>
      <c r="AE684" s="9" t="s">
        <v>1120</v>
      </c>
      <c r="AF684" s="14">
        <v>1</v>
      </c>
    </row>
    <row r="685" spans="30:32" ht="15.75" customHeight="1" x14ac:dyDescent="0.15">
      <c r="AD685" s="9">
        <v>30318278</v>
      </c>
      <c r="AE685" s="9" t="s">
        <v>54</v>
      </c>
      <c r="AF685" s="14">
        <v>8</v>
      </c>
    </row>
    <row r="686" spans="30:32" ht="15.75" customHeight="1" x14ac:dyDescent="0.15">
      <c r="AD686" s="9">
        <v>30328219</v>
      </c>
      <c r="AE686" s="9" t="s">
        <v>55</v>
      </c>
      <c r="AF686" s="14">
        <v>1</v>
      </c>
    </row>
    <row r="687" spans="30:32" ht="15.75" customHeight="1" x14ac:dyDescent="0.15">
      <c r="AD687" s="9">
        <v>30333900</v>
      </c>
      <c r="AE687" s="9" t="s">
        <v>56</v>
      </c>
      <c r="AF687" s="14">
        <v>3</v>
      </c>
    </row>
    <row r="688" spans="30:32" ht="15.75" customHeight="1" x14ac:dyDescent="0.15">
      <c r="AD688" s="9">
        <v>30336858</v>
      </c>
      <c r="AE688" s="9" t="s">
        <v>1127</v>
      </c>
      <c r="AF688" s="14">
        <v>2</v>
      </c>
    </row>
    <row r="689" spans="30:32" ht="15.75" customHeight="1" x14ac:dyDescent="0.15">
      <c r="AD689" s="9">
        <v>30347930</v>
      </c>
      <c r="AE689" s="9" t="s">
        <v>57</v>
      </c>
      <c r="AF689" s="14">
        <v>1</v>
      </c>
    </row>
    <row r="690" spans="30:32" ht="15.75" customHeight="1" x14ac:dyDescent="0.15">
      <c r="AD690" s="9">
        <v>30350943</v>
      </c>
      <c r="AE690" s="9" t="s">
        <v>58</v>
      </c>
      <c r="AF690" s="14">
        <v>14</v>
      </c>
    </row>
    <row r="691" spans="30:32" ht="15.75" customHeight="1" x14ac:dyDescent="0.15">
      <c r="AD691" s="9">
        <v>30351065</v>
      </c>
      <c r="AE691" s="9" t="s">
        <v>59</v>
      </c>
      <c r="AF691" s="14">
        <v>2</v>
      </c>
    </row>
    <row r="692" spans="30:32" ht="15.75" customHeight="1" x14ac:dyDescent="0.15">
      <c r="AD692" s="9">
        <v>30353594</v>
      </c>
      <c r="AE692" s="9" t="s">
        <v>60</v>
      </c>
      <c r="AF692" s="14">
        <v>2</v>
      </c>
    </row>
    <row r="693" spans="30:32" ht="15.75" customHeight="1" x14ac:dyDescent="0.15">
      <c r="AD693" s="9">
        <v>30353932</v>
      </c>
      <c r="AE693" s="9" t="s">
        <v>61</v>
      </c>
      <c r="AF693" s="14">
        <v>1</v>
      </c>
    </row>
    <row r="694" spans="30:32" ht="15.75" customHeight="1" x14ac:dyDescent="0.15">
      <c r="AD694" s="9">
        <v>30354096</v>
      </c>
      <c r="AE694" s="9" t="s">
        <v>62</v>
      </c>
      <c r="AF694" s="14">
        <v>34</v>
      </c>
    </row>
    <row r="695" spans="30:32" ht="15.75" customHeight="1" x14ac:dyDescent="0.15">
      <c r="AD695" s="9">
        <v>30354241</v>
      </c>
      <c r="AE695" s="9" t="s">
        <v>1178</v>
      </c>
      <c r="AF695" s="14">
        <v>2</v>
      </c>
    </row>
    <row r="696" spans="30:32" ht="15.75" customHeight="1" x14ac:dyDescent="0.15">
      <c r="AD696" s="9">
        <v>30361441</v>
      </c>
      <c r="AE696" s="9" t="s">
        <v>1180</v>
      </c>
      <c r="AF696" s="14">
        <v>8</v>
      </c>
    </row>
    <row r="697" spans="30:32" ht="15.75" customHeight="1" x14ac:dyDescent="0.15">
      <c r="AD697" s="9">
        <v>30362373</v>
      </c>
      <c r="AE697" s="9" t="s">
        <v>1196</v>
      </c>
      <c r="AF697" s="14">
        <v>4</v>
      </c>
    </row>
    <row r="698" spans="30:32" ht="15.75" customHeight="1" x14ac:dyDescent="0.15">
      <c r="AD698" s="9">
        <v>30367414</v>
      </c>
      <c r="AE698" s="9" t="s">
        <v>63</v>
      </c>
      <c r="AF698" s="14">
        <v>10</v>
      </c>
    </row>
    <row r="699" spans="30:32" ht="15.75" customHeight="1" x14ac:dyDescent="0.15">
      <c r="AD699" s="9">
        <v>30368454</v>
      </c>
      <c r="AE699" s="9" t="s">
        <v>1205</v>
      </c>
      <c r="AF699" s="14">
        <v>1</v>
      </c>
    </row>
    <row r="700" spans="30:32" ht="15.75" customHeight="1" x14ac:dyDescent="0.15">
      <c r="AD700" s="9">
        <v>30372739</v>
      </c>
      <c r="AE700" s="9" t="s">
        <v>64</v>
      </c>
      <c r="AF700" s="14">
        <v>5</v>
      </c>
    </row>
    <row r="701" spans="30:32" ht="15.75" customHeight="1" x14ac:dyDescent="0.15">
      <c r="AD701" s="9">
        <v>30375955</v>
      </c>
      <c r="AE701" s="9" t="s">
        <v>65</v>
      </c>
      <c r="AF701" s="14">
        <v>7</v>
      </c>
    </row>
    <row r="702" spans="30:32" ht="15.75" customHeight="1" x14ac:dyDescent="0.15">
      <c r="AD702" s="9">
        <v>30516885</v>
      </c>
      <c r="AE702" s="9" t="s">
        <v>66</v>
      </c>
      <c r="AF702" s="14">
        <v>2</v>
      </c>
    </row>
    <row r="703" spans="30:32" ht="15.75" customHeight="1" x14ac:dyDescent="0.15">
      <c r="AD703" s="9">
        <v>30520444</v>
      </c>
      <c r="AE703" s="9" t="s">
        <v>67</v>
      </c>
      <c r="AF703" s="14">
        <v>1</v>
      </c>
    </row>
    <row r="704" spans="30:32" ht="15.75" customHeight="1" x14ac:dyDescent="0.15">
      <c r="AD704" s="9">
        <v>30521340</v>
      </c>
      <c r="AE704" s="9" t="s">
        <v>68</v>
      </c>
      <c r="AF704" s="14">
        <v>2</v>
      </c>
    </row>
    <row r="705" spans="30:32" ht="15.75" customHeight="1" x14ac:dyDescent="0.15">
      <c r="AD705" s="9">
        <v>30524924</v>
      </c>
      <c r="AE705" s="9" t="s">
        <v>69</v>
      </c>
      <c r="AF705" s="14">
        <v>6</v>
      </c>
    </row>
    <row r="706" spans="30:32" ht="15.75" customHeight="1" x14ac:dyDescent="0.15">
      <c r="AD706" s="9">
        <v>30528291</v>
      </c>
      <c r="AE706" s="9" t="s">
        <v>70</v>
      </c>
      <c r="AF706" s="14">
        <v>1</v>
      </c>
    </row>
    <row r="707" spans="30:32" ht="15.75" customHeight="1" x14ac:dyDescent="0.15">
      <c r="AD707" s="9">
        <v>30531435</v>
      </c>
      <c r="AE707" s="9" t="s">
        <v>71</v>
      </c>
      <c r="AF707" s="14">
        <v>1</v>
      </c>
    </row>
    <row r="708" spans="30:32" ht="15.75" customHeight="1" x14ac:dyDescent="0.15">
      <c r="AD708" s="9">
        <v>30535203</v>
      </c>
      <c r="AE708" s="9" t="s">
        <v>72</v>
      </c>
      <c r="AF708" s="14">
        <v>21</v>
      </c>
    </row>
    <row r="709" spans="30:32" ht="15.75" customHeight="1" x14ac:dyDescent="0.15">
      <c r="AD709" s="9">
        <v>30536447</v>
      </c>
      <c r="AE709" s="9" t="s">
        <v>73</v>
      </c>
      <c r="AF709" s="14">
        <v>9</v>
      </c>
    </row>
    <row r="710" spans="30:32" ht="15.75" customHeight="1" x14ac:dyDescent="0.15">
      <c r="AD710" s="9">
        <v>30538014</v>
      </c>
      <c r="AE710" s="9" t="s">
        <v>74</v>
      </c>
      <c r="AF710" s="14">
        <v>2</v>
      </c>
    </row>
    <row r="711" spans="30:32" ht="15.75" customHeight="1" x14ac:dyDescent="0.15">
      <c r="AD711" s="9">
        <v>30542712</v>
      </c>
      <c r="AE711" s="9" t="s">
        <v>75</v>
      </c>
      <c r="AF711" s="14">
        <v>2</v>
      </c>
    </row>
    <row r="712" spans="30:32" ht="15.75" customHeight="1" x14ac:dyDescent="0.15">
      <c r="AD712" s="9">
        <v>30542898</v>
      </c>
      <c r="AE712" s="9" t="s">
        <v>76</v>
      </c>
      <c r="AF712" s="14">
        <v>1</v>
      </c>
    </row>
    <row r="713" spans="30:32" ht="15.75" customHeight="1" x14ac:dyDescent="0.15">
      <c r="AD713" s="9">
        <v>30543128</v>
      </c>
      <c r="AE713" s="9" t="s">
        <v>77</v>
      </c>
      <c r="AF713" s="14">
        <v>1</v>
      </c>
    </row>
    <row r="714" spans="30:32" ht="15.75" customHeight="1" x14ac:dyDescent="0.15">
      <c r="AD714" s="9">
        <v>30551431</v>
      </c>
      <c r="AE714" s="9" t="s">
        <v>78</v>
      </c>
      <c r="AF714" s="14">
        <v>2</v>
      </c>
    </row>
    <row r="715" spans="30:32" ht="15.75" customHeight="1" x14ac:dyDescent="0.15">
      <c r="AD715" s="9">
        <v>30553214</v>
      </c>
      <c r="AE715" s="9" t="s">
        <v>79</v>
      </c>
      <c r="AF715" s="14">
        <v>2</v>
      </c>
    </row>
    <row r="716" spans="30:32" ht="15.75" customHeight="1" x14ac:dyDescent="0.15">
      <c r="AD716" s="9">
        <v>30559409</v>
      </c>
      <c r="AE716" s="9" t="s">
        <v>80</v>
      </c>
      <c r="AF716" s="14">
        <v>1</v>
      </c>
    </row>
    <row r="717" spans="30:32" ht="15.75" customHeight="1" x14ac:dyDescent="0.15">
      <c r="AD717" s="9">
        <v>30563115</v>
      </c>
      <c r="AE717" s="9" t="s">
        <v>81</v>
      </c>
      <c r="AF717" s="14">
        <v>1</v>
      </c>
    </row>
    <row r="718" spans="30:32" ht="15.75" customHeight="1" x14ac:dyDescent="0.15">
      <c r="AD718" s="9">
        <v>30566725</v>
      </c>
      <c r="AE718" s="9" t="s">
        <v>1255</v>
      </c>
      <c r="AF718" s="14">
        <v>5</v>
      </c>
    </row>
    <row r="719" spans="30:32" ht="15.75" customHeight="1" x14ac:dyDescent="0.15">
      <c r="AD719" s="9">
        <v>30573656</v>
      </c>
      <c r="AE719" s="9" t="s">
        <v>82</v>
      </c>
      <c r="AF719" s="14">
        <v>1</v>
      </c>
    </row>
    <row r="720" spans="30:32" ht="15.75" customHeight="1" x14ac:dyDescent="0.15">
      <c r="AD720" s="9">
        <v>30583112</v>
      </c>
      <c r="AE720" s="9" t="s">
        <v>83</v>
      </c>
      <c r="AF720" s="14">
        <v>1</v>
      </c>
    </row>
    <row r="721" spans="30:32" ht="15.75" customHeight="1" x14ac:dyDescent="0.15">
      <c r="AD721" s="9">
        <v>30607626</v>
      </c>
      <c r="AE721" s="9" t="s">
        <v>84</v>
      </c>
      <c r="AF721" s="14">
        <v>2</v>
      </c>
    </row>
    <row r="722" spans="30:32" ht="15.75" customHeight="1" x14ac:dyDescent="0.15">
      <c r="AD722" s="9">
        <v>30609362</v>
      </c>
      <c r="AE722" s="9" t="s">
        <v>85</v>
      </c>
      <c r="AF722" s="14">
        <v>4</v>
      </c>
    </row>
    <row r="723" spans="30:32" ht="15.75" customHeight="1" x14ac:dyDescent="0.15">
      <c r="AD723" s="9">
        <v>30618362</v>
      </c>
      <c r="AE723" s="9" t="s">
        <v>1260</v>
      </c>
      <c r="AF723" s="14">
        <v>1</v>
      </c>
    </row>
    <row r="724" spans="30:32" ht="15.75" customHeight="1" x14ac:dyDescent="0.15">
      <c r="AD724" s="9">
        <v>30658978</v>
      </c>
      <c r="AE724" s="9" t="s">
        <v>86</v>
      </c>
      <c r="AF724" s="14">
        <v>8</v>
      </c>
    </row>
    <row r="725" spans="30:32" ht="15.75" customHeight="1" x14ac:dyDescent="0.15">
      <c r="AD725" s="9">
        <v>30671123</v>
      </c>
      <c r="AE725" s="9" t="s">
        <v>87</v>
      </c>
      <c r="AF725" s="14">
        <v>1</v>
      </c>
    </row>
    <row r="726" spans="30:32" ht="15.75" customHeight="1" x14ac:dyDescent="0.15">
      <c r="AD726" s="9">
        <v>30690152</v>
      </c>
      <c r="AE726" s="9" t="s">
        <v>1267</v>
      </c>
      <c r="AF726" s="14">
        <v>1</v>
      </c>
    </row>
    <row r="727" spans="30:32" ht="15.75" customHeight="1" x14ac:dyDescent="0.15">
      <c r="AD727" s="9">
        <v>30692389</v>
      </c>
      <c r="AE727" s="9" t="s">
        <v>88</v>
      </c>
      <c r="AF727" s="14">
        <v>3</v>
      </c>
    </row>
    <row r="728" spans="30:32" ht="15.75" customHeight="1" x14ac:dyDescent="0.15">
      <c r="AD728" s="9">
        <v>30700325</v>
      </c>
      <c r="AE728" s="9" t="s">
        <v>89</v>
      </c>
      <c r="AF728" s="14">
        <v>6</v>
      </c>
    </row>
    <row r="729" spans="30:32" ht="15.75" customHeight="1" x14ac:dyDescent="0.15">
      <c r="AD729" s="9">
        <v>30700343</v>
      </c>
      <c r="AE729" s="9" t="s">
        <v>1270</v>
      </c>
      <c r="AF729" s="14">
        <v>4</v>
      </c>
    </row>
    <row r="730" spans="30:32" ht="15.75" customHeight="1" x14ac:dyDescent="0.15">
      <c r="AD730" s="9">
        <v>30700471</v>
      </c>
      <c r="AE730" s="9" t="s">
        <v>90</v>
      </c>
      <c r="AF730" s="14">
        <v>3</v>
      </c>
    </row>
    <row r="731" spans="30:32" ht="15.75" customHeight="1" x14ac:dyDescent="0.15">
      <c r="AD731" s="9">
        <v>30703196</v>
      </c>
      <c r="AE731" s="9" t="s">
        <v>91</v>
      </c>
      <c r="AF731" s="14">
        <v>1</v>
      </c>
    </row>
    <row r="732" spans="30:32" ht="15.75" customHeight="1" x14ac:dyDescent="0.15">
      <c r="AD732" s="9">
        <v>30703334</v>
      </c>
      <c r="AE732" s="9" t="s">
        <v>92</v>
      </c>
      <c r="AF732" s="14">
        <v>1</v>
      </c>
    </row>
    <row r="733" spans="30:32" ht="15.75" customHeight="1" x14ac:dyDescent="0.15">
      <c r="AD733" s="9">
        <v>30708031</v>
      </c>
      <c r="AE733" s="9" t="s">
        <v>93</v>
      </c>
      <c r="AF733" s="14">
        <v>5</v>
      </c>
    </row>
    <row r="734" spans="30:32" ht="15.75" customHeight="1" x14ac:dyDescent="0.15">
      <c r="AD734" s="9">
        <v>30708599</v>
      </c>
      <c r="AE734" s="9" t="s">
        <v>94</v>
      </c>
      <c r="AF734" s="14">
        <v>2</v>
      </c>
    </row>
    <row r="735" spans="30:32" ht="15.75" customHeight="1" x14ac:dyDescent="0.15">
      <c r="AD735" s="9">
        <v>30719469</v>
      </c>
      <c r="AE735" s="9" t="s">
        <v>95</v>
      </c>
      <c r="AF735" s="14">
        <v>2</v>
      </c>
    </row>
    <row r="736" spans="30:32" ht="15.75" customHeight="1" x14ac:dyDescent="0.15">
      <c r="AD736" s="9">
        <v>30721822</v>
      </c>
      <c r="AE736" s="9" t="s">
        <v>96</v>
      </c>
      <c r="AF736" s="14">
        <v>1</v>
      </c>
    </row>
    <row r="737" spans="30:32" ht="15.75" customHeight="1" x14ac:dyDescent="0.15">
      <c r="AD737" s="9">
        <v>30735844</v>
      </c>
      <c r="AE737" s="9" t="s">
        <v>1276</v>
      </c>
      <c r="AF737" s="14">
        <v>9</v>
      </c>
    </row>
    <row r="738" spans="30:32" ht="15.75" customHeight="1" x14ac:dyDescent="0.15">
      <c r="AD738" s="9">
        <v>30739874</v>
      </c>
      <c r="AE738" s="9" t="s">
        <v>97</v>
      </c>
      <c r="AF738" s="14">
        <v>2</v>
      </c>
    </row>
    <row r="739" spans="30:32" ht="15.75" customHeight="1" x14ac:dyDescent="0.15">
      <c r="AD739" s="9">
        <v>30740678</v>
      </c>
      <c r="AE739" s="9" t="s">
        <v>98</v>
      </c>
      <c r="AF739" s="14">
        <v>2</v>
      </c>
    </row>
    <row r="740" spans="30:32" ht="15.75" customHeight="1" x14ac:dyDescent="0.15">
      <c r="AD740" s="9">
        <v>30745335</v>
      </c>
      <c r="AE740" s="9" t="s">
        <v>99</v>
      </c>
      <c r="AF740" s="14">
        <v>2</v>
      </c>
    </row>
    <row r="741" spans="30:32" ht="15.75" customHeight="1" x14ac:dyDescent="0.15">
      <c r="AD741" s="9">
        <v>30746066</v>
      </c>
      <c r="AE741" s="9" t="s">
        <v>100</v>
      </c>
      <c r="AF741" s="14">
        <v>1</v>
      </c>
    </row>
    <row r="742" spans="30:32" ht="15.75" customHeight="1" x14ac:dyDescent="0.15">
      <c r="AD742" s="9">
        <v>30755843</v>
      </c>
      <c r="AE742" s="9" t="s">
        <v>101</v>
      </c>
      <c r="AF742" s="14">
        <v>1</v>
      </c>
    </row>
    <row r="743" spans="30:32" ht="15.75" customHeight="1" x14ac:dyDescent="0.15">
      <c r="AD743" s="9">
        <v>30757242</v>
      </c>
      <c r="AE743" s="9" t="s">
        <v>102</v>
      </c>
      <c r="AF743" s="14">
        <v>1</v>
      </c>
    </row>
    <row r="744" spans="30:32" ht="15.75" customHeight="1" x14ac:dyDescent="0.15">
      <c r="AD744" s="9">
        <v>30761847</v>
      </c>
      <c r="AE744" s="9" t="s">
        <v>103</v>
      </c>
      <c r="AF744" s="14">
        <v>1</v>
      </c>
    </row>
    <row r="745" spans="30:32" ht="15.75" customHeight="1" x14ac:dyDescent="0.15">
      <c r="AD745" s="9">
        <v>30774757</v>
      </c>
      <c r="AE745" s="9" t="s">
        <v>104</v>
      </c>
      <c r="AF745" s="14">
        <v>1</v>
      </c>
    </row>
    <row r="746" spans="30:32" ht="15.75" customHeight="1" x14ac:dyDescent="0.15">
      <c r="AD746" s="9">
        <v>30778601</v>
      </c>
      <c r="AE746" s="9" t="s">
        <v>105</v>
      </c>
      <c r="AF746" s="14">
        <v>1</v>
      </c>
    </row>
    <row r="747" spans="30:32" ht="15.75" customHeight="1" x14ac:dyDescent="0.15">
      <c r="AD747" s="9">
        <v>30786690</v>
      </c>
      <c r="AE747" s="9" t="s">
        <v>106</v>
      </c>
      <c r="AF747" s="14">
        <v>1</v>
      </c>
    </row>
    <row r="748" spans="30:32" ht="15.75" customHeight="1" x14ac:dyDescent="0.15">
      <c r="AD748" s="9">
        <v>30795303</v>
      </c>
      <c r="AE748" s="9" t="s">
        <v>1286</v>
      </c>
      <c r="AF748" s="14">
        <v>2</v>
      </c>
    </row>
    <row r="749" spans="30:32" ht="15.75" customHeight="1" x14ac:dyDescent="0.15">
      <c r="AD749" s="9">
        <v>30800952</v>
      </c>
      <c r="AE749" s="9" t="s">
        <v>107</v>
      </c>
      <c r="AF749" s="14">
        <v>39</v>
      </c>
    </row>
    <row r="750" spans="30:32" ht="15.75" customHeight="1" x14ac:dyDescent="0.15">
      <c r="AD750" s="9">
        <v>30809029</v>
      </c>
      <c r="AE750" s="9" t="s">
        <v>108</v>
      </c>
      <c r="AF750" s="14">
        <v>2</v>
      </c>
    </row>
    <row r="751" spans="30:32" ht="15.75" customHeight="1" x14ac:dyDescent="0.15">
      <c r="AD751" s="9">
        <v>30817381</v>
      </c>
      <c r="AE751" s="9" t="s">
        <v>109</v>
      </c>
      <c r="AF751" s="14">
        <v>9</v>
      </c>
    </row>
    <row r="752" spans="30:32" ht="15.75" customHeight="1" x14ac:dyDescent="0.15">
      <c r="AD752" s="9">
        <v>30832722</v>
      </c>
      <c r="AE752" s="9" t="s">
        <v>110</v>
      </c>
      <c r="AF752" s="14">
        <v>6</v>
      </c>
    </row>
    <row r="753" spans="30:32" ht="15.75" customHeight="1" x14ac:dyDescent="0.15">
      <c r="AD753" s="9">
        <v>30840186</v>
      </c>
      <c r="AE753" s="9" t="s">
        <v>111</v>
      </c>
      <c r="AF753" s="14">
        <v>1</v>
      </c>
    </row>
    <row r="754" spans="30:32" ht="15.75" customHeight="1" x14ac:dyDescent="0.15">
      <c r="AD754" s="9">
        <v>30850910</v>
      </c>
      <c r="AE754" s="9" t="s">
        <v>112</v>
      </c>
      <c r="AF754" s="14">
        <v>3</v>
      </c>
    </row>
    <row r="755" spans="30:32" ht="15.75" customHeight="1" x14ac:dyDescent="0.15">
      <c r="AD755" s="9">
        <v>30895647</v>
      </c>
      <c r="AE755" s="9" t="s">
        <v>113</v>
      </c>
      <c r="AF755" s="14">
        <v>1</v>
      </c>
    </row>
    <row r="756" spans="30:32" ht="15.75" customHeight="1" x14ac:dyDescent="0.15">
      <c r="AD756" s="9">
        <v>30895974</v>
      </c>
      <c r="AE756" s="9" t="s">
        <v>114</v>
      </c>
      <c r="AF756" s="14">
        <v>2</v>
      </c>
    </row>
    <row r="757" spans="30:32" ht="15.75" customHeight="1" x14ac:dyDescent="0.15">
      <c r="AD757" s="9">
        <v>30897470</v>
      </c>
      <c r="AE757" s="9" t="s">
        <v>115</v>
      </c>
      <c r="AF757" s="14">
        <v>4</v>
      </c>
    </row>
    <row r="758" spans="30:32" ht="15.75" customHeight="1" x14ac:dyDescent="0.15">
      <c r="AD758" s="9">
        <v>30914661</v>
      </c>
      <c r="AE758" s="9" t="s">
        <v>116</v>
      </c>
      <c r="AF758" s="14">
        <v>1</v>
      </c>
    </row>
    <row r="759" spans="30:32" ht="15.75" customHeight="1" x14ac:dyDescent="0.15">
      <c r="AD759" s="9">
        <v>30934675</v>
      </c>
      <c r="AE759" s="9" t="s">
        <v>117</v>
      </c>
      <c r="AF759" s="14">
        <v>2</v>
      </c>
    </row>
    <row r="760" spans="30:32" ht="15.75" customHeight="1" x14ac:dyDescent="0.15">
      <c r="AD760" s="9">
        <v>30936439</v>
      </c>
      <c r="AE760" s="9" t="s">
        <v>118</v>
      </c>
      <c r="AF760" s="14">
        <v>1</v>
      </c>
    </row>
    <row r="761" spans="30:32" ht="15.75" customHeight="1" x14ac:dyDescent="0.15">
      <c r="AD761" s="9">
        <v>30962455</v>
      </c>
      <c r="AE761" s="9" t="s">
        <v>119</v>
      </c>
      <c r="AF761" s="14">
        <v>1</v>
      </c>
    </row>
    <row r="762" spans="30:32" ht="15.75" customHeight="1" x14ac:dyDescent="0.15">
      <c r="AD762" s="9">
        <v>30964058</v>
      </c>
      <c r="AE762" s="9" t="s">
        <v>120</v>
      </c>
      <c r="AF762" s="14">
        <v>1</v>
      </c>
    </row>
    <row r="763" spans="30:32" ht="15.75" customHeight="1" x14ac:dyDescent="0.15">
      <c r="AD763" s="9">
        <v>30969136</v>
      </c>
      <c r="AE763" s="9" t="s">
        <v>121</v>
      </c>
      <c r="AF763" s="14">
        <v>1</v>
      </c>
    </row>
    <row r="764" spans="30:32" ht="15.75" customHeight="1" x14ac:dyDescent="0.15">
      <c r="AD764" s="9">
        <v>30971170</v>
      </c>
      <c r="AE764" s="9" t="s">
        <v>122</v>
      </c>
      <c r="AF764" s="14">
        <v>2</v>
      </c>
    </row>
    <row r="765" spans="30:32" ht="15.75" customHeight="1" x14ac:dyDescent="0.15">
      <c r="AD765" s="9">
        <v>30971964</v>
      </c>
      <c r="AE765" s="9" t="s">
        <v>123</v>
      </c>
      <c r="AF765" s="14">
        <v>1</v>
      </c>
    </row>
    <row r="766" spans="30:32" ht="15.75" customHeight="1" x14ac:dyDescent="0.15">
      <c r="AD766" s="9">
        <v>30985797</v>
      </c>
      <c r="AE766" s="9" t="s">
        <v>124</v>
      </c>
      <c r="AF766" s="14">
        <v>1</v>
      </c>
    </row>
    <row r="767" spans="30:32" ht="15.75" customHeight="1" x14ac:dyDescent="0.15">
      <c r="AD767" s="9">
        <v>30999696</v>
      </c>
      <c r="AE767" s="9" t="s">
        <v>125</v>
      </c>
      <c r="AF767" s="14">
        <v>1</v>
      </c>
    </row>
    <row r="768" spans="30:32" ht="15.75" customHeight="1" x14ac:dyDescent="0.15">
      <c r="AD768" s="9">
        <v>31000793</v>
      </c>
      <c r="AE768" s="9" t="s">
        <v>126</v>
      </c>
      <c r="AF768" s="14">
        <v>4</v>
      </c>
    </row>
    <row r="769" spans="30:32" ht="15.75" customHeight="1" x14ac:dyDescent="0.15">
      <c r="AD769" s="9">
        <v>31000855</v>
      </c>
      <c r="AE769" s="9" t="s">
        <v>127</v>
      </c>
      <c r="AF769" s="14">
        <v>1</v>
      </c>
    </row>
    <row r="770" spans="30:32" ht="15.75" customHeight="1" x14ac:dyDescent="0.15">
      <c r="AD770" s="9">
        <v>31007687</v>
      </c>
      <c r="AE770" s="9" t="s">
        <v>128</v>
      </c>
      <c r="AF770" s="14">
        <v>1</v>
      </c>
    </row>
    <row r="771" spans="30:32" ht="15.75" customHeight="1" x14ac:dyDescent="0.15">
      <c r="AD771" s="9">
        <v>31010676</v>
      </c>
      <c r="AE771" s="9" t="s">
        <v>1325</v>
      </c>
      <c r="AF771" s="14">
        <v>1</v>
      </c>
    </row>
    <row r="772" spans="30:32" ht="15.75" customHeight="1" x14ac:dyDescent="0.15">
      <c r="AD772" s="9">
        <v>31032605</v>
      </c>
      <c r="AE772" s="9" t="s">
        <v>1326</v>
      </c>
      <c r="AF772" s="14">
        <v>3</v>
      </c>
    </row>
    <row r="773" spans="30:32" ht="15.75" customHeight="1" x14ac:dyDescent="0.15">
      <c r="AD773" s="9">
        <v>31038368</v>
      </c>
      <c r="AE773" s="9" t="s">
        <v>129</v>
      </c>
      <c r="AF773" s="14">
        <v>1</v>
      </c>
    </row>
    <row r="774" spans="30:32" ht="15.75" customHeight="1" x14ac:dyDescent="0.15">
      <c r="AD774" s="9">
        <v>31041301</v>
      </c>
      <c r="AE774" s="9" t="s">
        <v>130</v>
      </c>
      <c r="AF774" s="14">
        <v>2</v>
      </c>
    </row>
    <row r="775" spans="30:32" ht="15.75" customHeight="1" x14ac:dyDescent="0.15">
      <c r="AD775" s="9">
        <v>31042575</v>
      </c>
      <c r="AE775" s="9" t="s">
        <v>131</v>
      </c>
      <c r="AF775" s="14">
        <v>1</v>
      </c>
    </row>
    <row r="776" spans="30:32" ht="15.75" customHeight="1" x14ac:dyDescent="0.15">
      <c r="AD776" s="9">
        <v>31043243</v>
      </c>
      <c r="AE776" s="9" t="s">
        <v>132</v>
      </c>
      <c r="AF776" s="14">
        <v>3</v>
      </c>
    </row>
    <row r="777" spans="30:32" ht="15.75" customHeight="1" x14ac:dyDescent="0.15">
      <c r="AD777" s="9">
        <v>31046794</v>
      </c>
      <c r="AE777" s="9" t="s">
        <v>133</v>
      </c>
      <c r="AF777" s="14">
        <v>1</v>
      </c>
    </row>
    <row r="778" spans="30:32" ht="15.75" customHeight="1" x14ac:dyDescent="0.15">
      <c r="AD778" s="9">
        <v>31048137</v>
      </c>
      <c r="AE778" s="9" t="s">
        <v>1329</v>
      </c>
      <c r="AF778" s="14">
        <v>1</v>
      </c>
    </row>
    <row r="779" spans="30:32" ht="15.75" customHeight="1" x14ac:dyDescent="0.15">
      <c r="AD779" s="9">
        <v>31048891</v>
      </c>
      <c r="AE779" s="9" t="s">
        <v>134</v>
      </c>
      <c r="AF779" s="14">
        <v>1</v>
      </c>
    </row>
    <row r="780" spans="30:32" ht="15.75" customHeight="1" x14ac:dyDescent="0.15">
      <c r="AD780" s="9">
        <v>31054329</v>
      </c>
      <c r="AE780" s="9" t="s">
        <v>1330</v>
      </c>
      <c r="AF780" s="14">
        <v>1</v>
      </c>
    </row>
    <row r="781" spans="30:32" ht="15.75" customHeight="1" x14ac:dyDescent="0.15">
      <c r="AD781" s="9">
        <v>31059831</v>
      </c>
      <c r="AE781" s="9" t="s">
        <v>135</v>
      </c>
      <c r="AF781" s="14">
        <v>2</v>
      </c>
    </row>
    <row r="782" spans="30:32" ht="15.75" customHeight="1" x14ac:dyDescent="0.15">
      <c r="AD782" s="9">
        <v>31069160</v>
      </c>
      <c r="AE782" s="9" t="s">
        <v>1332</v>
      </c>
      <c r="AF782" s="14">
        <v>1</v>
      </c>
    </row>
    <row r="783" spans="30:32" ht="15.75" customHeight="1" x14ac:dyDescent="0.15">
      <c r="AD783" s="9">
        <v>31071044</v>
      </c>
      <c r="AE783" s="9" t="s">
        <v>136</v>
      </c>
      <c r="AF783" s="14">
        <v>3</v>
      </c>
    </row>
    <row r="784" spans="30:32" ht="15.75" customHeight="1" x14ac:dyDescent="0.15">
      <c r="AD784" s="9">
        <v>31074691</v>
      </c>
      <c r="AE784" s="9" t="s">
        <v>137</v>
      </c>
      <c r="AF784" s="14">
        <v>4</v>
      </c>
    </row>
    <row r="785" spans="30:32" ht="15.75" customHeight="1" x14ac:dyDescent="0.15">
      <c r="AD785" s="9">
        <v>31112297</v>
      </c>
      <c r="AE785" s="9" t="s">
        <v>138</v>
      </c>
      <c r="AF785" s="14">
        <v>2</v>
      </c>
    </row>
    <row r="786" spans="30:32" ht="15.75" customHeight="1" x14ac:dyDescent="0.15">
      <c r="AD786" s="9">
        <v>31113309</v>
      </c>
      <c r="AE786" s="9" t="s">
        <v>139</v>
      </c>
      <c r="AF786" s="14">
        <v>3</v>
      </c>
    </row>
    <row r="787" spans="30:32" ht="15.75" customHeight="1" x14ac:dyDescent="0.15">
      <c r="AD787" s="9">
        <v>31131145</v>
      </c>
      <c r="AE787" s="9" t="s">
        <v>140</v>
      </c>
      <c r="AF787" s="14">
        <v>5</v>
      </c>
    </row>
    <row r="788" spans="30:32" ht="15.75" customHeight="1" x14ac:dyDescent="0.15">
      <c r="AD788" s="9">
        <v>31133101</v>
      </c>
      <c r="AE788" s="9" t="s">
        <v>141</v>
      </c>
      <c r="AF788" s="14">
        <v>1</v>
      </c>
    </row>
    <row r="789" spans="30:32" ht="15.75" customHeight="1" x14ac:dyDescent="0.15">
      <c r="AD789" s="9">
        <v>31152417</v>
      </c>
      <c r="AE789" s="9" t="s">
        <v>142</v>
      </c>
      <c r="AF789" s="14">
        <v>1</v>
      </c>
    </row>
    <row r="790" spans="30:32" ht="15.75" customHeight="1" x14ac:dyDescent="0.15">
      <c r="AD790" s="9">
        <v>31154677</v>
      </c>
      <c r="AE790" s="9" t="s">
        <v>143</v>
      </c>
      <c r="AF790" s="14">
        <v>1</v>
      </c>
    </row>
    <row r="791" spans="30:32" ht="15.75" customHeight="1" x14ac:dyDescent="0.15">
      <c r="AD791" s="9">
        <v>31156791</v>
      </c>
      <c r="AE791" s="9" t="s">
        <v>144</v>
      </c>
      <c r="AF791" s="14">
        <v>1</v>
      </c>
    </row>
    <row r="792" spans="30:32" ht="15.75" customHeight="1" x14ac:dyDescent="0.15">
      <c r="AD792" s="9">
        <v>31162734</v>
      </c>
      <c r="AE792" s="9" t="s">
        <v>145</v>
      </c>
      <c r="AF792" s="14">
        <v>2</v>
      </c>
    </row>
    <row r="793" spans="30:32" ht="15.75" customHeight="1" x14ac:dyDescent="0.15">
      <c r="AD793" s="9">
        <v>31165016</v>
      </c>
      <c r="AE793" s="9" t="s">
        <v>146</v>
      </c>
      <c r="AF793" s="14">
        <v>1</v>
      </c>
    </row>
    <row r="794" spans="30:32" ht="15.75" customHeight="1" x14ac:dyDescent="0.15">
      <c r="AD794" s="9">
        <v>31171426</v>
      </c>
      <c r="AE794" s="9" t="s">
        <v>147</v>
      </c>
      <c r="AF794" s="14">
        <v>1</v>
      </c>
    </row>
    <row r="795" spans="30:32" ht="15.75" customHeight="1" x14ac:dyDescent="0.15">
      <c r="AD795" s="9">
        <v>31182325</v>
      </c>
      <c r="AE795" s="9" t="s">
        <v>148</v>
      </c>
      <c r="AF795" s="14">
        <v>9</v>
      </c>
    </row>
    <row r="796" spans="30:32" ht="15.75" customHeight="1" x14ac:dyDescent="0.15">
      <c r="AD796" s="9">
        <v>31195178</v>
      </c>
      <c r="AE796" s="9" t="s">
        <v>149</v>
      </c>
      <c r="AF796" s="14">
        <v>1</v>
      </c>
    </row>
    <row r="797" spans="30:32" ht="15.75" customHeight="1" x14ac:dyDescent="0.15">
      <c r="AD797" s="9">
        <v>31203157</v>
      </c>
      <c r="AE797" s="9" t="s">
        <v>150</v>
      </c>
      <c r="AF797" s="14">
        <v>1</v>
      </c>
    </row>
    <row r="798" spans="30:32" ht="15.75" customHeight="1" x14ac:dyDescent="0.15">
      <c r="AD798" s="9">
        <v>31210048</v>
      </c>
      <c r="AE798" s="9" t="s">
        <v>151</v>
      </c>
      <c r="AF798" s="14">
        <v>5</v>
      </c>
    </row>
    <row r="799" spans="30:32" ht="15.75" customHeight="1" x14ac:dyDescent="0.15">
      <c r="AD799" s="9">
        <v>31217970</v>
      </c>
      <c r="AE799" s="9" t="s">
        <v>152</v>
      </c>
      <c r="AF799" s="14">
        <v>1</v>
      </c>
    </row>
    <row r="800" spans="30:32" ht="15.75" customHeight="1" x14ac:dyDescent="0.15">
      <c r="AD800" s="9">
        <v>31221037</v>
      </c>
      <c r="AE800" s="9" t="s">
        <v>153</v>
      </c>
      <c r="AF800" s="14">
        <v>4</v>
      </c>
    </row>
    <row r="801" spans="30:32" ht="15.75" customHeight="1" x14ac:dyDescent="0.15">
      <c r="AD801" s="9">
        <v>31242432</v>
      </c>
      <c r="AE801" s="9" t="s">
        <v>154</v>
      </c>
      <c r="AF801" s="14">
        <v>2</v>
      </c>
    </row>
    <row r="802" spans="30:32" ht="15.75" customHeight="1" x14ac:dyDescent="0.15">
      <c r="AD802" s="9">
        <v>31243801</v>
      </c>
      <c r="AE802" s="9" t="s">
        <v>1349</v>
      </c>
      <c r="AF802" s="14">
        <v>2</v>
      </c>
    </row>
    <row r="803" spans="30:32" ht="15.75" customHeight="1" x14ac:dyDescent="0.15">
      <c r="AD803" s="9">
        <v>31245723</v>
      </c>
      <c r="AE803" s="9" t="s">
        <v>155</v>
      </c>
      <c r="AF803" s="14">
        <v>8</v>
      </c>
    </row>
    <row r="804" spans="30:32" ht="15.75" customHeight="1" x14ac:dyDescent="0.15">
      <c r="AD804" s="9">
        <v>31249580</v>
      </c>
      <c r="AE804" s="9" t="s">
        <v>156</v>
      </c>
      <c r="AF804" s="14">
        <v>1</v>
      </c>
    </row>
    <row r="805" spans="30:32" ht="15.75" customHeight="1" x14ac:dyDescent="0.15">
      <c r="AD805" s="9">
        <v>31251411</v>
      </c>
      <c r="AE805" s="9" t="s">
        <v>157</v>
      </c>
      <c r="AF805" s="14">
        <v>1</v>
      </c>
    </row>
    <row r="806" spans="30:32" ht="15.75" customHeight="1" x14ac:dyDescent="0.15">
      <c r="AD806" s="9">
        <v>31258362</v>
      </c>
      <c r="AE806" s="9" t="s">
        <v>158</v>
      </c>
      <c r="AF806" s="14">
        <v>1</v>
      </c>
    </row>
    <row r="807" spans="30:32" ht="15.75" customHeight="1" x14ac:dyDescent="0.15">
      <c r="AD807" s="9">
        <v>31258483</v>
      </c>
      <c r="AE807" s="9" t="s">
        <v>1359</v>
      </c>
      <c r="AF807" s="14">
        <v>2</v>
      </c>
    </row>
    <row r="808" spans="30:32" ht="15.75" customHeight="1" x14ac:dyDescent="0.15">
      <c r="AD808" s="9">
        <v>31263263</v>
      </c>
      <c r="AE808" s="9" t="s">
        <v>159</v>
      </c>
      <c r="AF808" s="14">
        <v>4</v>
      </c>
    </row>
    <row r="809" spans="30:32" ht="15.75" customHeight="1" x14ac:dyDescent="0.15">
      <c r="AD809" s="9">
        <v>31267757</v>
      </c>
      <c r="AE809" s="9" t="s">
        <v>160</v>
      </c>
      <c r="AF809" s="14">
        <v>11</v>
      </c>
    </row>
    <row r="810" spans="30:32" ht="15.75" customHeight="1" x14ac:dyDescent="0.15">
      <c r="AD810" s="9">
        <v>31274883</v>
      </c>
      <c r="AE810" s="9" t="s">
        <v>161</v>
      </c>
      <c r="AF810" s="14">
        <v>1</v>
      </c>
    </row>
    <row r="811" spans="30:32" ht="15.75" customHeight="1" x14ac:dyDescent="0.15">
      <c r="AD811" s="9">
        <v>31276264</v>
      </c>
      <c r="AE811" s="9" t="s">
        <v>1365</v>
      </c>
      <c r="AF811" s="14">
        <v>1</v>
      </c>
    </row>
    <row r="812" spans="30:32" ht="15.75" customHeight="1" x14ac:dyDescent="0.15">
      <c r="AD812" s="9">
        <v>31291317</v>
      </c>
      <c r="AE812" s="9" t="s">
        <v>162</v>
      </c>
      <c r="AF812" s="14">
        <v>1</v>
      </c>
    </row>
    <row r="813" spans="30:32" ht="15.75" customHeight="1" x14ac:dyDescent="0.15">
      <c r="AD813" s="9">
        <v>31293535</v>
      </c>
      <c r="AE813" s="9" t="s">
        <v>163</v>
      </c>
      <c r="AF813" s="14">
        <v>1</v>
      </c>
    </row>
    <row r="814" spans="30:32" ht="15.75" customHeight="1" x14ac:dyDescent="0.15">
      <c r="AD814" s="9">
        <v>31304779</v>
      </c>
      <c r="AE814" s="9" t="s">
        <v>164</v>
      </c>
      <c r="AF814" s="14">
        <v>2</v>
      </c>
    </row>
    <row r="815" spans="30:32" ht="15.75" customHeight="1" x14ac:dyDescent="0.15">
      <c r="AD815" s="9">
        <v>31306930</v>
      </c>
      <c r="AE815" s="9" t="s">
        <v>165</v>
      </c>
      <c r="AF815" s="14">
        <v>1</v>
      </c>
    </row>
    <row r="816" spans="30:32" ht="15.75" customHeight="1" x14ac:dyDescent="0.15">
      <c r="AD816" s="9">
        <v>31308199</v>
      </c>
      <c r="AE816" s="9" t="s">
        <v>1367</v>
      </c>
      <c r="AF816" s="14">
        <v>2</v>
      </c>
    </row>
    <row r="817" spans="30:32" ht="15.75" customHeight="1" x14ac:dyDescent="0.15">
      <c r="AD817" s="9">
        <v>31308487</v>
      </c>
      <c r="AE817" s="9" t="s">
        <v>166</v>
      </c>
      <c r="AF817" s="14">
        <v>1</v>
      </c>
    </row>
    <row r="818" spans="30:32" ht="15.75" customHeight="1" x14ac:dyDescent="0.15">
      <c r="AD818" s="9">
        <v>31310021</v>
      </c>
      <c r="AE818" s="9" t="s">
        <v>1369</v>
      </c>
      <c r="AF818" s="14">
        <v>1</v>
      </c>
    </row>
    <row r="819" spans="30:32" ht="15.75" customHeight="1" x14ac:dyDescent="0.15">
      <c r="AD819" s="9">
        <v>31318010</v>
      </c>
      <c r="AE819" s="9" t="s">
        <v>167</v>
      </c>
      <c r="AF819" s="14">
        <v>3</v>
      </c>
    </row>
    <row r="820" spans="30:32" ht="15.75" customHeight="1" x14ac:dyDescent="0.15">
      <c r="AD820" s="9">
        <v>31320893</v>
      </c>
      <c r="AE820" s="9" t="s">
        <v>168</v>
      </c>
      <c r="AF820" s="14">
        <v>1</v>
      </c>
    </row>
    <row r="821" spans="30:32" ht="15.75" customHeight="1" x14ac:dyDescent="0.15">
      <c r="AD821" s="9">
        <v>31356104</v>
      </c>
      <c r="AE821" s="9" t="s">
        <v>1371</v>
      </c>
      <c r="AF821" s="14">
        <v>1</v>
      </c>
    </row>
    <row r="822" spans="30:32" ht="15.75" customHeight="1" x14ac:dyDescent="0.15">
      <c r="AD822" s="9">
        <v>31379950</v>
      </c>
      <c r="AE822" s="9" t="s">
        <v>169</v>
      </c>
      <c r="AF822" s="14">
        <v>2</v>
      </c>
    </row>
    <row r="823" spans="30:32" ht="15.75" customHeight="1" x14ac:dyDescent="0.15">
      <c r="AD823" s="9">
        <v>31391919</v>
      </c>
      <c r="AE823" s="9" t="s">
        <v>170</v>
      </c>
      <c r="AF823" s="14">
        <v>1</v>
      </c>
    </row>
    <row r="824" spans="30:32" ht="15.75" customHeight="1" x14ac:dyDescent="0.15">
      <c r="AD824" s="9">
        <v>31398979</v>
      </c>
      <c r="AE824" s="9" t="s">
        <v>171</v>
      </c>
      <c r="AF824" s="14">
        <v>2</v>
      </c>
    </row>
    <row r="825" spans="30:32" ht="15.75" customHeight="1" x14ac:dyDescent="0.15">
      <c r="AD825" s="9">
        <v>31403498</v>
      </c>
      <c r="AE825" s="9" t="s">
        <v>172</v>
      </c>
      <c r="AF825" s="14">
        <v>3</v>
      </c>
    </row>
    <row r="826" spans="30:32" ht="15.75" customHeight="1" x14ac:dyDescent="0.15">
      <c r="AD826" s="9">
        <v>31403626</v>
      </c>
      <c r="AE826" s="9" t="s">
        <v>1373</v>
      </c>
      <c r="AF826" s="14">
        <v>3</v>
      </c>
    </row>
    <row r="827" spans="30:32" ht="15.75" customHeight="1" x14ac:dyDescent="0.15">
      <c r="AD827" s="9">
        <v>31405098</v>
      </c>
      <c r="AE827" s="9" t="s">
        <v>173</v>
      </c>
      <c r="AF827" s="14">
        <v>2</v>
      </c>
    </row>
    <row r="828" spans="30:32" ht="15.75" customHeight="1" x14ac:dyDescent="0.15">
      <c r="AD828" s="9">
        <v>31408124</v>
      </c>
      <c r="AE828" s="9" t="s">
        <v>174</v>
      </c>
      <c r="AF828" s="14">
        <v>3</v>
      </c>
    </row>
    <row r="829" spans="30:32" ht="15.75" customHeight="1" x14ac:dyDescent="0.15">
      <c r="AD829" s="9">
        <v>31415343</v>
      </c>
      <c r="AE829" s="9" t="s">
        <v>175</v>
      </c>
      <c r="AF829" s="14">
        <v>1</v>
      </c>
    </row>
    <row r="830" spans="30:32" ht="15.75" customHeight="1" x14ac:dyDescent="0.15">
      <c r="AD830" s="9">
        <v>31416295</v>
      </c>
      <c r="AE830" s="9" t="s">
        <v>1379</v>
      </c>
      <c r="AF830" s="14">
        <v>5</v>
      </c>
    </row>
    <row r="831" spans="30:32" ht="15.75" customHeight="1" x14ac:dyDescent="0.15">
      <c r="AD831" s="9">
        <v>31422173</v>
      </c>
      <c r="AE831" s="9" t="s">
        <v>176</v>
      </c>
      <c r="AF831" s="14">
        <v>1</v>
      </c>
    </row>
    <row r="832" spans="30:32" ht="15.75" customHeight="1" x14ac:dyDescent="0.15">
      <c r="AD832" s="9">
        <v>31425906</v>
      </c>
      <c r="AE832" s="9" t="s">
        <v>177</v>
      </c>
      <c r="AF832" s="14">
        <v>1</v>
      </c>
    </row>
    <row r="833" spans="30:32" ht="15.75" customHeight="1" x14ac:dyDescent="0.15">
      <c r="AD833" s="9">
        <v>31443553</v>
      </c>
      <c r="AE833" s="9" t="s">
        <v>178</v>
      </c>
      <c r="AF833" s="14">
        <v>1</v>
      </c>
    </row>
    <row r="834" spans="30:32" ht="15.75" customHeight="1" x14ac:dyDescent="0.15">
      <c r="AD834" s="9">
        <v>31447225</v>
      </c>
      <c r="AE834" s="9" t="s">
        <v>179</v>
      </c>
      <c r="AF834" s="14">
        <v>6</v>
      </c>
    </row>
    <row r="835" spans="30:32" ht="15.75" customHeight="1" x14ac:dyDescent="0.15">
      <c r="AD835" s="9">
        <v>31450502</v>
      </c>
      <c r="AE835" s="9" t="s">
        <v>180</v>
      </c>
      <c r="AF835" s="14">
        <v>1</v>
      </c>
    </row>
    <row r="836" spans="30:32" ht="15.75" customHeight="1" x14ac:dyDescent="0.15">
      <c r="AD836" s="9">
        <v>31451349</v>
      </c>
      <c r="AE836" s="9" t="s">
        <v>181</v>
      </c>
      <c r="AF836" s="14">
        <v>1</v>
      </c>
    </row>
    <row r="837" spans="30:32" ht="15.75" customHeight="1" x14ac:dyDescent="0.15">
      <c r="AD837" s="9">
        <v>31464748</v>
      </c>
      <c r="AE837" s="9" t="s">
        <v>182</v>
      </c>
      <c r="AF837" s="14">
        <v>40</v>
      </c>
    </row>
    <row r="838" spans="30:32" ht="15.75" customHeight="1" x14ac:dyDescent="0.15">
      <c r="AD838" s="9">
        <v>31476211</v>
      </c>
      <c r="AE838" s="9" t="s">
        <v>1412</v>
      </c>
      <c r="AF838" s="14">
        <v>1</v>
      </c>
    </row>
    <row r="839" spans="30:32" ht="15.75" customHeight="1" x14ac:dyDescent="0.15">
      <c r="AD839" s="9">
        <v>31490345</v>
      </c>
      <c r="AE839" s="9" t="s">
        <v>183</v>
      </c>
      <c r="AF839" s="14">
        <v>6</v>
      </c>
    </row>
    <row r="840" spans="30:32" ht="15.75" customHeight="1" x14ac:dyDescent="0.15">
      <c r="AD840" s="9">
        <v>31501821</v>
      </c>
      <c r="AE840" s="9" t="s">
        <v>184</v>
      </c>
      <c r="AF840" s="14">
        <v>1</v>
      </c>
    </row>
    <row r="841" spans="30:32" ht="15.75" customHeight="1" x14ac:dyDescent="0.15">
      <c r="AD841" s="9">
        <v>31502296</v>
      </c>
      <c r="AE841" s="9" t="s">
        <v>185</v>
      </c>
      <c r="AF841" s="14">
        <v>1</v>
      </c>
    </row>
    <row r="842" spans="30:32" ht="15.75" customHeight="1" x14ac:dyDescent="0.15">
      <c r="AD842" s="9">
        <v>31521166</v>
      </c>
      <c r="AE842" s="9" t="s">
        <v>1416</v>
      </c>
      <c r="AF842" s="14">
        <v>1</v>
      </c>
    </row>
    <row r="843" spans="30:32" ht="15.75" customHeight="1" x14ac:dyDescent="0.15">
      <c r="AD843" s="9">
        <v>31524930</v>
      </c>
      <c r="AE843" s="9" t="s">
        <v>1417</v>
      </c>
      <c r="AF843" s="14">
        <v>1</v>
      </c>
    </row>
    <row r="844" spans="30:32" ht="15.75" customHeight="1" x14ac:dyDescent="0.15">
      <c r="AD844" s="9">
        <v>31538800</v>
      </c>
      <c r="AE844" s="9" t="s">
        <v>186</v>
      </c>
      <c r="AF844" s="14">
        <v>7</v>
      </c>
    </row>
    <row r="845" spans="30:32" ht="15.75" customHeight="1" x14ac:dyDescent="0.15">
      <c r="AD845" s="9">
        <v>31551643</v>
      </c>
      <c r="AE845" s="9" t="s">
        <v>187</v>
      </c>
      <c r="AF845" s="14">
        <v>14</v>
      </c>
    </row>
    <row r="846" spans="30:32" ht="15.75" customHeight="1" x14ac:dyDescent="0.15">
      <c r="AD846" s="9">
        <v>31564195</v>
      </c>
      <c r="AE846" s="9" t="s">
        <v>188</v>
      </c>
      <c r="AF846" s="14">
        <v>1</v>
      </c>
    </row>
    <row r="847" spans="30:32" ht="15.75" customHeight="1" x14ac:dyDescent="0.15">
      <c r="AD847" s="9">
        <v>31565219</v>
      </c>
      <c r="AE847" s="9" t="s">
        <v>189</v>
      </c>
      <c r="AF847" s="14">
        <v>8</v>
      </c>
    </row>
    <row r="848" spans="30:32" ht="15.75" customHeight="1" x14ac:dyDescent="0.15">
      <c r="AD848" s="9">
        <v>31569070</v>
      </c>
      <c r="AE848" s="9" t="s">
        <v>1430</v>
      </c>
      <c r="AF848" s="14">
        <v>10</v>
      </c>
    </row>
    <row r="849" spans="30:32" ht="15.75" customHeight="1" x14ac:dyDescent="0.15">
      <c r="AD849" s="9">
        <v>31570817</v>
      </c>
      <c r="AE849" s="9" t="s">
        <v>190</v>
      </c>
      <c r="AF849" s="14">
        <v>1</v>
      </c>
    </row>
    <row r="850" spans="30:32" ht="15.75" customHeight="1" x14ac:dyDescent="0.15">
      <c r="AD850" s="9">
        <v>31576011</v>
      </c>
      <c r="AE850" s="9" t="s">
        <v>191</v>
      </c>
      <c r="AF850" s="14">
        <v>1</v>
      </c>
    </row>
    <row r="851" spans="30:32" ht="15.75" customHeight="1" x14ac:dyDescent="0.15">
      <c r="AD851" s="9">
        <v>31578357</v>
      </c>
      <c r="AE851" s="9" t="s">
        <v>192</v>
      </c>
      <c r="AF851" s="14">
        <v>1</v>
      </c>
    </row>
    <row r="852" spans="30:32" ht="15.75" customHeight="1" x14ac:dyDescent="0.15">
      <c r="AD852" s="9">
        <v>31587224</v>
      </c>
      <c r="AE852" s="9" t="s">
        <v>193</v>
      </c>
      <c r="AF852" s="14">
        <v>12</v>
      </c>
    </row>
    <row r="853" spans="30:32" ht="15.75" customHeight="1" x14ac:dyDescent="0.15">
      <c r="AD853" s="9">
        <v>31591080</v>
      </c>
      <c r="AE853" s="9" t="s">
        <v>194</v>
      </c>
      <c r="AF853" s="14">
        <v>1</v>
      </c>
    </row>
    <row r="854" spans="30:32" ht="15.75" customHeight="1" x14ac:dyDescent="0.15">
      <c r="AD854" s="9">
        <v>31596292</v>
      </c>
      <c r="AE854" s="9" t="s">
        <v>1436</v>
      </c>
      <c r="AF854" s="14">
        <v>1</v>
      </c>
    </row>
    <row r="855" spans="30:32" ht="15.75" customHeight="1" x14ac:dyDescent="0.15">
      <c r="AD855" s="9">
        <v>31597263</v>
      </c>
      <c r="AE855" s="9" t="s">
        <v>1438</v>
      </c>
      <c r="AF855" s="14">
        <v>1</v>
      </c>
    </row>
    <row r="856" spans="30:32" ht="15.75" customHeight="1" x14ac:dyDescent="0.15">
      <c r="AD856" s="9">
        <v>31599087</v>
      </c>
      <c r="AE856" s="9" t="s">
        <v>195</v>
      </c>
      <c r="AF856" s="14">
        <v>1</v>
      </c>
    </row>
    <row r="857" spans="30:32" ht="15.75" customHeight="1" x14ac:dyDescent="0.15">
      <c r="AD857" s="9">
        <v>31612085</v>
      </c>
      <c r="AE857" s="9" t="s">
        <v>196</v>
      </c>
      <c r="AF857" s="14">
        <v>1</v>
      </c>
    </row>
    <row r="858" spans="30:32" ht="15.75" customHeight="1" x14ac:dyDescent="0.15">
      <c r="AD858" s="9">
        <v>31614305</v>
      </c>
      <c r="AE858" s="9" t="s">
        <v>1443</v>
      </c>
      <c r="AF858" s="14">
        <v>1</v>
      </c>
    </row>
    <row r="859" spans="30:32" ht="15.75" customHeight="1" x14ac:dyDescent="0.15">
      <c r="AD859" s="9">
        <v>31616227</v>
      </c>
      <c r="AE859" s="9" t="s">
        <v>197</v>
      </c>
      <c r="AF859" s="14">
        <v>2</v>
      </c>
    </row>
    <row r="860" spans="30:32" ht="15.75" customHeight="1" x14ac:dyDescent="0.15">
      <c r="AD860" s="9">
        <v>31618383</v>
      </c>
      <c r="AE860" s="9" t="s">
        <v>1445</v>
      </c>
      <c r="AF860" s="14">
        <v>1</v>
      </c>
    </row>
    <row r="861" spans="30:32" ht="15.75" customHeight="1" x14ac:dyDescent="0.15">
      <c r="AD861" s="9">
        <v>31619755</v>
      </c>
      <c r="AE861" s="9" t="s">
        <v>198</v>
      </c>
      <c r="AF861" s="14">
        <v>9</v>
      </c>
    </row>
    <row r="862" spans="30:32" ht="15.75" customHeight="1" x14ac:dyDescent="0.15">
      <c r="AD862" s="9">
        <v>31623233</v>
      </c>
      <c r="AE862" s="9" t="s">
        <v>1448</v>
      </c>
      <c r="AF862" s="14">
        <v>3</v>
      </c>
    </row>
    <row r="863" spans="30:32" ht="15.75" customHeight="1" x14ac:dyDescent="0.15">
      <c r="AD863" s="9">
        <v>31628780</v>
      </c>
      <c r="AE863" s="9" t="s">
        <v>1450</v>
      </c>
      <c r="AF863" s="14">
        <v>1</v>
      </c>
    </row>
    <row r="864" spans="30:32" ht="15.75" customHeight="1" x14ac:dyDescent="0.15">
      <c r="AD864" s="9">
        <v>31640950</v>
      </c>
      <c r="AE864" s="9" t="s">
        <v>199</v>
      </c>
      <c r="AF864" s="14">
        <v>1</v>
      </c>
    </row>
    <row r="865" spans="30:32" ht="15.75" customHeight="1" x14ac:dyDescent="0.15">
      <c r="AD865" s="9">
        <v>31646363</v>
      </c>
      <c r="AE865" s="9" t="s">
        <v>1452</v>
      </c>
      <c r="AF865" s="14">
        <v>3</v>
      </c>
    </row>
    <row r="866" spans="30:32" ht="15.75" customHeight="1" x14ac:dyDescent="0.15">
      <c r="AD866" s="9">
        <v>31653143</v>
      </c>
      <c r="AE866" s="9" t="s">
        <v>200</v>
      </c>
      <c r="AF866" s="14">
        <v>1</v>
      </c>
    </row>
    <row r="867" spans="30:32" ht="15.75" customHeight="1" x14ac:dyDescent="0.15">
      <c r="AD867" s="9">
        <v>31654358</v>
      </c>
      <c r="AE867" s="9" t="s">
        <v>201</v>
      </c>
      <c r="AF867" s="14">
        <v>1</v>
      </c>
    </row>
    <row r="868" spans="30:32" ht="15.75" customHeight="1" x14ac:dyDescent="0.15">
      <c r="AD868" s="9">
        <v>31655996</v>
      </c>
      <c r="AE868" s="9" t="s">
        <v>202</v>
      </c>
      <c r="AF868" s="14">
        <v>4</v>
      </c>
    </row>
    <row r="869" spans="30:32" ht="15.75" customHeight="1" x14ac:dyDescent="0.15">
      <c r="AD869" s="9">
        <v>31657594</v>
      </c>
      <c r="AE869" s="9" t="s">
        <v>203</v>
      </c>
      <c r="AF869" s="14">
        <v>3</v>
      </c>
    </row>
    <row r="870" spans="30:32" ht="15.75" customHeight="1" x14ac:dyDescent="0.15">
      <c r="AD870" s="9">
        <v>31662979</v>
      </c>
      <c r="AE870" s="9" t="s">
        <v>204</v>
      </c>
      <c r="AF870" s="14">
        <v>4</v>
      </c>
    </row>
    <row r="871" spans="30:32" ht="15.75" customHeight="1" x14ac:dyDescent="0.15">
      <c r="AD871" s="9">
        <v>31681443</v>
      </c>
      <c r="AE871" s="9" t="s">
        <v>205</v>
      </c>
      <c r="AF871" s="14">
        <v>2</v>
      </c>
    </row>
    <row r="872" spans="30:32" ht="15.75" customHeight="1" x14ac:dyDescent="0.15">
      <c r="AD872" s="9">
        <v>31681687</v>
      </c>
      <c r="AE872" s="9" t="s">
        <v>206</v>
      </c>
      <c r="AF872" s="14">
        <v>1</v>
      </c>
    </row>
    <row r="873" spans="30:32" ht="15.75" customHeight="1" x14ac:dyDescent="0.15">
      <c r="AD873" s="9">
        <v>31686427</v>
      </c>
      <c r="AE873" s="9" t="s">
        <v>207</v>
      </c>
      <c r="AF873" s="14">
        <v>5</v>
      </c>
    </row>
    <row r="874" spans="30:32" ht="15.75" customHeight="1" x14ac:dyDescent="0.15">
      <c r="AD874" s="9">
        <v>31691382</v>
      </c>
      <c r="AE874" s="9" t="s">
        <v>208</v>
      </c>
      <c r="AF874" s="14">
        <v>2</v>
      </c>
    </row>
    <row r="875" spans="30:32" ht="15.75" customHeight="1" x14ac:dyDescent="0.15">
      <c r="AD875" s="9">
        <v>31698048</v>
      </c>
      <c r="AE875" s="9" t="s">
        <v>209</v>
      </c>
      <c r="AF875" s="14">
        <v>1</v>
      </c>
    </row>
    <row r="876" spans="30:32" ht="15.75" customHeight="1" x14ac:dyDescent="0.15">
      <c r="AD876" s="9">
        <v>31699346</v>
      </c>
      <c r="AE876" s="9" t="s">
        <v>210</v>
      </c>
      <c r="AF876" s="14">
        <v>1</v>
      </c>
    </row>
    <row r="877" spans="30:32" ht="15.75" customHeight="1" x14ac:dyDescent="0.15">
      <c r="AD877" s="9">
        <v>31699640</v>
      </c>
      <c r="AE877" s="9" t="s">
        <v>211</v>
      </c>
      <c r="AF877" s="14">
        <v>3</v>
      </c>
    </row>
    <row r="878" spans="30:32" ht="15.75" customHeight="1" x14ac:dyDescent="0.15">
      <c r="AD878" s="9">
        <v>31703207</v>
      </c>
      <c r="AE878" s="9" t="s">
        <v>212</v>
      </c>
      <c r="AF878" s="14">
        <v>20</v>
      </c>
    </row>
    <row r="879" spans="30:32" ht="15.75" customHeight="1" x14ac:dyDescent="0.15">
      <c r="AD879" s="9">
        <v>31705400</v>
      </c>
      <c r="AE879" s="9" t="s">
        <v>213</v>
      </c>
      <c r="AF879" s="14">
        <v>2</v>
      </c>
    </row>
    <row r="880" spans="30:32" ht="15.75" customHeight="1" x14ac:dyDescent="0.15">
      <c r="AD880" s="9">
        <v>31705625</v>
      </c>
      <c r="AE880" s="9" t="s">
        <v>214</v>
      </c>
      <c r="AF880" s="14">
        <v>2</v>
      </c>
    </row>
    <row r="881" spans="30:32" ht="15.75" customHeight="1" x14ac:dyDescent="0.15">
      <c r="AD881" s="9">
        <v>31707012</v>
      </c>
      <c r="AE881" s="9" t="s">
        <v>215</v>
      </c>
      <c r="AF881" s="14">
        <v>1</v>
      </c>
    </row>
    <row r="882" spans="30:32" ht="15.75" customHeight="1" x14ac:dyDescent="0.15">
      <c r="AD882" s="9">
        <v>31707062</v>
      </c>
      <c r="AE882" s="9" t="s">
        <v>216</v>
      </c>
      <c r="AF882" s="14">
        <v>1</v>
      </c>
    </row>
    <row r="883" spans="30:32" ht="15.75" customHeight="1" x14ac:dyDescent="0.15">
      <c r="AD883" s="9">
        <v>31717045</v>
      </c>
      <c r="AE883" s="9" t="s">
        <v>217</v>
      </c>
      <c r="AF883" s="14">
        <v>1</v>
      </c>
    </row>
    <row r="884" spans="30:32" ht="15.75" customHeight="1" x14ac:dyDescent="0.15">
      <c r="AD884" s="9">
        <v>31720199</v>
      </c>
      <c r="AE884" s="9" t="s">
        <v>218</v>
      </c>
      <c r="AF884" s="14">
        <v>47</v>
      </c>
    </row>
    <row r="885" spans="30:32" ht="15.75" customHeight="1" x14ac:dyDescent="0.15">
      <c r="AD885" s="9">
        <v>31720804</v>
      </c>
      <c r="AE885" s="9" t="s">
        <v>219</v>
      </c>
      <c r="AF885" s="14">
        <v>2</v>
      </c>
    </row>
    <row r="886" spans="30:32" ht="15.75" customHeight="1" x14ac:dyDescent="0.15">
      <c r="AD886" s="9">
        <v>31721361</v>
      </c>
      <c r="AE886" s="9" t="s">
        <v>220</v>
      </c>
      <c r="AF886" s="14">
        <v>6</v>
      </c>
    </row>
    <row r="887" spans="30:32" ht="15.75" customHeight="1" x14ac:dyDescent="0.15">
      <c r="AD887" s="9">
        <v>31724896</v>
      </c>
      <c r="AE887" s="9" t="s">
        <v>221</v>
      </c>
      <c r="AF887" s="14">
        <v>1</v>
      </c>
    </row>
    <row r="888" spans="30:32" ht="15.75" customHeight="1" x14ac:dyDescent="0.15">
      <c r="AD888" s="9">
        <v>31725496</v>
      </c>
      <c r="AE888" s="9" t="s">
        <v>222</v>
      </c>
      <c r="AF888" s="14">
        <v>1</v>
      </c>
    </row>
    <row r="889" spans="30:32" ht="15.75" customHeight="1" x14ac:dyDescent="0.15">
      <c r="AD889" s="9">
        <v>31730406</v>
      </c>
      <c r="AE889" s="9" t="s">
        <v>223</v>
      </c>
      <c r="AF889" s="14">
        <v>9</v>
      </c>
    </row>
    <row r="890" spans="30:32" ht="15.75" customHeight="1" x14ac:dyDescent="0.15">
      <c r="AD890" s="9">
        <v>31733360</v>
      </c>
      <c r="AE890" s="9" t="s">
        <v>224</v>
      </c>
      <c r="AF890" s="14">
        <v>2</v>
      </c>
    </row>
    <row r="891" spans="30:32" ht="15.75" customHeight="1" x14ac:dyDescent="0.15">
      <c r="AD891" s="9">
        <v>31750527</v>
      </c>
      <c r="AE891" s="9" t="s">
        <v>225</v>
      </c>
      <c r="AF891" s="14">
        <v>7</v>
      </c>
    </row>
    <row r="892" spans="30:32" ht="15.75" customHeight="1" x14ac:dyDescent="0.15">
      <c r="AD892" s="9">
        <v>31750603</v>
      </c>
      <c r="AE892" s="9" t="s">
        <v>1504</v>
      </c>
      <c r="AF892" s="14">
        <v>1</v>
      </c>
    </row>
    <row r="893" spans="30:32" ht="15.75" customHeight="1" x14ac:dyDescent="0.15">
      <c r="AD893" s="9">
        <v>31752860</v>
      </c>
      <c r="AE893" s="9" t="s">
        <v>226</v>
      </c>
      <c r="AF893" s="14">
        <v>1</v>
      </c>
    </row>
    <row r="894" spans="30:32" ht="15.75" customHeight="1" x14ac:dyDescent="0.15">
      <c r="AD894" s="9">
        <v>31765916</v>
      </c>
      <c r="AE894" s="9" t="s">
        <v>227</v>
      </c>
      <c r="AF894" s="14">
        <v>1</v>
      </c>
    </row>
    <row r="895" spans="30:32" ht="15.75" customHeight="1" x14ac:dyDescent="0.15">
      <c r="AD895" s="9">
        <v>31771228</v>
      </c>
      <c r="AE895" s="9" t="s">
        <v>228</v>
      </c>
      <c r="AF895" s="14">
        <v>1</v>
      </c>
    </row>
    <row r="896" spans="30:32" ht="15.75" customHeight="1" x14ac:dyDescent="0.15">
      <c r="AD896" s="9">
        <v>31772984</v>
      </c>
      <c r="AE896" s="9" t="s">
        <v>229</v>
      </c>
      <c r="AF896" s="14">
        <v>7</v>
      </c>
    </row>
    <row r="897" spans="30:32" ht="15.75" customHeight="1" x14ac:dyDescent="0.15">
      <c r="AD897" s="9">
        <v>31781883</v>
      </c>
      <c r="AE897" s="9" t="s">
        <v>230</v>
      </c>
      <c r="AF897" s="14">
        <v>1</v>
      </c>
    </row>
    <row r="898" spans="30:32" ht="15.75" customHeight="1" x14ac:dyDescent="0.15">
      <c r="AD898" s="9">
        <v>31785060</v>
      </c>
      <c r="AE898" s="9" t="s">
        <v>231</v>
      </c>
      <c r="AF898" s="14">
        <v>3</v>
      </c>
    </row>
    <row r="899" spans="30:32" ht="15.75" customHeight="1" x14ac:dyDescent="0.15">
      <c r="AD899" s="9">
        <v>31791059</v>
      </c>
      <c r="AE899" s="9" t="s">
        <v>232</v>
      </c>
      <c r="AF899" s="14">
        <v>5</v>
      </c>
    </row>
    <row r="900" spans="30:32" ht="15.75" customHeight="1" x14ac:dyDescent="0.15">
      <c r="AD900" s="9">
        <v>31817200</v>
      </c>
      <c r="AE900" s="9" t="s">
        <v>233</v>
      </c>
      <c r="AF900" s="14">
        <v>1</v>
      </c>
    </row>
    <row r="901" spans="30:32" ht="15.75" customHeight="1" x14ac:dyDescent="0.15">
      <c r="AD901" s="9">
        <v>31823681</v>
      </c>
      <c r="AE901" s="9" t="s">
        <v>1515</v>
      </c>
      <c r="AF901" s="14">
        <v>1</v>
      </c>
    </row>
    <row r="902" spans="30:32" ht="15.75" customHeight="1" x14ac:dyDescent="0.15">
      <c r="AD902" s="9">
        <v>31838412</v>
      </c>
      <c r="AE902" s="9" t="s">
        <v>234</v>
      </c>
      <c r="AF902" s="14">
        <v>4</v>
      </c>
    </row>
    <row r="903" spans="30:32" ht="15.75" customHeight="1" x14ac:dyDescent="0.15">
      <c r="AD903" s="9">
        <v>31851256</v>
      </c>
      <c r="AE903" s="9" t="s">
        <v>235</v>
      </c>
      <c r="AF903" s="14">
        <v>20</v>
      </c>
    </row>
    <row r="904" spans="30:32" ht="15.75" customHeight="1" x14ac:dyDescent="0.15">
      <c r="AD904" s="9">
        <v>31858435</v>
      </c>
      <c r="AE904" s="9" t="s">
        <v>236</v>
      </c>
      <c r="AF904" s="14">
        <v>2</v>
      </c>
    </row>
    <row r="905" spans="30:32" ht="15.75" customHeight="1" x14ac:dyDescent="0.15">
      <c r="AD905" s="9">
        <v>31858651</v>
      </c>
      <c r="AE905" s="9" t="s">
        <v>237</v>
      </c>
      <c r="AF905" s="14">
        <v>1</v>
      </c>
    </row>
    <row r="906" spans="30:32" ht="15.75" customHeight="1" x14ac:dyDescent="0.15">
      <c r="AD906" s="9">
        <v>31861761</v>
      </c>
      <c r="AE906" s="9" t="s">
        <v>238</v>
      </c>
      <c r="AF906" s="14">
        <v>2</v>
      </c>
    </row>
    <row r="907" spans="30:32" ht="15.75" customHeight="1" x14ac:dyDescent="0.15">
      <c r="AD907" s="9">
        <v>31874041</v>
      </c>
      <c r="AE907" s="9" t="s">
        <v>239</v>
      </c>
      <c r="AF907" s="14">
        <v>1</v>
      </c>
    </row>
    <row r="908" spans="30:32" ht="15.75" customHeight="1" x14ac:dyDescent="0.15">
      <c r="AD908" s="9">
        <v>31899022</v>
      </c>
      <c r="AE908" s="9" t="s">
        <v>240</v>
      </c>
      <c r="AF908" s="14">
        <v>1</v>
      </c>
    </row>
    <row r="909" spans="30:32" ht="15.75" customHeight="1" x14ac:dyDescent="0.15">
      <c r="AD909" s="9">
        <v>31956576</v>
      </c>
      <c r="AE909" s="9" t="s">
        <v>241</v>
      </c>
      <c r="AF909" s="14">
        <v>1</v>
      </c>
    </row>
    <row r="910" spans="30:32" ht="15.75" customHeight="1" x14ac:dyDescent="0.15">
      <c r="AD910" s="9">
        <v>31956742</v>
      </c>
      <c r="AE910" s="9" t="s">
        <v>242</v>
      </c>
      <c r="AF910" s="14">
        <v>5</v>
      </c>
    </row>
    <row r="911" spans="30:32" ht="15.75" customHeight="1" x14ac:dyDescent="0.15">
      <c r="AD911" s="9">
        <v>31976329</v>
      </c>
      <c r="AE911" s="9" t="s">
        <v>243</v>
      </c>
      <c r="AF911" s="14">
        <v>1</v>
      </c>
    </row>
    <row r="912" spans="30:32" ht="15.75" customHeight="1" x14ac:dyDescent="0.15">
      <c r="AD912" s="9">
        <v>31981741</v>
      </c>
      <c r="AE912" s="9" t="s">
        <v>244</v>
      </c>
      <c r="AF912" s="14">
        <v>1</v>
      </c>
    </row>
    <row r="913" spans="30:32" ht="15.75" customHeight="1" x14ac:dyDescent="0.15">
      <c r="AD913" s="9">
        <v>31983682</v>
      </c>
      <c r="AE913" s="9" t="s">
        <v>245</v>
      </c>
      <c r="AF913" s="14">
        <v>1</v>
      </c>
    </row>
    <row r="914" spans="30:32" ht="15.75" customHeight="1" x14ac:dyDescent="0.15">
      <c r="AD914" s="9">
        <v>32092309</v>
      </c>
      <c r="AE914" s="9" t="s">
        <v>246</v>
      </c>
      <c r="AF914" s="14">
        <v>1</v>
      </c>
    </row>
    <row r="915" spans="30:32" ht="15.75" customHeight="1" x14ac:dyDescent="0.15">
      <c r="AD915" s="9">
        <v>32138932</v>
      </c>
      <c r="AE915" s="9" t="s">
        <v>247</v>
      </c>
      <c r="AF915" s="14">
        <v>1</v>
      </c>
    </row>
    <row r="916" spans="30:32" ht="15.75" customHeight="1" x14ac:dyDescent="0.15">
      <c r="AD916" s="9">
        <v>32187680</v>
      </c>
      <c r="AE916" s="9" t="s">
        <v>248</v>
      </c>
      <c r="AF916" s="14">
        <v>1</v>
      </c>
    </row>
    <row r="917" spans="30:32" ht="15.75" customHeight="1" x14ac:dyDescent="0.15">
      <c r="AD917" s="9">
        <v>32222502</v>
      </c>
      <c r="AE917" s="9" t="s">
        <v>249</v>
      </c>
      <c r="AF917" s="14">
        <v>9</v>
      </c>
    </row>
    <row r="918" spans="30:32" ht="15.75" customHeight="1" x14ac:dyDescent="0.15">
      <c r="AD918" s="9">
        <v>32243010</v>
      </c>
      <c r="AE918" s="9" t="s">
        <v>250</v>
      </c>
      <c r="AF918" s="14">
        <v>3</v>
      </c>
    </row>
    <row r="919" spans="30:32" ht="15.75" customHeight="1" x14ac:dyDescent="0.15">
      <c r="AD919" s="9">
        <v>32256742</v>
      </c>
      <c r="AE919" s="9" t="s">
        <v>251</v>
      </c>
      <c r="AF919" s="14">
        <v>5</v>
      </c>
    </row>
    <row r="920" spans="30:32" ht="15.75" customHeight="1" x14ac:dyDescent="0.15">
      <c r="AD920" s="9">
        <v>32260309</v>
      </c>
      <c r="AE920" s="9" t="s">
        <v>252</v>
      </c>
      <c r="AF920" s="14">
        <v>7</v>
      </c>
    </row>
    <row r="921" spans="30:32" ht="15.75" customHeight="1" x14ac:dyDescent="0.15">
      <c r="AD921" s="9">
        <v>32261282</v>
      </c>
      <c r="AE921" s="9" t="s">
        <v>253</v>
      </c>
      <c r="AF921" s="14">
        <v>1</v>
      </c>
    </row>
    <row r="922" spans="30:32" ht="15.75" customHeight="1" x14ac:dyDescent="0.15">
      <c r="AD922" s="9">
        <v>32274250</v>
      </c>
      <c r="AE922" s="9" t="s">
        <v>254</v>
      </c>
      <c r="AF922" s="14">
        <v>1</v>
      </c>
    </row>
    <row r="923" spans="30:32" ht="15.75" customHeight="1" x14ac:dyDescent="0.15">
      <c r="AD923" s="9">
        <v>32295076</v>
      </c>
      <c r="AE923" s="9" t="s">
        <v>1542</v>
      </c>
      <c r="AF923" s="14">
        <v>1</v>
      </c>
    </row>
    <row r="924" spans="30:32" ht="15.75" customHeight="1" x14ac:dyDescent="0.15">
      <c r="AD924" s="9">
        <v>32296350</v>
      </c>
      <c r="AE924" s="9" t="s">
        <v>255</v>
      </c>
      <c r="AF924" s="14">
        <v>1</v>
      </c>
    </row>
    <row r="925" spans="30:32" ht="15.75" customHeight="1" x14ac:dyDescent="0.15">
      <c r="AD925" s="9">
        <v>32325765</v>
      </c>
      <c r="AE925" s="9" t="s">
        <v>256</v>
      </c>
      <c r="AF925" s="14">
        <v>1</v>
      </c>
    </row>
    <row r="926" spans="30:32" ht="15.75" customHeight="1" x14ac:dyDescent="0.15">
      <c r="AD926" s="9">
        <v>32334706</v>
      </c>
      <c r="AE926" s="9" t="s">
        <v>257</v>
      </c>
      <c r="AF926" s="14">
        <v>1</v>
      </c>
    </row>
    <row r="927" spans="30:32" ht="15.75" customHeight="1" x14ac:dyDescent="0.15">
      <c r="AD927" s="9">
        <v>32341680</v>
      </c>
      <c r="AE927" s="9" t="s">
        <v>258</v>
      </c>
      <c r="AF927" s="14">
        <v>3</v>
      </c>
    </row>
    <row r="928" spans="30:32" ht="15.75" customHeight="1" x14ac:dyDescent="0.15">
      <c r="AD928" s="9">
        <v>32343433</v>
      </c>
      <c r="AE928" s="9" t="s">
        <v>259</v>
      </c>
      <c r="AF928" s="14">
        <v>2</v>
      </c>
    </row>
    <row r="929" spans="30:32" ht="15.75" customHeight="1" x14ac:dyDescent="0.15">
      <c r="AD929" s="9">
        <v>32343648</v>
      </c>
      <c r="AE929" s="9" t="s">
        <v>260</v>
      </c>
      <c r="AF929" s="14">
        <v>1</v>
      </c>
    </row>
    <row r="930" spans="30:32" ht="15.75" customHeight="1" x14ac:dyDescent="0.15">
      <c r="AD930" s="9">
        <v>32350084</v>
      </c>
      <c r="AE930" s="9" t="s">
        <v>261</v>
      </c>
      <c r="AF930" s="14">
        <v>1</v>
      </c>
    </row>
    <row r="931" spans="30:32" ht="15.75" customHeight="1" x14ac:dyDescent="0.15">
      <c r="AD931" s="9">
        <v>32352329</v>
      </c>
      <c r="AE931" s="9" t="s">
        <v>262</v>
      </c>
      <c r="AF931" s="14">
        <v>1</v>
      </c>
    </row>
    <row r="932" spans="30:32" ht="15.75" customHeight="1" x14ac:dyDescent="0.15">
      <c r="AD932" s="9">
        <v>32360532</v>
      </c>
      <c r="AE932" s="9" t="s">
        <v>263</v>
      </c>
      <c r="AF932" s="14">
        <v>1</v>
      </c>
    </row>
    <row r="933" spans="30:32" ht="15.75" customHeight="1" x14ac:dyDescent="0.15">
      <c r="AD933" s="9">
        <v>32363056</v>
      </c>
      <c r="AE933" s="9" t="s">
        <v>1543</v>
      </c>
      <c r="AF933" s="14">
        <v>9</v>
      </c>
    </row>
    <row r="934" spans="30:32" ht="15.75" customHeight="1" x14ac:dyDescent="0.15">
      <c r="AD934" s="9">
        <v>32371942</v>
      </c>
      <c r="AE934" s="9" t="s">
        <v>264</v>
      </c>
      <c r="AF934" s="14">
        <v>6</v>
      </c>
    </row>
    <row r="935" spans="30:32" ht="15.75" customHeight="1" x14ac:dyDescent="0.15">
      <c r="AD935" s="9">
        <v>32392057</v>
      </c>
      <c r="AE935" s="9" t="s">
        <v>265</v>
      </c>
      <c r="AF935" s="14">
        <v>1</v>
      </c>
    </row>
    <row r="936" spans="30:32" ht="15.75" customHeight="1" x14ac:dyDescent="0.15">
      <c r="AD936" s="9">
        <v>32392062</v>
      </c>
      <c r="AE936" s="9" t="s">
        <v>266</v>
      </c>
      <c r="AF936" s="14">
        <v>19</v>
      </c>
    </row>
    <row r="937" spans="30:32" ht="15.75" customHeight="1" x14ac:dyDescent="0.15">
      <c r="AD937" s="9">
        <v>32407162</v>
      </c>
      <c r="AE937" s="9" t="s">
        <v>1549</v>
      </c>
      <c r="AF937" s="14">
        <v>1</v>
      </c>
    </row>
    <row r="938" spans="30:32" ht="15.75" customHeight="1" x14ac:dyDescent="0.15">
      <c r="AD938" s="9">
        <v>32423096</v>
      </c>
      <c r="AE938" s="9" t="s">
        <v>267</v>
      </c>
      <c r="AF938" s="14">
        <v>1</v>
      </c>
    </row>
    <row r="939" spans="30:32" ht="15.75" customHeight="1" x14ac:dyDescent="0.15">
      <c r="AD939" s="9">
        <v>32474276</v>
      </c>
      <c r="AE939" s="9" t="s">
        <v>268</v>
      </c>
      <c r="AF939" s="14">
        <v>5</v>
      </c>
    </row>
    <row r="940" spans="30:32" ht="15.75" customHeight="1" x14ac:dyDescent="0.15">
      <c r="AD940" s="9">
        <v>32501715</v>
      </c>
      <c r="AE940" s="9" t="s">
        <v>1551</v>
      </c>
      <c r="AF940" s="14">
        <v>6</v>
      </c>
    </row>
    <row r="941" spans="30:32" ht="15.75" customHeight="1" x14ac:dyDescent="0.15">
      <c r="AD941" s="9">
        <v>33794365</v>
      </c>
      <c r="AE941" s="9" t="s">
        <v>269</v>
      </c>
      <c r="AF941" s="14">
        <v>1</v>
      </c>
    </row>
    <row r="942" spans="30:32" ht="15.75" customHeight="1" x14ac:dyDescent="0.15">
      <c r="AD942" s="9">
        <v>33801449</v>
      </c>
      <c r="AE942" s="9" t="s">
        <v>270</v>
      </c>
      <c r="AF942" s="14">
        <v>1</v>
      </c>
    </row>
    <row r="943" spans="30:32" ht="15.75" customHeight="1" x14ac:dyDescent="0.15">
      <c r="AD943" s="9">
        <v>33834102</v>
      </c>
      <c r="AE943" s="9" t="s">
        <v>271</v>
      </c>
      <c r="AF943" s="14">
        <v>1</v>
      </c>
    </row>
    <row r="944" spans="30:32" ht="15.75" customHeight="1" x14ac:dyDescent="0.15">
      <c r="AD944" s="9">
        <v>33841601</v>
      </c>
      <c r="AE944" s="9" t="s">
        <v>272</v>
      </c>
      <c r="AF944" s="14">
        <v>12</v>
      </c>
    </row>
    <row r="945" spans="30:32" ht="15.75" customHeight="1" x14ac:dyDescent="0.15">
      <c r="AD945" s="9">
        <v>38695445</v>
      </c>
      <c r="AE945" s="9" t="s">
        <v>273</v>
      </c>
      <c r="AF945" s="14">
        <v>1</v>
      </c>
    </row>
    <row r="946" spans="30:32" ht="15.75" customHeight="1" x14ac:dyDescent="0.15">
      <c r="AD946" s="9">
        <v>38735830</v>
      </c>
      <c r="AE946" s="9" t="s">
        <v>274</v>
      </c>
      <c r="AF946" s="14">
        <v>12</v>
      </c>
    </row>
    <row r="947" spans="30:32" ht="15.75" customHeight="1" x14ac:dyDescent="0.15">
      <c r="AD947" s="9">
        <v>40931334</v>
      </c>
      <c r="AE947" s="9" t="s">
        <v>275</v>
      </c>
      <c r="AF947" s="14">
        <v>1</v>
      </c>
    </row>
    <row r="948" spans="30:32" ht="15.75" customHeight="1" x14ac:dyDescent="0.15">
      <c r="AD948" s="9">
        <v>40978344</v>
      </c>
      <c r="AE948" s="9" t="s">
        <v>1560</v>
      </c>
      <c r="AF948" s="14">
        <v>1</v>
      </c>
    </row>
    <row r="949" spans="30:32" ht="15.75" customHeight="1" x14ac:dyDescent="0.15">
      <c r="AD949" s="9">
        <v>40985103</v>
      </c>
      <c r="AE949" s="9" t="s">
        <v>276</v>
      </c>
      <c r="AF949" s="14">
        <v>2</v>
      </c>
    </row>
    <row r="950" spans="30:32" ht="15.75" customHeight="1" x14ac:dyDescent="0.15">
      <c r="AD950" s="9">
        <v>40985400</v>
      </c>
      <c r="AE950" s="9" t="s">
        <v>277</v>
      </c>
      <c r="AF950" s="14">
        <v>13</v>
      </c>
    </row>
    <row r="951" spans="30:32" ht="15.75" customHeight="1" x14ac:dyDescent="0.15">
      <c r="AD951" s="9">
        <v>40986110</v>
      </c>
      <c r="AE951" s="9" t="s">
        <v>278</v>
      </c>
      <c r="AF951" s="14">
        <v>1</v>
      </c>
    </row>
    <row r="952" spans="30:32" ht="15.75" customHeight="1" x14ac:dyDescent="0.15">
      <c r="AD952" s="9">
        <v>47173578</v>
      </c>
      <c r="AE952" s="9" t="s">
        <v>279</v>
      </c>
      <c r="AF952" s="14">
        <v>1</v>
      </c>
    </row>
    <row r="953" spans="30:32" ht="15.75" customHeight="1" x14ac:dyDescent="0.15">
      <c r="AD953" s="9">
        <v>48608602</v>
      </c>
      <c r="AE953" s="9" t="s">
        <v>1564</v>
      </c>
      <c r="AF953" s="14">
        <v>2</v>
      </c>
    </row>
    <row r="954" spans="30:32" ht="15.75" customHeight="1" x14ac:dyDescent="0.15">
      <c r="AD954" s="9">
        <v>49033409</v>
      </c>
      <c r="AE954" s="9" t="s">
        <v>280</v>
      </c>
      <c r="AF954" s="14">
        <v>4</v>
      </c>
    </row>
    <row r="955" spans="30:32" ht="15.75" customHeight="1" x14ac:dyDescent="0.15">
      <c r="AD955" s="9">
        <v>49420957</v>
      </c>
      <c r="AE955" s="9" t="s">
        <v>281</v>
      </c>
      <c r="AF955" s="14">
        <v>2</v>
      </c>
    </row>
    <row r="956" spans="30:32" ht="15.75" customHeight="1" x14ac:dyDescent="0.15">
      <c r="AD956" s="9">
        <v>49481600</v>
      </c>
      <c r="AE956" s="9" t="s">
        <v>282</v>
      </c>
      <c r="AF956" s="14">
        <v>1</v>
      </c>
    </row>
    <row r="957" spans="30:32" ht="15.75" customHeight="1" x14ac:dyDescent="0.15">
      <c r="AD957" s="9">
        <v>49507115</v>
      </c>
      <c r="AE957" s="9" t="s">
        <v>1566</v>
      </c>
      <c r="AF957" s="14">
        <v>2</v>
      </c>
    </row>
    <row r="958" spans="30:32" ht="15.75" customHeight="1" x14ac:dyDescent="0.15">
      <c r="AD958" s="9">
        <v>50432820</v>
      </c>
      <c r="AE958" s="9" t="s">
        <v>283</v>
      </c>
      <c r="AF958" s="14">
        <v>1</v>
      </c>
    </row>
    <row r="959" spans="30:32" ht="15.75" customHeight="1" x14ac:dyDescent="0.15">
      <c r="AD959" s="9">
        <v>50629549</v>
      </c>
      <c r="AE959" s="9" t="s">
        <v>284</v>
      </c>
      <c r="AF959" s="14">
        <v>7</v>
      </c>
    </row>
    <row r="960" spans="30:32" ht="15.75" customHeight="1" x14ac:dyDescent="0.15">
      <c r="AD960" s="9">
        <v>50633732</v>
      </c>
      <c r="AE960" s="9" t="s">
        <v>285</v>
      </c>
      <c r="AF960" s="14">
        <v>2</v>
      </c>
    </row>
    <row r="961" spans="30:32" ht="15.75" customHeight="1" x14ac:dyDescent="0.15">
      <c r="AD961" s="9">
        <v>53561319</v>
      </c>
      <c r="AE961" s="9" t="s">
        <v>1572</v>
      </c>
      <c r="AF961" s="14">
        <v>1</v>
      </c>
    </row>
    <row r="962" spans="30:32" ht="15.75" customHeight="1" x14ac:dyDescent="0.15">
      <c r="AD962" s="9">
        <v>54187541</v>
      </c>
      <c r="AE962" s="9" t="s">
        <v>286</v>
      </c>
      <c r="AF962" s="14">
        <v>2</v>
      </c>
    </row>
    <row r="963" spans="30:32" ht="15.75" customHeight="1" x14ac:dyDescent="0.15">
      <c r="AD963" s="9">
        <v>54188052</v>
      </c>
      <c r="AE963" s="9" t="s">
        <v>1573</v>
      </c>
      <c r="AF963" s="14">
        <v>2</v>
      </c>
    </row>
    <row r="964" spans="30:32" ht="15.75" customHeight="1" x14ac:dyDescent="0.15">
      <c r="AD964" s="9">
        <v>54688730</v>
      </c>
      <c r="AE964" s="9" t="s">
        <v>287</v>
      </c>
      <c r="AF964" s="14">
        <v>2</v>
      </c>
    </row>
    <row r="965" spans="30:32" ht="15.75" customHeight="1" x14ac:dyDescent="0.15">
      <c r="AD965" s="9">
        <v>55289782</v>
      </c>
      <c r="AE965" s="9" t="s">
        <v>288</v>
      </c>
      <c r="AF965" s="14">
        <v>3</v>
      </c>
    </row>
    <row r="966" spans="30:32" ht="15.75" customHeight="1" x14ac:dyDescent="0.15">
      <c r="AD966" s="9">
        <v>55330641</v>
      </c>
      <c r="AE966" s="9" t="s">
        <v>289</v>
      </c>
      <c r="AF966" s="14">
        <v>9</v>
      </c>
    </row>
    <row r="967" spans="30:32" ht="15.75" customHeight="1" x14ac:dyDescent="0.15">
      <c r="AD967" s="9">
        <v>55330741</v>
      </c>
      <c r="AE967" s="9" t="s">
        <v>1578</v>
      </c>
      <c r="AF967" s="14">
        <v>4</v>
      </c>
    </row>
    <row r="968" spans="30:32" ht="15.75" customHeight="1" x14ac:dyDescent="0.15">
      <c r="AD968" s="9">
        <v>59085832</v>
      </c>
      <c r="AE968" s="9" t="s">
        <v>290</v>
      </c>
      <c r="AF968" s="14">
        <v>2</v>
      </c>
    </row>
    <row r="969" spans="30:32" ht="15.75" customHeight="1" x14ac:dyDescent="0.15">
      <c r="AD969" s="9">
        <v>59225296</v>
      </c>
      <c r="AE969" s="9" t="s">
        <v>291</v>
      </c>
      <c r="AF969" s="14">
        <v>2</v>
      </c>
    </row>
    <row r="970" spans="30:32" ht="15.75" customHeight="1" x14ac:dyDescent="0.15">
      <c r="AD970" s="9">
        <v>60541574</v>
      </c>
      <c r="AE970" s="9" t="s">
        <v>1582</v>
      </c>
      <c r="AF970" s="14">
        <v>1</v>
      </c>
    </row>
    <row r="971" spans="30:32" ht="15.75" customHeight="1" x14ac:dyDescent="0.15">
      <c r="AD971" s="9">
        <v>60632268</v>
      </c>
      <c r="AE971" s="9" t="s">
        <v>292</v>
      </c>
      <c r="AF971" s="14">
        <v>3</v>
      </c>
    </row>
    <row r="972" spans="30:32" ht="15.75" customHeight="1" x14ac:dyDescent="0.15">
      <c r="AD972" s="9">
        <v>60632771</v>
      </c>
      <c r="AE972" s="9" t="s">
        <v>293</v>
      </c>
      <c r="AF972" s="14">
        <v>3</v>
      </c>
    </row>
    <row r="973" spans="30:32" ht="15.75" customHeight="1" x14ac:dyDescent="0.15">
      <c r="AD973" s="9">
        <v>62665801</v>
      </c>
      <c r="AE973" s="9" t="s">
        <v>294</v>
      </c>
      <c r="AF973" s="14">
        <v>1</v>
      </c>
    </row>
    <row r="974" spans="30:32" ht="15.75" customHeight="1" x14ac:dyDescent="0.15">
      <c r="AD974" s="9">
        <v>63010678</v>
      </c>
      <c r="AE974" s="9" t="s">
        <v>295</v>
      </c>
      <c r="AF974" s="14">
        <v>3</v>
      </c>
    </row>
    <row r="975" spans="30:32" ht="15.75" customHeight="1" x14ac:dyDescent="0.15">
      <c r="AD975" s="9">
        <v>65060325</v>
      </c>
      <c r="AE975" s="9" t="s">
        <v>296</v>
      </c>
      <c r="AF975" s="14">
        <v>2</v>
      </c>
    </row>
    <row r="976" spans="30:32" ht="15.75" customHeight="1" x14ac:dyDescent="0.15">
      <c r="AD976" s="9">
        <v>65199726</v>
      </c>
      <c r="AE976" s="9" t="s">
        <v>297</v>
      </c>
      <c r="AF976" s="14">
        <v>1</v>
      </c>
    </row>
    <row r="977" spans="30:32" ht="15.75" customHeight="1" x14ac:dyDescent="0.15">
      <c r="AD977" s="9">
        <v>65338569</v>
      </c>
      <c r="AE977" s="9" t="s">
        <v>298</v>
      </c>
      <c r="AF977" s="14">
        <v>5</v>
      </c>
    </row>
    <row r="978" spans="30:32" ht="15.75" customHeight="1" x14ac:dyDescent="0.15">
      <c r="AD978" s="9">
        <v>65451739</v>
      </c>
      <c r="AE978" s="9" t="s">
        <v>299</v>
      </c>
      <c r="AF978" s="14">
        <v>16</v>
      </c>
    </row>
    <row r="979" spans="30:32" ht="15.75" customHeight="1" x14ac:dyDescent="0.15">
      <c r="AD979" s="9">
        <v>65616037</v>
      </c>
      <c r="AE979" s="9" t="s">
        <v>300</v>
      </c>
      <c r="AF979" s="14">
        <v>1</v>
      </c>
    </row>
    <row r="980" spans="30:32" ht="15.75" customHeight="1" x14ac:dyDescent="0.15">
      <c r="AD980" s="9">
        <v>68655136</v>
      </c>
      <c r="AE980" s="9" t="s">
        <v>301</v>
      </c>
      <c r="AF980" s="14">
        <v>1</v>
      </c>
    </row>
    <row r="981" spans="30:32" ht="15.75" customHeight="1" x14ac:dyDescent="0.15">
      <c r="AD981" s="9">
        <v>68743017</v>
      </c>
      <c r="AE981" s="9" t="s">
        <v>302</v>
      </c>
      <c r="AF981" s="14">
        <v>1</v>
      </c>
    </row>
    <row r="982" spans="30:32" ht="15.75" customHeight="1" x14ac:dyDescent="0.15">
      <c r="AD982" s="9">
        <v>68883897</v>
      </c>
      <c r="AE982" s="9" t="s">
        <v>303</v>
      </c>
      <c r="AF982" s="14">
        <v>1</v>
      </c>
    </row>
    <row r="983" spans="30:32" ht="15.75" customHeight="1" x14ac:dyDescent="0.15">
      <c r="AD983" s="9">
        <v>69571639</v>
      </c>
      <c r="AE983" s="9" t="s">
        <v>304</v>
      </c>
      <c r="AF983" s="14">
        <v>7</v>
      </c>
    </row>
    <row r="984" spans="30:32" ht="15.75" customHeight="1" x14ac:dyDescent="0.15">
      <c r="AD984" s="9">
        <v>69662633</v>
      </c>
      <c r="AE984" s="9" t="s">
        <v>305</v>
      </c>
      <c r="AF984" s="14">
        <v>1</v>
      </c>
    </row>
    <row r="985" spans="30:32" ht="15.75" customHeight="1" x14ac:dyDescent="0.15">
      <c r="AD985" s="9">
        <v>71159193</v>
      </c>
      <c r="AE985" s="9" t="s">
        <v>306</v>
      </c>
      <c r="AF985" s="14">
        <v>2</v>
      </c>
    </row>
    <row r="986" spans="30:32" ht="15.75" customHeight="1" x14ac:dyDescent="0.15">
      <c r="AD986" s="9">
        <v>72196890</v>
      </c>
      <c r="AE986" s="9" t="s">
        <v>1593</v>
      </c>
      <c r="AF986" s="14">
        <v>8</v>
      </c>
    </row>
    <row r="987" spans="30:32" ht="15.75" customHeight="1" x14ac:dyDescent="0.15">
      <c r="AD987" s="9">
        <v>74276733</v>
      </c>
      <c r="AE987" s="9" t="s">
        <v>307</v>
      </c>
      <c r="AF987" s="14">
        <v>2</v>
      </c>
    </row>
    <row r="988" spans="30:32" ht="15.75" customHeight="1" x14ac:dyDescent="0.15">
      <c r="AD988" s="9">
        <v>75585287</v>
      </c>
      <c r="AE988" s="9" t="s">
        <v>308</v>
      </c>
      <c r="AF988" s="14">
        <v>4</v>
      </c>
    </row>
    <row r="989" spans="30:32" ht="15.75" customHeight="1" x14ac:dyDescent="0.15">
      <c r="AD989" s="9">
        <v>75650847</v>
      </c>
      <c r="AE989" s="9" t="s">
        <v>309</v>
      </c>
      <c r="AF989" s="14">
        <v>21</v>
      </c>
    </row>
    <row r="990" spans="30:32" ht="15.75" customHeight="1" x14ac:dyDescent="0.15">
      <c r="AD990" s="9">
        <v>78294660</v>
      </c>
      <c r="AE990" s="9" t="s">
        <v>310</v>
      </c>
      <c r="AF990" s="14">
        <v>1</v>
      </c>
    </row>
    <row r="991" spans="30:32" ht="15.75" customHeight="1" x14ac:dyDescent="0.15">
      <c r="AD991" s="9">
        <v>79416109</v>
      </c>
      <c r="AE991" s="9" t="s">
        <v>311</v>
      </c>
      <c r="AF991" s="14">
        <v>2</v>
      </c>
    </row>
    <row r="992" spans="30:32" ht="15.75" customHeight="1" x14ac:dyDescent="0.15">
      <c r="AD992" s="9">
        <v>79646042</v>
      </c>
      <c r="AE992" s="9" t="s">
        <v>312</v>
      </c>
      <c r="AF992" s="14">
        <v>1</v>
      </c>
    </row>
    <row r="993" spans="30:32" ht="15.75" customHeight="1" x14ac:dyDescent="0.15">
      <c r="AD993" s="9">
        <v>79737588</v>
      </c>
      <c r="AE993" s="9" t="s">
        <v>313</v>
      </c>
      <c r="AF993" s="14">
        <v>3</v>
      </c>
    </row>
    <row r="994" spans="30:32" ht="15.75" customHeight="1" x14ac:dyDescent="0.15">
      <c r="AD994" s="9">
        <v>80182176</v>
      </c>
      <c r="AE994" s="9" t="s">
        <v>314</v>
      </c>
      <c r="AF994" s="14">
        <v>2</v>
      </c>
    </row>
    <row r="995" spans="30:32" ht="15.75" customHeight="1" x14ac:dyDescent="0.15">
      <c r="AD995" s="9">
        <v>80267018</v>
      </c>
      <c r="AE995" s="9" t="s">
        <v>315</v>
      </c>
      <c r="AF995" s="14">
        <v>1</v>
      </c>
    </row>
    <row r="996" spans="30:32" ht="15.75" customHeight="1" x14ac:dyDescent="0.15">
      <c r="AD996" s="9">
        <v>80296899</v>
      </c>
      <c r="AE996" s="9" t="s">
        <v>316</v>
      </c>
      <c r="AF996" s="14">
        <v>1</v>
      </c>
    </row>
    <row r="997" spans="30:32" ht="15.75" customHeight="1" x14ac:dyDescent="0.15">
      <c r="AD997" s="9">
        <v>80338976</v>
      </c>
      <c r="AE997" s="9" t="s">
        <v>317</v>
      </c>
      <c r="AF997" s="14">
        <v>5</v>
      </c>
    </row>
    <row r="998" spans="30:32" ht="15.75" customHeight="1" x14ac:dyDescent="0.15">
      <c r="AD998" s="9">
        <v>85305684</v>
      </c>
      <c r="AE998" s="9" t="s">
        <v>1607</v>
      </c>
      <c r="AF998" s="14">
        <v>1</v>
      </c>
    </row>
    <row r="999" spans="30:32" ht="15.75" customHeight="1" x14ac:dyDescent="0.15">
      <c r="AD999" s="9">
        <v>86825629</v>
      </c>
      <c r="AE999" s="9" t="s">
        <v>318</v>
      </c>
      <c r="AF999" s="14">
        <v>3</v>
      </c>
    </row>
    <row r="1000" spans="30:32" ht="15.75" customHeight="1" x14ac:dyDescent="0.15">
      <c r="AD1000" s="9">
        <v>88395854</v>
      </c>
      <c r="AE1000" s="9" t="s">
        <v>319</v>
      </c>
      <c r="AF1000" s="14">
        <v>5</v>
      </c>
    </row>
    <row r="1001" spans="30:32" ht="15.75" customHeight="1" x14ac:dyDescent="0.15">
      <c r="AD1001" s="9">
        <v>89953352</v>
      </c>
      <c r="AE1001" s="9" t="s">
        <v>320</v>
      </c>
      <c r="AF1001" s="14">
        <v>3</v>
      </c>
    </row>
    <row r="1002" spans="30:32" ht="15.75" customHeight="1" x14ac:dyDescent="0.15">
      <c r="AD1002" s="9">
        <v>90641209</v>
      </c>
      <c r="AE1002" s="9" t="s">
        <v>321</v>
      </c>
      <c r="AF1002" s="14">
        <v>1</v>
      </c>
    </row>
    <row r="1003" spans="30:32" ht="15.75" customHeight="1" x14ac:dyDescent="0.15">
      <c r="AD1003" s="9">
        <v>95069175</v>
      </c>
      <c r="AE1003" s="9" t="s">
        <v>1612</v>
      </c>
      <c r="AF1003" s="14">
        <v>1</v>
      </c>
    </row>
    <row r="1004" spans="30:32" ht="15.75" customHeight="1" x14ac:dyDescent="0.15">
      <c r="AD1004" s="9">
        <v>95309197</v>
      </c>
      <c r="AE1004" s="9" t="s">
        <v>1613</v>
      </c>
      <c r="AF1004" s="14">
        <v>1</v>
      </c>
    </row>
    <row r="1005" spans="30:32" ht="15.75" customHeight="1" x14ac:dyDescent="0.15">
      <c r="AD1005" s="9">
        <v>95482221</v>
      </c>
      <c r="AE1005" s="9" t="s">
        <v>1614</v>
      </c>
      <c r="AF1005" s="14">
        <v>1</v>
      </c>
    </row>
    <row r="1006" spans="30:32" ht="15.75" customHeight="1" x14ac:dyDescent="0.15">
      <c r="AD1006" s="9">
        <v>97330329</v>
      </c>
      <c r="AE1006" s="9" t="s">
        <v>322</v>
      </c>
      <c r="AF1006" s="14">
        <v>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9DD43-4D29-B24F-BED4-DB85CFB811B4}">
  <sheetPr codeName="Sheet12"/>
  <dimension ref="A1:C1"/>
  <sheetViews>
    <sheetView tabSelected="1" workbookViewId="0">
      <selection activeCell="P26" sqref="P26"/>
    </sheetView>
  </sheetViews>
  <sheetFormatPr baseColWidth="10" defaultRowHeight="13" x14ac:dyDescent="0.15"/>
  <cols>
    <col min="1" max="1" width="9.33203125" bestFit="1" customWidth="1"/>
    <col min="2" max="2" width="5.83203125" style="13" bestFit="1" customWidth="1"/>
    <col min="3" max="3" width="16.5" style="13" bestFit="1" customWidth="1"/>
  </cols>
  <sheetData>
    <row r="1" spans="1:3" x14ac:dyDescent="0.15">
      <c r="A1" s="15" t="s">
        <v>2250</v>
      </c>
      <c r="B1" s="16" t="s">
        <v>850</v>
      </c>
      <c r="C1" s="16" t="s">
        <v>851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outlinePr summaryBelow="0" summaryRight="0"/>
  </sheetPr>
  <dimension ref="A1:B80"/>
  <sheetViews>
    <sheetView workbookViewId="0">
      <selection activeCell="A5" sqref="A5"/>
    </sheetView>
  </sheetViews>
  <sheetFormatPr baseColWidth="10" defaultColWidth="12.6640625" defaultRowHeight="15.75" customHeight="1" x14ac:dyDescent="0.15"/>
  <cols>
    <col min="1" max="1" width="23" bestFit="1" customWidth="1"/>
    <col min="2" max="2" width="5.83203125" bestFit="1" customWidth="1"/>
  </cols>
  <sheetData>
    <row r="1" spans="1:2" ht="15.75" customHeight="1" x14ac:dyDescent="0.15">
      <c r="A1" s="6" t="s">
        <v>852</v>
      </c>
      <c r="B1" s="6" t="s">
        <v>850</v>
      </c>
    </row>
    <row r="2" spans="1:2" ht="15.75" customHeight="1" x14ac:dyDescent="0.15">
      <c r="A2" t="s">
        <v>889</v>
      </c>
      <c r="B2">
        <v>42</v>
      </c>
    </row>
    <row r="3" spans="1:2" ht="15.75" customHeight="1" x14ac:dyDescent="0.15">
      <c r="A3" t="s">
        <v>888</v>
      </c>
      <c r="B3">
        <v>27</v>
      </c>
    </row>
    <row r="4" spans="1:2" ht="15.75" customHeight="1" x14ac:dyDescent="0.15">
      <c r="A4" t="s">
        <v>853</v>
      </c>
      <c r="B4">
        <v>29</v>
      </c>
    </row>
    <row r="5" spans="1:2" ht="15.75" customHeight="1" x14ac:dyDescent="0.15">
      <c r="A5" t="s">
        <v>854</v>
      </c>
      <c r="B5">
        <v>32</v>
      </c>
    </row>
    <row r="6" spans="1:2" ht="15.75" customHeight="1" x14ac:dyDescent="0.15">
      <c r="A6" t="s">
        <v>904</v>
      </c>
      <c r="B6">
        <v>9</v>
      </c>
    </row>
    <row r="7" spans="1:2" ht="15.75" customHeight="1" x14ac:dyDescent="0.15">
      <c r="A7" t="s">
        <v>883</v>
      </c>
      <c r="B7">
        <v>49</v>
      </c>
    </row>
    <row r="8" spans="1:2" ht="15.75" customHeight="1" x14ac:dyDescent="0.15">
      <c r="A8" t="s">
        <v>900</v>
      </c>
      <c r="B8">
        <v>10</v>
      </c>
    </row>
    <row r="9" spans="1:2" ht="15.75" customHeight="1" x14ac:dyDescent="0.15">
      <c r="A9" t="s">
        <v>855</v>
      </c>
      <c r="B9">
        <v>84</v>
      </c>
    </row>
    <row r="10" spans="1:2" ht="15.75" customHeight="1" x14ac:dyDescent="0.15">
      <c r="A10" t="s">
        <v>906</v>
      </c>
      <c r="B10">
        <v>21</v>
      </c>
    </row>
    <row r="11" spans="1:2" ht="15.75" customHeight="1" x14ac:dyDescent="0.15">
      <c r="A11" t="s">
        <v>897</v>
      </c>
      <c r="B11">
        <v>17</v>
      </c>
    </row>
    <row r="12" spans="1:2" ht="15.75" customHeight="1" x14ac:dyDescent="0.15">
      <c r="A12" t="s">
        <v>891</v>
      </c>
      <c r="B12">
        <v>19</v>
      </c>
    </row>
    <row r="13" spans="1:2" ht="15.75" customHeight="1" x14ac:dyDescent="0.15">
      <c r="A13" t="s">
        <v>856</v>
      </c>
      <c r="B13">
        <v>20</v>
      </c>
    </row>
    <row r="14" spans="1:2" ht="15.75" customHeight="1" x14ac:dyDescent="0.15">
      <c r="A14" t="s">
        <v>895</v>
      </c>
      <c r="B14">
        <v>18</v>
      </c>
    </row>
    <row r="15" spans="1:2" ht="15.75" customHeight="1" x14ac:dyDescent="0.15">
      <c r="A15" t="s">
        <v>857</v>
      </c>
      <c r="B15">
        <v>43</v>
      </c>
    </row>
    <row r="16" spans="1:2" ht="15.75" customHeight="1" x14ac:dyDescent="0.15">
      <c r="A16" t="s">
        <v>858</v>
      </c>
      <c r="B16">
        <v>131</v>
      </c>
    </row>
    <row r="17" spans="1:2" ht="15.75" customHeight="1" x14ac:dyDescent="0.15">
      <c r="A17" t="s">
        <v>859</v>
      </c>
      <c r="B17">
        <v>169</v>
      </c>
    </row>
    <row r="18" spans="1:2" ht="15.75" customHeight="1" x14ac:dyDescent="0.15">
      <c r="A18" t="s">
        <v>909</v>
      </c>
      <c r="B18">
        <v>5</v>
      </c>
    </row>
    <row r="19" spans="1:2" ht="15.75" customHeight="1" x14ac:dyDescent="0.15">
      <c r="A19" t="s">
        <v>893</v>
      </c>
      <c r="B19">
        <v>11</v>
      </c>
    </row>
    <row r="20" spans="1:2" ht="15.75" customHeight="1" x14ac:dyDescent="0.15">
      <c r="A20" t="s">
        <v>910</v>
      </c>
      <c r="B20">
        <v>5</v>
      </c>
    </row>
    <row r="21" spans="1:2" ht="15.75" customHeight="1" x14ac:dyDescent="0.15">
      <c r="A21" t="s">
        <v>887</v>
      </c>
      <c r="B21">
        <v>3</v>
      </c>
    </row>
    <row r="22" spans="1:2" ht="15.75" customHeight="1" x14ac:dyDescent="0.15">
      <c r="A22" t="s">
        <v>892</v>
      </c>
      <c r="B22">
        <v>49</v>
      </c>
    </row>
    <row r="23" spans="1:2" ht="15.75" customHeight="1" x14ac:dyDescent="0.15">
      <c r="A23" t="s">
        <v>899</v>
      </c>
      <c r="B23">
        <v>19</v>
      </c>
    </row>
    <row r="24" spans="1:2" ht="15.75" customHeight="1" x14ac:dyDescent="0.15">
      <c r="A24" t="s">
        <v>911</v>
      </c>
      <c r="B24">
        <v>5</v>
      </c>
    </row>
    <row r="25" spans="1:2" ht="15.75" customHeight="1" x14ac:dyDescent="0.15">
      <c r="A25" t="s">
        <v>896</v>
      </c>
      <c r="B25">
        <v>34</v>
      </c>
    </row>
    <row r="26" spans="1:2" ht="15.75" customHeight="1" x14ac:dyDescent="0.15">
      <c r="A26" t="s">
        <v>884</v>
      </c>
      <c r="B26">
        <v>45</v>
      </c>
    </row>
    <row r="27" spans="1:2" ht="15.75" customHeight="1" x14ac:dyDescent="0.15">
      <c r="A27" t="s">
        <v>886</v>
      </c>
      <c r="B27">
        <v>47</v>
      </c>
    </row>
    <row r="28" spans="1:2" ht="15.75" customHeight="1" x14ac:dyDescent="0.15">
      <c r="A28" t="s">
        <v>903</v>
      </c>
      <c r="B28">
        <v>6</v>
      </c>
    </row>
    <row r="29" spans="1:2" ht="15.75" customHeight="1" x14ac:dyDescent="0.15">
      <c r="A29" t="s">
        <v>907</v>
      </c>
      <c r="B29">
        <v>20</v>
      </c>
    </row>
    <row r="30" spans="1:2" ht="15.75" customHeight="1" x14ac:dyDescent="0.15">
      <c r="A30" t="s">
        <v>905</v>
      </c>
      <c r="B30">
        <v>8</v>
      </c>
    </row>
    <row r="31" spans="1:2" ht="15.75" customHeight="1" x14ac:dyDescent="0.15">
      <c r="A31" t="s">
        <v>902</v>
      </c>
      <c r="B31">
        <v>21</v>
      </c>
    </row>
    <row r="32" spans="1:2" ht="15.75" customHeight="1" x14ac:dyDescent="0.15">
      <c r="A32" t="s">
        <v>885</v>
      </c>
      <c r="B32">
        <v>63</v>
      </c>
    </row>
    <row r="33" spans="1:2" ht="15.75" customHeight="1" x14ac:dyDescent="0.15">
      <c r="A33" t="s">
        <v>898</v>
      </c>
      <c r="B33">
        <v>9</v>
      </c>
    </row>
    <row r="34" spans="1:2" ht="15.75" customHeight="1" x14ac:dyDescent="0.15">
      <c r="A34" t="s">
        <v>908</v>
      </c>
      <c r="B34">
        <v>12</v>
      </c>
    </row>
    <row r="35" spans="1:2" ht="15.75" customHeight="1" x14ac:dyDescent="0.15">
      <c r="A35" t="s">
        <v>860</v>
      </c>
      <c r="B35">
        <v>21</v>
      </c>
    </row>
    <row r="36" spans="1:2" ht="15.75" customHeight="1" x14ac:dyDescent="0.15">
      <c r="A36" t="s">
        <v>861</v>
      </c>
      <c r="B36">
        <v>269</v>
      </c>
    </row>
    <row r="37" spans="1:2" ht="15.75" customHeight="1" x14ac:dyDescent="0.15">
      <c r="A37" t="s">
        <v>862</v>
      </c>
      <c r="B37">
        <v>14</v>
      </c>
    </row>
    <row r="38" spans="1:2" ht="15.75" customHeight="1" x14ac:dyDescent="0.15">
      <c r="A38" t="s">
        <v>901</v>
      </c>
      <c r="B38">
        <v>17</v>
      </c>
    </row>
    <row r="39" spans="1:2" ht="15.75" customHeight="1" x14ac:dyDescent="0.15">
      <c r="A39" t="s">
        <v>912</v>
      </c>
      <c r="B39">
        <v>2</v>
      </c>
    </row>
    <row r="40" spans="1:2" ht="15.75" customHeight="1" x14ac:dyDescent="0.15">
      <c r="A40" t="s">
        <v>882</v>
      </c>
      <c r="B40">
        <v>88</v>
      </c>
    </row>
    <row r="41" spans="1:2" ht="15.75" customHeight="1" x14ac:dyDescent="0.15">
      <c r="A41" t="s">
        <v>894</v>
      </c>
      <c r="B41">
        <v>11</v>
      </c>
    </row>
    <row r="42" spans="1:2" ht="15.75" customHeight="1" x14ac:dyDescent="0.15">
      <c r="A42" t="s">
        <v>890</v>
      </c>
      <c r="B42">
        <v>27</v>
      </c>
    </row>
    <row r="56" ht="13" x14ac:dyDescent="0.15"/>
    <row r="57" ht="13" x14ac:dyDescent="0.15"/>
    <row r="58" ht="13" x14ac:dyDescent="0.15"/>
    <row r="59" ht="13" x14ac:dyDescent="0.15"/>
    <row r="60" ht="13" x14ac:dyDescent="0.15"/>
    <row r="61" ht="13" x14ac:dyDescent="0.15"/>
    <row r="62" ht="13" x14ac:dyDescent="0.15"/>
    <row r="63" ht="13" x14ac:dyDescent="0.15"/>
    <row r="64" ht="13" x14ac:dyDescent="0.15"/>
    <row r="65" ht="13" x14ac:dyDescent="0.15"/>
    <row r="66" ht="13" x14ac:dyDescent="0.15"/>
    <row r="67" ht="13" x14ac:dyDescent="0.15"/>
    <row r="68" ht="13" x14ac:dyDescent="0.15"/>
    <row r="69" ht="13" x14ac:dyDescent="0.15"/>
    <row r="70" ht="13" x14ac:dyDescent="0.15"/>
    <row r="71" ht="13" x14ac:dyDescent="0.15"/>
    <row r="72" ht="13" x14ac:dyDescent="0.15"/>
    <row r="73" ht="13" x14ac:dyDescent="0.15"/>
    <row r="74" ht="13" x14ac:dyDescent="0.15"/>
    <row r="75" ht="13" x14ac:dyDescent="0.15"/>
    <row r="76" ht="13" x14ac:dyDescent="0.15"/>
    <row r="77" ht="13" x14ac:dyDescent="0.15"/>
    <row r="78" ht="13" x14ac:dyDescent="0.15"/>
    <row r="79" ht="13" x14ac:dyDescent="0.15"/>
    <row r="80" ht="13" x14ac:dyDescent="0.15"/>
  </sheetData>
  <sortState xmlns:xlrd2="http://schemas.microsoft.com/office/spreadsheetml/2017/richdata2" ref="A2:B42">
    <sortCondition ref="A2:A4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BE2839"/>
  <sheetViews>
    <sheetView topLeftCell="AG1" workbookViewId="0">
      <selection activeCell="AR1" sqref="AR1"/>
    </sheetView>
  </sheetViews>
  <sheetFormatPr baseColWidth="10" defaultRowHeight="15.75" customHeight="1" x14ac:dyDescent="0.15"/>
  <sheetData>
    <row r="1" spans="1:57" ht="13" x14ac:dyDescent="0.15">
      <c r="A1" t="s">
        <v>930</v>
      </c>
      <c r="B1" t="s">
        <v>0</v>
      </c>
      <c r="C1" t="s">
        <v>1</v>
      </c>
      <c r="D1" t="s">
        <v>931</v>
      </c>
      <c r="E1" t="s">
        <v>932</v>
      </c>
      <c r="F1" t="s">
        <v>933</v>
      </c>
      <c r="G1" t="s">
        <v>934</v>
      </c>
      <c r="H1" t="s">
        <v>2</v>
      </c>
      <c r="I1" t="s">
        <v>3</v>
      </c>
      <c r="J1" t="s">
        <v>935</v>
      </c>
      <c r="K1" t="s">
        <v>936</v>
      </c>
      <c r="L1" t="s">
        <v>937</v>
      </c>
      <c r="M1" t="s">
        <v>938</v>
      </c>
      <c r="N1" t="s">
        <v>939</v>
      </c>
      <c r="O1" t="s">
        <v>940</v>
      </c>
      <c r="P1" t="s">
        <v>941</v>
      </c>
      <c r="Q1" t="s">
        <v>942</v>
      </c>
      <c r="R1" t="s">
        <v>943</v>
      </c>
      <c r="S1" t="s">
        <v>944</v>
      </c>
      <c r="T1" t="s">
        <v>945</v>
      </c>
      <c r="U1" t="s">
        <v>946</v>
      </c>
      <c r="V1" t="s">
        <v>947</v>
      </c>
      <c r="W1" t="s">
        <v>948</v>
      </c>
      <c r="X1" t="s">
        <v>949</v>
      </c>
      <c r="Y1" t="s">
        <v>950</v>
      </c>
      <c r="Z1" t="s">
        <v>951</v>
      </c>
      <c r="AA1" t="s">
        <v>952</v>
      </c>
      <c r="AB1" t="s">
        <v>953</v>
      </c>
      <c r="AC1" t="s">
        <v>954</v>
      </c>
      <c r="AD1" t="s">
        <v>955</v>
      </c>
      <c r="AE1" t="s">
        <v>956</v>
      </c>
      <c r="AF1" t="s">
        <v>957</v>
      </c>
      <c r="AG1" t="s">
        <v>958</v>
      </c>
      <c r="AH1" t="s">
        <v>959</v>
      </c>
      <c r="AI1" t="s">
        <v>960</v>
      </c>
      <c r="AJ1" t="s">
        <v>961</v>
      </c>
      <c r="AK1" t="s">
        <v>962</v>
      </c>
      <c r="AL1" t="s">
        <v>963</v>
      </c>
      <c r="AM1" t="s">
        <v>964</v>
      </c>
      <c r="AN1" t="s">
        <v>965</v>
      </c>
      <c r="AO1" t="s">
        <v>966</v>
      </c>
      <c r="AP1" t="s">
        <v>967</v>
      </c>
      <c r="AQ1" t="s">
        <v>968</v>
      </c>
      <c r="AR1" s="17" t="s">
        <v>969</v>
      </c>
      <c r="AS1" t="s">
        <v>970</v>
      </c>
      <c r="AT1" t="s">
        <v>971</v>
      </c>
      <c r="AU1" t="s">
        <v>972</v>
      </c>
      <c r="AV1" t="s">
        <v>973</v>
      </c>
      <c r="AW1" t="s">
        <v>974</v>
      </c>
      <c r="AX1" t="s">
        <v>975</v>
      </c>
      <c r="AY1" t="s">
        <v>976</v>
      </c>
      <c r="AZ1" t="s">
        <v>977</v>
      </c>
      <c r="BA1" t="s">
        <v>978</v>
      </c>
      <c r="BB1" t="s">
        <v>979</v>
      </c>
      <c r="BC1" t="s">
        <v>980</v>
      </c>
      <c r="BD1" t="s">
        <v>981</v>
      </c>
      <c r="BE1" t="s">
        <v>982</v>
      </c>
    </row>
    <row r="2" spans="1:57" ht="13" x14ac:dyDescent="0.15">
      <c r="A2">
        <v>1839</v>
      </c>
      <c r="B2">
        <v>27279631</v>
      </c>
      <c r="C2" t="s">
        <v>8</v>
      </c>
      <c r="D2" s="7">
        <v>39992</v>
      </c>
      <c r="E2" s="7">
        <v>45711</v>
      </c>
      <c r="F2">
        <v>330862</v>
      </c>
      <c r="G2" t="s">
        <v>983</v>
      </c>
      <c r="H2" t="s">
        <v>9</v>
      </c>
      <c r="I2" s="7">
        <v>45698</v>
      </c>
      <c r="J2" s="8">
        <v>0.60130787037037037</v>
      </c>
      <c r="K2" t="s">
        <v>984</v>
      </c>
      <c r="AQ2" t="s">
        <v>985</v>
      </c>
      <c r="AR2" s="17" t="s">
        <v>986</v>
      </c>
      <c r="AT2" t="s">
        <v>987</v>
      </c>
      <c r="AZ2" t="s">
        <v>988</v>
      </c>
      <c r="BA2" t="s">
        <v>989</v>
      </c>
      <c r="BB2" t="s">
        <v>990</v>
      </c>
      <c r="BD2" t="s">
        <v>991</v>
      </c>
      <c r="BE2" t="s">
        <v>8</v>
      </c>
    </row>
    <row r="3" spans="1:57" ht="13" x14ac:dyDescent="0.15">
      <c r="A3">
        <v>1839</v>
      </c>
      <c r="B3">
        <v>27279678</v>
      </c>
      <c r="C3" t="s">
        <v>10</v>
      </c>
      <c r="D3" s="7">
        <v>38666</v>
      </c>
      <c r="E3" s="7">
        <v>45701</v>
      </c>
      <c r="F3">
        <v>330862</v>
      </c>
      <c r="G3" t="s">
        <v>983</v>
      </c>
      <c r="H3" t="s">
        <v>9</v>
      </c>
      <c r="I3" s="7">
        <v>45694</v>
      </c>
      <c r="J3" s="8">
        <v>0.55305555555555552</v>
      </c>
      <c r="K3" t="s">
        <v>984</v>
      </c>
      <c r="AQ3" t="s">
        <v>992</v>
      </c>
      <c r="AR3" t="s">
        <v>986</v>
      </c>
      <c r="AT3" t="s">
        <v>987</v>
      </c>
      <c r="AZ3" t="s">
        <v>988</v>
      </c>
      <c r="BA3" t="s">
        <v>989</v>
      </c>
      <c r="BB3" t="s">
        <v>990</v>
      </c>
      <c r="BD3" t="s">
        <v>991</v>
      </c>
      <c r="BE3" t="s">
        <v>10</v>
      </c>
    </row>
    <row r="4" spans="1:57" ht="13" x14ac:dyDescent="0.15">
      <c r="A4">
        <v>1839</v>
      </c>
      <c r="B4">
        <v>27280298</v>
      </c>
      <c r="C4" t="s">
        <v>11</v>
      </c>
      <c r="D4" s="7">
        <v>39855</v>
      </c>
      <c r="E4" s="7">
        <v>45709</v>
      </c>
      <c r="F4">
        <v>330862</v>
      </c>
      <c r="G4" t="s">
        <v>983</v>
      </c>
      <c r="H4" t="s">
        <v>9</v>
      </c>
      <c r="I4" s="7">
        <v>45694</v>
      </c>
      <c r="J4" s="8">
        <v>0.77296296296296296</v>
      </c>
      <c r="K4" t="s">
        <v>984</v>
      </c>
      <c r="AQ4" t="s">
        <v>992</v>
      </c>
      <c r="AR4" t="s">
        <v>993</v>
      </c>
      <c r="AT4" t="s">
        <v>987</v>
      </c>
      <c r="AZ4" t="s">
        <v>988</v>
      </c>
      <c r="BA4" t="s">
        <v>989</v>
      </c>
      <c r="BB4" t="s">
        <v>990</v>
      </c>
      <c r="BD4" t="s">
        <v>991</v>
      </c>
      <c r="BE4" t="s">
        <v>11</v>
      </c>
    </row>
    <row r="5" spans="1:57" ht="13" x14ac:dyDescent="0.15">
      <c r="A5">
        <v>1839</v>
      </c>
      <c r="B5">
        <v>27280298</v>
      </c>
      <c r="C5" t="s">
        <v>11</v>
      </c>
      <c r="D5" s="7">
        <v>39855</v>
      </c>
      <c r="E5" s="7">
        <v>45709</v>
      </c>
      <c r="F5">
        <v>330862</v>
      </c>
      <c r="G5" t="s">
        <v>983</v>
      </c>
      <c r="H5" t="s">
        <v>9</v>
      </c>
      <c r="I5" s="7">
        <v>45691</v>
      </c>
      <c r="J5" s="8">
        <v>0.73552083333333329</v>
      </c>
      <c r="K5" t="s">
        <v>984</v>
      </c>
      <c r="AQ5" t="s">
        <v>992</v>
      </c>
      <c r="AR5" t="s">
        <v>994</v>
      </c>
      <c r="AT5" t="s">
        <v>987</v>
      </c>
      <c r="BE5" t="s">
        <v>11</v>
      </c>
    </row>
    <row r="6" spans="1:57" ht="13" x14ac:dyDescent="0.15">
      <c r="A6">
        <v>1839</v>
      </c>
      <c r="B6">
        <v>27280298</v>
      </c>
      <c r="C6" t="s">
        <v>11</v>
      </c>
      <c r="D6" s="7">
        <v>39855</v>
      </c>
      <c r="E6" s="7">
        <v>45709</v>
      </c>
      <c r="F6">
        <v>330862</v>
      </c>
      <c r="G6" t="s">
        <v>983</v>
      </c>
      <c r="H6" t="s">
        <v>9</v>
      </c>
      <c r="I6" s="7">
        <v>45694</v>
      </c>
      <c r="J6" s="8">
        <v>0.75715277777777779</v>
      </c>
      <c r="K6" t="s">
        <v>984</v>
      </c>
      <c r="AQ6" t="s">
        <v>992</v>
      </c>
      <c r="AR6" t="s">
        <v>993</v>
      </c>
      <c r="AT6" t="s">
        <v>987</v>
      </c>
      <c r="AZ6" t="s">
        <v>988</v>
      </c>
      <c r="BA6" t="s">
        <v>989</v>
      </c>
      <c r="BB6" t="s">
        <v>990</v>
      </c>
      <c r="BD6" t="s">
        <v>991</v>
      </c>
      <c r="BE6" t="s">
        <v>11</v>
      </c>
    </row>
    <row r="7" spans="1:57" ht="13" x14ac:dyDescent="0.15">
      <c r="A7">
        <v>1839</v>
      </c>
      <c r="B7">
        <v>27280298</v>
      </c>
      <c r="C7" t="s">
        <v>11</v>
      </c>
      <c r="D7" s="7">
        <v>39855</v>
      </c>
      <c r="E7" s="7">
        <v>45709</v>
      </c>
      <c r="F7">
        <v>336444</v>
      </c>
      <c r="G7" t="s">
        <v>995</v>
      </c>
      <c r="H7" t="s">
        <v>12</v>
      </c>
      <c r="I7" s="7">
        <v>45694</v>
      </c>
      <c r="J7" s="8">
        <v>0.75605324074074076</v>
      </c>
      <c r="K7" t="s">
        <v>984</v>
      </c>
      <c r="AQ7" t="s">
        <v>996</v>
      </c>
      <c r="BE7" t="s">
        <v>11</v>
      </c>
    </row>
    <row r="8" spans="1:57" ht="13" x14ac:dyDescent="0.15">
      <c r="A8">
        <v>1839</v>
      </c>
      <c r="B8">
        <v>28905247</v>
      </c>
      <c r="C8" t="s">
        <v>13</v>
      </c>
      <c r="D8" s="7">
        <v>39365</v>
      </c>
      <c r="E8" s="7">
        <v>45706</v>
      </c>
      <c r="F8">
        <v>330862</v>
      </c>
      <c r="G8" t="s">
        <v>983</v>
      </c>
      <c r="H8" t="s">
        <v>9</v>
      </c>
      <c r="I8" s="7">
        <v>45705</v>
      </c>
      <c r="J8" s="8">
        <v>0.74531250000000004</v>
      </c>
      <c r="K8" t="s">
        <v>984</v>
      </c>
      <c r="AQ8" t="s">
        <v>992</v>
      </c>
      <c r="AR8" t="s">
        <v>997</v>
      </c>
      <c r="AT8" t="s">
        <v>987</v>
      </c>
      <c r="AZ8" t="s">
        <v>988</v>
      </c>
      <c r="BA8" t="s">
        <v>989</v>
      </c>
      <c r="BB8" t="s">
        <v>990</v>
      </c>
      <c r="BD8" t="s">
        <v>991</v>
      </c>
      <c r="BE8" t="s">
        <v>13</v>
      </c>
    </row>
    <row r="9" spans="1:57" ht="13" x14ac:dyDescent="0.15">
      <c r="A9">
        <v>1839</v>
      </c>
      <c r="B9">
        <v>28908236</v>
      </c>
      <c r="C9" t="s">
        <v>14</v>
      </c>
      <c r="D9" s="7">
        <v>39379</v>
      </c>
      <c r="E9" s="7">
        <v>45713</v>
      </c>
      <c r="F9">
        <v>330862</v>
      </c>
      <c r="G9" t="s">
        <v>983</v>
      </c>
      <c r="H9" t="s">
        <v>9</v>
      </c>
      <c r="I9" s="7">
        <v>45694</v>
      </c>
      <c r="J9" s="8">
        <v>0.42105324074074074</v>
      </c>
      <c r="K9" t="s">
        <v>984</v>
      </c>
      <c r="AQ9" t="s">
        <v>998</v>
      </c>
      <c r="AR9" t="s">
        <v>999</v>
      </c>
      <c r="AT9" t="s">
        <v>987</v>
      </c>
      <c r="AZ9" t="s">
        <v>988</v>
      </c>
      <c r="BA9" t="s">
        <v>989</v>
      </c>
      <c r="BB9" t="s">
        <v>990</v>
      </c>
      <c r="BD9" t="s">
        <v>991</v>
      </c>
      <c r="BE9" t="s">
        <v>14</v>
      </c>
    </row>
    <row r="10" spans="1:57" ht="13" x14ac:dyDescent="0.15">
      <c r="A10">
        <v>1839</v>
      </c>
      <c r="B10">
        <v>28908436</v>
      </c>
      <c r="C10" t="s">
        <v>15</v>
      </c>
      <c r="D10" s="7">
        <v>39379</v>
      </c>
      <c r="E10" s="7">
        <v>45710</v>
      </c>
      <c r="F10">
        <v>330862</v>
      </c>
      <c r="G10" t="s">
        <v>983</v>
      </c>
      <c r="H10" t="s">
        <v>9</v>
      </c>
      <c r="I10" s="7">
        <v>45694</v>
      </c>
      <c r="J10" s="8">
        <v>0.58888888888888891</v>
      </c>
      <c r="K10" t="s">
        <v>984</v>
      </c>
      <c r="AQ10" t="s">
        <v>1000</v>
      </c>
      <c r="AR10" t="s">
        <v>993</v>
      </c>
      <c r="AT10" t="s">
        <v>987</v>
      </c>
      <c r="AZ10" t="s">
        <v>988</v>
      </c>
      <c r="BA10" t="s">
        <v>989</v>
      </c>
      <c r="BB10" t="s">
        <v>990</v>
      </c>
      <c r="BD10" t="s">
        <v>991</v>
      </c>
      <c r="BE10" t="s">
        <v>15</v>
      </c>
    </row>
    <row r="11" spans="1:57" ht="13" x14ac:dyDescent="0.15">
      <c r="A11">
        <v>1839</v>
      </c>
      <c r="B11">
        <v>28908436</v>
      </c>
      <c r="C11" t="s">
        <v>15</v>
      </c>
      <c r="D11" s="7">
        <v>39379</v>
      </c>
      <c r="E11" s="7">
        <v>45710</v>
      </c>
      <c r="F11">
        <v>330862</v>
      </c>
      <c r="G11" t="s">
        <v>983</v>
      </c>
      <c r="H11" t="s">
        <v>9</v>
      </c>
      <c r="I11" s="7">
        <v>45682</v>
      </c>
      <c r="J11" s="8">
        <v>0.59407407407407409</v>
      </c>
      <c r="K11" t="s">
        <v>984</v>
      </c>
      <c r="AQ11" t="s">
        <v>1000</v>
      </c>
      <c r="AR11" t="s">
        <v>1001</v>
      </c>
      <c r="AT11" t="s">
        <v>987</v>
      </c>
      <c r="AZ11" t="s">
        <v>1002</v>
      </c>
      <c r="BA11" t="s">
        <v>1003</v>
      </c>
      <c r="BB11" t="s">
        <v>1004</v>
      </c>
      <c r="BD11" t="s">
        <v>1005</v>
      </c>
      <c r="BE11" t="s">
        <v>15</v>
      </c>
    </row>
    <row r="12" spans="1:57" ht="13" x14ac:dyDescent="0.15">
      <c r="A12">
        <v>1839</v>
      </c>
      <c r="B12">
        <v>28908436</v>
      </c>
      <c r="C12" t="s">
        <v>15</v>
      </c>
      <c r="D12" s="7">
        <v>39379</v>
      </c>
      <c r="E12" s="7">
        <v>45710</v>
      </c>
      <c r="F12">
        <v>330862</v>
      </c>
      <c r="G12" t="s">
        <v>983</v>
      </c>
      <c r="H12" t="s">
        <v>9</v>
      </c>
      <c r="I12" s="7">
        <v>45681</v>
      </c>
      <c r="J12" s="8">
        <v>0.65011574074074074</v>
      </c>
      <c r="K12" t="s">
        <v>984</v>
      </c>
      <c r="AQ12" t="s">
        <v>1000</v>
      </c>
      <c r="AR12" t="s">
        <v>1006</v>
      </c>
      <c r="AT12" t="s">
        <v>987</v>
      </c>
      <c r="AZ12" t="s">
        <v>1007</v>
      </c>
      <c r="BA12" t="s">
        <v>1008</v>
      </c>
      <c r="BB12" t="s">
        <v>990</v>
      </c>
      <c r="BD12" t="s">
        <v>1005</v>
      </c>
      <c r="BE12" t="s">
        <v>15</v>
      </c>
    </row>
    <row r="13" spans="1:57" ht="13" x14ac:dyDescent="0.15">
      <c r="A13">
        <v>1839</v>
      </c>
      <c r="B13">
        <v>28926613</v>
      </c>
      <c r="C13" t="s">
        <v>16</v>
      </c>
      <c r="D13" s="7">
        <v>39391</v>
      </c>
      <c r="E13" s="7">
        <v>45694</v>
      </c>
      <c r="F13">
        <v>330862</v>
      </c>
      <c r="G13" t="s">
        <v>983</v>
      </c>
      <c r="H13" t="s">
        <v>9</v>
      </c>
      <c r="I13" s="7">
        <v>45694</v>
      </c>
      <c r="J13" s="8">
        <v>0.59269675925925924</v>
      </c>
      <c r="K13" t="s">
        <v>984</v>
      </c>
      <c r="AQ13" t="s">
        <v>1009</v>
      </c>
      <c r="AR13" t="s">
        <v>986</v>
      </c>
      <c r="AT13" t="s">
        <v>987</v>
      </c>
      <c r="AZ13" t="s">
        <v>988</v>
      </c>
      <c r="BA13" t="s">
        <v>989</v>
      </c>
      <c r="BB13" t="s">
        <v>990</v>
      </c>
      <c r="BD13" t="s">
        <v>991</v>
      </c>
      <c r="BE13" t="s">
        <v>16</v>
      </c>
    </row>
    <row r="14" spans="1:57" ht="13" x14ac:dyDescent="0.15">
      <c r="A14">
        <v>1839</v>
      </c>
      <c r="B14">
        <v>28933368</v>
      </c>
      <c r="C14" t="s">
        <v>17</v>
      </c>
      <c r="D14" s="7">
        <v>39376</v>
      </c>
      <c r="E14" s="7">
        <v>45713</v>
      </c>
      <c r="F14">
        <v>330862</v>
      </c>
      <c r="G14" t="s">
        <v>983</v>
      </c>
      <c r="H14" t="s">
        <v>9</v>
      </c>
      <c r="I14" s="7">
        <v>45694</v>
      </c>
      <c r="J14" s="8">
        <v>0.85662037037037042</v>
      </c>
      <c r="K14" t="s">
        <v>984</v>
      </c>
      <c r="AQ14" t="s">
        <v>992</v>
      </c>
      <c r="AR14" t="s">
        <v>986</v>
      </c>
      <c r="AT14" t="s">
        <v>987</v>
      </c>
      <c r="AZ14" t="s">
        <v>988</v>
      </c>
      <c r="BA14" t="s">
        <v>989</v>
      </c>
      <c r="BB14" t="s">
        <v>990</v>
      </c>
      <c r="BD14" t="s">
        <v>991</v>
      </c>
      <c r="BE14" t="s">
        <v>17</v>
      </c>
    </row>
    <row r="15" spans="1:57" ht="13" x14ac:dyDescent="0.15">
      <c r="A15">
        <v>1839</v>
      </c>
      <c r="B15">
        <v>28933368</v>
      </c>
      <c r="C15" t="s">
        <v>17</v>
      </c>
      <c r="D15" s="7">
        <v>39376</v>
      </c>
      <c r="E15" s="7">
        <v>45713</v>
      </c>
      <c r="F15">
        <v>330862</v>
      </c>
      <c r="G15" t="s">
        <v>983</v>
      </c>
      <c r="H15" t="s">
        <v>9</v>
      </c>
      <c r="I15" s="7">
        <v>45681</v>
      </c>
      <c r="J15" s="8">
        <v>0.65579861111111115</v>
      </c>
      <c r="K15" t="s">
        <v>984</v>
      </c>
      <c r="AQ15" t="s">
        <v>992</v>
      </c>
      <c r="AR15" t="s">
        <v>1010</v>
      </c>
      <c r="AT15" t="s">
        <v>987</v>
      </c>
      <c r="AZ15" t="s">
        <v>1011</v>
      </c>
      <c r="BA15" t="s">
        <v>1012</v>
      </c>
      <c r="BB15" t="s">
        <v>1013</v>
      </c>
      <c r="BD15" t="s">
        <v>1014</v>
      </c>
      <c r="BE15" t="s">
        <v>17</v>
      </c>
    </row>
    <row r="16" spans="1:57" ht="13" x14ac:dyDescent="0.15">
      <c r="A16">
        <v>1839</v>
      </c>
      <c r="B16">
        <v>28933368</v>
      </c>
      <c r="C16" t="s">
        <v>17</v>
      </c>
      <c r="D16" s="7">
        <v>39376</v>
      </c>
      <c r="E16" s="7">
        <v>45713</v>
      </c>
      <c r="F16">
        <v>330862</v>
      </c>
      <c r="G16" t="s">
        <v>983</v>
      </c>
      <c r="H16" t="s">
        <v>9</v>
      </c>
      <c r="I16" s="7">
        <v>45673</v>
      </c>
      <c r="J16" s="8">
        <v>0.71475694444444449</v>
      </c>
      <c r="K16" t="s">
        <v>984</v>
      </c>
      <c r="AQ16" t="s">
        <v>992</v>
      </c>
      <c r="AR16" t="s">
        <v>1015</v>
      </c>
      <c r="AT16" t="s">
        <v>987</v>
      </c>
      <c r="AZ16" t="s">
        <v>1016</v>
      </c>
      <c r="BA16" t="s">
        <v>1017</v>
      </c>
      <c r="BB16" t="s">
        <v>1018</v>
      </c>
      <c r="BD16" t="s">
        <v>991</v>
      </c>
      <c r="BE16" t="s">
        <v>17</v>
      </c>
    </row>
    <row r="17" spans="1:57" ht="13" x14ac:dyDescent="0.15">
      <c r="A17">
        <v>1839</v>
      </c>
      <c r="B17">
        <v>28963554</v>
      </c>
      <c r="C17" t="s">
        <v>18</v>
      </c>
      <c r="D17" s="7">
        <v>39319</v>
      </c>
      <c r="E17" s="7">
        <v>45713</v>
      </c>
      <c r="F17">
        <v>330862</v>
      </c>
      <c r="G17" t="s">
        <v>983</v>
      </c>
      <c r="H17" t="s">
        <v>9</v>
      </c>
      <c r="I17" s="7">
        <v>45694</v>
      </c>
      <c r="J17" s="8">
        <v>0.43362268518518521</v>
      </c>
      <c r="K17" t="s">
        <v>984</v>
      </c>
      <c r="AQ17" t="s">
        <v>985</v>
      </c>
      <c r="AR17" t="s">
        <v>986</v>
      </c>
      <c r="AT17" t="s">
        <v>987</v>
      </c>
      <c r="AZ17" t="s">
        <v>988</v>
      </c>
      <c r="BA17" t="s">
        <v>989</v>
      </c>
      <c r="BB17" t="s">
        <v>990</v>
      </c>
      <c r="BD17" t="s">
        <v>991</v>
      </c>
      <c r="BE17" t="s">
        <v>18</v>
      </c>
    </row>
    <row r="18" spans="1:57" ht="13" x14ac:dyDescent="0.15">
      <c r="A18">
        <v>1839</v>
      </c>
      <c r="B18">
        <v>28963554</v>
      </c>
      <c r="C18" t="s">
        <v>18</v>
      </c>
      <c r="D18" s="7">
        <v>39319</v>
      </c>
      <c r="E18" s="7">
        <v>45713</v>
      </c>
      <c r="F18">
        <v>330862</v>
      </c>
      <c r="G18" t="s">
        <v>983</v>
      </c>
      <c r="H18" t="s">
        <v>9</v>
      </c>
      <c r="I18" s="7">
        <v>45638</v>
      </c>
      <c r="J18" s="8">
        <v>0.75612268518518522</v>
      </c>
      <c r="K18" t="s">
        <v>984</v>
      </c>
      <c r="AQ18" t="s">
        <v>985</v>
      </c>
      <c r="AR18" t="s">
        <v>1019</v>
      </c>
      <c r="AT18" t="s">
        <v>987</v>
      </c>
      <c r="AZ18" t="s">
        <v>1020</v>
      </c>
      <c r="BA18" t="s">
        <v>1021</v>
      </c>
      <c r="BB18" t="s">
        <v>1018</v>
      </c>
      <c r="BD18" t="s">
        <v>1022</v>
      </c>
      <c r="BE18" t="s">
        <v>18</v>
      </c>
    </row>
    <row r="19" spans="1:57" ht="13" x14ac:dyDescent="0.15">
      <c r="A19">
        <v>1839</v>
      </c>
      <c r="B19">
        <v>28963554</v>
      </c>
      <c r="C19" t="s">
        <v>18</v>
      </c>
      <c r="D19" s="7">
        <v>39319</v>
      </c>
      <c r="E19" s="7">
        <v>45713</v>
      </c>
      <c r="F19">
        <v>330862</v>
      </c>
      <c r="G19" t="s">
        <v>983</v>
      </c>
      <c r="H19" t="s">
        <v>9</v>
      </c>
      <c r="I19" s="7">
        <v>45638</v>
      </c>
      <c r="J19" s="8">
        <v>0.74671296296296297</v>
      </c>
      <c r="K19" t="s">
        <v>984</v>
      </c>
      <c r="AQ19" t="s">
        <v>985</v>
      </c>
      <c r="AR19" t="s">
        <v>1023</v>
      </c>
      <c r="AT19" t="s">
        <v>987</v>
      </c>
      <c r="AZ19" t="s">
        <v>1024</v>
      </c>
      <c r="BA19" t="s">
        <v>1025</v>
      </c>
      <c r="BB19" t="s">
        <v>1026</v>
      </c>
      <c r="BD19" t="s">
        <v>1022</v>
      </c>
      <c r="BE19" t="s">
        <v>18</v>
      </c>
    </row>
    <row r="20" spans="1:57" ht="13" x14ac:dyDescent="0.15">
      <c r="A20">
        <v>1839</v>
      </c>
      <c r="B20">
        <v>28963554</v>
      </c>
      <c r="C20" t="s">
        <v>18</v>
      </c>
      <c r="D20" s="7">
        <v>39319</v>
      </c>
      <c r="E20" s="7">
        <v>45713</v>
      </c>
      <c r="F20">
        <v>330862</v>
      </c>
      <c r="G20" t="s">
        <v>983</v>
      </c>
      <c r="H20" t="s">
        <v>9</v>
      </c>
      <c r="I20" s="7">
        <v>45638</v>
      </c>
      <c r="J20" s="8">
        <v>0.74328703703703702</v>
      </c>
      <c r="K20" t="s">
        <v>984</v>
      </c>
      <c r="AQ20" t="s">
        <v>998</v>
      </c>
      <c r="AR20" t="s">
        <v>1027</v>
      </c>
      <c r="AT20" t="s">
        <v>987</v>
      </c>
      <c r="AZ20" t="s">
        <v>1028</v>
      </c>
      <c r="BA20" t="s">
        <v>1029</v>
      </c>
      <c r="BB20" t="s">
        <v>1018</v>
      </c>
      <c r="BD20" t="s">
        <v>1022</v>
      </c>
      <c r="BE20" t="s">
        <v>18</v>
      </c>
    </row>
    <row r="21" spans="1:57" ht="13" x14ac:dyDescent="0.15">
      <c r="A21">
        <v>1839</v>
      </c>
      <c r="B21">
        <v>28963554</v>
      </c>
      <c r="C21" t="s">
        <v>18</v>
      </c>
      <c r="D21" s="7">
        <v>39319</v>
      </c>
      <c r="E21" s="7">
        <v>45713</v>
      </c>
      <c r="F21">
        <v>330862</v>
      </c>
      <c r="G21" t="s">
        <v>983</v>
      </c>
      <c r="H21" t="s">
        <v>9</v>
      </c>
      <c r="I21" s="7">
        <v>45638</v>
      </c>
      <c r="J21" s="8">
        <v>0.73173611111111114</v>
      </c>
      <c r="K21" t="s">
        <v>984</v>
      </c>
      <c r="AQ21" t="s">
        <v>985</v>
      </c>
      <c r="AR21" t="s">
        <v>1030</v>
      </c>
      <c r="AT21" t="s">
        <v>987</v>
      </c>
      <c r="AZ21" t="s">
        <v>1011</v>
      </c>
      <c r="BA21" t="s">
        <v>1031</v>
      </c>
      <c r="BB21" t="s">
        <v>1032</v>
      </c>
      <c r="BD21" t="s">
        <v>1005</v>
      </c>
      <c r="BE21" t="s">
        <v>18</v>
      </c>
    </row>
    <row r="22" spans="1:57" ht="13" x14ac:dyDescent="0.15">
      <c r="A22">
        <v>1839</v>
      </c>
      <c r="B22">
        <v>28963554</v>
      </c>
      <c r="C22" t="s">
        <v>18</v>
      </c>
      <c r="D22" s="7">
        <v>39319</v>
      </c>
      <c r="E22" s="7">
        <v>45713</v>
      </c>
      <c r="F22">
        <v>330862</v>
      </c>
      <c r="G22" t="s">
        <v>983</v>
      </c>
      <c r="H22" t="s">
        <v>9</v>
      </c>
      <c r="I22" s="7">
        <v>45638</v>
      </c>
      <c r="J22" s="8">
        <v>0.71040509259259255</v>
      </c>
      <c r="K22" t="s">
        <v>984</v>
      </c>
      <c r="AQ22" t="s">
        <v>985</v>
      </c>
      <c r="AR22" t="s">
        <v>1030</v>
      </c>
      <c r="AT22" t="s">
        <v>987</v>
      </c>
      <c r="AZ22" t="s">
        <v>1011</v>
      </c>
      <c r="BA22" t="s">
        <v>1031</v>
      </c>
      <c r="BB22" t="s">
        <v>1032</v>
      </c>
      <c r="BD22" t="s">
        <v>1005</v>
      </c>
      <c r="BE22" t="s">
        <v>18</v>
      </c>
    </row>
    <row r="23" spans="1:57" ht="13" x14ac:dyDescent="0.15">
      <c r="A23">
        <v>1839</v>
      </c>
      <c r="B23">
        <v>28963554</v>
      </c>
      <c r="C23" t="s">
        <v>18</v>
      </c>
      <c r="D23" s="7">
        <v>39319</v>
      </c>
      <c r="E23" s="7">
        <v>45713</v>
      </c>
      <c r="F23">
        <v>330862</v>
      </c>
      <c r="G23" t="s">
        <v>983</v>
      </c>
      <c r="H23" t="s">
        <v>9</v>
      </c>
      <c r="I23" s="7">
        <v>45638</v>
      </c>
      <c r="J23" s="8">
        <v>0.72932870370370373</v>
      </c>
      <c r="K23" t="s">
        <v>984</v>
      </c>
      <c r="AQ23" t="s">
        <v>985</v>
      </c>
      <c r="AR23" t="s">
        <v>1027</v>
      </c>
      <c r="AT23" t="s">
        <v>987</v>
      </c>
      <c r="AZ23" t="s">
        <v>1028</v>
      </c>
      <c r="BA23" t="s">
        <v>1029</v>
      </c>
      <c r="BB23" t="s">
        <v>1018</v>
      </c>
      <c r="BD23" t="s">
        <v>1022</v>
      </c>
      <c r="BE23" t="s">
        <v>18</v>
      </c>
    </row>
    <row r="24" spans="1:57" ht="13" x14ac:dyDescent="0.15">
      <c r="A24">
        <v>1839</v>
      </c>
      <c r="B24">
        <v>28985034</v>
      </c>
      <c r="C24" t="s">
        <v>19</v>
      </c>
      <c r="D24" s="7">
        <v>39445</v>
      </c>
      <c r="E24" s="7">
        <v>45708</v>
      </c>
      <c r="F24">
        <v>330862</v>
      </c>
      <c r="G24" t="s">
        <v>983</v>
      </c>
      <c r="H24" t="s">
        <v>9</v>
      </c>
      <c r="I24" s="7">
        <v>45700</v>
      </c>
      <c r="J24" s="8">
        <v>0.66478009259259263</v>
      </c>
      <c r="K24" t="s">
        <v>984</v>
      </c>
      <c r="AQ24" t="s">
        <v>992</v>
      </c>
      <c r="AR24" t="s">
        <v>1033</v>
      </c>
      <c r="AT24" t="s">
        <v>987</v>
      </c>
      <c r="AZ24" t="s">
        <v>1007</v>
      </c>
      <c r="BA24" t="s">
        <v>1008</v>
      </c>
      <c r="BB24" t="s">
        <v>990</v>
      </c>
      <c r="BD24" t="s">
        <v>1005</v>
      </c>
      <c r="BE24" t="s">
        <v>19</v>
      </c>
    </row>
    <row r="25" spans="1:57" ht="13" x14ac:dyDescent="0.15">
      <c r="A25">
        <v>1839</v>
      </c>
      <c r="B25">
        <v>28985034</v>
      </c>
      <c r="C25" t="s">
        <v>19</v>
      </c>
      <c r="D25" s="7">
        <v>39445</v>
      </c>
      <c r="E25" s="7">
        <v>45708</v>
      </c>
      <c r="F25">
        <v>330862</v>
      </c>
      <c r="G25" t="s">
        <v>983</v>
      </c>
      <c r="H25" t="s">
        <v>9</v>
      </c>
      <c r="I25" s="7">
        <v>45700</v>
      </c>
      <c r="J25" s="8">
        <v>0.67159722222222218</v>
      </c>
      <c r="K25" t="s">
        <v>984</v>
      </c>
      <c r="AQ25" t="s">
        <v>992</v>
      </c>
      <c r="AR25" s="18" t="s">
        <v>1034</v>
      </c>
      <c r="AT25" t="s">
        <v>987</v>
      </c>
      <c r="AZ25" t="s">
        <v>988</v>
      </c>
      <c r="BA25" t="s">
        <v>1035</v>
      </c>
      <c r="BB25" t="s">
        <v>1026</v>
      </c>
      <c r="BD25" t="s">
        <v>991</v>
      </c>
      <c r="BE25" t="s">
        <v>19</v>
      </c>
    </row>
    <row r="26" spans="1:57" ht="13" x14ac:dyDescent="0.15">
      <c r="A26">
        <v>1839</v>
      </c>
      <c r="B26">
        <v>28985034</v>
      </c>
      <c r="C26" t="s">
        <v>19</v>
      </c>
      <c r="D26" s="7">
        <v>39445</v>
      </c>
      <c r="E26" s="7">
        <v>45708</v>
      </c>
      <c r="F26">
        <v>330862</v>
      </c>
      <c r="G26" t="s">
        <v>983</v>
      </c>
      <c r="H26" t="s">
        <v>9</v>
      </c>
      <c r="I26" s="7">
        <v>45700</v>
      </c>
      <c r="J26" s="8">
        <v>0.67370370370370369</v>
      </c>
      <c r="K26" t="s">
        <v>984</v>
      </c>
      <c r="AQ26" t="s">
        <v>992</v>
      </c>
      <c r="AR26" t="s">
        <v>1036</v>
      </c>
      <c r="AT26" t="s">
        <v>987</v>
      </c>
      <c r="AZ26" t="s">
        <v>1028</v>
      </c>
      <c r="BA26" t="s">
        <v>1037</v>
      </c>
      <c r="BB26" t="s">
        <v>1038</v>
      </c>
      <c r="BD26" t="s">
        <v>991</v>
      </c>
      <c r="BE26" t="s">
        <v>19</v>
      </c>
    </row>
    <row r="27" spans="1:57" ht="13" x14ac:dyDescent="0.15">
      <c r="A27">
        <v>1839</v>
      </c>
      <c r="B27">
        <v>28985034</v>
      </c>
      <c r="C27" t="s">
        <v>19</v>
      </c>
      <c r="D27" s="7">
        <v>39445</v>
      </c>
      <c r="E27" s="7">
        <v>45708</v>
      </c>
      <c r="F27">
        <v>330862</v>
      </c>
      <c r="G27" t="s">
        <v>983</v>
      </c>
      <c r="H27" t="s">
        <v>9</v>
      </c>
      <c r="I27" s="7">
        <v>45700</v>
      </c>
      <c r="J27" s="8">
        <v>0.6931018518518518</v>
      </c>
      <c r="K27" t="s">
        <v>984</v>
      </c>
      <c r="AQ27" t="s">
        <v>992</v>
      </c>
      <c r="AR27" t="s">
        <v>1039</v>
      </c>
      <c r="AT27" t="s">
        <v>987</v>
      </c>
      <c r="AZ27" t="s">
        <v>1002</v>
      </c>
      <c r="BA27" t="s">
        <v>1040</v>
      </c>
      <c r="BB27" t="s">
        <v>1041</v>
      </c>
      <c r="BD27" t="s">
        <v>991</v>
      </c>
      <c r="BE27" t="s">
        <v>19</v>
      </c>
    </row>
    <row r="28" spans="1:57" ht="13" x14ac:dyDescent="0.15">
      <c r="A28">
        <v>1839</v>
      </c>
      <c r="B28">
        <v>28989864</v>
      </c>
      <c r="C28" t="s">
        <v>20</v>
      </c>
      <c r="D28" s="7">
        <v>39332</v>
      </c>
      <c r="E28" s="7">
        <v>45704</v>
      </c>
      <c r="F28">
        <v>330862</v>
      </c>
      <c r="G28" t="s">
        <v>983</v>
      </c>
      <c r="H28" t="s">
        <v>9</v>
      </c>
      <c r="I28" s="7">
        <v>45704</v>
      </c>
      <c r="J28" s="8">
        <v>0.61824074074074076</v>
      </c>
      <c r="K28" t="s">
        <v>984</v>
      </c>
      <c r="AQ28" t="s">
        <v>992</v>
      </c>
      <c r="AR28" t="s">
        <v>997</v>
      </c>
      <c r="AT28" t="s">
        <v>987</v>
      </c>
      <c r="AZ28" t="s">
        <v>988</v>
      </c>
      <c r="BA28" t="s">
        <v>989</v>
      </c>
      <c r="BB28" t="s">
        <v>990</v>
      </c>
      <c r="BD28" t="s">
        <v>991</v>
      </c>
      <c r="BE28" t="s">
        <v>20</v>
      </c>
    </row>
    <row r="29" spans="1:57" ht="13" x14ac:dyDescent="0.15">
      <c r="A29">
        <v>1839</v>
      </c>
      <c r="B29">
        <v>28989864</v>
      </c>
      <c r="C29" t="s">
        <v>20</v>
      </c>
      <c r="D29" s="7">
        <v>39332</v>
      </c>
      <c r="E29" s="7">
        <v>45704</v>
      </c>
      <c r="F29">
        <v>330862</v>
      </c>
      <c r="G29" t="s">
        <v>983</v>
      </c>
      <c r="H29" t="s">
        <v>9</v>
      </c>
      <c r="I29" s="7">
        <v>45694</v>
      </c>
      <c r="J29" s="8">
        <v>0.4186111111111111</v>
      </c>
      <c r="K29" t="s">
        <v>984</v>
      </c>
      <c r="AQ29" t="s">
        <v>992</v>
      </c>
      <c r="AR29" t="s">
        <v>993</v>
      </c>
      <c r="AT29" t="s">
        <v>987</v>
      </c>
      <c r="AZ29" t="s">
        <v>988</v>
      </c>
      <c r="BA29" t="s">
        <v>989</v>
      </c>
      <c r="BB29" t="s">
        <v>990</v>
      </c>
      <c r="BD29" t="s">
        <v>991</v>
      </c>
      <c r="BE29" t="s">
        <v>20</v>
      </c>
    </row>
    <row r="30" spans="1:57" ht="13" x14ac:dyDescent="0.15">
      <c r="A30">
        <v>1839</v>
      </c>
      <c r="B30">
        <v>29001552</v>
      </c>
      <c r="C30" t="s">
        <v>21</v>
      </c>
      <c r="D30" s="7">
        <v>39348</v>
      </c>
      <c r="E30" s="7">
        <v>45696</v>
      </c>
      <c r="F30">
        <v>330862</v>
      </c>
      <c r="G30" t="s">
        <v>983</v>
      </c>
      <c r="H30" t="s">
        <v>9</v>
      </c>
      <c r="I30" s="7">
        <v>45693</v>
      </c>
      <c r="J30" s="8">
        <v>0.95597222222222222</v>
      </c>
      <c r="K30" t="s">
        <v>984</v>
      </c>
      <c r="AQ30" t="s">
        <v>1042</v>
      </c>
      <c r="AR30" t="s">
        <v>1043</v>
      </c>
      <c r="AT30" t="s">
        <v>987</v>
      </c>
      <c r="AZ30" t="s">
        <v>1044</v>
      </c>
      <c r="BA30" t="s">
        <v>1045</v>
      </c>
      <c r="BB30" t="s">
        <v>990</v>
      </c>
      <c r="BD30" t="s">
        <v>991</v>
      </c>
      <c r="BE30" t="s">
        <v>21</v>
      </c>
    </row>
    <row r="31" spans="1:57" ht="13" x14ac:dyDescent="0.15">
      <c r="A31">
        <v>1839</v>
      </c>
      <c r="B31">
        <v>29001552</v>
      </c>
      <c r="C31" t="s">
        <v>21</v>
      </c>
      <c r="D31" s="7">
        <v>39348</v>
      </c>
      <c r="E31" s="7">
        <v>45696</v>
      </c>
      <c r="F31">
        <v>330862</v>
      </c>
      <c r="G31" t="s">
        <v>983</v>
      </c>
      <c r="H31" t="s">
        <v>9</v>
      </c>
      <c r="I31" s="7">
        <v>45693</v>
      </c>
      <c r="J31" s="8">
        <v>0.95818287037037042</v>
      </c>
      <c r="K31" t="s">
        <v>984</v>
      </c>
      <c r="AQ31" t="s">
        <v>1042</v>
      </c>
      <c r="AR31" t="s">
        <v>1046</v>
      </c>
      <c r="AT31" t="s">
        <v>987</v>
      </c>
      <c r="AZ31" t="s">
        <v>1024</v>
      </c>
      <c r="BA31" t="s">
        <v>1047</v>
      </c>
      <c r="BB31" t="s">
        <v>1048</v>
      </c>
      <c r="BD31" t="s">
        <v>1014</v>
      </c>
      <c r="BE31" t="s">
        <v>21</v>
      </c>
    </row>
    <row r="32" spans="1:57" ht="13" x14ac:dyDescent="0.15">
      <c r="A32">
        <v>1839</v>
      </c>
      <c r="B32">
        <v>29001552</v>
      </c>
      <c r="C32" t="s">
        <v>21</v>
      </c>
      <c r="D32" s="7">
        <v>39348</v>
      </c>
      <c r="E32" s="7">
        <v>45696</v>
      </c>
      <c r="F32">
        <v>330862</v>
      </c>
      <c r="G32" t="s">
        <v>983</v>
      </c>
      <c r="H32" t="s">
        <v>9</v>
      </c>
      <c r="I32" s="7">
        <v>45680</v>
      </c>
      <c r="J32" s="8">
        <v>0.99121527777777774</v>
      </c>
      <c r="K32" t="s">
        <v>984</v>
      </c>
      <c r="AQ32" t="s">
        <v>992</v>
      </c>
      <c r="AR32" t="s">
        <v>1049</v>
      </c>
      <c r="AT32" t="s">
        <v>987</v>
      </c>
      <c r="AZ32" t="s">
        <v>1016</v>
      </c>
      <c r="BA32" t="s">
        <v>1017</v>
      </c>
      <c r="BB32" t="s">
        <v>1018</v>
      </c>
      <c r="BD32" t="s">
        <v>991</v>
      </c>
      <c r="BE32" t="s">
        <v>21</v>
      </c>
    </row>
    <row r="33" spans="1:57" ht="13" x14ac:dyDescent="0.15">
      <c r="A33">
        <v>1839</v>
      </c>
      <c r="B33">
        <v>29001552</v>
      </c>
      <c r="C33" t="s">
        <v>21</v>
      </c>
      <c r="D33" s="7">
        <v>39348</v>
      </c>
      <c r="E33" s="7">
        <v>45696</v>
      </c>
      <c r="F33">
        <v>330862</v>
      </c>
      <c r="G33" t="s">
        <v>983</v>
      </c>
      <c r="H33" t="s">
        <v>9</v>
      </c>
      <c r="I33" s="7">
        <v>45677</v>
      </c>
      <c r="J33" s="8">
        <v>0.71070601851851856</v>
      </c>
      <c r="K33" t="s">
        <v>984</v>
      </c>
      <c r="AQ33" t="s">
        <v>998</v>
      </c>
      <c r="AR33" t="s">
        <v>1050</v>
      </c>
      <c r="AT33" t="s">
        <v>987</v>
      </c>
      <c r="AZ33" t="s">
        <v>1011</v>
      </c>
      <c r="BA33" t="s">
        <v>1012</v>
      </c>
      <c r="BB33" t="s">
        <v>1013</v>
      </c>
      <c r="BD33" t="s">
        <v>1014</v>
      </c>
      <c r="BE33" t="s">
        <v>21</v>
      </c>
    </row>
    <row r="34" spans="1:57" ht="13" x14ac:dyDescent="0.15">
      <c r="A34">
        <v>1839</v>
      </c>
      <c r="B34">
        <v>29002720</v>
      </c>
      <c r="C34" t="s">
        <v>22</v>
      </c>
      <c r="D34" s="7">
        <v>39351</v>
      </c>
      <c r="E34" s="7">
        <v>45696</v>
      </c>
      <c r="F34">
        <v>330862</v>
      </c>
      <c r="G34" t="s">
        <v>983</v>
      </c>
      <c r="H34" t="s">
        <v>9</v>
      </c>
      <c r="I34" s="7">
        <v>45694</v>
      </c>
      <c r="J34" s="8">
        <v>0.40960648148148149</v>
      </c>
      <c r="K34" t="s">
        <v>984</v>
      </c>
      <c r="AQ34" t="s">
        <v>992</v>
      </c>
      <c r="AR34" t="s">
        <v>986</v>
      </c>
      <c r="AT34" t="s">
        <v>987</v>
      </c>
      <c r="AZ34" t="s">
        <v>988</v>
      </c>
      <c r="BA34" t="s">
        <v>989</v>
      </c>
      <c r="BB34" t="s">
        <v>990</v>
      </c>
      <c r="BD34" t="s">
        <v>991</v>
      </c>
      <c r="BE34" t="s">
        <v>22</v>
      </c>
    </row>
    <row r="35" spans="1:57" ht="13" x14ac:dyDescent="0.15">
      <c r="A35">
        <v>1839</v>
      </c>
      <c r="B35">
        <v>29013507</v>
      </c>
      <c r="C35" t="s">
        <v>23</v>
      </c>
      <c r="D35" s="7">
        <v>39210</v>
      </c>
      <c r="E35" s="7">
        <v>45696</v>
      </c>
      <c r="F35">
        <v>330862</v>
      </c>
      <c r="G35" t="s">
        <v>983</v>
      </c>
      <c r="H35" t="s">
        <v>9</v>
      </c>
      <c r="I35" s="7">
        <v>45674</v>
      </c>
      <c r="J35" s="8">
        <v>0.95612268518518517</v>
      </c>
      <c r="K35" t="s">
        <v>984</v>
      </c>
      <c r="AQ35" t="s">
        <v>985</v>
      </c>
      <c r="AR35" t="s">
        <v>1051</v>
      </c>
      <c r="AT35" t="s">
        <v>987</v>
      </c>
      <c r="AZ35" t="s">
        <v>1002</v>
      </c>
      <c r="BA35" t="s">
        <v>1003</v>
      </c>
      <c r="BB35" t="s">
        <v>1004</v>
      </c>
      <c r="BD35" t="s">
        <v>1005</v>
      </c>
      <c r="BE35" t="s">
        <v>23</v>
      </c>
    </row>
    <row r="36" spans="1:57" ht="13" x14ac:dyDescent="0.15">
      <c r="A36">
        <v>1839</v>
      </c>
      <c r="B36">
        <v>29013507</v>
      </c>
      <c r="C36" t="s">
        <v>23</v>
      </c>
      <c r="D36" s="7">
        <v>39210</v>
      </c>
      <c r="E36" s="7">
        <v>45696</v>
      </c>
      <c r="F36">
        <v>330862</v>
      </c>
      <c r="G36" t="s">
        <v>983</v>
      </c>
      <c r="H36" t="s">
        <v>9</v>
      </c>
      <c r="I36" s="7">
        <v>45678</v>
      </c>
      <c r="J36" s="8">
        <v>0.28978009259259258</v>
      </c>
      <c r="K36" t="s">
        <v>984</v>
      </c>
      <c r="AQ36" t="s">
        <v>985</v>
      </c>
      <c r="AR36" t="s">
        <v>1052</v>
      </c>
      <c r="AT36" t="s">
        <v>987</v>
      </c>
      <c r="AZ36" t="s">
        <v>1011</v>
      </c>
      <c r="BA36" t="s">
        <v>1012</v>
      </c>
      <c r="BB36" t="s">
        <v>1013</v>
      </c>
      <c r="BD36" t="s">
        <v>1014</v>
      </c>
      <c r="BE36" t="s">
        <v>23</v>
      </c>
    </row>
    <row r="37" spans="1:57" ht="13" x14ac:dyDescent="0.15">
      <c r="A37">
        <v>1839</v>
      </c>
      <c r="B37">
        <v>29022130</v>
      </c>
      <c r="C37" t="s">
        <v>24</v>
      </c>
      <c r="D37" s="7">
        <v>39210</v>
      </c>
      <c r="E37" s="7">
        <v>45710</v>
      </c>
      <c r="F37">
        <v>336444</v>
      </c>
      <c r="G37" t="s">
        <v>995</v>
      </c>
      <c r="H37" t="s">
        <v>12</v>
      </c>
      <c r="I37" s="7">
        <v>45704</v>
      </c>
      <c r="J37" s="8">
        <v>0.64761574074074069</v>
      </c>
      <c r="K37" t="s">
        <v>984</v>
      </c>
      <c r="AQ37" t="s">
        <v>996</v>
      </c>
      <c r="BE37" t="s">
        <v>24</v>
      </c>
    </row>
    <row r="38" spans="1:57" ht="13" x14ac:dyDescent="0.15">
      <c r="A38">
        <v>1839</v>
      </c>
      <c r="B38">
        <v>29024381</v>
      </c>
      <c r="C38" t="s">
        <v>25</v>
      </c>
      <c r="D38" s="7">
        <v>39210</v>
      </c>
      <c r="E38" s="7">
        <v>45710</v>
      </c>
      <c r="F38">
        <v>330862</v>
      </c>
      <c r="G38" t="s">
        <v>983</v>
      </c>
      <c r="H38" t="s">
        <v>9</v>
      </c>
      <c r="I38" s="7">
        <v>45624</v>
      </c>
      <c r="J38" s="8">
        <v>0.8273611111111111</v>
      </c>
      <c r="K38" t="s">
        <v>984</v>
      </c>
      <c r="AQ38" t="s">
        <v>992</v>
      </c>
      <c r="AR38" t="s">
        <v>1053</v>
      </c>
      <c r="AT38" t="s">
        <v>987</v>
      </c>
      <c r="BE38" t="s">
        <v>25</v>
      </c>
    </row>
    <row r="39" spans="1:57" ht="13" x14ac:dyDescent="0.15">
      <c r="A39">
        <v>1839</v>
      </c>
      <c r="B39">
        <v>29024381</v>
      </c>
      <c r="C39" t="s">
        <v>25</v>
      </c>
      <c r="D39" s="7">
        <v>39210</v>
      </c>
      <c r="E39" s="7">
        <v>45710</v>
      </c>
      <c r="F39">
        <v>330862</v>
      </c>
      <c r="G39" t="s">
        <v>983</v>
      </c>
      <c r="H39" t="s">
        <v>9</v>
      </c>
      <c r="I39" s="7">
        <v>45624</v>
      </c>
      <c r="J39" s="8">
        <v>0.81980324074074074</v>
      </c>
      <c r="K39" t="s">
        <v>984</v>
      </c>
      <c r="AQ39" t="s">
        <v>992</v>
      </c>
      <c r="AR39" t="s">
        <v>1054</v>
      </c>
      <c r="AT39" t="s">
        <v>987</v>
      </c>
      <c r="AZ39" t="s">
        <v>1028</v>
      </c>
      <c r="BA39" t="s">
        <v>1029</v>
      </c>
      <c r="BB39" t="s">
        <v>1018</v>
      </c>
      <c r="BD39" t="s">
        <v>1022</v>
      </c>
      <c r="BE39" t="s">
        <v>25</v>
      </c>
    </row>
    <row r="40" spans="1:57" ht="13" x14ac:dyDescent="0.15">
      <c r="A40">
        <v>1839</v>
      </c>
      <c r="B40">
        <v>29024381</v>
      </c>
      <c r="C40" t="s">
        <v>25</v>
      </c>
      <c r="D40" s="7">
        <v>39210</v>
      </c>
      <c r="E40" s="7">
        <v>45710</v>
      </c>
      <c r="F40">
        <v>330862</v>
      </c>
      <c r="G40" t="s">
        <v>983</v>
      </c>
      <c r="H40" t="s">
        <v>9</v>
      </c>
      <c r="I40" s="7">
        <v>45624</v>
      </c>
      <c r="J40" s="8">
        <v>0.74589120370370365</v>
      </c>
      <c r="K40" t="s">
        <v>984</v>
      </c>
      <c r="AQ40" t="s">
        <v>992</v>
      </c>
      <c r="AR40" t="s">
        <v>1053</v>
      </c>
      <c r="AT40" t="s">
        <v>987</v>
      </c>
      <c r="AZ40" t="s">
        <v>1055</v>
      </c>
      <c r="BA40" t="s">
        <v>1056</v>
      </c>
      <c r="BB40" t="s">
        <v>1013</v>
      </c>
      <c r="BD40" t="s">
        <v>1022</v>
      </c>
      <c r="BE40" t="s">
        <v>25</v>
      </c>
    </row>
    <row r="41" spans="1:57" ht="13" x14ac:dyDescent="0.15">
      <c r="A41">
        <v>1839</v>
      </c>
      <c r="B41">
        <v>29024381</v>
      </c>
      <c r="C41" t="s">
        <v>25</v>
      </c>
      <c r="D41" s="7">
        <v>39210</v>
      </c>
      <c r="E41" s="7">
        <v>45710</v>
      </c>
      <c r="F41">
        <v>330862</v>
      </c>
      <c r="G41" t="s">
        <v>983</v>
      </c>
      <c r="H41" t="s">
        <v>9</v>
      </c>
      <c r="I41" s="7">
        <v>45653</v>
      </c>
      <c r="J41" s="8">
        <v>0.80817129629629625</v>
      </c>
      <c r="K41" t="s">
        <v>984</v>
      </c>
      <c r="AQ41" t="s">
        <v>992</v>
      </c>
      <c r="AR41" t="s">
        <v>1057</v>
      </c>
      <c r="AT41" t="s">
        <v>987</v>
      </c>
      <c r="AZ41" t="s">
        <v>988</v>
      </c>
      <c r="BA41" t="s">
        <v>1058</v>
      </c>
      <c r="BB41" t="s">
        <v>1018</v>
      </c>
      <c r="BD41" t="s">
        <v>1005</v>
      </c>
      <c r="BE41" t="s">
        <v>25</v>
      </c>
    </row>
    <row r="42" spans="1:57" ht="13" x14ac:dyDescent="0.15">
      <c r="A42">
        <v>1839</v>
      </c>
      <c r="B42">
        <v>29024381</v>
      </c>
      <c r="C42" t="s">
        <v>25</v>
      </c>
      <c r="D42" s="7">
        <v>39210</v>
      </c>
      <c r="E42" s="7">
        <v>45710</v>
      </c>
      <c r="F42">
        <v>330862</v>
      </c>
      <c r="G42" t="s">
        <v>983</v>
      </c>
      <c r="H42" t="s">
        <v>9</v>
      </c>
      <c r="I42" s="7">
        <v>45690</v>
      </c>
      <c r="J42" s="8">
        <v>0.55285879629629631</v>
      </c>
      <c r="K42" t="s">
        <v>984</v>
      </c>
      <c r="AQ42" t="s">
        <v>992</v>
      </c>
      <c r="AR42" t="s">
        <v>1059</v>
      </c>
      <c r="AT42" t="s">
        <v>987</v>
      </c>
      <c r="AZ42" t="s">
        <v>1044</v>
      </c>
      <c r="BA42" t="s">
        <v>1045</v>
      </c>
      <c r="BB42" t="s">
        <v>990</v>
      </c>
      <c r="BD42" t="s">
        <v>991</v>
      </c>
      <c r="BE42" t="s">
        <v>25</v>
      </c>
    </row>
    <row r="43" spans="1:57" ht="13" x14ac:dyDescent="0.15">
      <c r="A43">
        <v>1839</v>
      </c>
      <c r="B43">
        <v>29024381</v>
      </c>
      <c r="C43" t="s">
        <v>25</v>
      </c>
      <c r="D43" s="7">
        <v>39210</v>
      </c>
      <c r="E43" s="7">
        <v>45710</v>
      </c>
      <c r="F43">
        <v>330862</v>
      </c>
      <c r="G43" t="s">
        <v>983</v>
      </c>
      <c r="H43" t="s">
        <v>9</v>
      </c>
      <c r="I43" s="7">
        <v>45690</v>
      </c>
      <c r="J43" s="8">
        <v>0.54827546296296292</v>
      </c>
      <c r="K43" t="s">
        <v>984</v>
      </c>
      <c r="AQ43" t="s">
        <v>992</v>
      </c>
      <c r="AR43" t="s">
        <v>1060</v>
      </c>
      <c r="AT43" t="s">
        <v>987</v>
      </c>
      <c r="AZ43" t="s">
        <v>1016</v>
      </c>
      <c r="BA43" t="s">
        <v>1017</v>
      </c>
      <c r="BB43" t="s">
        <v>1018</v>
      </c>
      <c r="BD43" t="s">
        <v>991</v>
      </c>
      <c r="BE43" t="s">
        <v>25</v>
      </c>
    </row>
    <row r="44" spans="1:57" ht="13" x14ac:dyDescent="0.15">
      <c r="A44">
        <v>1839</v>
      </c>
      <c r="B44">
        <v>29024381</v>
      </c>
      <c r="C44" t="s">
        <v>25</v>
      </c>
      <c r="D44" s="7">
        <v>39210</v>
      </c>
      <c r="E44" s="7">
        <v>45710</v>
      </c>
      <c r="F44">
        <v>330862</v>
      </c>
      <c r="G44" t="s">
        <v>983</v>
      </c>
      <c r="H44" t="s">
        <v>9</v>
      </c>
      <c r="I44" s="7">
        <v>45690</v>
      </c>
      <c r="J44" s="8">
        <v>0.54253472222222221</v>
      </c>
      <c r="K44" t="s">
        <v>984</v>
      </c>
      <c r="AQ44" t="s">
        <v>992</v>
      </c>
      <c r="AR44" t="s">
        <v>1061</v>
      </c>
      <c r="AT44" t="s">
        <v>987</v>
      </c>
      <c r="AZ44" t="s">
        <v>1062</v>
      </c>
      <c r="BA44" t="s">
        <v>1063</v>
      </c>
      <c r="BB44" t="s">
        <v>1048</v>
      </c>
      <c r="BD44" t="s">
        <v>991</v>
      </c>
      <c r="BE44" t="s">
        <v>25</v>
      </c>
    </row>
    <row r="45" spans="1:57" ht="13" x14ac:dyDescent="0.15">
      <c r="A45">
        <v>1839</v>
      </c>
      <c r="B45">
        <v>29024381</v>
      </c>
      <c r="C45" t="s">
        <v>25</v>
      </c>
      <c r="D45" s="7">
        <v>39210</v>
      </c>
      <c r="E45" s="7">
        <v>45710</v>
      </c>
      <c r="F45">
        <v>330862</v>
      </c>
      <c r="G45" t="s">
        <v>983</v>
      </c>
      <c r="H45" t="s">
        <v>9</v>
      </c>
      <c r="I45" s="7">
        <v>45690</v>
      </c>
      <c r="J45" s="8">
        <v>0.53636574074074073</v>
      </c>
      <c r="K45" t="s">
        <v>984</v>
      </c>
      <c r="AQ45" t="s">
        <v>992</v>
      </c>
      <c r="AR45" t="s">
        <v>1064</v>
      </c>
      <c r="AT45" t="s">
        <v>987</v>
      </c>
      <c r="AZ45" t="s">
        <v>1002</v>
      </c>
      <c r="BA45" t="s">
        <v>1065</v>
      </c>
      <c r="BB45" t="s">
        <v>1004</v>
      </c>
      <c r="BD45" t="s">
        <v>991</v>
      </c>
      <c r="BE45" t="s">
        <v>25</v>
      </c>
    </row>
    <row r="46" spans="1:57" ht="13" x14ac:dyDescent="0.15">
      <c r="A46">
        <v>1839</v>
      </c>
      <c r="B46">
        <v>29024381</v>
      </c>
      <c r="C46" t="s">
        <v>25</v>
      </c>
      <c r="D46" s="7">
        <v>39210</v>
      </c>
      <c r="E46" s="7">
        <v>45710</v>
      </c>
      <c r="F46">
        <v>330862</v>
      </c>
      <c r="G46" t="s">
        <v>983</v>
      </c>
      <c r="H46" t="s">
        <v>9</v>
      </c>
      <c r="I46" s="7">
        <v>45690</v>
      </c>
      <c r="J46" s="8">
        <v>0.53495370370370365</v>
      </c>
      <c r="K46" t="s">
        <v>984</v>
      </c>
      <c r="AQ46" t="s">
        <v>992</v>
      </c>
      <c r="AR46" t="s">
        <v>1066</v>
      </c>
      <c r="AT46" t="s">
        <v>987</v>
      </c>
      <c r="AZ46" t="s">
        <v>988</v>
      </c>
      <c r="BA46" t="s">
        <v>989</v>
      </c>
      <c r="BB46" t="s">
        <v>990</v>
      </c>
      <c r="BD46" t="s">
        <v>991</v>
      </c>
      <c r="BE46" t="s">
        <v>25</v>
      </c>
    </row>
    <row r="47" spans="1:57" ht="13" x14ac:dyDescent="0.15">
      <c r="A47">
        <v>1839</v>
      </c>
      <c r="B47">
        <v>29024381</v>
      </c>
      <c r="C47" t="s">
        <v>25</v>
      </c>
      <c r="D47" s="7">
        <v>39210</v>
      </c>
      <c r="E47" s="7">
        <v>45710</v>
      </c>
      <c r="F47">
        <v>330862</v>
      </c>
      <c r="G47" t="s">
        <v>983</v>
      </c>
      <c r="H47" t="s">
        <v>9</v>
      </c>
      <c r="I47" s="7">
        <v>45653</v>
      </c>
      <c r="J47" s="8">
        <v>0.8142476851851852</v>
      </c>
      <c r="K47" t="s">
        <v>984</v>
      </c>
      <c r="AQ47" t="s">
        <v>992</v>
      </c>
      <c r="AR47" t="s">
        <v>1067</v>
      </c>
      <c r="AT47" t="s">
        <v>987</v>
      </c>
      <c r="AZ47" t="s">
        <v>1028</v>
      </c>
      <c r="BA47" t="s">
        <v>1068</v>
      </c>
      <c r="BB47" t="s">
        <v>1069</v>
      </c>
      <c r="BD47" t="s">
        <v>1005</v>
      </c>
      <c r="BE47" t="s">
        <v>25</v>
      </c>
    </row>
    <row r="48" spans="1:57" ht="13" x14ac:dyDescent="0.15">
      <c r="A48">
        <v>1839</v>
      </c>
      <c r="B48">
        <v>29024381</v>
      </c>
      <c r="C48" t="s">
        <v>25</v>
      </c>
      <c r="D48" s="7">
        <v>39210</v>
      </c>
      <c r="E48" s="7">
        <v>45710</v>
      </c>
      <c r="F48">
        <v>330862</v>
      </c>
      <c r="G48" t="s">
        <v>983</v>
      </c>
      <c r="H48" t="s">
        <v>9</v>
      </c>
      <c r="I48" s="7">
        <v>45653</v>
      </c>
      <c r="J48" s="8">
        <v>0.81129629629629629</v>
      </c>
      <c r="K48" t="s">
        <v>984</v>
      </c>
      <c r="AQ48" t="s">
        <v>992</v>
      </c>
      <c r="AR48" t="s">
        <v>1070</v>
      </c>
      <c r="AT48" t="s">
        <v>987</v>
      </c>
      <c r="AZ48" t="s">
        <v>1071</v>
      </c>
      <c r="BA48" t="s">
        <v>1072</v>
      </c>
      <c r="BB48" t="s">
        <v>1048</v>
      </c>
      <c r="BD48" t="s">
        <v>1005</v>
      </c>
      <c r="BE48" t="s">
        <v>25</v>
      </c>
    </row>
    <row r="49" spans="1:57" ht="13" x14ac:dyDescent="0.15">
      <c r="A49">
        <v>1839</v>
      </c>
      <c r="B49">
        <v>29024381</v>
      </c>
      <c r="C49" t="s">
        <v>25</v>
      </c>
      <c r="D49" s="7">
        <v>39210</v>
      </c>
      <c r="E49" s="7">
        <v>45710</v>
      </c>
      <c r="F49">
        <v>330862</v>
      </c>
      <c r="G49" t="s">
        <v>983</v>
      </c>
      <c r="H49" t="s">
        <v>9</v>
      </c>
      <c r="I49" s="7">
        <v>45653</v>
      </c>
      <c r="J49" s="8">
        <v>0.80457175925925928</v>
      </c>
      <c r="K49" t="s">
        <v>984</v>
      </c>
      <c r="AQ49" t="s">
        <v>992</v>
      </c>
      <c r="AR49" t="s">
        <v>1073</v>
      </c>
      <c r="AT49" t="s">
        <v>987</v>
      </c>
      <c r="AZ49" t="s">
        <v>1007</v>
      </c>
      <c r="BA49" t="s">
        <v>1008</v>
      </c>
      <c r="BB49" t="s">
        <v>990</v>
      </c>
      <c r="BD49" t="s">
        <v>1005</v>
      </c>
      <c r="BE49" t="s">
        <v>25</v>
      </c>
    </row>
    <row r="50" spans="1:57" ht="13" x14ac:dyDescent="0.15">
      <c r="A50">
        <v>1839</v>
      </c>
      <c r="B50">
        <v>29024381</v>
      </c>
      <c r="C50" t="s">
        <v>25</v>
      </c>
      <c r="D50" s="7">
        <v>39210</v>
      </c>
      <c r="E50" s="7">
        <v>45710</v>
      </c>
      <c r="F50">
        <v>330862</v>
      </c>
      <c r="G50" t="s">
        <v>983</v>
      </c>
      <c r="H50" t="s">
        <v>9</v>
      </c>
      <c r="I50" s="7">
        <v>45653</v>
      </c>
      <c r="J50" s="8">
        <v>0.80106481481481484</v>
      </c>
      <c r="K50" t="s">
        <v>984</v>
      </c>
      <c r="AQ50" t="s">
        <v>992</v>
      </c>
      <c r="AR50" t="s">
        <v>1067</v>
      </c>
      <c r="AT50" t="s">
        <v>987</v>
      </c>
      <c r="AZ50" t="s">
        <v>1028</v>
      </c>
      <c r="BA50" t="s">
        <v>1068</v>
      </c>
      <c r="BB50" t="s">
        <v>1069</v>
      </c>
      <c r="BD50" t="s">
        <v>1005</v>
      </c>
      <c r="BE50" t="s">
        <v>25</v>
      </c>
    </row>
    <row r="51" spans="1:57" ht="13" x14ac:dyDescent="0.15">
      <c r="A51">
        <v>1839</v>
      </c>
      <c r="B51">
        <v>29024381</v>
      </c>
      <c r="C51" t="s">
        <v>25</v>
      </c>
      <c r="D51" s="7">
        <v>39210</v>
      </c>
      <c r="E51" s="7">
        <v>45710</v>
      </c>
      <c r="F51">
        <v>336444</v>
      </c>
      <c r="G51" t="s">
        <v>995</v>
      </c>
      <c r="H51" t="s">
        <v>12</v>
      </c>
      <c r="I51" s="7">
        <v>45653</v>
      </c>
      <c r="J51" s="8">
        <v>0.81464120370370374</v>
      </c>
      <c r="K51" t="s">
        <v>984</v>
      </c>
      <c r="AQ51" t="s">
        <v>996</v>
      </c>
      <c r="BE51" t="s">
        <v>25</v>
      </c>
    </row>
    <row r="52" spans="1:57" ht="13" x14ac:dyDescent="0.15">
      <c r="A52">
        <v>1839</v>
      </c>
      <c r="B52">
        <v>29024381</v>
      </c>
      <c r="C52" t="s">
        <v>25</v>
      </c>
      <c r="D52" s="7">
        <v>39210</v>
      </c>
      <c r="E52" s="7">
        <v>45710</v>
      </c>
      <c r="F52">
        <v>336447</v>
      </c>
      <c r="G52" t="s">
        <v>1074</v>
      </c>
      <c r="H52" t="s">
        <v>26</v>
      </c>
      <c r="I52" s="7">
        <v>45624</v>
      </c>
      <c r="J52" s="8">
        <v>0.82490740740740742</v>
      </c>
      <c r="K52" t="s">
        <v>984</v>
      </c>
      <c r="AQ52" t="s">
        <v>992</v>
      </c>
      <c r="AR52" t="s">
        <v>1075</v>
      </c>
      <c r="BE52" t="s">
        <v>25</v>
      </c>
    </row>
    <row r="53" spans="1:57" ht="13" x14ac:dyDescent="0.15">
      <c r="A53">
        <v>1839</v>
      </c>
      <c r="B53">
        <v>29024381</v>
      </c>
      <c r="C53" t="s">
        <v>25</v>
      </c>
      <c r="D53" s="7">
        <v>39210</v>
      </c>
      <c r="E53" s="7">
        <v>45710</v>
      </c>
      <c r="F53">
        <v>336453</v>
      </c>
      <c r="G53" t="s">
        <v>1074</v>
      </c>
      <c r="H53" t="s">
        <v>27</v>
      </c>
      <c r="I53" s="7">
        <v>45624</v>
      </c>
      <c r="J53" s="8">
        <v>0.82501157407407411</v>
      </c>
      <c r="K53" t="s">
        <v>984</v>
      </c>
      <c r="AQ53" t="s">
        <v>992</v>
      </c>
      <c r="AR53" t="s">
        <v>1076</v>
      </c>
      <c r="BE53" t="s">
        <v>25</v>
      </c>
    </row>
    <row r="54" spans="1:57" ht="13" x14ac:dyDescent="0.15">
      <c r="A54">
        <v>1839</v>
      </c>
      <c r="B54">
        <v>29024381</v>
      </c>
      <c r="C54" t="s">
        <v>25</v>
      </c>
      <c r="D54" s="7">
        <v>39210</v>
      </c>
      <c r="E54" s="7">
        <v>45710</v>
      </c>
      <c r="F54">
        <v>336709</v>
      </c>
      <c r="G54" t="s">
        <v>1074</v>
      </c>
      <c r="H54" t="s">
        <v>28</v>
      </c>
      <c r="I54" s="7">
        <v>45624</v>
      </c>
      <c r="J54" s="8">
        <v>0.82506944444444441</v>
      </c>
      <c r="K54" t="s">
        <v>984</v>
      </c>
      <c r="AQ54" t="s">
        <v>992</v>
      </c>
      <c r="AR54" t="s">
        <v>1077</v>
      </c>
      <c r="BE54" t="s">
        <v>25</v>
      </c>
    </row>
    <row r="55" spans="1:57" ht="13" x14ac:dyDescent="0.15">
      <c r="A55">
        <v>1839</v>
      </c>
      <c r="B55">
        <v>29029887</v>
      </c>
      <c r="C55" t="s">
        <v>29</v>
      </c>
      <c r="D55" s="7">
        <v>39495</v>
      </c>
      <c r="E55" s="7">
        <v>45706</v>
      </c>
      <c r="F55">
        <v>330862</v>
      </c>
      <c r="G55" t="s">
        <v>983</v>
      </c>
      <c r="H55" t="s">
        <v>9</v>
      </c>
      <c r="I55" s="7">
        <v>45669</v>
      </c>
      <c r="J55" s="8">
        <v>0.63603009259259258</v>
      </c>
      <c r="K55" t="s">
        <v>984</v>
      </c>
      <c r="AQ55" t="s">
        <v>992</v>
      </c>
      <c r="AR55" t="s">
        <v>1078</v>
      </c>
      <c r="AT55" t="s">
        <v>987</v>
      </c>
      <c r="AZ55" t="s">
        <v>1028</v>
      </c>
      <c r="BA55" t="s">
        <v>1068</v>
      </c>
      <c r="BB55" t="s">
        <v>1069</v>
      </c>
      <c r="BD55" t="s">
        <v>1005</v>
      </c>
      <c r="BE55" t="s">
        <v>29</v>
      </c>
    </row>
    <row r="56" spans="1:57" ht="13" x14ac:dyDescent="0.15">
      <c r="A56">
        <v>1839</v>
      </c>
      <c r="B56">
        <v>29029887</v>
      </c>
      <c r="C56" t="s">
        <v>29</v>
      </c>
      <c r="D56" s="7">
        <v>39495</v>
      </c>
      <c r="E56" s="7">
        <v>45706</v>
      </c>
      <c r="F56">
        <v>330862</v>
      </c>
      <c r="G56" t="s">
        <v>983</v>
      </c>
      <c r="H56" t="s">
        <v>9</v>
      </c>
      <c r="I56" s="7">
        <v>45704</v>
      </c>
      <c r="J56" s="8">
        <v>0.68457175925925928</v>
      </c>
      <c r="K56" t="s">
        <v>984</v>
      </c>
      <c r="AQ56" t="s">
        <v>992</v>
      </c>
      <c r="AR56" t="s">
        <v>1079</v>
      </c>
      <c r="AT56" t="s">
        <v>987</v>
      </c>
      <c r="AZ56" t="s">
        <v>1080</v>
      </c>
      <c r="BA56" t="s">
        <v>1081</v>
      </c>
      <c r="BB56" t="s">
        <v>1082</v>
      </c>
      <c r="BD56" t="s">
        <v>991</v>
      </c>
      <c r="BE56" t="s">
        <v>29</v>
      </c>
    </row>
    <row r="57" spans="1:57" ht="13" x14ac:dyDescent="0.15">
      <c r="A57">
        <v>1839</v>
      </c>
      <c r="B57">
        <v>29109980</v>
      </c>
      <c r="C57" t="s">
        <v>30</v>
      </c>
      <c r="D57" s="7">
        <v>39763</v>
      </c>
      <c r="E57" s="7">
        <v>45694</v>
      </c>
      <c r="F57">
        <v>330862</v>
      </c>
      <c r="G57" t="s">
        <v>983</v>
      </c>
      <c r="H57" t="s">
        <v>9</v>
      </c>
      <c r="I57" s="7">
        <v>45677</v>
      </c>
      <c r="J57" s="8">
        <v>0.72260416666666671</v>
      </c>
      <c r="K57" t="s">
        <v>984</v>
      </c>
      <c r="AQ57" t="s">
        <v>985</v>
      </c>
      <c r="AR57" t="s">
        <v>1083</v>
      </c>
      <c r="AT57" t="s">
        <v>987</v>
      </c>
      <c r="AZ57" t="s">
        <v>1011</v>
      </c>
      <c r="BA57" t="s">
        <v>1012</v>
      </c>
      <c r="BB57" t="s">
        <v>1013</v>
      </c>
      <c r="BD57" t="s">
        <v>1014</v>
      </c>
      <c r="BE57" t="s">
        <v>30</v>
      </c>
    </row>
    <row r="58" spans="1:57" ht="13" x14ac:dyDescent="0.15">
      <c r="A58">
        <v>1839</v>
      </c>
      <c r="B58">
        <v>29129871</v>
      </c>
      <c r="C58" t="s">
        <v>31</v>
      </c>
      <c r="D58" s="7">
        <v>40806</v>
      </c>
      <c r="E58" s="7">
        <v>45708</v>
      </c>
      <c r="F58">
        <v>330862</v>
      </c>
      <c r="G58" t="s">
        <v>983</v>
      </c>
      <c r="H58" t="s">
        <v>9</v>
      </c>
      <c r="I58" s="7">
        <v>45694</v>
      </c>
      <c r="J58" s="8">
        <v>0.83625000000000005</v>
      </c>
      <c r="K58" t="s">
        <v>984</v>
      </c>
      <c r="AQ58" t="s">
        <v>992</v>
      </c>
      <c r="AR58" t="s">
        <v>993</v>
      </c>
      <c r="AT58" t="s">
        <v>987</v>
      </c>
      <c r="AZ58" t="s">
        <v>988</v>
      </c>
      <c r="BA58" t="s">
        <v>989</v>
      </c>
      <c r="BB58" t="s">
        <v>990</v>
      </c>
      <c r="BD58" t="s">
        <v>991</v>
      </c>
      <c r="BE58" t="s">
        <v>31</v>
      </c>
    </row>
    <row r="59" spans="1:57" ht="13" x14ac:dyDescent="0.15">
      <c r="A59">
        <v>1839</v>
      </c>
      <c r="B59">
        <v>29148269</v>
      </c>
      <c r="C59" t="s">
        <v>1084</v>
      </c>
      <c r="D59" s="7">
        <v>39193</v>
      </c>
      <c r="E59" s="7">
        <v>45713</v>
      </c>
      <c r="F59">
        <v>330862</v>
      </c>
      <c r="G59" t="s">
        <v>983</v>
      </c>
      <c r="H59" t="s">
        <v>9</v>
      </c>
      <c r="I59" s="7">
        <v>45640</v>
      </c>
      <c r="J59" s="8">
        <v>0.75032407407407409</v>
      </c>
      <c r="K59" t="s">
        <v>984</v>
      </c>
      <c r="AQ59" t="s">
        <v>992</v>
      </c>
      <c r="AR59" t="s">
        <v>1085</v>
      </c>
      <c r="AT59" t="s">
        <v>987</v>
      </c>
      <c r="AZ59" t="s">
        <v>1011</v>
      </c>
      <c r="BA59" t="s">
        <v>1031</v>
      </c>
      <c r="BB59" t="s">
        <v>1032</v>
      </c>
      <c r="BD59" t="s">
        <v>1005</v>
      </c>
      <c r="BE59" t="s">
        <v>1084</v>
      </c>
    </row>
    <row r="60" spans="1:57" ht="13" x14ac:dyDescent="0.15">
      <c r="A60">
        <v>1839</v>
      </c>
      <c r="B60">
        <v>29148269</v>
      </c>
      <c r="C60" t="s">
        <v>1084</v>
      </c>
      <c r="D60" s="7">
        <v>39193</v>
      </c>
      <c r="E60" s="7">
        <v>45713</v>
      </c>
      <c r="F60">
        <v>330862</v>
      </c>
      <c r="G60" t="s">
        <v>983</v>
      </c>
      <c r="H60" t="s">
        <v>9</v>
      </c>
      <c r="I60" s="7">
        <v>45640</v>
      </c>
      <c r="J60" s="8">
        <v>0.76946759259259256</v>
      </c>
      <c r="K60" t="s">
        <v>984</v>
      </c>
      <c r="AQ60" t="s">
        <v>992</v>
      </c>
      <c r="AR60" t="s">
        <v>1086</v>
      </c>
      <c r="AT60" t="s">
        <v>987</v>
      </c>
      <c r="AZ60" t="s">
        <v>1028</v>
      </c>
      <c r="BA60" t="s">
        <v>1029</v>
      </c>
      <c r="BB60" t="s">
        <v>1018</v>
      </c>
      <c r="BD60" t="s">
        <v>1022</v>
      </c>
      <c r="BE60" t="s">
        <v>1084</v>
      </c>
    </row>
    <row r="61" spans="1:57" ht="13" x14ac:dyDescent="0.15">
      <c r="A61">
        <v>1839</v>
      </c>
      <c r="B61">
        <v>29148269</v>
      </c>
      <c r="C61" t="s">
        <v>1084</v>
      </c>
      <c r="D61" s="7">
        <v>39193</v>
      </c>
      <c r="E61" s="7">
        <v>45713</v>
      </c>
      <c r="F61">
        <v>330862</v>
      </c>
      <c r="G61" t="s">
        <v>983</v>
      </c>
      <c r="H61" t="s">
        <v>9</v>
      </c>
      <c r="I61" s="7">
        <v>45640</v>
      </c>
      <c r="J61" s="8">
        <v>0.77136574074074071</v>
      </c>
      <c r="K61" t="s">
        <v>984</v>
      </c>
      <c r="AQ61" t="s">
        <v>992</v>
      </c>
      <c r="AR61" t="s">
        <v>1086</v>
      </c>
      <c r="AT61" t="s">
        <v>987</v>
      </c>
      <c r="AZ61" t="s">
        <v>1028</v>
      </c>
      <c r="BA61" t="s">
        <v>1029</v>
      </c>
      <c r="BB61" t="s">
        <v>1018</v>
      </c>
      <c r="BD61" t="s">
        <v>1022</v>
      </c>
      <c r="BE61" t="s">
        <v>1084</v>
      </c>
    </row>
    <row r="62" spans="1:57" ht="13" x14ac:dyDescent="0.15">
      <c r="A62">
        <v>1839</v>
      </c>
      <c r="B62">
        <v>29150877</v>
      </c>
      <c r="C62" t="s">
        <v>32</v>
      </c>
      <c r="D62" s="7">
        <v>39816</v>
      </c>
      <c r="E62" s="7">
        <v>45710</v>
      </c>
      <c r="F62">
        <v>336444</v>
      </c>
      <c r="G62" t="s">
        <v>995</v>
      </c>
      <c r="H62" t="s">
        <v>12</v>
      </c>
      <c r="I62" s="7">
        <v>45619</v>
      </c>
      <c r="J62" s="8">
        <v>0.10490740740740741</v>
      </c>
      <c r="K62" t="s">
        <v>984</v>
      </c>
      <c r="AQ62" t="s">
        <v>996</v>
      </c>
      <c r="BE62" t="s">
        <v>32</v>
      </c>
    </row>
    <row r="63" spans="1:57" ht="13" x14ac:dyDescent="0.15">
      <c r="A63">
        <v>1839</v>
      </c>
      <c r="B63">
        <v>29150877</v>
      </c>
      <c r="C63" t="s">
        <v>32</v>
      </c>
      <c r="D63" s="7">
        <v>39816</v>
      </c>
      <c r="E63" s="7">
        <v>45710</v>
      </c>
      <c r="F63">
        <v>336447</v>
      </c>
      <c r="G63" t="s">
        <v>1074</v>
      </c>
      <c r="H63" t="s">
        <v>26</v>
      </c>
      <c r="I63" s="7">
        <v>45680</v>
      </c>
      <c r="J63" s="8">
        <v>0.11083333333333334</v>
      </c>
      <c r="K63" t="s">
        <v>984</v>
      </c>
      <c r="AQ63" t="s">
        <v>992</v>
      </c>
      <c r="AR63" t="s">
        <v>1087</v>
      </c>
      <c r="BE63" t="s">
        <v>32</v>
      </c>
    </row>
    <row r="64" spans="1:57" ht="13" x14ac:dyDescent="0.15">
      <c r="A64">
        <v>1839</v>
      </c>
      <c r="B64">
        <v>29150877</v>
      </c>
      <c r="C64" t="s">
        <v>32</v>
      </c>
      <c r="D64" s="7">
        <v>39816</v>
      </c>
      <c r="E64" s="7">
        <v>45710</v>
      </c>
      <c r="F64">
        <v>336447</v>
      </c>
      <c r="G64" t="s">
        <v>1074</v>
      </c>
      <c r="H64" t="s">
        <v>26</v>
      </c>
      <c r="I64" s="7">
        <v>45710</v>
      </c>
      <c r="J64" s="8">
        <v>0.66856481481481478</v>
      </c>
      <c r="K64" t="s">
        <v>984</v>
      </c>
      <c r="AQ64" t="s">
        <v>992</v>
      </c>
      <c r="AR64" t="s">
        <v>1088</v>
      </c>
      <c r="BE64" t="s">
        <v>32</v>
      </c>
    </row>
    <row r="65" spans="1:57" ht="13" x14ac:dyDescent="0.15">
      <c r="A65">
        <v>1839</v>
      </c>
      <c r="B65">
        <v>29150877</v>
      </c>
      <c r="C65" t="s">
        <v>32</v>
      </c>
      <c r="D65" s="7">
        <v>39816</v>
      </c>
      <c r="E65" s="7">
        <v>45710</v>
      </c>
      <c r="F65">
        <v>336453</v>
      </c>
      <c r="G65" t="s">
        <v>1074</v>
      </c>
      <c r="H65" t="s">
        <v>27</v>
      </c>
      <c r="I65" s="7">
        <v>45680</v>
      </c>
      <c r="J65" s="8">
        <v>0.11101851851851852</v>
      </c>
      <c r="K65" t="s">
        <v>984</v>
      </c>
      <c r="AQ65" t="s">
        <v>992</v>
      </c>
      <c r="AR65" t="s">
        <v>1076</v>
      </c>
      <c r="BE65" t="s">
        <v>32</v>
      </c>
    </row>
    <row r="66" spans="1:57" ht="13" x14ac:dyDescent="0.15">
      <c r="A66">
        <v>1839</v>
      </c>
      <c r="B66">
        <v>29150877</v>
      </c>
      <c r="C66" t="s">
        <v>32</v>
      </c>
      <c r="D66" s="7">
        <v>39816</v>
      </c>
      <c r="E66" s="7">
        <v>45710</v>
      </c>
      <c r="F66">
        <v>336453</v>
      </c>
      <c r="G66" t="s">
        <v>1074</v>
      </c>
      <c r="H66" t="s">
        <v>27</v>
      </c>
      <c r="I66" s="7">
        <v>45710</v>
      </c>
      <c r="J66" s="8">
        <v>0.66871527777777773</v>
      </c>
      <c r="K66" t="s">
        <v>984</v>
      </c>
      <c r="AQ66" t="s">
        <v>992</v>
      </c>
      <c r="AR66" t="s">
        <v>1076</v>
      </c>
      <c r="BE66" t="s">
        <v>32</v>
      </c>
    </row>
    <row r="67" spans="1:57" ht="13" x14ac:dyDescent="0.15">
      <c r="A67">
        <v>1839</v>
      </c>
      <c r="B67">
        <v>29150877</v>
      </c>
      <c r="C67" t="s">
        <v>32</v>
      </c>
      <c r="D67" s="7">
        <v>39816</v>
      </c>
      <c r="E67" s="7">
        <v>45710</v>
      </c>
      <c r="F67">
        <v>336709</v>
      </c>
      <c r="G67" t="s">
        <v>1074</v>
      </c>
      <c r="H67" t="s">
        <v>28</v>
      </c>
      <c r="I67" s="7">
        <v>45680</v>
      </c>
      <c r="J67" s="8">
        <v>0.11116898148148148</v>
      </c>
      <c r="K67" t="s">
        <v>984</v>
      </c>
      <c r="AQ67" t="s">
        <v>992</v>
      </c>
      <c r="AR67" t="s">
        <v>1077</v>
      </c>
      <c r="BE67" t="s">
        <v>32</v>
      </c>
    </row>
    <row r="68" spans="1:57" ht="13" x14ac:dyDescent="0.15">
      <c r="A68">
        <v>1839</v>
      </c>
      <c r="B68">
        <v>29150877</v>
      </c>
      <c r="C68" t="s">
        <v>32</v>
      </c>
      <c r="D68" s="7">
        <v>39816</v>
      </c>
      <c r="E68" s="7">
        <v>45710</v>
      </c>
      <c r="F68">
        <v>336709</v>
      </c>
      <c r="G68" t="s">
        <v>1074</v>
      </c>
      <c r="H68" t="s">
        <v>28</v>
      </c>
      <c r="I68" s="7">
        <v>45710</v>
      </c>
      <c r="J68" s="8">
        <v>0.6688425925925926</v>
      </c>
      <c r="K68" t="s">
        <v>984</v>
      </c>
      <c r="AQ68" t="s">
        <v>992</v>
      </c>
      <c r="AR68" t="s">
        <v>1077</v>
      </c>
      <c r="BE68" t="s">
        <v>32</v>
      </c>
    </row>
    <row r="69" spans="1:57" ht="13" x14ac:dyDescent="0.15">
      <c r="A69">
        <v>1839</v>
      </c>
      <c r="B69">
        <v>29153617</v>
      </c>
      <c r="C69" t="s">
        <v>33</v>
      </c>
      <c r="D69" s="7">
        <v>39828</v>
      </c>
      <c r="E69" s="7">
        <v>45696</v>
      </c>
      <c r="F69">
        <v>330862</v>
      </c>
      <c r="G69" t="s">
        <v>983</v>
      </c>
      <c r="H69" t="s">
        <v>9</v>
      </c>
      <c r="I69" s="7">
        <v>45694</v>
      </c>
      <c r="J69" s="8">
        <v>0.38496527777777778</v>
      </c>
      <c r="K69" t="s">
        <v>984</v>
      </c>
      <c r="AQ69" t="s">
        <v>1089</v>
      </c>
      <c r="AR69" t="s">
        <v>986</v>
      </c>
      <c r="AT69" t="s">
        <v>987</v>
      </c>
      <c r="AZ69" t="s">
        <v>988</v>
      </c>
      <c r="BA69" t="s">
        <v>989</v>
      </c>
      <c r="BB69" t="s">
        <v>990</v>
      </c>
      <c r="BD69" t="s">
        <v>991</v>
      </c>
      <c r="BE69" t="s">
        <v>33</v>
      </c>
    </row>
    <row r="70" spans="1:57" ht="13" x14ac:dyDescent="0.15">
      <c r="A70">
        <v>1839</v>
      </c>
      <c r="B70">
        <v>29167220</v>
      </c>
      <c r="C70" t="s">
        <v>34</v>
      </c>
      <c r="D70" s="7">
        <v>39828</v>
      </c>
      <c r="E70" s="7">
        <v>45694</v>
      </c>
      <c r="F70">
        <v>330862</v>
      </c>
      <c r="G70" t="s">
        <v>983</v>
      </c>
      <c r="H70" t="s">
        <v>9</v>
      </c>
      <c r="I70" s="7">
        <v>45694</v>
      </c>
      <c r="J70" s="8">
        <v>0.47244212962962961</v>
      </c>
      <c r="K70" t="s">
        <v>984</v>
      </c>
      <c r="AQ70" t="s">
        <v>1090</v>
      </c>
      <c r="AR70" t="s">
        <v>986</v>
      </c>
      <c r="AT70" t="s">
        <v>987</v>
      </c>
      <c r="AZ70" t="s">
        <v>988</v>
      </c>
      <c r="BA70" t="s">
        <v>989</v>
      </c>
      <c r="BB70" t="s">
        <v>990</v>
      </c>
      <c r="BD70" t="s">
        <v>991</v>
      </c>
      <c r="BE70" t="s">
        <v>34</v>
      </c>
    </row>
    <row r="71" spans="1:57" ht="13" x14ac:dyDescent="0.15">
      <c r="A71">
        <v>1839</v>
      </c>
      <c r="B71">
        <v>29208194</v>
      </c>
      <c r="C71" t="s">
        <v>35</v>
      </c>
      <c r="D71" s="7">
        <v>39210</v>
      </c>
      <c r="E71" s="7">
        <v>45699</v>
      </c>
      <c r="F71">
        <v>330862</v>
      </c>
      <c r="G71" t="s">
        <v>983</v>
      </c>
      <c r="H71" t="s">
        <v>9</v>
      </c>
      <c r="I71" s="7">
        <v>45695</v>
      </c>
      <c r="J71" s="8">
        <v>0.69160879629629635</v>
      </c>
      <c r="K71" t="s">
        <v>984</v>
      </c>
      <c r="AQ71" t="s">
        <v>1089</v>
      </c>
      <c r="AR71" t="s">
        <v>986</v>
      </c>
      <c r="AT71" t="s">
        <v>987</v>
      </c>
      <c r="AZ71" t="s">
        <v>988</v>
      </c>
      <c r="BA71" t="s">
        <v>989</v>
      </c>
      <c r="BB71" t="s">
        <v>990</v>
      </c>
      <c r="BD71" t="s">
        <v>991</v>
      </c>
      <c r="BE71" t="s">
        <v>35</v>
      </c>
    </row>
    <row r="72" spans="1:57" ht="13" x14ac:dyDescent="0.15">
      <c r="A72">
        <v>1839</v>
      </c>
      <c r="B72">
        <v>29237015</v>
      </c>
      <c r="C72" t="s">
        <v>1091</v>
      </c>
      <c r="D72" s="7">
        <v>39873</v>
      </c>
      <c r="E72" s="7">
        <v>45709</v>
      </c>
      <c r="F72">
        <v>330862</v>
      </c>
      <c r="G72" t="s">
        <v>983</v>
      </c>
      <c r="H72" t="s">
        <v>9</v>
      </c>
      <c r="I72" s="7">
        <v>45709</v>
      </c>
      <c r="J72" s="8">
        <v>0.30539351851851854</v>
      </c>
      <c r="K72" t="s">
        <v>984</v>
      </c>
      <c r="AQ72" t="s">
        <v>1092</v>
      </c>
      <c r="AR72" t="s">
        <v>1093</v>
      </c>
      <c r="AT72" t="s">
        <v>987</v>
      </c>
      <c r="AZ72" t="s">
        <v>988</v>
      </c>
      <c r="BA72" t="s">
        <v>989</v>
      </c>
      <c r="BB72" t="s">
        <v>990</v>
      </c>
      <c r="BD72" t="s">
        <v>991</v>
      </c>
      <c r="BE72" t="s">
        <v>1091</v>
      </c>
    </row>
    <row r="73" spans="1:57" ht="13" x14ac:dyDescent="0.15">
      <c r="A73">
        <v>1839</v>
      </c>
      <c r="B73">
        <v>29237015</v>
      </c>
      <c r="C73" t="s">
        <v>1091</v>
      </c>
      <c r="D73" s="7">
        <v>39873</v>
      </c>
      <c r="E73" s="7">
        <v>45709</v>
      </c>
      <c r="F73">
        <v>330862</v>
      </c>
      <c r="G73" t="s">
        <v>983</v>
      </c>
      <c r="H73" t="s">
        <v>9</v>
      </c>
      <c r="I73" s="7">
        <v>45644</v>
      </c>
      <c r="J73" s="8">
        <v>0.51045138888888886</v>
      </c>
      <c r="K73" t="s">
        <v>984</v>
      </c>
      <c r="AQ73" t="s">
        <v>1092</v>
      </c>
      <c r="AR73" t="s">
        <v>1094</v>
      </c>
      <c r="AT73" t="s">
        <v>987</v>
      </c>
      <c r="AZ73" t="s">
        <v>1024</v>
      </c>
      <c r="BA73" t="s">
        <v>1025</v>
      </c>
      <c r="BB73" t="s">
        <v>1026</v>
      </c>
      <c r="BD73" t="s">
        <v>1022</v>
      </c>
      <c r="BE73" t="s">
        <v>1091</v>
      </c>
    </row>
    <row r="74" spans="1:57" ht="13" x14ac:dyDescent="0.15">
      <c r="A74">
        <v>1839</v>
      </c>
      <c r="B74">
        <v>29423346</v>
      </c>
      <c r="C74" t="s">
        <v>36</v>
      </c>
      <c r="D74" s="7">
        <v>41731</v>
      </c>
      <c r="E74" s="7">
        <v>45706</v>
      </c>
      <c r="F74">
        <v>330862</v>
      </c>
      <c r="G74" t="s">
        <v>983</v>
      </c>
      <c r="H74" t="s">
        <v>9</v>
      </c>
      <c r="I74" s="7">
        <v>45674</v>
      </c>
      <c r="J74" s="8">
        <v>0.69585648148148149</v>
      </c>
      <c r="K74" t="s">
        <v>984</v>
      </c>
      <c r="AQ74" t="s">
        <v>998</v>
      </c>
      <c r="AR74" t="s">
        <v>1095</v>
      </c>
      <c r="AT74" t="s">
        <v>987</v>
      </c>
      <c r="AZ74" t="s">
        <v>1002</v>
      </c>
      <c r="BA74" t="s">
        <v>1003</v>
      </c>
      <c r="BB74" t="s">
        <v>1004</v>
      </c>
      <c r="BD74" t="s">
        <v>1005</v>
      </c>
      <c r="BE74" t="s">
        <v>36</v>
      </c>
    </row>
    <row r="75" spans="1:57" ht="13" x14ac:dyDescent="0.15">
      <c r="A75">
        <v>1839</v>
      </c>
      <c r="B75">
        <v>29423346</v>
      </c>
      <c r="C75" t="s">
        <v>36</v>
      </c>
      <c r="D75" s="7">
        <v>41731</v>
      </c>
      <c r="E75" s="7">
        <v>45706</v>
      </c>
      <c r="F75">
        <v>330862</v>
      </c>
      <c r="G75" t="s">
        <v>983</v>
      </c>
      <c r="H75" t="s">
        <v>9</v>
      </c>
      <c r="I75" s="7">
        <v>45636</v>
      </c>
      <c r="J75" s="8">
        <v>0.59129629629629632</v>
      </c>
      <c r="K75" t="s">
        <v>984</v>
      </c>
      <c r="AQ75" t="s">
        <v>998</v>
      </c>
      <c r="AR75" t="s">
        <v>1096</v>
      </c>
      <c r="AT75" t="s">
        <v>987</v>
      </c>
      <c r="AZ75" t="s">
        <v>1011</v>
      </c>
      <c r="BA75" t="s">
        <v>1031</v>
      </c>
      <c r="BB75" t="s">
        <v>1032</v>
      </c>
      <c r="BD75" t="s">
        <v>1005</v>
      </c>
      <c r="BE75" t="s">
        <v>36</v>
      </c>
    </row>
    <row r="76" spans="1:57" ht="13" x14ac:dyDescent="0.15">
      <c r="A76">
        <v>1839</v>
      </c>
      <c r="B76">
        <v>29423346</v>
      </c>
      <c r="C76" t="s">
        <v>36</v>
      </c>
      <c r="D76" s="7">
        <v>41731</v>
      </c>
      <c r="E76" s="7">
        <v>45706</v>
      </c>
      <c r="F76">
        <v>330862</v>
      </c>
      <c r="G76" t="s">
        <v>983</v>
      </c>
      <c r="H76" t="s">
        <v>9</v>
      </c>
      <c r="I76" s="7">
        <v>45636</v>
      </c>
      <c r="J76" s="8">
        <v>0.59677083333333336</v>
      </c>
      <c r="K76" t="s">
        <v>984</v>
      </c>
      <c r="AQ76" t="s">
        <v>998</v>
      </c>
      <c r="AR76" t="s">
        <v>1097</v>
      </c>
      <c r="AT76" t="s">
        <v>987</v>
      </c>
      <c r="AZ76" t="s">
        <v>1024</v>
      </c>
      <c r="BA76" t="s">
        <v>1025</v>
      </c>
      <c r="BB76" t="s">
        <v>1026</v>
      </c>
      <c r="BD76" t="s">
        <v>1022</v>
      </c>
      <c r="BE76" t="s">
        <v>36</v>
      </c>
    </row>
    <row r="77" spans="1:57" ht="13" x14ac:dyDescent="0.15">
      <c r="A77">
        <v>1839</v>
      </c>
      <c r="B77">
        <v>29423346</v>
      </c>
      <c r="C77" t="s">
        <v>36</v>
      </c>
      <c r="D77" s="7">
        <v>41731</v>
      </c>
      <c r="E77" s="7">
        <v>45706</v>
      </c>
      <c r="F77">
        <v>330862</v>
      </c>
      <c r="G77" t="s">
        <v>983</v>
      </c>
      <c r="H77" t="s">
        <v>9</v>
      </c>
      <c r="I77" s="7">
        <v>45636</v>
      </c>
      <c r="J77" s="8">
        <v>0.59902777777777783</v>
      </c>
      <c r="K77" t="s">
        <v>984</v>
      </c>
      <c r="AQ77" t="s">
        <v>998</v>
      </c>
      <c r="AR77" t="s">
        <v>1098</v>
      </c>
      <c r="AT77" t="s">
        <v>987</v>
      </c>
      <c r="AZ77" t="s">
        <v>1020</v>
      </c>
      <c r="BA77" t="s">
        <v>1021</v>
      </c>
      <c r="BB77" t="s">
        <v>1018</v>
      </c>
      <c r="BD77" t="s">
        <v>1022</v>
      </c>
      <c r="BE77" t="s">
        <v>36</v>
      </c>
    </row>
    <row r="78" spans="1:57" ht="13" x14ac:dyDescent="0.15">
      <c r="A78">
        <v>1839</v>
      </c>
      <c r="B78">
        <v>29423346</v>
      </c>
      <c r="C78" t="s">
        <v>36</v>
      </c>
      <c r="D78" s="7">
        <v>41731</v>
      </c>
      <c r="E78" s="7">
        <v>45706</v>
      </c>
      <c r="F78">
        <v>330862</v>
      </c>
      <c r="G78" t="s">
        <v>983</v>
      </c>
      <c r="H78" t="s">
        <v>9</v>
      </c>
      <c r="I78" s="7">
        <v>45694</v>
      </c>
      <c r="J78" s="8">
        <v>0.65476851851851847</v>
      </c>
      <c r="K78" t="s">
        <v>984</v>
      </c>
      <c r="AQ78" t="s">
        <v>998</v>
      </c>
      <c r="AR78" t="s">
        <v>986</v>
      </c>
      <c r="AT78" t="s">
        <v>987</v>
      </c>
      <c r="AZ78" t="s">
        <v>988</v>
      </c>
      <c r="BA78" t="s">
        <v>989</v>
      </c>
      <c r="BB78" t="s">
        <v>990</v>
      </c>
      <c r="BD78" t="s">
        <v>991</v>
      </c>
      <c r="BE78" t="s">
        <v>36</v>
      </c>
    </row>
    <row r="79" spans="1:57" ht="13" x14ac:dyDescent="0.15">
      <c r="A79">
        <v>1839</v>
      </c>
      <c r="B79">
        <v>29470311</v>
      </c>
      <c r="C79" t="s">
        <v>1099</v>
      </c>
      <c r="D79" s="7">
        <v>38884</v>
      </c>
      <c r="E79" s="7">
        <v>45590</v>
      </c>
      <c r="F79">
        <v>330862</v>
      </c>
      <c r="G79" t="s">
        <v>983</v>
      </c>
      <c r="H79" t="s">
        <v>9</v>
      </c>
      <c r="I79" s="7">
        <v>45552</v>
      </c>
      <c r="J79" s="8">
        <v>0.56283564814814813</v>
      </c>
      <c r="K79" t="s">
        <v>984</v>
      </c>
      <c r="AQ79" t="s">
        <v>1092</v>
      </c>
      <c r="AR79" t="s">
        <v>1100</v>
      </c>
      <c r="AT79" t="s">
        <v>987</v>
      </c>
      <c r="BE79" t="s">
        <v>1099</v>
      </c>
    </row>
    <row r="80" spans="1:57" ht="13" x14ac:dyDescent="0.15">
      <c r="A80">
        <v>1839</v>
      </c>
      <c r="B80">
        <v>29572986</v>
      </c>
      <c r="C80" t="s">
        <v>1101</v>
      </c>
      <c r="D80" s="7">
        <v>39672</v>
      </c>
      <c r="E80" s="7">
        <v>45704</v>
      </c>
      <c r="F80">
        <v>330862</v>
      </c>
      <c r="G80" t="s">
        <v>983</v>
      </c>
      <c r="H80" t="s">
        <v>9</v>
      </c>
      <c r="I80" s="7">
        <v>45616</v>
      </c>
      <c r="J80" s="8">
        <v>0.57280092592592591</v>
      </c>
      <c r="K80" t="s">
        <v>984</v>
      </c>
      <c r="AQ80" t="s">
        <v>998</v>
      </c>
      <c r="AR80" t="s">
        <v>1102</v>
      </c>
      <c r="AT80" t="s">
        <v>987</v>
      </c>
      <c r="AZ80" t="s">
        <v>1011</v>
      </c>
      <c r="BA80" t="s">
        <v>1103</v>
      </c>
      <c r="BB80" t="s">
        <v>1032</v>
      </c>
      <c r="BD80" t="s">
        <v>1005</v>
      </c>
      <c r="BE80" t="s">
        <v>1101</v>
      </c>
    </row>
    <row r="81" spans="1:57" ht="13" x14ac:dyDescent="0.15">
      <c r="A81">
        <v>1839</v>
      </c>
      <c r="B81">
        <v>29648947</v>
      </c>
      <c r="C81" t="s">
        <v>37</v>
      </c>
      <c r="D81" s="7">
        <v>38968</v>
      </c>
      <c r="E81" s="7">
        <v>45699</v>
      </c>
      <c r="F81">
        <v>330862</v>
      </c>
      <c r="G81" t="s">
        <v>983</v>
      </c>
      <c r="H81" t="s">
        <v>9</v>
      </c>
      <c r="I81" s="7">
        <v>45616</v>
      </c>
      <c r="J81" s="8">
        <v>0.57974537037037033</v>
      </c>
      <c r="K81" t="s">
        <v>984</v>
      </c>
      <c r="AQ81" t="s">
        <v>1090</v>
      </c>
      <c r="AR81" t="s">
        <v>1102</v>
      </c>
      <c r="AT81" t="s">
        <v>987</v>
      </c>
      <c r="AZ81" t="s">
        <v>1011</v>
      </c>
      <c r="BA81" t="s">
        <v>1103</v>
      </c>
      <c r="BB81" t="s">
        <v>1032</v>
      </c>
      <c r="BD81" t="s">
        <v>1005</v>
      </c>
      <c r="BE81" t="s">
        <v>37</v>
      </c>
    </row>
    <row r="82" spans="1:57" ht="13" x14ac:dyDescent="0.15">
      <c r="A82">
        <v>1839</v>
      </c>
      <c r="B82">
        <v>29648947</v>
      </c>
      <c r="C82" t="s">
        <v>37</v>
      </c>
      <c r="D82" s="7">
        <v>38968</v>
      </c>
      <c r="E82" s="7">
        <v>45699</v>
      </c>
      <c r="F82">
        <v>330862</v>
      </c>
      <c r="G82" t="s">
        <v>983</v>
      </c>
      <c r="H82" t="s">
        <v>9</v>
      </c>
      <c r="I82" s="7">
        <v>45674</v>
      </c>
      <c r="J82" s="8">
        <v>0.60444444444444445</v>
      </c>
      <c r="K82" t="s">
        <v>984</v>
      </c>
      <c r="AQ82" t="s">
        <v>1090</v>
      </c>
      <c r="AR82" t="s">
        <v>1095</v>
      </c>
      <c r="AT82" t="s">
        <v>987</v>
      </c>
      <c r="AZ82" t="s">
        <v>1002</v>
      </c>
      <c r="BA82" t="s">
        <v>1003</v>
      </c>
      <c r="BB82" t="s">
        <v>1004</v>
      </c>
      <c r="BD82" t="s">
        <v>1005</v>
      </c>
      <c r="BE82" t="s">
        <v>37</v>
      </c>
    </row>
    <row r="83" spans="1:57" ht="13" x14ac:dyDescent="0.15">
      <c r="A83">
        <v>1839</v>
      </c>
      <c r="B83">
        <v>29648947</v>
      </c>
      <c r="C83" t="s">
        <v>37</v>
      </c>
      <c r="D83" s="7">
        <v>38968</v>
      </c>
      <c r="E83" s="7">
        <v>45699</v>
      </c>
      <c r="F83">
        <v>330862</v>
      </c>
      <c r="G83" t="s">
        <v>983</v>
      </c>
      <c r="H83" t="s">
        <v>9</v>
      </c>
      <c r="I83" s="7">
        <v>45694</v>
      </c>
      <c r="J83" s="8">
        <v>0.3933564814814815</v>
      </c>
      <c r="K83" t="s">
        <v>984</v>
      </c>
      <c r="AQ83" t="s">
        <v>1090</v>
      </c>
      <c r="AR83" t="s">
        <v>993</v>
      </c>
      <c r="AT83" t="s">
        <v>987</v>
      </c>
      <c r="AZ83" t="s">
        <v>988</v>
      </c>
      <c r="BA83" t="s">
        <v>989</v>
      </c>
      <c r="BB83" t="s">
        <v>990</v>
      </c>
      <c r="BD83" t="s">
        <v>991</v>
      </c>
      <c r="BE83" t="s">
        <v>37</v>
      </c>
    </row>
    <row r="84" spans="1:57" ht="13" x14ac:dyDescent="0.15">
      <c r="A84">
        <v>1839</v>
      </c>
      <c r="B84">
        <v>29648947</v>
      </c>
      <c r="C84" t="s">
        <v>37</v>
      </c>
      <c r="D84" s="7">
        <v>38968</v>
      </c>
      <c r="E84" s="7">
        <v>45699</v>
      </c>
      <c r="F84">
        <v>330862</v>
      </c>
      <c r="G84" t="s">
        <v>983</v>
      </c>
      <c r="H84" t="s">
        <v>9</v>
      </c>
      <c r="I84" s="7">
        <v>45616</v>
      </c>
      <c r="J84" s="8">
        <v>0.58056712962962964</v>
      </c>
      <c r="K84" t="s">
        <v>984</v>
      </c>
      <c r="AQ84" t="s">
        <v>1090</v>
      </c>
      <c r="AR84" t="s">
        <v>1104</v>
      </c>
      <c r="AT84" t="s">
        <v>987</v>
      </c>
      <c r="AZ84" t="s">
        <v>1055</v>
      </c>
      <c r="BA84" t="s">
        <v>1056</v>
      </c>
      <c r="BB84" t="s">
        <v>1013</v>
      </c>
      <c r="BD84" t="s">
        <v>1022</v>
      </c>
      <c r="BE84" t="s">
        <v>37</v>
      </c>
    </row>
    <row r="85" spans="1:57" ht="13" x14ac:dyDescent="0.15">
      <c r="A85">
        <v>1839</v>
      </c>
      <c r="B85">
        <v>29664907</v>
      </c>
      <c r="C85" t="s">
        <v>38</v>
      </c>
      <c r="D85" s="7">
        <v>41719</v>
      </c>
      <c r="E85" s="7">
        <v>45675</v>
      </c>
      <c r="F85">
        <v>330862</v>
      </c>
      <c r="G85" t="s">
        <v>983</v>
      </c>
      <c r="H85" t="s">
        <v>9</v>
      </c>
      <c r="I85" s="7">
        <v>45675</v>
      </c>
      <c r="J85" s="8">
        <v>0.35120370370370368</v>
      </c>
      <c r="K85" t="s">
        <v>984</v>
      </c>
      <c r="AQ85" t="s">
        <v>992</v>
      </c>
      <c r="AR85" t="s">
        <v>1105</v>
      </c>
      <c r="AT85" t="s">
        <v>987</v>
      </c>
      <c r="AZ85" t="s">
        <v>1044</v>
      </c>
      <c r="BA85" t="s">
        <v>1045</v>
      </c>
      <c r="BB85" t="s">
        <v>990</v>
      </c>
      <c r="BD85" t="s">
        <v>991</v>
      </c>
      <c r="BE85" t="s">
        <v>38</v>
      </c>
    </row>
    <row r="86" spans="1:57" ht="13" x14ac:dyDescent="0.15">
      <c r="A86">
        <v>1839</v>
      </c>
      <c r="B86">
        <v>29668979</v>
      </c>
      <c r="C86" t="s">
        <v>39</v>
      </c>
      <c r="D86" s="7">
        <v>39778</v>
      </c>
      <c r="E86" s="7">
        <v>45710</v>
      </c>
      <c r="F86">
        <v>330862</v>
      </c>
      <c r="G86" t="s">
        <v>983</v>
      </c>
      <c r="H86" t="s">
        <v>9</v>
      </c>
      <c r="I86" s="7">
        <v>45638</v>
      </c>
      <c r="J86" s="8">
        <v>0.80185185185185182</v>
      </c>
      <c r="K86" t="s">
        <v>984</v>
      </c>
      <c r="AQ86" t="s">
        <v>992</v>
      </c>
      <c r="AR86" t="s">
        <v>1106</v>
      </c>
      <c r="AT86" t="s">
        <v>987</v>
      </c>
      <c r="AZ86" t="s">
        <v>1020</v>
      </c>
      <c r="BA86" t="s">
        <v>1021</v>
      </c>
      <c r="BB86" t="s">
        <v>1018</v>
      </c>
      <c r="BD86" t="s">
        <v>1022</v>
      </c>
      <c r="BE86" t="s">
        <v>39</v>
      </c>
    </row>
    <row r="87" spans="1:57" ht="13" x14ac:dyDescent="0.15">
      <c r="A87">
        <v>1839</v>
      </c>
      <c r="B87">
        <v>29668979</v>
      </c>
      <c r="C87" t="s">
        <v>39</v>
      </c>
      <c r="D87" s="7">
        <v>39778</v>
      </c>
      <c r="E87" s="7">
        <v>45710</v>
      </c>
      <c r="F87">
        <v>330862</v>
      </c>
      <c r="G87" t="s">
        <v>983</v>
      </c>
      <c r="H87" t="s">
        <v>9</v>
      </c>
      <c r="I87" s="7">
        <v>45675</v>
      </c>
      <c r="J87" s="8">
        <v>0.78853009259259255</v>
      </c>
      <c r="K87" t="s">
        <v>984</v>
      </c>
      <c r="AQ87" t="s">
        <v>992</v>
      </c>
      <c r="AR87" t="s">
        <v>1107</v>
      </c>
      <c r="AT87" t="s">
        <v>987</v>
      </c>
      <c r="AZ87" t="s">
        <v>1007</v>
      </c>
      <c r="BA87" t="s">
        <v>1008</v>
      </c>
      <c r="BB87" t="s">
        <v>990</v>
      </c>
      <c r="BD87" t="s">
        <v>1005</v>
      </c>
      <c r="BE87" t="s">
        <v>39</v>
      </c>
    </row>
    <row r="88" spans="1:57" ht="13" x14ac:dyDescent="0.15">
      <c r="A88">
        <v>1839</v>
      </c>
      <c r="B88">
        <v>29668979</v>
      </c>
      <c r="C88" t="s">
        <v>39</v>
      </c>
      <c r="D88" s="7">
        <v>39778</v>
      </c>
      <c r="E88" s="7">
        <v>45710</v>
      </c>
      <c r="F88">
        <v>330862</v>
      </c>
      <c r="G88" t="s">
        <v>983</v>
      </c>
      <c r="H88" t="s">
        <v>9</v>
      </c>
      <c r="I88" s="7">
        <v>45637</v>
      </c>
      <c r="J88" s="8">
        <v>0.82374999999999998</v>
      </c>
      <c r="K88" t="s">
        <v>984</v>
      </c>
      <c r="AQ88" t="s">
        <v>992</v>
      </c>
      <c r="AR88" t="s">
        <v>1108</v>
      </c>
      <c r="AT88" t="s">
        <v>987</v>
      </c>
      <c r="AZ88" t="s">
        <v>1011</v>
      </c>
      <c r="BA88" t="s">
        <v>1031</v>
      </c>
      <c r="BB88" t="s">
        <v>1032</v>
      </c>
      <c r="BD88" t="s">
        <v>1005</v>
      </c>
      <c r="BE88" t="s">
        <v>39</v>
      </c>
    </row>
    <row r="89" spans="1:57" ht="13" x14ac:dyDescent="0.15">
      <c r="A89">
        <v>1839</v>
      </c>
      <c r="B89">
        <v>30230413</v>
      </c>
      <c r="C89" t="s">
        <v>40</v>
      </c>
      <c r="D89" s="7">
        <v>41254</v>
      </c>
      <c r="E89" s="7">
        <v>45698</v>
      </c>
      <c r="F89">
        <v>330862</v>
      </c>
      <c r="G89" t="s">
        <v>983</v>
      </c>
      <c r="H89" t="s">
        <v>9</v>
      </c>
      <c r="I89" s="7">
        <v>45694</v>
      </c>
      <c r="J89" s="8">
        <v>0.70224537037037038</v>
      </c>
      <c r="K89" t="s">
        <v>984</v>
      </c>
      <c r="AQ89" t="s">
        <v>1090</v>
      </c>
      <c r="AR89" t="s">
        <v>1066</v>
      </c>
      <c r="AT89" t="s">
        <v>987</v>
      </c>
      <c r="AZ89" t="s">
        <v>988</v>
      </c>
      <c r="BA89" t="s">
        <v>989</v>
      </c>
      <c r="BB89" t="s">
        <v>990</v>
      </c>
      <c r="BD89" t="s">
        <v>991</v>
      </c>
      <c r="BE89" t="s">
        <v>40</v>
      </c>
    </row>
    <row r="90" spans="1:57" ht="13" x14ac:dyDescent="0.15">
      <c r="A90">
        <v>1839</v>
      </c>
      <c r="B90">
        <v>30232575</v>
      </c>
      <c r="C90" t="s">
        <v>41</v>
      </c>
      <c r="D90" s="7">
        <v>39816</v>
      </c>
      <c r="E90" s="7">
        <v>45702</v>
      </c>
      <c r="F90">
        <v>330862</v>
      </c>
      <c r="G90" t="s">
        <v>983</v>
      </c>
      <c r="H90" t="s">
        <v>9</v>
      </c>
      <c r="I90" s="7">
        <v>45694</v>
      </c>
      <c r="J90" s="8">
        <v>0.65218750000000003</v>
      </c>
      <c r="K90" t="s">
        <v>984</v>
      </c>
      <c r="AQ90" t="s">
        <v>1089</v>
      </c>
      <c r="AR90" t="s">
        <v>1109</v>
      </c>
      <c r="AT90" t="s">
        <v>987</v>
      </c>
      <c r="AZ90" t="s">
        <v>988</v>
      </c>
      <c r="BA90" t="s">
        <v>989</v>
      </c>
      <c r="BB90" t="s">
        <v>990</v>
      </c>
      <c r="BD90" t="s">
        <v>991</v>
      </c>
      <c r="BE90" t="s">
        <v>41</v>
      </c>
    </row>
    <row r="91" spans="1:57" ht="13" x14ac:dyDescent="0.15">
      <c r="A91">
        <v>1839</v>
      </c>
      <c r="B91">
        <v>30232575</v>
      </c>
      <c r="C91" t="s">
        <v>41</v>
      </c>
      <c r="D91" s="7">
        <v>39816</v>
      </c>
      <c r="E91" s="7">
        <v>45702</v>
      </c>
      <c r="F91">
        <v>330862</v>
      </c>
      <c r="G91" t="s">
        <v>983</v>
      </c>
      <c r="H91" t="s">
        <v>9</v>
      </c>
      <c r="I91" s="7">
        <v>45679</v>
      </c>
      <c r="J91" s="8">
        <v>0.65431712962962962</v>
      </c>
      <c r="K91" t="s">
        <v>984</v>
      </c>
      <c r="AQ91" t="s">
        <v>1110</v>
      </c>
      <c r="AR91" t="s">
        <v>1111</v>
      </c>
      <c r="AT91" t="s">
        <v>987</v>
      </c>
      <c r="AZ91" t="s">
        <v>1011</v>
      </c>
      <c r="BA91" t="s">
        <v>1012</v>
      </c>
      <c r="BB91" t="s">
        <v>1013</v>
      </c>
      <c r="BD91" t="s">
        <v>1014</v>
      </c>
      <c r="BE91" t="s">
        <v>41</v>
      </c>
    </row>
    <row r="92" spans="1:57" ht="13" x14ac:dyDescent="0.15">
      <c r="A92">
        <v>1839</v>
      </c>
      <c r="B92">
        <v>30236247</v>
      </c>
      <c r="C92" t="s">
        <v>42</v>
      </c>
      <c r="D92" s="7">
        <v>41284</v>
      </c>
      <c r="E92" s="7">
        <v>45694</v>
      </c>
      <c r="F92">
        <v>330862</v>
      </c>
      <c r="G92" t="s">
        <v>983</v>
      </c>
      <c r="H92" t="s">
        <v>9</v>
      </c>
      <c r="I92" s="7">
        <v>45694</v>
      </c>
      <c r="J92" s="8">
        <v>0.35680555555555554</v>
      </c>
      <c r="K92" t="s">
        <v>984</v>
      </c>
      <c r="AQ92" t="s">
        <v>992</v>
      </c>
      <c r="AR92" t="s">
        <v>993</v>
      </c>
      <c r="AT92" t="s">
        <v>987</v>
      </c>
      <c r="AZ92" t="s">
        <v>988</v>
      </c>
      <c r="BA92" t="s">
        <v>989</v>
      </c>
      <c r="BB92" t="s">
        <v>990</v>
      </c>
      <c r="BD92" t="s">
        <v>991</v>
      </c>
      <c r="BE92" t="s">
        <v>42</v>
      </c>
    </row>
    <row r="93" spans="1:57" ht="13" x14ac:dyDescent="0.15">
      <c r="A93">
        <v>1839</v>
      </c>
      <c r="B93">
        <v>30236381</v>
      </c>
      <c r="C93" t="s">
        <v>43</v>
      </c>
      <c r="D93" s="7">
        <v>41285</v>
      </c>
      <c r="E93" s="7">
        <v>45694</v>
      </c>
      <c r="F93">
        <v>330862</v>
      </c>
      <c r="G93" t="s">
        <v>983</v>
      </c>
      <c r="H93" t="s">
        <v>9</v>
      </c>
      <c r="I93" s="7">
        <v>45694</v>
      </c>
      <c r="J93" s="8">
        <v>0.37234953703703705</v>
      </c>
      <c r="K93" t="s">
        <v>984</v>
      </c>
      <c r="AQ93" t="s">
        <v>1090</v>
      </c>
      <c r="AR93" t="s">
        <v>993</v>
      </c>
      <c r="AT93" t="s">
        <v>987</v>
      </c>
      <c r="AZ93" t="s">
        <v>988</v>
      </c>
      <c r="BA93" t="s">
        <v>989</v>
      </c>
      <c r="BB93" t="s">
        <v>990</v>
      </c>
      <c r="BD93" t="s">
        <v>991</v>
      </c>
      <c r="BE93" t="s">
        <v>43</v>
      </c>
    </row>
    <row r="94" spans="1:57" ht="13" x14ac:dyDescent="0.15">
      <c r="A94">
        <v>1839</v>
      </c>
      <c r="B94">
        <v>30243874</v>
      </c>
      <c r="C94" t="s">
        <v>44</v>
      </c>
      <c r="D94" s="7">
        <v>41297</v>
      </c>
      <c r="E94" s="7">
        <v>45696</v>
      </c>
      <c r="F94">
        <v>330862</v>
      </c>
      <c r="G94" t="s">
        <v>983</v>
      </c>
      <c r="H94" t="s">
        <v>9</v>
      </c>
      <c r="I94" s="7">
        <v>45696</v>
      </c>
      <c r="J94" s="8">
        <v>0.93297453703703703</v>
      </c>
      <c r="K94" t="s">
        <v>984</v>
      </c>
      <c r="AQ94" t="s">
        <v>992</v>
      </c>
      <c r="AR94" t="s">
        <v>993</v>
      </c>
      <c r="AT94" t="s">
        <v>987</v>
      </c>
      <c r="AZ94" t="s">
        <v>988</v>
      </c>
      <c r="BA94" t="s">
        <v>989</v>
      </c>
      <c r="BB94" t="s">
        <v>990</v>
      </c>
      <c r="BD94" t="s">
        <v>991</v>
      </c>
      <c r="BE94" t="s">
        <v>44</v>
      </c>
    </row>
    <row r="95" spans="1:57" ht="13" x14ac:dyDescent="0.15">
      <c r="A95">
        <v>1839</v>
      </c>
      <c r="B95">
        <v>30246297</v>
      </c>
      <c r="C95" t="s">
        <v>45</v>
      </c>
      <c r="D95" s="7">
        <v>40036</v>
      </c>
      <c r="E95" s="7">
        <v>45687</v>
      </c>
      <c r="F95">
        <v>330862</v>
      </c>
      <c r="G95" t="s">
        <v>983</v>
      </c>
      <c r="H95" t="s">
        <v>9</v>
      </c>
      <c r="I95" s="7">
        <v>45685</v>
      </c>
      <c r="J95" s="8">
        <v>0.71179398148148143</v>
      </c>
      <c r="K95" t="s">
        <v>984</v>
      </c>
      <c r="AQ95" t="s">
        <v>992</v>
      </c>
      <c r="AR95" t="s">
        <v>1112</v>
      </c>
      <c r="AT95" t="s">
        <v>987</v>
      </c>
      <c r="AZ95" t="s">
        <v>1044</v>
      </c>
      <c r="BA95" t="s">
        <v>1045</v>
      </c>
      <c r="BB95" t="s">
        <v>990</v>
      </c>
      <c r="BD95" t="s">
        <v>991</v>
      </c>
      <c r="BE95" t="s">
        <v>45</v>
      </c>
    </row>
    <row r="96" spans="1:57" ht="13" x14ac:dyDescent="0.15">
      <c r="A96">
        <v>1839</v>
      </c>
      <c r="B96">
        <v>30259226</v>
      </c>
      <c r="C96" t="s">
        <v>46</v>
      </c>
      <c r="D96" s="7">
        <v>38666</v>
      </c>
      <c r="E96" s="7">
        <v>45710</v>
      </c>
      <c r="F96">
        <v>330862</v>
      </c>
      <c r="G96" t="s">
        <v>983</v>
      </c>
      <c r="H96" t="s">
        <v>9</v>
      </c>
      <c r="I96" s="7">
        <v>45685</v>
      </c>
      <c r="J96" s="8">
        <v>0.71815972222222224</v>
      </c>
      <c r="K96" t="s">
        <v>984</v>
      </c>
      <c r="AQ96" t="s">
        <v>1113</v>
      </c>
      <c r="AR96" t="s">
        <v>1114</v>
      </c>
      <c r="AT96" t="s">
        <v>987</v>
      </c>
      <c r="AZ96" t="s">
        <v>1011</v>
      </c>
      <c r="BA96" t="s">
        <v>1012</v>
      </c>
      <c r="BB96" t="s">
        <v>1013</v>
      </c>
      <c r="BD96" t="s">
        <v>1014</v>
      </c>
      <c r="BE96" t="s">
        <v>46</v>
      </c>
    </row>
    <row r="97" spans="1:57" ht="13" x14ac:dyDescent="0.15">
      <c r="A97">
        <v>1839</v>
      </c>
      <c r="B97">
        <v>30260574</v>
      </c>
      <c r="C97" t="s">
        <v>47</v>
      </c>
      <c r="D97" s="7">
        <v>40111</v>
      </c>
      <c r="E97" s="7">
        <v>45694</v>
      </c>
      <c r="F97">
        <v>330862</v>
      </c>
      <c r="G97" t="s">
        <v>983</v>
      </c>
      <c r="H97" t="s">
        <v>9</v>
      </c>
      <c r="I97" s="7">
        <v>45694</v>
      </c>
      <c r="J97" s="8">
        <v>0.42844907407407407</v>
      </c>
      <c r="K97" t="s">
        <v>984</v>
      </c>
      <c r="AQ97" t="s">
        <v>1089</v>
      </c>
      <c r="AR97" t="s">
        <v>993</v>
      </c>
      <c r="AT97" t="s">
        <v>987</v>
      </c>
      <c r="AZ97" t="s">
        <v>988</v>
      </c>
      <c r="BA97" t="s">
        <v>989</v>
      </c>
      <c r="BB97" t="s">
        <v>990</v>
      </c>
      <c r="BD97" t="s">
        <v>991</v>
      </c>
      <c r="BE97" t="s">
        <v>47</v>
      </c>
    </row>
    <row r="98" spans="1:57" ht="13" x14ac:dyDescent="0.15">
      <c r="A98">
        <v>1839</v>
      </c>
      <c r="B98">
        <v>30269691</v>
      </c>
      <c r="C98" t="s">
        <v>1115</v>
      </c>
      <c r="D98" s="7">
        <v>39875</v>
      </c>
      <c r="E98" s="7">
        <v>45682</v>
      </c>
      <c r="F98">
        <v>330862</v>
      </c>
      <c r="G98" t="s">
        <v>983</v>
      </c>
      <c r="H98" t="s">
        <v>9</v>
      </c>
      <c r="I98" s="7">
        <v>45639</v>
      </c>
      <c r="J98" s="8">
        <v>0.60344907407407411</v>
      </c>
      <c r="K98" t="s">
        <v>984</v>
      </c>
      <c r="AQ98" t="s">
        <v>998</v>
      </c>
      <c r="AR98" t="s">
        <v>1085</v>
      </c>
      <c r="AT98" t="s">
        <v>987</v>
      </c>
      <c r="AZ98" t="s">
        <v>1011</v>
      </c>
      <c r="BA98" t="s">
        <v>1031</v>
      </c>
      <c r="BB98" t="s">
        <v>1032</v>
      </c>
      <c r="BD98" t="s">
        <v>1005</v>
      </c>
      <c r="BE98" t="s">
        <v>1115</v>
      </c>
    </row>
    <row r="99" spans="1:57" ht="13" x14ac:dyDescent="0.15">
      <c r="A99">
        <v>1839</v>
      </c>
      <c r="B99">
        <v>30270634</v>
      </c>
      <c r="C99" t="s">
        <v>1116</v>
      </c>
      <c r="D99" s="7">
        <v>39883</v>
      </c>
      <c r="E99" s="7">
        <v>45635</v>
      </c>
      <c r="F99">
        <v>330862</v>
      </c>
      <c r="G99" t="s">
        <v>983</v>
      </c>
      <c r="H99" t="s">
        <v>9</v>
      </c>
      <c r="I99" s="7">
        <v>45616</v>
      </c>
      <c r="J99" s="8">
        <v>0.56600694444444444</v>
      </c>
      <c r="K99" t="s">
        <v>984</v>
      </c>
      <c r="AQ99" t="s">
        <v>998</v>
      </c>
      <c r="AR99" t="s">
        <v>1102</v>
      </c>
      <c r="AT99" t="s">
        <v>987</v>
      </c>
      <c r="AZ99" t="s">
        <v>1011</v>
      </c>
      <c r="BA99" t="s">
        <v>1103</v>
      </c>
      <c r="BB99" t="s">
        <v>1032</v>
      </c>
      <c r="BD99" t="s">
        <v>1005</v>
      </c>
      <c r="BE99" t="s">
        <v>1116</v>
      </c>
    </row>
    <row r="100" spans="1:57" ht="13" x14ac:dyDescent="0.15">
      <c r="A100">
        <v>1839</v>
      </c>
      <c r="B100">
        <v>30272782</v>
      </c>
      <c r="C100" t="s">
        <v>48</v>
      </c>
      <c r="D100" s="7">
        <v>40134</v>
      </c>
      <c r="E100" s="7">
        <v>45694</v>
      </c>
      <c r="F100">
        <v>330862</v>
      </c>
      <c r="G100" t="s">
        <v>983</v>
      </c>
      <c r="H100" t="s">
        <v>9</v>
      </c>
      <c r="I100" s="7">
        <v>45694</v>
      </c>
      <c r="J100" s="8">
        <v>0.48792824074074076</v>
      </c>
      <c r="K100" t="s">
        <v>984</v>
      </c>
      <c r="AQ100" t="s">
        <v>1089</v>
      </c>
      <c r="AR100" t="s">
        <v>986</v>
      </c>
      <c r="AT100" t="s">
        <v>987</v>
      </c>
      <c r="AZ100" t="s">
        <v>988</v>
      </c>
      <c r="BA100" t="s">
        <v>989</v>
      </c>
      <c r="BB100" t="s">
        <v>990</v>
      </c>
      <c r="BD100" t="s">
        <v>991</v>
      </c>
      <c r="BE100" t="s">
        <v>48</v>
      </c>
    </row>
    <row r="101" spans="1:57" ht="13" x14ac:dyDescent="0.15">
      <c r="A101">
        <v>1839</v>
      </c>
      <c r="B101">
        <v>30284991</v>
      </c>
      <c r="C101" t="s">
        <v>49</v>
      </c>
      <c r="D101" s="7">
        <v>38853</v>
      </c>
      <c r="E101" s="7">
        <v>45709</v>
      </c>
      <c r="F101">
        <v>330862</v>
      </c>
      <c r="G101" t="s">
        <v>983</v>
      </c>
      <c r="H101" t="s">
        <v>9</v>
      </c>
      <c r="I101" s="7">
        <v>45694</v>
      </c>
      <c r="J101" s="8">
        <v>0.71692129629629631</v>
      </c>
      <c r="K101" t="s">
        <v>984</v>
      </c>
      <c r="AQ101" t="s">
        <v>985</v>
      </c>
      <c r="AR101" t="s">
        <v>993</v>
      </c>
      <c r="AT101" t="s">
        <v>987</v>
      </c>
      <c r="AZ101" t="s">
        <v>988</v>
      </c>
      <c r="BA101" t="s">
        <v>989</v>
      </c>
      <c r="BB101" t="s">
        <v>990</v>
      </c>
      <c r="BD101" t="s">
        <v>991</v>
      </c>
      <c r="BE101" t="s">
        <v>49</v>
      </c>
    </row>
    <row r="102" spans="1:57" ht="13" x14ac:dyDescent="0.15">
      <c r="A102">
        <v>1839</v>
      </c>
      <c r="B102">
        <v>30284991</v>
      </c>
      <c r="C102" t="s">
        <v>49</v>
      </c>
      <c r="D102" s="7">
        <v>38853</v>
      </c>
      <c r="E102" s="7">
        <v>45709</v>
      </c>
      <c r="F102">
        <v>330862</v>
      </c>
      <c r="G102" t="s">
        <v>983</v>
      </c>
      <c r="H102" t="s">
        <v>9</v>
      </c>
      <c r="I102" s="7">
        <v>45673</v>
      </c>
      <c r="J102" s="8">
        <v>0.84231481481481485</v>
      </c>
      <c r="K102" t="s">
        <v>984</v>
      </c>
      <c r="AQ102" t="s">
        <v>985</v>
      </c>
      <c r="AR102" t="s">
        <v>1117</v>
      </c>
      <c r="AT102" t="s">
        <v>987</v>
      </c>
      <c r="AZ102" t="s">
        <v>1016</v>
      </c>
      <c r="BA102" t="s">
        <v>1017</v>
      </c>
      <c r="BB102" t="s">
        <v>1018</v>
      </c>
      <c r="BD102" t="s">
        <v>991</v>
      </c>
      <c r="BE102" t="s">
        <v>49</v>
      </c>
    </row>
    <row r="103" spans="1:57" ht="13" x14ac:dyDescent="0.15">
      <c r="A103">
        <v>1839</v>
      </c>
      <c r="B103">
        <v>30284991</v>
      </c>
      <c r="C103" t="s">
        <v>49</v>
      </c>
      <c r="D103" s="7">
        <v>38853</v>
      </c>
      <c r="E103" s="7">
        <v>45709</v>
      </c>
      <c r="F103">
        <v>330862</v>
      </c>
      <c r="G103" t="s">
        <v>983</v>
      </c>
      <c r="H103" t="s">
        <v>9</v>
      </c>
      <c r="I103" s="7">
        <v>45677</v>
      </c>
      <c r="J103" s="8">
        <v>0.65581018518518519</v>
      </c>
      <c r="K103" t="s">
        <v>984</v>
      </c>
      <c r="AQ103" t="s">
        <v>985</v>
      </c>
      <c r="AR103" t="s">
        <v>1083</v>
      </c>
      <c r="AT103" t="s">
        <v>987</v>
      </c>
      <c r="AZ103" t="s">
        <v>1011</v>
      </c>
      <c r="BA103" t="s">
        <v>1012</v>
      </c>
      <c r="BB103" t="s">
        <v>1013</v>
      </c>
      <c r="BD103" t="s">
        <v>1014</v>
      </c>
      <c r="BE103" t="s">
        <v>49</v>
      </c>
    </row>
    <row r="104" spans="1:57" ht="13" x14ac:dyDescent="0.15">
      <c r="A104">
        <v>1839</v>
      </c>
      <c r="B104">
        <v>30288116</v>
      </c>
      <c r="C104" t="s">
        <v>50</v>
      </c>
      <c r="D104" s="7">
        <v>40126</v>
      </c>
      <c r="E104" s="7">
        <v>45696</v>
      </c>
      <c r="F104">
        <v>336447</v>
      </c>
      <c r="G104" t="s">
        <v>1074</v>
      </c>
      <c r="H104" t="s">
        <v>26</v>
      </c>
      <c r="I104" s="7">
        <v>45674</v>
      </c>
      <c r="J104" s="8">
        <v>0.58309027777777778</v>
      </c>
      <c r="K104" t="s">
        <v>984</v>
      </c>
      <c r="AQ104" t="s">
        <v>985</v>
      </c>
      <c r="AR104" t="s">
        <v>1118</v>
      </c>
      <c r="BE104" t="s">
        <v>50</v>
      </c>
    </row>
    <row r="105" spans="1:57" ht="13" x14ac:dyDescent="0.15">
      <c r="A105">
        <v>1839</v>
      </c>
      <c r="B105">
        <v>30294983</v>
      </c>
      <c r="C105" t="s">
        <v>1119</v>
      </c>
      <c r="D105" s="7">
        <v>38666</v>
      </c>
      <c r="E105" s="7">
        <v>45694</v>
      </c>
      <c r="F105">
        <v>330862</v>
      </c>
      <c r="G105" t="s">
        <v>983</v>
      </c>
      <c r="H105" t="s">
        <v>9</v>
      </c>
      <c r="I105" s="7">
        <v>45616</v>
      </c>
      <c r="J105" s="8">
        <v>0.56993055555555561</v>
      </c>
      <c r="K105" t="s">
        <v>984</v>
      </c>
      <c r="AQ105" t="s">
        <v>1042</v>
      </c>
      <c r="AR105" t="s">
        <v>1102</v>
      </c>
      <c r="AT105" t="s">
        <v>987</v>
      </c>
      <c r="AZ105" t="s">
        <v>1011</v>
      </c>
      <c r="BA105" t="s">
        <v>1103</v>
      </c>
      <c r="BB105" t="s">
        <v>1032</v>
      </c>
      <c r="BD105" t="s">
        <v>1005</v>
      </c>
      <c r="BE105" t="s">
        <v>1119</v>
      </c>
    </row>
    <row r="106" spans="1:57" ht="13" x14ac:dyDescent="0.15">
      <c r="A106">
        <v>1839</v>
      </c>
      <c r="B106">
        <v>30297913</v>
      </c>
      <c r="C106" t="s">
        <v>51</v>
      </c>
      <c r="D106" s="7">
        <v>38890</v>
      </c>
      <c r="E106" s="7">
        <v>45701</v>
      </c>
      <c r="F106">
        <v>330862</v>
      </c>
      <c r="G106" t="s">
        <v>983</v>
      </c>
      <c r="H106" t="s">
        <v>9</v>
      </c>
      <c r="I106" s="7">
        <v>45694</v>
      </c>
      <c r="J106" s="8">
        <v>0.80890046296296292</v>
      </c>
      <c r="K106" t="s">
        <v>984</v>
      </c>
      <c r="AQ106" t="s">
        <v>1092</v>
      </c>
      <c r="AR106" t="s">
        <v>986</v>
      </c>
      <c r="AT106" t="s">
        <v>987</v>
      </c>
      <c r="AZ106" t="s">
        <v>988</v>
      </c>
      <c r="BA106" t="s">
        <v>989</v>
      </c>
      <c r="BB106" t="s">
        <v>990</v>
      </c>
      <c r="BD106" t="s">
        <v>991</v>
      </c>
      <c r="BE106" t="s">
        <v>51</v>
      </c>
    </row>
    <row r="107" spans="1:57" ht="13" x14ac:dyDescent="0.15">
      <c r="A107">
        <v>1839</v>
      </c>
      <c r="B107">
        <v>30297913</v>
      </c>
      <c r="C107" t="s">
        <v>51</v>
      </c>
      <c r="D107" s="7">
        <v>38890</v>
      </c>
      <c r="E107" s="7">
        <v>45701</v>
      </c>
      <c r="F107">
        <v>330862</v>
      </c>
      <c r="G107" t="s">
        <v>983</v>
      </c>
      <c r="H107" t="s">
        <v>9</v>
      </c>
      <c r="I107" s="7">
        <v>45675</v>
      </c>
      <c r="J107" s="8">
        <v>0.17878472222222222</v>
      </c>
      <c r="K107" t="s">
        <v>984</v>
      </c>
      <c r="AQ107" t="s">
        <v>1092</v>
      </c>
      <c r="AR107" t="s">
        <v>1105</v>
      </c>
      <c r="AT107" t="s">
        <v>987</v>
      </c>
      <c r="AZ107" t="s">
        <v>1044</v>
      </c>
      <c r="BA107" t="s">
        <v>1045</v>
      </c>
      <c r="BB107" t="s">
        <v>990</v>
      </c>
      <c r="BD107" t="s">
        <v>991</v>
      </c>
      <c r="BE107" t="s">
        <v>51</v>
      </c>
    </row>
    <row r="108" spans="1:57" ht="13" x14ac:dyDescent="0.15">
      <c r="A108">
        <v>1839</v>
      </c>
      <c r="B108">
        <v>30299373</v>
      </c>
      <c r="C108" t="s">
        <v>52</v>
      </c>
      <c r="D108" s="7">
        <v>38666</v>
      </c>
      <c r="E108" s="7">
        <v>45696</v>
      </c>
      <c r="F108">
        <v>330862</v>
      </c>
      <c r="G108" t="s">
        <v>983</v>
      </c>
      <c r="H108" t="s">
        <v>9</v>
      </c>
      <c r="I108" s="7">
        <v>45674</v>
      </c>
      <c r="J108" s="8">
        <v>0.59354166666666663</v>
      </c>
      <c r="K108" t="s">
        <v>984</v>
      </c>
      <c r="AQ108" t="s">
        <v>985</v>
      </c>
      <c r="AR108" t="s">
        <v>1095</v>
      </c>
      <c r="AT108" t="s">
        <v>987</v>
      </c>
      <c r="AZ108" t="s">
        <v>1002</v>
      </c>
      <c r="BA108" t="s">
        <v>1003</v>
      </c>
      <c r="BB108" t="s">
        <v>1004</v>
      </c>
      <c r="BD108" t="s">
        <v>1005</v>
      </c>
      <c r="BE108" t="s">
        <v>52</v>
      </c>
    </row>
    <row r="109" spans="1:57" ht="13" x14ac:dyDescent="0.15">
      <c r="A109">
        <v>1839</v>
      </c>
      <c r="B109">
        <v>30303449</v>
      </c>
      <c r="C109" t="s">
        <v>53</v>
      </c>
      <c r="D109" s="7">
        <v>38666</v>
      </c>
      <c r="E109" s="7">
        <v>45710</v>
      </c>
      <c r="F109">
        <v>330862</v>
      </c>
      <c r="G109" t="s">
        <v>983</v>
      </c>
      <c r="H109" t="s">
        <v>9</v>
      </c>
      <c r="I109" s="7">
        <v>45694</v>
      </c>
      <c r="J109" s="8">
        <v>0.43538194444444445</v>
      </c>
      <c r="K109" t="s">
        <v>984</v>
      </c>
      <c r="AQ109" t="s">
        <v>992</v>
      </c>
      <c r="AR109" t="s">
        <v>993</v>
      </c>
      <c r="AT109" t="s">
        <v>987</v>
      </c>
      <c r="AZ109" t="s">
        <v>988</v>
      </c>
      <c r="BA109" t="s">
        <v>989</v>
      </c>
      <c r="BB109" t="s">
        <v>990</v>
      </c>
      <c r="BD109" t="s">
        <v>991</v>
      </c>
      <c r="BE109" t="s">
        <v>53</v>
      </c>
    </row>
    <row r="110" spans="1:57" ht="13" x14ac:dyDescent="0.15">
      <c r="A110">
        <v>1839</v>
      </c>
      <c r="B110">
        <v>30304792</v>
      </c>
      <c r="C110" t="s">
        <v>1120</v>
      </c>
      <c r="D110" s="7">
        <v>38666</v>
      </c>
      <c r="E110" s="7">
        <v>45692</v>
      </c>
      <c r="F110">
        <v>330862</v>
      </c>
      <c r="G110" t="s">
        <v>983</v>
      </c>
      <c r="H110" t="s">
        <v>9</v>
      </c>
      <c r="I110" s="7">
        <v>45637</v>
      </c>
      <c r="J110" s="8">
        <v>0.67623842592592598</v>
      </c>
      <c r="K110" t="s">
        <v>984</v>
      </c>
      <c r="AQ110" t="s">
        <v>985</v>
      </c>
      <c r="AR110" t="s">
        <v>1108</v>
      </c>
      <c r="AT110" t="s">
        <v>987</v>
      </c>
      <c r="AZ110" t="s">
        <v>1011</v>
      </c>
      <c r="BA110" t="s">
        <v>1031</v>
      </c>
      <c r="BB110" t="s">
        <v>1032</v>
      </c>
      <c r="BD110" t="s">
        <v>1005</v>
      </c>
      <c r="BE110" t="s">
        <v>1120</v>
      </c>
    </row>
    <row r="111" spans="1:57" ht="13" x14ac:dyDescent="0.15">
      <c r="A111">
        <v>1839</v>
      </c>
      <c r="B111">
        <v>30318278</v>
      </c>
      <c r="C111" t="s">
        <v>54</v>
      </c>
      <c r="D111" s="7">
        <v>38953</v>
      </c>
      <c r="E111" s="7">
        <v>45695</v>
      </c>
      <c r="F111">
        <v>330862</v>
      </c>
      <c r="G111" t="s">
        <v>983</v>
      </c>
      <c r="H111" t="s">
        <v>9</v>
      </c>
      <c r="I111" s="7">
        <v>45694</v>
      </c>
      <c r="J111" s="8">
        <v>0.51886574074074077</v>
      </c>
      <c r="K111" t="s">
        <v>984</v>
      </c>
      <c r="AQ111" t="s">
        <v>992</v>
      </c>
      <c r="AR111" t="s">
        <v>986</v>
      </c>
      <c r="AT111" t="s">
        <v>987</v>
      </c>
      <c r="AZ111" t="s">
        <v>988</v>
      </c>
      <c r="BA111" t="s">
        <v>989</v>
      </c>
      <c r="BB111" t="s">
        <v>990</v>
      </c>
      <c r="BD111" t="s">
        <v>991</v>
      </c>
      <c r="BE111" t="s">
        <v>54</v>
      </c>
    </row>
    <row r="112" spans="1:57" ht="13" x14ac:dyDescent="0.15">
      <c r="A112">
        <v>1839</v>
      </c>
      <c r="B112">
        <v>30318278</v>
      </c>
      <c r="C112" t="s">
        <v>54</v>
      </c>
      <c r="D112" s="7">
        <v>38953</v>
      </c>
      <c r="E112" s="7">
        <v>45695</v>
      </c>
      <c r="F112">
        <v>330862</v>
      </c>
      <c r="G112" t="s">
        <v>983</v>
      </c>
      <c r="H112" t="s">
        <v>9</v>
      </c>
      <c r="I112" s="7">
        <v>45677</v>
      </c>
      <c r="J112" s="8">
        <v>0.8525462962962963</v>
      </c>
      <c r="K112" t="s">
        <v>984</v>
      </c>
      <c r="AQ112" t="s">
        <v>992</v>
      </c>
      <c r="AR112" t="s">
        <v>1050</v>
      </c>
      <c r="AT112" t="s">
        <v>987</v>
      </c>
      <c r="AZ112" t="s">
        <v>1011</v>
      </c>
      <c r="BA112" t="s">
        <v>1012</v>
      </c>
      <c r="BB112" t="s">
        <v>1013</v>
      </c>
      <c r="BD112" t="s">
        <v>1014</v>
      </c>
      <c r="BE112" t="s">
        <v>54</v>
      </c>
    </row>
    <row r="113" spans="1:57" ht="13" x14ac:dyDescent="0.15">
      <c r="A113">
        <v>1839</v>
      </c>
      <c r="B113">
        <v>30318278</v>
      </c>
      <c r="C113" t="s">
        <v>54</v>
      </c>
      <c r="D113" s="7">
        <v>38953</v>
      </c>
      <c r="E113" s="7">
        <v>45695</v>
      </c>
      <c r="F113">
        <v>330862</v>
      </c>
      <c r="G113" t="s">
        <v>983</v>
      </c>
      <c r="H113" t="s">
        <v>9</v>
      </c>
      <c r="I113" s="7">
        <v>45674</v>
      </c>
      <c r="J113" s="8">
        <v>0.65535879629629634</v>
      </c>
      <c r="K113" t="s">
        <v>984</v>
      </c>
      <c r="AQ113" t="s">
        <v>992</v>
      </c>
      <c r="AR113" t="s">
        <v>1051</v>
      </c>
      <c r="AT113" t="s">
        <v>987</v>
      </c>
      <c r="AZ113" t="s">
        <v>1002</v>
      </c>
      <c r="BA113" t="s">
        <v>1003</v>
      </c>
      <c r="BB113" t="s">
        <v>1004</v>
      </c>
      <c r="BD113" t="s">
        <v>1005</v>
      </c>
      <c r="BE113" t="s">
        <v>54</v>
      </c>
    </row>
    <row r="114" spans="1:57" ht="13" x14ac:dyDescent="0.15">
      <c r="A114">
        <v>1839</v>
      </c>
      <c r="B114">
        <v>30318278</v>
      </c>
      <c r="C114" t="s">
        <v>54</v>
      </c>
      <c r="D114" s="7">
        <v>38953</v>
      </c>
      <c r="E114" s="7">
        <v>45695</v>
      </c>
      <c r="F114">
        <v>330862</v>
      </c>
      <c r="G114" t="s">
        <v>983</v>
      </c>
      <c r="H114" t="s">
        <v>9</v>
      </c>
      <c r="I114" s="7">
        <v>45638</v>
      </c>
      <c r="J114" s="8">
        <v>0.73321759259259256</v>
      </c>
      <c r="K114" t="s">
        <v>984</v>
      </c>
      <c r="AQ114" t="s">
        <v>992</v>
      </c>
      <c r="AR114" t="s">
        <v>1019</v>
      </c>
      <c r="AT114" t="s">
        <v>987</v>
      </c>
      <c r="AZ114" t="s">
        <v>1020</v>
      </c>
      <c r="BA114" t="s">
        <v>1021</v>
      </c>
      <c r="BB114" t="s">
        <v>1018</v>
      </c>
      <c r="BD114" t="s">
        <v>1022</v>
      </c>
      <c r="BE114" t="s">
        <v>54</v>
      </c>
    </row>
    <row r="115" spans="1:57" ht="13" x14ac:dyDescent="0.15">
      <c r="A115">
        <v>1839</v>
      </c>
      <c r="B115">
        <v>30318278</v>
      </c>
      <c r="C115" t="s">
        <v>54</v>
      </c>
      <c r="D115" s="7">
        <v>38953</v>
      </c>
      <c r="E115" s="7">
        <v>45695</v>
      </c>
      <c r="F115">
        <v>330862</v>
      </c>
      <c r="G115" t="s">
        <v>983</v>
      </c>
      <c r="H115" t="s">
        <v>9</v>
      </c>
      <c r="I115" s="7">
        <v>45674</v>
      </c>
      <c r="J115" s="8">
        <v>0.66402777777777777</v>
      </c>
      <c r="K115" t="s">
        <v>984</v>
      </c>
      <c r="AQ115" t="s">
        <v>992</v>
      </c>
      <c r="AR115" t="s">
        <v>1121</v>
      </c>
      <c r="AT115" t="s">
        <v>987</v>
      </c>
      <c r="AZ115" t="s">
        <v>1007</v>
      </c>
      <c r="BA115" t="s">
        <v>1008</v>
      </c>
      <c r="BB115" t="s">
        <v>990</v>
      </c>
      <c r="BD115" t="s">
        <v>1005</v>
      </c>
      <c r="BE115" t="s">
        <v>54</v>
      </c>
    </row>
    <row r="116" spans="1:57" ht="13" x14ac:dyDescent="0.15">
      <c r="A116">
        <v>1839</v>
      </c>
      <c r="B116">
        <v>30318278</v>
      </c>
      <c r="C116" t="s">
        <v>54</v>
      </c>
      <c r="D116" s="7">
        <v>38953</v>
      </c>
      <c r="E116" s="7">
        <v>45695</v>
      </c>
      <c r="F116">
        <v>330862</v>
      </c>
      <c r="G116" t="s">
        <v>983</v>
      </c>
      <c r="H116" t="s">
        <v>9</v>
      </c>
      <c r="I116" s="7">
        <v>45636</v>
      </c>
      <c r="J116" s="8">
        <v>0.85761574074074076</v>
      </c>
      <c r="K116" t="s">
        <v>984</v>
      </c>
      <c r="AQ116" t="s">
        <v>992</v>
      </c>
      <c r="AR116" t="s">
        <v>1122</v>
      </c>
      <c r="AT116" t="s">
        <v>987</v>
      </c>
      <c r="AZ116" t="s">
        <v>1028</v>
      </c>
      <c r="BA116" t="s">
        <v>1029</v>
      </c>
      <c r="BB116" t="s">
        <v>1018</v>
      </c>
      <c r="BD116" t="s">
        <v>1022</v>
      </c>
      <c r="BE116" t="s">
        <v>54</v>
      </c>
    </row>
    <row r="117" spans="1:57" ht="13" x14ac:dyDescent="0.15">
      <c r="A117">
        <v>1839</v>
      </c>
      <c r="B117">
        <v>30318278</v>
      </c>
      <c r="C117" t="s">
        <v>54</v>
      </c>
      <c r="D117" s="7">
        <v>38953</v>
      </c>
      <c r="E117" s="7">
        <v>45695</v>
      </c>
      <c r="F117">
        <v>330862</v>
      </c>
      <c r="G117" t="s">
        <v>983</v>
      </c>
      <c r="H117" t="s">
        <v>9</v>
      </c>
      <c r="I117" s="7">
        <v>45638</v>
      </c>
      <c r="J117" s="8">
        <v>0.71760416666666671</v>
      </c>
      <c r="K117" t="s">
        <v>984</v>
      </c>
      <c r="AQ117" t="s">
        <v>992</v>
      </c>
      <c r="AR117" t="s">
        <v>1023</v>
      </c>
      <c r="AT117" t="s">
        <v>987</v>
      </c>
      <c r="AZ117" t="s">
        <v>1024</v>
      </c>
      <c r="BA117" t="s">
        <v>1025</v>
      </c>
      <c r="BB117" t="s">
        <v>1026</v>
      </c>
      <c r="BD117" t="s">
        <v>1022</v>
      </c>
      <c r="BE117" t="s">
        <v>54</v>
      </c>
    </row>
    <row r="118" spans="1:57" ht="13" x14ac:dyDescent="0.15">
      <c r="A118">
        <v>1839</v>
      </c>
      <c r="B118">
        <v>30318278</v>
      </c>
      <c r="C118" t="s">
        <v>54</v>
      </c>
      <c r="D118" s="7">
        <v>38953</v>
      </c>
      <c r="E118" s="7">
        <v>45695</v>
      </c>
      <c r="F118">
        <v>330862</v>
      </c>
      <c r="G118" t="s">
        <v>983</v>
      </c>
      <c r="H118" t="s">
        <v>9</v>
      </c>
      <c r="I118" s="7">
        <v>45674</v>
      </c>
      <c r="J118" s="8">
        <v>0.65934027777777782</v>
      </c>
      <c r="K118" t="s">
        <v>984</v>
      </c>
      <c r="AQ118" t="s">
        <v>992</v>
      </c>
      <c r="AR118" t="s">
        <v>1051</v>
      </c>
      <c r="AT118" t="s">
        <v>987</v>
      </c>
      <c r="AZ118" t="s">
        <v>1002</v>
      </c>
      <c r="BA118" t="s">
        <v>1003</v>
      </c>
      <c r="BB118" t="s">
        <v>1004</v>
      </c>
      <c r="BD118" t="s">
        <v>1005</v>
      </c>
      <c r="BE118" t="s">
        <v>54</v>
      </c>
    </row>
    <row r="119" spans="1:57" ht="13" x14ac:dyDescent="0.15">
      <c r="A119">
        <v>1839</v>
      </c>
      <c r="B119">
        <v>30328219</v>
      </c>
      <c r="C119" t="s">
        <v>55</v>
      </c>
      <c r="D119" s="7">
        <v>41139</v>
      </c>
      <c r="E119" s="7">
        <v>45711</v>
      </c>
      <c r="F119">
        <v>330862</v>
      </c>
      <c r="G119" t="s">
        <v>983</v>
      </c>
      <c r="H119" t="s">
        <v>9</v>
      </c>
      <c r="I119" s="7">
        <v>45691</v>
      </c>
      <c r="J119" s="8">
        <v>0.67972222222222223</v>
      </c>
      <c r="K119" t="s">
        <v>984</v>
      </c>
      <c r="AQ119" t="s">
        <v>992</v>
      </c>
      <c r="AR119" t="s">
        <v>1123</v>
      </c>
      <c r="AT119" t="s">
        <v>987</v>
      </c>
      <c r="AZ119" t="s">
        <v>1002</v>
      </c>
      <c r="BA119" t="s">
        <v>1124</v>
      </c>
      <c r="BB119" t="s">
        <v>1125</v>
      </c>
      <c r="BD119" t="s">
        <v>1005</v>
      </c>
      <c r="BE119" t="s">
        <v>55</v>
      </c>
    </row>
    <row r="120" spans="1:57" ht="13" x14ac:dyDescent="0.15">
      <c r="A120">
        <v>1839</v>
      </c>
      <c r="B120">
        <v>30333900</v>
      </c>
      <c r="C120" t="s">
        <v>56</v>
      </c>
      <c r="D120" s="7">
        <v>41345</v>
      </c>
      <c r="E120" s="7">
        <v>45695</v>
      </c>
      <c r="F120">
        <v>330862</v>
      </c>
      <c r="G120" t="s">
        <v>983</v>
      </c>
      <c r="H120" t="s">
        <v>9</v>
      </c>
      <c r="I120" s="7">
        <v>45677</v>
      </c>
      <c r="J120" s="8">
        <v>0.7464467592592593</v>
      </c>
      <c r="K120" t="s">
        <v>984</v>
      </c>
      <c r="AQ120" t="s">
        <v>992</v>
      </c>
      <c r="AR120" t="s">
        <v>1083</v>
      </c>
      <c r="AT120" t="s">
        <v>987</v>
      </c>
      <c r="AZ120" t="s">
        <v>1011</v>
      </c>
      <c r="BA120" t="s">
        <v>1012</v>
      </c>
      <c r="BB120" t="s">
        <v>1013</v>
      </c>
      <c r="BD120" t="s">
        <v>1014</v>
      </c>
      <c r="BE120" t="s">
        <v>56</v>
      </c>
    </row>
    <row r="121" spans="1:57" ht="13" x14ac:dyDescent="0.15">
      <c r="A121">
        <v>1839</v>
      </c>
      <c r="B121">
        <v>30333900</v>
      </c>
      <c r="C121" t="s">
        <v>56</v>
      </c>
      <c r="D121" s="7">
        <v>41345</v>
      </c>
      <c r="E121" s="7">
        <v>45695</v>
      </c>
      <c r="F121">
        <v>330862</v>
      </c>
      <c r="G121" t="s">
        <v>983</v>
      </c>
      <c r="H121" t="s">
        <v>9</v>
      </c>
      <c r="I121" s="7">
        <v>45672</v>
      </c>
      <c r="J121" s="8">
        <v>0.78758101851851847</v>
      </c>
      <c r="K121" t="s">
        <v>984</v>
      </c>
      <c r="AQ121" t="s">
        <v>992</v>
      </c>
      <c r="AR121" t="s">
        <v>1126</v>
      </c>
      <c r="AT121" t="s">
        <v>987</v>
      </c>
      <c r="AZ121" t="s">
        <v>1016</v>
      </c>
      <c r="BA121" t="s">
        <v>1017</v>
      </c>
      <c r="BB121" t="s">
        <v>1018</v>
      </c>
      <c r="BD121" t="s">
        <v>991</v>
      </c>
      <c r="BE121" t="s">
        <v>56</v>
      </c>
    </row>
    <row r="122" spans="1:57" ht="13" x14ac:dyDescent="0.15">
      <c r="A122">
        <v>1839</v>
      </c>
      <c r="B122">
        <v>30333900</v>
      </c>
      <c r="C122" t="s">
        <v>56</v>
      </c>
      <c r="D122" s="7">
        <v>41345</v>
      </c>
      <c r="E122" s="7">
        <v>45695</v>
      </c>
      <c r="F122">
        <v>330862</v>
      </c>
      <c r="G122" t="s">
        <v>983</v>
      </c>
      <c r="H122" t="s">
        <v>9</v>
      </c>
      <c r="I122" s="7">
        <v>45695</v>
      </c>
      <c r="J122" s="8">
        <v>0.27153935185185185</v>
      </c>
      <c r="K122" t="s">
        <v>984</v>
      </c>
      <c r="AQ122" t="s">
        <v>992</v>
      </c>
      <c r="AR122" t="s">
        <v>993</v>
      </c>
      <c r="AT122" t="s">
        <v>987</v>
      </c>
      <c r="AZ122" t="s">
        <v>988</v>
      </c>
      <c r="BA122" t="s">
        <v>989</v>
      </c>
      <c r="BB122" t="s">
        <v>990</v>
      </c>
      <c r="BD122" t="s">
        <v>991</v>
      </c>
      <c r="BE122" t="s">
        <v>56</v>
      </c>
    </row>
    <row r="123" spans="1:57" ht="13" x14ac:dyDescent="0.15">
      <c r="A123">
        <v>1839</v>
      </c>
      <c r="B123">
        <v>30336858</v>
      </c>
      <c r="C123" t="s">
        <v>1127</v>
      </c>
      <c r="D123" s="7">
        <v>41164</v>
      </c>
      <c r="E123" s="7">
        <v>45618</v>
      </c>
      <c r="F123">
        <v>330862</v>
      </c>
      <c r="G123" t="s">
        <v>983</v>
      </c>
      <c r="H123" t="s">
        <v>9</v>
      </c>
      <c r="I123" s="7">
        <v>45616</v>
      </c>
      <c r="J123" s="8">
        <v>0.61346064814814816</v>
      </c>
      <c r="K123" t="s">
        <v>984</v>
      </c>
      <c r="AQ123" t="s">
        <v>1090</v>
      </c>
      <c r="AR123" t="s">
        <v>1102</v>
      </c>
      <c r="AT123" t="s">
        <v>987</v>
      </c>
      <c r="AZ123" t="s">
        <v>1011</v>
      </c>
      <c r="BA123" t="s">
        <v>1103</v>
      </c>
      <c r="BB123" t="s">
        <v>1032</v>
      </c>
      <c r="BD123" t="s">
        <v>1005</v>
      </c>
      <c r="BE123" t="s">
        <v>1127</v>
      </c>
    </row>
    <row r="124" spans="1:57" ht="13" x14ac:dyDescent="0.15">
      <c r="A124">
        <v>1839</v>
      </c>
      <c r="B124">
        <v>30336858</v>
      </c>
      <c r="C124" t="s">
        <v>1127</v>
      </c>
      <c r="D124" s="7">
        <v>41164</v>
      </c>
      <c r="E124" s="7">
        <v>45618</v>
      </c>
      <c r="F124">
        <v>336444</v>
      </c>
      <c r="G124" t="s">
        <v>995</v>
      </c>
      <c r="H124" t="s">
        <v>12</v>
      </c>
      <c r="I124" s="7">
        <v>45616</v>
      </c>
      <c r="J124" s="8">
        <v>0.61422453703703705</v>
      </c>
      <c r="K124" t="s">
        <v>984</v>
      </c>
      <c r="AQ124" t="s">
        <v>996</v>
      </c>
      <c r="BE124" t="s">
        <v>1127</v>
      </c>
    </row>
    <row r="125" spans="1:57" ht="13" x14ac:dyDescent="0.15">
      <c r="A125">
        <v>1839</v>
      </c>
      <c r="B125">
        <v>30347930</v>
      </c>
      <c r="C125" t="s">
        <v>57</v>
      </c>
      <c r="D125" s="7">
        <v>38668</v>
      </c>
      <c r="E125" s="7">
        <v>45702</v>
      </c>
      <c r="F125">
        <v>330862</v>
      </c>
      <c r="G125" t="s">
        <v>983</v>
      </c>
      <c r="H125" t="s">
        <v>9</v>
      </c>
      <c r="I125" s="7">
        <v>45698</v>
      </c>
      <c r="J125" s="8">
        <v>0.45907407407407408</v>
      </c>
      <c r="K125" t="s">
        <v>984</v>
      </c>
      <c r="AQ125" t="s">
        <v>1092</v>
      </c>
      <c r="AR125" t="s">
        <v>1128</v>
      </c>
      <c r="AT125" t="s">
        <v>987</v>
      </c>
      <c r="AZ125" t="s">
        <v>988</v>
      </c>
      <c r="BA125" t="s">
        <v>1035</v>
      </c>
      <c r="BB125" t="s">
        <v>1026</v>
      </c>
      <c r="BD125" t="s">
        <v>991</v>
      </c>
      <c r="BE125" t="s">
        <v>57</v>
      </c>
    </row>
    <row r="126" spans="1:57" ht="13" x14ac:dyDescent="0.15">
      <c r="A126">
        <v>1839</v>
      </c>
      <c r="B126">
        <v>30350943</v>
      </c>
      <c r="C126" t="s">
        <v>58</v>
      </c>
      <c r="D126" s="7">
        <v>38668</v>
      </c>
      <c r="E126" s="7">
        <v>45701</v>
      </c>
      <c r="F126">
        <v>330862</v>
      </c>
      <c r="G126" t="s">
        <v>983</v>
      </c>
      <c r="H126" t="s">
        <v>9</v>
      </c>
      <c r="I126" s="7">
        <v>45634</v>
      </c>
      <c r="J126" s="8">
        <v>0.88180555555555551</v>
      </c>
      <c r="K126" t="s">
        <v>984</v>
      </c>
      <c r="AQ126" t="s">
        <v>992</v>
      </c>
      <c r="AR126" t="s">
        <v>1129</v>
      </c>
      <c r="AT126" t="s">
        <v>987</v>
      </c>
      <c r="AZ126" t="s">
        <v>1011</v>
      </c>
      <c r="BA126" t="s">
        <v>1031</v>
      </c>
      <c r="BB126" t="s">
        <v>1032</v>
      </c>
      <c r="BD126" t="s">
        <v>1005</v>
      </c>
      <c r="BE126" t="s">
        <v>58</v>
      </c>
    </row>
    <row r="127" spans="1:57" ht="13" x14ac:dyDescent="0.15">
      <c r="A127">
        <v>1839</v>
      </c>
      <c r="B127">
        <v>30350943</v>
      </c>
      <c r="C127" t="s">
        <v>58</v>
      </c>
      <c r="D127" s="7">
        <v>38668</v>
      </c>
      <c r="E127" s="7">
        <v>45701</v>
      </c>
      <c r="F127">
        <v>330862</v>
      </c>
      <c r="G127" t="s">
        <v>983</v>
      </c>
      <c r="H127" t="s">
        <v>9</v>
      </c>
      <c r="I127" s="7">
        <v>45690</v>
      </c>
      <c r="J127" s="8">
        <v>0.83510416666666665</v>
      </c>
      <c r="K127" t="s">
        <v>984</v>
      </c>
      <c r="AQ127" t="s">
        <v>992</v>
      </c>
      <c r="AR127" t="s">
        <v>1130</v>
      </c>
      <c r="AT127" t="s">
        <v>987</v>
      </c>
      <c r="AZ127" t="s">
        <v>988</v>
      </c>
      <c r="BA127" t="s">
        <v>989</v>
      </c>
      <c r="BB127" t="s">
        <v>990</v>
      </c>
      <c r="BD127" t="s">
        <v>991</v>
      </c>
      <c r="BE127" t="s">
        <v>58</v>
      </c>
    </row>
    <row r="128" spans="1:57" ht="13" x14ac:dyDescent="0.15">
      <c r="A128">
        <v>1839</v>
      </c>
      <c r="B128">
        <v>30350943</v>
      </c>
      <c r="C128" t="s">
        <v>58</v>
      </c>
      <c r="D128" s="7">
        <v>38668</v>
      </c>
      <c r="E128" s="7">
        <v>45701</v>
      </c>
      <c r="F128">
        <v>330862</v>
      </c>
      <c r="G128" t="s">
        <v>983</v>
      </c>
      <c r="H128" t="s">
        <v>9</v>
      </c>
      <c r="I128" s="7">
        <v>45635</v>
      </c>
      <c r="J128" s="8">
        <v>0.91568287037037033</v>
      </c>
      <c r="K128" t="s">
        <v>984</v>
      </c>
      <c r="AQ128" t="s">
        <v>992</v>
      </c>
      <c r="AR128" t="s">
        <v>1131</v>
      </c>
      <c r="AT128" t="s">
        <v>987</v>
      </c>
      <c r="AZ128" t="s">
        <v>1020</v>
      </c>
      <c r="BA128" t="s">
        <v>1021</v>
      </c>
      <c r="BB128" t="s">
        <v>1018</v>
      </c>
      <c r="BD128" t="s">
        <v>1022</v>
      </c>
      <c r="BE128" t="s">
        <v>58</v>
      </c>
    </row>
    <row r="129" spans="1:57" ht="13" x14ac:dyDescent="0.15">
      <c r="A129">
        <v>1839</v>
      </c>
      <c r="B129">
        <v>30350943</v>
      </c>
      <c r="C129" t="s">
        <v>58</v>
      </c>
      <c r="D129" s="7">
        <v>38668</v>
      </c>
      <c r="E129" s="7">
        <v>45701</v>
      </c>
      <c r="F129">
        <v>330862</v>
      </c>
      <c r="G129" t="s">
        <v>983</v>
      </c>
      <c r="H129" t="s">
        <v>9</v>
      </c>
      <c r="I129" s="7">
        <v>45635</v>
      </c>
      <c r="J129" s="8">
        <v>0.92819444444444443</v>
      </c>
      <c r="K129" t="s">
        <v>984</v>
      </c>
      <c r="AQ129" t="s">
        <v>992</v>
      </c>
      <c r="AR129" t="s">
        <v>1132</v>
      </c>
      <c r="AT129" t="s">
        <v>987</v>
      </c>
      <c r="AZ129" t="s">
        <v>1002</v>
      </c>
      <c r="BA129" t="s">
        <v>1124</v>
      </c>
      <c r="BB129" t="s">
        <v>1125</v>
      </c>
      <c r="BD129" t="s">
        <v>1005</v>
      </c>
      <c r="BE129" t="s">
        <v>58</v>
      </c>
    </row>
    <row r="130" spans="1:57" ht="13" x14ac:dyDescent="0.15">
      <c r="A130">
        <v>1839</v>
      </c>
      <c r="B130">
        <v>30350943</v>
      </c>
      <c r="C130" t="s">
        <v>58</v>
      </c>
      <c r="D130" s="7">
        <v>38668</v>
      </c>
      <c r="E130" s="7">
        <v>45701</v>
      </c>
      <c r="F130">
        <v>330862</v>
      </c>
      <c r="G130" t="s">
        <v>983</v>
      </c>
      <c r="H130" t="s">
        <v>9</v>
      </c>
      <c r="I130" s="7">
        <v>45636</v>
      </c>
      <c r="J130" s="8">
        <v>0.48306712962962961</v>
      </c>
      <c r="K130" t="s">
        <v>984</v>
      </c>
      <c r="AQ130" t="s">
        <v>992</v>
      </c>
      <c r="AR130" t="s">
        <v>1132</v>
      </c>
      <c r="AT130" t="s">
        <v>987</v>
      </c>
      <c r="AZ130" t="s">
        <v>1002</v>
      </c>
      <c r="BA130" t="s">
        <v>1124</v>
      </c>
      <c r="BB130" t="s">
        <v>1125</v>
      </c>
      <c r="BD130" t="s">
        <v>1005</v>
      </c>
      <c r="BE130" t="s">
        <v>58</v>
      </c>
    </row>
    <row r="131" spans="1:57" ht="13" x14ac:dyDescent="0.15">
      <c r="A131">
        <v>1839</v>
      </c>
      <c r="B131">
        <v>30350943</v>
      </c>
      <c r="C131" t="s">
        <v>58</v>
      </c>
      <c r="D131" s="7">
        <v>38668</v>
      </c>
      <c r="E131" s="7">
        <v>45701</v>
      </c>
      <c r="F131">
        <v>330862</v>
      </c>
      <c r="G131" t="s">
        <v>983</v>
      </c>
      <c r="H131" t="s">
        <v>9</v>
      </c>
      <c r="I131" s="7">
        <v>45635</v>
      </c>
      <c r="J131" s="8">
        <v>0.91393518518518524</v>
      </c>
      <c r="K131" t="s">
        <v>984</v>
      </c>
      <c r="AQ131" t="s">
        <v>992</v>
      </c>
      <c r="AR131" t="s">
        <v>1132</v>
      </c>
      <c r="AT131" t="s">
        <v>987</v>
      </c>
      <c r="AZ131" t="s">
        <v>1002</v>
      </c>
      <c r="BA131" t="s">
        <v>1124</v>
      </c>
      <c r="BB131" t="s">
        <v>1125</v>
      </c>
      <c r="BD131" t="s">
        <v>1005</v>
      </c>
      <c r="BE131" t="s">
        <v>58</v>
      </c>
    </row>
    <row r="132" spans="1:57" ht="13" x14ac:dyDescent="0.15">
      <c r="A132">
        <v>1839</v>
      </c>
      <c r="B132">
        <v>30350943</v>
      </c>
      <c r="C132" t="s">
        <v>58</v>
      </c>
      <c r="D132" s="7">
        <v>38668</v>
      </c>
      <c r="E132" s="7">
        <v>45701</v>
      </c>
      <c r="F132">
        <v>330862</v>
      </c>
      <c r="G132" t="s">
        <v>983</v>
      </c>
      <c r="H132" t="s">
        <v>9</v>
      </c>
      <c r="I132" s="7">
        <v>45690</v>
      </c>
      <c r="J132" s="8">
        <v>0.84120370370370368</v>
      </c>
      <c r="K132" t="s">
        <v>984</v>
      </c>
      <c r="AQ132" t="s">
        <v>992</v>
      </c>
      <c r="AR132" t="s">
        <v>1133</v>
      </c>
      <c r="AT132" t="s">
        <v>987</v>
      </c>
      <c r="AZ132" t="s">
        <v>1002</v>
      </c>
      <c r="BA132" t="s">
        <v>1065</v>
      </c>
      <c r="BB132" t="s">
        <v>1004</v>
      </c>
      <c r="BD132" t="s">
        <v>991</v>
      </c>
      <c r="BE132" t="s">
        <v>58</v>
      </c>
    </row>
    <row r="133" spans="1:57" ht="13" x14ac:dyDescent="0.15">
      <c r="A133">
        <v>1839</v>
      </c>
      <c r="B133">
        <v>30350943</v>
      </c>
      <c r="C133" t="s">
        <v>58</v>
      </c>
      <c r="D133" s="7">
        <v>38668</v>
      </c>
      <c r="E133" s="7">
        <v>45701</v>
      </c>
      <c r="F133">
        <v>330862</v>
      </c>
      <c r="G133" t="s">
        <v>983</v>
      </c>
      <c r="H133" t="s">
        <v>9</v>
      </c>
      <c r="I133" s="7">
        <v>45690</v>
      </c>
      <c r="J133" s="8">
        <v>0.8481481481481481</v>
      </c>
      <c r="K133" t="s">
        <v>984</v>
      </c>
      <c r="AQ133" t="s">
        <v>992</v>
      </c>
      <c r="AR133" t="s">
        <v>1134</v>
      </c>
      <c r="AT133" t="s">
        <v>987</v>
      </c>
      <c r="AZ133" t="s">
        <v>1071</v>
      </c>
      <c r="BA133" t="s">
        <v>1135</v>
      </c>
      <c r="BB133" t="s">
        <v>1136</v>
      </c>
      <c r="BD133" t="s">
        <v>991</v>
      </c>
      <c r="BE133" t="s">
        <v>58</v>
      </c>
    </row>
    <row r="134" spans="1:57" ht="13" x14ac:dyDescent="0.15">
      <c r="A134">
        <v>1839</v>
      </c>
      <c r="B134">
        <v>30350943</v>
      </c>
      <c r="C134" t="s">
        <v>58</v>
      </c>
      <c r="D134" s="7">
        <v>38668</v>
      </c>
      <c r="E134" s="7">
        <v>45701</v>
      </c>
      <c r="F134">
        <v>330862</v>
      </c>
      <c r="G134" t="s">
        <v>983</v>
      </c>
      <c r="H134" t="s">
        <v>9</v>
      </c>
      <c r="I134" s="7">
        <v>45690</v>
      </c>
      <c r="J134" s="8">
        <v>0.85741898148148143</v>
      </c>
      <c r="K134" t="s">
        <v>984</v>
      </c>
      <c r="AQ134" t="s">
        <v>992</v>
      </c>
      <c r="AR134" t="s">
        <v>1137</v>
      </c>
      <c r="AT134" t="s">
        <v>987</v>
      </c>
      <c r="AZ134" t="s">
        <v>1062</v>
      </c>
      <c r="BA134" t="s">
        <v>1063</v>
      </c>
      <c r="BB134" t="s">
        <v>1048</v>
      </c>
      <c r="BD134" t="s">
        <v>991</v>
      </c>
      <c r="BE134" t="s">
        <v>58</v>
      </c>
    </row>
    <row r="135" spans="1:57" ht="13" x14ac:dyDescent="0.15">
      <c r="A135">
        <v>1839</v>
      </c>
      <c r="B135">
        <v>30350943</v>
      </c>
      <c r="C135" t="s">
        <v>58</v>
      </c>
      <c r="D135" s="7">
        <v>38668</v>
      </c>
      <c r="E135" s="7">
        <v>45701</v>
      </c>
      <c r="F135">
        <v>330862</v>
      </c>
      <c r="G135" t="s">
        <v>983</v>
      </c>
      <c r="H135" t="s">
        <v>9</v>
      </c>
      <c r="I135" s="7">
        <v>45636</v>
      </c>
      <c r="J135" s="8">
        <v>0.89655092592592589</v>
      </c>
      <c r="K135" t="s">
        <v>984</v>
      </c>
      <c r="AQ135" t="s">
        <v>992</v>
      </c>
      <c r="AR135" t="s">
        <v>1132</v>
      </c>
      <c r="AT135" t="s">
        <v>987</v>
      </c>
      <c r="AZ135" t="s">
        <v>1002</v>
      </c>
      <c r="BA135" t="s">
        <v>1124</v>
      </c>
      <c r="BB135" t="s">
        <v>1125</v>
      </c>
      <c r="BD135" t="s">
        <v>1005</v>
      </c>
      <c r="BE135" t="s">
        <v>58</v>
      </c>
    </row>
    <row r="136" spans="1:57" ht="13" x14ac:dyDescent="0.15">
      <c r="A136">
        <v>1839</v>
      </c>
      <c r="B136">
        <v>30350943</v>
      </c>
      <c r="C136" t="s">
        <v>58</v>
      </c>
      <c r="D136" s="7">
        <v>38668</v>
      </c>
      <c r="E136" s="7">
        <v>45701</v>
      </c>
      <c r="F136">
        <v>330862</v>
      </c>
      <c r="G136" t="s">
        <v>983</v>
      </c>
      <c r="H136" t="s">
        <v>9</v>
      </c>
      <c r="I136" s="7">
        <v>45699</v>
      </c>
      <c r="J136" s="8">
        <v>0.61233796296296295</v>
      </c>
      <c r="K136" t="s">
        <v>984</v>
      </c>
      <c r="AQ136" t="s">
        <v>992</v>
      </c>
      <c r="AR136" t="s">
        <v>1138</v>
      </c>
      <c r="AT136" t="s">
        <v>987</v>
      </c>
      <c r="AZ136" t="s">
        <v>1139</v>
      </c>
      <c r="BA136" t="s">
        <v>1140</v>
      </c>
      <c r="BB136" t="s">
        <v>1032</v>
      </c>
      <c r="BD136" t="s">
        <v>1005</v>
      </c>
      <c r="BE136" t="s">
        <v>58</v>
      </c>
    </row>
    <row r="137" spans="1:57" ht="13" x14ac:dyDescent="0.15">
      <c r="A137">
        <v>1839</v>
      </c>
      <c r="B137">
        <v>30350943</v>
      </c>
      <c r="C137" t="s">
        <v>58</v>
      </c>
      <c r="D137" s="7">
        <v>38668</v>
      </c>
      <c r="E137" s="7">
        <v>45701</v>
      </c>
      <c r="F137">
        <v>330862</v>
      </c>
      <c r="G137" t="s">
        <v>983</v>
      </c>
      <c r="H137" t="s">
        <v>9</v>
      </c>
      <c r="I137" s="7">
        <v>45699</v>
      </c>
      <c r="J137" s="8">
        <v>0.42181712962962964</v>
      </c>
      <c r="K137" t="s">
        <v>984</v>
      </c>
      <c r="AQ137" t="s">
        <v>992</v>
      </c>
      <c r="AR137" t="s">
        <v>1043</v>
      </c>
      <c r="AT137" t="s">
        <v>987</v>
      </c>
      <c r="AZ137" t="s">
        <v>1044</v>
      </c>
      <c r="BA137" t="s">
        <v>1045</v>
      </c>
      <c r="BB137" t="s">
        <v>990</v>
      </c>
      <c r="BD137" t="s">
        <v>991</v>
      </c>
      <c r="BE137" t="s">
        <v>58</v>
      </c>
    </row>
    <row r="138" spans="1:57" ht="13" x14ac:dyDescent="0.15">
      <c r="A138">
        <v>1839</v>
      </c>
      <c r="B138">
        <v>30350943</v>
      </c>
      <c r="C138" t="s">
        <v>58</v>
      </c>
      <c r="D138" s="7">
        <v>38668</v>
      </c>
      <c r="E138" s="7">
        <v>45701</v>
      </c>
      <c r="F138">
        <v>330862</v>
      </c>
      <c r="G138" t="s">
        <v>983</v>
      </c>
      <c r="H138" t="s">
        <v>9</v>
      </c>
      <c r="I138" s="7">
        <v>45635</v>
      </c>
      <c r="J138" s="8">
        <v>0.91134259259259254</v>
      </c>
      <c r="K138" t="s">
        <v>984</v>
      </c>
      <c r="AQ138" t="s">
        <v>992</v>
      </c>
      <c r="AR138" t="s">
        <v>1132</v>
      </c>
      <c r="AT138" t="s">
        <v>987</v>
      </c>
      <c r="AZ138" t="s">
        <v>1002</v>
      </c>
      <c r="BA138" t="s">
        <v>1124</v>
      </c>
      <c r="BB138" t="s">
        <v>1125</v>
      </c>
      <c r="BD138" t="s">
        <v>1005</v>
      </c>
      <c r="BE138" t="s">
        <v>58</v>
      </c>
    </row>
    <row r="139" spans="1:57" ht="13" x14ac:dyDescent="0.15">
      <c r="A139">
        <v>1839</v>
      </c>
      <c r="B139">
        <v>30350943</v>
      </c>
      <c r="C139" t="s">
        <v>58</v>
      </c>
      <c r="D139" s="7">
        <v>38668</v>
      </c>
      <c r="E139" s="7">
        <v>45701</v>
      </c>
      <c r="F139">
        <v>330862</v>
      </c>
      <c r="G139" t="s">
        <v>983</v>
      </c>
      <c r="H139" t="s">
        <v>9</v>
      </c>
      <c r="I139" s="7">
        <v>45636</v>
      </c>
      <c r="J139" s="8">
        <v>0.89971064814814816</v>
      </c>
      <c r="K139" t="s">
        <v>984</v>
      </c>
      <c r="AQ139" t="s">
        <v>992</v>
      </c>
      <c r="AR139" t="s">
        <v>1141</v>
      </c>
      <c r="AT139" t="s">
        <v>987</v>
      </c>
      <c r="AZ139" t="s">
        <v>1055</v>
      </c>
      <c r="BA139" t="s">
        <v>1056</v>
      </c>
      <c r="BB139" t="s">
        <v>1013</v>
      </c>
      <c r="BD139" t="s">
        <v>1022</v>
      </c>
      <c r="BE139" t="s">
        <v>58</v>
      </c>
    </row>
    <row r="140" spans="1:57" ht="13" x14ac:dyDescent="0.15">
      <c r="A140">
        <v>1839</v>
      </c>
      <c r="B140">
        <v>30351065</v>
      </c>
      <c r="C140" t="s">
        <v>59</v>
      </c>
      <c r="D140" s="7">
        <v>38668</v>
      </c>
      <c r="E140" s="7">
        <v>45696</v>
      </c>
      <c r="F140">
        <v>330862</v>
      </c>
      <c r="G140" t="s">
        <v>983</v>
      </c>
      <c r="H140" t="s">
        <v>9</v>
      </c>
      <c r="I140" s="7">
        <v>45694</v>
      </c>
      <c r="J140" s="8">
        <v>0.59282407407407411</v>
      </c>
      <c r="K140" t="s">
        <v>984</v>
      </c>
      <c r="AQ140" t="s">
        <v>1142</v>
      </c>
      <c r="AR140" t="s">
        <v>986</v>
      </c>
      <c r="AT140" t="s">
        <v>987</v>
      </c>
      <c r="AZ140" t="s">
        <v>988</v>
      </c>
      <c r="BA140" t="s">
        <v>989</v>
      </c>
      <c r="BB140" t="s">
        <v>990</v>
      </c>
      <c r="BD140" t="s">
        <v>991</v>
      </c>
      <c r="BE140" t="s">
        <v>59</v>
      </c>
    </row>
    <row r="141" spans="1:57" ht="13" x14ac:dyDescent="0.15">
      <c r="A141">
        <v>1839</v>
      </c>
      <c r="B141">
        <v>30351065</v>
      </c>
      <c r="C141" t="s">
        <v>59</v>
      </c>
      <c r="D141" s="7">
        <v>38668</v>
      </c>
      <c r="E141" s="7">
        <v>45696</v>
      </c>
      <c r="F141">
        <v>330862</v>
      </c>
      <c r="G141" t="s">
        <v>983</v>
      </c>
      <c r="H141" t="s">
        <v>9</v>
      </c>
      <c r="I141" s="7">
        <v>45674</v>
      </c>
      <c r="J141" s="8">
        <v>0.77030092592592592</v>
      </c>
      <c r="K141" t="s">
        <v>984</v>
      </c>
      <c r="AQ141" t="s">
        <v>998</v>
      </c>
      <c r="AR141" t="s">
        <v>1051</v>
      </c>
      <c r="AT141" t="s">
        <v>987</v>
      </c>
      <c r="AZ141" t="s">
        <v>1002</v>
      </c>
      <c r="BA141" t="s">
        <v>1003</v>
      </c>
      <c r="BB141" t="s">
        <v>1004</v>
      </c>
      <c r="BD141" t="s">
        <v>1005</v>
      </c>
      <c r="BE141" t="s">
        <v>59</v>
      </c>
    </row>
    <row r="142" spans="1:57" ht="13" x14ac:dyDescent="0.15">
      <c r="A142">
        <v>1839</v>
      </c>
      <c r="B142">
        <v>30353594</v>
      </c>
      <c r="C142" t="s">
        <v>60</v>
      </c>
      <c r="D142" s="7">
        <v>38668</v>
      </c>
      <c r="E142" s="7">
        <v>45701</v>
      </c>
      <c r="F142">
        <v>330862</v>
      </c>
      <c r="G142" t="s">
        <v>983</v>
      </c>
      <c r="H142" t="s">
        <v>9</v>
      </c>
      <c r="I142" s="7">
        <v>45694</v>
      </c>
      <c r="J142" s="8">
        <v>0.9563194444444445</v>
      </c>
      <c r="K142" t="s">
        <v>984</v>
      </c>
      <c r="AQ142" t="s">
        <v>1090</v>
      </c>
      <c r="AR142" t="s">
        <v>993</v>
      </c>
      <c r="AT142" t="s">
        <v>987</v>
      </c>
      <c r="AZ142" t="s">
        <v>988</v>
      </c>
      <c r="BA142" t="s">
        <v>989</v>
      </c>
      <c r="BB142" t="s">
        <v>990</v>
      </c>
      <c r="BD142" t="s">
        <v>991</v>
      </c>
      <c r="BE142" t="s">
        <v>60</v>
      </c>
    </row>
    <row r="143" spans="1:57" ht="13" x14ac:dyDescent="0.15">
      <c r="A143">
        <v>1839</v>
      </c>
      <c r="B143">
        <v>30353594</v>
      </c>
      <c r="C143" t="s">
        <v>60</v>
      </c>
      <c r="D143" s="7">
        <v>38668</v>
      </c>
      <c r="E143" s="7">
        <v>45701</v>
      </c>
      <c r="F143">
        <v>330862</v>
      </c>
      <c r="G143" t="s">
        <v>983</v>
      </c>
      <c r="H143" t="s">
        <v>9</v>
      </c>
      <c r="I143" s="7">
        <v>45694</v>
      </c>
      <c r="J143" s="8">
        <v>0.39623842592592595</v>
      </c>
      <c r="K143" t="s">
        <v>984</v>
      </c>
      <c r="AQ143" t="s">
        <v>1090</v>
      </c>
      <c r="AR143" t="s">
        <v>993</v>
      </c>
      <c r="AT143" t="s">
        <v>987</v>
      </c>
      <c r="AZ143" t="s">
        <v>988</v>
      </c>
      <c r="BA143" t="s">
        <v>989</v>
      </c>
      <c r="BB143" t="s">
        <v>990</v>
      </c>
      <c r="BD143" t="s">
        <v>991</v>
      </c>
      <c r="BE143" t="s">
        <v>60</v>
      </c>
    </row>
    <row r="144" spans="1:57" ht="13" x14ac:dyDescent="0.15">
      <c r="A144">
        <v>1839</v>
      </c>
      <c r="B144">
        <v>30353932</v>
      </c>
      <c r="C144" t="s">
        <v>61</v>
      </c>
      <c r="D144" s="7">
        <v>41739</v>
      </c>
      <c r="E144" s="7">
        <v>45697</v>
      </c>
      <c r="F144">
        <v>330862</v>
      </c>
      <c r="G144" t="s">
        <v>983</v>
      </c>
      <c r="H144" t="s">
        <v>9</v>
      </c>
      <c r="I144" s="7">
        <v>45697</v>
      </c>
      <c r="J144" s="8">
        <v>0.34255787037037039</v>
      </c>
      <c r="K144" t="s">
        <v>984</v>
      </c>
      <c r="AQ144" t="s">
        <v>992</v>
      </c>
      <c r="AR144" t="s">
        <v>1143</v>
      </c>
      <c r="AT144" t="s">
        <v>987</v>
      </c>
      <c r="AZ144" t="s">
        <v>1080</v>
      </c>
      <c r="BA144" t="s">
        <v>1081</v>
      </c>
      <c r="BB144" t="s">
        <v>1082</v>
      </c>
      <c r="BD144" t="s">
        <v>991</v>
      </c>
      <c r="BE144" t="s">
        <v>61</v>
      </c>
    </row>
    <row r="145" spans="1:57" ht="13" x14ac:dyDescent="0.15">
      <c r="A145">
        <v>1839</v>
      </c>
      <c r="B145">
        <v>30354096</v>
      </c>
      <c r="C145" t="s">
        <v>62</v>
      </c>
      <c r="D145" s="7">
        <v>38668</v>
      </c>
      <c r="E145" s="7">
        <v>45705</v>
      </c>
      <c r="F145">
        <v>330862</v>
      </c>
      <c r="G145" t="s">
        <v>983</v>
      </c>
      <c r="H145" t="s">
        <v>9</v>
      </c>
      <c r="I145" s="7">
        <v>45677</v>
      </c>
      <c r="J145" s="8">
        <v>0.51569444444444446</v>
      </c>
      <c r="K145" t="s">
        <v>984</v>
      </c>
      <c r="AQ145" t="s">
        <v>992</v>
      </c>
      <c r="AR145" t="s">
        <v>1144</v>
      </c>
      <c r="AT145" t="s">
        <v>987</v>
      </c>
      <c r="AZ145" t="s">
        <v>1011</v>
      </c>
      <c r="BA145" t="s">
        <v>1012</v>
      </c>
      <c r="BB145" t="s">
        <v>1013</v>
      </c>
      <c r="BD145" t="s">
        <v>1014</v>
      </c>
      <c r="BE145" t="s">
        <v>62</v>
      </c>
    </row>
    <row r="146" spans="1:57" ht="13" x14ac:dyDescent="0.15">
      <c r="A146">
        <v>1839</v>
      </c>
      <c r="B146">
        <v>30354096</v>
      </c>
      <c r="C146" t="s">
        <v>62</v>
      </c>
      <c r="D146" s="7">
        <v>38668</v>
      </c>
      <c r="E146" s="7">
        <v>45705</v>
      </c>
      <c r="F146">
        <v>330862</v>
      </c>
      <c r="G146" t="s">
        <v>983</v>
      </c>
      <c r="H146" t="s">
        <v>9</v>
      </c>
      <c r="I146" s="7">
        <v>45677</v>
      </c>
      <c r="J146" s="8">
        <v>0.51624999999999999</v>
      </c>
      <c r="K146" t="s">
        <v>984</v>
      </c>
      <c r="AQ146" t="s">
        <v>992</v>
      </c>
      <c r="AR146" t="s">
        <v>1145</v>
      </c>
      <c r="AT146" t="s">
        <v>987</v>
      </c>
      <c r="AZ146" t="s">
        <v>1011</v>
      </c>
      <c r="BA146" t="s">
        <v>1012</v>
      </c>
      <c r="BB146" t="s">
        <v>1013</v>
      </c>
      <c r="BD146" t="s">
        <v>1014</v>
      </c>
      <c r="BE146" t="s">
        <v>62</v>
      </c>
    </row>
    <row r="147" spans="1:57" ht="13" x14ac:dyDescent="0.15">
      <c r="A147">
        <v>1839</v>
      </c>
      <c r="B147">
        <v>30354096</v>
      </c>
      <c r="C147" t="s">
        <v>62</v>
      </c>
      <c r="D147" s="7">
        <v>38668</v>
      </c>
      <c r="E147" s="7">
        <v>45705</v>
      </c>
      <c r="F147">
        <v>330862</v>
      </c>
      <c r="G147" t="s">
        <v>983</v>
      </c>
      <c r="H147" t="s">
        <v>9</v>
      </c>
      <c r="I147" s="7">
        <v>45645</v>
      </c>
      <c r="J147" s="8">
        <v>0.82225694444444442</v>
      </c>
      <c r="K147" t="s">
        <v>984</v>
      </c>
      <c r="AQ147" t="s">
        <v>992</v>
      </c>
      <c r="AR147" t="s">
        <v>1146</v>
      </c>
      <c r="AT147" t="s">
        <v>987</v>
      </c>
      <c r="AZ147" t="s">
        <v>1139</v>
      </c>
      <c r="BA147" t="s">
        <v>1140</v>
      </c>
      <c r="BB147" t="s">
        <v>1032</v>
      </c>
      <c r="BD147" t="s">
        <v>1005</v>
      </c>
      <c r="BE147" t="s">
        <v>62</v>
      </c>
    </row>
    <row r="148" spans="1:57" ht="13" x14ac:dyDescent="0.15">
      <c r="A148">
        <v>1839</v>
      </c>
      <c r="B148">
        <v>30354096</v>
      </c>
      <c r="C148" t="s">
        <v>62</v>
      </c>
      <c r="D148" s="7">
        <v>38668</v>
      </c>
      <c r="E148" s="7">
        <v>45705</v>
      </c>
      <c r="F148">
        <v>330862</v>
      </c>
      <c r="G148" t="s">
        <v>983</v>
      </c>
      <c r="H148" t="s">
        <v>9</v>
      </c>
      <c r="I148" s="7">
        <v>45611</v>
      </c>
      <c r="J148" s="8">
        <v>0.53237268518518521</v>
      </c>
      <c r="K148" t="s">
        <v>984</v>
      </c>
      <c r="AQ148" t="s">
        <v>992</v>
      </c>
      <c r="AR148" t="s">
        <v>1147</v>
      </c>
      <c r="AT148" t="s">
        <v>987</v>
      </c>
      <c r="BE148" t="s">
        <v>62</v>
      </c>
    </row>
    <row r="149" spans="1:57" ht="13" x14ac:dyDescent="0.15">
      <c r="A149">
        <v>1839</v>
      </c>
      <c r="B149">
        <v>30354096</v>
      </c>
      <c r="C149" t="s">
        <v>62</v>
      </c>
      <c r="D149" s="7">
        <v>38668</v>
      </c>
      <c r="E149" s="7">
        <v>45705</v>
      </c>
      <c r="F149">
        <v>330862</v>
      </c>
      <c r="G149" t="s">
        <v>983</v>
      </c>
      <c r="H149" t="s">
        <v>9</v>
      </c>
      <c r="I149" s="7">
        <v>45611</v>
      </c>
      <c r="J149" s="8">
        <v>0.53844907407407405</v>
      </c>
      <c r="K149" t="s">
        <v>984</v>
      </c>
      <c r="AQ149" t="s">
        <v>992</v>
      </c>
      <c r="AR149" t="s">
        <v>1148</v>
      </c>
      <c r="AT149" t="s">
        <v>987</v>
      </c>
      <c r="BE149" t="s">
        <v>62</v>
      </c>
    </row>
    <row r="150" spans="1:57" ht="13" x14ac:dyDescent="0.15">
      <c r="A150">
        <v>1839</v>
      </c>
      <c r="B150">
        <v>30354096</v>
      </c>
      <c r="C150" t="s">
        <v>62</v>
      </c>
      <c r="D150" s="7">
        <v>38668</v>
      </c>
      <c r="E150" s="7">
        <v>45705</v>
      </c>
      <c r="F150">
        <v>330862</v>
      </c>
      <c r="G150" t="s">
        <v>983</v>
      </c>
      <c r="H150" t="s">
        <v>9</v>
      </c>
      <c r="I150" s="7">
        <v>45611</v>
      </c>
      <c r="J150" s="8">
        <v>0.54872685185185188</v>
      </c>
      <c r="K150" t="s">
        <v>984</v>
      </c>
      <c r="AQ150" t="s">
        <v>992</v>
      </c>
      <c r="AR150" t="s">
        <v>1149</v>
      </c>
      <c r="AT150" t="s">
        <v>987</v>
      </c>
      <c r="BE150" t="s">
        <v>62</v>
      </c>
    </row>
    <row r="151" spans="1:57" ht="13" x14ac:dyDescent="0.15">
      <c r="A151">
        <v>1839</v>
      </c>
      <c r="B151">
        <v>30354096</v>
      </c>
      <c r="C151" t="s">
        <v>62</v>
      </c>
      <c r="D151" s="7">
        <v>38668</v>
      </c>
      <c r="E151" s="7">
        <v>45705</v>
      </c>
      <c r="F151">
        <v>330862</v>
      </c>
      <c r="G151" t="s">
        <v>983</v>
      </c>
      <c r="H151" t="s">
        <v>9</v>
      </c>
      <c r="I151" s="7">
        <v>45611</v>
      </c>
      <c r="J151" s="8">
        <v>0.56243055555555554</v>
      </c>
      <c r="K151" t="s">
        <v>984</v>
      </c>
      <c r="AQ151" t="s">
        <v>992</v>
      </c>
      <c r="AR151" t="s">
        <v>1150</v>
      </c>
      <c r="AT151" t="s">
        <v>987</v>
      </c>
      <c r="BE151" t="s">
        <v>62</v>
      </c>
    </row>
    <row r="152" spans="1:57" ht="13" x14ac:dyDescent="0.15">
      <c r="A152">
        <v>1839</v>
      </c>
      <c r="B152">
        <v>30354096</v>
      </c>
      <c r="C152" t="s">
        <v>62</v>
      </c>
      <c r="D152" s="7">
        <v>38668</v>
      </c>
      <c r="E152" s="7">
        <v>45705</v>
      </c>
      <c r="F152">
        <v>330862</v>
      </c>
      <c r="G152" t="s">
        <v>983</v>
      </c>
      <c r="H152" t="s">
        <v>9</v>
      </c>
      <c r="I152" s="7">
        <v>45616</v>
      </c>
      <c r="J152" s="8">
        <v>0.4365162037037037</v>
      </c>
      <c r="K152" t="s">
        <v>984</v>
      </c>
      <c r="AQ152" t="s">
        <v>992</v>
      </c>
      <c r="AR152" t="s">
        <v>1151</v>
      </c>
      <c r="AT152" t="s">
        <v>987</v>
      </c>
      <c r="AZ152" t="s">
        <v>1011</v>
      </c>
      <c r="BA152" t="s">
        <v>1103</v>
      </c>
      <c r="BB152" t="s">
        <v>1032</v>
      </c>
      <c r="BD152" t="s">
        <v>1005</v>
      </c>
      <c r="BE152" t="s">
        <v>62</v>
      </c>
    </row>
    <row r="153" spans="1:57" ht="13" x14ac:dyDescent="0.15">
      <c r="A153">
        <v>1839</v>
      </c>
      <c r="B153">
        <v>30354096</v>
      </c>
      <c r="C153" t="s">
        <v>62</v>
      </c>
      <c r="D153" s="7">
        <v>38668</v>
      </c>
      <c r="E153" s="7">
        <v>45705</v>
      </c>
      <c r="F153">
        <v>330862</v>
      </c>
      <c r="G153" t="s">
        <v>983</v>
      </c>
      <c r="H153" t="s">
        <v>9</v>
      </c>
      <c r="I153" s="7">
        <v>45617</v>
      </c>
      <c r="J153" s="8">
        <v>0.31886574074074076</v>
      </c>
      <c r="K153" t="s">
        <v>984</v>
      </c>
      <c r="AQ153" t="s">
        <v>992</v>
      </c>
      <c r="AR153" t="s">
        <v>1152</v>
      </c>
      <c r="AT153" t="s">
        <v>987</v>
      </c>
      <c r="AZ153" t="s">
        <v>1028</v>
      </c>
      <c r="BA153" t="s">
        <v>1029</v>
      </c>
      <c r="BB153" t="s">
        <v>1018</v>
      </c>
      <c r="BD153" t="s">
        <v>1022</v>
      </c>
      <c r="BE153" t="s">
        <v>62</v>
      </c>
    </row>
    <row r="154" spans="1:57" ht="13" x14ac:dyDescent="0.15">
      <c r="A154">
        <v>1839</v>
      </c>
      <c r="B154">
        <v>30354096</v>
      </c>
      <c r="C154" t="s">
        <v>62</v>
      </c>
      <c r="D154" s="7">
        <v>38668</v>
      </c>
      <c r="E154" s="7">
        <v>45705</v>
      </c>
      <c r="F154">
        <v>330862</v>
      </c>
      <c r="G154" t="s">
        <v>983</v>
      </c>
      <c r="H154" t="s">
        <v>9</v>
      </c>
      <c r="I154" s="7">
        <v>45617</v>
      </c>
      <c r="J154" s="8">
        <v>0.49113425925925924</v>
      </c>
      <c r="K154" t="s">
        <v>984</v>
      </c>
      <c r="AQ154" t="s">
        <v>992</v>
      </c>
      <c r="AR154" t="s">
        <v>1153</v>
      </c>
      <c r="AT154" t="s">
        <v>987</v>
      </c>
      <c r="AZ154" t="s">
        <v>1055</v>
      </c>
      <c r="BA154" t="s">
        <v>1056</v>
      </c>
      <c r="BB154" t="s">
        <v>1013</v>
      </c>
      <c r="BD154" t="s">
        <v>1022</v>
      </c>
      <c r="BE154" t="s">
        <v>62</v>
      </c>
    </row>
    <row r="155" spans="1:57" ht="13" x14ac:dyDescent="0.15">
      <c r="A155">
        <v>1839</v>
      </c>
      <c r="B155">
        <v>30354096</v>
      </c>
      <c r="C155" t="s">
        <v>62</v>
      </c>
      <c r="D155" s="7">
        <v>38668</v>
      </c>
      <c r="E155" s="7">
        <v>45705</v>
      </c>
      <c r="F155">
        <v>330862</v>
      </c>
      <c r="G155" t="s">
        <v>983</v>
      </c>
      <c r="H155" t="s">
        <v>9</v>
      </c>
      <c r="I155" s="7">
        <v>45632</v>
      </c>
      <c r="J155" s="8">
        <v>0.56540509259259264</v>
      </c>
      <c r="K155" t="s">
        <v>984</v>
      </c>
      <c r="AQ155" t="s">
        <v>992</v>
      </c>
      <c r="AR155" t="s">
        <v>1154</v>
      </c>
      <c r="AT155" t="s">
        <v>987</v>
      </c>
      <c r="AZ155" t="s">
        <v>1011</v>
      </c>
      <c r="BA155" t="s">
        <v>1031</v>
      </c>
      <c r="BB155" t="s">
        <v>1032</v>
      </c>
      <c r="BD155" t="s">
        <v>1005</v>
      </c>
      <c r="BE155" t="s">
        <v>62</v>
      </c>
    </row>
    <row r="156" spans="1:57" ht="13" x14ac:dyDescent="0.15">
      <c r="A156">
        <v>1839</v>
      </c>
      <c r="B156">
        <v>30354096</v>
      </c>
      <c r="C156" t="s">
        <v>62</v>
      </c>
      <c r="D156" s="7">
        <v>38668</v>
      </c>
      <c r="E156" s="7">
        <v>45705</v>
      </c>
      <c r="F156">
        <v>330862</v>
      </c>
      <c r="G156" t="s">
        <v>983</v>
      </c>
      <c r="H156" t="s">
        <v>9</v>
      </c>
      <c r="I156" s="7">
        <v>45677</v>
      </c>
      <c r="J156" s="8">
        <v>0.51506944444444447</v>
      </c>
      <c r="K156" t="s">
        <v>984</v>
      </c>
      <c r="AQ156" t="s">
        <v>992</v>
      </c>
      <c r="AR156" t="s">
        <v>1155</v>
      </c>
      <c r="AT156" t="s">
        <v>987</v>
      </c>
      <c r="AZ156" t="s">
        <v>1011</v>
      </c>
      <c r="BA156" t="s">
        <v>1012</v>
      </c>
      <c r="BB156" t="s">
        <v>1013</v>
      </c>
      <c r="BD156" t="s">
        <v>1014</v>
      </c>
      <c r="BE156" t="s">
        <v>62</v>
      </c>
    </row>
    <row r="157" spans="1:57" ht="13" x14ac:dyDescent="0.15">
      <c r="A157">
        <v>1839</v>
      </c>
      <c r="B157">
        <v>30354096</v>
      </c>
      <c r="C157" t="s">
        <v>62</v>
      </c>
      <c r="D157" s="7">
        <v>38668</v>
      </c>
      <c r="E157" s="7">
        <v>45705</v>
      </c>
      <c r="F157">
        <v>330862</v>
      </c>
      <c r="G157" t="s">
        <v>983</v>
      </c>
      <c r="H157" t="s">
        <v>9</v>
      </c>
      <c r="I157" s="7">
        <v>45677</v>
      </c>
      <c r="J157" s="8">
        <v>0.51370370370370366</v>
      </c>
      <c r="K157" t="s">
        <v>984</v>
      </c>
      <c r="AQ157" t="s">
        <v>992</v>
      </c>
      <c r="AR157" t="s">
        <v>1156</v>
      </c>
      <c r="AT157" t="s">
        <v>987</v>
      </c>
      <c r="AZ157" t="s">
        <v>1011</v>
      </c>
      <c r="BA157" t="s">
        <v>1012</v>
      </c>
      <c r="BB157" t="s">
        <v>1013</v>
      </c>
      <c r="BD157" t="s">
        <v>1014</v>
      </c>
      <c r="BE157" t="s">
        <v>62</v>
      </c>
    </row>
    <row r="158" spans="1:57" ht="13" x14ac:dyDescent="0.15">
      <c r="A158">
        <v>1839</v>
      </c>
      <c r="B158">
        <v>30354096</v>
      </c>
      <c r="C158" t="s">
        <v>62</v>
      </c>
      <c r="D158" s="7">
        <v>38668</v>
      </c>
      <c r="E158" s="7">
        <v>45705</v>
      </c>
      <c r="F158">
        <v>330862</v>
      </c>
      <c r="G158" t="s">
        <v>983</v>
      </c>
      <c r="H158" t="s">
        <v>9</v>
      </c>
      <c r="I158" s="7">
        <v>45677</v>
      </c>
      <c r="J158" s="8">
        <v>0.51313657407407409</v>
      </c>
      <c r="K158" t="s">
        <v>984</v>
      </c>
      <c r="AQ158" t="s">
        <v>992</v>
      </c>
      <c r="AR158" t="s">
        <v>1157</v>
      </c>
      <c r="AT158" t="s">
        <v>987</v>
      </c>
      <c r="AZ158" t="s">
        <v>1011</v>
      </c>
      <c r="BA158" t="s">
        <v>1012</v>
      </c>
      <c r="BB158" t="s">
        <v>1013</v>
      </c>
      <c r="BD158" t="s">
        <v>1014</v>
      </c>
      <c r="BE158" t="s">
        <v>62</v>
      </c>
    </row>
    <row r="159" spans="1:57" ht="13" x14ac:dyDescent="0.15">
      <c r="A159">
        <v>1839</v>
      </c>
      <c r="B159">
        <v>30354096</v>
      </c>
      <c r="C159" t="s">
        <v>62</v>
      </c>
      <c r="D159" s="7">
        <v>38668</v>
      </c>
      <c r="E159" s="7">
        <v>45705</v>
      </c>
      <c r="F159">
        <v>330862</v>
      </c>
      <c r="G159" t="s">
        <v>983</v>
      </c>
      <c r="H159" t="s">
        <v>9</v>
      </c>
      <c r="I159" s="7">
        <v>45677</v>
      </c>
      <c r="J159" s="8">
        <v>0.5111458333333333</v>
      </c>
      <c r="K159" t="s">
        <v>984</v>
      </c>
      <c r="AQ159" t="s">
        <v>992</v>
      </c>
      <c r="AR159" t="s">
        <v>1158</v>
      </c>
      <c r="AT159" t="s">
        <v>987</v>
      </c>
      <c r="AZ159" t="s">
        <v>1011</v>
      </c>
      <c r="BA159" t="s">
        <v>1012</v>
      </c>
      <c r="BB159" t="s">
        <v>1013</v>
      </c>
      <c r="BD159" t="s">
        <v>1014</v>
      </c>
      <c r="BE159" t="s">
        <v>62</v>
      </c>
    </row>
    <row r="160" spans="1:57" ht="13" x14ac:dyDescent="0.15">
      <c r="A160">
        <v>1839</v>
      </c>
      <c r="B160">
        <v>30354096</v>
      </c>
      <c r="C160" t="s">
        <v>62</v>
      </c>
      <c r="D160" s="7">
        <v>38668</v>
      </c>
      <c r="E160" s="7">
        <v>45705</v>
      </c>
      <c r="F160">
        <v>330862</v>
      </c>
      <c r="G160" t="s">
        <v>983</v>
      </c>
      <c r="H160" t="s">
        <v>9</v>
      </c>
      <c r="I160" s="7">
        <v>45677</v>
      </c>
      <c r="J160" s="8">
        <v>0.50768518518518524</v>
      </c>
      <c r="K160" t="s">
        <v>984</v>
      </c>
      <c r="AQ160" t="s">
        <v>992</v>
      </c>
      <c r="AR160" t="s">
        <v>1159</v>
      </c>
      <c r="AT160" t="s">
        <v>987</v>
      </c>
      <c r="AZ160" t="s">
        <v>1016</v>
      </c>
      <c r="BA160" t="s">
        <v>1017</v>
      </c>
      <c r="BB160" t="s">
        <v>1018</v>
      </c>
      <c r="BD160" t="s">
        <v>991</v>
      </c>
      <c r="BE160" t="s">
        <v>62</v>
      </c>
    </row>
    <row r="161" spans="1:57" ht="13" x14ac:dyDescent="0.15">
      <c r="A161">
        <v>1839</v>
      </c>
      <c r="B161">
        <v>30354096</v>
      </c>
      <c r="C161" t="s">
        <v>62</v>
      </c>
      <c r="D161" s="7">
        <v>38668</v>
      </c>
      <c r="E161" s="7">
        <v>45705</v>
      </c>
      <c r="F161">
        <v>330862</v>
      </c>
      <c r="G161" t="s">
        <v>983</v>
      </c>
      <c r="H161" t="s">
        <v>9</v>
      </c>
      <c r="I161" s="7">
        <v>45677</v>
      </c>
      <c r="J161" s="8">
        <v>0.50675925925925924</v>
      </c>
      <c r="K161" t="s">
        <v>984</v>
      </c>
      <c r="AQ161" t="s">
        <v>992</v>
      </c>
      <c r="AR161" t="s">
        <v>1160</v>
      </c>
      <c r="AT161" t="s">
        <v>987</v>
      </c>
      <c r="AZ161" t="s">
        <v>1011</v>
      </c>
      <c r="BA161" t="s">
        <v>1012</v>
      </c>
      <c r="BB161" t="s">
        <v>1013</v>
      </c>
      <c r="BD161" t="s">
        <v>1014</v>
      </c>
      <c r="BE161" t="s">
        <v>62</v>
      </c>
    </row>
    <row r="162" spans="1:57" ht="13" x14ac:dyDescent="0.15">
      <c r="A162">
        <v>1839</v>
      </c>
      <c r="B162">
        <v>30354096</v>
      </c>
      <c r="C162" t="s">
        <v>62</v>
      </c>
      <c r="D162" s="7">
        <v>38668</v>
      </c>
      <c r="E162" s="7">
        <v>45705</v>
      </c>
      <c r="F162">
        <v>330862</v>
      </c>
      <c r="G162" t="s">
        <v>983</v>
      </c>
      <c r="H162" t="s">
        <v>9</v>
      </c>
      <c r="I162" s="7">
        <v>45677</v>
      </c>
      <c r="J162" s="8">
        <v>0.50423611111111111</v>
      </c>
      <c r="K162" t="s">
        <v>984</v>
      </c>
      <c r="AQ162" t="s">
        <v>992</v>
      </c>
      <c r="AR162" t="s">
        <v>1161</v>
      </c>
      <c r="AT162" t="s">
        <v>987</v>
      </c>
      <c r="AZ162" t="s">
        <v>1011</v>
      </c>
      <c r="BA162" t="s">
        <v>1012</v>
      </c>
      <c r="BB162" t="s">
        <v>1013</v>
      </c>
      <c r="BD162" t="s">
        <v>1014</v>
      </c>
      <c r="BE162" t="s">
        <v>62</v>
      </c>
    </row>
    <row r="163" spans="1:57" ht="13" x14ac:dyDescent="0.15">
      <c r="A163">
        <v>1839</v>
      </c>
      <c r="B163">
        <v>30354096</v>
      </c>
      <c r="C163" t="s">
        <v>62</v>
      </c>
      <c r="D163" s="7">
        <v>38668</v>
      </c>
      <c r="E163" s="7">
        <v>45705</v>
      </c>
      <c r="F163">
        <v>330862</v>
      </c>
      <c r="G163" t="s">
        <v>983</v>
      </c>
      <c r="H163" t="s">
        <v>9</v>
      </c>
      <c r="I163" s="7">
        <v>45677</v>
      </c>
      <c r="J163" s="8">
        <v>0.50399305555555551</v>
      </c>
      <c r="K163" t="s">
        <v>984</v>
      </c>
      <c r="AQ163" t="s">
        <v>992</v>
      </c>
      <c r="AR163" t="s">
        <v>1162</v>
      </c>
      <c r="AT163" t="s">
        <v>987</v>
      </c>
      <c r="BE163" t="s">
        <v>62</v>
      </c>
    </row>
    <row r="164" spans="1:57" ht="13" x14ac:dyDescent="0.15">
      <c r="A164">
        <v>1839</v>
      </c>
      <c r="B164">
        <v>30354096</v>
      </c>
      <c r="C164" t="s">
        <v>62</v>
      </c>
      <c r="D164" s="7">
        <v>38668</v>
      </c>
      <c r="E164" s="7">
        <v>45705</v>
      </c>
      <c r="F164">
        <v>330862</v>
      </c>
      <c r="G164" t="s">
        <v>983</v>
      </c>
      <c r="H164" t="s">
        <v>9</v>
      </c>
      <c r="I164" s="7">
        <v>45674</v>
      </c>
      <c r="J164" s="8">
        <v>0.60828703703703701</v>
      </c>
      <c r="K164" t="s">
        <v>984</v>
      </c>
      <c r="AQ164" t="s">
        <v>992</v>
      </c>
      <c r="AR164" t="s">
        <v>1163</v>
      </c>
      <c r="AT164" t="s">
        <v>987</v>
      </c>
      <c r="AZ164" t="s">
        <v>1016</v>
      </c>
      <c r="BA164" t="s">
        <v>1017</v>
      </c>
      <c r="BB164" t="s">
        <v>1018</v>
      </c>
      <c r="BD164" t="s">
        <v>991</v>
      </c>
      <c r="BE164" t="s">
        <v>62</v>
      </c>
    </row>
    <row r="165" spans="1:57" ht="13" x14ac:dyDescent="0.15">
      <c r="A165">
        <v>1839</v>
      </c>
      <c r="B165">
        <v>30354096</v>
      </c>
      <c r="C165" t="s">
        <v>62</v>
      </c>
      <c r="D165" s="7">
        <v>38668</v>
      </c>
      <c r="E165" s="7">
        <v>45705</v>
      </c>
      <c r="F165">
        <v>330862</v>
      </c>
      <c r="G165" t="s">
        <v>983</v>
      </c>
      <c r="H165" t="s">
        <v>9</v>
      </c>
      <c r="I165" s="7">
        <v>45674</v>
      </c>
      <c r="J165" s="8">
        <v>0.60293981481481485</v>
      </c>
      <c r="K165" t="s">
        <v>984</v>
      </c>
      <c r="AQ165" t="s">
        <v>992</v>
      </c>
      <c r="AR165" t="s">
        <v>1164</v>
      </c>
      <c r="AT165" t="s">
        <v>987</v>
      </c>
      <c r="AZ165" t="s">
        <v>1016</v>
      </c>
      <c r="BA165" t="s">
        <v>1017</v>
      </c>
      <c r="BB165" t="s">
        <v>1018</v>
      </c>
      <c r="BD165" t="s">
        <v>991</v>
      </c>
      <c r="BE165" t="s">
        <v>62</v>
      </c>
    </row>
    <row r="166" spans="1:57" ht="13" x14ac:dyDescent="0.15">
      <c r="A166">
        <v>1839</v>
      </c>
      <c r="B166">
        <v>30354096</v>
      </c>
      <c r="C166" t="s">
        <v>62</v>
      </c>
      <c r="D166" s="7">
        <v>38668</v>
      </c>
      <c r="E166" s="7">
        <v>45705</v>
      </c>
      <c r="F166">
        <v>330862</v>
      </c>
      <c r="G166" t="s">
        <v>983</v>
      </c>
      <c r="H166" t="s">
        <v>9</v>
      </c>
      <c r="I166" s="7">
        <v>45673</v>
      </c>
      <c r="J166" s="8">
        <v>0.5560532407407407</v>
      </c>
      <c r="K166" t="s">
        <v>984</v>
      </c>
      <c r="AQ166" t="s">
        <v>992</v>
      </c>
      <c r="AR166" t="s">
        <v>1165</v>
      </c>
      <c r="AT166" t="s">
        <v>987</v>
      </c>
      <c r="AZ166" t="s">
        <v>1016</v>
      </c>
      <c r="BA166" t="s">
        <v>1017</v>
      </c>
      <c r="BB166" t="s">
        <v>1018</v>
      </c>
      <c r="BD166" t="s">
        <v>991</v>
      </c>
      <c r="BE166" t="s">
        <v>62</v>
      </c>
    </row>
    <row r="167" spans="1:57" ht="13" x14ac:dyDescent="0.15">
      <c r="A167">
        <v>1839</v>
      </c>
      <c r="B167">
        <v>30354096</v>
      </c>
      <c r="C167" t="s">
        <v>62</v>
      </c>
      <c r="D167" s="7">
        <v>38668</v>
      </c>
      <c r="E167" s="7">
        <v>45705</v>
      </c>
      <c r="F167">
        <v>330862</v>
      </c>
      <c r="G167" t="s">
        <v>983</v>
      </c>
      <c r="H167" t="s">
        <v>9</v>
      </c>
      <c r="I167" s="7">
        <v>45673</v>
      </c>
      <c r="J167" s="8">
        <v>0.44241898148148145</v>
      </c>
      <c r="K167" t="s">
        <v>984</v>
      </c>
      <c r="AQ167" t="s">
        <v>992</v>
      </c>
      <c r="AR167" t="s">
        <v>1166</v>
      </c>
      <c r="AT167" t="s">
        <v>987</v>
      </c>
      <c r="AZ167" t="s">
        <v>1016</v>
      </c>
      <c r="BA167" t="s">
        <v>1017</v>
      </c>
      <c r="BB167" t="s">
        <v>1018</v>
      </c>
      <c r="BD167" t="s">
        <v>991</v>
      </c>
      <c r="BE167" t="s">
        <v>62</v>
      </c>
    </row>
    <row r="168" spans="1:57" ht="13" x14ac:dyDescent="0.15">
      <c r="A168">
        <v>1839</v>
      </c>
      <c r="B168">
        <v>30354096</v>
      </c>
      <c r="C168" t="s">
        <v>62</v>
      </c>
      <c r="D168" s="7">
        <v>38668</v>
      </c>
      <c r="E168" s="7">
        <v>45705</v>
      </c>
      <c r="F168">
        <v>330862</v>
      </c>
      <c r="G168" t="s">
        <v>983</v>
      </c>
      <c r="H168" t="s">
        <v>9</v>
      </c>
      <c r="I168" s="7">
        <v>45672</v>
      </c>
      <c r="J168" s="8">
        <v>0.62543981481481481</v>
      </c>
      <c r="K168" t="s">
        <v>984</v>
      </c>
      <c r="AQ168" t="s">
        <v>992</v>
      </c>
      <c r="AR168" t="s">
        <v>1167</v>
      </c>
      <c r="AT168" t="s">
        <v>987</v>
      </c>
      <c r="AZ168" t="s">
        <v>1016</v>
      </c>
      <c r="BA168" t="s">
        <v>1017</v>
      </c>
      <c r="BB168" t="s">
        <v>1018</v>
      </c>
      <c r="BD168" t="s">
        <v>991</v>
      </c>
      <c r="BE168" t="s">
        <v>62</v>
      </c>
    </row>
    <row r="169" spans="1:57" ht="13" x14ac:dyDescent="0.15">
      <c r="A169">
        <v>1839</v>
      </c>
      <c r="B169">
        <v>30354096</v>
      </c>
      <c r="C169" t="s">
        <v>62</v>
      </c>
      <c r="D169" s="7">
        <v>38668</v>
      </c>
      <c r="E169" s="7">
        <v>45705</v>
      </c>
      <c r="F169">
        <v>330862</v>
      </c>
      <c r="G169" t="s">
        <v>983</v>
      </c>
      <c r="H169" t="s">
        <v>9</v>
      </c>
      <c r="I169" s="7">
        <v>45671</v>
      </c>
      <c r="J169" s="8">
        <v>0.71407407407407408</v>
      </c>
      <c r="K169" t="s">
        <v>984</v>
      </c>
      <c r="AQ169" t="s">
        <v>992</v>
      </c>
      <c r="AR169" t="s">
        <v>1168</v>
      </c>
      <c r="AT169" t="s">
        <v>987</v>
      </c>
      <c r="AZ169" t="s">
        <v>1016</v>
      </c>
      <c r="BA169" t="s">
        <v>1017</v>
      </c>
      <c r="BB169" t="s">
        <v>1018</v>
      </c>
      <c r="BD169" t="s">
        <v>991</v>
      </c>
      <c r="BE169" t="s">
        <v>62</v>
      </c>
    </row>
    <row r="170" spans="1:57" ht="13" x14ac:dyDescent="0.15">
      <c r="A170">
        <v>1839</v>
      </c>
      <c r="B170">
        <v>30354096</v>
      </c>
      <c r="C170" t="s">
        <v>62</v>
      </c>
      <c r="D170" s="7">
        <v>38668</v>
      </c>
      <c r="E170" s="7">
        <v>45705</v>
      </c>
      <c r="F170">
        <v>330862</v>
      </c>
      <c r="G170" t="s">
        <v>983</v>
      </c>
      <c r="H170" t="s">
        <v>9</v>
      </c>
      <c r="I170" s="7">
        <v>45678</v>
      </c>
      <c r="J170" s="8">
        <v>0.47028935185185183</v>
      </c>
      <c r="K170" t="s">
        <v>984</v>
      </c>
      <c r="AQ170" t="s">
        <v>992</v>
      </c>
      <c r="AR170" t="s">
        <v>1169</v>
      </c>
      <c r="AT170" t="s">
        <v>987</v>
      </c>
      <c r="AZ170" t="s">
        <v>1011</v>
      </c>
      <c r="BA170" t="s">
        <v>1012</v>
      </c>
      <c r="BB170" t="s">
        <v>1013</v>
      </c>
      <c r="BD170" t="s">
        <v>1014</v>
      </c>
      <c r="BE170" t="s">
        <v>62</v>
      </c>
    </row>
    <row r="171" spans="1:57" ht="13" x14ac:dyDescent="0.15">
      <c r="A171">
        <v>1839</v>
      </c>
      <c r="B171">
        <v>30354096</v>
      </c>
      <c r="C171" t="s">
        <v>62</v>
      </c>
      <c r="D171" s="7">
        <v>38668</v>
      </c>
      <c r="E171" s="7">
        <v>45705</v>
      </c>
      <c r="F171">
        <v>330862</v>
      </c>
      <c r="G171" t="s">
        <v>983</v>
      </c>
      <c r="H171" t="s">
        <v>9</v>
      </c>
      <c r="I171" s="7">
        <v>45677</v>
      </c>
      <c r="J171" s="8">
        <v>0.75581018518518517</v>
      </c>
      <c r="K171" t="s">
        <v>984</v>
      </c>
      <c r="AQ171" t="s">
        <v>992</v>
      </c>
      <c r="AR171" t="s">
        <v>1170</v>
      </c>
      <c r="AT171" t="s">
        <v>987</v>
      </c>
      <c r="AZ171" t="s">
        <v>1011</v>
      </c>
      <c r="BA171" t="s">
        <v>1012</v>
      </c>
      <c r="BB171" t="s">
        <v>1013</v>
      </c>
      <c r="BD171" t="s">
        <v>1014</v>
      </c>
      <c r="BE171" t="s">
        <v>62</v>
      </c>
    </row>
    <row r="172" spans="1:57" ht="13" x14ac:dyDescent="0.15">
      <c r="A172">
        <v>1839</v>
      </c>
      <c r="B172">
        <v>30354096</v>
      </c>
      <c r="C172" t="s">
        <v>62</v>
      </c>
      <c r="D172" s="7">
        <v>38668</v>
      </c>
      <c r="E172" s="7">
        <v>45705</v>
      </c>
      <c r="F172">
        <v>330862</v>
      </c>
      <c r="G172" t="s">
        <v>983</v>
      </c>
      <c r="H172" t="s">
        <v>9</v>
      </c>
      <c r="I172" s="7">
        <v>45677</v>
      </c>
      <c r="J172" s="8">
        <v>0.54548611111111112</v>
      </c>
      <c r="K172" t="s">
        <v>984</v>
      </c>
      <c r="AQ172" t="s">
        <v>992</v>
      </c>
      <c r="AR172" t="s">
        <v>1171</v>
      </c>
      <c r="AT172" t="s">
        <v>987</v>
      </c>
      <c r="AZ172" t="s">
        <v>1011</v>
      </c>
      <c r="BA172" t="s">
        <v>1012</v>
      </c>
      <c r="BB172" t="s">
        <v>1013</v>
      </c>
      <c r="BD172" t="s">
        <v>1014</v>
      </c>
      <c r="BE172" t="s">
        <v>62</v>
      </c>
    </row>
    <row r="173" spans="1:57" ht="13" x14ac:dyDescent="0.15">
      <c r="A173">
        <v>1839</v>
      </c>
      <c r="B173">
        <v>30354096</v>
      </c>
      <c r="C173" t="s">
        <v>62</v>
      </c>
      <c r="D173" s="7">
        <v>38668</v>
      </c>
      <c r="E173" s="7">
        <v>45705</v>
      </c>
      <c r="F173">
        <v>330862</v>
      </c>
      <c r="G173" t="s">
        <v>983</v>
      </c>
      <c r="H173" t="s">
        <v>9</v>
      </c>
      <c r="I173" s="7">
        <v>45677</v>
      </c>
      <c r="J173" s="8">
        <v>0.52965277777777775</v>
      </c>
      <c r="K173" t="s">
        <v>984</v>
      </c>
      <c r="AQ173" t="s">
        <v>992</v>
      </c>
      <c r="AR173" t="s">
        <v>1172</v>
      </c>
      <c r="AT173" t="s">
        <v>987</v>
      </c>
      <c r="AZ173" t="s">
        <v>1011</v>
      </c>
      <c r="BA173" t="s">
        <v>1012</v>
      </c>
      <c r="BB173" t="s">
        <v>1013</v>
      </c>
      <c r="BD173" t="s">
        <v>1014</v>
      </c>
      <c r="BE173" t="s">
        <v>62</v>
      </c>
    </row>
    <row r="174" spans="1:57" ht="13" x14ac:dyDescent="0.15">
      <c r="A174">
        <v>1839</v>
      </c>
      <c r="B174">
        <v>30354096</v>
      </c>
      <c r="C174" t="s">
        <v>62</v>
      </c>
      <c r="D174" s="7">
        <v>38668</v>
      </c>
      <c r="E174" s="7">
        <v>45705</v>
      </c>
      <c r="F174">
        <v>330862</v>
      </c>
      <c r="G174" t="s">
        <v>983</v>
      </c>
      <c r="H174" t="s">
        <v>9</v>
      </c>
      <c r="I174" s="7">
        <v>45701</v>
      </c>
      <c r="J174" s="8">
        <v>0.6187731481481481</v>
      </c>
      <c r="K174" t="s">
        <v>984</v>
      </c>
      <c r="AQ174" t="s">
        <v>1089</v>
      </c>
      <c r="AR174" t="s">
        <v>1173</v>
      </c>
      <c r="AT174" t="s">
        <v>987</v>
      </c>
      <c r="AZ174" t="s">
        <v>1174</v>
      </c>
      <c r="BA174" t="s">
        <v>1175</v>
      </c>
      <c r="BB174" t="s">
        <v>990</v>
      </c>
      <c r="BD174" t="s">
        <v>991</v>
      </c>
      <c r="BE174" t="s">
        <v>62</v>
      </c>
    </row>
    <row r="175" spans="1:57" ht="13" x14ac:dyDescent="0.15">
      <c r="A175">
        <v>1839</v>
      </c>
      <c r="B175">
        <v>30354096</v>
      </c>
      <c r="C175" t="s">
        <v>62</v>
      </c>
      <c r="D175" s="7">
        <v>38668</v>
      </c>
      <c r="E175" s="7">
        <v>45705</v>
      </c>
      <c r="F175">
        <v>330862</v>
      </c>
      <c r="G175" t="s">
        <v>983</v>
      </c>
      <c r="H175" t="s">
        <v>9</v>
      </c>
      <c r="I175" s="7">
        <v>45705</v>
      </c>
      <c r="J175" s="8">
        <v>0.44466435185185182</v>
      </c>
      <c r="K175" t="s">
        <v>984</v>
      </c>
      <c r="AQ175" t="s">
        <v>985</v>
      </c>
      <c r="AR175" t="s">
        <v>1176</v>
      </c>
      <c r="AT175" t="s">
        <v>987</v>
      </c>
      <c r="AZ175" t="s">
        <v>1011</v>
      </c>
      <c r="BA175" t="s">
        <v>1012</v>
      </c>
      <c r="BB175" t="s">
        <v>1013</v>
      </c>
      <c r="BD175" t="s">
        <v>1014</v>
      </c>
      <c r="BE175" t="s">
        <v>62</v>
      </c>
    </row>
    <row r="176" spans="1:57" ht="13" x14ac:dyDescent="0.15">
      <c r="A176">
        <v>1839</v>
      </c>
      <c r="B176">
        <v>30354096</v>
      </c>
      <c r="C176" t="s">
        <v>62</v>
      </c>
      <c r="D176" s="7">
        <v>38668</v>
      </c>
      <c r="E176" s="7">
        <v>45705</v>
      </c>
      <c r="F176">
        <v>336447</v>
      </c>
      <c r="G176" t="s">
        <v>1074</v>
      </c>
      <c r="H176" t="s">
        <v>26</v>
      </c>
      <c r="I176" s="7">
        <v>45611</v>
      </c>
      <c r="J176" s="8">
        <v>0.55636574074074074</v>
      </c>
      <c r="K176" t="s">
        <v>984</v>
      </c>
      <c r="AQ176" t="s">
        <v>992</v>
      </c>
      <c r="AR176" t="s">
        <v>1177</v>
      </c>
      <c r="BE176" t="s">
        <v>62</v>
      </c>
    </row>
    <row r="177" spans="1:57" ht="13" x14ac:dyDescent="0.15">
      <c r="A177">
        <v>1839</v>
      </c>
      <c r="B177">
        <v>30354096</v>
      </c>
      <c r="C177" t="s">
        <v>62</v>
      </c>
      <c r="D177" s="7">
        <v>38668</v>
      </c>
      <c r="E177" s="7">
        <v>45705</v>
      </c>
      <c r="F177">
        <v>336453</v>
      </c>
      <c r="G177" t="s">
        <v>1074</v>
      </c>
      <c r="H177" t="s">
        <v>27</v>
      </c>
      <c r="I177" s="7">
        <v>45611</v>
      </c>
      <c r="J177" s="8">
        <v>0.55662037037037038</v>
      </c>
      <c r="K177" t="s">
        <v>984</v>
      </c>
      <c r="AQ177" t="s">
        <v>992</v>
      </c>
      <c r="AR177" t="s">
        <v>1076</v>
      </c>
      <c r="BE177" t="s">
        <v>62</v>
      </c>
    </row>
    <row r="178" spans="1:57" ht="13" x14ac:dyDescent="0.15">
      <c r="A178">
        <v>1839</v>
      </c>
      <c r="B178">
        <v>30354096</v>
      </c>
      <c r="C178" t="s">
        <v>62</v>
      </c>
      <c r="D178" s="7">
        <v>38668</v>
      </c>
      <c r="E178" s="7">
        <v>45705</v>
      </c>
      <c r="F178">
        <v>336709</v>
      </c>
      <c r="G178" t="s">
        <v>1074</v>
      </c>
      <c r="H178" t="s">
        <v>28</v>
      </c>
      <c r="I178" s="7">
        <v>45611</v>
      </c>
      <c r="J178" s="8">
        <v>0.55677083333333333</v>
      </c>
      <c r="K178" t="s">
        <v>984</v>
      </c>
      <c r="AQ178" t="s">
        <v>992</v>
      </c>
      <c r="AR178" t="s">
        <v>1077</v>
      </c>
      <c r="BE178" t="s">
        <v>62</v>
      </c>
    </row>
    <row r="179" spans="1:57" ht="13" x14ac:dyDescent="0.15">
      <c r="A179">
        <v>1839</v>
      </c>
      <c r="B179">
        <v>30354241</v>
      </c>
      <c r="C179" t="s">
        <v>1178</v>
      </c>
      <c r="D179" s="7">
        <v>38668</v>
      </c>
      <c r="E179" s="7">
        <v>45695</v>
      </c>
      <c r="F179">
        <v>330862</v>
      </c>
      <c r="G179" t="s">
        <v>983</v>
      </c>
      <c r="H179" t="s">
        <v>9</v>
      </c>
      <c r="I179" s="7">
        <v>45636</v>
      </c>
      <c r="J179" s="8">
        <v>0.83777777777777773</v>
      </c>
      <c r="K179" t="s">
        <v>984</v>
      </c>
      <c r="AQ179" t="s">
        <v>992</v>
      </c>
      <c r="AR179" t="s">
        <v>1098</v>
      </c>
      <c r="AT179" t="s">
        <v>987</v>
      </c>
      <c r="AZ179" t="s">
        <v>1020</v>
      </c>
      <c r="BA179" t="s">
        <v>1021</v>
      </c>
      <c r="BB179" t="s">
        <v>1018</v>
      </c>
      <c r="BD179" t="s">
        <v>1022</v>
      </c>
      <c r="BE179" t="s">
        <v>1178</v>
      </c>
    </row>
    <row r="180" spans="1:57" ht="13" x14ac:dyDescent="0.15">
      <c r="A180">
        <v>1839</v>
      </c>
      <c r="B180">
        <v>30354241</v>
      </c>
      <c r="C180" t="s">
        <v>1178</v>
      </c>
      <c r="D180" s="7">
        <v>38668</v>
      </c>
      <c r="E180" s="7">
        <v>45695</v>
      </c>
      <c r="F180">
        <v>330862</v>
      </c>
      <c r="G180" t="s">
        <v>983</v>
      </c>
      <c r="H180" t="s">
        <v>9</v>
      </c>
      <c r="I180" s="7">
        <v>45637</v>
      </c>
      <c r="J180" s="8">
        <v>0.68380787037037039</v>
      </c>
      <c r="K180" t="s">
        <v>984</v>
      </c>
      <c r="AQ180" t="s">
        <v>992</v>
      </c>
      <c r="AR180" t="s">
        <v>1179</v>
      </c>
      <c r="AT180" t="s">
        <v>987</v>
      </c>
      <c r="AZ180" t="s">
        <v>1020</v>
      </c>
      <c r="BA180" t="s">
        <v>1021</v>
      </c>
      <c r="BB180" t="s">
        <v>1018</v>
      </c>
      <c r="BD180" t="s">
        <v>1022</v>
      </c>
      <c r="BE180" t="s">
        <v>1178</v>
      </c>
    </row>
    <row r="181" spans="1:57" ht="13" x14ac:dyDescent="0.15">
      <c r="A181">
        <v>1839</v>
      </c>
      <c r="B181">
        <v>30361441</v>
      </c>
      <c r="C181" t="s">
        <v>1180</v>
      </c>
      <c r="D181" s="7">
        <v>41205</v>
      </c>
      <c r="E181" s="7">
        <v>45711</v>
      </c>
      <c r="F181">
        <v>330862</v>
      </c>
      <c r="G181" t="s">
        <v>983</v>
      </c>
      <c r="H181" t="s">
        <v>9</v>
      </c>
      <c r="I181" s="7">
        <v>45710</v>
      </c>
      <c r="J181" s="8">
        <v>0.62304398148148143</v>
      </c>
      <c r="K181" t="s">
        <v>984</v>
      </c>
      <c r="AQ181" t="s">
        <v>992</v>
      </c>
      <c r="AR181" t="s">
        <v>1181</v>
      </c>
      <c r="AT181" t="s">
        <v>987</v>
      </c>
      <c r="AZ181" t="s">
        <v>1182</v>
      </c>
      <c r="BA181" t="s">
        <v>1183</v>
      </c>
      <c r="BB181" t="s">
        <v>990</v>
      </c>
      <c r="BD181" t="s">
        <v>991</v>
      </c>
      <c r="BE181" t="s">
        <v>1180</v>
      </c>
    </row>
    <row r="182" spans="1:57" ht="13" x14ac:dyDescent="0.15">
      <c r="A182">
        <v>1839</v>
      </c>
      <c r="B182">
        <v>30361441</v>
      </c>
      <c r="C182" t="s">
        <v>1180</v>
      </c>
      <c r="D182" s="7">
        <v>41205</v>
      </c>
      <c r="E182" s="7">
        <v>45711</v>
      </c>
      <c r="F182">
        <v>330862</v>
      </c>
      <c r="G182" t="s">
        <v>983</v>
      </c>
      <c r="H182" t="s">
        <v>9</v>
      </c>
      <c r="I182" s="7">
        <v>45620</v>
      </c>
      <c r="J182" s="8">
        <v>0.60837962962962966</v>
      </c>
      <c r="K182" t="s">
        <v>984</v>
      </c>
      <c r="AQ182" t="s">
        <v>992</v>
      </c>
      <c r="AR182" t="s">
        <v>1184</v>
      </c>
      <c r="AT182" t="s">
        <v>987</v>
      </c>
      <c r="AZ182" t="s">
        <v>1182</v>
      </c>
      <c r="BA182" t="s">
        <v>1185</v>
      </c>
      <c r="BB182" t="s">
        <v>1026</v>
      </c>
      <c r="BD182" t="s">
        <v>1022</v>
      </c>
      <c r="BE182" t="s">
        <v>1180</v>
      </c>
    </row>
    <row r="183" spans="1:57" ht="13" x14ac:dyDescent="0.15">
      <c r="A183">
        <v>1839</v>
      </c>
      <c r="B183">
        <v>30361441</v>
      </c>
      <c r="C183" t="s">
        <v>1180</v>
      </c>
      <c r="D183" s="7">
        <v>41205</v>
      </c>
      <c r="E183" s="7">
        <v>45711</v>
      </c>
      <c r="F183">
        <v>330862</v>
      </c>
      <c r="G183" t="s">
        <v>983</v>
      </c>
      <c r="H183" t="s">
        <v>9</v>
      </c>
      <c r="I183" s="7">
        <v>45620</v>
      </c>
      <c r="J183" s="8">
        <v>0.59775462962962966</v>
      </c>
      <c r="K183" t="s">
        <v>984</v>
      </c>
      <c r="AQ183" t="s">
        <v>992</v>
      </c>
      <c r="AR183" t="s">
        <v>1186</v>
      </c>
      <c r="AT183" t="s">
        <v>987</v>
      </c>
      <c r="AZ183" t="s">
        <v>1028</v>
      </c>
      <c r="BA183" t="s">
        <v>1029</v>
      </c>
      <c r="BB183" t="s">
        <v>1018</v>
      </c>
      <c r="BD183" t="s">
        <v>1022</v>
      </c>
      <c r="BE183" t="s">
        <v>1180</v>
      </c>
    </row>
    <row r="184" spans="1:57" ht="13" x14ac:dyDescent="0.15">
      <c r="A184">
        <v>1839</v>
      </c>
      <c r="B184">
        <v>30361441</v>
      </c>
      <c r="C184" t="s">
        <v>1180</v>
      </c>
      <c r="D184" s="7">
        <v>41205</v>
      </c>
      <c r="E184" s="7">
        <v>45711</v>
      </c>
      <c r="F184">
        <v>330862</v>
      </c>
      <c r="G184" t="s">
        <v>983</v>
      </c>
      <c r="H184" t="s">
        <v>9</v>
      </c>
      <c r="I184" s="7">
        <v>45650</v>
      </c>
      <c r="J184" s="8">
        <v>0.79594907407407411</v>
      </c>
      <c r="K184" t="s">
        <v>984</v>
      </c>
      <c r="AQ184" t="s">
        <v>992</v>
      </c>
      <c r="AR184" t="s">
        <v>1187</v>
      </c>
      <c r="AT184" t="s">
        <v>987</v>
      </c>
      <c r="AZ184" t="s">
        <v>1182</v>
      </c>
      <c r="BA184" t="s">
        <v>1188</v>
      </c>
      <c r="BB184" t="s">
        <v>1013</v>
      </c>
      <c r="BD184" t="s">
        <v>1005</v>
      </c>
      <c r="BE184" t="s">
        <v>1180</v>
      </c>
    </row>
    <row r="185" spans="1:57" ht="13" x14ac:dyDescent="0.15">
      <c r="A185">
        <v>1839</v>
      </c>
      <c r="B185">
        <v>30361441</v>
      </c>
      <c r="C185" t="s">
        <v>1180</v>
      </c>
      <c r="D185" s="7">
        <v>41205</v>
      </c>
      <c r="E185" s="7">
        <v>45711</v>
      </c>
      <c r="F185">
        <v>330862</v>
      </c>
      <c r="G185" t="s">
        <v>983</v>
      </c>
      <c r="H185" t="s">
        <v>9</v>
      </c>
      <c r="I185" s="7">
        <v>45650</v>
      </c>
      <c r="J185" s="8">
        <v>0.78388888888888886</v>
      </c>
      <c r="K185" t="s">
        <v>984</v>
      </c>
      <c r="AQ185" t="s">
        <v>992</v>
      </c>
      <c r="AR185" t="s">
        <v>1189</v>
      </c>
      <c r="AT185" t="s">
        <v>987</v>
      </c>
      <c r="AZ185" t="s">
        <v>1028</v>
      </c>
      <c r="BA185" t="s">
        <v>1068</v>
      </c>
      <c r="BB185" t="s">
        <v>1069</v>
      </c>
      <c r="BD185" t="s">
        <v>1005</v>
      </c>
      <c r="BE185" t="s">
        <v>1180</v>
      </c>
    </row>
    <row r="186" spans="1:57" ht="13" x14ac:dyDescent="0.15">
      <c r="A186">
        <v>1839</v>
      </c>
      <c r="B186">
        <v>30361441</v>
      </c>
      <c r="C186" t="s">
        <v>1180</v>
      </c>
      <c r="D186" s="7">
        <v>41205</v>
      </c>
      <c r="E186" s="7">
        <v>45711</v>
      </c>
      <c r="F186">
        <v>330862</v>
      </c>
      <c r="G186" t="s">
        <v>983</v>
      </c>
      <c r="H186" t="s">
        <v>9</v>
      </c>
      <c r="I186" s="7">
        <v>45650</v>
      </c>
      <c r="J186" s="8">
        <v>0.77664351851851854</v>
      </c>
      <c r="K186" t="s">
        <v>984</v>
      </c>
      <c r="AQ186" t="s">
        <v>992</v>
      </c>
      <c r="AR186" t="s">
        <v>1190</v>
      </c>
      <c r="AT186" t="s">
        <v>987</v>
      </c>
      <c r="AZ186" t="s">
        <v>1139</v>
      </c>
      <c r="BA186" t="s">
        <v>1140</v>
      </c>
      <c r="BB186" t="s">
        <v>1032</v>
      </c>
      <c r="BD186" t="s">
        <v>1005</v>
      </c>
      <c r="BE186" t="s">
        <v>1180</v>
      </c>
    </row>
    <row r="187" spans="1:57" ht="13" x14ac:dyDescent="0.15">
      <c r="A187">
        <v>1839</v>
      </c>
      <c r="B187">
        <v>30361441</v>
      </c>
      <c r="C187" t="s">
        <v>1180</v>
      </c>
      <c r="D187" s="7">
        <v>41205</v>
      </c>
      <c r="E187" s="7">
        <v>45711</v>
      </c>
      <c r="F187">
        <v>330862</v>
      </c>
      <c r="G187" t="s">
        <v>983</v>
      </c>
      <c r="H187" t="s">
        <v>9</v>
      </c>
      <c r="I187" s="7">
        <v>45650</v>
      </c>
      <c r="J187" s="8">
        <v>0.76343749999999999</v>
      </c>
      <c r="K187" t="s">
        <v>984</v>
      </c>
      <c r="AQ187" t="s">
        <v>992</v>
      </c>
      <c r="AR187" t="s">
        <v>1191</v>
      </c>
      <c r="AT187" t="s">
        <v>987</v>
      </c>
      <c r="AZ187" t="s">
        <v>1007</v>
      </c>
      <c r="BA187" t="s">
        <v>1008</v>
      </c>
      <c r="BB187" t="s">
        <v>990</v>
      </c>
      <c r="BD187" t="s">
        <v>1005</v>
      </c>
      <c r="BE187" t="s">
        <v>1180</v>
      </c>
    </row>
    <row r="188" spans="1:57" ht="13" x14ac:dyDescent="0.15">
      <c r="A188">
        <v>1839</v>
      </c>
      <c r="B188">
        <v>30361441</v>
      </c>
      <c r="C188" t="s">
        <v>1180</v>
      </c>
      <c r="D188" s="7">
        <v>41205</v>
      </c>
      <c r="E188" s="7">
        <v>45711</v>
      </c>
      <c r="F188">
        <v>330862</v>
      </c>
      <c r="G188" t="s">
        <v>983</v>
      </c>
      <c r="H188" t="s">
        <v>9</v>
      </c>
      <c r="I188" s="7">
        <v>45710</v>
      </c>
      <c r="J188" s="8">
        <v>0.65929398148148144</v>
      </c>
      <c r="K188" t="s">
        <v>984</v>
      </c>
      <c r="AQ188" t="s">
        <v>992</v>
      </c>
      <c r="AR188" t="s">
        <v>1192</v>
      </c>
      <c r="AT188" t="s">
        <v>987</v>
      </c>
      <c r="AZ188" t="s">
        <v>1174</v>
      </c>
      <c r="BA188" t="s">
        <v>1175</v>
      </c>
      <c r="BB188" t="s">
        <v>990</v>
      </c>
      <c r="BD188" t="s">
        <v>991</v>
      </c>
      <c r="BE188" t="s">
        <v>1180</v>
      </c>
    </row>
    <row r="189" spans="1:57" ht="13" x14ac:dyDescent="0.15">
      <c r="A189">
        <v>1839</v>
      </c>
      <c r="B189">
        <v>30361441</v>
      </c>
      <c r="C189" t="s">
        <v>1180</v>
      </c>
      <c r="D189" s="7">
        <v>41205</v>
      </c>
      <c r="E189" s="7">
        <v>45711</v>
      </c>
      <c r="F189">
        <v>330862</v>
      </c>
      <c r="G189" t="s">
        <v>983</v>
      </c>
      <c r="H189" t="s">
        <v>9</v>
      </c>
      <c r="I189" s="7">
        <v>45710</v>
      </c>
      <c r="J189" s="8">
        <v>0.65126157407407403</v>
      </c>
      <c r="K189" t="s">
        <v>984</v>
      </c>
      <c r="AQ189" t="s">
        <v>992</v>
      </c>
      <c r="AR189" t="s">
        <v>1193</v>
      </c>
      <c r="AT189" t="s">
        <v>987</v>
      </c>
      <c r="AZ189" t="s">
        <v>1028</v>
      </c>
      <c r="BA189" t="s">
        <v>1037</v>
      </c>
      <c r="BB189" t="s">
        <v>1038</v>
      </c>
      <c r="BD189" t="s">
        <v>991</v>
      </c>
      <c r="BE189" t="s">
        <v>1180</v>
      </c>
    </row>
    <row r="190" spans="1:57" ht="13" x14ac:dyDescent="0.15">
      <c r="A190">
        <v>1839</v>
      </c>
      <c r="B190">
        <v>30361441</v>
      </c>
      <c r="C190" t="s">
        <v>1180</v>
      </c>
      <c r="D190" s="7">
        <v>41205</v>
      </c>
      <c r="E190" s="7">
        <v>45711</v>
      </c>
      <c r="F190">
        <v>330862</v>
      </c>
      <c r="G190" t="s">
        <v>983</v>
      </c>
      <c r="H190" t="s">
        <v>9</v>
      </c>
      <c r="I190" s="7">
        <v>45710</v>
      </c>
      <c r="J190" s="8">
        <v>0.63618055555555553</v>
      </c>
      <c r="K190" t="s">
        <v>984</v>
      </c>
      <c r="AQ190" t="s">
        <v>992</v>
      </c>
      <c r="AR190" t="s">
        <v>1194</v>
      </c>
      <c r="AT190" t="s">
        <v>987</v>
      </c>
      <c r="AZ190" t="s">
        <v>1080</v>
      </c>
      <c r="BA190" t="s">
        <v>1081</v>
      </c>
      <c r="BB190" t="s">
        <v>1082</v>
      </c>
      <c r="BD190" t="s">
        <v>991</v>
      </c>
      <c r="BE190" t="s">
        <v>1180</v>
      </c>
    </row>
    <row r="191" spans="1:57" ht="13" x14ac:dyDescent="0.15">
      <c r="A191">
        <v>1839</v>
      </c>
      <c r="B191">
        <v>30361441</v>
      </c>
      <c r="C191" t="s">
        <v>1180</v>
      </c>
      <c r="D191" s="7">
        <v>41205</v>
      </c>
      <c r="E191" s="7">
        <v>45711</v>
      </c>
      <c r="F191">
        <v>330862</v>
      </c>
      <c r="G191" t="s">
        <v>983</v>
      </c>
      <c r="H191" t="s">
        <v>9</v>
      </c>
      <c r="I191" s="7">
        <v>45620</v>
      </c>
      <c r="J191" s="8">
        <v>0.61423611111111109</v>
      </c>
      <c r="K191" t="s">
        <v>984</v>
      </c>
      <c r="AQ191" t="s">
        <v>992</v>
      </c>
      <c r="AR191" t="s">
        <v>1195</v>
      </c>
      <c r="AT191" t="s">
        <v>987</v>
      </c>
      <c r="AZ191" t="s">
        <v>1055</v>
      </c>
      <c r="BA191" t="s">
        <v>1056</v>
      </c>
      <c r="BB191" t="s">
        <v>1013</v>
      </c>
      <c r="BD191" t="s">
        <v>1022</v>
      </c>
      <c r="BE191" t="s">
        <v>1180</v>
      </c>
    </row>
    <row r="192" spans="1:57" ht="13" x14ac:dyDescent="0.15">
      <c r="A192">
        <v>1839</v>
      </c>
      <c r="B192">
        <v>30361441</v>
      </c>
      <c r="C192" t="s">
        <v>1180</v>
      </c>
      <c r="D192" s="7">
        <v>41205</v>
      </c>
      <c r="E192" s="7">
        <v>45711</v>
      </c>
      <c r="F192">
        <v>336444</v>
      </c>
      <c r="G192" t="s">
        <v>995</v>
      </c>
      <c r="H192" t="s">
        <v>12</v>
      </c>
      <c r="I192" s="7">
        <v>45650</v>
      </c>
      <c r="J192" s="8">
        <v>0.7613657407407407</v>
      </c>
      <c r="K192" t="s">
        <v>984</v>
      </c>
      <c r="AQ192" t="s">
        <v>996</v>
      </c>
      <c r="BE192" t="s">
        <v>1180</v>
      </c>
    </row>
    <row r="193" spans="1:57" ht="13" x14ac:dyDescent="0.15">
      <c r="A193">
        <v>1839</v>
      </c>
      <c r="B193">
        <v>30362373</v>
      </c>
      <c r="C193" t="s">
        <v>1196</v>
      </c>
      <c r="D193" s="7">
        <v>41215</v>
      </c>
      <c r="E193" s="7">
        <v>45655</v>
      </c>
      <c r="F193">
        <v>330862</v>
      </c>
      <c r="G193" t="s">
        <v>983</v>
      </c>
      <c r="H193" t="s">
        <v>9</v>
      </c>
      <c r="I193" s="7">
        <v>45655</v>
      </c>
      <c r="J193" s="8">
        <v>0.81026620370370372</v>
      </c>
      <c r="K193" t="s">
        <v>984</v>
      </c>
      <c r="AQ193" t="s">
        <v>992</v>
      </c>
      <c r="AR193" t="s">
        <v>1197</v>
      </c>
      <c r="AT193" t="s">
        <v>987</v>
      </c>
      <c r="AZ193" t="s">
        <v>1020</v>
      </c>
      <c r="BA193" t="s">
        <v>1021</v>
      </c>
      <c r="BB193" t="s">
        <v>1018</v>
      </c>
      <c r="BD193" t="s">
        <v>1022</v>
      </c>
      <c r="BE193" t="s">
        <v>1196</v>
      </c>
    </row>
    <row r="194" spans="1:57" ht="13" x14ac:dyDescent="0.15">
      <c r="A194">
        <v>1839</v>
      </c>
      <c r="B194">
        <v>30362373</v>
      </c>
      <c r="C194" t="s">
        <v>1196</v>
      </c>
      <c r="D194" s="7">
        <v>41215</v>
      </c>
      <c r="E194" s="7">
        <v>45655</v>
      </c>
      <c r="F194">
        <v>330862</v>
      </c>
      <c r="G194" t="s">
        <v>983</v>
      </c>
      <c r="H194" t="s">
        <v>9</v>
      </c>
      <c r="I194" s="7">
        <v>45616</v>
      </c>
      <c r="J194" s="8">
        <v>0.66686342592592596</v>
      </c>
      <c r="K194" t="s">
        <v>984</v>
      </c>
      <c r="AQ194" t="s">
        <v>992</v>
      </c>
      <c r="AR194" t="s">
        <v>1104</v>
      </c>
      <c r="AT194" t="s">
        <v>987</v>
      </c>
      <c r="AZ194" t="s">
        <v>1055</v>
      </c>
      <c r="BA194" t="s">
        <v>1056</v>
      </c>
      <c r="BB194" t="s">
        <v>1013</v>
      </c>
      <c r="BD194" t="s">
        <v>1022</v>
      </c>
      <c r="BE194" t="s">
        <v>1196</v>
      </c>
    </row>
    <row r="195" spans="1:57" ht="13" x14ac:dyDescent="0.15">
      <c r="A195">
        <v>1839</v>
      </c>
      <c r="B195">
        <v>30362373</v>
      </c>
      <c r="C195" t="s">
        <v>1196</v>
      </c>
      <c r="D195" s="7">
        <v>41215</v>
      </c>
      <c r="E195" s="7">
        <v>45655</v>
      </c>
      <c r="F195">
        <v>330862</v>
      </c>
      <c r="G195" t="s">
        <v>983</v>
      </c>
      <c r="H195" t="s">
        <v>9</v>
      </c>
      <c r="I195" s="7">
        <v>45655</v>
      </c>
      <c r="J195" s="8">
        <v>0.80581018518518521</v>
      </c>
      <c r="K195" t="s">
        <v>984</v>
      </c>
      <c r="AQ195" t="s">
        <v>992</v>
      </c>
      <c r="AR195" t="s">
        <v>1198</v>
      </c>
      <c r="AT195" t="s">
        <v>987</v>
      </c>
      <c r="AZ195" t="s">
        <v>1028</v>
      </c>
      <c r="BA195" t="s">
        <v>1029</v>
      </c>
      <c r="BB195" t="s">
        <v>1018</v>
      </c>
      <c r="BD195" t="s">
        <v>1022</v>
      </c>
      <c r="BE195" t="s">
        <v>1196</v>
      </c>
    </row>
    <row r="196" spans="1:57" ht="13" x14ac:dyDescent="0.15">
      <c r="A196">
        <v>1839</v>
      </c>
      <c r="B196">
        <v>30362373</v>
      </c>
      <c r="C196" t="s">
        <v>1196</v>
      </c>
      <c r="D196" s="7">
        <v>41215</v>
      </c>
      <c r="E196" s="7">
        <v>45655</v>
      </c>
      <c r="F196">
        <v>330862</v>
      </c>
      <c r="G196" t="s">
        <v>983</v>
      </c>
      <c r="H196" t="s">
        <v>9</v>
      </c>
      <c r="I196" s="7">
        <v>45655</v>
      </c>
      <c r="J196" s="8">
        <v>0.80871527777777774</v>
      </c>
      <c r="K196" t="s">
        <v>984</v>
      </c>
      <c r="AQ196" t="s">
        <v>992</v>
      </c>
      <c r="AR196" t="s">
        <v>1199</v>
      </c>
      <c r="AT196" t="s">
        <v>987</v>
      </c>
      <c r="AZ196" t="s">
        <v>1024</v>
      </c>
      <c r="BA196" t="s">
        <v>1025</v>
      </c>
      <c r="BB196" t="s">
        <v>1026</v>
      </c>
      <c r="BD196" t="s">
        <v>1022</v>
      </c>
      <c r="BE196" t="s">
        <v>1196</v>
      </c>
    </row>
    <row r="197" spans="1:57" ht="13" x14ac:dyDescent="0.15">
      <c r="A197">
        <v>1839</v>
      </c>
      <c r="B197">
        <v>30367414</v>
      </c>
      <c r="C197" t="s">
        <v>63</v>
      </c>
      <c r="D197" s="7">
        <v>41574</v>
      </c>
      <c r="E197" s="7">
        <v>45708</v>
      </c>
      <c r="F197">
        <v>330862</v>
      </c>
      <c r="G197" t="s">
        <v>983</v>
      </c>
      <c r="H197" t="s">
        <v>9</v>
      </c>
      <c r="I197" s="7">
        <v>45675</v>
      </c>
      <c r="J197" s="8">
        <v>0.56884259259259262</v>
      </c>
      <c r="K197" t="s">
        <v>984</v>
      </c>
      <c r="AQ197" t="s">
        <v>992</v>
      </c>
      <c r="AR197" t="s">
        <v>1200</v>
      </c>
      <c r="AT197" t="s">
        <v>987</v>
      </c>
      <c r="AZ197" t="s">
        <v>1028</v>
      </c>
      <c r="BA197" t="s">
        <v>1068</v>
      </c>
      <c r="BB197" t="s">
        <v>1069</v>
      </c>
      <c r="BD197" t="s">
        <v>1005</v>
      </c>
      <c r="BE197" t="s">
        <v>63</v>
      </c>
    </row>
    <row r="198" spans="1:57" ht="13" x14ac:dyDescent="0.15">
      <c r="A198">
        <v>1839</v>
      </c>
      <c r="B198">
        <v>30367414</v>
      </c>
      <c r="C198" t="s">
        <v>63</v>
      </c>
      <c r="D198" s="7">
        <v>41574</v>
      </c>
      <c r="E198" s="7">
        <v>45708</v>
      </c>
      <c r="F198">
        <v>330862</v>
      </c>
      <c r="G198" t="s">
        <v>983</v>
      </c>
      <c r="H198" t="s">
        <v>9</v>
      </c>
      <c r="I198" s="7">
        <v>45675</v>
      </c>
      <c r="J198" s="8">
        <v>0.56578703703703703</v>
      </c>
      <c r="K198" t="s">
        <v>984</v>
      </c>
      <c r="AQ198" t="s">
        <v>992</v>
      </c>
      <c r="AR198" t="s">
        <v>1201</v>
      </c>
      <c r="AT198" t="s">
        <v>987</v>
      </c>
      <c r="AZ198" t="s">
        <v>1011</v>
      </c>
      <c r="BA198" t="s">
        <v>1202</v>
      </c>
      <c r="BB198" t="s">
        <v>1203</v>
      </c>
      <c r="BD198" t="s">
        <v>991</v>
      </c>
      <c r="BE198" t="s">
        <v>63</v>
      </c>
    </row>
    <row r="199" spans="1:57" ht="13" x14ac:dyDescent="0.15">
      <c r="A199">
        <v>1839</v>
      </c>
      <c r="B199">
        <v>30367414</v>
      </c>
      <c r="C199" t="s">
        <v>63</v>
      </c>
      <c r="D199" s="7">
        <v>41574</v>
      </c>
      <c r="E199" s="7">
        <v>45708</v>
      </c>
      <c r="F199">
        <v>330862</v>
      </c>
      <c r="G199" t="s">
        <v>983</v>
      </c>
      <c r="H199" t="s">
        <v>9</v>
      </c>
      <c r="I199" s="7">
        <v>45675</v>
      </c>
      <c r="J199" s="8">
        <v>0.5632638888888889</v>
      </c>
      <c r="K199" t="s">
        <v>984</v>
      </c>
      <c r="AQ199" t="s">
        <v>992</v>
      </c>
      <c r="AR199" t="s">
        <v>1105</v>
      </c>
      <c r="AT199" t="s">
        <v>987</v>
      </c>
      <c r="AZ199" t="s">
        <v>1044</v>
      </c>
      <c r="BA199" t="s">
        <v>1045</v>
      </c>
      <c r="BB199" t="s">
        <v>990</v>
      </c>
      <c r="BD199" t="s">
        <v>991</v>
      </c>
      <c r="BE199" t="s">
        <v>63</v>
      </c>
    </row>
    <row r="200" spans="1:57" ht="13" x14ac:dyDescent="0.15">
      <c r="A200">
        <v>1839</v>
      </c>
      <c r="B200">
        <v>30367414</v>
      </c>
      <c r="C200" t="s">
        <v>63</v>
      </c>
      <c r="D200" s="7">
        <v>41574</v>
      </c>
      <c r="E200" s="7">
        <v>45708</v>
      </c>
      <c r="F200">
        <v>330862</v>
      </c>
      <c r="G200" t="s">
        <v>983</v>
      </c>
      <c r="H200" t="s">
        <v>9</v>
      </c>
      <c r="I200" s="7">
        <v>45675</v>
      </c>
      <c r="J200" s="8">
        <v>0.55434027777777772</v>
      </c>
      <c r="K200" t="s">
        <v>984</v>
      </c>
      <c r="AQ200" t="s">
        <v>992</v>
      </c>
      <c r="AR200" t="s">
        <v>1095</v>
      </c>
      <c r="AT200" t="s">
        <v>987</v>
      </c>
      <c r="AZ200" t="s">
        <v>1002</v>
      </c>
      <c r="BA200" t="s">
        <v>1003</v>
      </c>
      <c r="BB200" t="s">
        <v>1004</v>
      </c>
      <c r="BD200" t="s">
        <v>1005</v>
      </c>
      <c r="BE200" t="s">
        <v>63</v>
      </c>
    </row>
    <row r="201" spans="1:57" ht="13" x14ac:dyDescent="0.15">
      <c r="A201">
        <v>1839</v>
      </c>
      <c r="B201">
        <v>30367414</v>
      </c>
      <c r="C201" t="s">
        <v>63</v>
      </c>
      <c r="D201" s="7">
        <v>41574</v>
      </c>
      <c r="E201" s="7">
        <v>45708</v>
      </c>
      <c r="F201">
        <v>330862</v>
      </c>
      <c r="G201" t="s">
        <v>983</v>
      </c>
      <c r="H201" t="s">
        <v>9</v>
      </c>
      <c r="I201" s="7">
        <v>45675</v>
      </c>
      <c r="J201" s="8">
        <v>0.57127314814814811</v>
      </c>
      <c r="K201" t="s">
        <v>984</v>
      </c>
      <c r="AQ201" t="s">
        <v>992</v>
      </c>
      <c r="AR201" t="s">
        <v>1204</v>
      </c>
      <c r="AT201" t="s">
        <v>987</v>
      </c>
      <c r="AZ201" t="s">
        <v>1024</v>
      </c>
      <c r="BA201" t="s">
        <v>1047</v>
      </c>
      <c r="BB201" t="s">
        <v>1048</v>
      </c>
      <c r="BD201" t="s">
        <v>1014</v>
      </c>
      <c r="BE201" t="s">
        <v>63</v>
      </c>
    </row>
    <row r="202" spans="1:57" ht="13" x14ac:dyDescent="0.15">
      <c r="A202">
        <v>1839</v>
      </c>
      <c r="B202">
        <v>30367414</v>
      </c>
      <c r="C202" t="s">
        <v>63</v>
      </c>
      <c r="D202" s="7">
        <v>41574</v>
      </c>
      <c r="E202" s="7">
        <v>45708</v>
      </c>
      <c r="F202">
        <v>330862</v>
      </c>
      <c r="G202" t="s">
        <v>983</v>
      </c>
      <c r="H202" t="s">
        <v>9</v>
      </c>
      <c r="I202" s="7">
        <v>45640</v>
      </c>
      <c r="J202" s="8">
        <v>0.573125</v>
      </c>
      <c r="K202" t="s">
        <v>984</v>
      </c>
      <c r="AQ202" t="s">
        <v>992</v>
      </c>
      <c r="AR202" t="s">
        <v>1106</v>
      </c>
      <c r="AT202" t="s">
        <v>987</v>
      </c>
      <c r="AZ202" t="s">
        <v>1020</v>
      </c>
      <c r="BA202" t="s">
        <v>1021</v>
      </c>
      <c r="BB202" t="s">
        <v>1018</v>
      </c>
      <c r="BD202" t="s">
        <v>1022</v>
      </c>
      <c r="BE202" t="s">
        <v>63</v>
      </c>
    </row>
    <row r="203" spans="1:57" ht="13" x14ac:dyDescent="0.15">
      <c r="A203">
        <v>1839</v>
      </c>
      <c r="B203">
        <v>30367414</v>
      </c>
      <c r="C203" t="s">
        <v>63</v>
      </c>
      <c r="D203" s="7">
        <v>41574</v>
      </c>
      <c r="E203" s="7">
        <v>45708</v>
      </c>
      <c r="F203">
        <v>330862</v>
      </c>
      <c r="G203" t="s">
        <v>983</v>
      </c>
      <c r="H203" t="s">
        <v>9</v>
      </c>
      <c r="I203" s="7">
        <v>45640</v>
      </c>
      <c r="J203" s="8">
        <v>0.56842592592592589</v>
      </c>
      <c r="K203" t="s">
        <v>984</v>
      </c>
      <c r="AQ203" t="s">
        <v>992</v>
      </c>
      <c r="AR203" t="s">
        <v>1094</v>
      </c>
      <c r="AT203" t="s">
        <v>987</v>
      </c>
      <c r="AZ203" t="s">
        <v>1024</v>
      </c>
      <c r="BA203" t="s">
        <v>1025</v>
      </c>
      <c r="BB203" t="s">
        <v>1026</v>
      </c>
      <c r="BD203" t="s">
        <v>1022</v>
      </c>
      <c r="BE203" t="s">
        <v>63</v>
      </c>
    </row>
    <row r="204" spans="1:57" ht="13" x14ac:dyDescent="0.15">
      <c r="A204">
        <v>1839</v>
      </c>
      <c r="B204">
        <v>30367414</v>
      </c>
      <c r="C204" t="s">
        <v>63</v>
      </c>
      <c r="D204" s="7">
        <v>41574</v>
      </c>
      <c r="E204" s="7">
        <v>45708</v>
      </c>
      <c r="F204">
        <v>330862</v>
      </c>
      <c r="G204" t="s">
        <v>983</v>
      </c>
      <c r="H204" t="s">
        <v>9</v>
      </c>
      <c r="I204" s="7">
        <v>45703</v>
      </c>
      <c r="J204" s="8">
        <v>0.59539351851851852</v>
      </c>
      <c r="K204" t="s">
        <v>984</v>
      </c>
      <c r="AQ204" t="s">
        <v>992</v>
      </c>
      <c r="AR204" t="s">
        <v>997</v>
      </c>
      <c r="AT204" t="s">
        <v>987</v>
      </c>
      <c r="AZ204" t="s">
        <v>988</v>
      </c>
      <c r="BA204" t="s">
        <v>989</v>
      </c>
      <c r="BB204" t="s">
        <v>990</v>
      </c>
      <c r="BD204" t="s">
        <v>991</v>
      </c>
      <c r="BE204" t="s">
        <v>63</v>
      </c>
    </row>
    <row r="205" spans="1:57" ht="13" x14ac:dyDescent="0.15">
      <c r="A205">
        <v>1839</v>
      </c>
      <c r="B205">
        <v>30367414</v>
      </c>
      <c r="C205" t="s">
        <v>63</v>
      </c>
      <c r="D205" s="7">
        <v>41574</v>
      </c>
      <c r="E205" s="7">
        <v>45708</v>
      </c>
      <c r="F205">
        <v>330862</v>
      </c>
      <c r="G205" t="s">
        <v>983</v>
      </c>
      <c r="H205" t="s">
        <v>9</v>
      </c>
      <c r="I205" s="7">
        <v>45675</v>
      </c>
      <c r="J205" s="8">
        <v>0.57849537037037035</v>
      </c>
      <c r="K205" t="s">
        <v>984</v>
      </c>
      <c r="AQ205" t="s">
        <v>992</v>
      </c>
      <c r="AR205" t="s">
        <v>1201</v>
      </c>
      <c r="AT205" t="s">
        <v>987</v>
      </c>
      <c r="AZ205" t="s">
        <v>1011</v>
      </c>
      <c r="BA205" t="s">
        <v>1202</v>
      </c>
      <c r="BB205" t="s">
        <v>1203</v>
      </c>
      <c r="BD205" t="s">
        <v>991</v>
      </c>
      <c r="BE205" t="s">
        <v>63</v>
      </c>
    </row>
    <row r="206" spans="1:57" ht="13" x14ac:dyDescent="0.15">
      <c r="A206">
        <v>1839</v>
      </c>
      <c r="B206">
        <v>30367414</v>
      </c>
      <c r="C206" t="s">
        <v>63</v>
      </c>
      <c r="D206" s="7">
        <v>41574</v>
      </c>
      <c r="E206" s="7">
        <v>45708</v>
      </c>
      <c r="F206">
        <v>330862</v>
      </c>
      <c r="G206" t="s">
        <v>983</v>
      </c>
      <c r="H206" t="s">
        <v>9</v>
      </c>
      <c r="I206" s="7">
        <v>45640</v>
      </c>
      <c r="J206" s="8">
        <v>0.56717592592592592</v>
      </c>
      <c r="K206" t="s">
        <v>984</v>
      </c>
      <c r="AQ206" t="s">
        <v>992</v>
      </c>
      <c r="AR206" t="s">
        <v>1086</v>
      </c>
      <c r="AT206" t="s">
        <v>987</v>
      </c>
      <c r="AZ206" t="s">
        <v>1028</v>
      </c>
      <c r="BA206" t="s">
        <v>1029</v>
      </c>
      <c r="BB206" t="s">
        <v>1018</v>
      </c>
      <c r="BD206" t="s">
        <v>1022</v>
      </c>
      <c r="BE206" t="s">
        <v>63</v>
      </c>
    </row>
    <row r="207" spans="1:57" ht="13" x14ac:dyDescent="0.15">
      <c r="A207">
        <v>1839</v>
      </c>
      <c r="B207">
        <v>30368454</v>
      </c>
      <c r="C207" t="s">
        <v>1205</v>
      </c>
      <c r="D207" s="7">
        <v>38742</v>
      </c>
      <c r="E207" s="7">
        <v>45681</v>
      </c>
      <c r="F207">
        <v>330862</v>
      </c>
      <c r="G207" t="s">
        <v>983</v>
      </c>
      <c r="H207" t="s">
        <v>9</v>
      </c>
      <c r="I207" s="7">
        <v>45616</v>
      </c>
      <c r="J207" s="8">
        <v>0.57170138888888888</v>
      </c>
      <c r="K207" t="s">
        <v>984</v>
      </c>
      <c r="AQ207" t="s">
        <v>1113</v>
      </c>
      <c r="AR207" t="s">
        <v>1104</v>
      </c>
      <c r="AT207" t="s">
        <v>987</v>
      </c>
      <c r="AZ207" t="s">
        <v>1055</v>
      </c>
      <c r="BA207" t="s">
        <v>1056</v>
      </c>
      <c r="BB207" t="s">
        <v>1013</v>
      </c>
      <c r="BD207" t="s">
        <v>1022</v>
      </c>
      <c r="BE207" t="s">
        <v>1205</v>
      </c>
    </row>
    <row r="208" spans="1:57" ht="13" x14ac:dyDescent="0.15">
      <c r="A208">
        <v>1839</v>
      </c>
      <c r="B208">
        <v>30372739</v>
      </c>
      <c r="C208" t="s">
        <v>64</v>
      </c>
      <c r="D208" s="7">
        <v>38735</v>
      </c>
      <c r="E208" s="7">
        <v>45702</v>
      </c>
      <c r="F208">
        <v>330862</v>
      </c>
      <c r="G208" t="s">
        <v>983</v>
      </c>
      <c r="H208" t="s">
        <v>9</v>
      </c>
      <c r="I208" s="7">
        <v>45702</v>
      </c>
      <c r="J208" s="8">
        <v>0.64024305555555561</v>
      </c>
      <c r="K208" t="s">
        <v>984</v>
      </c>
      <c r="AQ208" t="s">
        <v>1206</v>
      </c>
      <c r="AR208" t="s">
        <v>1207</v>
      </c>
      <c r="AT208" t="s">
        <v>987</v>
      </c>
      <c r="AZ208" t="s">
        <v>988</v>
      </c>
      <c r="BA208" t="s">
        <v>989</v>
      </c>
      <c r="BB208" t="s">
        <v>990</v>
      </c>
      <c r="BD208" t="s">
        <v>991</v>
      </c>
      <c r="BE208" t="s">
        <v>64</v>
      </c>
    </row>
    <row r="209" spans="1:57" ht="13" x14ac:dyDescent="0.15">
      <c r="A209">
        <v>1839</v>
      </c>
      <c r="B209">
        <v>30372739</v>
      </c>
      <c r="C209" t="s">
        <v>64</v>
      </c>
      <c r="D209" s="7">
        <v>38735</v>
      </c>
      <c r="E209" s="7">
        <v>45702</v>
      </c>
      <c r="F209">
        <v>330862</v>
      </c>
      <c r="G209" t="s">
        <v>983</v>
      </c>
      <c r="H209" t="s">
        <v>9</v>
      </c>
      <c r="I209" s="7">
        <v>45636</v>
      </c>
      <c r="J209" s="8">
        <v>0.95844907407407409</v>
      </c>
      <c r="K209" t="s">
        <v>984</v>
      </c>
      <c r="AQ209" t="s">
        <v>1206</v>
      </c>
      <c r="AR209" t="s">
        <v>1208</v>
      </c>
      <c r="AT209" t="s">
        <v>987</v>
      </c>
      <c r="AZ209" t="s">
        <v>1011</v>
      </c>
      <c r="BA209" t="s">
        <v>1031</v>
      </c>
      <c r="BB209" t="s">
        <v>1032</v>
      </c>
      <c r="BD209" t="s">
        <v>1005</v>
      </c>
      <c r="BE209" t="s">
        <v>64</v>
      </c>
    </row>
    <row r="210" spans="1:57" ht="13" x14ac:dyDescent="0.15">
      <c r="A210">
        <v>1839</v>
      </c>
      <c r="B210">
        <v>30372739</v>
      </c>
      <c r="C210" t="s">
        <v>64</v>
      </c>
      <c r="D210" s="7">
        <v>38735</v>
      </c>
      <c r="E210" s="7">
        <v>45702</v>
      </c>
      <c r="F210">
        <v>330862</v>
      </c>
      <c r="G210" t="s">
        <v>983</v>
      </c>
      <c r="H210" t="s">
        <v>9</v>
      </c>
      <c r="I210" s="7">
        <v>45636</v>
      </c>
      <c r="J210" s="8">
        <v>0.9627430555555555</v>
      </c>
      <c r="K210" t="s">
        <v>984</v>
      </c>
      <c r="AQ210" t="s">
        <v>1206</v>
      </c>
      <c r="AR210" t="s">
        <v>1131</v>
      </c>
      <c r="AT210" t="s">
        <v>987</v>
      </c>
      <c r="AZ210" t="s">
        <v>1020</v>
      </c>
      <c r="BA210" t="s">
        <v>1021</v>
      </c>
      <c r="BB210" t="s">
        <v>1018</v>
      </c>
      <c r="BD210" t="s">
        <v>1022</v>
      </c>
      <c r="BE210" t="s">
        <v>64</v>
      </c>
    </row>
    <row r="211" spans="1:57" ht="13" x14ac:dyDescent="0.15">
      <c r="A211">
        <v>1839</v>
      </c>
      <c r="B211">
        <v>30372739</v>
      </c>
      <c r="C211" t="s">
        <v>64</v>
      </c>
      <c r="D211" s="7">
        <v>38735</v>
      </c>
      <c r="E211" s="7">
        <v>45702</v>
      </c>
      <c r="F211">
        <v>330862</v>
      </c>
      <c r="G211" t="s">
        <v>983</v>
      </c>
      <c r="H211" t="s">
        <v>9</v>
      </c>
      <c r="I211" s="7">
        <v>45636</v>
      </c>
      <c r="J211" s="8">
        <v>0.96229166666666666</v>
      </c>
      <c r="K211" t="s">
        <v>984</v>
      </c>
      <c r="AQ211" t="s">
        <v>1206</v>
      </c>
      <c r="AR211" t="s">
        <v>1209</v>
      </c>
      <c r="AT211" t="s">
        <v>987</v>
      </c>
      <c r="AZ211" t="s">
        <v>1024</v>
      </c>
      <c r="BA211" t="s">
        <v>1025</v>
      </c>
      <c r="BB211" t="s">
        <v>1026</v>
      </c>
      <c r="BD211" t="s">
        <v>1022</v>
      </c>
      <c r="BE211" t="s">
        <v>64</v>
      </c>
    </row>
    <row r="212" spans="1:57" ht="13" x14ac:dyDescent="0.15">
      <c r="A212">
        <v>1839</v>
      </c>
      <c r="B212">
        <v>30372739</v>
      </c>
      <c r="C212" t="s">
        <v>64</v>
      </c>
      <c r="D212" s="7">
        <v>38735</v>
      </c>
      <c r="E212" s="7">
        <v>45702</v>
      </c>
      <c r="F212">
        <v>330862</v>
      </c>
      <c r="G212" t="s">
        <v>983</v>
      </c>
      <c r="H212" t="s">
        <v>9</v>
      </c>
      <c r="I212" s="7">
        <v>45636</v>
      </c>
      <c r="J212" s="8">
        <v>0.96061342592592591</v>
      </c>
      <c r="K212" t="s">
        <v>984</v>
      </c>
      <c r="AQ212" t="s">
        <v>1206</v>
      </c>
      <c r="AR212" t="s">
        <v>1210</v>
      </c>
      <c r="AT212" t="s">
        <v>1211</v>
      </c>
      <c r="BE212" t="s">
        <v>64</v>
      </c>
    </row>
    <row r="213" spans="1:57" ht="13" x14ac:dyDescent="0.15">
      <c r="A213">
        <v>1839</v>
      </c>
      <c r="B213">
        <v>30375955</v>
      </c>
      <c r="C213" t="s">
        <v>65</v>
      </c>
      <c r="D213" s="7">
        <v>40409</v>
      </c>
      <c r="E213" s="7">
        <v>45712</v>
      </c>
      <c r="F213">
        <v>330862</v>
      </c>
      <c r="G213" t="s">
        <v>983</v>
      </c>
      <c r="H213" t="s">
        <v>9</v>
      </c>
      <c r="I213" s="7">
        <v>45670</v>
      </c>
      <c r="J213" s="8">
        <v>0.68331018518518516</v>
      </c>
      <c r="K213" t="s">
        <v>984</v>
      </c>
      <c r="AQ213" t="s">
        <v>1089</v>
      </c>
      <c r="AR213" t="s">
        <v>1212</v>
      </c>
      <c r="AT213" t="s">
        <v>987</v>
      </c>
      <c r="AZ213" t="s">
        <v>1024</v>
      </c>
      <c r="BA213" t="s">
        <v>1047</v>
      </c>
      <c r="BB213" t="s">
        <v>1048</v>
      </c>
      <c r="BD213" t="s">
        <v>1014</v>
      </c>
      <c r="BE213" t="s">
        <v>65</v>
      </c>
    </row>
    <row r="214" spans="1:57" ht="13" x14ac:dyDescent="0.15">
      <c r="A214">
        <v>1839</v>
      </c>
      <c r="B214">
        <v>30375955</v>
      </c>
      <c r="C214" t="s">
        <v>65</v>
      </c>
      <c r="D214" s="7">
        <v>40409</v>
      </c>
      <c r="E214" s="7">
        <v>45712</v>
      </c>
      <c r="F214">
        <v>330862</v>
      </c>
      <c r="G214" t="s">
        <v>983</v>
      </c>
      <c r="H214" t="s">
        <v>9</v>
      </c>
      <c r="I214" s="7">
        <v>45635</v>
      </c>
      <c r="J214" s="8">
        <v>0.6846875</v>
      </c>
      <c r="K214" t="s">
        <v>984</v>
      </c>
      <c r="AQ214" t="s">
        <v>1089</v>
      </c>
      <c r="AR214" t="s">
        <v>1098</v>
      </c>
      <c r="AT214" t="s">
        <v>987</v>
      </c>
      <c r="AZ214" t="s">
        <v>1020</v>
      </c>
      <c r="BA214" t="s">
        <v>1021</v>
      </c>
      <c r="BB214" t="s">
        <v>1018</v>
      </c>
      <c r="BD214" t="s">
        <v>1022</v>
      </c>
      <c r="BE214" t="s">
        <v>65</v>
      </c>
    </row>
    <row r="215" spans="1:57" ht="13" x14ac:dyDescent="0.15">
      <c r="A215">
        <v>1839</v>
      </c>
      <c r="B215">
        <v>30375955</v>
      </c>
      <c r="C215" t="s">
        <v>65</v>
      </c>
      <c r="D215" s="7">
        <v>40409</v>
      </c>
      <c r="E215" s="7">
        <v>45712</v>
      </c>
      <c r="F215">
        <v>330862</v>
      </c>
      <c r="G215" t="s">
        <v>983</v>
      </c>
      <c r="H215" t="s">
        <v>9</v>
      </c>
      <c r="I215" s="7">
        <v>45628</v>
      </c>
      <c r="J215" s="8">
        <v>0.6852314814814815</v>
      </c>
      <c r="K215" t="s">
        <v>984</v>
      </c>
      <c r="AQ215" t="s">
        <v>1089</v>
      </c>
      <c r="AR215" t="s">
        <v>1213</v>
      </c>
      <c r="AT215" t="s">
        <v>987</v>
      </c>
      <c r="AZ215" t="s">
        <v>1028</v>
      </c>
      <c r="BA215" t="s">
        <v>1029</v>
      </c>
      <c r="BB215" t="s">
        <v>1018</v>
      </c>
      <c r="BD215" t="s">
        <v>1022</v>
      </c>
      <c r="BE215" t="s">
        <v>65</v>
      </c>
    </row>
    <row r="216" spans="1:57" ht="13" x14ac:dyDescent="0.15">
      <c r="A216">
        <v>1839</v>
      </c>
      <c r="B216">
        <v>30375955</v>
      </c>
      <c r="C216" t="s">
        <v>65</v>
      </c>
      <c r="D216" s="7">
        <v>40409</v>
      </c>
      <c r="E216" s="7">
        <v>45712</v>
      </c>
      <c r="F216">
        <v>330862</v>
      </c>
      <c r="G216" t="s">
        <v>983</v>
      </c>
      <c r="H216" t="s">
        <v>9</v>
      </c>
      <c r="I216" s="7">
        <v>45621</v>
      </c>
      <c r="J216" s="8">
        <v>0.6852893518518518</v>
      </c>
      <c r="K216" t="s">
        <v>984</v>
      </c>
      <c r="AQ216" t="s">
        <v>1089</v>
      </c>
      <c r="AR216" t="s">
        <v>1214</v>
      </c>
      <c r="AT216" t="s">
        <v>987</v>
      </c>
      <c r="AZ216" t="s">
        <v>1215</v>
      </c>
      <c r="BA216" t="s">
        <v>1216</v>
      </c>
      <c r="BB216" t="s">
        <v>1217</v>
      </c>
      <c r="BD216" t="s">
        <v>1022</v>
      </c>
      <c r="BE216" t="s">
        <v>65</v>
      </c>
    </row>
    <row r="217" spans="1:57" ht="13" x14ac:dyDescent="0.15">
      <c r="A217">
        <v>1839</v>
      </c>
      <c r="B217">
        <v>30375955</v>
      </c>
      <c r="C217" t="s">
        <v>65</v>
      </c>
      <c r="D217" s="7">
        <v>40409</v>
      </c>
      <c r="E217" s="7">
        <v>45712</v>
      </c>
      <c r="F217">
        <v>330862</v>
      </c>
      <c r="G217" t="s">
        <v>983</v>
      </c>
      <c r="H217" t="s">
        <v>9</v>
      </c>
      <c r="I217" s="7">
        <v>45691</v>
      </c>
      <c r="J217" s="8">
        <v>0.68699074074074074</v>
      </c>
      <c r="K217" t="s">
        <v>984</v>
      </c>
      <c r="AQ217" t="s">
        <v>1089</v>
      </c>
      <c r="AR217" t="s">
        <v>1066</v>
      </c>
      <c r="AT217" t="s">
        <v>987</v>
      </c>
      <c r="AZ217" t="s">
        <v>988</v>
      </c>
      <c r="BA217" t="s">
        <v>989</v>
      </c>
      <c r="BB217" t="s">
        <v>990</v>
      </c>
      <c r="BD217" t="s">
        <v>991</v>
      </c>
      <c r="BE217" t="s">
        <v>65</v>
      </c>
    </row>
    <row r="218" spans="1:57" ht="13" x14ac:dyDescent="0.15">
      <c r="A218">
        <v>1839</v>
      </c>
      <c r="B218">
        <v>30375955</v>
      </c>
      <c r="C218" t="s">
        <v>65</v>
      </c>
      <c r="D218" s="7">
        <v>40409</v>
      </c>
      <c r="E218" s="7">
        <v>45712</v>
      </c>
      <c r="F218">
        <v>330862</v>
      </c>
      <c r="G218" t="s">
        <v>983</v>
      </c>
      <c r="H218" t="s">
        <v>9</v>
      </c>
      <c r="I218" s="7">
        <v>45684</v>
      </c>
      <c r="J218" s="8">
        <v>0.68712962962962965</v>
      </c>
      <c r="K218" t="s">
        <v>984</v>
      </c>
      <c r="AQ218" t="s">
        <v>1089</v>
      </c>
      <c r="AR218" t="s">
        <v>1218</v>
      </c>
      <c r="AT218" t="s">
        <v>987</v>
      </c>
      <c r="AZ218" t="s">
        <v>1011</v>
      </c>
      <c r="BA218" t="s">
        <v>1012</v>
      </c>
      <c r="BB218" t="s">
        <v>1013</v>
      </c>
      <c r="BD218" t="s">
        <v>1014</v>
      </c>
      <c r="BE218" t="s">
        <v>65</v>
      </c>
    </row>
    <row r="219" spans="1:57" ht="13" x14ac:dyDescent="0.15">
      <c r="A219">
        <v>1839</v>
      </c>
      <c r="B219">
        <v>30375955</v>
      </c>
      <c r="C219" t="s">
        <v>65</v>
      </c>
      <c r="D219" s="7">
        <v>40409</v>
      </c>
      <c r="E219" s="7">
        <v>45712</v>
      </c>
      <c r="F219">
        <v>330862</v>
      </c>
      <c r="G219" t="s">
        <v>983</v>
      </c>
      <c r="H219" t="s">
        <v>9</v>
      </c>
      <c r="I219" s="7">
        <v>45698</v>
      </c>
      <c r="J219" s="8">
        <v>0.68555555555555558</v>
      </c>
      <c r="K219" t="s">
        <v>984</v>
      </c>
      <c r="AQ219" t="s">
        <v>1089</v>
      </c>
      <c r="AR219" t="s">
        <v>1219</v>
      </c>
      <c r="AT219" t="s">
        <v>987</v>
      </c>
      <c r="AZ219" t="s">
        <v>1220</v>
      </c>
      <c r="BA219" t="s">
        <v>1221</v>
      </c>
      <c r="BB219" t="s">
        <v>1082</v>
      </c>
      <c r="BD219" t="s">
        <v>991</v>
      </c>
      <c r="BE219" t="s">
        <v>65</v>
      </c>
    </row>
    <row r="220" spans="1:57" ht="13" x14ac:dyDescent="0.15">
      <c r="A220">
        <v>1839</v>
      </c>
      <c r="B220">
        <v>30375955</v>
      </c>
      <c r="C220" t="s">
        <v>65</v>
      </c>
      <c r="D220" s="7">
        <v>40409</v>
      </c>
      <c r="E220" s="7">
        <v>45712</v>
      </c>
      <c r="F220">
        <v>330862</v>
      </c>
      <c r="G220" t="s">
        <v>983</v>
      </c>
      <c r="H220" t="s">
        <v>9</v>
      </c>
      <c r="I220" s="7">
        <v>45712</v>
      </c>
      <c r="J220" s="8">
        <v>0.66697916666666668</v>
      </c>
      <c r="K220" t="s">
        <v>984</v>
      </c>
      <c r="AQ220" t="s">
        <v>1089</v>
      </c>
      <c r="AR220" t="s">
        <v>1181</v>
      </c>
      <c r="AT220" t="s">
        <v>987</v>
      </c>
      <c r="AZ220" t="s">
        <v>1182</v>
      </c>
      <c r="BA220" t="s">
        <v>1183</v>
      </c>
      <c r="BB220" t="s">
        <v>990</v>
      </c>
      <c r="BD220" t="s">
        <v>991</v>
      </c>
      <c r="BE220" t="s">
        <v>65</v>
      </c>
    </row>
    <row r="221" spans="1:57" ht="13" x14ac:dyDescent="0.15">
      <c r="A221">
        <v>1839</v>
      </c>
      <c r="B221">
        <v>30516885</v>
      </c>
      <c r="C221" t="s">
        <v>66</v>
      </c>
      <c r="D221" s="7">
        <v>40860</v>
      </c>
      <c r="E221" s="7">
        <v>45701</v>
      </c>
      <c r="F221">
        <v>330862</v>
      </c>
      <c r="G221" t="s">
        <v>983</v>
      </c>
      <c r="H221" t="s">
        <v>9</v>
      </c>
      <c r="I221" s="7">
        <v>45616</v>
      </c>
      <c r="J221" s="8">
        <v>0.6623148148148148</v>
      </c>
      <c r="K221" t="s">
        <v>984</v>
      </c>
      <c r="AQ221" t="s">
        <v>1113</v>
      </c>
      <c r="AR221" t="s">
        <v>1104</v>
      </c>
      <c r="AT221" t="s">
        <v>987</v>
      </c>
      <c r="AZ221" t="s">
        <v>1055</v>
      </c>
      <c r="BA221" t="s">
        <v>1056</v>
      </c>
      <c r="BB221" t="s">
        <v>1013</v>
      </c>
      <c r="BD221" t="s">
        <v>1022</v>
      </c>
      <c r="BE221" t="s">
        <v>66</v>
      </c>
    </row>
    <row r="222" spans="1:57" ht="13" x14ac:dyDescent="0.15">
      <c r="A222">
        <v>1839</v>
      </c>
      <c r="B222">
        <v>30516885</v>
      </c>
      <c r="C222" t="s">
        <v>66</v>
      </c>
      <c r="D222" s="7">
        <v>40860</v>
      </c>
      <c r="E222" s="7">
        <v>45701</v>
      </c>
      <c r="F222">
        <v>330862</v>
      </c>
      <c r="G222" t="s">
        <v>983</v>
      </c>
      <c r="H222" t="s">
        <v>9</v>
      </c>
      <c r="I222" s="7">
        <v>45695</v>
      </c>
      <c r="J222" s="8">
        <v>7.9178240740740743E-2</v>
      </c>
      <c r="K222" t="s">
        <v>984</v>
      </c>
      <c r="AQ222" t="s">
        <v>992</v>
      </c>
      <c r="AR222" t="s">
        <v>993</v>
      </c>
      <c r="AT222" t="s">
        <v>987</v>
      </c>
      <c r="AZ222" t="s">
        <v>988</v>
      </c>
      <c r="BA222" t="s">
        <v>989</v>
      </c>
      <c r="BB222" t="s">
        <v>990</v>
      </c>
      <c r="BD222" t="s">
        <v>991</v>
      </c>
      <c r="BE222" t="s">
        <v>66</v>
      </c>
    </row>
    <row r="223" spans="1:57" ht="13" x14ac:dyDescent="0.15">
      <c r="A223">
        <v>1839</v>
      </c>
      <c r="B223">
        <v>30520444</v>
      </c>
      <c r="C223" t="s">
        <v>67</v>
      </c>
      <c r="D223" s="7">
        <v>40167</v>
      </c>
      <c r="E223" s="7">
        <v>45696</v>
      </c>
      <c r="F223">
        <v>330862</v>
      </c>
      <c r="G223" t="s">
        <v>983</v>
      </c>
      <c r="H223" t="s">
        <v>9</v>
      </c>
      <c r="I223" s="7">
        <v>45694</v>
      </c>
      <c r="J223" s="8">
        <v>0.50843749999999999</v>
      </c>
      <c r="K223" t="s">
        <v>984</v>
      </c>
      <c r="AQ223" t="s">
        <v>1089</v>
      </c>
      <c r="AR223" t="s">
        <v>993</v>
      </c>
      <c r="AT223" t="s">
        <v>987</v>
      </c>
      <c r="AZ223" t="s">
        <v>988</v>
      </c>
      <c r="BA223" t="s">
        <v>989</v>
      </c>
      <c r="BB223" t="s">
        <v>990</v>
      </c>
      <c r="BD223" t="s">
        <v>991</v>
      </c>
      <c r="BE223" t="s">
        <v>67</v>
      </c>
    </row>
    <row r="224" spans="1:57" ht="13" x14ac:dyDescent="0.15">
      <c r="A224">
        <v>1839</v>
      </c>
      <c r="B224">
        <v>30521340</v>
      </c>
      <c r="C224" t="s">
        <v>68</v>
      </c>
      <c r="D224" s="7">
        <v>41285</v>
      </c>
      <c r="E224" s="7">
        <v>45694</v>
      </c>
      <c r="F224">
        <v>330862</v>
      </c>
      <c r="G224" t="s">
        <v>983</v>
      </c>
      <c r="H224" t="s">
        <v>9</v>
      </c>
      <c r="I224" s="7">
        <v>45636</v>
      </c>
      <c r="J224" s="8">
        <v>0.5254861111111111</v>
      </c>
      <c r="K224" t="s">
        <v>984</v>
      </c>
      <c r="AQ224" t="s">
        <v>992</v>
      </c>
      <c r="AR224" t="s">
        <v>1096</v>
      </c>
      <c r="AT224" t="s">
        <v>987</v>
      </c>
      <c r="AZ224" t="s">
        <v>1011</v>
      </c>
      <c r="BA224" t="s">
        <v>1031</v>
      </c>
      <c r="BB224" t="s">
        <v>1032</v>
      </c>
      <c r="BD224" t="s">
        <v>1005</v>
      </c>
      <c r="BE224" t="s">
        <v>68</v>
      </c>
    </row>
    <row r="225" spans="1:57" ht="13" x14ac:dyDescent="0.15">
      <c r="A225">
        <v>1839</v>
      </c>
      <c r="B225">
        <v>30521340</v>
      </c>
      <c r="C225" t="s">
        <v>68</v>
      </c>
      <c r="D225" s="7">
        <v>41285</v>
      </c>
      <c r="E225" s="7">
        <v>45694</v>
      </c>
      <c r="F225">
        <v>330862</v>
      </c>
      <c r="G225" t="s">
        <v>983</v>
      </c>
      <c r="H225" t="s">
        <v>9</v>
      </c>
      <c r="I225" s="7">
        <v>45694</v>
      </c>
      <c r="J225" s="8">
        <v>0.36856481481481479</v>
      </c>
      <c r="K225" t="s">
        <v>984</v>
      </c>
      <c r="AQ225" t="s">
        <v>992</v>
      </c>
      <c r="AR225" t="s">
        <v>1066</v>
      </c>
      <c r="AT225" t="s">
        <v>987</v>
      </c>
      <c r="AZ225" t="s">
        <v>988</v>
      </c>
      <c r="BA225" t="s">
        <v>989</v>
      </c>
      <c r="BB225" t="s">
        <v>990</v>
      </c>
      <c r="BD225" t="s">
        <v>991</v>
      </c>
      <c r="BE225" t="s">
        <v>68</v>
      </c>
    </row>
    <row r="226" spans="1:57" ht="13" x14ac:dyDescent="0.15">
      <c r="A226">
        <v>1839</v>
      </c>
      <c r="B226">
        <v>30524924</v>
      </c>
      <c r="C226" t="s">
        <v>69</v>
      </c>
      <c r="D226" s="7">
        <v>40208</v>
      </c>
      <c r="E226" s="7">
        <v>45713</v>
      </c>
      <c r="F226">
        <v>330862</v>
      </c>
      <c r="G226" t="s">
        <v>983</v>
      </c>
      <c r="H226" t="s">
        <v>9</v>
      </c>
      <c r="I226" s="7">
        <v>45695</v>
      </c>
      <c r="J226" s="8">
        <v>0.17621527777777779</v>
      </c>
      <c r="K226" t="s">
        <v>984</v>
      </c>
      <c r="AQ226" t="s">
        <v>1142</v>
      </c>
      <c r="AR226" t="s">
        <v>999</v>
      </c>
      <c r="AT226" t="s">
        <v>987</v>
      </c>
      <c r="AZ226" t="s">
        <v>988</v>
      </c>
      <c r="BA226" t="s">
        <v>989</v>
      </c>
      <c r="BB226" t="s">
        <v>990</v>
      </c>
      <c r="BD226" t="s">
        <v>991</v>
      </c>
      <c r="BE226" t="s">
        <v>69</v>
      </c>
    </row>
    <row r="227" spans="1:57" ht="13" x14ac:dyDescent="0.15">
      <c r="A227">
        <v>1839</v>
      </c>
      <c r="B227">
        <v>30524924</v>
      </c>
      <c r="C227" t="s">
        <v>69</v>
      </c>
      <c r="D227" s="7">
        <v>40208</v>
      </c>
      <c r="E227" s="7">
        <v>45713</v>
      </c>
      <c r="F227">
        <v>330862</v>
      </c>
      <c r="G227" t="s">
        <v>983</v>
      </c>
      <c r="H227" t="s">
        <v>9</v>
      </c>
      <c r="I227" s="7">
        <v>45675</v>
      </c>
      <c r="J227" s="8">
        <v>0.60364583333333333</v>
      </c>
      <c r="K227" t="s">
        <v>984</v>
      </c>
      <c r="AQ227" t="s">
        <v>1142</v>
      </c>
      <c r="AR227" t="s">
        <v>1095</v>
      </c>
      <c r="AT227" t="s">
        <v>987</v>
      </c>
      <c r="AZ227" t="s">
        <v>1002</v>
      </c>
      <c r="BA227" t="s">
        <v>1003</v>
      </c>
      <c r="BB227" t="s">
        <v>1004</v>
      </c>
      <c r="BD227" t="s">
        <v>1005</v>
      </c>
      <c r="BE227" t="s">
        <v>69</v>
      </c>
    </row>
    <row r="228" spans="1:57" ht="13" x14ac:dyDescent="0.15">
      <c r="A228">
        <v>1839</v>
      </c>
      <c r="B228">
        <v>30524924</v>
      </c>
      <c r="C228" t="s">
        <v>69</v>
      </c>
      <c r="D228" s="7">
        <v>40208</v>
      </c>
      <c r="E228" s="7">
        <v>45713</v>
      </c>
      <c r="F228">
        <v>330862</v>
      </c>
      <c r="G228" t="s">
        <v>983</v>
      </c>
      <c r="H228" t="s">
        <v>9</v>
      </c>
      <c r="I228" s="7">
        <v>45637</v>
      </c>
      <c r="J228" s="8">
        <v>3.7245370370370373E-2</v>
      </c>
      <c r="K228" t="s">
        <v>984</v>
      </c>
      <c r="AQ228" t="s">
        <v>1142</v>
      </c>
      <c r="AR228" t="s">
        <v>1222</v>
      </c>
      <c r="AT228" t="s">
        <v>987</v>
      </c>
      <c r="AZ228" t="s">
        <v>1011</v>
      </c>
      <c r="BA228" t="s">
        <v>1031</v>
      </c>
      <c r="BB228" t="s">
        <v>1032</v>
      </c>
      <c r="BD228" t="s">
        <v>1005</v>
      </c>
      <c r="BE228" t="s">
        <v>69</v>
      </c>
    </row>
    <row r="229" spans="1:57" ht="13" x14ac:dyDescent="0.15">
      <c r="A229">
        <v>1839</v>
      </c>
      <c r="B229">
        <v>30524924</v>
      </c>
      <c r="C229" t="s">
        <v>69</v>
      </c>
      <c r="D229" s="7">
        <v>40208</v>
      </c>
      <c r="E229" s="7">
        <v>45713</v>
      </c>
      <c r="F229">
        <v>330862</v>
      </c>
      <c r="G229" t="s">
        <v>983</v>
      </c>
      <c r="H229" t="s">
        <v>9</v>
      </c>
      <c r="I229" s="7">
        <v>45637</v>
      </c>
      <c r="J229" s="8">
        <v>3.8032407407407411E-2</v>
      </c>
      <c r="K229" t="s">
        <v>984</v>
      </c>
      <c r="AQ229" t="s">
        <v>1142</v>
      </c>
      <c r="AR229" t="s">
        <v>1223</v>
      </c>
      <c r="AT229" t="s">
        <v>987</v>
      </c>
      <c r="AZ229" t="s">
        <v>1028</v>
      </c>
      <c r="BA229" t="s">
        <v>1029</v>
      </c>
      <c r="BB229" t="s">
        <v>1018</v>
      </c>
      <c r="BD229" t="s">
        <v>1022</v>
      </c>
      <c r="BE229" t="s">
        <v>69</v>
      </c>
    </row>
    <row r="230" spans="1:57" ht="13" x14ac:dyDescent="0.15">
      <c r="A230">
        <v>1839</v>
      </c>
      <c r="B230">
        <v>30524924</v>
      </c>
      <c r="C230" t="s">
        <v>69</v>
      </c>
      <c r="D230" s="7">
        <v>40208</v>
      </c>
      <c r="E230" s="7">
        <v>45713</v>
      </c>
      <c r="F230">
        <v>330862</v>
      </c>
      <c r="G230" t="s">
        <v>983</v>
      </c>
      <c r="H230" t="s">
        <v>9</v>
      </c>
      <c r="I230" s="7">
        <v>45637</v>
      </c>
      <c r="J230" s="8">
        <v>4.3981481481481483E-2</v>
      </c>
      <c r="K230" t="s">
        <v>984</v>
      </c>
      <c r="AQ230" t="s">
        <v>1142</v>
      </c>
      <c r="AR230" t="s">
        <v>1224</v>
      </c>
      <c r="AT230" t="s">
        <v>987</v>
      </c>
      <c r="AZ230" t="s">
        <v>1024</v>
      </c>
      <c r="BA230" t="s">
        <v>1025</v>
      </c>
      <c r="BB230" t="s">
        <v>1026</v>
      </c>
      <c r="BD230" t="s">
        <v>1022</v>
      </c>
      <c r="BE230" t="s">
        <v>69</v>
      </c>
    </row>
    <row r="231" spans="1:57" ht="13" x14ac:dyDescent="0.15">
      <c r="A231">
        <v>1839</v>
      </c>
      <c r="B231">
        <v>30524924</v>
      </c>
      <c r="C231" t="s">
        <v>69</v>
      </c>
      <c r="D231" s="7">
        <v>40208</v>
      </c>
      <c r="E231" s="7">
        <v>45713</v>
      </c>
      <c r="F231">
        <v>330862</v>
      </c>
      <c r="G231" t="s">
        <v>983</v>
      </c>
      <c r="H231" t="s">
        <v>9</v>
      </c>
      <c r="I231" s="7">
        <v>45637</v>
      </c>
      <c r="J231" s="8">
        <v>4.8055555555555553E-2</v>
      </c>
      <c r="K231" t="s">
        <v>984</v>
      </c>
      <c r="AQ231" t="s">
        <v>1142</v>
      </c>
      <c r="AR231" t="s">
        <v>1225</v>
      </c>
      <c r="AT231" t="s">
        <v>987</v>
      </c>
      <c r="AZ231" t="s">
        <v>1020</v>
      </c>
      <c r="BA231" t="s">
        <v>1021</v>
      </c>
      <c r="BB231" t="s">
        <v>1018</v>
      </c>
      <c r="BD231" t="s">
        <v>1022</v>
      </c>
      <c r="BE231" t="s">
        <v>69</v>
      </c>
    </row>
    <row r="232" spans="1:57" ht="13" x14ac:dyDescent="0.15">
      <c r="A232">
        <v>1839</v>
      </c>
      <c r="B232">
        <v>30528291</v>
      </c>
      <c r="C232" t="s">
        <v>70</v>
      </c>
      <c r="D232" s="7">
        <v>40633</v>
      </c>
      <c r="E232" s="7">
        <v>45713</v>
      </c>
      <c r="F232">
        <v>330862</v>
      </c>
      <c r="G232" t="s">
        <v>983</v>
      </c>
      <c r="H232" t="s">
        <v>9</v>
      </c>
      <c r="I232" s="7">
        <v>45694</v>
      </c>
      <c r="J232" s="8">
        <v>0.52249999999999996</v>
      </c>
      <c r="K232" t="s">
        <v>984</v>
      </c>
      <c r="AQ232" t="s">
        <v>985</v>
      </c>
      <c r="AR232" t="s">
        <v>986</v>
      </c>
      <c r="AT232" t="s">
        <v>987</v>
      </c>
      <c r="AZ232" t="s">
        <v>988</v>
      </c>
      <c r="BA232" t="s">
        <v>989</v>
      </c>
      <c r="BB232" t="s">
        <v>990</v>
      </c>
      <c r="BD232" t="s">
        <v>991</v>
      </c>
      <c r="BE232" t="s">
        <v>70</v>
      </c>
    </row>
    <row r="233" spans="1:57" ht="13" x14ac:dyDescent="0.15">
      <c r="A233">
        <v>1839</v>
      </c>
      <c r="B233">
        <v>30531435</v>
      </c>
      <c r="C233" t="s">
        <v>71</v>
      </c>
      <c r="D233" s="7">
        <v>40630</v>
      </c>
      <c r="E233" s="7">
        <v>45696</v>
      </c>
      <c r="F233">
        <v>330862</v>
      </c>
      <c r="G233" t="s">
        <v>983</v>
      </c>
      <c r="H233" t="s">
        <v>9</v>
      </c>
      <c r="I233" s="7">
        <v>45694</v>
      </c>
      <c r="J233" s="8">
        <v>0.62452546296296296</v>
      </c>
      <c r="K233" t="s">
        <v>984</v>
      </c>
      <c r="AQ233" t="s">
        <v>1089</v>
      </c>
      <c r="AR233" t="s">
        <v>993</v>
      </c>
      <c r="AT233" t="s">
        <v>987</v>
      </c>
      <c r="AZ233" t="s">
        <v>988</v>
      </c>
      <c r="BA233" t="s">
        <v>989</v>
      </c>
      <c r="BB233" t="s">
        <v>990</v>
      </c>
      <c r="BD233" t="s">
        <v>991</v>
      </c>
      <c r="BE233" t="s">
        <v>71</v>
      </c>
    </row>
    <row r="234" spans="1:57" ht="13" x14ac:dyDescent="0.15">
      <c r="A234">
        <v>1839</v>
      </c>
      <c r="B234">
        <v>30535203</v>
      </c>
      <c r="C234" t="s">
        <v>72</v>
      </c>
      <c r="D234" s="7">
        <v>40950</v>
      </c>
      <c r="E234" s="7">
        <v>45713</v>
      </c>
      <c r="F234">
        <v>330862</v>
      </c>
      <c r="G234" t="s">
        <v>983</v>
      </c>
      <c r="H234" t="s">
        <v>9</v>
      </c>
      <c r="I234" s="7">
        <v>45710</v>
      </c>
      <c r="J234" s="8">
        <v>0.94849537037037035</v>
      </c>
      <c r="K234" t="s">
        <v>984</v>
      </c>
      <c r="AQ234" t="s">
        <v>1206</v>
      </c>
      <c r="AR234" t="s">
        <v>1194</v>
      </c>
      <c r="AT234" t="s">
        <v>987</v>
      </c>
      <c r="AZ234" t="s">
        <v>1080</v>
      </c>
      <c r="BA234" t="s">
        <v>1081</v>
      </c>
      <c r="BB234" t="s">
        <v>1082</v>
      </c>
      <c r="BD234" t="s">
        <v>991</v>
      </c>
      <c r="BE234" t="s">
        <v>72</v>
      </c>
    </row>
    <row r="235" spans="1:57" ht="13" x14ac:dyDescent="0.15">
      <c r="A235">
        <v>1839</v>
      </c>
      <c r="B235">
        <v>30535203</v>
      </c>
      <c r="C235" t="s">
        <v>72</v>
      </c>
      <c r="D235" s="7">
        <v>40950</v>
      </c>
      <c r="E235" s="7">
        <v>45713</v>
      </c>
      <c r="F235">
        <v>330862</v>
      </c>
      <c r="G235" t="s">
        <v>983</v>
      </c>
      <c r="H235" t="s">
        <v>9</v>
      </c>
      <c r="I235" s="7">
        <v>45711</v>
      </c>
      <c r="J235" s="8">
        <v>0.64265046296296291</v>
      </c>
      <c r="K235" t="s">
        <v>984</v>
      </c>
      <c r="AQ235" t="s">
        <v>1206</v>
      </c>
      <c r="AR235" t="s">
        <v>1193</v>
      </c>
      <c r="AT235" t="s">
        <v>987</v>
      </c>
      <c r="AZ235" t="s">
        <v>1028</v>
      </c>
      <c r="BA235" t="s">
        <v>1037</v>
      </c>
      <c r="BB235" t="s">
        <v>1038</v>
      </c>
      <c r="BD235" t="s">
        <v>991</v>
      </c>
      <c r="BE235" t="s">
        <v>72</v>
      </c>
    </row>
    <row r="236" spans="1:57" ht="13" x14ac:dyDescent="0.15">
      <c r="A236">
        <v>1839</v>
      </c>
      <c r="B236">
        <v>30535203</v>
      </c>
      <c r="C236" t="s">
        <v>72</v>
      </c>
      <c r="D236" s="7">
        <v>40950</v>
      </c>
      <c r="E236" s="7">
        <v>45713</v>
      </c>
      <c r="F236">
        <v>330862</v>
      </c>
      <c r="G236" t="s">
        <v>983</v>
      </c>
      <c r="H236" t="s">
        <v>9</v>
      </c>
      <c r="I236" s="7">
        <v>45711</v>
      </c>
      <c r="J236" s="8">
        <v>0.66809027777777774</v>
      </c>
      <c r="K236" t="s">
        <v>984</v>
      </c>
      <c r="AQ236" t="s">
        <v>1206</v>
      </c>
      <c r="AR236" t="s">
        <v>1226</v>
      </c>
      <c r="AT236" t="s">
        <v>987</v>
      </c>
      <c r="AZ236" t="s">
        <v>1002</v>
      </c>
      <c r="BA236" t="s">
        <v>1040</v>
      </c>
      <c r="BB236" t="s">
        <v>1041</v>
      </c>
      <c r="BD236" t="s">
        <v>991</v>
      </c>
      <c r="BE236" t="s">
        <v>72</v>
      </c>
    </row>
    <row r="237" spans="1:57" ht="13" x14ac:dyDescent="0.15">
      <c r="A237">
        <v>1839</v>
      </c>
      <c r="B237">
        <v>30535203</v>
      </c>
      <c r="C237" t="s">
        <v>72</v>
      </c>
      <c r="D237" s="7">
        <v>40950</v>
      </c>
      <c r="E237" s="7">
        <v>45713</v>
      </c>
      <c r="F237">
        <v>330862</v>
      </c>
      <c r="G237" t="s">
        <v>983</v>
      </c>
      <c r="H237" t="s">
        <v>9</v>
      </c>
      <c r="I237" s="7">
        <v>45711</v>
      </c>
      <c r="J237" s="8">
        <v>0.87100694444444449</v>
      </c>
      <c r="K237" t="s">
        <v>984</v>
      </c>
      <c r="AQ237" t="s">
        <v>1206</v>
      </c>
      <c r="AR237" t="s">
        <v>1192</v>
      </c>
      <c r="AT237" t="s">
        <v>987</v>
      </c>
      <c r="AZ237" t="s">
        <v>1174</v>
      </c>
      <c r="BA237" t="s">
        <v>1175</v>
      </c>
      <c r="BB237" t="s">
        <v>990</v>
      </c>
      <c r="BD237" t="s">
        <v>991</v>
      </c>
      <c r="BE237" t="s">
        <v>72</v>
      </c>
    </row>
    <row r="238" spans="1:57" ht="13" x14ac:dyDescent="0.15">
      <c r="A238">
        <v>1839</v>
      </c>
      <c r="B238">
        <v>30535203</v>
      </c>
      <c r="C238" t="s">
        <v>72</v>
      </c>
      <c r="D238" s="7">
        <v>40950</v>
      </c>
      <c r="E238" s="7">
        <v>45713</v>
      </c>
      <c r="F238">
        <v>330862</v>
      </c>
      <c r="G238" t="s">
        <v>983</v>
      </c>
      <c r="H238" t="s">
        <v>9</v>
      </c>
      <c r="I238" s="7">
        <v>45711</v>
      </c>
      <c r="J238" s="8">
        <v>0.90737268518518521</v>
      </c>
      <c r="K238" t="s">
        <v>984</v>
      </c>
      <c r="AQ238" t="s">
        <v>1206</v>
      </c>
      <c r="AR238" t="s">
        <v>1227</v>
      </c>
      <c r="AT238" t="s">
        <v>987</v>
      </c>
      <c r="AZ238" t="s">
        <v>988</v>
      </c>
      <c r="BA238" t="s">
        <v>1035</v>
      </c>
      <c r="BB238" t="s">
        <v>1026</v>
      </c>
      <c r="BD238" t="s">
        <v>991</v>
      </c>
      <c r="BE238" t="s">
        <v>72</v>
      </c>
    </row>
    <row r="239" spans="1:57" ht="13" x14ac:dyDescent="0.15">
      <c r="A239">
        <v>1839</v>
      </c>
      <c r="B239">
        <v>30535203</v>
      </c>
      <c r="C239" t="s">
        <v>72</v>
      </c>
      <c r="D239" s="7">
        <v>40950</v>
      </c>
      <c r="E239" s="7">
        <v>45713</v>
      </c>
      <c r="F239">
        <v>330862</v>
      </c>
      <c r="G239" t="s">
        <v>983</v>
      </c>
      <c r="H239" t="s">
        <v>9</v>
      </c>
      <c r="I239" s="7">
        <v>45710</v>
      </c>
      <c r="J239" s="8">
        <v>0.9127777777777778</v>
      </c>
      <c r="K239" t="s">
        <v>984</v>
      </c>
      <c r="AQ239" t="s">
        <v>1206</v>
      </c>
      <c r="AR239" t="s">
        <v>1181</v>
      </c>
      <c r="AT239" t="s">
        <v>987</v>
      </c>
      <c r="AZ239" t="s">
        <v>1182</v>
      </c>
      <c r="BA239" t="s">
        <v>1183</v>
      </c>
      <c r="BB239" t="s">
        <v>990</v>
      </c>
      <c r="BD239" t="s">
        <v>991</v>
      </c>
      <c r="BE239" t="s">
        <v>72</v>
      </c>
    </row>
    <row r="240" spans="1:57" ht="13" x14ac:dyDescent="0.15">
      <c r="A240">
        <v>1839</v>
      </c>
      <c r="B240">
        <v>30535203</v>
      </c>
      <c r="C240" t="s">
        <v>72</v>
      </c>
      <c r="D240" s="7">
        <v>40950</v>
      </c>
      <c r="E240" s="7">
        <v>45713</v>
      </c>
      <c r="F240">
        <v>330862</v>
      </c>
      <c r="G240" t="s">
        <v>983</v>
      </c>
      <c r="H240" t="s">
        <v>9</v>
      </c>
      <c r="I240" s="7">
        <v>45710</v>
      </c>
      <c r="J240" s="8">
        <v>0.92790509259259257</v>
      </c>
      <c r="K240" t="s">
        <v>984</v>
      </c>
      <c r="AQ240" t="s">
        <v>1206</v>
      </c>
      <c r="AR240" t="s">
        <v>1228</v>
      </c>
      <c r="AT240" t="s">
        <v>987</v>
      </c>
      <c r="AZ240" t="s">
        <v>1220</v>
      </c>
      <c r="BA240" t="s">
        <v>1221</v>
      </c>
      <c r="BB240" t="s">
        <v>1082</v>
      </c>
      <c r="BD240" t="s">
        <v>991</v>
      </c>
      <c r="BE240" t="s">
        <v>72</v>
      </c>
    </row>
    <row r="241" spans="1:57" ht="13" x14ac:dyDescent="0.15">
      <c r="A241">
        <v>1839</v>
      </c>
      <c r="B241">
        <v>30535203</v>
      </c>
      <c r="C241" t="s">
        <v>72</v>
      </c>
      <c r="D241" s="7">
        <v>40950</v>
      </c>
      <c r="E241" s="7">
        <v>45713</v>
      </c>
      <c r="F241">
        <v>330862</v>
      </c>
      <c r="G241" t="s">
        <v>983</v>
      </c>
      <c r="H241" t="s">
        <v>9</v>
      </c>
      <c r="I241" s="7">
        <v>45676</v>
      </c>
      <c r="J241" s="8">
        <v>0.95591435185185181</v>
      </c>
      <c r="K241" t="s">
        <v>984</v>
      </c>
      <c r="AQ241" t="s">
        <v>1206</v>
      </c>
      <c r="AR241" t="s">
        <v>1229</v>
      </c>
      <c r="AT241" t="s">
        <v>987</v>
      </c>
      <c r="AZ241" t="s">
        <v>1020</v>
      </c>
      <c r="BA241" t="s">
        <v>1230</v>
      </c>
      <c r="BB241" t="s">
        <v>1018</v>
      </c>
      <c r="BD241" t="s">
        <v>1005</v>
      </c>
      <c r="BE241" t="s">
        <v>72</v>
      </c>
    </row>
    <row r="242" spans="1:57" ht="13" x14ac:dyDescent="0.15">
      <c r="A242">
        <v>1839</v>
      </c>
      <c r="B242">
        <v>30535203</v>
      </c>
      <c r="C242" t="s">
        <v>72</v>
      </c>
      <c r="D242" s="7">
        <v>40950</v>
      </c>
      <c r="E242" s="7">
        <v>45713</v>
      </c>
      <c r="F242">
        <v>330862</v>
      </c>
      <c r="G242" t="s">
        <v>983</v>
      </c>
      <c r="H242" t="s">
        <v>9</v>
      </c>
      <c r="I242" s="7">
        <v>45676</v>
      </c>
      <c r="J242" s="8">
        <v>0.94730324074074079</v>
      </c>
      <c r="K242" t="s">
        <v>984</v>
      </c>
      <c r="AQ242" t="s">
        <v>1206</v>
      </c>
      <c r="AR242" t="s">
        <v>1231</v>
      </c>
      <c r="AT242" t="s">
        <v>987</v>
      </c>
      <c r="AZ242" t="s">
        <v>988</v>
      </c>
      <c r="BA242" t="s">
        <v>1058</v>
      </c>
      <c r="BB242" t="s">
        <v>1018</v>
      </c>
      <c r="BD242" t="s">
        <v>1005</v>
      </c>
      <c r="BE242" t="s">
        <v>72</v>
      </c>
    </row>
    <row r="243" spans="1:57" ht="13" x14ac:dyDescent="0.15">
      <c r="A243">
        <v>1839</v>
      </c>
      <c r="B243">
        <v>30535203</v>
      </c>
      <c r="C243" t="s">
        <v>72</v>
      </c>
      <c r="D243" s="7">
        <v>40950</v>
      </c>
      <c r="E243" s="7">
        <v>45713</v>
      </c>
      <c r="F243">
        <v>330862</v>
      </c>
      <c r="G243" t="s">
        <v>983</v>
      </c>
      <c r="H243" t="s">
        <v>9</v>
      </c>
      <c r="I243" s="7">
        <v>45676</v>
      </c>
      <c r="J243" s="8">
        <v>0.92027777777777775</v>
      </c>
      <c r="K243" t="s">
        <v>984</v>
      </c>
      <c r="AQ243" t="s">
        <v>1206</v>
      </c>
      <c r="AR243" t="s">
        <v>1107</v>
      </c>
      <c r="AT243" t="s">
        <v>987</v>
      </c>
      <c r="AZ243" t="s">
        <v>1007</v>
      </c>
      <c r="BA243" t="s">
        <v>1008</v>
      </c>
      <c r="BB243" t="s">
        <v>990</v>
      </c>
      <c r="BD243" t="s">
        <v>1005</v>
      </c>
      <c r="BE243" t="s">
        <v>72</v>
      </c>
    </row>
    <row r="244" spans="1:57" ht="13" x14ac:dyDescent="0.15">
      <c r="A244">
        <v>1839</v>
      </c>
      <c r="B244">
        <v>30535203</v>
      </c>
      <c r="C244" t="s">
        <v>72</v>
      </c>
      <c r="D244" s="7">
        <v>40950</v>
      </c>
      <c r="E244" s="7">
        <v>45713</v>
      </c>
      <c r="F244">
        <v>330862</v>
      </c>
      <c r="G244" t="s">
        <v>983</v>
      </c>
      <c r="H244" t="s">
        <v>9</v>
      </c>
      <c r="I244" s="7">
        <v>45674</v>
      </c>
      <c r="J244" s="8">
        <v>0.98375000000000001</v>
      </c>
      <c r="K244" t="s">
        <v>984</v>
      </c>
      <c r="AQ244" t="s">
        <v>1206</v>
      </c>
      <c r="AR244" t="s">
        <v>1107</v>
      </c>
      <c r="AT244" t="s">
        <v>987</v>
      </c>
      <c r="AZ244" t="s">
        <v>1007</v>
      </c>
      <c r="BA244" t="s">
        <v>1008</v>
      </c>
      <c r="BB244" t="s">
        <v>990</v>
      </c>
      <c r="BD244" t="s">
        <v>1005</v>
      </c>
      <c r="BE244" t="s">
        <v>72</v>
      </c>
    </row>
    <row r="245" spans="1:57" ht="13" x14ac:dyDescent="0.15">
      <c r="A245">
        <v>1839</v>
      </c>
      <c r="B245">
        <v>30535203</v>
      </c>
      <c r="C245" t="s">
        <v>72</v>
      </c>
      <c r="D245" s="7">
        <v>40950</v>
      </c>
      <c r="E245" s="7">
        <v>45713</v>
      </c>
      <c r="F245">
        <v>330862</v>
      </c>
      <c r="G245" t="s">
        <v>983</v>
      </c>
      <c r="H245" t="s">
        <v>9</v>
      </c>
      <c r="I245" s="7">
        <v>45674</v>
      </c>
      <c r="J245" s="8">
        <v>0.97521990740740738</v>
      </c>
      <c r="K245" t="s">
        <v>984</v>
      </c>
      <c r="AQ245" t="s">
        <v>1206</v>
      </c>
      <c r="AR245" t="s">
        <v>1232</v>
      </c>
      <c r="AT245" t="s">
        <v>987</v>
      </c>
      <c r="AZ245" t="s">
        <v>1071</v>
      </c>
      <c r="BA245" t="s">
        <v>1072</v>
      </c>
      <c r="BB245" t="s">
        <v>1048</v>
      </c>
      <c r="BD245" t="s">
        <v>1005</v>
      </c>
      <c r="BE245" t="s">
        <v>72</v>
      </c>
    </row>
    <row r="246" spans="1:57" ht="13" x14ac:dyDescent="0.15">
      <c r="A246">
        <v>1839</v>
      </c>
      <c r="B246">
        <v>30535203</v>
      </c>
      <c r="C246" t="s">
        <v>72</v>
      </c>
      <c r="D246" s="7">
        <v>40950</v>
      </c>
      <c r="E246" s="7">
        <v>45713</v>
      </c>
      <c r="F246">
        <v>330862</v>
      </c>
      <c r="G246" t="s">
        <v>983</v>
      </c>
      <c r="H246" t="s">
        <v>9</v>
      </c>
      <c r="I246" s="7">
        <v>45674</v>
      </c>
      <c r="J246" s="8">
        <v>0.96359953703703705</v>
      </c>
      <c r="K246" t="s">
        <v>984</v>
      </c>
      <c r="AQ246" t="s">
        <v>1206</v>
      </c>
      <c r="AR246" t="s">
        <v>1200</v>
      </c>
      <c r="AT246" t="s">
        <v>987</v>
      </c>
      <c r="AZ246" t="s">
        <v>1028</v>
      </c>
      <c r="BA246" t="s">
        <v>1068</v>
      </c>
      <c r="BB246" t="s">
        <v>1069</v>
      </c>
      <c r="BD246" t="s">
        <v>1005</v>
      </c>
      <c r="BE246" t="s">
        <v>72</v>
      </c>
    </row>
    <row r="247" spans="1:57" ht="13" x14ac:dyDescent="0.15">
      <c r="A247">
        <v>1839</v>
      </c>
      <c r="B247">
        <v>30535203</v>
      </c>
      <c r="C247" t="s">
        <v>72</v>
      </c>
      <c r="D247" s="7">
        <v>40950</v>
      </c>
      <c r="E247" s="7">
        <v>45713</v>
      </c>
      <c r="F247">
        <v>330862</v>
      </c>
      <c r="G247" t="s">
        <v>983</v>
      </c>
      <c r="H247" t="s">
        <v>9</v>
      </c>
      <c r="I247" s="7">
        <v>45674</v>
      </c>
      <c r="J247" s="8">
        <v>0.9561574074074074</v>
      </c>
      <c r="K247" t="s">
        <v>984</v>
      </c>
      <c r="AQ247" t="s">
        <v>1206</v>
      </c>
      <c r="AR247" t="s">
        <v>1107</v>
      </c>
      <c r="AT247" t="s">
        <v>987</v>
      </c>
      <c r="AZ247" t="s">
        <v>1007</v>
      </c>
      <c r="BA247" t="s">
        <v>1008</v>
      </c>
      <c r="BB247" t="s">
        <v>990</v>
      </c>
      <c r="BD247" t="s">
        <v>1005</v>
      </c>
      <c r="BE247" t="s">
        <v>72</v>
      </c>
    </row>
    <row r="248" spans="1:57" ht="13" x14ac:dyDescent="0.15">
      <c r="A248">
        <v>1839</v>
      </c>
      <c r="B248">
        <v>30535203</v>
      </c>
      <c r="C248" t="s">
        <v>72</v>
      </c>
      <c r="D248" s="7">
        <v>40950</v>
      </c>
      <c r="E248" s="7">
        <v>45713</v>
      </c>
      <c r="F248">
        <v>330862</v>
      </c>
      <c r="G248" t="s">
        <v>983</v>
      </c>
      <c r="H248" t="s">
        <v>9</v>
      </c>
      <c r="I248" s="7">
        <v>45674</v>
      </c>
      <c r="J248" s="8">
        <v>0.94064814814814812</v>
      </c>
      <c r="K248" t="s">
        <v>984</v>
      </c>
      <c r="AQ248" t="s">
        <v>1206</v>
      </c>
      <c r="AR248" t="s">
        <v>1095</v>
      </c>
      <c r="AT248" t="s">
        <v>987</v>
      </c>
      <c r="AZ248" t="s">
        <v>1002</v>
      </c>
      <c r="BA248" t="s">
        <v>1003</v>
      </c>
      <c r="BB248" t="s">
        <v>1004</v>
      </c>
      <c r="BD248" t="s">
        <v>1005</v>
      </c>
      <c r="BE248" t="s">
        <v>72</v>
      </c>
    </row>
    <row r="249" spans="1:57" ht="13" x14ac:dyDescent="0.15">
      <c r="A249">
        <v>1839</v>
      </c>
      <c r="B249">
        <v>30535203</v>
      </c>
      <c r="C249" t="s">
        <v>72</v>
      </c>
      <c r="D249" s="7">
        <v>40950</v>
      </c>
      <c r="E249" s="7">
        <v>45713</v>
      </c>
      <c r="F249">
        <v>330862</v>
      </c>
      <c r="G249" t="s">
        <v>983</v>
      </c>
      <c r="H249" t="s">
        <v>9</v>
      </c>
      <c r="I249" s="7">
        <v>45674</v>
      </c>
      <c r="J249" s="8">
        <v>0.91674768518518523</v>
      </c>
      <c r="K249" t="s">
        <v>984</v>
      </c>
      <c r="AQ249" t="s">
        <v>1206</v>
      </c>
      <c r="AR249" t="s">
        <v>1105</v>
      </c>
      <c r="AT249" t="s">
        <v>987</v>
      </c>
      <c r="AZ249" t="s">
        <v>1044</v>
      </c>
      <c r="BA249" t="s">
        <v>1045</v>
      </c>
      <c r="BB249" t="s">
        <v>990</v>
      </c>
      <c r="BD249" t="s">
        <v>991</v>
      </c>
      <c r="BE249" t="s">
        <v>72</v>
      </c>
    </row>
    <row r="250" spans="1:57" ht="13" x14ac:dyDescent="0.15">
      <c r="A250">
        <v>1839</v>
      </c>
      <c r="B250">
        <v>30535203</v>
      </c>
      <c r="C250" t="s">
        <v>72</v>
      </c>
      <c r="D250" s="7">
        <v>40950</v>
      </c>
      <c r="E250" s="7">
        <v>45713</v>
      </c>
      <c r="F250">
        <v>330862</v>
      </c>
      <c r="G250" t="s">
        <v>983</v>
      </c>
      <c r="H250" t="s">
        <v>9</v>
      </c>
      <c r="I250" s="7">
        <v>45674</v>
      </c>
      <c r="J250" s="8">
        <v>0.90591435185185187</v>
      </c>
      <c r="K250" t="s">
        <v>984</v>
      </c>
      <c r="AQ250" t="s">
        <v>1206</v>
      </c>
      <c r="AR250" t="s">
        <v>1204</v>
      </c>
      <c r="AT250" t="s">
        <v>987</v>
      </c>
      <c r="AZ250" t="s">
        <v>1024</v>
      </c>
      <c r="BA250" t="s">
        <v>1047</v>
      </c>
      <c r="BB250" t="s">
        <v>1048</v>
      </c>
      <c r="BD250" t="s">
        <v>1014</v>
      </c>
      <c r="BE250" t="s">
        <v>72</v>
      </c>
    </row>
    <row r="251" spans="1:57" ht="13" x14ac:dyDescent="0.15">
      <c r="A251">
        <v>1839</v>
      </c>
      <c r="B251">
        <v>30535203</v>
      </c>
      <c r="C251" t="s">
        <v>72</v>
      </c>
      <c r="D251" s="7">
        <v>40950</v>
      </c>
      <c r="E251" s="7">
        <v>45713</v>
      </c>
      <c r="F251">
        <v>330862</v>
      </c>
      <c r="G251" t="s">
        <v>983</v>
      </c>
      <c r="H251" t="s">
        <v>9</v>
      </c>
      <c r="I251" s="7">
        <v>45677</v>
      </c>
      <c r="J251" s="8">
        <v>0.88462962962962965</v>
      </c>
      <c r="K251" t="s">
        <v>984</v>
      </c>
      <c r="AQ251" t="s">
        <v>1206</v>
      </c>
      <c r="AR251" t="s">
        <v>1233</v>
      </c>
      <c r="AT251" t="s">
        <v>987</v>
      </c>
      <c r="AZ251" t="s">
        <v>1139</v>
      </c>
      <c r="BA251" t="s">
        <v>1140</v>
      </c>
      <c r="BB251" t="s">
        <v>1032</v>
      </c>
      <c r="BD251" t="s">
        <v>1005</v>
      </c>
      <c r="BE251" t="s">
        <v>72</v>
      </c>
    </row>
    <row r="252" spans="1:57" ht="13" x14ac:dyDescent="0.15">
      <c r="A252">
        <v>1839</v>
      </c>
      <c r="B252">
        <v>30535203</v>
      </c>
      <c r="C252" t="s">
        <v>72</v>
      </c>
      <c r="D252" s="7">
        <v>40950</v>
      </c>
      <c r="E252" s="7">
        <v>45713</v>
      </c>
      <c r="F252">
        <v>330862</v>
      </c>
      <c r="G252" t="s">
        <v>983</v>
      </c>
      <c r="H252" t="s">
        <v>9</v>
      </c>
      <c r="I252" s="7">
        <v>45677</v>
      </c>
      <c r="J252" s="8">
        <v>0.90314814814814814</v>
      </c>
      <c r="K252" t="s">
        <v>984</v>
      </c>
      <c r="AQ252" t="s">
        <v>1206</v>
      </c>
      <c r="AR252" t="s">
        <v>1234</v>
      </c>
      <c r="AT252" t="s">
        <v>987</v>
      </c>
      <c r="AZ252" t="s">
        <v>1182</v>
      </c>
      <c r="BA252" t="s">
        <v>1188</v>
      </c>
      <c r="BB252" t="s">
        <v>1013</v>
      </c>
      <c r="BD252" t="s">
        <v>1005</v>
      </c>
      <c r="BE252" t="s">
        <v>72</v>
      </c>
    </row>
    <row r="253" spans="1:57" ht="13" x14ac:dyDescent="0.15">
      <c r="A253">
        <v>1839</v>
      </c>
      <c r="B253">
        <v>30535203</v>
      </c>
      <c r="C253" t="s">
        <v>72</v>
      </c>
      <c r="D253" s="7">
        <v>40950</v>
      </c>
      <c r="E253" s="7">
        <v>45713</v>
      </c>
      <c r="F253">
        <v>330862</v>
      </c>
      <c r="G253" t="s">
        <v>983</v>
      </c>
      <c r="H253" t="s">
        <v>9</v>
      </c>
      <c r="I253" s="7">
        <v>45678</v>
      </c>
      <c r="J253" s="8">
        <v>0.73495370370370372</v>
      </c>
      <c r="K253" t="s">
        <v>984</v>
      </c>
      <c r="AQ253" t="s">
        <v>1206</v>
      </c>
      <c r="AR253" t="s">
        <v>1235</v>
      </c>
      <c r="AT253" t="s">
        <v>987</v>
      </c>
      <c r="AZ253" t="s">
        <v>1028</v>
      </c>
      <c r="BA253" t="s">
        <v>1236</v>
      </c>
      <c r="BB253" t="s">
        <v>1237</v>
      </c>
      <c r="BD253" t="s">
        <v>1005</v>
      </c>
      <c r="BE253" t="s">
        <v>72</v>
      </c>
    </row>
    <row r="254" spans="1:57" ht="13" x14ac:dyDescent="0.15">
      <c r="A254">
        <v>1839</v>
      </c>
      <c r="B254">
        <v>30535203</v>
      </c>
      <c r="C254" t="s">
        <v>72</v>
      </c>
      <c r="D254" s="7">
        <v>40950</v>
      </c>
      <c r="E254" s="7">
        <v>45713</v>
      </c>
      <c r="F254">
        <v>330862</v>
      </c>
      <c r="G254" t="s">
        <v>983</v>
      </c>
      <c r="H254" t="s">
        <v>9</v>
      </c>
      <c r="I254" s="7">
        <v>45678</v>
      </c>
      <c r="J254" s="8">
        <v>0.74946759259259255</v>
      </c>
      <c r="K254" t="s">
        <v>984</v>
      </c>
      <c r="AQ254" t="s">
        <v>1206</v>
      </c>
      <c r="AR254" t="s">
        <v>1238</v>
      </c>
      <c r="AT254" t="s">
        <v>987</v>
      </c>
      <c r="AZ254" t="s">
        <v>1239</v>
      </c>
      <c r="BA254" t="s">
        <v>1240</v>
      </c>
      <c r="BB254" t="s">
        <v>1237</v>
      </c>
      <c r="BD254" t="s">
        <v>1005</v>
      </c>
      <c r="BE254" t="s">
        <v>72</v>
      </c>
    </row>
    <row r="255" spans="1:57" ht="13" x14ac:dyDescent="0.15">
      <c r="A255">
        <v>1839</v>
      </c>
      <c r="B255">
        <v>30535203</v>
      </c>
      <c r="C255" t="s">
        <v>72</v>
      </c>
      <c r="D255" s="7">
        <v>40950</v>
      </c>
      <c r="E255" s="7">
        <v>45713</v>
      </c>
      <c r="F255">
        <v>330862</v>
      </c>
      <c r="G255" t="s">
        <v>983</v>
      </c>
      <c r="H255" t="s">
        <v>9</v>
      </c>
      <c r="I255" s="7">
        <v>45678</v>
      </c>
      <c r="J255" s="8">
        <v>0.75760416666666663</v>
      </c>
      <c r="K255" t="s">
        <v>984</v>
      </c>
      <c r="AQ255" t="s">
        <v>1206</v>
      </c>
      <c r="AR255" t="s">
        <v>1241</v>
      </c>
      <c r="AT255" t="s">
        <v>987</v>
      </c>
      <c r="AZ255" t="s">
        <v>1174</v>
      </c>
      <c r="BA255" t="s">
        <v>1242</v>
      </c>
      <c r="BB255" t="s">
        <v>1026</v>
      </c>
      <c r="BD255" t="s">
        <v>1005</v>
      </c>
      <c r="BE255" t="s">
        <v>72</v>
      </c>
    </row>
    <row r="256" spans="1:57" ht="13" x14ac:dyDescent="0.15">
      <c r="A256">
        <v>1839</v>
      </c>
      <c r="B256">
        <v>30535203</v>
      </c>
      <c r="C256" t="s">
        <v>72</v>
      </c>
      <c r="D256" s="7">
        <v>40950</v>
      </c>
      <c r="E256" s="7">
        <v>45713</v>
      </c>
      <c r="F256">
        <v>330862</v>
      </c>
      <c r="G256" t="s">
        <v>983</v>
      </c>
      <c r="H256" t="s">
        <v>9</v>
      </c>
      <c r="I256" s="7">
        <v>45682</v>
      </c>
      <c r="J256" s="8">
        <v>0.81086805555555552</v>
      </c>
      <c r="K256" t="s">
        <v>984</v>
      </c>
      <c r="AQ256" t="s">
        <v>1206</v>
      </c>
      <c r="AR256" t="s">
        <v>1243</v>
      </c>
      <c r="AT256" t="s">
        <v>987</v>
      </c>
      <c r="AZ256" t="s">
        <v>1002</v>
      </c>
      <c r="BA256" t="s">
        <v>1124</v>
      </c>
      <c r="BB256" t="s">
        <v>1125</v>
      </c>
      <c r="BD256" t="s">
        <v>1005</v>
      </c>
      <c r="BE256" t="s">
        <v>72</v>
      </c>
    </row>
    <row r="257" spans="1:57" ht="13" x14ac:dyDescent="0.15">
      <c r="A257">
        <v>1839</v>
      </c>
      <c r="B257">
        <v>30535203</v>
      </c>
      <c r="C257" t="s">
        <v>72</v>
      </c>
      <c r="D257" s="7">
        <v>40950</v>
      </c>
      <c r="E257" s="7">
        <v>45713</v>
      </c>
      <c r="F257">
        <v>330862</v>
      </c>
      <c r="G257" t="s">
        <v>983</v>
      </c>
      <c r="H257" t="s">
        <v>9</v>
      </c>
      <c r="I257" s="7">
        <v>45682</v>
      </c>
      <c r="J257" s="8">
        <v>0.82611111111111113</v>
      </c>
      <c r="K257" t="s">
        <v>984</v>
      </c>
      <c r="AQ257" t="s">
        <v>1206</v>
      </c>
      <c r="AR257" t="s">
        <v>1244</v>
      </c>
      <c r="AT257" t="s">
        <v>987</v>
      </c>
      <c r="AZ257" t="s">
        <v>1024</v>
      </c>
      <c r="BA257" t="s">
        <v>1025</v>
      </c>
      <c r="BB257" t="s">
        <v>1026</v>
      </c>
      <c r="BD257" t="s">
        <v>1022</v>
      </c>
      <c r="BE257" t="s">
        <v>72</v>
      </c>
    </row>
    <row r="258" spans="1:57" ht="13" x14ac:dyDescent="0.15">
      <c r="A258">
        <v>1839</v>
      </c>
      <c r="B258">
        <v>30535203</v>
      </c>
      <c r="C258" t="s">
        <v>72</v>
      </c>
      <c r="D258" s="7">
        <v>40950</v>
      </c>
      <c r="E258" s="7">
        <v>45713</v>
      </c>
      <c r="F258">
        <v>330862</v>
      </c>
      <c r="G258" t="s">
        <v>983</v>
      </c>
      <c r="H258" t="s">
        <v>9</v>
      </c>
      <c r="I258" s="7">
        <v>45682</v>
      </c>
      <c r="J258" s="8">
        <v>0.83208333333333329</v>
      </c>
      <c r="K258" t="s">
        <v>984</v>
      </c>
      <c r="AQ258" t="s">
        <v>1206</v>
      </c>
      <c r="AR258" t="s">
        <v>1245</v>
      </c>
      <c r="AT258" t="s">
        <v>987</v>
      </c>
      <c r="AZ258" t="s">
        <v>1020</v>
      </c>
      <c r="BA258" t="s">
        <v>1021</v>
      </c>
      <c r="BB258" t="s">
        <v>1018</v>
      </c>
      <c r="BD258" t="s">
        <v>1022</v>
      </c>
      <c r="BE258" t="s">
        <v>72</v>
      </c>
    </row>
    <row r="259" spans="1:57" ht="13" x14ac:dyDescent="0.15">
      <c r="A259">
        <v>1839</v>
      </c>
      <c r="B259">
        <v>30535203</v>
      </c>
      <c r="C259" t="s">
        <v>72</v>
      </c>
      <c r="D259" s="7">
        <v>40950</v>
      </c>
      <c r="E259" s="7">
        <v>45713</v>
      </c>
      <c r="F259">
        <v>330862</v>
      </c>
      <c r="G259" t="s">
        <v>983</v>
      </c>
      <c r="H259" t="s">
        <v>9</v>
      </c>
      <c r="I259" s="7">
        <v>45682</v>
      </c>
      <c r="J259" s="8">
        <v>0.84487268518518521</v>
      </c>
      <c r="K259" t="s">
        <v>984</v>
      </c>
      <c r="AQ259" t="s">
        <v>1206</v>
      </c>
      <c r="AR259" t="s">
        <v>1246</v>
      </c>
      <c r="AT259" t="s">
        <v>987</v>
      </c>
      <c r="AZ259" t="s">
        <v>1028</v>
      </c>
      <c r="BA259" t="s">
        <v>1029</v>
      </c>
      <c r="BB259" t="s">
        <v>1018</v>
      </c>
      <c r="BD259" t="s">
        <v>1022</v>
      </c>
      <c r="BE259" t="s">
        <v>72</v>
      </c>
    </row>
    <row r="260" spans="1:57" ht="13" x14ac:dyDescent="0.15">
      <c r="A260">
        <v>1839</v>
      </c>
      <c r="B260">
        <v>30535203</v>
      </c>
      <c r="C260" t="s">
        <v>72</v>
      </c>
      <c r="D260" s="7">
        <v>40950</v>
      </c>
      <c r="E260" s="7">
        <v>45713</v>
      </c>
      <c r="F260">
        <v>330862</v>
      </c>
      <c r="G260" t="s">
        <v>983</v>
      </c>
      <c r="H260" t="s">
        <v>9</v>
      </c>
      <c r="I260" s="7">
        <v>45682</v>
      </c>
      <c r="J260" s="8">
        <v>0.92678240740740736</v>
      </c>
      <c r="K260" t="s">
        <v>984</v>
      </c>
      <c r="AQ260" t="s">
        <v>1206</v>
      </c>
      <c r="AR260" t="s">
        <v>1247</v>
      </c>
      <c r="AT260" t="s">
        <v>987</v>
      </c>
      <c r="AZ260" t="s">
        <v>1182</v>
      </c>
      <c r="BA260" t="s">
        <v>1185</v>
      </c>
      <c r="BB260" t="s">
        <v>1026</v>
      </c>
      <c r="BD260" t="s">
        <v>1022</v>
      </c>
      <c r="BE260" t="s">
        <v>72</v>
      </c>
    </row>
    <row r="261" spans="1:57" ht="13" x14ac:dyDescent="0.15">
      <c r="A261">
        <v>1839</v>
      </c>
      <c r="B261">
        <v>30535203</v>
      </c>
      <c r="C261" t="s">
        <v>72</v>
      </c>
      <c r="D261" s="7">
        <v>40950</v>
      </c>
      <c r="E261" s="7">
        <v>45713</v>
      </c>
      <c r="F261">
        <v>330862</v>
      </c>
      <c r="G261" t="s">
        <v>983</v>
      </c>
      <c r="H261" t="s">
        <v>9</v>
      </c>
      <c r="I261" s="7">
        <v>45682</v>
      </c>
      <c r="J261" s="8">
        <v>0.92906250000000001</v>
      </c>
      <c r="K261" t="s">
        <v>984</v>
      </c>
      <c r="AQ261" t="s">
        <v>1206</v>
      </c>
      <c r="AR261" t="s">
        <v>1248</v>
      </c>
      <c r="AT261" t="s">
        <v>987</v>
      </c>
      <c r="AZ261" t="s">
        <v>1055</v>
      </c>
      <c r="BA261" t="s">
        <v>1056</v>
      </c>
      <c r="BB261" t="s">
        <v>1013</v>
      </c>
      <c r="BD261" t="s">
        <v>1022</v>
      </c>
      <c r="BE261" t="s">
        <v>72</v>
      </c>
    </row>
    <row r="262" spans="1:57" ht="13" x14ac:dyDescent="0.15">
      <c r="A262">
        <v>1839</v>
      </c>
      <c r="B262">
        <v>30536447</v>
      </c>
      <c r="C262" t="s">
        <v>73</v>
      </c>
      <c r="D262" s="7">
        <v>41769</v>
      </c>
      <c r="E262" s="7">
        <v>45697</v>
      </c>
      <c r="F262">
        <v>330862</v>
      </c>
      <c r="G262" t="s">
        <v>983</v>
      </c>
      <c r="H262" t="s">
        <v>9</v>
      </c>
      <c r="I262" s="7">
        <v>45637</v>
      </c>
      <c r="J262" s="8">
        <v>0.77394675925925926</v>
      </c>
      <c r="K262" t="s">
        <v>984</v>
      </c>
      <c r="AQ262" t="s">
        <v>985</v>
      </c>
      <c r="AR262" t="s">
        <v>1249</v>
      </c>
      <c r="AT262" t="s">
        <v>987</v>
      </c>
      <c r="AZ262" t="s">
        <v>1024</v>
      </c>
      <c r="BA262" t="s">
        <v>1025</v>
      </c>
      <c r="BB262" t="s">
        <v>1026</v>
      </c>
      <c r="BD262" t="s">
        <v>1022</v>
      </c>
      <c r="BE262" t="s">
        <v>73</v>
      </c>
    </row>
    <row r="263" spans="1:57" ht="13" x14ac:dyDescent="0.15">
      <c r="A263">
        <v>1839</v>
      </c>
      <c r="B263">
        <v>30536447</v>
      </c>
      <c r="C263" t="s">
        <v>73</v>
      </c>
      <c r="D263" s="7">
        <v>41769</v>
      </c>
      <c r="E263" s="7">
        <v>45697</v>
      </c>
      <c r="F263">
        <v>330862</v>
      </c>
      <c r="G263" t="s">
        <v>983</v>
      </c>
      <c r="H263" t="s">
        <v>9</v>
      </c>
      <c r="I263" s="7">
        <v>45637</v>
      </c>
      <c r="J263" s="8">
        <v>0.77358796296296295</v>
      </c>
      <c r="K263" t="s">
        <v>984</v>
      </c>
      <c r="AQ263" t="s">
        <v>985</v>
      </c>
      <c r="AR263" t="s">
        <v>1250</v>
      </c>
      <c r="AT263" t="s">
        <v>987</v>
      </c>
      <c r="AZ263" t="s">
        <v>1028</v>
      </c>
      <c r="BA263" t="s">
        <v>1029</v>
      </c>
      <c r="BB263" t="s">
        <v>1018</v>
      </c>
      <c r="BD263" t="s">
        <v>1022</v>
      </c>
      <c r="BE263" t="s">
        <v>73</v>
      </c>
    </row>
    <row r="264" spans="1:57" ht="13" x14ac:dyDescent="0.15">
      <c r="A264">
        <v>1839</v>
      </c>
      <c r="B264">
        <v>30536447</v>
      </c>
      <c r="C264" t="s">
        <v>73</v>
      </c>
      <c r="D264" s="7">
        <v>41769</v>
      </c>
      <c r="E264" s="7">
        <v>45697</v>
      </c>
      <c r="F264">
        <v>330862</v>
      </c>
      <c r="G264" t="s">
        <v>983</v>
      </c>
      <c r="H264" t="s">
        <v>9</v>
      </c>
      <c r="I264" s="7">
        <v>45637</v>
      </c>
      <c r="J264" s="8">
        <v>0.77312499999999995</v>
      </c>
      <c r="K264" t="s">
        <v>984</v>
      </c>
      <c r="AQ264" t="s">
        <v>985</v>
      </c>
      <c r="AR264" t="s">
        <v>1108</v>
      </c>
      <c r="AT264" t="s">
        <v>987</v>
      </c>
      <c r="AZ264" t="s">
        <v>1011</v>
      </c>
      <c r="BA264" t="s">
        <v>1031</v>
      </c>
      <c r="BB264" t="s">
        <v>1032</v>
      </c>
      <c r="BD264" t="s">
        <v>1005</v>
      </c>
      <c r="BE264" t="s">
        <v>73</v>
      </c>
    </row>
    <row r="265" spans="1:57" ht="13" x14ac:dyDescent="0.15">
      <c r="A265">
        <v>1839</v>
      </c>
      <c r="B265">
        <v>30536447</v>
      </c>
      <c r="C265" t="s">
        <v>73</v>
      </c>
      <c r="D265" s="7">
        <v>41769</v>
      </c>
      <c r="E265" s="7">
        <v>45697</v>
      </c>
      <c r="F265">
        <v>330862</v>
      </c>
      <c r="G265" t="s">
        <v>983</v>
      </c>
      <c r="H265" t="s">
        <v>9</v>
      </c>
      <c r="I265" s="7">
        <v>45637</v>
      </c>
      <c r="J265" s="8">
        <v>0.78393518518518523</v>
      </c>
      <c r="K265" t="s">
        <v>984</v>
      </c>
      <c r="AQ265" t="s">
        <v>985</v>
      </c>
      <c r="AR265" t="s">
        <v>1179</v>
      </c>
      <c r="AT265" t="s">
        <v>987</v>
      </c>
      <c r="AZ265" t="s">
        <v>1020</v>
      </c>
      <c r="BA265" t="s">
        <v>1021</v>
      </c>
      <c r="BB265" t="s">
        <v>1018</v>
      </c>
      <c r="BD265" t="s">
        <v>1022</v>
      </c>
      <c r="BE265" t="s">
        <v>73</v>
      </c>
    </row>
    <row r="266" spans="1:57" ht="13" x14ac:dyDescent="0.15">
      <c r="A266">
        <v>1839</v>
      </c>
      <c r="B266">
        <v>30536447</v>
      </c>
      <c r="C266" t="s">
        <v>73</v>
      </c>
      <c r="D266" s="7">
        <v>41769</v>
      </c>
      <c r="E266" s="7">
        <v>45697</v>
      </c>
      <c r="F266">
        <v>330862</v>
      </c>
      <c r="G266" t="s">
        <v>983</v>
      </c>
      <c r="H266" t="s">
        <v>9</v>
      </c>
      <c r="I266" s="7">
        <v>45637</v>
      </c>
      <c r="J266" s="8">
        <v>0.7822337962962963</v>
      </c>
      <c r="K266" t="s">
        <v>984</v>
      </c>
      <c r="AQ266" t="s">
        <v>985</v>
      </c>
      <c r="AR266" t="s">
        <v>1249</v>
      </c>
      <c r="AT266" t="s">
        <v>987</v>
      </c>
      <c r="AZ266" t="s">
        <v>1024</v>
      </c>
      <c r="BA266" t="s">
        <v>1025</v>
      </c>
      <c r="BB266" t="s">
        <v>1026</v>
      </c>
      <c r="BD266" t="s">
        <v>1022</v>
      </c>
      <c r="BE266" t="s">
        <v>73</v>
      </c>
    </row>
    <row r="267" spans="1:57" ht="13" x14ac:dyDescent="0.15">
      <c r="A267">
        <v>1839</v>
      </c>
      <c r="B267">
        <v>30536447</v>
      </c>
      <c r="C267" t="s">
        <v>73</v>
      </c>
      <c r="D267" s="7">
        <v>41769</v>
      </c>
      <c r="E267" s="7">
        <v>45697</v>
      </c>
      <c r="F267">
        <v>330862</v>
      </c>
      <c r="G267" t="s">
        <v>983</v>
      </c>
      <c r="H267" t="s">
        <v>9</v>
      </c>
      <c r="I267" s="7">
        <v>45694</v>
      </c>
      <c r="J267" s="8">
        <v>0.50231481481481477</v>
      </c>
      <c r="K267" t="s">
        <v>984</v>
      </c>
      <c r="AQ267" t="s">
        <v>985</v>
      </c>
      <c r="AR267" t="s">
        <v>1066</v>
      </c>
      <c r="AT267" t="s">
        <v>987</v>
      </c>
      <c r="AZ267" t="s">
        <v>988</v>
      </c>
      <c r="BA267" t="s">
        <v>989</v>
      </c>
      <c r="BB267" t="s">
        <v>990</v>
      </c>
      <c r="BD267" t="s">
        <v>991</v>
      </c>
      <c r="BE267" t="s">
        <v>73</v>
      </c>
    </row>
    <row r="268" spans="1:57" ht="13" x14ac:dyDescent="0.15">
      <c r="A268">
        <v>1839</v>
      </c>
      <c r="B268">
        <v>30536447</v>
      </c>
      <c r="C268" t="s">
        <v>73</v>
      </c>
      <c r="D268" s="7">
        <v>41769</v>
      </c>
      <c r="E268" s="7">
        <v>45697</v>
      </c>
      <c r="F268">
        <v>330862</v>
      </c>
      <c r="G268" t="s">
        <v>983</v>
      </c>
      <c r="H268" t="s">
        <v>9</v>
      </c>
      <c r="I268" s="7">
        <v>45637</v>
      </c>
      <c r="J268" s="8">
        <v>0.77601851851851855</v>
      </c>
      <c r="K268" t="s">
        <v>984</v>
      </c>
      <c r="AQ268" t="s">
        <v>985</v>
      </c>
      <c r="AR268" t="s">
        <v>1108</v>
      </c>
      <c r="AT268" t="s">
        <v>987</v>
      </c>
      <c r="AZ268" t="s">
        <v>1011</v>
      </c>
      <c r="BA268" t="s">
        <v>1031</v>
      </c>
      <c r="BB268" t="s">
        <v>1032</v>
      </c>
      <c r="BD268" t="s">
        <v>1005</v>
      </c>
      <c r="BE268" t="s">
        <v>73</v>
      </c>
    </row>
    <row r="269" spans="1:57" ht="13" x14ac:dyDescent="0.15">
      <c r="A269">
        <v>1839</v>
      </c>
      <c r="B269">
        <v>30536447</v>
      </c>
      <c r="C269" t="s">
        <v>73</v>
      </c>
      <c r="D269" s="7">
        <v>41769</v>
      </c>
      <c r="E269" s="7">
        <v>45697</v>
      </c>
      <c r="F269">
        <v>330862</v>
      </c>
      <c r="G269" t="s">
        <v>983</v>
      </c>
      <c r="H269" t="s">
        <v>9</v>
      </c>
      <c r="I269" s="7">
        <v>45637</v>
      </c>
      <c r="J269" s="8">
        <v>0.77425925925925931</v>
      </c>
      <c r="K269" t="s">
        <v>984</v>
      </c>
      <c r="AQ269" t="s">
        <v>985</v>
      </c>
      <c r="AR269" t="s">
        <v>1179</v>
      </c>
      <c r="AT269" t="s">
        <v>987</v>
      </c>
      <c r="AZ269" t="s">
        <v>1020</v>
      </c>
      <c r="BA269" t="s">
        <v>1021</v>
      </c>
      <c r="BB269" t="s">
        <v>1018</v>
      </c>
      <c r="BD269" t="s">
        <v>1022</v>
      </c>
      <c r="BE269" t="s">
        <v>73</v>
      </c>
    </row>
    <row r="270" spans="1:57" ht="13" x14ac:dyDescent="0.15">
      <c r="A270">
        <v>1839</v>
      </c>
      <c r="B270">
        <v>30536447</v>
      </c>
      <c r="C270" t="s">
        <v>73</v>
      </c>
      <c r="D270" s="7">
        <v>41769</v>
      </c>
      <c r="E270" s="7">
        <v>45697</v>
      </c>
      <c r="F270">
        <v>330862</v>
      </c>
      <c r="G270" t="s">
        <v>983</v>
      </c>
      <c r="H270" t="s">
        <v>9</v>
      </c>
      <c r="I270" s="7">
        <v>45637</v>
      </c>
      <c r="J270" s="8">
        <v>0.7777546296296296</v>
      </c>
      <c r="K270" t="s">
        <v>984</v>
      </c>
      <c r="AQ270" t="s">
        <v>985</v>
      </c>
      <c r="AR270" t="s">
        <v>1250</v>
      </c>
      <c r="AT270" t="s">
        <v>987</v>
      </c>
      <c r="AZ270" t="s">
        <v>1028</v>
      </c>
      <c r="BA270" t="s">
        <v>1029</v>
      </c>
      <c r="BB270" t="s">
        <v>1018</v>
      </c>
      <c r="BD270" t="s">
        <v>1022</v>
      </c>
      <c r="BE270" t="s">
        <v>73</v>
      </c>
    </row>
    <row r="271" spans="1:57" ht="13" x14ac:dyDescent="0.15">
      <c r="A271">
        <v>1839</v>
      </c>
      <c r="B271">
        <v>30538014</v>
      </c>
      <c r="C271" t="s">
        <v>74</v>
      </c>
      <c r="D271" s="7">
        <v>40485</v>
      </c>
      <c r="E271" s="7">
        <v>45713</v>
      </c>
      <c r="F271">
        <v>330862</v>
      </c>
      <c r="G271" t="s">
        <v>983</v>
      </c>
      <c r="H271" t="s">
        <v>9</v>
      </c>
      <c r="I271" s="7">
        <v>45694</v>
      </c>
      <c r="J271" s="8">
        <v>0.5081134259259259</v>
      </c>
      <c r="K271" t="s">
        <v>984</v>
      </c>
      <c r="AQ271" t="s">
        <v>992</v>
      </c>
      <c r="AR271" t="s">
        <v>986</v>
      </c>
      <c r="AT271" t="s">
        <v>987</v>
      </c>
      <c r="AZ271" t="s">
        <v>988</v>
      </c>
      <c r="BA271" t="s">
        <v>989</v>
      </c>
      <c r="BB271" t="s">
        <v>990</v>
      </c>
      <c r="BD271" t="s">
        <v>991</v>
      </c>
      <c r="BE271" t="s">
        <v>74</v>
      </c>
    </row>
    <row r="272" spans="1:57" ht="13" x14ac:dyDescent="0.15">
      <c r="A272">
        <v>1839</v>
      </c>
      <c r="B272">
        <v>30538014</v>
      </c>
      <c r="C272" t="s">
        <v>74</v>
      </c>
      <c r="D272" s="7">
        <v>40485</v>
      </c>
      <c r="E272" s="7">
        <v>45713</v>
      </c>
      <c r="F272">
        <v>330862</v>
      </c>
      <c r="G272" t="s">
        <v>983</v>
      </c>
      <c r="H272" t="s">
        <v>9</v>
      </c>
      <c r="I272" s="7">
        <v>45636</v>
      </c>
      <c r="J272" s="8">
        <v>0.53943287037037035</v>
      </c>
      <c r="K272" t="s">
        <v>984</v>
      </c>
      <c r="AQ272" t="s">
        <v>992</v>
      </c>
      <c r="AR272" t="s">
        <v>1122</v>
      </c>
      <c r="AT272" t="s">
        <v>987</v>
      </c>
      <c r="AZ272" t="s">
        <v>1028</v>
      </c>
      <c r="BA272" t="s">
        <v>1029</v>
      </c>
      <c r="BB272" t="s">
        <v>1018</v>
      </c>
      <c r="BD272" t="s">
        <v>1022</v>
      </c>
      <c r="BE272" t="s">
        <v>74</v>
      </c>
    </row>
    <row r="273" spans="1:57" ht="13" x14ac:dyDescent="0.15">
      <c r="A273">
        <v>1839</v>
      </c>
      <c r="B273">
        <v>30542712</v>
      </c>
      <c r="C273" t="s">
        <v>75</v>
      </c>
      <c r="D273" s="7">
        <v>40218</v>
      </c>
      <c r="E273" s="7">
        <v>45698</v>
      </c>
      <c r="F273">
        <v>330862</v>
      </c>
      <c r="G273" t="s">
        <v>983</v>
      </c>
      <c r="H273" t="s">
        <v>9</v>
      </c>
      <c r="I273" s="7">
        <v>45694</v>
      </c>
      <c r="J273" s="8">
        <v>0.39883101851851854</v>
      </c>
      <c r="K273" t="s">
        <v>984</v>
      </c>
      <c r="AQ273" t="s">
        <v>992</v>
      </c>
      <c r="AR273" t="s">
        <v>993</v>
      </c>
      <c r="AT273" t="s">
        <v>987</v>
      </c>
      <c r="AZ273" t="s">
        <v>988</v>
      </c>
      <c r="BA273" t="s">
        <v>989</v>
      </c>
      <c r="BB273" t="s">
        <v>990</v>
      </c>
      <c r="BD273" t="s">
        <v>991</v>
      </c>
      <c r="BE273" t="s">
        <v>75</v>
      </c>
    </row>
    <row r="274" spans="1:57" ht="13" x14ac:dyDescent="0.15">
      <c r="A274">
        <v>1839</v>
      </c>
      <c r="B274">
        <v>30542712</v>
      </c>
      <c r="C274" t="s">
        <v>75</v>
      </c>
      <c r="D274" s="7">
        <v>40218</v>
      </c>
      <c r="E274" s="7">
        <v>45698</v>
      </c>
      <c r="F274">
        <v>330862</v>
      </c>
      <c r="G274" t="s">
        <v>983</v>
      </c>
      <c r="H274" t="s">
        <v>9</v>
      </c>
      <c r="I274" s="7">
        <v>45676</v>
      </c>
      <c r="J274" s="8">
        <v>0.47497685185185184</v>
      </c>
      <c r="K274" t="s">
        <v>984</v>
      </c>
      <c r="AQ274" t="s">
        <v>992</v>
      </c>
      <c r="AR274" t="s">
        <v>1095</v>
      </c>
      <c r="AT274" t="s">
        <v>987</v>
      </c>
      <c r="AZ274" t="s">
        <v>1002</v>
      </c>
      <c r="BA274" t="s">
        <v>1003</v>
      </c>
      <c r="BB274" t="s">
        <v>1004</v>
      </c>
      <c r="BD274" t="s">
        <v>1005</v>
      </c>
      <c r="BE274" t="s">
        <v>75</v>
      </c>
    </row>
    <row r="275" spans="1:57" ht="13" x14ac:dyDescent="0.15">
      <c r="A275">
        <v>1839</v>
      </c>
      <c r="B275">
        <v>30542898</v>
      </c>
      <c r="C275" t="s">
        <v>76</v>
      </c>
      <c r="D275" s="7">
        <v>40222</v>
      </c>
      <c r="E275" s="7">
        <v>45708</v>
      </c>
      <c r="F275">
        <v>330862</v>
      </c>
      <c r="G275" t="s">
        <v>983</v>
      </c>
      <c r="H275" t="s">
        <v>9</v>
      </c>
      <c r="I275" s="7">
        <v>45696</v>
      </c>
      <c r="J275" s="8">
        <v>0.59064814814814814</v>
      </c>
      <c r="K275" t="s">
        <v>984</v>
      </c>
      <c r="AQ275" t="s">
        <v>985</v>
      </c>
      <c r="AR275" t="s">
        <v>1039</v>
      </c>
      <c r="AT275" t="s">
        <v>987</v>
      </c>
      <c r="AZ275" t="s">
        <v>1002</v>
      </c>
      <c r="BA275" t="s">
        <v>1040</v>
      </c>
      <c r="BB275" t="s">
        <v>1041</v>
      </c>
      <c r="BD275" t="s">
        <v>991</v>
      </c>
      <c r="BE275" t="s">
        <v>76</v>
      </c>
    </row>
    <row r="276" spans="1:57" ht="13" x14ac:dyDescent="0.15">
      <c r="A276">
        <v>1839</v>
      </c>
      <c r="B276">
        <v>30543128</v>
      </c>
      <c r="C276" t="s">
        <v>77</v>
      </c>
      <c r="D276" s="7">
        <v>40218</v>
      </c>
      <c r="E276" s="7">
        <v>45694</v>
      </c>
      <c r="F276">
        <v>330862</v>
      </c>
      <c r="G276" t="s">
        <v>983</v>
      </c>
      <c r="H276" t="s">
        <v>9</v>
      </c>
      <c r="I276" s="7">
        <v>45694</v>
      </c>
      <c r="J276" s="8">
        <v>0.58006944444444442</v>
      </c>
      <c r="K276" t="s">
        <v>984</v>
      </c>
      <c r="AQ276" t="s">
        <v>1092</v>
      </c>
      <c r="AR276" t="s">
        <v>993</v>
      </c>
      <c r="AT276" t="s">
        <v>987</v>
      </c>
      <c r="AZ276" t="s">
        <v>988</v>
      </c>
      <c r="BA276" t="s">
        <v>989</v>
      </c>
      <c r="BB276" t="s">
        <v>990</v>
      </c>
      <c r="BD276" t="s">
        <v>991</v>
      </c>
      <c r="BE276" t="s">
        <v>77</v>
      </c>
    </row>
    <row r="277" spans="1:57" ht="13" x14ac:dyDescent="0.15">
      <c r="A277">
        <v>1839</v>
      </c>
      <c r="B277">
        <v>30551431</v>
      </c>
      <c r="C277" t="s">
        <v>78</v>
      </c>
      <c r="D277" s="7">
        <v>40883</v>
      </c>
      <c r="E277" s="7">
        <v>45692</v>
      </c>
      <c r="F277">
        <v>330862</v>
      </c>
      <c r="G277" t="s">
        <v>983</v>
      </c>
      <c r="H277" t="s">
        <v>9</v>
      </c>
      <c r="I277" s="7">
        <v>45674</v>
      </c>
      <c r="J277" s="8">
        <v>3.7627314814814815E-2</v>
      </c>
      <c r="K277" t="s">
        <v>984</v>
      </c>
      <c r="AQ277" t="s">
        <v>1251</v>
      </c>
      <c r="AR277" t="s">
        <v>1252</v>
      </c>
      <c r="AT277" t="s">
        <v>987</v>
      </c>
      <c r="AZ277" t="s">
        <v>1016</v>
      </c>
      <c r="BA277" t="s">
        <v>1017</v>
      </c>
      <c r="BB277" t="s">
        <v>1018</v>
      </c>
      <c r="BD277" t="s">
        <v>991</v>
      </c>
      <c r="BE277" t="s">
        <v>78</v>
      </c>
    </row>
    <row r="278" spans="1:57" ht="13" x14ac:dyDescent="0.15">
      <c r="A278">
        <v>1839</v>
      </c>
      <c r="B278">
        <v>30551431</v>
      </c>
      <c r="C278" t="s">
        <v>78</v>
      </c>
      <c r="D278" s="7">
        <v>40883</v>
      </c>
      <c r="E278" s="7">
        <v>45692</v>
      </c>
      <c r="F278">
        <v>330862</v>
      </c>
      <c r="G278" t="s">
        <v>983</v>
      </c>
      <c r="H278" t="s">
        <v>9</v>
      </c>
      <c r="I278" s="7">
        <v>45674</v>
      </c>
      <c r="J278" s="8">
        <v>3.9571759259259258E-2</v>
      </c>
      <c r="K278" t="s">
        <v>984</v>
      </c>
      <c r="AQ278" t="s">
        <v>1251</v>
      </c>
      <c r="AR278" t="s">
        <v>1252</v>
      </c>
      <c r="AT278" t="s">
        <v>987</v>
      </c>
      <c r="AZ278" t="s">
        <v>1016</v>
      </c>
      <c r="BA278" t="s">
        <v>1017</v>
      </c>
      <c r="BB278" t="s">
        <v>1018</v>
      </c>
      <c r="BD278" t="s">
        <v>991</v>
      </c>
      <c r="BE278" t="s">
        <v>78</v>
      </c>
    </row>
    <row r="279" spans="1:57" ht="13" x14ac:dyDescent="0.15">
      <c r="A279">
        <v>1839</v>
      </c>
      <c r="B279">
        <v>30553214</v>
      </c>
      <c r="C279" t="s">
        <v>79</v>
      </c>
      <c r="D279" s="7">
        <v>40886</v>
      </c>
      <c r="E279" s="7">
        <v>45694</v>
      </c>
      <c r="F279">
        <v>330862</v>
      </c>
      <c r="G279" t="s">
        <v>983</v>
      </c>
      <c r="H279" t="s">
        <v>9</v>
      </c>
      <c r="I279" s="7">
        <v>45636</v>
      </c>
      <c r="J279" s="8">
        <v>0.47418981481481481</v>
      </c>
      <c r="K279" t="s">
        <v>984</v>
      </c>
      <c r="AQ279" t="s">
        <v>1090</v>
      </c>
      <c r="AR279" t="s">
        <v>1208</v>
      </c>
      <c r="AT279" t="s">
        <v>987</v>
      </c>
      <c r="AZ279" t="s">
        <v>1011</v>
      </c>
      <c r="BA279" t="s">
        <v>1031</v>
      </c>
      <c r="BB279" t="s">
        <v>1032</v>
      </c>
      <c r="BD279" t="s">
        <v>1005</v>
      </c>
      <c r="BE279" t="s">
        <v>79</v>
      </c>
    </row>
    <row r="280" spans="1:57" ht="13" x14ac:dyDescent="0.15">
      <c r="A280">
        <v>1839</v>
      </c>
      <c r="B280">
        <v>30553214</v>
      </c>
      <c r="C280" t="s">
        <v>79</v>
      </c>
      <c r="D280" s="7">
        <v>40886</v>
      </c>
      <c r="E280" s="7">
        <v>45694</v>
      </c>
      <c r="F280">
        <v>330862</v>
      </c>
      <c r="G280" t="s">
        <v>983</v>
      </c>
      <c r="H280" t="s">
        <v>9</v>
      </c>
      <c r="I280" s="7">
        <v>45677</v>
      </c>
      <c r="J280" s="8">
        <v>0.67822916666666666</v>
      </c>
      <c r="K280" t="s">
        <v>984</v>
      </c>
      <c r="AQ280" t="s">
        <v>985</v>
      </c>
      <c r="AR280" t="s">
        <v>1050</v>
      </c>
      <c r="AT280" t="s">
        <v>987</v>
      </c>
      <c r="AZ280" t="s">
        <v>1011</v>
      </c>
      <c r="BA280" t="s">
        <v>1012</v>
      </c>
      <c r="BB280" t="s">
        <v>1013</v>
      </c>
      <c r="BD280" t="s">
        <v>1014</v>
      </c>
      <c r="BE280" t="s">
        <v>79</v>
      </c>
    </row>
    <row r="281" spans="1:57" ht="13" x14ac:dyDescent="0.15">
      <c r="A281">
        <v>1839</v>
      </c>
      <c r="B281">
        <v>30559409</v>
      </c>
      <c r="C281" t="s">
        <v>80</v>
      </c>
      <c r="D281" s="7">
        <v>38665</v>
      </c>
      <c r="E281" s="7">
        <v>45684</v>
      </c>
      <c r="F281">
        <v>330862</v>
      </c>
      <c r="G281" t="s">
        <v>983</v>
      </c>
      <c r="H281" t="s">
        <v>9</v>
      </c>
      <c r="I281" s="7">
        <v>45684</v>
      </c>
      <c r="J281" s="8">
        <v>0.70829861111111114</v>
      </c>
      <c r="K281" t="s">
        <v>984</v>
      </c>
      <c r="AQ281" t="s">
        <v>1253</v>
      </c>
      <c r="AR281" t="s">
        <v>1254</v>
      </c>
      <c r="AT281" t="s">
        <v>987</v>
      </c>
      <c r="AZ281" t="s">
        <v>1024</v>
      </c>
      <c r="BA281" t="s">
        <v>1047</v>
      </c>
      <c r="BB281" t="s">
        <v>1048</v>
      </c>
      <c r="BD281" t="s">
        <v>1014</v>
      </c>
      <c r="BE281" t="s">
        <v>80</v>
      </c>
    </row>
    <row r="282" spans="1:57" ht="13" x14ac:dyDescent="0.15">
      <c r="A282">
        <v>1839</v>
      </c>
      <c r="B282">
        <v>30563115</v>
      </c>
      <c r="C282" t="s">
        <v>81</v>
      </c>
      <c r="D282" s="7">
        <v>38667</v>
      </c>
      <c r="E282" s="7">
        <v>45694</v>
      </c>
      <c r="F282">
        <v>330862</v>
      </c>
      <c r="G282" t="s">
        <v>983</v>
      </c>
      <c r="H282" t="s">
        <v>9</v>
      </c>
      <c r="I282" s="7">
        <v>45694</v>
      </c>
      <c r="J282" s="8">
        <v>0.37624999999999997</v>
      </c>
      <c r="K282" t="s">
        <v>984</v>
      </c>
      <c r="AQ282" t="s">
        <v>1089</v>
      </c>
      <c r="AR282" t="s">
        <v>993</v>
      </c>
      <c r="AT282" t="s">
        <v>987</v>
      </c>
      <c r="AZ282" t="s">
        <v>988</v>
      </c>
      <c r="BA282" t="s">
        <v>989</v>
      </c>
      <c r="BB282" t="s">
        <v>990</v>
      </c>
      <c r="BD282" t="s">
        <v>991</v>
      </c>
      <c r="BE282" t="s">
        <v>81</v>
      </c>
    </row>
    <row r="283" spans="1:57" ht="13" x14ac:dyDescent="0.15">
      <c r="A283">
        <v>1839</v>
      </c>
      <c r="B283">
        <v>30566725</v>
      </c>
      <c r="C283" t="s">
        <v>1255</v>
      </c>
      <c r="D283" s="7">
        <v>40899</v>
      </c>
      <c r="E283" s="7">
        <v>45701</v>
      </c>
      <c r="F283">
        <v>330862</v>
      </c>
      <c r="G283" t="s">
        <v>983</v>
      </c>
      <c r="H283" t="s">
        <v>9</v>
      </c>
      <c r="I283" s="7">
        <v>45624</v>
      </c>
      <c r="J283" s="8">
        <v>0.49660879629629628</v>
      </c>
      <c r="K283" t="s">
        <v>984</v>
      </c>
      <c r="AQ283" t="s">
        <v>1092</v>
      </c>
      <c r="AR283" t="s">
        <v>1054</v>
      </c>
      <c r="AT283" t="s">
        <v>987</v>
      </c>
      <c r="AZ283" t="s">
        <v>1028</v>
      </c>
      <c r="BA283" t="s">
        <v>1029</v>
      </c>
      <c r="BB283" t="s">
        <v>1018</v>
      </c>
      <c r="BD283" t="s">
        <v>1022</v>
      </c>
      <c r="BE283" t="s">
        <v>1255</v>
      </c>
    </row>
    <row r="284" spans="1:57" ht="13" x14ac:dyDescent="0.15">
      <c r="A284">
        <v>1839</v>
      </c>
      <c r="B284">
        <v>30566725</v>
      </c>
      <c r="C284" t="s">
        <v>1255</v>
      </c>
      <c r="D284" s="7">
        <v>40899</v>
      </c>
      <c r="E284" s="7">
        <v>45701</v>
      </c>
      <c r="F284">
        <v>330862</v>
      </c>
      <c r="G284" t="s">
        <v>983</v>
      </c>
      <c r="H284" t="s">
        <v>9</v>
      </c>
      <c r="I284" s="7">
        <v>45651</v>
      </c>
      <c r="J284" s="8">
        <v>0.45532407407407405</v>
      </c>
      <c r="K284" t="s">
        <v>984</v>
      </c>
      <c r="AQ284" t="s">
        <v>1092</v>
      </c>
      <c r="AR284" t="s">
        <v>1256</v>
      </c>
      <c r="AT284" t="s">
        <v>987</v>
      </c>
      <c r="AZ284" t="s">
        <v>1024</v>
      </c>
      <c r="BA284" t="s">
        <v>1025</v>
      </c>
      <c r="BB284" t="s">
        <v>1026</v>
      </c>
      <c r="BD284" t="s">
        <v>1022</v>
      </c>
      <c r="BE284" t="s">
        <v>1255</v>
      </c>
    </row>
    <row r="285" spans="1:57" ht="13" x14ac:dyDescent="0.15">
      <c r="A285">
        <v>1839</v>
      </c>
      <c r="B285">
        <v>30566725</v>
      </c>
      <c r="C285" t="s">
        <v>1255</v>
      </c>
      <c r="D285" s="7">
        <v>40899</v>
      </c>
      <c r="E285" s="7">
        <v>45701</v>
      </c>
      <c r="F285">
        <v>330862</v>
      </c>
      <c r="G285" t="s">
        <v>983</v>
      </c>
      <c r="H285" t="s">
        <v>9</v>
      </c>
      <c r="I285" s="7">
        <v>45624</v>
      </c>
      <c r="J285" s="8">
        <v>0.49506944444444445</v>
      </c>
      <c r="K285" t="s">
        <v>984</v>
      </c>
      <c r="AQ285" t="s">
        <v>1092</v>
      </c>
      <c r="AR285" t="s">
        <v>1053</v>
      </c>
      <c r="AT285" t="s">
        <v>987</v>
      </c>
      <c r="AZ285" t="s">
        <v>1055</v>
      </c>
      <c r="BA285" t="s">
        <v>1056</v>
      </c>
      <c r="BB285" t="s">
        <v>1013</v>
      </c>
      <c r="BD285" t="s">
        <v>1022</v>
      </c>
      <c r="BE285" t="s">
        <v>1255</v>
      </c>
    </row>
    <row r="286" spans="1:57" ht="13" x14ac:dyDescent="0.15">
      <c r="A286">
        <v>1839</v>
      </c>
      <c r="B286">
        <v>30566725</v>
      </c>
      <c r="C286" t="s">
        <v>1255</v>
      </c>
      <c r="D286" s="7">
        <v>40899</v>
      </c>
      <c r="E286" s="7">
        <v>45701</v>
      </c>
      <c r="F286">
        <v>330862</v>
      </c>
      <c r="G286" t="s">
        <v>983</v>
      </c>
      <c r="H286" t="s">
        <v>9</v>
      </c>
      <c r="I286" s="7">
        <v>45641</v>
      </c>
      <c r="J286" s="8">
        <v>0.44002314814814814</v>
      </c>
      <c r="K286" t="s">
        <v>984</v>
      </c>
      <c r="AQ286" t="s">
        <v>1092</v>
      </c>
      <c r="AR286" t="s">
        <v>1085</v>
      </c>
      <c r="AT286" t="s">
        <v>987</v>
      </c>
      <c r="AZ286" t="s">
        <v>1011</v>
      </c>
      <c r="BA286" t="s">
        <v>1031</v>
      </c>
      <c r="BB286" t="s">
        <v>1032</v>
      </c>
      <c r="BD286" t="s">
        <v>1005</v>
      </c>
      <c r="BE286" t="s">
        <v>1255</v>
      </c>
    </row>
    <row r="287" spans="1:57" ht="13" x14ac:dyDescent="0.15">
      <c r="A287">
        <v>1839</v>
      </c>
      <c r="B287">
        <v>30566725</v>
      </c>
      <c r="C287" t="s">
        <v>1255</v>
      </c>
      <c r="D287" s="7">
        <v>40899</v>
      </c>
      <c r="E287" s="7">
        <v>45701</v>
      </c>
      <c r="F287">
        <v>330862</v>
      </c>
      <c r="G287" t="s">
        <v>983</v>
      </c>
      <c r="H287" t="s">
        <v>9</v>
      </c>
      <c r="I287" s="7">
        <v>45641</v>
      </c>
      <c r="J287" s="8">
        <v>0.44686342592592593</v>
      </c>
      <c r="K287" t="s">
        <v>984</v>
      </c>
      <c r="AQ287" t="s">
        <v>1092</v>
      </c>
      <c r="AR287" t="s">
        <v>1094</v>
      </c>
      <c r="AT287" t="s">
        <v>987</v>
      </c>
      <c r="AZ287" t="s">
        <v>1024</v>
      </c>
      <c r="BA287" t="s">
        <v>1025</v>
      </c>
      <c r="BB287" t="s">
        <v>1026</v>
      </c>
      <c r="BD287" t="s">
        <v>1022</v>
      </c>
      <c r="BE287" t="s">
        <v>1255</v>
      </c>
    </row>
    <row r="288" spans="1:57" ht="13" x14ac:dyDescent="0.15">
      <c r="A288">
        <v>1839</v>
      </c>
      <c r="B288">
        <v>30573656</v>
      </c>
      <c r="C288" t="s">
        <v>82</v>
      </c>
      <c r="D288" s="7">
        <v>38666</v>
      </c>
      <c r="E288" s="7">
        <v>45674</v>
      </c>
      <c r="F288">
        <v>330862</v>
      </c>
      <c r="G288" t="s">
        <v>983</v>
      </c>
      <c r="H288" t="s">
        <v>9</v>
      </c>
      <c r="I288" s="7">
        <v>45674</v>
      </c>
      <c r="J288" s="8">
        <v>0.75965277777777773</v>
      </c>
      <c r="K288" t="s">
        <v>984</v>
      </c>
      <c r="AQ288" t="s">
        <v>1089</v>
      </c>
      <c r="AR288" t="s">
        <v>1095</v>
      </c>
      <c r="AT288" t="s">
        <v>987</v>
      </c>
      <c r="AZ288" t="s">
        <v>1002</v>
      </c>
      <c r="BA288" t="s">
        <v>1003</v>
      </c>
      <c r="BB288" t="s">
        <v>1004</v>
      </c>
      <c r="BD288" t="s">
        <v>1005</v>
      </c>
      <c r="BE288" t="s">
        <v>82</v>
      </c>
    </row>
    <row r="289" spans="1:57" ht="13" x14ac:dyDescent="0.15">
      <c r="A289">
        <v>1839</v>
      </c>
      <c r="B289">
        <v>30583112</v>
      </c>
      <c r="C289" t="s">
        <v>83</v>
      </c>
      <c r="D289" s="7">
        <v>38666</v>
      </c>
      <c r="E289" s="7">
        <v>45695</v>
      </c>
      <c r="F289">
        <v>330862</v>
      </c>
      <c r="G289" t="s">
        <v>983</v>
      </c>
      <c r="H289" t="s">
        <v>9</v>
      </c>
      <c r="I289" s="7">
        <v>45695</v>
      </c>
      <c r="J289" s="8">
        <v>0.94916666666666671</v>
      </c>
      <c r="K289" t="s">
        <v>984</v>
      </c>
      <c r="AQ289" t="s">
        <v>1113</v>
      </c>
      <c r="AR289" t="s">
        <v>993</v>
      </c>
      <c r="AT289" t="s">
        <v>987</v>
      </c>
      <c r="AZ289" t="s">
        <v>988</v>
      </c>
      <c r="BA289" t="s">
        <v>989</v>
      </c>
      <c r="BB289" t="s">
        <v>990</v>
      </c>
      <c r="BD289" t="s">
        <v>991</v>
      </c>
      <c r="BE289" t="s">
        <v>83</v>
      </c>
    </row>
    <row r="290" spans="1:57" ht="13" x14ac:dyDescent="0.15">
      <c r="A290">
        <v>1839</v>
      </c>
      <c r="B290">
        <v>30607626</v>
      </c>
      <c r="C290" t="s">
        <v>84</v>
      </c>
      <c r="D290" s="7">
        <v>41466</v>
      </c>
      <c r="E290" s="7">
        <v>45713</v>
      </c>
      <c r="F290">
        <v>330862</v>
      </c>
      <c r="G290" t="s">
        <v>983</v>
      </c>
      <c r="H290" t="s">
        <v>9</v>
      </c>
      <c r="I290" s="7">
        <v>45654</v>
      </c>
      <c r="J290" s="8">
        <v>0.43804398148148149</v>
      </c>
      <c r="K290" t="s">
        <v>984</v>
      </c>
      <c r="AQ290" t="s">
        <v>992</v>
      </c>
      <c r="AR290" t="s">
        <v>1257</v>
      </c>
      <c r="AT290" t="s">
        <v>987</v>
      </c>
      <c r="AZ290" t="s">
        <v>1055</v>
      </c>
      <c r="BA290" t="s">
        <v>1056</v>
      </c>
      <c r="BB290" t="s">
        <v>1013</v>
      </c>
      <c r="BD290" t="s">
        <v>1022</v>
      </c>
      <c r="BE290" t="s">
        <v>84</v>
      </c>
    </row>
    <row r="291" spans="1:57" ht="13" x14ac:dyDescent="0.15">
      <c r="A291">
        <v>1839</v>
      </c>
      <c r="B291">
        <v>30607626</v>
      </c>
      <c r="C291" t="s">
        <v>84</v>
      </c>
      <c r="D291" s="7">
        <v>41466</v>
      </c>
      <c r="E291" s="7">
        <v>45713</v>
      </c>
      <c r="F291">
        <v>330862</v>
      </c>
      <c r="G291" t="s">
        <v>983</v>
      </c>
      <c r="H291" t="s">
        <v>9</v>
      </c>
      <c r="I291" s="7">
        <v>45694</v>
      </c>
      <c r="J291" s="8">
        <v>0.35905092592592591</v>
      </c>
      <c r="K291" t="s">
        <v>984</v>
      </c>
      <c r="AQ291" t="s">
        <v>992</v>
      </c>
      <c r="AR291" t="s">
        <v>993</v>
      </c>
      <c r="AT291" t="s">
        <v>987</v>
      </c>
      <c r="AZ291" t="s">
        <v>988</v>
      </c>
      <c r="BA291" t="s">
        <v>989</v>
      </c>
      <c r="BB291" t="s">
        <v>990</v>
      </c>
      <c r="BD291" t="s">
        <v>991</v>
      </c>
      <c r="BE291" t="s">
        <v>84</v>
      </c>
    </row>
    <row r="292" spans="1:57" ht="13" x14ac:dyDescent="0.15">
      <c r="A292">
        <v>1839</v>
      </c>
      <c r="B292">
        <v>30609362</v>
      </c>
      <c r="C292" t="s">
        <v>85</v>
      </c>
      <c r="D292" s="7">
        <v>40331</v>
      </c>
      <c r="E292" s="7">
        <v>45696</v>
      </c>
      <c r="F292">
        <v>330862</v>
      </c>
      <c r="G292" t="s">
        <v>983</v>
      </c>
      <c r="H292" t="s">
        <v>9</v>
      </c>
      <c r="I292" s="7">
        <v>45676</v>
      </c>
      <c r="J292" s="8">
        <v>0.385625</v>
      </c>
      <c r="K292" t="s">
        <v>984</v>
      </c>
      <c r="AQ292" t="s">
        <v>992</v>
      </c>
      <c r="AR292" t="s">
        <v>1105</v>
      </c>
      <c r="AT292" t="s">
        <v>987</v>
      </c>
      <c r="AZ292" t="s">
        <v>1044</v>
      </c>
      <c r="BA292" t="s">
        <v>1045</v>
      </c>
      <c r="BB292" t="s">
        <v>990</v>
      </c>
      <c r="BD292" t="s">
        <v>991</v>
      </c>
      <c r="BE292" t="s">
        <v>85</v>
      </c>
    </row>
    <row r="293" spans="1:57" ht="13" x14ac:dyDescent="0.15">
      <c r="A293">
        <v>1839</v>
      </c>
      <c r="B293">
        <v>30609362</v>
      </c>
      <c r="C293" t="s">
        <v>85</v>
      </c>
      <c r="D293" s="7">
        <v>40331</v>
      </c>
      <c r="E293" s="7">
        <v>45696</v>
      </c>
      <c r="F293">
        <v>330862</v>
      </c>
      <c r="G293" t="s">
        <v>983</v>
      </c>
      <c r="H293" t="s">
        <v>9</v>
      </c>
      <c r="I293" s="7">
        <v>45676</v>
      </c>
      <c r="J293" s="8">
        <v>0.38488425925925923</v>
      </c>
      <c r="K293" t="s">
        <v>984</v>
      </c>
      <c r="AQ293" t="s">
        <v>992</v>
      </c>
      <c r="AR293" t="s">
        <v>1204</v>
      </c>
      <c r="AT293" t="s">
        <v>987</v>
      </c>
      <c r="AZ293" t="s">
        <v>1024</v>
      </c>
      <c r="BA293" t="s">
        <v>1047</v>
      </c>
      <c r="BB293" t="s">
        <v>1048</v>
      </c>
      <c r="BD293" t="s">
        <v>1014</v>
      </c>
      <c r="BE293" t="s">
        <v>85</v>
      </c>
    </row>
    <row r="294" spans="1:57" ht="13" x14ac:dyDescent="0.15">
      <c r="A294">
        <v>1839</v>
      </c>
      <c r="B294">
        <v>30609362</v>
      </c>
      <c r="C294" t="s">
        <v>85</v>
      </c>
      <c r="D294" s="7">
        <v>40331</v>
      </c>
      <c r="E294" s="7">
        <v>45696</v>
      </c>
      <c r="F294">
        <v>330862</v>
      </c>
      <c r="G294" t="s">
        <v>983</v>
      </c>
      <c r="H294" t="s">
        <v>9</v>
      </c>
      <c r="I294" s="7">
        <v>45676</v>
      </c>
      <c r="J294" s="8">
        <v>0.37769675925925927</v>
      </c>
      <c r="K294" t="s">
        <v>984</v>
      </c>
      <c r="AQ294" t="s">
        <v>992</v>
      </c>
      <c r="AR294" t="s">
        <v>1095</v>
      </c>
      <c r="AT294" t="s">
        <v>987</v>
      </c>
      <c r="AZ294" t="s">
        <v>1002</v>
      </c>
      <c r="BA294" t="s">
        <v>1003</v>
      </c>
      <c r="BB294" t="s">
        <v>1004</v>
      </c>
      <c r="BD294" t="s">
        <v>1005</v>
      </c>
      <c r="BE294" t="s">
        <v>85</v>
      </c>
    </row>
    <row r="295" spans="1:57" ht="13" x14ac:dyDescent="0.15">
      <c r="A295">
        <v>1839</v>
      </c>
      <c r="B295">
        <v>30609362</v>
      </c>
      <c r="C295" t="s">
        <v>85</v>
      </c>
      <c r="D295" s="7">
        <v>40331</v>
      </c>
      <c r="E295" s="7">
        <v>45696</v>
      </c>
      <c r="F295">
        <v>330862</v>
      </c>
      <c r="G295" t="s">
        <v>983</v>
      </c>
      <c r="H295" t="s">
        <v>9</v>
      </c>
      <c r="I295" s="7">
        <v>45676</v>
      </c>
      <c r="J295" s="8">
        <v>0.38284722222222223</v>
      </c>
      <c r="K295" t="s">
        <v>984</v>
      </c>
      <c r="AQ295" t="s">
        <v>992</v>
      </c>
      <c r="AR295" t="s">
        <v>1107</v>
      </c>
      <c r="AT295" t="s">
        <v>987</v>
      </c>
      <c r="AZ295" t="s">
        <v>1007</v>
      </c>
      <c r="BA295" t="s">
        <v>1008</v>
      </c>
      <c r="BB295" t="s">
        <v>990</v>
      </c>
      <c r="BD295" t="s">
        <v>1005</v>
      </c>
      <c r="BE295" t="s">
        <v>85</v>
      </c>
    </row>
    <row r="296" spans="1:57" ht="13" x14ac:dyDescent="0.15">
      <c r="A296">
        <v>1839</v>
      </c>
      <c r="B296">
        <v>30612969</v>
      </c>
      <c r="C296" t="s">
        <v>1258</v>
      </c>
      <c r="D296" s="7">
        <v>41744</v>
      </c>
      <c r="E296" s="7">
        <v>45713</v>
      </c>
      <c r="F296">
        <v>330862</v>
      </c>
      <c r="G296" t="s">
        <v>983</v>
      </c>
      <c r="H296" t="s">
        <v>9</v>
      </c>
      <c r="I296" s="7">
        <v>45713</v>
      </c>
      <c r="J296" s="8">
        <v>0.35450231481481481</v>
      </c>
      <c r="K296" t="s">
        <v>984</v>
      </c>
      <c r="AQ296" t="s">
        <v>992</v>
      </c>
      <c r="AR296" t="s">
        <v>1259</v>
      </c>
      <c r="AT296" t="s">
        <v>987</v>
      </c>
      <c r="AZ296" t="s">
        <v>1002</v>
      </c>
      <c r="BA296" t="s">
        <v>1040</v>
      </c>
      <c r="BB296" t="s">
        <v>1041</v>
      </c>
      <c r="BD296" t="s">
        <v>991</v>
      </c>
      <c r="BE296" t="s">
        <v>1258</v>
      </c>
    </row>
    <row r="297" spans="1:57" ht="13" x14ac:dyDescent="0.15">
      <c r="A297">
        <v>1839</v>
      </c>
      <c r="B297">
        <v>30612969</v>
      </c>
      <c r="C297" t="s">
        <v>1258</v>
      </c>
      <c r="D297" s="7">
        <v>41744</v>
      </c>
      <c r="E297" s="7">
        <v>45713</v>
      </c>
      <c r="F297">
        <v>330862</v>
      </c>
      <c r="G297" t="s">
        <v>983</v>
      </c>
      <c r="H297" t="s">
        <v>9</v>
      </c>
      <c r="I297" s="7">
        <v>45713</v>
      </c>
      <c r="J297" s="8">
        <v>0.37498842592592591</v>
      </c>
      <c r="K297" t="s">
        <v>984</v>
      </c>
      <c r="AQ297" t="s">
        <v>992</v>
      </c>
      <c r="AR297" t="s">
        <v>1228</v>
      </c>
      <c r="AT297" t="s">
        <v>987</v>
      </c>
      <c r="AZ297" t="s">
        <v>1220</v>
      </c>
      <c r="BA297" t="s">
        <v>1221</v>
      </c>
      <c r="BB297" t="s">
        <v>1082</v>
      </c>
      <c r="BD297" t="s">
        <v>991</v>
      </c>
      <c r="BE297" t="s">
        <v>1258</v>
      </c>
    </row>
    <row r="298" spans="1:57" ht="13" x14ac:dyDescent="0.15">
      <c r="A298">
        <v>1839</v>
      </c>
      <c r="B298">
        <v>30618362</v>
      </c>
      <c r="C298" t="s">
        <v>1260</v>
      </c>
      <c r="D298" s="7">
        <v>40094</v>
      </c>
      <c r="E298" s="7">
        <v>45708</v>
      </c>
      <c r="F298">
        <v>330862</v>
      </c>
      <c r="G298" t="s">
        <v>983</v>
      </c>
      <c r="H298" t="s">
        <v>9</v>
      </c>
      <c r="I298" s="7">
        <v>45636</v>
      </c>
      <c r="J298" s="8">
        <v>0.72239583333333335</v>
      </c>
      <c r="K298" t="s">
        <v>984</v>
      </c>
      <c r="AQ298" t="s">
        <v>1261</v>
      </c>
      <c r="AR298" t="s">
        <v>1262</v>
      </c>
      <c r="AT298" t="s">
        <v>987</v>
      </c>
      <c r="AZ298" t="s">
        <v>1028</v>
      </c>
      <c r="BA298" t="s">
        <v>1029</v>
      </c>
      <c r="BB298" t="s">
        <v>1018</v>
      </c>
      <c r="BD298" t="s">
        <v>1022</v>
      </c>
      <c r="BE298" t="s">
        <v>1260</v>
      </c>
    </row>
    <row r="299" spans="1:57" ht="13" x14ac:dyDescent="0.15">
      <c r="A299">
        <v>1839</v>
      </c>
      <c r="B299">
        <v>30658978</v>
      </c>
      <c r="C299" t="s">
        <v>86</v>
      </c>
      <c r="D299" s="7">
        <v>40785</v>
      </c>
      <c r="E299" s="7">
        <v>45700</v>
      </c>
      <c r="F299">
        <v>330862</v>
      </c>
      <c r="G299" t="s">
        <v>983</v>
      </c>
      <c r="H299" t="s">
        <v>9</v>
      </c>
      <c r="I299" s="7">
        <v>45699</v>
      </c>
      <c r="J299" s="8">
        <v>0.95193287037037033</v>
      </c>
      <c r="K299" t="s">
        <v>984</v>
      </c>
      <c r="AQ299" t="s">
        <v>998</v>
      </c>
      <c r="AR299" t="s">
        <v>1263</v>
      </c>
      <c r="AT299" t="s">
        <v>987</v>
      </c>
      <c r="AZ299" t="s">
        <v>1182</v>
      </c>
      <c r="BA299" t="s">
        <v>1183</v>
      </c>
      <c r="BB299" t="s">
        <v>990</v>
      </c>
      <c r="BD299" t="s">
        <v>991</v>
      </c>
      <c r="BE299" t="s">
        <v>86</v>
      </c>
    </row>
    <row r="300" spans="1:57" ht="13" x14ac:dyDescent="0.15">
      <c r="A300">
        <v>1839</v>
      </c>
      <c r="B300">
        <v>30658978</v>
      </c>
      <c r="C300" t="s">
        <v>86</v>
      </c>
      <c r="D300" s="7">
        <v>40785</v>
      </c>
      <c r="E300" s="7">
        <v>45700</v>
      </c>
      <c r="F300">
        <v>330862</v>
      </c>
      <c r="G300" t="s">
        <v>983</v>
      </c>
      <c r="H300" t="s">
        <v>9</v>
      </c>
      <c r="I300" s="7">
        <v>45699</v>
      </c>
      <c r="J300" s="8">
        <v>0.96490740740740744</v>
      </c>
      <c r="K300" t="s">
        <v>984</v>
      </c>
      <c r="AQ300" t="s">
        <v>998</v>
      </c>
      <c r="AR300" t="s">
        <v>1264</v>
      </c>
      <c r="AT300" t="s">
        <v>987</v>
      </c>
      <c r="AZ300" t="s">
        <v>1080</v>
      </c>
      <c r="BA300" t="s">
        <v>1081</v>
      </c>
      <c r="BB300" t="s">
        <v>1082</v>
      </c>
      <c r="BD300" t="s">
        <v>991</v>
      </c>
      <c r="BE300" t="s">
        <v>86</v>
      </c>
    </row>
    <row r="301" spans="1:57" ht="13" x14ac:dyDescent="0.15">
      <c r="A301">
        <v>1839</v>
      </c>
      <c r="B301">
        <v>30658978</v>
      </c>
      <c r="C301" t="s">
        <v>86</v>
      </c>
      <c r="D301" s="7">
        <v>40785</v>
      </c>
      <c r="E301" s="7">
        <v>45700</v>
      </c>
      <c r="F301">
        <v>330862</v>
      </c>
      <c r="G301" t="s">
        <v>983</v>
      </c>
      <c r="H301" t="s">
        <v>9</v>
      </c>
      <c r="I301" s="7">
        <v>45699</v>
      </c>
      <c r="J301" s="8">
        <v>0.97001157407407412</v>
      </c>
      <c r="K301" t="s">
        <v>984</v>
      </c>
      <c r="AQ301" t="s">
        <v>998</v>
      </c>
      <c r="AR301" t="s">
        <v>1264</v>
      </c>
      <c r="AT301" t="s">
        <v>987</v>
      </c>
      <c r="AZ301" t="s">
        <v>1080</v>
      </c>
      <c r="BA301" t="s">
        <v>1081</v>
      </c>
      <c r="BB301" t="s">
        <v>1082</v>
      </c>
      <c r="BD301" t="s">
        <v>991</v>
      </c>
      <c r="BE301" t="s">
        <v>86</v>
      </c>
    </row>
    <row r="302" spans="1:57" ht="13" x14ac:dyDescent="0.15">
      <c r="A302">
        <v>1839</v>
      </c>
      <c r="B302">
        <v>30658978</v>
      </c>
      <c r="C302" t="s">
        <v>86</v>
      </c>
      <c r="D302" s="7">
        <v>40785</v>
      </c>
      <c r="E302" s="7">
        <v>45700</v>
      </c>
      <c r="F302">
        <v>330862</v>
      </c>
      <c r="G302" t="s">
        <v>983</v>
      </c>
      <c r="H302" t="s">
        <v>9</v>
      </c>
      <c r="I302" s="7">
        <v>45700</v>
      </c>
      <c r="J302" s="8">
        <v>3.1956018518518516E-2</v>
      </c>
      <c r="K302" t="s">
        <v>984</v>
      </c>
      <c r="AQ302" t="s">
        <v>998</v>
      </c>
      <c r="AR302" t="s">
        <v>1265</v>
      </c>
      <c r="AT302" t="s">
        <v>987</v>
      </c>
      <c r="AZ302" t="s">
        <v>1002</v>
      </c>
      <c r="BA302" t="s">
        <v>1040</v>
      </c>
      <c r="BB302" t="s">
        <v>1041</v>
      </c>
      <c r="BD302" t="s">
        <v>991</v>
      </c>
      <c r="BE302" t="s">
        <v>86</v>
      </c>
    </row>
    <row r="303" spans="1:57" ht="13" x14ac:dyDescent="0.15">
      <c r="A303">
        <v>1839</v>
      </c>
      <c r="B303">
        <v>30658978</v>
      </c>
      <c r="C303" t="s">
        <v>86</v>
      </c>
      <c r="D303" s="7">
        <v>40785</v>
      </c>
      <c r="E303" s="7">
        <v>45700</v>
      </c>
      <c r="F303">
        <v>330862</v>
      </c>
      <c r="G303" t="s">
        <v>983</v>
      </c>
      <c r="H303" t="s">
        <v>9</v>
      </c>
      <c r="I303" s="7">
        <v>45700</v>
      </c>
      <c r="J303" s="8">
        <v>4.8958333333333336E-3</v>
      </c>
      <c r="K303" t="s">
        <v>984</v>
      </c>
      <c r="AQ303" t="s">
        <v>998</v>
      </c>
      <c r="AR303" t="s">
        <v>1266</v>
      </c>
      <c r="AT303" t="s">
        <v>987</v>
      </c>
      <c r="AZ303" t="s">
        <v>1028</v>
      </c>
      <c r="BA303" t="s">
        <v>1037</v>
      </c>
      <c r="BB303" t="s">
        <v>1038</v>
      </c>
      <c r="BD303" t="s">
        <v>991</v>
      </c>
      <c r="BE303" t="s">
        <v>86</v>
      </c>
    </row>
    <row r="304" spans="1:57" ht="13" x14ac:dyDescent="0.15">
      <c r="A304">
        <v>1839</v>
      </c>
      <c r="B304">
        <v>30658978</v>
      </c>
      <c r="C304" t="s">
        <v>86</v>
      </c>
      <c r="D304" s="7">
        <v>40785</v>
      </c>
      <c r="E304" s="7">
        <v>45700</v>
      </c>
      <c r="F304">
        <v>330862</v>
      </c>
      <c r="G304" t="s">
        <v>983</v>
      </c>
      <c r="H304" t="s">
        <v>9</v>
      </c>
      <c r="I304" s="7">
        <v>45700</v>
      </c>
      <c r="J304" s="8">
        <v>1.1180555555555555E-2</v>
      </c>
      <c r="K304" t="s">
        <v>984</v>
      </c>
      <c r="AQ304" t="s">
        <v>998</v>
      </c>
      <c r="AR304" t="s">
        <v>1266</v>
      </c>
      <c r="AT304" t="s">
        <v>987</v>
      </c>
      <c r="AZ304" t="s">
        <v>1028</v>
      </c>
      <c r="BA304" t="s">
        <v>1037</v>
      </c>
      <c r="BB304" t="s">
        <v>1038</v>
      </c>
      <c r="BD304" t="s">
        <v>991</v>
      </c>
      <c r="BE304" t="s">
        <v>86</v>
      </c>
    </row>
    <row r="305" spans="1:57" ht="13" x14ac:dyDescent="0.15">
      <c r="A305">
        <v>1839</v>
      </c>
      <c r="B305">
        <v>30658978</v>
      </c>
      <c r="C305" t="s">
        <v>86</v>
      </c>
      <c r="D305" s="7">
        <v>40785</v>
      </c>
      <c r="E305" s="7">
        <v>45700</v>
      </c>
      <c r="F305">
        <v>330862</v>
      </c>
      <c r="G305" t="s">
        <v>983</v>
      </c>
      <c r="H305" t="s">
        <v>9</v>
      </c>
      <c r="I305" s="7">
        <v>45700</v>
      </c>
      <c r="J305" s="8">
        <v>2.5150462962962961E-2</v>
      </c>
      <c r="K305" t="s">
        <v>984</v>
      </c>
      <c r="AQ305" t="s">
        <v>998</v>
      </c>
      <c r="AR305" t="s">
        <v>1265</v>
      </c>
      <c r="AT305" t="s">
        <v>987</v>
      </c>
      <c r="AZ305" t="s">
        <v>1002</v>
      </c>
      <c r="BA305" t="s">
        <v>1040</v>
      </c>
      <c r="BB305" t="s">
        <v>1041</v>
      </c>
      <c r="BD305" t="s">
        <v>991</v>
      </c>
      <c r="BE305" t="s">
        <v>86</v>
      </c>
    </row>
    <row r="306" spans="1:57" ht="13" x14ac:dyDescent="0.15">
      <c r="A306">
        <v>1839</v>
      </c>
      <c r="B306">
        <v>30658978</v>
      </c>
      <c r="C306" t="s">
        <v>86</v>
      </c>
      <c r="D306" s="7">
        <v>40785</v>
      </c>
      <c r="E306" s="7">
        <v>45700</v>
      </c>
      <c r="F306">
        <v>330862</v>
      </c>
      <c r="G306" t="s">
        <v>983</v>
      </c>
      <c r="H306" t="s">
        <v>9</v>
      </c>
      <c r="I306" s="7">
        <v>45699</v>
      </c>
      <c r="J306" s="8">
        <v>0.97469907407407408</v>
      </c>
      <c r="K306" t="s">
        <v>984</v>
      </c>
      <c r="AQ306" t="s">
        <v>998</v>
      </c>
      <c r="AR306" t="s">
        <v>1264</v>
      </c>
      <c r="AT306" t="s">
        <v>987</v>
      </c>
      <c r="AZ306" t="s">
        <v>1080</v>
      </c>
      <c r="BA306" t="s">
        <v>1081</v>
      </c>
      <c r="BB306" t="s">
        <v>1082</v>
      </c>
      <c r="BD306" t="s">
        <v>991</v>
      </c>
      <c r="BE306" t="s">
        <v>86</v>
      </c>
    </row>
    <row r="307" spans="1:57" ht="13" x14ac:dyDescent="0.15">
      <c r="A307">
        <v>1839</v>
      </c>
      <c r="B307">
        <v>30671123</v>
      </c>
      <c r="C307" t="s">
        <v>87</v>
      </c>
      <c r="D307" s="7">
        <v>40806</v>
      </c>
      <c r="E307" s="7">
        <v>45702</v>
      </c>
      <c r="F307">
        <v>330862</v>
      </c>
      <c r="G307" t="s">
        <v>983</v>
      </c>
      <c r="H307" t="s">
        <v>9</v>
      </c>
      <c r="I307" s="7">
        <v>45694</v>
      </c>
      <c r="J307" s="8">
        <v>0.38848379629629631</v>
      </c>
      <c r="K307" t="s">
        <v>984</v>
      </c>
      <c r="AQ307" t="s">
        <v>1042</v>
      </c>
      <c r="AR307" t="s">
        <v>986</v>
      </c>
      <c r="AT307" t="s">
        <v>987</v>
      </c>
      <c r="AZ307" t="s">
        <v>988</v>
      </c>
      <c r="BA307" t="s">
        <v>989</v>
      </c>
      <c r="BB307" t="s">
        <v>990</v>
      </c>
      <c r="BD307" t="s">
        <v>991</v>
      </c>
      <c r="BE307" t="s">
        <v>87</v>
      </c>
    </row>
    <row r="308" spans="1:57" ht="13" x14ac:dyDescent="0.15">
      <c r="A308">
        <v>1839</v>
      </c>
      <c r="B308">
        <v>30690152</v>
      </c>
      <c r="C308" t="s">
        <v>1267</v>
      </c>
      <c r="D308" s="7">
        <v>41647</v>
      </c>
      <c r="E308" s="7">
        <v>45710</v>
      </c>
      <c r="F308">
        <v>330862</v>
      </c>
      <c r="G308" t="s">
        <v>983</v>
      </c>
      <c r="H308" t="s">
        <v>9</v>
      </c>
      <c r="I308" s="7">
        <v>45616</v>
      </c>
      <c r="J308" s="8">
        <v>0.78609953703703705</v>
      </c>
      <c r="K308" t="s">
        <v>984</v>
      </c>
      <c r="AQ308" t="s">
        <v>992</v>
      </c>
      <c r="AR308" t="s">
        <v>1268</v>
      </c>
      <c r="AT308" t="s">
        <v>987</v>
      </c>
      <c r="AZ308" t="s">
        <v>1055</v>
      </c>
      <c r="BA308" t="s">
        <v>1056</v>
      </c>
      <c r="BB308" t="s">
        <v>1013</v>
      </c>
      <c r="BD308" t="s">
        <v>1022</v>
      </c>
      <c r="BE308" t="s">
        <v>1267</v>
      </c>
    </row>
    <row r="309" spans="1:57" ht="13" x14ac:dyDescent="0.15">
      <c r="A309">
        <v>1839</v>
      </c>
      <c r="B309">
        <v>30692389</v>
      </c>
      <c r="C309" t="s">
        <v>88</v>
      </c>
      <c r="D309" s="7">
        <v>41648</v>
      </c>
      <c r="E309" s="7">
        <v>45708</v>
      </c>
      <c r="F309">
        <v>330862</v>
      </c>
      <c r="G309" t="s">
        <v>983</v>
      </c>
      <c r="H309" t="s">
        <v>9</v>
      </c>
      <c r="I309" s="7">
        <v>45698</v>
      </c>
      <c r="J309" s="8">
        <v>0.68675925925925929</v>
      </c>
      <c r="K309" t="s">
        <v>984</v>
      </c>
      <c r="AQ309" t="s">
        <v>985</v>
      </c>
      <c r="AR309" t="s">
        <v>1046</v>
      </c>
      <c r="AT309" t="s">
        <v>987</v>
      </c>
      <c r="AZ309" t="s">
        <v>1024</v>
      </c>
      <c r="BA309" t="s">
        <v>1047</v>
      </c>
      <c r="BB309" t="s">
        <v>1048</v>
      </c>
      <c r="BD309" t="s">
        <v>1014</v>
      </c>
      <c r="BE309" t="s">
        <v>88</v>
      </c>
    </row>
    <row r="310" spans="1:57" ht="13" x14ac:dyDescent="0.15">
      <c r="A310">
        <v>1839</v>
      </c>
      <c r="B310">
        <v>30692389</v>
      </c>
      <c r="C310" t="s">
        <v>88</v>
      </c>
      <c r="D310" s="7">
        <v>41648</v>
      </c>
      <c r="E310" s="7">
        <v>45708</v>
      </c>
      <c r="F310">
        <v>330862</v>
      </c>
      <c r="G310" t="s">
        <v>983</v>
      </c>
      <c r="H310" t="s">
        <v>9</v>
      </c>
      <c r="I310" s="7">
        <v>45696</v>
      </c>
      <c r="J310" s="8">
        <v>0.48564814814814816</v>
      </c>
      <c r="K310" t="s">
        <v>984</v>
      </c>
      <c r="AQ310" t="s">
        <v>985</v>
      </c>
      <c r="AR310" t="s">
        <v>1269</v>
      </c>
      <c r="AT310" t="s">
        <v>987</v>
      </c>
      <c r="AZ310" t="s">
        <v>1011</v>
      </c>
      <c r="BA310" t="s">
        <v>1012</v>
      </c>
      <c r="BB310" t="s">
        <v>1013</v>
      </c>
      <c r="BD310" t="s">
        <v>1014</v>
      </c>
      <c r="BE310" t="s">
        <v>88</v>
      </c>
    </row>
    <row r="311" spans="1:57" ht="13" x14ac:dyDescent="0.15">
      <c r="A311">
        <v>1839</v>
      </c>
      <c r="B311">
        <v>30692389</v>
      </c>
      <c r="C311" t="s">
        <v>88</v>
      </c>
      <c r="D311" s="7">
        <v>41648</v>
      </c>
      <c r="E311" s="7">
        <v>45708</v>
      </c>
      <c r="F311">
        <v>330862</v>
      </c>
      <c r="G311" t="s">
        <v>983</v>
      </c>
      <c r="H311" t="s">
        <v>9</v>
      </c>
      <c r="I311" s="7">
        <v>45696</v>
      </c>
      <c r="J311" s="8">
        <v>0.64567129629629627</v>
      </c>
      <c r="K311" t="s">
        <v>984</v>
      </c>
      <c r="AQ311" t="s">
        <v>985</v>
      </c>
      <c r="AR311" t="s">
        <v>1046</v>
      </c>
      <c r="AT311" t="s">
        <v>987</v>
      </c>
      <c r="AZ311" t="s">
        <v>1024</v>
      </c>
      <c r="BA311" t="s">
        <v>1047</v>
      </c>
      <c r="BB311" t="s">
        <v>1048</v>
      </c>
      <c r="BD311" t="s">
        <v>1014</v>
      </c>
      <c r="BE311" t="s">
        <v>88</v>
      </c>
    </row>
    <row r="312" spans="1:57" ht="13" x14ac:dyDescent="0.15">
      <c r="A312">
        <v>1839</v>
      </c>
      <c r="B312">
        <v>30700325</v>
      </c>
      <c r="C312" t="s">
        <v>89</v>
      </c>
      <c r="D312" s="7">
        <v>41612</v>
      </c>
      <c r="E312" s="7">
        <v>45694</v>
      </c>
      <c r="F312">
        <v>330862</v>
      </c>
      <c r="G312" t="s">
        <v>983</v>
      </c>
      <c r="H312" t="s">
        <v>9</v>
      </c>
      <c r="I312" s="7">
        <v>45675</v>
      </c>
      <c r="J312" s="8">
        <v>0.45827546296296295</v>
      </c>
      <c r="K312" t="s">
        <v>984</v>
      </c>
      <c r="AQ312" t="s">
        <v>1092</v>
      </c>
      <c r="AR312" t="s">
        <v>1107</v>
      </c>
      <c r="AT312" t="s">
        <v>987</v>
      </c>
      <c r="AZ312" t="s">
        <v>1007</v>
      </c>
      <c r="BA312" t="s">
        <v>1008</v>
      </c>
      <c r="BB312" t="s">
        <v>990</v>
      </c>
      <c r="BD312" t="s">
        <v>1005</v>
      </c>
      <c r="BE312" t="s">
        <v>89</v>
      </c>
    </row>
    <row r="313" spans="1:57" ht="13" x14ac:dyDescent="0.15">
      <c r="A313">
        <v>1839</v>
      </c>
      <c r="B313">
        <v>30700325</v>
      </c>
      <c r="C313" t="s">
        <v>89</v>
      </c>
      <c r="D313" s="7">
        <v>41612</v>
      </c>
      <c r="E313" s="7">
        <v>45694</v>
      </c>
      <c r="F313">
        <v>330862</v>
      </c>
      <c r="G313" t="s">
        <v>983</v>
      </c>
      <c r="H313" t="s">
        <v>9</v>
      </c>
      <c r="I313" s="7">
        <v>45647</v>
      </c>
      <c r="J313" s="8">
        <v>0.39756944444444442</v>
      </c>
      <c r="K313" t="s">
        <v>984</v>
      </c>
      <c r="AQ313" t="s">
        <v>1092</v>
      </c>
      <c r="AR313" t="s">
        <v>1086</v>
      </c>
      <c r="AT313" t="s">
        <v>987</v>
      </c>
      <c r="AZ313" t="s">
        <v>1028</v>
      </c>
      <c r="BA313" t="s">
        <v>1029</v>
      </c>
      <c r="BB313" t="s">
        <v>1018</v>
      </c>
      <c r="BD313" t="s">
        <v>1022</v>
      </c>
      <c r="BE313" t="s">
        <v>89</v>
      </c>
    </row>
    <row r="314" spans="1:57" ht="13" x14ac:dyDescent="0.15">
      <c r="A314">
        <v>1839</v>
      </c>
      <c r="B314">
        <v>30700325</v>
      </c>
      <c r="C314" t="s">
        <v>89</v>
      </c>
      <c r="D314" s="7">
        <v>41612</v>
      </c>
      <c r="E314" s="7">
        <v>45694</v>
      </c>
      <c r="F314">
        <v>330862</v>
      </c>
      <c r="G314" t="s">
        <v>983</v>
      </c>
      <c r="H314" t="s">
        <v>9</v>
      </c>
      <c r="I314" s="7">
        <v>45648</v>
      </c>
      <c r="J314" s="8">
        <v>0.27858796296296295</v>
      </c>
      <c r="K314" t="s">
        <v>984</v>
      </c>
      <c r="AQ314" t="s">
        <v>1092</v>
      </c>
      <c r="AR314" t="s">
        <v>1256</v>
      </c>
      <c r="AT314" t="s">
        <v>987</v>
      </c>
      <c r="AZ314" t="s">
        <v>1024</v>
      </c>
      <c r="BA314" t="s">
        <v>1025</v>
      </c>
      <c r="BB314" t="s">
        <v>1026</v>
      </c>
      <c r="BD314" t="s">
        <v>1022</v>
      </c>
      <c r="BE314" t="s">
        <v>89</v>
      </c>
    </row>
    <row r="315" spans="1:57" ht="13" x14ac:dyDescent="0.15">
      <c r="A315">
        <v>1839</v>
      </c>
      <c r="B315">
        <v>30700325</v>
      </c>
      <c r="C315" t="s">
        <v>89</v>
      </c>
      <c r="D315" s="7">
        <v>41612</v>
      </c>
      <c r="E315" s="7">
        <v>45694</v>
      </c>
      <c r="F315">
        <v>330862</v>
      </c>
      <c r="G315" t="s">
        <v>983</v>
      </c>
      <c r="H315" t="s">
        <v>9</v>
      </c>
      <c r="I315" s="7">
        <v>45694</v>
      </c>
      <c r="J315" s="8">
        <v>0.58708333333333329</v>
      </c>
      <c r="K315" t="s">
        <v>984</v>
      </c>
      <c r="AQ315" t="s">
        <v>1092</v>
      </c>
      <c r="AR315" t="s">
        <v>993</v>
      </c>
      <c r="AT315" t="s">
        <v>987</v>
      </c>
      <c r="AZ315" t="s">
        <v>988</v>
      </c>
      <c r="BA315" t="s">
        <v>989</v>
      </c>
      <c r="BB315" t="s">
        <v>990</v>
      </c>
      <c r="BD315" t="s">
        <v>991</v>
      </c>
      <c r="BE315" t="s">
        <v>89</v>
      </c>
    </row>
    <row r="316" spans="1:57" ht="13" x14ac:dyDescent="0.15">
      <c r="A316">
        <v>1839</v>
      </c>
      <c r="B316">
        <v>30700325</v>
      </c>
      <c r="C316" t="s">
        <v>89</v>
      </c>
      <c r="D316" s="7">
        <v>41612</v>
      </c>
      <c r="E316" s="7">
        <v>45694</v>
      </c>
      <c r="F316">
        <v>330862</v>
      </c>
      <c r="G316" t="s">
        <v>983</v>
      </c>
      <c r="H316" t="s">
        <v>9</v>
      </c>
      <c r="I316" s="7">
        <v>45648</v>
      </c>
      <c r="J316" s="8">
        <v>0.27561342592592591</v>
      </c>
      <c r="K316" t="s">
        <v>984</v>
      </c>
      <c r="AQ316" t="s">
        <v>1092</v>
      </c>
      <c r="AR316" t="s">
        <v>1086</v>
      </c>
      <c r="AT316" t="s">
        <v>987</v>
      </c>
      <c r="AZ316" t="s">
        <v>1028</v>
      </c>
      <c r="BA316" t="s">
        <v>1029</v>
      </c>
      <c r="BB316" t="s">
        <v>1018</v>
      </c>
      <c r="BD316" t="s">
        <v>1022</v>
      </c>
      <c r="BE316" t="s">
        <v>89</v>
      </c>
    </row>
    <row r="317" spans="1:57" ht="13" x14ac:dyDescent="0.15">
      <c r="A317">
        <v>1839</v>
      </c>
      <c r="B317">
        <v>30700325</v>
      </c>
      <c r="C317" t="s">
        <v>89</v>
      </c>
      <c r="D317" s="7">
        <v>41612</v>
      </c>
      <c r="E317" s="7">
        <v>45694</v>
      </c>
      <c r="F317">
        <v>330862</v>
      </c>
      <c r="G317" t="s">
        <v>983</v>
      </c>
      <c r="H317" t="s">
        <v>9</v>
      </c>
      <c r="I317" s="7">
        <v>45647</v>
      </c>
      <c r="J317" s="8">
        <v>0.39869212962962963</v>
      </c>
      <c r="K317" t="s">
        <v>984</v>
      </c>
      <c r="AQ317" t="s">
        <v>1092</v>
      </c>
      <c r="AR317" t="s">
        <v>1086</v>
      </c>
      <c r="AT317" t="s">
        <v>987</v>
      </c>
      <c r="AZ317" t="s">
        <v>1028</v>
      </c>
      <c r="BA317" t="s">
        <v>1029</v>
      </c>
      <c r="BB317" t="s">
        <v>1018</v>
      </c>
      <c r="BD317" t="s">
        <v>1022</v>
      </c>
      <c r="BE317" t="s">
        <v>89</v>
      </c>
    </row>
    <row r="318" spans="1:57" ht="13" x14ac:dyDescent="0.15">
      <c r="A318">
        <v>1839</v>
      </c>
      <c r="B318">
        <v>30700343</v>
      </c>
      <c r="C318" t="s">
        <v>1270</v>
      </c>
      <c r="D318" s="7">
        <v>39367</v>
      </c>
      <c r="E318" s="7">
        <v>45664</v>
      </c>
      <c r="F318">
        <v>330862</v>
      </c>
      <c r="G318" t="s">
        <v>983</v>
      </c>
      <c r="H318" t="s">
        <v>9</v>
      </c>
      <c r="I318" s="7">
        <v>45636</v>
      </c>
      <c r="J318" s="8">
        <v>0.82663194444444443</v>
      </c>
      <c r="K318" t="s">
        <v>984</v>
      </c>
      <c r="AQ318" t="s">
        <v>985</v>
      </c>
      <c r="AR318" t="s">
        <v>1098</v>
      </c>
      <c r="AT318" t="s">
        <v>987</v>
      </c>
      <c r="AZ318" t="s">
        <v>1020</v>
      </c>
      <c r="BA318" t="s">
        <v>1021</v>
      </c>
      <c r="BB318" t="s">
        <v>1018</v>
      </c>
      <c r="BD318" t="s">
        <v>1022</v>
      </c>
      <c r="BE318" t="s">
        <v>1270</v>
      </c>
    </row>
    <row r="319" spans="1:57" ht="13" x14ac:dyDescent="0.15">
      <c r="A319">
        <v>1839</v>
      </c>
      <c r="B319">
        <v>30700343</v>
      </c>
      <c r="C319" t="s">
        <v>1270</v>
      </c>
      <c r="D319" s="7">
        <v>39367</v>
      </c>
      <c r="E319" s="7">
        <v>45664</v>
      </c>
      <c r="F319">
        <v>330862</v>
      </c>
      <c r="G319" t="s">
        <v>983</v>
      </c>
      <c r="H319" t="s">
        <v>9</v>
      </c>
      <c r="I319" s="7">
        <v>45636</v>
      </c>
      <c r="J319" s="8">
        <v>0.8243287037037037</v>
      </c>
      <c r="K319" t="s">
        <v>984</v>
      </c>
      <c r="AQ319" t="s">
        <v>985</v>
      </c>
      <c r="AR319" t="s">
        <v>1096</v>
      </c>
      <c r="AT319" t="s">
        <v>987</v>
      </c>
      <c r="AZ319" t="s">
        <v>1011</v>
      </c>
      <c r="BA319" t="s">
        <v>1031</v>
      </c>
      <c r="BB319" t="s">
        <v>1032</v>
      </c>
      <c r="BD319" t="s">
        <v>1005</v>
      </c>
      <c r="BE319" t="s">
        <v>1270</v>
      </c>
    </row>
    <row r="320" spans="1:57" ht="13" x14ac:dyDescent="0.15">
      <c r="A320">
        <v>1839</v>
      </c>
      <c r="B320">
        <v>30700343</v>
      </c>
      <c r="C320" t="s">
        <v>1270</v>
      </c>
      <c r="D320" s="7">
        <v>39367</v>
      </c>
      <c r="E320" s="7">
        <v>45664</v>
      </c>
      <c r="F320">
        <v>330862</v>
      </c>
      <c r="G320" t="s">
        <v>983</v>
      </c>
      <c r="H320" t="s">
        <v>9</v>
      </c>
      <c r="I320" s="7">
        <v>45636</v>
      </c>
      <c r="J320" s="8">
        <v>0.82621527777777781</v>
      </c>
      <c r="K320" t="s">
        <v>984</v>
      </c>
      <c r="AQ320" t="s">
        <v>985</v>
      </c>
      <c r="AR320" t="s">
        <v>1097</v>
      </c>
      <c r="AT320" t="s">
        <v>987</v>
      </c>
      <c r="AZ320" t="s">
        <v>1024</v>
      </c>
      <c r="BA320" t="s">
        <v>1025</v>
      </c>
      <c r="BB320" t="s">
        <v>1026</v>
      </c>
      <c r="BD320" t="s">
        <v>1022</v>
      </c>
      <c r="BE320" t="s">
        <v>1270</v>
      </c>
    </row>
    <row r="321" spans="1:57" ht="13" x14ac:dyDescent="0.15">
      <c r="A321">
        <v>1839</v>
      </c>
      <c r="B321">
        <v>30700343</v>
      </c>
      <c r="C321" t="s">
        <v>1270</v>
      </c>
      <c r="D321" s="7">
        <v>39367</v>
      </c>
      <c r="E321" s="7">
        <v>45664</v>
      </c>
      <c r="F321">
        <v>330862</v>
      </c>
      <c r="G321" t="s">
        <v>983</v>
      </c>
      <c r="H321" t="s">
        <v>9</v>
      </c>
      <c r="I321" s="7">
        <v>45636</v>
      </c>
      <c r="J321" s="8">
        <v>0.82576388888888885</v>
      </c>
      <c r="K321" t="s">
        <v>984</v>
      </c>
      <c r="AQ321" t="s">
        <v>985</v>
      </c>
      <c r="AR321" t="s">
        <v>1262</v>
      </c>
      <c r="AT321" t="s">
        <v>987</v>
      </c>
      <c r="AZ321" t="s">
        <v>1028</v>
      </c>
      <c r="BA321" t="s">
        <v>1029</v>
      </c>
      <c r="BB321" t="s">
        <v>1018</v>
      </c>
      <c r="BD321" t="s">
        <v>1022</v>
      </c>
      <c r="BE321" t="s">
        <v>1270</v>
      </c>
    </row>
    <row r="322" spans="1:57" ht="13" x14ac:dyDescent="0.15">
      <c r="A322">
        <v>1839</v>
      </c>
      <c r="B322">
        <v>30700471</v>
      </c>
      <c r="C322" t="s">
        <v>90</v>
      </c>
      <c r="D322" s="7">
        <v>39367</v>
      </c>
      <c r="E322" s="7">
        <v>45706</v>
      </c>
      <c r="F322">
        <v>330862</v>
      </c>
      <c r="G322" t="s">
        <v>983</v>
      </c>
      <c r="H322" t="s">
        <v>9</v>
      </c>
      <c r="I322" s="7">
        <v>45665</v>
      </c>
      <c r="J322" s="8">
        <v>0.80479166666666668</v>
      </c>
      <c r="K322" t="s">
        <v>984</v>
      </c>
      <c r="AQ322" t="s">
        <v>992</v>
      </c>
      <c r="AR322" t="s">
        <v>1271</v>
      </c>
      <c r="AT322" t="s">
        <v>987</v>
      </c>
      <c r="AZ322" t="s">
        <v>1174</v>
      </c>
      <c r="BA322" t="s">
        <v>1242</v>
      </c>
      <c r="BB322" t="s">
        <v>1026</v>
      </c>
      <c r="BD322" t="s">
        <v>1005</v>
      </c>
      <c r="BE322" t="s">
        <v>90</v>
      </c>
    </row>
    <row r="323" spans="1:57" ht="13" x14ac:dyDescent="0.15">
      <c r="A323">
        <v>1839</v>
      </c>
      <c r="B323">
        <v>30700471</v>
      </c>
      <c r="C323" t="s">
        <v>90</v>
      </c>
      <c r="D323" s="7">
        <v>39367</v>
      </c>
      <c r="E323" s="7">
        <v>45706</v>
      </c>
      <c r="F323">
        <v>330862</v>
      </c>
      <c r="G323" t="s">
        <v>983</v>
      </c>
      <c r="H323" t="s">
        <v>9</v>
      </c>
      <c r="I323" s="7">
        <v>45704</v>
      </c>
      <c r="J323" s="8">
        <v>0.67241898148148149</v>
      </c>
      <c r="K323" t="s">
        <v>984</v>
      </c>
      <c r="AQ323" t="s">
        <v>1092</v>
      </c>
      <c r="AR323" t="s">
        <v>997</v>
      </c>
      <c r="AT323" t="s">
        <v>987</v>
      </c>
      <c r="AZ323" t="s">
        <v>988</v>
      </c>
      <c r="BA323" t="s">
        <v>989</v>
      </c>
      <c r="BB323" t="s">
        <v>990</v>
      </c>
      <c r="BD323" t="s">
        <v>991</v>
      </c>
      <c r="BE323" t="s">
        <v>90</v>
      </c>
    </row>
    <row r="324" spans="1:57" ht="13" x14ac:dyDescent="0.15">
      <c r="A324">
        <v>1839</v>
      </c>
      <c r="B324">
        <v>30700471</v>
      </c>
      <c r="C324" t="s">
        <v>90</v>
      </c>
      <c r="D324" s="7">
        <v>39367</v>
      </c>
      <c r="E324" s="7">
        <v>45706</v>
      </c>
      <c r="F324">
        <v>330862</v>
      </c>
      <c r="G324" t="s">
        <v>983</v>
      </c>
      <c r="H324" t="s">
        <v>9</v>
      </c>
      <c r="I324" s="7">
        <v>45704</v>
      </c>
      <c r="J324" s="8">
        <v>0.67630787037037032</v>
      </c>
      <c r="K324" t="s">
        <v>984</v>
      </c>
      <c r="AQ324" t="s">
        <v>1092</v>
      </c>
      <c r="AR324" t="s">
        <v>1272</v>
      </c>
      <c r="AT324" t="s">
        <v>987</v>
      </c>
      <c r="AZ324" t="s">
        <v>1002</v>
      </c>
      <c r="BA324" t="s">
        <v>1040</v>
      </c>
      <c r="BB324" t="s">
        <v>1041</v>
      </c>
      <c r="BD324" t="s">
        <v>991</v>
      </c>
      <c r="BE324" t="s">
        <v>90</v>
      </c>
    </row>
    <row r="325" spans="1:57" ht="13" x14ac:dyDescent="0.15">
      <c r="A325">
        <v>1839</v>
      </c>
      <c r="B325">
        <v>30703196</v>
      </c>
      <c r="C325" t="s">
        <v>91</v>
      </c>
      <c r="D325" s="7">
        <v>38666</v>
      </c>
      <c r="E325" s="7">
        <v>45708</v>
      </c>
      <c r="F325">
        <v>330862</v>
      </c>
      <c r="G325" t="s">
        <v>983</v>
      </c>
      <c r="H325" t="s">
        <v>9</v>
      </c>
      <c r="I325" s="7">
        <v>45697</v>
      </c>
      <c r="J325" s="8">
        <v>0.53032407407407411</v>
      </c>
      <c r="K325" t="s">
        <v>984</v>
      </c>
      <c r="AQ325" t="s">
        <v>992</v>
      </c>
      <c r="AR325" t="s">
        <v>1066</v>
      </c>
      <c r="AT325" t="s">
        <v>987</v>
      </c>
      <c r="AZ325" t="s">
        <v>988</v>
      </c>
      <c r="BA325" t="s">
        <v>989</v>
      </c>
      <c r="BB325" t="s">
        <v>990</v>
      </c>
      <c r="BD325" t="s">
        <v>991</v>
      </c>
      <c r="BE325" t="s">
        <v>91</v>
      </c>
    </row>
    <row r="326" spans="1:57" ht="13" x14ac:dyDescent="0.15">
      <c r="A326">
        <v>1839</v>
      </c>
      <c r="B326">
        <v>30703334</v>
      </c>
      <c r="C326" t="s">
        <v>92</v>
      </c>
      <c r="D326" s="7">
        <v>38666</v>
      </c>
      <c r="E326" s="7">
        <v>45694</v>
      </c>
      <c r="F326">
        <v>330862</v>
      </c>
      <c r="G326" t="s">
        <v>983</v>
      </c>
      <c r="H326" t="s">
        <v>9</v>
      </c>
      <c r="I326" s="7">
        <v>45678</v>
      </c>
      <c r="J326" s="8">
        <v>0.84718749999999998</v>
      </c>
      <c r="K326" t="s">
        <v>984</v>
      </c>
      <c r="AQ326" t="s">
        <v>985</v>
      </c>
      <c r="AR326" t="s">
        <v>1050</v>
      </c>
      <c r="AT326" t="s">
        <v>987</v>
      </c>
      <c r="AZ326" t="s">
        <v>1011</v>
      </c>
      <c r="BA326" t="s">
        <v>1012</v>
      </c>
      <c r="BB326" t="s">
        <v>1013</v>
      </c>
      <c r="BD326" t="s">
        <v>1014</v>
      </c>
      <c r="BE326" t="s">
        <v>92</v>
      </c>
    </row>
    <row r="327" spans="1:57" ht="13" x14ac:dyDescent="0.15">
      <c r="A327">
        <v>1839</v>
      </c>
      <c r="B327">
        <v>30708031</v>
      </c>
      <c r="C327" t="s">
        <v>93</v>
      </c>
      <c r="D327" s="7">
        <v>40161</v>
      </c>
      <c r="E327" s="7">
        <v>45707</v>
      </c>
      <c r="F327">
        <v>330862</v>
      </c>
      <c r="G327" t="s">
        <v>983</v>
      </c>
      <c r="H327" t="s">
        <v>9</v>
      </c>
      <c r="I327" s="7">
        <v>45637</v>
      </c>
      <c r="J327" s="8">
        <v>0.57870370370370372</v>
      </c>
      <c r="K327" t="s">
        <v>984</v>
      </c>
      <c r="AQ327" t="s">
        <v>1092</v>
      </c>
      <c r="AR327" t="s">
        <v>1108</v>
      </c>
      <c r="AT327" t="s">
        <v>987</v>
      </c>
      <c r="AZ327" t="s">
        <v>1011</v>
      </c>
      <c r="BA327" t="s">
        <v>1031</v>
      </c>
      <c r="BB327" t="s">
        <v>1032</v>
      </c>
      <c r="BD327" t="s">
        <v>1005</v>
      </c>
      <c r="BE327" t="s">
        <v>93</v>
      </c>
    </row>
    <row r="328" spans="1:57" ht="13" x14ac:dyDescent="0.15">
      <c r="A328">
        <v>1839</v>
      </c>
      <c r="B328">
        <v>30708031</v>
      </c>
      <c r="C328" t="s">
        <v>93</v>
      </c>
      <c r="D328" s="7">
        <v>40161</v>
      </c>
      <c r="E328" s="7">
        <v>45707</v>
      </c>
      <c r="F328">
        <v>330862</v>
      </c>
      <c r="G328" t="s">
        <v>983</v>
      </c>
      <c r="H328" t="s">
        <v>9</v>
      </c>
      <c r="I328" s="7">
        <v>45637</v>
      </c>
      <c r="J328" s="8">
        <v>0.58172453703703708</v>
      </c>
      <c r="K328" t="s">
        <v>984</v>
      </c>
      <c r="AQ328" t="s">
        <v>1092</v>
      </c>
      <c r="AR328" t="s">
        <v>1249</v>
      </c>
      <c r="AT328" t="s">
        <v>987</v>
      </c>
      <c r="AZ328" t="s">
        <v>1024</v>
      </c>
      <c r="BA328" t="s">
        <v>1025</v>
      </c>
      <c r="BB328" t="s">
        <v>1026</v>
      </c>
      <c r="BD328" t="s">
        <v>1022</v>
      </c>
      <c r="BE328" t="s">
        <v>93</v>
      </c>
    </row>
    <row r="329" spans="1:57" ht="13" x14ac:dyDescent="0.15">
      <c r="A329">
        <v>1839</v>
      </c>
      <c r="B329">
        <v>30708031</v>
      </c>
      <c r="C329" t="s">
        <v>93</v>
      </c>
      <c r="D329" s="7">
        <v>40161</v>
      </c>
      <c r="E329" s="7">
        <v>45707</v>
      </c>
      <c r="F329">
        <v>330862</v>
      </c>
      <c r="G329" t="s">
        <v>983</v>
      </c>
      <c r="H329" t="s">
        <v>9</v>
      </c>
      <c r="I329" s="7">
        <v>45637</v>
      </c>
      <c r="J329" s="8">
        <v>0.58770833333333339</v>
      </c>
      <c r="K329" t="s">
        <v>984</v>
      </c>
      <c r="AQ329" t="s">
        <v>1092</v>
      </c>
      <c r="AR329" t="s">
        <v>1179</v>
      </c>
      <c r="AT329" t="s">
        <v>987</v>
      </c>
      <c r="AZ329" t="s">
        <v>1020</v>
      </c>
      <c r="BA329" t="s">
        <v>1021</v>
      </c>
      <c r="BB329" t="s">
        <v>1018</v>
      </c>
      <c r="BD329" t="s">
        <v>1022</v>
      </c>
      <c r="BE329" t="s">
        <v>93</v>
      </c>
    </row>
    <row r="330" spans="1:57" ht="13" x14ac:dyDescent="0.15">
      <c r="A330">
        <v>1839</v>
      </c>
      <c r="B330">
        <v>30708031</v>
      </c>
      <c r="C330" t="s">
        <v>93</v>
      </c>
      <c r="D330" s="7">
        <v>40161</v>
      </c>
      <c r="E330" s="7">
        <v>45707</v>
      </c>
      <c r="F330">
        <v>330862</v>
      </c>
      <c r="G330" t="s">
        <v>983</v>
      </c>
      <c r="H330" t="s">
        <v>9</v>
      </c>
      <c r="I330" s="7">
        <v>45694</v>
      </c>
      <c r="J330" s="8">
        <v>0.41421296296296295</v>
      </c>
      <c r="K330" t="s">
        <v>984</v>
      </c>
      <c r="AQ330" t="s">
        <v>1092</v>
      </c>
      <c r="AR330" t="s">
        <v>993</v>
      </c>
      <c r="AT330" t="s">
        <v>987</v>
      </c>
      <c r="AZ330" t="s">
        <v>988</v>
      </c>
      <c r="BA330" t="s">
        <v>989</v>
      </c>
      <c r="BB330" t="s">
        <v>990</v>
      </c>
      <c r="BD330" t="s">
        <v>991</v>
      </c>
      <c r="BE330" t="s">
        <v>93</v>
      </c>
    </row>
    <row r="331" spans="1:57" ht="13" x14ac:dyDescent="0.15">
      <c r="A331">
        <v>1839</v>
      </c>
      <c r="B331">
        <v>30708031</v>
      </c>
      <c r="C331" t="s">
        <v>93</v>
      </c>
      <c r="D331" s="7">
        <v>40161</v>
      </c>
      <c r="E331" s="7">
        <v>45707</v>
      </c>
      <c r="F331">
        <v>330862</v>
      </c>
      <c r="G331" t="s">
        <v>983</v>
      </c>
      <c r="H331" t="s">
        <v>9</v>
      </c>
      <c r="I331" s="7">
        <v>45637</v>
      </c>
      <c r="J331" s="8">
        <v>0.58035879629629628</v>
      </c>
      <c r="K331" t="s">
        <v>984</v>
      </c>
      <c r="AQ331" t="s">
        <v>1092</v>
      </c>
      <c r="AR331" t="s">
        <v>1250</v>
      </c>
      <c r="AT331" t="s">
        <v>987</v>
      </c>
      <c r="AZ331" t="s">
        <v>1028</v>
      </c>
      <c r="BA331" t="s">
        <v>1029</v>
      </c>
      <c r="BB331" t="s">
        <v>1018</v>
      </c>
      <c r="BD331" t="s">
        <v>1022</v>
      </c>
      <c r="BE331" t="s">
        <v>93</v>
      </c>
    </row>
    <row r="332" spans="1:57" ht="13" x14ac:dyDescent="0.15">
      <c r="A332">
        <v>1839</v>
      </c>
      <c r="B332">
        <v>30708599</v>
      </c>
      <c r="C332" t="s">
        <v>94</v>
      </c>
      <c r="D332" s="7">
        <v>40166</v>
      </c>
      <c r="E332" s="7">
        <v>45709</v>
      </c>
      <c r="F332">
        <v>330862</v>
      </c>
      <c r="G332" t="s">
        <v>983</v>
      </c>
      <c r="H332" t="s">
        <v>9</v>
      </c>
      <c r="I332" s="7">
        <v>45676</v>
      </c>
      <c r="J332" s="8">
        <v>0.82049768518518518</v>
      </c>
      <c r="K332" t="s">
        <v>984</v>
      </c>
      <c r="AQ332" t="s">
        <v>1273</v>
      </c>
      <c r="AR332" t="s">
        <v>1204</v>
      </c>
      <c r="AT332" t="s">
        <v>987</v>
      </c>
      <c r="AZ332" t="s">
        <v>1024</v>
      </c>
      <c r="BA332" t="s">
        <v>1047</v>
      </c>
      <c r="BB332" t="s">
        <v>1048</v>
      </c>
      <c r="BD332" t="s">
        <v>1014</v>
      </c>
      <c r="BE332" t="s">
        <v>94</v>
      </c>
    </row>
    <row r="333" spans="1:57" ht="13" x14ac:dyDescent="0.15">
      <c r="A333">
        <v>1839</v>
      </c>
      <c r="B333">
        <v>30708599</v>
      </c>
      <c r="C333" t="s">
        <v>94</v>
      </c>
      <c r="D333" s="7">
        <v>40166</v>
      </c>
      <c r="E333" s="7">
        <v>45709</v>
      </c>
      <c r="F333">
        <v>330862</v>
      </c>
      <c r="G333" t="s">
        <v>983</v>
      </c>
      <c r="H333" t="s">
        <v>9</v>
      </c>
      <c r="I333" s="7">
        <v>45697</v>
      </c>
      <c r="J333" s="8">
        <v>0.53987268518518516</v>
      </c>
      <c r="K333" t="s">
        <v>984</v>
      </c>
      <c r="AQ333" t="s">
        <v>1273</v>
      </c>
      <c r="AR333" t="s">
        <v>993</v>
      </c>
      <c r="AT333" t="s">
        <v>987</v>
      </c>
      <c r="AZ333" t="s">
        <v>988</v>
      </c>
      <c r="BA333" t="s">
        <v>989</v>
      </c>
      <c r="BB333" t="s">
        <v>990</v>
      </c>
      <c r="BD333" t="s">
        <v>991</v>
      </c>
      <c r="BE333" t="s">
        <v>94</v>
      </c>
    </row>
    <row r="334" spans="1:57" ht="13" x14ac:dyDescent="0.15">
      <c r="A334">
        <v>1839</v>
      </c>
      <c r="B334">
        <v>30719469</v>
      </c>
      <c r="C334" t="s">
        <v>95</v>
      </c>
      <c r="D334" s="7">
        <v>41168</v>
      </c>
      <c r="E334" s="7">
        <v>45695</v>
      </c>
      <c r="F334">
        <v>330862</v>
      </c>
      <c r="G334" t="s">
        <v>983</v>
      </c>
      <c r="H334" t="s">
        <v>9</v>
      </c>
      <c r="I334" s="7">
        <v>45672</v>
      </c>
      <c r="J334" s="8">
        <v>0.645625</v>
      </c>
      <c r="K334" t="s">
        <v>984</v>
      </c>
      <c r="AQ334" t="s">
        <v>1092</v>
      </c>
      <c r="AR334" t="s">
        <v>1274</v>
      </c>
      <c r="AT334" t="s">
        <v>987</v>
      </c>
      <c r="AZ334" t="s">
        <v>1016</v>
      </c>
      <c r="BA334" t="s">
        <v>1017</v>
      </c>
      <c r="BB334" t="s">
        <v>1018</v>
      </c>
      <c r="BD334" t="s">
        <v>991</v>
      </c>
      <c r="BE334" t="s">
        <v>95</v>
      </c>
    </row>
    <row r="335" spans="1:57" ht="13" x14ac:dyDescent="0.15">
      <c r="A335">
        <v>1839</v>
      </c>
      <c r="B335">
        <v>30719469</v>
      </c>
      <c r="C335" t="s">
        <v>95</v>
      </c>
      <c r="D335" s="7">
        <v>41168</v>
      </c>
      <c r="E335" s="7">
        <v>45695</v>
      </c>
      <c r="F335">
        <v>330862</v>
      </c>
      <c r="G335" t="s">
        <v>983</v>
      </c>
      <c r="H335" t="s">
        <v>9</v>
      </c>
      <c r="I335" s="7">
        <v>45694</v>
      </c>
      <c r="J335" s="8">
        <v>0.36005787037037035</v>
      </c>
      <c r="K335" t="s">
        <v>984</v>
      </c>
      <c r="AQ335" t="s">
        <v>1092</v>
      </c>
      <c r="AR335" t="s">
        <v>993</v>
      </c>
      <c r="AT335" t="s">
        <v>987</v>
      </c>
      <c r="AZ335" t="s">
        <v>988</v>
      </c>
      <c r="BA335" t="s">
        <v>989</v>
      </c>
      <c r="BB335" t="s">
        <v>990</v>
      </c>
      <c r="BD335" t="s">
        <v>991</v>
      </c>
      <c r="BE335" t="s">
        <v>95</v>
      </c>
    </row>
    <row r="336" spans="1:57" ht="13" x14ac:dyDescent="0.15">
      <c r="A336">
        <v>1839</v>
      </c>
      <c r="B336">
        <v>30721822</v>
      </c>
      <c r="C336" t="s">
        <v>96</v>
      </c>
      <c r="D336" s="7">
        <v>41717</v>
      </c>
      <c r="E336" s="7">
        <v>45710</v>
      </c>
      <c r="F336">
        <v>330862</v>
      </c>
      <c r="G336" t="s">
        <v>983</v>
      </c>
      <c r="H336" t="s">
        <v>9</v>
      </c>
      <c r="I336" s="7">
        <v>45673</v>
      </c>
      <c r="J336" s="8">
        <v>0.18497685185185186</v>
      </c>
      <c r="K336" t="s">
        <v>984</v>
      </c>
      <c r="AQ336" t="s">
        <v>998</v>
      </c>
      <c r="AR336" t="s">
        <v>1275</v>
      </c>
      <c r="AT336" t="s">
        <v>987</v>
      </c>
      <c r="AZ336" t="s">
        <v>1016</v>
      </c>
      <c r="BA336" t="s">
        <v>1017</v>
      </c>
      <c r="BB336" t="s">
        <v>1018</v>
      </c>
      <c r="BD336" t="s">
        <v>991</v>
      </c>
      <c r="BE336" t="s">
        <v>96</v>
      </c>
    </row>
    <row r="337" spans="1:57" ht="13" x14ac:dyDescent="0.15">
      <c r="A337">
        <v>1839</v>
      </c>
      <c r="B337">
        <v>30735844</v>
      </c>
      <c r="C337" t="s">
        <v>1276</v>
      </c>
      <c r="D337" s="7">
        <v>41179</v>
      </c>
      <c r="E337" s="7">
        <v>45701</v>
      </c>
      <c r="F337">
        <v>330862</v>
      </c>
      <c r="G337" t="s">
        <v>983</v>
      </c>
      <c r="H337" t="s">
        <v>9</v>
      </c>
      <c r="I337" s="7">
        <v>45636</v>
      </c>
      <c r="J337" s="8">
        <v>0.63430555555555557</v>
      </c>
      <c r="K337" t="s">
        <v>984</v>
      </c>
      <c r="AQ337" t="s">
        <v>985</v>
      </c>
      <c r="AR337" t="s">
        <v>1277</v>
      </c>
      <c r="AT337" t="s">
        <v>987</v>
      </c>
      <c r="AZ337" t="s">
        <v>1011</v>
      </c>
      <c r="BA337" t="s">
        <v>1031</v>
      </c>
      <c r="BB337" t="s">
        <v>1032</v>
      </c>
      <c r="BD337" t="s">
        <v>1005</v>
      </c>
      <c r="BE337" t="s">
        <v>1276</v>
      </c>
    </row>
    <row r="338" spans="1:57" ht="13" x14ac:dyDescent="0.15">
      <c r="A338">
        <v>1839</v>
      </c>
      <c r="B338">
        <v>30735844</v>
      </c>
      <c r="C338" t="s">
        <v>1276</v>
      </c>
      <c r="D338" s="7">
        <v>41179</v>
      </c>
      <c r="E338" s="7">
        <v>45701</v>
      </c>
      <c r="F338">
        <v>330862</v>
      </c>
      <c r="G338" t="s">
        <v>983</v>
      </c>
      <c r="H338" t="s">
        <v>9</v>
      </c>
      <c r="I338" s="7">
        <v>45636</v>
      </c>
      <c r="J338" s="8">
        <v>0.7519675925925926</v>
      </c>
      <c r="K338" t="s">
        <v>984</v>
      </c>
      <c r="AQ338" t="s">
        <v>985</v>
      </c>
      <c r="AR338" t="s">
        <v>1098</v>
      </c>
      <c r="AT338" t="s">
        <v>987</v>
      </c>
      <c r="AZ338" t="s">
        <v>1020</v>
      </c>
      <c r="BA338" t="s">
        <v>1021</v>
      </c>
      <c r="BB338" t="s">
        <v>1018</v>
      </c>
      <c r="BD338" t="s">
        <v>1022</v>
      </c>
      <c r="BE338" t="s">
        <v>1276</v>
      </c>
    </row>
    <row r="339" spans="1:57" ht="13" x14ac:dyDescent="0.15">
      <c r="A339">
        <v>1839</v>
      </c>
      <c r="B339">
        <v>30735844</v>
      </c>
      <c r="C339" t="s">
        <v>1276</v>
      </c>
      <c r="D339" s="7">
        <v>41179</v>
      </c>
      <c r="E339" s="7">
        <v>45701</v>
      </c>
      <c r="F339">
        <v>330862</v>
      </c>
      <c r="G339" t="s">
        <v>983</v>
      </c>
      <c r="H339" t="s">
        <v>9</v>
      </c>
      <c r="I339" s="7">
        <v>45636</v>
      </c>
      <c r="J339" s="8">
        <v>0.69299768518518523</v>
      </c>
      <c r="K339" t="s">
        <v>984</v>
      </c>
      <c r="AQ339" t="s">
        <v>985</v>
      </c>
      <c r="AR339" t="s">
        <v>1278</v>
      </c>
      <c r="AT339" t="s">
        <v>987</v>
      </c>
      <c r="AZ339" t="s">
        <v>1002</v>
      </c>
      <c r="BA339" t="s">
        <v>1124</v>
      </c>
      <c r="BB339" t="s">
        <v>1125</v>
      </c>
      <c r="BD339" t="s">
        <v>1005</v>
      </c>
      <c r="BE339" t="s">
        <v>1276</v>
      </c>
    </row>
    <row r="340" spans="1:57" ht="13" x14ac:dyDescent="0.15">
      <c r="A340">
        <v>1839</v>
      </c>
      <c r="B340">
        <v>30735844</v>
      </c>
      <c r="C340" t="s">
        <v>1276</v>
      </c>
      <c r="D340" s="7">
        <v>41179</v>
      </c>
      <c r="E340" s="7">
        <v>45701</v>
      </c>
      <c r="F340">
        <v>330862</v>
      </c>
      <c r="G340" t="s">
        <v>983</v>
      </c>
      <c r="H340" t="s">
        <v>9</v>
      </c>
      <c r="I340" s="7">
        <v>45636</v>
      </c>
      <c r="J340" s="8">
        <v>0.47738425925925926</v>
      </c>
      <c r="K340" t="s">
        <v>984</v>
      </c>
      <c r="AQ340" t="s">
        <v>985</v>
      </c>
      <c r="AR340" t="s">
        <v>1279</v>
      </c>
      <c r="AT340" t="s">
        <v>987</v>
      </c>
      <c r="AZ340" t="s">
        <v>1174</v>
      </c>
      <c r="BA340" t="s">
        <v>1242</v>
      </c>
      <c r="BB340" t="s">
        <v>1026</v>
      </c>
      <c r="BD340" t="s">
        <v>1005</v>
      </c>
      <c r="BE340" t="s">
        <v>1276</v>
      </c>
    </row>
    <row r="341" spans="1:57" ht="13" x14ac:dyDescent="0.15">
      <c r="A341">
        <v>1839</v>
      </c>
      <c r="B341">
        <v>30735844</v>
      </c>
      <c r="C341" t="s">
        <v>1276</v>
      </c>
      <c r="D341" s="7">
        <v>41179</v>
      </c>
      <c r="E341" s="7">
        <v>45701</v>
      </c>
      <c r="F341">
        <v>330862</v>
      </c>
      <c r="G341" t="s">
        <v>983</v>
      </c>
      <c r="H341" t="s">
        <v>9</v>
      </c>
      <c r="I341" s="7">
        <v>45636</v>
      </c>
      <c r="J341" s="8">
        <v>0.60620370370370369</v>
      </c>
      <c r="K341" t="s">
        <v>984</v>
      </c>
      <c r="AQ341" t="s">
        <v>985</v>
      </c>
      <c r="AR341" t="s">
        <v>1278</v>
      </c>
      <c r="AT341" t="s">
        <v>987</v>
      </c>
      <c r="AZ341" t="s">
        <v>1002</v>
      </c>
      <c r="BA341" t="s">
        <v>1124</v>
      </c>
      <c r="BB341" t="s">
        <v>1125</v>
      </c>
      <c r="BD341" t="s">
        <v>1005</v>
      </c>
      <c r="BE341" t="s">
        <v>1276</v>
      </c>
    </row>
    <row r="342" spans="1:57" ht="13" x14ac:dyDescent="0.15">
      <c r="A342">
        <v>1839</v>
      </c>
      <c r="B342">
        <v>30735844</v>
      </c>
      <c r="C342" t="s">
        <v>1276</v>
      </c>
      <c r="D342" s="7">
        <v>41179</v>
      </c>
      <c r="E342" s="7">
        <v>45701</v>
      </c>
      <c r="F342">
        <v>330862</v>
      </c>
      <c r="G342" t="s">
        <v>983</v>
      </c>
      <c r="H342" t="s">
        <v>9</v>
      </c>
      <c r="I342" s="7">
        <v>45636</v>
      </c>
      <c r="J342" s="8">
        <v>0.77190972222222221</v>
      </c>
      <c r="K342" t="s">
        <v>984</v>
      </c>
      <c r="AQ342" t="s">
        <v>985</v>
      </c>
      <c r="AR342" t="s">
        <v>1280</v>
      </c>
      <c r="AT342" t="s">
        <v>987</v>
      </c>
      <c r="AZ342" t="s">
        <v>1239</v>
      </c>
      <c r="BA342" t="s">
        <v>1281</v>
      </c>
      <c r="BB342" t="s">
        <v>1026</v>
      </c>
      <c r="BD342" t="s">
        <v>1022</v>
      </c>
      <c r="BE342" t="s">
        <v>1276</v>
      </c>
    </row>
    <row r="343" spans="1:57" ht="13" x14ac:dyDescent="0.15">
      <c r="A343">
        <v>1839</v>
      </c>
      <c r="B343">
        <v>30735844</v>
      </c>
      <c r="C343" t="s">
        <v>1276</v>
      </c>
      <c r="D343" s="7">
        <v>41179</v>
      </c>
      <c r="E343" s="7">
        <v>45701</v>
      </c>
      <c r="F343">
        <v>330862</v>
      </c>
      <c r="G343" t="s">
        <v>983</v>
      </c>
      <c r="H343" t="s">
        <v>9</v>
      </c>
      <c r="I343" s="7">
        <v>45636</v>
      </c>
      <c r="J343" s="8">
        <v>0.66887731481481483</v>
      </c>
      <c r="K343" t="s">
        <v>984</v>
      </c>
      <c r="AQ343" t="s">
        <v>985</v>
      </c>
      <c r="AR343" t="s">
        <v>1097</v>
      </c>
      <c r="AT343" t="s">
        <v>987</v>
      </c>
      <c r="AZ343" t="s">
        <v>1024</v>
      </c>
      <c r="BA343" t="s">
        <v>1025</v>
      </c>
      <c r="BB343" t="s">
        <v>1026</v>
      </c>
      <c r="BD343" t="s">
        <v>1022</v>
      </c>
      <c r="BE343" t="s">
        <v>1276</v>
      </c>
    </row>
    <row r="344" spans="1:57" ht="13" x14ac:dyDescent="0.15">
      <c r="A344">
        <v>1839</v>
      </c>
      <c r="B344">
        <v>30735844</v>
      </c>
      <c r="C344" t="s">
        <v>1276</v>
      </c>
      <c r="D344" s="7">
        <v>41179</v>
      </c>
      <c r="E344" s="7">
        <v>45701</v>
      </c>
      <c r="F344">
        <v>330862</v>
      </c>
      <c r="G344" t="s">
        <v>983</v>
      </c>
      <c r="H344" t="s">
        <v>9</v>
      </c>
      <c r="I344" s="7">
        <v>45636</v>
      </c>
      <c r="J344" s="8">
        <v>0.69068287037037035</v>
      </c>
      <c r="K344" t="s">
        <v>984</v>
      </c>
      <c r="AQ344" t="s">
        <v>985</v>
      </c>
      <c r="AR344" t="s">
        <v>1279</v>
      </c>
      <c r="AT344" t="s">
        <v>987</v>
      </c>
      <c r="AZ344" t="s">
        <v>1174</v>
      </c>
      <c r="BA344" t="s">
        <v>1242</v>
      </c>
      <c r="BB344" t="s">
        <v>1026</v>
      </c>
      <c r="BD344" t="s">
        <v>1005</v>
      </c>
      <c r="BE344" t="s">
        <v>1276</v>
      </c>
    </row>
    <row r="345" spans="1:57" ht="13" x14ac:dyDescent="0.15">
      <c r="A345">
        <v>1839</v>
      </c>
      <c r="B345">
        <v>30735844</v>
      </c>
      <c r="C345" t="s">
        <v>1276</v>
      </c>
      <c r="D345" s="7">
        <v>41179</v>
      </c>
      <c r="E345" s="7">
        <v>45701</v>
      </c>
      <c r="F345">
        <v>336444</v>
      </c>
      <c r="G345" t="s">
        <v>995</v>
      </c>
      <c r="H345" t="s">
        <v>12</v>
      </c>
      <c r="I345" s="7">
        <v>45636</v>
      </c>
      <c r="J345" s="8">
        <v>0.57098379629629625</v>
      </c>
      <c r="K345" t="s">
        <v>984</v>
      </c>
      <c r="AQ345" t="s">
        <v>996</v>
      </c>
      <c r="BE345" t="s">
        <v>1276</v>
      </c>
    </row>
    <row r="346" spans="1:57" ht="13" x14ac:dyDescent="0.15">
      <c r="A346">
        <v>1839</v>
      </c>
      <c r="B346">
        <v>30739874</v>
      </c>
      <c r="C346" t="s">
        <v>97</v>
      </c>
      <c r="D346" s="7">
        <v>39257</v>
      </c>
      <c r="E346" s="7">
        <v>45709</v>
      </c>
      <c r="F346">
        <v>330862</v>
      </c>
      <c r="G346" t="s">
        <v>983</v>
      </c>
      <c r="H346" t="s">
        <v>9</v>
      </c>
      <c r="I346" s="7">
        <v>45636</v>
      </c>
      <c r="J346" s="8">
        <v>0.48936342592592591</v>
      </c>
      <c r="K346" t="s">
        <v>984</v>
      </c>
      <c r="AQ346" t="s">
        <v>1089</v>
      </c>
      <c r="AR346" t="s">
        <v>1282</v>
      </c>
      <c r="AT346" t="s">
        <v>987</v>
      </c>
      <c r="AZ346" t="s">
        <v>1011</v>
      </c>
      <c r="BA346" t="s">
        <v>1031</v>
      </c>
      <c r="BB346" t="s">
        <v>1032</v>
      </c>
      <c r="BD346" t="s">
        <v>1005</v>
      </c>
      <c r="BE346" t="s">
        <v>97</v>
      </c>
    </row>
    <row r="347" spans="1:57" ht="13" x14ac:dyDescent="0.15">
      <c r="A347">
        <v>1839</v>
      </c>
      <c r="B347">
        <v>30739874</v>
      </c>
      <c r="C347" t="s">
        <v>97</v>
      </c>
      <c r="D347" s="7">
        <v>39257</v>
      </c>
      <c r="E347" s="7">
        <v>45709</v>
      </c>
      <c r="F347">
        <v>330862</v>
      </c>
      <c r="G347" t="s">
        <v>983</v>
      </c>
      <c r="H347" t="s">
        <v>9</v>
      </c>
      <c r="I347" s="7">
        <v>45678</v>
      </c>
      <c r="J347" s="8">
        <v>0.86979166666666663</v>
      </c>
      <c r="K347" t="s">
        <v>984</v>
      </c>
      <c r="AQ347" t="s">
        <v>1089</v>
      </c>
      <c r="AR347" t="s">
        <v>1050</v>
      </c>
      <c r="AT347" t="s">
        <v>987</v>
      </c>
      <c r="AZ347" t="s">
        <v>1011</v>
      </c>
      <c r="BA347" t="s">
        <v>1012</v>
      </c>
      <c r="BB347" t="s">
        <v>1013</v>
      </c>
      <c r="BD347" t="s">
        <v>1014</v>
      </c>
      <c r="BE347" t="s">
        <v>97</v>
      </c>
    </row>
    <row r="348" spans="1:57" ht="13" x14ac:dyDescent="0.15">
      <c r="A348">
        <v>1839</v>
      </c>
      <c r="B348">
        <v>30740678</v>
      </c>
      <c r="C348" t="s">
        <v>98</v>
      </c>
      <c r="D348" s="7">
        <v>40701</v>
      </c>
      <c r="E348" s="7">
        <v>45696</v>
      </c>
      <c r="F348">
        <v>330862</v>
      </c>
      <c r="G348" t="s">
        <v>983</v>
      </c>
      <c r="H348" t="s">
        <v>9</v>
      </c>
      <c r="I348" s="7">
        <v>45694</v>
      </c>
      <c r="J348" s="8">
        <v>0.99417824074074079</v>
      </c>
      <c r="K348" t="s">
        <v>984</v>
      </c>
      <c r="AQ348" t="s">
        <v>992</v>
      </c>
      <c r="AR348" t="s">
        <v>993</v>
      </c>
      <c r="AT348" t="s">
        <v>987</v>
      </c>
      <c r="AZ348" t="s">
        <v>988</v>
      </c>
      <c r="BA348" t="s">
        <v>989</v>
      </c>
      <c r="BB348" t="s">
        <v>990</v>
      </c>
      <c r="BD348" t="s">
        <v>991</v>
      </c>
      <c r="BE348" t="s">
        <v>98</v>
      </c>
    </row>
    <row r="349" spans="1:57" ht="13" x14ac:dyDescent="0.15">
      <c r="A349">
        <v>1839</v>
      </c>
      <c r="B349">
        <v>30740678</v>
      </c>
      <c r="C349" t="s">
        <v>98</v>
      </c>
      <c r="D349" s="7">
        <v>40701</v>
      </c>
      <c r="E349" s="7">
        <v>45696</v>
      </c>
      <c r="F349">
        <v>330862</v>
      </c>
      <c r="G349" t="s">
        <v>983</v>
      </c>
      <c r="H349" t="s">
        <v>9</v>
      </c>
      <c r="I349" s="7">
        <v>45636</v>
      </c>
      <c r="J349" s="8">
        <v>0.72377314814814819</v>
      </c>
      <c r="K349" t="s">
        <v>984</v>
      </c>
      <c r="AQ349" t="s">
        <v>992</v>
      </c>
      <c r="AR349" t="s">
        <v>1096</v>
      </c>
      <c r="AT349" t="s">
        <v>987</v>
      </c>
      <c r="AZ349" t="s">
        <v>1024</v>
      </c>
      <c r="BA349" t="s">
        <v>1025</v>
      </c>
      <c r="BB349" t="s">
        <v>1026</v>
      </c>
      <c r="BD349" t="s">
        <v>1022</v>
      </c>
      <c r="BE349" t="s">
        <v>98</v>
      </c>
    </row>
    <row r="350" spans="1:57" ht="13" x14ac:dyDescent="0.15">
      <c r="A350">
        <v>1839</v>
      </c>
      <c r="B350">
        <v>30745335</v>
      </c>
      <c r="C350" t="s">
        <v>99</v>
      </c>
      <c r="D350" s="7">
        <v>39396</v>
      </c>
      <c r="E350" s="7">
        <v>45710</v>
      </c>
      <c r="F350">
        <v>330862</v>
      </c>
      <c r="G350" t="s">
        <v>983</v>
      </c>
      <c r="H350" t="s">
        <v>9</v>
      </c>
      <c r="I350" s="7">
        <v>45694</v>
      </c>
      <c r="J350" s="8">
        <v>0.58467592592592588</v>
      </c>
      <c r="K350" t="s">
        <v>984</v>
      </c>
      <c r="AQ350" t="s">
        <v>1089</v>
      </c>
      <c r="AR350" t="s">
        <v>993</v>
      </c>
      <c r="AT350" t="s">
        <v>987</v>
      </c>
      <c r="AZ350" t="s">
        <v>988</v>
      </c>
      <c r="BA350" t="s">
        <v>989</v>
      </c>
      <c r="BB350" t="s">
        <v>990</v>
      </c>
      <c r="BD350" t="s">
        <v>991</v>
      </c>
      <c r="BE350" t="s">
        <v>99</v>
      </c>
    </row>
    <row r="351" spans="1:57" ht="13" x14ac:dyDescent="0.15">
      <c r="A351">
        <v>1839</v>
      </c>
      <c r="B351">
        <v>30745335</v>
      </c>
      <c r="C351" t="s">
        <v>99</v>
      </c>
      <c r="D351" s="7">
        <v>39396</v>
      </c>
      <c r="E351" s="7">
        <v>45710</v>
      </c>
      <c r="F351">
        <v>330862</v>
      </c>
      <c r="G351" t="s">
        <v>983</v>
      </c>
      <c r="H351" t="s">
        <v>9</v>
      </c>
      <c r="I351" s="7">
        <v>45674</v>
      </c>
      <c r="J351" s="8">
        <v>0.88135416666666666</v>
      </c>
      <c r="K351" t="s">
        <v>984</v>
      </c>
      <c r="AQ351" t="s">
        <v>1089</v>
      </c>
      <c r="AR351" t="s">
        <v>1095</v>
      </c>
      <c r="AT351" t="s">
        <v>987</v>
      </c>
      <c r="AZ351" t="s">
        <v>1002</v>
      </c>
      <c r="BA351" t="s">
        <v>1003</v>
      </c>
      <c r="BB351" t="s">
        <v>1004</v>
      </c>
      <c r="BD351" t="s">
        <v>1005</v>
      </c>
      <c r="BE351" t="s">
        <v>99</v>
      </c>
    </row>
    <row r="352" spans="1:57" ht="13" x14ac:dyDescent="0.15">
      <c r="A352">
        <v>1839</v>
      </c>
      <c r="B352">
        <v>30746066</v>
      </c>
      <c r="C352" t="s">
        <v>100</v>
      </c>
      <c r="D352" s="7">
        <v>39401</v>
      </c>
      <c r="E352" s="7">
        <v>45694</v>
      </c>
      <c r="F352">
        <v>330862</v>
      </c>
      <c r="G352" t="s">
        <v>983</v>
      </c>
      <c r="H352" t="s">
        <v>9</v>
      </c>
      <c r="I352" s="7">
        <v>45679</v>
      </c>
      <c r="J352" s="8">
        <v>0.66640046296296296</v>
      </c>
      <c r="K352" t="s">
        <v>984</v>
      </c>
      <c r="AQ352" t="s">
        <v>1089</v>
      </c>
      <c r="AR352" t="s">
        <v>1283</v>
      </c>
      <c r="AT352" t="s">
        <v>987</v>
      </c>
      <c r="AZ352" t="s">
        <v>1011</v>
      </c>
      <c r="BA352" t="s">
        <v>1012</v>
      </c>
      <c r="BB352" t="s">
        <v>1013</v>
      </c>
      <c r="BD352" t="s">
        <v>1014</v>
      </c>
      <c r="BE352" t="s">
        <v>100</v>
      </c>
    </row>
    <row r="353" spans="1:57" ht="13" x14ac:dyDescent="0.15">
      <c r="A353">
        <v>1839</v>
      </c>
      <c r="B353">
        <v>30755843</v>
      </c>
      <c r="C353" t="s">
        <v>101</v>
      </c>
      <c r="D353" s="7">
        <v>40807</v>
      </c>
      <c r="E353" s="7">
        <v>45710</v>
      </c>
      <c r="F353">
        <v>330862</v>
      </c>
      <c r="G353" t="s">
        <v>983</v>
      </c>
      <c r="H353" t="s">
        <v>9</v>
      </c>
      <c r="I353" s="7">
        <v>45694</v>
      </c>
      <c r="J353" s="8">
        <v>0.37166666666666665</v>
      </c>
      <c r="K353" t="s">
        <v>984</v>
      </c>
      <c r="AQ353" t="s">
        <v>998</v>
      </c>
      <c r="AR353" t="s">
        <v>1284</v>
      </c>
      <c r="AT353" t="s">
        <v>987</v>
      </c>
      <c r="AZ353" t="s">
        <v>988</v>
      </c>
      <c r="BA353" t="s">
        <v>989</v>
      </c>
      <c r="BB353" t="s">
        <v>990</v>
      </c>
      <c r="BD353" t="s">
        <v>991</v>
      </c>
      <c r="BE353" t="s">
        <v>101</v>
      </c>
    </row>
    <row r="354" spans="1:57" ht="13" x14ac:dyDescent="0.15">
      <c r="A354">
        <v>1839</v>
      </c>
      <c r="B354">
        <v>30757242</v>
      </c>
      <c r="C354" t="s">
        <v>102</v>
      </c>
      <c r="D354" s="7">
        <v>39262</v>
      </c>
      <c r="E354" s="7">
        <v>45696</v>
      </c>
      <c r="F354">
        <v>330862</v>
      </c>
      <c r="G354" t="s">
        <v>983</v>
      </c>
      <c r="H354" t="s">
        <v>9</v>
      </c>
      <c r="I354" s="7">
        <v>45694</v>
      </c>
      <c r="J354" s="8">
        <v>0.35693287037037036</v>
      </c>
      <c r="K354" t="s">
        <v>984</v>
      </c>
      <c r="AQ354" t="s">
        <v>992</v>
      </c>
      <c r="AR354" t="s">
        <v>993</v>
      </c>
      <c r="AT354" t="s">
        <v>987</v>
      </c>
      <c r="AZ354" t="s">
        <v>988</v>
      </c>
      <c r="BA354" t="s">
        <v>989</v>
      </c>
      <c r="BB354" t="s">
        <v>990</v>
      </c>
      <c r="BD354" t="s">
        <v>991</v>
      </c>
      <c r="BE354" t="s">
        <v>102</v>
      </c>
    </row>
    <row r="355" spans="1:57" ht="13" x14ac:dyDescent="0.15">
      <c r="A355">
        <v>1839</v>
      </c>
      <c r="B355">
        <v>30761847</v>
      </c>
      <c r="C355" t="s">
        <v>103</v>
      </c>
      <c r="D355" s="7">
        <v>40807</v>
      </c>
      <c r="E355" s="7">
        <v>45696</v>
      </c>
      <c r="F355">
        <v>330862</v>
      </c>
      <c r="G355" t="s">
        <v>983</v>
      </c>
      <c r="H355" t="s">
        <v>9</v>
      </c>
      <c r="I355" s="7">
        <v>45694</v>
      </c>
      <c r="J355" s="8">
        <v>0.6320486111111111</v>
      </c>
      <c r="K355" t="s">
        <v>984</v>
      </c>
      <c r="AQ355" t="s">
        <v>1042</v>
      </c>
      <c r="AR355" t="s">
        <v>993</v>
      </c>
      <c r="AT355" t="s">
        <v>987</v>
      </c>
      <c r="AZ355" t="s">
        <v>988</v>
      </c>
      <c r="BA355" t="s">
        <v>989</v>
      </c>
      <c r="BB355" t="s">
        <v>990</v>
      </c>
      <c r="BD355" t="s">
        <v>991</v>
      </c>
      <c r="BE355" t="s">
        <v>103</v>
      </c>
    </row>
    <row r="356" spans="1:57" ht="13" x14ac:dyDescent="0.15">
      <c r="A356">
        <v>1839</v>
      </c>
      <c r="B356">
        <v>30774757</v>
      </c>
      <c r="C356" t="s">
        <v>104</v>
      </c>
      <c r="D356" s="7">
        <v>41722</v>
      </c>
      <c r="E356" s="7">
        <v>45696</v>
      </c>
      <c r="F356">
        <v>330862</v>
      </c>
      <c r="G356" t="s">
        <v>983</v>
      </c>
      <c r="H356" t="s">
        <v>9</v>
      </c>
      <c r="I356" s="7">
        <v>45678</v>
      </c>
      <c r="J356" s="8">
        <v>0.62811342592592589</v>
      </c>
      <c r="K356" t="s">
        <v>984</v>
      </c>
      <c r="AQ356" t="s">
        <v>1090</v>
      </c>
      <c r="AR356" t="s">
        <v>1083</v>
      </c>
      <c r="AT356" t="s">
        <v>987</v>
      </c>
      <c r="AZ356" t="s">
        <v>1011</v>
      </c>
      <c r="BA356" t="s">
        <v>1012</v>
      </c>
      <c r="BB356" t="s">
        <v>1013</v>
      </c>
      <c r="BD356" t="s">
        <v>1014</v>
      </c>
      <c r="BE356" t="s">
        <v>104</v>
      </c>
    </row>
    <row r="357" spans="1:57" ht="13" x14ac:dyDescent="0.15">
      <c r="A357">
        <v>1839</v>
      </c>
      <c r="B357">
        <v>30778601</v>
      </c>
      <c r="C357" t="s">
        <v>105</v>
      </c>
      <c r="D357" s="7">
        <v>38668</v>
      </c>
      <c r="E357" s="7">
        <v>45695</v>
      </c>
      <c r="F357">
        <v>330862</v>
      </c>
      <c r="G357" t="s">
        <v>983</v>
      </c>
      <c r="H357" t="s">
        <v>9</v>
      </c>
      <c r="I357" s="7">
        <v>45694</v>
      </c>
      <c r="J357" s="8">
        <v>0.47233796296296299</v>
      </c>
      <c r="K357" t="s">
        <v>984</v>
      </c>
      <c r="AQ357" t="s">
        <v>998</v>
      </c>
      <c r="AR357" t="s">
        <v>1285</v>
      </c>
      <c r="AT357" t="s">
        <v>987</v>
      </c>
      <c r="AZ357" t="s">
        <v>988</v>
      </c>
      <c r="BA357" t="s">
        <v>989</v>
      </c>
      <c r="BB357" t="s">
        <v>990</v>
      </c>
      <c r="BD357" t="s">
        <v>991</v>
      </c>
      <c r="BE357" t="s">
        <v>105</v>
      </c>
    </row>
    <row r="358" spans="1:57" ht="13" x14ac:dyDescent="0.15">
      <c r="A358">
        <v>1839</v>
      </c>
      <c r="B358">
        <v>30786690</v>
      </c>
      <c r="C358" t="s">
        <v>106</v>
      </c>
      <c r="D358" s="7">
        <v>40823</v>
      </c>
      <c r="E358" s="7">
        <v>45694</v>
      </c>
      <c r="F358">
        <v>330862</v>
      </c>
      <c r="G358" t="s">
        <v>983</v>
      </c>
      <c r="H358" t="s">
        <v>9</v>
      </c>
      <c r="I358" s="7">
        <v>45694</v>
      </c>
      <c r="J358" s="8">
        <v>0.39004629629629628</v>
      </c>
      <c r="K358" t="s">
        <v>984</v>
      </c>
      <c r="AQ358" t="s">
        <v>998</v>
      </c>
      <c r="AR358" t="s">
        <v>986</v>
      </c>
      <c r="AT358" t="s">
        <v>987</v>
      </c>
      <c r="AZ358" t="s">
        <v>988</v>
      </c>
      <c r="BA358" t="s">
        <v>989</v>
      </c>
      <c r="BB358" t="s">
        <v>990</v>
      </c>
      <c r="BD358" t="s">
        <v>991</v>
      </c>
      <c r="BE358" t="s">
        <v>106</v>
      </c>
    </row>
    <row r="359" spans="1:57" ht="13" x14ac:dyDescent="0.15">
      <c r="A359">
        <v>1839</v>
      </c>
      <c r="B359">
        <v>30795303</v>
      </c>
      <c r="C359" t="s">
        <v>1286</v>
      </c>
      <c r="D359" s="7">
        <v>40821</v>
      </c>
      <c r="E359" s="7">
        <v>45710</v>
      </c>
      <c r="F359">
        <v>330862</v>
      </c>
      <c r="G359" t="s">
        <v>983</v>
      </c>
      <c r="H359" t="s">
        <v>9</v>
      </c>
      <c r="I359" s="7">
        <v>45636</v>
      </c>
      <c r="J359" s="8">
        <v>0.61353009259259261</v>
      </c>
      <c r="K359" t="s">
        <v>984</v>
      </c>
      <c r="AQ359" t="s">
        <v>1089</v>
      </c>
      <c r="AR359" t="s">
        <v>1131</v>
      </c>
      <c r="AT359" t="s">
        <v>987</v>
      </c>
      <c r="AZ359" t="s">
        <v>1020</v>
      </c>
      <c r="BA359" t="s">
        <v>1021</v>
      </c>
      <c r="BB359" t="s">
        <v>1018</v>
      </c>
      <c r="BD359" t="s">
        <v>1022</v>
      </c>
      <c r="BE359" t="s">
        <v>1286</v>
      </c>
    </row>
    <row r="360" spans="1:57" ht="13" x14ac:dyDescent="0.15">
      <c r="A360">
        <v>1839</v>
      </c>
      <c r="B360">
        <v>30795303</v>
      </c>
      <c r="C360" t="s">
        <v>1286</v>
      </c>
      <c r="D360" s="7">
        <v>40821</v>
      </c>
      <c r="E360" s="7">
        <v>45710</v>
      </c>
      <c r="F360">
        <v>330862</v>
      </c>
      <c r="G360" t="s">
        <v>983</v>
      </c>
      <c r="H360" t="s">
        <v>9</v>
      </c>
      <c r="I360" s="7">
        <v>45616</v>
      </c>
      <c r="J360" s="8">
        <v>0.58032407407407405</v>
      </c>
      <c r="K360" t="s">
        <v>984</v>
      </c>
      <c r="AQ360" t="s">
        <v>1089</v>
      </c>
      <c r="AR360" t="s">
        <v>1287</v>
      </c>
      <c r="AT360" t="s">
        <v>987</v>
      </c>
      <c r="AZ360" t="s">
        <v>1011</v>
      </c>
      <c r="BA360" t="s">
        <v>1103</v>
      </c>
      <c r="BB360" t="s">
        <v>1032</v>
      </c>
      <c r="BD360" t="s">
        <v>1005</v>
      </c>
      <c r="BE360" t="s">
        <v>1286</v>
      </c>
    </row>
    <row r="361" spans="1:57" ht="13" x14ac:dyDescent="0.15">
      <c r="A361">
        <v>1839</v>
      </c>
      <c r="B361">
        <v>30800952</v>
      </c>
      <c r="C361" t="s">
        <v>107</v>
      </c>
      <c r="D361" s="7">
        <v>41586</v>
      </c>
      <c r="E361" s="7">
        <v>45709</v>
      </c>
      <c r="F361">
        <v>330862</v>
      </c>
      <c r="G361" t="s">
        <v>983</v>
      </c>
      <c r="H361" t="s">
        <v>9</v>
      </c>
      <c r="I361" s="7">
        <v>45701</v>
      </c>
      <c r="J361" s="8">
        <v>0.52575231481481477</v>
      </c>
      <c r="K361" t="s">
        <v>984</v>
      </c>
      <c r="AQ361" t="s">
        <v>1089</v>
      </c>
      <c r="AR361" t="s">
        <v>1288</v>
      </c>
      <c r="AT361" t="s">
        <v>987</v>
      </c>
      <c r="AZ361" t="s">
        <v>1028</v>
      </c>
      <c r="BA361" t="s">
        <v>1037</v>
      </c>
      <c r="BB361" t="s">
        <v>1038</v>
      </c>
      <c r="BD361" t="s">
        <v>991</v>
      </c>
      <c r="BE361" t="s">
        <v>107</v>
      </c>
    </row>
    <row r="362" spans="1:57" ht="13" x14ac:dyDescent="0.15">
      <c r="A362">
        <v>1839</v>
      </c>
      <c r="B362">
        <v>30800952</v>
      </c>
      <c r="C362" t="s">
        <v>107</v>
      </c>
      <c r="D362" s="7">
        <v>41586</v>
      </c>
      <c r="E362" s="7">
        <v>45709</v>
      </c>
      <c r="F362">
        <v>330862</v>
      </c>
      <c r="G362" t="s">
        <v>983</v>
      </c>
      <c r="H362" t="s">
        <v>9</v>
      </c>
      <c r="I362" s="7">
        <v>45635</v>
      </c>
      <c r="J362" s="8">
        <v>0.6118865740740741</v>
      </c>
      <c r="K362" t="s">
        <v>984</v>
      </c>
      <c r="AQ362" t="s">
        <v>1089</v>
      </c>
      <c r="AR362" t="s">
        <v>1097</v>
      </c>
      <c r="AT362" t="s">
        <v>987</v>
      </c>
      <c r="AZ362" t="s">
        <v>1024</v>
      </c>
      <c r="BA362" t="s">
        <v>1025</v>
      </c>
      <c r="BB362" t="s">
        <v>1026</v>
      </c>
      <c r="BD362" t="s">
        <v>1022</v>
      </c>
      <c r="BE362" t="s">
        <v>107</v>
      </c>
    </row>
    <row r="363" spans="1:57" ht="13" x14ac:dyDescent="0.15">
      <c r="A363">
        <v>1839</v>
      </c>
      <c r="B363">
        <v>30800952</v>
      </c>
      <c r="C363" t="s">
        <v>107</v>
      </c>
      <c r="D363" s="7">
        <v>41586</v>
      </c>
      <c r="E363" s="7">
        <v>45709</v>
      </c>
      <c r="F363">
        <v>330862</v>
      </c>
      <c r="G363" t="s">
        <v>983</v>
      </c>
      <c r="H363" t="s">
        <v>9</v>
      </c>
      <c r="I363" s="7">
        <v>45702</v>
      </c>
      <c r="J363" s="8">
        <v>0.65942129629629631</v>
      </c>
      <c r="K363" t="s">
        <v>984</v>
      </c>
      <c r="AQ363" t="s">
        <v>1089</v>
      </c>
      <c r="AR363" t="s">
        <v>1289</v>
      </c>
      <c r="AT363" t="s">
        <v>987</v>
      </c>
      <c r="AZ363" t="s">
        <v>1220</v>
      </c>
      <c r="BA363" t="s">
        <v>1221</v>
      </c>
      <c r="BB363" t="s">
        <v>1082</v>
      </c>
      <c r="BD363" t="s">
        <v>991</v>
      </c>
      <c r="BE363" t="s">
        <v>107</v>
      </c>
    </row>
    <row r="364" spans="1:57" ht="13" x14ac:dyDescent="0.15">
      <c r="A364">
        <v>1839</v>
      </c>
      <c r="B364">
        <v>30800952</v>
      </c>
      <c r="C364" t="s">
        <v>107</v>
      </c>
      <c r="D364" s="7">
        <v>41586</v>
      </c>
      <c r="E364" s="7">
        <v>45709</v>
      </c>
      <c r="F364">
        <v>330862</v>
      </c>
      <c r="G364" t="s">
        <v>983</v>
      </c>
      <c r="H364" t="s">
        <v>9</v>
      </c>
      <c r="I364" s="7">
        <v>45702</v>
      </c>
      <c r="J364" s="8">
        <v>0.6720949074074074</v>
      </c>
      <c r="K364" t="s">
        <v>984</v>
      </c>
      <c r="AQ364" t="s">
        <v>1089</v>
      </c>
      <c r="AR364" t="s">
        <v>1290</v>
      </c>
      <c r="AT364" t="s">
        <v>987</v>
      </c>
      <c r="AZ364" t="s">
        <v>1182</v>
      </c>
      <c r="BA364" t="s">
        <v>1183</v>
      </c>
      <c r="BB364" t="s">
        <v>990</v>
      </c>
      <c r="BD364" t="s">
        <v>991</v>
      </c>
      <c r="BE364" t="s">
        <v>107</v>
      </c>
    </row>
    <row r="365" spans="1:57" ht="13" x14ac:dyDescent="0.15">
      <c r="A365">
        <v>1839</v>
      </c>
      <c r="B365">
        <v>30800952</v>
      </c>
      <c r="C365" t="s">
        <v>107</v>
      </c>
      <c r="D365" s="7">
        <v>41586</v>
      </c>
      <c r="E365" s="7">
        <v>45709</v>
      </c>
      <c r="F365">
        <v>330862</v>
      </c>
      <c r="G365" t="s">
        <v>983</v>
      </c>
      <c r="H365" t="s">
        <v>9</v>
      </c>
      <c r="I365" s="7">
        <v>45698</v>
      </c>
      <c r="J365" s="8">
        <v>0.57329861111111113</v>
      </c>
      <c r="K365" t="s">
        <v>984</v>
      </c>
      <c r="AQ365" t="s">
        <v>1089</v>
      </c>
      <c r="AR365" t="s">
        <v>1265</v>
      </c>
      <c r="AT365" t="s">
        <v>987</v>
      </c>
      <c r="AZ365" t="s">
        <v>1002</v>
      </c>
      <c r="BA365" t="s">
        <v>1040</v>
      </c>
      <c r="BB365" t="s">
        <v>1041</v>
      </c>
      <c r="BD365" t="s">
        <v>991</v>
      </c>
      <c r="BE365" t="s">
        <v>107</v>
      </c>
    </row>
    <row r="366" spans="1:57" ht="13" x14ac:dyDescent="0.15">
      <c r="A366">
        <v>1839</v>
      </c>
      <c r="B366">
        <v>30800952</v>
      </c>
      <c r="C366" t="s">
        <v>107</v>
      </c>
      <c r="D366" s="7">
        <v>41586</v>
      </c>
      <c r="E366" s="7">
        <v>45709</v>
      </c>
      <c r="F366">
        <v>330862</v>
      </c>
      <c r="G366" t="s">
        <v>983</v>
      </c>
      <c r="H366" t="s">
        <v>9</v>
      </c>
      <c r="I366" s="7">
        <v>45698</v>
      </c>
      <c r="J366" s="8">
        <v>0.58724537037037039</v>
      </c>
      <c r="K366" t="s">
        <v>984</v>
      </c>
      <c r="AQ366" t="s">
        <v>1089</v>
      </c>
      <c r="AR366" t="s">
        <v>1291</v>
      </c>
      <c r="AT366" t="s">
        <v>987</v>
      </c>
      <c r="AZ366" t="s">
        <v>1220</v>
      </c>
      <c r="BA366" t="s">
        <v>1292</v>
      </c>
      <c r="BB366" t="s">
        <v>1293</v>
      </c>
      <c r="BD366" t="s">
        <v>991</v>
      </c>
      <c r="BE366" t="s">
        <v>107</v>
      </c>
    </row>
    <row r="367" spans="1:57" ht="13" x14ac:dyDescent="0.15">
      <c r="A367">
        <v>1839</v>
      </c>
      <c r="B367">
        <v>30800952</v>
      </c>
      <c r="C367" t="s">
        <v>107</v>
      </c>
      <c r="D367" s="7">
        <v>41586</v>
      </c>
      <c r="E367" s="7">
        <v>45709</v>
      </c>
      <c r="F367">
        <v>330862</v>
      </c>
      <c r="G367" t="s">
        <v>983</v>
      </c>
      <c r="H367" t="s">
        <v>9</v>
      </c>
      <c r="I367" s="7">
        <v>45699</v>
      </c>
      <c r="J367" s="8">
        <v>0.59234953703703708</v>
      </c>
      <c r="K367" t="s">
        <v>984</v>
      </c>
      <c r="AQ367" t="s">
        <v>1089</v>
      </c>
      <c r="AR367" t="s">
        <v>1294</v>
      </c>
      <c r="AT367" t="s">
        <v>987</v>
      </c>
      <c r="AZ367" t="s">
        <v>988</v>
      </c>
      <c r="BA367" t="s">
        <v>1035</v>
      </c>
      <c r="BB367" t="s">
        <v>1026</v>
      </c>
      <c r="BD367" t="s">
        <v>991</v>
      </c>
      <c r="BE367" t="s">
        <v>107</v>
      </c>
    </row>
    <row r="368" spans="1:57" ht="13" x14ac:dyDescent="0.15">
      <c r="A368">
        <v>1839</v>
      </c>
      <c r="B368">
        <v>30800952</v>
      </c>
      <c r="C368" t="s">
        <v>107</v>
      </c>
      <c r="D368" s="7">
        <v>41586</v>
      </c>
      <c r="E368" s="7">
        <v>45709</v>
      </c>
      <c r="F368">
        <v>330862</v>
      </c>
      <c r="G368" t="s">
        <v>983</v>
      </c>
      <c r="H368" t="s">
        <v>9</v>
      </c>
      <c r="I368" s="7">
        <v>45699</v>
      </c>
      <c r="J368" s="8">
        <v>0.60650462962962959</v>
      </c>
      <c r="K368" t="s">
        <v>984</v>
      </c>
      <c r="AQ368" t="s">
        <v>1089</v>
      </c>
      <c r="AR368" t="s">
        <v>1295</v>
      </c>
      <c r="AT368" t="s">
        <v>987</v>
      </c>
      <c r="AZ368" t="s">
        <v>1174</v>
      </c>
      <c r="BA368" t="s">
        <v>1175</v>
      </c>
      <c r="BB368" t="s">
        <v>990</v>
      </c>
      <c r="BD368" t="s">
        <v>991</v>
      </c>
      <c r="BE368" t="s">
        <v>107</v>
      </c>
    </row>
    <row r="369" spans="1:57" ht="13" x14ac:dyDescent="0.15">
      <c r="A369">
        <v>1839</v>
      </c>
      <c r="B369">
        <v>30800952</v>
      </c>
      <c r="C369" t="s">
        <v>107</v>
      </c>
      <c r="D369" s="7">
        <v>41586</v>
      </c>
      <c r="E369" s="7">
        <v>45709</v>
      </c>
      <c r="F369">
        <v>330862</v>
      </c>
      <c r="G369" t="s">
        <v>983</v>
      </c>
      <c r="H369" t="s">
        <v>9</v>
      </c>
      <c r="I369" s="7">
        <v>45677</v>
      </c>
      <c r="J369" s="8">
        <v>0.60471064814814812</v>
      </c>
      <c r="K369" t="s">
        <v>984</v>
      </c>
      <c r="AQ369" t="s">
        <v>1089</v>
      </c>
      <c r="AR369" t="s">
        <v>1083</v>
      </c>
      <c r="AT369" t="s">
        <v>987</v>
      </c>
      <c r="BE369" t="s">
        <v>107</v>
      </c>
    </row>
    <row r="370" spans="1:57" ht="13" x14ac:dyDescent="0.15">
      <c r="A370">
        <v>1839</v>
      </c>
      <c r="B370">
        <v>30800952</v>
      </c>
      <c r="C370" t="s">
        <v>107</v>
      </c>
      <c r="D370" s="7">
        <v>41586</v>
      </c>
      <c r="E370" s="7">
        <v>45709</v>
      </c>
      <c r="F370">
        <v>330862</v>
      </c>
      <c r="G370" t="s">
        <v>983</v>
      </c>
      <c r="H370" t="s">
        <v>9</v>
      </c>
      <c r="I370" s="7">
        <v>45687</v>
      </c>
      <c r="J370" s="8">
        <v>0.76672453703703702</v>
      </c>
      <c r="K370" t="s">
        <v>984</v>
      </c>
      <c r="AQ370" t="s">
        <v>992</v>
      </c>
      <c r="AR370" t="s">
        <v>1061</v>
      </c>
      <c r="AT370" t="s">
        <v>987</v>
      </c>
      <c r="AZ370" t="s">
        <v>1062</v>
      </c>
      <c r="BA370" t="s">
        <v>1063</v>
      </c>
      <c r="BB370" t="s">
        <v>1048</v>
      </c>
      <c r="BD370" t="s">
        <v>991</v>
      </c>
      <c r="BE370" t="s">
        <v>107</v>
      </c>
    </row>
    <row r="371" spans="1:57" ht="13" x14ac:dyDescent="0.15">
      <c r="A371">
        <v>1839</v>
      </c>
      <c r="B371">
        <v>30800952</v>
      </c>
      <c r="C371" t="s">
        <v>107</v>
      </c>
      <c r="D371" s="7">
        <v>41586</v>
      </c>
      <c r="E371" s="7">
        <v>45709</v>
      </c>
      <c r="F371">
        <v>330862</v>
      </c>
      <c r="G371" t="s">
        <v>983</v>
      </c>
      <c r="H371" t="s">
        <v>9</v>
      </c>
      <c r="I371" s="7">
        <v>45687</v>
      </c>
      <c r="J371" s="8">
        <v>0.7845833333333333</v>
      </c>
      <c r="K371" t="s">
        <v>984</v>
      </c>
      <c r="AQ371" t="s">
        <v>992</v>
      </c>
      <c r="AR371" t="s">
        <v>1064</v>
      </c>
      <c r="AT371" t="s">
        <v>987</v>
      </c>
      <c r="AZ371" t="s">
        <v>1002</v>
      </c>
      <c r="BA371" t="s">
        <v>1065</v>
      </c>
      <c r="BB371" t="s">
        <v>1004</v>
      </c>
      <c r="BD371" t="s">
        <v>991</v>
      </c>
      <c r="BE371" t="s">
        <v>107</v>
      </c>
    </row>
    <row r="372" spans="1:57" ht="13" x14ac:dyDescent="0.15">
      <c r="A372">
        <v>1839</v>
      </c>
      <c r="B372">
        <v>30800952</v>
      </c>
      <c r="C372" t="s">
        <v>107</v>
      </c>
      <c r="D372" s="7">
        <v>41586</v>
      </c>
      <c r="E372" s="7">
        <v>45709</v>
      </c>
      <c r="F372">
        <v>330862</v>
      </c>
      <c r="G372" t="s">
        <v>983</v>
      </c>
      <c r="H372" t="s">
        <v>9</v>
      </c>
      <c r="I372" s="7">
        <v>45689</v>
      </c>
      <c r="J372" s="8">
        <v>0.59265046296296298</v>
      </c>
      <c r="K372" t="s">
        <v>984</v>
      </c>
      <c r="AQ372" t="s">
        <v>1089</v>
      </c>
      <c r="AR372" t="s">
        <v>1064</v>
      </c>
      <c r="AT372" t="s">
        <v>987</v>
      </c>
      <c r="AZ372" t="s">
        <v>1002</v>
      </c>
      <c r="BA372" t="s">
        <v>1065</v>
      </c>
      <c r="BB372" t="s">
        <v>1004</v>
      </c>
      <c r="BD372" t="s">
        <v>991</v>
      </c>
      <c r="BE372" t="s">
        <v>107</v>
      </c>
    </row>
    <row r="373" spans="1:57" ht="13" x14ac:dyDescent="0.15">
      <c r="A373">
        <v>1839</v>
      </c>
      <c r="B373">
        <v>30800952</v>
      </c>
      <c r="C373" t="s">
        <v>107</v>
      </c>
      <c r="D373" s="7">
        <v>41586</v>
      </c>
      <c r="E373" s="7">
        <v>45709</v>
      </c>
      <c r="F373">
        <v>330862</v>
      </c>
      <c r="G373" t="s">
        <v>983</v>
      </c>
      <c r="H373" t="s">
        <v>9</v>
      </c>
      <c r="I373" s="7">
        <v>45689</v>
      </c>
      <c r="J373" s="8">
        <v>0.59412037037037035</v>
      </c>
      <c r="K373" t="s">
        <v>984</v>
      </c>
      <c r="AQ373" t="s">
        <v>1089</v>
      </c>
      <c r="AR373" t="s">
        <v>1061</v>
      </c>
      <c r="AT373" t="s">
        <v>987</v>
      </c>
      <c r="AZ373" t="s">
        <v>1062</v>
      </c>
      <c r="BA373" t="s">
        <v>1063</v>
      </c>
      <c r="BB373" t="s">
        <v>1048</v>
      </c>
      <c r="BD373" t="s">
        <v>991</v>
      </c>
      <c r="BE373" t="s">
        <v>107</v>
      </c>
    </row>
    <row r="374" spans="1:57" ht="13" x14ac:dyDescent="0.15">
      <c r="A374">
        <v>1839</v>
      </c>
      <c r="B374">
        <v>30800952</v>
      </c>
      <c r="C374" t="s">
        <v>107</v>
      </c>
      <c r="D374" s="7">
        <v>41586</v>
      </c>
      <c r="E374" s="7">
        <v>45709</v>
      </c>
      <c r="F374">
        <v>330862</v>
      </c>
      <c r="G374" t="s">
        <v>983</v>
      </c>
      <c r="H374" t="s">
        <v>9</v>
      </c>
      <c r="I374" s="7">
        <v>45689</v>
      </c>
      <c r="J374" s="8">
        <v>0.59998842592592594</v>
      </c>
      <c r="K374" t="s">
        <v>984</v>
      </c>
      <c r="AQ374" t="s">
        <v>1089</v>
      </c>
      <c r="AR374" t="s">
        <v>1296</v>
      </c>
      <c r="AT374" t="s">
        <v>987</v>
      </c>
      <c r="AZ374" t="s">
        <v>1062</v>
      </c>
      <c r="BA374" t="s">
        <v>1297</v>
      </c>
      <c r="BB374" t="s">
        <v>1048</v>
      </c>
      <c r="BD374" t="s">
        <v>991</v>
      </c>
      <c r="BE374" t="s">
        <v>107</v>
      </c>
    </row>
    <row r="375" spans="1:57" ht="13" x14ac:dyDescent="0.15">
      <c r="A375">
        <v>1839</v>
      </c>
      <c r="B375">
        <v>30800952</v>
      </c>
      <c r="C375" t="s">
        <v>107</v>
      </c>
      <c r="D375" s="7">
        <v>41586</v>
      </c>
      <c r="E375" s="7">
        <v>45709</v>
      </c>
      <c r="F375">
        <v>330862</v>
      </c>
      <c r="G375" t="s">
        <v>983</v>
      </c>
      <c r="H375" t="s">
        <v>9</v>
      </c>
      <c r="I375" s="7">
        <v>45689</v>
      </c>
      <c r="J375" s="8">
        <v>0.61552083333333329</v>
      </c>
      <c r="K375" t="s">
        <v>984</v>
      </c>
      <c r="AQ375" t="s">
        <v>1089</v>
      </c>
      <c r="AR375" t="s">
        <v>1298</v>
      </c>
      <c r="AT375" t="s">
        <v>987</v>
      </c>
      <c r="AZ375" t="s">
        <v>1071</v>
      </c>
      <c r="BA375" t="s">
        <v>1135</v>
      </c>
      <c r="BB375" t="s">
        <v>1136</v>
      </c>
      <c r="BD375" t="s">
        <v>991</v>
      </c>
      <c r="BE375" t="s">
        <v>107</v>
      </c>
    </row>
    <row r="376" spans="1:57" ht="13" x14ac:dyDescent="0.15">
      <c r="A376">
        <v>1839</v>
      </c>
      <c r="B376">
        <v>30800952</v>
      </c>
      <c r="C376" t="s">
        <v>107</v>
      </c>
      <c r="D376" s="7">
        <v>41586</v>
      </c>
      <c r="E376" s="7">
        <v>45709</v>
      </c>
      <c r="F376">
        <v>330862</v>
      </c>
      <c r="G376" t="s">
        <v>983</v>
      </c>
      <c r="H376" t="s">
        <v>9</v>
      </c>
      <c r="I376" s="7">
        <v>45689</v>
      </c>
      <c r="J376" s="8">
        <v>0.72238425925925931</v>
      </c>
      <c r="K376" t="s">
        <v>984</v>
      </c>
      <c r="AQ376" t="s">
        <v>992</v>
      </c>
      <c r="AR376" t="s">
        <v>1066</v>
      </c>
      <c r="AT376" t="s">
        <v>987</v>
      </c>
      <c r="AZ376" t="s">
        <v>988</v>
      </c>
      <c r="BA376" t="s">
        <v>989</v>
      </c>
      <c r="BB376" t="s">
        <v>990</v>
      </c>
      <c r="BD376" t="s">
        <v>991</v>
      </c>
      <c r="BE376" t="s">
        <v>107</v>
      </c>
    </row>
    <row r="377" spans="1:57" ht="13" x14ac:dyDescent="0.15">
      <c r="A377">
        <v>1839</v>
      </c>
      <c r="B377">
        <v>30800952</v>
      </c>
      <c r="C377" t="s">
        <v>107</v>
      </c>
      <c r="D377" s="7">
        <v>41586</v>
      </c>
      <c r="E377" s="7">
        <v>45709</v>
      </c>
      <c r="F377">
        <v>330862</v>
      </c>
      <c r="G377" t="s">
        <v>983</v>
      </c>
      <c r="H377" t="s">
        <v>9</v>
      </c>
      <c r="I377" s="7">
        <v>45701</v>
      </c>
      <c r="J377" s="8">
        <v>0.5415740740740741</v>
      </c>
      <c r="K377" t="s">
        <v>984</v>
      </c>
      <c r="AQ377" t="s">
        <v>1089</v>
      </c>
      <c r="AR377" t="s">
        <v>1299</v>
      </c>
      <c r="AT377" t="s">
        <v>987</v>
      </c>
      <c r="AZ377" t="s">
        <v>1080</v>
      </c>
      <c r="BA377" t="s">
        <v>1081</v>
      </c>
      <c r="BB377" t="s">
        <v>1082</v>
      </c>
      <c r="BD377" t="s">
        <v>991</v>
      </c>
      <c r="BE377" t="s">
        <v>107</v>
      </c>
    </row>
    <row r="378" spans="1:57" ht="13" x14ac:dyDescent="0.15">
      <c r="A378">
        <v>1839</v>
      </c>
      <c r="B378">
        <v>30800952</v>
      </c>
      <c r="C378" t="s">
        <v>107</v>
      </c>
      <c r="D378" s="7">
        <v>41586</v>
      </c>
      <c r="E378" s="7">
        <v>45709</v>
      </c>
      <c r="F378">
        <v>330862</v>
      </c>
      <c r="G378" t="s">
        <v>983</v>
      </c>
      <c r="H378" t="s">
        <v>9</v>
      </c>
      <c r="I378" s="7">
        <v>45635</v>
      </c>
      <c r="J378" s="8">
        <v>0.51416666666666666</v>
      </c>
      <c r="K378" t="s">
        <v>984</v>
      </c>
      <c r="AQ378" t="s">
        <v>1089</v>
      </c>
      <c r="AR378" t="s">
        <v>1097</v>
      </c>
      <c r="AT378" t="s">
        <v>987</v>
      </c>
      <c r="AZ378" t="s">
        <v>1024</v>
      </c>
      <c r="BA378" t="s">
        <v>1025</v>
      </c>
      <c r="BB378" t="s">
        <v>1026</v>
      </c>
      <c r="BD378" t="s">
        <v>1022</v>
      </c>
      <c r="BE378" t="s">
        <v>107</v>
      </c>
    </row>
    <row r="379" spans="1:57" ht="13" x14ac:dyDescent="0.15">
      <c r="A379">
        <v>1839</v>
      </c>
      <c r="B379">
        <v>30800952</v>
      </c>
      <c r="C379" t="s">
        <v>107</v>
      </c>
      <c r="D379" s="7">
        <v>41586</v>
      </c>
      <c r="E379" s="7">
        <v>45709</v>
      </c>
      <c r="F379">
        <v>330862</v>
      </c>
      <c r="G379" t="s">
        <v>983</v>
      </c>
      <c r="H379" t="s">
        <v>9</v>
      </c>
      <c r="I379" s="7">
        <v>45691</v>
      </c>
      <c r="J379" s="8">
        <v>0.50739583333333338</v>
      </c>
      <c r="K379" t="s">
        <v>984</v>
      </c>
      <c r="AQ379" t="s">
        <v>1089</v>
      </c>
      <c r="AR379" t="s">
        <v>1066</v>
      </c>
      <c r="AT379" t="s">
        <v>987</v>
      </c>
      <c r="AZ379" t="s">
        <v>988</v>
      </c>
      <c r="BA379" t="s">
        <v>989</v>
      </c>
      <c r="BB379" t="s">
        <v>990</v>
      </c>
      <c r="BD379" t="s">
        <v>991</v>
      </c>
      <c r="BE379" t="s">
        <v>107</v>
      </c>
    </row>
    <row r="380" spans="1:57" ht="13" x14ac:dyDescent="0.15">
      <c r="A380">
        <v>1839</v>
      </c>
      <c r="B380">
        <v>30800952</v>
      </c>
      <c r="C380" t="s">
        <v>107</v>
      </c>
      <c r="D380" s="7">
        <v>41586</v>
      </c>
      <c r="E380" s="7">
        <v>45709</v>
      </c>
      <c r="F380">
        <v>330862</v>
      </c>
      <c r="G380" t="s">
        <v>983</v>
      </c>
      <c r="H380" t="s">
        <v>9</v>
      </c>
      <c r="I380" s="7">
        <v>45692</v>
      </c>
      <c r="J380" s="8">
        <v>0.57642361111111107</v>
      </c>
      <c r="K380" t="s">
        <v>984</v>
      </c>
      <c r="AQ380" t="s">
        <v>1089</v>
      </c>
      <c r="AR380" t="s">
        <v>986</v>
      </c>
      <c r="AT380" t="s">
        <v>987</v>
      </c>
      <c r="AZ380" t="s">
        <v>988</v>
      </c>
      <c r="BA380" t="s">
        <v>989</v>
      </c>
      <c r="BB380" t="s">
        <v>990</v>
      </c>
      <c r="BD380" t="s">
        <v>991</v>
      </c>
      <c r="BE380" t="s">
        <v>107</v>
      </c>
    </row>
    <row r="381" spans="1:57" ht="13" x14ac:dyDescent="0.15">
      <c r="A381">
        <v>1839</v>
      </c>
      <c r="B381">
        <v>30800952</v>
      </c>
      <c r="C381" t="s">
        <v>107</v>
      </c>
      <c r="D381" s="7">
        <v>41586</v>
      </c>
      <c r="E381" s="7">
        <v>45709</v>
      </c>
      <c r="F381">
        <v>330862</v>
      </c>
      <c r="G381" t="s">
        <v>983</v>
      </c>
      <c r="H381" t="s">
        <v>9</v>
      </c>
      <c r="I381" s="7">
        <v>45666</v>
      </c>
      <c r="J381" s="8">
        <v>0.52989583333333334</v>
      </c>
      <c r="K381" t="s">
        <v>984</v>
      </c>
      <c r="AQ381" t="s">
        <v>1089</v>
      </c>
      <c r="AR381" t="s">
        <v>1300</v>
      </c>
      <c r="AT381" t="s">
        <v>987</v>
      </c>
      <c r="AZ381" t="s">
        <v>1011</v>
      </c>
      <c r="BA381" t="s">
        <v>1202</v>
      </c>
      <c r="BB381" t="s">
        <v>1203</v>
      </c>
      <c r="BD381" t="s">
        <v>991</v>
      </c>
      <c r="BE381" t="s">
        <v>107</v>
      </c>
    </row>
    <row r="382" spans="1:57" ht="13" x14ac:dyDescent="0.15">
      <c r="A382">
        <v>1839</v>
      </c>
      <c r="B382">
        <v>30800952</v>
      </c>
      <c r="C382" t="s">
        <v>107</v>
      </c>
      <c r="D382" s="7">
        <v>41586</v>
      </c>
      <c r="E382" s="7">
        <v>45709</v>
      </c>
      <c r="F382">
        <v>330862</v>
      </c>
      <c r="G382" t="s">
        <v>983</v>
      </c>
      <c r="H382" t="s">
        <v>9</v>
      </c>
      <c r="I382" s="7">
        <v>45672</v>
      </c>
      <c r="J382" s="8">
        <v>0.56557870370370367</v>
      </c>
      <c r="K382" t="s">
        <v>984</v>
      </c>
      <c r="AQ382" t="s">
        <v>1089</v>
      </c>
      <c r="AR382" t="s">
        <v>1301</v>
      </c>
      <c r="AT382" t="s">
        <v>987</v>
      </c>
      <c r="AZ382" t="s">
        <v>1044</v>
      </c>
      <c r="BA382" t="s">
        <v>1045</v>
      </c>
      <c r="BB382" t="s">
        <v>990</v>
      </c>
      <c r="BD382" t="s">
        <v>991</v>
      </c>
      <c r="BE382" t="s">
        <v>107</v>
      </c>
    </row>
    <row r="383" spans="1:57" ht="13" x14ac:dyDescent="0.15">
      <c r="A383">
        <v>1839</v>
      </c>
      <c r="B383">
        <v>30800952</v>
      </c>
      <c r="C383" t="s">
        <v>107</v>
      </c>
      <c r="D383" s="7">
        <v>41586</v>
      </c>
      <c r="E383" s="7">
        <v>45709</v>
      </c>
      <c r="F383">
        <v>330862</v>
      </c>
      <c r="G383" t="s">
        <v>983</v>
      </c>
      <c r="H383" t="s">
        <v>9</v>
      </c>
      <c r="I383" s="7">
        <v>45672</v>
      </c>
      <c r="J383" s="8">
        <v>0.58012731481481483</v>
      </c>
      <c r="K383" t="s">
        <v>984</v>
      </c>
      <c r="AQ383" t="s">
        <v>1089</v>
      </c>
      <c r="AR383" t="s">
        <v>1302</v>
      </c>
      <c r="AT383" t="s">
        <v>987</v>
      </c>
      <c r="AZ383" t="s">
        <v>1024</v>
      </c>
      <c r="BA383" t="s">
        <v>1047</v>
      </c>
      <c r="BB383" t="s">
        <v>1048</v>
      </c>
      <c r="BD383" t="s">
        <v>1014</v>
      </c>
      <c r="BE383" t="s">
        <v>107</v>
      </c>
    </row>
    <row r="384" spans="1:57" ht="13" x14ac:dyDescent="0.15">
      <c r="A384">
        <v>1839</v>
      </c>
      <c r="B384">
        <v>30800952</v>
      </c>
      <c r="C384" t="s">
        <v>107</v>
      </c>
      <c r="D384" s="7">
        <v>41586</v>
      </c>
      <c r="E384" s="7">
        <v>45709</v>
      </c>
      <c r="F384">
        <v>330862</v>
      </c>
      <c r="G384" t="s">
        <v>983</v>
      </c>
      <c r="H384" t="s">
        <v>9</v>
      </c>
      <c r="I384" s="7">
        <v>45647</v>
      </c>
      <c r="J384" s="8">
        <v>0.60847222222222219</v>
      </c>
      <c r="K384" t="s">
        <v>984</v>
      </c>
      <c r="AQ384" t="s">
        <v>1089</v>
      </c>
      <c r="AR384" t="s">
        <v>1187</v>
      </c>
      <c r="AT384" t="s">
        <v>987</v>
      </c>
      <c r="AZ384" t="s">
        <v>1182</v>
      </c>
      <c r="BA384" t="s">
        <v>1188</v>
      </c>
      <c r="BB384" t="s">
        <v>1013</v>
      </c>
      <c r="BD384" t="s">
        <v>1005</v>
      </c>
      <c r="BE384" t="s">
        <v>107</v>
      </c>
    </row>
    <row r="385" spans="1:57" ht="13" x14ac:dyDescent="0.15">
      <c r="A385">
        <v>1839</v>
      </c>
      <c r="B385">
        <v>30800952</v>
      </c>
      <c r="C385" t="s">
        <v>107</v>
      </c>
      <c r="D385" s="7">
        <v>41586</v>
      </c>
      <c r="E385" s="7">
        <v>45709</v>
      </c>
      <c r="F385">
        <v>330862</v>
      </c>
      <c r="G385" t="s">
        <v>983</v>
      </c>
      <c r="H385" t="s">
        <v>9</v>
      </c>
      <c r="I385" s="7">
        <v>45647</v>
      </c>
      <c r="J385" s="8">
        <v>0.61990740740740746</v>
      </c>
      <c r="K385" t="s">
        <v>984</v>
      </c>
      <c r="AQ385" t="s">
        <v>1089</v>
      </c>
      <c r="AR385" t="s">
        <v>1190</v>
      </c>
      <c r="AT385" t="s">
        <v>987</v>
      </c>
      <c r="AZ385" t="s">
        <v>1139</v>
      </c>
      <c r="BA385" t="s">
        <v>1140</v>
      </c>
      <c r="BB385" t="s">
        <v>1032</v>
      </c>
      <c r="BD385" t="s">
        <v>1005</v>
      </c>
      <c r="BE385" t="s">
        <v>107</v>
      </c>
    </row>
    <row r="386" spans="1:57" ht="13" x14ac:dyDescent="0.15">
      <c r="A386">
        <v>1839</v>
      </c>
      <c r="B386">
        <v>30800952</v>
      </c>
      <c r="C386" t="s">
        <v>107</v>
      </c>
      <c r="D386" s="7">
        <v>41586</v>
      </c>
      <c r="E386" s="7">
        <v>45709</v>
      </c>
      <c r="F386">
        <v>330862</v>
      </c>
      <c r="G386" t="s">
        <v>983</v>
      </c>
      <c r="H386" t="s">
        <v>9</v>
      </c>
      <c r="I386" s="7">
        <v>45649</v>
      </c>
      <c r="J386" s="8">
        <v>0.56145833333333328</v>
      </c>
      <c r="K386" t="s">
        <v>984</v>
      </c>
      <c r="AQ386" t="s">
        <v>1089</v>
      </c>
      <c r="AR386" t="s">
        <v>1303</v>
      </c>
      <c r="AT386" t="s">
        <v>987</v>
      </c>
      <c r="AZ386" t="s">
        <v>1020</v>
      </c>
      <c r="BA386" t="s">
        <v>1230</v>
      </c>
      <c r="BB386" t="s">
        <v>1018</v>
      </c>
      <c r="BD386" t="s">
        <v>1005</v>
      </c>
      <c r="BE386" t="s">
        <v>107</v>
      </c>
    </row>
    <row r="387" spans="1:57" ht="13" x14ac:dyDescent="0.15">
      <c r="A387">
        <v>1839</v>
      </c>
      <c r="B387">
        <v>30800952</v>
      </c>
      <c r="C387" t="s">
        <v>107</v>
      </c>
      <c r="D387" s="7">
        <v>41586</v>
      </c>
      <c r="E387" s="7">
        <v>45709</v>
      </c>
      <c r="F387">
        <v>330862</v>
      </c>
      <c r="G387" t="s">
        <v>983</v>
      </c>
      <c r="H387" t="s">
        <v>9</v>
      </c>
      <c r="I387" s="7">
        <v>45649</v>
      </c>
      <c r="J387" s="8">
        <v>0.60141203703703705</v>
      </c>
      <c r="K387" t="s">
        <v>984</v>
      </c>
      <c r="AQ387" t="s">
        <v>1089</v>
      </c>
      <c r="AR387" t="s">
        <v>1304</v>
      </c>
      <c r="AT387" t="s">
        <v>987</v>
      </c>
      <c r="AZ387" t="s">
        <v>988</v>
      </c>
      <c r="BA387" t="s">
        <v>1058</v>
      </c>
      <c r="BB387" t="s">
        <v>1018</v>
      </c>
      <c r="BD387" t="s">
        <v>1005</v>
      </c>
      <c r="BE387" t="s">
        <v>107</v>
      </c>
    </row>
    <row r="388" spans="1:57" ht="13" x14ac:dyDescent="0.15">
      <c r="A388">
        <v>1839</v>
      </c>
      <c r="B388">
        <v>30800952</v>
      </c>
      <c r="C388" t="s">
        <v>107</v>
      </c>
      <c r="D388" s="7">
        <v>41586</v>
      </c>
      <c r="E388" s="7">
        <v>45709</v>
      </c>
      <c r="F388">
        <v>330862</v>
      </c>
      <c r="G388" t="s">
        <v>983</v>
      </c>
      <c r="H388" t="s">
        <v>9</v>
      </c>
      <c r="I388" s="7">
        <v>45651</v>
      </c>
      <c r="J388" s="8">
        <v>0.8370023148148148</v>
      </c>
      <c r="K388" t="s">
        <v>984</v>
      </c>
      <c r="AQ388" t="s">
        <v>1089</v>
      </c>
      <c r="AR388" t="s">
        <v>1191</v>
      </c>
      <c r="AT388" t="s">
        <v>987</v>
      </c>
      <c r="AZ388" t="s">
        <v>1007</v>
      </c>
      <c r="BA388" t="s">
        <v>1008</v>
      </c>
      <c r="BB388" t="s">
        <v>990</v>
      </c>
      <c r="BD388" t="s">
        <v>1005</v>
      </c>
      <c r="BE388" t="s">
        <v>107</v>
      </c>
    </row>
    <row r="389" spans="1:57" ht="13" x14ac:dyDescent="0.15">
      <c r="A389">
        <v>1839</v>
      </c>
      <c r="B389">
        <v>30800952</v>
      </c>
      <c r="C389" t="s">
        <v>107</v>
      </c>
      <c r="D389" s="7">
        <v>41586</v>
      </c>
      <c r="E389" s="7">
        <v>45709</v>
      </c>
      <c r="F389">
        <v>330862</v>
      </c>
      <c r="G389" t="s">
        <v>983</v>
      </c>
      <c r="H389" t="s">
        <v>9</v>
      </c>
      <c r="I389" s="7">
        <v>45651</v>
      </c>
      <c r="J389" s="8">
        <v>0.86251157407407408</v>
      </c>
      <c r="K389" t="s">
        <v>984</v>
      </c>
      <c r="AQ389" t="s">
        <v>1089</v>
      </c>
      <c r="AR389" t="s">
        <v>1305</v>
      </c>
      <c r="AT389" t="s">
        <v>987</v>
      </c>
      <c r="AZ389" t="s">
        <v>1071</v>
      </c>
      <c r="BA389" t="s">
        <v>1072</v>
      </c>
      <c r="BB389" t="s">
        <v>1048</v>
      </c>
      <c r="BD389" t="s">
        <v>1005</v>
      </c>
      <c r="BE389" t="s">
        <v>107</v>
      </c>
    </row>
    <row r="390" spans="1:57" ht="13" x14ac:dyDescent="0.15">
      <c r="A390">
        <v>1839</v>
      </c>
      <c r="B390">
        <v>30800952</v>
      </c>
      <c r="C390" t="s">
        <v>107</v>
      </c>
      <c r="D390" s="7">
        <v>41586</v>
      </c>
      <c r="E390" s="7">
        <v>45709</v>
      </c>
      <c r="F390">
        <v>330862</v>
      </c>
      <c r="G390" t="s">
        <v>983</v>
      </c>
      <c r="H390" t="s">
        <v>9</v>
      </c>
      <c r="I390" s="7">
        <v>45652</v>
      </c>
      <c r="J390" s="8">
        <v>0.57409722222222226</v>
      </c>
      <c r="K390" t="s">
        <v>984</v>
      </c>
      <c r="AQ390" t="s">
        <v>1089</v>
      </c>
      <c r="AR390" t="s">
        <v>1306</v>
      </c>
      <c r="AT390" t="s">
        <v>987</v>
      </c>
      <c r="AZ390" t="s">
        <v>1028</v>
      </c>
      <c r="BA390" t="s">
        <v>1068</v>
      </c>
      <c r="BB390" t="s">
        <v>1069</v>
      </c>
      <c r="BD390" t="s">
        <v>1005</v>
      </c>
      <c r="BE390" t="s">
        <v>107</v>
      </c>
    </row>
    <row r="391" spans="1:57" ht="13" x14ac:dyDescent="0.15">
      <c r="A391">
        <v>1839</v>
      </c>
      <c r="B391">
        <v>30800952</v>
      </c>
      <c r="C391" t="s">
        <v>107</v>
      </c>
      <c r="D391" s="7">
        <v>41586</v>
      </c>
      <c r="E391" s="7">
        <v>45709</v>
      </c>
      <c r="F391">
        <v>330862</v>
      </c>
      <c r="G391" t="s">
        <v>983</v>
      </c>
      <c r="H391" t="s">
        <v>9</v>
      </c>
      <c r="I391" s="7">
        <v>45658</v>
      </c>
      <c r="J391" s="8">
        <v>0.5590856481481481</v>
      </c>
      <c r="K391" t="s">
        <v>984</v>
      </c>
      <c r="AQ391" t="s">
        <v>1089</v>
      </c>
      <c r="AR391" t="s">
        <v>1307</v>
      </c>
      <c r="AT391" t="s">
        <v>987</v>
      </c>
      <c r="AZ391" t="s">
        <v>1002</v>
      </c>
      <c r="BA391" t="s">
        <v>1003</v>
      </c>
      <c r="BB391" t="s">
        <v>1004</v>
      </c>
      <c r="BD391" t="s">
        <v>1005</v>
      </c>
      <c r="BE391" t="s">
        <v>107</v>
      </c>
    </row>
    <row r="392" spans="1:57" ht="13" x14ac:dyDescent="0.15">
      <c r="A392">
        <v>1839</v>
      </c>
      <c r="B392">
        <v>30800952</v>
      </c>
      <c r="C392" t="s">
        <v>107</v>
      </c>
      <c r="D392" s="7">
        <v>41586</v>
      </c>
      <c r="E392" s="7">
        <v>45709</v>
      </c>
      <c r="F392">
        <v>330862</v>
      </c>
      <c r="G392" t="s">
        <v>983</v>
      </c>
      <c r="H392" t="s">
        <v>9</v>
      </c>
      <c r="I392" s="7">
        <v>45619</v>
      </c>
      <c r="J392" s="8">
        <v>0.55371527777777774</v>
      </c>
      <c r="K392" t="s">
        <v>984</v>
      </c>
      <c r="AQ392" t="s">
        <v>1089</v>
      </c>
      <c r="AR392" t="s">
        <v>1184</v>
      </c>
      <c r="AT392" t="s">
        <v>987</v>
      </c>
      <c r="AZ392" t="s">
        <v>1182</v>
      </c>
      <c r="BA392" t="s">
        <v>1185</v>
      </c>
      <c r="BB392" t="s">
        <v>1026</v>
      </c>
      <c r="BD392" t="s">
        <v>1022</v>
      </c>
      <c r="BE392" t="s">
        <v>107</v>
      </c>
    </row>
    <row r="393" spans="1:57" ht="13" x14ac:dyDescent="0.15">
      <c r="A393">
        <v>1839</v>
      </c>
      <c r="B393">
        <v>30800952</v>
      </c>
      <c r="C393" t="s">
        <v>107</v>
      </c>
      <c r="D393" s="7">
        <v>41586</v>
      </c>
      <c r="E393" s="7">
        <v>45709</v>
      </c>
      <c r="F393">
        <v>330862</v>
      </c>
      <c r="G393" t="s">
        <v>983</v>
      </c>
      <c r="H393" t="s">
        <v>9</v>
      </c>
      <c r="I393" s="7">
        <v>45619</v>
      </c>
      <c r="J393" s="8">
        <v>0.58185185185185184</v>
      </c>
      <c r="K393" t="s">
        <v>984</v>
      </c>
      <c r="AQ393" t="s">
        <v>1089</v>
      </c>
      <c r="AR393" t="s">
        <v>1186</v>
      </c>
      <c r="AT393" t="s">
        <v>987</v>
      </c>
      <c r="AZ393" t="s">
        <v>1028</v>
      </c>
      <c r="BA393" t="s">
        <v>1029</v>
      </c>
      <c r="BB393" t="s">
        <v>1018</v>
      </c>
      <c r="BD393" t="s">
        <v>1022</v>
      </c>
      <c r="BE393" t="s">
        <v>107</v>
      </c>
    </row>
    <row r="394" spans="1:57" ht="13" x14ac:dyDescent="0.15">
      <c r="A394">
        <v>1839</v>
      </c>
      <c r="B394">
        <v>30800952</v>
      </c>
      <c r="C394" t="s">
        <v>107</v>
      </c>
      <c r="D394" s="7">
        <v>41586</v>
      </c>
      <c r="E394" s="7">
        <v>45709</v>
      </c>
      <c r="F394">
        <v>330862</v>
      </c>
      <c r="G394" t="s">
        <v>983</v>
      </c>
      <c r="H394" t="s">
        <v>9</v>
      </c>
      <c r="I394" s="7">
        <v>45624</v>
      </c>
      <c r="J394" s="8">
        <v>0.54204861111111113</v>
      </c>
      <c r="K394" t="s">
        <v>984</v>
      </c>
      <c r="AQ394" t="s">
        <v>1089</v>
      </c>
      <c r="AR394" t="s">
        <v>1308</v>
      </c>
      <c r="AT394" t="s">
        <v>987</v>
      </c>
      <c r="AZ394" t="s">
        <v>1182</v>
      </c>
      <c r="BA394" t="s">
        <v>1185</v>
      </c>
      <c r="BB394" t="s">
        <v>1026</v>
      </c>
      <c r="BD394" t="s">
        <v>1022</v>
      </c>
      <c r="BE394" t="s">
        <v>107</v>
      </c>
    </row>
    <row r="395" spans="1:57" ht="13" x14ac:dyDescent="0.15">
      <c r="A395">
        <v>1839</v>
      </c>
      <c r="B395">
        <v>30800952</v>
      </c>
      <c r="C395" t="s">
        <v>107</v>
      </c>
      <c r="D395" s="7">
        <v>41586</v>
      </c>
      <c r="E395" s="7">
        <v>45709</v>
      </c>
      <c r="F395">
        <v>330862</v>
      </c>
      <c r="G395" t="s">
        <v>983</v>
      </c>
      <c r="H395" t="s">
        <v>9</v>
      </c>
      <c r="I395" s="7">
        <v>45624</v>
      </c>
      <c r="J395" s="8">
        <v>0.54358796296296297</v>
      </c>
      <c r="K395" t="s">
        <v>984</v>
      </c>
      <c r="AQ395" t="s">
        <v>1089</v>
      </c>
      <c r="AR395" t="s">
        <v>1054</v>
      </c>
      <c r="BE395" t="s">
        <v>107</v>
      </c>
    </row>
    <row r="396" spans="1:57" ht="13" x14ac:dyDescent="0.15">
      <c r="A396">
        <v>1839</v>
      </c>
      <c r="B396">
        <v>30800952</v>
      </c>
      <c r="C396" t="s">
        <v>107</v>
      </c>
      <c r="D396" s="7">
        <v>41586</v>
      </c>
      <c r="E396" s="7">
        <v>45709</v>
      </c>
      <c r="F396">
        <v>330862</v>
      </c>
      <c r="G396" t="s">
        <v>983</v>
      </c>
      <c r="H396" t="s">
        <v>9</v>
      </c>
      <c r="I396" s="7">
        <v>45631</v>
      </c>
      <c r="J396" s="8">
        <v>0.58708333333333329</v>
      </c>
      <c r="K396" t="s">
        <v>984</v>
      </c>
      <c r="AQ396" t="s">
        <v>1089</v>
      </c>
      <c r="AR396" t="s">
        <v>1309</v>
      </c>
      <c r="AT396" t="s">
        <v>987</v>
      </c>
      <c r="AZ396" t="s">
        <v>1215</v>
      </c>
      <c r="BA396" t="s">
        <v>1216</v>
      </c>
      <c r="BB396" t="s">
        <v>1217</v>
      </c>
      <c r="BD396" t="s">
        <v>1022</v>
      </c>
      <c r="BE396" t="s">
        <v>107</v>
      </c>
    </row>
    <row r="397" spans="1:57" ht="13" x14ac:dyDescent="0.15">
      <c r="A397">
        <v>1839</v>
      </c>
      <c r="B397">
        <v>30800952</v>
      </c>
      <c r="C397" t="s">
        <v>107</v>
      </c>
      <c r="D397" s="7">
        <v>41586</v>
      </c>
      <c r="E397" s="7">
        <v>45709</v>
      </c>
      <c r="F397">
        <v>330862</v>
      </c>
      <c r="G397" t="s">
        <v>983</v>
      </c>
      <c r="H397" t="s">
        <v>9</v>
      </c>
      <c r="I397" s="7">
        <v>45632</v>
      </c>
      <c r="J397" s="8">
        <v>0.61885416666666671</v>
      </c>
      <c r="K397" t="s">
        <v>984</v>
      </c>
      <c r="AQ397" t="s">
        <v>1089</v>
      </c>
      <c r="AR397" t="s">
        <v>1309</v>
      </c>
      <c r="AT397" t="s">
        <v>987</v>
      </c>
      <c r="AZ397" t="s">
        <v>1215</v>
      </c>
      <c r="BA397" t="s">
        <v>1216</v>
      </c>
      <c r="BB397" t="s">
        <v>1217</v>
      </c>
      <c r="BD397" t="s">
        <v>1022</v>
      </c>
      <c r="BE397" t="s">
        <v>107</v>
      </c>
    </row>
    <row r="398" spans="1:57" ht="13" x14ac:dyDescent="0.15">
      <c r="A398">
        <v>1839</v>
      </c>
      <c r="B398">
        <v>30800952</v>
      </c>
      <c r="C398" t="s">
        <v>107</v>
      </c>
      <c r="D398" s="7">
        <v>41586</v>
      </c>
      <c r="E398" s="7">
        <v>45709</v>
      </c>
      <c r="F398">
        <v>330862</v>
      </c>
      <c r="G398" t="s">
        <v>983</v>
      </c>
      <c r="H398" t="s">
        <v>9</v>
      </c>
      <c r="I398" s="7">
        <v>45634</v>
      </c>
      <c r="J398" s="8">
        <v>0.5948148148148148</v>
      </c>
      <c r="K398" t="s">
        <v>984</v>
      </c>
      <c r="AQ398" t="s">
        <v>1089</v>
      </c>
      <c r="AR398" t="s">
        <v>1310</v>
      </c>
      <c r="AT398" t="s">
        <v>987</v>
      </c>
      <c r="AZ398" t="s">
        <v>1239</v>
      </c>
      <c r="BA398" t="s">
        <v>1281</v>
      </c>
      <c r="BB398" t="s">
        <v>1026</v>
      </c>
      <c r="BD398" t="s">
        <v>1022</v>
      </c>
      <c r="BE398" t="s">
        <v>107</v>
      </c>
    </row>
    <row r="399" spans="1:57" ht="13" x14ac:dyDescent="0.15">
      <c r="A399">
        <v>1839</v>
      </c>
      <c r="B399">
        <v>30800952</v>
      </c>
      <c r="C399" t="s">
        <v>107</v>
      </c>
      <c r="D399" s="7">
        <v>41586</v>
      </c>
      <c r="E399" s="7">
        <v>45709</v>
      </c>
      <c r="F399">
        <v>330862</v>
      </c>
      <c r="G399" t="s">
        <v>983</v>
      </c>
      <c r="H399" t="s">
        <v>9</v>
      </c>
      <c r="I399" s="7">
        <v>45634</v>
      </c>
      <c r="J399" s="8">
        <v>0.62299768518518517</v>
      </c>
      <c r="K399" t="s">
        <v>984</v>
      </c>
      <c r="AQ399" t="s">
        <v>1089</v>
      </c>
      <c r="AR399" t="s">
        <v>1311</v>
      </c>
      <c r="AT399" t="s">
        <v>987</v>
      </c>
      <c r="AZ399" t="s">
        <v>1020</v>
      </c>
      <c r="BA399" t="s">
        <v>1021</v>
      </c>
      <c r="BB399" t="s">
        <v>1018</v>
      </c>
      <c r="BD399" t="s">
        <v>1022</v>
      </c>
      <c r="BE399" t="s">
        <v>107</v>
      </c>
    </row>
    <row r="400" spans="1:57" ht="13" x14ac:dyDescent="0.15">
      <c r="A400">
        <v>1839</v>
      </c>
      <c r="B400">
        <v>30809029</v>
      </c>
      <c r="C400" t="s">
        <v>108</v>
      </c>
      <c r="D400" s="7">
        <v>40634</v>
      </c>
      <c r="E400" s="7">
        <v>45698</v>
      </c>
      <c r="F400">
        <v>330862</v>
      </c>
      <c r="G400" t="s">
        <v>983</v>
      </c>
      <c r="H400" t="s">
        <v>9</v>
      </c>
      <c r="I400" s="7">
        <v>45693</v>
      </c>
      <c r="J400" s="8">
        <v>0.5246643518518519</v>
      </c>
      <c r="K400" t="s">
        <v>984</v>
      </c>
      <c r="AQ400" t="s">
        <v>1089</v>
      </c>
      <c r="AR400" t="s">
        <v>1312</v>
      </c>
      <c r="AT400" t="s">
        <v>987</v>
      </c>
      <c r="BE400" t="s">
        <v>108</v>
      </c>
    </row>
    <row r="401" spans="1:57" ht="13" x14ac:dyDescent="0.15">
      <c r="A401">
        <v>1839</v>
      </c>
      <c r="B401">
        <v>30809029</v>
      </c>
      <c r="C401" t="s">
        <v>108</v>
      </c>
      <c r="D401" s="7">
        <v>40634</v>
      </c>
      <c r="E401" s="7">
        <v>45698</v>
      </c>
      <c r="F401">
        <v>330862</v>
      </c>
      <c r="G401" t="s">
        <v>983</v>
      </c>
      <c r="H401" t="s">
        <v>9</v>
      </c>
      <c r="I401" s="7">
        <v>45690</v>
      </c>
      <c r="J401" s="8">
        <v>0.71750000000000003</v>
      </c>
      <c r="K401" t="s">
        <v>984</v>
      </c>
      <c r="AQ401" t="s">
        <v>1089</v>
      </c>
      <c r="AR401" t="s">
        <v>1313</v>
      </c>
      <c r="AT401" t="s">
        <v>987</v>
      </c>
      <c r="BE401" t="s">
        <v>108</v>
      </c>
    </row>
    <row r="402" spans="1:57" ht="13" x14ac:dyDescent="0.15">
      <c r="A402">
        <v>1839</v>
      </c>
      <c r="B402">
        <v>30817381</v>
      </c>
      <c r="C402" t="s">
        <v>109</v>
      </c>
      <c r="D402" s="7">
        <v>39766</v>
      </c>
      <c r="E402" s="7">
        <v>45696</v>
      </c>
      <c r="F402">
        <v>330862</v>
      </c>
      <c r="G402" t="s">
        <v>983</v>
      </c>
      <c r="H402" t="s">
        <v>9</v>
      </c>
      <c r="I402" s="7">
        <v>45694</v>
      </c>
      <c r="J402" s="8">
        <v>0.39861111111111114</v>
      </c>
      <c r="K402" t="s">
        <v>984</v>
      </c>
      <c r="AQ402" t="s">
        <v>1090</v>
      </c>
      <c r="AR402" t="s">
        <v>993</v>
      </c>
      <c r="AT402" t="s">
        <v>987</v>
      </c>
      <c r="AZ402" t="s">
        <v>988</v>
      </c>
      <c r="BA402" t="s">
        <v>989</v>
      </c>
      <c r="BB402" t="s">
        <v>990</v>
      </c>
      <c r="BD402" t="s">
        <v>991</v>
      </c>
      <c r="BE402" t="s">
        <v>109</v>
      </c>
    </row>
    <row r="403" spans="1:57" ht="13" x14ac:dyDescent="0.15">
      <c r="A403">
        <v>1839</v>
      </c>
      <c r="B403">
        <v>30817381</v>
      </c>
      <c r="C403" t="s">
        <v>109</v>
      </c>
      <c r="D403" s="7">
        <v>39766</v>
      </c>
      <c r="E403" s="7">
        <v>45696</v>
      </c>
      <c r="F403">
        <v>330862</v>
      </c>
      <c r="G403" t="s">
        <v>983</v>
      </c>
      <c r="H403" t="s">
        <v>9</v>
      </c>
      <c r="I403" s="7">
        <v>45696</v>
      </c>
      <c r="J403" s="8">
        <v>0.81832175925925921</v>
      </c>
      <c r="K403" t="s">
        <v>984</v>
      </c>
      <c r="AQ403" t="s">
        <v>1089</v>
      </c>
      <c r="AR403" t="s">
        <v>993</v>
      </c>
      <c r="AT403" t="s">
        <v>987</v>
      </c>
      <c r="AZ403" t="s">
        <v>988</v>
      </c>
      <c r="BA403" t="s">
        <v>989</v>
      </c>
      <c r="BB403" t="s">
        <v>990</v>
      </c>
      <c r="BD403" t="s">
        <v>991</v>
      </c>
      <c r="BE403" t="s">
        <v>109</v>
      </c>
    </row>
    <row r="404" spans="1:57" ht="13" x14ac:dyDescent="0.15">
      <c r="A404">
        <v>1839</v>
      </c>
      <c r="B404">
        <v>30817381</v>
      </c>
      <c r="C404" t="s">
        <v>109</v>
      </c>
      <c r="D404" s="7">
        <v>39766</v>
      </c>
      <c r="E404" s="7">
        <v>45696</v>
      </c>
      <c r="F404">
        <v>330862</v>
      </c>
      <c r="G404" t="s">
        <v>983</v>
      </c>
      <c r="H404" t="s">
        <v>9</v>
      </c>
      <c r="I404" s="7">
        <v>45677</v>
      </c>
      <c r="J404" s="8">
        <v>0.89751157407407411</v>
      </c>
      <c r="K404" t="s">
        <v>984</v>
      </c>
      <c r="AQ404" t="s">
        <v>1089</v>
      </c>
      <c r="AR404" t="s">
        <v>1083</v>
      </c>
      <c r="AT404" t="s">
        <v>987</v>
      </c>
      <c r="AZ404" t="s">
        <v>1011</v>
      </c>
      <c r="BA404" t="s">
        <v>1012</v>
      </c>
      <c r="BB404" t="s">
        <v>1013</v>
      </c>
      <c r="BD404" t="s">
        <v>1014</v>
      </c>
      <c r="BE404" t="s">
        <v>109</v>
      </c>
    </row>
    <row r="405" spans="1:57" ht="13" x14ac:dyDescent="0.15">
      <c r="A405">
        <v>1839</v>
      </c>
      <c r="B405">
        <v>30817381</v>
      </c>
      <c r="C405" t="s">
        <v>109</v>
      </c>
      <c r="D405" s="7">
        <v>39766</v>
      </c>
      <c r="E405" s="7">
        <v>45696</v>
      </c>
      <c r="F405">
        <v>330862</v>
      </c>
      <c r="G405" t="s">
        <v>983</v>
      </c>
      <c r="H405" t="s">
        <v>9</v>
      </c>
      <c r="I405" s="7">
        <v>45637</v>
      </c>
      <c r="J405" s="8">
        <v>0.85114583333333338</v>
      </c>
      <c r="K405" t="s">
        <v>984</v>
      </c>
      <c r="AQ405" t="s">
        <v>1089</v>
      </c>
      <c r="AR405" t="s">
        <v>1108</v>
      </c>
      <c r="AT405" t="s">
        <v>987</v>
      </c>
      <c r="AZ405" t="s">
        <v>1011</v>
      </c>
      <c r="BA405" t="s">
        <v>1031</v>
      </c>
      <c r="BB405" t="s">
        <v>1032</v>
      </c>
      <c r="BD405" t="s">
        <v>1005</v>
      </c>
      <c r="BE405" t="s">
        <v>109</v>
      </c>
    </row>
    <row r="406" spans="1:57" ht="13" x14ac:dyDescent="0.15">
      <c r="A406">
        <v>1839</v>
      </c>
      <c r="B406">
        <v>30817381</v>
      </c>
      <c r="C406" t="s">
        <v>109</v>
      </c>
      <c r="D406" s="7">
        <v>39766</v>
      </c>
      <c r="E406" s="7">
        <v>45696</v>
      </c>
      <c r="F406">
        <v>330862</v>
      </c>
      <c r="G406" t="s">
        <v>983</v>
      </c>
      <c r="H406" t="s">
        <v>9</v>
      </c>
      <c r="I406" s="7">
        <v>45636</v>
      </c>
      <c r="J406" s="8">
        <v>0.74068287037037039</v>
      </c>
      <c r="K406" t="s">
        <v>984</v>
      </c>
      <c r="AQ406" t="s">
        <v>1090</v>
      </c>
      <c r="AR406" t="s">
        <v>1096</v>
      </c>
      <c r="AT406" t="s">
        <v>987</v>
      </c>
      <c r="AZ406" t="s">
        <v>1011</v>
      </c>
      <c r="BA406" t="s">
        <v>1031</v>
      </c>
      <c r="BB406" t="s">
        <v>1032</v>
      </c>
      <c r="BD406" t="s">
        <v>1005</v>
      </c>
      <c r="BE406" t="s">
        <v>109</v>
      </c>
    </row>
    <row r="407" spans="1:57" ht="13" x14ac:dyDescent="0.15">
      <c r="A407">
        <v>1839</v>
      </c>
      <c r="B407">
        <v>30817381</v>
      </c>
      <c r="C407" t="s">
        <v>109</v>
      </c>
      <c r="D407" s="7">
        <v>39766</v>
      </c>
      <c r="E407" s="7">
        <v>45696</v>
      </c>
      <c r="F407">
        <v>330862</v>
      </c>
      <c r="G407" t="s">
        <v>983</v>
      </c>
      <c r="H407" t="s">
        <v>9</v>
      </c>
      <c r="I407" s="7">
        <v>45637</v>
      </c>
      <c r="J407" s="8">
        <v>0.85561342592592593</v>
      </c>
      <c r="K407" t="s">
        <v>984</v>
      </c>
      <c r="AQ407" t="s">
        <v>1089</v>
      </c>
      <c r="AR407" t="s">
        <v>1249</v>
      </c>
      <c r="AT407" t="s">
        <v>987</v>
      </c>
      <c r="AZ407" t="s">
        <v>1024</v>
      </c>
      <c r="BA407" t="s">
        <v>1025</v>
      </c>
      <c r="BB407" t="s">
        <v>1026</v>
      </c>
      <c r="BD407" t="s">
        <v>1022</v>
      </c>
      <c r="BE407" t="s">
        <v>109</v>
      </c>
    </row>
    <row r="408" spans="1:57" ht="13" x14ac:dyDescent="0.15">
      <c r="A408">
        <v>1839</v>
      </c>
      <c r="B408">
        <v>30817381</v>
      </c>
      <c r="C408" t="s">
        <v>109</v>
      </c>
      <c r="D408" s="7">
        <v>39766</v>
      </c>
      <c r="E408" s="7">
        <v>45696</v>
      </c>
      <c r="F408">
        <v>330862</v>
      </c>
      <c r="G408" t="s">
        <v>983</v>
      </c>
      <c r="H408" t="s">
        <v>9</v>
      </c>
      <c r="I408" s="7">
        <v>45637</v>
      </c>
      <c r="J408" s="8">
        <v>0.8611805555555555</v>
      </c>
      <c r="K408" t="s">
        <v>984</v>
      </c>
      <c r="AQ408" t="s">
        <v>1089</v>
      </c>
      <c r="AR408" t="s">
        <v>1314</v>
      </c>
      <c r="AT408" t="s">
        <v>987</v>
      </c>
      <c r="AZ408" t="s">
        <v>1174</v>
      </c>
      <c r="BA408" t="s">
        <v>1242</v>
      </c>
      <c r="BB408" t="s">
        <v>1026</v>
      </c>
      <c r="BD408" t="s">
        <v>1005</v>
      </c>
      <c r="BE408" t="s">
        <v>109</v>
      </c>
    </row>
    <row r="409" spans="1:57" ht="13" x14ac:dyDescent="0.15">
      <c r="A409">
        <v>1839</v>
      </c>
      <c r="B409">
        <v>30817381</v>
      </c>
      <c r="C409" t="s">
        <v>109</v>
      </c>
      <c r="D409" s="7">
        <v>39766</v>
      </c>
      <c r="E409" s="7">
        <v>45696</v>
      </c>
      <c r="F409">
        <v>330862</v>
      </c>
      <c r="G409" t="s">
        <v>983</v>
      </c>
      <c r="H409" t="s">
        <v>9</v>
      </c>
      <c r="I409" s="7">
        <v>45637</v>
      </c>
      <c r="J409" s="8">
        <v>0.86332175925925925</v>
      </c>
      <c r="K409" t="s">
        <v>984</v>
      </c>
      <c r="AQ409" t="s">
        <v>1089</v>
      </c>
      <c r="AR409" t="s">
        <v>1179</v>
      </c>
      <c r="AT409" t="s">
        <v>987</v>
      </c>
      <c r="AZ409" t="s">
        <v>1020</v>
      </c>
      <c r="BA409" t="s">
        <v>1021</v>
      </c>
      <c r="BB409" t="s">
        <v>1018</v>
      </c>
      <c r="BD409" t="s">
        <v>1022</v>
      </c>
      <c r="BE409" t="s">
        <v>109</v>
      </c>
    </row>
    <row r="410" spans="1:57" ht="13" x14ac:dyDescent="0.15">
      <c r="A410">
        <v>1839</v>
      </c>
      <c r="B410">
        <v>30817381</v>
      </c>
      <c r="C410" t="s">
        <v>109</v>
      </c>
      <c r="D410" s="7">
        <v>39766</v>
      </c>
      <c r="E410" s="7">
        <v>45696</v>
      </c>
      <c r="F410">
        <v>330862</v>
      </c>
      <c r="G410" t="s">
        <v>983</v>
      </c>
      <c r="H410" t="s">
        <v>9</v>
      </c>
      <c r="I410" s="7">
        <v>45637</v>
      </c>
      <c r="J410" s="8">
        <v>0.85371527777777778</v>
      </c>
      <c r="K410" t="s">
        <v>984</v>
      </c>
      <c r="AQ410" t="s">
        <v>1089</v>
      </c>
      <c r="AR410" t="s">
        <v>1250</v>
      </c>
      <c r="AT410" t="s">
        <v>987</v>
      </c>
      <c r="AZ410" t="s">
        <v>1028</v>
      </c>
      <c r="BA410" t="s">
        <v>1029</v>
      </c>
      <c r="BB410" t="s">
        <v>1018</v>
      </c>
      <c r="BD410" t="s">
        <v>1022</v>
      </c>
      <c r="BE410" t="s">
        <v>109</v>
      </c>
    </row>
    <row r="411" spans="1:57" ht="13" x14ac:dyDescent="0.15">
      <c r="A411">
        <v>1839</v>
      </c>
      <c r="B411">
        <v>30832722</v>
      </c>
      <c r="C411" t="s">
        <v>110</v>
      </c>
      <c r="D411" s="7">
        <v>38668</v>
      </c>
      <c r="E411" s="7">
        <v>45699</v>
      </c>
      <c r="F411">
        <v>330862</v>
      </c>
      <c r="G411" t="s">
        <v>983</v>
      </c>
      <c r="H411" t="s">
        <v>9</v>
      </c>
      <c r="I411" s="7">
        <v>45699</v>
      </c>
      <c r="J411" s="8">
        <v>0.32939814814814816</v>
      </c>
      <c r="K411" t="s">
        <v>984</v>
      </c>
      <c r="AQ411" t="s">
        <v>992</v>
      </c>
      <c r="AR411" t="s">
        <v>1315</v>
      </c>
      <c r="AT411" t="s">
        <v>987</v>
      </c>
      <c r="AZ411" t="s">
        <v>1182</v>
      </c>
      <c r="BA411" t="s">
        <v>1183</v>
      </c>
      <c r="BB411" t="s">
        <v>990</v>
      </c>
      <c r="BD411" t="s">
        <v>991</v>
      </c>
      <c r="BE411" t="s">
        <v>110</v>
      </c>
    </row>
    <row r="412" spans="1:57" ht="13" x14ac:dyDescent="0.15">
      <c r="A412">
        <v>1839</v>
      </c>
      <c r="B412">
        <v>30832722</v>
      </c>
      <c r="C412" t="s">
        <v>110</v>
      </c>
      <c r="D412" s="7">
        <v>38668</v>
      </c>
      <c r="E412" s="7">
        <v>45699</v>
      </c>
      <c r="F412">
        <v>330862</v>
      </c>
      <c r="G412" t="s">
        <v>983</v>
      </c>
      <c r="H412" t="s">
        <v>9</v>
      </c>
      <c r="I412" s="7">
        <v>45682</v>
      </c>
      <c r="J412" s="8">
        <v>0.40629629629629632</v>
      </c>
      <c r="K412" t="s">
        <v>984</v>
      </c>
      <c r="AQ412" t="s">
        <v>992</v>
      </c>
      <c r="AR412" t="s">
        <v>1316</v>
      </c>
      <c r="AT412" t="s">
        <v>987</v>
      </c>
      <c r="AZ412" t="s">
        <v>1024</v>
      </c>
      <c r="BA412" t="s">
        <v>1047</v>
      </c>
      <c r="BB412" t="s">
        <v>1048</v>
      </c>
      <c r="BD412" t="s">
        <v>1014</v>
      </c>
      <c r="BE412" t="s">
        <v>110</v>
      </c>
    </row>
    <row r="413" spans="1:57" ht="13" x14ac:dyDescent="0.15">
      <c r="A413">
        <v>1839</v>
      </c>
      <c r="B413">
        <v>30832722</v>
      </c>
      <c r="C413" t="s">
        <v>110</v>
      </c>
      <c r="D413" s="7">
        <v>38668</v>
      </c>
      <c r="E413" s="7">
        <v>45699</v>
      </c>
      <c r="F413">
        <v>330862</v>
      </c>
      <c r="G413" t="s">
        <v>983</v>
      </c>
      <c r="H413" t="s">
        <v>9</v>
      </c>
      <c r="I413" s="7">
        <v>45638</v>
      </c>
      <c r="J413" s="8">
        <v>0.41739583333333335</v>
      </c>
      <c r="K413" t="s">
        <v>984</v>
      </c>
      <c r="AQ413" t="s">
        <v>992</v>
      </c>
      <c r="AR413" t="s">
        <v>1085</v>
      </c>
      <c r="AT413" t="s">
        <v>987</v>
      </c>
      <c r="AZ413" t="s">
        <v>1011</v>
      </c>
      <c r="BA413" t="s">
        <v>1031</v>
      </c>
      <c r="BB413" t="s">
        <v>1032</v>
      </c>
      <c r="BD413" t="s">
        <v>1005</v>
      </c>
      <c r="BE413" t="s">
        <v>110</v>
      </c>
    </row>
    <row r="414" spans="1:57" ht="13" x14ac:dyDescent="0.15">
      <c r="A414">
        <v>1839</v>
      </c>
      <c r="B414">
        <v>30832722</v>
      </c>
      <c r="C414" t="s">
        <v>110</v>
      </c>
      <c r="D414" s="7">
        <v>38668</v>
      </c>
      <c r="E414" s="7">
        <v>45699</v>
      </c>
      <c r="F414">
        <v>330862</v>
      </c>
      <c r="G414" t="s">
        <v>983</v>
      </c>
      <c r="H414" t="s">
        <v>9</v>
      </c>
      <c r="I414" s="7">
        <v>45666</v>
      </c>
      <c r="J414" s="8">
        <v>0.43086805555555557</v>
      </c>
      <c r="K414" t="s">
        <v>984</v>
      </c>
      <c r="AQ414" t="s">
        <v>992</v>
      </c>
      <c r="AR414" t="s">
        <v>1300</v>
      </c>
      <c r="AT414" t="s">
        <v>987</v>
      </c>
      <c r="AZ414" t="s">
        <v>1011</v>
      </c>
      <c r="BA414" t="s">
        <v>1202</v>
      </c>
      <c r="BB414" t="s">
        <v>1203</v>
      </c>
      <c r="BD414" t="s">
        <v>991</v>
      </c>
      <c r="BE414" t="s">
        <v>110</v>
      </c>
    </row>
    <row r="415" spans="1:57" ht="13" x14ac:dyDescent="0.15">
      <c r="A415">
        <v>1839</v>
      </c>
      <c r="B415">
        <v>30832722</v>
      </c>
      <c r="C415" t="s">
        <v>110</v>
      </c>
      <c r="D415" s="7">
        <v>38668</v>
      </c>
      <c r="E415" s="7">
        <v>45699</v>
      </c>
      <c r="F415">
        <v>330862</v>
      </c>
      <c r="G415" t="s">
        <v>983</v>
      </c>
      <c r="H415" t="s">
        <v>9</v>
      </c>
      <c r="I415" s="7">
        <v>45670</v>
      </c>
      <c r="J415" s="8">
        <v>0.44034722222222222</v>
      </c>
      <c r="K415" t="s">
        <v>984</v>
      </c>
      <c r="AQ415" t="s">
        <v>992</v>
      </c>
      <c r="AR415" t="s">
        <v>1317</v>
      </c>
      <c r="AT415" t="s">
        <v>987</v>
      </c>
      <c r="AZ415" t="s">
        <v>1002</v>
      </c>
      <c r="BA415" t="s">
        <v>1003</v>
      </c>
      <c r="BB415" t="s">
        <v>1004</v>
      </c>
      <c r="BD415" t="s">
        <v>1005</v>
      </c>
      <c r="BE415" t="s">
        <v>110</v>
      </c>
    </row>
    <row r="416" spans="1:57" ht="13" x14ac:dyDescent="0.15">
      <c r="A416">
        <v>1839</v>
      </c>
      <c r="B416">
        <v>30832722</v>
      </c>
      <c r="C416" t="s">
        <v>110</v>
      </c>
      <c r="D416" s="7">
        <v>38668</v>
      </c>
      <c r="E416" s="7">
        <v>45699</v>
      </c>
      <c r="F416">
        <v>330862</v>
      </c>
      <c r="G416" t="s">
        <v>983</v>
      </c>
      <c r="H416" t="s">
        <v>9</v>
      </c>
      <c r="I416" s="7">
        <v>45694</v>
      </c>
      <c r="J416" s="8">
        <v>0.38491898148148146</v>
      </c>
      <c r="K416" t="s">
        <v>984</v>
      </c>
      <c r="AQ416" t="s">
        <v>992</v>
      </c>
      <c r="AR416" t="s">
        <v>1066</v>
      </c>
      <c r="AT416" t="s">
        <v>987</v>
      </c>
      <c r="AZ416" t="s">
        <v>988</v>
      </c>
      <c r="BA416" t="s">
        <v>989</v>
      </c>
      <c r="BB416" t="s">
        <v>990</v>
      </c>
      <c r="BD416" t="s">
        <v>991</v>
      </c>
      <c r="BE416" t="s">
        <v>110</v>
      </c>
    </row>
    <row r="417" spans="1:57" ht="13" x14ac:dyDescent="0.15">
      <c r="A417">
        <v>1839</v>
      </c>
      <c r="B417">
        <v>30840186</v>
      </c>
      <c r="C417" t="s">
        <v>111</v>
      </c>
      <c r="D417" s="7">
        <v>39494</v>
      </c>
      <c r="E417" s="7">
        <v>45696</v>
      </c>
      <c r="F417">
        <v>330862</v>
      </c>
      <c r="G417" t="s">
        <v>983</v>
      </c>
      <c r="H417" t="s">
        <v>9</v>
      </c>
      <c r="I417" s="7">
        <v>45694</v>
      </c>
      <c r="J417" s="8">
        <v>0.72512731481481485</v>
      </c>
      <c r="K417" t="s">
        <v>984</v>
      </c>
      <c r="AQ417" t="s">
        <v>1092</v>
      </c>
      <c r="AR417" t="s">
        <v>1066</v>
      </c>
      <c r="AT417" t="s">
        <v>987</v>
      </c>
      <c r="AZ417" t="s">
        <v>988</v>
      </c>
      <c r="BA417" t="s">
        <v>989</v>
      </c>
      <c r="BB417" t="s">
        <v>990</v>
      </c>
      <c r="BD417" t="s">
        <v>991</v>
      </c>
      <c r="BE417" t="s">
        <v>111</v>
      </c>
    </row>
    <row r="418" spans="1:57" ht="13" x14ac:dyDescent="0.15">
      <c r="A418">
        <v>1839</v>
      </c>
      <c r="B418">
        <v>30850910</v>
      </c>
      <c r="C418" t="s">
        <v>112</v>
      </c>
      <c r="D418" s="7">
        <v>38668</v>
      </c>
      <c r="E418" s="7">
        <v>45701</v>
      </c>
      <c r="F418">
        <v>330862</v>
      </c>
      <c r="G418" t="s">
        <v>983</v>
      </c>
      <c r="H418" t="s">
        <v>9</v>
      </c>
      <c r="I418" s="7">
        <v>45682</v>
      </c>
      <c r="J418" s="8">
        <v>0.3643865740740741</v>
      </c>
      <c r="K418" t="s">
        <v>984</v>
      </c>
      <c r="AQ418" t="s">
        <v>985</v>
      </c>
      <c r="AR418" t="s">
        <v>1318</v>
      </c>
      <c r="AT418" t="s">
        <v>987</v>
      </c>
      <c r="AZ418" t="s">
        <v>1007</v>
      </c>
      <c r="BA418" t="s">
        <v>1008</v>
      </c>
      <c r="BB418" t="s">
        <v>990</v>
      </c>
      <c r="BD418" t="s">
        <v>1005</v>
      </c>
      <c r="BE418" t="s">
        <v>112</v>
      </c>
    </row>
    <row r="419" spans="1:57" ht="13" x14ac:dyDescent="0.15">
      <c r="A419">
        <v>1839</v>
      </c>
      <c r="B419">
        <v>30850910</v>
      </c>
      <c r="C419" t="s">
        <v>112</v>
      </c>
      <c r="D419" s="7">
        <v>38668</v>
      </c>
      <c r="E419" s="7">
        <v>45701</v>
      </c>
      <c r="F419">
        <v>330862</v>
      </c>
      <c r="G419" t="s">
        <v>983</v>
      </c>
      <c r="H419" t="s">
        <v>9</v>
      </c>
      <c r="I419" s="7">
        <v>45617</v>
      </c>
      <c r="J419" s="8">
        <v>0.40711805555555558</v>
      </c>
      <c r="K419" t="s">
        <v>984</v>
      </c>
      <c r="AQ419" t="s">
        <v>985</v>
      </c>
      <c r="AR419" t="s">
        <v>1319</v>
      </c>
      <c r="AT419" t="s">
        <v>987</v>
      </c>
      <c r="AZ419" t="s">
        <v>1055</v>
      </c>
      <c r="BA419" t="s">
        <v>1056</v>
      </c>
      <c r="BB419" t="s">
        <v>1013</v>
      </c>
      <c r="BD419" t="s">
        <v>1022</v>
      </c>
      <c r="BE419" t="s">
        <v>112</v>
      </c>
    </row>
    <row r="420" spans="1:57" ht="13" x14ac:dyDescent="0.15">
      <c r="A420">
        <v>1839</v>
      </c>
      <c r="B420">
        <v>30850910</v>
      </c>
      <c r="C420" t="s">
        <v>112</v>
      </c>
      <c r="D420" s="7">
        <v>38668</v>
      </c>
      <c r="E420" s="7">
        <v>45701</v>
      </c>
      <c r="F420">
        <v>330862</v>
      </c>
      <c r="G420" t="s">
        <v>983</v>
      </c>
      <c r="H420" t="s">
        <v>9</v>
      </c>
      <c r="I420" s="7">
        <v>45617</v>
      </c>
      <c r="J420" s="8">
        <v>0.39688657407407407</v>
      </c>
      <c r="K420" t="s">
        <v>984</v>
      </c>
      <c r="AQ420" t="s">
        <v>985</v>
      </c>
      <c r="AR420" t="s">
        <v>1319</v>
      </c>
      <c r="AT420" t="s">
        <v>987</v>
      </c>
      <c r="AZ420" t="s">
        <v>1055</v>
      </c>
      <c r="BA420" t="s">
        <v>1056</v>
      </c>
      <c r="BB420" t="s">
        <v>1013</v>
      </c>
      <c r="BD420" t="s">
        <v>1022</v>
      </c>
      <c r="BE420" t="s">
        <v>112</v>
      </c>
    </row>
    <row r="421" spans="1:57" ht="13" x14ac:dyDescent="0.15">
      <c r="A421">
        <v>1839</v>
      </c>
      <c r="B421">
        <v>30895647</v>
      </c>
      <c r="C421" t="s">
        <v>113</v>
      </c>
      <c r="D421" s="7">
        <v>39540</v>
      </c>
      <c r="E421" s="7">
        <v>45689</v>
      </c>
      <c r="F421">
        <v>330862</v>
      </c>
      <c r="G421" t="s">
        <v>983</v>
      </c>
      <c r="H421" t="s">
        <v>9</v>
      </c>
      <c r="I421" s="7">
        <v>45688</v>
      </c>
      <c r="J421" s="8">
        <v>0.78553240740740737</v>
      </c>
      <c r="K421" t="s">
        <v>984</v>
      </c>
      <c r="AQ421" t="s">
        <v>1320</v>
      </c>
      <c r="AR421" t="s">
        <v>1269</v>
      </c>
      <c r="AT421" t="s">
        <v>987</v>
      </c>
      <c r="AZ421" t="s">
        <v>1011</v>
      </c>
      <c r="BA421" t="s">
        <v>1012</v>
      </c>
      <c r="BB421" t="s">
        <v>1013</v>
      </c>
      <c r="BD421" t="s">
        <v>1014</v>
      </c>
      <c r="BE421" t="s">
        <v>113</v>
      </c>
    </row>
    <row r="422" spans="1:57" ht="13" x14ac:dyDescent="0.15">
      <c r="A422">
        <v>1839</v>
      </c>
      <c r="B422">
        <v>30895974</v>
      </c>
      <c r="C422" t="s">
        <v>114</v>
      </c>
      <c r="D422" s="7">
        <v>39541</v>
      </c>
      <c r="E422" s="7">
        <v>45702</v>
      </c>
      <c r="F422">
        <v>330862</v>
      </c>
      <c r="G422" t="s">
        <v>983</v>
      </c>
      <c r="H422" t="s">
        <v>9</v>
      </c>
      <c r="I422" s="7">
        <v>45660</v>
      </c>
      <c r="J422" s="8">
        <v>0.37502314814814813</v>
      </c>
      <c r="K422" t="s">
        <v>984</v>
      </c>
      <c r="AQ422" t="s">
        <v>1142</v>
      </c>
      <c r="AR422" t="s">
        <v>1321</v>
      </c>
      <c r="AT422" t="s">
        <v>987</v>
      </c>
      <c r="AZ422" t="s">
        <v>1002</v>
      </c>
      <c r="BA422" t="s">
        <v>1124</v>
      </c>
      <c r="BB422" t="s">
        <v>1125</v>
      </c>
      <c r="BD422" t="s">
        <v>1005</v>
      </c>
      <c r="BE422" t="s">
        <v>114</v>
      </c>
    </row>
    <row r="423" spans="1:57" ht="13" x14ac:dyDescent="0.15">
      <c r="A423">
        <v>1839</v>
      </c>
      <c r="B423">
        <v>30895974</v>
      </c>
      <c r="C423" t="s">
        <v>114</v>
      </c>
      <c r="D423" s="7">
        <v>39541</v>
      </c>
      <c r="E423" s="7">
        <v>45702</v>
      </c>
      <c r="F423">
        <v>330862</v>
      </c>
      <c r="G423" t="s">
        <v>983</v>
      </c>
      <c r="H423" t="s">
        <v>9</v>
      </c>
      <c r="I423" s="7">
        <v>45616</v>
      </c>
      <c r="J423" s="8">
        <v>0.59134259259259259</v>
      </c>
      <c r="K423" t="s">
        <v>984</v>
      </c>
      <c r="AQ423" t="s">
        <v>1142</v>
      </c>
      <c r="AR423" t="s">
        <v>1102</v>
      </c>
      <c r="AT423" t="s">
        <v>987</v>
      </c>
      <c r="AZ423" t="s">
        <v>1011</v>
      </c>
      <c r="BA423" t="s">
        <v>1103</v>
      </c>
      <c r="BB423" t="s">
        <v>1032</v>
      </c>
      <c r="BD423" t="s">
        <v>1005</v>
      </c>
      <c r="BE423" t="s">
        <v>114</v>
      </c>
    </row>
    <row r="424" spans="1:57" ht="13" x14ac:dyDescent="0.15">
      <c r="A424">
        <v>1839</v>
      </c>
      <c r="B424">
        <v>30897470</v>
      </c>
      <c r="C424" t="s">
        <v>115</v>
      </c>
      <c r="D424" s="7">
        <v>39158</v>
      </c>
      <c r="E424" s="7">
        <v>45696</v>
      </c>
      <c r="F424">
        <v>330862</v>
      </c>
      <c r="G424" t="s">
        <v>983</v>
      </c>
      <c r="H424" t="s">
        <v>9</v>
      </c>
      <c r="I424" s="7">
        <v>45637</v>
      </c>
      <c r="J424" s="8">
        <v>0.38719907407407406</v>
      </c>
      <c r="K424" t="s">
        <v>984</v>
      </c>
      <c r="AQ424" t="s">
        <v>992</v>
      </c>
      <c r="AR424" t="s">
        <v>1108</v>
      </c>
      <c r="AT424" t="s">
        <v>987</v>
      </c>
      <c r="AZ424" t="s">
        <v>1011</v>
      </c>
      <c r="BA424" t="s">
        <v>1031</v>
      </c>
      <c r="BB424" t="s">
        <v>1032</v>
      </c>
      <c r="BD424" t="s">
        <v>1005</v>
      </c>
      <c r="BE424" t="s">
        <v>115</v>
      </c>
    </row>
    <row r="425" spans="1:57" ht="13" x14ac:dyDescent="0.15">
      <c r="A425">
        <v>1839</v>
      </c>
      <c r="B425">
        <v>30897470</v>
      </c>
      <c r="C425" t="s">
        <v>115</v>
      </c>
      <c r="D425" s="7">
        <v>39158</v>
      </c>
      <c r="E425" s="7">
        <v>45696</v>
      </c>
      <c r="F425">
        <v>330862</v>
      </c>
      <c r="G425" t="s">
        <v>983</v>
      </c>
      <c r="H425" t="s">
        <v>9</v>
      </c>
      <c r="I425" s="7">
        <v>45674</v>
      </c>
      <c r="J425" s="8">
        <v>0.74596064814814811</v>
      </c>
      <c r="K425" t="s">
        <v>984</v>
      </c>
      <c r="AQ425" t="s">
        <v>992</v>
      </c>
      <c r="AR425" t="s">
        <v>1095</v>
      </c>
      <c r="AT425" t="s">
        <v>987</v>
      </c>
      <c r="AZ425" t="s">
        <v>1002</v>
      </c>
      <c r="BA425" t="s">
        <v>1003</v>
      </c>
      <c r="BB425" t="s">
        <v>1004</v>
      </c>
      <c r="BD425" t="s">
        <v>1005</v>
      </c>
      <c r="BE425" t="s">
        <v>115</v>
      </c>
    </row>
    <row r="426" spans="1:57" ht="13" x14ac:dyDescent="0.15">
      <c r="A426">
        <v>1839</v>
      </c>
      <c r="B426">
        <v>30897470</v>
      </c>
      <c r="C426" t="s">
        <v>115</v>
      </c>
      <c r="D426" s="7">
        <v>39158</v>
      </c>
      <c r="E426" s="7">
        <v>45696</v>
      </c>
      <c r="F426">
        <v>330862</v>
      </c>
      <c r="G426" t="s">
        <v>983</v>
      </c>
      <c r="H426" t="s">
        <v>9</v>
      </c>
      <c r="I426" s="7">
        <v>45694</v>
      </c>
      <c r="J426" s="8">
        <v>0.48033564814814816</v>
      </c>
      <c r="K426" t="s">
        <v>984</v>
      </c>
      <c r="AQ426" t="s">
        <v>992</v>
      </c>
      <c r="AR426" t="s">
        <v>993</v>
      </c>
      <c r="AT426" t="s">
        <v>987</v>
      </c>
      <c r="AZ426" t="s">
        <v>988</v>
      </c>
      <c r="BA426" t="s">
        <v>989</v>
      </c>
      <c r="BB426" t="s">
        <v>990</v>
      </c>
      <c r="BD426" t="s">
        <v>991</v>
      </c>
      <c r="BE426" t="s">
        <v>115</v>
      </c>
    </row>
    <row r="427" spans="1:57" ht="13" x14ac:dyDescent="0.15">
      <c r="A427">
        <v>1839</v>
      </c>
      <c r="B427">
        <v>30897470</v>
      </c>
      <c r="C427" t="s">
        <v>115</v>
      </c>
      <c r="D427" s="7">
        <v>39158</v>
      </c>
      <c r="E427" s="7">
        <v>45696</v>
      </c>
      <c r="F427">
        <v>330862</v>
      </c>
      <c r="G427" t="s">
        <v>983</v>
      </c>
      <c r="H427" t="s">
        <v>9</v>
      </c>
      <c r="I427" s="7">
        <v>45674</v>
      </c>
      <c r="J427" s="8">
        <v>0.74859953703703708</v>
      </c>
      <c r="K427" t="s">
        <v>984</v>
      </c>
      <c r="AQ427" t="s">
        <v>992</v>
      </c>
      <c r="AR427" t="s">
        <v>1107</v>
      </c>
      <c r="AT427" t="s">
        <v>987</v>
      </c>
      <c r="AZ427" t="s">
        <v>1007</v>
      </c>
      <c r="BA427" t="s">
        <v>1008</v>
      </c>
      <c r="BB427" t="s">
        <v>990</v>
      </c>
      <c r="BD427" t="s">
        <v>1005</v>
      </c>
      <c r="BE427" t="s">
        <v>115</v>
      </c>
    </row>
    <row r="428" spans="1:57" ht="13" x14ac:dyDescent="0.15">
      <c r="A428">
        <v>1839</v>
      </c>
      <c r="B428">
        <v>30914661</v>
      </c>
      <c r="C428" t="s">
        <v>116</v>
      </c>
      <c r="D428" s="7">
        <v>41557</v>
      </c>
      <c r="E428" s="7">
        <v>45710</v>
      </c>
      <c r="F428">
        <v>330862</v>
      </c>
      <c r="G428" t="s">
        <v>983</v>
      </c>
      <c r="H428" t="s">
        <v>9</v>
      </c>
      <c r="I428" s="7">
        <v>45696</v>
      </c>
      <c r="J428" s="8">
        <v>0.69413194444444448</v>
      </c>
      <c r="K428" t="s">
        <v>984</v>
      </c>
      <c r="AQ428" t="s">
        <v>1322</v>
      </c>
      <c r="AR428" t="s">
        <v>986</v>
      </c>
      <c r="AT428" t="s">
        <v>987</v>
      </c>
      <c r="AZ428" t="s">
        <v>988</v>
      </c>
      <c r="BA428" t="s">
        <v>989</v>
      </c>
      <c r="BB428" t="s">
        <v>990</v>
      </c>
      <c r="BD428" t="s">
        <v>991</v>
      </c>
      <c r="BE428" t="s">
        <v>116</v>
      </c>
    </row>
    <row r="429" spans="1:57" ht="13" x14ac:dyDescent="0.15">
      <c r="A429">
        <v>1839</v>
      </c>
      <c r="B429">
        <v>30934675</v>
      </c>
      <c r="C429" t="s">
        <v>117</v>
      </c>
      <c r="D429" s="7">
        <v>39210</v>
      </c>
      <c r="E429" s="7">
        <v>45695</v>
      </c>
      <c r="F429">
        <v>330862</v>
      </c>
      <c r="G429" t="s">
        <v>983</v>
      </c>
      <c r="H429" t="s">
        <v>9</v>
      </c>
      <c r="I429" s="7">
        <v>45694</v>
      </c>
      <c r="J429" s="8">
        <v>0.44072916666666667</v>
      </c>
      <c r="K429" t="s">
        <v>984</v>
      </c>
      <c r="AQ429" t="s">
        <v>992</v>
      </c>
      <c r="AR429" t="s">
        <v>993</v>
      </c>
      <c r="AT429" t="s">
        <v>987</v>
      </c>
      <c r="AZ429" t="s">
        <v>988</v>
      </c>
      <c r="BA429" t="s">
        <v>989</v>
      </c>
      <c r="BB429" t="s">
        <v>990</v>
      </c>
      <c r="BD429" t="s">
        <v>991</v>
      </c>
      <c r="BE429" t="s">
        <v>117</v>
      </c>
    </row>
    <row r="430" spans="1:57" ht="13" x14ac:dyDescent="0.15">
      <c r="A430">
        <v>1839</v>
      </c>
      <c r="B430">
        <v>30934675</v>
      </c>
      <c r="C430" t="s">
        <v>117</v>
      </c>
      <c r="D430" s="7">
        <v>39210</v>
      </c>
      <c r="E430" s="7">
        <v>45695</v>
      </c>
      <c r="F430">
        <v>330862</v>
      </c>
      <c r="G430" t="s">
        <v>983</v>
      </c>
      <c r="H430" t="s">
        <v>9</v>
      </c>
      <c r="I430" s="7">
        <v>45677</v>
      </c>
      <c r="J430" s="8">
        <v>0.72598379629629628</v>
      </c>
      <c r="K430" t="s">
        <v>984</v>
      </c>
      <c r="AQ430" t="s">
        <v>992</v>
      </c>
      <c r="AR430" t="s">
        <v>1083</v>
      </c>
      <c r="AT430" t="s">
        <v>987</v>
      </c>
      <c r="AZ430" t="s">
        <v>1011</v>
      </c>
      <c r="BA430" t="s">
        <v>1012</v>
      </c>
      <c r="BB430" t="s">
        <v>1013</v>
      </c>
      <c r="BD430" t="s">
        <v>1014</v>
      </c>
      <c r="BE430" t="s">
        <v>117</v>
      </c>
    </row>
    <row r="431" spans="1:57" ht="13" x14ac:dyDescent="0.15">
      <c r="A431">
        <v>1839</v>
      </c>
      <c r="B431">
        <v>30936439</v>
      </c>
      <c r="C431" t="s">
        <v>118</v>
      </c>
      <c r="D431" s="7">
        <v>41739</v>
      </c>
      <c r="E431" s="7">
        <v>45713</v>
      </c>
      <c r="F431">
        <v>330862</v>
      </c>
      <c r="G431" t="s">
        <v>983</v>
      </c>
      <c r="H431" t="s">
        <v>9</v>
      </c>
      <c r="I431" s="7">
        <v>45677</v>
      </c>
      <c r="J431" s="8">
        <v>0.66061342592592598</v>
      </c>
      <c r="K431" t="s">
        <v>984</v>
      </c>
      <c r="AQ431" t="s">
        <v>985</v>
      </c>
      <c r="AR431" t="s">
        <v>1083</v>
      </c>
      <c r="AT431" t="s">
        <v>987</v>
      </c>
      <c r="AZ431" t="s">
        <v>1011</v>
      </c>
      <c r="BA431" t="s">
        <v>1012</v>
      </c>
      <c r="BB431" t="s">
        <v>1013</v>
      </c>
      <c r="BD431" t="s">
        <v>1014</v>
      </c>
      <c r="BE431" t="s">
        <v>118</v>
      </c>
    </row>
    <row r="432" spans="1:57" ht="13" x14ac:dyDescent="0.15">
      <c r="A432">
        <v>1839</v>
      </c>
      <c r="B432">
        <v>30936439</v>
      </c>
      <c r="C432" t="s">
        <v>118</v>
      </c>
      <c r="D432" s="7">
        <v>41739</v>
      </c>
      <c r="E432" s="7">
        <v>45713</v>
      </c>
      <c r="F432">
        <v>330862</v>
      </c>
      <c r="G432" t="s">
        <v>983</v>
      </c>
      <c r="H432" t="s">
        <v>9</v>
      </c>
      <c r="I432" s="7">
        <v>45709</v>
      </c>
      <c r="J432" s="8">
        <v>0.50777777777777777</v>
      </c>
      <c r="K432" t="s">
        <v>984</v>
      </c>
      <c r="AQ432" t="s">
        <v>985</v>
      </c>
      <c r="AR432" t="s">
        <v>1192</v>
      </c>
      <c r="AT432" t="s">
        <v>987</v>
      </c>
      <c r="AZ432" t="s">
        <v>1174</v>
      </c>
      <c r="BA432" t="s">
        <v>1175</v>
      </c>
      <c r="BB432" t="s">
        <v>990</v>
      </c>
      <c r="BD432" t="s">
        <v>991</v>
      </c>
      <c r="BE432" t="s">
        <v>118</v>
      </c>
    </row>
    <row r="433" spans="1:57" ht="13" x14ac:dyDescent="0.15">
      <c r="A433">
        <v>1839</v>
      </c>
      <c r="B433">
        <v>30962455</v>
      </c>
      <c r="C433" t="s">
        <v>119</v>
      </c>
      <c r="D433" s="7">
        <v>41759</v>
      </c>
      <c r="E433" s="7">
        <v>45701</v>
      </c>
      <c r="F433">
        <v>330862</v>
      </c>
      <c r="G433" t="s">
        <v>983</v>
      </c>
      <c r="H433" t="s">
        <v>9</v>
      </c>
      <c r="I433" s="7">
        <v>45694</v>
      </c>
      <c r="J433" s="8">
        <v>0.42673611111111109</v>
      </c>
      <c r="K433" t="s">
        <v>984</v>
      </c>
      <c r="AQ433" t="s">
        <v>1092</v>
      </c>
      <c r="AR433" t="s">
        <v>986</v>
      </c>
      <c r="AT433" t="s">
        <v>987</v>
      </c>
      <c r="AZ433" t="s">
        <v>988</v>
      </c>
      <c r="BA433" t="s">
        <v>989</v>
      </c>
      <c r="BB433" t="s">
        <v>990</v>
      </c>
      <c r="BD433" t="s">
        <v>991</v>
      </c>
      <c r="BE433" t="s">
        <v>119</v>
      </c>
    </row>
    <row r="434" spans="1:57" ht="13" x14ac:dyDescent="0.15">
      <c r="A434">
        <v>1839</v>
      </c>
      <c r="B434">
        <v>30964058</v>
      </c>
      <c r="C434" t="s">
        <v>120</v>
      </c>
      <c r="D434" s="7">
        <v>39034</v>
      </c>
      <c r="E434" s="7">
        <v>45701</v>
      </c>
      <c r="F434">
        <v>330862</v>
      </c>
      <c r="G434" t="s">
        <v>983</v>
      </c>
      <c r="H434" t="s">
        <v>9</v>
      </c>
      <c r="I434" s="7">
        <v>45694</v>
      </c>
      <c r="J434" s="8">
        <v>0.46035879629629628</v>
      </c>
      <c r="K434" t="s">
        <v>984</v>
      </c>
      <c r="AQ434" t="s">
        <v>985</v>
      </c>
      <c r="AR434" t="s">
        <v>993</v>
      </c>
      <c r="AT434" t="s">
        <v>987</v>
      </c>
      <c r="AZ434" t="s">
        <v>988</v>
      </c>
      <c r="BA434" t="s">
        <v>989</v>
      </c>
      <c r="BB434" t="s">
        <v>990</v>
      </c>
      <c r="BD434" t="s">
        <v>991</v>
      </c>
      <c r="BE434" t="s">
        <v>120</v>
      </c>
    </row>
    <row r="435" spans="1:57" ht="13" x14ac:dyDescent="0.15">
      <c r="A435">
        <v>1839</v>
      </c>
      <c r="B435">
        <v>30969136</v>
      </c>
      <c r="C435" t="s">
        <v>121</v>
      </c>
      <c r="D435" s="7">
        <v>39210</v>
      </c>
      <c r="E435" s="7">
        <v>45696</v>
      </c>
      <c r="F435">
        <v>330862</v>
      </c>
      <c r="G435" t="s">
        <v>983</v>
      </c>
      <c r="H435" t="s">
        <v>9</v>
      </c>
      <c r="I435" s="7">
        <v>45694</v>
      </c>
      <c r="J435" s="8">
        <v>0.39287037037037037</v>
      </c>
      <c r="K435" t="s">
        <v>984</v>
      </c>
      <c r="AQ435" t="s">
        <v>985</v>
      </c>
      <c r="AR435" t="s">
        <v>986</v>
      </c>
      <c r="AT435" t="s">
        <v>987</v>
      </c>
      <c r="AZ435" t="s">
        <v>988</v>
      </c>
      <c r="BA435" t="s">
        <v>989</v>
      </c>
      <c r="BB435" t="s">
        <v>990</v>
      </c>
      <c r="BD435" t="s">
        <v>991</v>
      </c>
      <c r="BE435" t="s">
        <v>121</v>
      </c>
    </row>
    <row r="436" spans="1:57" ht="13" x14ac:dyDescent="0.15">
      <c r="A436">
        <v>1839</v>
      </c>
      <c r="B436">
        <v>30971170</v>
      </c>
      <c r="C436" t="s">
        <v>122</v>
      </c>
      <c r="D436" s="7">
        <v>39210</v>
      </c>
      <c r="E436" s="7">
        <v>45708</v>
      </c>
      <c r="F436">
        <v>330862</v>
      </c>
      <c r="G436" t="s">
        <v>983</v>
      </c>
      <c r="H436" t="s">
        <v>9</v>
      </c>
      <c r="I436" s="7">
        <v>45678</v>
      </c>
      <c r="J436" s="8">
        <v>0.2349074074074074</v>
      </c>
      <c r="K436" t="s">
        <v>984</v>
      </c>
      <c r="AQ436" t="s">
        <v>998</v>
      </c>
      <c r="AR436" t="s">
        <v>1323</v>
      </c>
      <c r="AT436" t="s">
        <v>987</v>
      </c>
      <c r="AZ436" t="s">
        <v>1011</v>
      </c>
      <c r="BA436" t="s">
        <v>1012</v>
      </c>
      <c r="BB436" t="s">
        <v>1013</v>
      </c>
      <c r="BD436" t="s">
        <v>1014</v>
      </c>
      <c r="BE436" t="s">
        <v>122</v>
      </c>
    </row>
    <row r="437" spans="1:57" ht="13" x14ac:dyDescent="0.15">
      <c r="A437">
        <v>1839</v>
      </c>
      <c r="B437">
        <v>30971170</v>
      </c>
      <c r="C437" t="s">
        <v>122</v>
      </c>
      <c r="D437" s="7">
        <v>39210</v>
      </c>
      <c r="E437" s="7">
        <v>45708</v>
      </c>
      <c r="F437">
        <v>330862</v>
      </c>
      <c r="G437" t="s">
        <v>983</v>
      </c>
      <c r="H437" t="s">
        <v>9</v>
      </c>
      <c r="I437" s="7">
        <v>45637</v>
      </c>
      <c r="J437" s="8">
        <v>0.50915509259259262</v>
      </c>
      <c r="K437" t="s">
        <v>984</v>
      </c>
      <c r="AQ437" t="s">
        <v>1089</v>
      </c>
      <c r="AR437" t="s">
        <v>1250</v>
      </c>
      <c r="AT437" t="s">
        <v>987</v>
      </c>
      <c r="AZ437" t="s">
        <v>1028</v>
      </c>
      <c r="BA437" t="s">
        <v>1029</v>
      </c>
      <c r="BB437" t="s">
        <v>1018</v>
      </c>
      <c r="BD437" t="s">
        <v>1022</v>
      </c>
      <c r="BE437" t="s">
        <v>122</v>
      </c>
    </row>
    <row r="438" spans="1:57" ht="13" x14ac:dyDescent="0.15">
      <c r="A438">
        <v>1839</v>
      </c>
      <c r="B438">
        <v>30971964</v>
      </c>
      <c r="C438" t="s">
        <v>123</v>
      </c>
      <c r="D438" s="7">
        <v>39722</v>
      </c>
      <c r="E438" s="7">
        <v>45673</v>
      </c>
      <c r="F438">
        <v>330862</v>
      </c>
      <c r="G438" t="s">
        <v>983</v>
      </c>
      <c r="H438" t="s">
        <v>9</v>
      </c>
      <c r="I438" s="7">
        <v>45673</v>
      </c>
      <c r="J438" s="8">
        <v>0.5934490740740741</v>
      </c>
      <c r="K438" t="s">
        <v>984</v>
      </c>
      <c r="AQ438" t="s">
        <v>992</v>
      </c>
      <c r="AR438" t="s">
        <v>1324</v>
      </c>
      <c r="AT438" t="s">
        <v>987</v>
      </c>
      <c r="AZ438" t="s">
        <v>1011</v>
      </c>
      <c r="BA438" t="s">
        <v>1202</v>
      </c>
      <c r="BB438" t="s">
        <v>1203</v>
      </c>
      <c r="BD438" t="s">
        <v>991</v>
      </c>
      <c r="BE438" t="s">
        <v>123</v>
      </c>
    </row>
    <row r="439" spans="1:57" ht="13" x14ac:dyDescent="0.15">
      <c r="A439">
        <v>1839</v>
      </c>
      <c r="B439">
        <v>30985797</v>
      </c>
      <c r="C439" t="s">
        <v>124</v>
      </c>
      <c r="D439" s="7">
        <v>39747</v>
      </c>
      <c r="E439" s="7">
        <v>45713</v>
      </c>
      <c r="F439">
        <v>330862</v>
      </c>
      <c r="G439" t="s">
        <v>983</v>
      </c>
      <c r="H439" t="s">
        <v>9</v>
      </c>
      <c r="I439" s="7">
        <v>45694</v>
      </c>
      <c r="J439" s="8">
        <v>0.37857638888888889</v>
      </c>
      <c r="K439" t="s">
        <v>984</v>
      </c>
      <c r="AQ439" t="s">
        <v>1090</v>
      </c>
      <c r="AR439" t="s">
        <v>993</v>
      </c>
      <c r="AT439" t="s">
        <v>987</v>
      </c>
      <c r="AZ439" t="s">
        <v>988</v>
      </c>
      <c r="BA439" t="s">
        <v>989</v>
      </c>
      <c r="BB439" t="s">
        <v>990</v>
      </c>
      <c r="BD439" t="s">
        <v>991</v>
      </c>
      <c r="BE439" t="s">
        <v>124</v>
      </c>
    </row>
    <row r="440" spans="1:57" ht="13" x14ac:dyDescent="0.15">
      <c r="A440">
        <v>1839</v>
      </c>
      <c r="B440">
        <v>30999696</v>
      </c>
      <c r="C440" t="s">
        <v>125</v>
      </c>
      <c r="D440" s="7">
        <v>39097</v>
      </c>
      <c r="E440" s="7">
        <v>45694</v>
      </c>
      <c r="F440">
        <v>330862</v>
      </c>
      <c r="G440" t="s">
        <v>983</v>
      </c>
      <c r="H440" t="s">
        <v>9</v>
      </c>
      <c r="I440" s="7">
        <v>45694</v>
      </c>
      <c r="J440" s="8">
        <v>0.38817129629629632</v>
      </c>
      <c r="K440" t="s">
        <v>984</v>
      </c>
      <c r="AQ440" t="s">
        <v>985</v>
      </c>
      <c r="AR440" t="s">
        <v>993</v>
      </c>
      <c r="AT440" t="s">
        <v>987</v>
      </c>
      <c r="AZ440" t="s">
        <v>988</v>
      </c>
      <c r="BA440" t="s">
        <v>989</v>
      </c>
      <c r="BB440" t="s">
        <v>990</v>
      </c>
      <c r="BD440" t="s">
        <v>991</v>
      </c>
      <c r="BE440" t="s">
        <v>125</v>
      </c>
    </row>
    <row r="441" spans="1:57" ht="13" x14ac:dyDescent="0.15">
      <c r="A441">
        <v>1839</v>
      </c>
      <c r="B441">
        <v>31000793</v>
      </c>
      <c r="C441" t="s">
        <v>126</v>
      </c>
      <c r="D441" s="7">
        <v>39127</v>
      </c>
      <c r="E441" s="7">
        <v>45697</v>
      </c>
      <c r="F441">
        <v>330862</v>
      </c>
      <c r="G441" t="s">
        <v>983</v>
      </c>
      <c r="H441" t="s">
        <v>9</v>
      </c>
      <c r="I441" s="7">
        <v>45677</v>
      </c>
      <c r="J441" s="8">
        <v>0.67731481481481481</v>
      </c>
      <c r="K441" t="s">
        <v>984</v>
      </c>
      <c r="AQ441" t="s">
        <v>992</v>
      </c>
      <c r="AR441" t="s">
        <v>1050</v>
      </c>
      <c r="AT441" t="s">
        <v>987</v>
      </c>
      <c r="AZ441" t="s">
        <v>1011</v>
      </c>
      <c r="BA441" t="s">
        <v>1012</v>
      </c>
      <c r="BB441" t="s">
        <v>1013</v>
      </c>
      <c r="BD441" t="s">
        <v>1014</v>
      </c>
      <c r="BE441" t="s">
        <v>126</v>
      </c>
    </row>
    <row r="442" spans="1:57" ht="13" x14ac:dyDescent="0.15">
      <c r="A442">
        <v>1839</v>
      </c>
      <c r="B442">
        <v>31000793</v>
      </c>
      <c r="C442" t="s">
        <v>126</v>
      </c>
      <c r="D442" s="7">
        <v>39127</v>
      </c>
      <c r="E442" s="7">
        <v>45697</v>
      </c>
      <c r="F442">
        <v>330862</v>
      </c>
      <c r="G442" t="s">
        <v>983</v>
      </c>
      <c r="H442" t="s">
        <v>9</v>
      </c>
      <c r="I442" s="7">
        <v>45694</v>
      </c>
      <c r="J442" s="8">
        <v>0.78387731481481482</v>
      </c>
      <c r="K442" t="s">
        <v>984</v>
      </c>
      <c r="AQ442" t="s">
        <v>992</v>
      </c>
      <c r="AR442" t="s">
        <v>986</v>
      </c>
      <c r="AT442" t="s">
        <v>987</v>
      </c>
      <c r="AZ442" t="s">
        <v>988</v>
      </c>
      <c r="BA442" t="s">
        <v>989</v>
      </c>
      <c r="BB442" t="s">
        <v>990</v>
      </c>
      <c r="BD442" t="s">
        <v>991</v>
      </c>
      <c r="BE442" t="s">
        <v>126</v>
      </c>
    </row>
    <row r="443" spans="1:57" ht="13" x14ac:dyDescent="0.15">
      <c r="A443">
        <v>1839</v>
      </c>
      <c r="B443">
        <v>31000793</v>
      </c>
      <c r="C443" t="s">
        <v>126</v>
      </c>
      <c r="D443" s="7">
        <v>39127</v>
      </c>
      <c r="E443" s="7">
        <v>45697</v>
      </c>
      <c r="F443">
        <v>330862</v>
      </c>
      <c r="G443" t="s">
        <v>983</v>
      </c>
      <c r="H443" t="s">
        <v>9</v>
      </c>
      <c r="I443" s="7">
        <v>45694</v>
      </c>
      <c r="J443" s="8">
        <v>0.80542824074074071</v>
      </c>
      <c r="K443" t="s">
        <v>984</v>
      </c>
      <c r="AQ443" t="s">
        <v>992</v>
      </c>
      <c r="AR443" t="s">
        <v>986</v>
      </c>
      <c r="AT443" t="s">
        <v>987</v>
      </c>
      <c r="AZ443" t="s">
        <v>988</v>
      </c>
      <c r="BA443" t="s">
        <v>989</v>
      </c>
      <c r="BB443" t="s">
        <v>990</v>
      </c>
      <c r="BD443" t="s">
        <v>991</v>
      </c>
      <c r="BE443" t="s">
        <v>126</v>
      </c>
    </row>
    <row r="444" spans="1:57" ht="13" x14ac:dyDescent="0.15">
      <c r="A444">
        <v>1839</v>
      </c>
      <c r="B444">
        <v>31000793</v>
      </c>
      <c r="C444" t="s">
        <v>126</v>
      </c>
      <c r="D444" s="7">
        <v>39127</v>
      </c>
      <c r="E444" s="7">
        <v>45697</v>
      </c>
      <c r="F444">
        <v>330862</v>
      </c>
      <c r="G444" t="s">
        <v>983</v>
      </c>
      <c r="H444" t="s">
        <v>9</v>
      </c>
      <c r="I444" s="7">
        <v>45694</v>
      </c>
      <c r="J444" s="8">
        <v>0.62532407407407409</v>
      </c>
      <c r="K444" t="s">
        <v>984</v>
      </c>
      <c r="AQ444" t="s">
        <v>992</v>
      </c>
      <c r="AR444" t="s">
        <v>986</v>
      </c>
      <c r="AT444" t="s">
        <v>987</v>
      </c>
      <c r="AZ444" t="s">
        <v>988</v>
      </c>
      <c r="BA444" t="s">
        <v>989</v>
      </c>
      <c r="BB444" t="s">
        <v>990</v>
      </c>
      <c r="BD444" t="s">
        <v>991</v>
      </c>
      <c r="BE444" t="s">
        <v>126</v>
      </c>
    </row>
    <row r="445" spans="1:57" ht="13" x14ac:dyDescent="0.15">
      <c r="A445">
        <v>1839</v>
      </c>
      <c r="B445">
        <v>31000855</v>
      </c>
      <c r="C445" t="s">
        <v>127</v>
      </c>
      <c r="D445" s="7">
        <v>40555</v>
      </c>
      <c r="E445" s="7">
        <v>45696</v>
      </c>
      <c r="F445">
        <v>330862</v>
      </c>
      <c r="G445" t="s">
        <v>983</v>
      </c>
      <c r="H445" t="s">
        <v>9</v>
      </c>
      <c r="I445" s="7">
        <v>45693</v>
      </c>
      <c r="J445" s="8">
        <v>0.97847222222222219</v>
      </c>
      <c r="K445" t="s">
        <v>984</v>
      </c>
      <c r="AQ445" t="s">
        <v>985</v>
      </c>
      <c r="AR445" t="s">
        <v>994</v>
      </c>
      <c r="AT445" t="s">
        <v>987</v>
      </c>
      <c r="AZ445" t="s">
        <v>1011</v>
      </c>
      <c r="BA445" t="s">
        <v>1012</v>
      </c>
      <c r="BB445" t="s">
        <v>1013</v>
      </c>
      <c r="BD445" t="s">
        <v>1014</v>
      </c>
      <c r="BE445" t="s">
        <v>127</v>
      </c>
    </row>
    <row r="446" spans="1:57" ht="13" x14ac:dyDescent="0.15">
      <c r="A446">
        <v>1839</v>
      </c>
      <c r="B446">
        <v>31007687</v>
      </c>
      <c r="C446" t="s">
        <v>128</v>
      </c>
      <c r="D446" s="7">
        <v>39240</v>
      </c>
      <c r="E446" s="7">
        <v>45693</v>
      </c>
      <c r="F446">
        <v>330862</v>
      </c>
      <c r="G446" t="s">
        <v>983</v>
      </c>
      <c r="H446" t="s">
        <v>9</v>
      </c>
      <c r="I446" s="7">
        <v>45674</v>
      </c>
      <c r="J446" s="8">
        <v>0.83041666666666669</v>
      </c>
      <c r="K446" t="s">
        <v>984</v>
      </c>
      <c r="AQ446" t="s">
        <v>992</v>
      </c>
      <c r="AR446" t="s">
        <v>1121</v>
      </c>
      <c r="AT446" t="s">
        <v>987</v>
      </c>
      <c r="AZ446" t="s">
        <v>1007</v>
      </c>
      <c r="BA446" t="s">
        <v>1008</v>
      </c>
      <c r="BB446" t="s">
        <v>990</v>
      </c>
      <c r="BD446" t="s">
        <v>1005</v>
      </c>
      <c r="BE446" t="s">
        <v>128</v>
      </c>
    </row>
    <row r="447" spans="1:57" ht="13" x14ac:dyDescent="0.15">
      <c r="A447">
        <v>1839</v>
      </c>
      <c r="B447">
        <v>31010676</v>
      </c>
      <c r="C447" t="s">
        <v>1325</v>
      </c>
      <c r="D447" s="7">
        <v>38555</v>
      </c>
      <c r="E447" s="7">
        <v>45713</v>
      </c>
      <c r="F447">
        <v>330862</v>
      </c>
      <c r="G447" t="s">
        <v>983</v>
      </c>
      <c r="H447" t="s">
        <v>9</v>
      </c>
      <c r="I447" s="7">
        <v>45636</v>
      </c>
      <c r="J447" s="8">
        <v>0.54855324074074074</v>
      </c>
      <c r="K447" t="s">
        <v>984</v>
      </c>
      <c r="AQ447" t="s">
        <v>1090</v>
      </c>
      <c r="AR447" t="s">
        <v>1279</v>
      </c>
      <c r="AT447" t="s">
        <v>987</v>
      </c>
      <c r="AZ447" t="s">
        <v>1174</v>
      </c>
      <c r="BA447" t="s">
        <v>1242</v>
      </c>
      <c r="BB447" t="s">
        <v>1026</v>
      </c>
      <c r="BD447" t="s">
        <v>1005</v>
      </c>
      <c r="BE447" t="s">
        <v>1325</v>
      </c>
    </row>
    <row r="448" spans="1:57" ht="13" x14ac:dyDescent="0.15">
      <c r="A448">
        <v>1839</v>
      </c>
      <c r="B448">
        <v>31032605</v>
      </c>
      <c r="C448" t="s">
        <v>1326</v>
      </c>
      <c r="D448" s="7">
        <v>38561</v>
      </c>
      <c r="E448" s="7">
        <v>45692</v>
      </c>
      <c r="F448">
        <v>330862</v>
      </c>
      <c r="G448" t="s">
        <v>983</v>
      </c>
      <c r="H448" t="s">
        <v>9</v>
      </c>
      <c r="I448" s="7">
        <v>45632</v>
      </c>
      <c r="J448" s="8">
        <v>0.71233796296296292</v>
      </c>
      <c r="K448" t="s">
        <v>984</v>
      </c>
      <c r="AQ448" t="s">
        <v>985</v>
      </c>
      <c r="AR448" t="s">
        <v>1327</v>
      </c>
      <c r="AT448" t="s">
        <v>987</v>
      </c>
      <c r="AZ448" t="s">
        <v>1011</v>
      </c>
      <c r="BA448" t="s">
        <v>1031</v>
      </c>
      <c r="BB448" t="s">
        <v>1032</v>
      </c>
      <c r="BD448" t="s">
        <v>1005</v>
      </c>
      <c r="BE448" t="s">
        <v>1326</v>
      </c>
    </row>
    <row r="449" spans="1:57" ht="13" x14ac:dyDescent="0.15">
      <c r="A449">
        <v>1839</v>
      </c>
      <c r="B449">
        <v>31032605</v>
      </c>
      <c r="C449" t="s">
        <v>1326</v>
      </c>
      <c r="D449" s="7">
        <v>38561</v>
      </c>
      <c r="E449" s="7">
        <v>45692</v>
      </c>
      <c r="F449">
        <v>330862</v>
      </c>
      <c r="G449" t="s">
        <v>983</v>
      </c>
      <c r="H449" t="s">
        <v>9</v>
      </c>
      <c r="I449" s="7">
        <v>45640</v>
      </c>
      <c r="J449" s="8">
        <v>0.63651620370370365</v>
      </c>
      <c r="K449" t="s">
        <v>984</v>
      </c>
      <c r="AQ449" t="s">
        <v>985</v>
      </c>
      <c r="AR449" t="s">
        <v>1328</v>
      </c>
      <c r="AT449" t="s">
        <v>987</v>
      </c>
      <c r="AZ449" t="s">
        <v>1011</v>
      </c>
      <c r="BA449" t="s">
        <v>1031</v>
      </c>
      <c r="BB449" t="s">
        <v>1032</v>
      </c>
      <c r="BD449" t="s">
        <v>1005</v>
      </c>
      <c r="BE449" t="s">
        <v>1326</v>
      </c>
    </row>
    <row r="450" spans="1:57" ht="13" x14ac:dyDescent="0.15">
      <c r="A450">
        <v>1839</v>
      </c>
      <c r="B450">
        <v>31032605</v>
      </c>
      <c r="C450" t="s">
        <v>1326</v>
      </c>
      <c r="D450" s="7">
        <v>38561</v>
      </c>
      <c r="E450" s="7">
        <v>45692</v>
      </c>
      <c r="F450">
        <v>330862</v>
      </c>
      <c r="G450" t="s">
        <v>983</v>
      </c>
      <c r="H450" t="s">
        <v>9</v>
      </c>
      <c r="I450" s="7">
        <v>45640</v>
      </c>
      <c r="J450" s="8">
        <v>0.63932870370370365</v>
      </c>
      <c r="K450" t="s">
        <v>984</v>
      </c>
      <c r="AQ450" t="s">
        <v>985</v>
      </c>
      <c r="AR450" t="s">
        <v>1328</v>
      </c>
      <c r="AT450" t="s">
        <v>987</v>
      </c>
      <c r="AZ450" t="s">
        <v>1011</v>
      </c>
      <c r="BA450" t="s">
        <v>1031</v>
      </c>
      <c r="BB450" t="s">
        <v>1032</v>
      </c>
      <c r="BD450" t="s">
        <v>1005</v>
      </c>
      <c r="BE450" t="s">
        <v>1326</v>
      </c>
    </row>
    <row r="451" spans="1:57" ht="13" x14ac:dyDescent="0.15">
      <c r="A451">
        <v>1839</v>
      </c>
      <c r="B451">
        <v>31038368</v>
      </c>
      <c r="C451" t="s">
        <v>129</v>
      </c>
      <c r="D451" s="7">
        <v>38518</v>
      </c>
      <c r="E451" s="7">
        <v>45696</v>
      </c>
      <c r="F451">
        <v>330862</v>
      </c>
      <c r="G451" t="s">
        <v>983</v>
      </c>
      <c r="H451" t="s">
        <v>9</v>
      </c>
      <c r="I451" s="7">
        <v>45677</v>
      </c>
      <c r="J451" s="8">
        <v>0.72252314814814811</v>
      </c>
      <c r="K451" t="s">
        <v>984</v>
      </c>
      <c r="AQ451" t="s">
        <v>992</v>
      </c>
      <c r="AR451" t="s">
        <v>1083</v>
      </c>
      <c r="AT451" t="s">
        <v>987</v>
      </c>
      <c r="AZ451" t="s">
        <v>1011</v>
      </c>
      <c r="BA451" t="s">
        <v>1012</v>
      </c>
      <c r="BB451" t="s">
        <v>1013</v>
      </c>
      <c r="BD451" t="s">
        <v>1014</v>
      </c>
      <c r="BE451" t="s">
        <v>129</v>
      </c>
    </row>
    <row r="452" spans="1:57" ht="13" x14ac:dyDescent="0.15">
      <c r="A452">
        <v>1839</v>
      </c>
      <c r="B452">
        <v>31041301</v>
      </c>
      <c r="C452" t="s">
        <v>130</v>
      </c>
      <c r="D452" s="7">
        <v>38666</v>
      </c>
      <c r="E452" s="7">
        <v>45701</v>
      </c>
      <c r="F452">
        <v>330862</v>
      </c>
      <c r="G452" t="s">
        <v>983</v>
      </c>
      <c r="H452" t="s">
        <v>9</v>
      </c>
      <c r="I452" s="7">
        <v>45694</v>
      </c>
      <c r="J452" s="8">
        <v>0.5277546296296296</v>
      </c>
      <c r="K452" t="s">
        <v>984</v>
      </c>
      <c r="AQ452" t="s">
        <v>985</v>
      </c>
      <c r="AR452" t="s">
        <v>993</v>
      </c>
      <c r="AT452" t="s">
        <v>987</v>
      </c>
      <c r="AZ452" t="s">
        <v>988</v>
      </c>
      <c r="BA452" t="s">
        <v>989</v>
      </c>
      <c r="BB452" t="s">
        <v>990</v>
      </c>
      <c r="BD452" t="s">
        <v>991</v>
      </c>
      <c r="BE452" t="s">
        <v>130</v>
      </c>
    </row>
    <row r="453" spans="1:57" ht="13" x14ac:dyDescent="0.15">
      <c r="A453">
        <v>1839</v>
      </c>
      <c r="B453">
        <v>31041301</v>
      </c>
      <c r="C453" t="s">
        <v>130</v>
      </c>
      <c r="D453" s="7">
        <v>38666</v>
      </c>
      <c r="E453" s="7">
        <v>45701</v>
      </c>
      <c r="F453">
        <v>330862</v>
      </c>
      <c r="G453" t="s">
        <v>983</v>
      </c>
      <c r="H453" t="s">
        <v>9</v>
      </c>
      <c r="I453" s="7">
        <v>45694</v>
      </c>
      <c r="J453" s="8">
        <v>0.55813657407407402</v>
      </c>
      <c r="K453" t="s">
        <v>984</v>
      </c>
      <c r="AQ453" t="s">
        <v>985</v>
      </c>
      <c r="AR453" t="s">
        <v>993</v>
      </c>
      <c r="AT453" t="s">
        <v>987</v>
      </c>
      <c r="AZ453" t="s">
        <v>988</v>
      </c>
      <c r="BA453" t="s">
        <v>989</v>
      </c>
      <c r="BB453" t="s">
        <v>990</v>
      </c>
      <c r="BD453" t="s">
        <v>991</v>
      </c>
      <c r="BE453" t="s">
        <v>130</v>
      </c>
    </row>
    <row r="454" spans="1:57" ht="13" x14ac:dyDescent="0.15">
      <c r="A454">
        <v>1839</v>
      </c>
      <c r="B454">
        <v>31042575</v>
      </c>
      <c r="C454" t="s">
        <v>131</v>
      </c>
      <c r="D454" s="7">
        <v>38572</v>
      </c>
      <c r="E454" s="7">
        <v>45713</v>
      </c>
      <c r="F454">
        <v>330862</v>
      </c>
      <c r="G454" t="s">
        <v>983</v>
      </c>
      <c r="H454" t="s">
        <v>9</v>
      </c>
      <c r="I454" s="7">
        <v>45694</v>
      </c>
      <c r="J454" s="8">
        <v>0.58340277777777783</v>
      </c>
      <c r="K454" t="s">
        <v>984</v>
      </c>
      <c r="AQ454" t="s">
        <v>1092</v>
      </c>
      <c r="AR454" t="s">
        <v>993</v>
      </c>
      <c r="AT454" t="s">
        <v>987</v>
      </c>
      <c r="AZ454" t="s">
        <v>988</v>
      </c>
      <c r="BA454" t="s">
        <v>989</v>
      </c>
      <c r="BB454" t="s">
        <v>990</v>
      </c>
      <c r="BD454" t="s">
        <v>991</v>
      </c>
      <c r="BE454" t="s">
        <v>131</v>
      </c>
    </row>
    <row r="455" spans="1:57" ht="13" x14ac:dyDescent="0.15">
      <c r="A455">
        <v>1839</v>
      </c>
      <c r="B455">
        <v>31043243</v>
      </c>
      <c r="C455" t="s">
        <v>132</v>
      </c>
      <c r="D455" s="7">
        <v>38573</v>
      </c>
      <c r="E455" s="7">
        <v>45708</v>
      </c>
      <c r="F455">
        <v>330862</v>
      </c>
      <c r="G455" t="s">
        <v>983</v>
      </c>
      <c r="H455" t="s">
        <v>9</v>
      </c>
      <c r="I455" s="7">
        <v>45675</v>
      </c>
      <c r="J455" s="8">
        <v>0.77961805555555552</v>
      </c>
      <c r="K455" t="s">
        <v>984</v>
      </c>
      <c r="AQ455" t="s">
        <v>985</v>
      </c>
      <c r="AR455" t="s">
        <v>1121</v>
      </c>
      <c r="AT455" t="s">
        <v>987</v>
      </c>
      <c r="AZ455" t="s">
        <v>1007</v>
      </c>
      <c r="BA455" t="s">
        <v>1008</v>
      </c>
      <c r="BB455" t="s">
        <v>990</v>
      </c>
      <c r="BD455" t="s">
        <v>1005</v>
      </c>
      <c r="BE455" t="s">
        <v>132</v>
      </c>
    </row>
    <row r="456" spans="1:57" ht="13" x14ac:dyDescent="0.15">
      <c r="A456">
        <v>1839</v>
      </c>
      <c r="B456">
        <v>31043243</v>
      </c>
      <c r="C456" t="s">
        <v>132</v>
      </c>
      <c r="D456" s="7">
        <v>38573</v>
      </c>
      <c r="E456" s="7">
        <v>45708</v>
      </c>
      <c r="F456">
        <v>330862</v>
      </c>
      <c r="G456" t="s">
        <v>983</v>
      </c>
      <c r="H456" t="s">
        <v>9</v>
      </c>
      <c r="I456" s="7">
        <v>45636</v>
      </c>
      <c r="J456" s="8">
        <v>0.64555555555555555</v>
      </c>
      <c r="K456" t="s">
        <v>984</v>
      </c>
      <c r="AQ456" t="s">
        <v>985</v>
      </c>
      <c r="AR456" t="s">
        <v>1208</v>
      </c>
      <c r="AT456" t="s">
        <v>987</v>
      </c>
      <c r="AZ456" t="s">
        <v>1011</v>
      </c>
      <c r="BA456" t="s">
        <v>1031</v>
      </c>
      <c r="BB456" t="s">
        <v>1032</v>
      </c>
      <c r="BD456" t="s">
        <v>1005</v>
      </c>
      <c r="BE456" t="s">
        <v>132</v>
      </c>
    </row>
    <row r="457" spans="1:57" ht="13" x14ac:dyDescent="0.15">
      <c r="A457">
        <v>1839</v>
      </c>
      <c r="B457">
        <v>31043243</v>
      </c>
      <c r="C457" t="s">
        <v>132</v>
      </c>
      <c r="D457" s="7">
        <v>38573</v>
      </c>
      <c r="E457" s="7">
        <v>45708</v>
      </c>
      <c r="F457">
        <v>330862</v>
      </c>
      <c r="G457" t="s">
        <v>983</v>
      </c>
      <c r="H457" t="s">
        <v>9</v>
      </c>
      <c r="I457" s="7">
        <v>45694</v>
      </c>
      <c r="J457" s="8">
        <v>0.59642361111111108</v>
      </c>
      <c r="K457" t="s">
        <v>984</v>
      </c>
      <c r="AQ457" t="s">
        <v>985</v>
      </c>
      <c r="AR457" t="s">
        <v>986</v>
      </c>
      <c r="AT457" t="s">
        <v>987</v>
      </c>
      <c r="AZ457" t="s">
        <v>988</v>
      </c>
      <c r="BA457" t="s">
        <v>989</v>
      </c>
      <c r="BB457" t="s">
        <v>990</v>
      </c>
      <c r="BD457" t="s">
        <v>991</v>
      </c>
      <c r="BE457" t="s">
        <v>132</v>
      </c>
    </row>
    <row r="458" spans="1:57" ht="13" x14ac:dyDescent="0.15">
      <c r="A458">
        <v>1839</v>
      </c>
      <c r="B458">
        <v>31046794</v>
      </c>
      <c r="C458" t="s">
        <v>133</v>
      </c>
      <c r="D458" s="7">
        <v>38555</v>
      </c>
      <c r="E458" s="7">
        <v>45705</v>
      </c>
      <c r="F458">
        <v>330862</v>
      </c>
      <c r="G458" t="s">
        <v>983</v>
      </c>
      <c r="H458" t="s">
        <v>9</v>
      </c>
      <c r="I458" s="7">
        <v>45705</v>
      </c>
      <c r="J458" s="8">
        <v>0.64234953703703701</v>
      </c>
      <c r="K458" t="s">
        <v>984</v>
      </c>
      <c r="AQ458" t="s">
        <v>1206</v>
      </c>
      <c r="AR458" t="s">
        <v>1290</v>
      </c>
      <c r="AT458" t="s">
        <v>987</v>
      </c>
      <c r="AZ458" t="s">
        <v>1182</v>
      </c>
      <c r="BA458" t="s">
        <v>1183</v>
      </c>
      <c r="BB458" t="s">
        <v>990</v>
      </c>
      <c r="BD458" t="s">
        <v>991</v>
      </c>
      <c r="BE458" t="s">
        <v>133</v>
      </c>
    </row>
    <row r="459" spans="1:57" ht="13" x14ac:dyDescent="0.15">
      <c r="A459">
        <v>1839</v>
      </c>
      <c r="B459">
        <v>31048137</v>
      </c>
      <c r="C459" t="s">
        <v>1329</v>
      </c>
      <c r="D459" s="7">
        <v>38558</v>
      </c>
      <c r="E459" s="7">
        <v>45713</v>
      </c>
      <c r="F459">
        <v>330862</v>
      </c>
      <c r="G459" t="s">
        <v>983</v>
      </c>
      <c r="H459" t="s">
        <v>9</v>
      </c>
      <c r="I459" s="7">
        <v>45636</v>
      </c>
      <c r="J459" s="8">
        <v>0.46967592592592594</v>
      </c>
      <c r="K459" t="s">
        <v>984</v>
      </c>
      <c r="AQ459" t="s">
        <v>1092</v>
      </c>
      <c r="AR459" t="s">
        <v>1096</v>
      </c>
      <c r="AT459" t="s">
        <v>987</v>
      </c>
      <c r="AZ459" t="s">
        <v>1011</v>
      </c>
      <c r="BA459" t="s">
        <v>1031</v>
      </c>
      <c r="BB459" t="s">
        <v>1032</v>
      </c>
      <c r="BD459" t="s">
        <v>1005</v>
      </c>
      <c r="BE459" t="s">
        <v>1329</v>
      </c>
    </row>
    <row r="460" spans="1:57" ht="13" x14ac:dyDescent="0.15">
      <c r="A460">
        <v>1839</v>
      </c>
      <c r="B460">
        <v>31048891</v>
      </c>
      <c r="C460" t="s">
        <v>134</v>
      </c>
      <c r="D460" s="7">
        <v>38610</v>
      </c>
      <c r="E460" s="7">
        <v>45705</v>
      </c>
      <c r="F460">
        <v>330862</v>
      </c>
      <c r="G460" t="s">
        <v>983</v>
      </c>
      <c r="H460" t="s">
        <v>9</v>
      </c>
      <c r="I460" s="7">
        <v>45677</v>
      </c>
      <c r="J460" s="8">
        <v>0.86773148148148149</v>
      </c>
      <c r="K460" t="s">
        <v>984</v>
      </c>
      <c r="AQ460" t="s">
        <v>1253</v>
      </c>
      <c r="AR460" t="s">
        <v>1050</v>
      </c>
      <c r="AT460" t="s">
        <v>987</v>
      </c>
      <c r="AZ460" t="s">
        <v>1011</v>
      </c>
      <c r="BA460" t="s">
        <v>1012</v>
      </c>
      <c r="BB460" t="s">
        <v>1013</v>
      </c>
      <c r="BD460" t="s">
        <v>1014</v>
      </c>
      <c r="BE460" t="s">
        <v>134</v>
      </c>
    </row>
    <row r="461" spans="1:57" ht="13" x14ac:dyDescent="0.15">
      <c r="A461">
        <v>1839</v>
      </c>
      <c r="B461">
        <v>31054329</v>
      </c>
      <c r="C461" t="s">
        <v>1330</v>
      </c>
      <c r="D461" s="7">
        <v>38583</v>
      </c>
      <c r="E461" s="7">
        <v>45704</v>
      </c>
      <c r="F461">
        <v>330862</v>
      </c>
      <c r="G461" t="s">
        <v>983</v>
      </c>
      <c r="H461" t="s">
        <v>9</v>
      </c>
      <c r="I461" s="7">
        <v>45637</v>
      </c>
      <c r="J461" s="8">
        <v>0.56746527777777778</v>
      </c>
      <c r="K461" t="s">
        <v>984</v>
      </c>
      <c r="AQ461" t="s">
        <v>1089</v>
      </c>
      <c r="AR461" t="s">
        <v>1108</v>
      </c>
      <c r="AT461" t="s">
        <v>987</v>
      </c>
      <c r="AZ461" t="s">
        <v>1011</v>
      </c>
      <c r="BA461" t="s">
        <v>1031</v>
      </c>
      <c r="BB461" t="s">
        <v>1032</v>
      </c>
      <c r="BD461" t="s">
        <v>1005</v>
      </c>
      <c r="BE461" t="s">
        <v>1330</v>
      </c>
    </row>
    <row r="462" spans="1:57" ht="13" x14ac:dyDescent="0.15">
      <c r="A462">
        <v>1839</v>
      </c>
      <c r="B462">
        <v>31059831</v>
      </c>
      <c r="C462" t="s">
        <v>135</v>
      </c>
      <c r="D462" s="7">
        <v>41739</v>
      </c>
      <c r="E462" s="7">
        <v>45708</v>
      </c>
      <c r="F462">
        <v>330862</v>
      </c>
      <c r="G462" t="s">
        <v>983</v>
      </c>
      <c r="H462" t="s">
        <v>9</v>
      </c>
      <c r="I462" s="7">
        <v>45636</v>
      </c>
      <c r="J462" s="8">
        <v>0.49435185185185188</v>
      </c>
      <c r="K462" t="s">
        <v>984</v>
      </c>
      <c r="AQ462" t="s">
        <v>992</v>
      </c>
      <c r="AR462" t="s">
        <v>1097</v>
      </c>
      <c r="AT462" t="s">
        <v>987</v>
      </c>
      <c r="AZ462" t="s">
        <v>1024</v>
      </c>
      <c r="BA462" t="s">
        <v>1025</v>
      </c>
      <c r="BB462" t="s">
        <v>1026</v>
      </c>
      <c r="BD462" t="s">
        <v>1022</v>
      </c>
      <c r="BE462" t="s">
        <v>135</v>
      </c>
    </row>
    <row r="463" spans="1:57" ht="13" x14ac:dyDescent="0.15">
      <c r="A463">
        <v>1839</v>
      </c>
      <c r="B463">
        <v>31059831</v>
      </c>
      <c r="C463" t="s">
        <v>135</v>
      </c>
      <c r="D463" s="7">
        <v>41739</v>
      </c>
      <c r="E463" s="7">
        <v>45708</v>
      </c>
      <c r="F463">
        <v>330862</v>
      </c>
      <c r="G463" t="s">
        <v>983</v>
      </c>
      <c r="H463" t="s">
        <v>9</v>
      </c>
      <c r="I463" s="7">
        <v>45675</v>
      </c>
      <c r="J463" s="8">
        <v>0.80638888888888893</v>
      </c>
      <c r="K463" t="s">
        <v>984</v>
      </c>
      <c r="AQ463" t="s">
        <v>992</v>
      </c>
      <c r="AR463" t="s">
        <v>1331</v>
      </c>
      <c r="AT463" t="s">
        <v>987</v>
      </c>
      <c r="AZ463" t="s">
        <v>1174</v>
      </c>
      <c r="BA463" t="s">
        <v>1242</v>
      </c>
      <c r="BB463" t="s">
        <v>1026</v>
      </c>
      <c r="BD463" t="s">
        <v>1005</v>
      </c>
      <c r="BE463" t="s">
        <v>135</v>
      </c>
    </row>
    <row r="464" spans="1:57" ht="13" x14ac:dyDescent="0.15">
      <c r="A464">
        <v>1839</v>
      </c>
      <c r="B464">
        <v>31069160</v>
      </c>
      <c r="C464" t="s">
        <v>1332</v>
      </c>
      <c r="D464" s="7">
        <v>38649</v>
      </c>
      <c r="E464" s="7">
        <v>45637</v>
      </c>
      <c r="F464">
        <v>330862</v>
      </c>
      <c r="G464" t="s">
        <v>983</v>
      </c>
      <c r="H464" t="s">
        <v>9</v>
      </c>
      <c r="I464" s="7">
        <v>45636</v>
      </c>
      <c r="J464" s="8">
        <v>0.46971064814814817</v>
      </c>
      <c r="K464" t="s">
        <v>984</v>
      </c>
      <c r="AQ464" t="s">
        <v>998</v>
      </c>
      <c r="AR464" t="s">
        <v>1208</v>
      </c>
      <c r="AT464" t="s">
        <v>987</v>
      </c>
      <c r="AZ464" t="s">
        <v>1011</v>
      </c>
      <c r="BA464" t="s">
        <v>1031</v>
      </c>
      <c r="BB464" t="s">
        <v>1032</v>
      </c>
      <c r="BD464" t="s">
        <v>1005</v>
      </c>
      <c r="BE464" t="s">
        <v>1332</v>
      </c>
    </row>
    <row r="465" spans="1:57" ht="13" x14ac:dyDescent="0.15">
      <c r="A465">
        <v>1839</v>
      </c>
      <c r="B465">
        <v>31071044</v>
      </c>
      <c r="C465" t="s">
        <v>136</v>
      </c>
      <c r="D465" s="7">
        <v>41280</v>
      </c>
      <c r="E465" s="7">
        <v>45698</v>
      </c>
      <c r="F465">
        <v>330862</v>
      </c>
      <c r="G465" t="s">
        <v>983</v>
      </c>
      <c r="H465" t="s">
        <v>9</v>
      </c>
      <c r="I465" s="7">
        <v>45661</v>
      </c>
      <c r="J465" s="8">
        <v>0.86174768518518519</v>
      </c>
      <c r="K465" t="s">
        <v>984</v>
      </c>
      <c r="AQ465" t="s">
        <v>985</v>
      </c>
      <c r="AR465" t="s">
        <v>1333</v>
      </c>
      <c r="AT465" t="s">
        <v>987</v>
      </c>
      <c r="AZ465" t="s">
        <v>1071</v>
      </c>
      <c r="BA465" t="s">
        <v>1072</v>
      </c>
      <c r="BB465" t="s">
        <v>1048</v>
      </c>
      <c r="BD465" t="s">
        <v>1005</v>
      </c>
      <c r="BE465" t="s">
        <v>136</v>
      </c>
    </row>
    <row r="466" spans="1:57" ht="13" x14ac:dyDescent="0.15">
      <c r="A466">
        <v>1839</v>
      </c>
      <c r="B466">
        <v>31071044</v>
      </c>
      <c r="C466" t="s">
        <v>136</v>
      </c>
      <c r="D466" s="7">
        <v>41280</v>
      </c>
      <c r="E466" s="7">
        <v>45698</v>
      </c>
      <c r="F466">
        <v>330862</v>
      </c>
      <c r="G466" t="s">
        <v>983</v>
      </c>
      <c r="H466" t="s">
        <v>9</v>
      </c>
      <c r="I466" s="7">
        <v>45698</v>
      </c>
      <c r="J466" s="8">
        <v>0.47518518518518521</v>
      </c>
      <c r="K466" t="s">
        <v>984</v>
      </c>
      <c r="AQ466" t="s">
        <v>985</v>
      </c>
      <c r="AR466" t="s">
        <v>1265</v>
      </c>
      <c r="AT466" t="s">
        <v>987</v>
      </c>
      <c r="AZ466" t="s">
        <v>1002</v>
      </c>
      <c r="BA466" t="s">
        <v>1040</v>
      </c>
      <c r="BB466" t="s">
        <v>1041</v>
      </c>
      <c r="BD466" t="s">
        <v>991</v>
      </c>
      <c r="BE466" t="s">
        <v>136</v>
      </c>
    </row>
    <row r="467" spans="1:57" ht="13" x14ac:dyDescent="0.15">
      <c r="A467">
        <v>1839</v>
      </c>
      <c r="B467">
        <v>31071044</v>
      </c>
      <c r="C467" t="s">
        <v>136</v>
      </c>
      <c r="D467" s="7">
        <v>41280</v>
      </c>
      <c r="E467" s="7">
        <v>45698</v>
      </c>
      <c r="F467">
        <v>330862</v>
      </c>
      <c r="G467" t="s">
        <v>983</v>
      </c>
      <c r="H467" t="s">
        <v>9</v>
      </c>
      <c r="I467" s="7">
        <v>45698</v>
      </c>
      <c r="J467" s="8">
        <v>0.46153935185185185</v>
      </c>
      <c r="K467" t="s">
        <v>984</v>
      </c>
      <c r="AQ467" t="s">
        <v>985</v>
      </c>
      <c r="AR467" t="s">
        <v>1334</v>
      </c>
      <c r="AT467" t="s">
        <v>987</v>
      </c>
      <c r="AZ467" t="s">
        <v>1020</v>
      </c>
      <c r="BA467" t="s">
        <v>1230</v>
      </c>
      <c r="BB467" t="s">
        <v>1018</v>
      </c>
      <c r="BD467" t="s">
        <v>1005</v>
      </c>
      <c r="BE467" t="s">
        <v>136</v>
      </c>
    </row>
    <row r="468" spans="1:57" ht="13" x14ac:dyDescent="0.15">
      <c r="A468">
        <v>1839</v>
      </c>
      <c r="B468">
        <v>31074691</v>
      </c>
      <c r="C468" t="s">
        <v>137</v>
      </c>
      <c r="D468" s="7">
        <v>38580</v>
      </c>
      <c r="E468" s="7">
        <v>45693</v>
      </c>
      <c r="F468">
        <v>330862</v>
      </c>
      <c r="G468" t="s">
        <v>983</v>
      </c>
      <c r="H468" t="s">
        <v>9</v>
      </c>
      <c r="I468" s="7">
        <v>45675</v>
      </c>
      <c r="J468" s="8">
        <v>0.65681712962962968</v>
      </c>
      <c r="K468" t="s">
        <v>984</v>
      </c>
      <c r="AQ468" t="s">
        <v>1090</v>
      </c>
      <c r="AR468" t="s">
        <v>1335</v>
      </c>
      <c r="AT468" t="s">
        <v>987</v>
      </c>
      <c r="AZ468" t="s">
        <v>1024</v>
      </c>
      <c r="BA468" t="s">
        <v>1047</v>
      </c>
      <c r="BB468" t="s">
        <v>1048</v>
      </c>
      <c r="BD468" t="s">
        <v>1014</v>
      </c>
      <c r="BE468" t="s">
        <v>137</v>
      </c>
    </row>
    <row r="469" spans="1:57" ht="13" x14ac:dyDescent="0.15">
      <c r="A469">
        <v>1839</v>
      </c>
      <c r="B469">
        <v>31074691</v>
      </c>
      <c r="C469" t="s">
        <v>137</v>
      </c>
      <c r="D469" s="7">
        <v>38580</v>
      </c>
      <c r="E469" s="7">
        <v>45693</v>
      </c>
      <c r="F469">
        <v>330862</v>
      </c>
      <c r="G469" t="s">
        <v>983</v>
      </c>
      <c r="H469" t="s">
        <v>9</v>
      </c>
      <c r="I469" s="7">
        <v>45637</v>
      </c>
      <c r="J469" s="8">
        <v>0.34155092592592595</v>
      </c>
      <c r="K469" t="s">
        <v>984</v>
      </c>
      <c r="AQ469" t="s">
        <v>1090</v>
      </c>
      <c r="AR469" t="s">
        <v>1222</v>
      </c>
      <c r="AT469" t="s">
        <v>987</v>
      </c>
      <c r="AZ469" t="s">
        <v>1011</v>
      </c>
      <c r="BA469" t="s">
        <v>1031</v>
      </c>
      <c r="BB469" t="s">
        <v>1032</v>
      </c>
      <c r="BD469" t="s">
        <v>1005</v>
      </c>
      <c r="BE469" t="s">
        <v>137</v>
      </c>
    </row>
    <row r="470" spans="1:57" ht="13" x14ac:dyDescent="0.15">
      <c r="A470">
        <v>1839</v>
      </c>
      <c r="B470">
        <v>31074691</v>
      </c>
      <c r="C470" t="s">
        <v>137</v>
      </c>
      <c r="D470" s="7">
        <v>38580</v>
      </c>
      <c r="E470" s="7">
        <v>45693</v>
      </c>
      <c r="F470">
        <v>330862</v>
      </c>
      <c r="G470" t="s">
        <v>983</v>
      </c>
      <c r="H470" t="s">
        <v>9</v>
      </c>
      <c r="I470" s="7">
        <v>45675</v>
      </c>
      <c r="J470" s="8">
        <v>0.65254629629629635</v>
      </c>
      <c r="K470" t="s">
        <v>984</v>
      </c>
      <c r="AQ470" t="s">
        <v>1090</v>
      </c>
      <c r="AR470" t="s">
        <v>1335</v>
      </c>
      <c r="AT470" t="s">
        <v>987</v>
      </c>
      <c r="AZ470" t="s">
        <v>1024</v>
      </c>
      <c r="BA470" t="s">
        <v>1047</v>
      </c>
      <c r="BB470" t="s">
        <v>1048</v>
      </c>
      <c r="BD470" t="s">
        <v>1014</v>
      </c>
      <c r="BE470" t="s">
        <v>137</v>
      </c>
    </row>
    <row r="471" spans="1:57" ht="13" x14ac:dyDescent="0.15">
      <c r="A471">
        <v>1839</v>
      </c>
      <c r="B471">
        <v>31074691</v>
      </c>
      <c r="C471" t="s">
        <v>137</v>
      </c>
      <c r="D471" s="7">
        <v>38580</v>
      </c>
      <c r="E471" s="7">
        <v>45693</v>
      </c>
      <c r="F471">
        <v>330862</v>
      </c>
      <c r="G471" t="s">
        <v>983</v>
      </c>
      <c r="H471" t="s">
        <v>9</v>
      </c>
      <c r="I471" s="7">
        <v>45675</v>
      </c>
      <c r="J471" s="8">
        <v>0.60736111111111113</v>
      </c>
      <c r="K471" t="s">
        <v>984</v>
      </c>
      <c r="AQ471" t="s">
        <v>1090</v>
      </c>
      <c r="AR471" t="s">
        <v>1336</v>
      </c>
      <c r="AT471" t="s">
        <v>987</v>
      </c>
      <c r="AZ471" t="s">
        <v>1002</v>
      </c>
      <c r="BA471" t="s">
        <v>1003</v>
      </c>
      <c r="BB471" t="s">
        <v>1004</v>
      </c>
      <c r="BD471" t="s">
        <v>1005</v>
      </c>
      <c r="BE471" t="s">
        <v>137</v>
      </c>
    </row>
    <row r="472" spans="1:57" ht="13" x14ac:dyDescent="0.15">
      <c r="A472">
        <v>1839</v>
      </c>
      <c r="B472">
        <v>31112297</v>
      </c>
      <c r="C472" t="s">
        <v>138</v>
      </c>
      <c r="D472" s="7">
        <v>38652</v>
      </c>
      <c r="E472" s="7">
        <v>45711</v>
      </c>
      <c r="F472">
        <v>330862</v>
      </c>
      <c r="G472" t="s">
        <v>983</v>
      </c>
      <c r="H472" t="s">
        <v>9</v>
      </c>
      <c r="I472" s="7">
        <v>45694</v>
      </c>
      <c r="J472" s="8">
        <v>0.46939814814814818</v>
      </c>
      <c r="K472" t="s">
        <v>984</v>
      </c>
      <c r="AQ472" t="s">
        <v>1337</v>
      </c>
      <c r="AR472" t="s">
        <v>993</v>
      </c>
      <c r="AT472" t="s">
        <v>987</v>
      </c>
      <c r="AZ472" t="s">
        <v>988</v>
      </c>
      <c r="BA472" t="s">
        <v>989</v>
      </c>
      <c r="BB472" t="s">
        <v>990</v>
      </c>
      <c r="BD472" t="s">
        <v>991</v>
      </c>
      <c r="BE472" t="s">
        <v>138</v>
      </c>
    </row>
    <row r="473" spans="1:57" ht="13" x14ac:dyDescent="0.15">
      <c r="A473">
        <v>1839</v>
      </c>
      <c r="B473">
        <v>31112297</v>
      </c>
      <c r="C473" t="s">
        <v>138</v>
      </c>
      <c r="D473" s="7">
        <v>38652</v>
      </c>
      <c r="E473" s="7">
        <v>45711</v>
      </c>
      <c r="F473">
        <v>330862</v>
      </c>
      <c r="G473" t="s">
        <v>983</v>
      </c>
      <c r="H473" t="s">
        <v>9</v>
      </c>
      <c r="I473" s="7">
        <v>45674</v>
      </c>
      <c r="J473" s="8">
        <v>0.62471064814814814</v>
      </c>
      <c r="K473" t="s">
        <v>984</v>
      </c>
      <c r="AQ473" t="s">
        <v>1273</v>
      </c>
      <c r="AR473" t="s">
        <v>1095</v>
      </c>
      <c r="AT473" t="s">
        <v>987</v>
      </c>
      <c r="AZ473" t="s">
        <v>1002</v>
      </c>
      <c r="BA473" t="s">
        <v>1003</v>
      </c>
      <c r="BB473" t="s">
        <v>1004</v>
      </c>
      <c r="BD473" t="s">
        <v>1005</v>
      </c>
      <c r="BE473" t="s">
        <v>138</v>
      </c>
    </row>
    <row r="474" spans="1:57" ht="13" x14ac:dyDescent="0.15">
      <c r="A474">
        <v>1839</v>
      </c>
      <c r="B474">
        <v>31113309</v>
      </c>
      <c r="C474" t="s">
        <v>139</v>
      </c>
      <c r="D474" s="7">
        <v>40396</v>
      </c>
      <c r="E474" s="7">
        <v>45705</v>
      </c>
      <c r="F474">
        <v>336447</v>
      </c>
      <c r="G474" t="s">
        <v>1074</v>
      </c>
      <c r="H474" t="s">
        <v>26</v>
      </c>
      <c r="I474" s="7">
        <v>45703</v>
      </c>
      <c r="J474" s="8">
        <v>0.15570601851851851</v>
      </c>
      <c r="K474" t="s">
        <v>984</v>
      </c>
      <c r="AQ474" t="s">
        <v>998</v>
      </c>
      <c r="AR474" t="s">
        <v>1338</v>
      </c>
      <c r="BE474" t="s">
        <v>139</v>
      </c>
    </row>
    <row r="475" spans="1:57" ht="13" x14ac:dyDescent="0.15">
      <c r="A475">
        <v>1839</v>
      </c>
      <c r="B475">
        <v>31113309</v>
      </c>
      <c r="C475" t="s">
        <v>139</v>
      </c>
      <c r="D475" s="7">
        <v>40396</v>
      </c>
      <c r="E475" s="7">
        <v>45705</v>
      </c>
      <c r="F475">
        <v>336453</v>
      </c>
      <c r="G475" t="s">
        <v>1074</v>
      </c>
      <c r="H475" t="s">
        <v>27</v>
      </c>
      <c r="I475" s="7">
        <v>45703</v>
      </c>
      <c r="J475" s="8">
        <v>0.15577546296296296</v>
      </c>
      <c r="K475" t="s">
        <v>984</v>
      </c>
      <c r="AQ475" t="s">
        <v>998</v>
      </c>
      <c r="AR475" t="s">
        <v>1076</v>
      </c>
      <c r="BE475" t="s">
        <v>139</v>
      </c>
    </row>
    <row r="476" spans="1:57" ht="13" x14ac:dyDescent="0.15">
      <c r="A476">
        <v>1839</v>
      </c>
      <c r="B476">
        <v>31113309</v>
      </c>
      <c r="C476" t="s">
        <v>139</v>
      </c>
      <c r="D476" s="7">
        <v>40396</v>
      </c>
      <c r="E476" s="7">
        <v>45705</v>
      </c>
      <c r="F476">
        <v>336709</v>
      </c>
      <c r="G476" t="s">
        <v>1074</v>
      </c>
      <c r="H476" t="s">
        <v>28</v>
      </c>
      <c r="I476" s="7">
        <v>45703</v>
      </c>
      <c r="J476" s="8">
        <v>0.15591435185185185</v>
      </c>
      <c r="K476" t="s">
        <v>984</v>
      </c>
      <c r="AQ476" t="s">
        <v>998</v>
      </c>
      <c r="AR476" t="s">
        <v>1077</v>
      </c>
      <c r="BE476" t="s">
        <v>139</v>
      </c>
    </row>
    <row r="477" spans="1:57" ht="13" x14ac:dyDescent="0.15">
      <c r="A477">
        <v>1839</v>
      </c>
      <c r="B477">
        <v>31131145</v>
      </c>
      <c r="C477" t="s">
        <v>140</v>
      </c>
      <c r="D477" s="7">
        <v>39910</v>
      </c>
      <c r="E477" s="7">
        <v>45696</v>
      </c>
      <c r="F477">
        <v>330862</v>
      </c>
      <c r="G477" t="s">
        <v>983</v>
      </c>
      <c r="H477" t="s">
        <v>9</v>
      </c>
      <c r="I477" s="7">
        <v>45636</v>
      </c>
      <c r="J477" s="8">
        <v>0.97537037037037033</v>
      </c>
      <c r="K477" t="s">
        <v>984</v>
      </c>
      <c r="AQ477" t="s">
        <v>1089</v>
      </c>
      <c r="AR477" t="s">
        <v>1339</v>
      </c>
      <c r="AT477" t="s">
        <v>987</v>
      </c>
      <c r="AZ477" t="s">
        <v>1174</v>
      </c>
      <c r="BA477" t="s">
        <v>1242</v>
      </c>
      <c r="BB477" t="s">
        <v>1026</v>
      </c>
      <c r="BD477" t="s">
        <v>1005</v>
      </c>
      <c r="BE477" t="s">
        <v>140</v>
      </c>
    </row>
    <row r="478" spans="1:57" ht="13" x14ac:dyDescent="0.15">
      <c r="A478">
        <v>1839</v>
      </c>
      <c r="B478">
        <v>31131145</v>
      </c>
      <c r="C478" t="s">
        <v>140</v>
      </c>
      <c r="D478" s="7">
        <v>39910</v>
      </c>
      <c r="E478" s="7">
        <v>45696</v>
      </c>
      <c r="F478">
        <v>330862</v>
      </c>
      <c r="G478" t="s">
        <v>983</v>
      </c>
      <c r="H478" t="s">
        <v>9</v>
      </c>
      <c r="I478" s="7">
        <v>45694</v>
      </c>
      <c r="J478" s="8">
        <v>0.72116898148148145</v>
      </c>
      <c r="K478" t="s">
        <v>984</v>
      </c>
      <c r="AQ478" t="s">
        <v>1089</v>
      </c>
      <c r="AR478" t="s">
        <v>986</v>
      </c>
      <c r="AT478" t="s">
        <v>987</v>
      </c>
      <c r="AZ478" t="s">
        <v>988</v>
      </c>
      <c r="BA478" t="s">
        <v>989</v>
      </c>
      <c r="BB478" t="s">
        <v>990</v>
      </c>
      <c r="BD478" t="s">
        <v>991</v>
      </c>
      <c r="BE478" t="s">
        <v>140</v>
      </c>
    </row>
    <row r="479" spans="1:57" ht="13" x14ac:dyDescent="0.15">
      <c r="A479">
        <v>1839</v>
      </c>
      <c r="B479">
        <v>31131145</v>
      </c>
      <c r="C479" t="s">
        <v>140</v>
      </c>
      <c r="D479" s="7">
        <v>39910</v>
      </c>
      <c r="E479" s="7">
        <v>45696</v>
      </c>
      <c r="F479">
        <v>330862</v>
      </c>
      <c r="G479" t="s">
        <v>983</v>
      </c>
      <c r="H479" t="s">
        <v>9</v>
      </c>
      <c r="I479" s="7">
        <v>45637</v>
      </c>
      <c r="J479" s="8">
        <v>2.2141203703703705E-2</v>
      </c>
      <c r="K479" t="s">
        <v>984</v>
      </c>
      <c r="AQ479" t="s">
        <v>1089</v>
      </c>
      <c r="AR479" t="s">
        <v>1132</v>
      </c>
      <c r="AT479" t="s">
        <v>987</v>
      </c>
      <c r="AZ479" t="s">
        <v>1002</v>
      </c>
      <c r="BA479" t="s">
        <v>1124</v>
      </c>
      <c r="BB479" t="s">
        <v>1125</v>
      </c>
      <c r="BD479" t="s">
        <v>1005</v>
      </c>
      <c r="BE479" t="s">
        <v>140</v>
      </c>
    </row>
    <row r="480" spans="1:57" ht="13" x14ac:dyDescent="0.15">
      <c r="A480">
        <v>1839</v>
      </c>
      <c r="B480">
        <v>31131145</v>
      </c>
      <c r="C480" t="s">
        <v>140</v>
      </c>
      <c r="D480" s="7">
        <v>39910</v>
      </c>
      <c r="E480" s="7">
        <v>45696</v>
      </c>
      <c r="F480">
        <v>330862</v>
      </c>
      <c r="G480" t="s">
        <v>983</v>
      </c>
      <c r="H480" t="s">
        <v>9</v>
      </c>
      <c r="I480" s="7">
        <v>45636</v>
      </c>
      <c r="J480" s="8">
        <v>0.97089120370370374</v>
      </c>
      <c r="K480" t="s">
        <v>984</v>
      </c>
      <c r="AQ480" t="s">
        <v>1089</v>
      </c>
      <c r="AR480" t="s">
        <v>1340</v>
      </c>
      <c r="AT480" t="s">
        <v>987</v>
      </c>
      <c r="AZ480" t="s">
        <v>1011</v>
      </c>
      <c r="BA480" t="s">
        <v>1031</v>
      </c>
      <c r="BB480" t="s">
        <v>1032</v>
      </c>
      <c r="BD480" t="s">
        <v>1005</v>
      </c>
      <c r="BE480" t="s">
        <v>140</v>
      </c>
    </row>
    <row r="481" spans="1:57" ht="13" x14ac:dyDescent="0.15">
      <c r="A481">
        <v>1839</v>
      </c>
      <c r="B481">
        <v>31131145</v>
      </c>
      <c r="C481" t="s">
        <v>140</v>
      </c>
      <c r="D481" s="7">
        <v>39910</v>
      </c>
      <c r="E481" s="7">
        <v>45696</v>
      </c>
      <c r="F481">
        <v>336444</v>
      </c>
      <c r="G481" t="s">
        <v>995</v>
      </c>
      <c r="H481" t="s">
        <v>12</v>
      </c>
      <c r="I481" s="7">
        <v>45637</v>
      </c>
      <c r="J481" s="8">
        <v>2.554398148148148E-2</v>
      </c>
      <c r="K481" t="s">
        <v>984</v>
      </c>
      <c r="AQ481" t="s">
        <v>996</v>
      </c>
      <c r="BE481" t="s">
        <v>140</v>
      </c>
    </row>
    <row r="482" spans="1:57" ht="13" x14ac:dyDescent="0.15">
      <c r="A482">
        <v>1839</v>
      </c>
      <c r="B482">
        <v>31133101</v>
      </c>
      <c r="C482" t="s">
        <v>141</v>
      </c>
      <c r="D482" s="7">
        <v>39955</v>
      </c>
      <c r="E482" s="7">
        <v>45694</v>
      </c>
      <c r="F482">
        <v>330862</v>
      </c>
      <c r="G482" t="s">
        <v>983</v>
      </c>
      <c r="H482" t="s">
        <v>9</v>
      </c>
      <c r="I482" s="7">
        <v>45694</v>
      </c>
      <c r="J482" s="8">
        <v>0.60189814814814813</v>
      </c>
      <c r="K482" t="s">
        <v>984</v>
      </c>
      <c r="AQ482" t="s">
        <v>1090</v>
      </c>
      <c r="AR482" t="s">
        <v>986</v>
      </c>
      <c r="AT482" t="s">
        <v>987</v>
      </c>
      <c r="AZ482" t="s">
        <v>988</v>
      </c>
      <c r="BA482" t="s">
        <v>989</v>
      </c>
      <c r="BB482" t="s">
        <v>990</v>
      </c>
      <c r="BD482" t="s">
        <v>991</v>
      </c>
      <c r="BE482" t="s">
        <v>141</v>
      </c>
    </row>
    <row r="483" spans="1:57" ht="13" x14ac:dyDescent="0.15">
      <c r="A483">
        <v>1839</v>
      </c>
      <c r="B483">
        <v>31152417</v>
      </c>
      <c r="C483" t="s">
        <v>142</v>
      </c>
      <c r="D483" s="7">
        <v>39315</v>
      </c>
      <c r="E483" s="7">
        <v>45699</v>
      </c>
      <c r="F483">
        <v>330862</v>
      </c>
      <c r="G483" t="s">
        <v>983</v>
      </c>
      <c r="H483" t="s">
        <v>9</v>
      </c>
      <c r="I483" s="7">
        <v>45694</v>
      </c>
      <c r="J483" s="8">
        <v>0.38496527777777778</v>
      </c>
      <c r="K483" t="s">
        <v>984</v>
      </c>
      <c r="AQ483" t="s">
        <v>998</v>
      </c>
      <c r="AR483" t="s">
        <v>993</v>
      </c>
      <c r="AT483" t="s">
        <v>987</v>
      </c>
      <c r="AZ483" t="s">
        <v>988</v>
      </c>
      <c r="BA483" t="s">
        <v>989</v>
      </c>
      <c r="BB483" t="s">
        <v>990</v>
      </c>
      <c r="BD483" t="s">
        <v>991</v>
      </c>
      <c r="BE483" t="s">
        <v>142</v>
      </c>
    </row>
    <row r="484" spans="1:57" ht="13" x14ac:dyDescent="0.15">
      <c r="A484">
        <v>1839</v>
      </c>
      <c r="B484">
        <v>31154677</v>
      </c>
      <c r="C484" t="s">
        <v>143</v>
      </c>
      <c r="D484" s="7">
        <v>39996</v>
      </c>
      <c r="E484" s="7">
        <v>45710</v>
      </c>
      <c r="F484">
        <v>330862</v>
      </c>
      <c r="G484" t="s">
        <v>983</v>
      </c>
      <c r="H484" t="s">
        <v>9</v>
      </c>
      <c r="I484" s="7">
        <v>45701</v>
      </c>
      <c r="J484" s="8">
        <v>0.87624999999999997</v>
      </c>
      <c r="K484" t="s">
        <v>984</v>
      </c>
      <c r="AQ484" t="s">
        <v>1320</v>
      </c>
      <c r="AR484" t="s">
        <v>1341</v>
      </c>
      <c r="AT484" t="s">
        <v>987</v>
      </c>
      <c r="AZ484" t="s">
        <v>1174</v>
      </c>
      <c r="BA484" t="s">
        <v>1175</v>
      </c>
      <c r="BB484" t="s">
        <v>990</v>
      </c>
      <c r="BD484" t="s">
        <v>991</v>
      </c>
      <c r="BE484" t="s">
        <v>143</v>
      </c>
    </row>
    <row r="485" spans="1:57" ht="13" x14ac:dyDescent="0.15">
      <c r="A485">
        <v>1839</v>
      </c>
      <c r="B485">
        <v>31156791</v>
      </c>
      <c r="C485" t="s">
        <v>144</v>
      </c>
      <c r="D485" s="7">
        <v>40252</v>
      </c>
      <c r="E485" s="7">
        <v>45686</v>
      </c>
      <c r="F485">
        <v>330862</v>
      </c>
      <c r="G485" t="s">
        <v>983</v>
      </c>
      <c r="H485" t="s">
        <v>9</v>
      </c>
      <c r="I485" s="7">
        <v>45686</v>
      </c>
      <c r="J485" s="8">
        <v>0.40454861111111112</v>
      </c>
      <c r="K485" t="s">
        <v>984</v>
      </c>
      <c r="AQ485" t="s">
        <v>1092</v>
      </c>
      <c r="AR485" t="s">
        <v>1114</v>
      </c>
      <c r="AT485" t="s">
        <v>987</v>
      </c>
      <c r="AZ485" t="s">
        <v>1011</v>
      </c>
      <c r="BA485" t="s">
        <v>1012</v>
      </c>
      <c r="BB485" t="s">
        <v>1013</v>
      </c>
      <c r="BD485" t="s">
        <v>1014</v>
      </c>
      <c r="BE485" t="s">
        <v>144</v>
      </c>
    </row>
    <row r="486" spans="1:57" ht="13" x14ac:dyDescent="0.15">
      <c r="A486">
        <v>1839</v>
      </c>
      <c r="B486">
        <v>31162734</v>
      </c>
      <c r="C486" t="s">
        <v>145</v>
      </c>
      <c r="D486" s="7">
        <v>39988</v>
      </c>
      <c r="E486" s="7">
        <v>45694</v>
      </c>
      <c r="F486">
        <v>330862</v>
      </c>
      <c r="G486" t="s">
        <v>983</v>
      </c>
      <c r="H486" t="s">
        <v>9</v>
      </c>
      <c r="I486" s="7">
        <v>45694</v>
      </c>
      <c r="J486" s="8">
        <v>0.62942129629629628</v>
      </c>
      <c r="K486" t="s">
        <v>984</v>
      </c>
      <c r="AQ486" t="s">
        <v>1089</v>
      </c>
      <c r="AR486" t="s">
        <v>986</v>
      </c>
      <c r="AT486" t="s">
        <v>987</v>
      </c>
      <c r="AZ486" t="s">
        <v>988</v>
      </c>
      <c r="BA486" t="s">
        <v>989</v>
      </c>
      <c r="BB486" t="s">
        <v>990</v>
      </c>
      <c r="BD486" t="s">
        <v>991</v>
      </c>
      <c r="BE486" t="s">
        <v>145</v>
      </c>
    </row>
    <row r="487" spans="1:57" ht="13" x14ac:dyDescent="0.15">
      <c r="A487">
        <v>1839</v>
      </c>
      <c r="B487">
        <v>31162734</v>
      </c>
      <c r="C487" t="s">
        <v>145</v>
      </c>
      <c r="D487" s="7">
        <v>39988</v>
      </c>
      <c r="E487" s="7">
        <v>45694</v>
      </c>
      <c r="F487">
        <v>330862</v>
      </c>
      <c r="G487" t="s">
        <v>983</v>
      </c>
      <c r="H487" t="s">
        <v>9</v>
      </c>
      <c r="I487" s="7">
        <v>45694</v>
      </c>
      <c r="J487" s="8">
        <v>0.99913194444444442</v>
      </c>
      <c r="K487" t="s">
        <v>984</v>
      </c>
      <c r="AQ487" t="s">
        <v>1089</v>
      </c>
      <c r="AR487" t="s">
        <v>986</v>
      </c>
      <c r="AT487" t="s">
        <v>987</v>
      </c>
      <c r="AZ487" t="s">
        <v>988</v>
      </c>
      <c r="BA487" t="s">
        <v>989</v>
      </c>
      <c r="BB487" t="s">
        <v>990</v>
      </c>
      <c r="BD487" t="s">
        <v>991</v>
      </c>
      <c r="BE487" t="s">
        <v>145</v>
      </c>
    </row>
    <row r="488" spans="1:57" ht="13" x14ac:dyDescent="0.15">
      <c r="A488">
        <v>1839</v>
      </c>
      <c r="B488">
        <v>31165016</v>
      </c>
      <c r="C488" t="s">
        <v>146</v>
      </c>
      <c r="D488" s="7">
        <v>38953</v>
      </c>
      <c r="E488" s="7">
        <v>45695</v>
      </c>
      <c r="F488">
        <v>330862</v>
      </c>
      <c r="G488" t="s">
        <v>983</v>
      </c>
      <c r="H488" t="s">
        <v>9</v>
      </c>
      <c r="I488" s="7">
        <v>45660</v>
      </c>
      <c r="J488" s="8">
        <v>0.46457175925925925</v>
      </c>
      <c r="K488" t="s">
        <v>984</v>
      </c>
      <c r="AQ488" t="s">
        <v>1092</v>
      </c>
      <c r="AR488" t="s">
        <v>1342</v>
      </c>
      <c r="AT488" t="s">
        <v>987</v>
      </c>
      <c r="AZ488" t="s">
        <v>1002</v>
      </c>
      <c r="BA488" t="s">
        <v>1003</v>
      </c>
      <c r="BB488" t="s">
        <v>1004</v>
      </c>
      <c r="BD488" t="s">
        <v>1005</v>
      </c>
      <c r="BE488" t="s">
        <v>146</v>
      </c>
    </row>
    <row r="489" spans="1:57" ht="13" x14ac:dyDescent="0.15">
      <c r="A489">
        <v>1839</v>
      </c>
      <c r="B489">
        <v>31171426</v>
      </c>
      <c r="C489" t="s">
        <v>147</v>
      </c>
      <c r="D489" s="7">
        <v>39325</v>
      </c>
      <c r="E489" s="7">
        <v>45701</v>
      </c>
      <c r="F489">
        <v>330862</v>
      </c>
      <c r="G489" t="s">
        <v>983</v>
      </c>
      <c r="H489" t="s">
        <v>9</v>
      </c>
      <c r="I489" s="7">
        <v>45694</v>
      </c>
      <c r="J489" s="8">
        <v>0.52866898148148145</v>
      </c>
      <c r="K489" t="s">
        <v>984</v>
      </c>
      <c r="AQ489" t="s">
        <v>985</v>
      </c>
      <c r="AR489" t="s">
        <v>986</v>
      </c>
      <c r="AT489" t="s">
        <v>987</v>
      </c>
      <c r="AZ489" t="s">
        <v>988</v>
      </c>
      <c r="BA489" t="s">
        <v>989</v>
      </c>
      <c r="BB489" t="s">
        <v>990</v>
      </c>
      <c r="BD489" t="s">
        <v>991</v>
      </c>
      <c r="BE489" t="s">
        <v>147</v>
      </c>
    </row>
    <row r="490" spans="1:57" ht="13" x14ac:dyDescent="0.15">
      <c r="A490">
        <v>1839</v>
      </c>
      <c r="B490">
        <v>31182325</v>
      </c>
      <c r="C490" t="s">
        <v>148</v>
      </c>
      <c r="D490" s="7">
        <v>38953</v>
      </c>
      <c r="E490" s="7">
        <v>45701</v>
      </c>
      <c r="F490">
        <v>330862</v>
      </c>
      <c r="G490" t="s">
        <v>983</v>
      </c>
      <c r="H490" t="s">
        <v>9</v>
      </c>
      <c r="I490" s="7">
        <v>45694</v>
      </c>
      <c r="J490" s="8">
        <v>0.48584490740740743</v>
      </c>
      <c r="K490" t="s">
        <v>984</v>
      </c>
      <c r="AQ490" t="s">
        <v>992</v>
      </c>
      <c r="AR490" t="s">
        <v>986</v>
      </c>
      <c r="AT490" t="s">
        <v>987</v>
      </c>
      <c r="AZ490" t="s">
        <v>988</v>
      </c>
      <c r="BA490" t="s">
        <v>989</v>
      </c>
      <c r="BB490" t="s">
        <v>990</v>
      </c>
      <c r="BD490" t="s">
        <v>991</v>
      </c>
      <c r="BE490" t="s">
        <v>148</v>
      </c>
    </row>
    <row r="491" spans="1:57" ht="13" x14ac:dyDescent="0.15">
      <c r="A491">
        <v>1839</v>
      </c>
      <c r="B491">
        <v>31182325</v>
      </c>
      <c r="C491" t="s">
        <v>148</v>
      </c>
      <c r="D491" s="7">
        <v>38953</v>
      </c>
      <c r="E491" s="7">
        <v>45701</v>
      </c>
      <c r="F491">
        <v>330862</v>
      </c>
      <c r="G491" t="s">
        <v>983</v>
      </c>
      <c r="H491" t="s">
        <v>9</v>
      </c>
      <c r="I491" s="7">
        <v>45700</v>
      </c>
      <c r="J491" s="8">
        <v>0.86121527777777773</v>
      </c>
      <c r="K491" t="s">
        <v>984</v>
      </c>
      <c r="AQ491" t="s">
        <v>992</v>
      </c>
      <c r="AR491" t="s">
        <v>1343</v>
      </c>
      <c r="AT491" t="s">
        <v>987</v>
      </c>
      <c r="BE491" t="s">
        <v>148</v>
      </c>
    </row>
    <row r="492" spans="1:57" ht="13" x14ac:dyDescent="0.15">
      <c r="A492">
        <v>1839</v>
      </c>
      <c r="B492">
        <v>31182325</v>
      </c>
      <c r="C492" t="s">
        <v>148</v>
      </c>
      <c r="D492" s="7">
        <v>38953</v>
      </c>
      <c r="E492" s="7">
        <v>45701</v>
      </c>
      <c r="F492">
        <v>330862</v>
      </c>
      <c r="G492" t="s">
        <v>983</v>
      </c>
      <c r="H492" t="s">
        <v>9</v>
      </c>
      <c r="I492" s="7">
        <v>45673</v>
      </c>
      <c r="J492" s="8">
        <v>0.98457175925925922</v>
      </c>
      <c r="K492" t="s">
        <v>984</v>
      </c>
      <c r="AQ492" t="s">
        <v>992</v>
      </c>
      <c r="AR492" t="s">
        <v>1015</v>
      </c>
      <c r="AT492" t="s">
        <v>987</v>
      </c>
      <c r="AZ492" t="s">
        <v>1016</v>
      </c>
      <c r="BA492" t="s">
        <v>1017</v>
      </c>
      <c r="BB492" t="s">
        <v>1018</v>
      </c>
      <c r="BD492" t="s">
        <v>991</v>
      </c>
      <c r="BE492" t="s">
        <v>148</v>
      </c>
    </row>
    <row r="493" spans="1:57" ht="13" x14ac:dyDescent="0.15">
      <c r="A493">
        <v>1839</v>
      </c>
      <c r="B493">
        <v>31182325</v>
      </c>
      <c r="C493" t="s">
        <v>148</v>
      </c>
      <c r="D493" s="7">
        <v>38953</v>
      </c>
      <c r="E493" s="7">
        <v>45701</v>
      </c>
      <c r="F493">
        <v>330862</v>
      </c>
      <c r="G493" t="s">
        <v>983</v>
      </c>
      <c r="H493" t="s">
        <v>9</v>
      </c>
      <c r="I493" s="7">
        <v>45675</v>
      </c>
      <c r="J493" s="8">
        <v>0.86255787037037035</v>
      </c>
      <c r="K493" t="s">
        <v>984</v>
      </c>
      <c r="AQ493" t="s">
        <v>992</v>
      </c>
      <c r="AR493" t="s">
        <v>1051</v>
      </c>
      <c r="AT493" t="s">
        <v>987</v>
      </c>
      <c r="AZ493" t="s">
        <v>1002</v>
      </c>
      <c r="BA493" t="s">
        <v>1003</v>
      </c>
      <c r="BB493" t="s">
        <v>1004</v>
      </c>
      <c r="BD493" t="s">
        <v>1005</v>
      </c>
      <c r="BE493" t="s">
        <v>148</v>
      </c>
    </row>
    <row r="494" spans="1:57" ht="13" x14ac:dyDescent="0.15">
      <c r="A494">
        <v>1839</v>
      </c>
      <c r="B494">
        <v>31182325</v>
      </c>
      <c r="C494" t="s">
        <v>148</v>
      </c>
      <c r="D494" s="7">
        <v>38953</v>
      </c>
      <c r="E494" s="7">
        <v>45701</v>
      </c>
      <c r="F494">
        <v>330862</v>
      </c>
      <c r="G494" t="s">
        <v>983</v>
      </c>
      <c r="H494" t="s">
        <v>9</v>
      </c>
      <c r="I494" s="7">
        <v>45640</v>
      </c>
      <c r="J494" s="8">
        <v>0.60028935185185184</v>
      </c>
      <c r="K494" t="s">
        <v>984</v>
      </c>
      <c r="AQ494" t="s">
        <v>992</v>
      </c>
      <c r="AR494" t="s">
        <v>1328</v>
      </c>
      <c r="AT494" t="s">
        <v>987</v>
      </c>
      <c r="AZ494" t="s">
        <v>1011</v>
      </c>
      <c r="BA494" t="s">
        <v>1031</v>
      </c>
      <c r="BB494" t="s">
        <v>1032</v>
      </c>
      <c r="BD494" t="s">
        <v>1005</v>
      </c>
      <c r="BE494" t="s">
        <v>148</v>
      </c>
    </row>
    <row r="495" spans="1:57" ht="13" x14ac:dyDescent="0.15">
      <c r="A495">
        <v>1839</v>
      </c>
      <c r="B495">
        <v>31182325</v>
      </c>
      <c r="C495" t="s">
        <v>148</v>
      </c>
      <c r="D495" s="7">
        <v>38953</v>
      </c>
      <c r="E495" s="7">
        <v>45701</v>
      </c>
      <c r="F495">
        <v>330862</v>
      </c>
      <c r="G495" t="s">
        <v>983</v>
      </c>
      <c r="H495" t="s">
        <v>9</v>
      </c>
      <c r="I495" s="7">
        <v>45617</v>
      </c>
      <c r="J495" s="8">
        <v>0.64086805555555559</v>
      </c>
      <c r="K495" t="s">
        <v>984</v>
      </c>
      <c r="AQ495" t="s">
        <v>992</v>
      </c>
      <c r="AR495" t="s">
        <v>1344</v>
      </c>
      <c r="AT495" t="s">
        <v>987</v>
      </c>
      <c r="AZ495" t="s">
        <v>1011</v>
      </c>
      <c r="BA495" t="s">
        <v>1103</v>
      </c>
      <c r="BB495" t="s">
        <v>1032</v>
      </c>
      <c r="BD495" t="s">
        <v>1005</v>
      </c>
      <c r="BE495" t="s">
        <v>148</v>
      </c>
    </row>
    <row r="496" spans="1:57" ht="13" x14ac:dyDescent="0.15">
      <c r="A496">
        <v>1839</v>
      </c>
      <c r="B496">
        <v>31182325</v>
      </c>
      <c r="C496" t="s">
        <v>148</v>
      </c>
      <c r="D496" s="7">
        <v>38953</v>
      </c>
      <c r="E496" s="7">
        <v>45701</v>
      </c>
      <c r="F496">
        <v>330862</v>
      </c>
      <c r="G496" t="s">
        <v>983</v>
      </c>
      <c r="H496" t="s">
        <v>9</v>
      </c>
      <c r="I496" s="7">
        <v>45617</v>
      </c>
      <c r="J496" s="8">
        <v>0.64516203703703701</v>
      </c>
      <c r="K496" t="s">
        <v>984</v>
      </c>
      <c r="AQ496" t="s">
        <v>992</v>
      </c>
      <c r="AR496" t="s">
        <v>1345</v>
      </c>
      <c r="AT496" t="s">
        <v>987</v>
      </c>
      <c r="AZ496" t="s">
        <v>1055</v>
      </c>
      <c r="BA496" t="s">
        <v>1056</v>
      </c>
      <c r="BB496" t="s">
        <v>1013</v>
      </c>
      <c r="BD496" t="s">
        <v>1022</v>
      </c>
      <c r="BE496" t="s">
        <v>148</v>
      </c>
    </row>
    <row r="497" spans="1:57" ht="13" x14ac:dyDescent="0.15">
      <c r="A497">
        <v>1839</v>
      </c>
      <c r="B497">
        <v>31182325</v>
      </c>
      <c r="C497" t="s">
        <v>148</v>
      </c>
      <c r="D497" s="7">
        <v>38953</v>
      </c>
      <c r="E497" s="7">
        <v>45701</v>
      </c>
      <c r="F497">
        <v>330862</v>
      </c>
      <c r="G497" t="s">
        <v>983</v>
      </c>
      <c r="H497" t="s">
        <v>9</v>
      </c>
      <c r="I497" s="7">
        <v>45636</v>
      </c>
      <c r="J497" s="8">
        <v>0.78166666666666662</v>
      </c>
      <c r="K497" t="s">
        <v>984</v>
      </c>
      <c r="AQ497" t="s">
        <v>992</v>
      </c>
      <c r="AR497" t="s">
        <v>1209</v>
      </c>
      <c r="AT497" t="s">
        <v>987</v>
      </c>
      <c r="AZ497" t="s">
        <v>1024</v>
      </c>
      <c r="BA497" t="s">
        <v>1025</v>
      </c>
      <c r="BB497" t="s">
        <v>1026</v>
      </c>
      <c r="BD497" t="s">
        <v>1022</v>
      </c>
      <c r="BE497" t="s">
        <v>148</v>
      </c>
    </row>
    <row r="498" spans="1:57" ht="13" x14ac:dyDescent="0.15">
      <c r="A498">
        <v>1839</v>
      </c>
      <c r="B498">
        <v>31182325</v>
      </c>
      <c r="C498" t="s">
        <v>148</v>
      </c>
      <c r="D498" s="7">
        <v>38953</v>
      </c>
      <c r="E498" s="7">
        <v>45701</v>
      </c>
      <c r="F498">
        <v>330862</v>
      </c>
      <c r="G498" t="s">
        <v>983</v>
      </c>
      <c r="H498" t="s">
        <v>9</v>
      </c>
      <c r="I498" s="7">
        <v>45675</v>
      </c>
      <c r="J498" s="8">
        <v>0.87053240740740745</v>
      </c>
      <c r="K498" t="s">
        <v>984</v>
      </c>
      <c r="AQ498" t="s">
        <v>992</v>
      </c>
      <c r="AR498" t="s">
        <v>1121</v>
      </c>
      <c r="AT498" t="s">
        <v>987</v>
      </c>
      <c r="AZ498" t="s">
        <v>1007</v>
      </c>
      <c r="BA498" t="s">
        <v>1008</v>
      </c>
      <c r="BB498" t="s">
        <v>990</v>
      </c>
      <c r="BD498" t="s">
        <v>1005</v>
      </c>
      <c r="BE498" t="s">
        <v>148</v>
      </c>
    </row>
    <row r="499" spans="1:57" ht="13" x14ac:dyDescent="0.15">
      <c r="A499">
        <v>1839</v>
      </c>
      <c r="B499">
        <v>31195178</v>
      </c>
      <c r="C499" t="s">
        <v>149</v>
      </c>
      <c r="D499" s="7">
        <v>39316</v>
      </c>
      <c r="E499" s="7">
        <v>45694</v>
      </c>
      <c r="F499">
        <v>330862</v>
      </c>
      <c r="G499" t="s">
        <v>983</v>
      </c>
      <c r="H499" t="s">
        <v>9</v>
      </c>
      <c r="I499" s="7">
        <v>45694</v>
      </c>
      <c r="J499" s="8">
        <v>0.35766203703703703</v>
      </c>
      <c r="K499" t="s">
        <v>984</v>
      </c>
      <c r="AQ499" t="s">
        <v>1089</v>
      </c>
      <c r="AR499" t="s">
        <v>993</v>
      </c>
      <c r="AT499" t="s">
        <v>987</v>
      </c>
      <c r="AZ499" t="s">
        <v>988</v>
      </c>
      <c r="BA499" t="s">
        <v>989</v>
      </c>
      <c r="BB499" t="s">
        <v>990</v>
      </c>
      <c r="BD499" t="s">
        <v>991</v>
      </c>
      <c r="BE499" t="s">
        <v>149</v>
      </c>
    </row>
    <row r="500" spans="1:57" ht="13" x14ac:dyDescent="0.15">
      <c r="A500">
        <v>1839</v>
      </c>
      <c r="B500">
        <v>31203157</v>
      </c>
      <c r="C500" t="s">
        <v>150</v>
      </c>
      <c r="D500" s="7">
        <v>39316</v>
      </c>
      <c r="E500" s="7">
        <v>45692</v>
      </c>
      <c r="F500">
        <v>330862</v>
      </c>
      <c r="G500" t="s">
        <v>983</v>
      </c>
      <c r="H500" t="s">
        <v>9</v>
      </c>
      <c r="I500" s="7">
        <v>45677</v>
      </c>
      <c r="J500" s="8">
        <v>0.90033564814814815</v>
      </c>
      <c r="K500" t="s">
        <v>984</v>
      </c>
      <c r="AQ500" t="s">
        <v>992</v>
      </c>
      <c r="AR500" t="s">
        <v>1050</v>
      </c>
      <c r="AT500" t="s">
        <v>987</v>
      </c>
      <c r="AZ500" t="s">
        <v>1011</v>
      </c>
      <c r="BA500" t="s">
        <v>1012</v>
      </c>
      <c r="BB500" t="s">
        <v>1013</v>
      </c>
      <c r="BD500" t="s">
        <v>1014</v>
      </c>
      <c r="BE500" t="s">
        <v>150</v>
      </c>
    </row>
    <row r="501" spans="1:57" ht="13" x14ac:dyDescent="0.15">
      <c r="A501">
        <v>1839</v>
      </c>
      <c r="B501">
        <v>31210048</v>
      </c>
      <c r="C501" t="s">
        <v>151</v>
      </c>
      <c r="D501" s="7">
        <v>41407</v>
      </c>
      <c r="E501" s="7">
        <v>45695</v>
      </c>
      <c r="F501">
        <v>330862</v>
      </c>
      <c r="G501" t="s">
        <v>983</v>
      </c>
      <c r="H501" t="s">
        <v>9</v>
      </c>
      <c r="I501" s="7">
        <v>45695</v>
      </c>
      <c r="J501" s="8">
        <v>0.7914930555555556</v>
      </c>
      <c r="K501" t="s">
        <v>984</v>
      </c>
      <c r="AQ501" t="s">
        <v>1092</v>
      </c>
      <c r="AR501" t="s">
        <v>986</v>
      </c>
      <c r="AT501" t="s">
        <v>987</v>
      </c>
      <c r="AZ501" t="s">
        <v>988</v>
      </c>
      <c r="BA501" t="s">
        <v>989</v>
      </c>
      <c r="BB501" t="s">
        <v>990</v>
      </c>
      <c r="BD501" t="s">
        <v>991</v>
      </c>
      <c r="BE501" t="s">
        <v>151</v>
      </c>
    </row>
    <row r="502" spans="1:57" ht="13" x14ac:dyDescent="0.15">
      <c r="A502">
        <v>1839</v>
      </c>
      <c r="B502">
        <v>31210048</v>
      </c>
      <c r="C502" t="s">
        <v>151</v>
      </c>
      <c r="D502" s="7">
        <v>41407</v>
      </c>
      <c r="E502" s="7">
        <v>45695</v>
      </c>
      <c r="F502">
        <v>330862</v>
      </c>
      <c r="G502" t="s">
        <v>983</v>
      </c>
      <c r="H502" t="s">
        <v>9</v>
      </c>
      <c r="I502" s="7">
        <v>45636</v>
      </c>
      <c r="J502" s="8">
        <v>0.70406250000000004</v>
      </c>
      <c r="K502" t="s">
        <v>984</v>
      </c>
      <c r="AQ502" t="s">
        <v>1090</v>
      </c>
      <c r="AR502" t="s">
        <v>1208</v>
      </c>
      <c r="AT502" t="s">
        <v>987</v>
      </c>
      <c r="AZ502" t="s">
        <v>1011</v>
      </c>
      <c r="BA502" t="s">
        <v>1031</v>
      </c>
      <c r="BB502" t="s">
        <v>1032</v>
      </c>
      <c r="BD502" t="s">
        <v>1005</v>
      </c>
      <c r="BE502" t="s">
        <v>151</v>
      </c>
    </row>
    <row r="503" spans="1:57" ht="13" x14ac:dyDescent="0.15">
      <c r="A503">
        <v>1839</v>
      </c>
      <c r="B503">
        <v>31210048</v>
      </c>
      <c r="C503" t="s">
        <v>151</v>
      </c>
      <c r="D503" s="7">
        <v>41407</v>
      </c>
      <c r="E503" s="7">
        <v>45695</v>
      </c>
      <c r="F503">
        <v>330862</v>
      </c>
      <c r="G503" t="s">
        <v>983</v>
      </c>
      <c r="H503" t="s">
        <v>9</v>
      </c>
      <c r="I503" s="7">
        <v>45645</v>
      </c>
      <c r="J503" s="8">
        <v>0.59684027777777782</v>
      </c>
      <c r="K503" t="s">
        <v>984</v>
      </c>
      <c r="AQ503" t="s">
        <v>1092</v>
      </c>
      <c r="AR503" t="s">
        <v>1019</v>
      </c>
      <c r="AT503" t="s">
        <v>987</v>
      </c>
      <c r="AZ503" t="s">
        <v>1020</v>
      </c>
      <c r="BA503" t="s">
        <v>1021</v>
      </c>
      <c r="BB503" t="s">
        <v>1018</v>
      </c>
      <c r="BD503" t="s">
        <v>1022</v>
      </c>
      <c r="BE503" t="s">
        <v>151</v>
      </c>
    </row>
    <row r="504" spans="1:57" ht="13" x14ac:dyDescent="0.15">
      <c r="A504">
        <v>1839</v>
      </c>
      <c r="B504">
        <v>31210048</v>
      </c>
      <c r="C504" t="s">
        <v>151</v>
      </c>
      <c r="D504" s="7">
        <v>41407</v>
      </c>
      <c r="E504" s="7">
        <v>45695</v>
      </c>
      <c r="F504">
        <v>330862</v>
      </c>
      <c r="G504" t="s">
        <v>983</v>
      </c>
      <c r="H504" t="s">
        <v>9</v>
      </c>
      <c r="I504" s="7">
        <v>45645</v>
      </c>
      <c r="J504" s="8">
        <v>0.58877314814814818</v>
      </c>
      <c r="K504" t="s">
        <v>984</v>
      </c>
      <c r="AQ504" t="s">
        <v>1092</v>
      </c>
      <c r="AR504" t="s">
        <v>1027</v>
      </c>
      <c r="AT504" t="s">
        <v>987</v>
      </c>
      <c r="AZ504" t="s">
        <v>1028</v>
      </c>
      <c r="BA504" t="s">
        <v>1029</v>
      </c>
      <c r="BB504" t="s">
        <v>1018</v>
      </c>
      <c r="BD504" t="s">
        <v>1022</v>
      </c>
      <c r="BE504" t="s">
        <v>151</v>
      </c>
    </row>
    <row r="505" spans="1:57" ht="13" x14ac:dyDescent="0.15">
      <c r="A505">
        <v>1839</v>
      </c>
      <c r="B505">
        <v>31210048</v>
      </c>
      <c r="C505" t="s">
        <v>151</v>
      </c>
      <c r="D505" s="7">
        <v>41407</v>
      </c>
      <c r="E505" s="7">
        <v>45695</v>
      </c>
      <c r="F505">
        <v>330862</v>
      </c>
      <c r="G505" t="s">
        <v>983</v>
      </c>
      <c r="H505" t="s">
        <v>9</v>
      </c>
      <c r="I505" s="7">
        <v>45645</v>
      </c>
      <c r="J505" s="8">
        <v>0.59185185185185185</v>
      </c>
      <c r="K505" t="s">
        <v>984</v>
      </c>
      <c r="AQ505" t="s">
        <v>1092</v>
      </c>
      <c r="AR505" t="s">
        <v>1346</v>
      </c>
      <c r="AT505" t="s">
        <v>987</v>
      </c>
      <c r="AZ505" t="s">
        <v>1024</v>
      </c>
      <c r="BA505" t="s">
        <v>1025</v>
      </c>
      <c r="BB505" t="s">
        <v>1026</v>
      </c>
      <c r="BD505" t="s">
        <v>1022</v>
      </c>
      <c r="BE505" t="s">
        <v>151</v>
      </c>
    </row>
    <row r="506" spans="1:57" ht="13" x14ac:dyDescent="0.15">
      <c r="A506">
        <v>1839</v>
      </c>
      <c r="B506">
        <v>31217970</v>
      </c>
      <c r="C506" t="s">
        <v>152</v>
      </c>
      <c r="D506" s="7">
        <v>41396</v>
      </c>
      <c r="E506" s="7">
        <v>45697</v>
      </c>
      <c r="F506">
        <v>330862</v>
      </c>
      <c r="G506" t="s">
        <v>983</v>
      </c>
      <c r="H506" t="s">
        <v>9</v>
      </c>
      <c r="I506" s="7">
        <v>45697</v>
      </c>
      <c r="J506" s="8">
        <v>0.64443287037037034</v>
      </c>
      <c r="K506" t="s">
        <v>984</v>
      </c>
      <c r="AQ506" t="s">
        <v>1042</v>
      </c>
      <c r="AR506" t="s">
        <v>986</v>
      </c>
      <c r="AT506" t="s">
        <v>987</v>
      </c>
      <c r="AZ506" t="s">
        <v>988</v>
      </c>
      <c r="BA506" t="s">
        <v>989</v>
      </c>
      <c r="BB506" t="s">
        <v>990</v>
      </c>
      <c r="BD506" t="s">
        <v>991</v>
      </c>
      <c r="BE506" t="s">
        <v>152</v>
      </c>
    </row>
    <row r="507" spans="1:57" ht="13" x14ac:dyDescent="0.15">
      <c r="A507">
        <v>1839</v>
      </c>
      <c r="B507">
        <v>31221037</v>
      </c>
      <c r="C507" t="s">
        <v>153</v>
      </c>
      <c r="D507" s="7">
        <v>41407</v>
      </c>
      <c r="E507" s="7">
        <v>45673</v>
      </c>
      <c r="F507">
        <v>330862</v>
      </c>
      <c r="G507" t="s">
        <v>983</v>
      </c>
      <c r="H507" t="s">
        <v>9</v>
      </c>
      <c r="I507" s="7">
        <v>45663</v>
      </c>
      <c r="J507" s="8">
        <v>0.44717592592592592</v>
      </c>
      <c r="K507" t="s">
        <v>984</v>
      </c>
      <c r="AQ507" t="s">
        <v>992</v>
      </c>
      <c r="AR507" t="s">
        <v>1347</v>
      </c>
      <c r="AT507" t="s">
        <v>987</v>
      </c>
      <c r="AZ507" t="s">
        <v>1182</v>
      </c>
      <c r="BA507" t="s">
        <v>1188</v>
      </c>
      <c r="BB507" t="s">
        <v>1013</v>
      </c>
      <c r="BD507" t="s">
        <v>1005</v>
      </c>
      <c r="BE507" t="s">
        <v>153</v>
      </c>
    </row>
    <row r="508" spans="1:57" ht="13" x14ac:dyDescent="0.15">
      <c r="A508">
        <v>1839</v>
      </c>
      <c r="B508">
        <v>31221037</v>
      </c>
      <c r="C508" t="s">
        <v>153</v>
      </c>
      <c r="D508" s="7">
        <v>41407</v>
      </c>
      <c r="E508" s="7">
        <v>45673</v>
      </c>
      <c r="F508">
        <v>330862</v>
      </c>
      <c r="G508" t="s">
        <v>983</v>
      </c>
      <c r="H508" t="s">
        <v>9</v>
      </c>
      <c r="I508" s="7">
        <v>45651</v>
      </c>
      <c r="J508" s="8">
        <v>0.62700231481481483</v>
      </c>
      <c r="K508" t="s">
        <v>984</v>
      </c>
      <c r="AQ508" t="s">
        <v>992</v>
      </c>
      <c r="AR508" t="s">
        <v>1305</v>
      </c>
      <c r="AT508" t="s">
        <v>987</v>
      </c>
      <c r="AZ508" t="s">
        <v>1071</v>
      </c>
      <c r="BA508" t="s">
        <v>1072</v>
      </c>
      <c r="BB508" t="s">
        <v>1048</v>
      </c>
      <c r="BD508" t="s">
        <v>1005</v>
      </c>
      <c r="BE508" t="s">
        <v>153</v>
      </c>
    </row>
    <row r="509" spans="1:57" ht="13" x14ac:dyDescent="0.15">
      <c r="A509">
        <v>1839</v>
      </c>
      <c r="B509">
        <v>31221037</v>
      </c>
      <c r="C509" t="s">
        <v>153</v>
      </c>
      <c r="D509" s="7">
        <v>41407</v>
      </c>
      <c r="E509" s="7">
        <v>45673</v>
      </c>
      <c r="F509">
        <v>330862</v>
      </c>
      <c r="G509" t="s">
        <v>983</v>
      </c>
      <c r="H509" t="s">
        <v>9</v>
      </c>
      <c r="I509" s="7">
        <v>45651</v>
      </c>
      <c r="J509" s="8">
        <v>0.62422453703703706</v>
      </c>
      <c r="K509" t="s">
        <v>984</v>
      </c>
      <c r="AQ509" t="s">
        <v>992</v>
      </c>
      <c r="AR509" t="s">
        <v>1305</v>
      </c>
      <c r="AT509" t="s">
        <v>987</v>
      </c>
      <c r="AZ509" t="s">
        <v>1071</v>
      </c>
      <c r="BA509" t="s">
        <v>1072</v>
      </c>
      <c r="BB509" t="s">
        <v>1048</v>
      </c>
      <c r="BD509" t="s">
        <v>1005</v>
      </c>
      <c r="BE509" t="s">
        <v>153</v>
      </c>
    </row>
    <row r="510" spans="1:57" ht="13" x14ac:dyDescent="0.15">
      <c r="A510">
        <v>1839</v>
      </c>
      <c r="B510">
        <v>31221037</v>
      </c>
      <c r="C510" t="s">
        <v>153</v>
      </c>
      <c r="D510" s="7">
        <v>41407</v>
      </c>
      <c r="E510" s="7">
        <v>45673</v>
      </c>
      <c r="F510">
        <v>330862</v>
      </c>
      <c r="G510" t="s">
        <v>983</v>
      </c>
      <c r="H510" t="s">
        <v>9</v>
      </c>
      <c r="I510" s="7">
        <v>45673</v>
      </c>
      <c r="J510" s="8">
        <v>0.41578703703703701</v>
      </c>
      <c r="K510" t="s">
        <v>984</v>
      </c>
      <c r="AQ510" t="s">
        <v>992</v>
      </c>
      <c r="AR510" t="s">
        <v>1348</v>
      </c>
      <c r="AT510" t="s">
        <v>987</v>
      </c>
      <c r="AZ510" t="s">
        <v>1044</v>
      </c>
      <c r="BA510" t="s">
        <v>1045</v>
      </c>
      <c r="BB510" t="s">
        <v>990</v>
      </c>
      <c r="BD510" t="s">
        <v>991</v>
      </c>
      <c r="BE510" t="s">
        <v>153</v>
      </c>
    </row>
    <row r="511" spans="1:57" ht="13" x14ac:dyDescent="0.15">
      <c r="A511">
        <v>1839</v>
      </c>
      <c r="B511">
        <v>31242432</v>
      </c>
      <c r="C511" t="s">
        <v>154</v>
      </c>
      <c r="D511" s="7">
        <v>41716</v>
      </c>
      <c r="E511" s="7">
        <v>45696</v>
      </c>
      <c r="F511">
        <v>330862</v>
      </c>
      <c r="G511" t="s">
        <v>983</v>
      </c>
      <c r="H511" t="s">
        <v>9</v>
      </c>
      <c r="I511" s="7">
        <v>45694</v>
      </c>
      <c r="J511" s="8">
        <v>0.40956018518518517</v>
      </c>
      <c r="K511" t="s">
        <v>984</v>
      </c>
      <c r="AQ511" t="s">
        <v>998</v>
      </c>
      <c r="AR511" t="s">
        <v>993</v>
      </c>
      <c r="AT511" t="s">
        <v>987</v>
      </c>
      <c r="AZ511" t="s">
        <v>988</v>
      </c>
      <c r="BA511" t="s">
        <v>989</v>
      </c>
      <c r="BB511" t="s">
        <v>990</v>
      </c>
      <c r="BD511" t="s">
        <v>991</v>
      </c>
      <c r="BE511" t="s">
        <v>154</v>
      </c>
    </row>
    <row r="512" spans="1:57" ht="13" x14ac:dyDescent="0.15">
      <c r="A512">
        <v>1839</v>
      </c>
      <c r="B512">
        <v>31242432</v>
      </c>
      <c r="C512" t="s">
        <v>154</v>
      </c>
      <c r="D512" s="7">
        <v>41716</v>
      </c>
      <c r="E512" s="7">
        <v>45696</v>
      </c>
      <c r="F512">
        <v>330862</v>
      </c>
      <c r="G512" t="s">
        <v>983</v>
      </c>
      <c r="H512" t="s">
        <v>9</v>
      </c>
      <c r="I512" s="7">
        <v>45694</v>
      </c>
      <c r="J512" s="8">
        <v>0.40812500000000002</v>
      </c>
      <c r="K512" t="s">
        <v>984</v>
      </c>
      <c r="AQ512" t="s">
        <v>998</v>
      </c>
      <c r="AR512" t="s">
        <v>993</v>
      </c>
      <c r="AT512" t="s">
        <v>987</v>
      </c>
      <c r="AZ512" t="s">
        <v>988</v>
      </c>
      <c r="BA512" t="s">
        <v>989</v>
      </c>
      <c r="BB512" t="s">
        <v>990</v>
      </c>
      <c r="BD512" t="s">
        <v>991</v>
      </c>
      <c r="BE512" t="s">
        <v>154</v>
      </c>
    </row>
    <row r="513" spans="1:57" ht="13" x14ac:dyDescent="0.15">
      <c r="A513">
        <v>1839</v>
      </c>
      <c r="B513">
        <v>31243801</v>
      </c>
      <c r="C513" t="s">
        <v>1349</v>
      </c>
      <c r="D513" s="7">
        <v>39353</v>
      </c>
      <c r="E513" s="7">
        <v>45697</v>
      </c>
      <c r="F513">
        <v>330862</v>
      </c>
      <c r="G513" t="s">
        <v>983</v>
      </c>
      <c r="H513" t="s">
        <v>9</v>
      </c>
      <c r="I513" s="7">
        <v>45639</v>
      </c>
      <c r="J513" s="8">
        <v>0.33253472222222225</v>
      </c>
      <c r="K513" t="s">
        <v>984</v>
      </c>
      <c r="AQ513" t="s">
        <v>992</v>
      </c>
      <c r="AR513" t="s">
        <v>1350</v>
      </c>
      <c r="AT513" t="s">
        <v>987</v>
      </c>
      <c r="AZ513" t="s">
        <v>1020</v>
      </c>
      <c r="BA513" t="s">
        <v>1230</v>
      </c>
      <c r="BB513" t="s">
        <v>1018</v>
      </c>
      <c r="BD513" t="s">
        <v>1005</v>
      </c>
      <c r="BE513" t="s">
        <v>1349</v>
      </c>
    </row>
    <row r="514" spans="1:57" ht="13" x14ac:dyDescent="0.15">
      <c r="A514">
        <v>1839</v>
      </c>
      <c r="B514">
        <v>31243801</v>
      </c>
      <c r="C514" t="s">
        <v>1349</v>
      </c>
      <c r="D514" s="7">
        <v>39353</v>
      </c>
      <c r="E514" s="7">
        <v>45697</v>
      </c>
      <c r="F514">
        <v>330862</v>
      </c>
      <c r="G514" t="s">
        <v>983</v>
      </c>
      <c r="H514" t="s">
        <v>9</v>
      </c>
      <c r="I514" s="7">
        <v>45637</v>
      </c>
      <c r="J514" s="8">
        <v>7.391203703703704E-2</v>
      </c>
      <c r="K514" t="s">
        <v>984</v>
      </c>
      <c r="AQ514" t="s">
        <v>992</v>
      </c>
      <c r="AR514" t="s">
        <v>1351</v>
      </c>
      <c r="AT514" t="s">
        <v>987</v>
      </c>
      <c r="AZ514" t="s">
        <v>1011</v>
      </c>
      <c r="BA514" t="s">
        <v>1031</v>
      </c>
      <c r="BB514" t="s">
        <v>1032</v>
      </c>
      <c r="BD514" t="s">
        <v>1005</v>
      </c>
      <c r="BE514" t="s">
        <v>1349</v>
      </c>
    </row>
    <row r="515" spans="1:57" ht="13" x14ac:dyDescent="0.15">
      <c r="A515">
        <v>1839</v>
      </c>
      <c r="B515">
        <v>31245723</v>
      </c>
      <c r="C515" t="s">
        <v>155</v>
      </c>
      <c r="D515" s="7">
        <v>39358</v>
      </c>
      <c r="E515" s="7">
        <v>45708</v>
      </c>
      <c r="F515">
        <v>330862</v>
      </c>
      <c r="G515" t="s">
        <v>983</v>
      </c>
      <c r="H515" t="s">
        <v>9</v>
      </c>
      <c r="I515" s="7">
        <v>45677</v>
      </c>
      <c r="J515" s="8">
        <v>0.67106481481481484</v>
      </c>
      <c r="K515" t="s">
        <v>984</v>
      </c>
      <c r="AQ515" t="s">
        <v>992</v>
      </c>
      <c r="AR515" t="s">
        <v>1352</v>
      </c>
      <c r="AT515" t="s">
        <v>987</v>
      </c>
      <c r="AZ515" t="s">
        <v>1002</v>
      </c>
      <c r="BA515" t="s">
        <v>1003</v>
      </c>
      <c r="BB515" t="s">
        <v>1004</v>
      </c>
      <c r="BD515" t="s">
        <v>1005</v>
      </c>
      <c r="BE515" t="s">
        <v>155</v>
      </c>
    </row>
    <row r="516" spans="1:57" ht="13" x14ac:dyDescent="0.15">
      <c r="A516">
        <v>1839</v>
      </c>
      <c r="B516">
        <v>31245723</v>
      </c>
      <c r="C516" t="s">
        <v>155</v>
      </c>
      <c r="D516" s="7">
        <v>39358</v>
      </c>
      <c r="E516" s="7">
        <v>45708</v>
      </c>
      <c r="F516">
        <v>330862</v>
      </c>
      <c r="G516" t="s">
        <v>983</v>
      </c>
      <c r="H516" t="s">
        <v>9</v>
      </c>
      <c r="I516" s="7">
        <v>45677</v>
      </c>
      <c r="J516" s="8">
        <v>0.67726851851851855</v>
      </c>
      <c r="K516" t="s">
        <v>984</v>
      </c>
      <c r="AQ516" t="s">
        <v>992</v>
      </c>
      <c r="AR516" t="s">
        <v>1353</v>
      </c>
      <c r="AT516" t="s">
        <v>987</v>
      </c>
      <c r="AZ516" t="s">
        <v>1174</v>
      </c>
      <c r="BA516" t="s">
        <v>1242</v>
      </c>
      <c r="BB516" t="s">
        <v>1026</v>
      </c>
      <c r="BD516" t="s">
        <v>1005</v>
      </c>
      <c r="BE516" t="s">
        <v>155</v>
      </c>
    </row>
    <row r="517" spans="1:57" ht="13" x14ac:dyDescent="0.15">
      <c r="A517">
        <v>1839</v>
      </c>
      <c r="B517">
        <v>31245723</v>
      </c>
      <c r="C517" t="s">
        <v>155</v>
      </c>
      <c r="D517" s="7">
        <v>39358</v>
      </c>
      <c r="E517" s="7">
        <v>45708</v>
      </c>
      <c r="F517">
        <v>330862</v>
      </c>
      <c r="G517" t="s">
        <v>983</v>
      </c>
      <c r="H517" t="s">
        <v>9</v>
      </c>
      <c r="I517" s="7">
        <v>45677</v>
      </c>
      <c r="J517" s="8">
        <v>0.69693287037037033</v>
      </c>
      <c r="K517" t="s">
        <v>984</v>
      </c>
      <c r="AQ517" t="s">
        <v>992</v>
      </c>
      <c r="AR517" t="s">
        <v>1354</v>
      </c>
      <c r="AT517" t="s">
        <v>987</v>
      </c>
      <c r="AZ517" t="s">
        <v>1139</v>
      </c>
      <c r="BA517" t="s">
        <v>1140</v>
      </c>
      <c r="BB517" t="s">
        <v>1032</v>
      </c>
      <c r="BD517" t="s">
        <v>1005</v>
      </c>
      <c r="BE517" t="s">
        <v>155</v>
      </c>
    </row>
    <row r="518" spans="1:57" ht="13" x14ac:dyDescent="0.15">
      <c r="A518">
        <v>1839</v>
      </c>
      <c r="B518">
        <v>31245723</v>
      </c>
      <c r="C518" t="s">
        <v>155</v>
      </c>
      <c r="D518" s="7">
        <v>39358</v>
      </c>
      <c r="E518" s="7">
        <v>45708</v>
      </c>
      <c r="F518">
        <v>330862</v>
      </c>
      <c r="G518" t="s">
        <v>983</v>
      </c>
      <c r="H518" t="s">
        <v>9</v>
      </c>
      <c r="I518" s="7">
        <v>45677</v>
      </c>
      <c r="J518" s="8">
        <v>0.66636574074074073</v>
      </c>
      <c r="K518" t="s">
        <v>984</v>
      </c>
      <c r="AQ518" t="s">
        <v>992</v>
      </c>
      <c r="AR518" t="s">
        <v>1355</v>
      </c>
      <c r="AT518" t="s">
        <v>987</v>
      </c>
      <c r="AZ518" t="s">
        <v>1071</v>
      </c>
      <c r="BA518" t="s">
        <v>1072</v>
      </c>
      <c r="BB518" t="s">
        <v>1048</v>
      </c>
      <c r="BD518" t="s">
        <v>1005</v>
      </c>
      <c r="BE518" t="s">
        <v>155</v>
      </c>
    </row>
    <row r="519" spans="1:57" ht="13" x14ac:dyDescent="0.15">
      <c r="A519">
        <v>1839</v>
      </c>
      <c r="B519">
        <v>31245723</v>
      </c>
      <c r="C519" t="s">
        <v>155</v>
      </c>
      <c r="D519" s="7">
        <v>39358</v>
      </c>
      <c r="E519" s="7">
        <v>45708</v>
      </c>
      <c r="F519">
        <v>330862</v>
      </c>
      <c r="G519" t="s">
        <v>983</v>
      </c>
      <c r="H519" t="s">
        <v>9</v>
      </c>
      <c r="I519" s="7">
        <v>45677</v>
      </c>
      <c r="J519" s="8">
        <v>0.66062500000000002</v>
      </c>
      <c r="K519" t="s">
        <v>984</v>
      </c>
      <c r="AQ519" t="s">
        <v>992</v>
      </c>
      <c r="AR519" t="s">
        <v>1356</v>
      </c>
      <c r="AT519" t="s">
        <v>987</v>
      </c>
      <c r="AZ519" t="s">
        <v>1028</v>
      </c>
      <c r="BA519" t="s">
        <v>1068</v>
      </c>
      <c r="BB519" t="s">
        <v>1069</v>
      </c>
      <c r="BD519" t="s">
        <v>1005</v>
      </c>
      <c r="BE519" t="s">
        <v>155</v>
      </c>
    </row>
    <row r="520" spans="1:57" ht="13" x14ac:dyDescent="0.15">
      <c r="A520">
        <v>1839</v>
      </c>
      <c r="B520">
        <v>31245723</v>
      </c>
      <c r="C520" t="s">
        <v>155</v>
      </c>
      <c r="D520" s="7">
        <v>39358</v>
      </c>
      <c r="E520" s="7">
        <v>45708</v>
      </c>
      <c r="F520">
        <v>330862</v>
      </c>
      <c r="G520" t="s">
        <v>983</v>
      </c>
      <c r="H520" t="s">
        <v>9</v>
      </c>
      <c r="I520" s="7">
        <v>45677</v>
      </c>
      <c r="J520" s="8">
        <v>0.64753472222222219</v>
      </c>
      <c r="K520" t="s">
        <v>984</v>
      </c>
      <c r="AQ520" t="s">
        <v>992</v>
      </c>
      <c r="AR520" t="s">
        <v>1357</v>
      </c>
      <c r="AT520" t="s">
        <v>987</v>
      </c>
      <c r="AZ520" t="s">
        <v>1024</v>
      </c>
      <c r="BA520" t="s">
        <v>1047</v>
      </c>
      <c r="BB520" t="s">
        <v>1048</v>
      </c>
      <c r="BD520" t="s">
        <v>1014</v>
      </c>
      <c r="BE520" t="s">
        <v>155</v>
      </c>
    </row>
    <row r="521" spans="1:57" ht="13" x14ac:dyDescent="0.15">
      <c r="A521">
        <v>1839</v>
      </c>
      <c r="B521">
        <v>31245723</v>
      </c>
      <c r="C521" t="s">
        <v>155</v>
      </c>
      <c r="D521" s="7">
        <v>39358</v>
      </c>
      <c r="E521" s="7">
        <v>45708</v>
      </c>
      <c r="F521">
        <v>330862</v>
      </c>
      <c r="G521" t="s">
        <v>983</v>
      </c>
      <c r="H521" t="s">
        <v>9</v>
      </c>
      <c r="I521" s="7">
        <v>45698</v>
      </c>
      <c r="J521" s="8">
        <v>0.96209490740740744</v>
      </c>
      <c r="K521" t="s">
        <v>984</v>
      </c>
      <c r="AQ521" t="s">
        <v>992</v>
      </c>
      <c r="AR521" t="s">
        <v>986</v>
      </c>
      <c r="AT521" t="s">
        <v>987</v>
      </c>
      <c r="AZ521" t="s">
        <v>988</v>
      </c>
      <c r="BA521" t="s">
        <v>989</v>
      </c>
      <c r="BB521" t="s">
        <v>990</v>
      </c>
      <c r="BD521" t="s">
        <v>991</v>
      </c>
      <c r="BE521" t="s">
        <v>155</v>
      </c>
    </row>
    <row r="522" spans="1:57" ht="13" x14ac:dyDescent="0.15">
      <c r="A522">
        <v>1839</v>
      </c>
      <c r="B522">
        <v>31245723</v>
      </c>
      <c r="C522" t="s">
        <v>155</v>
      </c>
      <c r="D522" s="7">
        <v>39358</v>
      </c>
      <c r="E522" s="7">
        <v>45708</v>
      </c>
      <c r="F522">
        <v>330862</v>
      </c>
      <c r="G522" t="s">
        <v>983</v>
      </c>
      <c r="H522" t="s">
        <v>9</v>
      </c>
      <c r="I522" s="7">
        <v>45677</v>
      </c>
      <c r="J522" s="8">
        <v>0.67585648148148147</v>
      </c>
      <c r="K522" t="s">
        <v>984</v>
      </c>
      <c r="AQ522" t="s">
        <v>992</v>
      </c>
      <c r="AR522" t="s">
        <v>1358</v>
      </c>
      <c r="AT522" t="s">
        <v>987</v>
      </c>
      <c r="AZ522" t="s">
        <v>1239</v>
      </c>
      <c r="BA522" t="s">
        <v>1240</v>
      </c>
      <c r="BB522" t="s">
        <v>1237</v>
      </c>
      <c r="BD522" t="s">
        <v>1005</v>
      </c>
      <c r="BE522" t="s">
        <v>155</v>
      </c>
    </row>
    <row r="523" spans="1:57" ht="13" x14ac:dyDescent="0.15">
      <c r="A523">
        <v>1839</v>
      </c>
      <c r="B523">
        <v>31249580</v>
      </c>
      <c r="C523" t="s">
        <v>156</v>
      </c>
      <c r="D523" s="7">
        <v>41442</v>
      </c>
      <c r="E523" s="7">
        <v>45696</v>
      </c>
      <c r="F523">
        <v>330862</v>
      </c>
      <c r="G523" t="s">
        <v>983</v>
      </c>
      <c r="H523" t="s">
        <v>9</v>
      </c>
      <c r="I523" s="7">
        <v>45694</v>
      </c>
      <c r="J523" s="8">
        <v>0.47219907407407408</v>
      </c>
      <c r="K523" t="s">
        <v>984</v>
      </c>
      <c r="AQ523" t="s">
        <v>1090</v>
      </c>
      <c r="AR523" t="s">
        <v>993</v>
      </c>
      <c r="AT523" t="s">
        <v>987</v>
      </c>
      <c r="AZ523" t="s">
        <v>988</v>
      </c>
      <c r="BA523" t="s">
        <v>989</v>
      </c>
      <c r="BB523" t="s">
        <v>990</v>
      </c>
      <c r="BD523" t="s">
        <v>991</v>
      </c>
      <c r="BE523" t="s">
        <v>156</v>
      </c>
    </row>
    <row r="524" spans="1:57" ht="13" x14ac:dyDescent="0.15">
      <c r="A524">
        <v>1839</v>
      </c>
      <c r="B524">
        <v>31251411</v>
      </c>
      <c r="C524" t="s">
        <v>157</v>
      </c>
      <c r="D524" s="7">
        <v>39333</v>
      </c>
      <c r="E524" s="7">
        <v>45698</v>
      </c>
      <c r="F524">
        <v>330862</v>
      </c>
      <c r="G524" t="s">
        <v>983</v>
      </c>
      <c r="H524" t="s">
        <v>9</v>
      </c>
      <c r="I524" s="7">
        <v>45694</v>
      </c>
      <c r="J524" s="8">
        <v>0.37015046296296295</v>
      </c>
      <c r="K524" t="s">
        <v>984</v>
      </c>
      <c r="AQ524" t="s">
        <v>998</v>
      </c>
      <c r="AR524" t="s">
        <v>986</v>
      </c>
      <c r="AT524" t="s">
        <v>987</v>
      </c>
      <c r="AZ524" t="s">
        <v>988</v>
      </c>
      <c r="BA524" t="s">
        <v>989</v>
      </c>
      <c r="BB524" t="s">
        <v>990</v>
      </c>
      <c r="BD524" t="s">
        <v>991</v>
      </c>
      <c r="BE524" t="s">
        <v>157</v>
      </c>
    </row>
    <row r="525" spans="1:57" ht="13" x14ac:dyDescent="0.15">
      <c r="A525">
        <v>1839</v>
      </c>
      <c r="B525">
        <v>31258362</v>
      </c>
      <c r="C525" t="s">
        <v>158</v>
      </c>
      <c r="D525" s="7">
        <v>39334</v>
      </c>
      <c r="E525" s="7">
        <v>45702</v>
      </c>
      <c r="F525">
        <v>330862</v>
      </c>
      <c r="G525" t="s">
        <v>983</v>
      </c>
      <c r="H525" t="s">
        <v>9</v>
      </c>
      <c r="I525" s="7">
        <v>45694</v>
      </c>
      <c r="J525" s="8">
        <v>0.39993055555555557</v>
      </c>
      <c r="K525" t="s">
        <v>984</v>
      </c>
      <c r="AQ525" t="s">
        <v>1092</v>
      </c>
      <c r="AR525" t="s">
        <v>1109</v>
      </c>
      <c r="AT525" t="s">
        <v>987</v>
      </c>
      <c r="AZ525" t="s">
        <v>988</v>
      </c>
      <c r="BA525" t="s">
        <v>989</v>
      </c>
      <c r="BB525" t="s">
        <v>990</v>
      </c>
      <c r="BD525" t="s">
        <v>991</v>
      </c>
      <c r="BE525" t="s">
        <v>158</v>
      </c>
    </row>
    <row r="526" spans="1:57" ht="13" x14ac:dyDescent="0.15">
      <c r="A526">
        <v>1839</v>
      </c>
      <c r="B526">
        <v>31258483</v>
      </c>
      <c r="C526" t="s">
        <v>1359</v>
      </c>
      <c r="D526" s="7">
        <v>39334</v>
      </c>
      <c r="E526" s="7">
        <v>45671</v>
      </c>
      <c r="F526">
        <v>336447</v>
      </c>
      <c r="G526" t="s">
        <v>1074</v>
      </c>
      <c r="H526" t="s">
        <v>26</v>
      </c>
      <c r="I526" s="7">
        <v>45616</v>
      </c>
      <c r="J526" s="8">
        <v>0.79658564814814814</v>
      </c>
      <c r="K526" t="s">
        <v>984</v>
      </c>
      <c r="AQ526" t="s">
        <v>985</v>
      </c>
      <c r="AR526" t="s">
        <v>1360</v>
      </c>
      <c r="BE526" t="s">
        <v>1359</v>
      </c>
    </row>
    <row r="527" spans="1:57" ht="13" x14ac:dyDescent="0.15">
      <c r="A527">
        <v>1839</v>
      </c>
      <c r="B527">
        <v>31258483</v>
      </c>
      <c r="C527" t="s">
        <v>1359</v>
      </c>
      <c r="D527" s="7">
        <v>39334</v>
      </c>
      <c r="E527" s="7">
        <v>45671</v>
      </c>
      <c r="F527">
        <v>336453</v>
      </c>
      <c r="G527" t="s">
        <v>1074</v>
      </c>
      <c r="H527" t="s">
        <v>27</v>
      </c>
      <c r="I527" s="7">
        <v>45616</v>
      </c>
      <c r="J527" s="8">
        <v>0.79670138888888886</v>
      </c>
      <c r="K527" t="s">
        <v>984</v>
      </c>
      <c r="AQ527" t="s">
        <v>985</v>
      </c>
      <c r="AR527" t="s">
        <v>1076</v>
      </c>
      <c r="BE527" t="s">
        <v>1359</v>
      </c>
    </row>
    <row r="528" spans="1:57" ht="13" x14ac:dyDescent="0.15">
      <c r="A528">
        <v>1839</v>
      </c>
      <c r="B528">
        <v>31263263</v>
      </c>
      <c r="C528" t="s">
        <v>159</v>
      </c>
      <c r="D528" s="7">
        <v>41216</v>
      </c>
      <c r="E528" s="7">
        <v>45695</v>
      </c>
      <c r="F528">
        <v>330862</v>
      </c>
      <c r="G528" t="s">
        <v>983</v>
      </c>
      <c r="H528" t="s">
        <v>9</v>
      </c>
      <c r="I528" s="7">
        <v>45695</v>
      </c>
      <c r="J528" s="8">
        <v>0.80747685185185181</v>
      </c>
      <c r="K528" t="s">
        <v>984</v>
      </c>
      <c r="AQ528" t="s">
        <v>985</v>
      </c>
      <c r="AR528" t="s">
        <v>993</v>
      </c>
      <c r="AT528" t="s">
        <v>987</v>
      </c>
      <c r="AZ528" t="s">
        <v>988</v>
      </c>
      <c r="BA528" t="s">
        <v>989</v>
      </c>
      <c r="BB528" t="s">
        <v>990</v>
      </c>
      <c r="BD528" t="s">
        <v>991</v>
      </c>
      <c r="BE528" t="s">
        <v>159</v>
      </c>
    </row>
    <row r="529" spans="1:57" ht="13" x14ac:dyDescent="0.15">
      <c r="A529">
        <v>1839</v>
      </c>
      <c r="B529">
        <v>31263263</v>
      </c>
      <c r="C529" t="s">
        <v>159</v>
      </c>
      <c r="D529" s="7">
        <v>41216</v>
      </c>
      <c r="E529" s="7">
        <v>45695</v>
      </c>
      <c r="F529">
        <v>330862</v>
      </c>
      <c r="G529" t="s">
        <v>983</v>
      </c>
      <c r="H529" t="s">
        <v>9</v>
      </c>
      <c r="I529" s="7">
        <v>45674</v>
      </c>
      <c r="J529" s="8">
        <v>0.59973379629629631</v>
      </c>
      <c r="K529" t="s">
        <v>984</v>
      </c>
      <c r="AQ529" t="s">
        <v>985</v>
      </c>
      <c r="AR529" t="s">
        <v>1201</v>
      </c>
      <c r="AT529" t="s">
        <v>987</v>
      </c>
      <c r="AZ529" t="s">
        <v>1011</v>
      </c>
      <c r="BA529" t="s">
        <v>1202</v>
      </c>
      <c r="BB529" t="s">
        <v>1203</v>
      </c>
      <c r="BD529" t="s">
        <v>991</v>
      </c>
      <c r="BE529" t="s">
        <v>159</v>
      </c>
    </row>
    <row r="530" spans="1:57" ht="13" x14ac:dyDescent="0.15">
      <c r="A530">
        <v>1839</v>
      </c>
      <c r="B530">
        <v>31263263</v>
      </c>
      <c r="C530" t="s">
        <v>159</v>
      </c>
      <c r="D530" s="7">
        <v>41216</v>
      </c>
      <c r="E530" s="7">
        <v>45695</v>
      </c>
      <c r="F530">
        <v>330862</v>
      </c>
      <c r="G530" t="s">
        <v>983</v>
      </c>
      <c r="H530" t="s">
        <v>9</v>
      </c>
      <c r="I530" s="7">
        <v>45674</v>
      </c>
      <c r="J530" s="8">
        <v>0.59488425925925925</v>
      </c>
      <c r="K530" t="s">
        <v>984</v>
      </c>
      <c r="AQ530" t="s">
        <v>985</v>
      </c>
      <c r="AR530" t="s">
        <v>1105</v>
      </c>
      <c r="AT530" t="s">
        <v>987</v>
      </c>
      <c r="AZ530" t="s">
        <v>1044</v>
      </c>
      <c r="BA530" t="s">
        <v>1045</v>
      </c>
      <c r="BB530" t="s">
        <v>990</v>
      </c>
      <c r="BD530" t="s">
        <v>991</v>
      </c>
      <c r="BE530" t="s">
        <v>159</v>
      </c>
    </row>
    <row r="531" spans="1:57" ht="13" x14ac:dyDescent="0.15">
      <c r="A531">
        <v>1839</v>
      </c>
      <c r="B531">
        <v>31263263</v>
      </c>
      <c r="C531" t="s">
        <v>159</v>
      </c>
      <c r="D531" s="7">
        <v>41216</v>
      </c>
      <c r="E531" s="7">
        <v>45695</v>
      </c>
      <c r="F531">
        <v>330862</v>
      </c>
      <c r="G531" t="s">
        <v>983</v>
      </c>
      <c r="H531" t="s">
        <v>9</v>
      </c>
      <c r="I531" s="7">
        <v>45674</v>
      </c>
      <c r="J531" s="8">
        <v>0.59357638888888886</v>
      </c>
      <c r="K531" t="s">
        <v>984</v>
      </c>
      <c r="AQ531" t="s">
        <v>985</v>
      </c>
      <c r="AR531" t="s">
        <v>1204</v>
      </c>
      <c r="AT531" t="s">
        <v>987</v>
      </c>
      <c r="AZ531" t="s">
        <v>1024</v>
      </c>
      <c r="BA531" t="s">
        <v>1047</v>
      </c>
      <c r="BB531" t="s">
        <v>1048</v>
      </c>
      <c r="BD531" t="s">
        <v>1014</v>
      </c>
      <c r="BE531" t="s">
        <v>159</v>
      </c>
    </row>
    <row r="532" spans="1:57" ht="13" x14ac:dyDescent="0.15">
      <c r="A532">
        <v>1839</v>
      </c>
      <c r="B532">
        <v>31267757</v>
      </c>
      <c r="C532" t="s">
        <v>160</v>
      </c>
      <c r="D532" s="7">
        <v>38667</v>
      </c>
      <c r="E532" s="7">
        <v>45713</v>
      </c>
      <c r="F532">
        <v>330862</v>
      </c>
      <c r="G532" t="s">
        <v>983</v>
      </c>
      <c r="H532" t="s">
        <v>9</v>
      </c>
      <c r="I532" s="7">
        <v>45668</v>
      </c>
      <c r="J532" s="8">
        <v>0.42940972222222223</v>
      </c>
      <c r="K532" t="s">
        <v>984</v>
      </c>
      <c r="AQ532" t="s">
        <v>1092</v>
      </c>
      <c r="AR532" t="s">
        <v>1300</v>
      </c>
      <c r="AT532" t="s">
        <v>987</v>
      </c>
      <c r="AZ532" t="s">
        <v>1011</v>
      </c>
      <c r="BA532" t="s">
        <v>1202</v>
      </c>
      <c r="BB532" t="s">
        <v>1203</v>
      </c>
      <c r="BD532" t="s">
        <v>991</v>
      </c>
      <c r="BE532" t="s">
        <v>160</v>
      </c>
    </row>
    <row r="533" spans="1:57" ht="13" x14ac:dyDescent="0.15">
      <c r="A533">
        <v>1839</v>
      </c>
      <c r="B533">
        <v>31267757</v>
      </c>
      <c r="C533" t="s">
        <v>160</v>
      </c>
      <c r="D533" s="7">
        <v>38667</v>
      </c>
      <c r="E533" s="7">
        <v>45713</v>
      </c>
      <c r="F533">
        <v>330862</v>
      </c>
      <c r="G533" t="s">
        <v>983</v>
      </c>
      <c r="H533" t="s">
        <v>9</v>
      </c>
      <c r="I533" s="7">
        <v>45669</v>
      </c>
      <c r="J533" s="8">
        <v>0.44071759259259258</v>
      </c>
      <c r="K533" t="s">
        <v>984</v>
      </c>
      <c r="AQ533" t="s">
        <v>1092</v>
      </c>
      <c r="AR533" t="s">
        <v>1300</v>
      </c>
      <c r="AT533" t="s">
        <v>987</v>
      </c>
      <c r="AZ533" t="s">
        <v>1011</v>
      </c>
      <c r="BA533" t="s">
        <v>1202</v>
      </c>
      <c r="BB533" t="s">
        <v>1203</v>
      </c>
      <c r="BD533" t="s">
        <v>991</v>
      </c>
      <c r="BE533" t="s">
        <v>160</v>
      </c>
    </row>
    <row r="534" spans="1:57" ht="13" x14ac:dyDescent="0.15">
      <c r="A534">
        <v>1839</v>
      </c>
      <c r="B534">
        <v>31267757</v>
      </c>
      <c r="C534" t="s">
        <v>160</v>
      </c>
      <c r="D534" s="7">
        <v>38667</v>
      </c>
      <c r="E534" s="7">
        <v>45713</v>
      </c>
      <c r="F534">
        <v>330862</v>
      </c>
      <c r="G534" t="s">
        <v>983</v>
      </c>
      <c r="H534" t="s">
        <v>9</v>
      </c>
      <c r="I534" s="7">
        <v>45671</v>
      </c>
      <c r="J534" s="8">
        <v>0.44079861111111113</v>
      </c>
      <c r="K534" t="s">
        <v>984</v>
      </c>
      <c r="AQ534" t="s">
        <v>1092</v>
      </c>
      <c r="AR534" t="s">
        <v>1212</v>
      </c>
      <c r="AT534" t="s">
        <v>987</v>
      </c>
      <c r="AZ534" t="s">
        <v>1024</v>
      </c>
      <c r="BA534" t="s">
        <v>1047</v>
      </c>
      <c r="BB534" t="s">
        <v>1048</v>
      </c>
      <c r="BD534" t="s">
        <v>1014</v>
      </c>
      <c r="BE534" t="s">
        <v>160</v>
      </c>
    </row>
    <row r="535" spans="1:57" ht="13" x14ac:dyDescent="0.15">
      <c r="A535">
        <v>1839</v>
      </c>
      <c r="B535">
        <v>31267757</v>
      </c>
      <c r="C535" t="s">
        <v>160</v>
      </c>
      <c r="D535" s="7">
        <v>38667</v>
      </c>
      <c r="E535" s="7">
        <v>45713</v>
      </c>
      <c r="F535">
        <v>330862</v>
      </c>
      <c r="G535" t="s">
        <v>983</v>
      </c>
      <c r="H535" t="s">
        <v>9</v>
      </c>
      <c r="I535" s="7">
        <v>45677</v>
      </c>
      <c r="J535" s="8">
        <v>0.45215277777777779</v>
      </c>
      <c r="K535" t="s">
        <v>984</v>
      </c>
      <c r="AQ535" t="s">
        <v>1092</v>
      </c>
      <c r="AR535" t="s">
        <v>1361</v>
      </c>
      <c r="AT535" t="s">
        <v>987</v>
      </c>
      <c r="AZ535" t="s">
        <v>1044</v>
      </c>
      <c r="BA535" t="s">
        <v>1045</v>
      </c>
      <c r="BB535" t="s">
        <v>990</v>
      </c>
      <c r="BD535" t="s">
        <v>991</v>
      </c>
      <c r="BE535" t="s">
        <v>160</v>
      </c>
    </row>
    <row r="536" spans="1:57" ht="13" x14ac:dyDescent="0.15">
      <c r="A536">
        <v>1839</v>
      </c>
      <c r="B536">
        <v>31267757</v>
      </c>
      <c r="C536" t="s">
        <v>160</v>
      </c>
      <c r="D536" s="7">
        <v>38667</v>
      </c>
      <c r="E536" s="7">
        <v>45713</v>
      </c>
      <c r="F536">
        <v>330862</v>
      </c>
      <c r="G536" t="s">
        <v>983</v>
      </c>
      <c r="H536" t="s">
        <v>9</v>
      </c>
      <c r="I536" s="7">
        <v>45677</v>
      </c>
      <c r="J536" s="8">
        <v>0.75695601851851857</v>
      </c>
      <c r="K536" t="s">
        <v>984</v>
      </c>
      <c r="AQ536" t="s">
        <v>1092</v>
      </c>
      <c r="AR536" t="s">
        <v>1083</v>
      </c>
      <c r="AT536" t="s">
        <v>987</v>
      </c>
      <c r="AZ536" t="s">
        <v>1011</v>
      </c>
      <c r="BA536" t="s">
        <v>1012</v>
      </c>
      <c r="BB536" t="s">
        <v>1013</v>
      </c>
      <c r="BD536" t="s">
        <v>1014</v>
      </c>
      <c r="BE536" t="s">
        <v>160</v>
      </c>
    </row>
    <row r="537" spans="1:57" ht="13" x14ac:dyDescent="0.15">
      <c r="A537">
        <v>1839</v>
      </c>
      <c r="B537">
        <v>31267757</v>
      </c>
      <c r="C537" t="s">
        <v>160</v>
      </c>
      <c r="D537" s="7">
        <v>38667</v>
      </c>
      <c r="E537" s="7">
        <v>45713</v>
      </c>
      <c r="F537">
        <v>330862</v>
      </c>
      <c r="G537" t="s">
        <v>983</v>
      </c>
      <c r="H537" t="s">
        <v>9</v>
      </c>
      <c r="I537" s="7">
        <v>45687</v>
      </c>
      <c r="J537" s="8">
        <v>0.45153935185185184</v>
      </c>
      <c r="K537" t="s">
        <v>984</v>
      </c>
      <c r="AQ537" t="s">
        <v>1092</v>
      </c>
      <c r="AR537" t="s">
        <v>1133</v>
      </c>
      <c r="AT537" t="s">
        <v>987</v>
      </c>
      <c r="AZ537" t="s">
        <v>1002</v>
      </c>
      <c r="BA537" t="s">
        <v>1065</v>
      </c>
      <c r="BB537" t="s">
        <v>1004</v>
      </c>
      <c r="BD537" t="s">
        <v>991</v>
      </c>
      <c r="BE537" t="s">
        <v>160</v>
      </c>
    </row>
    <row r="538" spans="1:57" ht="13" x14ac:dyDescent="0.15">
      <c r="A538">
        <v>1839</v>
      </c>
      <c r="B538">
        <v>31267757</v>
      </c>
      <c r="C538" t="s">
        <v>160</v>
      </c>
      <c r="D538" s="7">
        <v>38667</v>
      </c>
      <c r="E538" s="7">
        <v>45713</v>
      </c>
      <c r="F538">
        <v>330862</v>
      </c>
      <c r="G538" t="s">
        <v>983</v>
      </c>
      <c r="H538" t="s">
        <v>9</v>
      </c>
      <c r="I538" s="7">
        <v>45618</v>
      </c>
      <c r="J538" s="8">
        <v>0.72204861111111107</v>
      </c>
      <c r="K538" t="s">
        <v>984</v>
      </c>
      <c r="AQ538" t="s">
        <v>1092</v>
      </c>
      <c r="AR538" t="s">
        <v>1362</v>
      </c>
      <c r="AT538" t="s">
        <v>987</v>
      </c>
      <c r="AZ538" t="s">
        <v>1028</v>
      </c>
      <c r="BA538" t="s">
        <v>1029</v>
      </c>
      <c r="BB538" t="s">
        <v>1018</v>
      </c>
      <c r="BD538" t="s">
        <v>1022</v>
      </c>
      <c r="BE538" t="s">
        <v>160</v>
      </c>
    </row>
    <row r="539" spans="1:57" ht="13" x14ac:dyDescent="0.15">
      <c r="A539">
        <v>1839</v>
      </c>
      <c r="B539">
        <v>31267757</v>
      </c>
      <c r="C539" t="s">
        <v>160</v>
      </c>
      <c r="D539" s="7">
        <v>38667</v>
      </c>
      <c r="E539" s="7">
        <v>45713</v>
      </c>
      <c r="F539">
        <v>330862</v>
      </c>
      <c r="G539" t="s">
        <v>983</v>
      </c>
      <c r="H539" t="s">
        <v>9</v>
      </c>
      <c r="I539" s="7">
        <v>45624</v>
      </c>
      <c r="J539" s="8">
        <v>0.90952546296296299</v>
      </c>
      <c r="K539" t="s">
        <v>984</v>
      </c>
      <c r="AQ539" t="s">
        <v>1092</v>
      </c>
      <c r="AR539" t="s">
        <v>1363</v>
      </c>
      <c r="AT539" t="s">
        <v>987</v>
      </c>
      <c r="AZ539" t="s">
        <v>1182</v>
      </c>
      <c r="BA539" t="s">
        <v>1185</v>
      </c>
      <c r="BB539" t="s">
        <v>1026</v>
      </c>
      <c r="BD539" t="s">
        <v>1022</v>
      </c>
      <c r="BE539" t="s">
        <v>160</v>
      </c>
    </row>
    <row r="540" spans="1:57" ht="13" x14ac:dyDescent="0.15">
      <c r="A540">
        <v>1839</v>
      </c>
      <c r="B540">
        <v>31267757</v>
      </c>
      <c r="C540" t="s">
        <v>160</v>
      </c>
      <c r="D540" s="7">
        <v>38667</v>
      </c>
      <c r="E540" s="7">
        <v>45713</v>
      </c>
      <c r="F540">
        <v>330862</v>
      </c>
      <c r="G540" t="s">
        <v>983</v>
      </c>
      <c r="H540" t="s">
        <v>9</v>
      </c>
      <c r="I540" s="7">
        <v>45662</v>
      </c>
      <c r="J540" s="8">
        <v>0.50270833333333331</v>
      </c>
      <c r="K540" t="s">
        <v>984</v>
      </c>
      <c r="AQ540" t="s">
        <v>1092</v>
      </c>
      <c r="AR540" t="s">
        <v>1342</v>
      </c>
      <c r="AT540" t="s">
        <v>987</v>
      </c>
      <c r="AZ540" t="s">
        <v>1002</v>
      </c>
      <c r="BA540" t="s">
        <v>1003</v>
      </c>
      <c r="BB540" t="s">
        <v>1004</v>
      </c>
      <c r="BD540" t="s">
        <v>1005</v>
      </c>
      <c r="BE540" t="s">
        <v>160</v>
      </c>
    </row>
    <row r="541" spans="1:57" ht="13" x14ac:dyDescent="0.15">
      <c r="A541">
        <v>1839</v>
      </c>
      <c r="B541">
        <v>31267757</v>
      </c>
      <c r="C541" t="s">
        <v>160</v>
      </c>
      <c r="D541" s="7">
        <v>38667</v>
      </c>
      <c r="E541" s="7">
        <v>45713</v>
      </c>
      <c r="F541">
        <v>330862</v>
      </c>
      <c r="G541" t="s">
        <v>983</v>
      </c>
      <c r="H541" t="s">
        <v>9</v>
      </c>
      <c r="I541" s="7">
        <v>45713</v>
      </c>
      <c r="J541" s="8">
        <v>0.44755787037037037</v>
      </c>
      <c r="K541" t="s">
        <v>984</v>
      </c>
      <c r="AQ541" t="s">
        <v>1092</v>
      </c>
      <c r="AR541" t="s">
        <v>1194</v>
      </c>
      <c r="AT541" t="s">
        <v>987</v>
      </c>
      <c r="AZ541" t="s">
        <v>1080</v>
      </c>
      <c r="BA541" t="s">
        <v>1081</v>
      </c>
      <c r="BB541" t="s">
        <v>1082</v>
      </c>
      <c r="BD541" t="s">
        <v>991</v>
      </c>
      <c r="BE541" t="s">
        <v>160</v>
      </c>
    </row>
    <row r="542" spans="1:57" ht="13" x14ac:dyDescent="0.15">
      <c r="A542">
        <v>1839</v>
      </c>
      <c r="B542">
        <v>31267757</v>
      </c>
      <c r="C542" t="s">
        <v>160</v>
      </c>
      <c r="D542" s="7">
        <v>38667</v>
      </c>
      <c r="E542" s="7">
        <v>45713</v>
      </c>
      <c r="F542">
        <v>330862</v>
      </c>
      <c r="G542" t="s">
        <v>983</v>
      </c>
      <c r="H542" t="s">
        <v>9</v>
      </c>
      <c r="I542" s="7">
        <v>45709</v>
      </c>
      <c r="J542" s="8">
        <v>0.43481481481481482</v>
      </c>
      <c r="K542" t="s">
        <v>984</v>
      </c>
      <c r="AQ542" t="s">
        <v>1092</v>
      </c>
      <c r="AR542" t="s">
        <v>1228</v>
      </c>
      <c r="AT542" t="s">
        <v>987</v>
      </c>
      <c r="AZ542" t="s">
        <v>1220</v>
      </c>
      <c r="BA542" t="s">
        <v>1221</v>
      </c>
      <c r="BB542" t="s">
        <v>1082</v>
      </c>
      <c r="BD542" t="s">
        <v>991</v>
      </c>
      <c r="BE542" t="s">
        <v>160</v>
      </c>
    </row>
    <row r="543" spans="1:57" ht="13" x14ac:dyDescent="0.15">
      <c r="A543">
        <v>1839</v>
      </c>
      <c r="B543">
        <v>31267757</v>
      </c>
      <c r="C543" t="s">
        <v>160</v>
      </c>
      <c r="D543" s="7">
        <v>38667</v>
      </c>
      <c r="E543" s="7">
        <v>45713</v>
      </c>
      <c r="F543">
        <v>330862</v>
      </c>
      <c r="G543" t="s">
        <v>983</v>
      </c>
      <c r="H543" t="s">
        <v>9</v>
      </c>
      <c r="I543" s="7">
        <v>45652</v>
      </c>
      <c r="J543" s="8">
        <v>0.4472800925925926</v>
      </c>
      <c r="K543" t="s">
        <v>984</v>
      </c>
      <c r="AQ543" t="s">
        <v>1092</v>
      </c>
      <c r="AR543" t="s">
        <v>1364</v>
      </c>
      <c r="AT543" t="s">
        <v>987</v>
      </c>
      <c r="AZ543" t="s">
        <v>1028</v>
      </c>
      <c r="BA543" t="s">
        <v>1068</v>
      </c>
      <c r="BB543" t="s">
        <v>1069</v>
      </c>
      <c r="BD543" t="s">
        <v>1005</v>
      </c>
      <c r="BE543" t="s">
        <v>160</v>
      </c>
    </row>
    <row r="544" spans="1:57" ht="13" x14ac:dyDescent="0.15">
      <c r="A544">
        <v>1839</v>
      </c>
      <c r="B544">
        <v>31267757</v>
      </c>
      <c r="C544" t="s">
        <v>160</v>
      </c>
      <c r="D544" s="7">
        <v>38667</v>
      </c>
      <c r="E544" s="7">
        <v>45713</v>
      </c>
      <c r="F544">
        <v>330862</v>
      </c>
      <c r="G544" t="s">
        <v>983</v>
      </c>
      <c r="H544" t="s">
        <v>9</v>
      </c>
      <c r="I544" s="7">
        <v>45698</v>
      </c>
      <c r="J544" s="8">
        <v>0.43363425925925925</v>
      </c>
      <c r="K544" t="s">
        <v>984</v>
      </c>
      <c r="AQ544" t="s">
        <v>1092</v>
      </c>
      <c r="AR544" t="s">
        <v>1315</v>
      </c>
      <c r="AT544" t="s">
        <v>987</v>
      </c>
      <c r="AZ544" t="s">
        <v>1182</v>
      </c>
      <c r="BA544" t="s">
        <v>1183</v>
      </c>
      <c r="BB544" t="s">
        <v>990</v>
      </c>
      <c r="BD544" t="s">
        <v>991</v>
      </c>
      <c r="BE544" t="s">
        <v>160</v>
      </c>
    </row>
    <row r="545" spans="1:57" ht="13" x14ac:dyDescent="0.15">
      <c r="A545">
        <v>1839</v>
      </c>
      <c r="B545">
        <v>31274883</v>
      </c>
      <c r="C545" t="s">
        <v>161</v>
      </c>
      <c r="D545" s="7">
        <v>40133</v>
      </c>
      <c r="E545" s="7">
        <v>45708</v>
      </c>
      <c r="F545">
        <v>330862</v>
      </c>
      <c r="G545" t="s">
        <v>983</v>
      </c>
      <c r="H545" t="s">
        <v>9</v>
      </c>
      <c r="I545" s="7">
        <v>45694</v>
      </c>
      <c r="J545" s="8">
        <v>0.63520833333333337</v>
      </c>
      <c r="K545" t="s">
        <v>984</v>
      </c>
      <c r="AQ545" t="s">
        <v>998</v>
      </c>
      <c r="AR545" t="s">
        <v>993</v>
      </c>
      <c r="AT545" t="s">
        <v>987</v>
      </c>
      <c r="AZ545" t="s">
        <v>988</v>
      </c>
      <c r="BA545" t="s">
        <v>989</v>
      </c>
      <c r="BB545" t="s">
        <v>990</v>
      </c>
      <c r="BD545" t="s">
        <v>991</v>
      </c>
      <c r="BE545" t="s">
        <v>161</v>
      </c>
    </row>
    <row r="546" spans="1:57" ht="13" x14ac:dyDescent="0.15">
      <c r="A546">
        <v>1839</v>
      </c>
      <c r="B546">
        <v>31276264</v>
      </c>
      <c r="C546" t="s">
        <v>1365</v>
      </c>
      <c r="D546" s="7">
        <v>39351</v>
      </c>
      <c r="E546" s="7">
        <v>45713</v>
      </c>
      <c r="F546">
        <v>330862</v>
      </c>
      <c r="G546" t="s">
        <v>983</v>
      </c>
      <c r="H546" t="s">
        <v>9</v>
      </c>
      <c r="I546" s="7">
        <v>45636</v>
      </c>
      <c r="J546" s="8">
        <v>0.49357638888888888</v>
      </c>
      <c r="K546" t="s">
        <v>984</v>
      </c>
      <c r="AQ546" t="s">
        <v>1366</v>
      </c>
      <c r="AR546" t="s">
        <v>1096</v>
      </c>
      <c r="AT546" t="s">
        <v>987</v>
      </c>
      <c r="AZ546" t="s">
        <v>1011</v>
      </c>
      <c r="BA546" t="s">
        <v>1031</v>
      </c>
      <c r="BB546" t="s">
        <v>1032</v>
      </c>
      <c r="BD546" t="s">
        <v>1005</v>
      </c>
      <c r="BE546" t="s">
        <v>1365</v>
      </c>
    </row>
    <row r="547" spans="1:57" ht="13" x14ac:dyDescent="0.15">
      <c r="A547">
        <v>1839</v>
      </c>
      <c r="B547">
        <v>31291317</v>
      </c>
      <c r="C547" t="s">
        <v>162</v>
      </c>
      <c r="D547" s="7">
        <v>40155</v>
      </c>
      <c r="E547" s="7">
        <v>45675</v>
      </c>
      <c r="F547">
        <v>330862</v>
      </c>
      <c r="G547" t="s">
        <v>983</v>
      </c>
      <c r="H547" t="s">
        <v>9</v>
      </c>
      <c r="I547" s="7">
        <v>45673</v>
      </c>
      <c r="J547" s="8">
        <v>0.74758101851851855</v>
      </c>
      <c r="K547" t="s">
        <v>984</v>
      </c>
      <c r="AQ547" t="s">
        <v>1251</v>
      </c>
      <c r="AR547" t="s">
        <v>1015</v>
      </c>
      <c r="AT547" t="s">
        <v>987</v>
      </c>
      <c r="AZ547" t="s">
        <v>1016</v>
      </c>
      <c r="BA547" t="s">
        <v>1017</v>
      </c>
      <c r="BB547" t="s">
        <v>1018</v>
      </c>
      <c r="BD547" t="s">
        <v>991</v>
      </c>
      <c r="BE547" t="s">
        <v>162</v>
      </c>
    </row>
    <row r="548" spans="1:57" ht="13" x14ac:dyDescent="0.15">
      <c r="A548">
        <v>1839</v>
      </c>
      <c r="B548">
        <v>31293535</v>
      </c>
      <c r="C548" t="s">
        <v>163</v>
      </c>
      <c r="D548" s="7">
        <v>40158</v>
      </c>
      <c r="E548" s="7">
        <v>45696</v>
      </c>
      <c r="F548">
        <v>330862</v>
      </c>
      <c r="G548" t="s">
        <v>983</v>
      </c>
      <c r="H548" t="s">
        <v>9</v>
      </c>
      <c r="I548" s="7">
        <v>45694</v>
      </c>
      <c r="J548" s="8">
        <v>0.35564814814814816</v>
      </c>
      <c r="K548" t="s">
        <v>984</v>
      </c>
      <c r="AQ548" t="s">
        <v>1090</v>
      </c>
      <c r="AR548" t="s">
        <v>993</v>
      </c>
      <c r="AT548" t="s">
        <v>987</v>
      </c>
      <c r="AZ548" t="s">
        <v>988</v>
      </c>
      <c r="BA548" t="s">
        <v>989</v>
      </c>
      <c r="BB548" t="s">
        <v>990</v>
      </c>
      <c r="BD548" t="s">
        <v>991</v>
      </c>
      <c r="BE548" t="s">
        <v>163</v>
      </c>
    </row>
    <row r="549" spans="1:57" ht="13" x14ac:dyDescent="0.15">
      <c r="A549">
        <v>1839</v>
      </c>
      <c r="B549">
        <v>31304779</v>
      </c>
      <c r="C549" t="s">
        <v>164</v>
      </c>
      <c r="D549" s="7">
        <v>40368</v>
      </c>
      <c r="E549" s="7">
        <v>45713</v>
      </c>
      <c r="F549">
        <v>330862</v>
      </c>
      <c r="G549" t="s">
        <v>983</v>
      </c>
      <c r="H549" t="s">
        <v>9</v>
      </c>
      <c r="I549" s="7">
        <v>45694</v>
      </c>
      <c r="J549" s="8">
        <v>0.60603009259259255</v>
      </c>
      <c r="K549" t="s">
        <v>984</v>
      </c>
      <c r="AQ549" t="s">
        <v>1089</v>
      </c>
      <c r="AR549" t="s">
        <v>1066</v>
      </c>
      <c r="AT549" t="s">
        <v>987</v>
      </c>
      <c r="AZ549" t="s">
        <v>988</v>
      </c>
      <c r="BA549" t="s">
        <v>989</v>
      </c>
      <c r="BB549" t="s">
        <v>990</v>
      </c>
      <c r="BD549" t="s">
        <v>991</v>
      </c>
      <c r="BE549" t="s">
        <v>164</v>
      </c>
    </row>
    <row r="550" spans="1:57" ht="13" x14ac:dyDescent="0.15">
      <c r="A550">
        <v>1839</v>
      </c>
      <c r="B550">
        <v>31304779</v>
      </c>
      <c r="C550" t="s">
        <v>164</v>
      </c>
      <c r="D550" s="7">
        <v>40368</v>
      </c>
      <c r="E550" s="7">
        <v>45713</v>
      </c>
      <c r="F550">
        <v>330862</v>
      </c>
      <c r="G550" t="s">
        <v>983</v>
      </c>
      <c r="H550" t="s">
        <v>9</v>
      </c>
      <c r="I550" s="7">
        <v>45636</v>
      </c>
      <c r="J550" s="8">
        <v>0.54303240740740744</v>
      </c>
      <c r="K550" t="s">
        <v>984</v>
      </c>
      <c r="AQ550" t="s">
        <v>1089</v>
      </c>
      <c r="AR550" t="s">
        <v>1208</v>
      </c>
      <c r="AT550" t="s">
        <v>987</v>
      </c>
      <c r="AZ550" t="s">
        <v>1011</v>
      </c>
      <c r="BA550" t="s">
        <v>1031</v>
      </c>
      <c r="BB550" t="s">
        <v>1032</v>
      </c>
      <c r="BD550" t="s">
        <v>1005</v>
      </c>
      <c r="BE550" t="s">
        <v>164</v>
      </c>
    </row>
    <row r="551" spans="1:57" ht="13" x14ac:dyDescent="0.15">
      <c r="A551">
        <v>1839</v>
      </c>
      <c r="B551">
        <v>31306930</v>
      </c>
      <c r="C551" t="s">
        <v>165</v>
      </c>
      <c r="D551" s="7">
        <v>39358</v>
      </c>
      <c r="E551" s="7">
        <v>45704</v>
      </c>
      <c r="F551">
        <v>330862</v>
      </c>
      <c r="G551" t="s">
        <v>983</v>
      </c>
      <c r="H551" t="s">
        <v>9</v>
      </c>
      <c r="I551" s="7">
        <v>45697</v>
      </c>
      <c r="J551" s="8">
        <v>0.51876157407407408</v>
      </c>
      <c r="K551" t="s">
        <v>984</v>
      </c>
      <c r="AQ551" t="s">
        <v>1142</v>
      </c>
      <c r="AR551" t="s">
        <v>993</v>
      </c>
      <c r="AT551" t="s">
        <v>987</v>
      </c>
      <c r="AZ551" t="s">
        <v>988</v>
      </c>
      <c r="BA551" t="s">
        <v>989</v>
      </c>
      <c r="BB551" t="s">
        <v>990</v>
      </c>
      <c r="BD551" t="s">
        <v>991</v>
      </c>
      <c r="BE551" t="s">
        <v>165</v>
      </c>
    </row>
    <row r="552" spans="1:57" ht="13" x14ac:dyDescent="0.15">
      <c r="A552">
        <v>1839</v>
      </c>
      <c r="B552">
        <v>31308199</v>
      </c>
      <c r="C552" t="s">
        <v>1367</v>
      </c>
      <c r="D552" s="7">
        <v>39360</v>
      </c>
      <c r="E552" s="7">
        <v>45696</v>
      </c>
      <c r="F552">
        <v>330862</v>
      </c>
      <c r="G552" t="s">
        <v>983</v>
      </c>
      <c r="H552" t="s">
        <v>9</v>
      </c>
      <c r="I552" s="7">
        <v>45636</v>
      </c>
      <c r="J552" s="8">
        <v>0.50142361111111111</v>
      </c>
      <c r="K552" t="s">
        <v>984</v>
      </c>
      <c r="AQ552" t="s">
        <v>1089</v>
      </c>
      <c r="AR552" t="s">
        <v>1277</v>
      </c>
      <c r="AT552" t="s">
        <v>987</v>
      </c>
      <c r="AZ552" t="s">
        <v>1011</v>
      </c>
      <c r="BA552" t="s">
        <v>1031</v>
      </c>
      <c r="BB552" t="s">
        <v>1032</v>
      </c>
      <c r="BD552" t="s">
        <v>1005</v>
      </c>
      <c r="BE552" t="s">
        <v>1367</v>
      </c>
    </row>
    <row r="553" spans="1:57" ht="13" x14ac:dyDescent="0.15">
      <c r="A553">
        <v>1839</v>
      </c>
      <c r="B553">
        <v>31308199</v>
      </c>
      <c r="C553" t="s">
        <v>1367</v>
      </c>
      <c r="D553" s="7">
        <v>39360</v>
      </c>
      <c r="E553" s="7">
        <v>45696</v>
      </c>
      <c r="F553">
        <v>330862</v>
      </c>
      <c r="G553" t="s">
        <v>983</v>
      </c>
      <c r="H553" t="s">
        <v>9</v>
      </c>
      <c r="I553" s="7">
        <v>45636</v>
      </c>
      <c r="J553" s="8">
        <v>0.52994212962962961</v>
      </c>
      <c r="K553" t="s">
        <v>984</v>
      </c>
      <c r="AQ553" t="s">
        <v>1089</v>
      </c>
      <c r="AR553" t="s">
        <v>1368</v>
      </c>
      <c r="AT553" t="s">
        <v>987</v>
      </c>
      <c r="AZ553" t="s">
        <v>1028</v>
      </c>
      <c r="BA553" t="s">
        <v>1029</v>
      </c>
      <c r="BB553" t="s">
        <v>1018</v>
      </c>
      <c r="BD553" t="s">
        <v>1022</v>
      </c>
      <c r="BE553" t="s">
        <v>1367</v>
      </c>
    </row>
    <row r="554" spans="1:57" ht="13" x14ac:dyDescent="0.15">
      <c r="A554">
        <v>1839</v>
      </c>
      <c r="B554">
        <v>31308487</v>
      </c>
      <c r="C554" t="s">
        <v>166</v>
      </c>
      <c r="D554" s="7">
        <v>40372</v>
      </c>
      <c r="E554" s="7">
        <v>45691</v>
      </c>
      <c r="F554">
        <v>330862</v>
      </c>
      <c r="G554" t="s">
        <v>983</v>
      </c>
      <c r="H554" t="s">
        <v>9</v>
      </c>
      <c r="I554" s="7">
        <v>45691</v>
      </c>
      <c r="J554" s="8">
        <v>0.51481481481481484</v>
      </c>
      <c r="K554" t="s">
        <v>984</v>
      </c>
      <c r="AQ554" t="s">
        <v>1090</v>
      </c>
      <c r="AR554" t="s">
        <v>994</v>
      </c>
      <c r="AT554" t="s">
        <v>987</v>
      </c>
      <c r="AZ554" t="s">
        <v>1011</v>
      </c>
      <c r="BA554" t="s">
        <v>1012</v>
      </c>
      <c r="BB554" t="s">
        <v>1013</v>
      </c>
      <c r="BD554" t="s">
        <v>1014</v>
      </c>
      <c r="BE554" t="s">
        <v>166</v>
      </c>
    </row>
    <row r="555" spans="1:57" ht="13" x14ac:dyDescent="0.15">
      <c r="A555">
        <v>1839</v>
      </c>
      <c r="B555">
        <v>31310021</v>
      </c>
      <c r="C555" t="s">
        <v>1369</v>
      </c>
      <c r="D555" s="7">
        <v>40163</v>
      </c>
      <c r="E555" s="7">
        <v>45709</v>
      </c>
      <c r="F555">
        <v>330862</v>
      </c>
      <c r="G555" t="s">
        <v>983</v>
      </c>
      <c r="H555" t="s">
        <v>9</v>
      </c>
      <c r="I555" s="7">
        <v>45617</v>
      </c>
      <c r="J555" s="8">
        <v>0.81026620370370372</v>
      </c>
      <c r="K555" t="s">
        <v>984</v>
      </c>
      <c r="AQ555" t="s">
        <v>992</v>
      </c>
      <c r="AR555" t="s">
        <v>1370</v>
      </c>
      <c r="AT555" t="s">
        <v>987</v>
      </c>
      <c r="AZ555" t="s">
        <v>1055</v>
      </c>
      <c r="BA555" t="s">
        <v>1056</v>
      </c>
      <c r="BB555" t="s">
        <v>1013</v>
      </c>
      <c r="BD555" t="s">
        <v>1022</v>
      </c>
      <c r="BE555" t="s">
        <v>1369</v>
      </c>
    </row>
    <row r="556" spans="1:57" ht="13" x14ac:dyDescent="0.15">
      <c r="A556">
        <v>1839</v>
      </c>
      <c r="B556">
        <v>31318010</v>
      </c>
      <c r="C556" t="s">
        <v>167</v>
      </c>
      <c r="D556" s="7">
        <v>41253</v>
      </c>
      <c r="E556" s="7">
        <v>45712</v>
      </c>
      <c r="F556">
        <v>330862</v>
      </c>
      <c r="G556" t="s">
        <v>983</v>
      </c>
      <c r="H556" t="s">
        <v>9</v>
      </c>
      <c r="I556" s="7">
        <v>45694</v>
      </c>
      <c r="J556" s="8">
        <v>0.46900462962962963</v>
      </c>
      <c r="K556" t="s">
        <v>984</v>
      </c>
      <c r="AQ556" t="s">
        <v>1089</v>
      </c>
      <c r="AR556" t="s">
        <v>1066</v>
      </c>
      <c r="AT556" t="s">
        <v>987</v>
      </c>
      <c r="AZ556" t="s">
        <v>988</v>
      </c>
      <c r="BA556" t="s">
        <v>989</v>
      </c>
      <c r="BB556" t="s">
        <v>990</v>
      </c>
      <c r="BD556" t="s">
        <v>991</v>
      </c>
      <c r="BE556" t="s">
        <v>167</v>
      </c>
    </row>
    <row r="557" spans="1:57" ht="13" x14ac:dyDescent="0.15">
      <c r="A557">
        <v>1839</v>
      </c>
      <c r="B557">
        <v>31318010</v>
      </c>
      <c r="C557" t="s">
        <v>167</v>
      </c>
      <c r="D557" s="7">
        <v>41253</v>
      </c>
      <c r="E557" s="7">
        <v>45712</v>
      </c>
      <c r="F557">
        <v>330862</v>
      </c>
      <c r="G557" t="s">
        <v>983</v>
      </c>
      <c r="H557" t="s">
        <v>9</v>
      </c>
      <c r="I557" s="7">
        <v>45694</v>
      </c>
      <c r="J557" s="8">
        <v>0.4836226851851852</v>
      </c>
      <c r="K557" t="s">
        <v>984</v>
      </c>
      <c r="AQ557" t="s">
        <v>1089</v>
      </c>
      <c r="AR557" t="s">
        <v>994</v>
      </c>
      <c r="AT557" t="s">
        <v>987</v>
      </c>
      <c r="BE557" t="s">
        <v>167</v>
      </c>
    </row>
    <row r="558" spans="1:57" ht="13" x14ac:dyDescent="0.15">
      <c r="A558">
        <v>1839</v>
      </c>
      <c r="B558">
        <v>31318010</v>
      </c>
      <c r="C558" t="s">
        <v>167</v>
      </c>
      <c r="D558" s="7">
        <v>41253</v>
      </c>
      <c r="E558" s="7">
        <v>45712</v>
      </c>
      <c r="F558">
        <v>330862</v>
      </c>
      <c r="G558" t="s">
        <v>983</v>
      </c>
      <c r="H558" t="s">
        <v>9</v>
      </c>
      <c r="I558" s="7">
        <v>45694</v>
      </c>
      <c r="J558" s="8">
        <v>0.44042824074074072</v>
      </c>
      <c r="K558" t="s">
        <v>984</v>
      </c>
      <c r="AQ558" t="s">
        <v>998</v>
      </c>
      <c r="AR558" t="s">
        <v>1066</v>
      </c>
      <c r="AT558" t="s">
        <v>987</v>
      </c>
      <c r="AZ558" t="s">
        <v>988</v>
      </c>
      <c r="BA558" t="s">
        <v>989</v>
      </c>
      <c r="BB558" t="s">
        <v>990</v>
      </c>
      <c r="BD558" t="s">
        <v>991</v>
      </c>
      <c r="BE558" t="s">
        <v>167</v>
      </c>
    </row>
    <row r="559" spans="1:57" ht="13" x14ac:dyDescent="0.15">
      <c r="A559">
        <v>1839</v>
      </c>
      <c r="B559">
        <v>31320893</v>
      </c>
      <c r="C559" t="s">
        <v>168</v>
      </c>
      <c r="D559" s="7">
        <v>40371</v>
      </c>
      <c r="E559" s="7">
        <v>45701</v>
      </c>
      <c r="F559">
        <v>330862</v>
      </c>
      <c r="G559" t="s">
        <v>983</v>
      </c>
      <c r="H559" t="s">
        <v>9</v>
      </c>
      <c r="I559" s="7">
        <v>45694</v>
      </c>
      <c r="J559" s="8">
        <v>0.40115740740740741</v>
      </c>
      <c r="K559" t="s">
        <v>984</v>
      </c>
      <c r="AQ559" t="s">
        <v>1090</v>
      </c>
      <c r="AR559" t="s">
        <v>986</v>
      </c>
      <c r="AT559" t="s">
        <v>987</v>
      </c>
      <c r="AZ559" t="s">
        <v>988</v>
      </c>
      <c r="BA559" t="s">
        <v>989</v>
      </c>
      <c r="BB559" t="s">
        <v>990</v>
      </c>
      <c r="BD559" t="s">
        <v>991</v>
      </c>
      <c r="BE559" t="s">
        <v>168</v>
      </c>
    </row>
    <row r="560" spans="1:57" ht="13" x14ac:dyDescent="0.15">
      <c r="A560">
        <v>1839</v>
      </c>
      <c r="B560">
        <v>31356104</v>
      </c>
      <c r="C560" t="s">
        <v>1371</v>
      </c>
      <c r="D560" s="7">
        <v>39555</v>
      </c>
      <c r="E560" s="7">
        <v>45617</v>
      </c>
      <c r="F560">
        <v>330862</v>
      </c>
      <c r="G560" t="s">
        <v>983</v>
      </c>
      <c r="H560" t="s">
        <v>9</v>
      </c>
      <c r="I560" s="7">
        <v>45615</v>
      </c>
      <c r="J560" s="8">
        <v>0.61827546296296299</v>
      </c>
      <c r="K560" t="s">
        <v>984</v>
      </c>
      <c r="AQ560" t="s">
        <v>992</v>
      </c>
      <c r="AR560" t="s">
        <v>1372</v>
      </c>
      <c r="AT560" t="s">
        <v>987</v>
      </c>
      <c r="BE560" t="s">
        <v>1371</v>
      </c>
    </row>
    <row r="561" spans="1:57" ht="13" x14ac:dyDescent="0.15">
      <c r="A561">
        <v>1839</v>
      </c>
      <c r="B561">
        <v>31379950</v>
      </c>
      <c r="C561" t="s">
        <v>169</v>
      </c>
      <c r="D561" s="7">
        <v>41744</v>
      </c>
      <c r="E561" s="7">
        <v>45696</v>
      </c>
      <c r="F561">
        <v>330862</v>
      </c>
      <c r="G561" t="s">
        <v>983</v>
      </c>
      <c r="H561" t="s">
        <v>9</v>
      </c>
      <c r="I561" s="7">
        <v>45638</v>
      </c>
      <c r="J561" s="8">
        <v>0.44966435185185183</v>
      </c>
      <c r="K561" t="s">
        <v>984</v>
      </c>
      <c r="AQ561" t="s">
        <v>992</v>
      </c>
      <c r="AR561" t="s">
        <v>1085</v>
      </c>
      <c r="AT561" t="s">
        <v>987</v>
      </c>
      <c r="AZ561" t="s">
        <v>1011</v>
      </c>
      <c r="BA561" t="s">
        <v>1031</v>
      </c>
      <c r="BB561" t="s">
        <v>1032</v>
      </c>
      <c r="BD561" t="s">
        <v>1005</v>
      </c>
      <c r="BE561" t="s">
        <v>169</v>
      </c>
    </row>
    <row r="562" spans="1:57" ht="13" x14ac:dyDescent="0.15">
      <c r="A562">
        <v>1839</v>
      </c>
      <c r="B562">
        <v>31379950</v>
      </c>
      <c r="C562" t="s">
        <v>169</v>
      </c>
      <c r="D562" s="7">
        <v>41744</v>
      </c>
      <c r="E562" s="7">
        <v>45696</v>
      </c>
      <c r="F562">
        <v>330862</v>
      </c>
      <c r="G562" t="s">
        <v>983</v>
      </c>
      <c r="H562" t="s">
        <v>9</v>
      </c>
      <c r="I562" s="7">
        <v>45696</v>
      </c>
      <c r="J562" s="8">
        <v>0.66019675925925925</v>
      </c>
      <c r="K562" t="s">
        <v>984</v>
      </c>
      <c r="AQ562" t="s">
        <v>992</v>
      </c>
      <c r="AR562" t="s">
        <v>993</v>
      </c>
      <c r="AT562" t="s">
        <v>987</v>
      </c>
      <c r="AZ562" t="s">
        <v>988</v>
      </c>
      <c r="BA562" t="s">
        <v>989</v>
      </c>
      <c r="BB562" t="s">
        <v>990</v>
      </c>
      <c r="BD562" t="s">
        <v>991</v>
      </c>
      <c r="BE562" t="s">
        <v>169</v>
      </c>
    </row>
    <row r="563" spans="1:57" ht="13" x14ac:dyDescent="0.15">
      <c r="A563">
        <v>1839</v>
      </c>
      <c r="B563">
        <v>31391919</v>
      </c>
      <c r="C563" t="s">
        <v>170</v>
      </c>
      <c r="D563" s="7">
        <v>38668</v>
      </c>
      <c r="E563" s="7">
        <v>45708</v>
      </c>
      <c r="F563">
        <v>330862</v>
      </c>
      <c r="G563" t="s">
        <v>983</v>
      </c>
      <c r="H563" t="s">
        <v>9</v>
      </c>
      <c r="I563" s="7">
        <v>45694</v>
      </c>
      <c r="J563" s="8">
        <v>0.77710648148148154</v>
      </c>
      <c r="K563" t="s">
        <v>984</v>
      </c>
      <c r="AQ563" t="s">
        <v>998</v>
      </c>
      <c r="AR563" t="s">
        <v>993</v>
      </c>
      <c r="AT563" t="s">
        <v>987</v>
      </c>
      <c r="AZ563" t="s">
        <v>988</v>
      </c>
      <c r="BA563" t="s">
        <v>989</v>
      </c>
      <c r="BB563" t="s">
        <v>990</v>
      </c>
      <c r="BD563" t="s">
        <v>991</v>
      </c>
      <c r="BE563" t="s">
        <v>170</v>
      </c>
    </row>
    <row r="564" spans="1:57" ht="13" x14ac:dyDescent="0.15">
      <c r="A564">
        <v>1839</v>
      </c>
      <c r="B564">
        <v>31398979</v>
      </c>
      <c r="C564" t="s">
        <v>171</v>
      </c>
      <c r="D564" s="7">
        <v>40717</v>
      </c>
      <c r="E564" s="7">
        <v>45696</v>
      </c>
      <c r="F564">
        <v>330862</v>
      </c>
      <c r="G564" t="s">
        <v>983</v>
      </c>
      <c r="H564" t="s">
        <v>9</v>
      </c>
      <c r="I564" s="7">
        <v>45635</v>
      </c>
      <c r="J564" s="8">
        <v>0.66251157407407413</v>
      </c>
      <c r="K564" t="s">
        <v>984</v>
      </c>
      <c r="AQ564" t="s">
        <v>1092</v>
      </c>
      <c r="AR564" t="s">
        <v>1208</v>
      </c>
      <c r="AT564" t="s">
        <v>987</v>
      </c>
      <c r="AZ564" t="s">
        <v>1011</v>
      </c>
      <c r="BA564" t="s">
        <v>1031</v>
      </c>
      <c r="BB564" t="s">
        <v>1032</v>
      </c>
      <c r="BD564" t="s">
        <v>1005</v>
      </c>
      <c r="BE564" t="s">
        <v>171</v>
      </c>
    </row>
    <row r="565" spans="1:57" ht="13" x14ac:dyDescent="0.15">
      <c r="A565">
        <v>1839</v>
      </c>
      <c r="B565">
        <v>31398979</v>
      </c>
      <c r="C565" t="s">
        <v>171</v>
      </c>
      <c r="D565" s="7">
        <v>40717</v>
      </c>
      <c r="E565" s="7">
        <v>45696</v>
      </c>
      <c r="F565">
        <v>330862</v>
      </c>
      <c r="G565" t="s">
        <v>983</v>
      </c>
      <c r="H565" t="s">
        <v>9</v>
      </c>
      <c r="I565" s="7">
        <v>45694</v>
      </c>
      <c r="J565" s="8">
        <v>0.61204861111111108</v>
      </c>
      <c r="K565" t="s">
        <v>984</v>
      </c>
      <c r="AQ565" t="s">
        <v>1092</v>
      </c>
      <c r="AR565" t="s">
        <v>986</v>
      </c>
      <c r="AT565" t="s">
        <v>987</v>
      </c>
      <c r="AZ565" t="s">
        <v>988</v>
      </c>
      <c r="BA565" t="s">
        <v>989</v>
      </c>
      <c r="BB565" t="s">
        <v>990</v>
      </c>
      <c r="BD565" t="s">
        <v>991</v>
      </c>
      <c r="BE565" t="s">
        <v>171</v>
      </c>
    </row>
    <row r="566" spans="1:57" ht="13" x14ac:dyDescent="0.15">
      <c r="A566">
        <v>1839</v>
      </c>
      <c r="B566">
        <v>31403498</v>
      </c>
      <c r="C566" t="s">
        <v>172</v>
      </c>
      <c r="D566" s="7">
        <v>41758</v>
      </c>
      <c r="E566" s="7">
        <v>45696</v>
      </c>
      <c r="F566">
        <v>330862</v>
      </c>
      <c r="G566" t="s">
        <v>983</v>
      </c>
      <c r="H566" t="s">
        <v>9</v>
      </c>
      <c r="I566" s="7">
        <v>45616</v>
      </c>
      <c r="J566" s="8">
        <v>0.60432870370370373</v>
      </c>
      <c r="K566" t="s">
        <v>984</v>
      </c>
      <c r="AQ566" t="s">
        <v>1092</v>
      </c>
      <c r="AR566" t="s">
        <v>1287</v>
      </c>
      <c r="AT566" t="s">
        <v>987</v>
      </c>
      <c r="AZ566" t="s">
        <v>1011</v>
      </c>
      <c r="BA566" t="s">
        <v>1103</v>
      </c>
      <c r="BB566" t="s">
        <v>1032</v>
      </c>
      <c r="BD566" t="s">
        <v>1005</v>
      </c>
      <c r="BE566" t="s">
        <v>172</v>
      </c>
    </row>
    <row r="567" spans="1:57" ht="13" x14ac:dyDescent="0.15">
      <c r="A567">
        <v>1839</v>
      </c>
      <c r="B567">
        <v>31403498</v>
      </c>
      <c r="C567" t="s">
        <v>172</v>
      </c>
      <c r="D567" s="7">
        <v>41758</v>
      </c>
      <c r="E567" s="7">
        <v>45696</v>
      </c>
      <c r="F567">
        <v>330862</v>
      </c>
      <c r="G567" t="s">
        <v>983</v>
      </c>
      <c r="H567" t="s">
        <v>9</v>
      </c>
      <c r="I567" s="7">
        <v>45616</v>
      </c>
      <c r="J567" s="8">
        <v>0.6074074074074074</v>
      </c>
      <c r="K567" t="s">
        <v>984</v>
      </c>
      <c r="AQ567" t="s">
        <v>1092</v>
      </c>
      <c r="AR567" t="s">
        <v>1268</v>
      </c>
      <c r="AT567" t="s">
        <v>987</v>
      </c>
      <c r="AZ567" t="s">
        <v>1055</v>
      </c>
      <c r="BA567" t="s">
        <v>1056</v>
      </c>
      <c r="BB567" t="s">
        <v>1013</v>
      </c>
      <c r="BD567" t="s">
        <v>1022</v>
      </c>
      <c r="BE567" t="s">
        <v>172</v>
      </c>
    </row>
    <row r="568" spans="1:57" ht="13" x14ac:dyDescent="0.15">
      <c r="A568">
        <v>1839</v>
      </c>
      <c r="B568">
        <v>31403498</v>
      </c>
      <c r="C568" t="s">
        <v>172</v>
      </c>
      <c r="D568" s="7">
        <v>41758</v>
      </c>
      <c r="E568" s="7">
        <v>45696</v>
      </c>
      <c r="F568">
        <v>330862</v>
      </c>
      <c r="G568" t="s">
        <v>983</v>
      </c>
      <c r="H568" t="s">
        <v>9</v>
      </c>
      <c r="I568" s="7">
        <v>45694</v>
      </c>
      <c r="J568" s="8">
        <v>0.46101851851851849</v>
      </c>
      <c r="K568" t="s">
        <v>984</v>
      </c>
      <c r="AQ568" t="s">
        <v>1092</v>
      </c>
      <c r="AR568" t="s">
        <v>986</v>
      </c>
      <c r="AT568" t="s">
        <v>987</v>
      </c>
      <c r="AZ568" t="s">
        <v>988</v>
      </c>
      <c r="BA568" t="s">
        <v>989</v>
      </c>
      <c r="BB568" t="s">
        <v>990</v>
      </c>
      <c r="BD568" t="s">
        <v>991</v>
      </c>
      <c r="BE568" t="s">
        <v>172</v>
      </c>
    </row>
    <row r="569" spans="1:57" ht="13" x14ac:dyDescent="0.15">
      <c r="A569">
        <v>1839</v>
      </c>
      <c r="B569">
        <v>31403626</v>
      </c>
      <c r="C569" t="s">
        <v>1373</v>
      </c>
      <c r="D569" s="7">
        <v>38668</v>
      </c>
      <c r="E569" s="7">
        <v>45640</v>
      </c>
      <c r="F569">
        <v>330862</v>
      </c>
      <c r="G569" t="s">
        <v>983</v>
      </c>
      <c r="H569" t="s">
        <v>9</v>
      </c>
      <c r="I569" s="7">
        <v>45617</v>
      </c>
      <c r="J569" s="8">
        <v>0.59231481481481485</v>
      </c>
      <c r="K569" t="s">
        <v>984</v>
      </c>
      <c r="AQ569" t="s">
        <v>1092</v>
      </c>
      <c r="AR569" t="s">
        <v>1374</v>
      </c>
      <c r="AT569" t="s">
        <v>987</v>
      </c>
      <c r="AZ569" t="s">
        <v>1055</v>
      </c>
      <c r="BA569" t="s">
        <v>1056</v>
      </c>
      <c r="BB569" t="s">
        <v>1013</v>
      </c>
      <c r="BD569" t="s">
        <v>1022</v>
      </c>
      <c r="BE569" t="s">
        <v>1373</v>
      </c>
    </row>
    <row r="570" spans="1:57" ht="13" x14ac:dyDescent="0.15">
      <c r="A570">
        <v>1839</v>
      </c>
      <c r="B570">
        <v>31403626</v>
      </c>
      <c r="C570" t="s">
        <v>1373</v>
      </c>
      <c r="D570" s="7">
        <v>38668</v>
      </c>
      <c r="E570" s="7">
        <v>45640</v>
      </c>
      <c r="F570">
        <v>330862</v>
      </c>
      <c r="G570" t="s">
        <v>983</v>
      </c>
      <c r="H570" t="s">
        <v>9</v>
      </c>
      <c r="I570" s="7">
        <v>45617</v>
      </c>
      <c r="J570" s="8">
        <v>0.59574074074074079</v>
      </c>
      <c r="K570" t="s">
        <v>984</v>
      </c>
      <c r="AQ570" t="s">
        <v>1092</v>
      </c>
      <c r="AR570" t="s">
        <v>1375</v>
      </c>
      <c r="AT570" t="s">
        <v>987</v>
      </c>
      <c r="AZ570" t="s">
        <v>1028</v>
      </c>
      <c r="BA570" t="s">
        <v>1029</v>
      </c>
      <c r="BB570" t="s">
        <v>1018</v>
      </c>
      <c r="BD570" t="s">
        <v>1022</v>
      </c>
      <c r="BE570" t="s">
        <v>1373</v>
      </c>
    </row>
    <row r="571" spans="1:57" ht="13" x14ac:dyDescent="0.15">
      <c r="A571">
        <v>1839</v>
      </c>
      <c r="B571">
        <v>31403626</v>
      </c>
      <c r="C571" t="s">
        <v>1373</v>
      </c>
      <c r="D571" s="7">
        <v>38668</v>
      </c>
      <c r="E571" s="7">
        <v>45640</v>
      </c>
      <c r="F571">
        <v>330862</v>
      </c>
      <c r="G571" t="s">
        <v>983</v>
      </c>
      <c r="H571" t="s">
        <v>9</v>
      </c>
      <c r="I571" s="7">
        <v>45617</v>
      </c>
      <c r="J571" s="8">
        <v>0.59462962962962962</v>
      </c>
      <c r="K571" t="s">
        <v>984</v>
      </c>
      <c r="AQ571" t="s">
        <v>1092</v>
      </c>
      <c r="AR571" t="s">
        <v>1376</v>
      </c>
      <c r="AT571" t="s">
        <v>987</v>
      </c>
      <c r="AZ571" t="s">
        <v>1182</v>
      </c>
      <c r="BA571" t="s">
        <v>1185</v>
      </c>
      <c r="BB571" t="s">
        <v>1026</v>
      </c>
      <c r="BD571" t="s">
        <v>1022</v>
      </c>
      <c r="BE571" t="s">
        <v>1373</v>
      </c>
    </row>
    <row r="572" spans="1:57" ht="13" x14ac:dyDescent="0.15">
      <c r="A572">
        <v>1839</v>
      </c>
      <c r="B572">
        <v>31405098</v>
      </c>
      <c r="C572" t="s">
        <v>173</v>
      </c>
      <c r="D572" s="7">
        <v>38668</v>
      </c>
      <c r="E572" s="7">
        <v>45709</v>
      </c>
      <c r="F572">
        <v>330862</v>
      </c>
      <c r="G572" t="s">
        <v>983</v>
      </c>
      <c r="H572" t="s">
        <v>9</v>
      </c>
      <c r="I572" s="7">
        <v>45706</v>
      </c>
      <c r="J572" s="8">
        <v>0.89101851851851854</v>
      </c>
      <c r="K572" t="s">
        <v>984</v>
      </c>
      <c r="AQ572" t="s">
        <v>985</v>
      </c>
      <c r="AR572" t="s">
        <v>1377</v>
      </c>
      <c r="AT572" t="s">
        <v>987</v>
      </c>
      <c r="AZ572" t="s">
        <v>1002</v>
      </c>
      <c r="BA572" t="s">
        <v>1040</v>
      </c>
      <c r="BB572" t="s">
        <v>1041</v>
      </c>
      <c r="BD572" t="s">
        <v>991</v>
      </c>
      <c r="BE572" t="s">
        <v>173</v>
      </c>
    </row>
    <row r="573" spans="1:57" ht="13" x14ac:dyDescent="0.15">
      <c r="A573">
        <v>1839</v>
      </c>
      <c r="B573">
        <v>31405098</v>
      </c>
      <c r="C573" t="s">
        <v>173</v>
      </c>
      <c r="D573" s="7">
        <v>38668</v>
      </c>
      <c r="E573" s="7">
        <v>45709</v>
      </c>
      <c r="F573">
        <v>330862</v>
      </c>
      <c r="G573" t="s">
        <v>983</v>
      </c>
      <c r="H573" t="s">
        <v>9</v>
      </c>
      <c r="I573" s="7">
        <v>45706</v>
      </c>
      <c r="J573" s="8">
        <v>0.8848611111111111</v>
      </c>
      <c r="K573" t="s">
        <v>984</v>
      </c>
      <c r="AQ573" t="s">
        <v>985</v>
      </c>
      <c r="AR573" t="s">
        <v>1377</v>
      </c>
      <c r="AT573" t="s">
        <v>987</v>
      </c>
      <c r="AZ573" t="s">
        <v>1002</v>
      </c>
      <c r="BA573" t="s">
        <v>1040</v>
      </c>
      <c r="BB573" t="s">
        <v>1041</v>
      </c>
      <c r="BD573" t="s">
        <v>991</v>
      </c>
      <c r="BE573" t="s">
        <v>173</v>
      </c>
    </row>
    <row r="574" spans="1:57" ht="13" x14ac:dyDescent="0.15">
      <c r="A574">
        <v>1839</v>
      </c>
      <c r="B574">
        <v>31408124</v>
      </c>
      <c r="C574" t="s">
        <v>174</v>
      </c>
      <c r="D574" s="7">
        <v>40788</v>
      </c>
      <c r="E574" s="7">
        <v>45696</v>
      </c>
      <c r="F574">
        <v>330862</v>
      </c>
      <c r="G574" t="s">
        <v>983</v>
      </c>
      <c r="H574" t="s">
        <v>9</v>
      </c>
      <c r="I574" s="7">
        <v>45694</v>
      </c>
      <c r="J574" s="8">
        <v>0.43511574074074072</v>
      </c>
      <c r="K574" t="s">
        <v>984</v>
      </c>
      <c r="AQ574" t="s">
        <v>1092</v>
      </c>
      <c r="AR574" t="s">
        <v>986</v>
      </c>
      <c r="AT574" t="s">
        <v>987</v>
      </c>
      <c r="AZ574" t="s">
        <v>988</v>
      </c>
      <c r="BA574" t="s">
        <v>989</v>
      </c>
      <c r="BB574" t="s">
        <v>990</v>
      </c>
      <c r="BD574" t="s">
        <v>991</v>
      </c>
      <c r="BE574" t="s">
        <v>174</v>
      </c>
    </row>
    <row r="575" spans="1:57" ht="13" x14ac:dyDescent="0.15">
      <c r="A575">
        <v>1839</v>
      </c>
      <c r="B575">
        <v>31408124</v>
      </c>
      <c r="C575" t="s">
        <v>174</v>
      </c>
      <c r="D575" s="7">
        <v>40788</v>
      </c>
      <c r="E575" s="7">
        <v>45696</v>
      </c>
      <c r="F575">
        <v>330862</v>
      </c>
      <c r="G575" t="s">
        <v>983</v>
      </c>
      <c r="H575" t="s">
        <v>9</v>
      </c>
      <c r="I575" s="7">
        <v>45616</v>
      </c>
      <c r="J575" s="8">
        <v>0.72135416666666663</v>
      </c>
      <c r="K575" t="s">
        <v>984</v>
      </c>
      <c r="AQ575" t="s">
        <v>1092</v>
      </c>
      <c r="AR575" t="s">
        <v>1378</v>
      </c>
      <c r="AT575" t="s">
        <v>987</v>
      </c>
      <c r="AZ575" t="s">
        <v>1011</v>
      </c>
      <c r="BA575" t="s">
        <v>1103</v>
      </c>
      <c r="BB575" t="s">
        <v>1032</v>
      </c>
      <c r="BD575" t="s">
        <v>1005</v>
      </c>
      <c r="BE575" t="s">
        <v>174</v>
      </c>
    </row>
    <row r="576" spans="1:57" ht="13" x14ac:dyDescent="0.15">
      <c r="A576">
        <v>1839</v>
      </c>
      <c r="B576">
        <v>31408124</v>
      </c>
      <c r="C576" t="s">
        <v>174</v>
      </c>
      <c r="D576" s="7">
        <v>40788</v>
      </c>
      <c r="E576" s="7">
        <v>45696</v>
      </c>
      <c r="F576">
        <v>330862</v>
      </c>
      <c r="G576" t="s">
        <v>983</v>
      </c>
      <c r="H576" t="s">
        <v>9</v>
      </c>
      <c r="I576" s="7">
        <v>45677</v>
      </c>
      <c r="J576" s="8">
        <v>0.81511574074074078</v>
      </c>
      <c r="K576" t="s">
        <v>984</v>
      </c>
      <c r="AQ576" t="s">
        <v>1092</v>
      </c>
      <c r="AR576" t="s">
        <v>1352</v>
      </c>
      <c r="AT576" t="s">
        <v>987</v>
      </c>
      <c r="AZ576" t="s">
        <v>1002</v>
      </c>
      <c r="BA576" t="s">
        <v>1003</v>
      </c>
      <c r="BB576" t="s">
        <v>1004</v>
      </c>
      <c r="BD576" t="s">
        <v>1005</v>
      </c>
      <c r="BE576" t="s">
        <v>174</v>
      </c>
    </row>
    <row r="577" spans="1:57" ht="13" x14ac:dyDescent="0.15">
      <c r="A577">
        <v>1839</v>
      </c>
      <c r="B577">
        <v>31415343</v>
      </c>
      <c r="C577" t="s">
        <v>175</v>
      </c>
      <c r="D577" s="7">
        <v>38668</v>
      </c>
      <c r="E577" s="7">
        <v>45700</v>
      </c>
      <c r="F577">
        <v>330862</v>
      </c>
      <c r="G577" t="s">
        <v>983</v>
      </c>
      <c r="H577" t="s">
        <v>9</v>
      </c>
      <c r="I577" s="7">
        <v>45700</v>
      </c>
      <c r="J577" s="8">
        <v>0.88560185185185181</v>
      </c>
      <c r="K577" t="s">
        <v>984</v>
      </c>
      <c r="AQ577" t="s">
        <v>992</v>
      </c>
      <c r="AR577" t="s">
        <v>1066</v>
      </c>
      <c r="AT577" t="s">
        <v>987</v>
      </c>
      <c r="AZ577" t="s">
        <v>988</v>
      </c>
      <c r="BA577" t="s">
        <v>989</v>
      </c>
      <c r="BB577" t="s">
        <v>990</v>
      </c>
      <c r="BD577" t="s">
        <v>991</v>
      </c>
      <c r="BE577" t="s">
        <v>175</v>
      </c>
    </row>
    <row r="578" spans="1:57" ht="13" x14ac:dyDescent="0.15">
      <c r="A578">
        <v>1839</v>
      </c>
      <c r="B578">
        <v>31416295</v>
      </c>
      <c r="C578" t="s">
        <v>1379</v>
      </c>
      <c r="D578" s="7">
        <v>39694</v>
      </c>
      <c r="E578" s="7">
        <v>45638</v>
      </c>
      <c r="F578">
        <v>330862</v>
      </c>
      <c r="G578" t="s">
        <v>983</v>
      </c>
      <c r="H578" t="s">
        <v>9</v>
      </c>
      <c r="I578" s="7">
        <v>45636</v>
      </c>
      <c r="J578" s="8">
        <v>0.62504629629629627</v>
      </c>
      <c r="K578" t="s">
        <v>984</v>
      </c>
      <c r="AQ578" t="s">
        <v>1090</v>
      </c>
      <c r="AR578" t="s">
        <v>1380</v>
      </c>
      <c r="AT578" t="s">
        <v>987</v>
      </c>
      <c r="AZ578" t="s">
        <v>1174</v>
      </c>
      <c r="BA578" t="s">
        <v>1242</v>
      </c>
      <c r="BB578" t="s">
        <v>1026</v>
      </c>
      <c r="BD578" t="s">
        <v>1005</v>
      </c>
      <c r="BE578" t="s">
        <v>1379</v>
      </c>
    </row>
    <row r="579" spans="1:57" ht="13" x14ac:dyDescent="0.15">
      <c r="A579">
        <v>1839</v>
      </c>
      <c r="B579">
        <v>31416295</v>
      </c>
      <c r="C579" t="s">
        <v>1379</v>
      </c>
      <c r="D579" s="7">
        <v>39694</v>
      </c>
      <c r="E579" s="7">
        <v>45638</v>
      </c>
      <c r="F579">
        <v>330862</v>
      </c>
      <c r="G579" t="s">
        <v>983</v>
      </c>
      <c r="H579" t="s">
        <v>9</v>
      </c>
      <c r="I579" s="7">
        <v>45636</v>
      </c>
      <c r="J579" s="8">
        <v>0.62872685185185184</v>
      </c>
      <c r="K579" t="s">
        <v>984</v>
      </c>
      <c r="AQ579" t="s">
        <v>1090</v>
      </c>
      <c r="AR579" t="s">
        <v>1381</v>
      </c>
      <c r="AT579" t="s">
        <v>987</v>
      </c>
      <c r="AZ579" t="s">
        <v>1011</v>
      </c>
      <c r="BA579" t="s">
        <v>1031</v>
      </c>
      <c r="BB579" t="s">
        <v>1032</v>
      </c>
      <c r="BD579" t="s">
        <v>1005</v>
      </c>
      <c r="BE579" t="s">
        <v>1379</v>
      </c>
    </row>
    <row r="580" spans="1:57" ht="13" x14ac:dyDescent="0.15">
      <c r="A580">
        <v>1839</v>
      </c>
      <c r="B580">
        <v>31416295</v>
      </c>
      <c r="C580" t="s">
        <v>1379</v>
      </c>
      <c r="D580" s="7">
        <v>39694</v>
      </c>
      <c r="E580" s="7">
        <v>45638</v>
      </c>
      <c r="F580">
        <v>330862</v>
      </c>
      <c r="G580" t="s">
        <v>983</v>
      </c>
      <c r="H580" t="s">
        <v>9</v>
      </c>
      <c r="I580" s="7">
        <v>45636</v>
      </c>
      <c r="J580" s="8">
        <v>0.62629629629629635</v>
      </c>
      <c r="K580" t="s">
        <v>984</v>
      </c>
      <c r="AQ580" t="s">
        <v>1090</v>
      </c>
      <c r="AR580" t="s">
        <v>1380</v>
      </c>
      <c r="AT580" t="s">
        <v>987</v>
      </c>
      <c r="AZ580" t="s">
        <v>1174</v>
      </c>
      <c r="BA580" t="s">
        <v>1242</v>
      </c>
      <c r="BB580" t="s">
        <v>1026</v>
      </c>
      <c r="BD580" t="s">
        <v>1005</v>
      </c>
      <c r="BE580" t="s">
        <v>1379</v>
      </c>
    </row>
    <row r="581" spans="1:57" ht="13" x14ac:dyDescent="0.15">
      <c r="A581">
        <v>1839</v>
      </c>
      <c r="B581">
        <v>31416295</v>
      </c>
      <c r="C581" t="s">
        <v>1379</v>
      </c>
      <c r="D581" s="7">
        <v>39694</v>
      </c>
      <c r="E581" s="7">
        <v>45638</v>
      </c>
      <c r="F581">
        <v>330862</v>
      </c>
      <c r="G581" t="s">
        <v>983</v>
      </c>
      <c r="H581" t="s">
        <v>9</v>
      </c>
      <c r="I581" s="7">
        <v>45636</v>
      </c>
      <c r="J581" s="8">
        <v>0.62731481481481477</v>
      </c>
      <c r="K581" t="s">
        <v>984</v>
      </c>
      <c r="AQ581" t="s">
        <v>1090</v>
      </c>
      <c r="AR581" t="s">
        <v>1382</v>
      </c>
      <c r="AT581" t="s">
        <v>987</v>
      </c>
      <c r="AZ581" t="s">
        <v>1002</v>
      </c>
      <c r="BA581" t="s">
        <v>1124</v>
      </c>
      <c r="BB581" t="s">
        <v>1125</v>
      </c>
      <c r="BD581" t="s">
        <v>1005</v>
      </c>
      <c r="BE581" t="s">
        <v>1379</v>
      </c>
    </row>
    <row r="582" spans="1:57" ht="13" x14ac:dyDescent="0.15">
      <c r="A582">
        <v>1839</v>
      </c>
      <c r="B582">
        <v>31416295</v>
      </c>
      <c r="C582" t="s">
        <v>1379</v>
      </c>
      <c r="D582" s="7">
        <v>39694</v>
      </c>
      <c r="E582" s="7">
        <v>45638</v>
      </c>
      <c r="F582">
        <v>336444</v>
      </c>
      <c r="G582" t="s">
        <v>995</v>
      </c>
      <c r="H582" t="s">
        <v>12</v>
      </c>
      <c r="I582" s="7">
        <v>45636</v>
      </c>
      <c r="J582" s="8">
        <v>0.63126157407407413</v>
      </c>
      <c r="K582" t="s">
        <v>984</v>
      </c>
      <c r="AQ582" t="s">
        <v>996</v>
      </c>
      <c r="BE582" t="s">
        <v>1379</v>
      </c>
    </row>
    <row r="583" spans="1:57" ht="13" x14ac:dyDescent="0.15">
      <c r="A583">
        <v>1839</v>
      </c>
      <c r="B583">
        <v>31422173</v>
      </c>
      <c r="C583" t="s">
        <v>176</v>
      </c>
      <c r="D583" s="7">
        <v>41577</v>
      </c>
      <c r="E583" s="7">
        <v>45710</v>
      </c>
      <c r="F583">
        <v>330862</v>
      </c>
      <c r="G583" t="s">
        <v>983</v>
      </c>
      <c r="H583" t="s">
        <v>9</v>
      </c>
      <c r="I583" s="7">
        <v>45694</v>
      </c>
      <c r="J583" s="8">
        <v>0.48009259259259257</v>
      </c>
      <c r="K583" t="s">
        <v>984</v>
      </c>
      <c r="AQ583" t="s">
        <v>1092</v>
      </c>
      <c r="AR583" t="s">
        <v>986</v>
      </c>
      <c r="AT583" t="s">
        <v>987</v>
      </c>
      <c r="AZ583" t="s">
        <v>988</v>
      </c>
      <c r="BA583" t="s">
        <v>989</v>
      </c>
      <c r="BB583" t="s">
        <v>990</v>
      </c>
      <c r="BD583" t="s">
        <v>991</v>
      </c>
      <c r="BE583" t="s">
        <v>176</v>
      </c>
    </row>
    <row r="584" spans="1:57" ht="13" x14ac:dyDescent="0.15">
      <c r="A584">
        <v>1839</v>
      </c>
      <c r="B584">
        <v>31425906</v>
      </c>
      <c r="C584" t="s">
        <v>177</v>
      </c>
      <c r="D584" s="7">
        <v>39593</v>
      </c>
      <c r="E584" s="7">
        <v>45700</v>
      </c>
      <c r="F584">
        <v>330862</v>
      </c>
      <c r="G584" t="s">
        <v>983</v>
      </c>
      <c r="H584" t="s">
        <v>9</v>
      </c>
      <c r="I584" s="7">
        <v>45699</v>
      </c>
      <c r="J584" s="8">
        <v>5.9027777777777776E-3</v>
      </c>
      <c r="K584" t="s">
        <v>984</v>
      </c>
      <c r="AQ584" t="s">
        <v>992</v>
      </c>
      <c r="AR584" t="s">
        <v>986</v>
      </c>
      <c r="AT584" t="s">
        <v>987</v>
      </c>
      <c r="AZ584" t="s">
        <v>988</v>
      </c>
      <c r="BA584" t="s">
        <v>989</v>
      </c>
      <c r="BB584" t="s">
        <v>990</v>
      </c>
      <c r="BD584" t="s">
        <v>991</v>
      </c>
      <c r="BE584" t="s">
        <v>177</v>
      </c>
    </row>
    <row r="585" spans="1:57" ht="13" x14ac:dyDescent="0.15">
      <c r="A585">
        <v>1839</v>
      </c>
      <c r="B585">
        <v>31443553</v>
      </c>
      <c r="C585" t="s">
        <v>178</v>
      </c>
      <c r="D585" s="7">
        <v>41683</v>
      </c>
      <c r="E585" s="7">
        <v>45708</v>
      </c>
      <c r="F585">
        <v>330862</v>
      </c>
      <c r="G585" t="s">
        <v>983</v>
      </c>
      <c r="H585" t="s">
        <v>9</v>
      </c>
      <c r="I585" s="7">
        <v>45707</v>
      </c>
      <c r="J585" s="8">
        <v>0.66148148148148145</v>
      </c>
      <c r="K585" t="s">
        <v>984</v>
      </c>
      <c r="AQ585" t="s">
        <v>1092</v>
      </c>
      <c r="AR585" t="s">
        <v>1383</v>
      </c>
      <c r="AT585" t="s">
        <v>987</v>
      </c>
      <c r="AZ585" t="s">
        <v>988</v>
      </c>
      <c r="BA585" t="s">
        <v>989</v>
      </c>
      <c r="BB585" t="s">
        <v>990</v>
      </c>
      <c r="BD585" t="s">
        <v>991</v>
      </c>
      <c r="BE585" t="s">
        <v>178</v>
      </c>
    </row>
    <row r="586" spans="1:57" ht="13" x14ac:dyDescent="0.15">
      <c r="A586">
        <v>1839</v>
      </c>
      <c r="B586">
        <v>31447225</v>
      </c>
      <c r="C586" t="s">
        <v>179</v>
      </c>
      <c r="D586" s="7">
        <v>39695</v>
      </c>
      <c r="E586" s="7">
        <v>45695</v>
      </c>
      <c r="F586">
        <v>330862</v>
      </c>
      <c r="G586" t="s">
        <v>983</v>
      </c>
      <c r="H586" t="s">
        <v>9</v>
      </c>
      <c r="I586" s="7">
        <v>45694</v>
      </c>
      <c r="J586" s="8">
        <v>0.76859953703703698</v>
      </c>
      <c r="K586" t="s">
        <v>984</v>
      </c>
      <c r="AQ586" t="s">
        <v>992</v>
      </c>
      <c r="AR586" t="s">
        <v>1060</v>
      </c>
      <c r="AT586" t="s">
        <v>987</v>
      </c>
      <c r="BE586" t="s">
        <v>179</v>
      </c>
    </row>
    <row r="587" spans="1:57" ht="13" x14ac:dyDescent="0.15">
      <c r="A587">
        <v>1839</v>
      </c>
      <c r="B587">
        <v>31447225</v>
      </c>
      <c r="C587" t="s">
        <v>179</v>
      </c>
      <c r="D587" s="7">
        <v>39695</v>
      </c>
      <c r="E587" s="7">
        <v>45695</v>
      </c>
      <c r="F587">
        <v>330862</v>
      </c>
      <c r="G587" t="s">
        <v>983</v>
      </c>
      <c r="H587" t="s">
        <v>9</v>
      </c>
      <c r="I587" s="7">
        <v>45694</v>
      </c>
      <c r="J587" s="8">
        <v>0.77366898148148144</v>
      </c>
      <c r="K587" t="s">
        <v>984</v>
      </c>
      <c r="AQ587" t="s">
        <v>992</v>
      </c>
      <c r="AR587" t="s">
        <v>1059</v>
      </c>
      <c r="AT587" t="s">
        <v>987</v>
      </c>
      <c r="AZ587" t="s">
        <v>1044</v>
      </c>
      <c r="BA587" t="s">
        <v>1045</v>
      </c>
      <c r="BB587" t="s">
        <v>990</v>
      </c>
      <c r="BD587" t="s">
        <v>991</v>
      </c>
      <c r="BE587" t="s">
        <v>179</v>
      </c>
    </row>
    <row r="588" spans="1:57" ht="13" x14ac:dyDescent="0.15">
      <c r="A588">
        <v>1839</v>
      </c>
      <c r="B588">
        <v>31447225</v>
      </c>
      <c r="C588" t="s">
        <v>179</v>
      </c>
      <c r="D588" s="7">
        <v>39695</v>
      </c>
      <c r="E588" s="7">
        <v>45695</v>
      </c>
      <c r="F588">
        <v>330862</v>
      </c>
      <c r="G588" t="s">
        <v>983</v>
      </c>
      <c r="H588" t="s">
        <v>9</v>
      </c>
      <c r="I588" s="7">
        <v>45643</v>
      </c>
      <c r="J588" s="8">
        <v>0.97416666666666663</v>
      </c>
      <c r="K588" t="s">
        <v>984</v>
      </c>
      <c r="AQ588" t="s">
        <v>992</v>
      </c>
      <c r="AR588" t="s">
        <v>1086</v>
      </c>
      <c r="AT588" t="s">
        <v>987</v>
      </c>
      <c r="AZ588" t="s">
        <v>1028</v>
      </c>
      <c r="BA588" t="s">
        <v>1029</v>
      </c>
      <c r="BB588" t="s">
        <v>1018</v>
      </c>
      <c r="BD588" t="s">
        <v>1022</v>
      </c>
      <c r="BE588" t="s">
        <v>179</v>
      </c>
    </row>
    <row r="589" spans="1:57" ht="13" x14ac:dyDescent="0.15">
      <c r="A589">
        <v>1839</v>
      </c>
      <c r="B589">
        <v>31447225</v>
      </c>
      <c r="C589" t="s">
        <v>179</v>
      </c>
      <c r="D589" s="7">
        <v>39695</v>
      </c>
      <c r="E589" s="7">
        <v>45695</v>
      </c>
      <c r="F589">
        <v>330862</v>
      </c>
      <c r="G589" t="s">
        <v>983</v>
      </c>
      <c r="H589" t="s">
        <v>9</v>
      </c>
      <c r="I589" s="7">
        <v>45674</v>
      </c>
      <c r="J589" s="8">
        <v>0.84305555555555556</v>
      </c>
      <c r="K589" t="s">
        <v>984</v>
      </c>
      <c r="AQ589" t="s">
        <v>992</v>
      </c>
      <c r="AR589" t="s">
        <v>1095</v>
      </c>
      <c r="AT589" t="s">
        <v>987</v>
      </c>
      <c r="AZ589" t="s">
        <v>1002</v>
      </c>
      <c r="BA589" t="s">
        <v>1003</v>
      </c>
      <c r="BB589" t="s">
        <v>1004</v>
      </c>
      <c r="BD589" t="s">
        <v>1005</v>
      </c>
      <c r="BE589" t="s">
        <v>179</v>
      </c>
    </row>
    <row r="590" spans="1:57" ht="13" x14ac:dyDescent="0.15">
      <c r="A590">
        <v>1839</v>
      </c>
      <c r="B590">
        <v>31447225</v>
      </c>
      <c r="C590" t="s">
        <v>179</v>
      </c>
      <c r="D590" s="7">
        <v>39695</v>
      </c>
      <c r="E590" s="7">
        <v>45695</v>
      </c>
      <c r="F590">
        <v>330862</v>
      </c>
      <c r="G590" t="s">
        <v>983</v>
      </c>
      <c r="H590" t="s">
        <v>9</v>
      </c>
      <c r="I590" s="7">
        <v>45636</v>
      </c>
      <c r="J590" s="8">
        <v>0.85594907407407406</v>
      </c>
      <c r="K590" t="s">
        <v>984</v>
      </c>
      <c r="AQ590" t="s">
        <v>992</v>
      </c>
      <c r="AR590" t="s">
        <v>1262</v>
      </c>
      <c r="AT590" t="s">
        <v>987</v>
      </c>
      <c r="AZ590" t="s">
        <v>1028</v>
      </c>
      <c r="BA590" t="s">
        <v>1029</v>
      </c>
      <c r="BB590" t="s">
        <v>1018</v>
      </c>
      <c r="BD590" t="s">
        <v>1022</v>
      </c>
      <c r="BE590" t="s">
        <v>179</v>
      </c>
    </row>
    <row r="591" spans="1:57" ht="13" x14ac:dyDescent="0.15">
      <c r="A591">
        <v>1839</v>
      </c>
      <c r="B591">
        <v>31447225</v>
      </c>
      <c r="C591" t="s">
        <v>179</v>
      </c>
      <c r="D591" s="7">
        <v>39695</v>
      </c>
      <c r="E591" s="7">
        <v>45695</v>
      </c>
      <c r="F591">
        <v>330862</v>
      </c>
      <c r="G591" t="s">
        <v>983</v>
      </c>
      <c r="H591" t="s">
        <v>9</v>
      </c>
      <c r="I591" s="7">
        <v>45694</v>
      </c>
      <c r="J591" s="8">
        <v>0.75451388888888893</v>
      </c>
      <c r="K591" t="s">
        <v>984</v>
      </c>
      <c r="AQ591" t="s">
        <v>992</v>
      </c>
      <c r="AR591" t="s">
        <v>993</v>
      </c>
      <c r="AT591" t="s">
        <v>987</v>
      </c>
      <c r="AZ591" t="s">
        <v>988</v>
      </c>
      <c r="BA591" t="s">
        <v>989</v>
      </c>
      <c r="BB591" t="s">
        <v>990</v>
      </c>
      <c r="BD591" t="s">
        <v>991</v>
      </c>
      <c r="BE591" t="s">
        <v>179</v>
      </c>
    </row>
    <row r="592" spans="1:57" ht="13" x14ac:dyDescent="0.15">
      <c r="A592">
        <v>1839</v>
      </c>
      <c r="B592">
        <v>31450502</v>
      </c>
      <c r="C592" t="s">
        <v>180</v>
      </c>
      <c r="D592" s="7">
        <v>39661</v>
      </c>
      <c r="E592" s="7">
        <v>45699</v>
      </c>
      <c r="F592">
        <v>330862</v>
      </c>
      <c r="G592" t="s">
        <v>983</v>
      </c>
      <c r="H592" t="s">
        <v>9</v>
      </c>
      <c r="I592" s="7">
        <v>45699</v>
      </c>
      <c r="J592" s="8">
        <v>0.74045138888888884</v>
      </c>
      <c r="K592" t="s">
        <v>984</v>
      </c>
      <c r="AQ592" t="s">
        <v>1089</v>
      </c>
      <c r="AR592" t="s">
        <v>993</v>
      </c>
      <c r="AT592" t="s">
        <v>987</v>
      </c>
      <c r="AZ592" t="s">
        <v>988</v>
      </c>
      <c r="BA592" t="s">
        <v>989</v>
      </c>
      <c r="BB592" t="s">
        <v>990</v>
      </c>
      <c r="BD592" t="s">
        <v>991</v>
      </c>
      <c r="BE592" t="s">
        <v>180</v>
      </c>
    </row>
    <row r="593" spans="1:57" ht="13" x14ac:dyDescent="0.15">
      <c r="A593">
        <v>1839</v>
      </c>
      <c r="B593">
        <v>31451349</v>
      </c>
      <c r="C593" t="s">
        <v>181</v>
      </c>
      <c r="D593" s="7">
        <v>39678</v>
      </c>
      <c r="E593" s="7">
        <v>45713</v>
      </c>
      <c r="F593">
        <v>330862</v>
      </c>
      <c r="G593" t="s">
        <v>983</v>
      </c>
      <c r="H593" t="s">
        <v>9</v>
      </c>
      <c r="I593" s="7">
        <v>45694</v>
      </c>
      <c r="J593" s="8">
        <v>0.36483796296296295</v>
      </c>
      <c r="K593" t="s">
        <v>984</v>
      </c>
      <c r="AQ593" t="s">
        <v>992</v>
      </c>
      <c r="AR593" t="s">
        <v>986</v>
      </c>
      <c r="AT593" t="s">
        <v>987</v>
      </c>
      <c r="AZ593" t="s">
        <v>988</v>
      </c>
      <c r="BA593" t="s">
        <v>989</v>
      </c>
      <c r="BB593" t="s">
        <v>990</v>
      </c>
      <c r="BD593" t="s">
        <v>991</v>
      </c>
      <c r="BE593" t="s">
        <v>181</v>
      </c>
    </row>
    <row r="594" spans="1:57" ht="13" x14ac:dyDescent="0.15">
      <c r="A594">
        <v>1839</v>
      </c>
      <c r="B594">
        <v>31464748</v>
      </c>
      <c r="C594" t="s">
        <v>182</v>
      </c>
      <c r="D594" s="7">
        <v>41305</v>
      </c>
      <c r="E594" s="7">
        <v>45711</v>
      </c>
      <c r="F594">
        <v>330862</v>
      </c>
      <c r="G594" t="s">
        <v>983</v>
      </c>
      <c r="H594" t="s">
        <v>9</v>
      </c>
      <c r="I594" s="7">
        <v>45694</v>
      </c>
      <c r="J594" s="8">
        <v>0.71284722222222219</v>
      </c>
      <c r="K594" t="s">
        <v>984</v>
      </c>
      <c r="AQ594" t="s">
        <v>998</v>
      </c>
      <c r="AR594" t="s">
        <v>986</v>
      </c>
      <c r="AT594" t="s">
        <v>987</v>
      </c>
      <c r="AZ594" t="s">
        <v>988</v>
      </c>
      <c r="BA594" t="s">
        <v>989</v>
      </c>
      <c r="BB594" t="s">
        <v>990</v>
      </c>
      <c r="BD594" t="s">
        <v>991</v>
      </c>
      <c r="BE594" t="s">
        <v>182</v>
      </c>
    </row>
    <row r="595" spans="1:57" ht="13" x14ac:dyDescent="0.15">
      <c r="A595">
        <v>1839</v>
      </c>
      <c r="B595">
        <v>31464748</v>
      </c>
      <c r="C595" t="s">
        <v>182</v>
      </c>
      <c r="D595" s="7">
        <v>41305</v>
      </c>
      <c r="E595" s="7">
        <v>45711</v>
      </c>
      <c r="F595">
        <v>330862</v>
      </c>
      <c r="G595" t="s">
        <v>983</v>
      </c>
      <c r="H595" t="s">
        <v>9</v>
      </c>
      <c r="I595" s="7">
        <v>45659</v>
      </c>
      <c r="J595" s="8">
        <v>0.84767361111111106</v>
      </c>
      <c r="K595" t="s">
        <v>984</v>
      </c>
      <c r="AQ595" t="s">
        <v>998</v>
      </c>
      <c r="AR595" t="s">
        <v>1342</v>
      </c>
      <c r="AT595" t="s">
        <v>987</v>
      </c>
      <c r="AZ595" t="s">
        <v>1002</v>
      </c>
      <c r="BA595" t="s">
        <v>1003</v>
      </c>
      <c r="BB595" t="s">
        <v>1004</v>
      </c>
      <c r="BD595" t="s">
        <v>1005</v>
      </c>
      <c r="BE595" t="s">
        <v>182</v>
      </c>
    </row>
    <row r="596" spans="1:57" ht="13" x14ac:dyDescent="0.15">
      <c r="A596">
        <v>1839</v>
      </c>
      <c r="B596">
        <v>31464748</v>
      </c>
      <c r="C596" t="s">
        <v>182</v>
      </c>
      <c r="D596" s="7">
        <v>41305</v>
      </c>
      <c r="E596" s="7">
        <v>45711</v>
      </c>
      <c r="F596">
        <v>330862</v>
      </c>
      <c r="G596" t="s">
        <v>983</v>
      </c>
      <c r="H596" t="s">
        <v>9</v>
      </c>
      <c r="I596" s="7">
        <v>45694</v>
      </c>
      <c r="J596" s="8">
        <v>0.71457175925925931</v>
      </c>
      <c r="K596" t="s">
        <v>984</v>
      </c>
      <c r="AQ596" t="s">
        <v>998</v>
      </c>
      <c r="AR596" t="s">
        <v>1384</v>
      </c>
      <c r="AT596" t="s">
        <v>987</v>
      </c>
      <c r="AZ596" t="s">
        <v>988</v>
      </c>
      <c r="BA596" t="s">
        <v>1035</v>
      </c>
      <c r="BB596" t="s">
        <v>1026</v>
      </c>
      <c r="BD596" t="s">
        <v>991</v>
      </c>
      <c r="BE596" t="s">
        <v>182</v>
      </c>
    </row>
    <row r="597" spans="1:57" ht="13" x14ac:dyDescent="0.15">
      <c r="A597">
        <v>1839</v>
      </c>
      <c r="B597">
        <v>31464748</v>
      </c>
      <c r="C597" t="s">
        <v>182</v>
      </c>
      <c r="D597" s="7">
        <v>41305</v>
      </c>
      <c r="E597" s="7">
        <v>45711</v>
      </c>
      <c r="F597">
        <v>330862</v>
      </c>
      <c r="G597" t="s">
        <v>983</v>
      </c>
      <c r="H597" t="s">
        <v>9</v>
      </c>
      <c r="I597" s="7">
        <v>45694</v>
      </c>
      <c r="J597" s="8">
        <v>0.71513888888888888</v>
      </c>
      <c r="K597" t="s">
        <v>984</v>
      </c>
      <c r="AQ597" t="s">
        <v>998</v>
      </c>
      <c r="AR597" t="s">
        <v>1295</v>
      </c>
      <c r="AT597" t="s">
        <v>987</v>
      </c>
      <c r="AZ597" t="s">
        <v>1174</v>
      </c>
      <c r="BA597" t="s">
        <v>1175</v>
      </c>
      <c r="BB597" t="s">
        <v>990</v>
      </c>
      <c r="BD597" t="s">
        <v>991</v>
      </c>
      <c r="BE597" t="s">
        <v>182</v>
      </c>
    </row>
    <row r="598" spans="1:57" ht="13" x14ac:dyDescent="0.15">
      <c r="A598">
        <v>1839</v>
      </c>
      <c r="B598">
        <v>31464748</v>
      </c>
      <c r="C598" t="s">
        <v>182</v>
      </c>
      <c r="D598" s="7">
        <v>41305</v>
      </c>
      <c r="E598" s="7">
        <v>45711</v>
      </c>
      <c r="F598">
        <v>330862</v>
      </c>
      <c r="G598" t="s">
        <v>983</v>
      </c>
      <c r="H598" t="s">
        <v>9</v>
      </c>
      <c r="I598" s="7">
        <v>45703</v>
      </c>
      <c r="J598" s="8">
        <v>0.97151620370370373</v>
      </c>
      <c r="K598" t="s">
        <v>984</v>
      </c>
      <c r="AQ598" t="s">
        <v>998</v>
      </c>
      <c r="AR598" t="s">
        <v>1341</v>
      </c>
      <c r="AT598" t="s">
        <v>987</v>
      </c>
      <c r="AZ598" t="s">
        <v>1174</v>
      </c>
      <c r="BA598" t="s">
        <v>1175</v>
      </c>
      <c r="BB598" t="s">
        <v>990</v>
      </c>
      <c r="BD598" t="s">
        <v>991</v>
      </c>
      <c r="BE598" t="s">
        <v>182</v>
      </c>
    </row>
    <row r="599" spans="1:57" ht="13" x14ac:dyDescent="0.15">
      <c r="A599">
        <v>1839</v>
      </c>
      <c r="B599">
        <v>31464748</v>
      </c>
      <c r="C599" t="s">
        <v>182</v>
      </c>
      <c r="D599" s="7">
        <v>41305</v>
      </c>
      <c r="E599" s="7">
        <v>45711</v>
      </c>
      <c r="F599">
        <v>330862</v>
      </c>
      <c r="G599" t="s">
        <v>983</v>
      </c>
      <c r="H599" t="s">
        <v>9</v>
      </c>
      <c r="I599" s="7">
        <v>45711</v>
      </c>
      <c r="J599" s="8">
        <v>0.39603009259259259</v>
      </c>
      <c r="K599" t="s">
        <v>984</v>
      </c>
      <c r="AQ599" t="s">
        <v>998</v>
      </c>
      <c r="AR599" t="s">
        <v>1385</v>
      </c>
      <c r="AT599" t="s">
        <v>987</v>
      </c>
      <c r="AZ599" t="s">
        <v>1002</v>
      </c>
      <c r="BA599" t="s">
        <v>1040</v>
      </c>
      <c r="BB599" t="s">
        <v>1041</v>
      </c>
      <c r="BD599" t="s">
        <v>991</v>
      </c>
      <c r="BE599" t="s">
        <v>182</v>
      </c>
    </row>
    <row r="600" spans="1:57" ht="13" x14ac:dyDescent="0.15">
      <c r="A600">
        <v>1839</v>
      </c>
      <c r="B600">
        <v>31464748</v>
      </c>
      <c r="C600" t="s">
        <v>182</v>
      </c>
      <c r="D600" s="7">
        <v>41305</v>
      </c>
      <c r="E600" s="7">
        <v>45711</v>
      </c>
      <c r="F600">
        <v>330862</v>
      </c>
      <c r="G600" t="s">
        <v>983</v>
      </c>
      <c r="H600" t="s">
        <v>9</v>
      </c>
      <c r="I600" s="7">
        <v>45711</v>
      </c>
      <c r="J600" s="8">
        <v>0.39696759259259257</v>
      </c>
      <c r="K600" t="s">
        <v>984</v>
      </c>
      <c r="AQ600" t="s">
        <v>998</v>
      </c>
      <c r="AR600" t="s">
        <v>1386</v>
      </c>
      <c r="AT600" t="s">
        <v>987</v>
      </c>
      <c r="AZ600" t="s">
        <v>1028</v>
      </c>
      <c r="BA600" t="s">
        <v>1037</v>
      </c>
      <c r="BB600" t="s">
        <v>1038</v>
      </c>
      <c r="BD600" t="s">
        <v>991</v>
      </c>
      <c r="BE600" t="s">
        <v>182</v>
      </c>
    </row>
    <row r="601" spans="1:57" ht="13" x14ac:dyDescent="0.15">
      <c r="A601">
        <v>1839</v>
      </c>
      <c r="B601">
        <v>31464748</v>
      </c>
      <c r="C601" t="s">
        <v>182</v>
      </c>
      <c r="D601" s="7">
        <v>41305</v>
      </c>
      <c r="E601" s="7">
        <v>45711</v>
      </c>
      <c r="F601">
        <v>330862</v>
      </c>
      <c r="G601" t="s">
        <v>983</v>
      </c>
      <c r="H601" t="s">
        <v>9</v>
      </c>
      <c r="I601" s="7">
        <v>45711</v>
      </c>
      <c r="J601" s="8">
        <v>0.39752314814814815</v>
      </c>
      <c r="K601" t="s">
        <v>984</v>
      </c>
      <c r="AQ601" t="s">
        <v>998</v>
      </c>
      <c r="AR601" t="s">
        <v>1387</v>
      </c>
      <c r="AT601" t="s">
        <v>987</v>
      </c>
      <c r="AZ601" t="s">
        <v>1080</v>
      </c>
      <c r="BA601" t="s">
        <v>1081</v>
      </c>
      <c r="BB601" t="s">
        <v>1082</v>
      </c>
      <c r="BD601" t="s">
        <v>991</v>
      </c>
      <c r="BE601" t="s">
        <v>182</v>
      </c>
    </row>
    <row r="602" spans="1:57" ht="13" x14ac:dyDescent="0.15">
      <c r="A602">
        <v>1839</v>
      </c>
      <c r="B602">
        <v>31464748</v>
      </c>
      <c r="C602" t="s">
        <v>182</v>
      </c>
      <c r="D602" s="7">
        <v>41305</v>
      </c>
      <c r="E602" s="7">
        <v>45711</v>
      </c>
      <c r="F602">
        <v>330862</v>
      </c>
      <c r="G602" t="s">
        <v>983</v>
      </c>
      <c r="H602" t="s">
        <v>9</v>
      </c>
      <c r="I602" s="7">
        <v>45711</v>
      </c>
      <c r="J602" s="8">
        <v>0.39957175925925925</v>
      </c>
      <c r="K602" t="s">
        <v>984</v>
      </c>
      <c r="AQ602" t="s">
        <v>998</v>
      </c>
      <c r="AR602" t="s">
        <v>1388</v>
      </c>
      <c r="AT602" t="s">
        <v>987</v>
      </c>
      <c r="AZ602" t="s">
        <v>1220</v>
      </c>
      <c r="BA602" t="s">
        <v>1221</v>
      </c>
      <c r="BB602" t="s">
        <v>1082</v>
      </c>
      <c r="BD602" t="s">
        <v>991</v>
      </c>
      <c r="BE602" t="s">
        <v>182</v>
      </c>
    </row>
    <row r="603" spans="1:57" ht="13" x14ac:dyDescent="0.15">
      <c r="A603">
        <v>1839</v>
      </c>
      <c r="B603">
        <v>31464748</v>
      </c>
      <c r="C603" t="s">
        <v>182</v>
      </c>
      <c r="D603" s="7">
        <v>41305</v>
      </c>
      <c r="E603" s="7">
        <v>45711</v>
      </c>
      <c r="F603">
        <v>330862</v>
      </c>
      <c r="G603" t="s">
        <v>983</v>
      </c>
      <c r="H603" t="s">
        <v>9</v>
      </c>
      <c r="I603" s="7">
        <v>45711</v>
      </c>
      <c r="J603" s="8">
        <v>0.40025462962962965</v>
      </c>
      <c r="K603" t="s">
        <v>984</v>
      </c>
      <c r="AQ603" t="s">
        <v>998</v>
      </c>
      <c r="AR603" t="s">
        <v>1389</v>
      </c>
      <c r="AT603" t="s">
        <v>987</v>
      </c>
      <c r="AZ603" t="s">
        <v>1182</v>
      </c>
      <c r="BA603" t="s">
        <v>1183</v>
      </c>
      <c r="BB603" t="s">
        <v>990</v>
      </c>
      <c r="BD603" t="s">
        <v>991</v>
      </c>
      <c r="BE603" t="s">
        <v>182</v>
      </c>
    </row>
    <row r="604" spans="1:57" ht="13" x14ac:dyDescent="0.15">
      <c r="A604">
        <v>1839</v>
      </c>
      <c r="B604">
        <v>31464748</v>
      </c>
      <c r="C604" t="s">
        <v>182</v>
      </c>
      <c r="D604" s="7">
        <v>41305</v>
      </c>
      <c r="E604" s="7">
        <v>45711</v>
      </c>
      <c r="F604">
        <v>330862</v>
      </c>
      <c r="G604" t="s">
        <v>983</v>
      </c>
      <c r="H604" t="s">
        <v>9</v>
      </c>
      <c r="I604" s="7">
        <v>45665</v>
      </c>
      <c r="J604" s="8">
        <v>0.84810185185185183</v>
      </c>
      <c r="K604" t="s">
        <v>984</v>
      </c>
      <c r="AQ604" t="s">
        <v>998</v>
      </c>
      <c r="AR604" t="s">
        <v>1390</v>
      </c>
      <c r="AT604" t="s">
        <v>987</v>
      </c>
      <c r="AZ604" t="s">
        <v>988</v>
      </c>
      <c r="BA604" t="s">
        <v>1058</v>
      </c>
      <c r="BB604" t="s">
        <v>1018</v>
      </c>
      <c r="BD604" t="s">
        <v>1005</v>
      </c>
      <c r="BE604" t="s">
        <v>182</v>
      </c>
    </row>
    <row r="605" spans="1:57" ht="13" x14ac:dyDescent="0.15">
      <c r="A605">
        <v>1839</v>
      </c>
      <c r="B605">
        <v>31464748</v>
      </c>
      <c r="C605" t="s">
        <v>182</v>
      </c>
      <c r="D605" s="7">
        <v>41305</v>
      </c>
      <c r="E605" s="7">
        <v>45711</v>
      </c>
      <c r="F605">
        <v>330862</v>
      </c>
      <c r="G605" t="s">
        <v>983</v>
      </c>
      <c r="H605" t="s">
        <v>9</v>
      </c>
      <c r="I605" s="7">
        <v>45665</v>
      </c>
      <c r="J605" s="8">
        <v>0.8576273148148148</v>
      </c>
      <c r="K605" t="s">
        <v>984</v>
      </c>
      <c r="AQ605" t="s">
        <v>998</v>
      </c>
      <c r="AR605" t="s">
        <v>1390</v>
      </c>
      <c r="AT605" t="s">
        <v>987</v>
      </c>
      <c r="AZ605" t="s">
        <v>988</v>
      </c>
      <c r="BA605" t="s">
        <v>1058</v>
      </c>
      <c r="BB605" t="s">
        <v>1018</v>
      </c>
      <c r="BD605" t="s">
        <v>1005</v>
      </c>
      <c r="BE605" t="s">
        <v>182</v>
      </c>
    </row>
    <row r="606" spans="1:57" ht="13" x14ac:dyDescent="0.15">
      <c r="A606">
        <v>1839</v>
      </c>
      <c r="B606">
        <v>31464748</v>
      </c>
      <c r="C606" t="s">
        <v>182</v>
      </c>
      <c r="D606" s="7">
        <v>41305</v>
      </c>
      <c r="E606" s="7">
        <v>45711</v>
      </c>
      <c r="F606">
        <v>330862</v>
      </c>
      <c r="G606" t="s">
        <v>983</v>
      </c>
      <c r="H606" t="s">
        <v>9</v>
      </c>
      <c r="I606" s="7">
        <v>45668</v>
      </c>
      <c r="J606" s="8">
        <v>0.3840972222222222</v>
      </c>
      <c r="K606" t="s">
        <v>984</v>
      </c>
      <c r="AQ606" t="s">
        <v>998</v>
      </c>
      <c r="AR606" t="s">
        <v>1391</v>
      </c>
      <c r="AT606" t="s">
        <v>987</v>
      </c>
      <c r="AZ606" t="s">
        <v>1011</v>
      </c>
      <c r="BA606" t="s">
        <v>1202</v>
      </c>
      <c r="BB606" t="s">
        <v>1203</v>
      </c>
      <c r="BD606" t="s">
        <v>991</v>
      </c>
      <c r="BE606" t="s">
        <v>182</v>
      </c>
    </row>
    <row r="607" spans="1:57" ht="13" x14ac:dyDescent="0.15">
      <c r="A607">
        <v>1839</v>
      </c>
      <c r="B607">
        <v>31464748</v>
      </c>
      <c r="C607" t="s">
        <v>182</v>
      </c>
      <c r="D607" s="7">
        <v>41305</v>
      </c>
      <c r="E607" s="7">
        <v>45711</v>
      </c>
      <c r="F607">
        <v>330862</v>
      </c>
      <c r="G607" t="s">
        <v>983</v>
      </c>
      <c r="H607" t="s">
        <v>9</v>
      </c>
      <c r="I607" s="7">
        <v>45671</v>
      </c>
      <c r="J607" s="8">
        <v>0.93606481481481485</v>
      </c>
      <c r="K607" t="s">
        <v>984</v>
      </c>
      <c r="AQ607" t="s">
        <v>998</v>
      </c>
      <c r="AR607" t="s">
        <v>1392</v>
      </c>
      <c r="AT607" t="s">
        <v>987</v>
      </c>
      <c r="AZ607" t="s">
        <v>1007</v>
      </c>
      <c r="BA607" t="s">
        <v>1008</v>
      </c>
      <c r="BB607" t="s">
        <v>990</v>
      </c>
      <c r="BD607" t="s">
        <v>1005</v>
      </c>
      <c r="BE607" t="s">
        <v>182</v>
      </c>
    </row>
    <row r="608" spans="1:57" ht="13" x14ac:dyDescent="0.15">
      <c r="A608">
        <v>1839</v>
      </c>
      <c r="B608">
        <v>31464748</v>
      </c>
      <c r="C608" t="s">
        <v>182</v>
      </c>
      <c r="D608" s="7">
        <v>41305</v>
      </c>
      <c r="E608" s="7">
        <v>45711</v>
      </c>
      <c r="F608">
        <v>330862</v>
      </c>
      <c r="G608" t="s">
        <v>983</v>
      </c>
      <c r="H608" t="s">
        <v>9</v>
      </c>
      <c r="I608" s="7">
        <v>45671</v>
      </c>
      <c r="J608" s="8">
        <v>0.93695601851851851</v>
      </c>
      <c r="K608" t="s">
        <v>984</v>
      </c>
      <c r="AQ608" t="s">
        <v>998</v>
      </c>
      <c r="AR608" t="s">
        <v>1393</v>
      </c>
      <c r="AT608" t="s">
        <v>987</v>
      </c>
      <c r="AZ608" t="s">
        <v>1071</v>
      </c>
      <c r="BA608" t="s">
        <v>1072</v>
      </c>
      <c r="BB608" t="s">
        <v>1048</v>
      </c>
      <c r="BD608" t="s">
        <v>1005</v>
      </c>
      <c r="BE608" t="s">
        <v>182</v>
      </c>
    </row>
    <row r="609" spans="1:57" ht="13" x14ac:dyDescent="0.15">
      <c r="A609">
        <v>1839</v>
      </c>
      <c r="B609">
        <v>31464748</v>
      </c>
      <c r="C609" t="s">
        <v>182</v>
      </c>
      <c r="D609" s="7">
        <v>41305</v>
      </c>
      <c r="E609" s="7">
        <v>45711</v>
      </c>
      <c r="F609">
        <v>330862</v>
      </c>
      <c r="G609" t="s">
        <v>983</v>
      </c>
      <c r="H609" t="s">
        <v>9</v>
      </c>
      <c r="I609" s="7">
        <v>45671</v>
      </c>
      <c r="J609" s="8">
        <v>0.93799768518518523</v>
      </c>
      <c r="K609" t="s">
        <v>984</v>
      </c>
      <c r="AQ609" t="s">
        <v>998</v>
      </c>
      <c r="AR609" t="s">
        <v>1394</v>
      </c>
      <c r="AT609" t="s">
        <v>987</v>
      </c>
      <c r="AZ609" t="s">
        <v>1028</v>
      </c>
      <c r="BA609" t="s">
        <v>1068</v>
      </c>
      <c r="BB609" t="s">
        <v>1069</v>
      </c>
      <c r="BD609" t="s">
        <v>1005</v>
      </c>
      <c r="BE609" t="s">
        <v>182</v>
      </c>
    </row>
    <row r="610" spans="1:57" ht="13" x14ac:dyDescent="0.15">
      <c r="A610">
        <v>1839</v>
      </c>
      <c r="B610">
        <v>31464748</v>
      </c>
      <c r="C610" t="s">
        <v>182</v>
      </c>
      <c r="D610" s="7">
        <v>41305</v>
      </c>
      <c r="E610" s="7">
        <v>45711</v>
      </c>
      <c r="F610">
        <v>330862</v>
      </c>
      <c r="G610" t="s">
        <v>983</v>
      </c>
      <c r="H610" t="s">
        <v>9</v>
      </c>
      <c r="I610" s="7">
        <v>45671</v>
      </c>
      <c r="J610" s="8">
        <v>0.94008101851851855</v>
      </c>
      <c r="K610" t="s">
        <v>984</v>
      </c>
      <c r="AQ610" t="s">
        <v>998</v>
      </c>
      <c r="AR610" t="s">
        <v>1395</v>
      </c>
      <c r="AT610" t="s">
        <v>987</v>
      </c>
      <c r="AZ610" t="s">
        <v>1016</v>
      </c>
      <c r="BA610" t="s">
        <v>1017</v>
      </c>
      <c r="BB610" t="s">
        <v>1018</v>
      </c>
      <c r="BD610" t="s">
        <v>991</v>
      </c>
      <c r="BE610" t="s">
        <v>182</v>
      </c>
    </row>
    <row r="611" spans="1:57" ht="13" x14ac:dyDescent="0.15">
      <c r="A611">
        <v>1839</v>
      </c>
      <c r="B611">
        <v>31464748</v>
      </c>
      <c r="C611" t="s">
        <v>182</v>
      </c>
      <c r="D611" s="7">
        <v>41305</v>
      </c>
      <c r="E611" s="7">
        <v>45711</v>
      </c>
      <c r="F611">
        <v>330862</v>
      </c>
      <c r="G611" t="s">
        <v>983</v>
      </c>
      <c r="H611" t="s">
        <v>9</v>
      </c>
      <c r="I611" s="7">
        <v>45671</v>
      </c>
      <c r="J611" s="8">
        <v>0.94068287037037035</v>
      </c>
      <c r="K611" t="s">
        <v>984</v>
      </c>
      <c r="AQ611" t="s">
        <v>998</v>
      </c>
      <c r="AR611" t="s">
        <v>1396</v>
      </c>
      <c r="AT611" t="s">
        <v>987</v>
      </c>
      <c r="AZ611" t="s">
        <v>1024</v>
      </c>
      <c r="BA611" t="s">
        <v>1047</v>
      </c>
      <c r="BB611" t="s">
        <v>1048</v>
      </c>
      <c r="BD611" t="s">
        <v>1014</v>
      </c>
      <c r="BE611" t="s">
        <v>182</v>
      </c>
    </row>
    <row r="612" spans="1:57" ht="13" x14ac:dyDescent="0.15">
      <c r="A612">
        <v>1839</v>
      </c>
      <c r="B612">
        <v>31464748</v>
      </c>
      <c r="C612" t="s">
        <v>182</v>
      </c>
      <c r="D612" s="7">
        <v>41305</v>
      </c>
      <c r="E612" s="7">
        <v>45711</v>
      </c>
      <c r="F612">
        <v>330862</v>
      </c>
      <c r="G612" t="s">
        <v>983</v>
      </c>
      <c r="H612" t="s">
        <v>9</v>
      </c>
      <c r="I612" s="7">
        <v>45671</v>
      </c>
      <c r="J612" s="8">
        <v>0.94127314814814811</v>
      </c>
      <c r="K612" t="s">
        <v>984</v>
      </c>
      <c r="AQ612" t="s">
        <v>998</v>
      </c>
      <c r="AR612" t="s">
        <v>1397</v>
      </c>
      <c r="AT612" t="s">
        <v>987</v>
      </c>
      <c r="AZ612" t="s">
        <v>1044</v>
      </c>
      <c r="BA612" t="s">
        <v>1045</v>
      </c>
      <c r="BB612" t="s">
        <v>990</v>
      </c>
      <c r="BD612" t="s">
        <v>991</v>
      </c>
      <c r="BE612" t="s">
        <v>182</v>
      </c>
    </row>
    <row r="613" spans="1:57" ht="13" x14ac:dyDescent="0.15">
      <c r="A613">
        <v>1839</v>
      </c>
      <c r="B613">
        <v>31464748</v>
      </c>
      <c r="C613" t="s">
        <v>182</v>
      </c>
      <c r="D613" s="7">
        <v>41305</v>
      </c>
      <c r="E613" s="7">
        <v>45711</v>
      </c>
      <c r="F613">
        <v>330862</v>
      </c>
      <c r="G613" t="s">
        <v>983</v>
      </c>
      <c r="H613" t="s">
        <v>9</v>
      </c>
      <c r="I613" s="7">
        <v>45676</v>
      </c>
      <c r="J613" s="8">
        <v>0.46914351851851854</v>
      </c>
      <c r="K613" t="s">
        <v>984</v>
      </c>
      <c r="AQ613" t="s">
        <v>998</v>
      </c>
      <c r="AR613" t="s">
        <v>1398</v>
      </c>
      <c r="AT613" t="s">
        <v>987</v>
      </c>
      <c r="AZ613" t="s">
        <v>1011</v>
      </c>
      <c r="BA613" t="s">
        <v>1202</v>
      </c>
      <c r="BB613" t="s">
        <v>1203</v>
      </c>
      <c r="BD613" t="s">
        <v>991</v>
      </c>
      <c r="BE613" t="s">
        <v>182</v>
      </c>
    </row>
    <row r="614" spans="1:57" ht="13" x14ac:dyDescent="0.15">
      <c r="A614">
        <v>1839</v>
      </c>
      <c r="B614">
        <v>31464748</v>
      </c>
      <c r="C614" t="s">
        <v>182</v>
      </c>
      <c r="D614" s="7">
        <v>41305</v>
      </c>
      <c r="E614" s="7">
        <v>45711</v>
      </c>
      <c r="F614">
        <v>330862</v>
      </c>
      <c r="G614" t="s">
        <v>983</v>
      </c>
      <c r="H614" t="s">
        <v>9</v>
      </c>
      <c r="I614" s="7">
        <v>45678</v>
      </c>
      <c r="J614" s="8">
        <v>0.94065972222222227</v>
      </c>
      <c r="K614" t="s">
        <v>984</v>
      </c>
      <c r="AQ614" t="s">
        <v>998</v>
      </c>
      <c r="AR614" t="s">
        <v>1050</v>
      </c>
      <c r="AT614" t="s">
        <v>987</v>
      </c>
      <c r="AZ614" t="s">
        <v>1011</v>
      </c>
      <c r="BA614" t="s">
        <v>1012</v>
      </c>
      <c r="BB614" t="s">
        <v>1013</v>
      </c>
      <c r="BD614" t="s">
        <v>1014</v>
      </c>
      <c r="BE614" t="s">
        <v>182</v>
      </c>
    </row>
    <row r="615" spans="1:57" ht="13" x14ac:dyDescent="0.15">
      <c r="A615">
        <v>1839</v>
      </c>
      <c r="B615">
        <v>31464748</v>
      </c>
      <c r="C615" t="s">
        <v>182</v>
      </c>
      <c r="D615" s="7">
        <v>41305</v>
      </c>
      <c r="E615" s="7">
        <v>45711</v>
      </c>
      <c r="F615">
        <v>330862</v>
      </c>
      <c r="G615" t="s">
        <v>983</v>
      </c>
      <c r="H615" t="s">
        <v>9</v>
      </c>
      <c r="I615" s="7">
        <v>45678</v>
      </c>
      <c r="J615" s="8">
        <v>0.95340277777777782</v>
      </c>
      <c r="K615" t="s">
        <v>984</v>
      </c>
      <c r="AQ615" t="s">
        <v>998</v>
      </c>
      <c r="AR615" t="s">
        <v>1352</v>
      </c>
      <c r="AT615" t="s">
        <v>987</v>
      </c>
      <c r="AZ615" t="s">
        <v>1002</v>
      </c>
      <c r="BA615" t="s">
        <v>1003</v>
      </c>
      <c r="BB615" t="s">
        <v>1004</v>
      </c>
      <c r="BD615" t="s">
        <v>1005</v>
      </c>
      <c r="BE615" t="s">
        <v>182</v>
      </c>
    </row>
    <row r="616" spans="1:57" ht="13" x14ac:dyDescent="0.15">
      <c r="A616">
        <v>1839</v>
      </c>
      <c r="B616">
        <v>31464748</v>
      </c>
      <c r="C616" t="s">
        <v>182</v>
      </c>
      <c r="D616" s="7">
        <v>41305</v>
      </c>
      <c r="E616" s="7">
        <v>45711</v>
      </c>
      <c r="F616">
        <v>330862</v>
      </c>
      <c r="G616" t="s">
        <v>983</v>
      </c>
      <c r="H616" t="s">
        <v>9</v>
      </c>
      <c r="I616" s="7">
        <v>45616</v>
      </c>
      <c r="J616" s="8">
        <v>0.78486111111111112</v>
      </c>
      <c r="K616" t="s">
        <v>984</v>
      </c>
      <c r="AQ616" t="s">
        <v>998</v>
      </c>
      <c r="AR616" t="s">
        <v>1399</v>
      </c>
      <c r="AT616" t="s">
        <v>987</v>
      </c>
      <c r="AZ616" t="s">
        <v>1011</v>
      </c>
      <c r="BA616" t="s">
        <v>1103</v>
      </c>
      <c r="BB616" t="s">
        <v>1032</v>
      </c>
      <c r="BD616" t="s">
        <v>1005</v>
      </c>
      <c r="BE616" t="s">
        <v>182</v>
      </c>
    </row>
    <row r="617" spans="1:57" ht="13" x14ac:dyDescent="0.15">
      <c r="A617">
        <v>1839</v>
      </c>
      <c r="B617">
        <v>31464748</v>
      </c>
      <c r="C617" t="s">
        <v>182</v>
      </c>
      <c r="D617" s="7">
        <v>41305</v>
      </c>
      <c r="E617" s="7">
        <v>45711</v>
      </c>
      <c r="F617">
        <v>330862</v>
      </c>
      <c r="G617" t="s">
        <v>983</v>
      </c>
      <c r="H617" t="s">
        <v>9</v>
      </c>
      <c r="I617" s="7">
        <v>45630</v>
      </c>
      <c r="J617" s="8">
        <v>0.88400462962962967</v>
      </c>
      <c r="K617" t="s">
        <v>984</v>
      </c>
      <c r="AQ617" t="s">
        <v>998</v>
      </c>
      <c r="AR617" t="s">
        <v>1400</v>
      </c>
      <c r="AT617" t="s">
        <v>987</v>
      </c>
      <c r="AZ617" t="s">
        <v>1028</v>
      </c>
      <c r="BA617" t="s">
        <v>1029</v>
      </c>
      <c r="BB617" t="s">
        <v>1018</v>
      </c>
      <c r="BD617" t="s">
        <v>1022</v>
      </c>
      <c r="BE617" t="s">
        <v>182</v>
      </c>
    </row>
    <row r="618" spans="1:57" ht="13" x14ac:dyDescent="0.15">
      <c r="A618">
        <v>1839</v>
      </c>
      <c r="B618">
        <v>31464748</v>
      </c>
      <c r="C618" t="s">
        <v>182</v>
      </c>
      <c r="D618" s="7">
        <v>41305</v>
      </c>
      <c r="E618" s="7">
        <v>45711</v>
      </c>
      <c r="F618">
        <v>330862</v>
      </c>
      <c r="G618" t="s">
        <v>983</v>
      </c>
      <c r="H618" t="s">
        <v>9</v>
      </c>
      <c r="I618" s="7">
        <v>45631</v>
      </c>
      <c r="J618" s="8">
        <v>0.88583333333333336</v>
      </c>
      <c r="K618" t="s">
        <v>984</v>
      </c>
      <c r="AQ618" t="s">
        <v>998</v>
      </c>
      <c r="AR618" t="s">
        <v>1401</v>
      </c>
      <c r="AT618" t="s">
        <v>987</v>
      </c>
      <c r="AZ618" t="s">
        <v>1028</v>
      </c>
      <c r="BA618" t="s">
        <v>1029</v>
      </c>
      <c r="BB618" t="s">
        <v>1018</v>
      </c>
      <c r="BD618" t="s">
        <v>1022</v>
      </c>
      <c r="BE618" t="s">
        <v>182</v>
      </c>
    </row>
    <row r="619" spans="1:57" ht="13" x14ac:dyDescent="0.15">
      <c r="A619">
        <v>1839</v>
      </c>
      <c r="B619">
        <v>31464748</v>
      </c>
      <c r="C619" t="s">
        <v>182</v>
      </c>
      <c r="D619" s="7">
        <v>41305</v>
      </c>
      <c r="E619" s="7">
        <v>45711</v>
      </c>
      <c r="F619">
        <v>330862</v>
      </c>
      <c r="G619" t="s">
        <v>983</v>
      </c>
      <c r="H619" t="s">
        <v>9</v>
      </c>
      <c r="I619" s="7">
        <v>45632</v>
      </c>
      <c r="J619" s="8">
        <v>0.34369212962962964</v>
      </c>
      <c r="K619" t="s">
        <v>984</v>
      </c>
      <c r="AQ619" t="s">
        <v>998</v>
      </c>
      <c r="AR619" t="s">
        <v>1402</v>
      </c>
      <c r="AT619" t="s">
        <v>987</v>
      </c>
      <c r="AZ619" t="s">
        <v>1055</v>
      </c>
      <c r="BA619" t="s">
        <v>1056</v>
      </c>
      <c r="BB619" t="s">
        <v>1013</v>
      </c>
      <c r="BD619" t="s">
        <v>1022</v>
      </c>
      <c r="BE619" t="s">
        <v>182</v>
      </c>
    </row>
    <row r="620" spans="1:57" ht="13" x14ac:dyDescent="0.15">
      <c r="A620">
        <v>1839</v>
      </c>
      <c r="B620">
        <v>31464748</v>
      </c>
      <c r="C620" t="s">
        <v>182</v>
      </c>
      <c r="D620" s="7">
        <v>41305</v>
      </c>
      <c r="E620" s="7">
        <v>45711</v>
      </c>
      <c r="F620">
        <v>330862</v>
      </c>
      <c r="G620" t="s">
        <v>983</v>
      </c>
      <c r="H620" t="s">
        <v>9</v>
      </c>
      <c r="I620" s="7">
        <v>45635</v>
      </c>
      <c r="J620" s="8">
        <v>0.87564814814814818</v>
      </c>
      <c r="K620" t="s">
        <v>984</v>
      </c>
      <c r="AQ620" t="s">
        <v>998</v>
      </c>
      <c r="AR620" t="s">
        <v>1403</v>
      </c>
      <c r="AT620" t="s">
        <v>987</v>
      </c>
      <c r="AZ620" t="s">
        <v>1215</v>
      </c>
      <c r="BA620" t="s">
        <v>1216</v>
      </c>
      <c r="BB620" t="s">
        <v>1217</v>
      </c>
      <c r="BD620" t="s">
        <v>1022</v>
      </c>
      <c r="BE620" t="s">
        <v>182</v>
      </c>
    </row>
    <row r="621" spans="1:57" ht="13" x14ac:dyDescent="0.15">
      <c r="A621">
        <v>1839</v>
      </c>
      <c r="B621">
        <v>31464748</v>
      </c>
      <c r="C621" t="s">
        <v>182</v>
      </c>
      <c r="D621" s="7">
        <v>41305</v>
      </c>
      <c r="E621" s="7">
        <v>45711</v>
      </c>
      <c r="F621">
        <v>330862</v>
      </c>
      <c r="G621" t="s">
        <v>983</v>
      </c>
      <c r="H621" t="s">
        <v>9</v>
      </c>
      <c r="I621" s="7">
        <v>45635</v>
      </c>
      <c r="J621" s="8">
        <v>0.8778125</v>
      </c>
      <c r="K621" t="s">
        <v>984</v>
      </c>
      <c r="AQ621" t="s">
        <v>998</v>
      </c>
      <c r="AR621" t="s">
        <v>1403</v>
      </c>
      <c r="AT621" t="s">
        <v>987</v>
      </c>
      <c r="AZ621" t="s">
        <v>1215</v>
      </c>
      <c r="BA621" t="s">
        <v>1216</v>
      </c>
      <c r="BB621" t="s">
        <v>1217</v>
      </c>
      <c r="BD621" t="s">
        <v>1022</v>
      </c>
      <c r="BE621" t="s">
        <v>182</v>
      </c>
    </row>
    <row r="622" spans="1:57" ht="13" x14ac:dyDescent="0.15">
      <c r="A622">
        <v>1839</v>
      </c>
      <c r="B622">
        <v>31464748</v>
      </c>
      <c r="C622" t="s">
        <v>182</v>
      </c>
      <c r="D622" s="7">
        <v>41305</v>
      </c>
      <c r="E622" s="7">
        <v>45711</v>
      </c>
      <c r="F622">
        <v>330862</v>
      </c>
      <c r="G622" t="s">
        <v>983</v>
      </c>
      <c r="H622" t="s">
        <v>9</v>
      </c>
      <c r="I622" s="7">
        <v>45635</v>
      </c>
      <c r="J622" s="8">
        <v>0.87834490740740745</v>
      </c>
      <c r="K622" t="s">
        <v>984</v>
      </c>
      <c r="AQ622" t="s">
        <v>998</v>
      </c>
      <c r="AR622" t="s">
        <v>1404</v>
      </c>
      <c r="AT622" t="s">
        <v>987</v>
      </c>
      <c r="AZ622" t="s">
        <v>1239</v>
      </c>
      <c r="BA622" t="s">
        <v>1281</v>
      </c>
      <c r="BB622" t="s">
        <v>1026</v>
      </c>
      <c r="BD622" t="s">
        <v>1022</v>
      </c>
      <c r="BE622" t="s">
        <v>182</v>
      </c>
    </row>
    <row r="623" spans="1:57" ht="13" x14ac:dyDescent="0.15">
      <c r="A623">
        <v>1839</v>
      </c>
      <c r="B623">
        <v>31464748</v>
      </c>
      <c r="C623" t="s">
        <v>182</v>
      </c>
      <c r="D623" s="7">
        <v>41305</v>
      </c>
      <c r="E623" s="7">
        <v>45711</v>
      </c>
      <c r="F623">
        <v>330862</v>
      </c>
      <c r="G623" t="s">
        <v>983</v>
      </c>
      <c r="H623" t="s">
        <v>9</v>
      </c>
      <c r="I623" s="7">
        <v>45635</v>
      </c>
      <c r="J623" s="8">
        <v>0.87918981481481484</v>
      </c>
      <c r="K623" t="s">
        <v>984</v>
      </c>
      <c r="AQ623" t="s">
        <v>998</v>
      </c>
      <c r="AR623" t="s">
        <v>1131</v>
      </c>
      <c r="AT623" t="s">
        <v>987</v>
      </c>
      <c r="AZ623" t="s">
        <v>1020</v>
      </c>
      <c r="BA623" t="s">
        <v>1021</v>
      </c>
      <c r="BB623" t="s">
        <v>1018</v>
      </c>
      <c r="BD623" t="s">
        <v>1022</v>
      </c>
      <c r="BE623" t="s">
        <v>182</v>
      </c>
    </row>
    <row r="624" spans="1:57" ht="13" x14ac:dyDescent="0.15">
      <c r="A624">
        <v>1839</v>
      </c>
      <c r="B624">
        <v>31464748</v>
      </c>
      <c r="C624" t="s">
        <v>182</v>
      </c>
      <c r="D624" s="7">
        <v>41305</v>
      </c>
      <c r="E624" s="7">
        <v>45711</v>
      </c>
      <c r="F624">
        <v>330862</v>
      </c>
      <c r="G624" t="s">
        <v>983</v>
      </c>
      <c r="H624" t="s">
        <v>9</v>
      </c>
      <c r="I624" s="7">
        <v>45635</v>
      </c>
      <c r="J624" s="8">
        <v>0.88017361111111114</v>
      </c>
      <c r="K624" t="s">
        <v>984</v>
      </c>
      <c r="AQ624" t="s">
        <v>998</v>
      </c>
      <c r="AR624" t="s">
        <v>1209</v>
      </c>
      <c r="AT624" t="s">
        <v>987</v>
      </c>
      <c r="AZ624" t="s">
        <v>1024</v>
      </c>
      <c r="BA624" t="s">
        <v>1025</v>
      </c>
      <c r="BB624" t="s">
        <v>1026</v>
      </c>
      <c r="BD624" t="s">
        <v>1022</v>
      </c>
      <c r="BE624" t="s">
        <v>182</v>
      </c>
    </row>
    <row r="625" spans="1:57" ht="13" x14ac:dyDescent="0.15">
      <c r="A625">
        <v>1839</v>
      </c>
      <c r="B625">
        <v>31464748</v>
      </c>
      <c r="C625" t="s">
        <v>182</v>
      </c>
      <c r="D625" s="7">
        <v>41305</v>
      </c>
      <c r="E625" s="7">
        <v>45711</v>
      </c>
      <c r="F625">
        <v>330862</v>
      </c>
      <c r="G625" t="s">
        <v>983</v>
      </c>
      <c r="H625" t="s">
        <v>9</v>
      </c>
      <c r="I625" s="7">
        <v>45637</v>
      </c>
      <c r="J625" s="8">
        <v>0.44469907407407405</v>
      </c>
      <c r="K625" t="s">
        <v>984</v>
      </c>
      <c r="AQ625" t="s">
        <v>998</v>
      </c>
      <c r="AR625" t="s">
        <v>1405</v>
      </c>
      <c r="AT625" t="s">
        <v>987</v>
      </c>
      <c r="AZ625" t="s">
        <v>1239</v>
      </c>
      <c r="BA625" t="s">
        <v>1281</v>
      </c>
      <c r="BB625" t="s">
        <v>1026</v>
      </c>
      <c r="BD625" t="s">
        <v>1022</v>
      </c>
      <c r="BE625" t="s">
        <v>182</v>
      </c>
    </row>
    <row r="626" spans="1:57" ht="13" x14ac:dyDescent="0.15">
      <c r="A626">
        <v>1839</v>
      </c>
      <c r="B626">
        <v>31464748</v>
      </c>
      <c r="C626" t="s">
        <v>182</v>
      </c>
      <c r="D626" s="7">
        <v>41305</v>
      </c>
      <c r="E626" s="7">
        <v>45711</v>
      </c>
      <c r="F626">
        <v>330862</v>
      </c>
      <c r="G626" t="s">
        <v>983</v>
      </c>
      <c r="H626" t="s">
        <v>9</v>
      </c>
      <c r="I626" s="7">
        <v>45639</v>
      </c>
      <c r="J626" s="8">
        <v>0.57162037037037039</v>
      </c>
      <c r="K626" t="s">
        <v>984</v>
      </c>
      <c r="AQ626" t="s">
        <v>998</v>
      </c>
      <c r="AR626" t="s">
        <v>1406</v>
      </c>
      <c r="AT626" t="s">
        <v>987</v>
      </c>
      <c r="AZ626" t="s">
        <v>1239</v>
      </c>
      <c r="BA626" t="s">
        <v>1281</v>
      </c>
      <c r="BB626" t="s">
        <v>1026</v>
      </c>
      <c r="BD626" t="s">
        <v>1022</v>
      </c>
      <c r="BE626" t="s">
        <v>182</v>
      </c>
    </row>
    <row r="627" spans="1:57" ht="13" x14ac:dyDescent="0.15">
      <c r="A627">
        <v>1839</v>
      </c>
      <c r="B627">
        <v>31464748</v>
      </c>
      <c r="C627" t="s">
        <v>182</v>
      </c>
      <c r="D627" s="7">
        <v>41305</v>
      </c>
      <c r="E627" s="7">
        <v>45711</v>
      </c>
      <c r="F627">
        <v>330862</v>
      </c>
      <c r="G627" t="s">
        <v>983</v>
      </c>
      <c r="H627" t="s">
        <v>9</v>
      </c>
      <c r="I627" s="7">
        <v>45657</v>
      </c>
      <c r="J627" s="8">
        <v>0.53702546296296294</v>
      </c>
      <c r="K627" t="s">
        <v>984</v>
      </c>
      <c r="AQ627" t="s">
        <v>998</v>
      </c>
      <c r="AR627" t="s">
        <v>1407</v>
      </c>
      <c r="AT627" t="s">
        <v>987</v>
      </c>
      <c r="AZ627" t="s">
        <v>1020</v>
      </c>
      <c r="BA627" t="s">
        <v>1230</v>
      </c>
      <c r="BB627" t="s">
        <v>1018</v>
      </c>
      <c r="BD627" t="s">
        <v>1005</v>
      </c>
      <c r="BE627" t="s">
        <v>182</v>
      </c>
    </row>
    <row r="628" spans="1:57" ht="13" x14ac:dyDescent="0.15">
      <c r="A628">
        <v>1839</v>
      </c>
      <c r="B628">
        <v>31464748</v>
      </c>
      <c r="C628" t="s">
        <v>182</v>
      </c>
      <c r="D628" s="7">
        <v>41305</v>
      </c>
      <c r="E628" s="7">
        <v>45711</v>
      </c>
      <c r="F628">
        <v>330862</v>
      </c>
      <c r="G628" t="s">
        <v>983</v>
      </c>
      <c r="H628" t="s">
        <v>9</v>
      </c>
      <c r="I628" s="7">
        <v>45657</v>
      </c>
      <c r="J628" s="8">
        <v>0.61137731481481483</v>
      </c>
      <c r="K628" t="s">
        <v>984</v>
      </c>
      <c r="AQ628" t="s">
        <v>998</v>
      </c>
      <c r="AR628" t="s">
        <v>1408</v>
      </c>
      <c r="AT628" t="s">
        <v>987</v>
      </c>
      <c r="AZ628" t="s">
        <v>988</v>
      </c>
      <c r="BA628" t="s">
        <v>1058</v>
      </c>
      <c r="BB628" t="s">
        <v>1018</v>
      </c>
      <c r="BD628" t="s">
        <v>1005</v>
      </c>
      <c r="BE628" t="s">
        <v>182</v>
      </c>
    </row>
    <row r="629" spans="1:57" ht="13" x14ac:dyDescent="0.15">
      <c r="A629">
        <v>1839</v>
      </c>
      <c r="B629">
        <v>31464748</v>
      </c>
      <c r="C629" t="s">
        <v>182</v>
      </c>
      <c r="D629" s="7">
        <v>41305</v>
      </c>
      <c r="E629" s="7">
        <v>45711</v>
      </c>
      <c r="F629">
        <v>330862</v>
      </c>
      <c r="G629" t="s">
        <v>983</v>
      </c>
      <c r="H629" t="s">
        <v>9</v>
      </c>
      <c r="I629" s="7">
        <v>45694</v>
      </c>
      <c r="J629" s="8">
        <v>0.71349537037037036</v>
      </c>
      <c r="K629" t="s">
        <v>984</v>
      </c>
      <c r="AQ629" t="s">
        <v>998</v>
      </c>
      <c r="AR629" t="s">
        <v>1409</v>
      </c>
      <c r="AT629" t="s">
        <v>987</v>
      </c>
      <c r="AZ629" t="s">
        <v>1220</v>
      </c>
      <c r="BA629" t="s">
        <v>1292</v>
      </c>
      <c r="BB629" t="s">
        <v>1293</v>
      </c>
      <c r="BD629" t="s">
        <v>991</v>
      </c>
      <c r="BE629" t="s">
        <v>182</v>
      </c>
    </row>
    <row r="630" spans="1:57" ht="13" x14ac:dyDescent="0.15">
      <c r="A630">
        <v>1839</v>
      </c>
      <c r="B630">
        <v>31464748</v>
      </c>
      <c r="C630" t="s">
        <v>182</v>
      </c>
      <c r="D630" s="7">
        <v>41305</v>
      </c>
      <c r="E630" s="7">
        <v>45711</v>
      </c>
      <c r="F630">
        <v>336444</v>
      </c>
      <c r="G630" t="s">
        <v>995</v>
      </c>
      <c r="H630" t="s">
        <v>12</v>
      </c>
      <c r="I630" s="7">
        <v>45616</v>
      </c>
      <c r="J630" s="8">
        <v>0.79609953703703706</v>
      </c>
      <c r="K630" t="s">
        <v>984</v>
      </c>
      <c r="AQ630" t="s">
        <v>996</v>
      </c>
      <c r="BE630" t="s">
        <v>182</v>
      </c>
    </row>
    <row r="631" spans="1:57" ht="13" x14ac:dyDescent="0.15">
      <c r="A631">
        <v>1839</v>
      </c>
      <c r="B631">
        <v>31464748</v>
      </c>
      <c r="C631" t="s">
        <v>182</v>
      </c>
      <c r="D631" s="7">
        <v>41305</v>
      </c>
      <c r="E631" s="7">
        <v>45711</v>
      </c>
      <c r="F631">
        <v>336444</v>
      </c>
      <c r="G631" t="s">
        <v>995</v>
      </c>
      <c r="H631" t="s">
        <v>12</v>
      </c>
      <c r="I631" s="7">
        <v>45626</v>
      </c>
      <c r="J631" s="8">
        <v>0.51787037037037043</v>
      </c>
      <c r="K631" t="s">
        <v>984</v>
      </c>
      <c r="AQ631" t="s">
        <v>996</v>
      </c>
      <c r="BE631" t="s">
        <v>182</v>
      </c>
    </row>
    <row r="632" spans="1:57" ht="13" x14ac:dyDescent="0.15">
      <c r="A632">
        <v>1839</v>
      </c>
      <c r="B632">
        <v>31464748</v>
      </c>
      <c r="C632" t="s">
        <v>182</v>
      </c>
      <c r="D632" s="7">
        <v>41305</v>
      </c>
      <c r="E632" s="7">
        <v>45711</v>
      </c>
      <c r="F632">
        <v>336444</v>
      </c>
      <c r="G632" t="s">
        <v>995</v>
      </c>
      <c r="H632" t="s">
        <v>12</v>
      </c>
      <c r="I632" s="7">
        <v>45696</v>
      </c>
      <c r="J632" s="8">
        <v>0.92057870370370365</v>
      </c>
      <c r="K632" t="s">
        <v>984</v>
      </c>
      <c r="AQ632" t="s">
        <v>996</v>
      </c>
      <c r="BE632" t="s">
        <v>182</v>
      </c>
    </row>
    <row r="633" spans="1:57" ht="13" x14ac:dyDescent="0.15">
      <c r="A633">
        <v>1839</v>
      </c>
      <c r="B633">
        <v>31464748</v>
      </c>
      <c r="C633" t="s">
        <v>182</v>
      </c>
      <c r="D633" s="7">
        <v>41305</v>
      </c>
      <c r="E633" s="7">
        <v>45711</v>
      </c>
      <c r="F633">
        <v>336447</v>
      </c>
      <c r="G633" t="s">
        <v>1074</v>
      </c>
      <c r="H633" t="s">
        <v>26</v>
      </c>
      <c r="I633" s="7">
        <v>45626</v>
      </c>
      <c r="J633" s="8">
        <v>0.51542824074074078</v>
      </c>
      <c r="K633" t="s">
        <v>984</v>
      </c>
      <c r="AQ633" t="s">
        <v>998</v>
      </c>
      <c r="AR633" t="s">
        <v>1410</v>
      </c>
      <c r="BE633" t="s">
        <v>182</v>
      </c>
    </row>
    <row r="634" spans="1:57" ht="13" x14ac:dyDescent="0.15">
      <c r="A634">
        <v>1839</v>
      </c>
      <c r="B634">
        <v>31464748</v>
      </c>
      <c r="C634" t="s">
        <v>182</v>
      </c>
      <c r="D634" s="7">
        <v>41305</v>
      </c>
      <c r="E634" s="7">
        <v>45711</v>
      </c>
      <c r="F634">
        <v>336447</v>
      </c>
      <c r="G634" t="s">
        <v>1074</v>
      </c>
      <c r="H634" t="s">
        <v>26</v>
      </c>
      <c r="I634" s="7">
        <v>45678</v>
      </c>
      <c r="J634" s="8">
        <v>0.95180555555555557</v>
      </c>
      <c r="K634" t="s">
        <v>984</v>
      </c>
      <c r="AQ634" t="s">
        <v>998</v>
      </c>
      <c r="AR634" t="s">
        <v>1411</v>
      </c>
      <c r="BE634" t="s">
        <v>182</v>
      </c>
    </row>
    <row r="635" spans="1:57" ht="13" x14ac:dyDescent="0.15">
      <c r="A635">
        <v>1839</v>
      </c>
      <c r="B635">
        <v>31464748</v>
      </c>
      <c r="C635" t="s">
        <v>182</v>
      </c>
      <c r="D635" s="7">
        <v>41305</v>
      </c>
      <c r="E635" s="7">
        <v>45711</v>
      </c>
      <c r="F635">
        <v>336453</v>
      </c>
      <c r="G635" t="s">
        <v>1074</v>
      </c>
      <c r="H635" t="s">
        <v>27</v>
      </c>
      <c r="I635" s="7">
        <v>45626</v>
      </c>
      <c r="J635" s="8">
        <v>0.51569444444444446</v>
      </c>
      <c r="K635" t="s">
        <v>984</v>
      </c>
      <c r="AQ635" t="s">
        <v>998</v>
      </c>
      <c r="AR635" t="s">
        <v>1076</v>
      </c>
      <c r="BE635" t="s">
        <v>182</v>
      </c>
    </row>
    <row r="636" spans="1:57" ht="13" x14ac:dyDescent="0.15">
      <c r="A636">
        <v>1839</v>
      </c>
      <c r="B636">
        <v>31464748</v>
      </c>
      <c r="C636" t="s">
        <v>182</v>
      </c>
      <c r="D636" s="7">
        <v>41305</v>
      </c>
      <c r="E636" s="7">
        <v>45711</v>
      </c>
      <c r="F636">
        <v>336453</v>
      </c>
      <c r="G636" t="s">
        <v>1074</v>
      </c>
      <c r="H636" t="s">
        <v>27</v>
      </c>
      <c r="I636" s="7">
        <v>45678</v>
      </c>
      <c r="J636" s="8">
        <v>0.95221064814814815</v>
      </c>
      <c r="K636" t="s">
        <v>984</v>
      </c>
      <c r="AQ636" t="s">
        <v>998</v>
      </c>
      <c r="AR636" t="s">
        <v>1076</v>
      </c>
      <c r="BE636" t="s">
        <v>182</v>
      </c>
    </row>
    <row r="637" spans="1:57" ht="13" x14ac:dyDescent="0.15">
      <c r="A637">
        <v>1839</v>
      </c>
      <c r="B637">
        <v>31464748</v>
      </c>
      <c r="C637" t="s">
        <v>182</v>
      </c>
      <c r="D637" s="7">
        <v>41305</v>
      </c>
      <c r="E637" s="7">
        <v>45711</v>
      </c>
      <c r="F637">
        <v>336709</v>
      </c>
      <c r="G637" t="s">
        <v>1074</v>
      </c>
      <c r="H637" t="s">
        <v>28</v>
      </c>
      <c r="I637" s="7">
        <v>45626</v>
      </c>
      <c r="J637" s="8">
        <v>0.51599537037037035</v>
      </c>
      <c r="K637" t="s">
        <v>984</v>
      </c>
      <c r="AQ637" t="s">
        <v>998</v>
      </c>
      <c r="AR637" t="s">
        <v>1077</v>
      </c>
      <c r="BE637" t="s">
        <v>182</v>
      </c>
    </row>
    <row r="638" spans="1:57" ht="13" x14ac:dyDescent="0.15">
      <c r="A638">
        <v>1839</v>
      </c>
      <c r="B638">
        <v>31464748</v>
      </c>
      <c r="C638" t="s">
        <v>182</v>
      </c>
      <c r="D638" s="7">
        <v>41305</v>
      </c>
      <c r="E638" s="7">
        <v>45711</v>
      </c>
      <c r="F638">
        <v>336709</v>
      </c>
      <c r="G638" t="s">
        <v>1074</v>
      </c>
      <c r="H638" t="s">
        <v>28</v>
      </c>
      <c r="I638" s="7">
        <v>45678</v>
      </c>
      <c r="J638" s="8">
        <v>0.95265046296296296</v>
      </c>
      <c r="K638" t="s">
        <v>984</v>
      </c>
      <c r="AQ638" t="s">
        <v>998</v>
      </c>
      <c r="AR638" t="s">
        <v>1077</v>
      </c>
      <c r="BE638" t="s">
        <v>182</v>
      </c>
    </row>
    <row r="639" spans="1:57" ht="13" x14ac:dyDescent="0.15">
      <c r="A639">
        <v>1839</v>
      </c>
      <c r="B639">
        <v>31476211</v>
      </c>
      <c r="C639" t="s">
        <v>1412</v>
      </c>
      <c r="D639" s="7">
        <v>39700</v>
      </c>
      <c r="E639" s="7">
        <v>45694</v>
      </c>
      <c r="F639">
        <v>330862</v>
      </c>
      <c r="G639" t="s">
        <v>983</v>
      </c>
      <c r="H639" t="s">
        <v>9</v>
      </c>
      <c r="I639" s="7">
        <v>45637</v>
      </c>
      <c r="J639" s="8">
        <v>0.16552083333333334</v>
      </c>
      <c r="K639" t="s">
        <v>984</v>
      </c>
      <c r="AQ639" t="s">
        <v>1261</v>
      </c>
      <c r="AR639" t="s">
        <v>1314</v>
      </c>
      <c r="AT639" t="s">
        <v>987</v>
      </c>
      <c r="AZ639" t="s">
        <v>1174</v>
      </c>
      <c r="BA639" t="s">
        <v>1242</v>
      </c>
      <c r="BB639" t="s">
        <v>1026</v>
      </c>
      <c r="BD639" t="s">
        <v>1005</v>
      </c>
      <c r="BE639" t="s">
        <v>1412</v>
      </c>
    </row>
    <row r="640" spans="1:57" ht="13" x14ac:dyDescent="0.15">
      <c r="A640">
        <v>1839</v>
      </c>
      <c r="B640">
        <v>31490345</v>
      </c>
      <c r="C640" t="s">
        <v>183</v>
      </c>
      <c r="D640" s="7">
        <v>40525</v>
      </c>
      <c r="E640" s="7">
        <v>45694</v>
      </c>
      <c r="F640">
        <v>330862</v>
      </c>
      <c r="G640" t="s">
        <v>983</v>
      </c>
      <c r="H640" t="s">
        <v>9</v>
      </c>
      <c r="I640" s="7">
        <v>45694</v>
      </c>
      <c r="J640" s="8">
        <v>0.36179398148148151</v>
      </c>
      <c r="K640" t="s">
        <v>984</v>
      </c>
      <c r="AQ640" t="s">
        <v>992</v>
      </c>
      <c r="AR640" t="s">
        <v>1066</v>
      </c>
      <c r="AT640" t="s">
        <v>987</v>
      </c>
      <c r="AZ640" t="s">
        <v>988</v>
      </c>
      <c r="BA640" t="s">
        <v>989</v>
      </c>
      <c r="BB640" t="s">
        <v>990</v>
      </c>
      <c r="BD640" t="s">
        <v>991</v>
      </c>
      <c r="BE640" t="s">
        <v>183</v>
      </c>
    </row>
    <row r="641" spans="1:57" ht="13" x14ac:dyDescent="0.15">
      <c r="A641">
        <v>1839</v>
      </c>
      <c r="B641">
        <v>31490345</v>
      </c>
      <c r="C641" t="s">
        <v>183</v>
      </c>
      <c r="D641" s="7">
        <v>40525</v>
      </c>
      <c r="E641" s="7">
        <v>45694</v>
      </c>
      <c r="F641">
        <v>330862</v>
      </c>
      <c r="G641" t="s">
        <v>983</v>
      </c>
      <c r="H641" t="s">
        <v>9</v>
      </c>
      <c r="I641" s="7">
        <v>45694</v>
      </c>
      <c r="J641" s="8">
        <v>0.43815972222222221</v>
      </c>
      <c r="K641" t="s">
        <v>984</v>
      </c>
      <c r="AQ641" t="s">
        <v>992</v>
      </c>
      <c r="AR641" t="s">
        <v>994</v>
      </c>
      <c r="AT641" t="s">
        <v>987</v>
      </c>
      <c r="AZ641" t="s">
        <v>1011</v>
      </c>
      <c r="BA641" t="s">
        <v>1012</v>
      </c>
      <c r="BB641" t="s">
        <v>1013</v>
      </c>
      <c r="BD641" t="s">
        <v>1014</v>
      </c>
      <c r="BE641" t="s">
        <v>183</v>
      </c>
    </row>
    <row r="642" spans="1:57" ht="13" x14ac:dyDescent="0.15">
      <c r="A642">
        <v>1839</v>
      </c>
      <c r="B642">
        <v>31490345</v>
      </c>
      <c r="C642" t="s">
        <v>183</v>
      </c>
      <c r="D642" s="7">
        <v>40525</v>
      </c>
      <c r="E642" s="7">
        <v>45694</v>
      </c>
      <c r="F642">
        <v>330862</v>
      </c>
      <c r="G642" t="s">
        <v>983</v>
      </c>
      <c r="H642" t="s">
        <v>9</v>
      </c>
      <c r="I642" s="7">
        <v>45616</v>
      </c>
      <c r="J642" s="8">
        <v>0.60055555555555551</v>
      </c>
      <c r="K642" t="s">
        <v>984</v>
      </c>
      <c r="AQ642" t="s">
        <v>992</v>
      </c>
      <c r="AR642" t="s">
        <v>1102</v>
      </c>
      <c r="AT642" t="s">
        <v>987</v>
      </c>
      <c r="AZ642" t="s">
        <v>1011</v>
      </c>
      <c r="BA642" t="s">
        <v>1103</v>
      </c>
      <c r="BB642" t="s">
        <v>1032</v>
      </c>
      <c r="BD642" t="s">
        <v>1005</v>
      </c>
      <c r="BE642" t="s">
        <v>183</v>
      </c>
    </row>
    <row r="643" spans="1:57" ht="13" x14ac:dyDescent="0.15">
      <c r="A643">
        <v>1839</v>
      </c>
      <c r="B643">
        <v>31490345</v>
      </c>
      <c r="C643" t="s">
        <v>183</v>
      </c>
      <c r="D643" s="7">
        <v>40525</v>
      </c>
      <c r="E643" s="7">
        <v>45694</v>
      </c>
      <c r="F643">
        <v>330862</v>
      </c>
      <c r="G643" t="s">
        <v>983</v>
      </c>
      <c r="H643" t="s">
        <v>9</v>
      </c>
      <c r="I643" s="7">
        <v>45694</v>
      </c>
      <c r="J643" s="8">
        <v>0.45700231481481479</v>
      </c>
      <c r="K643" t="s">
        <v>984</v>
      </c>
      <c r="AQ643" t="s">
        <v>992</v>
      </c>
      <c r="AR643" t="s">
        <v>1413</v>
      </c>
      <c r="AT643" t="s">
        <v>987</v>
      </c>
      <c r="AZ643" t="s">
        <v>1002</v>
      </c>
      <c r="BA643" t="s">
        <v>1003</v>
      </c>
      <c r="BB643" t="s">
        <v>1004</v>
      </c>
      <c r="BD643" t="s">
        <v>1005</v>
      </c>
      <c r="BE643" t="s">
        <v>183</v>
      </c>
    </row>
    <row r="644" spans="1:57" ht="13" x14ac:dyDescent="0.15">
      <c r="A644">
        <v>1839</v>
      </c>
      <c r="B644">
        <v>31490345</v>
      </c>
      <c r="C644" t="s">
        <v>183</v>
      </c>
      <c r="D644" s="7">
        <v>40525</v>
      </c>
      <c r="E644" s="7">
        <v>45694</v>
      </c>
      <c r="F644">
        <v>330862</v>
      </c>
      <c r="G644" t="s">
        <v>983</v>
      </c>
      <c r="H644" t="s">
        <v>9</v>
      </c>
      <c r="I644" s="7">
        <v>45682</v>
      </c>
      <c r="J644" s="8">
        <v>0.33069444444444446</v>
      </c>
      <c r="K644" t="s">
        <v>984</v>
      </c>
      <c r="AQ644" t="s">
        <v>992</v>
      </c>
      <c r="AR644" t="s">
        <v>1414</v>
      </c>
      <c r="AT644" t="s">
        <v>987</v>
      </c>
      <c r="BE644" t="s">
        <v>183</v>
      </c>
    </row>
    <row r="645" spans="1:57" ht="13" x14ac:dyDescent="0.15">
      <c r="A645">
        <v>1839</v>
      </c>
      <c r="B645">
        <v>31490345</v>
      </c>
      <c r="C645" t="s">
        <v>183</v>
      </c>
      <c r="D645" s="7">
        <v>40525</v>
      </c>
      <c r="E645" s="7">
        <v>45694</v>
      </c>
      <c r="F645">
        <v>330862</v>
      </c>
      <c r="G645" t="s">
        <v>983</v>
      </c>
      <c r="H645" t="s">
        <v>9</v>
      </c>
      <c r="I645" s="7">
        <v>45694</v>
      </c>
      <c r="J645" s="8">
        <v>0.45244212962962965</v>
      </c>
      <c r="K645" t="s">
        <v>984</v>
      </c>
      <c r="AQ645" t="s">
        <v>992</v>
      </c>
      <c r="AR645" t="s">
        <v>1415</v>
      </c>
      <c r="BE645" t="s">
        <v>183</v>
      </c>
    </row>
    <row r="646" spans="1:57" ht="13" x14ac:dyDescent="0.15">
      <c r="A646">
        <v>1839</v>
      </c>
      <c r="B646">
        <v>31501821</v>
      </c>
      <c r="C646" t="s">
        <v>184</v>
      </c>
      <c r="D646" s="7">
        <v>40543</v>
      </c>
      <c r="E646" s="7">
        <v>45710</v>
      </c>
      <c r="F646">
        <v>330862</v>
      </c>
      <c r="G646" t="s">
        <v>983</v>
      </c>
      <c r="H646" t="s">
        <v>9</v>
      </c>
      <c r="I646" s="7">
        <v>45694</v>
      </c>
      <c r="J646" s="8">
        <v>0.53142361111111114</v>
      </c>
      <c r="K646" t="s">
        <v>984</v>
      </c>
      <c r="AQ646" t="s">
        <v>985</v>
      </c>
      <c r="AR646" t="s">
        <v>986</v>
      </c>
      <c r="AT646" t="s">
        <v>987</v>
      </c>
      <c r="AZ646" t="s">
        <v>988</v>
      </c>
      <c r="BA646" t="s">
        <v>989</v>
      </c>
      <c r="BB646" t="s">
        <v>990</v>
      </c>
      <c r="BD646" t="s">
        <v>991</v>
      </c>
      <c r="BE646" t="s">
        <v>184</v>
      </c>
    </row>
    <row r="647" spans="1:57" ht="13" x14ac:dyDescent="0.15">
      <c r="A647">
        <v>1839</v>
      </c>
      <c r="B647">
        <v>31502296</v>
      </c>
      <c r="C647" t="s">
        <v>185</v>
      </c>
      <c r="D647" s="7">
        <v>41474</v>
      </c>
      <c r="E647" s="7">
        <v>45694</v>
      </c>
      <c r="F647">
        <v>330862</v>
      </c>
      <c r="G647" t="s">
        <v>983</v>
      </c>
      <c r="H647" t="s">
        <v>9</v>
      </c>
      <c r="I647" s="7">
        <v>45694</v>
      </c>
      <c r="J647" s="8">
        <v>0.98657407407407405</v>
      </c>
      <c r="K647" t="s">
        <v>984</v>
      </c>
      <c r="AQ647" t="s">
        <v>1090</v>
      </c>
      <c r="AR647" t="s">
        <v>993</v>
      </c>
      <c r="AT647" t="s">
        <v>987</v>
      </c>
      <c r="AZ647" t="s">
        <v>988</v>
      </c>
      <c r="BA647" t="s">
        <v>989</v>
      </c>
      <c r="BB647" t="s">
        <v>990</v>
      </c>
      <c r="BD647" t="s">
        <v>991</v>
      </c>
      <c r="BE647" t="s">
        <v>185</v>
      </c>
    </row>
    <row r="648" spans="1:57" ht="13" x14ac:dyDescent="0.15">
      <c r="A648">
        <v>1839</v>
      </c>
      <c r="B648">
        <v>31521166</v>
      </c>
      <c r="C648" t="s">
        <v>1416</v>
      </c>
      <c r="D648" s="7">
        <v>41625</v>
      </c>
      <c r="E648" s="7">
        <v>45695</v>
      </c>
      <c r="F648">
        <v>330862</v>
      </c>
      <c r="G648" t="s">
        <v>983</v>
      </c>
      <c r="H648" t="s">
        <v>9</v>
      </c>
      <c r="I648" s="7">
        <v>45636</v>
      </c>
      <c r="J648" s="8">
        <v>0.50901620370370371</v>
      </c>
      <c r="K648" t="s">
        <v>984</v>
      </c>
      <c r="AQ648" t="s">
        <v>985</v>
      </c>
      <c r="AR648" t="s">
        <v>1096</v>
      </c>
      <c r="AT648" t="s">
        <v>987</v>
      </c>
      <c r="AZ648" t="s">
        <v>1011</v>
      </c>
      <c r="BA648" t="s">
        <v>1031</v>
      </c>
      <c r="BB648" t="s">
        <v>1032</v>
      </c>
      <c r="BD648" t="s">
        <v>1005</v>
      </c>
      <c r="BE648" t="s">
        <v>1416</v>
      </c>
    </row>
    <row r="649" spans="1:57" ht="13" x14ac:dyDescent="0.15">
      <c r="A649">
        <v>1839</v>
      </c>
      <c r="B649">
        <v>31524930</v>
      </c>
      <c r="C649" t="s">
        <v>1417</v>
      </c>
      <c r="D649" s="7">
        <v>41369</v>
      </c>
      <c r="E649" s="7">
        <v>45681</v>
      </c>
      <c r="F649">
        <v>330862</v>
      </c>
      <c r="G649" t="s">
        <v>983</v>
      </c>
      <c r="H649" t="s">
        <v>9</v>
      </c>
      <c r="I649" s="7">
        <v>45637</v>
      </c>
      <c r="J649" s="8">
        <v>0.49322916666666666</v>
      </c>
      <c r="K649" t="s">
        <v>984</v>
      </c>
      <c r="AQ649" t="s">
        <v>985</v>
      </c>
      <c r="AR649" t="s">
        <v>1418</v>
      </c>
      <c r="AT649" t="s">
        <v>987</v>
      </c>
      <c r="AZ649" t="s">
        <v>1028</v>
      </c>
      <c r="BA649" t="s">
        <v>1029</v>
      </c>
      <c r="BB649" t="s">
        <v>1018</v>
      </c>
      <c r="BD649" t="s">
        <v>1022</v>
      </c>
      <c r="BE649" t="s">
        <v>1417</v>
      </c>
    </row>
    <row r="650" spans="1:57" ht="13" x14ac:dyDescent="0.15">
      <c r="A650">
        <v>1839</v>
      </c>
      <c r="B650">
        <v>31538800</v>
      </c>
      <c r="C650" t="s">
        <v>186</v>
      </c>
      <c r="D650" s="7">
        <v>40599</v>
      </c>
      <c r="E650" s="7">
        <v>45713</v>
      </c>
      <c r="F650">
        <v>330862</v>
      </c>
      <c r="G650" t="s">
        <v>983</v>
      </c>
      <c r="H650" t="s">
        <v>9</v>
      </c>
      <c r="I650" s="7">
        <v>45694</v>
      </c>
      <c r="J650" s="8">
        <v>0.4881712962962963</v>
      </c>
      <c r="K650" t="s">
        <v>984</v>
      </c>
      <c r="AQ650" t="s">
        <v>992</v>
      </c>
      <c r="AR650" t="s">
        <v>1059</v>
      </c>
      <c r="AT650" t="s">
        <v>987</v>
      </c>
      <c r="AZ650" t="s">
        <v>1044</v>
      </c>
      <c r="BA650" t="s">
        <v>1045</v>
      </c>
      <c r="BB650" t="s">
        <v>990</v>
      </c>
      <c r="BD650" t="s">
        <v>991</v>
      </c>
      <c r="BE650" t="s">
        <v>186</v>
      </c>
    </row>
    <row r="651" spans="1:57" ht="13" x14ac:dyDescent="0.15">
      <c r="A651">
        <v>1839</v>
      </c>
      <c r="B651">
        <v>31538800</v>
      </c>
      <c r="C651" t="s">
        <v>186</v>
      </c>
      <c r="D651" s="7">
        <v>40599</v>
      </c>
      <c r="E651" s="7">
        <v>45713</v>
      </c>
      <c r="F651">
        <v>330862</v>
      </c>
      <c r="G651" t="s">
        <v>983</v>
      </c>
      <c r="H651" t="s">
        <v>9</v>
      </c>
      <c r="I651" s="7">
        <v>45694</v>
      </c>
      <c r="J651" s="8">
        <v>0.46694444444444444</v>
      </c>
      <c r="K651" t="s">
        <v>984</v>
      </c>
      <c r="AQ651" t="s">
        <v>992</v>
      </c>
      <c r="AR651" t="s">
        <v>993</v>
      </c>
      <c r="AT651" t="s">
        <v>987</v>
      </c>
      <c r="AZ651" t="s">
        <v>988</v>
      </c>
      <c r="BA651" t="s">
        <v>989</v>
      </c>
      <c r="BB651" t="s">
        <v>990</v>
      </c>
      <c r="BD651" t="s">
        <v>991</v>
      </c>
      <c r="BE651" t="s">
        <v>186</v>
      </c>
    </row>
    <row r="652" spans="1:57" ht="13" x14ac:dyDescent="0.15">
      <c r="A652">
        <v>1839</v>
      </c>
      <c r="B652">
        <v>31538800</v>
      </c>
      <c r="C652" t="s">
        <v>186</v>
      </c>
      <c r="D652" s="7">
        <v>40599</v>
      </c>
      <c r="E652" s="7">
        <v>45713</v>
      </c>
      <c r="F652">
        <v>330862</v>
      </c>
      <c r="G652" t="s">
        <v>983</v>
      </c>
      <c r="H652" t="s">
        <v>9</v>
      </c>
      <c r="I652" s="7">
        <v>45694</v>
      </c>
      <c r="J652" s="8">
        <v>0.47215277777777775</v>
      </c>
      <c r="K652" t="s">
        <v>984</v>
      </c>
      <c r="AQ652" t="s">
        <v>992</v>
      </c>
      <c r="AR652" t="s">
        <v>993</v>
      </c>
      <c r="AT652" t="s">
        <v>987</v>
      </c>
      <c r="AZ652" t="s">
        <v>988</v>
      </c>
      <c r="BA652" t="s">
        <v>989</v>
      </c>
      <c r="BB652" t="s">
        <v>990</v>
      </c>
      <c r="BD652" t="s">
        <v>991</v>
      </c>
      <c r="BE652" t="s">
        <v>186</v>
      </c>
    </row>
    <row r="653" spans="1:57" ht="13" x14ac:dyDescent="0.15">
      <c r="A653">
        <v>1839</v>
      </c>
      <c r="B653">
        <v>31538800</v>
      </c>
      <c r="C653" t="s">
        <v>186</v>
      </c>
      <c r="D653" s="7">
        <v>40599</v>
      </c>
      <c r="E653" s="7">
        <v>45713</v>
      </c>
      <c r="F653">
        <v>330862</v>
      </c>
      <c r="G653" t="s">
        <v>983</v>
      </c>
      <c r="H653" t="s">
        <v>9</v>
      </c>
      <c r="I653" s="7">
        <v>45636</v>
      </c>
      <c r="J653" s="8">
        <v>0.50756944444444441</v>
      </c>
      <c r="K653" t="s">
        <v>984</v>
      </c>
      <c r="AQ653" t="s">
        <v>992</v>
      </c>
      <c r="AR653" t="s">
        <v>1098</v>
      </c>
      <c r="AT653" t="s">
        <v>987</v>
      </c>
      <c r="AZ653" t="s">
        <v>1020</v>
      </c>
      <c r="BA653" t="s">
        <v>1021</v>
      </c>
      <c r="BB653" t="s">
        <v>1018</v>
      </c>
      <c r="BD653" t="s">
        <v>1022</v>
      </c>
      <c r="BE653" t="s">
        <v>186</v>
      </c>
    </row>
    <row r="654" spans="1:57" ht="13" x14ac:dyDescent="0.15">
      <c r="A654">
        <v>1839</v>
      </c>
      <c r="B654">
        <v>31538800</v>
      </c>
      <c r="C654" t="s">
        <v>186</v>
      </c>
      <c r="D654" s="7">
        <v>40599</v>
      </c>
      <c r="E654" s="7">
        <v>45713</v>
      </c>
      <c r="F654">
        <v>330862</v>
      </c>
      <c r="G654" t="s">
        <v>983</v>
      </c>
      <c r="H654" t="s">
        <v>9</v>
      </c>
      <c r="I654" s="7">
        <v>45636</v>
      </c>
      <c r="J654" s="8">
        <v>0.4858912037037037</v>
      </c>
      <c r="K654" t="s">
        <v>984</v>
      </c>
      <c r="AQ654" t="s">
        <v>992</v>
      </c>
      <c r="AR654" t="s">
        <v>1262</v>
      </c>
      <c r="AT654" t="s">
        <v>987</v>
      </c>
      <c r="AZ654" t="s">
        <v>1028</v>
      </c>
      <c r="BA654" t="s">
        <v>1029</v>
      </c>
      <c r="BB654" t="s">
        <v>1018</v>
      </c>
      <c r="BD654" t="s">
        <v>1022</v>
      </c>
      <c r="BE654" t="s">
        <v>186</v>
      </c>
    </row>
    <row r="655" spans="1:57" ht="13" x14ac:dyDescent="0.15">
      <c r="A655">
        <v>1839</v>
      </c>
      <c r="B655">
        <v>31538800</v>
      </c>
      <c r="C655" t="s">
        <v>186</v>
      </c>
      <c r="D655" s="7">
        <v>40599</v>
      </c>
      <c r="E655" s="7">
        <v>45713</v>
      </c>
      <c r="F655">
        <v>330862</v>
      </c>
      <c r="G655" t="s">
        <v>983</v>
      </c>
      <c r="H655" t="s">
        <v>9</v>
      </c>
      <c r="I655" s="7">
        <v>45636</v>
      </c>
      <c r="J655" s="8">
        <v>0.49224537037037036</v>
      </c>
      <c r="K655" t="s">
        <v>984</v>
      </c>
      <c r="AQ655" t="s">
        <v>992</v>
      </c>
      <c r="AR655" t="s">
        <v>1097</v>
      </c>
      <c r="AT655" t="s">
        <v>987</v>
      </c>
      <c r="AZ655" t="s">
        <v>1024</v>
      </c>
      <c r="BA655" t="s">
        <v>1025</v>
      </c>
      <c r="BB655" t="s">
        <v>1026</v>
      </c>
      <c r="BD655" t="s">
        <v>1022</v>
      </c>
      <c r="BE655" t="s">
        <v>186</v>
      </c>
    </row>
    <row r="656" spans="1:57" ht="13" x14ac:dyDescent="0.15">
      <c r="A656">
        <v>1839</v>
      </c>
      <c r="B656">
        <v>31538800</v>
      </c>
      <c r="C656" t="s">
        <v>186</v>
      </c>
      <c r="D656" s="7">
        <v>40599</v>
      </c>
      <c r="E656" s="7">
        <v>45713</v>
      </c>
      <c r="F656">
        <v>330862</v>
      </c>
      <c r="G656" t="s">
        <v>983</v>
      </c>
      <c r="H656" t="s">
        <v>9</v>
      </c>
      <c r="I656" s="7">
        <v>45636</v>
      </c>
      <c r="J656" s="8">
        <v>0.46335648148148151</v>
      </c>
      <c r="K656" t="s">
        <v>984</v>
      </c>
      <c r="AQ656" t="s">
        <v>992</v>
      </c>
      <c r="AR656" t="s">
        <v>1096</v>
      </c>
      <c r="AT656" t="s">
        <v>987</v>
      </c>
      <c r="AZ656" t="s">
        <v>1011</v>
      </c>
      <c r="BA656" t="s">
        <v>1031</v>
      </c>
      <c r="BB656" t="s">
        <v>1032</v>
      </c>
      <c r="BD656" t="s">
        <v>1005</v>
      </c>
      <c r="BE656" t="s">
        <v>186</v>
      </c>
    </row>
    <row r="657" spans="1:57" ht="13" x14ac:dyDescent="0.15">
      <c r="A657">
        <v>1839</v>
      </c>
      <c r="B657">
        <v>31551643</v>
      </c>
      <c r="C657" t="s">
        <v>187</v>
      </c>
      <c r="D657" s="7">
        <v>41688</v>
      </c>
      <c r="E657" s="7">
        <v>45694</v>
      </c>
      <c r="F657">
        <v>330862</v>
      </c>
      <c r="G657" t="s">
        <v>983</v>
      </c>
      <c r="H657" t="s">
        <v>9</v>
      </c>
      <c r="I657" s="7">
        <v>45690</v>
      </c>
      <c r="J657" s="8">
        <v>0.72832175925925924</v>
      </c>
      <c r="K657" t="s">
        <v>984</v>
      </c>
      <c r="AQ657" t="s">
        <v>992</v>
      </c>
      <c r="AR657" t="s">
        <v>1296</v>
      </c>
      <c r="AT657" t="s">
        <v>987</v>
      </c>
      <c r="AZ657" t="s">
        <v>1062</v>
      </c>
      <c r="BA657" t="s">
        <v>1297</v>
      </c>
      <c r="BB657" t="s">
        <v>1048</v>
      </c>
      <c r="BD657" t="s">
        <v>991</v>
      </c>
      <c r="BE657" t="s">
        <v>187</v>
      </c>
    </row>
    <row r="658" spans="1:57" ht="13" x14ac:dyDescent="0.15">
      <c r="A658">
        <v>1839</v>
      </c>
      <c r="B658">
        <v>31551643</v>
      </c>
      <c r="C658" t="s">
        <v>187</v>
      </c>
      <c r="D658" s="7">
        <v>41688</v>
      </c>
      <c r="E658" s="7">
        <v>45694</v>
      </c>
      <c r="F658">
        <v>330862</v>
      </c>
      <c r="G658" t="s">
        <v>983</v>
      </c>
      <c r="H658" t="s">
        <v>9</v>
      </c>
      <c r="I658" s="7">
        <v>45694</v>
      </c>
      <c r="J658" s="8">
        <v>0.5697916666666667</v>
      </c>
      <c r="K658" t="s">
        <v>984</v>
      </c>
      <c r="AQ658" t="s">
        <v>992</v>
      </c>
      <c r="AR658" t="s">
        <v>993</v>
      </c>
      <c r="AT658" t="s">
        <v>987</v>
      </c>
      <c r="AZ658" t="s">
        <v>988</v>
      </c>
      <c r="BA658" t="s">
        <v>989</v>
      </c>
      <c r="BB658" t="s">
        <v>990</v>
      </c>
      <c r="BD658" t="s">
        <v>991</v>
      </c>
      <c r="BE658" t="s">
        <v>187</v>
      </c>
    </row>
    <row r="659" spans="1:57" ht="13" x14ac:dyDescent="0.15">
      <c r="A659">
        <v>1839</v>
      </c>
      <c r="B659">
        <v>31551643</v>
      </c>
      <c r="C659" t="s">
        <v>187</v>
      </c>
      <c r="D659" s="7">
        <v>41688</v>
      </c>
      <c r="E659" s="7">
        <v>45694</v>
      </c>
      <c r="F659">
        <v>330862</v>
      </c>
      <c r="G659" t="s">
        <v>983</v>
      </c>
      <c r="H659" t="s">
        <v>9</v>
      </c>
      <c r="I659" s="7">
        <v>45690</v>
      </c>
      <c r="J659" s="8">
        <v>0.67681712962962959</v>
      </c>
      <c r="K659" t="s">
        <v>984</v>
      </c>
      <c r="AQ659" t="s">
        <v>992</v>
      </c>
      <c r="AR659" t="s">
        <v>1419</v>
      </c>
      <c r="AT659" t="s">
        <v>987</v>
      </c>
      <c r="AZ659" t="s">
        <v>1002</v>
      </c>
      <c r="BA659" t="s">
        <v>1003</v>
      </c>
      <c r="BB659" t="s">
        <v>1004</v>
      </c>
      <c r="BD659" t="s">
        <v>1005</v>
      </c>
      <c r="BE659" t="s">
        <v>187</v>
      </c>
    </row>
    <row r="660" spans="1:57" ht="13" x14ac:dyDescent="0.15">
      <c r="A660">
        <v>1839</v>
      </c>
      <c r="B660">
        <v>31551643</v>
      </c>
      <c r="C660" t="s">
        <v>187</v>
      </c>
      <c r="D660" s="7">
        <v>41688</v>
      </c>
      <c r="E660" s="7">
        <v>45694</v>
      </c>
      <c r="F660">
        <v>330862</v>
      </c>
      <c r="G660" t="s">
        <v>983</v>
      </c>
      <c r="H660" t="s">
        <v>9</v>
      </c>
      <c r="I660" s="7">
        <v>45690</v>
      </c>
      <c r="J660" s="8">
        <v>0.68089120370370371</v>
      </c>
      <c r="K660" t="s">
        <v>984</v>
      </c>
      <c r="AQ660" t="s">
        <v>992</v>
      </c>
      <c r="AR660" t="s">
        <v>1420</v>
      </c>
      <c r="AT660" t="s">
        <v>987</v>
      </c>
      <c r="AZ660" t="s">
        <v>1007</v>
      </c>
      <c r="BA660" t="s">
        <v>1008</v>
      </c>
      <c r="BB660" t="s">
        <v>990</v>
      </c>
      <c r="BD660" t="s">
        <v>1005</v>
      </c>
      <c r="BE660" t="s">
        <v>187</v>
      </c>
    </row>
    <row r="661" spans="1:57" ht="13" x14ac:dyDescent="0.15">
      <c r="A661">
        <v>1839</v>
      </c>
      <c r="B661">
        <v>31551643</v>
      </c>
      <c r="C661" t="s">
        <v>187</v>
      </c>
      <c r="D661" s="7">
        <v>41688</v>
      </c>
      <c r="E661" s="7">
        <v>45694</v>
      </c>
      <c r="F661">
        <v>330862</v>
      </c>
      <c r="G661" t="s">
        <v>983</v>
      </c>
      <c r="H661" t="s">
        <v>9</v>
      </c>
      <c r="I661" s="7">
        <v>45690</v>
      </c>
      <c r="J661" s="8">
        <v>0.71333333333333337</v>
      </c>
      <c r="K661" t="s">
        <v>984</v>
      </c>
      <c r="AQ661" t="s">
        <v>992</v>
      </c>
      <c r="AR661" t="s">
        <v>1066</v>
      </c>
      <c r="AT661" t="s">
        <v>987</v>
      </c>
      <c r="AZ661" t="s">
        <v>988</v>
      </c>
      <c r="BA661" t="s">
        <v>989</v>
      </c>
      <c r="BB661" t="s">
        <v>990</v>
      </c>
      <c r="BD661" t="s">
        <v>991</v>
      </c>
      <c r="BE661" t="s">
        <v>187</v>
      </c>
    </row>
    <row r="662" spans="1:57" ht="13" x14ac:dyDescent="0.15">
      <c r="A662">
        <v>1839</v>
      </c>
      <c r="B662">
        <v>31551643</v>
      </c>
      <c r="C662" t="s">
        <v>187</v>
      </c>
      <c r="D662" s="7">
        <v>41688</v>
      </c>
      <c r="E662" s="7">
        <v>45694</v>
      </c>
      <c r="F662">
        <v>330862</v>
      </c>
      <c r="G662" t="s">
        <v>983</v>
      </c>
      <c r="H662" t="s">
        <v>9</v>
      </c>
      <c r="I662" s="7">
        <v>45690</v>
      </c>
      <c r="J662" s="8">
        <v>0.72052083333333339</v>
      </c>
      <c r="K662" t="s">
        <v>984</v>
      </c>
      <c r="AQ662" t="s">
        <v>992</v>
      </c>
      <c r="AR662" t="s">
        <v>1298</v>
      </c>
      <c r="AT662" t="s">
        <v>987</v>
      </c>
      <c r="AZ662" t="s">
        <v>1071</v>
      </c>
      <c r="BA662" t="s">
        <v>1135</v>
      </c>
      <c r="BB662" t="s">
        <v>1136</v>
      </c>
      <c r="BD662" t="s">
        <v>991</v>
      </c>
      <c r="BE662" t="s">
        <v>187</v>
      </c>
    </row>
    <row r="663" spans="1:57" ht="13" x14ac:dyDescent="0.15">
      <c r="A663">
        <v>1839</v>
      </c>
      <c r="B663">
        <v>31551643</v>
      </c>
      <c r="C663" t="s">
        <v>187</v>
      </c>
      <c r="D663" s="7">
        <v>41688</v>
      </c>
      <c r="E663" s="7">
        <v>45694</v>
      </c>
      <c r="F663">
        <v>330862</v>
      </c>
      <c r="G663" t="s">
        <v>983</v>
      </c>
      <c r="H663" t="s">
        <v>9</v>
      </c>
      <c r="I663" s="7">
        <v>45629</v>
      </c>
      <c r="J663" s="8">
        <v>0.58087962962962958</v>
      </c>
      <c r="K663" t="s">
        <v>984</v>
      </c>
      <c r="AQ663" t="s">
        <v>992</v>
      </c>
      <c r="AR663" t="s">
        <v>1421</v>
      </c>
      <c r="AT663" t="s">
        <v>987</v>
      </c>
      <c r="AZ663" t="s">
        <v>1239</v>
      </c>
      <c r="BA663" t="s">
        <v>1281</v>
      </c>
      <c r="BB663" t="s">
        <v>1026</v>
      </c>
      <c r="BD663" t="s">
        <v>1022</v>
      </c>
      <c r="BE663" t="s">
        <v>187</v>
      </c>
    </row>
    <row r="664" spans="1:57" ht="13" x14ac:dyDescent="0.15">
      <c r="A664">
        <v>1839</v>
      </c>
      <c r="B664">
        <v>31551643</v>
      </c>
      <c r="C664" t="s">
        <v>187</v>
      </c>
      <c r="D664" s="7">
        <v>41688</v>
      </c>
      <c r="E664" s="7">
        <v>45694</v>
      </c>
      <c r="F664">
        <v>330862</v>
      </c>
      <c r="G664" t="s">
        <v>983</v>
      </c>
      <c r="H664" t="s">
        <v>9</v>
      </c>
      <c r="I664" s="7">
        <v>45690</v>
      </c>
      <c r="J664" s="8">
        <v>0.73127314814814814</v>
      </c>
      <c r="K664" t="s">
        <v>984</v>
      </c>
      <c r="AQ664" t="s">
        <v>992</v>
      </c>
      <c r="AR664" t="s">
        <v>1061</v>
      </c>
      <c r="AT664" t="s">
        <v>987</v>
      </c>
      <c r="AZ664" t="s">
        <v>1062</v>
      </c>
      <c r="BA664" t="s">
        <v>1063</v>
      </c>
      <c r="BB664" t="s">
        <v>1048</v>
      </c>
      <c r="BD664" t="s">
        <v>991</v>
      </c>
      <c r="BE664" t="s">
        <v>187</v>
      </c>
    </row>
    <row r="665" spans="1:57" ht="13" x14ac:dyDescent="0.15">
      <c r="A665">
        <v>1839</v>
      </c>
      <c r="B665">
        <v>31551643</v>
      </c>
      <c r="C665" t="s">
        <v>187</v>
      </c>
      <c r="D665" s="7">
        <v>41688</v>
      </c>
      <c r="E665" s="7">
        <v>45694</v>
      </c>
      <c r="F665">
        <v>330862</v>
      </c>
      <c r="G665" t="s">
        <v>983</v>
      </c>
      <c r="H665" t="s">
        <v>9</v>
      </c>
      <c r="I665" s="7">
        <v>45690</v>
      </c>
      <c r="J665" s="8">
        <v>0.73793981481481485</v>
      </c>
      <c r="K665" t="s">
        <v>984</v>
      </c>
      <c r="AQ665" t="s">
        <v>992</v>
      </c>
      <c r="AR665" t="s">
        <v>1060</v>
      </c>
      <c r="AT665" t="s">
        <v>987</v>
      </c>
      <c r="BE665" t="s">
        <v>187</v>
      </c>
    </row>
    <row r="666" spans="1:57" ht="13" x14ac:dyDescent="0.15">
      <c r="A666">
        <v>1839</v>
      </c>
      <c r="B666">
        <v>31551643</v>
      </c>
      <c r="C666" t="s">
        <v>187</v>
      </c>
      <c r="D666" s="7">
        <v>41688</v>
      </c>
      <c r="E666" s="7">
        <v>45694</v>
      </c>
      <c r="F666">
        <v>330862</v>
      </c>
      <c r="G666" t="s">
        <v>983</v>
      </c>
      <c r="H666" t="s">
        <v>9</v>
      </c>
      <c r="I666" s="7">
        <v>45690</v>
      </c>
      <c r="J666" s="8">
        <v>0.74263888888888885</v>
      </c>
      <c r="K666" t="s">
        <v>984</v>
      </c>
      <c r="AQ666" t="s">
        <v>992</v>
      </c>
      <c r="AR666" t="s">
        <v>1422</v>
      </c>
      <c r="AT666" t="s">
        <v>987</v>
      </c>
      <c r="AZ666" t="s">
        <v>1024</v>
      </c>
      <c r="BA666" t="s">
        <v>1047</v>
      </c>
      <c r="BB666" t="s">
        <v>1048</v>
      </c>
      <c r="BD666" t="s">
        <v>1014</v>
      </c>
      <c r="BE666" t="s">
        <v>187</v>
      </c>
    </row>
    <row r="667" spans="1:57" ht="13" x14ac:dyDescent="0.15">
      <c r="A667">
        <v>1839</v>
      </c>
      <c r="B667">
        <v>31551643</v>
      </c>
      <c r="C667" t="s">
        <v>187</v>
      </c>
      <c r="D667" s="7">
        <v>41688</v>
      </c>
      <c r="E667" s="7">
        <v>45694</v>
      </c>
      <c r="F667">
        <v>330862</v>
      </c>
      <c r="G667" t="s">
        <v>983</v>
      </c>
      <c r="H667" t="s">
        <v>9</v>
      </c>
      <c r="I667" s="7">
        <v>45690</v>
      </c>
      <c r="J667" s="8">
        <v>0.74561342592592594</v>
      </c>
      <c r="K667" t="s">
        <v>984</v>
      </c>
      <c r="AQ667" t="s">
        <v>992</v>
      </c>
      <c r="AR667" t="s">
        <v>1059</v>
      </c>
      <c r="AT667" t="s">
        <v>987</v>
      </c>
      <c r="AZ667" t="s">
        <v>1044</v>
      </c>
      <c r="BA667" t="s">
        <v>1045</v>
      </c>
      <c r="BB667" t="s">
        <v>990</v>
      </c>
      <c r="BD667" t="s">
        <v>991</v>
      </c>
      <c r="BE667" t="s">
        <v>187</v>
      </c>
    </row>
    <row r="668" spans="1:57" ht="13" x14ac:dyDescent="0.15">
      <c r="A668">
        <v>1839</v>
      </c>
      <c r="B668">
        <v>31551643</v>
      </c>
      <c r="C668" t="s">
        <v>187</v>
      </c>
      <c r="D668" s="7">
        <v>41688</v>
      </c>
      <c r="E668" s="7">
        <v>45694</v>
      </c>
      <c r="F668">
        <v>330862</v>
      </c>
      <c r="G668" t="s">
        <v>983</v>
      </c>
      <c r="H668" t="s">
        <v>9</v>
      </c>
      <c r="I668" s="7">
        <v>45629</v>
      </c>
      <c r="J668" s="8">
        <v>0.57278935185185187</v>
      </c>
      <c r="K668" t="s">
        <v>984</v>
      </c>
      <c r="AQ668" t="s">
        <v>992</v>
      </c>
      <c r="AR668" t="s">
        <v>1423</v>
      </c>
      <c r="AT668" t="s">
        <v>987</v>
      </c>
      <c r="AZ668" t="s">
        <v>1055</v>
      </c>
      <c r="BA668" t="s">
        <v>1056</v>
      </c>
      <c r="BB668" t="s">
        <v>1013</v>
      </c>
      <c r="BD668" t="s">
        <v>1022</v>
      </c>
      <c r="BE668" t="s">
        <v>187</v>
      </c>
    </row>
    <row r="669" spans="1:57" ht="13" x14ac:dyDescent="0.15">
      <c r="A669">
        <v>1839</v>
      </c>
      <c r="B669">
        <v>31551643</v>
      </c>
      <c r="C669" t="s">
        <v>187</v>
      </c>
      <c r="D669" s="7">
        <v>41688</v>
      </c>
      <c r="E669" s="7">
        <v>45694</v>
      </c>
      <c r="F669">
        <v>330862</v>
      </c>
      <c r="G669" t="s">
        <v>983</v>
      </c>
      <c r="H669" t="s">
        <v>9</v>
      </c>
      <c r="I669" s="7">
        <v>45629</v>
      </c>
      <c r="J669" s="8">
        <v>0.57417824074074075</v>
      </c>
      <c r="K669" t="s">
        <v>984</v>
      </c>
      <c r="AQ669" t="s">
        <v>992</v>
      </c>
      <c r="AR669" t="s">
        <v>1424</v>
      </c>
      <c r="AT669" t="s">
        <v>987</v>
      </c>
      <c r="AZ669" t="s">
        <v>1028</v>
      </c>
      <c r="BA669" t="s">
        <v>1029</v>
      </c>
      <c r="BB669" t="s">
        <v>1018</v>
      </c>
      <c r="BD669" t="s">
        <v>1022</v>
      </c>
      <c r="BE669" t="s">
        <v>187</v>
      </c>
    </row>
    <row r="670" spans="1:57" ht="13" x14ac:dyDescent="0.15">
      <c r="A670">
        <v>1839</v>
      </c>
      <c r="B670">
        <v>31551643</v>
      </c>
      <c r="C670" t="s">
        <v>187</v>
      </c>
      <c r="D670" s="7">
        <v>41688</v>
      </c>
      <c r="E670" s="7">
        <v>45694</v>
      </c>
      <c r="F670">
        <v>336444</v>
      </c>
      <c r="G670" t="s">
        <v>995</v>
      </c>
      <c r="H670" t="s">
        <v>12</v>
      </c>
      <c r="I670" s="7">
        <v>45629</v>
      </c>
      <c r="J670" s="8">
        <v>0.58373842592592595</v>
      </c>
      <c r="K670" t="s">
        <v>984</v>
      </c>
      <c r="AQ670" t="s">
        <v>996</v>
      </c>
      <c r="BE670" t="s">
        <v>187</v>
      </c>
    </row>
    <row r="671" spans="1:57" ht="13" x14ac:dyDescent="0.15">
      <c r="A671">
        <v>1839</v>
      </c>
      <c r="B671">
        <v>31564195</v>
      </c>
      <c r="C671" t="s">
        <v>188</v>
      </c>
      <c r="D671" s="7">
        <v>41375</v>
      </c>
      <c r="E671" s="7">
        <v>45701</v>
      </c>
      <c r="F671">
        <v>330862</v>
      </c>
      <c r="G671" t="s">
        <v>983</v>
      </c>
      <c r="H671" t="s">
        <v>9</v>
      </c>
      <c r="I671" s="7">
        <v>45699</v>
      </c>
      <c r="J671" s="8">
        <v>0.63708333333333333</v>
      </c>
      <c r="K671" t="s">
        <v>984</v>
      </c>
      <c r="AQ671" t="s">
        <v>992</v>
      </c>
      <c r="AR671" t="s">
        <v>1264</v>
      </c>
      <c r="AT671" t="s">
        <v>987</v>
      </c>
      <c r="AZ671" t="s">
        <v>1080</v>
      </c>
      <c r="BA671" t="s">
        <v>1081</v>
      </c>
      <c r="BB671" t="s">
        <v>1082</v>
      </c>
      <c r="BD671" t="s">
        <v>991</v>
      </c>
      <c r="BE671" t="s">
        <v>188</v>
      </c>
    </row>
    <row r="672" spans="1:57" ht="13" x14ac:dyDescent="0.15">
      <c r="A672">
        <v>1839</v>
      </c>
      <c r="B672">
        <v>31565219</v>
      </c>
      <c r="C672" t="s">
        <v>189</v>
      </c>
      <c r="D672" s="7">
        <v>40832</v>
      </c>
      <c r="E672" s="7">
        <v>45696</v>
      </c>
      <c r="F672">
        <v>330862</v>
      </c>
      <c r="G672" t="s">
        <v>983</v>
      </c>
      <c r="H672" t="s">
        <v>9</v>
      </c>
      <c r="I672" s="7">
        <v>45696</v>
      </c>
      <c r="J672" s="8">
        <v>0.55516203703703704</v>
      </c>
      <c r="K672" t="s">
        <v>984</v>
      </c>
      <c r="AQ672" t="s">
        <v>985</v>
      </c>
      <c r="AR672" t="s">
        <v>1425</v>
      </c>
      <c r="AT672" t="s">
        <v>987</v>
      </c>
      <c r="AZ672" t="s">
        <v>1011</v>
      </c>
      <c r="BA672" t="s">
        <v>1012</v>
      </c>
      <c r="BB672" t="s">
        <v>1013</v>
      </c>
      <c r="BD672" t="s">
        <v>1014</v>
      </c>
      <c r="BE672" t="s">
        <v>189</v>
      </c>
    </row>
    <row r="673" spans="1:57" ht="13" x14ac:dyDescent="0.15">
      <c r="A673">
        <v>1839</v>
      </c>
      <c r="B673">
        <v>31565219</v>
      </c>
      <c r="C673" t="s">
        <v>189</v>
      </c>
      <c r="D673" s="7">
        <v>40832</v>
      </c>
      <c r="E673" s="7">
        <v>45696</v>
      </c>
      <c r="F673">
        <v>330862</v>
      </c>
      <c r="G673" t="s">
        <v>983</v>
      </c>
      <c r="H673" t="s">
        <v>9</v>
      </c>
      <c r="I673" s="7">
        <v>45696</v>
      </c>
      <c r="J673" s="8">
        <v>0.56781250000000005</v>
      </c>
      <c r="K673" t="s">
        <v>984</v>
      </c>
      <c r="AQ673" t="s">
        <v>985</v>
      </c>
      <c r="AR673" t="s">
        <v>1426</v>
      </c>
      <c r="AT673" t="s">
        <v>987</v>
      </c>
      <c r="AZ673" t="s">
        <v>1044</v>
      </c>
      <c r="BA673" t="s">
        <v>1045</v>
      </c>
      <c r="BB673" t="s">
        <v>990</v>
      </c>
      <c r="BD673" t="s">
        <v>991</v>
      </c>
      <c r="BE673" t="s">
        <v>189</v>
      </c>
    </row>
    <row r="674" spans="1:57" ht="13" x14ac:dyDescent="0.15">
      <c r="A674">
        <v>1839</v>
      </c>
      <c r="B674">
        <v>31565219</v>
      </c>
      <c r="C674" t="s">
        <v>189</v>
      </c>
      <c r="D674" s="7">
        <v>40832</v>
      </c>
      <c r="E674" s="7">
        <v>45696</v>
      </c>
      <c r="F674">
        <v>330862</v>
      </c>
      <c r="G674" t="s">
        <v>983</v>
      </c>
      <c r="H674" t="s">
        <v>9</v>
      </c>
      <c r="I674" s="7">
        <v>45619</v>
      </c>
      <c r="J674" s="8">
        <v>0.48208333333333331</v>
      </c>
      <c r="K674" t="s">
        <v>984</v>
      </c>
      <c r="AQ674" t="s">
        <v>985</v>
      </c>
      <c r="AR674" t="s">
        <v>1427</v>
      </c>
      <c r="AT674" t="s">
        <v>987</v>
      </c>
      <c r="AZ674" t="s">
        <v>1028</v>
      </c>
      <c r="BA674" t="s">
        <v>1029</v>
      </c>
      <c r="BB674" t="s">
        <v>1018</v>
      </c>
      <c r="BD674" t="s">
        <v>1022</v>
      </c>
      <c r="BE674" t="s">
        <v>189</v>
      </c>
    </row>
    <row r="675" spans="1:57" ht="13" x14ac:dyDescent="0.15">
      <c r="A675">
        <v>1839</v>
      </c>
      <c r="B675">
        <v>31565219</v>
      </c>
      <c r="C675" t="s">
        <v>189</v>
      </c>
      <c r="D675" s="7">
        <v>40832</v>
      </c>
      <c r="E675" s="7">
        <v>45696</v>
      </c>
      <c r="F675">
        <v>330862</v>
      </c>
      <c r="G675" t="s">
        <v>983</v>
      </c>
      <c r="H675" t="s">
        <v>9</v>
      </c>
      <c r="I675" s="7">
        <v>45696</v>
      </c>
      <c r="J675" s="8">
        <v>0.54858796296296297</v>
      </c>
      <c r="K675" t="s">
        <v>984</v>
      </c>
      <c r="AQ675" t="s">
        <v>985</v>
      </c>
      <c r="AR675" t="s">
        <v>999</v>
      </c>
      <c r="AT675" t="s">
        <v>987</v>
      </c>
      <c r="AZ675" t="s">
        <v>988</v>
      </c>
      <c r="BA675" t="s">
        <v>989</v>
      </c>
      <c r="BB675" t="s">
        <v>990</v>
      </c>
      <c r="BD675" t="s">
        <v>991</v>
      </c>
      <c r="BE675" t="s">
        <v>189</v>
      </c>
    </row>
    <row r="676" spans="1:57" ht="13" x14ac:dyDescent="0.15">
      <c r="A676">
        <v>1839</v>
      </c>
      <c r="B676">
        <v>31565219</v>
      </c>
      <c r="C676" t="s">
        <v>189</v>
      </c>
      <c r="D676" s="7">
        <v>40832</v>
      </c>
      <c r="E676" s="7">
        <v>45696</v>
      </c>
      <c r="F676">
        <v>330862</v>
      </c>
      <c r="G676" t="s">
        <v>983</v>
      </c>
      <c r="H676" t="s">
        <v>9</v>
      </c>
      <c r="I676" s="7">
        <v>45617</v>
      </c>
      <c r="J676" s="8">
        <v>0.26258101851851851</v>
      </c>
      <c r="K676" t="s">
        <v>984</v>
      </c>
      <c r="AQ676" t="s">
        <v>985</v>
      </c>
      <c r="AR676" t="s">
        <v>1428</v>
      </c>
      <c r="AT676" t="s">
        <v>987</v>
      </c>
      <c r="AZ676" t="s">
        <v>1055</v>
      </c>
      <c r="BA676" t="s">
        <v>1056</v>
      </c>
      <c r="BB676" t="s">
        <v>1013</v>
      </c>
      <c r="BD676" t="s">
        <v>1022</v>
      </c>
      <c r="BE676" t="s">
        <v>189</v>
      </c>
    </row>
    <row r="677" spans="1:57" ht="13" x14ac:dyDescent="0.15">
      <c r="A677">
        <v>1839</v>
      </c>
      <c r="B677">
        <v>31565219</v>
      </c>
      <c r="C677" t="s">
        <v>189</v>
      </c>
      <c r="D677" s="7">
        <v>40832</v>
      </c>
      <c r="E677" s="7">
        <v>45696</v>
      </c>
      <c r="F677">
        <v>330862</v>
      </c>
      <c r="G677" t="s">
        <v>983</v>
      </c>
      <c r="H677" t="s">
        <v>9</v>
      </c>
      <c r="I677" s="7">
        <v>45636</v>
      </c>
      <c r="J677" s="8">
        <v>0.74236111111111114</v>
      </c>
      <c r="K677" t="s">
        <v>984</v>
      </c>
      <c r="AQ677" t="s">
        <v>985</v>
      </c>
      <c r="AR677" t="s">
        <v>1429</v>
      </c>
      <c r="AT677" t="s">
        <v>987</v>
      </c>
      <c r="AZ677" t="s">
        <v>1174</v>
      </c>
      <c r="BA677" t="s">
        <v>1242</v>
      </c>
      <c r="BB677" t="s">
        <v>1026</v>
      </c>
      <c r="BD677" t="s">
        <v>1005</v>
      </c>
      <c r="BE677" t="s">
        <v>189</v>
      </c>
    </row>
    <row r="678" spans="1:57" ht="13" x14ac:dyDescent="0.15">
      <c r="A678">
        <v>1839</v>
      </c>
      <c r="B678">
        <v>31565219</v>
      </c>
      <c r="C678" t="s">
        <v>189</v>
      </c>
      <c r="D678" s="7">
        <v>40832</v>
      </c>
      <c r="E678" s="7">
        <v>45696</v>
      </c>
      <c r="F678">
        <v>330862</v>
      </c>
      <c r="G678" t="s">
        <v>983</v>
      </c>
      <c r="H678" t="s">
        <v>9</v>
      </c>
      <c r="I678" s="7">
        <v>45636</v>
      </c>
      <c r="J678" s="8">
        <v>0.72839120370370369</v>
      </c>
      <c r="K678" t="s">
        <v>984</v>
      </c>
      <c r="AQ678" t="s">
        <v>985</v>
      </c>
      <c r="AR678" t="s">
        <v>1368</v>
      </c>
      <c r="AT678" t="s">
        <v>987</v>
      </c>
      <c r="AZ678" t="s">
        <v>1028</v>
      </c>
      <c r="BA678" t="s">
        <v>1029</v>
      </c>
      <c r="BB678" t="s">
        <v>1018</v>
      </c>
      <c r="BD678" t="s">
        <v>1022</v>
      </c>
      <c r="BE678" t="s">
        <v>189</v>
      </c>
    </row>
    <row r="679" spans="1:57" ht="13" x14ac:dyDescent="0.15">
      <c r="A679">
        <v>1839</v>
      </c>
      <c r="B679">
        <v>31565219</v>
      </c>
      <c r="C679" t="s">
        <v>189</v>
      </c>
      <c r="D679" s="7">
        <v>40832</v>
      </c>
      <c r="E679" s="7">
        <v>45696</v>
      </c>
      <c r="F679">
        <v>330862</v>
      </c>
      <c r="G679" t="s">
        <v>983</v>
      </c>
      <c r="H679" t="s">
        <v>9</v>
      </c>
      <c r="I679" s="7">
        <v>45636</v>
      </c>
      <c r="J679" s="8">
        <v>0.72299768518518515</v>
      </c>
      <c r="K679" t="s">
        <v>984</v>
      </c>
      <c r="AQ679" t="s">
        <v>985</v>
      </c>
      <c r="AR679" t="s">
        <v>1277</v>
      </c>
      <c r="AT679" t="s">
        <v>987</v>
      </c>
      <c r="AZ679" t="s">
        <v>1011</v>
      </c>
      <c r="BA679" t="s">
        <v>1031</v>
      </c>
      <c r="BB679" t="s">
        <v>1032</v>
      </c>
      <c r="BD679" t="s">
        <v>1005</v>
      </c>
      <c r="BE679" t="s">
        <v>189</v>
      </c>
    </row>
    <row r="680" spans="1:57" ht="13" x14ac:dyDescent="0.15">
      <c r="A680">
        <v>1839</v>
      </c>
      <c r="B680">
        <v>31569070</v>
      </c>
      <c r="C680" t="s">
        <v>1430</v>
      </c>
      <c r="D680" s="7">
        <v>39706</v>
      </c>
      <c r="E680" s="7">
        <v>45696</v>
      </c>
      <c r="F680">
        <v>330862</v>
      </c>
      <c r="G680" t="s">
        <v>983</v>
      </c>
      <c r="H680" t="s">
        <v>9</v>
      </c>
      <c r="I680" s="7">
        <v>45636</v>
      </c>
      <c r="J680" s="8">
        <v>0.67211805555555559</v>
      </c>
      <c r="K680" t="s">
        <v>984</v>
      </c>
      <c r="AQ680" t="s">
        <v>1089</v>
      </c>
      <c r="AR680" t="s">
        <v>1280</v>
      </c>
      <c r="AT680" t="s">
        <v>987</v>
      </c>
      <c r="AZ680" t="s">
        <v>1239</v>
      </c>
      <c r="BA680" t="s">
        <v>1281</v>
      </c>
      <c r="BB680" t="s">
        <v>1026</v>
      </c>
      <c r="BD680" t="s">
        <v>1022</v>
      </c>
      <c r="BE680" t="s">
        <v>1430</v>
      </c>
    </row>
    <row r="681" spans="1:57" ht="13" x14ac:dyDescent="0.15">
      <c r="A681">
        <v>1839</v>
      </c>
      <c r="B681">
        <v>31569070</v>
      </c>
      <c r="C681" t="s">
        <v>1430</v>
      </c>
      <c r="D681" s="7">
        <v>39706</v>
      </c>
      <c r="E681" s="7">
        <v>45696</v>
      </c>
      <c r="F681">
        <v>330862</v>
      </c>
      <c r="G681" t="s">
        <v>983</v>
      </c>
      <c r="H681" t="s">
        <v>9</v>
      </c>
      <c r="I681" s="7">
        <v>45636</v>
      </c>
      <c r="J681" s="8">
        <v>0.67923611111111115</v>
      </c>
      <c r="K681" t="s">
        <v>984</v>
      </c>
      <c r="AQ681" t="s">
        <v>1089</v>
      </c>
      <c r="AR681" t="s">
        <v>1280</v>
      </c>
      <c r="AT681" t="s">
        <v>987</v>
      </c>
      <c r="AZ681" t="s">
        <v>1239</v>
      </c>
      <c r="BA681" t="s">
        <v>1281</v>
      </c>
      <c r="BB681" t="s">
        <v>1026</v>
      </c>
      <c r="BD681" t="s">
        <v>1022</v>
      </c>
      <c r="BE681" t="s">
        <v>1430</v>
      </c>
    </row>
    <row r="682" spans="1:57" ht="13" x14ac:dyDescent="0.15">
      <c r="A682">
        <v>1839</v>
      </c>
      <c r="B682">
        <v>31569070</v>
      </c>
      <c r="C682" t="s">
        <v>1430</v>
      </c>
      <c r="D682" s="7">
        <v>39706</v>
      </c>
      <c r="E682" s="7">
        <v>45696</v>
      </c>
      <c r="F682">
        <v>330862</v>
      </c>
      <c r="G682" t="s">
        <v>983</v>
      </c>
      <c r="H682" t="s">
        <v>9</v>
      </c>
      <c r="I682" s="7">
        <v>45636</v>
      </c>
      <c r="J682" s="8">
        <v>0.67957175925925928</v>
      </c>
      <c r="K682" t="s">
        <v>984</v>
      </c>
      <c r="AQ682" t="s">
        <v>1089</v>
      </c>
      <c r="AR682" t="s">
        <v>1431</v>
      </c>
      <c r="AT682" t="s">
        <v>987</v>
      </c>
      <c r="AZ682" t="s">
        <v>1215</v>
      </c>
      <c r="BA682" t="s">
        <v>1216</v>
      </c>
      <c r="BB682" t="s">
        <v>1217</v>
      </c>
      <c r="BD682" t="s">
        <v>1022</v>
      </c>
      <c r="BE682" t="s">
        <v>1430</v>
      </c>
    </row>
    <row r="683" spans="1:57" ht="13" x14ac:dyDescent="0.15">
      <c r="A683">
        <v>1839</v>
      </c>
      <c r="B683">
        <v>31569070</v>
      </c>
      <c r="C683" t="s">
        <v>1430</v>
      </c>
      <c r="D683" s="7">
        <v>39706</v>
      </c>
      <c r="E683" s="7">
        <v>45696</v>
      </c>
      <c r="F683">
        <v>330862</v>
      </c>
      <c r="G683" t="s">
        <v>983</v>
      </c>
      <c r="H683" t="s">
        <v>9</v>
      </c>
      <c r="I683" s="7">
        <v>45636</v>
      </c>
      <c r="J683" s="8">
        <v>0.68267361111111113</v>
      </c>
      <c r="K683" t="s">
        <v>984</v>
      </c>
      <c r="AQ683" t="s">
        <v>1089</v>
      </c>
      <c r="AR683" t="s">
        <v>1262</v>
      </c>
      <c r="AT683" t="s">
        <v>987</v>
      </c>
      <c r="AZ683" t="s">
        <v>1028</v>
      </c>
      <c r="BA683" t="s">
        <v>1029</v>
      </c>
      <c r="BB683" t="s">
        <v>1018</v>
      </c>
      <c r="BD683" t="s">
        <v>1022</v>
      </c>
      <c r="BE683" t="s">
        <v>1430</v>
      </c>
    </row>
    <row r="684" spans="1:57" ht="13" x14ac:dyDescent="0.15">
      <c r="A684">
        <v>1839</v>
      </c>
      <c r="B684">
        <v>31569070</v>
      </c>
      <c r="C684" t="s">
        <v>1430</v>
      </c>
      <c r="D684" s="7">
        <v>39706</v>
      </c>
      <c r="E684" s="7">
        <v>45696</v>
      </c>
      <c r="F684">
        <v>330862</v>
      </c>
      <c r="G684" t="s">
        <v>983</v>
      </c>
      <c r="H684" t="s">
        <v>9</v>
      </c>
      <c r="I684" s="7">
        <v>45636</v>
      </c>
      <c r="J684" s="8">
        <v>0.6550231481481481</v>
      </c>
      <c r="K684" t="s">
        <v>984</v>
      </c>
      <c r="AQ684" t="s">
        <v>1089</v>
      </c>
      <c r="AR684" t="s">
        <v>1279</v>
      </c>
      <c r="AT684" t="s">
        <v>987</v>
      </c>
      <c r="AZ684" t="s">
        <v>1174</v>
      </c>
      <c r="BA684" t="s">
        <v>1242</v>
      </c>
      <c r="BB684" t="s">
        <v>1026</v>
      </c>
      <c r="BD684" t="s">
        <v>1005</v>
      </c>
      <c r="BE684" t="s">
        <v>1430</v>
      </c>
    </row>
    <row r="685" spans="1:57" ht="13" x14ac:dyDescent="0.15">
      <c r="A685">
        <v>1839</v>
      </c>
      <c r="B685">
        <v>31569070</v>
      </c>
      <c r="C685" t="s">
        <v>1430</v>
      </c>
      <c r="D685" s="7">
        <v>39706</v>
      </c>
      <c r="E685" s="7">
        <v>45696</v>
      </c>
      <c r="F685">
        <v>330862</v>
      </c>
      <c r="G685" t="s">
        <v>983</v>
      </c>
      <c r="H685" t="s">
        <v>9</v>
      </c>
      <c r="I685" s="7">
        <v>45636</v>
      </c>
      <c r="J685" s="8">
        <v>0.66877314814814814</v>
      </c>
      <c r="K685" t="s">
        <v>984</v>
      </c>
      <c r="AQ685" t="s">
        <v>1089</v>
      </c>
      <c r="AR685" t="s">
        <v>1098</v>
      </c>
      <c r="AT685" t="s">
        <v>987</v>
      </c>
      <c r="AZ685" t="s">
        <v>1020</v>
      </c>
      <c r="BA685" t="s">
        <v>1021</v>
      </c>
      <c r="BB685" t="s">
        <v>1018</v>
      </c>
      <c r="BD685" t="s">
        <v>1022</v>
      </c>
      <c r="BE685" t="s">
        <v>1430</v>
      </c>
    </row>
    <row r="686" spans="1:57" ht="13" x14ac:dyDescent="0.15">
      <c r="A686">
        <v>1839</v>
      </c>
      <c r="B686">
        <v>31569070</v>
      </c>
      <c r="C686" t="s">
        <v>1430</v>
      </c>
      <c r="D686" s="7">
        <v>39706</v>
      </c>
      <c r="E686" s="7">
        <v>45696</v>
      </c>
      <c r="F686">
        <v>330862</v>
      </c>
      <c r="G686" t="s">
        <v>983</v>
      </c>
      <c r="H686" t="s">
        <v>9</v>
      </c>
      <c r="I686" s="7">
        <v>45636</v>
      </c>
      <c r="J686" s="8">
        <v>0.66685185185185181</v>
      </c>
      <c r="K686" t="s">
        <v>984</v>
      </c>
      <c r="AQ686" t="s">
        <v>1089</v>
      </c>
      <c r="AR686" t="s">
        <v>1097</v>
      </c>
      <c r="AT686" t="s">
        <v>987</v>
      </c>
      <c r="AZ686" t="s">
        <v>1024</v>
      </c>
      <c r="BA686" t="s">
        <v>1025</v>
      </c>
      <c r="BB686" t="s">
        <v>1026</v>
      </c>
      <c r="BD686" t="s">
        <v>1022</v>
      </c>
      <c r="BE686" t="s">
        <v>1430</v>
      </c>
    </row>
    <row r="687" spans="1:57" ht="13" x14ac:dyDescent="0.15">
      <c r="A687">
        <v>1839</v>
      </c>
      <c r="B687">
        <v>31569070</v>
      </c>
      <c r="C687" t="s">
        <v>1430</v>
      </c>
      <c r="D687" s="7">
        <v>39706</v>
      </c>
      <c r="E687" s="7">
        <v>45696</v>
      </c>
      <c r="F687">
        <v>330862</v>
      </c>
      <c r="G687" t="s">
        <v>983</v>
      </c>
      <c r="H687" t="s">
        <v>9</v>
      </c>
      <c r="I687" s="7">
        <v>45636</v>
      </c>
      <c r="J687" s="8">
        <v>0.66353009259259255</v>
      </c>
      <c r="K687" t="s">
        <v>984</v>
      </c>
      <c r="AQ687" t="s">
        <v>1089</v>
      </c>
      <c r="AR687" t="s">
        <v>1096</v>
      </c>
      <c r="AT687" t="s">
        <v>987</v>
      </c>
      <c r="AZ687" t="s">
        <v>1011</v>
      </c>
      <c r="BA687" t="s">
        <v>1031</v>
      </c>
      <c r="BB687" t="s">
        <v>1032</v>
      </c>
      <c r="BD687" t="s">
        <v>1005</v>
      </c>
      <c r="BE687" t="s">
        <v>1430</v>
      </c>
    </row>
    <row r="688" spans="1:57" ht="13" x14ac:dyDescent="0.15">
      <c r="A688">
        <v>1839</v>
      </c>
      <c r="B688">
        <v>31569070</v>
      </c>
      <c r="C688" t="s">
        <v>1430</v>
      </c>
      <c r="D688" s="7">
        <v>39706</v>
      </c>
      <c r="E688" s="7">
        <v>45696</v>
      </c>
      <c r="F688">
        <v>330862</v>
      </c>
      <c r="G688" t="s">
        <v>983</v>
      </c>
      <c r="H688" t="s">
        <v>9</v>
      </c>
      <c r="I688" s="7">
        <v>45636</v>
      </c>
      <c r="J688" s="8">
        <v>0.66130787037037042</v>
      </c>
      <c r="K688" t="s">
        <v>984</v>
      </c>
      <c r="AQ688" t="s">
        <v>1089</v>
      </c>
      <c r="AR688" t="s">
        <v>1278</v>
      </c>
      <c r="AT688" t="s">
        <v>987</v>
      </c>
      <c r="AZ688" t="s">
        <v>1002</v>
      </c>
      <c r="BA688" t="s">
        <v>1124</v>
      </c>
      <c r="BB688" t="s">
        <v>1125</v>
      </c>
      <c r="BD688" t="s">
        <v>1005</v>
      </c>
      <c r="BE688" t="s">
        <v>1430</v>
      </c>
    </row>
    <row r="689" spans="1:57" ht="13" x14ac:dyDescent="0.15">
      <c r="A689">
        <v>1839</v>
      </c>
      <c r="B689">
        <v>31569070</v>
      </c>
      <c r="C689" t="s">
        <v>1430</v>
      </c>
      <c r="D689" s="7">
        <v>39706</v>
      </c>
      <c r="E689" s="7">
        <v>45696</v>
      </c>
      <c r="F689">
        <v>330862</v>
      </c>
      <c r="G689" t="s">
        <v>983</v>
      </c>
      <c r="H689" t="s">
        <v>9</v>
      </c>
      <c r="I689" s="7">
        <v>45636</v>
      </c>
      <c r="J689" s="8">
        <v>0.68589120370370371</v>
      </c>
      <c r="K689" t="s">
        <v>984</v>
      </c>
      <c r="AQ689" t="s">
        <v>1089</v>
      </c>
      <c r="AR689" t="s">
        <v>1432</v>
      </c>
      <c r="AT689" t="s">
        <v>987</v>
      </c>
      <c r="AZ689" t="s">
        <v>1182</v>
      </c>
      <c r="BA689" t="s">
        <v>1185</v>
      </c>
      <c r="BB689" t="s">
        <v>1026</v>
      </c>
      <c r="BD689" t="s">
        <v>1022</v>
      </c>
      <c r="BE689" t="s">
        <v>1430</v>
      </c>
    </row>
    <row r="690" spans="1:57" ht="13" x14ac:dyDescent="0.15">
      <c r="A690">
        <v>1839</v>
      </c>
      <c r="B690">
        <v>31570817</v>
      </c>
      <c r="C690" t="s">
        <v>190</v>
      </c>
      <c r="D690" s="7">
        <v>41674</v>
      </c>
      <c r="E690" s="7">
        <v>45697</v>
      </c>
      <c r="F690">
        <v>330862</v>
      </c>
      <c r="G690" t="s">
        <v>983</v>
      </c>
      <c r="H690" t="s">
        <v>9</v>
      </c>
      <c r="I690" s="7">
        <v>45694</v>
      </c>
      <c r="J690" s="8">
        <v>0.59956018518518517</v>
      </c>
      <c r="K690" t="s">
        <v>984</v>
      </c>
      <c r="AQ690" t="s">
        <v>992</v>
      </c>
      <c r="AR690" t="s">
        <v>986</v>
      </c>
      <c r="AT690" t="s">
        <v>987</v>
      </c>
      <c r="AZ690" t="s">
        <v>988</v>
      </c>
      <c r="BA690" t="s">
        <v>989</v>
      </c>
      <c r="BB690" t="s">
        <v>990</v>
      </c>
      <c r="BD690" t="s">
        <v>991</v>
      </c>
      <c r="BE690" t="s">
        <v>190</v>
      </c>
    </row>
    <row r="691" spans="1:57" ht="13" x14ac:dyDescent="0.15">
      <c r="A691">
        <v>1839</v>
      </c>
      <c r="B691">
        <v>31576011</v>
      </c>
      <c r="C691" t="s">
        <v>191</v>
      </c>
      <c r="D691" s="7">
        <v>41662</v>
      </c>
      <c r="E691" s="7">
        <v>45694</v>
      </c>
      <c r="F691">
        <v>330862</v>
      </c>
      <c r="G691" t="s">
        <v>983</v>
      </c>
      <c r="H691" t="s">
        <v>9</v>
      </c>
      <c r="I691" s="7">
        <v>45694</v>
      </c>
      <c r="J691" s="8">
        <v>0.46207175925925925</v>
      </c>
      <c r="K691" t="s">
        <v>984</v>
      </c>
      <c r="AQ691" t="s">
        <v>1142</v>
      </c>
      <c r="AR691" t="s">
        <v>986</v>
      </c>
      <c r="AT691" t="s">
        <v>987</v>
      </c>
      <c r="AZ691" t="s">
        <v>988</v>
      </c>
      <c r="BA691" t="s">
        <v>989</v>
      </c>
      <c r="BB691" t="s">
        <v>990</v>
      </c>
      <c r="BD691" t="s">
        <v>991</v>
      </c>
      <c r="BE691" t="s">
        <v>191</v>
      </c>
    </row>
    <row r="692" spans="1:57" ht="13" x14ac:dyDescent="0.15">
      <c r="A692">
        <v>1839</v>
      </c>
      <c r="B692">
        <v>31578357</v>
      </c>
      <c r="C692" t="s">
        <v>192</v>
      </c>
      <c r="D692" s="7">
        <v>40424</v>
      </c>
      <c r="E692" s="7">
        <v>45694</v>
      </c>
      <c r="F692">
        <v>330862</v>
      </c>
      <c r="G692" t="s">
        <v>983</v>
      </c>
      <c r="H692" t="s">
        <v>9</v>
      </c>
      <c r="I692" s="7">
        <v>45694</v>
      </c>
      <c r="J692" s="8">
        <v>0.52490740740740738</v>
      </c>
      <c r="K692" t="s">
        <v>984</v>
      </c>
      <c r="AQ692" t="s">
        <v>1089</v>
      </c>
      <c r="AR692" t="s">
        <v>986</v>
      </c>
      <c r="AT692" t="s">
        <v>987</v>
      </c>
      <c r="AZ692" t="s">
        <v>988</v>
      </c>
      <c r="BA692" t="s">
        <v>989</v>
      </c>
      <c r="BB692" t="s">
        <v>990</v>
      </c>
      <c r="BD692" t="s">
        <v>991</v>
      </c>
      <c r="BE692" t="s">
        <v>192</v>
      </c>
    </row>
    <row r="693" spans="1:57" ht="13" x14ac:dyDescent="0.15">
      <c r="A693">
        <v>1839</v>
      </c>
      <c r="B693">
        <v>31587224</v>
      </c>
      <c r="C693" t="s">
        <v>193</v>
      </c>
      <c r="D693" s="7">
        <v>40657</v>
      </c>
      <c r="E693" s="7">
        <v>45704</v>
      </c>
      <c r="F693">
        <v>330862</v>
      </c>
      <c r="G693" t="s">
        <v>983</v>
      </c>
      <c r="H693" t="s">
        <v>9</v>
      </c>
      <c r="I693" s="7">
        <v>45703</v>
      </c>
      <c r="J693" s="8">
        <v>0.96975694444444449</v>
      </c>
      <c r="K693" t="s">
        <v>984</v>
      </c>
      <c r="AQ693" t="s">
        <v>985</v>
      </c>
      <c r="AR693" t="s">
        <v>1341</v>
      </c>
      <c r="AT693" t="s">
        <v>987</v>
      </c>
      <c r="AZ693" t="s">
        <v>1174</v>
      </c>
      <c r="BA693" t="s">
        <v>1175</v>
      </c>
      <c r="BB693" t="s">
        <v>990</v>
      </c>
      <c r="BD693" t="s">
        <v>991</v>
      </c>
      <c r="BE693" t="s">
        <v>193</v>
      </c>
    </row>
    <row r="694" spans="1:57" ht="13" x14ac:dyDescent="0.15">
      <c r="A694">
        <v>1839</v>
      </c>
      <c r="B694">
        <v>31587224</v>
      </c>
      <c r="C694" t="s">
        <v>193</v>
      </c>
      <c r="D694" s="7">
        <v>40657</v>
      </c>
      <c r="E694" s="7">
        <v>45704</v>
      </c>
      <c r="F694">
        <v>330862</v>
      </c>
      <c r="G694" t="s">
        <v>983</v>
      </c>
      <c r="H694" t="s">
        <v>9</v>
      </c>
      <c r="I694" s="7">
        <v>45704</v>
      </c>
      <c r="J694" s="8">
        <v>0.82748842592592597</v>
      </c>
      <c r="K694" t="s">
        <v>984</v>
      </c>
      <c r="AQ694" t="s">
        <v>985</v>
      </c>
      <c r="AR694" t="s">
        <v>1341</v>
      </c>
      <c r="AT694" t="s">
        <v>987</v>
      </c>
      <c r="AZ694" t="s">
        <v>1174</v>
      </c>
      <c r="BA694" t="s">
        <v>1175</v>
      </c>
      <c r="BB694" t="s">
        <v>990</v>
      </c>
      <c r="BD694" t="s">
        <v>991</v>
      </c>
      <c r="BE694" t="s">
        <v>193</v>
      </c>
    </row>
    <row r="695" spans="1:57" ht="13" x14ac:dyDescent="0.15">
      <c r="A695">
        <v>1839</v>
      </c>
      <c r="B695">
        <v>31587224</v>
      </c>
      <c r="C695" t="s">
        <v>193</v>
      </c>
      <c r="D695" s="7">
        <v>40657</v>
      </c>
      <c r="E695" s="7">
        <v>45704</v>
      </c>
      <c r="F695">
        <v>330862</v>
      </c>
      <c r="G695" t="s">
        <v>983</v>
      </c>
      <c r="H695" t="s">
        <v>9</v>
      </c>
      <c r="I695" s="7">
        <v>45696</v>
      </c>
      <c r="J695" s="8">
        <v>0.50269675925925927</v>
      </c>
      <c r="K695" t="s">
        <v>984</v>
      </c>
      <c r="AQ695" t="s">
        <v>985</v>
      </c>
      <c r="AR695" t="s">
        <v>1433</v>
      </c>
      <c r="AT695" t="s">
        <v>987</v>
      </c>
      <c r="AZ695" t="s">
        <v>1220</v>
      </c>
      <c r="BA695" t="s">
        <v>1221</v>
      </c>
      <c r="BB695" t="s">
        <v>1082</v>
      </c>
      <c r="BD695" t="s">
        <v>991</v>
      </c>
      <c r="BE695" t="s">
        <v>193</v>
      </c>
    </row>
    <row r="696" spans="1:57" ht="13" x14ac:dyDescent="0.15">
      <c r="A696">
        <v>1839</v>
      </c>
      <c r="B696">
        <v>31587224</v>
      </c>
      <c r="C696" t="s">
        <v>193</v>
      </c>
      <c r="D696" s="7">
        <v>40657</v>
      </c>
      <c r="E696" s="7">
        <v>45704</v>
      </c>
      <c r="F696">
        <v>330862</v>
      </c>
      <c r="G696" t="s">
        <v>983</v>
      </c>
      <c r="H696" t="s">
        <v>9</v>
      </c>
      <c r="I696" s="7">
        <v>45697</v>
      </c>
      <c r="J696" s="8">
        <v>0.53239583333333329</v>
      </c>
      <c r="K696" t="s">
        <v>984</v>
      </c>
      <c r="AQ696" t="s">
        <v>985</v>
      </c>
      <c r="AR696" t="s">
        <v>1433</v>
      </c>
      <c r="AT696" t="s">
        <v>987</v>
      </c>
      <c r="AZ696" t="s">
        <v>1220</v>
      </c>
      <c r="BA696" t="s">
        <v>1221</v>
      </c>
      <c r="BB696" t="s">
        <v>1082</v>
      </c>
      <c r="BD696" t="s">
        <v>991</v>
      </c>
      <c r="BE696" t="s">
        <v>193</v>
      </c>
    </row>
    <row r="697" spans="1:57" ht="13" x14ac:dyDescent="0.15">
      <c r="A697">
        <v>1839</v>
      </c>
      <c r="B697">
        <v>31587224</v>
      </c>
      <c r="C697" t="s">
        <v>193</v>
      </c>
      <c r="D697" s="7">
        <v>40657</v>
      </c>
      <c r="E697" s="7">
        <v>45704</v>
      </c>
      <c r="F697">
        <v>330862</v>
      </c>
      <c r="G697" t="s">
        <v>983</v>
      </c>
      <c r="H697" t="s">
        <v>9</v>
      </c>
      <c r="I697" s="7">
        <v>45652</v>
      </c>
      <c r="J697" s="8">
        <v>0.87840277777777775</v>
      </c>
      <c r="K697" t="s">
        <v>984</v>
      </c>
      <c r="AQ697" t="s">
        <v>985</v>
      </c>
      <c r="AR697" t="s">
        <v>1434</v>
      </c>
      <c r="AT697" t="s">
        <v>987</v>
      </c>
      <c r="AZ697" t="s">
        <v>1071</v>
      </c>
      <c r="BA697" t="s">
        <v>1072</v>
      </c>
      <c r="BB697" t="s">
        <v>1048</v>
      </c>
      <c r="BD697" t="s">
        <v>1005</v>
      </c>
      <c r="BE697" t="s">
        <v>193</v>
      </c>
    </row>
    <row r="698" spans="1:57" ht="13" x14ac:dyDescent="0.15">
      <c r="A698">
        <v>1839</v>
      </c>
      <c r="B698">
        <v>31587224</v>
      </c>
      <c r="C698" t="s">
        <v>193</v>
      </c>
      <c r="D698" s="7">
        <v>40657</v>
      </c>
      <c r="E698" s="7">
        <v>45704</v>
      </c>
      <c r="F698">
        <v>330862</v>
      </c>
      <c r="G698" t="s">
        <v>983</v>
      </c>
      <c r="H698" t="s">
        <v>9</v>
      </c>
      <c r="I698" s="7">
        <v>45616</v>
      </c>
      <c r="J698" s="8">
        <v>0.85250000000000004</v>
      </c>
      <c r="K698" t="s">
        <v>984</v>
      </c>
      <c r="AQ698" t="s">
        <v>985</v>
      </c>
      <c r="AR698" t="s">
        <v>1268</v>
      </c>
      <c r="AT698" t="s">
        <v>987</v>
      </c>
      <c r="AZ698" t="s">
        <v>1055</v>
      </c>
      <c r="BA698" t="s">
        <v>1056</v>
      </c>
      <c r="BB698" t="s">
        <v>1013</v>
      </c>
      <c r="BD698" t="s">
        <v>1022</v>
      </c>
      <c r="BE698" t="s">
        <v>193</v>
      </c>
    </row>
    <row r="699" spans="1:57" ht="13" x14ac:dyDescent="0.15">
      <c r="A699">
        <v>1839</v>
      </c>
      <c r="B699">
        <v>31587224</v>
      </c>
      <c r="C699" t="s">
        <v>193</v>
      </c>
      <c r="D699" s="7">
        <v>40657</v>
      </c>
      <c r="E699" s="7">
        <v>45704</v>
      </c>
      <c r="F699">
        <v>330862</v>
      </c>
      <c r="G699" t="s">
        <v>983</v>
      </c>
      <c r="H699" t="s">
        <v>9</v>
      </c>
      <c r="I699" s="7">
        <v>45659</v>
      </c>
      <c r="J699" s="8">
        <v>0.60709490740740746</v>
      </c>
      <c r="K699" t="s">
        <v>984</v>
      </c>
      <c r="AQ699" t="s">
        <v>985</v>
      </c>
      <c r="AR699" t="s">
        <v>1435</v>
      </c>
      <c r="AT699" t="s">
        <v>987</v>
      </c>
      <c r="AZ699" t="s">
        <v>988</v>
      </c>
      <c r="BA699" t="s">
        <v>1058</v>
      </c>
      <c r="BB699" t="s">
        <v>1018</v>
      </c>
      <c r="BD699" t="s">
        <v>1005</v>
      </c>
      <c r="BE699" t="s">
        <v>193</v>
      </c>
    </row>
    <row r="700" spans="1:57" ht="13" x14ac:dyDescent="0.15">
      <c r="A700">
        <v>1839</v>
      </c>
      <c r="B700">
        <v>31587224</v>
      </c>
      <c r="C700" t="s">
        <v>193</v>
      </c>
      <c r="D700" s="7">
        <v>40657</v>
      </c>
      <c r="E700" s="7">
        <v>45704</v>
      </c>
      <c r="F700">
        <v>330862</v>
      </c>
      <c r="G700" t="s">
        <v>983</v>
      </c>
      <c r="H700" t="s">
        <v>9</v>
      </c>
      <c r="I700" s="7">
        <v>45665</v>
      </c>
      <c r="J700" s="8">
        <v>0.6005787037037037</v>
      </c>
      <c r="K700" t="s">
        <v>984</v>
      </c>
      <c r="AQ700" t="s">
        <v>985</v>
      </c>
      <c r="AR700" t="s">
        <v>1390</v>
      </c>
      <c r="AT700" t="s">
        <v>987</v>
      </c>
      <c r="AZ700" t="s">
        <v>988</v>
      </c>
      <c r="BA700" t="s">
        <v>1058</v>
      </c>
      <c r="BB700" t="s">
        <v>1018</v>
      </c>
      <c r="BD700" t="s">
        <v>1005</v>
      </c>
      <c r="BE700" t="s">
        <v>193</v>
      </c>
    </row>
    <row r="701" spans="1:57" ht="13" x14ac:dyDescent="0.15">
      <c r="A701">
        <v>1839</v>
      </c>
      <c r="B701">
        <v>31587224</v>
      </c>
      <c r="C701" t="s">
        <v>193</v>
      </c>
      <c r="D701" s="7">
        <v>40657</v>
      </c>
      <c r="E701" s="7">
        <v>45704</v>
      </c>
      <c r="F701">
        <v>330862</v>
      </c>
      <c r="G701" t="s">
        <v>983</v>
      </c>
      <c r="H701" t="s">
        <v>9</v>
      </c>
      <c r="I701" s="7">
        <v>45647</v>
      </c>
      <c r="J701" s="8">
        <v>0.5494444444444444</v>
      </c>
      <c r="K701" t="s">
        <v>984</v>
      </c>
      <c r="AQ701" t="s">
        <v>985</v>
      </c>
      <c r="AR701" t="s">
        <v>1027</v>
      </c>
      <c r="AT701" t="s">
        <v>987</v>
      </c>
      <c r="AZ701" t="s">
        <v>1028</v>
      </c>
      <c r="BA701" t="s">
        <v>1029</v>
      </c>
      <c r="BB701" t="s">
        <v>1018</v>
      </c>
      <c r="BD701" t="s">
        <v>1022</v>
      </c>
      <c r="BE701" t="s">
        <v>193</v>
      </c>
    </row>
    <row r="702" spans="1:57" ht="13" x14ac:dyDescent="0.15">
      <c r="A702">
        <v>1839</v>
      </c>
      <c r="B702">
        <v>31587224</v>
      </c>
      <c r="C702" t="s">
        <v>193</v>
      </c>
      <c r="D702" s="7">
        <v>40657</v>
      </c>
      <c r="E702" s="7">
        <v>45704</v>
      </c>
      <c r="F702">
        <v>330862</v>
      </c>
      <c r="G702" t="s">
        <v>983</v>
      </c>
      <c r="H702" t="s">
        <v>9</v>
      </c>
      <c r="I702" s="7">
        <v>45647</v>
      </c>
      <c r="J702" s="8">
        <v>0.64150462962962962</v>
      </c>
      <c r="K702" t="s">
        <v>984</v>
      </c>
      <c r="AQ702" t="s">
        <v>985</v>
      </c>
      <c r="AR702" t="s">
        <v>1027</v>
      </c>
      <c r="AT702" t="s">
        <v>987</v>
      </c>
      <c r="AZ702" t="s">
        <v>1028</v>
      </c>
      <c r="BA702" t="s">
        <v>1029</v>
      </c>
      <c r="BB702" t="s">
        <v>1018</v>
      </c>
      <c r="BD702" t="s">
        <v>1022</v>
      </c>
      <c r="BE702" t="s">
        <v>193</v>
      </c>
    </row>
    <row r="703" spans="1:57" ht="13" x14ac:dyDescent="0.15">
      <c r="A703">
        <v>1839</v>
      </c>
      <c r="B703">
        <v>31587224</v>
      </c>
      <c r="C703" t="s">
        <v>193</v>
      </c>
      <c r="D703" s="7">
        <v>40657</v>
      </c>
      <c r="E703" s="7">
        <v>45704</v>
      </c>
      <c r="F703">
        <v>330862</v>
      </c>
      <c r="G703" t="s">
        <v>983</v>
      </c>
      <c r="H703" t="s">
        <v>9</v>
      </c>
      <c r="I703" s="7">
        <v>45616</v>
      </c>
      <c r="J703" s="8">
        <v>0.76755787037037038</v>
      </c>
      <c r="K703" t="s">
        <v>984</v>
      </c>
      <c r="AQ703" t="s">
        <v>985</v>
      </c>
      <c r="AR703" t="s">
        <v>1268</v>
      </c>
      <c r="AT703" t="s">
        <v>987</v>
      </c>
      <c r="AZ703" t="s">
        <v>1055</v>
      </c>
      <c r="BA703" t="s">
        <v>1056</v>
      </c>
      <c r="BB703" t="s">
        <v>1013</v>
      </c>
      <c r="BD703" t="s">
        <v>1022</v>
      </c>
      <c r="BE703" t="s">
        <v>193</v>
      </c>
    </row>
    <row r="704" spans="1:57" ht="13" x14ac:dyDescent="0.15">
      <c r="A704">
        <v>1839</v>
      </c>
      <c r="B704">
        <v>31587224</v>
      </c>
      <c r="C704" t="s">
        <v>193</v>
      </c>
      <c r="D704" s="7">
        <v>40657</v>
      </c>
      <c r="E704" s="7">
        <v>45704</v>
      </c>
      <c r="F704">
        <v>330862</v>
      </c>
      <c r="G704" t="s">
        <v>983</v>
      </c>
      <c r="H704" t="s">
        <v>9</v>
      </c>
      <c r="I704" s="7">
        <v>45653</v>
      </c>
      <c r="J704" s="8">
        <v>0.64554398148148151</v>
      </c>
      <c r="K704" t="s">
        <v>984</v>
      </c>
      <c r="AQ704" t="s">
        <v>985</v>
      </c>
      <c r="AR704" t="s">
        <v>1434</v>
      </c>
      <c r="AT704" t="s">
        <v>987</v>
      </c>
      <c r="AZ704" t="s">
        <v>1071</v>
      </c>
      <c r="BA704" t="s">
        <v>1072</v>
      </c>
      <c r="BB704" t="s">
        <v>1048</v>
      </c>
      <c r="BD704" t="s">
        <v>1005</v>
      </c>
      <c r="BE704" t="s">
        <v>193</v>
      </c>
    </row>
    <row r="705" spans="1:57" ht="13" x14ac:dyDescent="0.15">
      <c r="A705">
        <v>1839</v>
      </c>
      <c r="B705">
        <v>31591080</v>
      </c>
      <c r="C705" t="s">
        <v>194</v>
      </c>
      <c r="D705" s="7">
        <v>40410</v>
      </c>
      <c r="E705" s="7">
        <v>45701</v>
      </c>
      <c r="F705">
        <v>330862</v>
      </c>
      <c r="G705" t="s">
        <v>983</v>
      </c>
      <c r="H705" t="s">
        <v>9</v>
      </c>
      <c r="I705" s="7">
        <v>45694</v>
      </c>
      <c r="J705" s="8">
        <v>0.40542824074074074</v>
      </c>
      <c r="K705" t="s">
        <v>984</v>
      </c>
      <c r="AQ705" t="s">
        <v>992</v>
      </c>
      <c r="AR705" t="s">
        <v>1066</v>
      </c>
      <c r="AT705" t="s">
        <v>987</v>
      </c>
      <c r="AZ705" t="s">
        <v>988</v>
      </c>
      <c r="BA705" t="s">
        <v>989</v>
      </c>
      <c r="BB705" t="s">
        <v>990</v>
      </c>
      <c r="BD705" t="s">
        <v>991</v>
      </c>
      <c r="BE705" t="s">
        <v>194</v>
      </c>
    </row>
    <row r="706" spans="1:57" ht="13" x14ac:dyDescent="0.15">
      <c r="A706">
        <v>1839</v>
      </c>
      <c r="B706">
        <v>31596292</v>
      </c>
      <c r="C706" t="s">
        <v>1436</v>
      </c>
      <c r="D706" s="7">
        <v>39706</v>
      </c>
      <c r="E706" s="7">
        <v>45708</v>
      </c>
      <c r="F706">
        <v>330862</v>
      </c>
      <c r="G706" t="s">
        <v>983</v>
      </c>
      <c r="H706" t="s">
        <v>9</v>
      </c>
      <c r="I706" s="7">
        <v>45616</v>
      </c>
      <c r="J706" s="8">
        <v>0.76650462962962962</v>
      </c>
      <c r="K706" t="s">
        <v>984</v>
      </c>
      <c r="AQ706" t="s">
        <v>985</v>
      </c>
      <c r="AR706" t="s">
        <v>1437</v>
      </c>
      <c r="AT706" t="s">
        <v>987</v>
      </c>
      <c r="AZ706" t="s">
        <v>1028</v>
      </c>
      <c r="BA706" t="s">
        <v>1029</v>
      </c>
      <c r="BB706" t="s">
        <v>1018</v>
      </c>
      <c r="BD706" t="s">
        <v>1022</v>
      </c>
      <c r="BE706" t="s">
        <v>1436</v>
      </c>
    </row>
    <row r="707" spans="1:57" ht="13" x14ac:dyDescent="0.15">
      <c r="A707">
        <v>1839</v>
      </c>
      <c r="B707">
        <v>31597263</v>
      </c>
      <c r="C707" t="s">
        <v>1438</v>
      </c>
      <c r="D707" s="7">
        <v>39707</v>
      </c>
      <c r="E707" s="7">
        <v>45686</v>
      </c>
      <c r="F707">
        <v>330862</v>
      </c>
      <c r="G707" t="s">
        <v>983</v>
      </c>
      <c r="H707" t="s">
        <v>9</v>
      </c>
      <c r="I707" s="7">
        <v>45637</v>
      </c>
      <c r="J707" s="8">
        <v>0.50531250000000005</v>
      </c>
      <c r="K707" t="s">
        <v>984</v>
      </c>
      <c r="AQ707" t="s">
        <v>1092</v>
      </c>
      <c r="AR707" t="s">
        <v>1439</v>
      </c>
      <c r="AT707" t="s">
        <v>987</v>
      </c>
      <c r="AU707" t="s">
        <v>1440</v>
      </c>
      <c r="AV707" t="s">
        <v>1441</v>
      </c>
      <c r="AZ707" t="s">
        <v>1011</v>
      </c>
      <c r="BA707" t="s">
        <v>1031</v>
      </c>
      <c r="BB707" t="s">
        <v>1032</v>
      </c>
      <c r="BD707" t="s">
        <v>1005</v>
      </c>
      <c r="BE707" t="s">
        <v>1438</v>
      </c>
    </row>
    <row r="708" spans="1:57" ht="13" x14ac:dyDescent="0.15">
      <c r="A708">
        <v>1839</v>
      </c>
      <c r="B708">
        <v>31599087</v>
      </c>
      <c r="C708" t="s">
        <v>195</v>
      </c>
      <c r="D708" s="7">
        <v>39708</v>
      </c>
      <c r="E708" s="7">
        <v>45691</v>
      </c>
      <c r="F708">
        <v>330862</v>
      </c>
      <c r="G708" t="s">
        <v>983</v>
      </c>
      <c r="H708" t="s">
        <v>9</v>
      </c>
      <c r="I708" s="7">
        <v>45682</v>
      </c>
      <c r="J708" s="8">
        <v>0.40446759259259257</v>
      </c>
      <c r="K708" t="s">
        <v>984</v>
      </c>
      <c r="AQ708" t="s">
        <v>992</v>
      </c>
      <c r="AR708" t="s">
        <v>1414</v>
      </c>
      <c r="AT708" t="s">
        <v>987</v>
      </c>
      <c r="BE708" t="s">
        <v>195</v>
      </c>
    </row>
    <row r="709" spans="1:57" ht="13" x14ac:dyDescent="0.15">
      <c r="A709">
        <v>1839</v>
      </c>
      <c r="B709">
        <v>31612085</v>
      </c>
      <c r="C709" t="s">
        <v>196</v>
      </c>
      <c r="D709" s="7">
        <v>40861</v>
      </c>
      <c r="E709" s="7">
        <v>45713</v>
      </c>
      <c r="F709">
        <v>330862</v>
      </c>
      <c r="G709" t="s">
        <v>983</v>
      </c>
      <c r="H709" t="s">
        <v>9</v>
      </c>
      <c r="I709" s="7">
        <v>45681</v>
      </c>
      <c r="J709" s="8">
        <v>0.69803240740740746</v>
      </c>
      <c r="K709" t="s">
        <v>984</v>
      </c>
      <c r="AQ709" t="s">
        <v>992</v>
      </c>
      <c r="AR709" t="s">
        <v>1442</v>
      </c>
      <c r="AT709" t="s">
        <v>987</v>
      </c>
      <c r="AZ709" t="s">
        <v>1016</v>
      </c>
      <c r="BA709" t="s">
        <v>1017</v>
      </c>
      <c r="BB709" t="s">
        <v>1018</v>
      </c>
      <c r="BD709" t="s">
        <v>991</v>
      </c>
      <c r="BE709" t="s">
        <v>196</v>
      </c>
    </row>
    <row r="710" spans="1:57" ht="13" x14ac:dyDescent="0.15">
      <c r="A710">
        <v>1839</v>
      </c>
      <c r="B710">
        <v>31614305</v>
      </c>
      <c r="C710" t="s">
        <v>1443</v>
      </c>
      <c r="D710" s="7">
        <v>41126</v>
      </c>
      <c r="E710" s="7">
        <v>45695</v>
      </c>
      <c r="F710">
        <v>330862</v>
      </c>
      <c r="G710" t="s">
        <v>983</v>
      </c>
      <c r="H710" t="s">
        <v>9</v>
      </c>
      <c r="I710" s="7">
        <v>45616</v>
      </c>
      <c r="J710" s="8">
        <v>0.75138888888888888</v>
      </c>
      <c r="K710" t="s">
        <v>984</v>
      </c>
      <c r="AQ710" t="s">
        <v>992</v>
      </c>
      <c r="AR710" t="s">
        <v>1378</v>
      </c>
      <c r="AT710" t="s">
        <v>987</v>
      </c>
      <c r="AZ710" t="s">
        <v>1011</v>
      </c>
      <c r="BA710" t="s">
        <v>1103</v>
      </c>
      <c r="BB710" t="s">
        <v>1032</v>
      </c>
      <c r="BD710" t="s">
        <v>1005</v>
      </c>
      <c r="BE710" t="s">
        <v>1443</v>
      </c>
    </row>
    <row r="711" spans="1:57" ht="13" x14ac:dyDescent="0.15">
      <c r="A711">
        <v>1839</v>
      </c>
      <c r="B711">
        <v>31616227</v>
      </c>
      <c r="C711" t="s">
        <v>197</v>
      </c>
      <c r="D711" s="7">
        <v>39711</v>
      </c>
      <c r="E711" s="7">
        <v>45695</v>
      </c>
      <c r="F711">
        <v>330862</v>
      </c>
      <c r="G711" t="s">
        <v>983</v>
      </c>
      <c r="H711" t="s">
        <v>9</v>
      </c>
      <c r="I711" s="7">
        <v>45694</v>
      </c>
      <c r="J711" s="8">
        <v>0.39695601851851853</v>
      </c>
      <c r="K711" t="s">
        <v>984</v>
      </c>
      <c r="AQ711" t="s">
        <v>985</v>
      </c>
      <c r="AR711" t="s">
        <v>993</v>
      </c>
      <c r="AT711" t="s">
        <v>987</v>
      </c>
      <c r="AZ711" t="s">
        <v>988</v>
      </c>
      <c r="BA711" t="s">
        <v>989</v>
      </c>
      <c r="BB711" t="s">
        <v>990</v>
      </c>
      <c r="BD711" t="s">
        <v>991</v>
      </c>
      <c r="BE711" t="s">
        <v>197</v>
      </c>
    </row>
    <row r="712" spans="1:57" ht="13" x14ac:dyDescent="0.15">
      <c r="A712">
        <v>1839</v>
      </c>
      <c r="B712">
        <v>31616227</v>
      </c>
      <c r="C712" t="s">
        <v>197</v>
      </c>
      <c r="D712" s="7">
        <v>39711</v>
      </c>
      <c r="E712" s="7">
        <v>45695</v>
      </c>
      <c r="F712">
        <v>330862</v>
      </c>
      <c r="G712" t="s">
        <v>983</v>
      </c>
      <c r="H712" t="s">
        <v>9</v>
      </c>
      <c r="I712" s="7">
        <v>45636</v>
      </c>
      <c r="J712" s="8">
        <v>0.40054398148148146</v>
      </c>
      <c r="K712" t="s">
        <v>984</v>
      </c>
      <c r="AQ712" t="s">
        <v>985</v>
      </c>
      <c r="AR712" t="s">
        <v>1444</v>
      </c>
      <c r="AT712" t="s">
        <v>987</v>
      </c>
      <c r="AU712" t="s">
        <v>1440</v>
      </c>
      <c r="AV712" t="s">
        <v>1441</v>
      </c>
      <c r="AZ712" t="s">
        <v>1011</v>
      </c>
      <c r="BA712" t="s">
        <v>1031</v>
      </c>
      <c r="BB712" t="s">
        <v>1032</v>
      </c>
      <c r="BD712" t="s">
        <v>1005</v>
      </c>
      <c r="BE712" t="s">
        <v>197</v>
      </c>
    </row>
    <row r="713" spans="1:57" ht="13" x14ac:dyDescent="0.15">
      <c r="A713">
        <v>1839</v>
      </c>
      <c r="B713">
        <v>31618383</v>
      </c>
      <c r="C713" t="s">
        <v>1445</v>
      </c>
      <c r="D713" s="7">
        <v>40438</v>
      </c>
      <c r="E713" s="7">
        <v>45702</v>
      </c>
      <c r="F713">
        <v>330862</v>
      </c>
      <c r="G713" t="s">
        <v>983</v>
      </c>
      <c r="H713" t="s">
        <v>9</v>
      </c>
      <c r="I713" s="7">
        <v>45636</v>
      </c>
      <c r="J713" s="8">
        <v>0.68949074074074079</v>
      </c>
      <c r="K713" t="s">
        <v>984</v>
      </c>
      <c r="AQ713" t="s">
        <v>1092</v>
      </c>
      <c r="AR713" t="s">
        <v>1208</v>
      </c>
      <c r="AT713" t="s">
        <v>987</v>
      </c>
      <c r="AZ713" t="s">
        <v>1011</v>
      </c>
      <c r="BA713" t="s">
        <v>1031</v>
      </c>
      <c r="BB713" t="s">
        <v>1032</v>
      </c>
      <c r="BD713" t="s">
        <v>1005</v>
      </c>
      <c r="BE713" t="s">
        <v>1445</v>
      </c>
    </row>
    <row r="714" spans="1:57" ht="13" x14ac:dyDescent="0.15">
      <c r="A714">
        <v>1839</v>
      </c>
      <c r="B714">
        <v>31619755</v>
      </c>
      <c r="C714" t="s">
        <v>198</v>
      </c>
      <c r="D714" s="7">
        <v>40237</v>
      </c>
      <c r="E714" s="7">
        <v>45702</v>
      </c>
      <c r="F714">
        <v>330862</v>
      </c>
      <c r="G714" t="s">
        <v>983</v>
      </c>
      <c r="H714" t="s">
        <v>9</v>
      </c>
      <c r="I714" s="7">
        <v>45636</v>
      </c>
      <c r="J714" s="8">
        <v>0.48273148148148148</v>
      </c>
      <c r="K714" t="s">
        <v>984</v>
      </c>
      <c r="AQ714" t="s">
        <v>1446</v>
      </c>
      <c r="AR714" t="s">
        <v>1262</v>
      </c>
      <c r="AT714" t="s">
        <v>987</v>
      </c>
      <c r="AZ714" t="s">
        <v>1028</v>
      </c>
      <c r="BA714" t="s">
        <v>1029</v>
      </c>
      <c r="BB714" t="s">
        <v>1018</v>
      </c>
      <c r="BD714" t="s">
        <v>1022</v>
      </c>
      <c r="BE714" t="s">
        <v>198</v>
      </c>
    </row>
    <row r="715" spans="1:57" ht="13" x14ac:dyDescent="0.15">
      <c r="A715">
        <v>1839</v>
      </c>
      <c r="B715">
        <v>31619755</v>
      </c>
      <c r="C715" t="s">
        <v>198</v>
      </c>
      <c r="D715" s="7">
        <v>40237</v>
      </c>
      <c r="E715" s="7">
        <v>45702</v>
      </c>
      <c r="F715">
        <v>330862</v>
      </c>
      <c r="G715" t="s">
        <v>983</v>
      </c>
      <c r="H715" t="s">
        <v>9</v>
      </c>
      <c r="I715" s="7">
        <v>45636</v>
      </c>
      <c r="J715" s="8">
        <v>0.48547453703703702</v>
      </c>
      <c r="K715" t="s">
        <v>984</v>
      </c>
      <c r="AQ715" t="s">
        <v>1446</v>
      </c>
      <c r="AR715" t="s">
        <v>1097</v>
      </c>
      <c r="AT715" t="s">
        <v>987</v>
      </c>
      <c r="AZ715" t="s">
        <v>1024</v>
      </c>
      <c r="BA715" t="s">
        <v>1025</v>
      </c>
      <c r="BB715" t="s">
        <v>1026</v>
      </c>
      <c r="BD715" t="s">
        <v>1022</v>
      </c>
      <c r="BE715" t="s">
        <v>198</v>
      </c>
    </row>
    <row r="716" spans="1:57" ht="13" x14ac:dyDescent="0.15">
      <c r="A716">
        <v>1839</v>
      </c>
      <c r="B716">
        <v>31619755</v>
      </c>
      <c r="C716" t="s">
        <v>198</v>
      </c>
      <c r="D716" s="7">
        <v>40237</v>
      </c>
      <c r="E716" s="7">
        <v>45702</v>
      </c>
      <c r="F716">
        <v>330862</v>
      </c>
      <c r="G716" t="s">
        <v>983</v>
      </c>
      <c r="H716" t="s">
        <v>9</v>
      </c>
      <c r="I716" s="7">
        <v>45636</v>
      </c>
      <c r="J716" s="8">
        <v>0.4871064814814815</v>
      </c>
      <c r="K716" t="s">
        <v>984</v>
      </c>
      <c r="AQ716" t="s">
        <v>1446</v>
      </c>
      <c r="AR716" t="s">
        <v>1098</v>
      </c>
      <c r="AT716" t="s">
        <v>987</v>
      </c>
      <c r="AZ716" t="s">
        <v>1020</v>
      </c>
      <c r="BA716" t="s">
        <v>1021</v>
      </c>
      <c r="BB716" t="s">
        <v>1018</v>
      </c>
      <c r="BD716" t="s">
        <v>1022</v>
      </c>
      <c r="BE716" t="s">
        <v>198</v>
      </c>
    </row>
    <row r="717" spans="1:57" ht="13" x14ac:dyDescent="0.15">
      <c r="A717">
        <v>1839</v>
      </c>
      <c r="B717">
        <v>31619755</v>
      </c>
      <c r="C717" t="s">
        <v>198</v>
      </c>
      <c r="D717" s="7">
        <v>40237</v>
      </c>
      <c r="E717" s="7">
        <v>45702</v>
      </c>
      <c r="F717">
        <v>330862</v>
      </c>
      <c r="G717" t="s">
        <v>983</v>
      </c>
      <c r="H717" t="s">
        <v>9</v>
      </c>
      <c r="I717" s="7">
        <v>45617</v>
      </c>
      <c r="J717" s="8">
        <v>0.3989699074074074</v>
      </c>
      <c r="K717" t="s">
        <v>984</v>
      </c>
      <c r="AQ717" t="s">
        <v>1446</v>
      </c>
      <c r="AR717" t="s">
        <v>1447</v>
      </c>
      <c r="AT717" t="s">
        <v>987</v>
      </c>
      <c r="AZ717" t="s">
        <v>1055</v>
      </c>
      <c r="BA717" t="s">
        <v>1056</v>
      </c>
      <c r="BB717" t="s">
        <v>1013</v>
      </c>
      <c r="BD717" t="s">
        <v>1022</v>
      </c>
      <c r="BE717" t="s">
        <v>198</v>
      </c>
    </row>
    <row r="718" spans="1:57" ht="13" x14ac:dyDescent="0.15">
      <c r="A718">
        <v>1839</v>
      </c>
      <c r="B718">
        <v>31619755</v>
      </c>
      <c r="C718" t="s">
        <v>198</v>
      </c>
      <c r="D718" s="7">
        <v>40237</v>
      </c>
      <c r="E718" s="7">
        <v>45702</v>
      </c>
      <c r="F718">
        <v>330862</v>
      </c>
      <c r="G718" t="s">
        <v>983</v>
      </c>
      <c r="H718" t="s">
        <v>9</v>
      </c>
      <c r="I718" s="7">
        <v>45675</v>
      </c>
      <c r="J718" s="8">
        <v>0.58825231481481477</v>
      </c>
      <c r="K718" t="s">
        <v>984</v>
      </c>
      <c r="AQ718" t="s">
        <v>1446</v>
      </c>
      <c r="AR718" t="s">
        <v>1204</v>
      </c>
      <c r="AT718" t="s">
        <v>987</v>
      </c>
      <c r="AZ718" t="s">
        <v>1024</v>
      </c>
      <c r="BA718" t="s">
        <v>1047</v>
      </c>
      <c r="BB718" t="s">
        <v>1048</v>
      </c>
      <c r="BD718" t="s">
        <v>1014</v>
      </c>
      <c r="BE718" t="s">
        <v>198</v>
      </c>
    </row>
    <row r="719" spans="1:57" ht="13" x14ac:dyDescent="0.15">
      <c r="A719">
        <v>1839</v>
      </c>
      <c r="B719">
        <v>31619755</v>
      </c>
      <c r="C719" t="s">
        <v>198</v>
      </c>
      <c r="D719" s="7">
        <v>40237</v>
      </c>
      <c r="E719" s="7">
        <v>45702</v>
      </c>
      <c r="F719">
        <v>330862</v>
      </c>
      <c r="G719" t="s">
        <v>983</v>
      </c>
      <c r="H719" t="s">
        <v>9</v>
      </c>
      <c r="I719" s="7">
        <v>45675</v>
      </c>
      <c r="J719" s="8">
        <v>0.55328703703703708</v>
      </c>
      <c r="K719" t="s">
        <v>984</v>
      </c>
      <c r="AQ719" t="s">
        <v>1446</v>
      </c>
      <c r="AR719" t="s">
        <v>1107</v>
      </c>
      <c r="AT719" t="s">
        <v>987</v>
      </c>
      <c r="AZ719" t="s">
        <v>1007</v>
      </c>
      <c r="BA719" t="s">
        <v>1008</v>
      </c>
      <c r="BB719" t="s">
        <v>990</v>
      </c>
      <c r="BD719" t="s">
        <v>1005</v>
      </c>
      <c r="BE719" t="s">
        <v>198</v>
      </c>
    </row>
    <row r="720" spans="1:57" ht="13" x14ac:dyDescent="0.15">
      <c r="A720">
        <v>1839</v>
      </c>
      <c r="B720">
        <v>31619755</v>
      </c>
      <c r="C720" t="s">
        <v>198</v>
      </c>
      <c r="D720" s="7">
        <v>40237</v>
      </c>
      <c r="E720" s="7">
        <v>45702</v>
      </c>
      <c r="F720">
        <v>330862</v>
      </c>
      <c r="G720" t="s">
        <v>983</v>
      </c>
      <c r="H720" t="s">
        <v>9</v>
      </c>
      <c r="I720" s="7">
        <v>45677</v>
      </c>
      <c r="J720" s="8">
        <v>0.72603009259259255</v>
      </c>
      <c r="K720" t="s">
        <v>984</v>
      </c>
      <c r="AQ720" t="s">
        <v>1446</v>
      </c>
      <c r="AR720" t="s">
        <v>1083</v>
      </c>
      <c r="AT720" t="s">
        <v>987</v>
      </c>
      <c r="AZ720" t="s">
        <v>1011</v>
      </c>
      <c r="BA720" t="s">
        <v>1012</v>
      </c>
      <c r="BB720" t="s">
        <v>1013</v>
      </c>
      <c r="BD720" t="s">
        <v>1014</v>
      </c>
      <c r="BE720" t="s">
        <v>198</v>
      </c>
    </row>
    <row r="721" spans="1:57" ht="13" x14ac:dyDescent="0.15">
      <c r="A721">
        <v>1839</v>
      </c>
      <c r="B721">
        <v>31619755</v>
      </c>
      <c r="C721" t="s">
        <v>198</v>
      </c>
      <c r="D721" s="7">
        <v>40237</v>
      </c>
      <c r="E721" s="7">
        <v>45702</v>
      </c>
      <c r="F721">
        <v>330862</v>
      </c>
      <c r="G721" t="s">
        <v>983</v>
      </c>
      <c r="H721" t="s">
        <v>9</v>
      </c>
      <c r="I721" s="7">
        <v>45694</v>
      </c>
      <c r="J721" s="8">
        <v>0.37806712962962963</v>
      </c>
      <c r="K721" t="s">
        <v>984</v>
      </c>
      <c r="AQ721" t="s">
        <v>1446</v>
      </c>
      <c r="AR721" t="s">
        <v>993</v>
      </c>
      <c r="AT721" t="s">
        <v>987</v>
      </c>
      <c r="AZ721" t="s">
        <v>988</v>
      </c>
      <c r="BA721" t="s">
        <v>989</v>
      </c>
      <c r="BB721" t="s">
        <v>990</v>
      </c>
      <c r="BD721" t="s">
        <v>991</v>
      </c>
      <c r="BE721" t="s">
        <v>198</v>
      </c>
    </row>
    <row r="722" spans="1:57" ht="13" x14ac:dyDescent="0.15">
      <c r="A722">
        <v>1839</v>
      </c>
      <c r="B722">
        <v>31619755</v>
      </c>
      <c r="C722" t="s">
        <v>198</v>
      </c>
      <c r="D722" s="7">
        <v>40237</v>
      </c>
      <c r="E722" s="7">
        <v>45702</v>
      </c>
      <c r="F722">
        <v>330862</v>
      </c>
      <c r="G722" t="s">
        <v>983</v>
      </c>
      <c r="H722" t="s">
        <v>9</v>
      </c>
      <c r="I722" s="7">
        <v>45675</v>
      </c>
      <c r="J722" s="8">
        <v>0.62587962962962962</v>
      </c>
      <c r="K722" t="s">
        <v>984</v>
      </c>
      <c r="AQ722" t="s">
        <v>1446</v>
      </c>
      <c r="AR722" t="s">
        <v>1105</v>
      </c>
      <c r="AT722" t="s">
        <v>987</v>
      </c>
      <c r="AZ722" t="s">
        <v>1044</v>
      </c>
      <c r="BA722" t="s">
        <v>1045</v>
      </c>
      <c r="BB722" t="s">
        <v>990</v>
      </c>
      <c r="BD722" t="s">
        <v>991</v>
      </c>
      <c r="BE722" t="s">
        <v>198</v>
      </c>
    </row>
    <row r="723" spans="1:57" ht="13" x14ac:dyDescent="0.15">
      <c r="A723">
        <v>1839</v>
      </c>
      <c r="B723">
        <v>31623233</v>
      </c>
      <c r="C723" t="s">
        <v>1448</v>
      </c>
      <c r="D723" s="7">
        <v>38665</v>
      </c>
      <c r="E723" s="7">
        <v>45687</v>
      </c>
      <c r="F723">
        <v>336447</v>
      </c>
      <c r="G723" t="s">
        <v>1074</v>
      </c>
      <c r="H723" t="s">
        <v>26</v>
      </c>
      <c r="I723" s="7">
        <v>45618</v>
      </c>
      <c r="J723" s="8">
        <v>0.78593749999999996</v>
      </c>
      <c r="K723" t="s">
        <v>984</v>
      </c>
      <c r="AQ723" t="s">
        <v>1320</v>
      </c>
      <c r="AR723" t="s">
        <v>1449</v>
      </c>
      <c r="BE723" t="s">
        <v>1448</v>
      </c>
    </row>
    <row r="724" spans="1:57" ht="13" x14ac:dyDescent="0.15">
      <c r="A724">
        <v>1839</v>
      </c>
      <c r="B724">
        <v>31623233</v>
      </c>
      <c r="C724" t="s">
        <v>1448</v>
      </c>
      <c r="D724" s="7">
        <v>38665</v>
      </c>
      <c r="E724" s="7">
        <v>45687</v>
      </c>
      <c r="F724">
        <v>336453</v>
      </c>
      <c r="G724" t="s">
        <v>1074</v>
      </c>
      <c r="H724" t="s">
        <v>27</v>
      </c>
      <c r="I724" s="7">
        <v>45618</v>
      </c>
      <c r="J724" s="8">
        <v>0.78609953703703705</v>
      </c>
      <c r="K724" t="s">
        <v>984</v>
      </c>
      <c r="AQ724" t="s">
        <v>1320</v>
      </c>
      <c r="AR724" t="s">
        <v>1076</v>
      </c>
      <c r="BE724" t="s">
        <v>1448</v>
      </c>
    </row>
    <row r="725" spans="1:57" ht="13" x14ac:dyDescent="0.15">
      <c r="A725">
        <v>1839</v>
      </c>
      <c r="B725">
        <v>31623233</v>
      </c>
      <c r="C725" t="s">
        <v>1448</v>
      </c>
      <c r="D725" s="7">
        <v>38665</v>
      </c>
      <c r="E725" s="7">
        <v>45687</v>
      </c>
      <c r="F725">
        <v>336709</v>
      </c>
      <c r="G725" t="s">
        <v>1074</v>
      </c>
      <c r="H725" t="s">
        <v>28</v>
      </c>
      <c r="I725" s="7">
        <v>45618</v>
      </c>
      <c r="J725" s="8">
        <v>0.78622685185185182</v>
      </c>
      <c r="K725" t="s">
        <v>984</v>
      </c>
      <c r="AQ725" t="s">
        <v>1320</v>
      </c>
      <c r="AR725" t="s">
        <v>1077</v>
      </c>
      <c r="BE725" t="s">
        <v>1448</v>
      </c>
    </row>
    <row r="726" spans="1:57" ht="13" x14ac:dyDescent="0.15">
      <c r="A726">
        <v>1839</v>
      </c>
      <c r="B726">
        <v>31628780</v>
      </c>
      <c r="C726" t="s">
        <v>1450</v>
      </c>
      <c r="D726" s="7">
        <v>40240</v>
      </c>
      <c r="E726" s="7">
        <v>45641</v>
      </c>
      <c r="F726">
        <v>330862</v>
      </c>
      <c r="G726" t="s">
        <v>983</v>
      </c>
      <c r="H726" t="s">
        <v>9</v>
      </c>
      <c r="I726" s="7">
        <v>45641</v>
      </c>
      <c r="J726" s="8">
        <v>0.11164351851851852</v>
      </c>
      <c r="K726" t="s">
        <v>984</v>
      </c>
      <c r="AQ726" t="s">
        <v>992</v>
      </c>
      <c r="AR726" t="s">
        <v>1328</v>
      </c>
      <c r="AT726" t="s">
        <v>987</v>
      </c>
      <c r="AZ726" t="s">
        <v>1011</v>
      </c>
      <c r="BA726" t="s">
        <v>1031</v>
      </c>
      <c r="BB726" t="s">
        <v>1032</v>
      </c>
      <c r="BD726" t="s">
        <v>1005</v>
      </c>
      <c r="BE726" t="s">
        <v>1450</v>
      </c>
    </row>
    <row r="727" spans="1:57" ht="13" x14ac:dyDescent="0.15">
      <c r="A727">
        <v>1839</v>
      </c>
      <c r="B727">
        <v>31640950</v>
      </c>
      <c r="C727" t="s">
        <v>199</v>
      </c>
      <c r="D727" s="7">
        <v>38665</v>
      </c>
      <c r="E727" s="7">
        <v>45686</v>
      </c>
      <c r="F727">
        <v>330862</v>
      </c>
      <c r="G727" t="s">
        <v>983</v>
      </c>
      <c r="H727" t="s">
        <v>9</v>
      </c>
      <c r="I727" s="7">
        <v>45668</v>
      </c>
      <c r="J727" s="8">
        <v>0.99299768518518516</v>
      </c>
      <c r="K727" t="s">
        <v>984</v>
      </c>
      <c r="AQ727" t="s">
        <v>992</v>
      </c>
      <c r="AR727" t="s">
        <v>1451</v>
      </c>
      <c r="AT727" t="s">
        <v>987</v>
      </c>
      <c r="AZ727" t="s">
        <v>1055</v>
      </c>
      <c r="BA727" t="s">
        <v>1056</v>
      </c>
      <c r="BB727" t="s">
        <v>1013</v>
      </c>
      <c r="BD727" t="s">
        <v>1022</v>
      </c>
      <c r="BE727" t="s">
        <v>199</v>
      </c>
    </row>
    <row r="728" spans="1:57" ht="13" x14ac:dyDescent="0.15">
      <c r="A728">
        <v>1839</v>
      </c>
      <c r="B728">
        <v>31646363</v>
      </c>
      <c r="C728" t="s">
        <v>1452</v>
      </c>
      <c r="D728" s="7">
        <v>40458</v>
      </c>
      <c r="E728" s="7">
        <v>45707</v>
      </c>
      <c r="F728">
        <v>330862</v>
      </c>
      <c r="G728" t="s">
        <v>983</v>
      </c>
      <c r="H728" t="s">
        <v>9</v>
      </c>
      <c r="I728" s="7">
        <v>45636</v>
      </c>
      <c r="J728" s="8">
        <v>0.59317129629629628</v>
      </c>
      <c r="K728" t="s">
        <v>984</v>
      </c>
      <c r="AQ728" t="s">
        <v>985</v>
      </c>
      <c r="AR728" t="s">
        <v>1122</v>
      </c>
      <c r="AT728" t="s">
        <v>987</v>
      </c>
      <c r="AZ728" t="s">
        <v>1028</v>
      </c>
      <c r="BA728" t="s">
        <v>1029</v>
      </c>
      <c r="BB728" t="s">
        <v>1018</v>
      </c>
      <c r="BD728" t="s">
        <v>1022</v>
      </c>
      <c r="BE728" t="s">
        <v>1452</v>
      </c>
    </row>
    <row r="729" spans="1:57" ht="13" x14ac:dyDescent="0.15">
      <c r="A729">
        <v>1839</v>
      </c>
      <c r="B729">
        <v>31646363</v>
      </c>
      <c r="C729" t="s">
        <v>1452</v>
      </c>
      <c r="D729" s="7">
        <v>40458</v>
      </c>
      <c r="E729" s="7">
        <v>45707</v>
      </c>
      <c r="F729">
        <v>330862</v>
      </c>
      <c r="G729" t="s">
        <v>983</v>
      </c>
      <c r="H729" t="s">
        <v>9</v>
      </c>
      <c r="I729" s="7">
        <v>45636</v>
      </c>
      <c r="J729" s="8">
        <v>0.60075231481481484</v>
      </c>
      <c r="K729" t="s">
        <v>984</v>
      </c>
      <c r="AQ729" t="s">
        <v>985</v>
      </c>
      <c r="AR729" t="s">
        <v>1339</v>
      </c>
      <c r="AT729" t="s">
        <v>987</v>
      </c>
      <c r="AZ729" t="s">
        <v>1174</v>
      </c>
      <c r="BA729" t="s">
        <v>1242</v>
      </c>
      <c r="BB729" t="s">
        <v>1026</v>
      </c>
      <c r="BD729" t="s">
        <v>1005</v>
      </c>
      <c r="BE729" t="s">
        <v>1452</v>
      </c>
    </row>
    <row r="730" spans="1:57" ht="13" x14ac:dyDescent="0.15">
      <c r="A730">
        <v>1839</v>
      </c>
      <c r="B730">
        <v>31646363</v>
      </c>
      <c r="C730" t="s">
        <v>1452</v>
      </c>
      <c r="D730" s="7">
        <v>40458</v>
      </c>
      <c r="E730" s="7">
        <v>45707</v>
      </c>
      <c r="F730">
        <v>330862</v>
      </c>
      <c r="G730" t="s">
        <v>983</v>
      </c>
      <c r="H730" t="s">
        <v>9</v>
      </c>
      <c r="I730" s="7">
        <v>45636</v>
      </c>
      <c r="J730" s="8">
        <v>0.57035879629629627</v>
      </c>
      <c r="K730" t="s">
        <v>984</v>
      </c>
      <c r="AQ730" t="s">
        <v>985</v>
      </c>
      <c r="AR730" t="s">
        <v>1208</v>
      </c>
      <c r="AT730" t="s">
        <v>987</v>
      </c>
      <c r="AZ730" t="s">
        <v>1011</v>
      </c>
      <c r="BA730" t="s">
        <v>1031</v>
      </c>
      <c r="BB730" t="s">
        <v>1032</v>
      </c>
      <c r="BD730" t="s">
        <v>1005</v>
      </c>
      <c r="BE730" t="s">
        <v>1452</v>
      </c>
    </row>
    <row r="731" spans="1:57" ht="13" x14ac:dyDescent="0.15">
      <c r="A731">
        <v>1839</v>
      </c>
      <c r="B731">
        <v>31653143</v>
      </c>
      <c r="C731" t="s">
        <v>200</v>
      </c>
      <c r="D731" s="7">
        <v>40877</v>
      </c>
      <c r="E731" s="7">
        <v>45694</v>
      </c>
      <c r="F731">
        <v>330862</v>
      </c>
      <c r="G731" t="s">
        <v>983</v>
      </c>
      <c r="H731" t="s">
        <v>9</v>
      </c>
      <c r="I731" s="7">
        <v>45679</v>
      </c>
      <c r="J731" s="8">
        <v>0.63979166666666665</v>
      </c>
      <c r="K731" t="s">
        <v>984</v>
      </c>
      <c r="AQ731" t="s">
        <v>992</v>
      </c>
      <c r="AR731" t="s">
        <v>1050</v>
      </c>
      <c r="AT731" t="s">
        <v>987</v>
      </c>
      <c r="AZ731" t="s">
        <v>1011</v>
      </c>
      <c r="BA731" t="s">
        <v>1012</v>
      </c>
      <c r="BB731" t="s">
        <v>1013</v>
      </c>
      <c r="BD731" t="s">
        <v>1014</v>
      </c>
      <c r="BE731" t="s">
        <v>200</v>
      </c>
    </row>
    <row r="732" spans="1:57" ht="13" x14ac:dyDescent="0.15">
      <c r="A732">
        <v>1839</v>
      </c>
      <c r="B732">
        <v>31654358</v>
      </c>
      <c r="C732" t="s">
        <v>201</v>
      </c>
      <c r="D732" s="7">
        <v>39722</v>
      </c>
      <c r="E732" s="7">
        <v>45700</v>
      </c>
      <c r="F732">
        <v>330862</v>
      </c>
      <c r="G732" t="s">
        <v>983</v>
      </c>
      <c r="H732" t="s">
        <v>9</v>
      </c>
      <c r="I732" s="7">
        <v>45700</v>
      </c>
      <c r="J732" s="8">
        <v>0.3818171296296296</v>
      </c>
      <c r="K732" t="s">
        <v>984</v>
      </c>
      <c r="AQ732" t="s">
        <v>985</v>
      </c>
      <c r="AR732" t="s">
        <v>1425</v>
      </c>
      <c r="AT732" t="s">
        <v>987</v>
      </c>
      <c r="AZ732" t="s">
        <v>1011</v>
      </c>
      <c r="BA732" t="s">
        <v>1012</v>
      </c>
      <c r="BB732" t="s">
        <v>1013</v>
      </c>
      <c r="BD732" t="s">
        <v>1014</v>
      </c>
      <c r="BE732" t="s">
        <v>201</v>
      </c>
    </row>
    <row r="733" spans="1:57" ht="13" x14ac:dyDescent="0.15">
      <c r="A733">
        <v>1839</v>
      </c>
      <c r="B733">
        <v>31655996</v>
      </c>
      <c r="C733" t="s">
        <v>202</v>
      </c>
      <c r="D733" s="7">
        <v>40883</v>
      </c>
      <c r="E733" s="7">
        <v>45713</v>
      </c>
      <c r="F733">
        <v>330862</v>
      </c>
      <c r="G733" t="s">
        <v>983</v>
      </c>
      <c r="H733" t="s">
        <v>9</v>
      </c>
      <c r="I733" s="7">
        <v>45694</v>
      </c>
      <c r="J733" s="8">
        <v>0.39306712962962964</v>
      </c>
      <c r="K733" t="s">
        <v>984</v>
      </c>
      <c r="AQ733" t="s">
        <v>1090</v>
      </c>
      <c r="AR733" t="s">
        <v>986</v>
      </c>
      <c r="AT733" t="s">
        <v>987</v>
      </c>
      <c r="AZ733" t="s">
        <v>988</v>
      </c>
      <c r="BA733" t="s">
        <v>989</v>
      </c>
      <c r="BB733" t="s">
        <v>990</v>
      </c>
      <c r="BD733" t="s">
        <v>991</v>
      </c>
      <c r="BE733" t="s">
        <v>202</v>
      </c>
    </row>
    <row r="734" spans="1:57" ht="13" x14ac:dyDescent="0.15">
      <c r="A734">
        <v>1839</v>
      </c>
      <c r="B734">
        <v>31655996</v>
      </c>
      <c r="C734" t="s">
        <v>202</v>
      </c>
      <c r="D734" s="7">
        <v>40883</v>
      </c>
      <c r="E734" s="7">
        <v>45713</v>
      </c>
      <c r="F734">
        <v>330862</v>
      </c>
      <c r="G734" t="s">
        <v>983</v>
      </c>
      <c r="H734" t="s">
        <v>9</v>
      </c>
      <c r="I734" s="7">
        <v>45674</v>
      </c>
      <c r="J734" s="8">
        <v>0.61685185185185187</v>
      </c>
      <c r="K734" t="s">
        <v>984</v>
      </c>
      <c r="AQ734" t="s">
        <v>1090</v>
      </c>
      <c r="AR734" t="s">
        <v>1453</v>
      </c>
      <c r="AT734" t="s">
        <v>987</v>
      </c>
      <c r="AZ734" t="s">
        <v>1016</v>
      </c>
      <c r="BA734" t="s">
        <v>1017</v>
      </c>
      <c r="BB734" t="s">
        <v>1018</v>
      </c>
      <c r="BD734" t="s">
        <v>991</v>
      </c>
      <c r="BE734" t="s">
        <v>202</v>
      </c>
    </row>
    <row r="735" spans="1:57" ht="13" x14ac:dyDescent="0.15">
      <c r="A735">
        <v>1839</v>
      </c>
      <c r="B735">
        <v>31655996</v>
      </c>
      <c r="C735" t="s">
        <v>202</v>
      </c>
      <c r="D735" s="7">
        <v>40883</v>
      </c>
      <c r="E735" s="7">
        <v>45713</v>
      </c>
      <c r="F735">
        <v>330862</v>
      </c>
      <c r="G735" t="s">
        <v>983</v>
      </c>
      <c r="H735" t="s">
        <v>9</v>
      </c>
      <c r="I735" s="7">
        <v>45677</v>
      </c>
      <c r="J735" s="8">
        <v>0.66210648148148143</v>
      </c>
      <c r="K735" t="s">
        <v>984</v>
      </c>
      <c r="AQ735" t="s">
        <v>1090</v>
      </c>
      <c r="AR735" t="s">
        <v>1050</v>
      </c>
      <c r="AT735" t="s">
        <v>987</v>
      </c>
      <c r="AZ735" t="s">
        <v>1011</v>
      </c>
      <c r="BA735" t="s">
        <v>1012</v>
      </c>
      <c r="BB735" t="s">
        <v>1013</v>
      </c>
      <c r="BD735" t="s">
        <v>1014</v>
      </c>
      <c r="BE735" t="s">
        <v>202</v>
      </c>
    </row>
    <row r="736" spans="1:57" ht="13" x14ac:dyDescent="0.15">
      <c r="A736">
        <v>1839</v>
      </c>
      <c r="B736">
        <v>31655996</v>
      </c>
      <c r="C736" t="s">
        <v>202</v>
      </c>
      <c r="D736" s="7">
        <v>40883</v>
      </c>
      <c r="E736" s="7">
        <v>45713</v>
      </c>
      <c r="F736">
        <v>330862</v>
      </c>
      <c r="G736" t="s">
        <v>983</v>
      </c>
      <c r="H736" t="s">
        <v>9</v>
      </c>
      <c r="I736" s="7">
        <v>45636</v>
      </c>
      <c r="J736" s="8">
        <v>0.48498842592592595</v>
      </c>
      <c r="K736" t="s">
        <v>984</v>
      </c>
      <c r="AQ736" t="s">
        <v>1090</v>
      </c>
      <c r="AR736" t="s">
        <v>1208</v>
      </c>
      <c r="AT736" t="s">
        <v>987</v>
      </c>
      <c r="AZ736" t="s">
        <v>1011</v>
      </c>
      <c r="BA736" t="s">
        <v>1031</v>
      </c>
      <c r="BB736" t="s">
        <v>1032</v>
      </c>
      <c r="BD736" t="s">
        <v>1005</v>
      </c>
      <c r="BE736" t="s">
        <v>202</v>
      </c>
    </row>
    <row r="737" spans="1:57" ht="13" x14ac:dyDescent="0.15">
      <c r="A737">
        <v>1839</v>
      </c>
      <c r="B737">
        <v>31657594</v>
      </c>
      <c r="C737" t="s">
        <v>203</v>
      </c>
      <c r="D737" s="7">
        <v>38666</v>
      </c>
      <c r="E737" s="7">
        <v>45709</v>
      </c>
      <c r="F737">
        <v>330862</v>
      </c>
      <c r="G737" t="s">
        <v>983</v>
      </c>
      <c r="H737" t="s">
        <v>9</v>
      </c>
      <c r="I737" s="7">
        <v>45700</v>
      </c>
      <c r="J737" s="8">
        <v>0.69037037037037041</v>
      </c>
      <c r="K737" t="s">
        <v>984</v>
      </c>
      <c r="AQ737" t="s">
        <v>1090</v>
      </c>
      <c r="AR737" t="s">
        <v>993</v>
      </c>
      <c r="AT737" t="s">
        <v>987</v>
      </c>
      <c r="AZ737" t="s">
        <v>988</v>
      </c>
      <c r="BA737" t="s">
        <v>989</v>
      </c>
      <c r="BB737" t="s">
        <v>990</v>
      </c>
      <c r="BD737" t="s">
        <v>991</v>
      </c>
      <c r="BE737" t="s">
        <v>203</v>
      </c>
    </row>
    <row r="738" spans="1:57" ht="13" x14ac:dyDescent="0.15">
      <c r="A738">
        <v>1839</v>
      </c>
      <c r="B738">
        <v>31657594</v>
      </c>
      <c r="C738" t="s">
        <v>203</v>
      </c>
      <c r="D738" s="7">
        <v>38666</v>
      </c>
      <c r="E738" s="7">
        <v>45709</v>
      </c>
      <c r="F738">
        <v>330862</v>
      </c>
      <c r="G738" t="s">
        <v>983</v>
      </c>
      <c r="H738" t="s">
        <v>9</v>
      </c>
      <c r="I738" s="7">
        <v>45701</v>
      </c>
      <c r="J738" s="8">
        <v>0.72699074074074077</v>
      </c>
      <c r="K738" t="s">
        <v>984</v>
      </c>
      <c r="AQ738" t="s">
        <v>1090</v>
      </c>
      <c r="AR738" t="s">
        <v>997</v>
      </c>
      <c r="AT738" t="s">
        <v>987</v>
      </c>
      <c r="AZ738" t="s">
        <v>988</v>
      </c>
      <c r="BA738" t="s">
        <v>989</v>
      </c>
      <c r="BB738" t="s">
        <v>990</v>
      </c>
      <c r="BD738" t="s">
        <v>991</v>
      </c>
      <c r="BE738" t="s">
        <v>203</v>
      </c>
    </row>
    <row r="739" spans="1:57" ht="13" x14ac:dyDescent="0.15">
      <c r="A739">
        <v>1839</v>
      </c>
      <c r="B739">
        <v>31657594</v>
      </c>
      <c r="C739" t="s">
        <v>203</v>
      </c>
      <c r="D739" s="7">
        <v>38666</v>
      </c>
      <c r="E739" s="7">
        <v>45709</v>
      </c>
      <c r="F739">
        <v>330862</v>
      </c>
      <c r="G739" t="s">
        <v>983</v>
      </c>
      <c r="H739" t="s">
        <v>9</v>
      </c>
      <c r="I739" s="7">
        <v>45701</v>
      </c>
      <c r="J739" s="8">
        <v>0.63483796296296291</v>
      </c>
      <c r="K739" t="s">
        <v>984</v>
      </c>
      <c r="AQ739" t="s">
        <v>1090</v>
      </c>
      <c r="AR739" t="s">
        <v>1272</v>
      </c>
      <c r="AT739" t="s">
        <v>987</v>
      </c>
      <c r="AZ739" t="s">
        <v>1002</v>
      </c>
      <c r="BA739" t="s">
        <v>1040</v>
      </c>
      <c r="BB739" t="s">
        <v>1041</v>
      </c>
      <c r="BD739" t="s">
        <v>991</v>
      </c>
      <c r="BE739" t="s">
        <v>203</v>
      </c>
    </row>
    <row r="740" spans="1:57" ht="13" x14ac:dyDescent="0.15">
      <c r="A740">
        <v>1839</v>
      </c>
      <c r="B740">
        <v>31662979</v>
      </c>
      <c r="C740" t="s">
        <v>204</v>
      </c>
      <c r="D740" s="7">
        <v>38666</v>
      </c>
      <c r="E740" s="7">
        <v>45712</v>
      </c>
      <c r="F740">
        <v>330862</v>
      </c>
      <c r="G740" t="s">
        <v>983</v>
      </c>
      <c r="H740" t="s">
        <v>9</v>
      </c>
      <c r="I740" s="7">
        <v>45658</v>
      </c>
      <c r="J740" s="8">
        <v>0.57327546296296295</v>
      </c>
      <c r="K740" t="s">
        <v>984</v>
      </c>
      <c r="AQ740" t="s">
        <v>998</v>
      </c>
      <c r="AR740" t="s">
        <v>1342</v>
      </c>
      <c r="AT740" t="s">
        <v>987</v>
      </c>
      <c r="AZ740" t="s">
        <v>1002</v>
      </c>
      <c r="BA740" t="s">
        <v>1003</v>
      </c>
      <c r="BB740" t="s">
        <v>1004</v>
      </c>
      <c r="BD740" t="s">
        <v>1005</v>
      </c>
      <c r="BE740" t="s">
        <v>204</v>
      </c>
    </row>
    <row r="741" spans="1:57" ht="13" x14ac:dyDescent="0.15">
      <c r="A741">
        <v>1839</v>
      </c>
      <c r="B741">
        <v>31662979</v>
      </c>
      <c r="C741" t="s">
        <v>204</v>
      </c>
      <c r="D741" s="7">
        <v>38666</v>
      </c>
      <c r="E741" s="7">
        <v>45712</v>
      </c>
      <c r="F741">
        <v>330862</v>
      </c>
      <c r="G741" t="s">
        <v>983</v>
      </c>
      <c r="H741" t="s">
        <v>9</v>
      </c>
      <c r="I741" s="7">
        <v>45712</v>
      </c>
      <c r="J741" s="8">
        <v>0.54089120370370369</v>
      </c>
      <c r="K741" t="s">
        <v>984</v>
      </c>
      <c r="AQ741" t="s">
        <v>1092</v>
      </c>
      <c r="AR741" t="s">
        <v>1454</v>
      </c>
      <c r="AT741" t="s">
        <v>987</v>
      </c>
      <c r="AZ741" t="s">
        <v>1016</v>
      </c>
      <c r="BA741" t="s">
        <v>1017</v>
      </c>
      <c r="BB741" t="s">
        <v>1018</v>
      </c>
      <c r="BD741" t="s">
        <v>991</v>
      </c>
      <c r="BE741" t="s">
        <v>204</v>
      </c>
    </row>
    <row r="742" spans="1:57" ht="13" x14ac:dyDescent="0.15">
      <c r="A742">
        <v>1839</v>
      </c>
      <c r="B742">
        <v>31662979</v>
      </c>
      <c r="C742" t="s">
        <v>204</v>
      </c>
      <c r="D742" s="7">
        <v>38666</v>
      </c>
      <c r="E742" s="7">
        <v>45712</v>
      </c>
      <c r="F742">
        <v>330862</v>
      </c>
      <c r="G742" t="s">
        <v>983</v>
      </c>
      <c r="H742" t="s">
        <v>9</v>
      </c>
      <c r="I742" s="7">
        <v>45633</v>
      </c>
      <c r="J742" s="8">
        <v>0.7079050925925926</v>
      </c>
      <c r="K742" t="s">
        <v>984</v>
      </c>
      <c r="AQ742" t="s">
        <v>1092</v>
      </c>
      <c r="AR742" t="s">
        <v>1327</v>
      </c>
      <c r="AT742" t="s">
        <v>987</v>
      </c>
      <c r="AZ742" t="s">
        <v>1011</v>
      </c>
      <c r="BA742" t="s">
        <v>1031</v>
      </c>
      <c r="BB742" t="s">
        <v>1032</v>
      </c>
      <c r="BD742" t="s">
        <v>1005</v>
      </c>
      <c r="BE742" t="s">
        <v>204</v>
      </c>
    </row>
    <row r="743" spans="1:57" ht="13" x14ac:dyDescent="0.15">
      <c r="A743">
        <v>1839</v>
      </c>
      <c r="B743">
        <v>31662979</v>
      </c>
      <c r="C743" t="s">
        <v>204</v>
      </c>
      <c r="D743" s="7">
        <v>38666</v>
      </c>
      <c r="E743" s="7">
        <v>45712</v>
      </c>
      <c r="F743">
        <v>330862</v>
      </c>
      <c r="G743" t="s">
        <v>983</v>
      </c>
      <c r="H743" t="s">
        <v>9</v>
      </c>
      <c r="I743" s="7">
        <v>45631</v>
      </c>
      <c r="J743" s="8">
        <v>0.62572916666666667</v>
      </c>
      <c r="K743" t="s">
        <v>984</v>
      </c>
      <c r="AQ743" t="s">
        <v>1092</v>
      </c>
      <c r="AR743" t="s">
        <v>1402</v>
      </c>
      <c r="AT743" t="s">
        <v>987</v>
      </c>
      <c r="AZ743" t="s">
        <v>1055</v>
      </c>
      <c r="BA743" t="s">
        <v>1056</v>
      </c>
      <c r="BB743" t="s">
        <v>1013</v>
      </c>
      <c r="BD743" t="s">
        <v>1022</v>
      </c>
      <c r="BE743" t="s">
        <v>204</v>
      </c>
    </row>
    <row r="744" spans="1:57" ht="13" x14ac:dyDescent="0.15">
      <c r="A744">
        <v>1839</v>
      </c>
      <c r="B744">
        <v>31662979</v>
      </c>
      <c r="C744" t="s">
        <v>204</v>
      </c>
      <c r="D744" s="7">
        <v>38666</v>
      </c>
      <c r="E744" s="7">
        <v>45712</v>
      </c>
      <c r="F744">
        <v>336447</v>
      </c>
      <c r="G744" t="s">
        <v>1074</v>
      </c>
      <c r="H744" t="s">
        <v>26</v>
      </c>
      <c r="I744" s="7">
        <v>45627</v>
      </c>
      <c r="J744" s="8">
        <v>0.6253009259259259</v>
      </c>
      <c r="K744" t="s">
        <v>984</v>
      </c>
      <c r="AQ744" t="s">
        <v>985</v>
      </c>
      <c r="AR744" t="s">
        <v>1455</v>
      </c>
      <c r="BE744" t="s">
        <v>204</v>
      </c>
    </row>
    <row r="745" spans="1:57" ht="13" x14ac:dyDescent="0.15">
      <c r="A745">
        <v>1839</v>
      </c>
      <c r="B745">
        <v>31681443</v>
      </c>
      <c r="C745" t="s">
        <v>205</v>
      </c>
      <c r="D745" s="7">
        <v>40510</v>
      </c>
      <c r="E745" s="7">
        <v>45710</v>
      </c>
      <c r="F745">
        <v>330862</v>
      </c>
      <c r="G745" t="s">
        <v>983</v>
      </c>
      <c r="H745" t="s">
        <v>9</v>
      </c>
      <c r="I745" s="7">
        <v>45674</v>
      </c>
      <c r="J745" s="8">
        <v>0.89070601851851849</v>
      </c>
      <c r="K745" t="s">
        <v>984</v>
      </c>
      <c r="AQ745" t="s">
        <v>992</v>
      </c>
      <c r="AR745" t="s">
        <v>1095</v>
      </c>
      <c r="AT745" t="s">
        <v>987</v>
      </c>
      <c r="AZ745" t="s">
        <v>1002</v>
      </c>
      <c r="BA745" t="s">
        <v>1003</v>
      </c>
      <c r="BB745" t="s">
        <v>1004</v>
      </c>
      <c r="BD745" t="s">
        <v>1005</v>
      </c>
      <c r="BE745" t="s">
        <v>205</v>
      </c>
    </row>
    <row r="746" spans="1:57" ht="13" x14ac:dyDescent="0.15">
      <c r="A746">
        <v>1839</v>
      </c>
      <c r="B746">
        <v>31681443</v>
      </c>
      <c r="C746" t="s">
        <v>205</v>
      </c>
      <c r="D746" s="7">
        <v>40510</v>
      </c>
      <c r="E746" s="7">
        <v>45710</v>
      </c>
      <c r="F746">
        <v>330862</v>
      </c>
      <c r="G746" t="s">
        <v>983</v>
      </c>
      <c r="H746" t="s">
        <v>9</v>
      </c>
      <c r="I746" s="7">
        <v>45674</v>
      </c>
      <c r="J746" s="8">
        <v>0.89921296296296294</v>
      </c>
      <c r="K746" t="s">
        <v>984</v>
      </c>
      <c r="AQ746" t="s">
        <v>992</v>
      </c>
      <c r="AR746" t="s">
        <v>1105</v>
      </c>
      <c r="AT746" t="s">
        <v>987</v>
      </c>
      <c r="AZ746" t="s">
        <v>1044</v>
      </c>
      <c r="BA746" t="s">
        <v>1045</v>
      </c>
      <c r="BB746" t="s">
        <v>990</v>
      </c>
      <c r="BD746" t="s">
        <v>991</v>
      </c>
      <c r="BE746" t="s">
        <v>205</v>
      </c>
    </row>
    <row r="747" spans="1:57" ht="13" x14ac:dyDescent="0.15">
      <c r="A747">
        <v>1839</v>
      </c>
      <c r="B747">
        <v>31681687</v>
      </c>
      <c r="C747" t="s">
        <v>206</v>
      </c>
      <c r="D747" s="7">
        <v>41730</v>
      </c>
      <c r="E747" s="7">
        <v>45696</v>
      </c>
      <c r="F747">
        <v>330862</v>
      </c>
      <c r="G747" t="s">
        <v>983</v>
      </c>
      <c r="H747" t="s">
        <v>9</v>
      </c>
      <c r="I747" s="7">
        <v>45694</v>
      </c>
      <c r="J747" s="8">
        <v>0.51807870370370368</v>
      </c>
      <c r="K747" t="s">
        <v>984</v>
      </c>
      <c r="AQ747" t="s">
        <v>992</v>
      </c>
      <c r="AR747" t="s">
        <v>993</v>
      </c>
      <c r="AT747" t="s">
        <v>987</v>
      </c>
      <c r="AZ747" t="s">
        <v>988</v>
      </c>
      <c r="BA747" t="s">
        <v>989</v>
      </c>
      <c r="BB747" t="s">
        <v>990</v>
      </c>
      <c r="BD747" t="s">
        <v>991</v>
      </c>
      <c r="BE747" t="s">
        <v>206</v>
      </c>
    </row>
    <row r="748" spans="1:57" ht="13" x14ac:dyDescent="0.15">
      <c r="A748">
        <v>1839</v>
      </c>
      <c r="B748">
        <v>31686427</v>
      </c>
      <c r="C748" t="s">
        <v>207</v>
      </c>
      <c r="D748" s="7">
        <v>38667</v>
      </c>
      <c r="E748" s="7">
        <v>45708</v>
      </c>
      <c r="F748">
        <v>330862</v>
      </c>
      <c r="G748" t="s">
        <v>983</v>
      </c>
      <c r="H748" t="s">
        <v>9</v>
      </c>
      <c r="I748" s="7">
        <v>45694</v>
      </c>
      <c r="J748" s="8">
        <v>0.69322916666666667</v>
      </c>
      <c r="K748" t="s">
        <v>984</v>
      </c>
      <c r="AQ748" t="s">
        <v>985</v>
      </c>
      <c r="AR748" t="s">
        <v>1456</v>
      </c>
      <c r="AT748" t="s">
        <v>987</v>
      </c>
      <c r="AZ748" t="s">
        <v>1016</v>
      </c>
      <c r="BA748" t="s">
        <v>1017</v>
      </c>
      <c r="BB748" t="s">
        <v>1018</v>
      </c>
      <c r="BD748" t="s">
        <v>991</v>
      </c>
      <c r="BE748" t="s">
        <v>207</v>
      </c>
    </row>
    <row r="749" spans="1:57" ht="13" x14ac:dyDescent="0.15">
      <c r="A749">
        <v>1839</v>
      </c>
      <c r="B749">
        <v>31686427</v>
      </c>
      <c r="C749" t="s">
        <v>207</v>
      </c>
      <c r="D749" s="7">
        <v>38667</v>
      </c>
      <c r="E749" s="7">
        <v>45708</v>
      </c>
      <c r="F749">
        <v>330862</v>
      </c>
      <c r="G749" t="s">
        <v>983</v>
      </c>
      <c r="H749" t="s">
        <v>9</v>
      </c>
      <c r="I749" s="7">
        <v>45621</v>
      </c>
      <c r="J749" s="8">
        <v>0.61038194444444449</v>
      </c>
      <c r="K749" t="s">
        <v>984</v>
      </c>
      <c r="AQ749" t="s">
        <v>985</v>
      </c>
      <c r="AR749" t="s">
        <v>1457</v>
      </c>
      <c r="AT749" t="s">
        <v>987</v>
      </c>
      <c r="AZ749" t="s">
        <v>1182</v>
      </c>
      <c r="BA749" t="s">
        <v>1185</v>
      </c>
      <c r="BB749" t="s">
        <v>1026</v>
      </c>
      <c r="BD749" t="s">
        <v>1022</v>
      </c>
      <c r="BE749" t="s">
        <v>207</v>
      </c>
    </row>
    <row r="750" spans="1:57" ht="13" x14ac:dyDescent="0.15">
      <c r="A750">
        <v>1839</v>
      </c>
      <c r="B750">
        <v>31686427</v>
      </c>
      <c r="C750" t="s">
        <v>207</v>
      </c>
      <c r="D750" s="7">
        <v>38667</v>
      </c>
      <c r="E750" s="7">
        <v>45708</v>
      </c>
      <c r="F750">
        <v>330862</v>
      </c>
      <c r="G750" t="s">
        <v>983</v>
      </c>
      <c r="H750" t="s">
        <v>9</v>
      </c>
      <c r="I750" s="7">
        <v>45621</v>
      </c>
      <c r="J750" s="8">
        <v>0.60947916666666668</v>
      </c>
      <c r="K750" t="s">
        <v>984</v>
      </c>
      <c r="AQ750" t="s">
        <v>985</v>
      </c>
      <c r="AR750" t="s">
        <v>1458</v>
      </c>
      <c r="AT750" t="s">
        <v>987</v>
      </c>
      <c r="AZ750" t="s">
        <v>1028</v>
      </c>
      <c r="BA750" t="s">
        <v>1029</v>
      </c>
      <c r="BB750" t="s">
        <v>1018</v>
      </c>
      <c r="BD750" t="s">
        <v>1022</v>
      </c>
      <c r="BE750" t="s">
        <v>207</v>
      </c>
    </row>
    <row r="751" spans="1:57" ht="13" x14ac:dyDescent="0.15">
      <c r="A751">
        <v>1839</v>
      </c>
      <c r="B751">
        <v>31686427</v>
      </c>
      <c r="C751" t="s">
        <v>207</v>
      </c>
      <c r="D751" s="7">
        <v>38667</v>
      </c>
      <c r="E751" s="7">
        <v>45708</v>
      </c>
      <c r="F751">
        <v>330862</v>
      </c>
      <c r="G751" t="s">
        <v>983</v>
      </c>
      <c r="H751" t="s">
        <v>9</v>
      </c>
      <c r="I751" s="7">
        <v>45642</v>
      </c>
      <c r="J751" s="8">
        <v>0.58254629629629628</v>
      </c>
      <c r="K751" t="s">
        <v>984</v>
      </c>
      <c r="AQ751" t="s">
        <v>985</v>
      </c>
      <c r="AR751" t="s">
        <v>1027</v>
      </c>
      <c r="AT751" t="s">
        <v>987</v>
      </c>
      <c r="AZ751" t="s">
        <v>1028</v>
      </c>
      <c r="BA751" t="s">
        <v>1029</v>
      </c>
      <c r="BB751" t="s">
        <v>1018</v>
      </c>
      <c r="BD751" t="s">
        <v>1022</v>
      </c>
      <c r="BE751" t="s">
        <v>207</v>
      </c>
    </row>
    <row r="752" spans="1:57" ht="13" x14ac:dyDescent="0.15">
      <c r="A752">
        <v>1839</v>
      </c>
      <c r="B752">
        <v>31686427</v>
      </c>
      <c r="C752" t="s">
        <v>207</v>
      </c>
      <c r="D752" s="7">
        <v>38667</v>
      </c>
      <c r="E752" s="7">
        <v>45708</v>
      </c>
      <c r="F752">
        <v>330862</v>
      </c>
      <c r="G752" t="s">
        <v>983</v>
      </c>
      <c r="H752" t="s">
        <v>9</v>
      </c>
      <c r="I752" s="7">
        <v>45694</v>
      </c>
      <c r="J752" s="8">
        <v>0.58049768518518519</v>
      </c>
      <c r="K752" t="s">
        <v>984</v>
      </c>
      <c r="AQ752" t="s">
        <v>985</v>
      </c>
      <c r="AR752" t="s">
        <v>986</v>
      </c>
      <c r="AT752" t="s">
        <v>987</v>
      </c>
      <c r="AZ752" t="s">
        <v>988</v>
      </c>
      <c r="BA752" t="s">
        <v>989</v>
      </c>
      <c r="BB752" t="s">
        <v>990</v>
      </c>
      <c r="BD752" t="s">
        <v>991</v>
      </c>
      <c r="BE752" t="s">
        <v>207</v>
      </c>
    </row>
    <row r="753" spans="1:57" ht="13" x14ac:dyDescent="0.15">
      <c r="A753">
        <v>1839</v>
      </c>
      <c r="B753">
        <v>31691382</v>
      </c>
      <c r="C753" t="s">
        <v>208</v>
      </c>
      <c r="D753" s="7">
        <v>39743</v>
      </c>
      <c r="E753" s="7">
        <v>45701</v>
      </c>
      <c r="F753">
        <v>330862</v>
      </c>
      <c r="G753" t="s">
        <v>983</v>
      </c>
      <c r="H753" t="s">
        <v>9</v>
      </c>
      <c r="I753" s="7">
        <v>45632</v>
      </c>
      <c r="J753" s="8">
        <v>0.7515856481481481</v>
      </c>
      <c r="K753" t="s">
        <v>984</v>
      </c>
      <c r="AQ753" t="s">
        <v>1142</v>
      </c>
      <c r="AR753" t="s">
        <v>1327</v>
      </c>
      <c r="AT753" t="s">
        <v>987</v>
      </c>
      <c r="AZ753" t="s">
        <v>1011</v>
      </c>
      <c r="BA753" t="s">
        <v>1031</v>
      </c>
      <c r="BB753" t="s">
        <v>1032</v>
      </c>
      <c r="BD753" t="s">
        <v>1005</v>
      </c>
      <c r="BE753" t="s">
        <v>208</v>
      </c>
    </row>
    <row r="754" spans="1:57" ht="13" x14ac:dyDescent="0.15">
      <c r="A754">
        <v>1839</v>
      </c>
      <c r="B754">
        <v>31691382</v>
      </c>
      <c r="C754" t="s">
        <v>208</v>
      </c>
      <c r="D754" s="7">
        <v>39743</v>
      </c>
      <c r="E754" s="7">
        <v>45701</v>
      </c>
      <c r="F754">
        <v>330862</v>
      </c>
      <c r="G754" t="s">
        <v>983</v>
      </c>
      <c r="H754" t="s">
        <v>9</v>
      </c>
      <c r="I754" s="7">
        <v>45701</v>
      </c>
      <c r="J754" s="8">
        <v>0.67607638888888888</v>
      </c>
      <c r="K754" t="s">
        <v>984</v>
      </c>
      <c r="AQ754" t="s">
        <v>1142</v>
      </c>
      <c r="AR754" t="s">
        <v>1459</v>
      </c>
      <c r="AT754" t="s">
        <v>987</v>
      </c>
      <c r="AZ754" t="s">
        <v>1024</v>
      </c>
      <c r="BA754" t="s">
        <v>1047</v>
      </c>
      <c r="BB754" t="s">
        <v>1048</v>
      </c>
      <c r="BD754" t="s">
        <v>1014</v>
      </c>
      <c r="BE754" t="s">
        <v>208</v>
      </c>
    </row>
    <row r="755" spans="1:57" ht="13" x14ac:dyDescent="0.15">
      <c r="A755">
        <v>1839</v>
      </c>
      <c r="B755">
        <v>31698048</v>
      </c>
      <c r="C755" t="s">
        <v>209</v>
      </c>
      <c r="D755" s="7">
        <v>40891</v>
      </c>
      <c r="E755" s="7">
        <v>45707</v>
      </c>
      <c r="F755">
        <v>330862</v>
      </c>
      <c r="G755" t="s">
        <v>983</v>
      </c>
      <c r="H755" t="s">
        <v>9</v>
      </c>
      <c r="I755" s="7">
        <v>45678</v>
      </c>
      <c r="J755" s="8">
        <v>0.85835648148148147</v>
      </c>
      <c r="K755" t="s">
        <v>984</v>
      </c>
      <c r="AQ755" t="s">
        <v>992</v>
      </c>
      <c r="AR755" t="s">
        <v>1083</v>
      </c>
      <c r="AT755" t="s">
        <v>987</v>
      </c>
      <c r="BE755" t="s">
        <v>209</v>
      </c>
    </row>
    <row r="756" spans="1:57" ht="13" x14ac:dyDescent="0.15">
      <c r="A756">
        <v>1839</v>
      </c>
      <c r="B756">
        <v>31699346</v>
      </c>
      <c r="C756" t="s">
        <v>210</v>
      </c>
      <c r="D756" s="7">
        <v>38554</v>
      </c>
      <c r="E756" s="7">
        <v>45703</v>
      </c>
      <c r="F756">
        <v>330862</v>
      </c>
      <c r="G756" t="s">
        <v>983</v>
      </c>
      <c r="H756" t="s">
        <v>9</v>
      </c>
      <c r="I756" s="7">
        <v>45694</v>
      </c>
      <c r="J756" s="8">
        <v>0.63504629629629628</v>
      </c>
      <c r="K756" t="s">
        <v>984</v>
      </c>
      <c r="AQ756" t="s">
        <v>992</v>
      </c>
      <c r="AR756" t="s">
        <v>1066</v>
      </c>
      <c r="AT756" t="s">
        <v>987</v>
      </c>
      <c r="AZ756" t="s">
        <v>988</v>
      </c>
      <c r="BA756" t="s">
        <v>989</v>
      </c>
      <c r="BB756" t="s">
        <v>990</v>
      </c>
      <c r="BD756" t="s">
        <v>991</v>
      </c>
      <c r="BE756" t="s">
        <v>210</v>
      </c>
    </row>
    <row r="757" spans="1:57" ht="13" x14ac:dyDescent="0.15">
      <c r="A757">
        <v>1839</v>
      </c>
      <c r="B757">
        <v>31699640</v>
      </c>
      <c r="C757" t="s">
        <v>211</v>
      </c>
      <c r="D757" s="7">
        <v>38554</v>
      </c>
      <c r="E757" s="7">
        <v>45693</v>
      </c>
      <c r="F757">
        <v>330862</v>
      </c>
      <c r="G757" t="s">
        <v>983</v>
      </c>
      <c r="H757" t="s">
        <v>9</v>
      </c>
      <c r="I757" s="7">
        <v>45674</v>
      </c>
      <c r="J757" s="8">
        <v>0.71461805555555558</v>
      </c>
      <c r="K757" t="s">
        <v>984</v>
      </c>
      <c r="AQ757" t="s">
        <v>992</v>
      </c>
      <c r="AR757" t="s">
        <v>1121</v>
      </c>
      <c r="AT757" t="s">
        <v>987</v>
      </c>
      <c r="AZ757" t="s">
        <v>1007</v>
      </c>
      <c r="BA757" t="s">
        <v>1008</v>
      </c>
      <c r="BB757" t="s">
        <v>990</v>
      </c>
      <c r="BD757" t="s">
        <v>1005</v>
      </c>
      <c r="BE757" t="s">
        <v>211</v>
      </c>
    </row>
    <row r="758" spans="1:57" ht="13" x14ac:dyDescent="0.15">
      <c r="A758">
        <v>1839</v>
      </c>
      <c r="B758">
        <v>31699640</v>
      </c>
      <c r="C758" t="s">
        <v>211</v>
      </c>
      <c r="D758" s="7">
        <v>38554</v>
      </c>
      <c r="E758" s="7">
        <v>45693</v>
      </c>
      <c r="F758">
        <v>330862</v>
      </c>
      <c r="G758" t="s">
        <v>983</v>
      </c>
      <c r="H758" t="s">
        <v>9</v>
      </c>
      <c r="I758" s="7">
        <v>45636</v>
      </c>
      <c r="J758" s="8">
        <v>0.52563657407407405</v>
      </c>
      <c r="K758" t="s">
        <v>984</v>
      </c>
      <c r="AQ758" t="s">
        <v>992</v>
      </c>
      <c r="AR758" t="s">
        <v>1339</v>
      </c>
      <c r="AT758" t="s">
        <v>987</v>
      </c>
      <c r="AZ758" t="s">
        <v>1174</v>
      </c>
      <c r="BA758" t="s">
        <v>1242</v>
      </c>
      <c r="BB758" t="s">
        <v>1026</v>
      </c>
      <c r="BD758" t="s">
        <v>1005</v>
      </c>
      <c r="BE758" t="s">
        <v>211</v>
      </c>
    </row>
    <row r="759" spans="1:57" ht="13" x14ac:dyDescent="0.15">
      <c r="A759">
        <v>1839</v>
      </c>
      <c r="B759">
        <v>31699640</v>
      </c>
      <c r="C759" t="s">
        <v>211</v>
      </c>
      <c r="D759" s="7">
        <v>38554</v>
      </c>
      <c r="E759" s="7">
        <v>45693</v>
      </c>
      <c r="F759">
        <v>330862</v>
      </c>
      <c r="G759" t="s">
        <v>983</v>
      </c>
      <c r="H759" t="s">
        <v>9</v>
      </c>
      <c r="I759" s="7">
        <v>45674</v>
      </c>
      <c r="J759" s="8">
        <v>0.71258101851851852</v>
      </c>
      <c r="K759" t="s">
        <v>984</v>
      </c>
      <c r="AQ759" t="s">
        <v>992</v>
      </c>
      <c r="AR759" t="s">
        <v>1051</v>
      </c>
      <c r="AT759" t="s">
        <v>987</v>
      </c>
      <c r="AZ759" t="s">
        <v>1002</v>
      </c>
      <c r="BA759" t="s">
        <v>1003</v>
      </c>
      <c r="BB759" t="s">
        <v>1004</v>
      </c>
      <c r="BD759" t="s">
        <v>1005</v>
      </c>
      <c r="BE759" t="s">
        <v>211</v>
      </c>
    </row>
    <row r="760" spans="1:57" ht="13" x14ac:dyDescent="0.15">
      <c r="A760">
        <v>1839</v>
      </c>
      <c r="B760">
        <v>31703207</v>
      </c>
      <c r="C760" t="s">
        <v>212</v>
      </c>
      <c r="D760" s="7">
        <v>38667</v>
      </c>
      <c r="E760" s="7">
        <v>45713</v>
      </c>
      <c r="F760">
        <v>330862</v>
      </c>
      <c r="G760" t="s">
        <v>983</v>
      </c>
      <c r="H760" t="s">
        <v>9</v>
      </c>
      <c r="I760" s="7">
        <v>45680</v>
      </c>
      <c r="J760" s="8">
        <v>0.51524305555555561</v>
      </c>
      <c r="K760" t="s">
        <v>984</v>
      </c>
      <c r="AQ760" t="s">
        <v>1366</v>
      </c>
      <c r="AR760" t="s">
        <v>1460</v>
      </c>
      <c r="AT760" t="s">
        <v>987</v>
      </c>
      <c r="AZ760" t="s">
        <v>1024</v>
      </c>
      <c r="BA760" t="s">
        <v>1025</v>
      </c>
      <c r="BB760" t="s">
        <v>1026</v>
      </c>
      <c r="BD760" t="s">
        <v>1022</v>
      </c>
      <c r="BE760" t="s">
        <v>212</v>
      </c>
    </row>
    <row r="761" spans="1:57" ht="13" x14ac:dyDescent="0.15">
      <c r="A761">
        <v>1839</v>
      </c>
      <c r="B761">
        <v>31703207</v>
      </c>
      <c r="C761" t="s">
        <v>212</v>
      </c>
      <c r="D761" s="7">
        <v>38667</v>
      </c>
      <c r="E761" s="7">
        <v>45713</v>
      </c>
      <c r="F761">
        <v>330862</v>
      </c>
      <c r="G761" t="s">
        <v>983</v>
      </c>
      <c r="H761" t="s">
        <v>9</v>
      </c>
      <c r="I761" s="7">
        <v>45636</v>
      </c>
      <c r="J761" s="8">
        <v>0.51332175925925927</v>
      </c>
      <c r="K761" t="s">
        <v>984</v>
      </c>
      <c r="AQ761" t="s">
        <v>998</v>
      </c>
      <c r="AR761" t="s">
        <v>1098</v>
      </c>
      <c r="AT761" t="s">
        <v>987</v>
      </c>
      <c r="AZ761" t="s">
        <v>1020</v>
      </c>
      <c r="BA761" t="s">
        <v>1021</v>
      </c>
      <c r="BB761" t="s">
        <v>1018</v>
      </c>
      <c r="BD761" t="s">
        <v>1022</v>
      </c>
      <c r="BE761" t="s">
        <v>212</v>
      </c>
    </row>
    <row r="762" spans="1:57" ht="13" x14ac:dyDescent="0.15">
      <c r="A762">
        <v>1839</v>
      </c>
      <c r="B762">
        <v>31703207</v>
      </c>
      <c r="C762" t="s">
        <v>212</v>
      </c>
      <c r="D762" s="7">
        <v>38667</v>
      </c>
      <c r="E762" s="7">
        <v>45713</v>
      </c>
      <c r="F762">
        <v>330862</v>
      </c>
      <c r="G762" t="s">
        <v>983</v>
      </c>
      <c r="H762" t="s">
        <v>9</v>
      </c>
      <c r="I762" s="7">
        <v>45636</v>
      </c>
      <c r="J762" s="8">
        <v>0.51200231481481484</v>
      </c>
      <c r="K762" t="s">
        <v>984</v>
      </c>
      <c r="AQ762" t="s">
        <v>998</v>
      </c>
      <c r="AR762" t="s">
        <v>1097</v>
      </c>
      <c r="AT762" t="s">
        <v>987</v>
      </c>
      <c r="AZ762" t="s">
        <v>1024</v>
      </c>
      <c r="BA762" t="s">
        <v>1025</v>
      </c>
      <c r="BB762" t="s">
        <v>1026</v>
      </c>
      <c r="BD762" t="s">
        <v>1022</v>
      </c>
      <c r="BE762" t="s">
        <v>212</v>
      </c>
    </row>
    <row r="763" spans="1:57" ht="13" x14ac:dyDescent="0.15">
      <c r="A763">
        <v>1839</v>
      </c>
      <c r="B763">
        <v>31703207</v>
      </c>
      <c r="C763" t="s">
        <v>212</v>
      </c>
      <c r="D763" s="7">
        <v>38667</v>
      </c>
      <c r="E763" s="7">
        <v>45713</v>
      </c>
      <c r="F763">
        <v>330862</v>
      </c>
      <c r="G763" t="s">
        <v>983</v>
      </c>
      <c r="H763" t="s">
        <v>9</v>
      </c>
      <c r="I763" s="7">
        <v>45636</v>
      </c>
      <c r="J763" s="8">
        <v>0.51078703703703698</v>
      </c>
      <c r="K763" t="s">
        <v>984</v>
      </c>
      <c r="AQ763" t="s">
        <v>998</v>
      </c>
      <c r="AR763" t="s">
        <v>1262</v>
      </c>
      <c r="AT763" t="s">
        <v>987</v>
      </c>
      <c r="AZ763" t="s">
        <v>1028</v>
      </c>
      <c r="BA763" t="s">
        <v>1029</v>
      </c>
      <c r="BB763" t="s">
        <v>1018</v>
      </c>
      <c r="BD763" t="s">
        <v>1022</v>
      </c>
      <c r="BE763" t="s">
        <v>212</v>
      </c>
    </row>
    <row r="764" spans="1:57" ht="13" x14ac:dyDescent="0.15">
      <c r="A764">
        <v>1839</v>
      </c>
      <c r="B764">
        <v>31703207</v>
      </c>
      <c r="C764" t="s">
        <v>212</v>
      </c>
      <c r="D764" s="7">
        <v>38667</v>
      </c>
      <c r="E764" s="7">
        <v>45713</v>
      </c>
      <c r="F764">
        <v>330862</v>
      </c>
      <c r="G764" t="s">
        <v>983</v>
      </c>
      <c r="H764" t="s">
        <v>9</v>
      </c>
      <c r="I764" s="7">
        <v>45636</v>
      </c>
      <c r="J764" s="8">
        <v>0.50866898148148143</v>
      </c>
      <c r="K764" t="s">
        <v>984</v>
      </c>
      <c r="AQ764" t="s">
        <v>998</v>
      </c>
      <c r="AR764" t="s">
        <v>1096</v>
      </c>
      <c r="AT764" t="s">
        <v>987</v>
      </c>
      <c r="AZ764" t="s">
        <v>1011</v>
      </c>
      <c r="BA764" t="s">
        <v>1031</v>
      </c>
      <c r="BB764" t="s">
        <v>1032</v>
      </c>
      <c r="BD764" t="s">
        <v>1005</v>
      </c>
      <c r="BE764" t="s">
        <v>212</v>
      </c>
    </row>
    <row r="765" spans="1:57" ht="13" x14ac:dyDescent="0.15">
      <c r="A765">
        <v>1839</v>
      </c>
      <c r="B765">
        <v>31703207</v>
      </c>
      <c r="C765" t="s">
        <v>212</v>
      </c>
      <c r="D765" s="7">
        <v>38667</v>
      </c>
      <c r="E765" s="7">
        <v>45713</v>
      </c>
      <c r="F765">
        <v>330862</v>
      </c>
      <c r="G765" t="s">
        <v>983</v>
      </c>
      <c r="H765" t="s">
        <v>9</v>
      </c>
      <c r="I765" s="7">
        <v>45636</v>
      </c>
      <c r="J765" s="8">
        <v>0.50768518518518524</v>
      </c>
      <c r="K765" t="s">
        <v>984</v>
      </c>
      <c r="AQ765" t="s">
        <v>998</v>
      </c>
      <c r="AR765" t="s">
        <v>1096</v>
      </c>
      <c r="AT765" t="s">
        <v>987</v>
      </c>
      <c r="AZ765" t="s">
        <v>1011</v>
      </c>
      <c r="BA765" t="s">
        <v>1031</v>
      </c>
      <c r="BB765" t="s">
        <v>1032</v>
      </c>
      <c r="BD765" t="s">
        <v>1005</v>
      </c>
      <c r="BE765" t="s">
        <v>212</v>
      </c>
    </row>
    <row r="766" spans="1:57" ht="13" x14ac:dyDescent="0.15">
      <c r="A766">
        <v>1839</v>
      </c>
      <c r="B766">
        <v>31703207</v>
      </c>
      <c r="C766" t="s">
        <v>212</v>
      </c>
      <c r="D766" s="7">
        <v>38667</v>
      </c>
      <c r="E766" s="7">
        <v>45713</v>
      </c>
      <c r="F766">
        <v>330862</v>
      </c>
      <c r="G766" t="s">
        <v>983</v>
      </c>
      <c r="H766" t="s">
        <v>9</v>
      </c>
      <c r="I766" s="7">
        <v>45697</v>
      </c>
      <c r="J766" s="8">
        <v>0.30479166666666668</v>
      </c>
      <c r="K766" t="s">
        <v>984</v>
      </c>
      <c r="AQ766" t="s">
        <v>1366</v>
      </c>
      <c r="AR766" t="s">
        <v>1059</v>
      </c>
      <c r="AT766" t="s">
        <v>987</v>
      </c>
      <c r="AZ766" t="s">
        <v>1044</v>
      </c>
      <c r="BA766" t="s">
        <v>1045</v>
      </c>
      <c r="BB766" t="s">
        <v>990</v>
      </c>
      <c r="BD766" t="s">
        <v>991</v>
      </c>
      <c r="BE766" t="s">
        <v>212</v>
      </c>
    </row>
    <row r="767" spans="1:57" ht="13" x14ac:dyDescent="0.15">
      <c r="A767">
        <v>1839</v>
      </c>
      <c r="B767">
        <v>31703207</v>
      </c>
      <c r="C767" t="s">
        <v>212</v>
      </c>
      <c r="D767" s="7">
        <v>38667</v>
      </c>
      <c r="E767" s="7">
        <v>45713</v>
      </c>
      <c r="F767">
        <v>330862</v>
      </c>
      <c r="G767" t="s">
        <v>983</v>
      </c>
      <c r="H767" t="s">
        <v>9</v>
      </c>
      <c r="I767" s="7">
        <v>45694</v>
      </c>
      <c r="J767" s="8">
        <v>0.37947916666666665</v>
      </c>
      <c r="K767" t="s">
        <v>984</v>
      </c>
      <c r="AQ767" t="s">
        <v>1366</v>
      </c>
      <c r="AR767" t="s">
        <v>993</v>
      </c>
      <c r="AT767" t="s">
        <v>987</v>
      </c>
      <c r="AZ767" t="s">
        <v>988</v>
      </c>
      <c r="BA767" t="s">
        <v>989</v>
      </c>
      <c r="BB767" t="s">
        <v>990</v>
      </c>
      <c r="BD767" t="s">
        <v>991</v>
      </c>
      <c r="BE767" t="s">
        <v>212</v>
      </c>
    </row>
    <row r="768" spans="1:57" ht="13" x14ac:dyDescent="0.15">
      <c r="A768">
        <v>1839</v>
      </c>
      <c r="B768">
        <v>31703207</v>
      </c>
      <c r="C768" t="s">
        <v>212</v>
      </c>
      <c r="D768" s="7">
        <v>38667</v>
      </c>
      <c r="E768" s="7">
        <v>45713</v>
      </c>
      <c r="F768">
        <v>330862</v>
      </c>
      <c r="G768" t="s">
        <v>983</v>
      </c>
      <c r="H768" t="s">
        <v>9</v>
      </c>
      <c r="I768" s="7">
        <v>45679</v>
      </c>
      <c r="J768" s="8">
        <v>0.74097222222222225</v>
      </c>
      <c r="K768" t="s">
        <v>984</v>
      </c>
      <c r="AQ768" t="s">
        <v>1366</v>
      </c>
      <c r="AR768" t="s">
        <v>1083</v>
      </c>
      <c r="AT768" t="s">
        <v>987</v>
      </c>
      <c r="AZ768" t="s">
        <v>1011</v>
      </c>
      <c r="BA768" t="s">
        <v>1012</v>
      </c>
      <c r="BB768" t="s">
        <v>1013</v>
      </c>
      <c r="BD768" t="s">
        <v>1014</v>
      </c>
      <c r="BE768" t="s">
        <v>212</v>
      </c>
    </row>
    <row r="769" spans="1:57" ht="13" x14ac:dyDescent="0.15">
      <c r="A769">
        <v>1839</v>
      </c>
      <c r="B769">
        <v>31703207</v>
      </c>
      <c r="C769" t="s">
        <v>212</v>
      </c>
      <c r="D769" s="7">
        <v>38667</v>
      </c>
      <c r="E769" s="7">
        <v>45713</v>
      </c>
      <c r="F769">
        <v>330862</v>
      </c>
      <c r="G769" t="s">
        <v>983</v>
      </c>
      <c r="H769" t="s">
        <v>9</v>
      </c>
      <c r="I769" s="7">
        <v>45680</v>
      </c>
      <c r="J769" s="8">
        <v>0.40309027777777778</v>
      </c>
      <c r="K769" t="s">
        <v>984</v>
      </c>
      <c r="AQ769" t="s">
        <v>998</v>
      </c>
      <c r="AR769" t="s">
        <v>1461</v>
      </c>
      <c r="AT769" t="s">
        <v>987</v>
      </c>
      <c r="AZ769" t="s">
        <v>1002</v>
      </c>
      <c r="BA769" t="s">
        <v>1003</v>
      </c>
      <c r="BB769" t="s">
        <v>1004</v>
      </c>
      <c r="BD769" t="s">
        <v>1005</v>
      </c>
      <c r="BE769" t="s">
        <v>212</v>
      </c>
    </row>
    <row r="770" spans="1:57" ht="13" x14ac:dyDescent="0.15">
      <c r="A770">
        <v>1839</v>
      </c>
      <c r="B770">
        <v>31703207</v>
      </c>
      <c r="C770" t="s">
        <v>212</v>
      </c>
      <c r="D770" s="7">
        <v>38667</v>
      </c>
      <c r="E770" s="7">
        <v>45713</v>
      </c>
      <c r="F770">
        <v>330862</v>
      </c>
      <c r="G770" t="s">
        <v>983</v>
      </c>
      <c r="H770" t="s">
        <v>9</v>
      </c>
      <c r="I770" s="7">
        <v>45680</v>
      </c>
      <c r="J770" s="8">
        <v>0.40359953703703705</v>
      </c>
      <c r="K770" t="s">
        <v>984</v>
      </c>
      <c r="AQ770" t="s">
        <v>998</v>
      </c>
      <c r="AR770" t="s">
        <v>1461</v>
      </c>
      <c r="AT770" t="s">
        <v>987</v>
      </c>
      <c r="AZ770" t="s">
        <v>1002</v>
      </c>
      <c r="BA770" t="s">
        <v>1003</v>
      </c>
      <c r="BB770" t="s">
        <v>1004</v>
      </c>
      <c r="BD770" t="s">
        <v>1005</v>
      </c>
      <c r="BE770" t="s">
        <v>212</v>
      </c>
    </row>
    <row r="771" spans="1:57" ht="13" x14ac:dyDescent="0.15">
      <c r="A771">
        <v>1839</v>
      </c>
      <c r="B771">
        <v>31703207</v>
      </c>
      <c r="C771" t="s">
        <v>212</v>
      </c>
      <c r="D771" s="7">
        <v>38667</v>
      </c>
      <c r="E771" s="7">
        <v>45713</v>
      </c>
      <c r="F771">
        <v>330862</v>
      </c>
      <c r="G771" t="s">
        <v>983</v>
      </c>
      <c r="H771" t="s">
        <v>9</v>
      </c>
      <c r="I771" s="7">
        <v>45680</v>
      </c>
      <c r="J771" s="8">
        <v>0.40939814814814812</v>
      </c>
      <c r="K771" t="s">
        <v>984</v>
      </c>
      <c r="AQ771" t="s">
        <v>998</v>
      </c>
      <c r="AR771" t="s">
        <v>1462</v>
      </c>
      <c r="AT771" t="s">
        <v>987</v>
      </c>
      <c r="AZ771" t="s">
        <v>1007</v>
      </c>
      <c r="BA771" t="s">
        <v>1008</v>
      </c>
      <c r="BB771" t="s">
        <v>990</v>
      </c>
      <c r="BD771" t="s">
        <v>1005</v>
      </c>
      <c r="BE771" t="s">
        <v>212</v>
      </c>
    </row>
    <row r="772" spans="1:57" ht="13" x14ac:dyDescent="0.15">
      <c r="A772">
        <v>1839</v>
      </c>
      <c r="B772">
        <v>31703207</v>
      </c>
      <c r="C772" t="s">
        <v>212</v>
      </c>
      <c r="D772" s="7">
        <v>38667</v>
      </c>
      <c r="E772" s="7">
        <v>45713</v>
      </c>
      <c r="F772">
        <v>330862</v>
      </c>
      <c r="G772" t="s">
        <v>983</v>
      </c>
      <c r="H772" t="s">
        <v>9</v>
      </c>
      <c r="I772" s="7">
        <v>45680</v>
      </c>
      <c r="J772" s="8">
        <v>0.41093750000000001</v>
      </c>
      <c r="K772" t="s">
        <v>984</v>
      </c>
      <c r="AQ772" t="s">
        <v>998</v>
      </c>
      <c r="AR772" t="s">
        <v>1462</v>
      </c>
      <c r="AT772" t="s">
        <v>987</v>
      </c>
      <c r="AZ772" t="s">
        <v>1007</v>
      </c>
      <c r="BA772" t="s">
        <v>1008</v>
      </c>
      <c r="BB772" t="s">
        <v>990</v>
      </c>
      <c r="BD772" t="s">
        <v>1005</v>
      </c>
      <c r="BE772" t="s">
        <v>212</v>
      </c>
    </row>
    <row r="773" spans="1:57" ht="13" x14ac:dyDescent="0.15">
      <c r="A773">
        <v>1839</v>
      </c>
      <c r="B773">
        <v>31703207</v>
      </c>
      <c r="C773" t="s">
        <v>212</v>
      </c>
      <c r="D773" s="7">
        <v>38667</v>
      </c>
      <c r="E773" s="7">
        <v>45713</v>
      </c>
      <c r="F773">
        <v>330862</v>
      </c>
      <c r="G773" t="s">
        <v>983</v>
      </c>
      <c r="H773" t="s">
        <v>9</v>
      </c>
      <c r="I773" s="7">
        <v>45680</v>
      </c>
      <c r="J773" s="8">
        <v>0.41974537037037035</v>
      </c>
      <c r="K773" t="s">
        <v>984</v>
      </c>
      <c r="AQ773" t="s">
        <v>998</v>
      </c>
      <c r="AR773" t="s">
        <v>1463</v>
      </c>
      <c r="AT773" t="s">
        <v>987</v>
      </c>
      <c r="AZ773" t="s">
        <v>1028</v>
      </c>
      <c r="BA773" t="s">
        <v>1029</v>
      </c>
      <c r="BB773" t="s">
        <v>1018</v>
      </c>
      <c r="BD773" t="s">
        <v>1022</v>
      </c>
      <c r="BE773" t="s">
        <v>212</v>
      </c>
    </row>
    <row r="774" spans="1:57" ht="13" x14ac:dyDescent="0.15">
      <c r="A774">
        <v>1839</v>
      </c>
      <c r="B774">
        <v>31703207</v>
      </c>
      <c r="C774" t="s">
        <v>212</v>
      </c>
      <c r="D774" s="7">
        <v>38667</v>
      </c>
      <c r="E774" s="7">
        <v>45713</v>
      </c>
      <c r="F774">
        <v>330862</v>
      </c>
      <c r="G774" t="s">
        <v>983</v>
      </c>
      <c r="H774" t="s">
        <v>9</v>
      </c>
      <c r="I774" s="7">
        <v>45636</v>
      </c>
      <c r="J774" s="8">
        <v>0.516087962962963</v>
      </c>
      <c r="K774" t="s">
        <v>984</v>
      </c>
      <c r="AQ774" t="s">
        <v>998</v>
      </c>
      <c r="AR774" t="s">
        <v>1097</v>
      </c>
      <c r="AT774" t="s">
        <v>987</v>
      </c>
      <c r="AZ774" t="s">
        <v>1024</v>
      </c>
      <c r="BA774" t="s">
        <v>1025</v>
      </c>
      <c r="BB774" t="s">
        <v>1026</v>
      </c>
      <c r="BD774" t="s">
        <v>1022</v>
      </c>
      <c r="BE774" t="s">
        <v>212</v>
      </c>
    </row>
    <row r="775" spans="1:57" ht="13" x14ac:dyDescent="0.15">
      <c r="A775">
        <v>1839</v>
      </c>
      <c r="B775">
        <v>31703207</v>
      </c>
      <c r="C775" t="s">
        <v>212</v>
      </c>
      <c r="D775" s="7">
        <v>38667</v>
      </c>
      <c r="E775" s="7">
        <v>45713</v>
      </c>
      <c r="F775">
        <v>330862</v>
      </c>
      <c r="G775" t="s">
        <v>983</v>
      </c>
      <c r="H775" t="s">
        <v>9</v>
      </c>
      <c r="I775" s="7">
        <v>45680</v>
      </c>
      <c r="J775" s="8">
        <v>0.52135416666666667</v>
      </c>
      <c r="K775" t="s">
        <v>984</v>
      </c>
      <c r="AQ775" t="s">
        <v>1366</v>
      </c>
      <c r="AR775" t="s">
        <v>1464</v>
      </c>
      <c r="AT775" t="s">
        <v>987</v>
      </c>
      <c r="AZ775" t="s">
        <v>1020</v>
      </c>
      <c r="BA775" t="s">
        <v>1021</v>
      </c>
      <c r="BB775" t="s">
        <v>1018</v>
      </c>
      <c r="BD775" t="s">
        <v>1022</v>
      </c>
      <c r="BE775" t="s">
        <v>212</v>
      </c>
    </row>
    <row r="776" spans="1:57" ht="13" x14ac:dyDescent="0.15">
      <c r="A776">
        <v>1839</v>
      </c>
      <c r="B776">
        <v>31703207</v>
      </c>
      <c r="C776" t="s">
        <v>212</v>
      </c>
      <c r="D776" s="7">
        <v>38667</v>
      </c>
      <c r="E776" s="7">
        <v>45713</v>
      </c>
      <c r="F776">
        <v>330862</v>
      </c>
      <c r="G776" t="s">
        <v>983</v>
      </c>
      <c r="H776" t="s">
        <v>9</v>
      </c>
      <c r="I776" s="7">
        <v>45680</v>
      </c>
      <c r="J776" s="8">
        <v>0.52974537037037039</v>
      </c>
      <c r="K776" t="s">
        <v>984</v>
      </c>
      <c r="AQ776" t="s">
        <v>1366</v>
      </c>
      <c r="AR776" t="s">
        <v>1463</v>
      </c>
      <c r="AT776" t="s">
        <v>987</v>
      </c>
      <c r="AZ776" t="s">
        <v>1028</v>
      </c>
      <c r="BA776" t="s">
        <v>1029</v>
      </c>
      <c r="BB776" t="s">
        <v>1018</v>
      </c>
      <c r="BD776" t="s">
        <v>1022</v>
      </c>
      <c r="BE776" t="s">
        <v>212</v>
      </c>
    </row>
    <row r="777" spans="1:57" ht="13" x14ac:dyDescent="0.15">
      <c r="A777">
        <v>1839</v>
      </c>
      <c r="B777">
        <v>31703207</v>
      </c>
      <c r="C777" t="s">
        <v>212</v>
      </c>
      <c r="D777" s="7">
        <v>38667</v>
      </c>
      <c r="E777" s="7">
        <v>45713</v>
      </c>
      <c r="F777">
        <v>330862</v>
      </c>
      <c r="G777" t="s">
        <v>983</v>
      </c>
      <c r="H777" t="s">
        <v>9</v>
      </c>
      <c r="I777" s="7">
        <v>45636</v>
      </c>
      <c r="J777" s="8">
        <v>0.50548611111111108</v>
      </c>
      <c r="K777" t="s">
        <v>984</v>
      </c>
      <c r="AQ777" t="s">
        <v>998</v>
      </c>
      <c r="AR777" t="s">
        <v>1096</v>
      </c>
      <c r="AT777" t="s">
        <v>987</v>
      </c>
      <c r="AZ777" t="s">
        <v>1011</v>
      </c>
      <c r="BA777" t="s">
        <v>1031</v>
      </c>
      <c r="BB777" t="s">
        <v>1032</v>
      </c>
      <c r="BD777" t="s">
        <v>1005</v>
      </c>
      <c r="BE777" t="s">
        <v>212</v>
      </c>
    </row>
    <row r="778" spans="1:57" ht="13" x14ac:dyDescent="0.15">
      <c r="A778">
        <v>1839</v>
      </c>
      <c r="B778">
        <v>31703207</v>
      </c>
      <c r="C778" t="s">
        <v>212</v>
      </c>
      <c r="D778" s="7">
        <v>38667</v>
      </c>
      <c r="E778" s="7">
        <v>45713</v>
      </c>
      <c r="F778">
        <v>330862</v>
      </c>
      <c r="G778" t="s">
        <v>983</v>
      </c>
      <c r="H778" t="s">
        <v>9</v>
      </c>
      <c r="I778" s="7">
        <v>45636</v>
      </c>
      <c r="J778" s="8">
        <v>0.5065856481481481</v>
      </c>
      <c r="K778" t="s">
        <v>984</v>
      </c>
      <c r="AQ778" t="s">
        <v>998</v>
      </c>
      <c r="AR778" t="s">
        <v>1096</v>
      </c>
      <c r="AT778" t="s">
        <v>987</v>
      </c>
      <c r="AZ778" t="s">
        <v>1011</v>
      </c>
      <c r="BA778" t="s">
        <v>1031</v>
      </c>
      <c r="BB778" t="s">
        <v>1032</v>
      </c>
      <c r="BD778" t="s">
        <v>1005</v>
      </c>
      <c r="BE778" t="s">
        <v>212</v>
      </c>
    </row>
    <row r="779" spans="1:57" ht="13" x14ac:dyDescent="0.15">
      <c r="A779">
        <v>1839</v>
      </c>
      <c r="B779">
        <v>31703207</v>
      </c>
      <c r="C779" t="s">
        <v>212</v>
      </c>
      <c r="D779" s="7">
        <v>38667</v>
      </c>
      <c r="E779" s="7">
        <v>45713</v>
      </c>
      <c r="F779">
        <v>330862</v>
      </c>
      <c r="G779" t="s">
        <v>983</v>
      </c>
      <c r="H779" t="s">
        <v>9</v>
      </c>
      <c r="I779" s="7">
        <v>45636</v>
      </c>
      <c r="J779" s="8">
        <v>0.50715277777777779</v>
      </c>
      <c r="K779" t="s">
        <v>984</v>
      </c>
      <c r="AQ779" t="s">
        <v>998</v>
      </c>
      <c r="AR779" t="s">
        <v>1096</v>
      </c>
      <c r="AT779" t="s">
        <v>987</v>
      </c>
      <c r="AZ779" t="s">
        <v>1011</v>
      </c>
      <c r="BA779" t="s">
        <v>1031</v>
      </c>
      <c r="BB779" t="s">
        <v>1032</v>
      </c>
      <c r="BD779" t="s">
        <v>1005</v>
      </c>
      <c r="BE779" t="s">
        <v>212</v>
      </c>
    </row>
    <row r="780" spans="1:57" ht="13" x14ac:dyDescent="0.15">
      <c r="A780">
        <v>1839</v>
      </c>
      <c r="B780">
        <v>31705400</v>
      </c>
      <c r="C780" t="s">
        <v>213</v>
      </c>
      <c r="D780" s="7">
        <v>38554</v>
      </c>
      <c r="E780" s="7">
        <v>45699</v>
      </c>
      <c r="F780">
        <v>330862</v>
      </c>
      <c r="G780" t="s">
        <v>983</v>
      </c>
      <c r="H780" t="s">
        <v>9</v>
      </c>
      <c r="I780" s="7">
        <v>45677</v>
      </c>
      <c r="J780" s="8">
        <v>6.2037037037037035E-3</v>
      </c>
      <c r="K780" t="s">
        <v>984</v>
      </c>
      <c r="AQ780" t="s">
        <v>992</v>
      </c>
      <c r="AR780" t="s">
        <v>1461</v>
      </c>
      <c r="AT780" t="s">
        <v>987</v>
      </c>
      <c r="AZ780" t="s">
        <v>1002</v>
      </c>
      <c r="BA780" t="s">
        <v>1003</v>
      </c>
      <c r="BB780" t="s">
        <v>1004</v>
      </c>
      <c r="BD780" t="s">
        <v>1005</v>
      </c>
      <c r="BE780" t="s">
        <v>213</v>
      </c>
    </row>
    <row r="781" spans="1:57" ht="13" x14ac:dyDescent="0.15">
      <c r="A781">
        <v>1839</v>
      </c>
      <c r="B781">
        <v>31705400</v>
      </c>
      <c r="C781" t="s">
        <v>213</v>
      </c>
      <c r="D781" s="7">
        <v>38554</v>
      </c>
      <c r="E781" s="7">
        <v>45699</v>
      </c>
      <c r="F781">
        <v>330862</v>
      </c>
      <c r="G781" t="s">
        <v>983</v>
      </c>
      <c r="H781" t="s">
        <v>9</v>
      </c>
      <c r="I781" s="7">
        <v>45651</v>
      </c>
      <c r="J781" s="8">
        <v>0.58937499999999998</v>
      </c>
      <c r="K781" t="s">
        <v>984</v>
      </c>
      <c r="AQ781" t="s">
        <v>992</v>
      </c>
      <c r="AR781" t="s">
        <v>1086</v>
      </c>
      <c r="AT781" t="s">
        <v>987</v>
      </c>
      <c r="AZ781" t="s">
        <v>1020</v>
      </c>
      <c r="BA781" t="s">
        <v>1021</v>
      </c>
      <c r="BB781" t="s">
        <v>1018</v>
      </c>
      <c r="BD781" t="s">
        <v>1022</v>
      </c>
      <c r="BE781" t="s">
        <v>213</v>
      </c>
    </row>
    <row r="782" spans="1:57" ht="13" x14ac:dyDescent="0.15">
      <c r="A782">
        <v>1839</v>
      </c>
      <c r="B782">
        <v>31705625</v>
      </c>
      <c r="C782" t="s">
        <v>214</v>
      </c>
      <c r="D782" s="7">
        <v>39743</v>
      </c>
      <c r="E782" s="7">
        <v>45696</v>
      </c>
      <c r="F782">
        <v>330862</v>
      </c>
      <c r="G782" t="s">
        <v>983</v>
      </c>
      <c r="H782" t="s">
        <v>9</v>
      </c>
      <c r="I782" s="7">
        <v>45674</v>
      </c>
      <c r="J782" s="8">
        <v>0.71247685185185183</v>
      </c>
      <c r="K782" t="s">
        <v>984</v>
      </c>
      <c r="AQ782" t="s">
        <v>998</v>
      </c>
      <c r="AR782" t="s">
        <v>1051</v>
      </c>
      <c r="AT782" t="s">
        <v>987</v>
      </c>
      <c r="AZ782" t="s">
        <v>1002</v>
      </c>
      <c r="BA782" t="s">
        <v>1003</v>
      </c>
      <c r="BB782" t="s">
        <v>1004</v>
      </c>
      <c r="BD782" t="s">
        <v>1005</v>
      </c>
      <c r="BE782" t="s">
        <v>214</v>
      </c>
    </row>
    <row r="783" spans="1:57" ht="13" x14ac:dyDescent="0.15">
      <c r="A783">
        <v>1839</v>
      </c>
      <c r="B783">
        <v>31705625</v>
      </c>
      <c r="C783" t="s">
        <v>214</v>
      </c>
      <c r="D783" s="7">
        <v>39743</v>
      </c>
      <c r="E783" s="7">
        <v>45696</v>
      </c>
      <c r="F783">
        <v>330862</v>
      </c>
      <c r="G783" t="s">
        <v>983</v>
      </c>
      <c r="H783" t="s">
        <v>9</v>
      </c>
      <c r="I783" s="7">
        <v>45694</v>
      </c>
      <c r="J783" s="8">
        <v>0.679224537037037</v>
      </c>
      <c r="K783" t="s">
        <v>984</v>
      </c>
      <c r="AQ783" t="s">
        <v>985</v>
      </c>
      <c r="AR783" t="s">
        <v>986</v>
      </c>
      <c r="AT783" t="s">
        <v>987</v>
      </c>
      <c r="AZ783" t="s">
        <v>988</v>
      </c>
      <c r="BA783" t="s">
        <v>989</v>
      </c>
      <c r="BB783" t="s">
        <v>990</v>
      </c>
      <c r="BD783" t="s">
        <v>991</v>
      </c>
      <c r="BE783" t="s">
        <v>214</v>
      </c>
    </row>
    <row r="784" spans="1:57" ht="13" x14ac:dyDescent="0.15">
      <c r="A784">
        <v>1839</v>
      </c>
      <c r="B784">
        <v>31707012</v>
      </c>
      <c r="C784" t="s">
        <v>215</v>
      </c>
      <c r="D784" s="7">
        <v>38555</v>
      </c>
      <c r="E784" s="7">
        <v>45698</v>
      </c>
      <c r="F784">
        <v>330862</v>
      </c>
      <c r="G784" t="s">
        <v>983</v>
      </c>
      <c r="H784" t="s">
        <v>9</v>
      </c>
      <c r="I784" s="7">
        <v>45694</v>
      </c>
      <c r="J784" s="8">
        <v>0.41484953703703703</v>
      </c>
      <c r="K784" t="s">
        <v>984</v>
      </c>
      <c r="AQ784" t="s">
        <v>998</v>
      </c>
      <c r="AR784" t="s">
        <v>993</v>
      </c>
      <c r="AT784" t="s">
        <v>987</v>
      </c>
      <c r="AZ784" t="s">
        <v>988</v>
      </c>
      <c r="BA784" t="s">
        <v>989</v>
      </c>
      <c r="BB784" t="s">
        <v>990</v>
      </c>
      <c r="BD784" t="s">
        <v>991</v>
      </c>
      <c r="BE784" t="s">
        <v>215</v>
      </c>
    </row>
    <row r="785" spans="1:57" ht="13" x14ac:dyDescent="0.15">
      <c r="A785">
        <v>1839</v>
      </c>
      <c r="B785">
        <v>31707062</v>
      </c>
      <c r="C785" t="s">
        <v>216</v>
      </c>
      <c r="D785" s="7">
        <v>38555</v>
      </c>
      <c r="E785" s="7">
        <v>45703</v>
      </c>
      <c r="F785">
        <v>330862</v>
      </c>
      <c r="G785" t="s">
        <v>983</v>
      </c>
      <c r="H785" t="s">
        <v>9</v>
      </c>
      <c r="I785" s="7">
        <v>45703</v>
      </c>
      <c r="J785" s="8">
        <v>0.48296296296296298</v>
      </c>
      <c r="K785" t="s">
        <v>984</v>
      </c>
      <c r="AQ785" t="s">
        <v>985</v>
      </c>
      <c r="AR785" t="s">
        <v>1465</v>
      </c>
      <c r="AT785" t="s">
        <v>987</v>
      </c>
      <c r="AZ785" t="s">
        <v>1020</v>
      </c>
      <c r="BA785" t="s">
        <v>1230</v>
      </c>
      <c r="BB785" t="s">
        <v>1018</v>
      </c>
      <c r="BD785" t="s">
        <v>1005</v>
      </c>
      <c r="BE785" t="s">
        <v>216</v>
      </c>
    </row>
    <row r="786" spans="1:57" ht="13" x14ac:dyDescent="0.15">
      <c r="A786">
        <v>1839</v>
      </c>
      <c r="B786">
        <v>31717045</v>
      </c>
      <c r="C786" t="s">
        <v>217</v>
      </c>
      <c r="D786" s="7">
        <v>38667</v>
      </c>
      <c r="E786" s="7">
        <v>45702</v>
      </c>
      <c r="F786">
        <v>330862</v>
      </c>
      <c r="G786" t="s">
        <v>983</v>
      </c>
      <c r="H786" t="s">
        <v>9</v>
      </c>
      <c r="I786" s="7">
        <v>45676</v>
      </c>
      <c r="J786" s="8">
        <v>0.49401620370370369</v>
      </c>
      <c r="K786" t="s">
        <v>984</v>
      </c>
      <c r="AQ786" t="s">
        <v>992</v>
      </c>
      <c r="AR786" t="s">
        <v>1107</v>
      </c>
      <c r="AT786" t="s">
        <v>987</v>
      </c>
      <c r="AZ786" t="s">
        <v>1007</v>
      </c>
      <c r="BA786" t="s">
        <v>1008</v>
      </c>
      <c r="BB786" t="s">
        <v>990</v>
      </c>
      <c r="BD786" t="s">
        <v>1005</v>
      </c>
      <c r="BE786" t="s">
        <v>217</v>
      </c>
    </row>
    <row r="787" spans="1:57" ht="13" x14ac:dyDescent="0.15">
      <c r="A787">
        <v>1839</v>
      </c>
      <c r="B787">
        <v>31720199</v>
      </c>
      <c r="C787" t="s">
        <v>218</v>
      </c>
      <c r="D787" s="7">
        <v>41735</v>
      </c>
      <c r="E787" s="7">
        <v>45708</v>
      </c>
      <c r="F787">
        <v>330862</v>
      </c>
      <c r="G787" t="s">
        <v>983</v>
      </c>
      <c r="H787" t="s">
        <v>9</v>
      </c>
      <c r="I787" s="7">
        <v>45679</v>
      </c>
      <c r="J787" s="8">
        <v>0.70304398148148151</v>
      </c>
      <c r="K787" t="s">
        <v>984</v>
      </c>
      <c r="AQ787" t="s">
        <v>1466</v>
      </c>
      <c r="AR787" t="s">
        <v>1467</v>
      </c>
      <c r="AT787" t="s">
        <v>987</v>
      </c>
      <c r="AZ787" t="s">
        <v>1016</v>
      </c>
      <c r="BA787" t="s">
        <v>1017</v>
      </c>
      <c r="BB787" t="s">
        <v>1018</v>
      </c>
      <c r="BD787" t="s">
        <v>991</v>
      </c>
      <c r="BE787" t="s">
        <v>218</v>
      </c>
    </row>
    <row r="788" spans="1:57" ht="13" x14ac:dyDescent="0.15">
      <c r="A788">
        <v>1839</v>
      </c>
      <c r="B788">
        <v>31720199</v>
      </c>
      <c r="C788" t="s">
        <v>218</v>
      </c>
      <c r="D788" s="7">
        <v>41735</v>
      </c>
      <c r="E788" s="7">
        <v>45708</v>
      </c>
      <c r="F788">
        <v>330862</v>
      </c>
      <c r="G788" t="s">
        <v>983</v>
      </c>
      <c r="H788" t="s">
        <v>9</v>
      </c>
      <c r="I788" s="7">
        <v>45614</v>
      </c>
      <c r="J788" s="8">
        <v>0.44516203703703705</v>
      </c>
      <c r="K788" t="s">
        <v>984</v>
      </c>
      <c r="AQ788" t="s">
        <v>1466</v>
      </c>
      <c r="AR788" t="s">
        <v>1468</v>
      </c>
      <c r="AT788" t="s">
        <v>987</v>
      </c>
      <c r="BE788" t="s">
        <v>218</v>
      </c>
    </row>
    <row r="789" spans="1:57" ht="13" x14ac:dyDescent="0.15">
      <c r="A789">
        <v>1839</v>
      </c>
      <c r="B789">
        <v>31720199</v>
      </c>
      <c r="C789" t="s">
        <v>218</v>
      </c>
      <c r="D789" s="7">
        <v>41735</v>
      </c>
      <c r="E789" s="7">
        <v>45708</v>
      </c>
      <c r="F789">
        <v>330862</v>
      </c>
      <c r="G789" t="s">
        <v>983</v>
      </c>
      <c r="H789" t="s">
        <v>9</v>
      </c>
      <c r="I789" s="7">
        <v>45643</v>
      </c>
      <c r="J789" s="8">
        <v>0.65719907407407407</v>
      </c>
      <c r="K789" t="s">
        <v>984</v>
      </c>
      <c r="AQ789" t="s">
        <v>1469</v>
      </c>
      <c r="AR789" t="s">
        <v>1470</v>
      </c>
      <c r="AT789" t="s">
        <v>987</v>
      </c>
      <c r="AZ789" t="s">
        <v>1239</v>
      </c>
      <c r="BA789" t="s">
        <v>1281</v>
      </c>
      <c r="BB789" t="s">
        <v>1026</v>
      </c>
      <c r="BD789" t="s">
        <v>1022</v>
      </c>
      <c r="BE789" t="s">
        <v>218</v>
      </c>
    </row>
    <row r="790" spans="1:57" ht="13" x14ac:dyDescent="0.15">
      <c r="A790">
        <v>1839</v>
      </c>
      <c r="B790">
        <v>31720199</v>
      </c>
      <c r="C790" t="s">
        <v>218</v>
      </c>
      <c r="D790" s="7">
        <v>41735</v>
      </c>
      <c r="E790" s="7">
        <v>45708</v>
      </c>
      <c r="F790">
        <v>330862</v>
      </c>
      <c r="G790" t="s">
        <v>983</v>
      </c>
      <c r="H790" t="s">
        <v>9</v>
      </c>
      <c r="I790" s="7">
        <v>45642</v>
      </c>
      <c r="J790" s="8">
        <v>0.83920138888888884</v>
      </c>
      <c r="K790" t="s">
        <v>984</v>
      </c>
      <c r="AQ790" t="s">
        <v>1466</v>
      </c>
      <c r="AR790" t="s">
        <v>1094</v>
      </c>
      <c r="AT790" t="s">
        <v>987</v>
      </c>
      <c r="AZ790" t="s">
        <v>1024</v>
      </c>
      <c r="BA790" t="s">
        <v>1025</v>
      </c>
      <c r="BB790" t="s">
        <v>1026</v>
      </c>
      <c r="BD790" t="s">
        <v>1022</v>
      </c>
      <c r="BE790" t="s">
        <v>218</v>
      </c>
    </row>
    <row r="791" spans="1:57" ht="13" x14ac:dyDescent="0.15">
      <c r="A791">
        <v>1839</v>
      </c>
      <c r="B791">
        <v>31720199</v>
      </c>
      <c r="C791" t="s">
        <v>218</v>
      </c>
      <c r="D791" s="7">
        <v>41735</v>
      </c>
      <c r="E791" s="7">
        <v>45708</v>
      </c>
      <c r="F791">
        <v>330862</v>
      </c>
      <c r="G791" t="s">
        <v>983</v>
      </c>
      <c r="H791" t="s">
        <v>9</v>
      </c>
      <c r="I791" s="7">
        <v>45642</v>
      </c>
      <c r="J791" s="8">
        <v>0.8332060185185185</v>
      </c>
      <c r="K791" t="s">
        <v>984</v>
      </c>
      <c r="AQ791" t="s">
        <v>1466</v>
      </c>
      <c r="AR791" t="s">
        <v>1471</v>
      </c>
      <c r="AT791" t="s">
        <v>987</v>
      </c>
      <c r="AZ791" t="s">
        <v>1002</v>
      </c>
      <c r="BA791" t="s">
        <v>1124</v>
      </c>
      <c r="BB791" t="s">
        <v>1125</v>
      </c>
      <c r="BD791" t="s">
        <v>1005</v>
      </c>
      <c r="BE791" t="s">
        <v>218</v>
      </c>
    </row>
    <row r="792" spans="1:57" ht="13" x14ac:dyDescent="0.15">
      <c r="A792">
        <v>1839</v>
      </c>
      <c r="B792">
        <v>31720199</v>
      </c>
      <c r="C792" t="s">
        <v>218</v>
      </c>
      <c r="D792" s="7">
        <v>41735</v>
      </c>
      <c r="E792" s="7">
        <v>45708</v>
      </c>
      <c r="F792">
        <v>330862</v>
      </c>
      <c r="G792" t="s">
        <v>983</v>
      </c>
      <c r="H792" t="s">
        <v>9</v>
      </c>
      <c r="I792" s="7">
        <v>45642</v>
      </c>
      <c r="J792" s="8">
        <v>0.83163194444444444</v>
      </c>
      <c r="K792" t="s">
        <v>984</v>
      </c>
      <c r="AQ792" t="s">
        <v>1466</v>
      </c>
      <c r="AR792" t="s">
        <v>1472</v>
      </c>
      <c r="AT792" t="s">
        <v>987</v>
      </c>
      <c r="AZ792" t="s">
        <v>1174</v>
      </c>
      <c r="BA792" t="s">
        <v>1242</v>
      </c>
      <c r="BB792" t="s">
        <v>1026</v>
      </c>
      <c r="BD792" t="s">
        <v>1005</v>
      </c>
      <c r="BE792" t="s">
        <v>218</v>
      </c>
    </row>
    <row r="793" spans="1:57" ht="13" x14ac:dyDescent="0.15">
      <c r="A793">
        <v>1839</v>
      </c>
      <c r="B793">
        <v>31720199</v>
      </c>
      <c r="C793" t="s">
        <v>218</v>
      </c>
      <c r="D793" s="7">
        <v>41735</v>
      </c>
      <c r="E793" s="7">
        <v>45708</v>
      </c>
      <c r="F793">
        <v>330862</v>
      </c>
      <c r="G793" t="s">
        <v>983</v>
      </c>
      <c r="H793" t="s">
        <v>9</v>
      </c>
      <c r="I793" s="7">
        <v>45642</v>
      </c>
      <c r="J793" s="8">
        <v>0.82936342592592593</v>
      </c>
      <c r="K793" t="s">
        <v>984</v>
      </c>
      <c r="AQ793" t="s">
        <v>1466</v>
      </c>
      <c r="AR793" t="s">
        <v>1473</v>
      </c>
      <c r="AT793" t="s">
        <v>987</v>
      </c>
      <c r="AZ793" t="s">
        <v>1028</v>
      </c>
      <c r="BA793" t="s">
        <v>1236</v>
      </c>
      <c r="BB793" t="s">
        <v>1237</v>
      </c>
      <c r="BD793" t="s">
        <v>1005</v>
      </c>
      <c r="BE793" t="s">
        <v>218</v>
      </c>
    </row>
    <row r="794" spans="1:57" ht="13" x14ac:dyDescent="0.15">
      <c r="A794">
        <v>1839</v>
      </c>
      <c r="B794">
        <v>31720199</v>
      </c>
      <c r="C794" t="s">
        <v>218</v>
      </c>
      <c r="D794" s="7">
        <v>41735</v>
      </c>
      <c r="E794" s="7">
        <v>45708</v>
      </c>
      <c r="F794">
        <v>330862</v>
      </c>
      <c r="G794" t="s">
        <v>983</v>
      </c>
      <c r="H794" t="s">
        <v>9</v>
      </c>
      <c r="I794" s="7">
        <v>45642</v>
      </c>
      <c r="J794" s="8">
        <v>0.82859953703703704</v>
      </c>
      <c r="K794" t="s">
        <v>984</v>
      </c>
      <c r="AQ794" t="s">
        <v>1466</v>
      </c>
      <c r="AR794" t="s">
        <v>1474</v>
      </c>
      <c r="AT794" t="s">
        <v>987</v>
      </c>
      <c r="AZ794" t="s">
        <v>1475</v>
      </c>
      <c r="BA794" t="s">
        <v>1188</v>
      </c>
      <c r="BB794" t="s">
        <v>1476</v>
      </c>
      <c r="BD794" t="s">
        <v>1022</v>
      </c>
      <c r="BE794" t="s">
        <v>218</v>
      </c>
    </row>
    <row r="795" spans="1:57" ht="13" x14ac:dyDescent="0.15">
      <c r="A795">
        <v>1839</v>
      </c>
      <c r="B795">
        <v>31720199</v>
      </c>
      <c r="C795" t="s">
        <v>218</v>
      </c>
      <c r="D795" s="7">
        <v>41735</v>
      </c>
      <c r="E795" s="7">
        <v>45708</v>
      </c>
      <c r="F795">
        <v>330862</v>
      </c>
      <c r="G795" t="s">
        <v>983</v>
      </c>
      <c r="H795" t="s">
        <v>9</v>
      </c>
      <c r="I795" s="7">
        <v>45642</v>
      </c>
      <c r="J795" s="8">
        <v>0.82718749999999996</v>
      </c>
      <c r="K795" t="s">
        <v>984</v>
      </c>
      <c r="AQ795" t="s">
        <v>1466</v>
      </c>
      <c r="AR795" t="s">
        <v>1190</v>
      </c>
      <c r="AT795" t="s">
        <v>987</v>
      </c>
      <c r="AZ795" t="s">
        <v>1139</v>
      </c>
      <c r="BA795" t="s">
        <v>1140</v>
      </c>
      <c r="BB795" t="s">
        <v>1032</v>
      </c>
      <c r="BD795" t="s">
        <v>1005</v>
      </c>
      <c r="BE795" t="s">
        <v>218</v>
      </c>
    </row>
    <row r="796" spans="1:57" ht="13" x14ac:dyDescent="0.15">
      <c r="A796">
        <v>1839</v>
      </c>
      <c r="B796">
        <v>31720199</v>
      </c>
      <c r="C796" t="s">
        <v>218</v>
      </c>
      <c r="D796" s="7">
        <v>41735</v>
      </c>
      <c r="E796" s="7">
        <v>45708</v>
      </c>
      <c r="F796">
        <v>330862</v>
      </c>
      <c r="G796" t="s">
        <v>983</v>
      </c>
      <c r="H796" t="s">
        <v>9</v>
      </c>
      <c r="I796" s="7">
        <v>45642</v>
      </c>
      <c r="J796" s="8">
        <v>0.82592592592592595</v>
      </c>
      <c r="K796" t="s">
        <v>984</v>
      </c>
      <c r="AQ796" t="s">
        <v>1466</v>
      </c>
      <c r="AR796" t="s">
        <v>1106</v>
      </c>
      <c r="AT796" t="s">
        <v>987</v>
      </c>
      <c r="AZ796" t="s">
        <v>1020</v>
      </c>
      <c r="BA796" t="s">
        <v>1021</v>
      </c>
      <c r="BB796" t="s">
        <v>1018</v>
      </c>
      <c r="BD796" t="s">
        <v>1022</v>
      </c>
      <c r="BE796" t="s">
        <v>218</v>
      </c>
    </row>
    <row r="797" spans="1:57" ht="13" x14ac:dyDescent="0.15">
      <c r="A797">
        <v>1839</v>
      </c>
      <c r="B797">
        <v>31720199</v>
      </c>
      <c r="C797" t="s">
        <v>218</v>
      </c>
      <c r="D797" s="7">
        <v>41735</v>
      </c>
      <c r="E797" s="7">
        <v>45708</v>
      </c>
      <c r="F797">
        <v>330862</v>
      </c>
      <c r="G797" t="s">
        <v>983</v>
      </c>
      <c r="H797" t="s">
        <v>9</v>
      </c>
      <c r="I797" s="7">
        <v>45637</v>
      </c>
      <c r="J797" s="8">
        <v>0.56549768518518517</v>
      </c>
      <c r="K797" t="s">
        <v>984</v>
      </c>
      <c r="AQ797" t="s">
        <v>1466</v>
      </c>
      <c r="AR797" t="s">
        <v>1249</v>
      </c>
      <c r="AT797" t="s">
        <v>987</v>
      </c>
      <c r="AZ797" t="s">
        <v>1024</v>
      </c>
      <c r="BA797" t="s">
        <v>1025</v>
      </c>
      <c r="BB797" t="s">
        <v>1026</v>
      </c>
      <c r="BD797" t="s">
        <v>1022</v>
      </c>
      <c r="BE797" t="s">
        <v>218</v>
      </c>
    </row>
    <row r="798" spans="1:57" ht="13" x14ac:dyDescent="0.15">
      <c r="A798">
        <v>1839</v>
      </c>
      <c r="B798">
        <v>31720199</v>
      </c>
      <c r="C798" t="s">
        <v>218</v>
      </c>
      <c r="D798" s="7">
        <v>41735</v>
      </c>
      <c r="E798" s="7">
        <v>45708</v>
      </c>
      <c r="F798">
        <v>330862</v>
      </c>
      <c r="G798" t="s">
        <v>983</v>
      </c>
      <c r="H798" t="s">
        <v>9</v>
      </c>
      <c r="I798" s="7">
        <v>45672</v>
      </c>
      <c r="J798" s="8">
        <v>0.67309027777777775</v>
      </c>
      <c r="K798" t="s">
        <v>984</v>
      </c>
      <c r="AQ798" t="s">
        <v>1466</v>
      </c>
      <c r="AR798" t="s">
        <v>1477</v>
      </c>
      <c r="AT798" t="s">
        <v>987</v>
      </c>
      <c r="AZ798" t="s">
        <v>1016</v>
      </c>
      <c r="BA798" t="s">
        <v>1017</v>
      </c>
      <c r="BB798" t="s">
        <v>1018</v>
      </c>
      <c r="BD798" t="s">
        <v>991</v>
      </c>
      <c r="BE798" t="s">
        <v>218</v>
      </c>
    </row>
    <row r="799" spans="1:57" ht="13" x14ac:dyDescent="0.15">
      <c r="A799">
        <v>1839</v>
      </c>
      <c r="B799">
        <v>31720199</v>
      </c>
      <c r="C799" t="s">
        <v>218</v>
      </c>
      <c r="D799" s="7">
        <v>41735</v>
      </c>
      <c r="E799" s="7">
        <v>45708</v>
      </c>
      <c r="F799">
        <v>330862</v>
      </c>
      <c r="G799" t="s">
        <v>983</v>
      </c>
      <c r="H799" t="s">
        <v>9</v>
      </c>
      <c r="I799" s="7">
        <v>45672</v>
      </c>
      <c r="J799" s="8">
        <v>0.66143518518518518</v>
      </c>
      <c r="K799" t="s">
        <v>984</v>
      </c>
      <c r="AQ799" t="s">
        <v>1466</v>
      </c>
      <c r="AR799" t="s">
        <v>1478</v>
      </c>
      <c r="AT799" t="s">
        <v>987</v>
      </c>
      <c r="AZ799" t="s">
        <v>1024</v>
      </c>
      <c r="BA799" t="s">
        <v>1025</v>
      </c>
      <c r="BB799" t="s">
        <v>1026</v>
      </c>
      <c r="BD799" t="s">
        <v>1022</v>
      </c>
      <c r="BE799" t="s">
        <v>218</v>
      </c>
    </row>
    <row r="800" spans="1:57" ht="13" x14ac:dyDescent="0.15">
      <c r="A800">
        <v>1839</v>
      </c>
      <c r="B800">
        <v>31720199</v>
      </c>
      <c r="C800" t="s">
        <v>218</v>
      </c>
      <c r="D800" s="7">
        <v>41735</v>
      </c>
      <c r="E800" s="7">
        <v>45708</v>
      </c>
      <c r="F800">
        <v>330862</v>
      </c>
      <c r="G800" t="s">
        <v>983</v>
      </c>
      <c r="H800" t="s">
        <v>9</v>
      </c>
      <c r="I800" s="7">
        <v>45670</v>
      </c>
      <c r="J800" s="8">
        <v>0.58885416666666668</v>
      </c>
      <c r="K800" t="s">
        <v>984</v>
      </c>
      <c r="AQ800" t="s">
        <v>1466</v>
      </c>
      <c r="AR800" t="s">
        <v>1300</v>
      </c>
      <c r="AT800" t="s">
        <v>987</v>
      </c>
      <c r="AZ800" t="s">
        <v>1011</v>
      </c>
      <c r="BA800" t="s">
        <v>1202</v>
      </c>
      <c r="BB800" t="s">
        <v>1203</v>
      </c>
      <c r="BD800" t="s">
        <v>991</v>
      </c>
      <c r="BE800" t="s">
        <v>218</v>
      </c>
    </row>
    <row r="801" spans="1:57" ht="13" x14ac:dyDescent="0.15">
      <c r="A801">
        <v>1839</v>
      </c>
      <c r="B801">
        <v>31720199</v>
      </c>
      <c r="C801" t="s">
        <v>218</v>
      </c>
      <c r="D801" s="7">
        <v>41735</v>
      </c>
      <c r="E801" s="7">
        <v>45708</v>
      </c>
      <c r="F801">
        <v>330862</v>
      </c>
      <c r="G801" t="s">
        <v>983</v>
      </c>
      <c r="H801" t="s">
        <v>9</v>
      </c>
      <c r="I801" s="7">
        <v>45648</v>
      </c>
      <c r="J801" s="8">
        <v>0.68293981481481481</v>
      </c>
      <c r="K801" t="s">
        <v>984</v>
      </c>
      <c r="AQ801" t="s">
        <v>1466</v>
      </c>
      <c r="AR801" t="s">
        <v>1472</v>
      </c>
      <c r="AT801" t="s">
        <v>987</v>
      </c>
      <c r="AZ801" t="s">
        <v>1174</v>
      </c>
      <c r="BA801" t="s">
        <v>1242</v>
      </c>
      <c r="BB801" t="s">
        <v>1026</v>
      </c>
      <c r="BD801" t="s">
        <v>1005</v>
      </c>
      <c r="BE801" t="s">
        <v>218</v>
      </c>
    </row>
    <row r="802" spans="1:57" ht="13" x14ac:dyDescent="0.15">
      <c r="A802">
        <v>1839</v>
      </c>
      <c r="B802">
        <v>31720199</v>
      </c>
      <c r="C802" t="s">
        <v>218</v>
      </c>
      <c r="D802" s="7">
        <v>41735</v>
      </c>
      <c r="E802" s="7">
        <v>45708</v>
      </c>
      <c r="F802">
        <v>330862</v>
      </c>
      <c r="G802" t="s">
        <v>983</v>
      </c>
      <c r="H802" t="s">
        <v>9</v>
      </c>
      <c r="I802" s="7">
        <v>45675</v>
      </c>
      <c r="J802" s="8">
        <v>0.6950115740740741</v>
      </c>
      <c r="K802" t="s">
        <v>984</v>
      </c>
      <c r="AQ802" t="s">
        <v>1466</v>
      </c>
      <c r="AR802" t="s">
        <v>1204</v>
      </c>
      <c r="AT802" t="s">
        <v>987</v>
      </c>
      <c r="AZ802" t="s">
        <v>1024</v>
      </c>
      <c r="BA802" t="s">
        <v>1047</v>
      </c>
      <c r="BB802" t="s">
        <v>1048</v>
      </c>
      <c r="BD802" t="s">
        <v>1014</v>
      </c>
      <c r="BE802" t="s">
        <v>218</v>
      </c>
    </row>
    <row r="803" spans="1:57" ht="13" x14ac:dyDescent="0.15">
      <c r="A803">
        <v>1839</v>
      </c>
      <c r="B803">
        <v>31720199</v>
      </c>
      <c r="C803" t="s">
        <v>218</v>
      </c>
      <c r="D803" s="7">
        <v>41735</v>
      </c>
      <c r="E803" s="7">
        <v>45708</v>
      </c>
      <c r="F803">
        <v>330862</v>
      </c>
      <c r="G803" t="s">
        <v>983</v>
      </c>
      <c r="H803" t="s">
        <v>9</v>
      </c>
      <c r="I803" s="7">
        <v>45700</v>
      </c>
      <c r="J803" s="8">
        <v>0.70715277777777774</v>
      </c>
      <c r="K803" t="s">
        <v>984</v>
      </c>
      <c r="AQ803" t="s">
        <v>1466</v>
      </c>
      <c r="AR803" t="s">
        <v>993</v>
      </c>
      <c r="AT803" t="s">
        <v>987</v>
      </c>
      <c r="AZ803" t="s">
        <v>988</v>
      </c>
      <c r="BA803" t="s">
        <v>989</v>
      </c>
      <c r="BB803" t="s">
        <v>990</v>
      </c>
      <c r="BD803" t="s">
        <v>991</v>
      </c>
      <c r="BE803" t="s">
        <v>218</v>
      </c>
    </row>
    <row r="804" spans="1:57" ht="13" x14ac:dyDescent="0.15">
      <c r="A804">
        <v>1839</v>
      </c>
      <c r="B804">
        <v>31720199</v>
      </c>
      <c r="C804" t="s">
        <v>218</v>
      </c>
      <c r="D804" s="7">
        <v>41735</v>
      </c>
      <c r="E804" s="7">
        <v>45708</v>
      </c>
      <c r="F804">
        <v>330862</v>
      </c>
      <c r="G804" t="s">
        <v>983</v>
      </c>
      <c r="H804" t="s">
        <v>9</v>
      </c>
      <c r="I804" s="7">
        <v>45700</v>
      </c>
      <c r="J804" s="8">
        <v>0.82281249999999995</v>
      </c>
      <c r="K804" t="s">
        <v>984</v>
      </c>
      <c r="AQ804" t="s">
        <v>1466</v>
      </c>
      <c r="AR804" t="s">
        <v>1479</v>
      </c>
      <c r="AT804" t="s">
        <v>987</v>
      </c>
      <c r="AZ804" t="s">
        <v>1174</v>
      </c>
      <c r="BA804" t="s">
        <v>1175</v>
      </c>
      <c r="BB804" t="s">
        <v>990</v>
      </c>
      <c r="BD804" t="s">
        <v>991</v>
      </c>
      <c r="BE804" t="s">
        <v>218</v>
      </c>
    </row>
    <row r="805" spans="1:57" ht="13" x14ac:dyDescent="0.15">
      <c r="A805">
        <v>1839</v>
      </c>
      <c r="B805">
        <v>31720199</v>
      </c>
      <c r="C805" t="s">
        <v>218</v>
      </c>
      <c r="D805" s="7">
        <v>41735</v>
      </c>
      <c r="E805" s="7">
        <v>45708</v>
      </c>
      <c r="F805">
        <v>330862</v>
      </c>
      <c r="G805" t="s">
        <v>983</v>
      </c>
      <c r="H805" t="s">
        <v>9</v>
      </c>
      <c r="I805" s="7">
        <v>45705</v>
      </c>
      <c r="J805" s="8">
        <v>0.83983796296296298</v>
      </c>
      <c r="K805" t="s">
        <v>984</v>
      </c>
      <c r="AQ805" t="s">
        <v>1466</v>
      </c>
      <c r="AR805" t="s">
        <v>1480</v>
      </c>
      <c r="AT805" t="s">
        <v>987</v>
      </c>
      <c r="AZ805" t="s">
        <v>1028</v>
      </c>
      <c r="BA805" t="s">
        <v>1037</v>
      </c>
      <c r="BB805" t="s">
        <v>1038</v>
      </c>
      <c r="BD805" t="s">
        <v>991</v>
      </c>
      <c r="BE805" t="s">
        <v>218</v>
      </c>
    </row>
    <row r="806" spans="1:57" ht="13" x14ac:dyDescent="0.15">
      <c r="A806">
        <v>1839</v>
      </c>
      <c r="B806">
        <v>31720199</v>
      </c>
      <c r="C806" t="s">
        <v>218</v>
      </c>
      <c r="D806" s="7">
        <v>41735</v>
      </c>
      <c r="E806" s="7">
        <v>45708</v>
      </c>
      <c r="F806">
        <v>330862</v>
      </c>
      <c r="G806" t="s">
        <v>983</v>
      </c>
      <c r="H806" t="s">
        <v>9</v>
      </c>
      <c r="I806" s="7">
        <v>45705</v>
      </c>
      <c r="J806" s="8">
        <v>0.84120370370370368</v>
      </c>
      <c r="K806" t="s">
        <v>984</v>
      </c>
      <c r="AQ806" t="s">
        <v>1466</v>
      </c>
      <c r="AR806" t="s">
        <v>1176</v>
      </c>
      <c r="AT806" t="s">
        <v>987</v>
      </c>
      <c r="AZ806" t="s">
        <v>1011</v>
      </c>
      <c r="BA806" t="s">
        <v>1012</v>
      </c>
      <c r="BB806" t="s">
        <v>1013</v>
      </c>
      <c r="BD806" t="s">
        <v>1014</v>
      </c>
      <c r="BE806" t="s">
        <v>218</v>
      </c>
    </row>
    <row r="807" spans="1:57" ht="13" x14ac:dyDescent="0.15">
      <c r="A807">
        <v>1839</v>
      </c>
      <c r="B807">
        <v>31720199</v>
      </c>
      <c r="C807" t="s">
        <v>218</v>
      </c>
      <c r="D807" s="7">
        <v>41735</v>
      </c>
      <c r="E807" s="7">
        <v>45708</v>
      </c>
      <c r="F807">
        <v>330862</v>
      </c>
      <c r="G807" t="s">
        <v>983</v>
      </c>
      <c r="H807" t="s">
        <v>9</v>
      </c>
      <c r="I807" s="7">
        <v>45705</v>
      </c>
      <c r="J807" s="8">
        <v>0.8420023148148148</v>
      </c>
      <c r="K807" t="s">
        <v>984</v>
      </c>
      <c r="AQ807" t="s">
        <v>1466</v>
      </c>
      <c r="AR807" t="s">
        <v>1481</v>
      </c>
      <c r="AT807" t="s">
        <v>987</v>
      </c>
      <c r="AZ807" t="s">
        <v>1182</v>
      </c>
      <c r="BA807" t="s">
        <v>1183</v>
      </c>
      <c r="BB807" t="s">
        <v>990</v>
      </c>
      <c r="BD807" t="s">
        <v>991</v>
      </c>
      <c r="BE807" t="s">
        <v>218</v>
      </c>
    </row>
    <row r="808" spans="1:57" ht="13" x14ac:dyDescent="0.15">
      <c r="A808">
        <v>1839</v>
      </c>
      <c r="B808">
        <v>31720199</v>
      </c>
      <c r="C808" t="s">
        <v>218</v>
      </c>
      <c r="D808" s="7">
        <v>41735</v>
      </c>
      <c r="E808" s="7">
        <v>45708</v>
      </c>
      <c r="F808">
        <v>330862</v>
      </c>
      <c r="G808" t="s">
        <v>983</v>
      </c>
      <c r="H808" t="s">
        <v>9</v>
      </c>
      <c r="I808" s="7">
        <v>45705</v>
      </c>
      <c r="J808" s="8">
        <v>0.8426851851851852</v>
      </c>
      <c r="K808" t="s">
        <v>984</v>
      </c>
      <c r="AQ808" t="s">
        <v>1466</v>
      </c>
      <c r="AR808" t="s">
        <v>1482</v>
      </c>
      <c r="AT808" t="s">
        <v>987</v>
      </c>
      <c r="AZ808" t="s">
        <v>1220</v>
      </c>
      <c r="BA808" t="s">
        <v>1221</v>
      </c>
      <c r="BB808" t="s">
        <v>1082</v>
      </c>
      <c r="BD808" t="s">
        <v>991</v>
      </c>
      <c r="BE808" t="s">
        <v>218</v>
      </c>
    </row>
    <row r="809" spans="1:57" ht="13" x14ac:dyDescent="0.15">
      <c r="A809">
        <v>1839</v>
      </c>
      <c r="B809">
        <v>31720199</v>
      </c>
      <c r="C809" t="s">
        <v>218</v>
      </c>
      <c r="D809" s="7">
        <v>41735</v>
      </c>
      <c r="E809" s="7">
        <v>45708</v>
      </c>
      <c r="F809">
        <v>330862</v>
      </c>
      <c r="G809" t="s">
        <v>983</v>
      </c>
      <c r="H809" t="s">
        <v>9</v>
      </c>
      <c r="I809" s="7">
        <v>45705</v>
      </c>
      <c r="J809" s="8">
        <v>0.84334490740740742</v>
      </c>
      <c r="K809" t="s">
        <v>984</v>
      </c>
      <c r="AQ809" t="s">
        <v>1466</v>
      </c>
      <c r="AR809" t="s">
        <v>1079</v>
      </c>
      <c r="AT809" t="s">
        <v>987</v>
      </c>
      <c r="AZ809" t="s">
        <v>1080</v>
      </c>
      <c r="BA809" t="s">
        <v>1081</v>
      </c>
      <c r="BB809" t="s">
        <v>1082</v>
      </c>
      <c r="BD809" t="s">
        <v>991</v>
      </c>
      <c r="BE809" t="s">
        <v>218</v>
      </c>
    </row>
    <row r="810" spans="1:57" ht="13" x14ac:dyDescent="0.15">
      <c r="A810">
        <v>1839</v>
      </c>
      <c r="B810">
        <v>31720199</v>
      </c>
      <c r="C810" t="s">
        <v>218</v>
      </c>
      <c r="D810" s="7">
        <v>41735</v>
      </c>
      <c r="E810" s="7">
        <v>45708</v>
      </c>
      <c r="F810">
        <v>330862</v>
      </c>
      <c r="G810" t="s">
        <v>983</v>
      </c>
      <c r="H810" t="s">
        <v>9</v>
      </c>
      <c r="I810" s="7">
        <v>45705</v>
      </c>
      <c r="J810" s="8">
        <v>0.84510416666666666</v>
      </c>
      <c r="K810" t="s">
        <v>984</v>
      </c>
      <c r="AQ810" t="s">
        <v>1466</v>
      </c>
      <c r="AR810" t="s">
        <v>1483</v>
      </c>
      <c r="AT810" t="s">
        <v>987</v>
      </c>
      <c r="AZ810" t="s">
        <v>1002</v>
      </c>
      <c r="BA810" t="s">
        <v>1040</v>
      </c>
      <c r="BB810" t="s">
        <v>1041</v>
      </c>
      <c r="BD810" t="s">
        <v>991</v>
      </c>
      <c r="BE810" t="s">
        <v>218</v>
      </c>
    </row>
    <row r="811" spans="1:57" ht="13" x14ac:dyDescent="0.15">
      <c r="A811">
        <v>1839</v>
      </c>
      <c r="B811">
        <v>31720199</v>
      </c>
      <c r="C811" t="s">
        <v>218</v>
      </c>
      <c r="D811" s="7">
        <v>41735</v>
      </c>
      <c r="E811" s="7">
        <v>45708</v>
      </c>
      <c r="F811">
        <v>330862</v>
      </c>
      <c r="G811" t="s">
        <v>983</v>
      </c>
      <c r="H811" t="s">
        <v>9</v>
      </c>
      <c r="I811" s="7">
        <v>45705</v>
      </c>
      <c r="J811" s="8">
        <v>0.84953703703703709</v>
      </c>
      <c r="K811" t="s">
        <v>984</v>
      </c>
      <c r="AQ811" t="s">
        <v>1466</v>
      </c>
      <c r="AR811" t="s">
        <v>1173</v>
      </c>
      <c r="AT811" t="s">
        <v>987</v>
      </c>
      <c r="AZ811" t="s">
        <v>1174</v>
      </c>
      <c r="BA811" t="s">
        <v>1175</v>
      </c>
      <c r="BB811" t="s">
        <v>990</v>
      </c>
      <c r="BD811" t="s">
        <v>991</v>
      </c>
      <c r="BE811" t="s">
        <v>218</v>
      </c>
    </row>
    <row r="812" spans="1:57" ht="13" x14ac:dyDescent="0.15">
      <c r="A812">
        <v>1839</v>
      </c>
      <c r="B812">
        <v>31720199</v>
      </c>
      <c r="C812" t="s">
        <v>218</v>
      </c>
      <c r="D812" s="7">
        <v>41735</v>
      </c>
      <c r="E812" s="7">
        <v>45708</v>
      </c>
      <c r="F812">
        <v>330862</v>
      </c>
      <c r="G812" t="s">
        <v>983</v>
      </c>
      <c r="H812" t="s">
        <v>9</v>
      </c>
      <c r="I812" s="7">
        <v>45706</v>
      </c>
      <c r="J812" s="8">
        <v>0.70451388888888888</v>
      </c>
      <c r="K812" t="s">
        <v>984</v>
      </c>
      <c r="AQ812" t="s">
        <v>1466</v>
      </c>
      <c r="AR812" t="s">
        <v>1484</v>
      </c>
      <c r="AT812" t="s">
        <v>987</v>
      </c>
      <c r="AZ812" t="s">
        <v>1071</v>
      </c>
      <c r="BA812" t="s">
        <v>1135</v>
      </c>
      <c r="BB812" t="s">
        <v>1136</v>
      </c>
      <c r="BD812" t="s">
        <v>991</v>
      </c>
      <c r="BE812" t="s">
        <v>218</v>
      </c>
    </row>
    <row r="813" spans="1:57" ht="13" x14ac:dyDescent="0.15">
      <c r="A813">
        <v>1839</v>
      </c>
      <c r="B813">
        <v>31720199</v>
      </c>
      <c r="C813" t="s">
        <v>218</v>
      </c>
      <c r="D813" s="7">
        <v>41735</v>
      </c>
      <c r="E813" s="7">
        <v>45708</v>
      </c>
      <c r="F813">
        <v>330862</v>
      </c>
      <c r="G813" t="s">
        <v>983</v>
      </c>
      <c r="H813" t="s">
        <v>9</v>
      </c>
      <c r="I813" s="7">
        <v>45706</v>
      </c>
      <c r="J813" s="8">
        <v>0.70844907407407409</v>
      </c>
      <c r="K813" t="s">
        <v>984</v>
      </c>
      <c r="AQ813" t="s">
        <v>1466</v>
      </c>
      <c r="AR813" t="s">
        <v>1485</v>
      </c>
      <c r="AT813" t="s">
        <v>987</v>
      </c>
      <c r="AZ813" t="s">
        <v>1002</v>
      </c>
      <c r="BA813" t="s">
        <v>1065</v>
      </c>
      <c r="BB813" t="s">
        <v>1004</v>
      </c>
      <c r="BD813" t="s">
        <v>991</v>
      </c>
      <c r="BE813" t="s">
        <v>218</v>
      </c>
    </row>
    <row r="814" spans="1:57" ht="13" x14ac:dyDescent="0.15">
      <c r="A814">
        <v>1839</v>
      </c>
      <c r="B814">
        <v>31720199</v>
      </c>
      <c r="C814" t="s">
        <v>218</v>
      </c>
      <c r="D814" s="7">
        <v>41735</v>
      </c>
      <c r="E814" s="7">
        <v>45708</v>
      </c>
      <c r="F814">
        <v>330862</v>
      </c>
      <c r="G814" t="s">
        <v>983</v>
      </c>
      <c r="H814" t="s">
        <v>9</v>
      </c>
      <c r="I814" s="7">
        <v>45706</v>
      </c>
      <c r="J814" s="8">
        <v>0.71069444444444441</v>
      </c>
      <c r="K814" t="s">
        <v>984</v>
      </c>
      <c r="AQ814" t="s">
        <v>1466</v>
      </c>
      <c r="AR814" t="s">
        <v>1486</v>
      </c>
      <c r="AT814" t="s">
        <v>987</v>
      </c>
      <c r="AZ814" t="s">
        <v>988</v>
      </c>
      <c r="BA814" t="s">
        <v>1035</v>
      </c>
      <c r="BB814" t="s">
        <v>1026</v>
      </c>
      <c r="BD814" t="s">
        <v>991</v>
      </c>
      <c r="BE814" t="s">
        <v>218</v>
      </c>
    </row>
    <row r="815" spans="1:57" ht="13" x14ac:dyDescent="0.15">
      <c r="A815">
        <v>1839</v>
      </c>
      <c r="B815">
        <v>31720199</v>
      </c>
      <c r="C815" t="s">
        <v>218</v>
      </c>
      <c r="D815" s="7">
        <v>41735</v>
      </c>
      <c r="E815" s="7">
        <v>45708</v>
      </c>
      <c r="F815">
        <v>330862</v>
      </c>
      <c r="G815" t="s">
        <v>983</v>
      </c>
      <c r="H815" t="s">
        <v>9</v>
      </c>
      <c r="I815" s="7">
        <v>45706</v>
      </c>
      <c r="J815" s="8">
        <v>0.71247685185185183</v>
      </c>
      <c r="K815" t="s">
        <v>984</v>
      </c>
      <c r="AQ815" t="s">
        <v>1466</v>
      </c>
      <c r="AR815" t="s">
        <v>1487</v>
      </c>
      <c r="AT815" t="s">
        <v>987</v>
      </c>
      <c r="AZ815" t="s">
        <v>988</v>
      </c>
      <c r="BA815" t="s">
        <v>989</v>
      </c>
      <c r="BB815" t="s">
        <v>990</v>
      </c>
      <c r="BD815" t="s">
        <v>991</v>
      </c>
      <c r="BE815" t="s">
        <v>218</v>
      </c>
    </row>
    <row r="816" spans="1:57" ht="13" x14ac:dyDescent="0.15">
      <c r="A816">
        <v>1839</v>
      </c>
      <c r="B816">
        <v>31720199</v>
      </c>
      <c r="C816" t="s">
        <v>218</v>
      </c>
      <c r="D816" s="7">
        <v>41735</v>
      </c>
      <c r="E816" s="7">
        <v>45708</v>
      </c>
      <c r="F816">
        <v>330862</v>
      </c>
      <c r="G816" t="s">
        <v>983</v>
      </c>
      <c r="H816" t="s">
        <v>9</v>
      </c>
      <c r="I816" s="7">
        <v>45677</v>
      </c>
      <c r="J816" s="8">
        <v>0.67431712962962964</v>
      </c>
      <c r="K816" t="s">
        <v>984</v>
      </c>
      <c r="AQ816" t="s">
        <v>1466</v>
      </c>
      <c r="AR816" t="s">
        <v>1083</v>
      </c>
      <c r="AT816" t="s">
        <v>987</v>
      </c>
      <c r="AZ816" t="s">
        <v>1011</v>
      </c>
      <c r="BA816" t="s">
        <v>1012</v>
      </c>
      <c r="BB816" t="s">
        <v>1013</v>
      </c>
      <c r="BD816" t="s">
        <v>1014</v>
      </c>
      <c r="BE816" t="s">
        <v>218</v>
      </c>
    </row>
    <row r="817" spans="1:57" ht="13" x14ac:dyDescent="0.15">
      <c r="A817">
        <v>1839</v>
      </c>
      <c r="B817">
        <v>31720199</v>
      </c>
      <c r="C817" t="s">
        <v>218</v>
      </c>
      <c r="D817" s="7">
        <v>41735</v>
      </c>
      <c r="E817" s="7">
        <v>45708</v>
      </c>
      <c r="F817">
        <v>330862</v>
      </c>
      <c r="G817" t="s">
        <v>983</v>
      </c>
      <c r="H817" t="s">
        <v>9</v>
      </c>
      <c r="I817" s="7">
        <v>45677</v>
      </c>
      <c r="J817" s="8">
        <v>0.67598379629629635</v>
      </c>
      <c r="K817" t="s">
        <v>984</v>
      </c>
      <c r="AQ817" t="s">
        <v>1466</v>
      </c>
      <c r="AR817" t="s">
        <v>1488</v>
      </c>
      <c r="AT817" t="s">
        <v>987</v>
      </c>
      <c r="AZ817" t="s">
        <v>1002</v>
      </c>
      <c r="BA817" t="s">
        <v>1124</v>
      </c>
      <c r="BB817" t="s">
        <v>1125</v>
      </c>
      <c r="BD817" t="s">
        <v>1005</v>
      </c>
      <c r="BE817" t="s">
        <v>218</v>
      </c>
    </row>
    <row r="818" spans="1:57" ht="13" x14ac:dyDescent="0.15">
      <c r="A818">
        <v>1839</v>
      </c>
      <c r="B818">
        <v>31720199</v>
      </c>
      <c r="C818" t="s">
        <v>218</v>
      </c>
      <c r="D818" s="7">
        <v>41735</v>
      </c>
      <c r="E818" s="7">
        <v>45708</v>
      </c>
      <c r="F818">
        <v>330862</v>
      </c>
      <c r="G818" t="s">
        <v>983</v>
      </c>
      <c r="H818" t="s">
        <v>9</v>
      </c>
      <c r="I818" s="7">
        <v>45619</v>
      </c>
      <c r="J818" s="8">
        <v>0.33634259259259258</v>
      </c>
      <c r="K818" t="s">
        <v>984</v>
      </c>
      <c r="AQ818" t="s">
        <v>1466</v>
      </c>
      <c r="AR818" t="s">
        <v>1184</v>
      </c>
      <c r="AT818" t="s">
        <v>987</v>
      </c>
      <c r="AZ818" t="s">
        <v>1182</v>
      </c>
      <c r="BA818" t="s">
        <v>1185</v>
      </c>
      <c r="BB818" t="s">
        <v>1026</v>
      </c>
      <c r="BD818" t="s">
        <v>1022</v>
      </c>
      <c r="BE818" t="s">
        <v>218</v>
      </c>
    </row>
    <row r="819" spans="1:57" ht="13" x14ac:dyDescent="0.15">
      <c r="A819">
        <v>1839</v>
      </c>
      <c r="B819">
        <v>31720199</v>
      </c>
      <c r="C819" t="s">
        <v>218</v>
      </c>
      <c r="D819" s="7">
        <v>41735</v>
      </c>
      <c r="E819" s="7">
        <v>45708</v>
      </c>
      <c r="F819">
        <v>330862</v>
      </c>
      <c r="G819" t="s">
        <v>983</v>
      </c>
      <c r="H819" t="s">
        <v>9</v>
      </c>
      <c r="I819" s="7">
        <v>45675</v>
      </c>
      <c r="J819" s="8">
        <v>0.68096064814814816</v>
      </c>
      <c r="K819" t="s">
        <v>984</v>
      </c>
      <c r="AQ819" t="s">
        <v>1466</v>
      </c>
      <c r="AR819" t="s">
        <v>1489</v>
      </c>
      <c r="AT819" t="s">
        <v>987</v>
      </c>
      <c r="AZ819" t="s">
        <v>1490</v>
      </c>
      <c r="BA819" t="s">
        <v>1491</v>
      </c>
      <c r="BB819" t="s">
        <v>1136</v>
      </c>
      <c r="BD819" t="s">
        <v>1005</v>
      </c>
      <c r="BE819" t="s">
        <v>218</v>
      </c>
    </row>
    <row r="820" spans="1:57" ht="13" x14ac:dyDescent="0.15">
      <c r="A820">
        <v>1839</v>
      </c>
      <c r="B820">
        <v>31720199</v>
      </c>
      <c r="C820" t="s">
        <v>218</v>
      </c>
      <c r="D820" s="7">
        <v>41735</v>
      </c>
      <c r="E820" s="7">
        <v>45708</v>
      </c>
      <c r="F820">
        <v>330862</v>
      </c>
      <c r="G820" t="s">
        <v>983</v>
      </c>
      <c r="H820" t="s">
        <v>9</v>
      </c>
      <c r="I820" s="7">
        <v>45675</v>
      </c>
      <c r="J820" s="8">
        <v>0.68240740740740746</v>
      </c>
      <c r="K820" t="s">
        <v>984</v>
      </c>
      <c r="AQ820" t="s">
        <v>1466</v>
      </c>
      <c r="AR820" t="s">
        <v>1492</v>
      </c>
      <c r="AT820" t="s">
        <v>987</v>
      </c>
      <c r="AZ820" t="s">
        <v>1493</v>
      </c>
      <c r="BA820" t="s">
        <v>1494</v>
      </c>
      <c r="BB820" t="s">
        <v>1495</v>
      </c>
      <c r="BD820" t="s">
        <v>1005</v>
      </c>
      <c r="BE820" t="s">
        <v>218</v>
      </c>
    </row>
    <row r="821" spans="1:57" ht="13" x14ac:dyDescent="0.15">
      <c r="A821">
        <v>1839</v>
      </c>
      <c r="B821">
        <v>31720199</v>
      </c>
      <c r="C821" t="s">
        <v>218</v>
      </c>
      <c r="D821" s="7">
        <v>41735</v>
      </c>
      <c r="E821" s="7">
        <v>45708</v>
      </c>
      <c r="F821">
        <v>330862</v>
      </c>
      <c r="G821" t="s">
        <v>983</v>
      </c>
      <c r="H821" t="s">
        <v>9</v>
      </c>
      <c r="I821" s="7">
        <v>45675</v>
      </c>
      <c r="J821" s="8">
        <v>0.68634259259259256</v>
      </c>
      <c r="K821" t="s">
        <v>984</v>
      </c>
      <c r="AQ821" t="s">
        <v>1466</v>
      </c>
      <c r="AR821" t="s">
        <v>1229</v>
      </c>
      <c r="AT821" t="s">
        <v>987</v>
      </c>
      <c r="AZ821" t="s">
        <v>1020</v>
      </c>
      <c r="BA821" t="s">
        <v>1230</v>
      </c>
      <c r="BB821" t="s">
        <v>1018</v>
      </c>
      <c r="BD821" t="s">
        <v>1005</v>
      </c>
      <c r="BE821" t="s">
        <v>218</v>
      </c>
    </row>
    <row r="822" spans="1:57" ht="13" x14ac:dyDescent="0.15">
      <c r="A822">
        <v>1839</v>
      </c>
      <c r="B822">
        <v>31720199</v>
      </c>
      <c r="C822" t="s">
        <v>218</v>
      </c>
      <c r="D822" s="7">
        <v>41735</v>
      </c>
      <c r="E822" s="7">
        <v>45708</v>
      </c>
      <c r="F822">
        <v>330862</v>
      </c>
      <c r="G822" t="s">
        <v>983</v>
      </c>
      <c r="H822" t="s">
        <v>9</v>
      </c>
      <c r="I822" s="7">
        <v>45675</v>
      </c>
      <c r="J822" s="8">
        <v>0.68729166666666663</v>
      </c>
      <c r="K822" t="s">
        <v>984</v>
      </c>
      <c r="AQ822" t="s">
        <v>1466</v>
      </c>
      <c r="AR822" t="s">
        <v>1231</v>
      </c>
      <c r="AT822" t="s">
        <v>987</v>
      </c>
      <c r="AZ822" t="s">
        <v>988</v>
      </c>
      <c r="BA822" t="s">
        <v>1058</v>
      </c>
      <c r="BB822" t="s">
        <v>1018</v>
      </c>
      <c r="BD822" t="s">
        <v>1005</v>
      </c>
      <c r="BE822" t="s">
        <v>218</v>
      </c>
    </row>
    <row r="823" spans="1:57" ht="13" x14ac:dyDescent="0.15">
      <c r="A823">
        <v>1839</v>
      </c>
      <c r="B823">
        <v>31720199</v>
      </c>
      <c r="C823" t="s">
        <v>218</v>
      </c>
      <c r="D823" s="7">
        <v>41735</v>
      </c>
      <c r="E823" s="7">
        <v>45708</v>
      </c>
      <c r="F823">
        <v>330862</v>
      </c>
      <c r="G823" t="s">
        <v>983</v>
      </c>
      <c r="H823" t="s">
        <v>9</v>
      </c>
      <c r="I823" s="7">
        <v>45675</v>
      </c>
      <c r="J823" s="8">
        <v>0.68836805555555558</v>
      </c>
      <c r="K823" t="s">
        <v>984</v>
      </c>
      <c r="AQ823" t="s">
        <v>1466</v>
      </c>
      <c r="AR823" t="s">
        <v>1107</v>
      </c>
      <c r="AT823" t="s">
        <v>987</v>
      </c>
      <c r="AZ823" t="s">
        <v>1007</v>
      </c>
      <c r="BA823" t="s">
        <v>1008</v>
      </c>
      <c r="BB823" t="s">
        <v>990</v>
      </c>
      <c r="BD823" t="s">
        <v>1005</v>
      </c>
      <c r="BE823" t="s">
        <v>218</v>
      </c>
    </row>
    <row r="824" spans="1:57" ht="13" x14ac:dyDescent="0.15">
      <c r="A824">
        <v>1839</v>
      </c>
      <c r="B824">
        <v>31720199</v>
      </c>
      <c r="C824" t="s">
        <v>218</v>
      </c>
      <c r="D824" s="7">
        <v>41735</v>
      </c>
      <c r="E824" s="7">
        <v>45708</v>
      </c>
      <c r="F824">
        <v>330862</v>
      </c>
      <c r="G824" t="s">
        <v>983</v>
      </c>
      <c r="H824" t="s">
        <v>9</v>
      </c>
      <c r="I824" s="7">
        <v>45675</v>
      </c>
      <c r="J824" s="8">
        <v>0.68990740740740741</v>
      </c>
      <c r="K824" t="s">
        <v>984</v>
      </c>
      <c r="AQ824" t="s">
        <v>1466</v>
      </c>
      <c r="AR824" t="s">
        <v>1232</v>
      </c>
      <c r="AT824" t="s">
        <v>987</v>
      </c>
      <c r="AZ824" t="s">
        <v>1071</v>
      </c>
      <c r="BA824" t="s">
        <v>1072</v>
      </c>
      <c r="BB824" t="s">
        <v>1048</v>
      </c>
      <c r="BD824" t="s">
        <v>1005</v>
      </c>
      <c r="BE824" t="s">
        <v>218</v>
      </c>
    </row>
    <row r="825" spans="1:57" ht="13" x14ac:dyDescent="0.15">
      <c r="A825">
        <v>1839</v>
      </c>
      <c r="B825">
        <v>31720199</v>
      </c>
      <c r="C825" t="s">
        <v>218</v>
      </c>
      <c r="D825" s="7">
        <v>41735</v>
      </c>
      <c r="E825" s="7">
        <v>45708</v>
      </c>
      <c r="F825">
        <v>330862</v>
      </c>
      <c r="G825" t="s">
        <v>983</v>
      </c>
      <c r="H825" t="s">
        <v>9</v>
      </c>
      <c r="I825" s="7">
        <v>45675</v>
      </c>
      <c r="J825" s="8">
        <v>0.69103009259259263</v>
      </c>
      <c r="K825" t="s">
        <v>984</v>
      </c>
      <c r="AQ825" t="s">
        <v>1466</v>
      </c>
      <c r="AR825" t="s">
        <v>1200</v>
      </c>
      <c r="AT825" t="s">
        <v>987</v>
      </c>
      <c r="AZ825" t="s">
        <v>1028</v>
      </c>
      <c r="BA825" t="s">
        <v>1068</v>
      </c>
      <c r="BB825" t="s">
        <v>1069</v>
      </c>
      <c r="BD825" t="s">
        <v>1005</v>
      </c>
      <c r="BE825" t="s">
        <v>218</v>
      </c>
    </row>
    <row r="826" spans="1:57" ht="13" x14ac:dyDescent="0.15">
      <c r="A826">
        <v>1839</v>
      </c>
      <c r="B826">
        <v>31720199</v>
      </c>
      <c r="C826" t="s">
        <v>218</v>
      </c>
      <c r="D826" s="7">
        <v>41735</v>
      </c>
      <c r="E826" s="7">
        <v>45708</v>
      </c>
      <c r="F826">
        <v>330862</v>
      </c>
      <c r="G826" t="s">
        <v>983</v>
      </c>
      <c r="H826" t="s">
        <v>9</v>
      </c>
      <c r="I826" s="7">
        <v>45675</v>
      </c>
      <c r="J826" s="8">
        <v>0.69239583333333332</v>
      </c>
      <c r="K826" t="s">
        <v>984</v>
      </c>
      <c r="AQ826" t="s">
        <v>1466</v>
      </c>
      <c r="AR826" t="s">
        <v>1095</v>
      </c>
      <c r="AT826" t="s">
        <v>987</v>
      </c>
      <c r="AZ826" t="s">
        <v>1002</v>
      </c>
      <c r="BA826" t="s">
        <v>1003</v>
      </c>
      <c r="BB826" t="s">
        <v>1004</v>
      </c>
      <c r="BD826" t="s">
        <v>1005</v>
      </c>
      <c r="BE826" t="s">
        <v>218</v>
      </c>
    </row>
    <row r="827" spans="1:57" ht="13" x14ac:dyDescent="0.15">
      <c r="A827">
        <v>1839</v>
      </c>
      <c r="B827">
        <v>31720199</v>
      </c>
      <c r="C827" t="s">
        <v>218</v>
      </c>
      <c r="D827" s="7">
        <v>41735</v>
      </c>
      <c r="E827" s="7">
        <v>45708</v>
      </c>
      <c r="F827">
        <v>330862</v>
      </c>
      <c r="G827" t="s">
        <v>983</v>
      </c>
      <c r="H827" t="s">
        <v>9</v>
      </c>
      <c r="I827" s="7">
        <v>45675</v>
      </c>
      <c r="J827" s="8">
        <v>0.6937268518518519</v>
      </c>
      <c r="K827" t="s">
        <v>984</v>
      </c>
      <c r="AQ827" t="s">
        <v>1466</v>
      </c>
      <c r="AR827" t="s">
        <v>1105</v>
      </c>
      <c r="AT827" t="s">
        <v>987</v>
      </c>
      <c r="AZ827" t="s">
        <v>1044</v>
      </c>
      <c r="BA827" t="s">
        <v>1045</v>
      </c>
      <c r="BB827" t="s">
        <v>990</v>
      </c>
      <c r="BD827" t="s">
        <v>991</v>
      </c>
      <c r="BE827" t="s">
        <v>218</v>
      </c>
    </row>
    <row r="828" spans="1:57" ht="13" x14ac:dyDescent="0.15">
      <c r="A828">
        <v>1839</v>
      </c>
      <c r="B828">
        <v>31720199</v>
      </c>
      <c r="C828" t="s">
        <v>218</v>
      </c>
      <c r="D828" s="7">
        <v>41735</v>
      </c>
      <c r="E828" s="7">
        <v>45708</v>
      </c>
      <c r="F828">
        <v>336447</v>
      </c>
      <c r="G828" t="s">
        <v>1074</v>
      </c>
      <c r="H828" t="s">
        <v>26</v>
      </c>
      <c r="I828" s="7">
        <v>45642</v>
      </c>
      <c r="J828" s="8">
        <v>0.83667824074074071</v>
      </c>
      <c r="K828" t="s">
        <v>984</v>
      </c>
      <c r="AQ828" t="s">
        <v>1466</v>
      </c>
      <c r="AR828" t="s">
        <v>1496</v>
      </c>
      <c r="BE828" t="s">
        <v>218</v>
      </c>
    </row>
    <row r="829" spans="1:57" ht="13" x14ac:dyDescent="0.15">
      <c r="A829">
        <v>1839</v>
      </c>
      <c r="B829">
        <v>31720199</v>
      </c>
      <c r="C829" t="s">
        <v>218</v>
      </c>
      <c r="D829" s="7">
        <v>41735</v>
      </c>
      <c r="E829" s="7">
        <v>45708</v>
      </c>
      <c r="F829">
        <v>336447</v>
      </c>
      <c r="G829" t="s">
        <v>1074</v>
      </c>
      <c r="H829" t="s">
        <v>26</v>
      </c>
      <c r="I829" s="7">
        <v>45614</v>
      </c>
      <c r="J829" s="8">
        <v>0.44445601851851851</v>
      </c>
      <c r="K829" t="s">
        <v>984</v>
      </c>
      <c r="AQ829" t="s">
        <v>1466</v>
      </c>
      <c r="AR829" t="s">
        <v>1497</v>
      </c>
      <c r="BE829" t="s">
        <v>218</v>
      </c>
    </row>
    <row r="830" spans="1:57" ht="13" x14ac:dyDescent="0.15">
      <c r="A830">
        <v>1839</v>
      </c>
      <c r="B830">
        <v>31720199</v>
      </c>
      <c r="C830" t="s">
        <v>218</v>
      </c>
      <c r="D830" s="7">
        <v>41735</v>
      </c>
      <c r="E830" s="7">
        <v>45708</v>
      </c>
      <c r="F830">
        <v>336453</v>
      </c>
      <c r="G830" t="s">
        <v>1074</v>
      </c>
      <c r="H830" t="s">
        <v>27</v>
      </c>
      <c r="I830" s="7">
        <v>45642</v>
      </c>
      <c r="J830" s="8">
        <v>0.83675925925925931</v>
      </c>
      <c r="K830" t="s">
        <v>984</v>
      </c>
      <c r="AQ830" t="s">
        <v>1466</v>
      </c>
      <c r="AR830" t="s">
        <v>1076</v>
      </c>
      <c r="BE830" t="s">
        <v>218</v>
      </c>
    </row>
    <row r="831" spans="1:57" ht="13" x14ac:dyDescent="0.15">
      <c r="A831">
        <v>1839</v>
      </c>
      <c r="B831">
        <v>31720199</v>
      </c>
      <c r="C831" t="s">
        <v>218</v>
      </c>
      <c r="D831" s="7">
        <v>41735</v>
      </c>
      <c r="E831" s="7">
        <v>45708</v>
      </c>
      <c r="F831">
        <v>336453</v>
      </c>
      <c r="G831" t="s">
        <v>1074</v>
      </c>
      <c r="H831" t="s">
        <v>27</v>
      </c>
      <c r="I831" s="7">
        <v>45614</v>
      </c>
      <c r="J831" s="8">
        <v>0.44457175925925924</v>
      </c>
      <c r="K831" t="s">
        <v>984</v>
      </c>
      <c r="AQ831" t="s">
        <v>1466</v>
      </c>
      <c r="AR831" t="s">
        <v>1076</v>
      </c>
      <c r="BE831" t="s">
        <v>218</v>
      </c>
    </row>
    <row r="832" spans="1:57" ht="13" x14ac:dyDescent="0.15">
      <c r="A832">
        <v>1839</v>
      </c>
      <c r="B832">
        <v>31720199</v>
      </c>
      <c r="C832" t="s">
        <v>218</v>
      </c>
      <c r="D832" s="7">
        <v>41735</v>
      </c>
      <c r="E832" s="7">
        <v>45708</v>
      </c>
      <c r="F832">
        <v>336709</v>
      </c>
      <c r="G832" t="s">
        <v>1074</v>
      </c>
      <c r="H832" t="s">
        <v>28</v>
      </c>
      <c r="I832" s="7">
        <v>45614</v>
      </c>
      <c r="J832" s="8">
        <v>0.44467592592592592</v>
      </c>
      <c r="K832" t="s">
        <v>984</v>
      </c>
      <c r="AQ832" t="s">
        <v>1466</v>
      </c>
      <c r="AR832" t="s">
        <v>1077</v>
      </c>
      <c r="BE832" t="s">
        <v>218</v>
      </c>
    </row>
    <row r="833" spans="1:57" ht="13" x14ac:dyDescent="0.15">
      <c r="A833">
        <v>1839</v>
      </c>
      <c r="B833">
        <v>31720199</v>
      </c>
      <c r="C833" t="s">
        <v>218</v>
      </c>
      <c r="D833" s="7">
        <v>41735</v>
      </c>
      <c r="E833" s="7">
        <v>45708</v>
      </c>
      <c r="F833">
        <v>336709</v>
      </c>
      <c r="G833" t="s">
        <v>1074</v>
      </c>
      <c r="H833" t="s">
        <v>28</v>
      </c>
      <c r="I833" s="7">
        <v>45642</v>
      </c>
      <c r="J833" s="8">
        <v>0.83682870370370366</v>
      </c>
      <c r="K833" t="s">
        <v>984</v>
      </c>
      <c r="AQ833" t="s">
        <v>1466</v>
      </c>
      <c r="AR833" t="s">
        <v>1077</v>
      </c>
      <c r="BE833" t="s">
        <v>218</v>
      </c>
    </row>
    <row r="834" spans="1:57" ht="13" x14ac:dyDescent="0.15">
      <c r="A834">
        <v>1839</v>
      </c>
      <c r="B834">
        <v>31720804</v>
      </c>
      <c r="C834" t="s">
        <v>219</v>
      </c>
      <c r="D834" s="7">
        <v>38561</v>
      </c>
      <c r="E834" s="7">
        <v>45701</v>
      </c>
      <c r="F834">
        <v>330862</v>
      </c>
      <c r="G834" t="s">
        <v>983</v>
      </c>
      <c r="H834" t="s">
        <v>9</v>
      </c>
      <c r="I834" s="7">
        <v>45677</v>
      </c>
      <c r="J834" s="8">
        <v>0.65334490740740736</v>
      </c>
      <c r="K834" t="s">
        <v>984</v>
      </c>
      <c r="AQ834" t="s">
        <v>1142</v>
      </c>
      <c r="AR834" t="s">
        <v>1083</v>
      </c>
      <c r="AT834" t="s">
        <v>987</v>
      </c>
      <c r="AZ834" t="s">
        <v>1011</v>
      </c>
      <c r="BA834" t="s">
        <v>1012</v>
      </c>
      <c r="BB834" t="s">
        <v>1013</v>
      </c>
      <c r="BD834" t="s">
        <v>1014</v>
      </c>
      <c r="BE834" t="s">
        <v>219</v>
      </c>
    </row>
    <row r="835" spans="1:57" ht="13" x14ac:dyDescent="0.15">
      <c r="A835">
        <v>1839</v>
      </c>
      <c r="B835">
        <v>31720804</v>
      </c>
      <c r="C835" t="s">
        <v>219</v>
      </c>
      <c r="D835" s="7">
        <v>38561</v>
      </c>
      <c r="E835" s="7">
        <v>45701</v>
      </c>
      <c r="F835">
        <v>330862</v>
      </c>
      <c r="G835" t="s">
        <v>983</v>
      </c>
      <c r="H835" t="s">
        <v>9</v>
      </c>
      <c r="I835" s="7">
        <v>45694</v>
      </c>
      <c r="J835" s="8">
        <v>0.61687499999999995</v>
      </c>
      <c r="K835" t="s">
        <v>984</v>
      </c>
      <c r="AQ835" t="s">
        <v>1142</v>
      </c>
      <c r="AR835" t="s">
        <v>986</v>
      </c>
      <c r="AT835" t="s">
        <v>987</v>
      </c>
      <c r="AZ835" t="s">
        <v>988</v>
      </c>
      <c r="BA835" t="s">
        <v>989</v>
      </c>
      <c r="BB835" t="s">
        <v>990</v>
      </c>
      <c r="BD835" t="s">
        <v>991</v>
      </c>
      <c r="BE835" t="s">
        <v>219</v>
      </c>
    </row>
    <row r="836" spans="1:57" ht="13" x14ac:dyDescent="0.15">
      <c r="A836">
        <v>1839</v>
      </c>
      <c r="B836">
        <v>31721361</v>
      </c>
      <c r="C836" t="s">
        <v>220</v>
      </c>
      <c r="D836" s="7">
        <v>41079</v>
      </c>
      <c r="E836" s="7">
        <v>45709</v>
      </c>
      <c r="F836">
        <v>330862</v>
      </c>
      <c r="G836" t="s">
        <v>983</v>
      </c>
      <c r="H836" t="s">
        <v>9</v>
      </c>
      <c r="I836" s="7">
        <v>45697</v>
      </c>
      <c r="J836" s="8">
        <v>0.51953703703703702</v>
      </c>
      <c r="K836" t="s">
        <v>984</v>
      </c>
      <c r="AQ836" t="s">
        <v>992</v>
      </c>
      <c r="AR836" t="s">
        <v>993</v>
      </c>
      <c r="AT836" t="s">
        <v>987</v>
      </c>
      <c r="AZ836" t="s">
        <v>988</v>
      </c>
      <c r="BA836" t="s">
        <v>989</v>
      </c>
      <c r="BB836" t="s">
        <v>990</v>
      </c>
      <c r="BD836" t="s">
        <v>991</v>
      </c>
      <c r="BE836" t="s">
        <v>220</v>
      </c>
    </row>
    <row r="837" spans="1:57" ht="13" x14ac:dyDescent="0.15">
      <c r="A837">
        <v>1839</v>
      </c>
      <c r="B837">
        <v>31721361</v>
      </c>
      <c r="C837" t="s">
        <v>220</v>
      </c>
      <c r="D837" s="7">
        <v>41079</v>
      </c>
      <c r="E837" s="7">
        <v>45709</v>
      </c>
      <c r="F837">
        <v>330862</v>
      </c>
      <c r="G837" t="s">
        <v>983</v>
      </c>
      <c r="H837" t="s">
        <v>9</v>
      </c>
      <c r="I837" s="7">
        <v>45676</v>
      </c>
      <c r="J837" s="8">
        <v>0.5224537037037037</v>
      </c>
      <c r="K837" t="s">
        <v>984</v>
      </c>
      <c r="AQ837" t="s">
        <v>992</v>
      </c>
      <c r="AR837" t="s">
        <v>1107</v>
      </c>
      <c r="AT837" t="s">
        <v>987</v>
      </c>
      <c r="AZ837" t="s">
        <v>1007</v>
      </c>
      <c r="BA837" t="s">
        <v>1008</v>
      </c>
      <c r="BB837" t="s">
        <v>990</v>
      </c>
      <c r="BD837" t="s">
        <v>1005</v>
      </c>
      <c r="BE837" t="s">
        <v>220</v>
      </c>
    </row>
    <row r="838" spans="1:57" ht="13" x14ac:dyDescent="0.15">
      <c r="A838">
        <v>1839</v>
      </c>
      <c r="B838">
        <v>31721361</v>
      </c>
      <c r="C838" t="s">
        <v>220</v>
      </c>
      <c r="D838" s="7">
        <v>41079</v>
      </c>
      <c r="E838" s="7">
        <v>45709</v>
      </c>
      <c r="F838">
        <v>330862</v>
      </c>
      <c r="G838" t="s">
        <v>983</v>
      </c>
      <c r="H838" t="s">
        <v>9</v>
      </c>
      <c r="I838" s="7">
        <v>45676</v>
      </c>
      <c r="J838" s="8">
        <v>0.50957175925925924</v>
      </c>
      <c r="K838" t="s">
        <v>984</v>
      </c>
      <c r="AQ838" t="s">
        <v>992</v>
      </c>
      <c r="AR838" t="s">
        <v>1095</v>
      </c>
      <c r="AT838" t="s">
        <v>987</v>
      </c>
      <c r="AZ838" t="s">
        <v>1002</v>
      </c>
      <c r="BA838" t="s">
        <v>1003</v>
      </c>
      <c r="BB838" t="s">
        <v>1004</v>
      </c>
      <c r="BD838" t="s">
        <v>1005</v>
      </c>
      <c r="BE838" t="s">
        <v>220</v>
      </c>
    </row>
    <row r="839" spans="1:57" ht="13" x14ac:dyDescent="0.15">
      <c r="A839">
        <v>1839</v>
      </c>
      <c r="B839">
        <v>31721361</v>
      </c>
      <c r="C839" t="s">
        <v>220</v>
      </c>
      <c r="D839" s="7">
        <v>41079</v>
      </c>
      <c r="E839" s="7">
        <v>45709</v>
      </c>
      <c r="F839">
        <v>330862</v>
      </c>
      <c r="G839" t="s">
        <v>983</v>
      </c>
      <c r="H839" t="s">
        <v>9</v>
      </c>
      <c r="I839" s="7">
        <v>45676</v>
      </c>
      <c r="J839" s="8">
        <v>0.53225694444444449</v>
      </c>
      <c r="K839" t="s">
        <v>984</v>
      </c>
      <c r="AQ839" t="s">
        <v>992</v>
      </c>
      <c r="AR839" t="s">
        <v>1095</v>
      </c>
      <c r="AT839" t="s">
        <v>987</v>
      </c>
      <c r="AZ839" t="s">
        <v>1002</v>
      </c>
      <c r="BA839" t="s">
        <v>1003</v>
      </c>
      <c r="BB839" t="s">
        <v>1004</v>
      </c>
      <c r="BD839" t="s">
        <v>1005</v>
      </c>
      <c r="BE839" t="s">
        <v>220</v>
      </c>
    </row>
    <row r="840" spans="1:57" ht="13" x14ac:dyDescent="0.15">
      <c r="A840">
        <v>1839</v>
      </c>
      <c r="B840">
        <v>31721361</v>
      </c>
      <c r="C840" t="s">
        <v>220</v>
      </c>
      <c r="D840" s="7">
        <v>41079</v>
      </c>
      <c r="E840" s="7">
        <v>45709</v>
      </c>
      <c r="F840">
        <v>330862</v>
      </c>
      <c r="G840" t="s">
        <v>983</v>
      </c>
      <c r="H840" t="s">
        <v>9</v>
      </c>
      <c r="I840" s="7">
        <v>45677</v>
      </c>
      <c r="J840" s="8">
        <v>0.66675925925925927</v>
      </c>
      <c r="K840" t="s">
        <v>984</v>
      </c>
      <c r="AQ840" t="s">
        <v>992</v>
      </c>
      <c r="AR840" t="s">
        <v>1083</v>
      </c>
      <c r="AT840" t="s">
        <v>987</v>
      </c>
      <c r="AZ840" t="s">
        <v>1011</v>
      </c>
      <c r="BA840" t="s">
        <v>1012</v>
      </c>
      <c r="BB840" t="s">
        <v>1013</v>
      </c>
      <c r="BD840" t="s">
        <v>1014</v>
      </c>
      <c r="BE840" t="s">
        <v>220</v>
      </c>
    </row>
    <row r="841" spans="1:57" ht="13" x14ac:dyDescent="0.15">
      <c r="A841">
        <v>1839</v>
      </c>
      <c r="B841">
        <v>31721361</v>
      </c>
      <c r="C841" t="s">
        <v>220</v>
      </c>
      <c r="D841" s="7">
        <v>41079</v>
      </c>
      <c r="E841" s="7">
        <v>45709</v>
      </c>
      <c r="F841">
        <v>330862</v>
      </c>
      <c r="G841" t="s">
        <v>983</v>
      </c>
      <c r="H841" t="s">
        <v>9</v>
      </c>
      <c r="I841" s="7">
        <v>45640</v>
      </c>
      <c r="J841" s="8">
        <v>0.56328703703703709</v>
      </c>
      <c r="K841" t="s">
        <v>984</v>
      </c>
      <c r="AQ841" t="s">
        <v>992</v>
      </c>
      <c r="AR841" t="s">
        <v>1085</v>
      </c>
      <c r="AT841" t="s">
        <v>987</v>
      </c>
      <c r="AZ841" t="s">
        <v>1011</v>
      </c>
      <c r="BA841" t="s">
        <v>1031</v>
      </c>
      <c r="BB841" t="s">
        <v>1032</v>
      </c>
      <c r="BD841" t="s">
        <v>1005</v>
      </c>
      <c r="BE841" t="s">
        <v>220</v>
      </c>
    </row>
    <row r="842" spans="1:57" ht="13" x14ac:dyDescent="0.15">
      <c r="A842">
        <v>1839</v>
      </c>
      <c r="B842">
        <v>31724896</v>
      </c>
      <c r="C842" t="s">
        <v>221</v>
      </c>
      <c r="D842" s="7">
        <v>38562</v>
      </c>
      <c r="E842" s="7">
        <v>45702</v>
      </c>
      <c r="F842">
        <v>330862</v>
      </c>
      <c r="G842" t="s">
        <v>983</v>
      </c>
      <c r="H842" t="s">
        <v>9</v>
      </c>
      <c r="I842" s="7">
        <v>45694</v>
      </c>
      <c r="J842" s="8">
        <v>0.83690972222222226</v>
      </c>
      <c r="K842" t="s">
        <v>984</v>
      </c>
      <c r="AQ842" t="s">
        <v>1498</v>
      </c>
      <c r="AR842" t="s">
        <v>986</v>
      </c>
      <c r="AT842" t="s">
        <v>987</v>
      </c>
      <c r="AZ842" t="s">
        <v>988</v>
      </c>
      <c r="BA842" t="s">
        <v>989</v>
      </c>
      <c r="BB842" t="s">
        <v>990</v>
      </c>
      <c r="BD842" t="s">
        <v>991</v>
      </c>
      <c r="BE842" t="s">
        <v>221</v>
      </c>
    </row>
    <row r="843" spans="1:57" ht="13" x14ac:dyDescent="0.15">
      <c r="A843">
        <v>1839</v>
      </c>
      <c r="B843">
        <v>31725496</v>
      </c>
      <c r="C843" t="s">
        <v>222</v>
      </c>
      <c r="D843" s="7">
        <v>38564</v>
      </c>
      <c r="E843" s="7">
        <v>45696</v>
      </c>
      <c r="F843">
        <v>330862</v>
      </c>
      <c r="G843" t="s">
        <v>983</v>
      </c>
      <c r="H843" t="s">
        <v>9</v>
      </c>
      <c r="I843" s="7">
        <v>45694</v>
      </c>
      <c r="J843" s="8">
        <v>0.3550462962962963</v>
      </c>
      <c r="K843" t="s">
        <v>984</v>
      </c>
      <c r="AQ843" t="s">
        <v>1090</v>
      </c>
      <c r="AR843" t="s">
        <v>993</v>
      </c>
      <c r="AT843" t="s">
        <v>987</v>
      </c>
      <c r="AZ843" t="s">
        <v>988</v>
      </c>
      <c r="BA843" t="s">
        <v>989</v>
      </c>
      <c r="BB843" t="s">
        <v>990</v>
      </c>
      <c r="BD843" t="s">
        <v>991</v>
      </c>
      <c r="BE843" t="s">
        <v>222</v>
      </c>
    </row>
    <row r="844" spans="1:57" ht="13" x14ac:dyDescent="0.15">
      <c r="A844">
        <v>1839</v>
      </c>
      <c r="B844">
        <v>31730406</v>
      </c>
      <c r="C844" t="s">
        <v>223</v>
      </c>
      <c r="D844" s="7">
        <v>41071</v>
      </c>
      <c r="E844" s="7">
        <v>45690</v>
      </c>
      <c r="F844">
        <v>330862</v>
      </c>
      <c r="G844" t="s">
        <v>983</v>
      </c>
      <c r="H844" t="s">
        <v>9</v>
      </c>
      <c r="I844" s="7">
        <v>45690</v>
      </c>
      <c r="J844" s="8">
        <v>0.97344907407407411</v>
      </c>
      <c r="K844" t="s">
        <v>984</v>
      </c>
      <c r="AQ844" t="s">
        <v>1253</v>
      </c>
      <c r="AR844" t="s">
        <v>1059</v>
      </c>
      <c r="AT844" t="s">
        <v>987</v>
      </c>
      <c r="AZ844" t="s">
        <v>1044</v>
      </c>
      <c r="BA844" t="s">
        <v>1045</v>
      </c>
      <c r="BB844" t="s">
        <v>990</v>
      </c>
      <c r="BD844" t="s">
        <v>991</v>
      </c>
      <c r="BE844" t="s">
        <v>223</v>
      </c>
    </row>
    <row r="845" spans="1:57" ht="13" x14ac:dyDescent="0.15">
      <c r="A845">
        <v>1839</v>
      </c>
      <c r="B845">
        <v>31730406</v>
      </c>
      <c r="C845" t="s">
        <v>223</v>
      </c>
      <c r="D845" s="7">
        <v>41071</v>
      </c>
      <c r="E845" s="7">
        <v>45690</v>
      </c>
      <c r="F845">
        <v>330862</v>
      </c>
      <c r="G845" t="s">
        <v>983</v>
      </c>
      <c r="H845" t="s">
        <v>9</v>
      </c>
      <c r="I845" s="7">
        <v>45649</v>
      </c>
      <c r="J845" s="8">
        <v>8.8483796296296297E-2</v>
      </c>
      <c r="K845" t="s">
        <v>984</v>
      </c>
      <c r="AQ845" t="s">
        <v>1253</v>
      </c>
      <c r="AR845" t="s">
        <v>1499</v>
      </c>
      <c r="AT845" t="s">
        <v>987</v>
      </c>
      <c r="AZ845" t="s">
        <v>1239</v>
      </c>
      <c r="BA845" t="s">
        <v>1240</v>
      </c>
      <c r="BB845" t="s">
        <v>1237</v>
      </c>
      <c r="BD845" t="s">
        <v>1005</v>
      </c>
      <c r="BE845" t="s">
        <v>223</v>
      </c>
    </row>
    <row r="846" spans="1:57" ht="13" x14ac:dyDescent="0.15">
      <c r="A846">
        <v>1839</v>
      </c>
      <c r="B846">
        <v>31730406</v>
      </c>
      <c r="C846" t="s">
        <v>223</v>
      </c>
      <c r="D846" s="7">
        <v>41071</v>
      </c>
      <c r="E846" s="7">
        <v>45690</v>
      </c>
      <c r="F846">
        <v>330862</v>
      </c>
      <c r="G846" t="s">
        <v>983</v>
      </c>
      <c r="H846" t="s">
        <v>9</v>
      </c>
      <c r="I846" s="7">
        <v>45650</v>
      </c>
      <c r="J846" s="8">
        <v>0.72964120370370367</v>
      </c>
      <c r="K846" t="s">
        <v>984</v>
      </c>
      <c r="AQ846" t="s">
        <v>1253</v>
      </c>
      <c r="AR846" t="s">
        <v>1472</v>
      </c>
      <c r="AT846" t="s">
        <v>987</v>
      </c>
      <c r="AZ846" t="s">
        <v>1174</v>
      </c>
      <c r="BA846" t="s">
        <v>1242</v>
      </c>
      <c r="BB846" t="s">
        <v>1026</v>
      </c>
      <c r="BD846" t="s">
        <v>1005</v>
      </c>
      <c r="BE846" t="s">
        <v>223</v>
      </c>
    </row>
    <row r="847" spans="1:57" ht="13" x14ac:dyDescent="0.15">
      <c r="A847">
        <v>1839</v>
      </c>
      <c r="B847">
        <v>31730406</v>
      </c>
      <c r="C847" t="s">
        <v>223</v>
      </c>
      <c r="D847" s="7">
        <v>41071</v>
      </c>
      <c r="E847" s="7">
        <v>45690</v>
      </c>
      <c r="F847">
        <v>330862</v>
      </c>
      <c r="G847" t="s">
        <v>983</v>
      </c>
      <c r="H847" t="s">
        <v>9</v>
      </c>
      <c r="I847" s="7">
        <v>45662</v>
      </c>
      <c r="J847" s="8">
        <v>0.96418981481481481</v>
      </c>
      <c r="K847" t="s">
        <v>984</v>
      </c>
      <c r="AQ847" t="s">
        <v>1253</v>
      </c>
      <c r="AR847" t="s">
        <v>1500</v>
      </c>
      <c r="AT847" t="s">
        <v>987</v>
      </c>
      <c r="AZ847" t="s">
        <v>1007</v>
      </c>
      <c r="BA847" t="s">
        <v>1008</v>
      </c>
      <c r="BB847" t="s">
        <v>990</v>
      </c>
      <c r="BD847" t="s">
        <v>1005</v>
      </c>
      <c r="BE847" t="s">
        <v>223</v>
      </c>
    </row>
    <row r="848" spans="1:57" ht="13" x14ac:dyDescent="0.15">
      <c r="A848">
        <v>1839</v>
      </c>
      <c r="B848">
        <v>31730406</v>
      </c>
      <c r="C848" t="s">
        <v>223</v>
      </c>
      <c r="D848" s="7">
        <v>41071</v>
      </c>
      <c r="E848" s="7">
        <v>45690</v>
      </c>
      <c r="F848">
        <v>330862</v>
      </c>
      <c r="G848" t="s">
        <v>983</v>
      </c>
      <c r="H848" t="s">
        <v>9</v>
      </c>
      <c r="I848" s="7">
        <v>45672</v>
      </c>
      <c r="J848" s="8">
        <v>5.185185185185185E-3</v>
      </c>
      <c r="K848" t="s">
        <v>984</v>
      </c>
      <c r="AQ848" t="s">
        <v>1253</v>
      </c>
      <c r="AR848" t="s">
        <v>1302</v>
      </c>
      <c r="AT848" t="s">
        <v>987</v>
      </c>
      <c r="AZ848" t="s">
        <v>1024</v>
      </c>
      <c r="BA848" t="s">
        <v>1047</v>
      </c>
      <c r="BB848" t="s">
        <v>1048</v>
      </c>
      <c r="BD848" t="s">
        <v>1014</v>
      </c>
      <c r="BE848" t="s">
        <v>223</v>
      </c>
    </row>
    <row r="849" spans="1:57" ht="13" x14ac:dyDescent="0.15">
      <c r="A849">
        <v>1839</v>
      </c>
      <c r="B849">
        <v>31730406</v>
      </c>
      <c r="C849" t="s">
        <v>223</v>
      </c>
      <c r="D849" s="7">
        <v>41071</v>
      </c>
      <c r="E849" s="7">
        <v>45690</v>
      </c>
      <c r="F849">
        <v>330862</v>
      </c>
      <c r="G849" t="s">
        <v>983</v>
      </c>
      <c r="H849" t="s">
        <v>9</v>
      </c>
      <c r="I849" s="7">
        <v>45645</v>
      </c>
      <c r="J849" s="8">
        <v>4.7453703703703703E-3</v>
      </c>
      <c r="K849" t="s">
        <v>984</v>
      </c>
      <c r="AQ849" t="s">
        <v>1253</v>
      </c>
      <c r="AR849" t="s">
        <v>1303</v>
      </c>
      <c r="AT849" t="s">
        <v>987</v>
      </c>
      <c r="AZ849" t="s">
        <v>1020</v>
      </c>
      <c r="BA849" t="s">
        <v>1230</v>
      </c>
      <c r="BB849" t="s">
        <v>1018</v>
      </c>
      <c r="BD849" t="s">
        <v>1005</v>
      </c>
      <c r="BE849" t="s">
        <v>223</v>
      </c>
    </row>
    <row r="850" spans="1:57" ht="13" x14ac:dyDescent="0.15">
      <c r="A850">
        <v>1839</v>
      </c>
      <c r="B850">
        <v>31730406</v>
      </c>
      <c r="C850" t="s">
        <v>223</v>
      </c>
      <c r="D850" s="7">
        <v>41071</v>
      </c>
      <c r="E850" s="7">
        <v>45690</v>
      </c>
      <c r="F850">
        <v>330862</v>
      </c>
      <c r="G850" t="s">
        <v>983</v>
      </c>
      <c r="H850" t="s">
        <v>9</v>
      </c>
      <c r="I850" s="7">
        <v>45636</v>
      </c>
      <c r="J850" s="8">
        <v>0.10642361111111111</v>
      </c>
      <c r="K850" t="s">
        <v>984</v>
      </c>
      <c r="AQ850" t="s">
        <v>1253</v>
      </c>
      <c r="AR850" t="s">
        <v>1098</v>
      </c>
      <c r="AT850" t="s">
        <v>987</v>
      </c>
      <c r="AZ850" t="s">
        <v>1020</v>
      </c>
      <c r="BA850" t="s">
        <v>1021</v>
      </c>
      <c r="BB850" t="s">
        <v>1018</v>
      </c>
      <c r="BD850" t="s">
        <v>1022</v>
      </c>
      <c r="BE850" t="s">
        <v>223</v>
      </c>
    </row>
    <row r="851" spans="1:57" ht="13" x14ac:dyDescent="0.15">
      <c r="A851">
        <v>1839</v>
      </c>
      <c r="B851">
        <v>31730406</v>
      </c>
      <c r="C851" t="s">
        <v>223</v>
      </c>
      <c r="D851" s="7">
        <v>41071</v>
      </c>
      <c r="E851" s="7">
        <v>45690</v>
      </c>
      <c r="F851">
        <v>330862</v>
      </c>
      <c r="G851" t="s">
        <v>983</v>
      </c>
      <c r="H851" t="s">
        <v>9</v>
      </c>
      <c r="I851" s="7">
        <v>45628</v>
      </c>
      <c r="J851" s="8">
        <v>3.2199074074074074E-2</v>
      </c>
      <c r="K851" t="s">
        <v>984</v>
      </c>
      <c r="AQ851" t="s">
        <v>1253</v>
      </c>
      <c r="AR851" t="s">
        <v>1053</v>
      </c>
      <c r="AT851" t="s">
        <v>987</v>
      </c>
      <c r="AZ851" t="s">
        <v>1055</v>
      </c>
      <c r="BA851" t="s">
        <v>1056</v>
      </c>
      <c r="BB851" t="s">
        <v>1013</v>
      </c>
      <c r="BD851" t="s">
        <v>1022</v>
      </c>
      <c r="BE851" t="s">
        <v>223</v>
      </c>
    </row>
    <row r="852" spans="1:57" ht="13" x14ac:dyDescent="0.15">
      <c r="A852">
        <v>1839</v>
      </c>
      <c r="B852">
        <v>31730406</v>
      </c>
      <c r="C852" t="s">
        <v>223</v>
      </c>
      <c r="D852" s="7">
        <v>41071</v>
      </c>
      <c r="E852" s="7">
        <v>45690</v>
      </c>
      <c r="F852">
        <v>330862</v>
      </c>
      <c r="G852" t="s">
        <v>983</v>
      </c>
      <c r="H852" t="s">
        <v>9</v>
      </c>
      <c r="I852" s="7">
        <v>45631</v>
      </c>
      <c r="J852" s="8">
        <v>0.55782407407407408</v>
      </c>
      <c r="K852" t="s">
        <v>984</v>
      </c>
      <c r="AQ852" t="s">
        <v>1253</v>
      </c>
      <c r="AR852" t="s">
        <v>1311</v>
      </c>
      <c r="AT852" t="s">
        <v>987</v>
      </c>
      <c r="AZ852" t="s">
        <v>1020</v>
      </c>
      <c r="BA852" t="s">
        <v>1021</v>
      </c>
      <c r="BB852" t="s">
        <v>1018</v>
      </c>
      <c r="BD852" t="s">
        <v>1022</v>
      </c>
      <c r="BE852" t="s">
        <v>223</v>
      </c>
    </row>
    <row r="853" spans="1:57" ht="13" x14ac:dyDescent="0.15">
      <c r="A853">
        <v>1839</v>
      </c>
      <c r="B853">
        <v>31733360</v>
      </c>
      <c r="C853" t="s">
        <v>224</v>
      </c>
      <c r="D853" s="7">
        <v>40148</v>
      </c>
      <c r="E853" s="7">
        <v>45695</v>
      </c>
      <c r="F853">
        <v>330862</v>
      </c>
      <c r="G853" t="s">
        <v>983</v>
      </c>
      <c r="H853" t="s">
        <v>9</v>
      </c>
      <c r="I853" s="7">
        <v>45675</v>
      </c>
      <c r="J853" s="8">
        <v>0.47540509259259262</v>
      </c>
      <c r="K853" t="s">
        <v>984</v>
      </c>
      <c r="AQ853" t="s">
        <v>992</v>
      </c>
      <c r="AR853" t="s">
        <v>1107</v>
      </c>
      <c r="AT853" t="s">
        <v>987</v>
      </c>
      <c r="AZ853" t="s">
        <v>1007</v>
      </c>
      <c r="BA853" t="s">
        <v>1008</v>
      </c>
      <c r="BB853" t="s">
        <v>990</v>
      </c>
      <c r="BD853" t="s">
        <v>1005</v>
      </c>
      <c r="BE853" t="s">
        <v>224</v>
      </c>
    </row>
    <row r="854" spans="1:57" ht="13" x14ac:dyDescent="0.15">
      <c r="A854">
        <v>1839</v>
      </c>
      <c r="B854">
        <v>31733360</v>
      </c>
      <c r="C854" t="s">
        <v>224</v>
      </c>
      <c r="D854" s="7">
        <v>40148</v>
      </c>
      <c r="E854" s="7">
        <v>45695</v>
      </c>
      <c r="F854">
        <v>330862</v>
      </c>
      <c r="G854" t="s">
        <v>983</v>
      </c>
      <c r="H854" t="s">
        <v>9</v>
      </c>
      <c r="I854" s="7">
        <v>45675</v>
      </c>
      <c r="J854" s="8">
        <v>0.46283564814814815</v>
      </c>
      <c r="K854" t="s">
        <v>984</v>
      </c>
      <c r="AQ854" t="s">
        <v>992</v>
      </c>
      <c r="AR854" t="s">
        <v>1095</v>
      </c>
      <c r="AT854" t="s">
        <v>987</v>
      </c>
      <c r="AZ854" t="s">
        <v>1002</v>
      </c>
      <c r="BA854" t="s">
        <v>1003</v>
      </c>
      <c r="BB854" t="s">
        <v>1004</v>
      </c>
      <c r="BD854" t="s">
        <v>1005</v>
      </c>
      <c r="BE854" t="s">
        <v>224</v>
      </c>
    </row>
    <row r="855" spans="1:57" ht="13" x14ac:dyDescent="0.15">
      <c r="A855">
        <v>1839</v>
      </c>
      <c r="B855">
        <v>31750527</v>
      </c>
      <c r="C855" t="s">
        <v>225</v>
      </c>
      <c r="D855" s="7">
        <v>38609</v>
      </c>
      <c r="E855" s="7">
        <v>45709</v>
      </c>
      <c r="F855">
        <v>330862</v>
      </c>
      <c r="G855" t="s">
        <v>983</v>
      </c>
      <c r="H855" t="s">
        <v>9</v>
      </c>
      <c r="I855" s="7">
        <v>45643</v>
      </c>
      <c r="J855" s="8">
        <v>0.57846064814814813</v>
      </c>
      <c r="K855" t="s">
        <v>984</v>
      </c>
      <c r="AQ855" t="s">
        <v>992</v>
      </c>
      <c r="AR855" t="s">
        <v>1085</v>
      </c>
      <c r="AT855" t="s">
        <v>987</v>
      </c>
      <c r="AZ855" t="s">
        <v>1011</v>
      </c>
      <c r="BA855" t="s">
        <v>1031</v>
      </c>
      <c r="BB855" t="s">
        <v>1032</v>
      </c>
      <c r="BD855" t="s">
        <v>1005</v>
      </c>
      <c r="BE855" t="s">
        <v>225</v>
      </c>
    </row>
    <row r="856" spans="1:57" ht="13" x14ac:dyDescent="0.15">
      <c r="A856">
        <v>1839</v>
      </c>
      <c r="B856">
        <v>31750527</v>
      </c>
      <c r="C856" t="s">
        <v>225</v>
      </c>
      <c r="D856" s="7">
        <v>38609</v>
      </c>
      <c r="E856" s="7">
        <v>45709</v>
      </c>
      <c r="F856">
        <v>330862</v>
      </c>
      <c r="G856" t="s">
        <v>983</v>
      </c>
      <c r="H856" t="s">
        <v>9</v>
      </c>
      <c r="I856" s="7">
        <v>45672</v>
      </c>
      <c r="J856" s="8">
        <v>0.55489583333333337</v>
      </c>
      <c r="K856" t="s">
        <v>984</v>
      </c>
      <c r="AQ856" t="s">
        <v>992</v>
      </c>
      <c r="AR856" t="s">
        <v>1274</v>
      </c>
      <c r="AT856" t="s">
        <v>987</v>
      </c>
      <c r="AZ856" t="s">
        <v>1016</v>
      </c>
      <c r="BA856" t="s">
        <v>1017</v>
      </c>
      <c r="BB856" t="s">
        <v>1018</v>
      </c>
      <c r="BD856" t="s">
        <v>991</v>
      </c>
      <c r="BE856" t="s">
        <v>225</v>
      </c>
    </row>
    <row r="857" spans="1:57" ht="13" x14ac:dyDescent="0.15">
      <c r="A857">
        <v>1839</v>
      </c>
      <c r="B857">
        <v>31750527</v>
      </c>
      <c r="C857" t="s">
        <v>225</v>
      </c>
      <c r="D857" s="7">
        <v>38609</v>
      </c>
      <c r="E857" s="7">
        <v>45709</v>
      </c>
      <c r="F857">
        <v>330862</v>
      </c>
      <c r="G857" t="s">
        <v>983</v>
      </c>
      <c r="H857" t="s">
        <v>9</v>
      </c>
      <c r="I857" s="7">
        <v>45650</v>
      </c>
      <c r="J857" s="8">
        <v>0.53984953703703709</v>
      </c>
      <c r="K857" t="s">
        <v>984</v>
      </c>
      <c r="AQ857" t="s">
        <v>992</v>
      </c>
      <c r="AR857" t="s">
        <v>1256</v>
      </c>
      <c r="AT857" t="s">
        <v>987</v>
      </c>
      <c r="AZ857" t="s">
        <v>1024</v>
      </c>
      <c r="BA857" t="s">
        <v>1025</v>
      </c>
      <c r="BB857" t="s">
        <v>1026</v>
      </c>
      <c r="BD857" t="s">
        <v>1022</v>
      </c>
      <c r="BE857" t="s">
        <v>225</v>
      </c>
    </row>
    <row r="858" spans="1:57" ht="13" x14ac:dyDescent="0.15">
      <c r="A858">
        <v>1839</v>
      </c>
      <c r="B858">
        <v>31750527</v>
      </c>
      <c r="C858" t="s">
        <v>225</v>
      </c>
      <c r="D858" s="7">
        <v>38609</v>
      </c>
      <c r="E858" s="7">
        <v>45709</v>
      </c>
      <c r="F858">
        <v>330862</v>
      </c>
      <c r="G858" t="s">
        <v>983</v>
      </c>
      <c r="H858" t="s">
        <v>9</v>
      </c>
      <c r="I858" s="7">
        <v>45678</v>
      </c>
      <c r="J858" s="8">
        <v>0.61319444444444449</v>
      </c>
      <c r="K858" t="s">
        <v>984</v>
      </c>
      <c r="AQ858" t="s">
        <v>992</v>
      </c>
      <c r="AR858" t="s">
        <v>1361</v>
      </c>
      <c r="AT858" t="s">
        <v>987</v>
      </c>
      <c r="AZ858" t="s">
        <v>1044</v>
      </c>
      <c r="BA858" t="s">
        <v>1045</v>
      </c>
      <c r="BB858" t="s">
        <v>990</v>
      </c>
      <c r="BD858" t="s">
        <v>991</v>
      </c>
      <c r="BE858" t="s">
        <v>225</v>
      </c>
    </row>
    <row r="859" spans="1:57" ht="13" x14ac:dyDescent="0.15">
      <c r="A859">
        <v>1839</v>
      </c>
      <c r="B859">
        <v>31750527</v>
      </c>
      <c r="C859" t="s">
        <v>225</v>
      </c>
      <c r="D859" s="7">
        <v>38609</v>
      </c>
      <c r="E859" s="7">
        <v>45709</v>
      </c>
      <c r="F859">
        <v>330862</v>
      </c>
      <c r="G859" t="s">
        <v>983</v>
      </c>
      <c r="H859" t="s">
        <v>9</v>
      </c>
      <c r="I859" s="7">
        <v>45709</v>
      </c>
      <c r="J859" s="8">
        <v>0.73328703703703701</v>
      </c>
      <c r="K859" t="s">
        <v>984</v>
      </c>
      <c r="AQ859" t="s">
        <v>992</v>
      </c>
      <c r="AR859" t="s">
        <v>1501</v>
      </c>
      <c r="AT859" t="s">
        <v>987</v>
      </c>
      <c r="AZ859" t="s">
        <v>1020</v>
      </c>
      <c r="BA859" t="s">
        <v>1021</v>
      </c>
      <c r="BB859" t="s">
        <v>1018</v>
      </c>
      <c r="BD859" t="s">
        <v>1022</v>
      </c>
      <c r="BE859" t="s">
        <v>225</v>
      </c>
    </row>
    <row r="860" spans="1:57" ht="13" x14ac:dyDescent="0.15">
      <c r="A860">
        <v>1839</v>
      </c>
      <c r="B860">
        <v>31750527</v>
      </c>
      <c r="C860" t="s">
        <v>225</v>
      </c>
      <c r="D860" s="7">
        <v>38609</v>
      </c>
      <c r="E860" s="7">
        <v>45709</v>
      </c>
      <c r="F860">
        <v>330862</v>
      </c>
      <c r="G860" t="s">
        <v>983</v>
      </c>
      <c r="H860" t="s">
        <v>9</v>
      </c>
      <c r="I860" s="7">
        <v>45700</v>
      </c>
      <c r="J860" s="8">
        <v>0.63437500000000002</v>
      </c>
      <c r="K860" t="s">
        <v>984</v>
      </c>
      <c r="AQ860" t="s">
        <v>992</v>
      </c>
      <c r="AR860" t="s">
        <v>1502</v>
      </c>
      <c r="AT860" t="s">
        <v>987</v>
      </c>
      <c r="AZ860" t="s">
        <v>1490</v>
      </c>
      <c r="BA860" t="s">
        <v>1491</v>
      </c>
      <c r="BB860" t="s">
        <v>1136</v>
      </c>
      <c r="BD860" t="s">
        <v>1005</v>
      </c>
      <c r="BE860" t="s">
        <v>225</v>
      </c>
    </row>
    <row r="861" spans="1:57" ht="13" x14ac:dyDescent="0.15">
      <c r="A861">
        <v>1839</v>
      </c>
      <c r="B861">
        <v>31750527</v>
      </c>
      <c r="C861" t="s">
        <v>225</v>
      </c>
      <c r="D861" s="7">
        <v>38609</v>
      </c>
      <c r="E861" s="7">
        <v>45709</v>
      </c>
      <c r="F861">
        <v>330862</v>
      </c>
      <c r="G861" t="s">
        <v>983</v>
      </c>
      <c r="H861" t="s">
        <v>9</v>
      </c>
      <c r="I861" s="7">
        <v>45700</v>
      </c>
      <c r="J861" s="8">
        <v>0.5822222222222222</v>
      </c>
      <c r="K861" t="s">
        <v>984</v>
      </c>
      <c r="AQ861" t="s">
        <v>992</v>
      </c>
      <c r="AR861" t="s">
        <v>994</v>
      </c>
      <c r="AT861" t="s">
        <v>987</v>
      </c>
      <c r="BE861" t="s">
        <v>225</v>
      </c>
    </row>
    <row r="862" spans="1:57" ht="13" x14ac:dyDescent="0.15">
      <c r="A862">
        <v>1839</v>
      </c>
      <c r="B862">
        <v>31750527</v>
      </c>
      <c r="C862" t="s">
        <v>225</v>
      </c>
      <c r="D862" s="7">
        <v>38609</v>
      </c>
      <c r="E862" s="7">
        <v>45709</v>
      </c>
      <c r="F862">
        <v>330862</v>
      </c>
      <c r="G862" t="s">
        <v>983</v>
      </c>
      <c r="H862" t="s">
        <v>9</v>
      </c>
      <c r="I862" s="7">
        <v>45628</v>
      </c>
      <c r="J862" s="8">
        <v>0.55096064814814816</v>
      </c>
      <c r="K862" t="s">
        <v>984</v>
      </c>
      <c r="AQ862" t="s">
        <v>992</v>
      </c>
      <c r="AR862" t="s">
        <v>1503</v>
      </c>
      <c r="AT862" t="s">
        <v>987</v>
      </c>
      <c r="AZ862" t="s">
        <v>1055</v>
      </c>
      <c r="BA862" t="s">
        <v>1056</v>
      </c>
      <c r="BB862" t="s">
        <v>1013</v>
      </c>
      <c r="BD862" t="s">
        <v>1022</v>
      </c>
      <c r="BE862" t="s">
        <v>225</v>
      </c>
    </row>
    <row r="863" spans="1:57" ht="13" x14ac:dyDescent="0.15">
      <c r="A863">
        <v>1839</v>
      </c>
      <c r="B863">
        <v>31750603</v>
      </c>
      <c r="C863" t="s">
        <v>1504</v>
      </c>
      <c r="D863" s="7">
        <v>38610</v>
      </c>
      <c r="E863" s="7">
        <v>45696</v>
      </c>
      <c r="F863">
        <v>330862</v>
      </c>
      <c r="G863" t="s">
        <v>983</v>
      </c>
      <c r="H863" t="s">
        <v>9</v>
      </c>
      <c r="I863" s="7">
        <v>45616</v>
      </c>
      <c r="J863" s="8">
        <v>0.8886574074074074</v>
      </c>
      <c r="K863" t="s">
        <v>984</v>
      </c>
      <c r="AQ863" t="s">
        <v>998</v>
      </c>
      <c r="AR863" t="s">
        <v>1399</v>
      </c>
      <c r="AT863" t="s">
        <v>987</v>
      </c>
      <c r="AZ863" t="s">
        <v>1011</v>
      </c>
      <c r="BA863" t="s">
        <v>1103</v>
      </c>
      <c r="BB863" t="s">
        <v>1032</v>
      </c>
      <c r="BD863" t="s">
        <v>1005</v>
      </c>
      <c r="BE863" t="s">
        <v>1504</v>
      </c>
    </row>
    <row r="864" spans="1:57" ht="13" x14ac:dyDescent="0.15">
      <c r="A864">
        <v>1839</v>
      </c>
      <c r="B864">
        <v>31752860</v>
      </c>
      <c r="C864" t="s">
        <v>226</v>
      </c>
      <c r="D864" s="7">
        <v>40161</v>
      </c>
      <c r="E864" s="7">
        <v>45712</v>
      </c>
      <c r="F864">
        <v>330862</v>
      </c>
      <c r="G864" t="s">
        <v>983</v>
      </c>
      <c r="H864" t="s">
        <v>9</v>
      </c>
      <c r="I864" s="7">
        <v>45694</v>
      </c>
      <c r="J864" s="8">
        <v>0.68479166666666669</v>
      </c>
      <c r="K864" t="s">
        <v>984</v>
      </c>
      <c r="AQ864" t="s">
        <v>985</v>
      </c>
      <c r="AR864" t="s">
        <v>993</v>
      </c>
      <c r="AT864" t="s">
        <v>987</v>
      </c>
      <c r="AZ864" t="s">
        <v>988</v>
      </c>
      <c r="BA864" t="s">
        <v>989</v>
      </c>
      <c r="BB864" t="s">
        <v>990</v>
      </c>
      <c r="BD864" t="s">
        <v>991</v>
      </c>
      <c r="BE864" t="s">
        <v>226</v>
      </c>
    </row>
    <row r="865" spans="1:57" ht="13" x14ac:dyDescent="0.15">
      <c r="A865">
        <v>1839</v>
      </c>
      <c r="B865">
        <v>31765916</v>
      </c>
      <c r="C865" t="s">
        <v>227</v>
      </c>
      <c r="D865" s="7">
        <v>38622</v>
      </c>
      <c r="E865" s="7">
        <v>45696</v>
      </c>
      <c r="F865">
        <v>330862</v>
      </c>
      <c r="G865" t="s">
        <v>983</v>
      </c>
      <c r="H865" t="s">
        <v>9</v>
      </c>
      <c r="I865" s="7">
        <v>45694</v>
      </c>
      <c r="J865" s="8">
        <v>0.76253472222222218</v>
      </c>
      <c r="K865" t="s">
        <v>984</v>
      </c>
      <c r="AQ865" t="s">
        <v>992</v>
      </c>
      <c r="AR865" t="s">
        <v>993</v>
      </c>
      <c r="AT865" t="s">
        <v>987</v>
      </c>
      <c r="AZ865" t="s">
        <v>988</v>
      </c>
      <c r="BA865" t="s">
        <v>989</v>
      </c>
      <c r="BB865" t="s">
        <v>990</v>
      </c>
      <c r="BD865" t="s">
        <v>991</v>
      </c>
      <c r="BE865" t="s">
        <v>227</v>
      </c>
    </row>
    <row r="866" spans="1:57" ht="13" x14ac:dyDescent="0.15">
      <c r="A866">
        <v>1839</v>
      </c>
      <c r="B866">
        <v>31771228</v>
      </c>
      <c r="C866" t="s">
        <v>228</v>
      </c>
      <c r="D866" s="7">
        <v>38666</v>
      </c>
      <c r="E866" s="7">
        <v>45701</v>
      </c>
      <c r="F866">
        <v>330862</v>
      </c>
      <c r="G866" t="s">
        <v>983</v>
      </c>
      <c r="H866" t="s">
        <v>9</v>
      </c>
      <c r="I866" s="7">
        <v>45694</v>
      </c>
      <c r="J866" s="8">
        <v>0.47225694444444444</v>
      </c>
      <c r="K866" t="s">
        <v>984</v>
      </c>
      <c r="AQ866" t="s">
        <v>985</v>
      </c>
      <c r="AR866" t="s">
        <v>993</v>
      </c>
      <c r="AT866" t="s">
        <v>987</v>
      </c>
      <c r="AZ866" t="s">
        <v>988</v>
      </c>
      <c r="BA866" t="s">
        <v>989</v>
      </c>
      <c r="BB866" t="s">
        <v>990</v>
      </c>
      <c r="BD866" t="s">
        <v>991</v>
      </c>
      <c r="BE866" t="s">
        <v>228</v>
      </c>
    </row>
    <row r="867" spans="1:57" ht="13" x14ac:dyDescent="0.15">
      <c r="A867">
        <v>1839</v>
      </c>
      <c r="B867">
        <v>31772984</v>
      </c>
      <c r="C867" t="s">
        <v>229</v>
      </c>
      <c r="D867" s="7">
        <v>38649</v>
      </c>
      <c r="E867" s="7">
        <v>45708</v>
      </c>
      <c r="F867">
        <v>330862</v>
      </c>
      <c r="G867" t="s">
        <v>983</v>
      </c>
      <c r="H867" t="s">
        <v>9</v>
      </c>
      <c r="I867" s="7">
        <v>45674</v>
      </c>
      <c r="J867" s="8">
        <v>0.66797453703703702</v>
      </c>
      <c r="K867" t="s">
        <v>984</v>
      </c>
      <c r="AQ867" t="s">
        <v>992</v>
      </c>
      <c r="AR867" t="s">
        <v>1505</v>
      </c>
      <c r="AT867" t="s">
        <v>987</v>
      </c>
      <c r="AZ867" t="s">
        <v>1044</v>
      </c>
      <c r="BA867" t="s">
        <v>1045</v>
      </c>
      <c r="BB867" t="s">
        <v>990</v>
      </c>
      <c r="BD867" t="s">
        <v>991</v>
      </c>
      <c r="BE867" t="s">
        <v>229</v>
      </c>
    </row>
    <row r="868" spans="1:57" ht="13" x14ac:dyDescent="0.15">
      <c r="A868">
        <v>1839</v>
      </c>
      <c r="B868">
        <v>31772984</v>
      </c>
      <c r="C868" t="s">
        <v>229</v>
      </c>
      <c r="D868" s="7">
        <v>38649</v>
      </c>
      <c r="E868" s="7">
        <v>45708</v>
      </c>
      <c r="F868">
        <v>330862</v>
      </c>
      <c r="G868" t="s">
        <v>983</v>
      </c>
      <c r="H868" t="s">
        <v>9</v>
      </c>
      <c r="I868" s="7">
        <v>45674</v>
      </c>
      <c r="J868" s="8">
        <v>0.62288194444444445</v>
      </c>
      <c r="K868" t="s">
        <v>984</v>
      </c>
      <c r="AQ868" t="s">
        <v>992</v>
      </c>
      <c r="AR868" t="s">
        <v>1051</v>
      </c>
      <c r="AT868" t="s">
        <v>987</v>
      </c>
      <c r="AZ868" t="s">
        <v>1002</v>
      </c>
      <c r="BA868" t="s">
        <v>1003</v>
      </c>
      <c r="BB868" t="s">
        <v>1004</v>
      </c>
      <c r="BD868" t="s">
        <v>1005</v>
      </c>
      <c r="BE868" t="s">
        <v>229</v>
      </c>
    </row>
    <row r="869" spans="1:57" ht="13" x14ac:dyDescent="0.15">
      <c r="A869">
        <v>1839</v>
      </c>
      <c r="B869">
        <v>31772984</v>
      </c>
      <c r="C869" t="s">
        <v>229</v>
      </c>
      <c r="D869" s="7">
        <v>38649</v>
      </c>
      <c r="E869" s="7">
        <v>45708</v>
      </c>
      <c r="F869">
        <v>330862</v>
      </c>
      <c r="G869" t="s">
        <v>983</v>
      </c>
      <c r="H869" t="s">
        <v>9</v>
      </c>
      <c r="I869" s="7">
        <v>45694</v>
      </c>
      <c r="J869" s="8">
        <v>0.62351851851851847</v>
      </c>
      <c r="K869" t="s">
        <v>984</v>
      </c>
      <c r="AQ869" t="s">
        <v>992</v>
      </c>
      <c r="AR869" t="s">
        <v>986</v>
      </c>
      <c r="AT869" t="s">
        <v>987</v>
      </c>
      <c r="AZ869" t="s">
        <v>988</v>
      </c>
      <c r="BA869" t="s">
        <v>989</v>
      </c>
      <c r="BB869" t="s">
        <v>990</v>
      </c>
      <c r="BD869" t="s">
        <v>991</v>
      </c>
      <c r="BE869" t="s">
        <v>229</v>
      </c>
    </row>
    <row r="870" spans="1:57" ht="13" x14ac:dyDescent="0.15">
      <c r="A870">
        <v>1839</v>
      </c>
      <c r="B870">
        <v>31772984</v>
      </c>
      <c r="C870" t="s">
        <v>229</v>
      </c>
      <c r="D870" s="7">
        <v>38649</v>
      </c>
      <c r="E870" s="7">
        <v>45708</v>
      </c>
      <c r="F870">
        <v>330862</v>
      </c>
      <c r="G870" t="s">
        <v>983</v>
      </c>
      <c r="H870" t="s">
        <v>9</v>
      </c>
      <c r="I870" s="7">
        <v>45695</v>
      </c>
      <c r="J870" s="8">
        <v>0.82185185185185183</v>
      </c>
      <c r="K870" t="s">
        <v>984</v>
      </c>
      <c r="AQ870" t="s">
        <v>992</v>
      </c>
      <c r="AR870" t="s">
        <v>1433</v>
      </c>
      <c r="AT870" t="s">
        <v>987</v>
      </c>
      <c r="AZ870" t="s">
        <v>1220</v>
      </c>
      <c r="BA870" t="s">
        <v>1221</v>
      </c>
      <c r="BB870" t="s">
        <v>1082</v>
      </c>
      <c r="BD870" t="s">
        <v>991</v>
      </c>
      <c r="BE870" t="s">
        <v>229</v>
      </c>
    </row>
    <row r="871" spans="1:57" ht="13" x14ac:dyDescent="0.15">
      <c r="A871">
        <v>1839</v>
      </c>
      <c r="B871">
        <v>31772984</v>
      </c>
      <c r="C871" t="s">
        <v>229</v>
      </c>
      <c r="D871" s="7">
        <v>38649</v>
      </c>
      <c r="E871" s="7">
        <v>45708</v>
      </c>
      <c r="F871">
        <v>330862</v>
      </c>
      <c r="G871" t="s">
        <v>983</v>
      </c>
      <c r="H871" t="s">
        <v>9</v>
      </c>
      <c r="I871" s="7">
        <v>45695</v>
      </c>
      <c r="J871" s="8">
        <v>0.72614583333333338</v>
      </c>
      <c r="K871" t="s">
        <v>984</v>
      </c>
      <c r="AQ871" t="s">
        <v>992</v>
      </c>
      <c r="AR871" t="s">
        <v>1506</v>
      </c>
      <c r="AT871" t="s">
        <v>987</v>
      </c>
      <c r="AZ871" t="s">
        <v>1080</v>
      </c>
      <c r="BA871" t="s">
        <v>1081</v>
      </c>
      <c r="BB871" t="s">
        <v>1082</v>
      </c>
      <c r="BD871" t="s">
        <v>991</v>
      </c>
      <c r="BE871" t="s">
        <v>229</v>
      </c>
    </row>
    <row r="872" spans="1:57" ht="13" x14ac:dyDescent="0.15">
      <c r="A872">
        <v>1839</v>
      </c>
      <c r="B872">
        <v>31772984</v>
      </c>
      <c r="C872" t="s">
        <v>229</v>
      </c>
      <c r="D872" s="7">
        <v>38649</v>
      </c>
      <c r="E872" s="7">
        <v>45708</v>
      </c>
      <c r="F872">
        <v>330862</v>
      </c>
      <c r="G872" t="s">
        <v>983</v>
      </c>
      <c r="H872" t="s">
        <v>9</v>
      </c>
      <c r="I872" s="7">
        <v>45695</v>
      </c>
      <c r="J872" s="8">
        <v>0.71884259259259264</v>
      </c>
      <c r="K872" t="s">
        <v>984</v>
      </c>
      <c r="AQ872" t="s">
        <v>992</v>
      </c>
      <c r="AR872" t="s">
        <v>1263</v>
      </c>
      <c r="AT872" t="s">
        <v>987</v>
      </c>
      <c r="AZ872" t="s">
        <v>1182</v>
      </c>
      <c r="BA872" t="s">
        <v>1183</v>
      </c>
      <c r="BB872" t="s">
        <v>990</v>
      </c>
      <c r="BD872" t="s">
        <v>991</v>
      </c>
      <c r="BE872" t="s">
        <v>229</v>
      </c>
    </row>
    <row r="873" spans="1:57" ht="13" x14ac:dyDescent="0.15">
      <c r="A873">
        <v>1839</v>
      </c>
      <c r="B873">
        <v>31772984</v>
      </c>
      <c r="C873" t="s">
        <v>229</v>
      </c>
      <c r="D873" s="7">
        <v>38649</v>
      </c>
      <c r="E873" s="7">
        <v>45708</v>
      </c>
      <c r="F873">
        <v>330862</v>
      </c>
      <c r="G873" t="s">
        <v>983</v>
      </c>
      <c r="H873" t="s">
        <v>9</v>
      </c>
      <c r="I873" s="7">
        <v>45695</v>
      </c>
      <c r="J873" s="8">
        <v>0.8270601851851852</v>
      </c>
      <c r="K873" t="s">
        <v>984</v>
      </c>
      <c r="AQ873" t="s">
        <v>992</v>
      </c>
      <c r="AR873" t="s">
        <v>1507</v>
      </c>
      <c r="AT873" t="s">
        <v>987</v>
      </c>
      <c r="AZ873" t="s">
        <v>1028</v>
      </c>
      <c r="BA873" t="s">
        <v>1037</v>
      </c>
      <c r="BB873" t="s">
        <v>1038</v>
      </c>
      <c r="BD873" t="s">
        <v>991</v>
      </c>
      <c r="BE873" t="s">
        <v>229</v>
      </c>
    </row>
    <row r="874" spans="1:57" ht="13" x14ac:dyDescent="0.15">
      <c r="A874">
        <v>1839</v>
      </c>
      <c r="B874">
        <v>31781883</v>
      </c>
      <c r="C874" t="s">
        <v>230</v>
      </c>
      <c r="D874" s="7">
        <v>41096</v>
      </c>
      <c r="E874" s="7">
        <v>45702</v>
      </c>
      <c r="F874">
        <v>330862</v>
      </c>
      <c r="G874" t="s">
        <v>983</v>
      </c>
      <c r="H874" t="s">
        <v>9</v>
      </c>
      <c r="I874" s="7">
        <v>45702</v>
      </c>
      <c r="J874" s="8">
        <v>0.49574074074074076</v>
      </c>
      <c r="K874" t="s">
        <v>984</v>
      </c>
      <c r="AQ874" t="s">
        <v>992</v>
      </c>
      <c r="AR874" t="s">
        <v>1508</v>
      </c>
      <c r="AT874" t="s">
        <v>987</v>
      </c>
      <c r="AZ874" t="s">
        <v>988</v>
      </c>
      <c r="BA874" t="s">
        <v>989</v>
      </c>
      <c r="BB874" t="s">
        <v>990</v>
      </c>
      <c r="BD874" t="s">
        <v>991</v>
      </c>
      <c r="BE874" t="s">
        <v>230</v>
      </c>
    </row>
    <row r="875" spans="1:57" ht="13" x14ac:dyDescent="0.15">
      <c r="A875">
        <v>1839</v>
      </c>
      <c r="B875">
        <v>31785060</v>
      </c>
      <c r="C875" t="s">
        <v>231</v>
      </c>
      <c r="D875" s="7">
        <v>41739</v>
      </c>
      <c r="E875" s="7">
        <v>45695</v>
      </c>
      <c r="F875">
        <v>330862</v>
      </c>
      <c r="G875" t="s">
        <v>983</v>
      </c>
      <c r="H875" t="s">
        <v>9</v>
      </c>
      <c r="I875" s="7">
        <v>45679</v>
      </c>
      <c r="J875" s="8">
        <v>0.4974189814814815</v>
      </c>
      <c r="K875" t="s">
        <v>984</v>
      </c>
      <c r="AQ875" t="s">
        <v>985</v>
      </c>
      <c r="AR875" t="s">
        <v>1509</v>
      </c>
      <c r="AT875" t="s">
        <v>987</v>
      </c>
      <c r="AZ875" t="s">
        <v>1016</v>
      </c>
      <c r="BA875" t="s">
        <v>1017</v>
      </c>
      <c r="BB875" t="s">
        <v>1018</v>
      </c>
      <c r="BD875" t="s">
        <v>991</v>
      </c>
      <c r="BE875" t="s">
        <v>231</v>
      </c>
    </row>
    <row r="876" spans="1:57" ht="13" x14ac:dyDescent="0.15">
      <c r="A876">
        <v>1839</v>
      </c>
      <c r="B876">
        <v>31785060</v>
      </c>
      <c r="C876" t="s">
        <v>231</v>
      </c>
      <c r="D876" s="7">
        <v>41739</v>
      </c>
      <c r="E876" s="7">
        <v>45695</v>
      </c>
      <c r="F876">
        <v>330862</v>
      </c>
      <c r="G876" t="s">
        <v>983</v>
      </c>
      <c r="H876" t="s">
        <v>9</v>
      </c>
      <c r="I876" s="7">
        <v>45674</v>
      </c>
      <c r="J876" s="8">
        <v>0.59718749999999998</v>
      </c>
      <c r="K876" t="s">
        <v>984</v>
      </c>
      <c r="AQ876" t="s">
        <v>985</v>
      </c>
      <c r="AR876" t="s">
        <v>1095</v>
      </c>
      <c r="AT876" t="s">
        <v>987</v>
      </c>
      <c r="AZ876" t="s">
        <v>1002</v>
      </c>
      <c r="BA876" t="s">
        <v>1003</v>
      </c>
      <c r="BB876" t="s">
        <v>1004</v>
      </c>
      <c r="BD876" t="s">
        <v>1005</v>
      </c>
      <c r="BE876" t="s">
        <v>231</v>
      </c>
    </row>
    <row r="877" spans="1:57" ht="13" x14ac:dyDescent="0.15">
      <c r="A877">
        <v>1839</v>
      </c>
      <c r="B877">
        <v>31785060</v>
      </c>
      <c r="C877" t="s">
        <v>231</v>
      </c>
      <c r="D877" s="7">
        <v>41739</v>
      </c>
      <c r="E877" s="7">
        <v>45695</v>
      </c>
      <c r="F877">
        <v>336444</v>
      </c>
      <c r="G877" t="s">
        <v>995</v>
      </c>
      <c r="H877" t="s">
        <v>12</v>
      </c>
      <c r="I877" s="7">
        <v>45674</v>
      </c>
      <c r="J877" s="8">
        <v>0.6028472222222222</v>
      </c>
      <c r="K877" t="s">
        <v>984</v>
      </c>
      <c r="AQ877" t="s">
        <v>996</v>
      </c>
      <c r="BE877" t="s">
        <v>231</v>
      </c>
    </row>
    <row r="878" spans="1:57" ht="13" x14ac:dyDescent="0.15">
      <c r="A878">
        <v>1839</v>
      </c>
      <c r="B878">
        <v>31791059</v>
      </c>
      <c r="C878" t="s">
        <v>232</v>
      </c>
      <c r="D878" s="7">
        <v>41739</v>
      </c>
      <c r="E878" s="7">
        <v>45663</v>
      </c>
      <c r="F878">
        <v>330862</v>
      </c>
      <c r="G878" t="s">
        <v>983</v>
      </c>
      <c r="H878" t="s">
        <v>9</v>
      </c>
      <c r="I878" s="7">
        <v>45663</v>
      </c>
      <c r="J878" s="8">
        <v>0.75561342592592595</v>
      </c>
      <c r="K878" t="s">
        <v>984</v>
      </c>
      <c r="AQ878" t="s">
        <v>992</v>
      </c>
      <c r="AR878" t="s">
        <v>1510</v>
      </c>
      <c r="AT878" t="s">
        <v>987</v>
      </c>
      <c r="AZ878" t="s">
        <v>1071</v>
      </c>
      <c r="BA878" t="s">
        <v>1072</v>
      </c>
      <c r="BB878" t="s">
        <v>1048</v>
      </c>
      <c r="BD878" t="s">
        <v>1005</v>
      </c>
      <c r="BE878" t="s">
        <v>232</v>
      </c>
    </row>
    <row r="879" spans="1:57" ht="13" x14ac:dyDescent="0.15">
      <c r="A879">
        <v>1839</v>
      </c>
      <c r="B879">
        <v>31791059</v>
      </c>
      <c r="C879" t="s">
        <v>232</v>
      </c>
      <c r="D879" s="7">
        <v>41739</v>
      </c>
      <c r="E879" s="7">
        <v>45663</v>
      </c>
      <c r="F879">
        <v>330862</v>
      </c>
      <c r="G879" t="s">
        <v>983</v>
      </c>
      <c r="H879" t="s">
        <v>9</v>
      </c>
      <c r="I879" s="7">
        <v>45663</v>
      </c>
      <c r="J879" s="8">
        <v>0.74594907407407407</v>
      </c>
      <c r="K879" t="s">
        <v>984</v>
      </c>
      <c r="AQ879" t="s">
        <v>992</v>
      </c>
      <c r="AR879" t="s">
        <v>1307</v>
      </c>
      <c r="AT879" t="s">
        <v>987</v>
      </c>
      <c r="AZ879" t="s">
        <v>1002</v>
      </c>
      <c r="BA879" t="s">
        <v>1003</v>
      </c>
      <c r="BB879" t="s">
        <v>1004</v>
      </c>
      <c r="BD879" t="s">
        <v>1005</v>
      </c>
      <c r="BE879" t="s">
        <v>232</v>
      </c>
    </row>
    <row r="880" spans="1:57" ht="13" x14ac:dyDescent="0.15">
      <c r="A880">
        <v>1839</v>
      </c>
      <c r="B880">
        <v>31791059</v>
      </c>
      <c r="C880" t="s">
        <v>232</v>
      </c>
      <c r="D880" s="7">
        <v>41739</v>
      </c>
      <c r="E880" s="7">
        <v>45663</v>
      </c>
      <c r="F880">
        <v>330862</v>
      </c>
      <c r="G880" t="s">
        <v>983</v>
      </c>
      <c r="H880" t="s">
        <v>9</v>
      </c>
      <c r="I880" s="7">
        <v>45663</v>
      </c>
      <c r="J880" s="8">
        <v>0.7509837962962963</v>
      </c>
      <c r="K880" t="s">
        <v>984</v>
      </c>
      <c r="AQ880" t="s">
        <v>992</v>
      </c>
      <c r="AR880" t="s">
        <v>1511</v>
      </c>
      <c r="AT880" t="s">
        <v>987</v>
      </c>
      <c r="AZ880" t="s">
        <v>1028</v>
      </c>
      <c r="BA880" t="s">
        <v>1068</v>
      </c>
      <c r="BB880" t="s">
        <v>1069</v>
      </c>
      <c r="BD880" t="s">
        <v>1005</v>
      </c>
      <c r="BE880" t="s">
        <v>232</v>
      </c>
    </row>
    <row r="881" spans="1:57" ht="13" x14ac:dyDescent="0.15">
      <c r="A881">
        <v>1839</v>
      </c>
      <c r="B881">
        <v>31791059</v>
      </c>
      <c r="C881" t="s">
        <v>232</v>
      </c>
      <c r="D881" s="7">
        <v>41739</v>
      </c>
      <c r="E881" s="7">
        <v>45663</v>
      </c>
      <c r="F881">
        <v>330862</v>
      </c>
      <c r="G881" t="s">
        <v>983</v>
      </c>
      <c r="H881" t="s">
        <v>9</v>
      </c>
      <c r="I881" s="7">
        <v>45663</v>
      </c>
      <c r="J881" s="8">
        <v>0.75802083333333337</v>
      </c>
      <c r="K881" t="s">
        <v>984</v>
      </c>
      <c r="AQ881" t="s">
        <v>992</v>
      </c>
      <c r="AR881" t="s">
        <v>1512</v>
      </c>
      <c r="AT881" t="s">
        <v>987</v>
      </c>
      <c r="AZ881" t="s">
        <v>1007</v>
      </c>
      <c r="BA881" t="s">
        <v>1008</v>
      </c>
      <c r="BB881" t="s">
        <v>990</v>
      </c>
      <c r="BD881" t="s">
        <v>1005</v>
      </c>
      <c r="BE881" t="s">
        <v>232</v>
      </c>
    </row>
    <row r="882" spans="1:57" ht="13" x14ac:dyDescent="0.15">
      <c r="A882">
        <v>1839</v>
      </c>
      <c r="B882">
        <v>31791059</v>
      </c>
      <c r="C882" t="s">
        <v>232</v>
      </c>
      <c r="D882" s="7">
        <v>41739</v>
      </c>
      <c r="E882" s="7">
        <v>45663</v>
      </c>
      <c r="F882">
        <v>330862</v>
      </c>
      <c r="G882" t="s">
        <v>983</v>
      </c>
      <c r="H882" t="s">
        <v>9</v>
      </c>
      <c r="I882" s="7">
        <v>45663</v>
      </c>
      <c r="J882" s="8">
        <v>0.76111111111111107</v>
      </c>
      <c r="K882" t="s">
        <v>984</v>
      </c>
      <c r="AQ882" t="s">
        <v>992</v>
      </c>
      <c r="AR882" t="s">
        <v>1513</v>
      </c>
      <c r="AT882" t="s">
        <v>987</v>
      </c>
      <c r="AZ882" t="s">
        <v>988</v>
      </c>
      <c r="BA882" t="s">
        <v>1058</v>
      </c>
      <c r="BB882" t="s">
        <v>1018</v>
      </c>
      <c r="BD882" t="s">
        <v>1005</v>
      </c>
      <c r="BE882" t="s">
        <v>232</v>
      </c>
    </row>
    <row r="883" spans="1:57" ht="13" x14ac:dyDescent="0.15">
      <c r="A883">
        <v>1839</v>
      </c>
      <c r="B883">
        <v>31817200</v>
      </c>
      <c r="C883" t="s">
        <v>233</v>
      </c>
      <c r="D883" s="7">
        <v>41580</v>
      </c>
      <c r="E883" s="7">
        <v>45713</v>
      </c>
      <c r="F883">
        <v>330862</v>
      </c>
      <c r="G883" t="s">
        <v>983</v>
      </c>
      <c r="H883" t="s">
        <v>9</v>
      </c>
      <c r="I883" s="7">
        <v>45679</v>
      </c>
      <c r="J883" s="8">
        <v>0.77627314814814818</v>
      </c>
      <c r="K883" t="s">
        <v>984</v>
      </c>
      <c r="AQ883" t="s">
        <v>992</v>
      </c>
      <c r="AR883" t="s">
        <v>1514</v>
      </c>
      <c r="AT883" t="s">
        <v>987</v>
      </c>
      <c r="AZ883" t="s">
        <v>1016</v>
      </c>
      <c r="BA883" t="s">
        <v>1017</v>
      </c>
      <c r="BB883" t="s">
        <v>1018</v>
      </c>
      <c r="BD883" t="s">
        <v>991</v>
      </c>
      <c r="BE883" t="s">
        <v>233</v>
      </c>
    </row>
    <row r="884" spans="1:57" ht="13" x14ac:dyDescent="0.15">
      <c r="A884">
        <v>1839</v>
      </c>
      <c r="B884">
        <v>31823681</v>
      </c>
      <c r="C884" t="s">
        <v>1515</v>
      </c>
      <c r="D884" s="7">
        <v>41647</v>
      </c>
      <c r="E884" s="7">
        <v>45644</v>
      </c>
      <c r="F884">
        <v>330862</v>
      </c>
      <c r="G884" t="s">
        <v>983</v>
      </c>
      <c r="H884" t="s">
        <v>9</v>
      </c>
      <c r="I884" s="7">
        <v>45642</v>
      </c>
      <c r="J884" s="8">
        <v>0.57825231481481476</v>
      </c>
      <c r="K884" t="s">
        <v>984</v>
      </c>
      <c r="AQ884" t="s">
        <v>1273</v>
      </c>
      <c r="AR884" t="s">
        <v>1328</v>
      </c>
      <c r="AS884" t="s">
        <v>1516</v>
      </c>
      <c r="AT884" t="s">
        <v>987</v>
      </c>
      <c r="BE884" t="s">
        <v>1515</v>
      </c>
    </row>
    <row r="885" spans="1:57" ht="13" x14ac:dyDescent="0.15">
      <c r="A885">
        <v>1839</v>
      </c>
      <c r="B885">
        <v>31838412</v>
      </c>
      <c r="C885" t="s">
        <v>234</v>
      </c>
      <c r="D885" s="7">
        <v>41739</v>
      </c>
      <c r="E885" s="7">
        <v>45696</v>
      </c>
      <c r="F885">
        <v>330862</v>
      </c>
      <c r="G885" t="s">
        <v>983</v>
      </c>
      <c r="H885" t="s">
        <v>9</v>
      </c>
      <c r="I885" s="7">
        <v>45696</v>
      </c>
      <c r="J885" s="8">
        <v>0.61645833333333333</v>
      </c>
      <c r="K885" t="s">
        <v>984</v>
      </c>
      <c r="AQ885" t="s">
        <v>985</v>
      </c>
      <c r="AR885" t="s">
        <v>1517</v>
      </c>
      <c r="AT885" t="s">
        <v>987</v>
      </c>
      <c r="AZ885" t="s">
        <v>1080</v>
      </c>
      <c r="BA885" t="s">
        <v>1081</v>
      </c>
      <c r="BB885" t="s">
        <v>1082</v>
      </c>
      <c r="BD885" t="s">
        <v>991</v>
      </c>
      <c r="BE885" t="s">
        <v>234</v>
      </c>
    </row>
    <row r="886" spans="1:57" ht="13" x14ac:dyDescent="0.15">
      <c r="A886">
        <v>1839</v>
      </c>
      <c r="B886">
        <v>31838412</v>
      </c>
      <c r="C886" t="s">
        <v>234</v>
      </c>
      <c r="D886" s="7">
        <v>41739</v>
      </c>
      <c r="E886" s="7">
        <v>45696</v>
      </c>
      <c r="F886">
        <v>330862</v>
      </c>
      <c r="G886" t="s">
        <v>983</v>
      </c>
      <c r="H886" t="s">
        <v>9</v>
      </c>
      <c r="I886" s="7">
        <v>45696</v>
      </c>
      <c r="J886" s="8">
        <v>0.58193287037037034</v>
      </c>
      <c r="K886" t="s">
        <v>984</v>
      </c>
      <c r="AQ886" t="s">
        <v>985</v>
      </c>
      <c r="AR886" t="s">
        <v>1039</v>
      </c>
      <c r="AT886" t="s">
        <v>987</v>
      </c>
      <c r="AZ886" t="s">
        <v>1002</v>
      </c>
      <c r="BA886" t="s">
        <v>1040</v>
      </c>
      <c r="BB886" t="s">
        <v>1041</v>
      </c>
      <c r="BD886" t="s">
        <v>991</v>
      </c>
      <c r="BE886" t="s">
        <v>234</v>
      </c>
    </row>
    <row r="887" spans="1:57" ht="13" x14ac:dyDescent="0.15">
      <c r="A887">
        <v>1839</v>
      </c>
      <c r="B887">
        <v>31838412</v>
      </c>
      <c r="C887" t="s">
        <v>234</v>
      </c>
      <c r="D887" s="7">
        <v>41739</v>
      </c>
      <c r="E887" s="7">
        <v>45696</v>
      </c>
      <c r="F887">
        <v>330862</v>
      </c>
      <c r="G887" t="s">
        <v>983</v>
      </c>
      <c r="H887" t="s">
        <v>9</v>
      </c>
      <c r="I887" s="7">
        <v>45696</v>
      </c>
      <c r="J887" s="8">
        <v>0.56490740740740741</v>
      </c>
      <c r="K887" t="s">
        <v>984</v>
      </c>
      <c r="AQ887" t="s">
        <v>985</v>
      </c>
      <c r="AR887" t="s">
        <v>1219</v>
      </c>
      <c r="AT887" t="s">
        <v>987</v>
      </c>
      <c r="AZ887" t="s">
        <v>1220</v>
      </c>
      <c r="BA887" t="s">
        <v>1221</v>
      </c>
      <c r="BB887" t="s">
        <v>1082</v>
      </c>
      <c r="BD887" t="s">
        <v>991</v>
      </c>
      <c r="BE887" t="s">
        <v>234</v>
      </c>
    </row>
    <row r="888" spans="1:57" ht="13" x14ac:dyDescent="0.15">
      <c r="A888">
        <v>1839</v>
      </c>
      <c r="B888">
        <v>31838412</v>
      </c>
      <c r="C888" t="s">
        <v>234</v>
      </c>
      <c r="D888" s="7">
        <v>41739</v>
      </c>
      <c r="E888" s="7">
        <v>45696</v>
      </c>
      <c r="F888">
        <v>330862</v>
      </c>
      <c r="G888" t="s">
        <v>983</v>
      </c>
      <c r="H888" t="s">
        <v>9</v>
      </c>
      <c r="I888" s="7">
        <v>45696</v>
      </c>
      <c r="J888" s="8">
        <v>0.6129282407407407</v>
      </c>
      <c r="K888" t="s">
        <v>984</v>
      </c>
      <c r="AQ888" t="s">
        <v>985</v>
      </c>
      <c r="AR888" t="s">
        <v>1479</v>
      </c>
      <c r="AT888" t="s">
        <v>987</v>
      </c>
      <c r="AZ888" t="s">
        <v>1174</v>
      </c>
      <c r="BA888" t="s">
        <v>1175</v>
      </c>
      <c r="BB888" t="s">
        <v>990</v>
      </c>
      <c r="BD888" t="s">
        <v>991</v>
      </c>
      <c r="BE888" t="s">
        <v>234</v>
      </c>
    </row>
    <row r="889" spans="1:57" ht="13" x14ac:dyDescent="0.15">
      <c r="A889">
        <v>1839</v>
      </c>
      <c r="B889">
        <v>31851256</v>
      </c>
      <c r="C889" t="s">
        <v>235</v>
      </c>
      <c r="D889" s="7">
        <v>39999</v>
      </c>
      <c r="E889" s="7">
        <v>45703</v>
      </c>
      <c r="F889">
        <v>330862</v>
      </c>
      <c r="G889" t="s">
        <v>983</v>
      </c>
      <c r="H889" t="s">
        <v>9</v>
      </c>
      <c r="I889" s="7">
        <v>45638</v>
      </c>
      <c r="J889" s="8">
        <v>0.72315972222222225</v>
      </c>
      <c r="K889" t="s">
        <v>984</v>
      </c>
      <c r="AQ889" t="s">
        <v>992</v>
      </c>
      <c r="AR889" t="s">
        <v>1106</v>
      </c>
      <c r="AT889" t="s">
        <v>987</v>
      </c>
      <c r="AZ889" t="s">
        <v>1020</v>
      </c>
      <c r="BA889" t="s">
        <v>1021</v>
      </c>
      <c r="BB889" t="s">
        <v>1018</v>
      </c>
      <c r="BD889" t="s">
        <v>1022</v>
      </c>
      <c r="BE889" t="s">
        <v>235</v>
      </c>
    </row>
    <row r="890" spans="1:57" ht="13" x14ac:dyDescent="0.15">
      <c r="A890">
        <v>1839</v>
      </c>
      <c r="B890">
        <v>31851256</v>
      </c>
      <c r="C890" t="s">
        <v>235</v>
      </c>
      <c r="D890" s="7">
        <v>39999</v>
      </c>
      <c r="E890" s="7">
        <v>45703</v>
      </c>
      <c r="F890">
        <v>330862</v>
      </c>
      <c r="G890" t="s">
        <v>983</v>
      </c>
      <c r="H890" t="s">
        <v>9</v>
      </c>
      <c r="I890" s="7">
        <v>45638</v>
      </c>
      <c r="J890" s="8">
        <v>0.72555555555555551</v>
      </c>
      <c r="K890" t="s">
        <v>984</v>
      </c>
      <c r="AQ890" t="s">
        <v>992</v>
      </c>
      <c r="AR890" t="s">
        <v>1518</v>
      </c>
      <c r="AT890" t="s">
        <v>987</v>
      </c>
      <c r="AZ890" t="s">
        <v>1239</v>
      </c>
      <c r="BA890" t="s">
        <v>1281</v>
      </c>
      <c r="BB890" t="s">
        <v>1026</v>
      </c>
      <c r="BD890" t="s">
        <v>1022</v>
      </c>
      <c r="BE890" t="s">
        <v>235</v>
      </c>
    </row>
    <row r="891" spans="1:57" ht="13" x14ac:dyDescent="0.15">
      <c r="A891">
        <v>1839</v>
      </c>
      <c r="B891">
        <v>31851256</v>
      </c>
      <c r="C891" t="s">
        <v>235</v>
      </c>
      <c r="D891" s="7">
        <v>39999</v>
      </c>
      <c r="E891" s="7">
        <v>45703</v>
      </c>
      <c r="F891">
        <v>330862</v>
      </c>
      <c r="G891" t="s">
        <v>983</v>
      </c>
      <c r="H891" t="s">
        <v>9</v>
      </c>
      <c r="I891" s="7">
        <v>45703</v>
      </c>
      <c r="J891" s="8">
        <v>0.7795023148148148</v>
      </c>
      <c r="K891" t="s">
        <v>984</v>
      </c>
      <c r="AQ891" t="s">
        <v>992</v>
      </c>
      <c r="AR891" t="s">
        <v>1207</v>
      </c>
      <c r="AT891" t="s">
        <v>987</v>
      </c>
      <c r="AZ891" t="s">
        <v>988</v>
      </c>
      <c r="BA891" t="s">
        <v>989</v>
      </c>
      <c r="BB891" t="s">
        <v>990</v>
      </c>
      <c r="BD891" t="s">
        <v>991</v>
      </c>
      <c r="BE891" t="s">
        <v>235</v>
      </c>
    </row>
    <row r="892" spans="1:57" ht="13" x14ac:dyDescent="0.15">
      <c r="A892">
        <v>1839</v>
      </c>
      <c r="B892">
        <v>31851256</v>
      </c>
      <c r="C892" t="s">
        <v>235</v>
      </c>
      <c r="D892" s="7">
        <v>39999</v>
      </c>
      <c r="E892" s="7">
        <v>45703</v>
      </c>
      <c r="F892">
        <v>330862</v>
      </c>
      <c r="G892" t="s">
        <v>983</v>
      </c>
      <c r="H892" t="s">
        <v>9</v>
      </c>
      <c r="I892" s="7">
        <v>45703</v>
      </c>
      <c r="J892" s="8">
        <v>0.78868055555555561</v>
      </c>
      <c r="K892" t="s">
        <v>984</v>
      </c>
      <c r="AQ892" t="s">
        <v>992</v>
      </c>
      <c r="AR892" t="s">
        <v>1519</v>
      </c>
      <c r="AT892" t="s">
        <v>987</v>
      </c>
      <c r="AZ892" t="s">
        <v>1080</v>
      </c>
      <c r="BA892" t="s">
        <v>1081</v>
      </c>
      <c r="BB892" t="s">
        <v>1082</v>
      </c>
      <c r="BD892" t="s">
        <v>991</v>
      </c>
      <c r="BE892" t="s">
        <v>235</v>
      </c>
    </row>
    <row r="893" spans="1:57" ht="13" x14ac:dyDescent="0.15">
      <c r="A893">
        <v>1839</v>
      </c>
      <c r="B893">
        <v>31851256</v>
      </c>
      <c r="C893" t="s">
        <v>235</v>
      </c>
      <c r="D893" s="7">
        <v>39999</v>
      </c>
      <c r="E893" s="7">
        <v>45703</v>
      </c>
      <c r="F893">
        <v>330862</v>
      </c>
      <c r="G893" t="s">
        <v>983</v>
      </c>
      <c r="H893" t="s">
        <v>9</v>
      </c>
      <c r="I893" s="7">
        <v>45703</v>
      </c>
      <c r="J893" s="8">
        <v>0.79276620370370365</v>
      </c>
      <c r="K893" t="s">
        <v>984</v>
      </c>
      <c r="AQ893" t="s">
        <v>992</v>
      </c>
      <c r="AR893" t="s">
        <v>1341</v>
      </c>
      <c r="AT893" t="s">
        <v>987</v>
      </c>
      <c r="AZ893" t="s">
        <v>1174</v>
      </c>
      <c r="BA893" t="s">
        <v>1175</v>
      </c>
      <c r="BB893" t="s">
        <v>990</v>
      </c>
      <c r="BD893" t="s">
        <v>991</v>
      </c>
      <c r="BE893" t="s">
        <v>235</v>
      </c>
    </row>
    <row r="894" spans="1:57" ht="13" x14ac:dyDescent="0.15">
      <c r="A894">
        <v>1839</v>
      </c>
      <c r="B894">
        <v>31851256</v>
      </c>
      <c r="C894" t="s">
        <v>235</v>
      </c>
      <c r="D894" s="7">
        <v>39999</v>
      </c>
      <c r="E894" s="7">
        <v>45703</v>
      </c>
      <c r="F894">
        <v>330862</v>
      </c>
      <c r="G894" t="s">
        <v>983</v>
      </c>
      <c r="H894" t="s">
        <v>9</v>
      </c>
      <c r="I894" s="7">
        <v>45703</v>
      </c>
      <c r="J894" s="8">
        <v>0.79819444444444443</v>
      </c>
      <c r="K894" t="s">
        <v>984</v>
      </c>
      <c r="AQ894" t="s">
        <v>992</v>
      </c>
      <c r="AR894" t="s">
        <v>1290</v>
      </c>
      <c r="AT894" t="s">
        <v>987</v>
      </c>
      <c r="AZ894" t="s">
        <v>1182</v>
      </c>
      <c r="BA894" t="s">
        <v>1183</v>
      </c>
      <c r="BB894" t="s">
        <v>990</v>
      </c>
      <c r="BD894" t="s">
        <v>991</v>
      </c>
      <c r="BE894" t="s">
        <v>235</v>
      </c>
    </row>
    <row r="895" spans="1:57" ht="13" x14ac:dyDescent="0.15">
      <c r="A895">
        <v>1839</v>
      </c>
      <c r="B895">
        <v>31851256</v>
      </c>
      <c r="C895" t="s">
        <v>235</v>
      </c>
      <c r="D895" s="7">
        <v>39999</v>
      </c>
      <c r="E895" s="7">
        <v>45703</v>
      </c>
      <c r="F895">
        <v>330862</v>
      </c>
      <c r="G895" t="s">
        <v>983</v>
      </c>
      <c r="H895" t="s">
        <v>9</v>
      </c>
      <c r="I895" s="7">
        <v>45682</v>
      </c>
      <c r="J895" s="8">
        <v>0.74630787037037039</v>
      </c>
      <c r="K895" t="s">
        <v>984</v>
      </c>
      <c r="AQ895" t="s">
        <v>992</v>
      </c>
      <c r="AR895" t="s">
        <v>1520</v>
      </c>
      <c r="AT895" t="s">
        <v>987</v>
      </c>
      <c r="AZ895" t="s">
        <v>1028</v>
      </c>
      <c r="BA895" t="s">
        <v>1068</v>
      </c>
      <c r="BB895" t="s">
        <v>1069</v>
      </c>
      <c r="BD895" t="s">
        <v>1005</v>
      </c>
      <c r="BE895" t="s">
        <v>235</v>
      </c>
    </row>
    <row r="896" spans="1:57" ht="13" x14ac:dyDescent="0.15">
      <c r="A896">
        <v>1839</v>
      </c>
      <c r="B896">
        <v>31851256</v>
      </c>
      <c r="C896" t="s">
        <v>235</v>
      </c>
      <c r="D896" s="7">
        <v>39999</v>
      </c>
      <c r="E896" s="7">
        <v>45703</v>
      </c>
      <c r="F896">
        <v>330862</v>
      </c>
      <c r="G896" t="s">
        <v>983</v>
      </c>
      <c r="H896" t="s">
        <v>9</v>
      </c>
      <c r="I896" s="7">
        <v>45682</v>
      </c>
      <c r="J896" s="8">
        <v>0.75048611111111108</v>
      </c>
      <c r="K896" t="s">
        <v>984</v>
      </c>
      <c r="AQ896" t="s">
        <v>992</v>
      </c>
      <c r="AR896" t="s">
        <v>1521</v>
      </c>
      <c r="AT896" t="s">
        <v>987</v>
      </c>
      <c r="AZ896" t="s">
        <v>1071</v>
      </c>
      <c r="BA896" t="s">
        <v>1072</v>
      </c>
      <c r="BB896" t="s">
        <v>1048</v>
      </c>
      <c r="BD896" t="s">
        <v>1005</v>
      </c>
      <c r="BE896" t="s">
        <v>235</v>
      </c>
    </row>
    <row r="897" spans="1:57" ht="13" x14ac:dyDescent="0.15">
      <c r="A897">
        <v>1839</v>
      </c>
      <c r="B897">
        <v>31851256</v>
      </c>
      <c r="C897" t="s">
        <v>235</v>
      </c>
      <c r="D897" s="7">
        <v>39999</v>
      </c>
      <c r="E897" s="7">
        <v>45703</v>
      </c>
      <c r="F897">
        <v>330862</v>
      </c>
      <c r="G897" t="s">
        <v>983</v>
      </c>
      <c r="H897" t="s">
        <v>9</v>
      </c>
      <c r="I897" s="7">
        <v>45682</v>
      </c>
      <c r="J897" s="8">
        <v>0.75896990740740744</v>
      </c>
      <c r="K897" t="s">
        <v>984</v>
      </c>
      <c r="AQ897" t="s">
        <v>992</v>
      </c>
      <c r="AR897" t="s">
        <v>1318</v>
      </c>
      <c r="AT897" t="s">
        <v>987</v>
      </c>
      <c r="AZ897" t="s">
        <v>1007</v>
      </c>
      <c r="BA897" t="s">
        <v>1008</v>
      </c>
      <c r="BB897" t="s">
        <v>990</v>
      </c>
      <c r="BD897" t="s">
        <v>1005</v>
      </c>
      <c r="BE897" t="s">
        <v>235</v>
      </c>
    </row>
    <row r="898" spans="1:57" ht="13" x14ac:dyDescent="0.15">
      <c r="A898">
        <v>1839</v>
      </c>
      <c r="B898">
        <v>31851256</v>
      </c>
      <c r="C898" t="s">
        <v>235</v>
      </c>
      <c r="D898" s="7">
        <v>39999</v>
      </c>
      <c r="E898" s="7">
        <v>45703</v>
      </c>
      <c r="F898">
        <v>330862</v>
      </c>
      <c r="G898" t="s">
        <v>983</v>
      </c>
      <c r="H898" t="s">
        <v>9</v>
      </c>
      <c r="I898" s="7">
        <v>45682</v>
      </c>
      <c r="J898" s="8">
        <v>0.76450231481481479</v>
      </c>
      <c r="K898" t="s">
        <v>984</v>
      </c>
      <c r="AQ898" t="s">
        <v>992</v>
      </c>
      <c r="AR898" t="s">
        <v>1522</v>
      </c>
      <c r="AT898" t="s">
        <v>987</v>
      </c>
      <c r="AZ898" t="s">
        <v>988</v>
      </c>
      <c r="BA898" t="s">
        <v>1058</v>
      </c>
      <c r="BB898" t="s">
        <v>1018</v>
      </c>
      <c r="BD898" t="s">
        <v>1005</v>
      </c>
      <c r="BE898" t="s">
        <v>235</v>
      </c>
    </row>
    <row r="899" spans="1:57" ht="13" x14ac:dyDescent="0.15">
      <c r="A899">
        <v>1839</v>
      </c>
      <c r="B899">
        <v>31851256</v>
      </c>
      <c r="C899" t="s">
        <v>235</v>
      </c>
      <c r="D899" s="7">
        <v>39999</v>
      </c>
      <c r="E899" s="7">
        <v>45703</v>
      </c>
      <c r="F899">
        <v>330862</v>
      </c>
      <c r="G899" t="s">
        <v>983</v>
      </c>
      <c r="H899" t="s">
        <v>9</v>
      </c>
      <c r="I899" s="7">
        <v>45682</v>
      </c>
      <c r="J899" s="8">
        <v>0.77119212962962957</v>
      </c>
      <c r="K899" t="s">
        <v>984</v>
      </c>
      <c r="AQ899" t="s">
        <v>992</v>
      </c>
      <c r="AR899" t="s">
        <v>1523</v>
      </c>
      <c r="AT899" t="s">
        <v>987</v>
      </c>
      <c r="AZ899" t="s">
        <v>1139</v>
      </c>
      <c r="BA899" t="s">
        <v>1140</v>
      </c>
      <c r="BB899" t="s">
        <v>1032</v>
      </c>
      <c r="BD899" t="s">
        <v>1005</v>
      </c>
      <c r="BE899" t="s">
        <v>235</v>
      </c>
    </row>
    <row r="900" spans="1:57" ht="13" x14ac:dyDescent="0.15">
      <c r="A900">
        <v>1839</v>
      </c>
      <c r="B900">
        <v>31851256</v>
      </c>
      <c r="C900" t="s">
        <v>235</v>
      </c>
      <c r="D900" s="7">
        <v>39999</v>
      </c>
      <c r="E900" s="7">
        <v>45703</v>
      </c>
      <c r="F900">
        <v>330862</v>
      </c>
      <c r="G900" t="s">
        <v>983</v>
      </c>
      <c r="H900" t="s">
        <v>9</v>
      </c>
      <c r="I900" s="7">
        <v>45682</v>
      </c>
      <c r="J900" s="8">
        <v>0.77453703703703702</v>
      </c>
      <c r="K900" t="s">
        <v>984</v>
      </c>
      <c r="AQ900" t="s">
        <v>992</v>
      </c>
      <c r="AR900" t="s">
        <v>1524</v>
      </c>
      <c r="AT900" t="s">
        <v>987</v>
      </c>
      <c r="AZ900" t="s">
        <v>1028</v>
      </c>
      <c r="BA900" t="s">
        <v>1236</v>
      </c>
      <c r="BB900" t="s">
        <v>1237</v>
      </c>
      <c r="BD900" t="s">
        <v>1005</v>
      </c>
      <c r="BE900" t="s">
        <v>235</v>
      </c>
    </row>
    <row r="901" spans="1:57" ht="13" x14ac:dyDescent="0.15">
      <c r="A901">
        <v>1839</v>
      </c>
      <c r="B901">
        <v>31851256</v>
      </c>
      <c r="C901" t="s">
        <v>235</v>
      </c>
      <c r="D901" s="7">
        <v>39999</v>
      </c>
      <c r="E901" s="7">
        <v>45703</v>
      </c>
      <c r="F901">
        <v>330862</v>
      </c>
      <c r="G901" t="s">
        <v>983</v>
      </c>
      <c r="H901" t="s">
        <v>9</v>
      </c>
      <c r="I901" s="7">
        <v>45682</v>
      </c>
      <c r="J901" s="8">
        <v>0.7789814814814815</v>
      </c>
      <c r="K901" t="s">
        <v>984</v>
      </c>
      <c r="AQ901" t="s">
        <v>992</v>
      </c>
      <c r="AR901" t="s">
        <v>1525</v>
      </c>
      <c r="AT901" t="s">
        <v>987</v>
      </c>
      <c r="AZ901" t="s">
        <v>1174</v>
      </c>
      <c r="BA901" t="s">
        <v>1242</v>
      </c>
      <c r="BB901" t="s">
        <v>1026</v>
      </c>
      <c r="BD901" t="s">
        <v>1005</v>
      </c>
      <c r="BE901" t="s">
        <v>235</v>
      </c>
    </row>
    <row r="902" spans="1:57" ht="13" x14ac:dyDescent="0.15">
      <c r="A902">
        <v>1839</v>
      </c>
      <c r="B902">
        <v>31851256</v>
      </c>
      <c r="C902" t="s">
        <v>235</v>
      </c>
      <c r="D902" s="7">
        <v>39999</v>
      </c>
      <c r="E902" s="7">
        <v>45703</v>
      </c>
      <c r="F902">
        <v>330862</v>
      </c>
      <c r="G902" t="s">
        <v>983</v>
      </c>
      <c r="H902" t="s">
        <v>9</v>
      </c>
      <c r="I902" s="7">
        <v>45682</v>
      </c>
      <c r="J902" s="8">
        <v>0.72361111111111109</v>
      </c>
      <c r="K902" t="s">
        <v>984</v>
      </c>
      <c r="AQ902" t="s">
        <v>992</v>
      </c>
      <c r="AR902" t="s">
        <v>1414</v>
      </c>
      <c r="AT902" t="s">
        <v>987</v>
      </c>
      <c r="AZ902" t="s">
        <v>1016</v>
      </c>
      <c r="BA902" t="s">
        <v>1017</v>
      </c>
      <c r="BB902" t="s">
        <v>1018</v>
      </c>
      <c r="BD902" t="s">
        <v>991</v>
      </c>
      <c r="BE902" t="s">
        <v>235</v>
      </c>
    </row>
    <row r="903" spans="1:57" ht="13" x14ac:dyDescent="0.15">
      <c r="A903">
        <v>1839</v>
      </c>
      <c r="B903">
        <v>31851256</v>
      </c>
      <c r="C903" t="s">
        <v>235</v>
      </c>
      <c r="D903" s="7">
        <v>39999</v>
      </c>
      <c r="E903" s="7">
        <v>45703</v>
      </c>
      <c r="F903">
        <v>330862</v>
      </c>
      <c r="G903" t="s">
        <v>983</v>
      </c>
      <c r="H903" t="s">
        <v>9</v>
      </c>
      <c r="I903" s="7">
        <v>45682</v>
      </c>
      <c r="J903" s="8">
        <v>0.72934027777777777</v>
      </c>
      <c r="K903" t="s">
        <v>984</v>
      </c>
      <c r="AQ903" t="s">
        <v>992</v>
      </c>
      <c r="AR903" t="s">
        <v>1526</v>
      </c>
      <c r="AT903" t="s">
        <v>987</v>
      </c>
      <c r="AZ903" t="s">
        <v>1044</v>
      </c>
      <c r="BA903" t="s">
        <v>1045</v>
      </c>
      <c r="BB903" t="s">
        <v>990</v>
      </c>
      <c r="BD903" t="s">
        <v>991</v>
      </c>
      <c r="BE903" t="s">
        <v>235</v>
      </c>
    </row>
    <row r="904" spans="1:57" ht="13" x14ac:dyDescent="0.15">
      <c r="A904">
        <v>1839</v>
      </c>
      <c r="B904">
        <v>31851256</v>
      </c>
      <c r="C904" t="s">
        <v>235</v>
      </c>
      <c r="D904" s="7">
        <v>39999</v>
      </c>
      <c r="E904" s="7">
        <v>45703</v>
      </c>
      <c r="F904">
        <v>330862</v>
      </c>
      <c r="G904" t="s">
        <v>983</v>
      </c>
      <c r="H904" t="s">
        <v>9</v>
      </c>
      <c r="I904" s="7">
        <v>45682</v>
      </c>
      <c r="J904" s="8">
        <v>0.73812500000000003</v>
      </c>
      <c r="K904" t="s">
        <v>984</v>
      </c>
      <c r="AQ904" t="s">
        <v>992</v>
      </c>
      <c r="AR904" t="s">
        <v>1001</v>
      </c>
      <c r="AT904" t="s">
        <v>987</v>
      </c>
      <c r="AZ904" t="s">
        <v>1002</v>
      </c>
      <c r="BA904" t="s">
        <v>1003</v>
      </c>
      <c r="BB904" t="s">
        <v>1004</v>
      </c>
      <c r="BD904" t="s">
        <v>1005</v>
      </c>
      <c r="BE904" t="s">
        <v>235</v>
      </c>
    </row>
    <row r="905" spans="1:57" ht="13" x14ac:dyDescent="0.15">
      <c r="A905">
        <v>1839</v>
      </c>
      <c r="B905">
        <v>31851256</v>
      </c>
      <c r="C905" t="s">
        <v>235</v>
      </c>
      <c r="D905" s="7">
        <v>39999</v>
      </c>
      <c r="E905" s="7">
        <v>45703</v>
      </c>
      <c r="F905">
        <v>330862</v>
      </c>
      <c r="G905" t="s">
        <v>983</v>
      </c>
      <c r="H905" t="s">
        <v>9</v>
      </c>
      <c r="I905" s="7">
        <v>45638</v>
      </c>
      <c r="J905" s="8">
        <v>0.70942129629629624</v>
      </c>
      <c r="K905" t="s">
        <v>984</v>
      </c>
      <c r="AQ905" t="s">
        <v>992</v>
      </c>
      <c r="AR905" t="s">
        <v>1527</v>
      </c>
      <c r="AT905" t="s">
        <v>987</v>
      </c>
      <c r="AZ905" t="s">
        <v>1002</v>
      </c>
      <c r="BA905" t="s">
        <v>1124</v>
      </c>
      <c r="BB905" t="s">
        <v>1125</v>
      </c>
      <c r="BD905" t="s">
        <v>1005</v>
      </c>
      <c r="BE905" t="s">
        <v>235</v>
      </c>
    </row>
    <row r="906" spans="1:57" ht="13" x14ac:dyDescent="0.15">
      <c r="A906">
        <v>1839</v>
      </c>
      <c r="B906">
        <v>31851256</v>
      </c>
      <c r="C906" t="s">
        <v>235</v>
      </c>
      <c r="D906" s="7">
        <v>39999</v>
      </c>
      <c r="E906" s="7">
        <v>45703</v>
      </c>
      <c r="F906">
        <v>330862</v>
      </c>
      <c r="G906" t="s">
        <v>983</v>
      </c>
      <c r="H906" t="s">
        <v>9</v>
      </c>
      <c r="I906" s="7">
        <v>45638</v>
      </c>
      <c r="J906" s="8">
        <v>0.71406250000000004</v>
      </c>
      <c r="K906" t="s">
        <v>984</v>
      </c>
      <c r="AQ906" t="s">
        <v>992</v>
      </c>
      <c r="AR906" t="s">
        <v>1528</v>
      </c>
      <c r="AT906" t="s">
        <v>987</v>
      </c>
      <c r="AZ906" t="s">
        <v>1174</v>
      </c>
      <c r="BA906" t="s">
        <v>1242</v>
      </c>
      <c r="BB906" t="s">
        <v>1026</v>
      </c>
      <c r="BD906" t="s">
        <v>1005</v>
      </c>
      <c r="BE906" t="s">
        <v>235</v>
      </c>
    </row>
    <row r="907" spans="1:57" ht="13" x14ac:dyDescent="0.15">
      <c r="A907">
        <v>1839</v>
      </c>
      <c r="B907">
        <v>31851256</v>
      </c>
      <c r="C907" t="s">
        <v>235</v>
      </c>
      <c r="D907" s="7">
        <v>39999</v>
      </c>
      <c r="E907" s="7">
        <v>45703</v>
      </c>
      <c r="F907">
        <v>330862</v>
      </c>
      <c r="G907" t="s">
        <v>983</v>
      </c>
      <c r="H907" t="s">
        <v>9</v>
      </c>
      <c r="I907" s="7">
        <v>45638</v>
      </c>
      <c r="J907" s="8">
        <v>0.71461805555555558</v>
      </c>
      <c r="K907" t="s">
        <v>984</v>
      </c>
      <c r="AQ907" t="s">
        <v>992</v>
      </c>
      <c r="AR907" t="s">
        <v>1527</v>
      </c>
      <c r="AT907" t="s">
        <v>987</v>
      </c>
      <c r="AZ907" t="s">
        <v>1002</v>
      </c>
      <c r="BA907" t="s">
        <v>1124</v>
      </c>
      <c r="BB907" t="s">
        <v>1125</v>
      </c>
      <c r="BD907" t="s">
        <v>1005</v>
      </c>
      <c r="BE907" t="s">
        <v>235</v>
      </c>
    </row>
    <row r="908" spans="1:57" ht="13" x14ac:dyDescent="0.15">
      <c r="A908">
        <v>1839</v>
      </c>
      <c r="B908">
        <v>31851256</v>
      </c>
      <c r="C908" t="s">
        <v>235</v>
      </c>
      <c r="D908" s="7">
        <v>39999</v>
      </c>
      <c r="E908" s="7">
        <v>45703</v>
      </c>
      <c r="F908">
        <v>330862</v>
      </c>
      <c r="G908" t="s">
        <v>983</v>
      </c>
      <c r="H908" t="s">
        <v>9</v>
      </c>
      <c r="I908" s="7">
        <v>45638</v>
      </c>
      <c r="J908" s="8">
        <v>0.71743055555555557</v>
      </c>
      <c r="K908" t="s">
        <v>984</v>
      </c>
      <c r="AQ908" t="s">
        <v>992</v>
      </c>
      <c r="AR908" t="s">
        <v>1094</v>
      </c>
      <c r="AT908" t="s">
        <v>987</v>
      </c>
      <c r="AZ908" t="s">
        <v>1024</v>
      </c>
      <c r="BA908" t="s">
        <v>1025</v>
      </c>
      <c r="BB908" t="s">
        <v>1026</v>
      </c>
      <c r="BD908" t="s">
        <v>1022</v>
      </c>
      <c r="BE908" t="s">
        <v>235</v>
      </c>
    </row>
    <row r="909" spans="1:57" ht="13" x14ac:dyDescent="0.15">
      <c r="A909">
        <v>1839</v>
      </c>
      <c r="B909">
        <v>31858435</v>
      </c>
      <c r="C909" t="s">
        <v>236</v>
      </c>
      <c r="D909" s="7">
        <v>41723</v>
      </c>
      <c r="E909" s="7">
        <v>45713</v>
      </c>
      <c r="F909">
        <v>330862</v>
      </c>
      <c r="G909" t="s">
        <v>983</v>
      </c>
      <c r="H909" t="s">
        <v>9</v>
      </c>
      <c r="I909" s="7">
        <v>45694</v>
      </c>
      <c r="J909" s="8">
        <v>0.36337962962962961</v>
      </c>
      <c r="K909" t="s">
        <v>984</v>
      </c>
      <c r="AQ909" t="s">
        <v>1089</v>
      </c>
      <c r="AR909" t="s">
        <v>999</v>
      </c>
      <c r="AT909" t="s">
        <v>987</v>
      </c>
      <c r="AZ909" t="s">
        <v>988</v>
      </c>
      <c r="BA909" t="s">
        <v>989</v>
      </c>
      <c r="BB909" t="s">
        <v>990</v>
      </c>
      <c r="BD909" t="s">
        <v>991</v>
      </c>
      <c r="BE909" t="s">
        <v>236</v>
      </c>
    </row>
    <row r="910" spans="1:57" ht="13" x14ac:dyDescent="0.15">
      <c r="A910">
        <v>1839</v>
      </c>
      <c r="B910">
        <v>31858435</v>
      </c>
      <c r="C910" t="s">
        <v>236</v>
      </c>
      <c r="D910" s="7">
        <v>41723</v>
      </c>
      <c r="E910" s="7">
        <v>45713</v>
      </c>
      <c r="F910">
        <v>330862</v>
      </c>
      <c r="G910" t="s">
        <v>983</v>
      </c>
      <c r="H910" t="s">
        <v>9</v>
      </c>
      <c r="I910" s="7">
        <v>45672</v>
      </c>
      <c r="J910" s="8">
        <v>0.4715509259259259</v>
      </c>
      <c r="K910" t="s">
        <v>984</v>
      </c>
      <c r="AQ910" t="s">
        <v>1089</v>
      </c>
      <c r="AR910" t="s">
        <v>1529</v>
      </c>
      <c r="AT910" t="s">
        <v>987</v>
      </c>
      <c r="AZ910" t="s">
        <v>1016</v>
      </c>
      <c r="BA910" t="s">
        <v>1017</v>
      </c>
      <c r="BB910" t="s">
        <v>1018</v>
      </c>
      <c r="BD910" t="s">
        <v>991</v>
      </c>
      <c r="BE910" t="s">
        <v>236</v>
      </c>
    </row>
    <row r="911" spans="1:57" ht="13" x14ac:dyDescent="0.15">
      <c r="A911">
        <v>1839</v>
      </c>
      <c r="B911">
        <v>31858651</v>
      </c>
      <c r="C911" t="s">
        <v>237</v>
      </c>
      <c r="D911" s="7">
        <v>41396</v>
      </c>
      <c r="E911" s="7">
        <v>45696</v>
      </c>
      <c r="F911">
        <v>330862</v>
      </c>
      <c r="G911" t="s">
        <v>983</v>
      </c>
      <c r="H911" t="s">
        <v>9</v>
      </c>
      <c r="I911" s="7">
        <v>45694</v>
      </c>
      <c r="J911" s="8">
        <v>0.39650462962962962</v>
      </c>
      <c r="K911" t="s">
        <v>984</v>
      </c>
      <c r="AQ911" t="s">
        <v>1090</v>
      </c>
      <c r="AR911" t="s">
        <v>1066</v>
      </c>
      <c r="AT911" t="s">
        <v>987</v>
      </c>
      <c r="AZ911" t="s">
        <v>988</v>
      </c>
      <c r="BA911" t="s">
        <v>989</v>
      </c>
      <c r="BB911" t="s">
        <v>990</v>
      </c>
      <c r="BD911" t="s">
        <v>991</v>
      </c>
      <c r="BE911" t="s">
        <v>237</v>
      </c>
    </row>
    <row r="912" spans="1:57" ht="13" x14ac:dyDescent="0.15">
      <c r="A912">
        <v>1839</v>
      </c>
      <c r="B912">
        <v>31861761</v>
      </c>
      <c r="C912" t="s">
        <v>238</v>
      </c>
      <c r="D912" s="7">
        <v>41407</v>
      </c>
      <c r="E912" s="7">
        <v>45713</v>
      </c>
      <c r="F912">
        <v>330862</v>
      </c>
      <c r="G912" t="s">
        <v>983</v>
      </c>
      <c r="H912" t="s">
        <v>9</v>
      </c>
      <c r="I912" s="7">
        <v>45694</v>
      </c>
      <c r="J912" s="8">
        <v>0.37239583333333331</v>
      </c>
      <c r="K912" t="s">
        <v>984</v>
      </c>
      <c r="AQ912" t="s">
        <v>992</v>
      </c>
      <c r="AR912" t="s">
        <v>993</v>
      </c>
      <c r="AT912" t="s">
        <v>987</v>
      </c>
      <c r="AZ912" t="s">
        <v>988</v>
      </c>
      <c r="BA912" t="s">
        <v>989</v>
      </c>
      <c r="BB912" t="s">
        <v>990</v>
      </c>
      <c r="BD912" t="s">
        <v>991</v>
      </c>
      <c r="BE912" t="s">
        <v>238</v>
      </c>
    </row>
    <row r="913" spans="1:57" ht="13" x14ac:dyDescent="0.15">
      <c r="A913">
        <v>1839</v>
      </c>
      <c r="B913">
        <v>31861761</v>
      </c>
      <c r="C913" t="s">
        <v>238</v>
      </c>
      <c r="D913" s="7">
        <v>41407</v>
      </c>
      <c r="E913" s="7">
        <v>45713</v>
      </c>
      <c r="F913">
        <v>330862</v>
      </c>
      <c r="G913" t="s">
        <v>983</v>
      </c>
      <c r="H913" t="s">
        <v>9</v>
      </c>
      <c r="I913" s="7">
        <v>45636</v>
      </c>
      <c r="J913" s="8">
        <v>0.55178240740740736</v>
      </c>
      <c r="K913" t="s">
        <v>984</v>
      </c>
      <c r="AQ913" t="s">
        <v>992</v>
      </c>
      <c r="AR913" t="s">
        <v>1096</v>
      </c>
      <c r="AT913" t="s">
        <v>987</v>
      </c>
      <c r="AZ913" t="s">
        <v>1011</v>
      </c>
      <c r="BA913" t="s">
        <v>1031</v>
      </c>
      <c r="BB913" t="s">
        <v>1032</v>
      </c>
      <c r="BD913" t="s">
        <v>1005</v>
      </c>
      <c r="BE913" t="s">
        <v>238</v>
      </c>
    </row>
    <row r="914" spans="1:57" ht="13" x14ac:dyDescent="0.15">
      <c r="A914">
        <v>1839</v>
      </c>
      <c r="B914">
        <v>31874041</v>
      </c>
      <c r="C914" t="s">
        <v>239</v>
      </c>
      <c r="D914" s="7">
        <v>41613</v>
      </c>
      <c r="E914" s="7">
        <v>45701</v>
      </c>
      <c r="F914">
        <v>330862</v>
      </c>
      <c r="G914" t="s">
        <v>983</v>
      </c>
      <c r="H914" t="s">
        <v>9</v>
      </c>
      <c r="I914" s="7">
        <v>45694</v>
      </c>
      <c r="J914" s="8">
        <v>0.59688657407407408</v>
      </c>
      <c r="K914" t="s">
        <v>984</v>
      </c>
      <c r="AQ914" t="s">
        <v>992</v>
      </c>
      <c r="AR914" t="s">
        <v>993</v>
      </c>
      <c r="AT914" t="s">
        <v>987</v>
      </c>
      <c r="AZ914" t="s">
        <v>988</v>
      </c>
      <c r="BA914" t="s">
        <v>989</v>
      </c>
      <c r="BB914" t="s">
        <v>990</v>
      </c>
      <c r="BD914" t="s">
        <v>991</v>
      </c>
      <c r="BE914" t="s">
        <v>239</v>
      </c>
    </row>
    <row r="915" spans="1:57" ht="13" x14ac:dyDescent="0.15">
      <c r="A915">
        <v>1839</v>
      </c>
      <c r="B915">
        <v>31899022</v>
      </c>
      <c r="C915" t="s">
        <v>240</v>
      </c>
      <c r="D915" s="7">
        <v>40371</v>
      </c>
      <c r="E915" s="7">
        <v>45696</v>
      </c>
      <c r="F915">
        <v>330862</v>
      </c>
      <c r="G915" t="s">
        <v>983</v>
      </c>
      <c r="H915" t="s">
        <v>9</v>
      </c>
      <c r="I915" s="7">
        <v>45685</v>
      </c>
      <c r="J915" s="8">
        <v>0.63369212962962962</v>
      </c>
      <c r="K915" t="s">
        <v>984</v>
      </c>
      <c r="AQ915" t="s">
        <v>1089</v>
      </c>
      <c r="AR915" t="s">
        <v>1114</v>
      </c>
      <c r="AT915" t="s">
        <v>987</v>
      </c>
      <c r="AZ915" t="s">
        <v>1011</v>
      </c>
      <c r="BA915" t="s">
        <v>1012</v>
      </c>
      <c r="BB915" t="s">
        <v>1013</v>
      </c>
      <c r="BD915" t="s">
        <v>1014</v>
      </c>
      <c r="BE915" t="s">
        <v>240</v>
      </c>
    </row>
    <row r="916" spans="1:57" ht="13" x14ac:dyDescent="0.15">
      <c r="A916">
        <v>1839</v>
      </c>
      <c r="B916">
        <v>31956576</v>
      </c>
      <c r="C916" t="s">
        <v>241</v>
      </c>
      <c r="D916" s="7">
        <v>39315</v>
      </c>
      <c r="E916" s="7">
        <v>45695</v>
      </c>
      <c r="F916">
        <v>330862</v>
      </c>
      <c r="G916" t="s">
        <v>983</v>
      </c>
      <c r="H916" t="s">
        <v>9</v>
      </c>
      <c r="I916" s="7">
        <v>45694</v>
      </c>
      <c r="J916" s="8">
        <v>0.38711805555555556</v>
      </c>
      <c r="K916" t="s">
        <v>984</v>
      </c>
      <c r="AQ916" t="s">
        <v>1089</v>
      </c>
      <c r="AR916" t="s">
        <v>993</v>
      </c>
      <c r="AT916" t="s">
        <v>987</v>
      </c>
      <c r="AZ916" t="s">
        <v>988</v>
      </c>
      <c r="BA916" t="s">
        <v>989</v>
      </c>
      <c r="BB916" t="s">
        <v>990</v>
      </c>
      <c r="BD916" t="s">
        <v>991</v>
      </c>
      <c r="BE916" t="s">
        <v>241</v>
      </c>
    </row>
    <row r="917" spans="1:57" ht="13" x14ac:dyDescent="0.15">
      <c r="A917">
        <v>1839</v>
      </c>
      <c r="B917">
        <v>31956742</v>
      </c>
      <c r="C917" t="s">
        <v>242</v>
      </c>
      <c r="D917" s="7">
        <v>39309</v>
      </c>
      <c r="E917" s="7">
        <v>45700</v>
      </c>
      <c r="F917">
        <v>330862</v>
      </c>
      <c r="G917" t="s">
        <v>983</v>
      </c>
      <c r="H917" t="s">
        <v>9</v>
      </c>
      <c r="I917" s="7">
        <v>45616</v>
      </c>
      <c r="J917" s="8">
        <v>0.74143518518518514</v>
      </c>
      <c r="K917" t="s">
        <v>984</v>
      </c>
      <c r="AQ917" t="s">
        <v>1530</v>
      </c>
      <c r="AR917" t="s">
        <v>1268</v>
      </c>
      <c r="AT917" t="s">
        <v>987</v>
      </c>
      <c r="AZ917" t="s">
        <v>1055</v>
      </c>
      <c r="BA917" t="s">
        <v>1056</v>
      </c>
      <c r="BB917" t="s">
        <v>1013</v>
      </c>
      <c r="BD917" t="s">
        <v>1022</v>
      </c>
      <c r="BE917" t="s">
        <v>242</v>
      </c>
    </row>
    <row r="918" spans="1:57" ht="13" x14ac:dyDescent="0.15">
      <c r="A918">
        <v>1839</v>
      </c>
      <c r="B918">
        <v>31956742</v>
      </c>
      <c r="C918" t="s">
        <v>242</v>
      </c>
      <c r="D918" s="7">
        <v>39309</v>
      </c>
      <c r="E918" s="7">
        <v>45700</v>
      </c>
      <c r="F918">
        <v>330862</v>
      </c>
      <c r="G918" t="s">
        <v>983</v>
      </c>
      <c r="H918" t="s">
        <v>9</v>
      </c>
      <c r="I918" s="7">
        <v>45681</v>
      </c>
      <c r="J918" s="8">
        <v>0.68557870370370366</v>
      </c>
      <c r="K918" t="s">
        <v>984</v>
      </c>
      <c r="AQ918" t="s">
        <v>1530</v>
      </c>
      <c r="AR918" t="s">
        <v>1049</v>
      </c>
      <c r="AT918" t="s">
        <v>987</v>
      </c>
      <c r="AZ918" t="s">
        <v>1016</v>
      </c>
      <c r="BA918" t="s">
        <v>1017</v>
      </c>
      <c r="BB918" t="s">
        <v>1018</v>
      </c>
      <c r="BD918" t="s">
        <v>991</v>
      </c>
      <c r="BE918" t="s">
        <v>242</v>
      </c>
    </row>
    <row r="919" spans="1:57" ht="13" x14ac:dyDescent="0.15">
      <c r="A919">
        <v>1839</v>
      </c>
      <c r="B919">
        <v>31956742</v>
      </c>
      <c r="C919" t="s">
        <v>242</v>
      </c>
      <c r="D919" s="7">
        <v>39309</v>
      </c>
      <c r="E919" s="7">
        <v>45700</v>
      </c>
      <c r="F919">
        <v>330862</v>
      </c>
      <c r="G919" t="s">
        <v>983</v>
      </c>
      <c r="H919" t="s">
        <v>9</v>
      </c>
      <c r="I919" s="7">
        <v>45674</v>
      </c>
      <c r="J919" s="8">
        <v>0.91447916666666662</v>
      </c>
      <c r="K919" t="s">
        <v>984</v>
      </c>
      <c r="AQ919" t="s">
        <v>1530</v>
      </c>
      <c r="AR919" t="s">
        <v>1398</v>
      </c>
      <c r="AT919" t="s">
        <v>987</v>
      </c>
      <c r="AZ919" t="s">
        <v>1011</v>
      </c>
      <c r="BA919" t="s">
        <v>1202</v>
      </c>
      <c r="BB919" t="s">
        <v>1203</v>
      </c>
      <c r="BD919" t="s">
        <v>991</v>
      </c>
      <c r="BE919" t="s">
        <v>242</v>
      </c>
    </row>
    <row r="920" spans="1:57" ht="13" x14ac:dyDescent="0.15">
      <c r="A920">
        <v>1839</v>
      </c>
      <c r="B920">
        <v>31956742</v>
      </c>
      <c r="C920" t="s">
        <v>242</v>
      </c>
      <c r="D920" s="7">
        <v>39309</v>
      </c>
      <c r="E920" s="7">
        <v>45700</v>
      </c>
      <c r="F920">
        <v>330862</v>
      </c>
      <c r="G920" t="s">
        <v>983</v>
      </c>
      <c r="H920" t="s">
        <v>9</v>
      </c>
      <c r="I920" s="7">
        <v>45651</v>
      </c>
      <c r="J920" s="8">
        <v>0.45065972222222223</v>
      </c>
      <c r="K920" t="s">
        <v>984</v>
      </c>
      <c r="AQ920" t="s">
        <v>1530</v>
      </c>
      <c r="AR920" t="s">
        <v>1019</v>
      </c>
      <c r="AT920" t="s">
        <v>987</v>
      </c>
      <c r="AZ920" t="s">
        <v>1020</v>
      </c>
      <c r="BA920" t="s">
        <v>1021</v>
      </c>
      <c r="BB920" t="s">
        <v>1018</v>
      </c>
      <c r="BD920" t="s">
        <v>1022</v>
      </c>
      <c r="BE920" t="s">
        <v>242</v>
      </c>
    </row>
    <row r="921" spans="1:57" ht="13" x14ac:dyDescent="0.15">
      <c r="A921">
        <v>1839</v>
      </c>
      <c r="B921">
        <v>31956742</v>
      </c>
      <c r="C921" t="s">
        <v>242</v>
      </c>
      <c r="D921" s="7">
        <v>39309</v>
      </c>
      <c r="E921" s="7">
        <v>45700</v>
      </c>
      <c r="F921">
        <v>330862</v>
      </c>
      <c r="G921" t="s">
        <v>983</v>
      </c>
      <c r="H921" t="s">
        <v>9</v>
      </c>
      <c r="I921" s="7">
        <v>45672</v>
      </c>
      <c r="J921" s="8">
        <v>0.8003703703703704</v>
      </c>
      <c r="K921" t="s">
        <v>984</v>
      </c>
      <c r="AQ921" t="s">
        <v>1530</v>
      </c>
      <c r="AR921" t="s">
        <v>1531</v>
      </c>
      <c r="AT921" t="s">
        <v>987</v>
      </c>
      <c r="AZ921" t="s">
        <v>1016</v>
      </c>
      <c r="BA921" t="s">
        <v>1017</v>
      </c>
      <c r="BB921" t="s">
        <v>1018</v>
      </c>
      <c r="BD921" t="s">
        <v>991</v>
      </c>
      <c r="BE921" t="s">
        <v>242</v>
      </c>
    </row>
    <row r="922" spans="1:57" ht="13" x14ac:dyDescent="0.15">
      <c r="A922">
        <v>1839</v>
      </c>
      <c r="B922">
        <v>31976329</v>
      </c>
      <c r="C922" t="s">
        <v>243</v>
      </c>
      <c r="D922" s="7">
        <v>39722</v>
      </c>
      <c r="E922" s="7">
        <v>45700</v>
      </c>
      <c r="F922">
        <v>330862</v>
      </c>
      <c r="G922" t="s">
        <v>983</v>
      </c>
      <c r="H922" t="s">
        <v>9</v>
      </c>
      <c r="I922" s="7">
        <v>45694</v>
      </c>
      <c r="J922" s="8">
        <v>0.63571759259259264</v>
      </c>
      <c r="K922" t="s">
        <v>984</v>
      </c>
      <c r="AQ922" t="s">
        <v>992</v>
      </c>
      <c r="AR922" t="s">
        <v>1109</v>
      </c>
      <c r="AT922" t="s">
        <v>987</v>
      </c>
      <c r="AZ922" t="s">
        <v>988</v>
      </c>
      <c r="BA922" t="s">
        <v>989</v>
      </c>
      <c r="BB922" t="s">
        <v>990</v>
      </c>
      <c r="BD922" t="s">
        <v>991</v>
      </c>
      <c r="BE922" t="s">
        <v>243</v>
      </c>
    </row>
    <row r="923" spans="1:57" ht="13" x14ac:dyDescent="0.15">
      <c r="A923">
        <v>1839</v>
      </c>
      <c r="B923">
        <v>31981741</v>
      </c>
      <c r="C923" t="s">
        <v>244</v>
      </c>
      <c r="D923" s="7">
        <v>39343</v>
      </c>
      <c r="E923" s="7">
        <v>45713</v>
      </c>
      <c r="F923">
        <v>330862</v>
      </c>
      <c r="G923" t="s">
        <v>983</v>
      </c>
      <c r="H923" t="s">
        <v>9</v>
      </c>
      <c r="I923" s="7">
        <v>45694</v>
      </c>
      <c r="J923" s="8">
        <v>0.66486111111111112</v>
      </c>
      <c r="K923" t="s">
        <v>984</v>
      </c>
      <c r="AQ923" t="s">
        <v>1089</v>
      </c>
      <c r="AR923" t="s">
        <v>993</v>
      </c>
      <c r="AT923" t="s">
        <v>987</v>
      </c>
      <c r="AZ923" t="s">
        <v>988</v>
      </c>
      <c r="BA923" t="s">
        <v>989</v>
      </c>
      <c r="BB923" t="s">
        <v>990</v>
      </c>
      <c r="BD923" t="s">
        <v>991</v>
      </c>
      <c r="BE923" t="s">
        <v>244</v>
      </c>
    </row>
    <row r="924" spans="1:57" ht="13" x14ac:dyDescent="0.15">
      <c r="A924">
        <v>1839</v>
      </c>
      <c r="B924">
        <v>31983682</v>
      </c>
      <c r="C924" t="s">
        <v>245</v>
      </c>
      <c r="D924" s="7">
        <v>39733</v>
      </c>
      <c r="E924" s="7">
        <v>45710</v>
      </c>
      <c r="F924">
        <v>330862</v>
      </c>
      <c r="G924" t="s">
        <v>983</v>
      </c>
      <c r="H924" t="s">
        <v>9</v>
      </c>
      <c r="I924" s="7">
        <v>45705</v>
      </c>
      <c r="J924" s="8">
        <v>0.82328703703703698</v>
      </c>
      <c r="K924" t="s">
        <v>984</v>
      </c>
      <c r="AQ924" t="s">
        <v>1092</v>
      </c>
      <c r="AR924" t="s">
        <v>1465</v>
      </c>
      <c r="AT924" t="s">
        <v>987</v>
      </c>
      <c r="AZ924" t="s">
        <v>1020</v>
      </c>
      <c r="BA924" t="s">
        <v>1230</v>
      </c>
      <c r="BB924" t="s">
        <v>1018</v>
      </c>
      <c r="BD924" t="s">
        <v>1005</v>
      </c>
      <c r="BE924" t="s">
        <v>245</v>
      </c>
    </row>
    <row r="925" spans="1:57" ht="13" x14ac:dyDescent="0.15">
      <c r="A925">
        <v>1839</v>
      </c>
      <c r="B925">
        <v>32092309</v>
      </c>
      <c r="C925" t="s">
        <v>246</v>
      </c>
      <c r="D925" s="7">
        <v>40807</v>
      </c>
      <c r="E925" s="7">
        <v>45691</v>
      </c>
      <c r="F925">
        <v>330862</v>
      </c>
      <c r="G925" t="s">
        <v>983</v>
      </c>
      <c r="H925" t="s">
        <v>9</v>
      </c>
      <c r="I925" s="7">
        <v>45691</v>
      </c>
      <c r="J925" s="8">
        <v>0.58815972222222224</v>
      </c>
      <c r="K925" t="s">
        <v>984</v>
      </c>
      <c r="AQ925" t="s">
        <v>1090</v>
      </c>
      <c r="AR925" t="s">
        <v>994</v>
      </c>
      <c r="AT925" t="s">
        <v>987</v>
      </c>
      <c r="AZ925" t="s">
        <v>1011</v>
      </c>
      <c r="BA925" t="s">
        <v>1012</v>
      </c>
      <c r="BB925" t="s">
        <v>1013</v>
      </c>
      <c r="BD925" t="s">
        <v>1014</v>
      </c>
      <c r="BE925" t="s">
        <v>246</v>
      </c>
    </row>
    <row r="926" spans="1:57" ht="13" x14ac:dyDescent="0.15">
      <c r="A926">
        <v>1839</v>
      </c>
      <c r="B926">
        <v>32138932</v>
      </c>
      <c r="C926" t="s">
        <v>247</v>
      </c>
      <c r="D926" s="7">
        <v>39652</v>
      </c>
      <c r="E926" s="7">
        <v>45712</v>
      </c>
      <c r="F926">
        <v>330862</v>
      </c>
      <c r="G926" t="s">
        <v>983</v>
      </c>
      <c r="H926" t="s">
        <v>9</v>
      </c>
      <c r="I926" s="7">
        <v>45674</v>
      </c>
      <c r="J926" s="8">
        <v>0.84285879629629634</v>
      </c>
      <c r="K926" t="s">
        <v>984</v>
      </c>
      <c r="AQ926" t="s">
        <v>985</v>
      </c>
      <c r="AR926" t="s">
        <v>1095</v>
      </c>
      <c r="AT926" t="s">
        <v>987</v>
      </c>
      <c r="AZ926" t="s">
        <v>1002</v>
      </c>
      <c r="BA926" t="s">
        <v>1003</v>
      </c>
      <c r="BB926" t="s">
        <v>1004</v>
      </c>
      <c r="BD926" t="s">
        <v>1005</v>
      </c>
      <c r="BE926" t="s">
        <v>247</v>
      </c>
    </row>
    <row r="927" spans="1:57" ht="13" x14ac:dyDescent="0.15">
      <c r="A927">
        <v>1839</v>
      </c>
      <c r="B927">
        <v>32187680</v>
      </c>
      <c r="C927" t="s">
        <v>248</v>
      </c>
      <c r="D927" s="7">
        <v>41558</v>
      </c>
      <c r="E927" s="7">
        <v>45677</v>
      </c>
      <c r="F927">
        <v>330862</v>
      </c>
      <c r="G927" t="s">
        <v>983</v>
      </c>
      <c r="H927" t="s">
        <v>9</v>
      </c>
      <c r="I927" s="7">
        <v>45677</v>
      </c>
      <c r="J927" s="8">
        <v>0.69300925925925927</v>
      </c>
      <c r="K927" t="s">
        <v>984</v>
      </c>
      <c r="AQ927" t="s">
        <v>992</v>
      </c>
      <c r="AR927" t="s">
        <v>1111</v>
      </c>
      <c r="AT927" t="s">
        <v>987</v>
      </c>
      <c r="AZ927" t="s">
        <v>1011</v>
      </c>
      <c r="BA927" t="s">
        <v>1012</v>
      </c>
      <c r="BB927" t="s">
        <v>1013</v>
      </c>
      <c r="BD927" t="s">
        <v>1014</v>
      </c>
      <c r="BE927" t="s">
        <v>248</v>
      </c>
    </row>
    <row r="928" spans="1:57" ht="13" x14ac:dyDescent="0.15">
      <c r="A928">
        <v>1839</v>
      </c>
      <c r="B928">
        <v>32222502</v>
      </c>
      <c r="C928" t="s">
        <v>249</v>
      </c>
      <c r="D928" s="7">
        <v>40903</v>
      </c>
      <c r="E928" s="7">
        <v>45708</v>
      </c>
      <c r="F928">
        <v>330862</v>
      </c>
      <c r="G928" t="s">
        <v>983</v>
      </c>
      <c r="H928" t="s">
        <v>9</v>
      </c>
      <c r="I928" s="7">
        <v>45674</v>
      </c>
      <c r="J928" s="8">
        <v>0.59961805555555558</v>
      </c>
      <c r="K928" t="s">
        <v>984</v>
      </c>
      <c r="AQ928" t="s">
        <v>985</v>
      </c>
      <c r="AR928" t="s">
        <v>1105</v>
      </c>
      <c r="AT928" t="s">
        <v>987</v>
      </c>
      <c r="AZ928" t="s">
        <v>1044</v>
      </c>
      <c r="BA928" t="s">
        <v>1045</v>
      </c>
      <c r="BB928" t="s">
        <v>990</v>
      </c>
      <c r="BD928" t="s">
        <v>991</v>
      </c>
      <c r="BE928" t="s">
        <v>249</v>
      </c>
    </row>
    <row r="929" spans="1:57" ht="13" x14ac:dyDescent="0.15">
      <c r="A929">
        <v>1839</v>
      </c>
      <c r="B929">
        <v>32222502</v>
      </c>
      <c r="C929" t="s">
        <v>249</v>
      </c>
      <c r="D929" s="7">
        <v>40903</v>
      </c>
      <c r="E929" s="7">
        <v>45708</v>
      </c>
      <c r="F929">
        <v>330862</v>
      </c>
      <c r="G929" t="s">
        <v>983</v>
      </c>
      <c r="H929" t="s">
        <v>9</v>
      </c>
      <c r="I929" s="7">
        <v>45661</v>
      </c>
      <c r="J929" s="8">
        <v>0.6586805555555556</v>
      </c>
      <c r="K929" t="s">
        <v>984</v>
      </c>
      <c r="AQ929" t="s">
        <v>985</v>
      </c>
      <c r="AR929" t="s">
        <v>1532</v>
      </c>
      <c r="AT929" t="s">
        <v>987</v>
      </c>
      <c r="AZ929" t="s">
        <v>1020</v>
      </c>
      <c r="BA929" t="s">
        <v>1021</v>
      </c>
      <c r="BB929" t="s">
        <v>1018</v>
      </c>
      <c r="BD929" t="s">
        <v>1022</v>
      </c>
      <c r="BE929" t="s">
        <v>249</v>
      </c>
    </row>
    <row r="930" spans="1:57" ht="13" x14ac:dyDescent="0.15">
      <c r="A930">
        <v>1839</v>
      </c>
      <c r="B930">
        <v>32222502</v>
      </c>
      <c r="C930" t="s">
        <v>249</v>
      </c>
      <c r="D930" s="7">
        <v>40903</v>
      </c>
      <c r="E930" s="7">
        <v>45708</v>
      </c>
      <c r="F930">
        <v>330862</v>
      </c>
      <c r="G930" t="s">
        <v>983</v>
      </c>
      <c r="H930" t="s">
        <v>9</v>
      </c>
      <c r="I930" s="7">
        <v>45699</v>
      </c>
      <c r="J930" s="8">
        <v>0.58062499999999995</v>
      </c>
      <c r="K930" t="s">
        <v>984</v>
      </c>
      <c r="AQ930" t="s">
        <v>998</v>
      </c>
      <c r="AR930" t="s">
        <v>1315</v>
      </c>
      <c r="AT930" t="s">
        <v>987</v>
      </c>
      <c r="AZ930" t="s">
        <v>1182</v>
      </c>
      <c r="BA930" t="s">
        <v>1183</v>
      </c>
      <c r="BB930" t="s">
        <v>990</v>
      </c>
      <c r="BD930" t="s">
        <v>991</v>
      </c>
      <c r="BE930" t="s">
        <v>249</v>
      </c>
    </row>
    <row r="931" spans="1:57" ht="13" x14ac:dyDescent="0.15">
      <c r="A931">
        <v>1839</v>
      </c>
      <c r="B931">
        <v>32222502</v>
      </c>
      <c r="C931" t="s">
        <v>249</v>
      </c>
      <c r="D931" s="7">
        <v>40903</v>
      </c>
      <c r="E931" s="7">
        <v>45708</v>
      </c>
      <c r="F931">
        <v>330862</v>
      </c>
      <c r="G931" t="s">
        <v>983</v>
      </c>
      <c r="H931" t="s">
        <v>9</v>
      </c>
      <c r="I931" s="7">
        <v>45674</v>
      </c>
      <c r="J931" s="8">
        <v>0.60199074074074077</v>
      </c>
      <c r="K931" t="s">
        <v>984</v>
      </c>
      <c r="AQ931" t="s">
        <v>985</v>
      </c>
      <c r="AR931" t="s">
        <v>1105</v>
      </c>
      <c r="AT931" t="s">
        <v>987</v>
      </c>
      <c r="AZ931" t="s">
        <v>1044</v>
      </c>
      <c r="BA931" t="s">
        <v>1045</v>
      </c>
      <c r="BB931" t="s">
        <v>990</v>
      </c>
      <c r="BD931" t="s">
        <v>991</v>
      </c>
      <c r="BE931" t="s">
        <v>249</v>
      </c>
    </row>
    <row r="932" spans="1:57" ht="13" x14ac:dyDescent="0.15">
      <c r="A932">
        <v>1839</v>
      </c>
      <c r="B932">
        <v>32222502</v>
      </c>
      <c r="C932" t="s">
        <v>249</v>
      </c>
      <c r="D932" s="7">
        <v>40903</v>
      </c>
      <c r="E932" s="7">
        <v>45708</v>
      </c>
      <c r="F932">
        <v>330862</v>
      </c>
      <c r="G932" t="s">
        <v>983</v>
      </c>
      <c r="H932" t="s">
        <v>9</v>
      </c>
      <c r="I932" s="7">
        <v>45674</v>
      </c>
      <c r="J932" s="8">
        <v>0.60763888888888884</v>
      </c>
      <c r="K932" t="s">
        <v>984</v>
      </c>
      <c r="AQ932" t="s">
        <v>985</v>
      </c>
      <c r="AR932" t="s">
        <v>1201</v>
      </c>
      <c r="AT932" t="s">
        <v>987</v>
      </c>
      <c r="AZ932" t="s">
        <v>1011</v>
      </c>
      <c r="BA932" t="s">
        <v>1202</v>
      </c>
      <c r="BB932" t="s">
        <v>1203</v>
      </c>
      <c r="BD932" t="s">
        <v>991</v>
      </c>
      <c r="BE932" t="s">
        <v>249</v>
      </c>
    </row>
    <row r="933" spans="1:57" ht="13" x14ac:dyDescent="0.15">
      <c r="A933">
        <v>1839</v>
      </c>
      <c r="B933">
        <v>32222502</v>
      </c>
      <c r="C933" t="s">
        <v>249</v>
      </c>
      <c r="D933" s="7">
        <v>40903</v>
      </c>
      <c r="E933" s="7">
        <v>45708</v>
      </c>
      <c r="F933">
        <v>330862</v>
      </c>
      <c r="G933" t="s">
        <v>983</v>
      </c>
      <c r="H933" t="s">
        <v>9</v>
      </c>
      <c r="I933" s="7">
        <v>45661</v>
      </c>
      <c r="J933" s="8">
        <v>0.65807870370370369</v>
      </c>
      <c r="K933" t="s">
        <v>984</v>
      </c>
      <c r="AQ933" t="s">
        <v>985</v>
      </c>
      <c r="AR933" t="s">
        <v>1533</v>
      </c>
      <c r="AT933" t="s">
        <v>987</v>
      </c>
      <c r="AZ933" t="s">
        <v>1024</v>
      </c>
      <c r="BA933" t="s">
        <v>1025</v>
      </c>
      <c r="BB933" t="s">
        <v>1026</v>
      </c>
      <c r="BD933" t="s">
        <v>1022</v>
      </c>
      <c r="BE933" t="s">
        <v>249</v>
      </c>
    </row>
    <row r="934" spans="1:57" ht="13" x14ac:dyDescent="0.15">
      <c r="A934">
        <v>1839</v>
      </c>
      <c r="B934">
        <v>32222502</v>
      </c>
      <c r="C934" t="s">
        <v>249</v>
      </c>
      <c r="D934" s="7">
        <v>40903</v>
      </c>
      <c r="E934" s="7">
        <v>45708</v>
      </c>
      <c r="F934">
        <v>330862</v>
      </c>
      <c r="G934" t="s">
        <v>983</v>
      </c>
      <c r="H934" t="s">
        <v>9</v>
      </c>
      <c r="I934" s="7">
        <v>45674</v>
      </c>
      <c r="J934" s="8">
        <v>0.61699074074074078</v>
      </c>
      <c r="K934" t="s">
        <v>984</v>
      </c>
      <c r="AQ934" t="s">
        <v>985</v>
      </c>
      <c r="AR934" t="s">
        <v>1534</v>
      </c>
      <c r="AT934" t="s">
        <v>987</v>
      </c>
      <c r="AZ934" t="s">
        <v>1239</v>
      </c>
      <c r="BA934" t="s">
        <v>1240</v>
      </c>
      <c r="BB934" t="s">
        <v>1237</v>
      </c>
      <c r="BD934" t="s">
        <v>1005</v>
      </c>
      <c r="BE934" t="s">
        <v>249</v>
      </c>
    </row>
    <row r="935" spans="1:57" ht="13" x14ac:dyDescent="0.15">
      <c r="A935">
        <v>1839</v>
      </c>
      <c r="B935">
        <v>32222502</v>
      </c>
      <c r="C935" t="s">
        <v>249</v>
      </c>
      <c r="D935" s="7">
        <v>40903</v>
      </c>
      <c r="E935" s="7">
        <v>45708</v>
      </c>
      <c r="F935">
        <v>330862</v>
      </c>
      <c r="G935" t="s">
        <v>983</v>
      </c>
      <c r="H935" t="s">
        <v>9</v>
      </c>
      <c r="I935" s="7">
        <v>45661</v>
      </c>
      <c r="J935" s="8">
        <v>0.6473726851851852</v>
      </c>
      <c r="K935" t="s">
        <v>984</v>
      </c>
      <c r="AQ935" t="s">
        <v>985</v>
      </c>
      <c r="AR935" t="s">
        <v>1535</v>
      </c>
      <c r="AT935" t="s">
        <v>987</v>
      </c>
      <c r="AZ935" t="s">
        <v>1028</v>
      </c>
      <c r="BA935" t="s">
        <v>1029</v>
      </c>
      <c r="BB935" t="s">
        <v>1018</v>
      </c>
      <c r="BD935" t="s">
        <v>1022</v>
      </c>
      <c r="BE935" t="s">
        <v>249</v>
      </c>
    </row>
    <row r="936" spans="1:57" ht="13" x14ac:dyDescent="0.15">
      <c r="A936">
        <v>1839</v>
      </c>
      <c r="B936">
        <v>32222502</v>
      </c>
      <c r="C936" t="s">
        <v>249</v>
      </c>
      <c r="D936" s="7">
        <v>40903</v>
      </c>
      <c r="E936" s="7">
        <v>45708</v>
      </c>
      <c r="F936">
        <v>330862</v>
      </c>
      <c r="G936" t="s">
        <v>983</v>
      </c>
      <c r="H936" t="s">
        <v>9</v>
      </c>
      <c r="I936" s="7">
        <v>45699</v>
      </c>
      <c r="J936" s="8">
        <v>0.53934027777777782</v>
      </c>
      <c r="K936" t="s">
        <v>984</v>
      </c>
      <c r="AQ936" t="s">
        <v>1366</v>
      </c>
      <c r="AR936" t="s">
        <v>993</v>
      </c>
      <c r="AT936" t="s">
        <v>987</v>
      </c>
      <c r="AZ936" t="s">
        <v>988</v>
      </c>
      <c r="BA936" t="s">
        <v>989</v>
      </c>
      <c r="BB936" t="s">
        <v>990</v>
      </c>
      <c r="BD936" t="s">
        <v>991</v>
      </c>
      <c r="BE936" t="s">
        <v>249</v>
      </c>
    </row>
    <row r="937" spans="1:57" ht="13" x14ac:dyDescent="0.15">
      <c r="A937">
        <v>1839</v>
      </c>
      <c r="B937">
        <v>32243010</v>
      </c>
      <c r="C937" t="s">
        <v>250</v>
      </c>
      <c r="D937" s="7">
        <v>41061</v>
      </c>
      <c r="E937" s="7">
        <v>45706</v>
      </c>
      <c r="F937">
        <v>330862</v>
      </c>
      <c r="G937" t="s">
        <v>983</v>
      </c>
      <c r="H937" t="s">
        <v>9</v>
      </c>
      <c r="I937" s="7">
        <v>45636</v>
      </c>
      <c r="J937" s="8">
        <v>0.9243055555555556</v>
      </c>
      <c r="K937" t="s">
        <v>984</v>
      </c>
      <c r="AQ937" t="s">
        <v>1089</v>
      </c>
      <c r="AR937" t="s">
        <v>1098</v>
      </c>
      <c r="AT937" t="s">
        <v>987</v>
      </c>
      <c r="AZ937" t="s">
        <v>1020</v>
      </c>
      <c r="BA937" t="s">
        <v>1021</v>
      </c>
      <c r="BB937" t="s">
        <v>1018</v>
      </c>
      <c r="BD937" t="s">
        <v>1022</v>
      </c>
      <c r="BE937" t="s">
        <v>250</v>
      </c>
    </row>
    <row r="938" spans="1:57" ht="13" x14ac:dyDescent="0.15">
      <c r="A938">
        <v>1839</v>
      </c>
      <c r="B938">
        <v>32243010</v>
      </c>
      <c r="C938" t="s">
        <v>250</v>
      </c>
      <c r="D938" s="7">
        <v>41061</v>
      </c>
      <c r="E938" s="7">
        <v>45706</v>
      </c>
      <c r="F938">
        <v>330862</v>
      </c>
      <c r="G938" t="s">
        <v>983</v>
      </c>
      <c r="H938" t="s">
        <v>9</v>
      </c>
      <c r="I938" s="7">
        <v>45679</v>
      </c>
      <c r="J938" s="8">
        <v>3.0034722222222223E-2</v>
      </c>
      <c r="K938" t="s">
        <v>984</v>
      </c>
      <c r="AQ938" t="s">
        <v>1089</v>
      </c>
      <c r="AR938" t="s">
        <v>1083</v>
      </c>
      <c r="AT938" t="s">
        <v>987</v>
      </c>
      <c r="AZ938" t="s">
        <v>1011</v>
      </c>
      <c r="BA938" t="s">
        <v>1012</v>
      </c>
      <c r="BB938" t="s">
        <v>1013</v>
      </c>
      <c r="BD938" t="s">
        <v>1014</v>
      </c>
      <c r="BE938" t="s">
        <v>250</v>
      </c>
    </row>
    <row r="939" spans="1:57" ht="13" x14ac:dyDescent="0.15">
      <c r="A939">
        <v>1839</v>
      </c>
      <c r="B939">
        <v>32243010</v>
      </c>
      <c r="C939" t="s">
        <v>250</v>
      </c>
      <c r="D939" s="7">
        <v>41061</v>
      </c>
      <c r="E939" s="7">
        <v>45706</v>
      </c>
      <c r="F939">
        <v>330862</v>
      </c>
      <c r="G939" t="s">
        <v>983</v>
      </c>
      <c r="H939" t="s">
        <v>9</v>
      </c>
      <c r="I939" s="7">
        <v>45636</v>
      </c>
      <c r="J939" s="8">
        <v>0.95917824074074076</v>
      </c>
      <c r="K939" t="s">
        <v>984</v>
      </c>
      <c r="AQ939" t="s">
        <v>1089</v>
      </c>
      <c r="AR939" t="s">
        <v>1098</v>
      </c>
      <c r="AT939" t="s">
        <v>987</v>
      </c>
      <c r="AZ939" t="s">
        <v>1020</v>
      </c>
      <c r="BA939" t="s">
        <v>1021</v>
      </c>
      <c r="BB939" t="s">
        <v>1018</v>
      </c>
      <c r="BD939" t="s">
        <v>1022</v>
      </c>
      <c r="BE939" t="s">
        <v>250</v>
      </c>
    </row>
    <row r="940" spans="1:57" ht="13" x14ac:dyDescent="0.15">
      <c r="A940">
        <v>1839</v>
      </c>
      <c r="B940">
        <v>32256742</v>
      </c>
      <c r="C940" t="s">
        <v>251</v>
      </c>
      <c r="D940" s="7">
        <v>38991</v>
      </c>
      <c r="E940" s="7">
        <v>45710</v>
      </c>
      <c r="F940">
        <v>330862</v>
      </c>
      <c r="G940" t="s">
        <v>983</v>
      </c>
      <c r="H940" t="s">
        <v>9</v>
      </c>
      <c r="I940" s="7">
        <v>45705</v>
      </c>
      <c r="J940" s="8">
        <v>0.98453703703703699</v>
      </c>
      <c r="K940" t="s">
        <v>984</v>
      </c>
      <c r="AQ940" t="s">
        <v>992</v>
      </c>
      <c r="AR940" t="s">
        <v>1176</v>
      </c>
      <c r="AT940" t="s">
        <v>987</v>
      </c>
      <c r="AZ940" t="s">
        <v>1011</v>
      </c>
      <c r="BA940" t="s">
        <v>1012</v>
      </c>
      <c r="BB940" t="s">
        <v>1013</v>
      </c>
      <c r="BD940" t="s">
        <v>1014</v>
      </c>
      <c r="BE940" t="s">
        <v>251</v>
      </c>
    </row>
    <row r="941" spans="1:57" ht="13" x14ac:dyDescent="0.15">
      <c r="A941">
        <v>1839</v>
      </c>
      <c r="B941">
        <v>32256742</v>
      </c>
      <c r="C941" t="s">
        <v>251</v>
      </c>
      <c r="D941" s="7">
        <v>38991</v>
      </c>
      <c r="E941" s="7">
        <v>45710</v>
      </c>
      <c r="F941">
        <v>330862</v>
      </c>
      <c r="G941" t="s">
        <v>983</v>
      </c>
      <c r="H941" t="s">
        <v>9</v>
      </c>
      <c r="I941" s="7">
        <v>45618</v>
      </c>
      <c r="J941" s="8">
        <v>0.61768518518518523</v>
      </c>
      <c r="K941" t="s">
        <v>984</v>
      </c>
      <c r="AQ941" t="s">
        <v>992</v>
      </c>
      <c r="AR941" t="s">
        <v>1195</v>
      </c>
      <c r="AT941" t="s">
        <v>987</v>
      </c>
      <c r="AZ941" t="s">
        <v>1055</v>
      </c>
      <c r="BA941" t="s">
        <v>1056</v>
      </c>
      <c r="BB941" t="s">
        <v>1013</v>
      </c>
      <c r="BD941" t="s">
        <v>1022</v>
      </c>
      <c r="BE941" t="s">
        <v>251</v>
      </c>
    </row>
    <row r="942" spans="1:57" ht="13" x14ac:dyDescent="0.15">
      <c r="A942">
        <v>1839</v>
      </c>
      <c r="B942">
        <v>32256742</v>
      </c>
      <c r="C942" t="s">
        <v>251</v>
      </c>
      <c r="D942" s="7">
        <v>38991</v>
      </c>
      <c r="E942" s="7">
        <v>45710</v>
      </c>
      <c r="F942">
        <v>330862</v>
      </c>
      <c r="G942" t="s">
        <v>983</v>
      </c>
      <c r="H942" t="s">
        <v>9</v>
      </c>
      <c r="I942" s="7">
        <v>45622</v>
      </c>
      <c r="J942" s="8">
        <v>0.69516203703703705</v>
      </c>
      <c r="K942" t="s">
        <v>984</v>
      </c>
      <c r="AQ942" t="s">
        <v>992</v>
      </c>
      <c r="AR942" t="s">
        <v>1053</v>
      </c>
      <c r="AT942" t="s">
        <v>987</v>
      </c>
      <c r="AZ942" t="s">
        <v>1055</v>
      </c>
      <c r="BA942" t="s">
        <v>1056</v>
      </c>
      <c r="BB942" t="s">
        <v>1013</v>
      </c>
      <c r="BD942" t="s">
        <v>1022</v>
      </c>
      <c r="BE942" t="s">
        <v>251</v>
      </c>
    </row>
    <row r="943" spans="1:57" ht="13" x14ac:dyDescent="0.15">
      <c r="A943">
        <v>1839</v>
      </c>
      <c r="B943">
        <v>32256742</v>
      </c>
      <c r="C943" t="s">
        <v>251</v>
      </c>
      <c r="D943" s="7">
        <v>38991</v>
      </c>
      <c r="E943" s="7">
        <v>45710</v>
      </c>
      <c r="F943">
        <v>330862</v>
      </c>
      <c r="G943" t="s">
        <v>983</v>
      </c>
      <c r="H943" t="s">
        <v>9</v>
      </c>
      <c r="I943" s="7">
        <v>45706</v>
      </c>
      <c r="J943" s="8">
        <v>0.8737731481481481</v>
      </c>
      <c r="K943" t="s">
        <v>984</v>
      </c>
      <c r="AQ943" t="s">
        <v>992</v>
      </c>
      <c r="AR943" t="s">
        <v>1536</v>
      </c>
      <c r="AT943" t="s">
        <v>987</v>
      </c>
      <c r="AZ943" t="s">
        <v>1174</v>
      </c>
      <c r="BA943" t="s">
        <v>1175</v>
      </c>
      <c r="BB943" t="s">
        <v>990</v>
      </c>
      <c r="BD943" t="s">
        <v>991</v>
      </c>
      <c r="BE943" t="s">
        <v>251</v>
      </c>
    </row>
    <row r="944" spans="1:57" ht="13" x14ac:dyDescent="0.15">
      <c r="A944">
        <v>1839</v>
      </c>
      <c r="B944">
        <v>32256742</v>
      </c>
      <c r="C944" t="s">
        <v>251</v>
      </c>
      <c r="D944" s="7">
        <v>38991</v>
      </c>
      <c r="E944" s="7">
        <v>45710</v>
      </c>
      <c r="F944">
        <v>330862</v>
      </c>
      <c r="G944" t="s">
        <v>983</v>
      </c>
      <c r="H944" t="s">
        <v>9</v>
      </c>
      <c r="I944" s="7">
        <v>45706</v>
      </c>
      <c r="J944" s="8">
        <v>0.87662037037037033</v>
      </c>
      <c r="K944" t="s">
        <v>984</v>
      </c>
      <c r="AQ944" t="s">
        <v>992</v>
      </c>
      <c r="AR944" t="s">
        <v>1536</v>
      </c>
      <c r="AT944" t="s">
        <v>987</v>
      </c>
      <c r="AZ944" t="s">
        <v>1174</v>
      </c>
      <c r="BA944" t="s">
        <v>1175</v>
      </c>
      <c r="BB944" t="s">
        <v>990</v>
      </c>
      <c r="BD944" t="s">
        <v>991</v>
      </c>
      <c r="BE944" t="s">
        <v>251</v>
      </c>
    </row>
    <row r="945" spans="1:57" ht="13" x14ac:dyDescent="0.15">
      <c r="A945">
        <v>1839</v>
      </c>
      <c r="B945">
        <v>32260309</v>
      </c>
      <c r="C945" t="s">
        <v>252</v>
      </c>
      <c r="D945" s="7">
        <v>39006</v>
      </c>
      <c r="E945" s="7">
        <v>45702</v>
      </c>
      <c r="F945">
        <v>330862</v>
      </c>
      <c r="G945" t="s">
        <v>983</v>
      </c>
      <c r="H945" t="s">
        <v>9</v>
      </c>
      <c r="I945" s="7">
        <v>45678</v>
      </c>
      <c r="J945" s="8">
        <v>0.47554398148148147</v>
      </c>
      <c r="K945" t="s">
        <v>984</v>
      </c>
      <c r="AQ945" t="s">
        <v>992</v>
      </c>
      <c r="AR945" t="s">
        <v>1537</v>
      </c>
      <c r="AT945" t="s">
        <v>987</v>
      </c>
      <c r="AZ945" t="s">
        <v>1493</v>
      </c>
      <c r="BA945" t="s">
        <v>1494</v>
      </c>
      <c r="BB945" t="s">
        <v>1495</v>
      </c>
      <c r="BD945" t="s">
        <v>1005</v>
      </c>
      <c r="BE945" t="s">
        <v>252</v>
      </c>
    </row>
    <row r="946" spans="1:57" ht="13" x14ac:dyDescent="0.15">
      <c r="A946">
        <v>1839</v>
      </c>
      <c r="B946">
        <v>32260309</v>
      </c>
      <c r="C946" t="s">
        <v>252</v>
      </c>
      <c r="D946" s="7">
        <v>39006</v>
      </c>
      <c r="E946" s="7">
        <v>45702</v>
      </c>
      <c r="F946">
        <v>330862</v>
      </c>
      <c r="G946" t="s">
        <v>983</v>
      </c>
      <c r="H946" t="s">
        <v>9</v>
      </c>
      <c r="I946" s="7">
        <v>45678</v>
      </c>
      <c r="J946" s="8">
        <v>0.46418981481481481</v>
      </c>
      <c r="K946" t="s">
        <v>984</v>
      </c>
      <c r="AQ946" t="s">
        <v>992</v>
      </c>
      <c r="AR946" t="s">
        <v>1538</v>
      </c>
      <c r="AT946" t="s">
        <v>987</v>
      </c>
      <c r="AZ946" t="s">
        <v>1024</v>
      </c>
      <c r="BA946" t="s">
        <v>1047</v>
      </c>
      <c r="BB946" t="s">
        <v>1048</v>
      </c>
      <c r="BD946" t="s">
        <v>1014</v>
      </c>
      <c r="BE946" t="s">
        <v>252</v>
      </c>
    </row>
    <row r="947" spans="1:57" ht="13" x14ac:dyDescent="0.15">
      <c r="A947">
        <v>1839</v>
      </c>
      <c r="B947">
        <v>32260309</v>
      </c>
      <c r="C947" t="s">
        <v>252</v>
      </c>
      <c r="D947" s="7">
        <v>39006</v>
      </c>
      <c r="E947" s="7">
        <v>45702</v>
      </c>
      <c r="F947">
        <v>330862</v>
      </c>
      <c r="G947" t="s">
        <v>983</v>
      </c>
      <c r="H947" t="s">
        <v>9</v>
      </c>
      <c r="I947" s="7">
        <v>45678</v>
      </c>
      <c r="J947" s="8">
        <v>0.43692129629629628</v>
      </c>
      <c r="K947" t="s">
        <v>984</v>
      </c>
      <c r="AQ947" t="s">
        <v>1113</v>
      </c>
      <c r="AR947" t="s">
        <v>1538</v>
      </c>
      <c r="AT947" t="s">
        <v>987</v>
      </c>
      <c r="AZ947" t="s">
        <v>1024</v>
      </c>
      <c r="BA947" t="s">
        <v>1047</v>
      </c>
      <c r="BB947" t="s">
        <v>1048</v>
      </c>
      <c r="BD947" t="s">
        <v>1014</v>
      </c>
      <c r="BE947" t="s">
        <v>252</v>
      </c>
    </row>
    <row r="948" spans="1:57" ht="13" x14ac:dyDescent="0.15">
      <c r="A948">
        <v>1839</v>
      </c>
      <c r="B948">
        <v>32260309</v>
      </c>
      <c r="C948" t="s">
        <v>252</v>
      </c>
      <c r="D948" s="7">
        <v>39006</v>
      </c>
      <c r="E948" s="7">
        <v>45702</v>
      </c>
      <c r="F948">
        <v>330862</v>
      </c>
      <c r="G948" t="s">
        <v>983</v>
      </c>
      <c r="H948" t="s">
        <v>9</v>
      </c>
      <c r="I948" s="7">
        <v>45676</v>
      </c>
      <c r="J948" s="8">
        <v>0.85556712962962966</v>
      </c>
      <c r="K948" t="s">
        <v>984</v>
      </c>
      <c r="AQ948" t="s">
        <v>992</v>
      </c>
      <c r="AR948" t="s">
        <v>1204</v>
      </c>
      <c r="AT948" t="s">
        <v>987</v>
      </c>
      <c r="AZ948" t="s">
        <v>1024</v>
      </c>
      <c r="BA948" t="s">
        <v>1047</v>
      </c>
      <c r="BB948" t="s">
        <v>1048</v>
      </c>
      <c r="BD948" t="s">
        <v>1014</v>
      </c>
      <c r="BE948" t="s">
        <v>252</v>
      </c>
    </row>
    <row r="949" spans="1:57" ht="13" x14ac:dyDescent="0.15">
      <c r="A949">
        <v>1839</v>
      </c>
      <c r="B949">
        <v>32260309</v>
      </c>
      <c r="C949" t="s">
        <v>252</v>
      </c>
      <c r="D949" s="7">
        <v>39006</v>
      </c>
      <c r="E949" s="7">
        <v>45702</v>
      </c>
      <c r="F949">
        <v>330862</v>
      </c>
      <c r="G949" t="s">
        <v>983</v>
      </c>
      <c r="H949" t="s">
        <v>9</v>
      </c>
      <c r="I949" s="7">
        <v>45615</v>
      </c>
      <c r="J949" s="8">
        <v>0.61686342592592591</v>
      </c>
      <c r="K949" t="s">
        <v>984</v>
      </c>
      <c r="AQ949" t="s">
        <v>992</v>
      </c>
      <c r="AR949" t="s">
        <v>1539</v>
      </c>
      <c r="AT949" t="s">
        <v>987</v>
      </c>
      <c r="BE949" t="s">
        <v>252</v>
      </c>
    </row>
    <row r="950" spans="1:57" ht="13" x14ac:dyDescent="0.15">
      <c r="A950">
        <v>1839</v>
      </c>
      <c r="B950">
        <v>32260309</v>
      </c>
      <c r="C950" t="s">
        <v>252</v>
      </c>
      <c r="D950" s="7">
        <v>39006</v>
      </c>
      <c r="E950" s="7">
        <v>45702</v>
      </c>
      <c r="F950">
        <v>330862</v>
      </c>
      <c r="G950" t="s">
        <v>983</v>
      </c>
      <c r="H950" t="s">
        <v>9</v>
      </c>
      <c r="I950" s="7">
        <v>45614</v>
      </c>
      <c r="J950" s="8">
        <v>0.43190972222222224</v>
      </c>
      <c r="K950" t="s">
        <v>984</v>
      </c>
      <c r="AQ950" t="s">
        <v>992</v>
      </c>
      <c r="AR950" t="s">
        <v>1540</v>
      </c>
      <c r="AT950" t="s">
        <v>987</v>
      </c>
      <c r="BE950" t="s">
        <v>252</v>
      </c>
    </row>
    <row r="951" spans="1:57" ht="13" x14ac:dyDescent="0.15">
      <c r="A951">
        <v>1839</v>
      </c>
      <c r="B951">
        <v>32260309</v>
      </c>
      <c r="C951" t="s">
        <v>252</v>
      </c>
      <c r="D951" s="7">
        <v>39006</v>
      </c>
      <c r="E951" s="7">
        <v>45702</v>
      </c>
      <c r="F951">
        <v>330862</v>
      </c>
      <c r="G951" t="s">
        <v>983</v>
      </c>
      <c r="H951" t="s">
        <v>9</v>
      </c>
      <c r="I951" s="7">
        <v>45614</v>
      </c>
      <c r="J951" s="8">
        <v>0.58165509259259263</v>
      </c>
      <c r="K951" t="s">
        <v>984</v>
      </c>
      <c r="AQ951" t="s">
        <v>992</v>
      </c>
      <c r="AR951" t="s">
        <v>1541</v>
      </c>
      <c r="BE951" t="s">
        <v>252</v>
      </c>
    </row>
    <row r="952" spans="1:57" ht="13" x14ac:dyDescent="0.15">
      <c r="A952">
        <v>1839</v>
      </c>
      <c r="B952">
        <v>32261282</v>
      </c>
      <c r="C952" t="s">
        <v>253</v>
      </c>
      <c r="D952" s="7">
        <v>39009</v>
      </c>
      <c r="E952" s="7">
        <v>45696</v>
      </c>
      <c r="F952">
        <v>330862</v>
      </c>
      <c r="G952" t="s">
        <v>983</v>
      </c>
      <c r="H952" t="s">
        <v>9</v>
      </c>
      <c r="I952" s="7">
        <v>45694</v>
      </c>
      <c r="J952" s="8">
        <v>0.38172453703703701</v>
      </c>
      <c r="K952" t="s">
        <v>984</v>
      </c>
      <c r="AQ952" t="s">
        <v>998</v>
      </c>
      <c r="AR952" t="s">
        <v>986</v>
      </c>
      <c r="AT952" t="s">
        <v>987</v>
      </c>
      <c r="AZ952" t="s">
        <v>988</v>
      </c>
      <c r="BA952" t="s">
        <v>989</v>
      </c>
      <c r="BB952" t="s">
        <v>990</v>
      </c>
      <c r="BD952" t="s">
        <v>991</v>
      </c>
      <c r="BE952" t="s">
        <v>253</v>
      </c>
    </row>
    <row r="953" spans="1:57" ht="13" x14ac:dyDescent="0.15">
      <c r="A953">
        <v>1839</v>
      </c>
      <c r="B953">
        <v>32274250</v>
      </c>
      <c r="C953" t="s">
        <v>254</v>
      </c>
      <c r="D953" s="7">
        <v>41102</v>
      </c>
      <c r="E953" s="7">
        <v>45695</v>
      </c>
      <c r="F953">
        <v>330862</v>
      </c>
      <c r="G953" t="s">
        <v>983</v>
      </c>
      <c r="H953" t="s">
        <v>9</v>
      </c>
      <c r="I953" s="7">
        <v>45695</v>
      </c>
      <c r="J953" s="8">
        <v>4.234953703703704E-2</v>
      </c>
      <c r="K953" t="s">
        <v>984</v>
      </c>
      <c r="AQ953" t="s">
        <v>1000</v>
      </c>
      <c r="AR953" t="s">
        <v>986</v>
      </c>
      <c r="AT953" t="s">
        <v>987</v>
      </c>
      <c r="AZ953" t="s">
        <v>988</v>
      </c>
      <c r="BA953" t="s">
        <v>989</v>
      </c>
      <c r="BB953" t="s">
        <v>990</v>
      </c>
      <c r="BD953" t="s">
        <v>991</v>
      </c>
      <c r="BE953" t="s">
        <v>254</v>
      </c>
    </row>
    <row r="954" spans="1:57" ht="13" x14ac:dyDescent="0.15">
      <c r="A954">
        <v>1839</v>
      </c>
      <c r="B954">
        <v>32295076</v>
      </c>
      <c r="C954" t="s">
        <v>1542</v>
      </c>
      <c r="D954" s="7">
        <v>39055</v>
      </c>
      <c r="E954" s="7">
        <v>45701</v>
      </c>
      <c r="F954">
        <v>330862</v>
      </c>
      <c r="G954" t="s">
        <v>983</v>
      </c>
      <c r="H954" t="s">
        <v>9</v>
      </c>
      <c r="I954" s="7">
        <v>45616</v>
      </c>
      <c r="J954" s="8">
        <v>0.58108796296296295</v>
      </c>
      <c r="K954" t="s">
        <v>984</v>
      </c>
      <c r="AQ954" t="s">
        <v>1042</v>
      </c>
      <c r="AR954" t="s">
        <v>1287</v>
      </c>
      <c r="AT954" t="s">
        <v>987</v>
      </c>
      <c r="AZ954" t="s">
        <v>1011</v>
      </c>
      <c r="BA954" t="s">
        <v>1103</v>
      </c>
      <c r="BB954" t="s">
        <v>1032</v>
      </c>
      <c r="BD954" t="s">
        <v>1005</v>
      </c>
      <c r="BE954" t="s">
        <v>1542</v>
      </c>
    </row>
    <row r="955" spans="1:57" ht="13" x14ac:dyDescent="0.15">
      <c r="A955">
        <v>1839</v>
      </c>
      <c r="B955">
        <v>32296350</v>
      </c>
      <c r="C955" t="s">
        <v>255</v>
      </c>
      <c r="D955" s="7">
        <v>40998</v>
      </c>
      <c r="E955" s="7">
        <v>45711</v>
      </c>
      <c r="F955">
        <v>330862</v>
      </c>
      <c r="G955" t="s">
        <v>983</v>
      </c>
      <c r="H955" t="s">
        <v>9</v>
      </c>
      <c r="I955" s="7">
        <v>45699</v>
      </c>
      <c r="J955" s="8">
        <v>0.66973379629629626</v>
      </c>
      <c r="K955" t="s">
        <v>984</v>
      </c>
      <c r="AQ955" t="s">
        <v>992</v>
      </c>
      <c r="AR955" t="s">
        <v>994</v>
      </c>
      <c r="AT955" t="s">
        <v>987</v>
      </c>
      <c r="AZ955" t="s">
        <v>1011</v>
      </c>
      <c r="BA955" t="s">
        <v>1012</v>
      </c>
      <c r="BB955" t="s">
        <v>1013</v>
      </c>
      <c r="BD955" t="s">
        <v>1014</v>
      </c>
      <c r="BE955" t="s">
        <v>255</v>
      </c>
    </row>
    <row r="956" spans="1:57" ht="13" x14ac:dyDescent="0.15">
      <c r="A956">
        <v>1839</v>
      </c>
      <c r="B956">
        <v>32325765</v>
      </c>
      <c r="C956" t="s">
        <v>256</v>
      </c>
      <c r="D956" s="7">
        <v>39130</v>
      </c>
      <c r="E956" s="7">
        <v>45694</v>
      </c>
      <c r="F956">
        <v>330862</v>
      </c>
      <c r="G956" t="s">
        <v>983</v>
      </c>
      <c r="H956" t="s">
        <v>9</v>
      </c>
      <c r="I956" s="7">
        <v>45694</v>
      </c>
      <c r="J956" s="8">
        <v>0.35550925925925925</v>
      </c>
      <c r="K956" t="s">
        <v>984</v>
      </c>
      <c r="AQ956" t="s">
        <v>992</v>
      </c>
      <c r="AR956" t="s">
        <v>993</v>
      </c>
      <c r="AT956" t="s">
        <v>987</v>
      </c>
      <c r="AZ956" t="s">
        <v>988</v>
      </c>
      <c r="BA956" t="s">
        <v>989</v>
      </c>
      <c r="BB956" t="s">
        <v>990</v>
      </c>
      <c r="BD956" t="s">
        <v>991</v>
      </c>
      <c r="BE956" t="s">
        <v>256</v>
      </c>
    </row>
    <row r="957" spans="1:57" ht="13" x14ac:dyDescent="0.15">
      <c r="A957">
        <v>1839</v>
      </c>
      <c r="B957">
        <v>32334706</v>
      </c>
      <c r="C957" t="s">
        <v>257</v>
      </c>
      <c r="D957" s="7">
        <v>38519</v>
      </c>
      <c r="E957" s="7">
        <v>45713</v>
      </c>
      <c r="F957">
        <v>330862</v>
      </c>
      <c r="G957" t="s">
        <v>983</v>
      </c>
      <c r="H957" t="s">
        <v>9</v>
      </c>
      <c r="I957" s="7">
        <v>45694</v>
      </c>
      <c r="J957" s="8">
        <v>0.37070601851851853</v>
      </c>
      <c r="K957" t="s">
        <v>984</v>
      </c>
      <c r="AQ957" t="s">
        <v>1090</v>
      </c>
      <c r="AR957" t="s">
        <v>993</v>
      </c>
      <c r="AT957" t="s">
        <v>987</v>
      </c>
      <c r="AZ957" t="s">
        <v>988</v>
      </c>
      <c r="BA957" t="s">
        <v>989</v>
      </c>
      <c r="BB957" t="s">
        <v>990</v>
      </c>
      <c r="BD957" t="s">
        <v>991</v>
      </c>
      <c r="BE957" t="s">
        <v>257</v>
      </c>
    </row>
    <row r="958" spans="1:57" ht="13" x14ac:dyDescent="0.15">
      <c r="A958">
        <v>1839</v>
      </c>
      <c r="B958">
        <v>32341680</v>
      </c>
      <c r="C958" t="s">
        <v>258</v>
      </c>
      <c r="D958" s="7">
        <v>38554</v>
      </c>
      <c r="E958" s="7">
        <v>45713</v>
      </c>
      <c r="F958">
        <v>330862</v>
      </c>
      <c r="G958" t="s">
        <v>983</v>
      </c>
      <c r="H958" t="s">
        <v>9</v>
      </c>
      <c r="I958" s="7">
        <v>45674</v>
      </c>
      <c r="J958" s="8">
        <v>0.81761574074074073</v>
      </c>
      <c r="K958" t="s">
        <v>984</v>
      </c>
      <c r="AQ958" t="s">
        <v>985</v>
      </c>
      <c r="AR958" t="s">
        <v>1051</v>
      </c>
      <c r="AT958" t="s">
        <v>987</v>
      </c>
      <c r="AZ958" t="s">
        <v>1002</v>
      </c>
      <c r="BA958" t="s">
        <v>1003</v>
      </c>
      <c r="BB958" t="s">
        <v>1004</v>
      </c>
      <c r="BD958" t="s">
        <v>1005</v>
      </c>
      <c r="BE958" t="s">
        <v>258</v>
      </c>
    </row>
    <row r="959" spans="1:57" ht="13" x14ac:dyDescent="0.15">
      <c r="A959">
        <v>1839</v>
      </c>
      <c r="B959">
        <v>32341680</v>
      </c>
      <c r="C959" t="s">
        <v>258</v>
      </c>
      <c r="D959" s="7">
        <v>38554</v>
      </c>
      <c r="E959" s="7">
        <v>45713</v>
      </c>
      <c r="F959">
        <v>330862</v>
      </c>
      <c r="G959" t="s">
        <v>983</v>
      </c>
      <c r="H959" t="s">
        <v>9</v>
      </c>
      <c r="I959" s="7">
        <v>45694</v>
      </c>
      <c r="J959" s="8">
        <v>0.40162037037037035</v>
      </c>
      <c r="K959" t="s">
        <v>984</v>
      </c>
      <c r="AQ959" t="s">
        <v>985</v>
      </c>
      <c r="AR959" t="s">
        <v>986</v>
      </c>
      <c r="AT959" t="s">
        <v>987</v>
      </c>
      <c r="AZ959" t="s">
        <v>988</v>
      </c>
      <c r="BA959" t="s">
        <v>989</v>
      </c>
      <c r="BB959" t="s">
        <v>990</v>
      </c>
      <c r="BD959" t="s">
        <v>991</v>
      </c>
      <c r="BE959" t="s">
        <v>258</v>
      </c>
    </row>
    <row r="960" spans="1:57" ht="13" x14ac:dyDescent="0.15">
      <c r="A960">
        <v>1839</v>
      </c>
      <c r="B960">
        <v>32341680</v>
      </c>
      <c r="C960" t="s">
        <v>258</v>
      </c>
      <c r="D960" s="7">
        <v>38554</v>
      </c>
      <c r="E960" s="7">
        <v>45713</v>
      </c>
      <c r="F960">
        <v>336444</v>
      </c>
      <c r="G960" t="s">
        <v>995</v>
      </c>
      <c r="H960" t="s">
        <v>12</v>
      </c>
      <c r="I960" s="7">
        <v>45640</v>
      </c>
      <c r="J960" s="8">
        <v>0.83540509259259255</v>
      </c>
      <c r="K960" t="s">
        <v>984</v>
      </c>
      <c r="AQ960" t="s">
        <v>996</v>
      </c>
      <c r="BE960" t="s">
        <v>258</v>
      </c>
    </row>
    <row r="961" spans="1:57" ht="13" x14ac:dyDescent="0.15">
      <c r="A961">
        <v>1839</v>
      </c>
      <c r="B961">
        <v>32343433</v>
      </c>
      <c r="C961" t="s">
        <v>259</v>
      </c>
      <c r="D961" s="7">
        <v>38554</v>
      </c>
      <c r="E961" s="7">
        <v>45712</v>
      </c>
      <c r="F961">
        <v>330862</v>
      </c>
      <c r="G961" t="s">
        <v>983</v>
      </c>
      <c r="H961" t="s">
        <v>9</v>
      </c>
      <c r="I961" s="7">
        <v>45636</v>
      </c>
      <c r="J961" s="8">
        <v>0.48387731481481483</v>
      </c>
      <c r="K961" t="s">
        <v>984</v>
      </c>
      <c r="AQ961" t="s">
        <v>992</v>
      </c>
      <c r="AR961" t="s">
        <v>1096</v>
      </c>
      <c r="AT961" t="s">
        <v>987</v>
      </c>
      <c r="BE961" t="s">
        <v>259</v>
      </c>
    </row>
    <row r="962" spans="1:57" ht="13" x14ac:dyDescent="0.15">
      <c r="A962">
        <v>1839</v>
      </c>
      <c r="B962">
        <v>32343433</v>
      </c>
      <c r="C962" t="s">
        <v>259</v>
      </c>
      <c r="D962" s="7">
        <v>38554</v>
      </c>
      <c r="E962" s="7">
        <v>45712</v>
      </c>
      <c r="F962">
        <v>330862</v>
      </c>
      <c r="G962" t="s">
        <v>983</v>
      </c>
      <c r="H962" t="s">
        <v>9</v>
      </c>
      <c r="I962" s="7">
        <v>45677</v>
      </c>
      <c r="J962" s="8">
        <v>0.68502314814814813</v>
      </c>
      <c r="K962" t="s">
        <v>984</v>
      </c>
      <c r="AQ962" t="s">
        <v>992</v>
      </c>
      <c r="AR962" t="s">
        <v>1083</v>
      </c>
      <c r="AT962" t="s">
        <v>987</v>
      </c>
      <c r="BE962" t="s">
        <v>259</v>
      </c>
    </row>
    <row r="963" spans="1:57" ht="13" x14ac:dyDescent="0.15">
      <c r="A963">
        <v>1839</v>
      </c>
      <c r="B963">
        <v>32343648</v>
      </c>
      <c r="C963" t="s">
        <v>260</v>
      </c>
      <c r="D963" s="7">
        <v>38554</v>
      </c>
      <c r="E963" s="7">
        <v>45696</v>
      </c>
      <c r="F963">
        <v>330862</v>
      </c>
      <c r="G963" t="s">
        <v>983</v>
      </c>
      <c r="H963" t="s">
        <v>9</v>
      </c>
      <c r="I963" s="7">
        <v>45677</v>
      </c>
      <c r="J963" s="8">
        <v>0.77098379629629632</v>
      </c>
      <c r="K963" t="s">
        <v>984</v>
      </c>
      <c r="AQ963" t="s">
        <v>992</v>
      </c>
      <c r="AR963" t="s">
        <v>1083</v>
      </c>
      <c r="AT963" t="s">
        <v>987</v>
      </c>
      <c r="AZ963" t="s">
        <v>1011</v>
      </c>
      <c r="BA963" t="s">
        <v>1012</v>
      </c>
      <c r="BB963" t="s">
        <v>1013</v>
      </c>
      <c r="BD963" t="s">
        <v>1014</v>
      </c>
      <c r="BE963" t="s">
        <v>260</v>
      </c>
    </row>
    <row r="964" spans="1:57" ht="13" x14ac:dyDescent="0.15">
      <c r="A964">
        <v>1839</v>
      </c>
      <c r="B964">
        <v>32350084</v>
      </c>
      <c r="C964" t="s">
        <v>261</v>
      </c>
      <c r="D964" s="7">
        <v>38554</v>
      </c>
      <c r="E964" s="7">
        <v>45695</v>
      </c>
      <c r="F964">
        <v>330862</v>
      </c>
      <c r="G964" t="s">
        <v>983</v>
      </c>
      <c r="H964" t="s">
        <v>9</v>
      </c>
      <c r="I964" s="7">
        <v>45694</v>
      </c>
      <c r="J964" s="8">
        <v>0.89245370370370369</v>
      </c>
      <c r="K964" t="s">
        <v>984</v>
      </c>
      <c r="AQ964" t="s">
        <v>985</v>
      </c>
      <c r="AR964" t="s">
        <v>986</v>
      </c>
      <c r="AT964" t="s">
        <v>987</v>
      </c>
      <c r="AZ964" t="s">
        <v>988</v>
      </c>
      <c r="BA964" t="s">
        <v>989</v>
      </c>
      <c r="BB964" t="s">
        <v>990</v>
      </c>
      <c r="BD964" t="s">
        <v>991</v>
      </c>
      <c r="BE964" t="s">
        <v>261</v>
      </c>
    </row>
    <row r="965" spans="1:57" ht="13" x14ac:dyDescent="0.15">
      <c r="A965">
        <v>1839</v>
      </c>
      <c r="B965">
        <v>32352329</v>
      </c>
      <c r="C965" t="s">
        <v>262</v>
      </c>
      <c r="D965" s="7">
        <v>38555</v>
      </c>
      <c r="E965" s="7">
        <v>45710</v>
      </c>
      <c r="F965">
        <v>330862</v>
      </c>
      <c r="G965" t="s">
        <v>983</v>
      </c>
      <c r="H965" t="s">
        <v>9</v>
      </c>
      <c r="I965" s="7">
        <v>45677</v>
      </c>
      <c r="J965" s="8">
        <v>0.65905092592592596</v>
      </c>
      <c r="K965" t="s">
        <v>984</v>
      </c>
      <c r="AQ965" t="s">
        <v>985</v>
      </c>
      <c r="AR965" t="s">
        <v>1050</v>
      </c>
      <c r="AT965" t="s">
        <v>987</v>
      </c>
      <c r="AZ965" t="s">
        <v>1011</v>
      </c>
      <c r="BA965" t="s">
        <v>1012</v>
      </c>
      <c r="BB965" t="s">
        <v>1013</v>
      </c>
      <c r="BD965" t="s">
        <v>1014</v>
      </c>
      <c r="BE965" t="s">
        <v>262</v>
      </c>
    </row>
    <row r="966" spans="1:57" ht="13" x14ac:dyDescent="0.15">
      <c r="A966">
        <v>1839</v>
      </c>
      <c r="B966">
        <v>32360532</v>
      </c>
      <c r="C966" t="s">
        <v>263</v>
      </c>
      <c r="D966" s="7">
        <v>38558</v>
      </c>
      <c r="E966" s="7">
        <v>45713</v>
      </c>
      <c r="F966">
        <v>330862</v>
      </c>
      <c r="G966" t="s">
        <v>983</v>
      </c>
      <c r="H966" t="s">
        <v>9</v>
      </c>
      <c r="I966" s="7">
        <v>45694</v>
      </c>
      <c r="J966" s="8">
        <v>0.507349537037037</v>
      </c>
      <c r="K966" t="s">
        <v>984</v>
      </c>
      <c r="AQ966" t="s">
        <v>1322</v>
      </c>
      <c r="AR966" t="s">
        <v>986</v>
      </c>
      <c r="AT966" t="s">
        <v>987</v>
      </c>
      <c r="AZ966" t="s">
        <v>988</v>
      </c>
      <c r="BA966" t="s">
        <v>989</v>
      </c>
      <c r="BB966" t="s">
        <v>990</v>
      </c>
      <c r="BD966" t="s">
        <v>991</v>
      </c>
      <c r="BE966" t="s">
        <v>263</v>
      </c>
    </row>
    <row r="967" spans="1:57" ht="13" x14ac:dyDescent="0.15">
      <c r="A967">
        <v>1839</v>
      </c>
      <c r="B967">
        <v>32363056</v>
      </c>
      <c r="C967" t="s">
        <v>1543</v>
      </c>
      <c r="D967" s="7">
        <v>38561</v>
      </c>
      <c r="E967" s="7">
        <v>45698</v>
      </c>
      <c r="F967">
        <v>330862</v>
      </c>
      <c r="G967" t="s">
        <v>983</v>
      </c>
      <c r="H967" t="s">
        <v>9</v>
      </c>
      <c r="I967" s="7">
        <v>45636</v>
      </c>
      <c r="J967" s="8">
        <v>0.52270833333333333</v>
      </c>
      <c r="K967" t="s">
        <v>984</v>
      </c>
      <c r="AQ967" t="s">
        <v>1092</v>
      </c>
      <c r="AR967" t="s">
        <v>1096</v>
      </c>
      <c r="AT967" t="s">
        <v>987</v>
      </c>
      <c r="AZ967" t="s">
        <v>1011</v>
      </c>
      <c r="BA967" t="s">
        <v>1031</v>
      </c>
      <c r="BB967" t="s">
        <v>1032</v>
      </c>
      <c r="BD967" t="s">
        <v>1005</v>
      </c>
      <c r="BE967" t="s">
        <v>1543</v>
      </c>
    </row>
    <row r="968" spans="1:57" ht="13" x14ac:dyDescent="0.15">
      <c r="A968">
        <v>1839</v>
      </c>
      <c r="B968">
        <v>32363056</v>
      </c>
      <c r="C968" t="s">
        <v>1543</v>
      </c>
      <c r="D968" s="7">
        <v>38561</v>
      </c>
      <c r="E968" s="7">
        <v>45698</v>
      </c>
      <c r="F968">
        <v>330862</v>
      </c>
      <c r="G968" t="s">
        <v>983</v>
      </c>
      <c r="H968" t="s">
        <v>9</v>
      </c>
      <c r="I968" s="7">
        <v>45636</v>
      </c>
      <c r="J968" s="8">
        <v>0.52855324074074073</v>
      </c>
      <c r="K968" t="s">
        <v>984</v>
      </c>
      <c r="AQ968" t="s">
        <v>1092</v>
      </c>
      <c r="AR968" t="s">
        <v>1096</v>
      </c>
      <c r="AT968" t="s">
        <v>987</v>
      </c>
      <c r="AZ968" t="s">
        <v>1011</v>
      </c>
      <c r="BA968" t="s">
        <v>1031</v>
      </c>
      <c r="BB968" t="s">
        <v>1032</v>
      </c>
      <c r="BD968" t="s">
        <v>1005</v>
      </c>
      <c r="BE968" t="s">
        <v>1543</v>
      </c>
    </row>
    <row r="969" spans="1:57" ht="13" x14ac:dyDescent="0.15">
      <c r="A969">
        <v>1839</v>
      </c>
      <c r="B969">
        <v>32363056</v>
      </c>
      <c r="C969" t="s">
        <v>1543</v>
      </c>
      <c r="D969" s="7">
        <v>38561</v>
      </c>
      <c r="E969" s="7">
        <v>45698</v>
      </c>
      <c r="F969">
        <v>330862</v>
      </c>
      <c r="G969" t="s">
        <v>983</v>
      </c>
      <c r="H969" t="s">
        <v>9</v>
      </c>
      <c r="I969" s="7">
        <v>45636</v>
      </c>
      <c r="J969" s="8">
        <v>0.52706018518518516</v>
      </c>
      <c r="K969" t="s">
        <v>984</v>
      </c>
      <c r="AQ969" t="s">
        <v>1092</v>
      </c>
      <c r="AR969" t="s">
        <v>1278</v>
      </c>
      <c r="AT969" t="s">
        <v>987</v>
      </c>
      <c r="AZ969" t="s">
        <v>1002</v>
      </c>
      <c r="BA969" t="s">
        <v>1124</v>
      </c>
      <c r="BB969" t="s">
        <v>1125</v>
      </c>
      <c r="BD969" t="s">
        <v>1005</v>
      </c>
      <c r="BE969" t="s">
        <v>1543</v>
      </c>
    </row>
    <row r="970" spans="1:57" ht="13" x14ac:dyDescent="0.15">
      <c r="A970">
        <v>1839</v>
      </c>
      <c r="B970">
        <v>32363056</v>
      </c>
      <c r="C970" t="s">
        <v>1543</v>
      </c>
      <c r="D970" s="7">
        <v>38561</v>
      </c>
      <c r="E970" s="7">
        <v>45698</v>
      </c>
      <c r="F970">
        <v>330862</v>
      </c>
      <c r="G970" t="s">
        <v>983</v>
      </c>
      <c r="H970" t="s">
        <v>9</v>
      </c>
      <c r="I970" s="7">
        <v>45636</v>
      </c>
      <c r="J970" s="8">
        <v>0.5289814814814815</v>
      </c>
      <c r="K970" t="s">
        <v>984</v>
      </c>
      <c r="AQ970" t="s">
        <v>1092</v>
      </c>
      <c r="AR970" t="s">
        <v>1280</v>
      </c>
      <c r="AT970" t="s">
        <v>987</v>
      </c>
      <c r="AZ970" t="s">
        <v>1239</v>
      </c>
      <c r="BA970" t="s">
        <v>1281</v>
      </c>
      <c r="BB970" t="s">
        <v>1026</v>
      </c>
      <c r="BD970" t="s">
        <v>1022</v>
      </c>
      <c r="BE970" t="s">
        <v>1543</v>
      </c>
    </row>
    <row r="971" spans="1:57" ht="13" x14ac:dyDescent="0.15">
      <c r="A971">
        <v>1839</v>
      </c>
      <c r="B971">
        <v>32363056</v>
      </c>
      <c r="C971" t="s">
        <v>1543</v>
      </c>
      <c r="D971" s="7">
        <v>38561</v>
      </c>
      <c r="E971" s="7">
        <v>45698</v>
      </c>
      <c r="F971">
        <v>330862</v>
      </c>
      <c r="G971" t="s">
        <v>983</v>
      </c>
      <c r="H971" t="s">
        <v>9</v>
      </c>
      <c r="I971" s="7">
        <v>45636</v>
      </c>
      <c r="J971" s="8">
        <v>0.53159722222222228</v>
      </c>
      <c r="K971" t="s">
        <v>984</v>
      </c>
      <c r="AQ971" t="s">
        <v>1092</v>
      </c>
      <c r="AR971" t="s">
        <v>1097</v>
      </c>
      <c r="AT971" t="s">
        <v>987</v>
      </c>
      <c r="AZ971" t="s">
        <v>1024</v>
      </c>
      <c r="BA971" t="s">
        <v>1025</v>
      </c>
      <c r="BB971" t="s">
        <v>1026</v>
      </c>
      <c r="BD971" t="s">
        <v>1022</v>
      </c>
      <c r="BE971" t="s">
        <v>1543</v>
      </c>
    </row>
    <row r="972" spans="1:57" ht="13" x14ac:dyDescent="0.15">
      <c r="A972">
        <v>1839</v>
      </c>
      <c r="B972">
        <v>32363056</v>
      </c>
      <c r="C972" t="s">
        <v>1543</v>
      </c>
      <c r="D972" s="7">
        <v>38561</v>
      </c>
      <c r="E972" s="7">
        <v>45698</v>
      </c>
      <c r="F972">
        <v>330862</v>
      </c>
      <c r="G972" t="s">
        <v>983</v>
      </c>
      <c r="H972" t="s">
        <v>9</v>
      </c>
      <c r="I972" s="7">
        <v>45636</v>
      </c>
      <c r="J972" s="8">
        <v>0.56791666666666663</v>
      </c>
      <c r="K972" t="s">
        <v>984</v>
      </c>
      <c r="AQ972" t="s">
        <v>1092</v>
      </c>
      <c r="AR972" t="s">
        <v>1209</v>
      </c>
      <c r="AT972" t="s">
        <v>987</v>
      </c>
      <c r="AZ972" t="s">
        <v>1024</v>
      </c>
      <c r="BA972" t="s">
        <v>1025</v>
      </c>
      <c r="BB972" t="s">
        <v>1026</v>
      </c>
      <c r="BD972" t="s">
        <v>1022</v>
      </c>
      <c r="BE972" t="s">
        <v>1543</v>
      </c>
    </row>
    <row r="973" spans="1:57" ht="13" x14ac:dyDescent="0.15">
      <c r="A973">
        <v>1839</v>
      </c>
      <c r="B973">
        <v>32363056</v>
      </c>
      <c r="C973" t="s">
        <v>1543</v>
      </c>
      <c r="D973" s="7">
        <v>38561</v>
      </c>
      <c r="E973" s="7">
        <v>45698</v>
      </c>
      <c r="F973">
        <v>330862</v>
      </c>
      <c r="G973" t="s">
        <v>983</v>
      </c>
      <c r="H973" t="s">
        <v>9</v>
      </c>
      <c r="I973" s="7">
        <v>45636</v>
      </c>
      <c r="J973" s="8">
        <v>0.52452546296296299</v>
      </c>
      <c r="K973" t="s">
        <v>984</v>
      </c>
      <c r="AQ973" t="s">
        <v>1092</v>
      </c>
      <c r="AR973" t="s">
        <v>1262</v>
      </c>
      <c r="AT973" t="s">
        <v>987</v>
      </c>
      <c r="AZ973" t="s">
        <v>1028</v>
      </c>
      <c r="BA973" t="s">
        <v>1029</v>
      </c>
      <c r="BB973" t="s">
        <v>1018</v>
      </c>
      <c r="BD973" t="s">
        <v>1022</v>
      </c>
      <c r="BE973" t="s">
        <v>1543</v>
      </c>
    </row>
    <row r="974" spans="1:57" ht="13" x14ac:dyDescent="0.15">
      <c r="A974">
        <v>1839</v>
      </c>
      <c r="B974">
        <v>32363056</v>
      </c>
      <c r="C974" t="s">
        <v>1543</v>
      </c>
      <c r="D974" s="7">
        <v>38561</v>
      </c>
      <c r="E974" s="7">
        <v>45698</v>
      </c>
      <c r="F974">
        <v>330862</v>
      </c>
      <c r="G974" t="s">
        <v>983</v>
      </c>
      <c r="H974" t="s">
        <v>9</v>
      </c>
      <c r="I974" s="7">
        <v>45636</v>
      </c>
      <c r="J974" s="8">
        <v>0.52577546296296296</v>
      </c>
      <c r="K974" t="s">
        <v>984</v>
      </c>
      <c r="AQ974" t="s">
        <v>1092</v>
      </c>
      <c r="AR974" t="s">
        <v>1279</v>
      </c>
      <c r="AT974" t="s">
        <v>987</v>
      </c>
      <c r="AZ974" t="s">
        <v>1174</v>
      </c>
      <c r="BA974" t="s">
        <v>1242</v>
      </c>
      <c r="BB974" t="s">
        <v>1026</v>
      </c>
      <c r="BD974" t="s">
        <v>1005</v>
      </c>
      <c r="BE974" t="s">
        <v>1543</v>
      </c>
    </row>
    <row r="975" spans="1:57" ht="13" x14ac:dyDescent="0.15">
      <c r="A975">
        <v>1839</v>
      </c>
      <c r="B975">
        <v>32363056</v>
      </c>
      <c r="C975" t="s">
        <v>1543</v>
      </c>
      <c r="D975" s="7">
        <v>38561</v>
      </c>
      <c r="E975" s="7">
        <v>45698</v>
      </c>
      <c r="F975">
        <v>330862</v>
      </c>
      <c r="G975" t="s">
        <v>983</v>
      </c>
      <c r="H975" t="s">
        <v>9</v>
      </c>
      <c r="I975" s="7">
        <v>45636</v>
      </c>
      <c r="J975" s="8">
        <v>0.53042824074074069</v>
      </c>
      <c r="K975" t="s">
        <v>984</v>
      </c>
      <c r="AQ975" t="s">
        <v>1092</v>
      </c>
      <c r="AR975" t="s">
        <v>1098</v>
      </c>
      <c r="AT975" t="s">
        <v>987</v>
      </c>
      <c r="AZ975" t="s">
        <v>1020</v>
      </c>
      <c r="BA975" t="s">
        <v>1021</v>
      </c>
      <c r="BB975" t="s">
        <v>1018</v>
      </c>
      <c r="BD975" t="s">
        <v>1022</v>
      </c>
      <c r="BE975" t="s">
        <v>1543</v>
      </c>
    </row>
    <row r="976" spans="1:57" ht="13" x14ac:dyDescent="0.15">
      <c r="A976">
        <v>1839</v>
      </c>
      <c r="B976">
        <v>32371942</v>
      </c>
      <c r="C976" t="s">
        <v>264</v>
      </c>
      <c r="D976" s="7">
        <v>38563</v>
      </c>
      <c r="E976" s="7">
        <v>45700</v>
      </c>
      <c r="F976">
        <v>330862</v>
      </c>
      <c r="G976" t="s">
        <v>983</v>
      </c>
      <c r="H976" t="s">
        <v>9</v>
      </c>
      <c r="I976" s="7">
        <v>45616</v>
      </c>
      <c r="J976" s="8">
        <v>0.66019675925925925</v>
      </c>
      <c r="K976" t="s">
        <v>984</v>
      </c>
      <c r="AQ976" t="s">
        <v>985</v>
      </c>
      <c r="AR976" t="s">
        <v>1399</v>
      </c>
      <c r="AT976" t="s">
        <v>987</v>
      </c>
      <c r="AZ976" t="s">
        <v>1011</v>
      </c>
      <c r="BA976" t="s">
        <v>1103</v>
      </c>
      <c r="BB976" t="s">
        <v>1032</v>
      </c>
      <c r="BD976" t="s">
        <v>1005</v>
      </c>
      <c r="BE976" t="s">
        <v>264</v>
      </c>
    </row>
    <row r="977" spans="1:57" ht="13" x14ac:dyDescent="0.15">
      <c r="A977">
        <v>1839</v>
      </c>
      <c r="B977">
        <v>32371942</v>
      </c>
      <c r="C977" t="s">
        <v>264</v>
      </c>
      <c r="D977" s="7">
        <v>38563</v>
      </c>
      <c r="E977" s="7">
        <v>45700</v>
      </c>
      <c r="F977">
        <v>330862</v>
      </c>
      <c r="G977" t="s">
        <v>983</v>
      </c>
      <c r="H977" t="s">
        <v>9</v>
      </c>
      <c r="I977" s="7">
        <v>45636</v>
      </c>
      <c r="J977" s="8">
        <v>0.51822916666666663</v>
      </c>
      <c r="K977" t="s">
        <v>984</v>
      </c>
      <c r="AQ977" t="s">
        <v>985</v>
      </c>
      <c r="AR977" t="s">
        <v>1278</v>
      </c>
      <c r="AT977" t="s">
        <v>987</v>
      </c>
      <c r="AZ977" t="s">
        <v>1002</v>
      </c>
      <c r="BA977" t="s">
        <v>1124</v>
      </c>
      <c r="BB977" t="s">
        <v>1125</v>
      </c>
      <c r="BD977" t="s">
        <v>1005</v>
      </c>
      <c r="BE977" t="s">
        <v>264</v>
      </c>
    </row>
    <row r="978" spans="1:57" ht="13" x14ac:dyDescent="0.15">
      <c r="A978">
        <v>1839</v>
      </c>
      <c r="B978">
        <v>32371942</v>
      </c>
      <c r="C978" t="s">
        <v>264</v>
      </c>
      <c r="D978" s="7">
        <v>38563</v>
      </c>
      <c r="E978" s="7">
        <v>45700</v>
      </c>
      <c r="F978">
        <v>330862</v>
      </c>
      <c r="G978" t="s">
        <v>983</v>
      </c>
      <c r="H978" t="s">
        <v>9</v>
      </c>
      <c r="I978" s="7">
        <v>45636</v>
      </c>
      <c r="J978" s="8">
        <v>0.51545138888888886</v>
      </c>
      <c r="K978" t="s">
        <v>984</v>
      </c>
      <c r="AQ978" t="s">
        <v>985</v>
      </c>
      <c r="AR978" t="s">
        <v>1279</v>
      </c>
      <c r="AT978" t="s">
        <v>987</v>
      </c>
      <c r="AZ978" t="s">
        <v>1174</v>
      </c>
      <c r="BA978" t="s">
        <v>1242</v>
      </c>
      <c r="BB978" t="s">
        <v>1026</v>
      </c>
      <c r="BD978" t="s">
        <v>1005</v>
      </c>
      <c r="BE978" t="s">
        <v>264</v>
      </c>
    </row>
    <row r="979" spans="1:57" ht="13" x14ac:dyDescent="0.15">
      <c r="A979">
        <v>1839</v>
      </c>
      <c r="B979">
        <v>32371942</v>
      </c>
      <c r="C979" t="s">
        <v>264</v>
      </c>
      <c r="D979" s="7">
        <v>38563</v>
      </c>
      <c r="E979" s="7">
        <v>45700</v>
      </c>
      <c r="F979">
        <v>330862</v>
      </c>
      <c r="G979" t="s">
        <v>983</v>
      </c>
      <c r="H979" t="s">
        <v>9</v>
      </c>
      <c r="I979" s="7">
        <v>45694</v>
      </c>
      <c r="J979" s="8">
        <v>0.91196759259259264</v>
      </c>
      <c r="K979" t="s">
        <v>984</v>
      </c>
      <c r="AQ979" t="s">
        <v>985</v>
      </c>
      <c r="AR979" t="s">
        <v>1066</v>
      </c>
      <c r="AT979" t="s">
        <v>987</v>
      </c>
      <c r="AZ979" t="s">
        <v>988</v>
      </c>
      <c r="BA979" t="s">
        <v>989</v>
      </c>
      <c r="BB979" t="s">
        <v>990</v>
      </c>
      <c r="BD979" t="s">
        <v>991</v>
      </c>
      <c r="BE979" t="s">
        <v>264</v>
      </c>
    </row>
    <row r="980" spans="1:57" ht="13" x14ac:dyDescent="0.15">
      <c r="A980">
        <v>1839</v>
      </c>
      <c r="B980">
        <v>32371942</v>
      </c>
      <c r="C980" t="s">
        <v>264</v>
      </c>
      <c r="D980" s="7">
        <v>38563</v>
      </c>
      <c r="E980" s="7">
        <v>45700</v>
      </c>
      <c r="F980">
        <v>330862</v>
      </c>
      <c r="G980" t="s">
        <v>983</v>
      </c>
      <c r="H980" t="s">
        <v>9</v>
      </c>
      <c r="I980" s="7">
        <v>45616</v>
      </c>
      <c r="J980" s="8">
        <v>0.65795138888888893</v>
      </c>
      <c r="K980" t="s">
        <v>984</v>
      </c>
      <c r="AQ980" t="s">
        <v>985</v>
      </c>
      <c r="AR980" t="s">
        <v>1399</v>
      </c>
      <c r="AT980" t="s">
        <v>987</v>
      </c>
      <c r="AZ980" t="s">
        <v>1011</v>
      </c>
      <c r="BA980" t="s">
        <v>1103</v>
      </c>
      <c r="BB980" t="s">
        <v>1032</v>
      </c>
      <c r="BD980" t="s">
        <v>1005</v>
      </c>
      <c r="BE980" t="s">
        <v>264</v>
      </c>
    </row>
    <row r="981" spans="1:57" ht="13" x14ac:dyDescent="0.15">
      <c r="A981">
        <v>1839</v>
      </c>
      <c r="B981">
        <v>32371942</v>
      </c>
      <c r="C981" t="s">
        <v>264</v>
      </c>
      <c r="D981" s="7">
        <v>38563</v>
      </c>
      <c r="E981" s="7">
        <v>45700</v>
      </c>
      <c r="F981">
        <v>330862</v>
      </c>
      <c r="G981" t="s">
        <v>983</v>
      </c>
      <c r="H981" t="s">
        <v>9</v>
      </c>
      <c r="I981" s="7">
        <v>45700</v>
      </c>
      <c r="J981" s="8">
        <v>0.54153935185185187</v>
      </c>
      <c r="K981" t="s">
        <v>984</v>
      </c>
      <c r="AQ981" t="s">
        <v>985</v>
      </c>
      <c r="AR981" t="s">
        <v>993</v>
      </c>
      <c r="AT981" t="s">
        <v>987</v>
      </c>
      <c r="AZ981" t="s">
        <v>988</v>
      </c>
      <c r="BA981" t="s">
        <v>989</v>
      </c>
      <c r="BB981" t="s">
        <v>990</v>
      </c>
      <c r="BD981" t="s">
        <v>991</v>
      </c>
      <c r="BE981" t="s">
        <v>264</v>
      </c>
    </row>
    <row r="982" spans="1:57" ht="13" x14ac:dyDescent="0.15">
      <c r="A982">
        <v>1839</v>
      </c>
      <c r="B982">
        <v>32392057</v>
      </c>
      <c r="C982" t="s">
        <v>265</v>
      </c>
      <c r="D982" s="7">
        <v>38580</v>
      </c>
      <c r="E982" s="7">
        <v>45711</v>
      </c>
      <c r="F982">
        <v>330862</v>
      </c>
      <c r="G982" t="s">
        <v>983</v>
      </c>
      <c r="H982" t="s">
        <v>9</v>
      </c>
      <c r="I982" s="7">
        <v>45676</v>
      </c>
      <c r="J982" s="8">
        <v>0.54766203703703709</v>
      </c>
      <c r="K982" t="s">
        <v>984</v>
      </c>
      <c r="AQ982" t="s">
        <v>985</v>
      </c>
      <c r="AR982" t="s">
        <v>1095</v>
      </c>
      <c r="AT982" t="s">
        <v>987</v>
      </c>
      <c r="AZ982" t="s">
        <v>1002</v>
      </c>
      <c r="BA982" t="s">
        <v>1003</v>
      </c>
      <c r="BB982" t="s">
        <v>1004</v>
      </c>
      <c r="BD982" t="s">
        <v>1005</v>
      </c>
      <c r="BE982" t="s">
        <v>265</v>
      </c>
    </row>
    <row r="983" spans="1:57" ht="13" x14ac:dyDescent="0.15">
      <c r="A983">
        <v>1839</v>
      </c>
      <c r="B983">
        <v>32392062</v>
      </c>
      <c r="C983" t="s">
        <v>266</v>
      </c>
      <c r="D983" s="7">
        <v>38580</v>
      </c>
      <c r="E983" s="7">
        <v>45713</v>
      </c>
      <c r="F983">
        <v>330862</v>
      </c>
      <c r="G983" t="s">
        <v>983</v>
      </c>
      <c r="H983" t="s">
        <v>9</v>
      </c>
      <c r="I983" s="7">
        <v>45674</v>
      </c>
      <c r="J983" s="8">
        <v>0.69047453703703698</v>
      </c>
      <c r="K983" t="s">
        <v>984</v>
      </c>
      <c r="AQ983" t="s">
        <v>1253</v>
      </c>
      <c r="AR983" t="s">
        <v>1544</v>
      </c>
      <c r="AT983" t="s">
        <v>987</v>
      </c>
      <c r="AZ983" t="s">
        <v>1139</v>
      </c>
      <c r="BA983" t="s">
        <v>1140</v>
      </c>
      <c r="BB983" t="s">
        <v>1032</v>
      </c>
      <c r="BD983" t="s">
        <v>1005</v>
      </c>
      <c r="BE983" t="s">
        <v>266</v>
      </c>
    </row>
    <row r="984" spans="1:57" ht="13" x14ac:dyDescent="0.15">
      <c r="A984">
        <v>1839</v>
      </c>
      <c r="B984">
        <v>32392062</v>
      </c>
      <c r="C984" t="s">
        <v>266</v>
      </c>
      <c r="D984" s="7">
        <v>38580</v>
      </c>
      <c r="E984" s="7">
        <v>45713</v>
      </c>
      <c r="F984">
        <v>330862</v>
      </c>
      <c r="G984" t="s">
        <v>983</v>
      </c>
      <c r="H984" t="s">
        <v>9</v>
      </c>
      <c r="I984" s="7">
        <v>45674</v>
      </c>
      <c r="J984" s="8">
        <v>0.64282407407407405</v>
      </c>
      <c r="K984" t="s">
        <v>984</v>
      </c>
      <c r="AQ984" t="s">
        <v>1253</v>
      </c>
      <c r="AR984" t="s">
        <v>1545</v>
      </c>
      <c r="AT984" t="s">
        <v>987</v>
      </c>
      <c r="AZ984" t="s">
        <v>1182</v>
      </c>
      <c r="BA984" t="s">
        <v>1188</v>
      </c>
      <c r="BB984" t="s">
        <v>1013</v>
      </c>
      <c r="BD984" t="s">
        <v>1005</v>
      </c>
      <c r="BE984" t="s">
        <v>266</v>
      </c>
    </row>
    <row r="985" spans="1:57" ht="13" x14ac:dyDescent="0.15">
      <c r="A985">
        <v>1839</v>
      </c>
      <c r="B985">
        <v>32392062</v>
      </c>
      <c r="C985" t="s">
        <v>266</v>
      </c>
      <c r="D985" s="7">
        <v>38580</v>
      </c>
      <c r="E985" s="7">
        <v>45713</v>
      </c>
      <c r="F985">
        <v>330862</v>
      </c>
      <c r="G985" t="s">
        <v>983</v>
      </c>
      <c r="H985" t="s">
        <v>9</v>
      </c>
      <c r="I985" s="7">
        <v>45674</v>
      </c>
      <c r="J985" s="8">
        <v>0.63984953703703706</v>
      </c>
      <c r="K985" t="s">
        <v>984</v>
      </c>
      <c r="AQ985" t="s">
        <v>1253</v>
      </c>
      <c r="AR985" t="s">
        <v>1546</v>
      </c>
      <c r="AT985" t="s">
        <v>987</v>
      </c>
      <c r="AZ985" t="s">
        <v>1028</v>
      </c>
      <c r="BA985" t="s">
        <v>1236</v>
      </c>
      <c r="BB985" t="s">
        <v>1237</v>
      </c>
      <c r="BD985" t="s">
        <v>1005</v>
      </c>
      <c r="BE985" t="s">
        <v>266</v>
      </c>
    </row>
    <row r="986" spans="1:57" ht="13" x14ac:dyDescent="0.15">
      <c r="A986">
        <v>1839</v>
      </c>
      <c r="B986">
        <v>32392062</v>
      </c>
      <c r="C986" t="s">
        <v>266</v>
      </c>
      <c r="D986" s="7">
        <v>38580</v>
      </c>
      <c r="E986" s="7">
        <v>45713</v>
      </c>
      <c r="F986">
        <v>330862</v>
      </c>
      <c r="G986" t="s">
        <v>983</v>
      </c>
      <c r="H986" t="s">
        <v>9</v>
      </c>
      <c r="I986" s="7">
        <v>45674</v>
      </c>
      <c r="J986" s="8">
        <v>0.63232638888888892</v>
      </c>
      <c r="K986" t="s">
        <v>984</v>
      </c>
      <c r="AQ986" t="s">
        <v>1253</v>
      </c>
      <c r="AR986" t="s">
        <v>1534</v>
      </c>
      <c r="AT986" t="s">
        <v>987</v>
      </c>
      <c r="AZ986" t="s">
        <v>1239</v>
      </c>
      <c r="BA986" t="s">
        <v>1240</v>
      </c>
      <c r="BB986" t="s">
        <v>1237</v>
      </c>
      <c r="BD986" t="s">
        <v>1005</v>
      </c>
      <c r="BE986" t="s">
        <v>266</v>
      </c>
    </row>
    <row r="987" spans="1:57" ht="13" x14ac:dyDescent="0.15">
      <c r="A987">
        <v>1839</v>
      </c>
      <c r="B987">
        <v>32392062</v>
      </c>
      <c r="C987" t="s">
        <v>266</v>
      </c>
      <c r="D987" s="7">
        <v>38580</v>
      </c>
      <c r="E987" s="7">
        <v>45713</v>
      </c>
      <c r="F987">
        <v>330862</v>
      </c>
      <c r="G987" t="s">
        <v>983</v>
      </c>
      <c r="H987" t="s">
        <v>9</v>
      </c>
      <c r="I987" s="7">
        <v>45674</v>
      </c>
      <c r="J987" s="8">
        <v>0.63003472222222223</v>
      </c>
      <c r="K987" t="s">
        <v>984</v>
      </c>
      <c r="AQ987" t="s">
        <v>1253</v>
      </c>
      <c r="AR987" t="s">
        <v>1331</v>
      </c>
      <c r="AT987" t="s">
        <v>987</v>
      </c>
      <c r="AZ987" t="s">
        <v>1174</v>
      </c>
      <c r="BA987" t="s">
        <v>1242</v>
      </c>
      <c r="BB987" t="s">
        <v>1026</v>
      </c>
      <c r="BD987" t="s">
        <v>1005</v>
      </c>
      <c r="BE987" t="s">
        <v>266</v>
      </c>
    </row>
    <row r="988" spans="1:57" ht="13" x14ac:dyDescent="0.15">
      <c r="A988">
        <v>1839</v>
      </c>
      <c r="B988">
        <v>32392062</v>
      </c>
      <c r="C988" t="s">
        <v>266</v>
      </c>
      <c r="D988" s="7">
        <v>38580</v>
      </c>
      <c r="E988" s="7">
        <v>45713</v>
      </c>
      <c r="F988">
        <v>330862</v>
      </c>
      <c r="G988" t="s">
        <v>983</v>
      </c>
      <c r="H988" t="s">
        <v>9</v>
      </c>
      <c r="I988" s="7">
        <v>45674</v>
      </c>
      <c r="J988" s="8">
        <v>0.6275115740740741</v>
      </c>
      <c r="K988" t="s">
        <v>984</v>
      </c>
      <c r="AQ988" t="s">
        <v>1253</v>
      </c>
      <c r="AR988" t="s">
        <v>1547</v>
      </c>
      <c r="AT988" t="s">
        <v>987</v>
      </c>
      <c r="AZ988" t="s">
        <v>1002</v>
      </c>
      <c r="BA988" t="s">
        <v>1124</v>
      </c>
      <c r="BB988" t="s">
        <v>1125</v>
      </c>
      <c r="BD988" t="s">
        <v>1005</v>
      </c>
      <c r="BE988" t="s">
        <v>266</v>
      </c>
    </row>
    <row r="989" spans="1:57" ht="13" x14ac:dyDescent="0.15">
      <c r="A989">
        <v>1839</v>
      </c>
      <c r="B989">
        <v>32392062</v>
      </c>
      <c r="C989" t="s">
        <v>266</v>
      </c>
      <c r="D989" s="7">
        <v>38580</v>
      </c>
      <c r="E989" s="7">
        <v>45713</v>
      </c>
      <c r="F989">
        <v>330862</v>
      </c>
      <c r="G989" t="s">
        <v>983</v>
      </c>
      <c r="H989" t="s">
        <v>9</v>
      </c>
      <c r="I989" s="7">
        <v>45674</v>
      </c>
      <c r="J989" s="8">
        <v>0.62373842592592588</v>
      </c>
      <c r="K989" t="s">
        <v>984</v>
      </c>
      <c r="AQ989" t="s">
        <v>1253</v>
      </c>
      <c r="AR989" t="s">
        <v>1548</v>
      </c>
      <c r="AT989" t="s">
        <v>987</v>
      </c>
      <c r="AZ989" t="s">
        <v>1020</v>
      </c>
      <c r="BA989" t="s">
        <v>1021</v>
      </c>
      <c r="BB989" t="s">
        <v>1018</v>
      </c>
      <c r="BD989" t="s">
        <v>1022</v>
      </c>
      <c r="BE989" t="s">
        <v>266</v>
      </c>
    </row>
    <row r="990" spans="1:57" ht="13" x14ac:dyDescent="0.15">
      <c r="A990">
        <v>1839</v>
      </c>
      <c r="B990">
        <v>32392062</v>
      </c>
      <c r="C990" t="s">
        <v>266</v>
      </c>
      <c r="D990" s="7">
        <v>38580</v>
      </c>
      <c r="E990" s="7">
        <v>45713</v>
      </c>
      <c r="F990">
        <v>330862</v>
      </c>
      <c r="G990" t="s">
        <v>983</v>
      </c>
      <c r="H990" t="s">
        <v>9</v>
      </c>
      <c r="I990" s="7">
        <v>45694</v>
      </c>
      <c r="J990" s="8">
        <v>0.35778935185185184</v>
      </c>
      <c r="K990" t="s">
        <v>984</v>
      </c>
      <c r="AQ990" t="s">
        <v>1253</v>
      </c>
      <c r="AR990" t="s">
        <v>993</v>
      </c>
      <c r="AT990" t="s">
        <v>987</v>
      </c>
      <c r="AZ990" t="s">
        <v>988</v>
      </c>
      <c r="BA990" t="s">
        <v>989</v>
      </c>
      <c r="BB990" t="s">
        <v>990</v>
      </c>
      <c r="BD990" t="s">
        <v>991</v>
      </c>
      <c r="BE990" t="s">
        <v>266</v>
      </c>
    </row>
    <row r="991" spans="1:57" ht="13" x14ac:dyDescent="0.15">
      <c r="A991">
        <v>1839</v>
      </c>
      <c r="B991">
        <v>32392062</v>
      </c>
      <c r="C991" t="s">
        <v>266</v>
      </c>
      <c r="D991" s="7">
        <v>38580</v>
      </c>
      <c r="E991" s="7">
        <v>45713</v>
      </c>
      <c r="F991">
        <v>330862</v>
      </c>
      <c r="G991" t="s">
        <v>983</v>
      </c>
      <c r="H991" t="s">
        <v>9</v>
      </c>
      <c r="I991" s="7">
        <v>45674</v>
      </c>
      <c r="J991" s="8">
        <v>0.77534722222222219</v>
      </c>
      <c r="K991" t="s">
        <v>984</v>
      </c>
      <c r="AQ991" t="s">
        <v>1253</v>
      </c>
      <c r="AR991" t="s">
        <v>1105</v>
      </c>
      <c r="AT991" t="s">
        <v>987</v>
      </c>
      <c r="AZ991" t="s">
        <v>1044</v>
      </c>
      <c r="BA991" t="s">
        <v>1045</v>
      </c>
      <c r="BB991" t="s">
        <v>990</v>
      </c>
      <c r="BD991" t="s">
        <v>991</v>
      </c>
      <c r="BE991" t="s">
        <v>266</v>
      </c>
    </row>
    <row r="992" spans="1:57" ht="13" x14ac:dyDescent="0.15">
      <c r="A992">
        <v>1839</v>
      </c>
      <c r="B992">
        <v>32392062</v>
      </c>
      <c r="C992" t="s">
        <v>266</v>
      </c>
      <c r="D992" s="7">
        <v>38580</v>
      </c>
      <c r="E992" s="7">
        <v>45713</v>
      </c>
      <c r="F992">
        <v>330862</v>
      </c>
      <c r="G992" t="s">
        <v>983</v>
      </c>
      <c r="H992" t="s">
        <v>9</v>
      </c>
      <c r="I992" s="7">
        <v>45623</v>
      </c>
      <c r="J992" s="8">
        <v>0.80820601851851848</v>
      </c>
      <c r="K992" t="s">
        <v>984</v>
      </c>
      <c r="AQ992" t="s">
        <v>1253</v>
      </c>
      <c r="AR992" t="s">
        <v>1054</v>
      </c>
      <c r="AT992" t="s">
        <v>987</v>
      </c>
      <c r="AZ992" t="s">
        <v>1028</v>
      </c>
      <c r="BA992" t="s">
        <v>1029</v>
      </c>
      <c r="BB992" t="s">
        <v>1018</v>
      </c>
      <c r="BD992" t="s">
        <v>1022</v>
      </c>
      <c r="BE992" t="s">
        <v>266</v>
      </c>
    </row>
    <row r="993" spans="1:57" ht="13" x14ac:dyDescent="0.15">
      <c r="A993">
        <v>1839</v>
      </c>
      <c r="B993">
        <v>32392062</v>
      </c>
      <c r="C993" t="s">
        <v>266</v>
      </c>
      <c r="D993" s="7">
        <v>38580</v>
      </c>
      <c r="E993" s="7">
        <v>45713</v>
      </c>
      <c r="F993">
        <v>330862</v>
      </c>
      <c r="G993" t="s">
        <v>983</v>
      </c>
      <c r="H993" t="s">
        <v>9</v>
      </c>
      <c r="I993" s="7">
        <v>45623</v>
      </c>
      <c r="J993" s="8">
        <v>0.80487268518518518</v>
      </c>
      <c r="K993" t="s">
        <v>984</v>
      </c>
      <c r="AQ993" t="s">
        <v>1253</v>
      </c>
      <c r="AR993" t="s">
        <v>1053</v>
      </c>
      <c r="AT993" t="s">
        <v>987</v>
      </c>
      <c r="AZ993" t="s">
        <v>1055</v>
      </c>
      <c r="BA993" t="s">
        <v>1056</v>
      </c>
      <c r="BB993" t="s">
        <v>1013</v>
      </c>
      <c r="BD993" t="s">
        <v>1022</v>
      </c>
      <c r="BE993" t="s">
        <v>266</v>
      </c>
    </row>
    <row r="994" spans="1:57" ht="13" x14ac:dyDescent="0.15">
      <c r="A994">
        <v>1839</v>
      </c>
      <c r="B994">
        <v>32392062</v>
      </c>
      <c r="C994" t="s">
        <v>266</v>
      </c>
      <c r="D994" s="7">
        <v>38580</v>
      </c>
      <c r="E994" s="7">
        <v>45713</v>
      </c>
      <c r="F994">
        <v>330862</v>
      </c>
      <c r="G994" t="s">
        <v>983</v>
      </c>
      <c r="H994" t="s">
        <v>9</v>
      </c>
      <c r="I994" s="7">
        <v>45648</v>
      </c>
      <c r="J994" s="8">
        <v>0.78850694444444447</v>
      </c>
      <c r="K994" t="s">
        <v>984</v>
      </c>
      <c r="AQ994" t="s">
        <v>1253</v>
      </c>
      <c r="AR994" t="s">
        <v>1086</v>
      </c>
      <c r="AT994" t="s">
        <v>987</v>
      </c>
      <c r="AZ994" t="s">
        <v>1028</v>
      </c>
      <c r="BA994" t="s">
        <v>1029</v>
      </c>
      <c r="BB994" t="s">
        <v>1018</v>
      </c>
      <c r="BD994" t="s">
        <v>1022</v>
      </c>
      <c r="BE994" t="s">
        <v>266</v>
      </c>
    </row>
    <row r="995" spans="1:57" ht="13" x14ac:dyDescent="0.15">
      <c r="A995">
        <v>1839</v>
      </c>
      <c r="B995">
        <v>32392062</v>
      </c>
      <c r="C995" t="s">
        <v>266</v>
      </c>
      <c r="D995" s="7">
        <v>38580</v>
      </c>
      <c r="E995" s="7">
        <v>45713</v>
      </c>
      <c r="F995">
        <v>330862</v>
      </c>
      <c r="G995" t="s">
        <v>983</v>
      </c>
      <c r="H995" t="s">
        <v>9</v>
      </c>
      <c r="I995" s="7">
        <v>45648</v>
      </c>
      <c r="J995" s="8">
        <v>0.79530092592592594</v>
      </c>
      <c r="K995" t="s">
        <v>984</v>
      </c>
      <c r="AQ995" t="s">
        <v>1253</v>
      </c>
      <c r="AR995" t="s">
        <v>1106</v>
      </c>
      <c r="AT995" t="s">
        <v>987</v>
      </c>
      <c r="AZ995" t="s">
        <v>1020</v>
      </c>
      <c r="BA995" t="s">
        <v>1021</v>
      </c>
      <c r="BB995" t="s">
        <v>1018</v>
      </c>
      <c r="BD995" t="s">
        <v>1022</v>
      </c>
      <c r="BE995" t="s">
        <v>266</v>
      </c>
    </row>
    <row r="996" spans="1:57" ht="13" x14ac:dyDescent="0.15">
      <c r="A996">
        <v>1839</v>
      </c>
      <c r="B996">
        <v>32392062</v>
      </c>
      <c r="C996" t="s">
        <v>266</v>
      </c>
      <c r="D996" s="7">
        <v>38580</v>
      </c>
      <c r="E996" s="7">
        <v>45713</v>
      </c>
      <c r="F996">
        <v>330862</v>
      </c>
      <c r="G996" t="s">
        <v>983</v>
      </c>
      <c r="H996" t="s">
        <v>9</v>
      </c>
      <c r="I996" s="7">
        <v>45674</v>
      </c>
      <c r="J996" s="8">
        <v>0.69568287037037035</v>
      </c>
      <c r="K996" t="s">
        <v>984</v>
      </c>
      <c r="AQ996" t="s">
        <v>1253</v>
      </c>
      <c r="AR996" t="s">
        <v>1232</v>
      </c>
      <c r="AT996" t="s">
        <v>987</v>
      </c>
      <c r="AZ996" t="s">
        <v>1071</v>
      </c>
      <c r="BA996" t="s">
        <v>1072</v>
      </c>
      <c r="BB996" t="s">
        <v>1048</v>
      </c>
      <c r="BD996" t="s">
        <v>1005</v>
      </c>
      <c r="BE996" t="s">
        <v>266</v>
      </c>
    </row>
    <row r="997" spans="1:57" ht="13" x14ac:dyDescent="0.15">
      <c r="A997">
        <v>1839</v>
      </c>
      <c r="B997">
        <v>32392062</v>
      </c>
      <c r="C997" t="s">
        <v>266</v>
      </c>
      <c r="D997" s="7">
        <v>38580</v>
      </c>
      <c r="E997" s="7">
        <v>45713</v>
      </c>
      <c r="F997">
        <v>330862</v>
      </c>
      <c r="G997" t="s">
        <v>983</v>
      </c>
      <c r="H997" t="s">
        <v>9</v>
      </c>
      <c r="I997" s="7">
        <v>45674</v>
      </c>
      <c r="J997" s="8">
        <v>0.69755787037037043</v>
      </c>
      <c r="K997" t="s">
        <v>984</v>
      </c>
      <c r="AQ997" t="s">
        <v>1253</v>
      </c>
      <c r="AR997" t="s">
        <v>1200</v>
      </c>
      <c r="AT997" t="s">
        <v>987</v>
      </c>
      <c r="AZ997" t="s">
        <v>1028</v>
      </c>
      <c r="BA997" t="s">
        <v>1068</v>
      </c>
      <c r="BB997" t="s">
        <v>1069</v>
      </c>
      <c r="BD997" t="s">
        <v>1005</v>
      </c>
      <c r="BE997" t="s">
        <v>266</v>
      </c>
    </row>
    <row r="998" spans="1:57" ht="13" x14ac:dyDescent="0.15">
      <c r="A998">
        <v>1839</v>
      </c>
      <c r="B998">
        <v>32392062</v>
      </c>
      <c r="C998" t="s">
        <v>266</v>
      </c>
      <c r="D998" s="7">
        <v>38580</v>
      </c>
      <c r="E998" s="7">
        <v>45713</v>
      </c>
      <c r="F998">
        <v>330862</v>
      </c>
      <c r="G998" t="s">
        <v>983</v>
      </c>
      <c r="H998" t="s">
        <v>9</v>
      </c>
      <c r="I998" s="7">
        <v>45674</v>
      </c>
      <c r="J998" s="8">
        <v>0.69400462962962961</v>
      </c>
      <c r="K998" t="s">
        <v>984</v>
      </c>
      <c r="AQ998" t="s">
        <v>1253</v>
      </c>
      <c r="AR998" t="s">
        <v>1107</v>
      </c>
      <c r="AT998" t="s">
        <v>987</v>
      </c>
      <c r="AZ998" t="s">
        <v>1007</v>
      </c>
      <c r="BA998" t="s">
        <v>1008</v>
      </c>
      <c r="BB998" t="s">
        <v>990</v>
      </c>
      <c r="BD998" t="s">
        <v>1005</v>
      </c>
      <c r="BE998" t="s">
        <v>266</v>
      </c>
    </row>
    <row r="999" spans="1:57" ht="13" x14ac:dyDescent="0.15">
      <c r="A999">
        <v>1839</v>
      </c>
      <c r="B999">
        <v>32392062</v>
      </c>
      <c r="C999" t="s">
        <v>266</v>
      </c>
      <c r="D999" s="7">
        <v>38580</v>
      </c>
      <c r="E999" s="7">
        <v>45713</v>
      </c>
      <c r="F999">
        <v>330862</v>
      </c>
      <c r="G999" t="s">
        <v>983</v>
      </c>
      <c r="H999" t="s">
        <v>9</v>
      </c>
      <c r="I999" s="7">
        <v>45674</v>
      </c>
      <c r="J999" s="8">
        <v>0.77307870370370368</v>
      </c>
      <c r="K999" t="s">
        <v>984</v>
      </c>
      <c r="AQ999" t="s">
        <v>1253</v>
      </c>
      <c r="AR999" t="s">
        <v>1201</v>
      </c>
      <c r="AT999" t="s">
        <v>987</v>
      </c>
      <c r="AZ999" t="s">
        <v>1011</v>
      </c>
      <c r="BA999" t="s">
        <v>1202</v>
      </c>
      <c r="BB999" t="s">
        <v>1203</v>
      </c>
      <c r="BD999" t="s">
        <v>991</v>
      </c>
      <c r="BE999" t="s">
        <v>266</v>
      </c>
    </row>
    <row r="1000" spans="1:57" ht="13" x14ac:dyDescent="0.15">
      <c r="A1000">
        <v>1839</v>
      </c>
      <c r="B1000">
        <v>32392062</v>
      </c>
      <c r="C1000" t="s">
        <v>266</v>
      </c>
      <c r="D1000" s="7">
        <v>38580</v>
      </c>
      <c r="E1000" s="7">
        <v>45713</v>
      </c>
      <c r="F1000">
        <v>330862</v>
      </c>
      <c r="G1000" t="s">
        <v>983</v>
      </c>
      <c r="H1000" t="s">
        <v>9</v>
      </c>
      <c r="I1000" s="7">
        <v>45674</v>
      </c>
      <c r="J1000" s="8">
        <v>0.771087962962963</v>
      </c>
      <c r="K1000" t="s">
        <v>984</v>
      </c>
      <c r="AQ1000" t="s">
        <v>1253</v>
      </c>
      <c r="AR1000" t="s">
        <v>1095</v>
      </c>
      <c r="AT1000" t="s">
        <v>987</v>
      </c>
      <c r="AZ1000" t="s">
        <v>1002</v>
      </c>
      <c r="BA1000" t="s">
        <v>1003</v>
      </c>
      <c r="BB1000" t="s">
        <v>1004</v>
      </c>
      <c r="BD1000" t="s">
        <v>1005</v>
      </c>
      <c r="BE1000" t="s">
        <v>266</v>
      </c>
    </row>
    <row r="1001" spans="1:57" ht="13" x14ac:dyDescent="0.15">
      <c r="A1001">
        <v>1839</v>
      </c>
      <c r="B1001">
        <v>32392062</v>
      </c>
      <c r="C1001" t="s">
        <v>266</v>
      </c>
      <c r="D1001" s="7">
        <v>38580</v>
      </c>
      <c r="E1001" s="7">
        <v>45713</v>
      </c>
      <c r="F1001">
        <v>330862</v>
      </c>
      <c r="G1001" t="s">
        <v>983</v>
      </c>
      <c r="H1001" t="s">
        <v>9</v>
      </c>
      <c r="I1001" s="7">
        <v>45674</v>
      </c>
      <c r="J1001" s="8">
        <v>0.69237268518518513</v>
      </c>
      <c r="K1001" t="s">
        <v>984</v>
      </c>
      <c r="AQ1001" t="s">
        <v>1253</v>
      </c>
      <c r="AR1001" t="s">
        <v>1231</v>
      </c>
      <c r="AT1001" t="s">
        <v>987</v>
      </c>
      <c r="AZ1001" t="s">
        <v>988</v>
      </c>
      <c r="BA1001" t="s">
        <v>1058</v>
      </c>
      <c r="BB1001" t="s">
        <v>1018</v>
      </c>
      <c r="BD1001" t="s">
        <v>1005</v>
      </c>
      <c r="BE1001" t="s">
        <v>266</v>
      </c>
    </row>
    <row r="1002" spans="1:57" ht="13" x14ac:dyDescent="0.15">
      <c r="A1002">
        <v>1839</v>
      </c>
      <c r="B1002">
        <v>32407162</v>
      </c>
      <c r="C1002" t="s">
        <v>1549</v>
      </c>
      <c r="D1002" s="7">
        <v>41367</v>
      </c>
      <c r="E1002" s="7">
        <v>45646</v>
      </c>
      <c r="F1002">
        <v>330862</v>
      </c>
      <c r="G1002" t="s">
        <v>983</v>
      </c>
      <c r="H1002" t="s">
        <v>9</v>
      </c>
      <c r="I1002" s="7">
        <v>45629</v>
      </c>
      <c r="J1002" s="8">
        <v>0.86259259259259258</v>
      </c>
      <c r="K1002" t="s">
        <v>984</v>
      </c>
      <c r="AQ1002" t="s">
        <v>992</v>
      </c>
      <c r="AR1002" t="s">
        <v>1550</v>
      </c>
      <c r="AT1002" t="s">
        <v>987</v>
      </c>
      <c r="AZ1002" t="s">
        <v>1055</v>
      </c>
      <c r="BA1002" t="s">
        <v>1056</v>
      </c>
      <c r="BB1002" t="s">
        <v>1013</v>
      </c>
      <c r="BD1002" t="s">
        <v>1022</v>
      </c>
      <c r="BE1002" t="s">
        <v>1549</v>
      </c>
    </row>
    <row r="1003" spans="1:57" ht="13" x14ac:dyDescent="0.15">
      <c r="A1003">
        <v>1839</v>
      </c>
      <c r="B1003">
        <v>32423096</v>
      </c>
      <c r="C1003" t="s">
        <v>267</v>
      </c>
      <c r="D1003" s="7">
        <v>38611</v>
      </c>
      <c r="E1003" s="7">
        <v>45701</v>
      </c>
      <c r="F1003">
        <v>330862</v>
      </c>
      <c r="G1003" t="s">
        <v>983</v>
      </c>
      <c r="H1003" t="s">
        <v>9</v>
      </c>
      <c r="I1003" s="7">
        <v>45694</v>
      </c>
      <c r="J1003" s="8">
        <v>0.53862268518518519</v>
      </c>
      <c r="K1003" t="s">
        <v>984</v>
      </c>
      <c r="AQ1003" t="s">
        <v>992</v>
      </c>
      <c r="AR1003" t="s">
        <v>993</v>
      </c>
      <c r="AT1003" t="s">
        <v>987</v>
      </c>
      <c r="AZ1003" t="s">
        <v>988</v>
      </c>
      <c r="BA1003" t="s">
        <v>989</v>
      </c>
      <c r="BB1003" t="s">
        <v>990</v>
      </c>
      <c r="BD1003" t="s">
        <v>991</v>
      </c>
      <c r="BE1003" t="s">
        <v>267</v>
      </c>
    </row>
    <row r="1004" spans="1:57" ht="13" x14ac:dyDescent="0.15">
      <c r="A1004">
        <v>1839</v>
      </c>
      <c r="B1004">
        <v>32474276</v>
      </c>
      <c r="C1004" t="s">
        <v>268</v>
      </c>
      <c r="D1004" s="7">
        <v>40491</v>
      </c>
      <c r="E1004" s="7">
        <v>45708</v>
      </c>
      <c r="F1004">
        <v>330862</v>
      </c>
      <c r="G1004" t="s">
        <v>983</v>
      </c>
      <c r="H1004" t="s">
        <v>9</v>
      </c>
      <c r="I1004" s="7">
        <v>45674</v>
      </c>
      <c r="J1004" s="8">
        <v>0.69238425925925928</v>
      </c>
      <c r="K1004" t="s">
        <v>984</v>
      </c>
      <c r="AQ1004" t="s">
        <v>1089</v>
      </c>
      <c r="AR1004" t="s">
        <v>1095</v>
      </c>
      <c r="AT1004" t="s">
        <v>987</v>
      </c>
      <c r="AZ1004" t="s">
        <v>1002</v>
      </c>
      <c r="BA1004" t="s">
        <v>1003</v>
      </c>
      <c r="BB1004" t="s">
        <v>1004</v>
      </c>
      <c r="BD1004" t="s">
        <v>1005</v>
      </c>
      <c r="BE1004" t="s">
        <v>268</v>
      </c>
    </row>
    <row r="1005" spans="1:57" ht="13" x14ac:dyDescent="0.15">
      <c r="A1005">
        <v>1839</v>
      </c>
      <c r="B1005">
        <v>32474276</v>
      </c>
      <c r="C1005" t="s">
        <v>268</v>
      </c>
      <c r="D1005" s="7">
        <v>40491</v>
      </c>
      <c r="E1005" s="7">
        <v>45708</v>
      </c>
      <c r="F1005">
        <v>330862</v>
      </c>
      <c r="G1005" t="s">
        <v>983</v>
      </c>
      <c r="H1005" t="s">
        <v>9</v>
      </c>
      <c r="I1005" s="7">
        <v>45674</v>
      </c>
      <c r="J1005" s="8">
        <v>0.69149305555555551</v>
      </c>
      <c r="K1005" t="s">
        <v>984</v>
      </c>
      <c r="AQ1005" t="s">
        <v>1089</v>
      </c>
      <c r="AR1005" t="s">
        <v>1107</v>
      </c>
      <c r="AT1005" t="s">
        <v>987</v>
      </c>
      <c r="AZ1005" t="s">
        <v>1007</v>
      </c>
      <c r="BA1005" t="s">
        <v>1008</v>
      </c>
      <c r="BB1005" t="s">
        <v>990</v>
      </c>
      <c r="BD1005" t="s">
        <v>1005</v>
      </c>
      <c r="BE1005" t="s">
        <v>268</v>
      </c>
    </row>
    <row r="1006" spans="1:57" ht="13" x14ac:dyDescent="0.15">
      <c r="A1006">
        <v>1839</v>
      </c>
      <c r="B1006">
        <v>32474276</v>
      </c>
      <c r="C1006" t="s">
        <v>268</v>
      </c>
      <c r="D1006" s="7">
        <v>40491</v>
      </c>
      <c r="E1006" s="7">
        <v>45708</v>
      </c>
      <c r="F1006">
        <v>330862</v>
      </c>
      <c r="G1006" t="s">
        <v>983</v>
      </c>
      <c r="H1006" t="s">
        <v>9</v>
      </c>
      <c r="I1006" s="7">
        <v>45674</v>
      </c>
      <c r="J1006" s="8">
        <v>0.65013888888888893</v>
      </c>
      <c r="K1006" t="s">
        <v>984</v>
      </c>
      <c r="AQ1006" t="s">
        <v>1089</v>
      </c>
      <c r="AR1006" t="s">
        <v>1095</v>
      </c>
      <c r="AT1006" t="s">
        <v>987</v>
      </c>
      <c r="AZ1006" t="s">
        <v>1002</v>
      </c>
      <c r="BA1006" t="s">
        <v>1003</v>
      </c>
      <c r="BB1006" t="s">
        <v>1004</v>
      </c>
      <c r="BD1006" t="s">
        <v>1005</v>
      </c>
      <c r="BE1006" t="s">
        <v>268</v>
      </c>
    </row>
    <row r="1007" spans="1:57" ht="13" x14ac:dyDescent="0.15">
      <c r="A1007">
        <v>1839</v>
      </c>
      <c r="B1007">
        <v>32474276</v>
      </c>
      <c r="C1007" t="s">
        <v>268</v>
      </c>
      <c r="D1007" s="7">
        <v>40491</v>
      </c>
      <c r="E1007" s="7">
        <v>45708</v>
      </c>
      <c r="F1007">
        <v>330862</v>
      </c>
      <c r="G1007" t="s">
        <v>983</v>
      </c>
      <c r="H1007" t="s">
        <v>9</v>
      </c>
      <c r="I1007" s="7">
        <v>45689</v>
      </c>
      <c r="J1007" s="8">
        <v>0.69704861111111116</v>
      </c>
      <c r="K1007" t="s">
        <v>984</v>
      </c>
      <c r="AQ1007" t="s">
        <v>1089</v>
      </c>
      <c r="AR1007" t="s">
        <v>1419</v>
      </c>
      <c r="AT1007" t="s">
        <v>987</v>
      </c>
      <c r="AZ1007" t="s">
        <v>1002</v>
      </c>
      <c r="BA1007" t="s">
        <v>1003</v>
      </c>
      <c r="BB1007" t="s">
        <v>1004</v>
      </c>
      <c r="BD1007" t="s">
        <v>1005</v>
      </c>
      <c r="BE1007" t="s">
        <v>268</v>
      </c>
    </row>
    <row r="1008" spans="1:57" ht="13" x14ac:dyDescent="0.15">
      <c r="A1008">
        <v>1839</v>
      </c>
      <c r="B1008">
        <v>32474276</v>
      </c>
      <c r="C1008" t="s">
        <v>268</v>
      </c>
      <c r="D1008" s="7">
        <v>40491</v>
      </c>
      <c r="E1008" s="7">
        <v>45708</v>
      </c>
      <c r="F1008">
        <v>330862</v>
      </c>
      <c r="G1008" t="s">
        <v>983</v>
      </c>
      <c r="H1008" t="s">
        <v>9</v>
      </c>
      <c r="I1008" s="7">
        <v>45689</v>
      </c>
      <c r="J1008" s="8">
        <v>0.70362268518518523</v>
      </c>
      <c r="K1008" t="s">
        <v>984</v>
      </c>
      <c r="AQ1008" t="s">
        <v>1089</v>
      </c>
      <c r="AR1008" t="s">
        <v>1422</v>
      </c>
      <c r="AT1008" t="s">
        <v>987</v>
      </c>
      <c r="AZ1008" t="s">
        <v>1024</v>
      </c>
      <c r="BA1008" t="s">
        <v>1047</v>
      </c>
      <c r="BB1008" t="s">
        <v>1048</v>
      </c>
      <c r="BD1008" t="s">
        <v>1014</v>
      </c>
      <c r="BE1008" t="s">
        <v>268</v>
      </c>
    </row>
    <row r="1009" spans="1:57" ht="13" x14ac:dyDescent="0.15">
      <c r="A1009">
        <v>1839</v>
      </c>
      <c r="B1009">
        <v>32501715</v>
      </c>
      <c r="C1009" t="s">
        <v>1551</v>
      </c>
      <c r="D1009" s="7">
        <v>40504</v>
      </c>
      <c r="E1009" s="7">
        <v>45699</v>
      </c>
      <c r="F1009">
        <v>330862</v>
      </c>
      <c r="G1009" t="s">
        <v>983</v>
      </c>
      <c r="H1009" t="s">
        <v>9</v>
      </c>
      <c r="I1009" s="7">
        <v>45616</v>
      </c>
      <c r="J1009" s="8">
        <v>0.58444444444444443</v>
      </c>
      <c r="K1009" t="s">
        <v>984</v>
      </c>
      <c r="AQ1009" t="s">
        <v>992</v>
      </c>
      <c r="AR1009" t="s">
        <v>1104</v>
      </c>
      <c r="AT1009" t="s">
        <v>987</v>
      </c>
      <c r="AZ1009" t="s">
        <v>1055</v>
      </c>
      <c r="BA1009" t="s">
        <v>1056</v>
      </c>
      <c r="BB1009" t="s">
        <v>1013</v>
      </c>
      <c r="BD1009" t="s">
        <v>1022</v>
      </c>
      <c r="BE1009" t="s">
        <v>1551</v>
      </c>
    </row>
    <row r="1010" spans="1:57" ht="13" x14ac:dyDescent="0.15">
      <c r="A1010">
        <v>1839</v>
      </c>
      <c r="B1010">
        <v>32501715</v>
      </c>
      <c r="C1010" t="s">
        <v>1551</v>
      </c>
      <c r="D1010" s="7">
        <v>40504</v>
      </c>
      <c r="E1010" s="7">
        <v>45699</v>
      </c>
      <c r="F1010">
        <v>330862</v>
      </c>
      <c r="G1010" t="s">
        <v>983</v>
      </c>
      <c r="H1010" t="s">
        <v>9</v>
      </c>
      <c r="I1010" s="7">
        <v>45616</v>
      </c>
      <c r="J1010" s="8">
        <v>0.58231481481481484</v>
      </c>
      <c r="K1010" t="s">
        <v>984</v>
      </c>
      <c r="AQ1010" t="s">
        <v>992</v>
      </c>
      <c r="AR1010" t="s">
        <v>1102</v>
      </c>
      <c r="AT1010" t="s">
        <v>987</v>
      </c>
      <c r="AZ1010" t="s">
        <v>1011</v>
      </c>
      <c r="BA1010" t="s">
        <v>1103</v>
      </c>
      <c r="BB1010" t="s">
        <v>1032</v>
      </c>
      <c r="BD1010" t="s">
        <v>1005</v>
      </c>
      <c r="BE1010" t="s">
        <v>1551</v>
      </c>
    </row>
    <row r="1011" spans="1:57" ht="13" x14ac:dyDescent="0.15">
      <c r="A1011">
        <v>1839</v>
      </c>
      <c r="B1011">
        <v>32501715</v>
      </c>
      <c r="C1011" t="s">
        <v>1551</v>
      </c>
      <c r="D1011" s="7">
        <v>40504</v>
      </c>
      <c r="E1011" s="7">
        <v>45699</v>
      </c>
      <c r="F1011">
        <v>330862</v>
      </c>
      <c r="G1011" t="s">
        <v>983</v>
      </c>
      <c r="H1011" t="s">
        <v>9</v>
      </c>
      <c r="I1011" s="7">
        <v>45636</v>
      </c>
      <c r="J1011" s="8">
        <v>0.63217592592592597</v>
      </c>
      <c r="K1011" t="s">
        <v>984</v>
      </c>
      <c r="AQ1011" t="s">
        <v>992</v>
      </c>
      <c r="AR1011" t="s">
        <v>1096</v>
      </c>
      <c r="AT1011" t="s">
        <v>987</v>
      </c>
      <c r="AZ1011" t="s">
        <v>1011</v>
      </c>
      <c r="BA1011" t="s">
        <v>1031</v>
      </c>
      <c r="BB1011" t="s">
        <v>1032</v>
      </c>
      <c r="BD1011" t="s">
        <v>1005</v>
      </c>
      <c r="BE1011" t="s">
        <v>1551</v>
      </c>
    </row>
    <row r="1012" spans="1:57" ht="13" x14ac:dyDescent="0.15">
      <c r="A1012">
        <v>1839</v>
      </c>
      <c r="B1012">
        <v>32501715</v>
      </c>
      <c r="C1012" t="s">
        <v>1551</v>
      </c>
      <c r="D1012" s="7">
        <v>40504</v>
      </c>
      <c r="E1012" s="7">
        <v>45699</v>
      </c>
      <c r="F1012">
        <v>330862</v>
      </c>
      <c r="G1012" t="s">
        <v>983</v>
      </c>
      <c r="H1012" t="s">
        <v>9</v>
      </c>
      <c r="I1012" s="7">
        <v>45636</v>
      </c>
      <c r="J1012" s="8">
        <v>0.63493055555555555</v>
      </c>
      <c r="K1012" t="s">
        <v>984</v>
      </c>
      <c r="AQ1012" t="s">
        <v>992</v>
      </c>
      <c r="AR1012" t="s">
        <v>1262</v>
      </c>
      <c r="AT1012" t="s">
        <v>987</v>
      </c>
      <c r="AZ1012" t="s">
        <v>1028</v>
      </c>
      <c r="BA1012" t="s">
        <v>1029</v>
      </c>
      <c r="BB1012" t="s">
        <v>1018</v>
      </c>
      <c r="BD1012" t="s">
        <v>1022</v>
      </c>
      <c r="BE1012" t="s">
        <v>1551</v>
      </c>
    </row>
    <row r="1013" spans="1:57" ht="13" x14ac:dyDescent="0.15">
      <c r="A1013">
        <v>1839</v>
      </c>
      <c r="B1013">
        <v>32501715</v>
      </c>
      <c r="C1013" t="s">
        <v>1551</v>
      </c>
      <c r="D1013" s="7">
        <v>40504</v>
      </c>
      <c r="E1013" s="7">
        <v>45699</v>
      </c>
      <c r="F1013">
        <v>330862</v>
      </c>
      <c r="G1013" t="s">
        <v>983</v>
      </c>
      <c r="H1013" t="s">
        <v>9</v>
      </c>
      <c r="I1013" s="7">
        <v>45636</v>
      </c>
      <c r="J1013" s="8">
        <v>0.63641203703703708</v>
      </c>
      <c r="K1013" t="s">
        <v>984</v>
      </c>
      <c r="AQ1013" t="s">
        <v>992</v>
      </c>
      <c r="AR1013" t="s">
        <v>1097</v>
      </c>
      <c r="AT1013" t="s">
        <v>987</v>
      </c>
      <c r="AZ1013" t="s">
        <v>1024</v>
      </c>
      <c r="BA1013" t="s">
        <v>1025</v>
      </c>
      <c r="BB1013" t="s">
        <v>1026</v>
      </c>
      <c r="BD1013" t="s">
        <v>1022</v>
      </c>
      <c r="BE1013" t="s">
        <v>1551</v>
      </c>
    </row>
    <row r="1014" spans="1:57" ht="13" x14ac:dyDescent="0.15">
      <c r="A1014">
        <v>1839</v>
      </c>
      <c r="B1014">
        <v>32501715</v>
      </c>
      <c r="C1014" t="s">
        <v>1551</v>
      </c>
      <c r="D1014" s="7">
        <v>40504</v>
      </c>
      <c r="E1014" s="7">
        <v>45699</v>
      </c>
      <c r="F1014">
        <v>330862</v>
      </c>
      <c r="G1014" t="s">
        <v>983</v>
      </c>
      <c r="H1014" t="s">
        <v>9</v>
      </c>
      <c r="I1014" s="7">
        <v>45636</v>
      </c>
      <c r="J1014" s="8">
        <v>0.63725694444444447</v>
      </c>
      <c r="K1014" t="s">
        <v>984</v>
      </c>
      <c r="AQ1014" t="s">
        <v>992</v>
      </c>
      <c r="AR1014" t="s">
        <v>1098</v>
      </c>
      <c r="AT1014" t="s">
        <v>987</v>
      </c>
      <c r="AZ1014" t="s">
        <v>1020</v>
      </c>
      <c r="BA1014" t="s">
        <v>1021</v>
      </c>
      <c r="BB1014" t="s">
        <v>1018</v>
      </c>
      <c r="BD1014" t="s">
        <v>1022</v>
      </c>
      <c r="BE1014" t="s">
        <v>1551</v>
      </c>
    </row>
    <row r="1015" spans="1:57" ht="13" x14ac:dyDescent="0.15">
      <c r="A1015">
        <v>1839</v>
      </c>
      <c r="B1015">
        <v>33794365</v>
      </c>
      <c r="C1015" t="s">
        <v>269</v>
      </c>
      <c r="D1015" s="7">
        <v>40331</v>
      </c>
      <c r="E1015" s="7">
        <v>45695</v>
      </c>
      <c r="F1015">
        <v>330862</v>
      </c>
      <c r="G1015" t="s">
        <v>983</v>
      </c>
      <c r="H1015" t="s">
        <v>9</v>
      </c>
      <c r="I1015" s="7">
        <v>45678</v>
      </c>
      <c r="J1015" s="8">
        <v>0.12268518518518519</v>
      </c>
      <c r="K1015" t="s">
        <v>984</v>
      </c>
      <c r="AQ1015" t="s">
        <v>992</v>
      </c>
      <c r="AR1015" t="s">
        <v>1083</v>
      </c>
      <c r="AT1015" t="s">
        <v>987</v>
      </c>
      <c r="AZ1015" t="s">
        <v>1011</v>
      </c>
      <c r="BA1015" t="s">
        <v>1012</v>
      </c>
      <c r="BB1015" t="s">
        <v>1013</v>
      </c>
      <c r="BD1015" t="s">
        <v>1014</v>
      </c>
      <c r="BE1015" t="s">
        <v>269</v>
      </c>
    </row>
    <row r="1016" spans="1:57" ht="13" x14ac:dyDescent="0.15">
      <c r="A1016">
        <v>1839</v>
      </c>
      <c r="B1016">
        <v>33801449</v>
      </c>
      <c r="C1016" t="s">
        <v>270</v>
      </c>
      <c r="D1016" s="7">
        <v>39974</v>
      </c>
      <c r="E1016" s="7">
        <v>45694</v>
      </c>
      <c r="F1016">
        <v>330862</v>
      </c>
      <c r="G1016" t="s">
        <v>983</v>
      </c>
      <c r="H1016" t="s">
        <v>9</v>
      </c>
      <c r="I1016" s="7">
        <v>45694</v>
      </c>
      <c r="J1016" s="8">
        <v>0.48872685185185183</v>
      </c>
      <c r="K1016" t="s">
        <v>984</v>
      </c>
      <c r="AQ1016" t="s">
        <v>1089</v>
      </c>
      <c r="AR1016" t="s">
        <v>986</v>
      </c>
      <c r="AT1016" t="s">
        <v>987</v>
      </c>
      <c r="AZ1016" t="s">
        <v>988</v>
      </c>
      <c r="BA1016" t="s">
        <v>989</v>
      </c>
      <c r="BB1016" t="s">
        <v>990</v>
      </c>
      <c r="BD1016" t="s">
        <v>991</v>
      </c>
      <c r="BE1016" t="s">
        <v>270</v>
      </c>
    </row>
    <row r="1017" spans="1:57" ht="13" x14ac:dyDescent="0.15">
      <c r="A1017">
        <v>1839</v>
      </c>
      <c r="B1017">
        <v>33834102</v>
      </c>
      <c r="C1017" t="s">
        <v>271</v>
      </c>
      <c r="D1017" s="7">
        <v>41391</v>
      </c>
      <c r="E1017" s="7">
        <v>45681</v>
      </c>
      <c r="F1017">
        <v>330862</v>
      </c>
      <c r="G1017" t="s">
        <v>983</v>
      </c>
      <c r="H1017" t="s">
        <v>9</v>
      </c>
      <c r="I1017" s="7">
        <v>45678</v>
      </c>
      <c r="J1017" s="8">
        <v>0.85706018518518523</v>
      </c>
      <c r="K1017" t="s">
        <v>984</v>
      </c>
      <c r="AQ1017" t="s">
        <v>1089</v>
      </c>
      <c r="AR1017" t="s">
        <v>1083</v>
      </c>
      <c r="AT1017" t="s">
        <v>987</v>
      </c>
      <c r="AZ1017" t="s">
        <v>1011</v>
      </c>
      <c r="BA1017" t="s">
        <v>1012</v>
      </c>
      <c r="BB1017" t="s">
        <v>1013</v>
      </c>
      <c r="BD1017" t="s">
        <v>1014</v>
      </c>
      <c r="BE1017" t="s">
        <v>271</v>
      </c>
    </row>
    <row r="1018" spans="1:57" ht="13" x14ac:dyDescent="0.15">
      <c r="A1018">
        <v>1839</v>
      </c>
      <c r="B1018">
        <v>33841601</v>
      </c>
      <c r="C1018" t="s">
        <v>272</v>
      </c>
      <c r="D1018" s="7">
        <v>41415</v>
      </c>
      <c r="E1018" s="7">
        <v>45713</v>
      </c>
      <c r="F1018">
        <v>330862</v>
      </c>
      <c r="G1018" t="s">
        <v>983</v>
      </c>
      <c r="H1018" t="s">
        <v>9</v>
      </c>
      <c r="I1018" s="7">
        <v>45649</v>
      </c>
      <c r="J1018" s="8">
        <v>0.48912037037037037</v>
      </c>
      <c r="K1018" t="s">
        <v>984</v>
      </c>
      <c r="AQ1018" t="s">
        <v>992</v>
      </c>
      <c r="AR1018" t="s">
        <v>1191</v>
      </c>
      <c r="AT1018" t="s">
        <v>987</v>
      </c>
      <c r="AZ1018" t="s">
        <v>1007</v>
      </c>
      <c r="BA1018" t="s">
        <v>1008</v>
      </c>
      <c r="BB1018" t="s">
        <v>990</v>
      </c>
      <c r="BD1018" t="s">
        <v>1005</v>
      </c>
      <c r="BE1018" t="s">
        <v>272</v>
      </c>
    </row>
    <row r="1019" spans="1:57" ht="13" x14ac:dyDescent="0.15">
      <c r="A1019">
        <v>1839</v>
      </c>
      <c r="B1019">
        <v>33841601</v>
      </c>
      <c r="C1019" t="s">
        <v>272</v>
      </c>
      <c r="D1019" s="7">
        <v>41415</v>
      </c>
      <c r="E1019" s="7">
        <v>45713</v>
      </c>
      <c r="F1019">
        <v>330862</v>
      </c>
      <c r="G1019" t="s">
        <v>983</v>
      </c>
      <c r="H1019" t="s">
        <v>9</v>
      </c>
      <c r="I1019" s="7">
        <v>45672</v>
      </c>
      <c r="J1019" s="8">
        <v>0.35031250000000003</v>
      </c>
      <c r="K1019" t="s">
        <v>984</v>
      </c>
      <c r="AQ1019" t="s">
        <v>992</v>
      </c>
      <c r="AR1019" t="s">
        <v>1301</v>
      </c>
      <c r="AT1019" t="s">
        <v>987</v>
      </c>
      <c r="AZ1019" t="s">
        <v>1044</v>
      </c>
      <c r="BA1019" t="s">
        <v>1045</v>
      </c>
      <c r="BB1019" t="s">
        <v>990</v>
      </c>
      <c r="BD1019" t="s">
        <v>991</v>
      </c>
      <c r="BE1019" t="s">
        <v>272</v>
      </c>
    </row>
    <row r="1020" spans="1:57" ht="13" x14ac:dyDescent="0.15">
      <c r="A1020">
        <v>1839</v>
      </c>
      <c r="B1020">
        <v>33841601</v>
      </c>
      <c r="C1020" t="s">
        <v>272</v>
      </c>
      <c r="D1020" s="7">
        <v>41415</v>
      </c>
      <c r="E1020" s="7">
        <v>45713</v>
      </c>
      <c r="F1020">
        <v>330862</v>
      </c>
      <c r="G1020" t="s">
        <v>983</v>
      </c>
      <c r="H1020" t="s">
        <v>9</v>
      </c>
      <c r="I1020" s="7">
        <v>45672</v>
      </c>
      <c r="J1020" s="8">
        <v>0.3517824074074074</v>
      </c>
      <c r="K1020" t="s">
        <v>984</v>
      </c>
      <c r="AQ1020" t="s">
        <v>992</v>
      </c>
      <c r="AR1020" t="s">
        <v>1552</v>
      </c>
      <c r="AT1020" t="s">
        <v>987</v>
      </c>
      <c r="AZ1020" t="s">
        <v>1002</v>
      </c>
      <c r="BA1020" t="s">
        <v>1003</v>
      </c>
      <c r="BB1020" t="s">
        <v>1004</v>
      </c>
      <c r="BD1020" t="s">
        <v>1005</v>
      </c>
      <c r="BE1020" t="s">
        <v>272</v>
      </c>
    </row>
    <row r="1021" spans="1:57" ht="13" x14ac:dyDescent="0.15">
      <c r="A1021">
        <v>1839</v>
      </c>
      <c r="B1021">
        <v>33841601</v>
      </c>
      <c r="C1021" t="s">
        <v>272</v>
      </c>
      <c r="D1021" s="7">
        <v>41415</v>
      </c>
      <c r="E1021" s="7">
        <v>45713</v>
      </c>
      <c r="F1021">
        <v>330862</v>
      </c>
      <c r="G1021" t="s">
        <v>983</v>
      </c>
      <c r="H1021" t="s">
        <v>9</v>
      </c>
      <c r="I1021" s="7">
        <v>45672</v>
      </c>
      <c r="J1021" s="8">
        <v>0.35249999999999998</v>
      </c>
      <c r="K1021" t="s">
        <v>984</v>
      </c>
      <c r="AQ1021" t="s">
        <v>992</v>
      </c>
      <c r="AR1021" t="s">
        <v>1553</v>
      </c>
      <c r="AT1021" t="s">
        <v>987</v>
      </c>
      <c r="AZ1021" t="s">
        <v>1011</v>
      </c>
      <c r="BA1021" t="s">
        <v>1202</v>
      </c>
      <c r="BB1021" t="s">
        <v>1203</v>
      </c>
      <c r="BD1021" t="s">
        <v>991</v>
      </c>
      <c r="BE1021" t="s">
        <v>272</v>
      </c>
    </row>
    <row r="1022" spans="1:57" ht="13" x14ac:dyDescent="0.15">
      <c r="A1022">
        <v>1839</v>
      </c>
      <c r="B1022">
        <v>33841601</v>
      </c>
      <c r="C1022" t="s">
        <v>272</v>
      </c>
      <c r="D1022" s="7">
        <v>41415</v>
      </c>
      <c r="E1022" s="7">
        <v>45713</v>
      </c>
      <c r="F1022">
        <v>330862</v>
      </c>
      <c r="G1022" t="s">
        <v>983</v>
      </c>
      <c r="H1022" t="s">
        <v>9</v>
      </c>
      <c r="I1022" s="7">
        <v>45672</v>
      </c>
      <c r="J1022" s="8">
        <v>0.35542824074074075</v>
      </c>
      <c r="K1022" t="s">
        <v>984</v>
      </c>
      <c r="AQ1022" t="s">
        <v>992</v>
      </c>
      <c r="AR1022" t="s">
        <v>1552</v>
      </c>
      <c r="AT1022" t="s">
        <v>987</v>
      </c>
      <c r="AZ1022" t="s">
        <v>1002</v>
      </c>
      <c r="BA1022" t="s">
        <v>1003</v>
      </c>
      <c r="BB1022" t="s">
        <v>1004</v>
      </c>
      <c r="BD1022" t="s">
        <v>1005</v>
      </c>
      <c r="BE1022" t="s">
        <v>272</v>
      </c>
    </row>
    <row r="1023" spans="1:57" ht="13" x14ac:dyDescent="0.15">
      <c r="A1023">
        <v>1839</v>
      </c>
      <c r="B1023">
        <v>33841601</v>
      </c>
      <c r="C1023" t="s">
        <v>272</v>
      </c>
      <c r="D1023" s="7">
        <v>41415</v>
      </c>
      <c r="E1023" s="7">
        <v>45713</v>
      </c>
      <c r="F1023">
        <v>330862</v>
      </c>
      <c r="G1023" t="s">
        <v>983</v>
      </c>
      <c r="H1023" t="s">
        <v>9</v>
      </c>
      <c r="I1023" s="7">
        <v>45674</v>
      </c>
      <c r="J1023" s="8">
        <v>0.60606481481481478</v>
      </c>
      <c r="K1023" t="s">
        <v>984</v>
      </c>
      <c r="AQ1023" t="s">
        <v>992</v>
      </c>
      <c r="AR1023" t="s">
        <v>1200</v>
      </c>
      <c r="AT1023" t="s">
        <v>987</v>
      </c>
      <c r="AZ1023" t="s">
        <v>1028</v>
      </c>
      <c r="BA1023" t="s">
        <v>1068</v>
      </c>
      <c r="BB1023" t="s">
        <v>1069</v>
      </c>
      <c r="BD1023" t="s">
        <v>1005</v>
      </c>
      <c r="BE1023" t="s">
        <v>272</v>
      </c>
    </row>
    <row r="1024" spans="1:57" ht="13" x14ac:dyDescent="0.15">
      <c r="A1024">
        <v>1839</v>
      </c>
      <c r="B1024">
        <v>33841601</v>
      </c>
      <c r="C1024" t="s">
        <v>272</v>
      </c>
      <c r="D1024" s="7">
        <v>41415</v>
      </c>
      <c r="E1024" s="7">
        <v>45713</v>
      </c>
      <c r="F1024">
        <v>330862</v>
      </c>
      <c r="G1024" t="s">
        <v>983</v>
      </c>
      <c r="H1024" t="s">
        <v>9</v>
      </c>
      <c r="I1024" s="7">
        <v>45641</v>
      </c>
      <c r="J1024" s="8">
        <v>0.64681712962962967</v>
      </c>
      <c r="K1024" t="s">
        <v>984</v>
      </c>
      <c r="AQ1024" t="s">
        <v>992</v>
      </c>
      <c r="AR1024" t="s">
        <v>1085</v>
      </c>
      <c r="AT1024" t="s">
        <v>987</v>
      </c>
      <c r="AZ1024" t="s">
        <v>1011</v>
      </c>
      <c r="BA1024" t="s">
        <v>1031</v>
      </c>
      <c r="BB1024" t="s">
        <v>1032</v>
      </c>
      <c r="BD1024" t="s">
        <v>1005</v>
      </c>
      <c r="BE1024" t="s">
        <v>272</v>
      </c>
    </row>
    <row r="1025" spans="1:57" ht="13" x14ac:dyDescent="0.15">
      <c r="A1025">
        <v>1839</v>
      </c>
      <c r="B1025">
        <v>33841601</v>
      </c>
      <c r="C1025" t="s">
        <v>272</v>
      </c>
      <c r="D1025" s="7">
        <v>41415</v>
      </c>
      <c r="E1025" s="7">
        <v>45713</v>
      </c>
      <c r="F1025">
        <v>330862</v>
      </c>
      <c r="G1025" t="s">
        <v>983</v>
      </c>
      <c r="H1025" t="s">
        <v>9</v>
      </c>
      <c r="I1025" s="7">
        <v>45641</v>
      </c>
      <c r="J1025" s="8">
        <v>0.65101851851851855</v>
      </c>
      <c r="K1025" t="s">
        <v>984</v>
      </c>
      <c r="AQ1025" t="s">
        <v>992</v>
      </c>
      <c r="AR1025" t="s">
        <v>1086</v>
      </c>
      <c r="AT1025" t="s">
        <v>987</v>
      </c>
      <c r="AZ1025" t="s">
        <v>1028</v>
      </c>
      <c r="BA1025" t="s">
        <v>1029</v>
      </c>
      <c r="BB1025" t="s">
        <v>1018</v>
      </c>
      <c r="BD1025" t="s">
        <v>1022</v>
      </c>
      <c r="BE1025" t="s">
        <v>272</v>
      </c>
    </row>
    <row r="1026" spans="1:57" ht="13" x14ac:dyDescent="0.15">
      <c r="A1026">
        <v>1839</v>
      </c>
      <c r="B1026">
        <v>33841601</v>
      </c>
      <c r="C1026" t="s">
        <v>272</v>
      </c>
      <c r="D1026" s="7">
        <v>41415</v>
      </c>
      <c r="E1026" s="7">
        <v>45713</v>
      </c>
      <c r="F1026">
        <v>330862</v>
      </c>
      <c r="G1026" t="s">
        <v>983</v>
      </c>
      <c r="H1026" t="s">
        <v>9</v>
      </c>
      <c r="I1026" s="7">
        <v>45694</v>
      </c>
      <c r="J1026" s="8">
        <v>0.35913194444444446</v>
      </c>
      <c r="K1026" t="s">
        <v>984</v>
      </c>
      <c r="AQ1026" t="s">
        <v>992</v>
      </c>
      <c r="AR1026" t="s">
        <v>993</v>
      </c>
      <c r="AT1026" t="s">
        <v>987</v>
      </c>
      <c r="AZ1026" t="s">
        <v>988</v>
      </c>
      <c r="BA1026" t="s">
        <v>989</v>
      </c>
      <c r="BB1026" t="s">
        <v>990</v>
      </c>
      <c r="BD1026" t="s">
        <v>991</v>
      </c>
      <c r="BE1026" t="s">
        <v>272</v>
      </c>
    </row>
    <row r="1027" spans="1:57" ht="13" x14ac:dyDescent="0.15">
      <c r="A1027">
        <v>1839</v>
      </c>
      <c r="B1027">
        <v>33841601</v>
      </c>
      <c r="C1027" t="s">
        <v>272</v>
      </c>
      <c r="D1027" s="7">
        <v>41415</v>
      </c>
      <c r="E1027" s="7">
        <v>45713</v>
      </c>
      <c r="F1027">
        <v>330862</v>
      </c>
      <c r="G1027" t="s">
        <v>983</v>
      </c>
      <c r="H1027" t="s">
        <v>9</v>
      </c>
      <c r="I1027" s="7">
        <v>45694</v>
      </c>
      <c r="J1027" s="8">
        <v>0.82988425925925924</v>
      </c>
      <c r="K1027" t="s">
        <v>984</v>
      </c>
      <c r="AQ1027" t="s">
        <v>992</v>
      </c>
      <c r="AR1027" t="s">
        <v>1554</v>
      </c>
      <c r="AT1027" t="s">
        <v>987</v>
      </c>
      <c r="AZ1027" t="s">
        <v>1028</v>
      </c>
      <c r="BA1027" t="s">
        <v>1037</v>
      </c>
      <c r="BB1027" t="s">
        <v>1038</v>
      </c>
      <c r="BD1027" t="s">
        <v>991</v>
      </c>
      <c r="BE1027" t="s">
        <v>272</v>
      </c>
    </row>
    <row r="1028" spans="1:57" ht="13" x14ac:dyDescent="0.15">
      <c r="A1028">
        <v>1839</v>
      </c>
      <c r="B1028">
        <v>33841601</v>
      </c>
      <c r="C1028" t="s">
        <v>272</v>
      </c>
      <c r="D1028" s="7">
        <v>41415</v>
      </c>
      <c r="E1028" s="7">
        <v>45713</v>
      </c>
      <c r="F1028">
        <v>330862</v>
      </c>
      <c r="G1028" t="s">
        <v>983</v>
      </c>
      <c r="H1028" t="s">
        <v>9</v>
      </c>
      <c r="I1028" s="7">
        <v>45618</v>
      </c>
      <c r="J1028" s="8">
        <v>0.59839120370370369</v>
      </c>
      <c r="K1028" t="s">
        <v>984</v>
      </c>
      <c r="AQ1028" t="s">
        <v>992</v>
      </c>
      <c r="AR1028" t="s">
        <v>1555</v>
      </c>
      <c r="AT1028" t="s">
        <v>987</v>
      </c>
      <c r="AZ1028" t="s">
        <v>1028</v>
      </c>
      <c r="BA1028" t="s">
        <v>1029</v>
      </c>
      <c r="BB1028" t="s">
        <v>1018</v>
      </c>
      <c r="BD1028" t="s">
        <v>1022</v>
      </c>
      <c r="BE1028" t="s">
        <v>272</v>
      </c>
    </row>
    <row r="1029" spans="1:57" ht="13" x14ac:dyDescent="0.15">
      <c r="A1029">
        <v>1839</v>
      </c>
      <c r="B1029">
        <v>33841601</v>
      </c>
      <c r="C1029" t="s">
        <v>272</v>
      </c>
      <c r="D1029" s="7">
        <v>41415</v>
      </c>
      <c r="E1029" s="7">
        <v>45713</v>
      </c>
      <c r="F1029">
        <v>330862</v>
      </c>
      <c r="G1029" t="s">
        <v>983</v>
      </c>
      <c r="H1029" t="s">
        <v>9</v>
      </c>
      <c r="I1029" s="7">
        <v>45694</v>
      </c>
      <c r="J1029" s="8">
        <v>0.82937499999999997</v>
      </c>
      <c r="K1029" t="s">
        <v>984</v>
      </c>
      <c r="AQ1029" t="s">
        <v>992</v>
      </c>
      <c r="AR1029" t="s">
        <v>1479</v>
      </c>
      <c r="AT1029" t="s">
        <v>987</v>
      </c>
      <c r="AZ1029" t="s">
        <v>1174</v>
      </c>
      <c r="BA1029" t="s">
        <v>1175</v>
      </c>
      <c r="BB1029" t="s">
        <v>990</v>
      </c>
      <c r="BD1029" t="s">
        <v>991</v>
      </c>
      <c r="BE1029" t="s">
        <v>272</v>
      </c>
    </row>
    <row r="1030" spans="1:57" ht="13" x14ac:dyDescent="0.15">
      <c r="A1030">
        <v>1839</v>
      </c>
      <c r="B1030">
        <v>38695445</v>
      </c>
      <c r="C1030" t="s">
        <v>273</v>
      </c>
      <c r="D1030" s="7">
        <v>41730</v>
      </c>
      <c r="E1030" s="7">
        <v>45696</v>
      </c>
      <c r="F1030">
        <v>330862</v>
      </c>
      <c r="G1030" t="s">
        <v>983</v>
      </c>
      <c r="H1030" t="s">
        <v>9</v>
      </c>
      <c r="I1030" s="7">
        <v>45694</v>
      </c>
      <c r="J1030" s="8">
        <v>0.82464120370370375</v>
      </c>
      <c r="K1030" t="s">
        <v>984</v>
      </c>
      <c r="AQ1030" t="s">
        <v>1273</v>
      </c>
      <c r="AR1030" t="s">
        <v>993</v>
      </c>
      <c r="AT1030" t="s">
        <v>987</v>
      </c>
      <c r="AZ1030" t="s">
        <v>988</v>
      </c>
      <c r="BA1030" t="s">
        <v>989</v>
      </c>
      <c r="BB1030" t="s">
        <v>990</v>
      </c>
      <c r="BD1030" t="s">
        <v>991</v>
      </c>
      <c r="BE1030" t="s">
        <v>273</v>
      </c>
    </row>
    <row r="1031" spans="1:57" ht="13" x14ac:dyDescent="0.15">
      <c r="A1031">
        <v>1839</v>
      </c>
      <c r="B1031">
        <v>38735830</v>
      </c>
      <c r="C1031" t="s">
        <v>274</v>
      </c>
      <c r="D1031" s="7">
        <v>41761</v>
      </c>
      <c r="E1031" s="7">
        <v>45699</v>
      </c>
      <c r="F1031">
        <v>330862</v>
      </c>
      <c r="G1031" t="s">
        <v>983</v>
      </c>
      <c r="H1031" t="s">
        <v>9</v>
      </c>
      <c r="I1031" s="7">
        <v>45616</v>
      </c>
      <c r="J1031" s="8">
        <v>0.6814351851851852</v>
      </c>
      <c r="K1031" t="s">
        <v>984</v>
      </c>
      <c r="AQ1031" t="s">
        <v>1556</v>
      </c>
      <c r="AR1031" t="s">
        <v>1399</v>
      </c>
      <c r="AT1031" t="s">
        <v>987</v>
      </c>
      <c r="AZ1031" t="s">
        <v>1011</v>
      </c>
      <c r="BA1031" t="s">
        <v>1103</v>
      </c>
      <c r="BB1031" t="s">
        <v>1032</v>
      </c>
      <c r="BD1031" t="s">
        <v>1005</v>
      </c>
      <c r="BE1031" t="s">
        <v>274</v>
      </c>
    </row>
    <row r="1032" spans="1:57" ht="13" x14ac:dyDescent="0.15">
      <c r="A1032">
        <v>1839</v>
      </c>
      <c r="B1032">
        <v>38735830</v>
      </c>
      <c r="C1032" t="s">
        <v>274</v>
      </c>
      <c r="D1032" s="7">
        <v>41761</v>
      </c>
      <c r="E1032" s="7">
        <v>45699</v>
      </c>
      <c r="F1032">
        <v>330862</v>
      </c>
      <c r="G1032" t="s">
        <v>983</v>
      </c>
      <c r="H1032" t="s">
        <v>9</v>
      </c>
      <c r="I1032" s="7">
        <v>45580</v>
      </c>
      <c r="J1032" s="8">
        <v>0.58870370370370373</v>
      </c>
      <c r="K1032" t="s">
        <v>984</v>
      </c>
      <c r="AQ1032" t="s">
        <v>1556</v>
      </c>
      <c r="AR1032" t="s">
        <v>1100</v>
      </c>
      <c r="AT1032" t="s">
        <v>987</v>
      </c>
      <c r="BE1032" t="s">
        <v>274</v>
      </c>
    </row>
    <row r="1033" spans="1:57" ht="13" x14ac:dyDescent="0.15">
      <c r="A1033">
        <v>1839</v>
      </c>
      <c r="B1033">
        <v>38735830</v>
      </c>
      <c r="C1033" t="s">
        <v>274</v>
      </c>
      <c r="D1033" s="7">
        <v>41761</v>
      </c>
      <c r="E1033" s="7">
        <v>45699</v>
      </c>
      <c r="F1033">
        <v>330862</v>
      </c>
      <c r="G1033" t="s">
        <v>983</v>
      </c>
      <c r="H1033" t="s">
        <v>9</v>
      </c>
      <c r="I1033" s="7">
        <v>45674</v>
      </c>
      <c r="J1033" s="8">
        <v>0.45574074074074072</v>
      </c>
      <c r="K1033" t="s">
        <v>984</v>
      </c>
      <c r="AQ1033" t="s">
        <v>1089</v>
      </c>
      <c r="AR1033" t="s">
        <v>1557</v>
      </c>
      <c r="AT1033" t="s">
        <v>987</v>
      </c>
      <c r="AZ1033" t="s">
        <v>1016</v>
      </c>
      <c r="BA1033" t="s">
        <v>1017</v>
      </c>
      <c r="BB1033" t="s">
        <v>1018</v>
      </c>
      <c r="BD1033" t="s">
        <v>991</v>
      </c>
      <c r="BE1033" t="s">
        <v>274</v>
      </c>
    </row>
    <row r="1034" spans="1:57" ht="13" x14ac:dyDescent="0.15">
      <c r="A1034">
        <v>1839</v>
      </c>
      <c r="B1034">
        <v>38735830</v>
      </c>
      <c r="C1034" t="s">
        <v>274</v>
      </c>
      <c r="D1034" s="7">
        <v>41761</v>
      </c>
      <c r="E1034" s="7">
        <v>45699</v>
      </c>
      <c r="F1034">
        <v>330862</v>
      </c>
      <c r="G1034" t="s">
        <v>983</v>
      </c>
      <c r="H1034" t="s">
        <v>9</v>
      </c>
      <c r="I1034" s="7">
        <v>45665</v>
      </c>
      <c r="J1034" s="8">
        <v>0.50464120370370369</v>
      </c>
      <c r="K1034" t="s">
        <v>984</v>
      </c>
      <c r="AQ1034" t="s">
        <v>1089</v>
      </c>
      <c r="AR1034" t="s">
        <v>1558</v>
      </c>
      <c r="AT1034" t="s">
        <v>987</v>
      </c>
      <c r="AZ1034" t="s">
        <v>1007</v>
      </c>
      <c r="BA1034" t="s">
        <v>1008</v>
      </c>
      <c r="BB1034" t="s">
        <v>990</v>
      </c>
      <c r="BD1034" t="s">
        <v>1005</v>
      </c>
      <c r="BE1034" t="s">
        <v>274</v>
      </c>
    </row>
    <row r="1035" spans="1:57" ht="13" x14ac:dyDescent="0.15">
      <c r="A1035">
        <v>1839</v>
      </c>
      <c r="B1035">
        <v>38735830</v>
      </c>
      <c r="C1035" t="s">
        <v>274</v>
      </c>
      <c r="D1035" s="7">
        <v>41761</v>
      </c>
      <c r="E1035" s="7">
        <v>45699</v>
      </c>
      <c r="F1035">
        <v>330862</v>
      </c>
      <c r="G1035" t="s">
        <v>983</v>
      </c>
      <c r="H1035" t="s">
        <v>9</v>
      </c>
      <c r="I1035" s="7">
        <v>45680</v>
      </c>
      <c r="J1035" s="8">
        <v>0.42581018518518521</v>
      </c>
      <c r="K1035" t="s">
        <v>984</v>
      </c>
      <c r="AQ1035" t="s">
        <v>1089</v>
      </c>
      <c r="AR1035" t="s">
        <v>1083</v>
      </c>
      <c r="AT1035" t="s">
        <v>987</v>
      </c>
      <c r="AZ1035" t="s">
        <v>1011</v>
      </c>
      <c r="BA1035" t="s">
        <v>1012</v>
      </c>
      <c r="BB1035" t="s">
        <v>1013</v>
      </c>
      <c r="BD1035" t="s">
        <v>1014</v>
      </c>
      <c r="BE1035" t="s">
        <v>274</v>
      </c>
    </row>
    <row r="1036" spans="1:57" ht="13" x14ac:dyDescent="0.15">
      <c r="A1036">
        <v>1839</v>
      </c>
      <c r="B1036">
        <v>38735830</v>
      </c>
      <c r="C1036" t="s">
        <v>274</v>
      </c>
      <c r="D1036" s="7">
        <v>41761</v>
      </c>
      <c r="E1036" s="7">
        <v>45699</v>
      </c>
      <c r="F1036">
        <v>330862</v>
      </c>
      <c r="G1036" t="s">
        <v>983</v>
      </c>
      <c r="H1036" t="s">
        <v>9</v>
      </c>
      <c r="I1036" s="7">
        <v>45698</v>
      </c>
      <c r="J1036" s="8">
        <v>0.47363425925925928</v>
      </c>
      <c r="K1036" t="s">
        <v>984</v>
      </c>
      <c r="AQ1036" t="s">
        <v>1089</v>
      </c>
      <c r="AR1036" t="s">
        <v>994</v>
      </c>
      <c r="AT1036" t="s">
        <v>987</v>
      </c>
      <c r="AZ1036" t="s">
        <v>1011</v>
      </c>
      <c r="BA1036" t="s">
        <v>1012</v>
      </c>
      <c r="BB1036" t="s">
        <v>1013</v>
      </c>
      <c r="BD1036" t="s">
        <v>1014</v>
      </c>
      <c r="BE1036" t="s">
        <v>274</v>
      </c>
    </row>
    <row r="1037" spans="1:57" ht="13" x14ac:dyDescent="0.15">
      <c r="A1037">
        <v>1839</v>
      </c>
      <c r="B1037">
        <v>38735830</v>
      </c>
      <c r="C1037" t="s">
        <v>274</v>
      </c>
      <c r="D1037" s="7">
        <v>41761</v>
      </c>
      <c r="E1037" s="7">
        <v>45699</v>
      </c>
      <c r="F1037">
        <v>336447</v>
      </c>
      <c r="G1037" t="s">
        <v>1074</v>
      </c>
      <c r="H1037" t="s">
        <v>26</v>
      </c>
      <c r="I1037" s="7">
        <v>45580</v>
      </c>
      <c r="J1037" s="8">
        <v>0.58908564814814812</v>
      </c>
      <c r="K1037" t="s">
        <v>984</v>
      </c>
      <c r="AQ1037" t="s">
        <v>1556</v>
      </c>
      <c r="AR1037" t="s">
        <v>1559</v>
      </c>
      <c r="BE1037" t="s">
        <v>274</v>
      </c>
    </row>
    <row r="1038" spans="1:57" ht="13" x14ac:dyDescent="0.15">
      <c r="A1038">
        <v>1839</v>
      </c>
      <c r="B1038">
        <v>38735830</v>
      </c>
      <c r="C1038" t="s">
        <v>274</v>
      </c>
      <c r="D1038" s="7">
        <v>41761</v>
      </c>
      <c r="E1038" s="7">
        <v>45699</v>
      </c>
      <c r="F1038">
        <v>336447</v>
      </c>
      <c r="G1038" t="s">
        <v>1074</v>
      </c>
      <c r="H1038" t="s">
        <v>26</v>
      </c>
      <c r="I1038" s="7">
        <v>45561</v>
      </c>
      <c r="J1038" s="8">
        <v>0.60047453703703701</v>
      </c>
      <c r="K1038" t="s">
        <v>984</v>
      </c>
      <c r="AQ1038" t="s">
        <v>1556</v>
      </c>
      <c r="AR1038" t="s">
        <v>1118</v>
      </c>
      <c r="BE1038" t="s">
        <v>274</v>
      </c>
    </row>
    <row r="1039" spans="1:57" ht="13" x14ac:dyDescent="0.15">
      <c r="A1039">
        <v>1839</v>
      </c>
      <c r="B1039">
        <v>38735830</v>
      </c>
      <c r="C1039" t="s">
        <v>274</v>
      </c>
      <c r="D1039" s="7">
        <v>41761</v>
      </c>
      <c r="E1039" s="7">
        <v>45699</v>
      </c>
      <c r="F1039">
        <v>336453</v>
      </c>
      <c r="G1039" t="s">
        <v>1074</v>
      </c>
      <c r="H1039" t="s">
        <v>27</v>
      </c>
      <c r="I1039" s="7">
        <v>45561</v>
      </c>
      <c r="J1039" s="8">
        <v>0.60071759259259261</v>
      </c>
      <c r="K1039" t="s">
        <v>984</v>
      </c>
      <c r="AQ1039" t="s">
        <v>1556</v>
      </c>
      <c r="AR1039" t="s">
        <v>1076</v>
      </c>
      <c r="BE1039" t="s">
        <v>274</v>
      </c>
    </row>
    <row r="1040" spans="1:57" ht="13" x14ac:dyDescent="0.15">
      <c r="A1040">
        <v>1839</v>
      </c>
      <c r="B1040">
        <v>38735830</v>
      </c>
      <c r="C1040" t="s">
        <v>274</v>
      </c>
      <c r="D1040" s="7">
        <v>41761</v>
      </c>
      <c r="E1040" s="7">
        <v>45699</v>
      </c>
      <c r="F1040">
        <v>336453</v>
      </c>
      <c r="G1040" t="s">
        <v>1074</v>
      </c>
      <c r="H1040" t="s">
        <v>27</v>
      </c>
      <c r="I1040" s="7">
        <v>45580</v>
      </c>
      <c r="J1040" s="8">
        <v>0.58915509259259258</v>
      </c>
      <c r="K1040" t="s">
        <v>984</v>
      </c>
      <c r="AQ1040" t="s">
        <v>1556</v>
      </c>
      <c r="AR1040" t="s">
        <v>1076</v>
      </c>
      <c r="BE1040" t="s">
        <v>274</v>
      </c>
    </row>
    <row r="1041" spans="1:57" ht="13" x14ac:dyDescent="0.15">
      <c r="A1041">
        <v>1839</v>
      </c>
      <c r="B1041">
        <v>38735830</v>
      </c>
      <c r="C1041" t="s">
        <v>274</v>
      </c>
      <c r="D1041" s="7">
        <v>41761</v>
      </c>
      <c r="E1041" s="7">
        <v>45699</v>
      </c>
      <c r="F1041">
        <v>336709</v>
      </c>
      <c r="G1041" t="s">
        <v>1074</v>
      </c>
      <c r="H1041" t="s">
        <v>28</v>
      </c>
      <c r="I1041" s="7">
        <v>45580</v>
      </c>
      <c r="J1041" s="8">
        <v>0.58920138888888884</v>
      </c>
      <c r="K1041" t="s">
        <v>984</v>
      </c>
      <c r="AQ1041" t="s">
        <v>1556</v>
      </c>
      <c r="AR1041" t="s">
        <v>1077</v>
      </c>
      <c r="BE1041" t="s">
        <v>274</v>
      </c>
    </row>
    <row r="1042" spans="1:57" ht="13" x14ac:dyDescent="0.15">
      <c r="A1042">
        <v>1839</v>
      </c>
      <c r="B1042">
        <v>38735830</v>
      </c>
      <c r="C1042" t="s">
        <v>274</v>
      </c>
      <c r="D1042" s="7">
        <v>41761</v>
      </c>
      <c r="E1042" s="7">
        <v>45699</v>
      </c>
      <c r="F1042">
        <v>336709</v>
      </c>
      <c r="G1042" t="s">
        <v>1074</v>
      </c>
      <c r="H1042" t="s">
        <v>28</v>
      </c>
      <c r="I1042" s="7">
        <v>45561</v>
      </c>
      <c r="J1042" s="8">
        <v>0.60076388888888888</v>
      </c>
      <c r="K1042" t="s">
        <v>984</v>
      </c>
      <c r="AQ1042" t="s">
        <v>1556</v>
      </c>
      <c r="AR1042" t="s">
        <v>1077</v>
      </c>
      <c r="BE1042" t="s">
        <v>274</v>
      </c>
    </row>
    <row r="1043" spans="1:57" ht="13" x14ac:dyDescent="0.15">
      <c r="A1043">
        <v>1839</v>
      </c>
      <c r="B1043">
        <v>40931334</v>
      </c>
      <c r="C1043" t="s">
        <v>275</v>
      </c>
      <c r="D1043" s="7">
        <v>41768</v>
      </c>
      <c r="E1043" s="7">
        <v>45710</v>
      </c>
      <c r="F1043">
        <v>330862</v>
      </c>
      <c r="G1043" t="s">
        <v>983</v>
      </c>
      <c r="H1043" t="s">
        <v>9</v>
      </c>
      <c r="I1043" s="7">
        <v>45694</v>
      </c>
      <c r="J1043" s="8">
        <v>0.37993055555555555</v>
      </c>
      <c r="K1043" t="s">
        <v>984</v>
      </c>
      <c r="AQ1043" t="s">
        <v>1090</v>
      </c>
      <c r="AR1043" t="s">
        <v>1066</v>
      </c>
      <c r="AT1043" t="s">
        <v>987</v>
      </c>
      <c r="AZ1043" t="s">
        <v>988</v>
      </c>
      <c r="BA1043" t="s">
        <v>989</v>
      </c>
      <c r="BB1043" t="s">
        <v>990</v>
      </c>
      <c r="BD1043" t="s">
        <v>991</v>
      </c>
      <c r="BE1043" t="s">
        <v>275</v>
      </c>
    </row>
    <row r="1044" spans="1:57" ht="13" x14ac:dyDescent="0.15">
      <c r="A1044">
        <v>1839</v>
      </c>
      <c r="B1044">
        <v>40978344</v>
      </c>
      <c r="C1044" t="s">
        <v>1560</v>
      </c>
      <c r="D1044" s="7">
        <v>41767</v>
      </c>
      <c r="E1044" s="7">
        <v>45629</v>
      </c>
      <c r="F1044">
        <v>330862</v>
      </c>
      <c r="G1044" t="s">
        <v>983</v>
      </c>
      <c r="H1044" t="s">
        <v>9</v>
      </c>
      <c r="I1044" s="7">
        <v>45616</v>
      </c>
      <c r="J1044" s="8">
        <v>0.57331018518518517</v>
      </c>
      <c r="K1044" t="s">
        <v>984</v>
      </c>
      <c r="AQ1044" t="s">
        <v>1090</v>
      </c>
      <c r="AR1044" t="s">
        <v>1287</v>
      </c>
      <c r="AT1044" t="s">
        <v>987</v>
      </c>
      <c r="AZ1044" t="s">
        <v>1011</v>
      </c>
      <c r="BA1044" t="s">
        <v>1103</v>
      </c>
      <c r="BB1044" t="s">
        <v>1032</v>
      </c>
      <c r="BD1044" t="s">
        <v>1005</v>
      </c>
      <c r="BE1044" t="s">
        <v>1560</v>
      </c>
    </row>
    <row r="1045" spans="1:57" ht="13" x14ac:dyDescent="0.15">
      <c r="A1045">
        <v>1839</v>
      </c>
      <c r="B1045">
        <v>40985103</v>
      </c>
      <c r="C1045" t="s">
        <v>276</v>
      </c>
      <c r="D1045" s="7">
        <v>41737</v>
      </c>
      <c r="E1045" s="7">
        <v>45694</v>
      </c>
      <c r="F1045">
        <v>330862</v>
      </c>
      <c r="G1045" t="s">
        <v>983</v>
      </c>
      <c r="H1045" t="s">
        <v>9</v>
      </c>
      <c r="I1045" s="7">
        <v>45641</v>
      </c>
      <c r="J1045" s="8">
        <v>0.90736111111111106</v>
      </c>
      <c r="K1045" t="s">
        <v>984</v>
      </c>
      <c r="AQ1045" t="s">
        <v>992</v>
      </c>
      <c r="AR1045" t="s">
        <v>1328</v>
      </c>
      <c r="AT1045" t="s">
        <v>987</v>
      </c>
      <c r="AZ1045" t="s">
        <v>1011</v>
      </c>
      <c r="BA1045" t="s">
        <v>1031</v>
      </c>
      <c r="BB1045" t="s">
        <v>1032</v>
      </c>
      <c r="BD1045" t="s">
        <v>1005</v>
      </c>
      <c r="BE1045" t="s">
        <v>276</v>
      </c>
    </row>
    <row r="1046" spans="1:57" ht="13" x14ac:dyDescent="0.15">
      <c r="A1046">
        <v>1839</v>
      </c>
      <c r="B1046">
        <v>40985103</v>
      </c>
      <c r="C1046" t="s">
        <v>276</v>
      </c>
      <c r="D1046" s="7">
        <v>41737</v>
      </c>
      <c r="E1046" s="7">
        <v>45694</v>
      </c>
      <c r="F1046">
        <v>330862</v>
      </c>
      <c r="G1046" t="s">
        <v>983</v>
      </c>
      <c r="H1046" t="s">
        <v>9</v>
      </c>
      <c r="I1046" s="7">
        <v>45694</v>
      </c>
      <c r="J1046" s="8">
        <v>0.53549768518518515</v>
      </c>
      <c r="K1046" t="s">
        <v>984</v>
      </c>
      <c r="AQ1046" t="s">
        <v>992</v>
      </c>
      <c r="AR1046" t="s">
        <v>986</v>
      </c>
      <c r="AT1046" t="s">
        <v>987</v>
      </c>
      <c r="AZ1046" t="s">
        <v>988</v>
      </c>
      <c r="BA1046" t="s">
        <v>989</v>
      </c>
      <c r="BB1046" t="s">
        <v>990</v>
      </c>
      <c r="BD1046" t="s">
        <v>991</v>
      </c>
      <c r="BE1046" t="s">
        <v>276</v>
      </c>
    </row>
    <row r="1047" spans="1:57" ht="13" x14ac:dyDescent="0.15">
      <c r="A1047">
        <v>1839</v>
      </c>
      <c r="B1047">
        <v>40985400</v>
      </c>
      <c r="C1047" t="s">
        <v>277</v>
      </c>
      <c r="D1047" s="7">
        <v>41746</v>
      </c>
      <c r="E1047" s="7">
        <v>45708</v>
      </c>
      <c r="F1047">
        <v>330862</v>
      </c>
      <c r="G1047" t="s">
        <v>983</v>
      </c>
      <c r="H1047" t="s">
        <v>9</v>
      </c>
      <c r="I1047" s="7">
        <v>45636</v>
      </c>
      <c r="J1047" s="8">
        <v>0.71229166666666666</v>
      </c>
      <c r="K1047" t="s">
        <v>984</v>
      </c>
      <c r="AQ1047" t="s">
        <v>992</v>
      </c>
      <c r="AR1047" t="s">
        <v>1096</v>
      </c>
      <c r="AT1047" t="s">
        <v>987</v>
      </c>
      <c r="AZ1047" t="s">
        <v>1011</v>
      </c>
      <c r="BA1047" t="s">
        <v>1031</v>
      </c>
      <c r="BB1047" t="s">
        <v>1032</v>
      </c>
      <c r="BD1047" t="s">
        <v>1005</v>
      </c>
      <c r="BE1047" t="s">
        <v>277</v>
      </c>
    </row>
    <row r="1048" spans="1:57" ht="13" x14ac:dyDescent="0.15">
      <c r="A1048">
        <v>1839</v>
      </c>
      <c r="B1048">
        <v>40985400</v>
      </c>
      <c r="C1048" t="s">
        <v>277</v>
      </c>
      <c r="D1048" s="7">
        <v>41746</v>
      </c>
      <c r="E1048" s="7">
        <v>45708</v>
      </c>
      <c r="F1048">
        <v>330862</v>
      </c>
      <c r="G1048" t="s">
        <v>983</v>
      </c>
      <c r="H1048" t="s">
        <v>9</v>
      </c>
      <c r="I1048" s="7">
        <v>45625</v>
      </c>
      <c r="J1048" s="8">
        <v>0.43789351851851854</v>
      </c>
      <c r="K1048" t="s">
        <v>984</v>
      </c>
      <c r="AQ1048" t="s">
        <v>992</v>
      </c>
      <c r="AR1048" t="s">
        <v>1054</v>
      </c>
      <c r="AT1048" t="s">
        <v>987</v>
      </c>
      <c r="AZ1048" t="s">
        <v>1028</v>
      </c>
      <c r="BA1048" t="s">
        <v>1029</v>
      </c>
      <c r="BB1048" t="s">
        <v>1018</v>
      </c>
      <c r="BD1048" t="s">
        <v>1022</v>
      </c>
      <c r="BE1048" t="s">
        <v>277</v>
      </c>
    </row>
    <row r="1049" spans="1:57" ht="13" x14ac:dyDescent="0.15">
      <c r="A1049">
        <v>1839</v>
      </c>
      <c r="B1049">
        <v>40985400</v>
      </c>
      <c r="C1049" t="s">
        <v>277</v>
      </c>
      <c r="D1049" s="7">
        <v>41746</v>
      </c>
      <c r="E1049" s="7">
        <v>45708</v>
      </c>
      <c r="F1049">
        <v>330862</v>
      </c>
      <c r="G1049" t="s">
        <v>983</v>
      </c>
      <c r="H1049" t="s">
        <v>9</v>
      </c>
      <c r="I1049" s="7">
        <v>45637</v>
      </c>
      <c r="J1049" s="8">
        <v>0.75746527777777772</v>
      </c>
      <c r="K1049" t="s">
        <v>984</v>
      </c>
      <c r="AQ1049" t="s">
        <v>992</v>
      </c>
      <c r="AR1049" t="s">
        <v>1249</v>
      </c>
      <c r="AT1049" t="s">
        <v>987</v>
      </c>
      <c r="AZ1049" t="s">
        <v>1024</v>
      </c>
      <c r="BA1049" t="s">
        <v>1025</v>
      </c>
      <c r="BB1049" t="s">
        <v>1026</v>
      </c>
      <c r="BD1049" t="s">
        <v>1022</v>
      </c>
      <c r="BE1049" t="s">
        <v>277</v>
      </c>
    </row>
    <row r="1050" spans="1:57" ht="13" x14ac:dyDescent="0.15">
      <c r="A1050">
        <v>1839</v>
      </c>
      <c r="B1050">
        <v>40985400</v>
      </c>
      <c r="C1050" t="s">
        <v>277</v>
      </c>
      <c r="D1050" s="7">
        <v>41746</v>
      </c>
      <c r="E1050" s="7">
        <v>45708</v>
      </c>
      <c r="F1050">
        <v>330862</v>
      </c>
      <c r="G1050" t="s">
        <v>983</v>
      </c>
      <c r="H1050" t="s">
        <v>9</v>
      </c>
      <c r="I1050" s="7">
        <v>45637</v>
      </c>
      <c r="J1050" s="8">
        <v>0.76138888888888889</v>
      </c>
      <c r="K1050" t="s">
        <v>984</v>
      </c>
      <c r="AQ1050" t="s">
        <v>992</v>
      </c>
      <c r="AR1050" t="s">
        <v>1179</v>
      </c>
      <c r="AT1050" t="s">
        <v>987</v>
      </c>
      <c r="AZ1050" t="s">
        <v>1020</v>
      </c>
      <c r="BA1050" t="s">
        <v>1021</v>
      </c>
      <c r="BB1050" t="s">
        <v>1018</v>
      </c>
      <c r="BD1050" t="s">
        <v>1022</v>
      </c>
      <c r="BE1050" t="s">
        <v>277</v>
      </c>
    </row>
    <row r="1051" spans="1:57" ht="13" x14ac:dyDescent="0.15">
      <c r="A1051">
        <v>1839</v>
      </c>
      <c r="B1051">
        <v>40985400</v>
      </c>
      <c r="C1051" t="s">
        <v>277</v>
      </c>
      <c r="D1051" s="7">
        <v>41746</v>
      </c>
      <c r="E1051" s="7">
        <v>45708</v>
      </c>
      <c r="F1051">
        <v>330862</v>
      </c>
      <c r="G1051" t="s">
        <v>983</v>
      </c>
      <c r="H1051" t="s">
        <v>9</v>
      </c>
      <c r="I1051" s="7">
        <v>45637</v>
      </c>
      <c r="J1051" s="8">
        <v>0.76571759259259264</v>
      </c>
      <c r="K1051" t="s">
        <v>984</v>
      </c>
      <c r="AQ1051" t="s">
        <v>992</v>
      </c>
      <c r="AR1051" t="s">
        <v>1561</v>
      </c>
      <c r="AT1051" t="s">
        <v>987</v>
      </c>
      <c r="AZ1051" t="s">
        <v>1002</v>
      </c>
      <c r="BA1051" t="s">
        <v>1124</v>
      </c>
      <c r="BB1051" t="s">
        <v>1125</v>
      </c>
      <c r="BD1051" t="s">
        <v>1005</v>
      </c>
      <c r="BE1051" t="s">
        <v>277</v>
      </c>
    </row>
    <row r="1052" spans="1:57" ht="13" x14ac:dyDescent="0.15">
      <c r="A1052">
        <v>1839</v>
      </c>
      <c r="B1052">
        <v>40985400</v>
      </c>
      <c r="C1052" t="s">
        <v>277</v>
      </c>
      <c r="D1052" s="7">
        <v>41746</v>
      </c>
      <c r="E1052" s="7">
        <v>45708</v>
      </c>
      <c r="F1052">
        <v>330862</v>
      </c>
      <c r="G1052" t="s">
        <v>983</v>
      </c>
      <c r="H1052" t="s">
        <v>9</v>
      </c>
      <c r="I1052" s="7">
        <v>45638</v>
      </c>
      <c r="J1052" s="8">
        <v>0.43606481481481479</v>
      </c>
      <c r="K1052" t="s">
        <v>984</v>
      </c>
      <c r="AQ1052" t="s">
        <v>992</v>
      </c>
      <c r="AR1052" t="s">
        <v>1094</v>
      </c>
      <c r="AT1052" t="s">
        <v>987</v>
      </c>
      <c r="AZ1052" t="s">
        <v>1024</v>
      </c>
      <c r="BA1052" t="s">
        <v>1025</v>
      </c>
      <c r="BB1052" t="s">
        <v>1026</v>
      </c>
      <c r="BD1052" t="s">
        <v>1022</v>
      </c>
      <c r="BE1052" t="s">
        <v>277</v>
      </c>
    </row>
    <row r="1053" spans="1:57" ht="13" x14ac:dyDescent="0.15">
      <c r="A1053">
        <v>1839</v>
      </c>
      <c r="B1053">
        <v>40985400</v>
      </c>
      <c r="C1053" t="s">
        <v>277</v>
      </c>
      <c r="D1053" s="7">
        <v>41746</v>
      </c>
      <c r="E1053" s="7">
        <v>45708</v>
      </c>
      <c r="F1053">
        <v>330862</v>
      </c>
      <c r="G1053" t="s">
        <v>983</v>
      </c>
      <c r="H1053" t="s">
        <v>9</v>
      </c>
      <c r="I1053" s="7">
        <v>45681</v>
      </c>
      <c r="J1053" s="8">
        <v>0.73443287037037042</v>
      </c>
      <c r="K1053" t="s">
        <v>984</v>
      </c>
      <c r="AQ1053" t="s">
        <v>992</v>
      </c>
      <c r="AR1053" t="s">
        <v>1562</v>
      </c>
      <c r="AT1053" t="s">
        <v>987</v>
      </c>
      <c r="AZ1053" t="s">
        <v>1044</v>
      </c>
      <c r="BA1053" t="s">
        <v>1045</v>
      </c>
      <c r="BB1053" t="s">
        <v>990</v>
      </c>
      <c r="BD1053" t="s">
        <v>991</v>
      </c>
      <c r="BE1053" t="s">
        <v>277</v>
      </c>
    </row>
    <row r="1054" spans="1:57" ht="13" x14ac:dyDescent="0.15">
      <c r="A1054">
        <v>1839</v>
      </c>
      <c r="B1054">
        <v>40985400</v>
      </c>
      <c r="C1054" t="s">
        <v>277</v>
      </c>
      <c r="D1054" s="7">
        <v>41746</v>
      </c>
      <c r="E1054" s="7">
        <v>45708</v>
      </c>
      <c r="F1054">
        <v>330862</v>
      </c>
      <c r="G1054" t="s">
        <v>983</v>
      </c>
      <c r="H1054" t="s">
        <v>9</v>
      </c>
      <c r="I1054" s="7">
        <v>45681</v>
      </c>
      <c r="J1054" s="8">
        <v>0.35238425925925926</v>
      </c>
      <c r="K1054" t="s">
        <v>984</v>
      </c>
      <c r="AQ1054" t="s">
        <v>992</v>
      </c>
      <c r="AR1054" t="s">
        <v>1563</v>
      </c>
      <c r="AT1054" t="s">
        <v>987</v>
      </c>
      <c r="AZ1054" t="s">
        <v>1002</v>
      </c>
      <c r="BA1054" t="s">
        <v>1003</v>
      </c>
      <c r="BB1054" t="s">
        <v>1004</v>
      </c>
      <c r="BD1054" t="s">
        <v>1005</v>
      </c>
      <c r="BE1054" t="s">
        <v>277</v>
      </c>
    </row>
    <row r="1055" spans="1:57" ht="13" x14ac:dyDescent="0.15">
      <c r="A1055">
        <v>1839</v>
      </c>
      <c r="B1055">
        <v>40985400</v>
      </c>
      <c r="C1055" t="s">
        <v>277</v>
      </c>
      <c r="D1055" s="7">
        <v>41746</v>
      </c>
      <c r="E1055" s="7">
        <v>45708</v>
      </c>
      <c r="F1055">
        <v>330862</v>
      </c>
      <c r="G1055" t="s">
        <v>983</v>
      </c>
      <c r="H1055" t="s">
        <v>9</v>
      </c>
      <c r="I1055" s="7">
        <v>45695</v>
      </c>
      <c r="J1055" s="8">
        <v>0.61325231481481479</v>
      </c>
      <c r="K1055" t="s">
        <v>984</v>
      </c>
      <c r="AQ1055" t="s">
        <v>992</v>
      </c>
      <c r="AR1055" t="s">
        <v>994</v>
      </c>
      <c r="AT1055" t="s">
        <v>987</v>
      </c>
      <c r="AZ1055" t="s">
        <v>1011</v>
      </c>
      <c r="BA1055" t="s">
        <v>1012</v>
      </c>
      <c r="BB1055" t="s">
        <v>1013</v>
      </c>
      <c r="BD1055" t="s">
        <v>1014</v>
      </c>
      <c r="BE1055" t="s">
        <v>277</v>
      </c>
    </row>
    <row r="1056" spans="1:57" ht="13" x14ac:dyDescent="0.15">
      <c r="A1056">
        <v>1839</v>
      </c>
      <c r="B1056">
        <v>40985400</v>
      </c>
      <c r="C1056" t="s">
        <v>277</v>
      </c>
      <c r="D1056" s="7">
        <v>41746</v>
      </c>
      <c r="E1056" s="7">
        <v>45708</v>
      </c>
      <c r="F1056">
        <v>330862</v>
      </c>
      <c r="G1056" t="s">
        <v>983</v>
      </c>
      <c r="H1056" t="s">
        <v>9</v>
      </c>
      <c r="I1056" s="7">
        <v>45695</v>
      </c>
      <c r="J1056" s="8">
        <v>0.57663194444444443</v>
      </c>
      <c r="K1056" t="s">
        <v>984</v>
      </c>
      <c r="AQ1056" t="s">
        <v>992</v>
      </c>
      <c r="AR1056" t="s">
        <v>993</v>
      </c>
      <c r="AT1056" t="s">
        <v>987</v>
      </c>
      <c r="AZ1056" t="s">
        <v>988</v>
      </c>
      <c r="BA1056" t="s">
        <v>989</v>
      </c>
      <c r="BB1056" t="s">
        <v>990</v>
      </c>
      <c r="BD1056" t="s">
        <v>991</v>
      </c>
      <c r="BE1056" t="s">
        <v>277</v>
      </c>
    </row>
    <row r="1057" spans="1:57" ht="13" x14ac:dyDescent="0.15">
      <c r="A1057">
        <v>1839</v>
      </c>
      <c r="B1057">
        <v>40985400</v>
      </c>
      <c r="C1057" t="s">
        <v>277</v>
      </c>
      <c r="D1057" s="7">
        <v>41746</v>
      </c>
      <c r="E1057" s="7">
        <v>45708</v>
      </c>
      <c r="F1057">
        <v>330862</v>
      </c>
      <c r="G1057" t="s">
        <v>983</v>
      </c>
      <c r="H1057" t="s">
        <v>9</v>
      </c>
      <c r="I1057" s="7">
        <v>45636</v>
      </c>
      <c r="J1057" s="8">
        <v>0.71437499999999998</v>
      </c>
      <c r="K1057" t="s">
        <v>984</v>
      </c>
      <c r="AQ1057" t="s">
        <v>992</v>
      </c>
      <c r="AR1057" t="s">
        <v>1096</v>
      </c>
      <c r="AT1057" t="s">
        <v>987</v>
      </c>
      <c r="AZ1057" t="s">
        <v>1011</v>
      </c>
      <c r="BA1057" t="s">
        <v>1031</v>
      </c>
      <c r="BB1057" t="s">
        <v>1032</v>
      </c>
      <c r="BD1057" t="s">
        <v>1005</v>
      </c>
      <c r="BE1057" t="s">
        <v>277</v>
      </c>
    </row>
    <row r="1058" spans="1:57" ht="13" x14ac:dyDescent="0.15">
      <c r="A1058">
        <v>1839</v>
      </c>
      <c r="B1058">
        <v>40985400</v>
      </c>
      <c r="C1058" t="s">
        <v>277</v>
      </c>
      <c r="D1058" s="7">
        <v>41746</v>
      </c>
      <c r="E1058" s="7">
        <v>45708</v>
      </c>
      <c r="F1058">
        <v>330862</v>
      </c>
      <c r="G1058" t="s">
        <v>983</v>
      </c>
      <c r="H1058" t="s">
        <v>9</v>
      </c>
      <c r="I1058" s="7">
        <v>45616</v>
      </c>
      <c r="J1058" s="8">
        <v>0.65989583333333335</v>
      </c>
      <c r="K1058" t="s">
        <v>984</v>
      </c>
      <c r="AQ1058" t="s">
        <v>992</v>
      </c>
      <c r="AR1058" t="s">
        <v>1399</v>
      </c>
      <c r="AT1058" t="s">
        <v>987</v>
      </c>
      <c r="AZ1058" t="s">
        <v>1011</v>
      </c>
      <c r="BA1058" t="s">
        <v>1103</v>
      </c>
      <c r="BB1058" t="s">
        <v>1032</v>
      </c>
      <c r="BD1058" t="s">
        <v>1005</v>
      </c>
      <c r="BE1058" t="s">
        <v>277</v>
      </c>
    </row>
    <row r="1059" spans="1:57" ht="13" x14ac:dyDescent="0.15">
      <c r="A1059">
        <v>1839</v>
      </c>
      <c r="B1059">
        <v>40985400</v>
      </c>
      <c r="C1059" t="s">
        <v>277</v>
      </c>
      <c r="D1059" s="7">
        <v>41746</v>
      </c>
      <c r="E1059" s="7">
        <v>45708</v>
      </c>
      <c r="F1059">
        <v>330862</v>
      </c>
      <c r="G1059" t="s">
        <v>983</v>
      </c>
      <c r="H1059" t="s">
        <v>9</v>
      </c>
      <c r="I1059" s="7">
        <v>45624</v>
      </c>
      <c r="J1059" s="8">
        <v>0.36459490740740741</v>
      </c>
      <c r="K1059" t="s">
        <v>984</v>
      </c>
      <c r="AQ1059" t="s">
        <v>992</v>
      </c>
      <c r="AR1059" t="s">
        <v>1053</v>
      </c>
      <c r="AT1059" t="s">
        <v>987</v>
      </c>
      <c r="AZ1059" t="s">
        <v>1055</v>
      </c>
      <c r="BA1059" t="s">
        <v>1056</v>
      </c>
      <c r="BB1059" t="s">
        <v>1013</v>
      </c>
      <c r="BD1059" t="s">
        <v>1022</v>
      </c>
      <c r="BE1059" t="s">
        <v>277</v>
      </c>
    </row>
    <row r="1060" spans="1:57" ht="13" x14ac:dyDescent="0.15">
      <c r="A1060">
        <v>1839</v>
      </c>
      <c r="B1060">
        <v>40986110</v>
      </c>
      <c r="C1060" t="s">
        <v>278</v>
      </c>
      <c r="D1060" s="7">
        <v>41712</v>
      </c>
      <c r="E1060" s="7">
        <v>45694</v>
      </c>
      <c r="F1060">
        <v>330862</v>
      </c>
      <c r="G1060" t="s">
        <v>983</v>
      </c>
      <c r="H1060" t="s">
        <v>9</v>
      </c>
      <c r="I1060" s="7">
        <v>45694</v>
      </c>
      <c r="J1060" s="8">
        <v>0.49005787037037035</v>
      </c>
      <c r="K1060" t="s">
        <v>984</v>
      </c>
      <c r="AQ1060" t="s">
        <v>992</v>
      </c>
      <c r="AR1060" t="s">
        <v>993</v>
      </c>
      <c r="AT1060" t="s">
        <v>987</v>
      </c>
      <c r="AZ1060" t="s">
        <v>988</v>
      </c>
      <c r="BA1060" t="s">
        <v>989</v>
      </c>
      <c r="BB1060" t="s">
        <v>990</v>
      </c>
      <c r="BD1060" t="s">
        <v>991</v>
      </c>
      <c r="BE1060" t="s">
        <v>278</v>
      </c>
    </row>
    <row r="1061" spans="1:57" ht="13" x14ac:dyDescent="0.15">
      <c r="A1061">
        <v>1839</v>
      </c>
      <c r="B1061">
        <v>47173578</v>
      </c>
      <c r="C1061" t="s">
        <v>279</v>
      </c>
      <c r="D1061" s="7">
        <v>41805</v>
      </c>
      <c r="E1061" s="7">
        <v>45695</v>
      </c>
      <c r="F1061">
        <v>330862</v>
      </c>
      <c r="G1061" t="s">
        <v>983</v>
      </c>
      <c r="H1061" t="s">
        <v>9</v>
      </c>
      <c r="I1061" s="7">
        <v>45674</v>
      </c>
      <c r="J1061" s="8">
        <v>0.75280092592592596</v>
      </c>
      <c r="K1061" t="s">
        <v>984</v>
      </c>
      <c r="AQ1061" t="s">
        <v>1273</v>
      </c>
      <c r="AR1061" t="s">
        <v>1095</v>
      </c>
      <c r="AT1061" t="s">
        <v>987</v>
      </c>
      <c r="AZ1061" t="s">
        <v>1002</v>
      </c>
      <c r="BA1061" t="s">
        <v>1003</v>
      </c>
      <c r="BB1061" t="s">
        <v>1004</v>
      </c>
      <c r="BD1061" t="s">
        <v>1005</v>
      </c>
      <c r="BE1061" t="s">
        <v>279</v>
      </c>
    </row>
    <row r="1062" spans="1:57" ht="13" x14ac:dyDescent="0.15">
      <c r="A1062">
        <v>1839</v>
      </c>
      <c r="B1062">
        <v>48608602</v>
      </c>
      <c r="C1062" t="s">
        <v>1564</v>
      </c>
      <c r="D1062" s="7">
        <v>41841</v>
      </c>
      <c r="E1062" s="7">
        <v>45706</v>
      </c>
      <c r="F1062">
        <v>330862</v>
      </c>
      <c r="G1062" t="s">
        <v>983</v>
      </c>
      <c r="H1062" t="s">
        <v>9</v>
      </c>
      <c r="I1062" s="7">
        <v>45616</v>
      </c>
      <c r="J1062" s="8">
        <v>0.81497685185185187</v>
      </c>
      <c r="K1062" t="s">
        <v>984</v>
      </c>
      <c r="AQ1062" t="s">
        <v>992</v>
      </c>
      <c r="AR1062" t="s">
        <v>1268</v>
      </c>
      <c r="AT1062" t="s">
        <v>987</v>
      </c>
      <c r="AZ1062" t="s">
        <v>1055</v>
      </c>
      <c r="BA1062" t="s">
        <v>1056</v>
      </c>
      <c r="BB1062" t="s">
        <v>1013</v>
      </c>
      <c r="BD1062" t="s">
        <v>1022</v>
      </c>
      <c r="BE1062" t="s">
        <v>1564</v>
      </c>
    </row>
    <row r="1063" spans="1:57" ht="13" x14ac:dyDescent="0.15">
      <c r="A1063">
        <v>1839</v>
      </c>
      <c r="B1063">
        <v>48608602</v>
      </c>
      <c r="C1063" t="s">
        <v>1564</v>
      </c>
      <c r="D1063" s="7">
        <v>41841</v>
      </c>
      <c r="E1063" s="7">
        <v>45706</v>
      </c>
      <c r="F1063">
        <v>330862</v>
      </c>
      <c r="G1063" t="s">
        <v>983</v>
      </c>
      <c r="H1063" t="s">
        <v>9</v>
      </c>
      <c r="I1063" s="7">
        <v>45616</v>
      </c>
      <c r="J1063" s="8">
        <v>0.81206018518518519</v>
      </c>
      <c r="K1063" t="s">
        <v>984</v>
      </c>
      <c r="AQ1063" t="s">
        <v>992</v>
      </c>
      <c r="AR1063" t="s">
        <v>1378</v>
      </c>
      <c r="AT1063" t="s">
        <v>987</v>
      </c>
      <c r="AZ1063" t="s">
        <v>1011</v>
      </c>
      <c r="BA1063" t="s">
        <v>1103</v>
      </c>
      <c r="BB1063" t="s">
        <v>1032</v>
      </c>
      <c r="BD1063" t="s">
        <v>1005</v>
      </c>
      <c r="BE1063" t="s">
        <v>1564</v>
      </c>
    </row>
    <row r="1064" spans="1:57" ht="13" x14ac:dyDescent="0.15">
      <c r="A1064">
        <v>1839</v>
      </c>
      <c r="B1064">
        <v>49033409</v>
      </c>
      <c r="C1064" t="s">
        <v>280</v>
      </c>
      <c r="D1064" s="7">
        <v>41855</v>
      </c>
      <c r="E1064" s="7">
        <v>45709</v>
      </c>
      <c r="F1064">
        <v>330862</v>
      </c>
      <c r="G1064" t="s">
        <v>983</v>
      </c>
      <c r="H1064" t="s">
        <v>9</v>
      </c>
      <c r="I1064" s="7">
        <v>45674</v>
      </c>
      <c r="J1064" s="8">
        <v>0.70876157407407403</v>
      </c>
      <c r="K1064" t="s">
        <v>984</v>
      </c>
      <c r="AQ1064" t="s">
        <v>1089</v>
      </c>
      <c r="AR1064" t="s">
        <v>1107</v>
      </c>
      <c r="AT1064" t="s">
        <v>987</v>
      </c>
      <c r="AZ1064" t="s">
        <v>1007</v>
      </c>
      <c r="BA1064" t="s">
        <v>1008</v>
      </c>
      <c r="BB1064" t="s">
        <v>990</v>
      </c>
      <c r="BD1064" t="s">
        <v>1005</v>
      </c>
      <c r="BE1064" t="s">
        <v>280</v>
      </c>
    </row>
    <row r="1065" spans="1:57" ht="13" x14ac:dyDescent="0.15">
      <c r="A1065">
        <v>1839</v>
      </c>
      <c r="B1065">
        <v>49033409</v>
      </c>
      <c r="C1065" t="s">
        <v>280</v>
      </c>
      <c r="D1065" s="7">
        <v>41855</v>
      </c>
      <c r="E1065" s="7">
        <v>45709</v>
      </c>
      <c r="F1065">
        <v>330862</v>
      </c>
      <c r="G1065" t="s">
        <v>983</v>
      </c>
      <c r="H1065" t="s">
        <v>9</v>
      </c>
      <c r="I1065" s="7">
        <v>45674</v>
      </c>
      <c r="J1065" s="8">
        <v>0.7152546296296296</v>
      </c>
      <c r="K1065" t="s">
        <v>984</v>
      </c>
      <c r="AQ1065" t="s">
        <v>1089</v>
      </c>
      <c r="AR1065" t="s">
        <v>1095</v>
      </c>
      <c r="AT1065" t="s">
        <v>987</v>
      </c>
      <c r="AZ1065" t="s">
        <v>1002</v>
      </c>
      <c r="BA1065" t="s">
        <v>1003</v>
      </c>
      <c r="BB1065" t="s">
        <v>1004</v>
      </c>
      <c r="BD1065" t="s">
        <v>1005</v>
      </c>
      <c r="BE1065" t="s">
        <v>280</v>
      </c>
    </row>
    <row r="1066" spans="1:57" ht="13" x14ac:dyDescent="0.15">
      <c r="A1066">
        <v>1839</v>
      </c>
      <c r="B1066">
        <v>49033409</v>
      </c>
      <c r="C1066" t="s">
        <v>280</v>
      </c>
      <c r="D1066" s="7">
        <v>41855</v>
      </c>
      <c r="E1066" s="7">
        <v>45709</v>
      </c>
      <c r="F1066">
        <v>330862</v>
      </c>
      <c r="G1066" t="s">
        <v>983</v>
      </c>
      <c r="H1066" t="s">
        <v>9</v>
      </c>
      <c r="I1066" s="7">
        <v>45674</v>
      </c>
      <c r="J1066" s="8">
        <v>0.6888657407407407</v>
      </c>
      <c r="K1066" t="s">
        <v>984</v>
      </c>
      <c r="AQ1066" t="s">
        <v>1089</v>
      </c>
      <c r="AR1066" t="s">
        <v>1095</v>
      </c>
      <c r="AT1066" t="s">
        <v>987</v>
      </c>
      <c r="AZ1066" t="s">
        <v>1002</v>
      </c>
      <c r="BA1066" t="s">
        <v>1003</v>
      </c>
      <c r="BB1066" t="s">
        <v>1004</v>
      </c>
      <c r="BD1066" t="s">
        <v>1005</v>
      </c>
      <c r="BE1066" t="s">
        <v>280</v>
      </c>
    </row>
    <row r="1067" spans="1:57" ht="13" x14ac:dyDescent="0.15">
      <c r="A1067">
        <v>1839</v>
      </c>
      <c r="B1067">
        <v>49033409</v>
      </c>
      <c r="C1067" t="s">
        <v>280</v>
      </c>
      <c r="D1067" s="7">
        <v>41855</v>
      </c>
      <c r="E1067" s="7">
        <v>45709</v>
      </c>
      <c r="F1067">
        <v>330862</v>
      </c>
      <c r="G1067" t="s">
        <v>983</v>
      </c>
      <c r="H1067" t="s">
        <v>9</v>
      </c>
      <c r="I1067" s="7">
        <v>45677</v>
      </c>
      <c r="J1067" s="8">
        <v>0.71278935185185188</v>
      </c>
      <c r="K1067" t="s">
        <v>984</v>
      </c>
      <c r="AQ1067" t="s">
        <v>1089</v>
      </c>
      <c r="AR1067" t="s">
        <v>1083</v>
      </c>
      <c r="AT1067" t="s">
        <v>987</v>
      </c>
      <c r="BE1067" t="s">
        <v>280</v>
      </c>
    </row>
    <row r="1068" spans="1:57" ht="13" x14ac:dyDescent="0.15">
      <c r="A1068">
        <v>1839</v>
      </c>
      <c r="B1068">
        <v>49420957</v>
      </c>
      <c r="C1068" t="s">
        <v>281</v>
      </c>
      <c r="D1068" s="7">
        <v>41871</v>
      </c>
      <c r="E1068" s="7">
        <v>45701</v>
      </c>
      <c r="F1068">
        <v>330862</v>
      </c>
      <c r="G1068" t="s">
        <v>983</v>
      </c>
      <c r="H1068" t="s">
        <v>9</v>
      </c>
      <c r="I1068" s="7">
        <v>45672</v>
      </c>
      <c r="J1068" s="8">
        <v>0.7333912037037037</v>
      </c>
      <c r="K1068" t="s">
        <v>984</v>
      </c>
      <c r="AQ1068" t="s">
        <v>1090</v>
      </c>
      <c r="AR1068" t="s">
        <v>1565</v>
      </c>
      <c r="AT1068" t="s">
        <v>987</v>
      </c>
      <c r="AZ1068" t="s">
        <v>1016</v>
      </c>
      <c r="BA1068" t="s">
        <v>1017</v>
      </c>
      <c r="BB1068" t="s">
        <v>1018</v>
      </c>
      <c r="BD1068" t="s">
        <v>991</v>
      </c>
      <c r="BE1068" t="s">
        <v>281</v>
      </c>
    </row>
    <row r="1069" spans="1:57" ht="13" x14ac:dyDescent="0.15">
      <c r="A1069">
        <v>1839</v>
      </c>
      <c r="B1069">
        <v>49420957</v>
      </c>
      <c r="C1069" t="s">
        <v>281</v>
      </c>
      <c r="D1069" s="7">
        <v>41871</v>
      </c>
      <c r="E1069" s="7">
        <v>45701</v>
      </c>
      <c r="F1069">
        <v>330862</v>
      </c>
      <c r="G1069" t="s">
        <v>983</v>
      </c>
      <c r="H1069" t="s">
        <v>9</v>
      </c>
      <c r="I1069" s="7">
        <v>45694</v>
      </c>
      <c r="J1069" s="8">
        <v>0.45083333333333331</v>
      </c>
      <c r="K1069" t="s">
        <v>984</v>
      </c>
      <c r="AQ1069" t="s">
        <v>1090</v>
      </c>
      <c r="AR1069" t="s">
        <v>1109</v>
      </c>
      <c r="AT1069" t="s">
        <v>987</v>
      </c>
      <c r="AZ1069" t="s">
        <v>988</v>
      </c>
      <c r="BA1069" t="s">
        <v>989</v>
      </c>
      <c r="BB1069" t="s">
        <v>990</v>
      </c>
      <c r="BD1069" t="s">
        <v>991</v>
      </c>
      <c r="BE1069" t="s">
        <v>281</v>
      </c>
    </row>
    <row r="1070" spans="1:57" ht="13" x14ac:dyDescent="0.15">
      <c r="A1070">
        <v>1839</v>
      </c>
      <c r="B1070">
        <v>49481600</v>
      </c>
      <c r="C1070" t="s">
        <v>282</v>
      </c>
      <c r="D1070" s="7">
        <v>41874</v>
      </c>
      <c r="E1070" s="7">
        <v>45710</v>
      </c>
      <c r="F1070">
        <v>330862</v>
      </c>
      <c r="G1070" t="s">
        <v>983</v>
      </c>
      <c r="H1070" t="s">
        <v>9</v>
      </c>
      <c r="I1070" s="7">
        <v>45677</v>
      </c>
      <c r="J1070" s="8">
        <v>0.65878472222222217</v>
      </c>
      <c r="K1070" t="s">
        <v>984</v>
      </c>
      <c r="AQ1070" t="s">
        <v>1090</v>
      </c>
      <c r="AR1070" t="s">
        <v>1050</v>
      </c>
      <c r="AT1070" t="s">
        <v>987</v>
      </c>
      <c r="AZ1070" t="s">
        <v>1011</v>
      </c>
      <c r="BA1070" t="s">
        <v>1012</v>
      </c>
      <c r="BB1070" t="s">
        <v>1013</v>
      </c>
      <c r="BD1070" t="s">
        <v>1014</v>
      </c>
      <c r="BE1070" t="s">
        <v>282</v>
      </c>
    </row>
    <row r="1071" spans="1:57" ht="13" x14ac:dyDescent="0.15">
      <c r="A1071">
        <v>1839</v>
      </c>
      <c r="B1071">
        <v>49507115</v>
      </c>
      <c r="C1071" t="s">
        <v>1566</v>
      </c>
      <c r="D1071" s="7">
        <v>41877</v>
      </c>
      <c r="E1071" s="7">
        <v>45636</v>
      </c>
      <c r="F1071">
        <v>330862</v>
      </c>
      <c r="G1071" t="s">
        <v>983</v>
      </c>
      <c r="H1071" t="s">
        <v>9</v>
      </c>
      <c r="I1071" s="7">
        <v>45616</v>
      </c>
      <c r="J1071" s="8">
        <v>0.56467592592592597</v>
      </c>
      <c r="K1071" t="s">
        <v>984</v>
      </c>
      <c r="AQ1071" t="s">
        <v>992</v>
      </c>
      <c r="AR1071" t="s">
        <v>1104</v>
      </c>
      <c r="AT1071" t="s">
        <v>987</v>
      </c>
      <c r="AZ1071" t="s">
        <v>1055</v>
      </c>
      <c r="BA1071" t="s">
        <v>1056</v>
      </c>
      <c r="BB1071" t="s">
        <v>1013</v>
      </c>
      <c r="BD1071" t="s">
        <v>1022</v>
      </c>
      <c r="BE1071" t="s">
        <v>1566</v>
      </c>
    </row>
    <row r="1072" spans="1:57" ht="13" x14ac:dyDescent="0.15">
      <c r="A1072">
        <v>1839</v>
      </c>
      <c r="B1072">
        <v>49507115</v>
      </c>
      <c r="C1072" t="s">
        <v>1566</v>
      </c>
      <c r="D1072" s="7">
        <v>41877</v>
      </c>
      <c r="E1072" s="7">
        <v>45636</v>
      </c>
      <c r="F1072">
        <v>330862</v>
      </c>
      <c r="G1072" t="s">
        <v>983</v>
      </c>
      <c r="H1072" t="s">
        <v>9</v>
      </c>
      <c r="I1072" s="7">
        <v>45636</v>
      </c>
      <c r="J1072" s="8">
        <v>0.4763310185185185</v>
      </c>
      <c r="K1072" t="s">
        <v>984</v>
      </c>
      <c r="AQ1072" t="s">
        <v>992</v>
      </c>
      <c r="AR1072" t="s">
        <v>1262</v>
      </c>
      <c r="AT1072" t="s">
        <v>987</v>
      </c>
      <c r="AZ1072" t="s">
        <v>1028</v>
      </c>
      <c r="BA1072" t="s">
        <v>1029</v>
      </c>
      <c r="BB1072" t="s">
        <v>1018</v>
      </c>
      <c r="BD1072" t="s">
        <v>1022</v>
      </c>
      <c r="BE1072" t="s">
        <v>1566</v>
      </c>
    </row>
    <row r="1073" spans="1:57" ht="13" x14ac:dyDescent="0.15">
      <c r="A1073">
        <v>1839</v>
      </c>
      <c r="B1073">
        <v>50432820</v>
      </c>
      <c r="C1073" t="s">
        <v>283</v>
      </c>
      <c r="D1073" s="7">
        <v>41899</v>
      </c>
      <c r="E1073" s="7">
        <v>45708</v>
      </c>
      <c r="F1073">
        <v>330862</v>
      </c>
      <c r="G1073" t="s">
        <v>983</v>
      </c>
      <c r="H1073" t="s">
        <v>9</v>
      </c>
      <c r="I1073" s="7">
        <v>45706</v>
      </c>
      <c r="J1073" s="8">
        <v>0.18266203703703704</v>
      </c>
      <c r="K1073" t="s">
        <v>984</v>
      </c>
      <c r="AQ1073" t="s">
        <v>998</v>
      </c>
      <c r="AR1073" t="s">
        <v>1567</v>
      </c>
      <c r="AT1073" t="s">
        <v>987</v>
      </c>
      <c r="AZ1073" t="s">
        <v>988</v>
      </c>
      <c r="BA1073" t="s">
        <v>989</v>
      </c>
      <c r="BB1073" t="s">
        <v>990</v>
      </c>
      <c r="BD1073" t="s">
        <v>991</v>
      </c>
      <c r="BE1073" t="s">
        <v>283</v>
      </c>
    </row>
    <row r="1074" spans="1:57" ht="13" x14ac:dyDescent="0.15">
      <c r="A1074">
        <v>1839</v>
      </c>
      <c r="B1074">
        <v>50629549</v>
      </c>
      <c r="C1074" t="s">
        <v>284</v>
      </c>
      <c r="D1074" s="7">
        <v>41904</v>
      </c>
      <c r="E1074" s="7">
        <v>45712</v>
      </c>
      <c r="F1074">
        <v>330862</v>
      </c>
      <c r="G1074" t="s">
        <v>983</v>
      </c>
      <c r="H1074" t="s">
        <v>9</v>
      </c>
      <c r="I1074" s="7">
        <v>45678</v>
      </c>
      <c r="J1074" s="8">
        <v>0.52495370370370376</v>
      </c>
      <c r="K1074" t="s">
        <v>984</v>
      </c>
      <c r="AQ1074" t="s">
        <v>985</v>
      </c>
      <c r="AR1074" t="s">
        <v>1361</v>
      </c>
      <c r="AT1074" t="s">
        <v>987</v>
      </c>
      <c r="AZ1074" t="s">
        <v>1044</v>
      </c>
      <c r="BA1074" t="s">
        <v>1045</v>
      </c>
      <c r="BB1074" t="s">
        <v>990</v>
      </c>
      <c r="BD1074" t="s">
        <v>991</v>
      </c>
      <c r="BE1074" t="s">
        <v>284</v>
      </c>
    </row>
    <row r="1075" spans="1:57" ht="13" x14ac:dyDescent="0.15">
      <c r="A1075">
        <v>1839</v>
      </c>
      <c r="B1075">
        <v>50629549</v>
      </c>
      <c r="C1075" t="s">
        <v>284</v>
      </c>
      <c r="D1075" s="7">
        <v>41904</v>
      </c>
      <c r="E1075" s="7">
        <v>45712</v>
      </c>
      <c r="F1075">
        <v>330862</v>
      </c>
      <c r="G1075" t="s">
        <v>983</v>
      </c>
      <c r="H1075" t="s">
        <v>9</v>
      </c>
      <c r="I1075" s="7">
        <v>45614</v>
      </c>
      <c r="J1075" s="8">
        <v>0.74372685185185183</v>
      </c>
      <c r="K1075" t="s">
        <v>984</v>
      </c>
      <c r="AQ1075" t="s">
        <v>1366</v>
      </c>
      <c r="AR1075" t="s">
        <v>1568</v>
      </c>
      <c r="AT1075" t="s">
        <v>987</v>
      </c>
      <c r="BE1075" t="s">
        <v>284</v>
      </c>
    </row>
    <row r="1076" spans="1:57" ht="13" x14ac:dyDescent="0.15">
      <c r="A1076">
        <v>1839</v>
      </c>
      <c r="B1076">
        <v>50629549</v>
      </c>
      <c r="C1076" t="s">
        <v>284</v>
      </c>
      <c r="D1076" s="7">
        <v>41904</v>
      </c>
      <c r="E1076" s="7">
        <v>45712</v>
      </c>
      <c r="F1076">
        <v>330862</v>
      </c>
      <c r="G1076" t="s">
        <v>983</v>
      </c>
      <c r="H1076" t="s">
        <v>9</v>
      </c>
      <c r="I1076" s="7">
        <v>45712</v>
      </c>
      <c r="J1076" s="8">
        <v>0.52964120370370371</v>
      </c>
      <c r="K1076" t="s">
        <v>984</v>
      </c>
      <c r="AQ1076" t="s">
        <v>985</v>
      </c>
      <c r="AR1076" t="s">
        <v>1569</v>
      </c>
      <c r="AT1076" t="s">
        <v>987</v>
      </c>
      <c r="AZ1076" t="s">
        <v>1028</v>
      </c>
      <c r="BA1076" t="s">
        <v>1029</v>
      </c>
      <c r="BB1076" t="s">
        <v>1018</v>
      </c>
      <c r="BD1076" t="s">
        <v>1022</v>
      </c>
      <c r="BE1076" t="s">
        <v>284</v>
      </c>
    </row>
    <row r="1077" spans="1:57" ht="13" x14ac:dyDescent="0.15">
      <c r="A1077">
        <v>1839</v>
      </c>
      <c r="B1077">
        <v>50629549</v>
      </c>
      <c r="C1077" t="s">
        <v>284</v>
      </c>
      <c r="D1077" s="7">
        <v>41904</v>
      </c>
      <c r="E1077" s="7">
        <v>45712</v>
      </c>
      <c r="F1077">
        <v>330862</v>
      </c>
      <c r="G1077" t="s">
        <v>983</v>
      </c>
      <c r="H1077" t="s">
        <v>9</v>
      </c>
      <c r="I1077" s="7">
        <v>45712</v>
      </c>
      <c r="J1077" s="8">
        <v>0.69526620370370373</v>
      </c>
      <c r="K1077" t="s">
        <v>984</v>
      </c>
      <c r="AQ1077" t="s">
        <v>985</v>
      </c>
      <c r="AR1077" t="s">
        <v>1259</v>
      </c>
      <c r="AT1077" t="s">
        <v>987</v>
      </c>
      <c r="AZ1077" t="s">
        <v>1002</v>
      </c>
      <c r="BA1077" t="s">
        <v>1040</v>
      </c>
      <c r="BB1077" t="s">
        <v>1041</v>
      </c>
      <c r="BD1077" t="s">
        <v>991</v>
      </c>
      <c r="BE1077" t="s">
        <v>284</v>
      </c>
    </row>
    <row r="1078" spans="1:57" ht="13" x14ac:dyDescent="0.15">
      <c r="A1078">
        <v>1839</v>
      </c>
      <c r="B1078">
        <v>50629549</v>
      </c>
      <c r="C1078" t="s">
        <v>284</v>
      </c>
      <c r="D1078" s="7">
        <v>41904</v>
      </c>
      <c r="E1078" s="7">
        <v>45712</v>
      </c>
      <c r="F1078">
        <v>330862</v>
      </c>
      <c r="G1078" t="s">
        <v>983</v>
      </c>
      <c r="H1078" t="s">
        <v>9</v>
      </c>
      <c r="I1078" s="7">
        <v>45614</v>
      </c>
      <c r="J1078" s="8">
        <v>0.75023148148148144</v>
      </c>
      <c r="K1078" t="s">
        <v>984</v>
      </c>
      <c r="AQ1078" t="s">
        <v>985</v>
      </c>
      <c r="AR1078" t="s">
        <v>1568</v>
      </c>
      <c r="AT1078" t="s">
        <v>987</v>
      </c>
      <c r="BE1078" t="s">
        <v>284</v>
      </c>
    </row>
    <row r="1079" spans="1:57" ht="13" x14ac:dyDescent="0.15">
      <c r="A1079">
        <v>1839</v>
      </c>
      <c r="B1079">
        <v>50629549</v>
      </c>
      <c r="C1079" t="s">
        <v>284</v>
      </c>
      <c r="D1079" s="7">
        <v>41904</v>
      </c>
      <c r="E1079" s="7">
        <v>45712</v>
      </c>
      <c r="F1079">
        <v>330862</v>
      </c>
      <c r="G1079" t="s">
        <v>983</v>
      </c>
      <c r="H1079" t="s">
        <v>9</v>
      </c>
      <c r="I1079" s="7">
        <v>45678</v>
      </c>
      <c r="J1079" s="8">
        <v>0.55115740740740737</v>
      </c>
      <c r="K1079" t="s">
        <v>984</v>
      </c>
      <c r="AQ1079" t="s">
        <v>985</v>
      </c>
      <c r="AR1079" t="s">
        <v>1570</v>
      </c>
      <c r="AT1079" t="s">
        <v>987</v>
      </c>
      <c r="AZ1079" t="s">
        <v>1028</v>
      </c>
      <c r="BA1079" t="s">
        <v>1068</v>
      </c>
      <c r="BB1079" t="s">
        <v>1069</v>
      </c>
      <c r="BD1079" t="s">
        <v>1005</v>
      </c>
      <c r="BE1079" t="s">
        <v>284</v>
      </c>
    </row>
    <row r="1080" spans="1:57" ht="13" x14ac:dyDescent="0.15">
      <c r="A1080">
        <v>1839</v>
      </c>
      <c r="B1080">
        <v>50629549</v>
      </c>
      <c r="C1080" t="s">
        <v>284</v>
      </c>
      <c r="D1080" s="7">
        <v>41904</v>
      </c>
      <c r="E1080" s="7">
        <v>45712</v>
      </c>
      <c r="F1080">
        <v>330862</v>
      </c>
      <c r="G1080" t="s">
        <v>983</v>
      </c>
      <c r="H1080" t="s">
        <v>9</v>
      </c>
      <c r="I1080" s="7">
        <v>45679</v>
      </c>
      <c r="J1080" s="8">
        <v>0.52071759259259254</v>
      </c>
      <c r="K1080" t="s">
        <v>984</v>
      </c>
      <c r="AQ1080" t="s">
        <v>1366</v>
      </c>
      <c r="AR1080" t="s">
        <v>1361</v>
      </c>
      <c r="AT1080" t="s">
        <v>987</v>
      </c>
      <c r="AZ1080" t="s">
        <v>1044</v>
      </c>
      <c r="BA1080" t="s">
        <v>1045</v>
      </c>
      <c r="BB1080" t="s">
        <v>990</v>
      </c>
      <c r="BD1080" t="s">
        <v>991</v>
      </c>
      <c r="BE1080" t="s">
        <v>284</v>
      </c>
    </row>
    <row r="1081" spans="1:57" ht="13" x14ac:dyDescent="0.15">
      <c r="A1081">
        <v>1839</v>
      </c>
      <c r="B1081">
        <v>50629549</v>
      </c>
      <c r="C1081" t="s">
        <v>284</v>
      </c>
      <c r="D1081" s="7">
        <v>41904</v>
      </c>
      <c r="E1081" s="7">
        <v>45712</v>
      </c>
      <c r="F1081">
        <v>330862</v>
      </c>
      <c r="G1081" t="s">
        <v>983</v>
      </c>
      <c r="H1081" t="s">
        <v>9</v>
      </c>
      <c r="I1081" s="7">
        <v>45679</v>
      </c>
      <c r="J1081" s="8">
        <v>0.52178240740740744</v>
      </c>
      <c r="K1081" t="s">
        <v>984</v>
      </c>
      <c r="AQ1081" t="s">
        <v>1366</v>
      </c>
      <c r="AR1081" t="s">
        <v>1361</v>
      </c>
      <c r="AT1081" t="s">
        <v>987</v>
      </c>
      <c r="AZ1081" t="s">
        <v>1044</v>
      </c>
      <c r="BA1081" t="s">
        <v>1045</v>
      </c>
      <c r="BB1081" t="s">
        <v>990</v>
      </c>
      <c r="BD1081" t="s">
        <v>991</v>
      </c>
      <c r="BE1081" t="s">
        <v>284</v>
      </c>
    </row>
    <row r="1082" spans="1:57" ht="13" x14ac:dyDescent="0.15">
      <c r="A1082">
        <v>1839</v>
      </c>
      <c r="B1082">
        <v>50629549</v>
      </c>
      <c r="C1082" t="s">
        <v>284</v>
      </c>
      <c r="D1082" s="7">
        <v>41904</v>
      </c>
      <c r="E1082" s="7">
        <v>45712</v>
      </c>
      <c r="F1082">
        <v>330862</v>
      </c>
      <c r="G1082" t="s">
        <v>983</v>
      </c>
      <c r="H1082" t="s">
        <v>9</v>
      </c>
      <c r="I1082" s="7">
        <v>45679</v>
      </c>
      <c r="J1082" s="8">
        <v>0.52223379629629629</v>
      </c>
      <c r="K1082" t="s">
        <v>984</v>
      </c>
      <c r="AQ1082" t="s">
        <v>1366</v>
      </c>
      <c r="AR1082" t="s">
        <v>1361</v>
      </c>
      <c r="AT1082" t="s">
        <v>987</v>
      </c>
      <c r="AZ1082" t="s">
        <v>1044</v>
      </c>
      <c r="BA1082" t="s">
        <v>1045</v>
      </c>
      <c r="BB1082" t="s">
        <v>990</v>
      </c>
      <c r="BD1082" t="s">
        <v>991</v>
      </c>
      <c r="BE1082" t="s">
        <v>284</v>
      </c>
    </row>
    <row r="1083" spans="1:57" ht="13" x14ac:dyDescent="0.15">
      <c r="A1083">
        <v>1839</v>
      </c>
      <c r="B1083">
        <v>50633732</v>
      </c>
      <c r="C1083" t="s">
        <v>285</v>
      </c>
      <c r="D1083" s="7">
        <v>41904</v>
      </c>
      <c r="E1083" s="7">
        <v>45709</v>
      </c>
      <c r="F1083">
        <v>330862</v>
      </c>
      <c r="G1083" t="s">
        <v>983</v>
      </c>
      <c r="H1083" t="s">
        <v>9</v>
      </c>
      <c r="I1083" s="7">
        <v>45694</v>
      </c>
      <c r="J1083" s="8">
        <v>0.42701388888888892</v>
      </c>
      <c r="K1083" t="s">
        <v>984</v>
      </c>
      <c r="AQ1083" t="s">
        <v>1092</v>
      </c>
      <c r="AR1083" t="s">
        <v>993</v>
      </c>
      <c r="AT1083" t="s">
        <v>987</v>
      </c>
      <c r="AZ1083" t="s">
        <v>988</v>
      </c>
      <c r="BA1083" t="s">
        <v>989</v>
      </c>
      <c r="BB1083" t="s">
        <v>990</v>
      </c>
      <c r="BD1083" t="s">
        <v>991</v>
      </c>
      <c r="BE1083" t="s">
        <v>285</v>
      </c>
    </row>
    <row r="1084" spans="1:57" ht="13" x14ac:dyDescent="0.15">
      <c r="A1084">
        <v>1839</v>
      </c>
      <c r="B1084">
        <v>50633732</v>
      </c>
      <c r="C1084" t="s">
        <v>285</v>
      </c>
      <c r="D1084" s="7">
        <v>41904</v>
      </c>
      <c r="E1084" s="7">
        <v>45709</v>
      </c>
      <c r="F1084">
        <v>330862</v>
      </c>
      <c r="G1084" t="s">
        <v>983</v>
      </c>
      <c r="H1084" t="s">
        <v>9</v>
      </c>
      <c r="I1084" s="7">
        <v>45708</v>
      </c>
      <c r="J1084" s="8">
        <v>0.33887731481481481</v>
      </c>
      <c r="K1084" t="s">
        <v>984</v>
      </c>
      <c r="AQ1084" t="s">
        <v>1092</v>
      </c>
      <c r="AR1084" t="s">
        <v>1571</v>
      </c>
      <c r="AT1084" t="s">
        <v>987</v>
      </c>
      <c r="AZ1084" t="s">
        <v>1220</v>
      </c>
      <c r="BA1084" t="s">
        <v>1221</v>
      </c>
      <c r="BB1084" t="s">
        <v>1082</v>
      </c>
      <c r="BD1084" t="s">
        <v>991</v>
      </c>
      <c r="BE1084" t="s">
        <v>285</v>
      </c>
    </row>
    <row r="1085" spans="1:57" ht="13" x14ac:dyDescent="0.15">
      <c r="A1085">
        <v>1839</v>
      </c>
      <c r="B1085">
        <v>53561319</v>
      </c>
      <c r="C1085" t="s">
        <v>1572</v>
      </c>
      <c r="D1085" s="7">
        <v>41927</v>
      </c>
      <c r="E1085" s="7">
        <v>45710</v>
      </c>
      <c r="F1085">
        <v>330862</v>
      </c>
      <c r="G1085" t="s">
        <v>983</v>
      </c>
      <c r="H1085" t="s">
        <v>9</v>
      </c>
      <c r="I1085" s="7">
        <v>45655</v>
      </c>
      <c r="J1085" s="8">
        <v>0.44388888888888889</v>
      </c>
      <c r="K1085" t="s">
        <v>984</v>
      </c>
      <c r="AQ1085" t="s">
        <v>998</v>
      </c>
      <c r="AR1085" t="s">
        <v>1073</v>
      </c>
      <c r="AT1085" t="s">
        <v>987</v>
      </c>
      <c r="AZ1085" t="s">
        <v>1007</v>
      </c>
      <c r="BA1085" t="s">
        <v>1008</v>
      </c>
      <c r="BB1085" t="s">
        <v>990</v>
      </c>
      <c r="BD1085" t="s">
        <v>1005</v>
      </c>
      <c r="BE1085" t="s">
        <v>1572</v>
      </c>
    </row>
    <row r="1086" spans="1:57" ht="13" x14ac:dyDescent="0.15">
      <c r="A1086">
        <v>1839</v>
      </c>
      <c r="B1086">
        <v>54187541</v>
      </c>
      <c r="C1086" t="s">
        <v>286</v>
      </c>
      <c r="D1086" s="7">
        <v>41941</v>
      </c>
      <c r="E1086" s="7">
        <v>45701</v>
      </c>
      <c r="F1086">
        <v>330862</v>
      </c>
      <c r="G1086" t="s">
        <v>983</v>
      </c>
      <c r="H1086" t="s">
        <v>9</v>
      </c>
      <c r="I1086" s="7">
        <v>45694</v>
      </c>
      <c r="J1086" s="8">
        <v>0.84333333333333338</v>
      </c>
      <c r="K1086" t="s">
        <v>984</v>
      </c>
      <c r="AQ1086" t="s">
        <v>992</v>
      </c>
      <c r="AR1086" t="s">
        <v>1059</v>
      </c>
      <c r="AT1086" t="s">
        <v>987</v>
      </c>
      <c r="AZ1086" t="s">
        <v>1044</v>
      </c>
      <c r="BA1086" t="s">
        <v>1045</v>
      </c>
      <c r="BB1086" t="s">
        <v>990</v>
      </c>
      <c r="BD1086" t="s">
        <v>991</v>
      </c>
      <c r="BE1086" t="s">
        <v>286</v>
      </c>
    </row>
    <row r="1087" spans="1:57" ht="13" x14ac:dyDescent="0.15">
      <c r="A1087">
        <v>1839</v>
      </c>
      <c r="B1087">
        <v>54187541</v>
      </c>
      <c r="C1087" t="s">
        <v>286</v>
      </c>
      <c r="D1087" s="7">
        <v>41941</v>
      </c>
      <c r="E1087" s="7">
        <v>45701</v>
      </c>
      <c r="F1087">
        <v>330862</v>
      </c>
      <c r="G1087" t="s">
        <v>983</v>
      </c>
      <c r="H1087" t="s">
        <v>9</v>
      </c>
      <c r="I1087" s="7">
        <v>45694</v>
      </c>
      <c r="J1087" s="8">
        <v>0.84214120370370371</v>
      </c>
      <c r="K1087" t="s">
        <v>984</v>
      </c>
      <c r="AQ1087" t="s">
        <v>992</v>
      </c>
      <c r="AR1087" t="s">
        <v>993</v>
      </c>
      <c r="AT1087" t="s">
        <v>987</v>
      </c>
      <c r="AZ1087" t="s">
        <v>988</v>
      </c>
      <c r="BA1087" t="s">
        <v>989</v>
      </c>
      <c r="BB1087" t="s">
        <v>990</v>
      </c>
      <c r="BD1087" t="s">
        <v>991</v>
      </c>
      <c r="BE1087" t="s">
        <v>286</v>
      </c>
    </row>
    <row r="1088" spans="1:57" ht="13" x14ac:dyDescent="0.15">
      <c r="A1088">
        <v>1839</v>
      </c>
      <c r="B1088">
        <v>54188052</v>
      </c>
      <c r="C1088" t="s">
        <v>1573</v>
      </c>
      <c r="D1088" s="7">
        <v>41941</v>
      </c>
      <c r="E1088" s="7">
        <v>45648</v>
      </c>
      <c r="F1088">
        <v>330862</v>
      </c>
      <c r="G1088" t="s">
        <v>983</v>
      </c>
      <c r="H1088" t="s">
        <v>9</v>
      </c>
      <c r="I1088" s="7">
        <v>45636</v>
      </c>
      <c r="J1088" s="8">
        <v>0.61182870370370368</v>
      </c>
      <c r="K1088" t="s">
        <v>984</v>
      </c>
      <c r="AQ1088" t="s">
        <v>985</v>
      </c>
      <c r="AR1088" t="s">
        <v>1208</v>
      </c>
      <c r="AT1088" t="s">
        <v>987</v>
      </c>
      <c r="AZ1088" t="s">
        <v>1011</v>
      </c>
      <c r="BA1088" t="s">
        <v>1031</v>
      </c>
      <c r="BB1088" t="s">
        <v>1032</v>
      </c>
      <c r="BD1088" t="s">
        <v>1005</v>
      </c>
      <c r="BE1088" t="s">
        <v>1573</v>
      </c>
    </row>
    <row r="1089" spans="1:57" ht="13" x14ac:dyDescent="0.15">
      <c r="A1089">
        <v>1839</v>
      </c>
      <c r="B1089">
        <v>54188052</v>
      </c>
      <c r="C1089" t="s">
        <v>1573</v>
      </c>
      <c r="D1089" s="7">
        <v>41941</v>
      </c>
      <c r="E1089" s="7">
        <v>45648</v>
      </c>
      <c r="F1089">
        <v>330862</v>
      </c>
      <c r="G1089" t="s">
        <v>983</v>
      </c>
      <c r="H1089" t="s">
        <v>9</v>
      </c>
      <c r="I1089" s="7">
        <v>45636</v>
      </c>
      <c r="J1089" s="8">
        <v>0.61407407407407411</v>
      </c>
      <c r="K1089" t="s">
        <v>984</v>
      </c>
      <c r="AQ1089" t="s">
        <v>985</v>
      </c>
      <c r="AR1089" t="s">
        <v>1122</v>
      </c>
      <c r="AT1089" t="s">
        <v>987</v>
      </c>
      <c r="AZ1089" t="s">
        <v>1028</v>
      </c>
      <c r="BA1089" t="s">
        <v>1029</v>
      </c>
      <c r="BB1089" t="s">
        <v>1018</v>
      </c>
      <c r="BD1089" t="s">
        <v>1022</v>
      </c>
      <c r="BE1089" t="s">
        <v>1573</v>
      </c>
    </row>
    <row r="1090" spans="1:57" ht="13" x14ac:dyDescent="0.15">
      <c r="A1090">
        <v>1839</v>
      </c>
      <c r="B1090">
        <v>54688730</v>
      </c>
      <c r="C1090" t="s">
        <v>287</v>
      </c>
      <c r="D1090" s="7">
        <v>41951</v>
      </c>
      <c r="E1090" s="7">
        <v>45702</v>
      </c>
      <c r="F1090">
        <v>330862</v>
      </c>
      <c r="G1090" t="s">
        <v>983</v>
      </c>
      <c r="H1090" t="s">
        <v>9</v>
      </c>
      <c r="I1090" s="7">
        <v>45636</v>
      </c>
      <c r="J1090" s="8">
        <v>0.90074074074074073</v>
      </c>
      <c r="K1090" t="s">
        <v>984</v>
      </c>
      <c r="AQ1090" t="s">
        <v>1090</v>
      </c>
      <c r="AR1090" t="s">
        <v>1098</v>
      </c>
      <c r="AT1090" t="s">
        <v>987</v>
      </c>
      <c r="AZ1090" t="s">
        <v>1020</v>
      </c>
      <c r="BA1090" t="s">
        <v>1021</v>
      </c>
      <c r="BB1090" t="s">
        <v>1018</v>
      </c>
      <c r="BD1090" t="s">
        <v>1022</v>
      </c>
      <c r="BE1090" t="s">
        <v>287</v>
      </c>
    </row>
    <row r="1091" spans="1:57" ht="13" x14ac:dyDescent="0.15">
      <c r="A1091">
        <v>1839</v>
      </c>
      <c r="B1091">
        <v>54688730</v>
      </c>
      <c r="C1091" t="s">
        <v>287</v>
      </c>
      <c r="D1091" s="7">
        <v>41951</v>
      </c>
      <c r="E1091" s="7">
        <v>45702</v>
      </c>
      <c r="F1091">
        <v>330862</v>
      </c>
      <c r="G1091" t="s">
        <v>983</v>
      </c>
      <c r="H1091" t="s">
        <v>9</v>
      </c>
      <c r="I1091" s="7">
        <v>45694</v>
      </c>
      <c r="J1091" s="8">
        <v>0.44761574074074073</v>
      </c>
      <c r="K1091" t="s">
        <v>984</v>
      </c>
      <c r="AQ1091" t="s">
        <v>1090</v>
      </c>
      <c r="AR1091" t="s">
        <v>993</v>
      </c>
      <c r="AT1091" t="s">
        <v>987</v>
      </c>
      <c r="AZ1091" t="s">
        <v>988</v>
      </c>
      <c r="BA1091" t="s">
        <v>989</v>
      </c>
      <c r="BB1091" t="s">
        <v>990</v>
      </c>
      <c r="BD1091" t="s">
        <v>991</v>
      </c>
      <c r="BE1091" t="s">
        <v>287</v>
      </c>
    </row>
    <row r="1092" spans="1:57" ht="13" x14ac:dyDescent="0.15">
      <c r="A1092">
        <v>1839</v>
      </c>
      <c r="B1092">
        <v>55289782</v>
      </c>
      <c r="C1092" t="s">
        <v>288</v>
      </c>
      <c r="D1092" s="7">
        <v>41964</v>
      </c>
      <c r="E1092" s="7">
        <v>45711</v>
      </c>
      <c r="F1092">
        <v>330862</v>
      </c>
      <c r="G1092" t="s">
        <v>983</v>
      </c>
      <c r="H1092" t="s">
        <v>9</v>
      </c>
      <c r="I1092" s="7">
        <v>45695</v>
      </c>
      <c r="J1092" s="8">
        <v>0.72719907407407403</v>
      </c>
      <c r="K1092" t="s">
        <v>984</v>
      </c>
      <c r="AQ1092" t="s">
        <v>1113</v>
      </c>
      <c r="AR1092" t="s">
        <v>993</v>
      </c>
      <c r="AT1092" t="s">
        <v>987</v>
      </c>
      <c r="AZ1092" t="s">
        <v>988</v>
      </c>
      <c r="BA1092" t="s">
        <v>989</v>
      </c>
      <c r="BB1092" t="s">
        <v>990</v>
      </c>
      <c r="BD1092" t="s">
        <v>991</v>
      </c>
      <c r="BE1092" t="s">
        <v>288</v>
      </c>
    </row>
    <row r="1093" spans="1:57" ht="13" x14ac:dyDescent="0.15">
      <c r="A1093">
        <v>1839</v>
      </c>
      <c r="B1093">
        <v>55289782</v>
      </c>
      <c r="C1093" t="s">
        <v>288</v>
      </c>
      <c r="D1093" s="7">
        <v>41964</v>
      </c>
      <c r="E1093" s="7">
        <v>45711</v>
      </c>
      <c r="F1093">
        <v>330862</v>
      </c>
      <c r="G1093" t="s">
        <v>983</v>
      </c>
      <c r="H1093" t="s">
        <v>9</v>
      </c>
      <c r="I1093" s="7">
        <v>45671</v>
      </c>
      <c r="J1093" s="8">
        <v>0.68033564814814818</v>
      </c>
      <c r="K1093" t="s">
        <v>984</v>
      </c>
      <c r="AQ1093" t="s">
        <v>1113</v>
      </c>
      <c r="AR1093" t="s">
        <v>1302</v>
      </c>
      <c r="AT1093" t="s">
        <v>987</v>
      </c>
      <c r="AZ1093" t="s">
        <v>1024</v>
      </c>
      <c r="BA1093" t="s">
        <v>1047</v>
      </c>
      <c r="BB1093" t="s">
        <v>1048</v>
      </c>
      <c r="BD1093" t="s">
        <v>1014</v>
      </c>
      <c r="BE1093" t="s">
        <v>288</v>
      </c>
    </row>
    <row r="1094" spans="1:57" ht="13" x14ac:dyDescent="0.15">
      <c r="A1094">
        <v>1839</v>
      </c>
      <c r="B1094">
        <v>55289782</v>
      </c>
      <c r="C1094" t="s">
        <v>288</v>
      </c>
      <c r="D1094" s="7">
        <v>41964</v>
      </c>
      <c r="E1094" s="7">
        <v>45711</v>
      </c>
      <c r="F1094">
        <v>330862</v>
      </c>
      <c r="G1094" t="s">
        <v>983</v>
      </c>
      <c r="H1094" t="s">
        <v>9</v>
      </c>
      <c r="I1094" s="7">
        <v>45671</v>
      </c>
      <c r="J1094" s="8">
        <v>0.6607291666666667</v>
      </c>
      <c r="K1094" t="s">
        <v>984</v>
      </c>
      <c r="AQ1094" t="s">
        <v>1113</v>
      </c>
      <c r="AR1094" t="s">
        <v>1574</v>
      </c>
      <c r="AT1094" t="s">
        <v>987</v>
      </c>
      <c r="AZ1094" t="s">
        <v>1028</v>
      </c>
      <c r="BA1094" t="s">
        <v>1068</v>
      </c>
      <c r="BB1094" t="s">
        <v>1069</v>
      </c>
      <c r="BD1094" t="s">
        <v>1005</v>
      </c>
      <c r="BE1094" t="s">
        <v>288</v>
      </c>
    </row>
    <row r="1095" spans="1:57" ht="13" x14ac:dyDescent="0.15">
      <c r="A1095">
        <v>1839</v>
      </c>
      <c r="B1095">
        <v>55330641</v>
      </c>
      <c r="C1095" t="s">
        <v>289</v>
      </c>
      <c r="D1095" s="7">
        <v>41966</v>
      </c>
      <c r="E1095" s="7">
        <v>45713</v>
      </c>
      <c r="F1095">
        <v>330862</v>
      </c>
      <c r="G1095" t="s">
        <v>983</v>
      </c>
      <c r="H1095" t="s">
        <v>9</v>
      </c>
      <c r="I1095" s="7">
        <v>45631</v>
      </c>
      <c r="J1095" s="8">
        <v>0.55853009259259256</v>
      </c>
      <c r="K1095" t="s">
        <v>984</v>
      </c>
      <c r="AQ1095" t="s">
        <v>985</v>
      </c>
      <c r="AR1095" t="s">
        <v>1575</v>
      </c>
      <c r="AT1095" t="s">
        <v>987</v>
      </c>
      <c r="AZ1095" t="s">
        <v>1182</v>
      </c>
      <c r="BA1095" t="s">
        <v>1185</v>
      </c>
      <c r="BB1095" t="s">
        <v>1026</v>
      </c>
      <c r="BD1095" t="s">
        <v>1022</v>
      </c>
      <c r="BE1095" t="s">
        <v>289</v>
      </c>
    </row>
    <row r="1096" spans="1:57" ht="13" x14ac:dyDescent="0.15">
      <c r="A1096">
        <v>1839</v>
      </c>
      <c r="B1096">
        <v>55330641</v>
      </c>
      <c r="C1096" t="s">
        <v>289</v>
      </c>
      <c r="D1096" s="7">
        <v>41966</v>
      </c>
      <c r="E1096" s="7">
        <v>45713</v>
      </c>
      <c r="F1096">
        <v>330862</v>
      </c>
      <c r="G1096" t="s">
        <v>983</v>
      </c>
      <c r="H1096" t="s">
        <v>9</v>
      </c>
      <c r="I1096" s="7">
        <v>45631</v>
      </c>
      <c r="J1096" s="8">
        <v>0.59134259259259259</v>
      </c>
      <c r="K1096" t="s">
        <v>984</v>
      </c>
      <c r="AQ1096" t="s">
        <v>985</v>
      </c>
      <c r="AR1096" t="s">
        <v>1310</v>
      </c>
      <c r="AT1096" t="s">
        <v>987</v>
      </c>
      <c r="AZ1096" t="s">
        <v>1239</v>
      </c>
      <c r="BA1096" t="s">
        <v>1281</v>
      </c>
      <c r="BB1096" t="s">
        <v>1026</v>
      </c>
      <c r="BD1096" t="s">
        <v>1022</v>
      </c>
      <c r="BE1096" t="s">
        <v>289</v>
      </c>
    </row>
    <row r="1097" spans="1:57" ht="13" x14ac:dyDescent="0.15">
      <c r="A1097">
        <v>1839</v>
      </c>
      <c r="B1097">
        <v>55330641</v>
      </c>
      <c r="C1097" t="s">
        <v>289</v>
      </c>
      <c r="D1097" s="7">
        <v>41966</v>
      </c>
      <c r="E1097" s="7">
        <v>45713</v>
      </c>
      <c r="F1097">
        <v>330862</v>
      </c>
      <c r="G1097" t="s">
        <v>983</v>
      </c>
      <c r="H1097" t="s">
        <v>9</v>
      </c>
      <c r="I1097" s="7">
        <v>45631</v>
      </c>
      <c r="J1097" s="8">
        <v>0.55791666666666662</v>
      </c>
      <c r="K1097" t="s">
        <v>984</v>
      </c>
      <c r="AQ1097" t="s">
        <v>985</v>
      </c>
      <c r="AR1097" t="s">
        <v>1309</v>
      </c>
      <c r="AT1097" t="s">
        <v>987</v>
      </c>
      <c r="AZ1097" t="s">
        <v>1215</v>
      </c>
      <c r="BA1097" t="s">
        <v>1216</v>
      </c>
      <c r="BB1097" t="s">
        <v>1217</v>
      </c>
      <c r="BD1097" t="s">
        <v>1022</v>
      </c>
      <c r="BE1097" t="s">
        <v>289</v>
      </c>
    </row>
    <row r="1098" spans="1:57" ht="13" x14ac:dyDescent="0.15">
      <c r="A1098">
        <v>1839</v>
      </c>
      <c r="B1098">
        <v>55330641</v>
      </c>
      <c r="C1098" t="s">
        <v>289</v>
      </c>
      <c r="D1098" s="7">
        <v>41966</v>
      </c>
      <c r="E1098" s="7">
        <v>45713</v>
      </c>
      <c r="F1098">
        <v>330862</v>
      </c>
      <c r="G1098" t="s">
        <v>983</v>
      </c>
      <c r="H1098" t="s">
        <v>9</v>
      </c>
      <c r="I1098" s="7">
        <v>45647</v>
      </c>
      <c r="J1098" s="8">
        <v>0.6482175925925926</v>
      </c>
      <c r="K1098" t="s">
        <v>984</v>
      </c>
      <c r="AQ1098" t="s">
        <v>985</v>
      </c>
      <c r="AR1098" t="s">
        <v>1086</v>
      </c>
      <c r="AT1098" t="s">
        <v>987</v>
      </c>
      <c r="AZ1098" t="s">
        <v>1028</v>
      </c>
      <c r="BA1098" t="s">
        <v>1029</v>
      </c>
      <c r="BB1098" t="s">
        <v>1018</v>
      </c>
      <c r="BD1098" t="s">
        <v>1022</v>
      </c>
      <c r="BE1098" t="s">
        <v>289</v>
      </c>
    </row>
    <row r="1099" spans="1:57" ht="13" x14ac:dyDescent="0.15">
      <c r="A1099">
        <v>1839</v>
      </c>
      <c r="B1099">
        <v>55330641</v>
      </c>
      <c r="C1099" t="s">
        <v>289</v>
      </c>
      <c r="D1099" s="7">
        <v>41966</v>
      </c>
      <c r="E1099" s="7">
        <v>45713</v>
      </c>
      <c r="F1099">
        <v>330862</v>
      </c>
      <c r="G1099" t="s">
        <v>983</v>
      </c>
      <c r="H1099" t="s">
        <v>9</v>
      </c>
      <c r="I1099" s="7">
        <v>45631</v>
      </c>
      <c r="J1099" s="8">
        <v>0.55759259259259264</v>
      </c>
      <c r="K1099" t="s">
        <v>984</v>
      </c>
      <c r="AQ1099" t="s">
        <v>985</v>
      </c>
      <c r="AR1099" t="s">
        <v>1310</v>
      </c>
      <c r="AT1099" t="s">
        <v>987</v>
      </c>
      <c r="AZ1099" t="s">
        <v>1239</v>
      </c>
      <c r="BA1099" t="s">
        <v>1281</v>
      </c>
      <c r="BB1099" t="s">
        <v>1026</v>
      </c>
      <c r="BD1099" t="s">
        <v>1022</v>
      </c>
      <c r="BE1099" t="s">
        <v>289</v>
      </c>
    </row>
    <row r="1100" spans="1:57" ht="13" x14ac:dyDescent="0.15">
      <c r="A1100">
        <v>1839</v>
      </c>
      <c r="B1100">
        <v>55330641</v>
      </c>
      <c r="C1100" t="s">
        <v>289</v>
      </c>
      <c r="D1100" s="7">
        <v>41966</v>
      </c>
      <c r="E1100" s="7">
        <v>45713</v>
      </c>
      <c r="F1100">
        <v>330862</v>
      </c>
      <c r="G1100" t="s">
        <v>983</v>
      </c>
      <c r="H1100" t="s">
        <v>9</v>
      </c>
      <c r="I1100" s="7">
        <v>45694</v>
      </c>
      <c r="J1100" s="8">
        <v>0.38533564814814814</v>
      </c>
      <c r="K1100" t="s">
        <v>984</v>
      </c>
      <c r="AQ1100" t="s">
        <v>985</v>
      </c>
      <c r="AR1100" t="s">
        <v>993</v>
      </c>
      <c r="AT1100" t="s">
        <v>987</v>
      </c>
      <c r="AZ1100" t="s">
        <v>988</v>
      </c>
      <c r="BA1100" t="s">
        <v>989</v>
      </c>
      <c r="BB1100" t="s">
        <v>990</v>
      </c>
      <c r="BD1100" t="s">
        <v>991</v>
      </c>
      <c r="BE1100" t="s">
        <v>289</v>
      </c>
    </row>
    <row r="1101" spans="1:57" ht="13" x14ac:dyDescent="0.15">
      <c r="A1101">
        <v>1839</v>
      </c>
      <c r="B1101">
        <v>55330641</v>
      </c>
      <c r="C1101" t="s">
        <v>289</v>
      </c>
      <c r="D1101" s="7">
        <v>41966</v>
      </c>
      <c r="E1101" s="7">
        <v>45713</v>
      </c>
      <c r="F1101">
        <v>330862</v>
      </c>
      <c r="G1101" t="s">
        <v>983</v>
      </c>
      <c r="H1101" t="s">
        <v>9</v>
      </c>
      <c r="I1101" s="7">
        <v>45631</v>
      </c>
      <c r="J1101" s="8">
        <v>0.55724537037037036</v>
      </c>
      <c r="K1101" t="s">
        <v>984</v>
      </c>
      <c r="AQ1101" t="s">
        <v>985</v>
      </c>
      <c r="AR1101" t="s">
        <v>1311</v>
      </c>
      <c r="AT1101" t="s">
        <v>987</v>
      </c>
      <c r="AZ1101" t="s">
        <v>1020</v>
      </c>
      <c r="BA1101" t="s">
        <v>1021</v>
      </c>
      <c r="BB1101" t="s">
        <v>1018</v>
      </c>
      <c r="BD1101" t="s">
        <v>1022</v>
      </c>
      <c r="BE1101" t="s">
        <v>289</v>
      </c>
    </row>
    <row r="1102" spans="1:57" ht="13" x14ac:dyDescent="0.15">
      <c r="A1102">
        <v>1839</v>
      </c>
      <c r="B1102">
        <v>55330641</v>
      </c>
      <c r="C1102" t="s">
        <v>289</v>
      </c>
      <c r="D1102" s="7">
        <v>41966</v>
      </c>
      <c r="E1102" s="7">
        <v>45713</v>
      </c>
      <c r="F1102">
        <v>330862</v>
      </c>
      <c r="G1102" t="s">
        <v>983</v>
      </c>
      <c r="H1102" t="s">
        <v>9</v>
      </c>
      <c r="I1102" s="7">
        <v>45631</v>
      </c>
      <c r="J1102" s="8">
        <v>0.55684027777777778</v>
      </c>
      <c r="K1102" t="s">
        <v>984</v>
      </c>
      <c r="AQ1102" t="s">
        <v>985</v>
      </c>
      <c r="AR1102" t="s">
        <v>1576</v>
      </c>
      <c r="AT1102" t="s">
        <v>987</v>
      </c>
      <c r="AZ1102" t="s">
        <v>1028</v>
      </c>
      <c r="BA1102" t="s">
        <v>1029</v>
      </c>
      <c r="BB1102" t="s">
        <v>1018</v>
      </c>
      <c r="BD1102" t="s">
        <v>1022</v>
      </c>
      <c r="BE1102" t="s">
        <v>289</v>
      </c>
    </row>
    <row r="1103" spans="1:57" ht="13" x14ac:dyDescent="0.15">
      <c r="A1103">
        <v>1839</v>
      </c>
      <c r="B1103">
        <v>55330641</v>
      </c>
      <c r="C1103" t="s">
        <v>289</v>
      </c>
      <c r="D1103" s="7">
        <v>41966</v>
      </c>
      <c r="E1103" s="7">
        <v>45713</v>
      </c>
      <c r="F1103">
        <v>330862</v>
      </c>
      <c r="G1103" t="s">
        <v>983</v>
      </c>
      <c r="H1103" t="s">
        <v>9</v>
      </c>
      <c r="I1103" s="7">
        <v>45631</v>
      </c>
      <c r="J1103" s="8">
        <v>0.55396990740740737</v>
      </c>
      <c r="K1103" t="s">
        <v>984</v>
      </c>
      <c r="AQ1103" t="s">
        <v>985</v>
      </c>
      <c r="AR1103" t="s">
        <v>1577</v>
      </c>
      <c r="AT1103" t="s">
        <v>987</v>
      </c>
      <c r="AZ1103" t="s">
        <v>1055</v>
      </c>
      <c r="BA1103" t="s">
        <v>1056</v>
      </c>
      <c r="BB1103" t="s">
        <v>1013</v>
      </c>
      <c r="BD1103" t="s">
        <v>1022</v>
      </c>
      <c r="BE1103" t="s">
        <v>289</v>
      </c>
    </row>
    <row r="1104" spans="1:57" ht="13" x14ac:dyDescent="0.15">
      <c r="A1104">
        <v>1839</v>
      </c>
      <c r="B1104">
        <v>55330741</v>
      </c>
      <c r="C1104" t="s">
        <v>1578</v>
      </c>
      <c r="D1104" s="7">
        <v>41966</v>
      </c>
      <c r="E1104" s="7">
        <v>45709</v>
      </c>
      <c r="F1104">
        <v>330862</v>
      </c>
      <c r="G1104" t="s">
        <v>983</v>
      </c>
      <c r="H1104" t="s">
        <v>9</v>
      </c>
      <c r="I1104" s="7">
        <v>45618</v>
      </c>
      <c r="J1104" s="8">
        <v>0.49645833333333333</v>
      </c>
      <c r="K1104" t="s">
        <v>984</v>
      </c>
      <c r="AQ1104" t="s">
        <v>985</v>
      </c>
      <c r="AR1104" t="s">
        <v>1579</v>
      </c>
      <c r="AT1104" t="s">
        <v>987</v>
      </c>
      <c r="AZ1104" t="s">
        <v>1055</v>
      </c>
      <c r="BA1104" t="s">
        <v>1056</v>
      </c>
      <c r="BB1104" t="s">
        <v>1013</v>
      </c>
      <c r="BD1104" t="s">
        <v>1022</v>
      </c>
      <c r="BE1104" t="s">
        <v>1578</v>
      </c>
    </row>
    <row r="1105" spans="1:57" ht="13" x14ac:dyDescent="0.15">
      <c r="A1105">
        <v>1839</v>
      </c>
      <c r="B1105">
        <v>55330741</v>
      </c>
      <c r="C1105" t="s">
        <v>1578</v>
      </c>
      <c r="D1105" s="7">
        <v>41966</v>
      </c>
      <c r="E1105" s="7">
        <v>45709</v>
      </c>
      <c r="F1105">
        <v>330862</v>
      </c>
      <c r="G1105" t="s">
        <v>983</v>
      </c>
      <c r="H1105" t="s">
        <v>9</v>
      </c>
      <c r="I1105" s="7">
        <v>45618</v>
      </c>
      <c r="J1105" s="8">
        <v>0.49313657407407407</v>
      </c>
      <c r="K1105" t="s">
        <v>984</v>
      </c>
      <c r="AQ1105" t="s">
        <v>985</v>
      </c>
      <c r="AR1105" t="s">
        <v>1580</v>
      </c>
      <c r="AT1105" t="s">
        <v>987</v>
      </c>
      <c r="AZ1105" t="s">
        <v>1182</v>
      </c>
      <c r="BA1105" t="s">
        <v>1185</v>
      </c>
      <c r="BB1105" t="s">
        <v>1026</v>
      </c>
      <c r="BD1105" t="s">
        <v>1022</v>
      </c>
      <c r="BE1105" t="s">
        <v>1578</v>
      </c>
    </row>
    <row r="1106" spans="1:57" ht="13" x14ac:dyDescent="0.15">
      <c r="A1106">
        <v>1839</v>
      </c>
      <c r="B1106">
        <v>55330741</v>
      </c>
      <c r="C1106" t="s">
        <v>1578</v>
      </c>
      <c r="D1106" s="7">
        <v>41966</v>
      </c>
      <c r="E1106" s="7">
        <v>45709</v>
      </c>
      <c r="F1106">
        <v>330862</v>
      </c>
      <c r="G1106" t="s">
        <v>983</v>
      </c>
      <c r="H1106" t="s">
        <v>9</v>
      </c>
      <c r="I1106" s="7">
        <v>45618</v>
      </c>
      <c r="J1106" s="8">
        <v>0.49225694444444446</v>
      </c>
      <c r="K1106" t="s">
        <v>984</v>
      </c>
      <c r="AQ1106" t="s">
        <v>985</v>
      </c>
      <c r="AR1106" t="s">
        <v>1580</v>
      </c>
      <c r="AT1106" t="s">
        <v>987</v>
      </c>
      <c r="AZ1106" t="s">
        <v>1182</v>
      </c>
      <c r="BA1106" t="s">
        <v>1185</v>
      </c>
      <c r="BB1106" t="s">
        <v>1026</v>
      </c>
      <c r="BD1106" t="s">
        <v>1022</v>
      </c>
      <c r="BE1106" t="s">
        <v>1578</v>
      </c>
    </row>
    <row r="1107" spans="1:57" ht="13" x14ac:dyDescent="0.15">
      <c r="A1107">
        <v>1839</v>
      </c>
      <c r="B1107">
        <v>55330741</v>
      </c>
      <c r="C1107" t="s">
        <v>1578</v>
      </c>
      <c r="D1107" s="7">
        <v>41966</v>
      </c>
      <c r="E1107" s="7">
        <v>45709</v>
      </c>
      <c r="F1107">
        <v>330862</v>
      </c>
      <c r="G1107" t="s">
        <v>983</v>
      </c>
      <c r="H1107" t="s">
        <v>9</v>
      </c>
      <c r="I1107" s="7">
        <v>45618</v>
      </c>
      <c r="J1107" s="8">
        <v>0.48962962962962964</v>
      </c>
      <c r="K1107" t="s">
        <v>984</v>
      </c>
      <c r="AQ1107" t="s">
        <v>985</v>
      </c>
      <c r="AR1107" t="s">
        <v>1581</v>
      </c>
      <c r="AT1107" t="s">
        <v>987</v>
      </c>
      <c r="AZ1107" t="s">
        <v>1028</v>
      </c>
      <c r="BA1107" t="s">
        <v>1029</v>
      </c>
      <c r="BB1107" t="s">
        <v>1018</v>
      </c>
      <c r="BD1107" t="s">
        <v>1022</v>
      </c>
      <c r="BE1107" t="s">
        <v>1578</v>
      </c>
    </row>
    <row r="1108" spans="1:57" ht="13" x14ac:dyDescent="0.15">
      <c r="A1108">
        <v>1839</v>
      </c>
      <c r="B1108">
        <v>59085832</v>
      </c>
      <c r="C1108" t="s">
        <v>290</v>
      </c>
      <c r="D1108" s="7">
        <v>42006</v>
      </c>
      <c r="E1108" s="7">
        <v>45696</v>
      </c>
      <c r="F1108">
        <v>330862</v>
      </c>
      <c r="G1108" t="s">
        <v>983</v>
      </c>
      <c r="H1108" t="s">
        <v>9</v>
      </c>
      <c r="I1108" s="7">
        <v>45677</v>
      </c>
      <c r="J1108" s="8">
        <v>0.70788194444444441</v>
      </c>
      <c r="K1108" t="s">
        <v>984</v>
      </c>
      <c r="AQ1108" t="s">
        <v>1000</v>
      </c>
      <c r="AR1108" t="s">
        <v>1050</v>
      </c>
      <c r="AT1108" t="s">
        <v>987</v>
      </c>
      <c r="AZ1108" t="s">
        <v>1011</v>
      </c>
      <c r="BA1108" t="s">
        <v>1012</v>
      </c>
      <c r="BB1108" t="s">
        <v>1013</v>
      </c>
      <c r="BD1108" t="s">
        <v>1014</v>
      </c>
      <c r="BE1108" t="s">
        <v>290</v>
      </c>
    </row>
    <row r="1109" spans="1:57" ht="13" x14ac:dyDescent="0.15">
      <c r="A1109">
        <v>1839</v>
      </c>
      <c r="B1109">
        <v>59085832</v>
      </c>
      <c r="C1109" t="s">
        <v>290</v>
      </c>
      <c r="D1109" s="7">
        <v>42006</v>
      </c>
      <c r="E1109" s="7">
        <v>45696</v>
      </c>
      <c r="F1109">
        <v>330862</v>
      </c>
      <c r="G1109" t="s">
        <v>983</v>
      </c>
      <c r="H1109" t="s">
        <v>9</v>
      </c>
      <c r="I1109" s="7">
        <v>45694</v>
      </c>
      <c r="J1109" s="8">
        <v>0.48056712962962961</v>
      </c>
      <c r="K1109" t="s">
        <v>984</v>
      </c>
      <c r="AQ1109" t="s">
        <v>1000</v>
      </c>
      <c r="AR1109" t="s">
        <v>986</v>
      </c>
      <c r="AT1109" t="s">
        <v>987</v>
      </c>
      <c r="AZ1109" t="s">
        <v>988</v>
      </c>
      <c r="BA1109" t="s">
        <v>989</v>
      </c>
      <c r="BB1109" t="s">
        <v>990</v>
      </c>
      <c r="BD1109" t="s">
        <v>991</v>
      </c>
      <c r="BE1109" t="s">
        <v>290</v>
      </c>
    </row>
    <row r="1110" spans="1:57" ht="13" x14ac:dyDescent="0.15">
      <c r="A1110">
        <v>1839</v>
      </c>
      <c r="B1110">
        <v>59225296</v>
      </c>
      <c r="C1110" t="s">
        <v>291</v>
      </c>
      <c r="D1110" s="7">
        <v>42012</v>
      </c>
      <c r="E1110" s="7">
        <v>45708</v>
      </c>
      <c r="F1110">
        <v>330862</v>
      </c>
      <c r="G1110" t="s">
        <v>983</v>
      </c>
      <c r="H1110" t="s">
        <v>9</v>
      </c>
      <c r="I1110" s="7">
        <v>45678</v>
      </c>
      <c r="J1110" s="8">
        <v>0.72700231481481481</v>
      </c>
      <c r="K1110" t="s">
        <v>984</v>
      </c>
      <c r="AQ1110" t="s">
        <v>985</v>
      </c>
      <c r="AR1110" t="s">
        <v>1050</v>
      </c>
      <c r="AT1110" t="s">
        <v>987</v>
      </c>
      <c r="AZ1110" t="s">
        <v>1011</v>
      </c>
      <c r="BA1110" t="s">
        <v>1012</v>
      </c>
      <c r="BB1110" t="s">
        <v>1013</v>
      </c>
      <c r="BD1110" t="s">
        <v>1014</v>
      </c>
      <c r="BE1110" t="s">
        <v>291</v>
      </c>
    </row>
    <row r="1111" spans="1:57" ht="13" x14ac:dyDescent="0.15">
      <c r="A1111">
        <v>1839</v>
      </c>
      <c r="B1111">
        <v>59225296</v>
      </c>
      <c r="C1111" t="s">
        <v>291</v>
      </c>
      <c r="D1111" s="7">
        <v>42012</v>
      </c>
      <c r="E1111" s="7">
        <v>45708</v>
      </c>
      <c r="F1111">
        <v>330862</v>
      </c>
      <c r="G1111" t="s">
        <v>983</v>
      </c>
      <c r="H1111" t="s">
        <v>9</v>
      </c>
      <c r="I1111" s="7">
        <v>45694</v>
      </c>
      <c r="J1111" s="8">
        <v>0.4805787037037037</v>
      </c>
      <c r="K1111" t="s">
        <v>984</v>
      </c>
      <c r="AQ1111" t="s">
        <v>985</v>
      </c>
      <c r="AR1111" t="s">
        <v>986</v>
      </c>
      <c r="AT1111" t="s">
        <v>987</v>
      </c>
      <c r="AZ1111" t="s">
        <v>988</v>
      </c>
      <c r="BA1111" t="s">
        <v>989</v>
      </c>
      <c r="BB1111" t="s">
        <v>990</v>
      </c>
      <c r="BD1111" t="s">
        <v>991</v>
      </c>
      <c r="BE1111" t="s">
        <v>291</v>
      </c>
    </row>
    <row r="1112" spans="1:57" ht="13" x14ac:dyDescent="0.15">
      <c r="A1112">
        <v>1839</v>
      </c>
      <c r="B1112">
        <v>60541574</v>
      </c>
      <c r="C1112" t="s">
        <v>1582</v>
      </c>
      <c r="D1112" s="7">
        <v>42045</v>
      </c>
      <c r="E1112" s="7">
        <v>45639</v>
      </c>
      <c r="F1112">
        <v>330862</v>
      </c>
      <c r="G1112" t="s">
        <v>983</v>
      </c>
      <c r="H1112" t="s">
        <v>9</v>
      </c>
      <c r="I1112" s="7">
        <v>45636</v>
      </c>
      <c r="J1112" s="8">
        <v>0.83835648148148145</v>
      </c>
      <c r="K1112" t="s">
        <v>984</v>
      </c>
      <c r="AQ1112" t="s">
        <v>1337</v>
      </c>
      <c r="AR1112" t="s">
        <v>1096</v>
      </c>
      <c r="AT1112" t="s">
        <v>987</v>
      </c>
      <c r="AZ1112" t="s">
        <v>1011</v>
      </c>
      <c r="BA1112" t="s">
        <v>1031</v>
      </c>
      <c r="BB1112" t="s">
        <v>1032</v>
      </c>
      <c r="BD1112" t="s">
        <v>1005</v>
      </c>
      <c r="BE1112" t="s">
        <v>1582</v>
      </c>
    </row>
    <row r="1113" spans="1:57" ht="13" x14ac:dyDescent="0.15">
      <c r="A1113">
        <v>1839</v>
      </c>
      <c r="B1113">
        <v>60632268</v>
      </c>
      <c r="C1113" t="s">
        <v>292</v>
      </c>
      <c r="D1113" s="7">
        <v>42047</v>
      </c>
      <c r="E1113" s="7">
        <v>45710</v>
      </c>
      <c r="F1113">
        <v>330862</v>
      </c>
      <c r="G1113" t="s">
        <v>983</v>
      </c>
      <c r="H1113" t="s">
        <v>9</v>
      </c>
      <c r="I1113" s="7">
        <v>45674</v>
      </c>
      <c r="J1113" s="8">
        <v>0.75383101851851853</v>
      </c>
      <c r="K1113" t="s">
        <v>984</v>
      </c>
      <c r="AQ1113" t="s">
        <v>1142</v>
      </c>
      <c r="AR1113" t="s">
        <v>1051</v>
      </c>
      <c r="AT1113" t="s">
        <v>987</v>
      </c>
      <c r="AZ1113" t="s">
        <v>1002</v>
      </c>
      <c r="BA1113" t="s">
        <v>1003</v>
      </c>
      <c r="BB1113" t="s">
        <v>1004</v>
      </c>
      <c r="BD1113" t="s">
        <v>1005</v>
      </c>
      <c r="BE1113" t="s">
        <v>292</v>
      </c>
    </row>
    <row r="1114" spans="1:57" ht="13" x14ac:dyDescent="0.15">
      <c r="A1114">
        <v>1839</v>
      </c>
      <c r="B1114">
        <v>60632268</v>
      </c>
      <c r="C1114" t="s">
        <v>292</v>
      </c>
      <c r="D1114" s="7">
        <v>42047</v>
      </c>
      <c r="E1114" s="7">
        <v>45710</v>
      </c>
      <c r="F1114">
        <v>330862</v>
      </c>
      <c r="G1114" t="s">
        <v>983</v>
      </c>
      <c r="H1114" t="s">
        <v>9</v>
      </c>
      <c r="I1114" s="7">
        <v>45694</v>
      </c>
      <c r="J1114" s="8">
        <v>0.37509259259259259</v>
      </c>
      <c r="K1114" t="s">
        <v>984</v>
      </c>
      <c r="AQ1114" t="s">
        <v>1142</v>
      </c>
      <c r="AR1114" t="s">
        <v>986</v>
      </c>
      <c r="AT1114" t="s">
        <v>987</v>
      </c>
      <c r="AZ1114" t="s">
        <v>988</v>
      </c>
      <c r="BA1114" t="s">
        <v>989</v>
      </c>
      <c r="BB1114" t="s">
        <v>990</v>
      </c>
      <c r="BD1114" t="s">
        <v>991</v>
      </c>
      <c r="BE1114" t="s">
        <v>292</v>
      </c>
    </row>
    <row r="1115" spans="1:57" ht="13" x14ac:dyDescent="0.15">
      <c r="A1115">
        <v>1839</v>
      </c>
      <c r="B1115">
        <v>60632268</v>
      </c>
      <c r="C1115" t="s">
        <v>292</v>
      </c>
      <c r="D1115" s="7">
        <v>42047</v>
      </c>
      <c r="E1115" s="7">
        <v>45710</v>
      </c>
      <c r="F1115">
        <v>330862</v>
      </c>
      <c r="G1115" t="s">
        <v>983</v>
      </c>
      <c r="H1115" t="s">
        <v>9</v>
      </c>
      <c r="I1115" s="7">
        <v>45636</v>
      </c>
      <c r="J1115" s="8">
        <v>0.58876157407407403</v>
      </c>
      <c r="K1115" t="s">
        <v>984</v>
      </c>
      <c r="AQ1115" t="s">
        <v>1142</v>
      </c>
      <c r="AR1115" t="s">
        <v>1208</v>
      </c>
      <c r="AT1115" t="s">
        <v>987</v>
      </c>
      <c r="AZ1115" t="s">
        <v>1011</v>
      </c>
      <c r="BA1115" t="s">
        <v>1031</v>
      </c>
      <c r="BB1115" t="s">
        <v>1032</v>
      </c>
      <c r="BD1115" t="s">
        <v>1005</v>
      </c>
      <c r="BE1115" t="s">
        <v>292</v>
      </c>
    </row>
    <row r="1116" spans="1:57" ht="13" x14ac:dyDescent="0.15">
      <c r="A1116">
        <v>1839</v>
      </c>
      <c r="B1116">
        <v>60632771</v>
      </c>
      <c r="C1116" t="s">
        <v>293</v>
      </c>
      <c r="D1116" s="7">
        <v>42047</v>
      </c>
      <c r="E1116" s="7">
        <v>45674</v>
      </c>
      <c r="F1116">
        <v>330862</v>
      </c>
      <c r="G1116" t="s">
        <v>983</v>
      </c>
      <c r="H1116" t="s">
        <v>9</v>
      </c>
      <c r="I1116" s="7">
        <v>45672</v>
      </c>
      <c r="J1116" s="8">
        <v>5.5787037037037038E-2</v>
      </c>
      <c r="K1116" t="s">
        <v>984</v>
      </c>
      <c r="AQ1116" t="s">
        <v>998</v>
      </c>
      <c r="AR1116" t="s">
        <v>1395</v>
      </c>
      <c r="AT1116" t="s">
        <v>987</v>
      </c>
      <c r="AZ1116" t="s">
        <v>1016</v>
      </c>
      <c r="BA1116" t="s">
        <v>1017</v>
      </c>
      <c r="BB1116" t="s">
        <v>1018</v>
      </c>
      <c r="BD1116" t="s">
        <v>991</v>
      </c>
      <c r="BE1116" t="s">
        <v>293</v>
      </c>
    </row>
    <row r="1117" spans="1:57" ht="13" x14ac:dyDescent="0.15">
      <c r="A1117">
        <v>1839</v>
      </c>
      <c r="B1117">
        <v>60632771</v>
      </c>
      <c r="C1117" t="s">
        <v>293</v>
      </c>
      <c r="D1117" s="7">
        <v>42047</v>
      </c>
      <c r="E1117" s="7">
        <v>45674</v>
      </c>
      <c r="F1117">
        <v>330862</v>
      </c>
      <c r="G1117" t="s">
        <v>983</v>
      </c>
      <c r="H1117" t="s">
        <v>9</v>
      </c>
      <c r="I1117" s="7">
        <v>45672</v>
      </c>
      <c r="J1117" s="8">
        <v>5.3009259259259256E-2</v>
      </c>
      <c r="K1117" t="s">
        <v>984</v>
      </c>
      <c r="AQ1117" t="s">
        <v>998</v>
      </c>
      <c r="AR1117" t="s">
        <v>1395</v>
      </c>
      <c r="AT1117" t="s">
        <v>987</v>
      </c>
      <c r="AZ1117" t="s">
        <v>1016</v>
      </c>
      <c r="BA1117" t="s">
        <v>1017</v>
      </c>
      <c r="BB1117" t="s">
        <v>1018</v>
      </c>
      <c r="BD1117" t="s">
        <v>991</v>
      </c>
      <c r="BE1117" t="s">
        <v>293</v>
      </c>
    </row>
    <row r="1118" spans="1:57" ht="13" x14ac:dyDescent="0.15">
      <c r="A1118">
        <v>1839</v>
      </c>
      <c r="B1118">
        <v>60632771</v>
      </c>
      <c r="C1118" t="s">
        <v>293</v>
      </c>
      <c r="D1118" s="7">
        <v>42047</v>
      </c>
      <c r="E1118" s="7">
        <v>45674</v>
      </c>
      <c r="F1118">
        <v>330862</v>
      </c>
      <c r="G1118" t="s">
        <v>983</v>
      </c>
      <c r="H1118" t="s">
        <v>9</v>
      </c>
      <c r="I1118" s="7">
        <v>45672</v>
      </c>
      <c r="J1118" s="8">
        <v>5.4664351851851853E-2</v>
      </c>
      <c r="K1118" t="s">
        <v>984</v>
      </c>
      <c r="AQ1118" t="s">
        <v>998</v>
      </c>
      <c r="AR1118" t="s">
        <v>1395</v>
      </c>
      <c r="AT1118" t="s">
        <v>987</v>
      </c>
      <c r="AZ1118" t="s">
        <v>1016</v>
      </c>
      <c r="BA1118" t="s">
        <v>1017</v>
      </c>
      <c r="BB1118" t="s">
        <v>1018</v>
      </c>
      <c r="BD1118" t="s">
        <v>991</v>
      </c>
      <c r="BE1118" t="s">
        <v>293</v>
      </c>
    </row>
    <row r="1119" spans="1:57" ht="13" x14ac:dyDescent="0.15">
      <c r="A1119">
        <v>1839</v>
      </c>
      <c r="B1119">
        <v>62665801</v>
      </c>
      <c r="C1119" t="s">
        <v>294</v>
      </c>
      <c r="D1119" s="7">
        <v>42085</v>
      </c>
      <c r="E1119" s="7">
        <v>45702</v>
      </c>
      <c r="F1119">
        <v>330862</v>
      </c>
      <c r="G1119" t="s">
        <v>983</v>
      </c>
      <c r="H1119" t="s">
        <v>9</v>
      </c>
      <c r="I1119" s="7">
        <v>45679</v>
      </c>
      <c r="J1119" s="8">
        <v>0.67212962962962963</v>
      </c>
      <c r="K1119" t="s">
        <v>984</v>
      </c>
      <c r="AQ1119" t="s">
        <v>992</v>
      </c>
      <c r="AR1119" t="s">
        <v>1083</v>
      </c>
      <c r="AT1119" t="s">
        <v>987</v>
      </c>
      <c r="AZ1119" t="s">
        <v>1011</v>
      </c>
      <c r="BA1119" t="s">
        <v>1012</v>
      </c>
      <c r="BB1119" t="s">
        <v>1013</v>
      </c>
      <c r="BD1119" t="s">
        <v>1014</v>
      </c>
      <c r="BE1119" t="s">
        <v>294</v>
      </c>
    </row>
    <row r="1120" spans="1:57" ht="13" x14ac:dyDescent="0.15">
      <c r="A1120">
        <v>1839</v>
      </c>
      <c r="B1120">
        <v>63010678</v>
      </c>
      <c r="C1120" t="s">
        <v>295</v>
      </c>
      <c r="D1120" s="7">
        <v>42095</v>
      </c>
      <c r="E1120" s="7">
        <v>45713</v>
      </c>
      <c r="F1120">
        <v>330862</v>
      </c>
      <c r="G1120" t="s">
        <v>983</v>
      </c>
      <c r="H1120" t="s">
        <v>9</v>
      </c>
      <c r="I1120" s="7">
        <v>45691</v>
      </c>
      <c r="J1120" s="8">
        <v>0.53505787037037034</v>
      </c>
      <c r="K1120" t="s">
        <v>984</v>
      </c>
      <c r="AQ1120" t="s">
        <v>1090</v>
      </c>
      <c r="AR1120" t="s">
        <v>1422</v>
      </c>
      <c r="AT1120" t="s">
        <v>987</v>
      </c>
      <c r="AZ1120" t="s">
        <v>1024</v>
      </c>
      <c r="BA1120" t="s">
        <v>1047</v>
      </c>
      <c r="BB1120" t="s">
        <v>1048</v>
      </c>
      <c r="BD1120" t="s">
        <v>1014</v>
      </c>
      <c r="BE1120" t="s">
        <v>295</v>
      </c>
    </row>
    <row r="1121" spans="1:57" ht="13" x14ac:dyDescent="0.15">
      <c r="A1121">
        <v>1839</v>
      </c>
      <c r="B1121">
        <v>63010678</v>
      </c>
      <c r="C1121" t="s">
        <v>295</v>
      </c>
      <c r="D1121" s="7">
        <v>42095</v>
      </c>
      <c r="E1121" s="7">
        <v>45713</v>
      </c>
      <c r="F1121">
        <v>330862</v>
      </c>
      <c r="G1121" t="s">
        <v>983</v>
      </c>
      <c r="H1121" t="s">
        <v>9</v>
      </c>
      <c r="I1121" s="7">
        <v>45677</v>
      </c>
      <c r="J1121" s="8">
        <v>0.88434027777777779</v>
      </c>
      <c r="K1121" t="s">
        <v>984</v>
      </c>
      <c r="AQ1121" t="s">
        <v>1090</v>
      </c>
      <c r="AR1121" t="s">
        <v>1083</v>
      </c>
      <c r="AT1121" t="s">
        <v>987</v>
      </c>
      <c r="AZ1121" t="s">
        <v>1011</v>
      </c>
      <c r="BA1121" t="s">
        <v>1012</v>
      </c>
      <c r="BB1121" t="s">
        <v>1013</v>
      </c>
      <c r="BD1121" t="s">
        <v>1014</v>
      </c>
      <c r="BE1121" t="s">
        <v>295</v>
      </c>
    </row>
    <row r="1122" spans="1:57" ht="13" x14ac:dyDescent="0.15">
      <c r="A1122">
        <v>1839</v>
      </c>
      <c r="B1122">
        <v>63010678</v>
      </c>
      <c r="C1122" t="s">
        <v>295</v>
      </c>
      <c r="D1122" s="7">
        <v>42095</v>
      </c>
      <c r="E1122" s="7">
        <v>45713</v>
      </c>
      <c r="F1122">
        <v>330862</v>
      </c>
      <c r="G1122" t="s">
        <v>983</v>
      </c>
      <c r="H1122" t="s">
        <v>9</v>
      </c>
      <c r="I1122" s="7">
        <v>45694</v>
      </c>
      <c r="J1122" s="8">
        <v>0.43011574074074072</v>
      </c>
      <c r="K1122" t="s">
        <v>984</v>
      </c>
      <c r="AQ1122" t="s">
        <v>1090</v>
      </c>
      <c r="AR1122" t="s">
        <v>993</v>
      </c>
      <c r="AT1122" t="s">
        <v>987</v>
      </c>
      <c r="AZ1122" t="s">
        <v>988</v>
      </c>
      <c r="BA1122" t="s">
        <v>989</v>
      </c>
      <c r="BB1122" t="s">
        <v>990</v>
      </c>
      <c r="BD1122" t="s">
        <v>991</v>
      </c>
      <c r="BE1122" t="s">
        <v>295</v>
      </c>
    </row>
    <row r="1123" spans="1:57" ht="13" x14ac:dyDescent="0.15">
      <c r="A1123">
        <v>1839</v>
      </c>
      <c r="B1123">
        <v>65060325</v>
      </c>
      <c r="C1123" t="s">
        <v>296</v>
      </c>
      <c r="D1123" s="7">
        <v>42121</v>
      </c>
      <c r="E1123" s="7">
        <v>45708</v>
      </c>
      <c r="F1123">
        <v>330862</v>
      </c>
      <c r="G1123" t="s">
        <v>983</v>
      </c>
      <c r="H1123" t="s">
        <v>9</v>
      </c>
      <c r="I1123" s="7">
        <v>45705</v>
      </c>
      <c r="J1123" s="8">
        <v>0.32105324074074076</v>
      </c>
      <c r="K1123" t="s">
        <v>984</v>
      </c>
      <c r="AQ1123" t="s">
        <v>1322</v>
      </c>
      <c r="AR1123" t="s">
        <v>997</v>
      </c>
      <c r="AT1123" t="s">
        <v>987</v>
      </c>
      <c r="AZ1123" t="s">
        <v>988</v>
      </c>
      <c r="BA1123" t="s">
        <v>989</v>
      </c>
      <c r="BB1123" t="s">
        <v>990</v>
      </c>
      <c r="BD1123" t="s">
        <v>991</v>
      </c>
      <c r="BE1123" t="s">
        <v>296</v>
      </c>
    </row>
    <row r="1124" spans="1:57" ht="13" x14ac:dyDescent="0.15">
      <c r="A1124">
        <v>1839</v>
      </c>
      <c r="B1124">
        <v>65060325</v>
      </c>
      <c r="C1124" t="s">
        <v>296</v>
      </c>
      <c r="D1124" s="7">
        <v>42121</v>
      </c>
      <c r="E1124" s="7">
        <v>45708</v>
      </c>
      <c r="F1124">
        <v>330862</v>
      </c>
      <c r="G1124" t="s">
        <v>983</v>
      </c>
      <c r="H1124" t="s">
        <v>9</v>
      </c>
      <c r="I1124" s="7">
        <v>45636</v>
      </c>
      <c r="J1124" s="8">
        <v>0.70719907407407412</v>
      </c>
      <c r="K1124" t="s">
        <v>984</v>
      </c>
      <c r="AQ1124" t="s">
        <v>1322</v>
      </c>
      <c r="AR1124" t="s">
        <v>1096</v>
      </c>
      <c r="AT1124" t="s">
        <v>987</v>
      </c>
      <c r="AZ1124" t="s">
        <v>1011</v>
      </c>
      <c r="BA1124" t="s">
        <v>1031</v>
      </c>
      <c r="BB1124" t="s">
        <v>1032</v>
      </c>
      <c r="BD1124" t="s">
        <v>1005</v>
      </c>
      <c r="BE1124" t="s">
        <v>296</v>
      </c>
    </row>
    <row r="1125" spans="1:57" ht="13" x14ac:dyDescent="0.15">
      <c r="A1125">
        <v>1839</v>
      </c>
      <c r="B1125">
        <v>65199726</v>
      </c>
      <c r="C1125" t="s">
        <v>297</v>
      </c>
      <c r="D1125" s="7">
        <v>42124</v>
      </c>
      <c r="E1125" s="7">
        <v>45696</v>
      </c>
      <c r="F1125">
        <v>330862</v>
      </c>
      <c r="G1125" t="s">
        <v>983</v>
      </c>
      <c r="H1125" t="s">
        <v>9</v>
      </c>
      <c r="I1125" s="7">
        <v>45696</v>
      </c>
      <c r="J1125" s="8">
        <v>7.9745370370370369E-2</v>
      </c>
      <c r="K1125" t="s">
        <v>984</v>
      </c>
      <c r="AQ1125" t="s">
        <v>998</v>
      </c>
      <c r="AR1125" t="s">
        <v>986</v>
      </c>
      <c r="AT1125" t="s">
        <v>987</v>
      </c>
      <c r="AZ1125" t="s">
        <v>988</v>
      </c>
      <c r="BA1125" t="s">
        <v>989</v>
      </c>
      <c r="BB1125" t="s">
        <v>990</v>
      </c>
      <c r="BD1125" t="s">
        <v>991</v>
      </c>
      <c r="BE1125" t="s">
        <v>297</v>
      </c>
    </row>
    <row r="1126" spans="1:57" ht="13" x14ac:dyDescent="0.15">
      <c r="A1126">
        <v>1839</v>
      </c>
      <c r="B1126">
        <v>65338569</v>
      </c>
      <c r="C1126" t="s">
        <v>298</v>
      </c>
      <c r="D1126" s="7">
        <v>42130</v>
      </c>
      <c r="E1126" s="7">
        <v>45698</v>
      </c>
      <c r="F1126">
        <v>330862</v>
      </c>
      <c r="G1126" t="s">
        <v>983</v>
      </c>
      <c r="H1126" t="s">
        <v>9</v>
      </c>
      <c r="I1126" s="7">
        <v>45616</v>
      </c>
      <c r="J1126" s="8">
        <v>0.67756944444444445</v>
      </c>
      <c r="K1126" t="s">
        <v>984</v>
      </c>
      <c r="AQ1126" t="s">
        <v>1273</v>
      </c>
      <c r="AR1126" t="s">
        <v>1104</v>
      </c>
      <c r="AT1126" t="s">
        <v>987</v>
      </c>
      <c r="AZ1126" t="s">
        <v>1055</v>
      </c>
      <c r="BA1126" t="s">
        <v>1056</v>
      </c>
      <c r="BB1126" t="s">
        <v>1013</v>
      </c>
      <c r="BD1126" t="s">
        <v>1022</v>
      </c>
      <c r="BE1126" t="s">
        <v>298</v>
      </c>
    </row>
    <row r="1127" spans="1:57" ht="13" x14ac:dyDescent="0.15">
      <c r="A1127">
        <v>1839</v>
      </c>
      <c r="B1127">
        <v>65338569</v>
      </c>
      <c r="C1127" t="s">
        <v>298</v>
      </c>
      <c r="D1127" s="7">
        <v>42130</v>
      </c>
      <c r="E1127" s="7">
        <v>45698</v>
      </c>
      <c r="F1127">
        <v>330862</v>
      </c>
      <c r="G1127" t="s">
        <v>983</v>
      </c>
      <c r="H1127" t="s">
        <v>9</v>
      </c>
      <c r="I1127" s="7">
        <v>45616</v>
      </c>
      <c r="J1127" s="8">
        <v>0.67417824074074073</v>
      </c>
      <c r="K1127" t="s">
        <v>984</v>
      </c>
      <c r="AQ1127" t="s">
        <v>1273</v>
      </c>
      <c r="AR1127" t="s">
        <v>1399</v>
      </c>
      <c r="AT1127" t="s">
        <v>987</v>
      </c>
      <c r="AZ1127" t="s">
        <v>1011</v>
      </c>
      <c r="BA1127" t="s">
        <v>1103</v>
      </c>
      <c r="BB1127" t="s">
        <v>1032</v>
      </c>
      <c r="BD1127" t="s">
        <v>1005</v>
      </c>
      <c r="BE1127" t="s">
        <v>298</v>
      </c>
    </row>
    <row r="1128" spans="1:57" ht="13" x14ac:dyDescent="0.15">
      <c r="A1128">
        <v>1839</v>
      </c>
      <c r="B1128">
        <v>65338569</v>
      </c>
      <c r="C1128" t="s">
        <v>298</v>
      </c>
      <c r="D1128" s="7">
        <v>42130</v>
      </c>
      <c r="E1128" s="7">
        <v>45698</v>
      </c>
      <c r="F1128">
        <v>330862</v>
      </c>
      <c r="G1128" t="s">
        <v>983</v>
      </c>
      <c r="H1128" t="s">
        <v>9</v>
      </c>
      <c r="I1128" s="7">
        <v>45616</v>
      </c>
      <c r="J1128" s="8">
        <v>0.68331018518518516</v>
      </c>
      <c r="K1128" t="s">
        <v>984</v>
      </c>
      <c r="AQ1128" t="s">
        <v>1273</v>
      </c>
      <c r="AR1128" t="s">
        <v>1583</v>
      </c>
      <c r="AT1128" t="s">
        <v>987</v>
      </c>
      <c r="AZ1128" t="s">
        <v>1182</v>
      </c>
      <c r="BA1128" t="s">
        <v>1185</v>
      </c>
      <c r="BB1128" t="s">
        <v>1026</v>
      </c>
      <c r="BD1128" t="s">
        <v>1022</v>
      </c>
      <c r="BE1128" t="s">
        <v>298</v>
      </c>
    </row>
    <row r="1129" spans="1:57" ht="13" x14ac:dyDescent="0.15">
      <c r="A1129">
        <v>1839</v>
      </c>
      <c r="B1129">
        <v>65338569</v>
      </c>
      <c r="C1129" t="s">
        <v>298</v>
      </c>
      <c r="D1129" s="7">
        <v>42130</v>
      </c>
      <c r="E1129" s="7">
        <v>45698</v>
      </c>
      <c r="F1129">
        <v>330862</v>
      </c>
      <c r="G1129" t="s">
        <v>983</v>
      </c>
      <c r="H1129" t="s">
        <v>9</v>
      </c>
      <c r="I1129" s="7">
        <v>45674</v>
      </c>
      <c r="J1129" s="8">
        <v>0.73990740740740746</v>
      </c>
      <c r="K1129" t="s">
        <v>984</v>
      </c>
      <c r="AQ1129" t="s">
        <v>992</v>
      </c>
      <c r="AR1129" t="s">
        <v>1095</v>
      </c>
      <c r="AT1129" t="s">
        <v>987</v>
      </c>
      <c r="AZ1129" t="s">
        <v>1002</v>
      </c>
      <c r="BA1129" t="s">
        <v>1003</v>
      </c>
      <c r="BB1129" t="s">
        <v>1004</v>
      </c>
      <c r="BD1129" t="s">
        <v>1005</v>
      </c>
      <c r="BE1129" t="s">
        <v>298</v>
      </c>
    </row>
    <row r="1130" spans="1:57" ht="13" x14ac:dyDescent="0.15">
      <c r="A1130">
        <v>1839</v>
      </c>
      <c r="B1130">
        <v>65338569</v>
      </c>
      <c r="C1130" t="s">
        <v>298</v>
      </c>
      <c r="D1130" s="7">
        <v>42130</v>
      </c>
      <c r="E1130" s="7">
        <v>45698</v>
      </c>
      <c r="F1130">
        <v>330862</v>
      </c>
      <c r="G1130" t="s">
        <v>983</v>
      </c>
      <c r="H1130" t="s">
        <v>9</v>
      </c>
      <c r="I1130" s="7">
        <v>45674</v>
      </c>
      <c r="J1130" s="8">
        <v>0.73075231481481484</v>
      </c>
      <c r="K1130" t="s">
        <v>984</v>
      </c>
      <c r="AQ1130" t="s">
        <v>992</v>
      </c>
      <c r="AR1130" t="s">
        <v>1095</v>
      </c>
      <c r="AT1130" t="s">
        <v>987</v>
      </c>
      <c r="AZ1130" t="s">
        <v>1002</v>
      </c>
      <c r="BA1130" t="s">
        <v>1003</v>
      </c>
      <c r="BB1130" t="s">
        <v>1004</v>
      </c>
      <c r="BD1130" t="s">
        <v>1005</v>
      </c>
      <c r="BE1130" t="s">
        <v>298</v>
      </c>
    </row>
    <row r="1131" spans="1:57" ht="13" x14ac:dyDescent="0.15">
      <c r="A1131">
        <v>1839</v>
      </c>
      <c r="B1131">
        <v>65451739</v>
      </c>
      <c r="C1131" t="s">
        <v>299</v>
      </c>
      <c r="D1131" s="7">
        <v>42132</v>
      </c>
      <c r="E1131" s="7">
        <v>45710</v>
      </c>
      <c r="F1131">
        <v>330862</v>
      </c>
      <c r="G1131" t="s">
        <v>983</v>
      </c>
      <c r="H1131" t="s">
        <v>9</v>
      </c>
      <c r="I1131" s="7">
        <v>45672</v>
      </c>
      <c r="J1131" s="8">
        <v>0.4629861111111111</v>
      </c>
      <c r="K1131" t="s">
        <v>984</v>
      </c>
      <c r="AQ1131" t="s">
        <v>985</v>
      </c>
      <c r="AR1131" t="s">
        <v>1395</v>
      </c>
      <c r="AT1131" t="s">
        <v>987</v>
      </c>
      <c r="AZ1131" t="s">
        <v>1016</v>
      </c>
      <c r="BA1131" t="s">
        <v>1017</v>
      </c>
      <c r="BB1131" t="s">
        <v>1018</v>
      </c>
      <c r="BD1131" t="s">
        <v>991</v>
      </c>
      <c r="BE1131" t="s">
        <v>299</v>
      </c>
    </row>
    <row r="1132" spans="1:57" ht="13" x14ac:dyDescent="0.15">
      <c r="A1132">
        <v>1839</v>
      </c>
      <c r="B1132">
        <v>65451739</v>
      </c>
      <c r="C1132" t="s">
        <v>299</v>
      </c>
      <c r="D1132" s="7">
        <v>42132</v>
      </c>
      <c r="E1132" s="7">
        <v>45710</v>
      </c>
      <c r="F1132">
        <v>330862</v>
      </c>
      <c r="G1132" t="s">
        <v>983</v>
      </c>
      <c r="H1132" t="s">
        <v>9</v>
      </c>
      <c r="I1132" s="7">
        <v>45647</v>
      </c>
      <c r="J1132" s="8">
        <v>0.74005787037037041</v>
      </c>
      <c r="K1132" t="s">
        <v>984</v>
      </c>
      <c r="AQ1132" t="s">
        <v>985</v>
      </c>
      <c r="AR1132" t="s">
        <v>1584</v>
      </c>
      <c r="AT1132" t="s">
        <v>987</v>
      </c>
      <c r="AZ1132" t="s">
        <v>1007</v>
      </c>
      <c r="BA1132" t="s">
        <v>1008</v>
      </c>
      <c r="BB1132" t="s">
        <v>990</v>
      </c>
      <c r="BD1132" t="s">
        <v>1005</v>
      </c>
      <c r="BE1132" t="s">
        <v>299</v>
      </c>
    </row>
    <row r="1133" spans="1:57" ht="13" x14ac:dyDescent="0.15">
      <c r="A1133">
        <v>1839</v>
      </c>
      <c r="B1133">
        <v>65451739</v>
      </c>
      <c r="C1133" t="s">
        <v>299</v>
      </c>
      <c r="D1133" s="7">
        <v>42132</v>
      </c>
      <c r="E1133" s="7">
        <v>45710</v>
      </c>
      <c r="F1133">
        <v>330862</v>
      </c>
      <c r="G1133" t="s">
        <v>983</v>
      </c>
      <c r="H1133" t="s">
        <v>9</v>
      </c>
      <c r="I1133" s="7">
        <v>45648</v>
      </c>
      <c r="J1133" s="8">
        <v>0.45467592592592593</v>
      </c>
      <c r="K1133" t="s">
        <v>984</v>
      </c>
      <c r="AQ1133" t="s">
        <v>985</v>
      </c>
      <c r="AR1133" t="s">
        <v>1585</v>
      </c>
      <c r="AT1133" t="s">
        <v>987</v>
      </c>
      <c r="AZ1133" t="s">
        <v>1139</v>
      </c>
      <c r="BA1133" t="s">
        <v>1140</v>
      </c>
      <c r="BB1133" t="s">
        <v>1032</v>
      </c>
      <c r="BD1133" t="s">
        <v>1005</v>
      </c>
      <c r="BE1133" t="s">
        <v>299</v>
      </c>
    </row>
    <row r="1134" spans="1:57" ht="13" x14ac:dyDescent="0.15">
      <c r="A1134">
        <v>1839</v>
      </c>
      <c r="B1134">
        <v>65451739</v>
      </c>
      <c r="C1134" t="s">
        <v>299</v>
      </c>
      <c r="D1134" s="7">
        <v>42132</v>
      </c>
      <c r="E1134" s="7">
        <v>45710</v>
      </c>
      <c r="F1134">
        <v>330862</v>
      </c>
      <c r="G1134" t="s">
        <v>983</v>
      </c>
      <c r="H1134" t="s">
        <v>9</v>
      </c>
      <c r="I1134" s="7">
        <v>45634</v>
      </c>
      <c r="J1134" s="8">
        <v>0.56751157407407404</v>
      </c>
      <c r="K1134" t="s">
        <v>984</v>
      </c>
      <c r="AQ1134" t="s">
        <v>985</v>
      </c>
      <c r="AR1134" t="s">
        <v>1129</v>
      </c>
      <c r="AT1134" t="s">
        <v>987</v>
      </c>
      <c r="AZ1134" t="s">
        <v>1011</v>
      </c>
      <c r="BA1134" t="s">
        <v>1031</v>
      </c>
      <c r="BB1134" t="s">
        <v>1032</v>
      </c>
      <c r="BD1134" t="s">
        <v>1005</v>
      </c>
      <c r="BE1134" t="s">
        <v>299</v>
      </c>
    </row>
    <row r="1135" spans="1:57" ht="13" x14ac:dyDescent="0.15">
      <c r="A1135">
        <v>1839</v>
      </c>
      <c r="B1135">
        <v>65451739</v>
      </c>
      <c r="C1135" t="s">
        <v>299</v>
      </c>
      <c r="D1135" s="7">
        <v>42132</v>
      </c>
      <c r="E1135" s="7">
        <v>45710</v>
      </c>
      <c r="F1135">
        <v>330862</v>
      </c>
      <c r="G1135" t="s">
        <v>983</v>
      </c>
      <c r="H1135" t="s">
        <v>9</v>
      </c>
      <c r="I1135" s="7">
        <v>45635</v>
      </c>
      <c r="J1135" s="8">
        <v>0.48048611111111111</v>
      </c>
      <c r="K1135" t="s">
        <v>984</v>
      </c>
      <c r="AQ1135" t="s">
        <v>985</v>
      </c>
      <c r="AR1135" t="s">
        <v>1209</v>
      </c>
      <c r="AT1135" t="s">
        <v>987</v>
      </c>
      <c r="AZ1135" t="s">
        <v>1024</v>
      </c>
      <c r="BA1135" t="s">
        <v>1025</v>
      </c>
      <c r="BB1135" t="s">
        <v>1026</v>
      </c>
      <c r="BD1135" t="s">
        <v>1022</v>
      </c>
      <c r="BE1135" t="s">
        <v>299</v>
      </c>
    </row>
    <row r="1136" spans="1:57" ht="13" x14ac:dyDescent="0.15">
      <c r="A1136">
        <v>1839</v>
      </c>
      <c r="B1136">
        <v>65451739</v>
      </c>
      <c r="C1136" t="s">
        <v>299</v>
      </c>
      <c r="D1136" s="7">
        <v>42132</v>
      </c>
      <c r="E1136" s="7">
        <v>45710</v>
      </c>
      <c r="F1136">
        <v>330862</v>
      </c>
      <c r="G1136" t="s">
        <v>983</v>
      </c>
      <c r="H1136" t="s">
        <v>9</v>
      </c>
      <c r="I1136" s="7">
        <v>45636</v>
      </c>
      <c r="J1136" s="8">
        <v>0.53568287037037032</v>
      </c>
      <c r="K1136" t="s">
        <v>984</v>
      </c>
      <c r="AQ1136" t="s">
        <v>985</v>
      </c>
      <c r="AR1136" t="s">
        <v>1131</v>
      </c>
      <c r="AT1136" t="s">
        <v>987</v>
      </c>
      <c r="AZ1136" t="s">
        <v>1020</v>
      </c>
      <c r="BA1136" t="s">
        <v>1021</v>
      </c>
      <c r="BB1136" t="s">
        <v>1018</v>
      </c>
      <c r="BD1136" t="s">
        <v>1022</v>
      </c>
      <c r="BE1136" t="s">
        <v>299</v>
      </c>
    </row>
    <row r="1137" spans="1:57" ht="13" x14ac:dyDescent="0.15">
      <c r="A1137">
        <v>1839</v>
      </c>
      <c r="B1137">
        <v>65451739</v>
      </c>
      <c r="C1137" t="s">
        <v>299</v>
      </c>
      <c r="D1137" s="7">
        <v>42132</v>
      </c>
      <c r="E1137" s="7">
        <v>45710</v>
      </c>
      <c r="F1137">
        <v>330862</v>
      </c>
      <c r="G1137" t="s">
        <v>983</v>
      </c>
      <c r="H1137" t="s">
        <v>9</v>
      </c>
      <c r="I1137" s="7">
        <v>45648</v>
      </c>
      <c r="J1137" s="8">
        <v>0.46900462962962963</v>
      </c>
      <c r="K1137" t="s">
        <v>984</v>
      </c>
      <c r="AQ1137" t="s">
        <v>985</v>
      </c>
      <c r="AR1137" t="s">
        <v>1586</v>
      </c>
      <c r="AT1137" t="s">
        <v>987</v>
      </c>
      <c r="AZ1137" t="s">
        <v>1071</v>
      </c>
      <c r="BA1137" t="s">
        <v>1072</v>
      </c>
      <c r="BB1137" t="s">
        <v>1048</v>
      </c>
      <c r="BD1137" t="s">
        <v>1005</v>
      </c>
      <c r="BE1137" t="s">
        <v>299</v>
      </c>
    </row>
    <row r="1138" spans="1:57" ht="13" x14ac:dyDescent="0.15">
      <c r="A1138">
        <v>1839</v>
      </c>
      <c r="B1138">
        <v>65451739</v>
      </c>
      <c r="C1138" t="s">
        <v>299</v>
      </c>
      <c r="D1138" s="7">
        <v>42132</v>
      </c>
      <c r="E1138" s="7">
        <v>45710</v>
      </c>
      <c r="F1138">
        <v>330862</v>
      </c>
      <c r="G1138" t="s">
        <v>983</v>
      </c>
      <c r="H1138" t="s">
        <v>9</v>
      </c>
      <c r="I1138" s="7">
        <v>45678</v>
      </c>
      <c r="J1138" s="8">
        <v>0.45331018518518518</v>
      </c>
      <c r="K1138" t="s">
        <v>984</v>
      </c>
      <c r="AQ1138" t="s">
        <v>985</v>
      </c>
      <c r="AR1138" t="s">
        <v>1050</v>
      </c>
      <c r="AT1138" t="s">
        <v>987</v>
      </c>
      <c r="AZ1138" t="s">
        <v>1011</v>
      </c>
      <c r="BA1138" t="s">
        <v>1012</v>
      </c>
      <c r="BB1138" t="s">
        <v>1013</v>
      </c>
      <c r="BD1138" t="s">
        <v>1014</v>
      </c>
      <c r="BE1138" t="s">
        <v>299</v>
      </c>
    </row>
    <row r="1139" spans="1:57" ht="13" x14ac:dyDescent="0.15">
      <c r="A1139">
        <v>1839</v>
      </c>
      <c r="B1139">
        <v>65451739</v>
      </c>
      <c r="C1139" t="s">
        <v>299</v>
      </c>
      <c r="D1139" s="7">
        <v>42132</v>
      </c>
      <c r="E1139" s="7">
        <v>45710</v>
      </c>
      <c r="F1139">
        <v>330862</v>
      </c>
      <c r="G1139" t="s">
        <v>983</v>
      </c>
      <c r="H1139" t="s">
        <v>9</v>
      </c>
      <c r="I1139" s="7">
        <v>45694</v>
      </c>
      <c r="J1139" s="8">
        <v>0.51854166666666668</v>
      </c>
      <c r="K1139" t="s">
        <v>984</v>
      </c>
      <c r="AQ1139" t="s">
        <v>985</v>
      </c>
      <c r="AR1139" t="s">
        <v>986</v>
      </c>
      <c r="AT1139" t="s">
        <v>987</v>
      </c>
      <c r="AZ1139" t="s">
        <v>988</v>
      </c>
      <c r="BA1139" t="s">
        <v>989</v>
      </c>
      <c r="BB1139" t="s">
        <v>990</v>
      </c>
      <c r="BD1139" t="s">
        <v>991</v>
      </c>
      <c r="BE1139" t="s">
        <v>299</v>
      </c>
    </row>
    <row r="1140" spans="1:57" ht="13" x14ac:dyDescent="0.15">
      <c r="A1140">
        <v>1839</v>
      </c>
      <c r="B1140">
        <v>65451739</v>
      </c>
      <c r="C1140" t="s">
        <v>299</v>
      </c>
      <c r="D1140" s="7">
        <v>42132</v>
      </c>
      <c r="E1140" s="7">
        <v>45710</v>
      </c>
      <c r="F1140">
        <v>330862</v>
      </c>
      <c r="G1140" t="s">
        <v>983</v>
      </c>
      <c r="H1140" t="s">
        <v>9</v>
      </c>
      <c r="I1140" s="7">
        <v>45708</v>
      </c>
      <c r="J1140" s="8">
        <v>0.50386574074074075</v>
      </c>
      <c r="K1140" t="s">
        <v>984</v>
      </c>
      <c r="AQ1140" t="s">
        <v>985</v>
      </c>
      <c r="AR1140" t="s">
        <v>1587</v>
      </c>
      <c r="AT1140" t="s">
        <v>987</v>
      </c>
      <c r="AZ1140" t="s">
        <v>1182</v>
      </c>
      <c r="BA1140" t="s">
        <v>1183</v>
      </c>
      <c r="BB1140" t="s">
        <v>990</v>
      </c>
      <c r="BD1140" t="s">
        <v>991</v>
      </c>
      <c r="BE1140" t="s">
        <v>299</v>
      </c>
    </row>
    <row r="1141" spans="1:57" ht="13" x14ac:dyDescent="0.15">
      <c r="A1141">
        <v>1839</v>
      </c>
      <c r="B1141">
        <v>65451739</v>
      </c>
      <c r="C1141" t="s">
        <v>299</v>
      </c>
      <c r="D1141" s="7">
        <v>42132</v>
      </c>
      <c r="E1141" s="7">
        <v>45710</v>
      </c>
      <c r="F1141">
        <v>330862</v>
      </c>
      <c r="G1141" t="s">
        <v>983</v>
      </c>
      <c r="H1141" t="s">
        <v>9</v>
      </c>
      <c r="I1141" s="7">
        <v>45707</v>
      </c>
      <c r="J1141" s="8">
        <v>0.48620370370370369</v>
      </c>
      <c r="K1141" t="s">
        <v>984</v>
      </c>
      <c r="AQ1141" t="s">
        <v>985</v>
      </c>
      <c r="AR1141" t="s">
        <v>1588</v>
      </c>
      <c r="AT1141" t="s">
        <v>987</v>
      </c>
      <c r="AZ1141" t="s">
        <v>1028</v>
      </c>
      <c r="BA1141" t="s">
        <v>1037</v>
      </c>
      <c r="BB1141" t="s">
        <v>1038</v>
      </c>
      <c r="BD1141" t="s">
        <v>991</v>
      </c>
      <c r="BE1141" t="s">
        <v>299</v>
      </c>
    </row>
    <row r="1142" spans="1:57" ht="13" x14ac:dyDescent="0.15">
      <c r="A1142">
        <v>1839</v>
      </c>
      <c r="B1142">
        <v>65451739</v>
      </c>
      <c r="C1142" t="s">
        <v>299</v>
      </c>
      <c r="D1142" s="7">
        <v>42132</v>
      </c>
      <c r="E1142" s="7">
        <v>45710</v>
      </c>
      <c r="F1142">
        <v>330862</v>
      </c>
      <c r="G1142" t="s">
        <v>983</v>
      </c>
      <c r="H1142" t="s">
        <v>9</v>
      </c>
      <c r="I1142" s="7">
        <v>45705</v>
      </c>
      <c r="J1142" s="8">
        <v>0.51164351851851853</v>
      </c>
      <c r="K1142" t="s">
        <v>984</v>
      </c>
      <c r="AQ1142" t="s">
        <v>985</v>
      </c>
      <c r="AR1142" t="s">
        <v>1341</v>
      </c>
      <c r="AT1142" t="s">
        <v>987</v>
      </c>
      <c r="AZ1142" t="s">
        <v>1174</v>
      </c>
      <c r="BA1142" t="s">
        <v>1175</v>
      </c>
      <c r="BB1142" t="s">
        <v>990</v>
      </c>
      <c r="BD1142" t="s">
        <v>991</v>
      </c>
      <c r="BE1142" t="s">
        <v>299</v>
      </c>
    </row>
    <row r="1143" spans="1:57" ht="13" x14ac:dyDescent="0.15">
      <c r="A1143">
        <v>1839</v>
      </c>
      <c r="B1143">
        <v>65451739</v>
      </c>
      <c r="C1143" t="s">
        <v>299</v>
      </c>
      <c r="D1143" s="7">
        <v>42132</v>
      </c>
      <c r="E1143" s="7">
        <v>45710</v>
      </c>
      <c r="F1143">
        <v>330862</v>
      </c>
      <c r="G1143" t="s">
        <v>983</v>
      </c>
      <c r="H1143" t="s">
        <v>9</v>
      </c>
      <c r="I1143" s="7">
        <v>45631</v>
      </c>
      <c r="J1143" s="8">
        <v>0.47062500000000002</v>
      </c>
      <c r="K1143" t="s">
        <v>984</v>
      </c>
      <c r="AQ1143" t="s">
        <v>985</v>
      </c>
      <c r="AR1143" t="s">
        <v>1589</v>
      </c>
      <c r="AT1143" t="s">
        <v>987</v>
      </c>
      <c r="AZ1143" t="s">
        <v>1239</v>
      </c>
      <c r="BA1143" t="s">
        <v>1281</v>
      </c>
      <c r="BB1143" t="s">
        <v>1026</v>
      </c>
      <c r="BD1143" t="s">
        <v>1022</v>
      </c>
      <c r="BE1143" t="s">
        <v>299</v>
      </c>
    </row>
    <row r="1144" spans="1:57" ht="13" x14ac:dyDescent="0.15">
      <c r="A1144">
        <v>1839</v>
      </c>
      <c r="B1144">
        <v>65451739</v>
      </c>
      <c r="C1144" t="s">
        <v>299</v>
      </c>
      <c r="D1144" s="7">
        <v>42132</v>
      </c>
      <c r="E1144" s="7">
        <v>45710</v>
      </c>
      <c r="F1144">
        <v>330862</v>
      </c>
      <c r="G1144" t="s">
        <v>983</v>
      </c>
      <c r="H1144" t="s">
        <v>9</v>
      </c>
      <c r="I1144" s="7">
        <v>45703</v>
      </c>
      <c r="J1144" s="8">
        <v>0.54530092592592594</v>
      </c>
      <c r="K1144" t="s">
        <v>984</v>
      </c>
      <c r="AQ1144" t="s">
        <v>985</v>
      </c>
      <c r="AR1144" t="s">
        <v>1289</v>
      </c>
      <c r="AT1144" t="s">
        <v>987</v>
      </c>
      <c r="AZ1144" t="s">
        <v>1220</v>
      </c>
      <c r="BA1144" t="s">
        <v>1221</v>
      </c>
      <c r="BB1144" t="s">
        <v>1082</v>
      </c>
      <c r="BD1144" t="s">
        <v>991</v>
      </c>
      <c r="BE1144" t="s">
        <v>299</v>
      </c>
    </row>
    <row r="1145" spans="1:57" ht="13" x14ac:dyDescent="0.15">
      <c r="A1145">
        <v>1839</v>
      </c>
      <c r="B1145">
        <v>65451739</v>
      </c>
      <c r="C1145" t="s">
        <v>299</v>
      </c>
      <c r="D1145" s="7">
        <v>42132</v>
      </c>
      <c r="E1145" s="7">
        <v>45710</v>
      </c>
      <c r="F1145">
        <v>330862</v>
      </c>
      <c r="G1145" t="s">
        <v>983</v>
      </c>
      <c r="H1145" t="s">
        <v>9</v>
      </c>
      <c r="I1145" s="7">
        <v>45704</v>
      </c>
      <c r="J1145" s="8">
        <v>0.46871527777777777</v>
      </c>
      <c r="K1145" t="s">
        <v>984</v>
      </c>
      <c r="AQ1145" t="s">
        <v>985</v>
      </c>
      <c r="AR1145" t="s">
        <v>1590</v>
      </c>
      <c r="AT1145" t="s">
        <v>987</v>
      </c>
      <c r="AZ1145" t="s">
        <v>1080</v>
      </c>
      <c r="BA1145" t="s">
        <v>1081</v>
      </c>
      <c r="BB1145" t="s">
        <v>1082</v>
      </c>
      <c r="BD1145" t="s">
        <v>991</v>
      </c>
      <c r="BE1145" t="s">
        <v>299</v>
      </c>
    </row>
    <row r="1146" spans="1:57" ht="13" x14ac:dyDescent="0.15">
      <c r="A1146">
        <v>1839</v>
      </c>
      <c r="B1146">
        <v>65451739</v>
      </c>
      <c r="C1146" t="s">
        <v>299</v>
      </c>
      <c r="D1146" s="7">
        <v>42132</v>
      </c>
      <c r="E1146" s="7">
        <v>45710</v>
      </c>
      <c r="F1146">
        <v>330862</v>
      </c>
      <c r="G1146" t="s">
        <v>983</v>
      </c>
      <c r="H1146" t="s">
        <v>9</v>
      </c>
      <c r="I1146" s="7">
        <v>45624</v>
      </c>
      <c r="J1146" s="8">
        <v>0.49873842592592593</v>
      </c>
      <c r="K1146" t="s">
        <v>984</v>
      </c>
      <c r="AQ1146" t="s">
        <v>985</v>
      </c>
      <c r="AR1146" t="s">
        <v>1591</v>
      </c>
      <c r="AT1146" t="s">
        <v>987</v>
      </c>
      <c r="AZ1146" t="s">
        <v>1028</v>
      </c>
      <c r="BA1146" t="s">
        <v>1029</v>
      </c>
      <c r="BB1146" t="s">
        <v>1018</v>
      </c>
      <c r="BD1146" t="s">
        <v>1022</v>
      </c>
      <c r="BE1146" t="s">
        <v>299</v>
      </c>
    </row>
    <row r="1147" spans="1:57" ht="13" x14ac:dyDescent="0.15">
      <c r="A1147">
        <v>1839</v>
      </c>
      <c r="B1147">
        <v>65616037</v>
      </c>
      <c r="C1147" t="s">
        <v>300</v>
      </c>
      <c r="D1147" s="7">
        <v>42136</v>
      </c>
      <c r="E1147" s="7">
        <v>45699</v>
      </c>
      <c r="F1147">
        <v>330862</v>
      </c>
      <c r="G1147" t="s">
        <v>983</v>
      </c>
      <c r="H1147" t="s">
        <v>9</v>
      </c>
      <c r="I1147" s="7">
        <v>45694</v>
      </c>
      <c r="J1147" s="8">
        <v>0.35706018518518517</v>
      </c>
      <c r="K1147" t="s">
        <v>984</v>
      </c>
      <c r="AQ1147" t="s">
        <v>992</v>
      </c>
      <c r="AR1147" t="s">
        <v>993</v>
      </c>
      <c r="AT1147" t="s">
        <v>987</v>
      </c>
      <c r="AZ1147" t="s">
        <v>988</v>
      </c>
      <c r="BA1147" t="s">
        <v>989</v>
      </c>
      <c r="BB1147" t="s">
        <v>990</v>
      </c>
      <c r="BD1147" t="s">
        <v>991</v>
      </c>
      <c r="BE1147" t="s">
        <v>300</v>
      </c>
    </row>
    <row r="1148" spans="1:57" ht="13" x14ac:dyDescent="0.15">
      <c r="A1148">
        <v>1839</v>
      </c>
      <c r="B1148">
        <v>68655136</v>
      </c>
      <c r="C1148" t="s">
        <v>301</v>
      </c>
      <c r="D1148" s="7">
        <v>42165</v>
      </c>
      <c r="E1148" s="7">
        <v>45708</v>
      </c>
      <c r="F1148">
        <v>330862</v>
      </c>
      <c r="G1148" t="s">
        <v>983</v>
      </c>
      <c r="H1148" t="s">
        <v>9</v>
      </c>
      <c r="I1148" s="7">
        <v>45694</v>
      </c>
      <c r="J1148" s="8">
        <v>0.48978009259259259</v>
      </c>
      <c r="K1148" t="s">
        <v>984</v>
      </c>
      <c r="AQ1148" t="s">
        <v>985</v>
      </c>
      <c r="AR1148" t="s">
        <v>1066</v>
      </c>
      <c r="AT1148" t="s">
        <v>987</v>
      </c>
      <c r="AZ1148" t="s">
        <v>988</v>
      </c>
      <c r="BA1148" t="s">
        <v>989</v>
      </c>
      <c r="BB1148" t="s">
        <v>990</v>
      </c>
      <c r="BD1148" t="s">
        <v>991</v>
      </c>
      <c r="BE1148" t="s">
        <v>301</v>
      </c>
    </row>
    <row r="1149" spans="1:57" ht="13" x14ac:dyDescent="0.15">
      <c r="A1149">
        <v>1839</v>
      </c>
      <c r="B1149">
        <v>68743017</v>
      </c>
      <c r="C1149" t="s">
        <v>302</v>
      </c>
      <c r="D1149" s="7">
        <v>42166</v>
      </c>
      <c r="E1149" s="7">
        <v>45694</v>
      </c>
      <c r="F1149">
        <v>330862</v>
      </c>
      <c r="G1149" t="s">
        <v>983</v>
      </c>
      <c r="H1149" t="s">
        <v>9</v>
      </c>
      <c r="I1149" s="7">
        <v>45694</v>
      </c>
      <c r="J1149" s="8">
        <v>0.71065972222222218</v>
      </c>
      <c r="K1149" t="s">
        <v>984</v>
      </c>
      <c r="AQ1149" t="s">
        <v>992</v>
      </c>
      <c r="AR1149" t="s">
        <v>986</v>
      </c>
      <c r="AT1149" t="s">
        <v>987</v>
      </c>
      <c r="AZ1149" t="s">
        <v>988</v>
      </c>
      <c r="BA1149" t="s">
        <v>989</v>
      </c>
      <c r="BB1149" t="s">
        <v>990</v>
      </c>
      <c r="BD1149" t="s">
        <v>991</v>
      </c>
      <c r="BE1149" t="s">
        <v>302</v>
      </c>
    </row>
    <row r="1150" spans="1:57" ht="13" x14ac:dyDescent="0.15">
      <c r="A1150">
        <v>1839</v>
      </c>
      <c r="B1150">
        <v>68883897</v>
      </c>
      <c r="C1150" t="s">
        <v>303</v>
      </c>
      <c r="D1150" s="7">
        <v>42169</v>
      </c>
      <c r="E1150" s="7">
        <v>45697</v>
      </c>
      <c r="F1150">
        <v>330862</v>
      </c>
      <c r="G1150" t="s">
        <v>983</v>
      </c>
      <c r="H1150" t="s">
        <v>9</v>
      </c>
      <c r="I1150" s="7">
        <v>45694</v>
      </c>
      <c r="J1150" s="8">
        <v>0.544525462962963</v>
      </c>
      <c r="K1150" t="s">
        <v>984</v>
      </c>
      <c r="AQ1150" t="s">
        <v>985</v>
      </c>
      <c r="AR1150" t="s">
        <v>993</v>
      </c>
      <c r="AT1150" t="s">
        <v>987</v>
      </c>
      <c r="AZ1150" t="s">
        <v>988</v>
      </c>
      <c r="BA1150" t="s">
        <v>989</v>
      </c>
      <c r="BB1150" t="s">
        <v>990</v>
      </c>
      <c r="BD1150" t="s">
        <v>991</v>
      </c>
      <c r="BE1150" t="s">
        <v>303</v>
      </c>
    </row>
    <row r="1151" spans="1:57" ht="13" x14ac:dyDescent="0.15">
      <c r="A1151">
        <v>1839</v>
      </c>
      <c r="B1151">
        <v>69571639</v>
      </c>
      <c r="C1151" t="s">
        <v>304</v>
      </c>
      <c r="D1151" s="7">
        <v>42176</v>
      </c>
      <c r="E1151" s="7">
        <v>45710</v>
      </c>
      <c r="F1151">
        <v>330862</v>
      </c>
      <c r="G1151" t="s">
        <v>983</v>
      </c>
      <c r="H1151" t="s">
        <v>9</v>
      </c>
      <c r="I1151" s="7">
        <v>45674</v>
      </c>
      <c r="J1151" s="8">
        <v>0.61614583333333328</v>
      </c>
      <c r="K1151" t="s">
        <v>984</v>
      </c>
      <c r="AQ1151" t="s">
        <v>1142</v>
      </c>
      <c r="AR1151" t="s">
        <v>1095</v>
      </c>
      <c r="AT1151" t="s">
        <v>987</v>
      </c>
      <c r="AZ1151" t="s">
        <v>1002</v>
      </c>
      <c r="BA1151" t="s">
        <v>1003</v>
      </c>
      <c r="BB1151" t="s">
        <v>1004</v>
      </c>
      <c r="BD1151" t="s">
        <v>1005</v>
      </c>
      <c r="BE1151" t="s">
        <v>304</v>
      </c>
    </row>
    <row r="1152" spans="1:57" ht="13" x14ac:dyDescent="0.15">
      <c r="A1152">
        <v>1839</v>
      </c>
      <c r="B1152">
        <v>69571639</v>
      </c>
      <c r="C1152" t="s">
        <v>304</v>
      </c>
      <c r="D1152" s="7">
        <v>42176</v>
      </c>
      <c r="E1152" s="7">
        <v>45710</v>
      </c>
      <c r="F1152">
        <v>330862</v>
      </c>
      <c r="G1152" t="s">
        <v>983</v>
      </c>
      <c r="H1152" t="s">
        <v>9</v>
      </c>
      <c r="I1152" s="7">
        <v>45674</v>
      </c>
      <c r="J1152" s="8">
        <v>0.62025462962962963</v>
      </c>
      <c r="K1152" t="s">
        <v>984</v>
      </c>
      <c r="AQ1152" t="s">
        <v>1142</v>
      </c>
      <c r="AR1152" t="s">
        <v>1107</v>
      </c>
      <c r="AT1152" t="s">
        <v>987</v>
      </c>
      <c r="AZ1152" t="s">
        <v>1007</v>
      </c>
      <c r="BA1152" t="s">
        <v>1008</v>
      </c>
      <c r="BB1152" t="s">
        <v>990</v>
      </c>
      <c r="BD1152" t="s">
        <v>1005</v>
      </c>
      <c r="BE1152" t="s">
        <v>304</v>
      </c>
    </row>
    <row r="1153" spans="1:57" ht="13" x14ac:dyDescent="0.15">
      <c r="A1153">
        <v>1839</v>
      </c>
      <c r="B1153">
        <v>69571639</v>
      </c>
      <c r="C1153" t="s">
        <v>304</v>
      </c>
      <c r="D1153" s="7">
        <v>42176</v>
      </c>
      <c r="E1153" s="7">
        <v>45710</v>
      </c>
      <c r="F1153">
        <v>330862</v>
      </c>
      <c r="G1153" t="s">
        <v>983</v>
      </c>
      <c r="H1153" t="s">
        <v>9</v>
      </c>
      <c r="I1153" s="7">
        <v>45674</v>
      </c>
      <c r="J1153" s="8">
        <v>0.61076388888888888</v>
      </c>
      <c r="K1153" t="s">
        <v>984</v>
      </c>
      <c r="AQ1153" t="s">
        <v>1142</v>
      </c>
      <c r="AR1153" t="s">
        <v>1095</v>
      </c>
      <c r="AT1153" t="s">
        <v>987</v>
      </c>
      <c r="AZ1153" t="s">
        <v>1002</v>
      </c>
      <c r="BA1153" t="s">
        <v>1003</v>
      </c>
      <c r="BB1153" t="s">
        <v>1004</v>
      </c>
      <c r="BD1153" t="s">
        <v>1005</v>
      </c>
      <c r="BE1153" t="s">
        <v>304</v>
      </c>
    </row>
    <row r="1154" spans="1:57" ht="13" x14ac:dyDescent="0.15">
      <c r="A1154">
        <v>1839</v>
      </c>
      <c r="B1154">
        <v>69571639</v>
      </c>
      <c r="C1154" t="s">
        <v>304</v>
      </c>
      <c r="D1154" s="7">
        <v>42176</v>
      </c>
      <c r="E1154" s="7">
        <v>45710</v>
      </c>
      <c r="F1154">
        <v>330862</v>
      </c>
      <c r="G1154" t="s">
        <v>983</v>
      </c>
      <c r="H1154" t="s">
        <v>9</v>
      </c>
      <c r="I1154" s="7">
        <v>45636</v>
      </c>
      <c r="J1154" s="8">
        <v>0.76854166666666668</v>
      </c>
      <c r="K1154" t="s">
        <v>984</v>
      </c>
      <c r="AQ1154" t="s">
        <v>1261</v>
      </c>
      <c r="AR1154" t="s">
        <v>1098</v>
      </c>
      <c r="AT1154" t="s">
        <v>987</v>
      </c>
      <c r="AZ1154" t="s">
        <v>1020</v>
      </c>
      <c r="BA1154" t="s">
        <v>1021</v>
      </c>
      <c r="BB1154" t="s">
        <v>1018</v>
      </c>
      <c r="BD1154" t="s">
        <v>1022</v>
      </c>
      <c r="BE1154" t="s">
        <v>304</v>
      </c>
    </row>
    <row r="1155" spans="1:57" ht="13" x14ac:dyDescent="0.15">
      <c r="A1155">
        <v>1839</v>
      </c>
      <c r="B1155">
        <v>69571639</v>
      </c>
      <c r="C1155" t="s">
        <v>304</v>
      </c>
      <c r="D1155" s="7">
        <v>42176</v>
      </c>
      <c r="E1155" s="7">
        <v>45710</v>
      </c>
      <c r="F1155">
        <v>330862</v>
      </c>
      <c r="G1155" t="s">
        <v>983</v>
      </c>
      <c r="H1155" t="s">
        <v>9</v>
      </c>
      <c r="I1155" s="7">
        <v>45636</v>
      </c>
      <c r="J1155" s="8">
        <v>0.75916666666666666</v>
      </c>
      <c r="K1155" t="s">
        <v>984</v>
      </c>
      <c r="AQ1155" t="s">
        <v>1261</v>
      </c>
      <c r="AR1155" t="s">
        <v>1096</v>
      </c>
      <c r="AT1155" t="s">
        <v>987</v>
      </c>
      <c r="AZ1155" t="s">
        <v>1011</v>
      </c>
      <c r="BA1155" t="s">
        <v>1031</v>
      </c>
      <c r="BB1155" t="s">
        <v>1032</v>
      </c>
      <c r="BD1155" t="s">
        <v>1005</v>
      </c>
      <c r="BE1155" t="s">
        <v>304</v>
      </c>
    </row>
    <row r="1156" spans="1:57" ht="13" x14ac:dyDescent="0.15">
      <c r="A1156">
        <v>1839</v>
      </c>
      <c r="B1156">
        <v>69571639</v>
      </c>
      <c r="C1156" t="s">
        <v>304</v>
      </c>
      <c r="D1156" s="7">
        <v>42176</v>
      </c>
      <c r="E1156" s="7">
        <v>45710</v>
      </c>
      <c r="F1156">
        <v>330862</v>
      </c>
      <c r="G1156" t="s">
        <v>983</v>
      </c>
      <c r="H1156" t="s">
        <v>9</v>
      </c>
      <c r="I1156" s="7">
        <v>45636</v>
      </c>
      <c r="J1156" s="8">
        <v>0.76527777777777772</v>
      </c>
      <c r="K1156" t="s">
        <v>984</v>
      </c>
      <c r="AQ1156" t="s">
        <v>1261</v>
      </c>
      <c r="AR1156" t="s">
        <v>1262</v>
      </c>
      <c r="AT1156" t="s">
        <v>987</v>
      </c>
      <c r="AZ1156" t="s">
        <v>1028</v>
      </c>
      <c r="BA1156" t="s">
        <v>1029</v>
      </c>
      <c r="BB1156" t="s">
        <v>1018</v>
      </c>
      <c r="BD1156" t="s">
        <v>1022</v>
      </c>
      <c r="BE1156" t="s">
        <v>304</v>
      </c>
    </row>
    <row r="1157" spans="1:57" ht="13" x14ac:dyDescent="0.15">
      <c r="A1157">
        <v>1839</v>
      </c>
      <c r="B1157">
        <v>69571639</v>
      </c>
      <c r="C1157" t="s">
        <v>304</v>
      </c>
      <c r="D1157" s="7">
        <v>42176</v>
      </c>
      <c r="E1157" s="7">
        <v>45710</v>
      </c>
      <c r="F1157">
        <v>330862</v>
      </c>
      <c r="G1157" t="s">
        <v>983</v>
      </c>
      <c r="H1157" t="s">
        <v>9</v>
      </c>
      <c r="I1157" s="7">
        <v>45636</v>
      </c>
      <c r="J1157" s="8">
        <v>0.76795138888888892</v>
      </c>
      <c r="K1157" t="s">
        <v>984</v>
      </c>
      <c r="AQ1157" t="s">
        <v>1261</v>
      </c>
      <c r="AR1157" t="s">
        <v>1097</v>
      </c>
      <c r="AT1157" t="s">
        <v>987</v>
      </c>
      <c r="AZ1157" t="s">
        <v>1024</v>
      </c>
      <c r="BA1157" t="s">
        <v>1025</v>
      </c>
      <c r="BB1157" t="s">
        <v>1026</v>
      </c>
      <c r="BD1157" t="s">
        <v>1022</v>
      </c>
      <c r="BE1157" t="s">
        <v>304</v>
      </c>
    </row>
    <row r="1158" spans="1:57" ht="13" x14ac:dyDescent="0.15">
      <c r="A1158">
        <v>1839</v>
      </c>
      <c r="B1158">
        <v>69662633</v>
      </c>
      <c r="C1158" t="s">
        <v>305</v>
      </c>
      <c r="D1158" s="7">
        <v>42177</v>
      </c>
      <c r="E1158" s="7">
        <v>45701</v>
      </c>
      <c r="F1158">
        <v>330862</v>
      </c>
      <c r="G1158" t="s">
        <v>983</v>
      </c>
      <c r="H1158" t="s">
        <v>9</v>
      </c>
      <c r="I1158" s="7">
        <v>45694</v>
      </c>
      <c r="J1158" s="8">
        <v>0.43918981481481484</v>
      </c>
      <c r="K1158" t="s">
        <v>984</v>
      </c>
      <c r="AQ1158" t="s">
        <v>1592</v>
      </c>
      <c r="AR1158" t="s">
        <v>986</v>
      </c>
      <c r="AT1158" t="s">
        <v>987</v>
      </c>
      <c r="AZ1158" t="s">
        <v>988</v>
      </c>
      <c r="BA1158" t="s">
        <v>989</v>
      </c>
      <c r="BB1158" t="s">
        <v>990</v>
      </c>
      <c r="BD1158" t="s">
        <v>991</v>
      </c>
      <c r="BE1158" t="s">
        <v>305</v>
      </c>
    </row>
    <row r="1159" spans="1:57" ht="13" x14ac:dyDescent="0.15">
      <c r="A1159">
        <v>1839</v>
      </c>
      <c r="B1159">
        <v>71159193</v>
      </c>
      <c r="C1159" t="s">
        <v>306</v>
      </c>
      <c r="D1159" s="7">
        <v>42202</v>
      </c>
      <c r="E1159" s="7">
        <v>45697</v>
      </c>
      <c r="F1159">
        <v>330862</v>
      </c>
      <c r="G1159" t="s">
        <v>983</v>
      </c>
      <c r="H1159" t="s">
        <v>9</v>
      </c>
      <c r="I1159" s="7">
        <v>45697</v>
      </c>
      <c r="J1159" s="8">
        <v>0.37048611111111113</v>
      </c>
      <c r="K1159" t="s">
        <v>984</v>
      </c>
      <c r="AQ1159" t="s">
        <v>992</v>
      </c>
      <c r="AR1159" t="s">
        <v>993</v>
      </c>
      <c r="AT1159" t="s">
        <v>987</v>
      </c>
      <c r="AZ1159" t="s">
        <v>988</v>
      </c>
      <c r="BA1159" t="s">
        <v>989</v>
      </c>
      <c r="BB1159" t="s">
        <v>990</v>
      </c>
      <c r="BD1159" t="s">
        <v>991</v>
      </c>
      <c r="BE1159" t="s">
        <v>306</v>
      </c>
    </row>
    <row r="1160" spans="1:57" ht="13" x14ac:dyDescent="0.15">
      <c r="A1160">
        <v>1839</v>
      </c>
      <c r="B1160">
        <v>71159193</v>
      </c>
      <c r="C1160" t="s">
        <v>306</v>
      </c>
      <c r="D1160" s="7">
        <v>42202</v>
      </c>
      <c r="E1160" s="7">
        <v>45697</v>
      </c>
      <c r="F1160">
        <v>330862</v>
      </c>
      <c r="G1160" t="s">
        <v>983</v>
      </c>
      <c r="H1160" t="s">
        <v>9</v>
      </c>
      <c r="I1160" s="7">
        <v>45694</v>
      </c>
      <c r="J1160" s="8">
        <v>0.48155092592592591</v>
      </c>
      <c r="K1160" t="s">
        <v>984</v>
      </c>
      <c r="AQ1160" t="s">
        <v>992</v>
      </c>
      <c r="AR1160" t="s">
        <v>993</v>
      </c>
      <c r="AT1160" t="s">
        <v>987</v>
      </c>
      <c r="AZ1160" t="s">
        <v>988</v>
      </c>
      <c r="BA1160" t="s">
        <v>989</v>
      </c>
      <c r="BB1160" t="s">
        <v>990</v>
      </c>
      <c r="BD1160" t="s">
        <v>991</v>
      </c>
      <c r="BE1160" t="s">
        <v>306</v>
      </c>
    </row>
    <row r="1161" spans="1:57" ht="13" x14ac:dyDescent="0.15">
      <c r="A1161">
        <v>1839</v>
      </c>
      <c r="B1161">
        <v>72196890</v>
      </c>
      <c r="C1161" t="s">
        <v>1593</v>
      </c>
      <c r="D1161" s="7">
        <v>42232</v>
      </c>
      <c r="E1161" s="7">
        <v>45708</v>
      </c>
      <c r="F1161">
        <v>330862</v>
      </c>
      <c r="G1161" t="s">
        <v>983</v>
      </c>
      <c r="H1161" t="s">
        <v>9</v>
      </c>
      <c r="I1161" s="7">
        <v>45636</v>
      </c>
      <c r="J1161" s="8">
        <v>0.47378472222222223</v>
      </c>
      <c r="K1161" t="s">
        <v>984</v>
      </c>
      <c r="AQ1161" t="s">
        <v>1092</v>
      </c>
      <c r="AR1161" t="s">
        <v>1380</v>
      </c>
      <c r="AT1161" t="s">
        <v>987</v>
      </c>
      <c r="AZ1161" t="s">
        <v>1174</v>
      </c>
      <c r="BA1161" t="s">
        <v>1242</v>
      </c>
      <c r="BB1161" t="s">
        <v>1026</v>
      </c>
      <c r="BD1161" t="s">
        <v>1005</v>
      </c>
      <c r="BE1161" t="s">
        <v>1593</v>
      </c>
    </row>
    <row r="1162" spans="1:57" ht="13" x14ac:dyDescent="0.15">
      <c r="A1162">
        <v>1839</v>
      </c>
      <c r="B1162">
        <v>72196890</v>
      </c>
      <c r="C1162" t="s">
        <v>1593</v>
      </c>
      <c r="D1162" s="7">
        <v>42232</v>
      </c>
      <c r="E1162" s="7">
        <v>45708</v>
      </c>
      <c r="F1162">
        <v>330862</v>
      </c>
      <c r="G1162" t="s">
        <v>983</v>
      </c>
      <c r="H1162" t="s">
        <v>9</v>
      </c>
      <c r="I1162" s="7">
        <v>45636</v>
      </c>
      <c r="J1162" s="8">
        <v>0.47489583333333335</v>
      </c>
      <c r="K1162" t="s">
        <v>984</v>
      </c>
      <c r="AQ1162" t="s">
        <v>1092</v>
      </c>
      <c r="AR1162" t="s">
        <v>1382</v>
      </c>
      <c r="AT1162" t="s">
        <v>987</v>
      </c>
      <c r="AZ1162" t="s">
        <v>1002</v>
      </c>
      <c r="BA1162" t="s">
        <v>1124</v>
      </c>
      <c r="BB1162" t="s">
        <v>1125</v>
      </c>
      <c r="BD1162" t="s">
        <v>1005</v>
      </c>
      <c r="BE1162" t="s">
        <v>1593</v>
      </c>
    </row>
    <row r="1163" spans="1:57" ht="13" x14ac:dyDescent="0.15">
      <c r="A1163">
        <v>1839</v>
      </c>
      <c r="B1163">
        <v>72196890</v>
      </c>
      <c r="C1163" t="s">
        <v>1593</v>
      </c>
      <c r="D1163" s="7">
        <v>42232</v>
      </c>
      <c r="E1163" s="7">
        <v>45708</v>
      </c>
      <c r="F1163">
        <v>330862</v>
      </c>
      <c r="G1163" t="s">
        <v>983</v>
      </c>
      <c r="H1163" t="s">
        <v>9</v>
      </c>
      <c r="I1163" s="7">
        <v>45636</v>
      </c>
      <c r="J1163" s="8">
        <v>0.47848379629629628</v>
      </c>
      <c r="K1163" t="s">
        <v>984</v>
      </c>
      <c r="AQ1163" t="s">
        <v>1092</v>
      </c>
      <c r="AR1163" t="s">
        <v>1382</v>
      </c>
      <c r="AT1163" t="s">
        <v>987</v>
      </c>
      <c r="AZ1163" t="s">
        <v>1002</v>
      </c>
      <c r="BA1163" t="s">
        <v>1124</v>
      </c>
      <c r="BB1163" t="s">
        <v>1125</v>
      </c>
      <c r="BD1163" t="s">
        <v>1005</v>
      </c>
      <c r="BE1163" t="s">
        <v>1593</v>
      </c>
    </row>
    <row r="1164" spans="1:57" ht="13" x14ac:dyDescent="0.15">
      <c r="A1164">
        <v>1839</v>
      </c>
      <c r="B1164">
        <v>72196890</v>
      </c>
      <c r="C1164" t="s">
        <v>1593</v>
      </c>
      <c r="D1164" s="7">
        <v>42232</v>
      </c>
      <c r="E1164" s="7">
        <v>45708</v>
      </c>
      <c r="F1164">
        <v>330862</v>
      </c>
      <c r="G1164" t="s">
        <v>983</v>
      </c>
      <c r="H1164" t="s">
        <v>9</v>
      </c>
      <c r="I1164" s="7">
        <v>45636</v>
      </c>
      <c r="J1164" s="8">
        <v>0.56362268518518521</v>
      </c>
      <c r="K1164" t="s">
        <v>984</v>
      </c>
      <c r="AQ1164" t="s">
        <v>1092</v>
      </c>
      <c r="AR1164" t="s">
        <v>1594</v>
      </c>
      <c r="AT1164" t="s">
        <v>987</v>
      </c>
      <c r="AZ1164" t="s">
        <v>1020</v>
      </c>
      <c r="BA1164" t="s">
        <v>1021</v>
      </c>
      <c r="BB1164" t="s">
        <v>1018</v>
      </c>
      <c r="BD1164" t="s">
        <v>1022</v>
      </c>
      <c r="BE1164" t="s">
        <v>1593</v>
      </c>
    </row>
    <row r="1165" spans="1:57" ht="13" x14ac:dyDescent="0.15">
      <c r="A1165">
        <v>1839</v>
      </c>
      <c r="B1165">
        <v>72196890</v>
      </c>
      <c r="C1165" t="s">
        <v>1593</v>
      </c>
      <c r="D1165" s="7">
        <v>42232</v>
      </c>
      <c r="E1165" s="7">
        <v>45708</v>
      </c>
      <c r="F1165">
        <v>330862</v>
      </c>
      <c r="G1165" t="s">
        <v>983</v>
      </c>
      <c r="H1165" t="s">
        <v>9</v>
      </c>
      <c r="I1165" s="7">
        <v>45636</v>
      </c>
      <c r="J1165" s="8">
        <v>0.48322916666666665</v>
      </c>
      <c r="K1165" t="s">
        <v>984</v>
      </c>
      <c r="AQ1165" t="s">
        <v>1092</v>
      </c>
      <c r="AR1165" t="s">
        <v>1381</v>
      </c>
      <c r="AT1165" t="s">
        <v>987</v>
      </c>
      <c r="AZ1165" t="s">
        <v>1011</v>
      </c>
      <c r="BA1165" t="s">
        <v>1031</v>
      </c>
      <c r="BB1165" t="s">
        <v>1032</v>
      </c>
      <c r="BD1165" t="s">
        <v>1005</v>
      </c>
      <c r="BE1165" t="s">
        <v>1593</v>
      </c>
    </row>
    <row r="1166" spans="1:57" ht="13" x14ac:dyDescent="0.15">
      <c r="A1166">
        <v>1839</v>
      </c>
      <c r="B1166">
        <v>72196890</v>
      </c>
      <c r="C1166" t="s">
        <v>1593</v>
      </c>
      <c r="D1166" s="7">
        <v>42232</v>
      </c>
      <c r="E1166" s="7">
        <v>45708</v>
      </c>
      <c r="F1166">
        <v>330862</v>
      </c>
      <c r="G1166" t="s">
        <v>983</v>
      </c>
      <c r="H1166" t="s">
        <v>9</v>
      </c>
      <c r="I1166" s="7">
        <v>45636</v>
      </c>
      <c r="J1166" s="8">
        <v>0.48598379629629629</v>
      </c>
      <c r="K1166" t="s">
        <v>984</v>
      </c>
      <c r="AQ1166" t="s">
        <v>1092</v>
      </c>
      <c r="AR1166" t="s">
        <v>1595</v>
      </c>
      <c r="AT1166" t="s">
        <v>987</v>
      </c>
      <c r="AZ1166" t="s">
        <v>1024</v>
      </c>
      <c r="BA1166" t="s">
        <v>1025</v>
      </c>
      <c r="BB1166" t="s">
        <v>1026</v>
      </c>
      <c r="BD1166" t="s">
        <v>1022</v>
      </c>
      <c r="BE1166" t="s">
        <v>1593</v>
      </c>
    </row>
    <row r="1167" spans="1:57" ht="13" x14ac:dyDescent="0.15">
      <c r="A1167">
        <v>1839</v>
      </c>
      <c r="B1167">
        <v>72196890</v>
      </c>
      <c r="C1167" t="s">
        <v>1593</v>
      </c>
      <c r="D1167" s="7">
        <v>42232</v>
      </c>
      <c r="E1167" s="7">
        <v>45708</v>
      </c>
      <c r="F1167">
        <v>330862</v>
      </c>
      <c r="G1167" t="s">
        <v>983</v>
      </c>
      <c r="H1167" t="s">
        <v>9</v>
      </c>
      <c r="I1167" s="7">
        <v>45636</v>
      </c>
      <c r="J1167" s="8">
        <v>0.54680555555555554</v>
      </c>
      <c r="K1167" t="s">
        <v>984</v>
      </c>
      <c r="AQ1167" t="s">
        <v>1092</v>
      </c>
      <c r="AR1167" t="s">
        <v>1595</v>
      </c>
      <c r="AT1167" t="s">
        <v>987</v>
      </c>
      <c r="AZ1167" t="s">
        <v>1024</v>
      </c>
      <c r="BA1167" t="s">
        <v>1025</v>
      </c>
      <c r="BB1167" t="s">
        <v>1026</v>
      </c>
      <c r="BD1167" t="s">
        <v>1022</v>
      </c>
      <c r="BE1167" t="s">
        <v>1593</v>
      </c>
    </row>
    <row r="1168" spans="1:57" ht="13" x14ac:dyDescent="0.15">
      <c r="A1168">
        <v>1839</v>
      </c>
      <c r="B1168">
        <v>72196890</v>
      </c>
      <c r="C1168" t="s">
        <v>1593</v>
      </c>
      <c r="D1168" s="7">
        <v>42232</v>
      </c>
      <c r="E1168" s="7">
        <v>45708</v>
      </c>
      <c r="F1168">
        <v>330862</v>
      </c>
      <c r="G1168" t="s">
        <v>983</v>
      </c>
      <c r="H1168" t="s">
        <v>9</v>
      </c>
      <c r="I1168" s="7">
        <v>45636</v>
      </c>
      <c r="J1168" s="8">
        <v>0.47905092592592591</v>
      </c>
      <c r="K1168" t="s">
        <v>984</v>
      </c>
      <c r="AQ1168" t="s">
        <v>1092</v>
      </c>
      <c r="AR1168" t="s">
        <v>1380</v>
      </c>
      <c r="AT1168" t="s">
        <v>987</v>
      </c>
      <c r="AZ1168" t="s">
        <v>1174</v>
      </c>
      <c r="BA1168" t="s">
        <v>1242</v>
      </c>
      <c r="BB1168" t="s">
        <v>1026</v>
      </c>
      <c r="BD1168" t="s">
        <v>1005</v>
      </c>
      <c r="BE1168" t="s">
        <v>1593</v>
      </c>
    </row>
    <row r="1169" spans="1:57" ht="13" x14ac:dyDescent="0.15">
      <c r="A1169">
        <v>1839</v>
      </c>
      <c r="B1169">
        <v>74276733</v>
      </c>
      <c r="C1169" t="s">
        <v>307</v>
      </c>
      <c r="D1169" s="7">
        <v>42260</v>
      </c>
      <c r="E1169" s="7">
        <v>45694</v>
      </c>
      <c r="F1169">
        <v>330862</v>
      </c>
      <c r="G1169" t="s">
        <v>983</v>
      </c>
      <c r="H1169" t="s">
        <v>9</v>
      </c>
      <c r="I1169" s="7">
        <v>45694</v>
      </c>
      <c r="J1169" s="8">
        <v>0.66495370370370366</v>
      </c>
      <c r="K1169" t="s">
        <v>984</v>
      </c>
      <c r="AQ1169" t="s">
        <v>992</v>
      </c>
      <c r="AR1169" t="s">
        <v>993</v>
      </c>
      <c r="AT1169" t="s">
        <v>987</v>
      </c>
      <c r="AZ1169" t="s">
        <v>988</v>
      </c>
      <c r="BA1169" t="s">
        <v>989</v>
      </c>
      <c r="BB1169" t="s">
        <v>990</v>
      </c>
      <c r="BD1169" t="s">
        <v>991</v>
      </c>
      <c r="BE1169" t="s">
        <v>307</v>
      </c>
    </row>
    <row r="1170" spans="1:57" ht="13" x14ac:dyDescent="0.15">
      <c r="A1170">
        <v>1839</v>
      </c>
      <c r="B1170">
        <v>74276733</v>
      </c>
      <c r="C1170" t="s">
        <v>307</v>
      </c>
      <c r="D1170" s="7">
        <v>42260</v>
      </c>
      <c r="E1170" s="7">
        <v>45694</v>
      </c>
      <c r="F1170">
        <v>330862</v>
      </c>
      <c r="G1170" t="s">
        <v>983</v>
      </c>
      <c r="H1170" t="s">
        <v>9</v>
      </c>
      <c r="I1170" s="7">
        <v>45694</v>
      </c>
      <c r="J1170" s="8">
        <v>0.6497222222222222</v>
      </c>
      <c r="K1170" t="s">
        <v>984</v>
      </c>
      <c r="AQ1170" t="s">
        <v>992</v>
      </c>
      <c r="AR1170" t="s">
        <v>1066</v>
      </c>
      <c r="AT1170" t="s">
        <v>987</v>
      </c>
      <c r="AZ1170" t="s">
        <v>988</v>
      </c>
      <c r="BA1170" t="s">
        <v>989</v>
      </c>
      <c r="BB1170" t="s">
        <v>990</v>
      </c>
      <c r="BD1170" t="s">
        <v>991</v>
      </c>
      <c r="BE1170" t="s">
        <v>307</v>
      </c>
    </row>
    <row r="1171" spans="1:57" ht="13" x14ac:dyDescent="0.15">
      <c r="A1171">
        <v>1839</v>
      </c>
      <c r="B1171">
        <v>75585287</v>
      </c>
      <c r="C1171" t="s">
        <v>308</v>
      </c>
      <c r="D1171" s="7">
        <v>42269</v>
      </c>
      <c r="E1171" s="7">
        <v>45708</v>
      </c>
      <c r="F1171">
        <v>330862</v>
      </c>
      <c r="G1171" t="s">
        <v>983</v>
      </c>
      <c r="H1171" t="s">
        <v>9</v>
      </c>
      <c r="I1171" s="7">
        <v>45667</v>
      </c>
      <c r="J1171" s="8">
        <v>0.17383101851851851</v>
      </c>
      <c r="K1171" t="s">
        <v>984</v>
      </c>
      <c r="AQ1171" t="s">
        <v>992</v>
      </c>
      <c r="AR1171" t="s">
        <v>1596</v>
      </c>
      <c r="AT1171" t="s">
        <v>987</v>
      </c>
      <c r="AZ1171" t="s">
        <v>1007</v>
      </c>
      <c r="BA1171" t="s">
        <v>1008</v>
      </c>
      <c r="BB1171" t="s">
        <v>990</v>
      </c>
      <c r="BD1171" t="s">
        <v>1005</v>
      </c>
      <c r="BE1171" t="s">
        <v>308</v>
      </c>
    </row>
    <row r="1172" spans="1:57" ht="13" x14ac:dyDescent="0.15">
      <c r="A1172">
        <v>1839</v>
      </c>
      <c r="B1172">
        <v>75585287</v>
      </c>
      <c r="C1172" t="s">
        <v>308</v>
      </c>
      <c r="D1172" s="7">
        <v>42269</v>
      </c>
      <c r="E1172" s="7">
        <v>45708</v>
      </c>
      <c r="F1172">
        <v>330862</v>
      </c>
      <c r="G1172" t="s">
        <v>983</v>
      </c>
      <c r="H1172" t="s">
        <v>9</v>
      </c>
      <c r="I1172" s="7">
        <v>45667</v>
      </c>
      <c r="J1172" s="8">
        <v>0.17241898148148149</v>
      </c>
      <c r="K1172" t="s">
        <v>984</v>
      </c>
      <c r="AQ1172" t="s">
        <v>992</v>
      </c>
      <c r="AR1172" t="s">
        <v>1597</v>
      </c>
      <c r="AT1172" t="s">
        <v>987</v>
      </c>
      <c r="AZ1172" t="s">
        <v>1002</v>
      </c>
      <c r="BA1172" t="s">
        <v>1003</v>
      </c>
      <c r="BB1172" t="s">
        <v>1004</v>
      </c>
      <c r="BD1172" t="s">
        <v>1005</v>
      </c>
      <c r="BE1172" t="s">
        <v>308</v>
      </c>
    </row>
    <row r="1173" spans="1:57" ht="13" x14ac:dyDescent="0.15">
      <c r="A1173">
        <v>1839</v>
      </c>
      <c r="B1173">
        <v>75585287</v>
      </c>
      <c r="C1173" t="s">
        <v>308</v>
      </c>
      <c r="D1173" s="7">
        <v>42269</v>
      </c>
      <c r="E1173" s="7">
        <v>45708</v>
      </c>
      <c r="F1173">
        <v>330862</v>
      </c>
      <c r="G1173" t="s">
        <v>983</v>
      </c>
      <c r="H1173" t="s">
        <v>9</v>
      </c>
      <c r="I1173" s="7">
        <v>45690</v>
      </c>
      <c r="J1173" s="8">
        <v>0.10033564814814815</v>
      </c>
      <c r="K1173" t="s">
        <v>984</v>
      </c>
      <c r="AQ1173" t="s">
        <v>992</v>
      </c>
      <c r="AR1173" t="s">
        <v>1130</v>
      </c>
      <c r="AT1173" t="s">
        <v>987</v>
      </c>
      <c r="AZ1173" t="s">
        <v>988</v>
      </c>
      <c r="BA1173" t="s">
        <v>989</v>
      </c>
      <c r="BB1173" t="s">
        <v>990</v>
      </c>
      <c r="BD1173" t="s">
        <v>991</v>
      </c>
      <c r="BE1173" t="s">
        <v>308</v>
      </c>
    </row>
    <row r="1174" spans="1:57" ht="13" x14ac:dyDescent="0.15">
      <c r="A1174">
        <v>1839</v>
      </c>
      <c r="B1174">
        <v>75585287</v>
      </c>
      <c r="C1174" t="s">
        <v>308</v>
      </c>
      <c r="D1174" s="7">
        <v>42269</v>
      </c>
      <c r="E1174" s="7">
        <v>45708</v>
      </c>
      <c r="F1174">
        <v>330862</v>
      </c>
      <c r="G1174" t="s">
        <v>983</v>
      </c>
      <c r="H1174" t="s">
        <v>9</v>
      </c>
      <c r="I1174" s="7">
        <v>45690</v>
      </c>
      <c r="J1174" s="8">
        <v>9.4803240740740743E-2</v>
      </c>
      <c r="K1174" t="s">
        <v>984</v>
      </c>
      <c r="AQ1174" t="s">
        <v>992</v>
      </c>
      <c r="AR1174" t="s">
        <v>1130</v>
      </c>
      <c r="AT1174" t="s">
        <v>987</v>
      </c>
      <c r="AZ1174" t="s">
        <v>988</v>
      </c>
      <c r="BA1174" t="s">
        <v>989</v>
      </c>
      <c r="BB1174" t="s">
        <v>990</v>
      </c>
      <c r="BD1174" t="s">
        <v>991</v>
      </c>
      <c r="BE1174" t="s">
        <v>308</v>
      </c>
    </row>
    <row r="1175" spans="1:57" ht="13" x14ac:dyDescent="0.15">
      <c r="A1175">
        <v>1839</v>
      </c>
      <c r="B1175">
        <v>75650847</v>
      </c>
      <c r="C1175" t="s">
        <v>309</v>
      </c>
      <c r="D1175" s="7">
        <v>42270</v>
      </c>
      <c r="E1175" s="7">
        <v>45711</v>
      </c>
      <c r="F1175">
        <v>330862</v>
      </c>
      <c r="G1175" t="s">
        <v>983</v>
      </c>
      <c r="H1175" t="s">
        <v>9</v>
      </c>
      <c r="I1175" s="7">
        <v>45674</v>
      </c>
      <c r="J1175" s="8">
        <v>0.62648148148148153</v>
      </c>
      <c r="K1175" t="s">
        <v>984</v>
      </c>
      <c r="AQ1175" t="s">
        <v>992</v>
      </c>
      <c r="AR1175" t="s">
        <v>1095</v>
      </c>
      <c r="AT1175" t="s">
        <v>987</v>
      </c>
      <c r="AZ1175" t="s">
        <v>1002</v>
      </c>
      <c r="BA1175" t="s">
        <v>1003</v>
      </c>
      <c r="BB1175" t="s">
        <v>1004</v>
      </c>
      <c r="BD1175" t="s">
        <v>1005</v>
      </c>
      <c r="BE1175" t="s">
        <v>309</v>
      </c>
    </row>
    <row r="1176" spans="1:57" ht="13" x14ac:dyDescent="0.15">
      <c r="A1176">
        <v>1839</v>
      </c>
      <c r="B1176">
        <v>75650847</v>
      </c>
      <c r="C1176" t="s">
        <v>309</v>
      </c>
      <c r="D1176" s="7">
        <v>42270</v>
      </c>
      <c r="E1176" s="7">
        <v>45711</v>
      </c>
      <c r="F1176">
        <v>330862</v>
      </c>
      <c r="G1176" t="s">
        <v>983</v>
      </c>
      <c r="H1176" t="s">
        <v>9</v>
      </c>
      <c r="I1176" s="7">
        <v>45674</v>
      </c>
      <c r="J1176" s="8">
        <v>0.63120370370370371</v>
      </c>
      <c r="K1176" t="s">
        <v>984</v>
      </c>
      <c r="AQ1176" t="s">
        <v>992</v>
      </c>
      <c r="AR1176" t="s">
        <v>1200</v>
      </c>
      <c r="AT1176" t="s">
        <v>987</v>
      </c>
      <c r="AZ1176" t="s">
        <v>1028</v>
      </c>
      <c r="BA1176" t="s">
        <v>1068</v>
      </c>
      <c r="BB1176" t="s">
        <v>1069</v>
      </c>
      <c r="BD1176" t="s">
        <v>1005</v>
      </c>
      <c r="BE1176" t="s">
        <v>309</v>
      </c>
    </row>
    <row r="1177" spans="1:57" ht="13" x14ac:dyDescent="0.15">
      <c r="A1177">
        <v>1839</v>
      </c>
      <c r="B1177">
        <v>75650847</v>
      </c>
      <c r="C1177" t="s">
        <v>309</v>
      </c>
      <c r="D1177" s="7">
        <v>42270</v>
      </c>
      <c r="E1177" s="7">
        <v>45711</v>
      </c>
      <c r="F1177">
        <v>330862</v>
      </c>
      <c r="G1177" t="s">
        <v>983</v>
      </c>
      <c r="H1177" t="s">
        <v>9</v>
      </c>
      <c r="I1177" s="7">
        <v>45674</v>
      </c>
      <c r="J1177" s="8">
        <v>0.6331134259259259</v>
      </c>
      <c r="K1177" t="s">
        <v>984</v>
      </c>
      <c r="AQ1177" t="s">
        <v>992</v>
      </c>
      <c r="AR1177" t="s">
        <v>1232</v>
      </c>
      <c r="AT1177" t="s">
        <v>987</v>
      </c>
      <c r="AZ1177" t="s">
        <v>1071</v>
      </c>
      <c r="BA1177" t="s">
        <v>1072</v>
      </c>
      <c r="BB1177" t="s">
        <v>1048</v>
      </c>
      <c r="BD1177" t="s">
        <v>1005</v>
      </c>
      <c r="BE1177" t="s">
        <v>309</v>
      </c>
    </row>
    <row r="1178" spans="1:57" ht="13" x14ac:dyDescent="0.15">
      <c r="A1178">
        <v>1839</v>
      </c>
      <c r="B1178">
        <v>75650847</v>
      </c>
      <c r="C1178" t="s">
        <v>309</v>
      </c>
      <c r="D1178" s="7">
        <v>42270</v>
      </c>
      <c r="E1178" s="7">
        <v>45711</v>
      </c>
      <c r="F1178">
        <v>330862</v>
      </c>
      <c r="G1178" t="s">
        <v>983</v>
      </c>
      <c r="H1178" t="s">
        <v>9</v>
      </c>
      <c r="I1178" s="7">
        <v>45674</v>
      </c>
      <c r="J1178" s="8">
        <v>0.63751157407407411</v>
      </c>
      <c r="K1178" t="s">
        <v>984</v>
      </c>
      <c r="AQ1178" t="s">
        <v>992</v>
      </c>
      <c r="AR1178" t="s">
        <v>1107</v>
      </c>
      <c r="AT1178" t="s">
        <v>987</v>
      </c>
      <c r="AZ1178" t="s">
        <v>1007</v>
      </c>
      <c r="BA1178" t="s">
        <v>1008</v>
      </c>
      <c r="BB1178" t="s">
        <v>990</v>
      </c>
      <c r="BD1178" t="s">
        <v>1005</v>
      </c>
      <c r="BE1178" t="s">
        <v>309</v>
      </c>
    </row>
    <row r="1179" spans="1:57" ht="13" x14ac:dyDescent="0.15">
      <c r="A1179">
        <v>1839</v>
      </c>
      <c r="B1179">
        <v>75650847</v>
      </c>
      <c r="C1179" t="s">
        <v>309</v>
      </c>
      <c r="D1179" s="7">
        <v>42270</v>
      </c>
      <c r="E1179" s="7">
        <v>45711</v>
      </c>
      <c r="F1179">
        <v>330862</v>
      </c>
      <c r="G1179" t="s">
        <v>983</v>
      </c>
      <c r="H1179" t="s">
        <v>9</v>
      </c>
      <c r="I1179" s="7">
        <v>45674</v>
      </c>
      <c r="J1179" s="8">
        <v>0.63866898148148143</v>
      </c>
      <c r="K1179" t="s">
        <v>984</v>
      </c>
      <c r="AQ1179" t="s">
        <v>992</v>
      </c>
      <c r="AR1179" t="s">
        <v>1231</v>
      </c>
      <c r="AT1179" t="s">
        <v>987</v>
      </c>
      <c r="AZ1179" t="s">
        <v>988</v>
      </c>
      <c r="BA1179" t="s">
        <v>1058</v>
      </c>
      <c r="BB1179" t="s">
        <v>1018</v>
      </c>
      <c r="BD1179" t="s">
        <v>1005</v>
      </c>
      <c r="BE1179" t="s">
        <v>309</v>
      </c>
    </row>
    <row r="1180" spans="1:57" ht="13" x14ac:dyDescent="0.15">
      <c r="A1180">
        <v>1839</v>
      </c>
      <c r="B1180">
        <v>75650847</v>
      </c>
      <c r="C1180" t="s">
        <v>309</v>
      </c>
      <c r="D1180" s="7">
        <v>42270</v>
      </c>
      <c r="E1180" s="7">
        <v>45711</v>
      </c>
      <c r="F1180">
        <v>330862</v>
      </c>
      <c r="G1180" t="s">
        <v>983</v>
      </c>
      <c r="H1180" t="s">
        <v>9</v>
      </c>
      <c r="I1180" s="7">
        <v>45674</v>
      </c>
      <c r="J1180" s="8">
        <v>0.63960648148148147</v>
      </c>
      <c r="K1180" t="s">
        <v>984</v>
      </c>
      <c r="AQ1180" t="s">
        <v>992</v>
      </c>
      <c r="AR1180" t="s">
        <v>1229</v>
      </c>
      <c r="AT1180" t="s">
        <v>987</v>
      </c>
      <c r="AZ1180" t="s">
        <v>1020</v>
      </c>
      <c r="BA1180" t="s">
        <v>1230</v>
      </c>
      <c r="BB1180" t="s">
        <v>1018</v>
      </c>
      <c r="BD1180" t="s">
        <v>1005</v>
      </c>
      <c r="BE1180" t="s">
        <v>309</v>
      </c>
    </row>
    <row r="1181" spans="1:57" ht="13" x14ac:dyDescent="0.15">
      <c r="A1181">
        <v>1839</v>
      </c>
      <c r="B1181">
        <v>75650847</v>
      </c>
      <c r="C1181" t="s">
        <v>309</v>
      </c>
      <c r="D1181" s="7">
        <v>42270</v>
      </c>
      <c r="E1181" s="7">
        <v>45711</v>
      </c>
      <c r="F1181">
        <v>330862</v>
      </c>
      <c r="G1181" t="s">
        <v>983</v>
      </c>
      <c r="H1181" t="s">
        <v>9</v>
      </c>
      <c r="I1181" s="7">
        <v>45616</v>
      </c>
      <c r="J1181" s="8">
        <v>0.5740277777777778</v>
      </c>
      <c r="K1181" t="s">
        <v>984</v>
      </c>
      <c r="AQ1181" t="s">
        <v>992</v>
      </c>
      <c r="AR1181" t="s">
        <v>1104</v>
      </c>
      <c r="AT1181" t="s">
        <v>987</v>
      </c>
      <c r="AZ1181" t="s">
        <v>1055</v>
      </c>
      <c r="BA1181" t="s">
        <v>1056</v>
      </c>
      <c r="BB1181" t="s">
        <v>1013</v>
      </c>
      <c r="BD1181" t="s">
        <v>1022</v>
      </c>
      <c r="BE1181" t="s">
        <v>309</v>
      </c>
    </row>
    <row r="1182" spans="1:57" ht="13" x14ac:dyDescent="0.15">
      <c r="A1182">
        <v>1839</v>
      </c>
      <c r="B1182">
        <v>75650847</v>
      </c>
      <c r="C1182" t="s">
        <v>309</v>
      </c>
      <c r="D1182" s="7">
        <v>42270</v>
      </c>
      <c r="E1182" s="7">
        <v>45711</v>
      </c>
      <c r="F1182">
        <v>330862</v>
      </c>
      <c r="G1182" t="s">
        <v>983</v>
      </c>
      <c r="H1182" t="s">
        <v>9</v>
      </c>
      <c r="I1182" s="7">
        <v>45675</v>
      </c>
      <c r="J1182" s="8">
        <v>0.6162037037037037</v>
      </c>
      <c r="K1182" t="s">
        <v>984</v>
      </c>
      <c r="AQ1182" t="s">
        <v>992</v>
      </c>
      <c r="AR1182" t="s">
        <v>1492</v>
      </c>
      <c r="AT1182" t="s">
        <v>987</v>
      </c>
      <c r="AZ1182" t="s">
        <v>1493</v>
      </c>
      <c r="BA1182" t="s">
        <v>1494</v>
      </c>
      <c r="BB1182" t="s">
        <v>1495</v>
      </c>
      <c r="BD1182" t="s">
        <v>1005</v>
      </c>
      <c r="BE1182" t="s">
        <v>309</v>
      </c>
    </row>
    <row r="1183" spans="1:57" ht="13" x14ac:dyDescent="0.15">
      <c r="A1183">
        <v>1839</v>
      </c>
      <c r="B1183">
        <v>75650847</v>
      </c>
      <c r="C1183" t="s">
        <v>309</v>
      </c>
      <c r="D1183" s="7">
        <v>42270</v>
      </c>
      <c r="E1183" s="7">
        <v>45711</v>
      </c>
      <c r="F1183">
        <v>330862</v>
      </c>
      <c r="G1183" t="s">
        <v>983</v>
      </c>
      <c r="H1183" t="s">
        <v>9</v>
      </c>
      <c r="I1183" s="7">
        <v>45674</v>
      </c>
      <c r="J1183" s="8">
        <v>0.59440972222222221</v>
      </c>
      <c r="K1183" t="s">
        <v>984</v>
      </c>
      <c r="AQ1183" t="s">
        <v>992</v>
      </c>
      <c r="AR1183" t="s">
        <v>1598</v>
      </c>
      <c r="AT1183" t="s">
        <v>987</v>
      </c>
      <c r="AZ1183" t="s">
        <v>1016</v>
      </c>
      <c r="BA1183" t="s">
        <v>1017</v>
      </c>
      <c r="BB1183" t="s">
        <v>1018</v>
      </c>
      <c r="BD1183" t="s">
        <v>991</v>
      </c>
      <c r="BE1183" t="s">
        <v>309</v>
      </c>
    </row>
    <row r="1184" spans="1:57" ht="13" x14ac:dyDescent="0.15">
      <c r="A1184">
        <v>1839</v>
      </c>
      <c r="B1184">
        <v>75650847</v>
      </c>
      <c r="C1184" t="s">
        <v>309</v>
      </c>
      <c r="D1184" s="7">
        <v>42270</v>
      </c>
      <c r="E1184" s="7">
        <v>45711</v>
      </c>
      <c r="F1184">
        <v>330862</v>
      </c>
      <c r="G1184" t="s">
        <v>983</v>
      </c>
      <c r="H1184" t="s">
        <v>9</v>
      </c>
      <c r="I1184" s="7">
        <v>45674</v>
      </c>
      <c r="J1184" s="8">
        <v>0.59623842592592591</v>
      </c>
      <c r="K1184" t="s">
        <v>984</v>
      </c>
      <c r="AQ1184" t="s">
        <v>992</v>
      </c>
      <c r="AR1184" t="s">
        <v>1598</v>
      </c>
      <c r="AT1184" t="s">
        <v>987</v>
      </c>
      <c r="AZ1184" t="s">
        <v>1016</v>
      </c>
      <c r="BA1184" t="s">
        <v>1017</v>
      </c>
      <c r="BB1184" t="s">
        <v>1018</v>
      </c>
      <c r="BD1184" t="s">
        <v>991</v>
      </c>
      <c r="BE1184" t="s">
        <v>309</v>
      </c>
    </row>
    <row r="1185" spans="1:57" ht="13" x14ac:dyDescent="0.15">
      <c r="A1185">
        <v>1839</v>
      </c>
      <c r="B1185">
        <v>75650847</v>
      </c>
      <c r="C1185" t="s">
        <v>309</v>
      </c>
      <c r="D1185" s="7">
        <v>42270</v>
      </c>
      <c r="E1185" s="7">
        <v>45711</v>
      </c>
      <c r="F1185">
        <v>330862</v>
      </c>
      <c r="G1185" t="s">
        <v>983</v>
      </c>
      <c r="H1185" t="s">
        <v>9</v>
      </c>
      <c r="I1185" s="7">
        <v>45674</v>
      </c>
      <c r="J1185" s="8">
        <v>0.60982638888888885</v>
      </c>
      <c r="K1185" t="s">
        <v>984</v>
      </c>
      <c r="AQ1185" t="s">
        <v>992</v>
      </c>
      <c r="AR1185" t="s">
        <v>1095</v>
      </c>
      <c r="AT1185" t="s">
        <v>987</v>
      </c>
      <c r="AZ1185" t="s">
        <v>1002</v>
      </c>
      <c r="BA1185" t="s">
        <v>1003</v>
      </c>
      <c r="BB1185" t="s">
        <v>1004</v>
      </c>
      <c r="BD1185" t="s">
        <v>1005</v>
      </c>
      <c r="BE1185" t="s">
        <v>309</v>
      </c>
    </row>
    <row r="1186" spans="1:57" ht="13" x14ac:dyDescent="0.15">
      <c r="A1186">
        <v>1839</v>
      </c>
      <c r="B1186">
        <v>75650847</v>
      </c>
      <c r="C1186" t="s">
        <v>309</v>
      </c>
      <c r="D1186" s="7">
        <v>42270</v>
      </c>
      <c r="E1186" s="7">
        <v>45711</v>
      </c>
      <c r="F1186">
        <v>330862</v>
      </c>
      <c r="G1186" t="s">
        <v>983</v>
      </c>
      <c r="H1186" t="s">
        <v>9</v>
      </c>
      <c r="I1186" s="7">
        <v>45674</v>
      </c>
      <c r="J1186" s="8">
        <v>0.61355324074074069</v>
      </c>
      <c r="K1186" t="s">
        <v>984</v>
      </c>
      <c r="AQ1186" t="s">
        <v>992</v>
      </c>
      <c r="AR1186" t="s">
        <v>1107</v>
      </c>
      <c r="AT1186" t="s">
        <v>987</v>
      </c>
      <c r="AZ1186" t="s">
        <v>1007</v>
      </c>
      <c r="BA1186" t="s">
        <v>1008</v>
      </c>
      <c r="BB1186" t="s">
        <v>990</v>
      </c>
      <c r="BD1186" t="s">
        <v>1005</v>
      </c>
      <c r="BE1186" t="s">
        <v>309</v>
      </c>
    </row>
    <row r="1187" spans="1:57" ht="13" x14ac:dyDescent="0.15">
      <c r="A1187">
        <v>1839</v>
      </c>
      <c r="B1187">
        <v>75650847</v>
      </c>
      <c r="C1187" t="s">
        <v>309</v>
      </c>
      <c r="D1187" s="7">
        <v>42270</v>
      </c>
      <c r="E1187" s="7">
        <v>45711</v>
      </c>
      <c r="F1187">
        <v>330862</v>
      </c>
      <c r="G1187" t="s">
        <v>983</v>
      </c>
      <c r="H1187" t="s">
        <v>9</v>
      </c>
      <c r="I1187" s="7">
        <v>45674</v>
      </c>
      <c r="J1187" s="8">
        <v>0.61752314814814813</v>
      </c>
      <c r="K1187" t="s">
        <v>984</v>
      </c>
      <c r="AQ1187" t="s">
        <v>992</v>
      </c>
      <c r="AR1187" t="s">
        <v>1105</v>
      </c>
      <c r="AT1187" t="s">
        <v>987</v>
      </c>
      <c r="AZ1187" t="s">
        <v>1044</v>
      </c>
      <c r="BA1187" t="s">
        <v>1045</v>
      </c>
      <c r="BB1187" t="s">
        <v>990</v>
      </c>
      <c r="BD1187" t="s">
        <v>991</v>
      </c>
      <c r="BE1187" t="s">
        <v>309</v>
      </c>
    </row>
    <row r="1188" spans="1:57" ht="13" x14ac:dyDescent="0.15">
      <c r="A1188">
        <v>1839</v>
      </c>
      <c r="B1188">
        <v>75650847</v>
      </c>
      <c r="C1188" t="s">
        <v>309</v>
      </c>
      <c r="D1188" s="7">
        <v>42270</v>
      </c>
      <c r="E1188" s="7">
        <v>45711</v>
      </c>
      <c r="F1188">
        <v>330862</v>
      </c>
      <c r="G1188" t="s">
        <v>983</v>
      </c>
      <c r="H1188" t="s">
        <v>9</v>
      </c>
      <c r="I1188" s="7">
        <v>45636</v>
      </c>
      <c r="J1188" s="8">
        <v>0.4645023148148148</v>
      </c>
      <c r="K1188" t="s">
        <v>984</v>
      </c>
      <c r="AQ1188" t="s">
        <v>992</v>
      </c>
      <c r="AR1188" t="s">
        <v>1262</v>
      </c>
      <c r="AT1188" t="s">
        <v>987</v>
      </c>
      <c r="AZ1188" t="s">
        <v>1028</v>
      </c>
      <c r="BA1188" t="s">
        <v>1029</v>
      </c>
      <c r="BB1188" t="s">
        <v>1018</v>
      </c>
      <c r="BD1188" t="s">
        <v>1022</v>
      </c>
      <c r="BE1188" t="s">
        <v>309</v>
      </c>
    </row>
    <row r="1189" spans="1:57" ht="13" x14ac:dyDescent="0.15">
      <c r="A1189">
        <v>1839</v>
      </c>
      <c r="B1189">
        <v>75650847</v>
      </c>
      <c r="C1189" t="s">
        <v>309</v>
      </c>
      <c r="D1189" s="7">
        <v>42270</v>
      </c>
      <c r="E1189" s="7">
        <v>45711</v>
      </c>
      <c r="F1189">
        <v>330862</v>
      </c>
      <c r="G1189" t="s">
        <v>983</v>
      </c>
      <c r="H1189" t="s">
        <v>9</v>
      </c>
      <c r="I1189" s="7">
        <v>45636</v>
      </c>
      <c r="J1189" s="8">
        <v>0.46835648148148146</v>
      </c>
      <c r="K1189" t="s">
        <v>984</v>
      </c>
      <c r="AQ1189" t="s">
        <v>992</v>
      </c>
      <c r="AR1189" t="s">
        <v>1097</v>
      </c>
      <c r="AT1189" t="s">
        <v>987</v>
      </c>
      <c r="AZ1189" t="s">
        <v>1024</v>
      </c>
      <c r="BA1189" t="s">
        <v>1025</v>
      </c>
      <c r="BB1189" t="s">
        <v>1026</v>
      </c>
      <c r="BD1189" t="s">
        <v>1022</v>
      </c>
      <c r="BE1189" t="s">
        <v>309</v>
      </c>
    </row>
    <row r="1190" spans="1:57" ht="13" x14ac:dyDescent="0.15">
      <c r="A1190">
        <v>1839</v>
      </c>
      <c r="B1190">
        <v>75650847</v>
      </c>
      <c r="C1190" t="s">
        <v>309</v>
      </c>
      <c r="D1190" s="7">
        <v>42270</v>
      </c>
      <c r="E1190" s="7">
        <v>45711</v>
      </c>
      <c r="F1190">
        <v>330862</v>
      </c>
      <c r="G1190" t="s">
        <v>983</v>
      </c>
      <c r="H1190" t="s">
        <v>9</v>
      </c>
      <c r="I1190" s="7">
        <v>45636</v>
      </c>
      <c r="J1190" s="8">
        <v>0.47638888888888886</v>
      </c>
      <c r="K1190" t="s">
        <v>984</v>
      </c>
      <c r="AQ1190" t="s">
        <v>992</v>
      </c>
      <c r="AR1190" t="s">
        <v>1098</v>
      </c>
      <c r="AT1190" t="s">
        <v>987</v>
      </c>
      <c r="AZ1190" t="s">
        <v>1020</v>
      </c>
      <c r="BA1190" t="s">
        <v>1021</v>
      </c>
      <c r="BB1190" t="s">
        <v>1018</v>
      </c>
      <c r="BD1190" t="s">
        <v>1022</v>
      </c>
      <c r="BE1190" t="s">
        <v>309</v>
      </c>
    </row>
    <row r="1191" spans="1:57" ht="13" x14ac:dyDescent="0.15">
      <c r="A1191">
        <v>1839</v>
      </c>
      <c r="B1191">
        <v>75650847</v>
      </c>
      <c r="C1191" t="s">
        <v>309</v>
      </c>
      <c r="D1191" s="7">
        <v>42270</v>
      </c>
      <c r="E1191" s="7">
        <v>45711</v>
      </c>
      <c r="F1191">
        <v>330862</v>
      </c>
      <c r="G1191" t="s">
        <v>983</v>
      </c>
      <c r="H1191" t="s">
        <v>9</v>
      </c>
      <c r="I1191" s="7">
        <v>45674</v>
      </c>
      <c r="J1191" s="8">
        <v>0.62416666666666665</v>
      </c>
      <c r="K1191" t="s">
        <v>984</v>
      </c>
      <c r="AQ1191" t="s">
        <v>992</v>
      </c>
      <c r="AR1191" t="s">
        <v>1095</v>
      </c>
      <c r="AT1191" t="s">
        <v>987</v>
      </c>
      <c r="AZ1191" t="s">
        <v>1002</v>
      </c>
      <c r="BA1191" t="s">
        <v>1003</v>
      </c>
      <c r="BB1191" t="s">
        <v>1004</v>
      </c>
      <c r="BD1191" t="s">
        <v>1005</v>
      </c>
      <c r="BE1191" t="s">
        <v>309</v>
      </c>
    </row>
    <row r="1192" spans="1:57" ht="13" x14ac:dyDescent="0.15">
      <c r="A1192">
        <v>1839</v>
      </c>
      <c r="B1192">
        <v>75650847</v>
      </c>
      <c r="C1192" t="s">
        <v>309</v>
      </c>
      <c r="D1192" s="7">
        <v>42270</v>
      </c>
      <c r="E1192" s="7">
        <v>45711</v>
      </c>
      <c r="F1192">
        <v>330862</v>
      </c>
      <c r="G1192" t="s">
        <v>983</v>
      </c>
      <c r="H1192" t="s">
        <v>9</v>
      </c>
      <c r="I1192" s="7">
        <v>45674</v>
      </c>
      <c r="J1192" s="8">
        <v>0.62216435185185182</v>
      </c>
      <c r="K1192" t="s">
        <v>984</v>
      </c>
      <c r="AQ1192" t="s">
        <v>992</v>
      </c>
      <c r="AR1192" t="s">
        <v>1201</v>
      </c>
      <c r="AT1192" t="s">
        <v>987</v>
      </c>
      <c r="AZ1192" t="s">
        <v>1011</v>
      </c>
      <c r="BA1192" t="s">
        <v>1202</v>
      </c>
      <c r="BB1192" t="s">
        <v>1203</v>
      </c>
      <c r="BD1192" t="s">
        <v>991</v>
      </c>
      <c r="BE1192" t="s">
        <v>309</v>
      </c>
    </row>
    <row r="1193" spans="1:57" ht="13" x14ac:dyDescent="0.15">
      <c r="A1193">
        <v>1839</v>
      </c>
      <c r="B1193">
        <v>75650847</v>
      </c>
      <c r="C1193" t="s">
        <v>309</v>
      </c>
      <c r="D1193" s="7">
        <v>42270</v>
      </c>
      <c r="E1193" s="7">
        <v>45711</v>
      </c>
      <c r="F1193">
        <v>330862</v>
      </c>
      <c r="G1193" t="s">
        <v>983</v>
      </c>
      <c r="H1193" t="s">
        <v>9</v>
      </c>
      <c r="I1193" s="7">
        <v>45674</v>
      </c>
      <c r="J1193" s="8">
        <v>0.61966435185185187</v>
      </c>
      <c r="K1193" t="s">
        <v>984</v>
      </c>
      <c r="AQ1193" t="s">
        <v>992</v>
      </c>
      <c r="AR1193" t="s">
        <v>1201</v>
      </c>
      <c r="AT1193" t="s">
        <v>987</v>
      </c>
      <c r="AZ1193" t="s">
        <v>1011</v>
      </c>
      <c r="BA1193" t="s">
        <v>1202</v>
      </c>
      <c r="BB1193" t="s">
        <v>1203</v>
      </c>
      <c r="BD1193" t="s">
        <v>991</v>
      </c>
      <c r="BE1193" t="s">
        <v>309</v>
      </c>
    </row>
    <row r="1194" spans="1:57" ht="13" x14ac:dyDescent="0.15">
      <c r="A1194">
        <v>1839</v>
      </c>
      <c r="B1194">
        <v>75650847</v>
      </c>
      <c r="C1194" t="s">
        <v>309</v>
      </c>
      <c r="D1194" s="7">
        <v>42270</v>
      </c>
      <c r="E1194" s="7">
        <v>45711</v>
      </c>
      <c r="F1194">
        <v>330862</v>
      </c>
      <c r="G1194" t="s">
        <v>983</v>
      </c>
      <c r="H1194" t="s">
        <v>9</v>
      </c>
      <c r="I1194" s="7">
        <v>45677</v>
      </c>
      <c r="J1194" s="8">
        <v>0.6869791666666667</v>
      </c>
      <c r="K1194" t="s">
        <v>984</v>
      </c>
      <c r="AQ1194" t="s">
        <v>992</v>
      </c>
      <c r="AR1194" t="s">
        <v>1083</v>
      </c>
      <c r="AT1194" t="s">
        <v>987</v>
      </c>
      <c r="AZ1194" t="s">
        <v>1011</v>
      </c>
      <c r="BA1194" t="s">
        <v>1012</v>
      </c>
      <c r="BB1194" t="s">
        <v>1013</v>
      </c>
      <c r="BD1194" t="s">
        <v>1014</v>
      </c>
      <c r="BE1194" t="s">
        <v>309</v>
      </c>
    </row>
    <row r="1195" spans="1:57" ht="13" x14ac:dyDescent="0.15">
      <c r="A1195">
        <v>1839</v>
      </c>
      <c r="B1195">
        <v>75650847</v>
      </c>
      <c r="C1195" t="s">
        <v>309</v>
      </c>
      <c r="D1195" s="7">
        <v>42270</v>
      </c>
      <c r="E1195" s="7">
        <v>45711</v>
      </c>
      <c r="F1195">
        <v>330862</v>
      </c>
      <c r="G1195" t="s">
        <v>983</v>
      </c>
      <c r="H1195" t="s">
        <v>9</v>
      </c>
      <c r="I1195" s="7">
        <v>45674</v>
      </c>
      <c r="J1195" s="8">
        <v>0.65127314814814818</v>
      </c>
      <c r="K1195" t="s">
        <v>984</v>
      </c>
      <c r="AQ1195" t="s">
        <v>992</v>
      </c>
      <c r="AR1195" t="s">
        <v>1599</v>
      </c>
      <c r="AT1195" t="s">
        <v>987</v>
      </c>
      <c r="AZ1195" t="s">
        <v>1028</v>
      </c>
      <c r="BA1195" t="s">
        <v>1029</v>
      </c>
      <c r="BB1195" t="s">
        <v>1018</v>
      </c>
      <c r="BD1195" t="s">
        <v>1022</v>
      </c>
      <c r="BE1195" t="s">
        <v>309</v>
      </c>
    </row>
    <row r="1196" spans="1:57" ht="13" x14ac:dyDescent="0.15">
      <c r="A1196">
        <v>1839</v>
      </c>
      <c r="B1196">
        <v>78294660</v>
      </c>
      <c r="C1196" t="s">
        <v>310</v>
      </c>
      <c r="D1196" s="7">
        <v>42301</v>
      </c>
      <c r="E1196" s="7">
        <v>45694</v>
      </c>
      <c r="F1196">
        <v>330862</v>
      </c>
      <c r="G1196" t="s">
        <v>983</v>
      </c>
      <c r="H1196" t="s">
        <v>9</v>
      </c>
      <c r="I1196" s="7">
        <v>45694</v>
      </c>
      <c r="J1196" s="8">
        <v>0.44309027777777776</v>
      </c>
      <c r="K1196" t="s">
        <v>984</v>
      </c>
      <c r="AQ1196" t="s">
        <v>1089</v>
      </c>
      <c r="AR1196" t="s">
        <v>993</v>
      </c>
      <c r="AT1196" t="s">
        <v>987</v>
      </c>
      <c r="AZ1196" t="s">
        <v>988</v>
      </c>
      <c r="BA1196" t="s">
        <v>989</v>
      </c>
      <c r="BB1196" t="s">
        <v>990</v>
      </c>
      <c r="BD1196" t="s">
        <v>991</v>
      </c>
      <c r="BE1196" t="s">
        <v>310</v>
      </c>
    </row>
    <row r="1197" spans="1:57" ht="13" x14ac:dyDescent="0.15">
      <c r="A1197">
        <v>1839</v>
      </c>
      <c r="B1197">
        <v>79416109</v>
      </c>
      <c r="C1197" t="s">
        <v>311</v>
      </c>
      <c r="D1197" s="7">
        <v>42304</v>
      </c>
      <c r="E1197" s="7">
        <v>45709</v>
      </c>
      <c r="F1197">
        <v>330862</v>
      </c>
      <c r="G1197" t="s">
        <v>983</v>
      </c>
      <c r="H1197" t="s">
        <v>9</v>
      </c>
      <c r="I1197" s="7">
        <v>45677</v>
      </c>
      <c r="J1197" s="8">
        <v>0.69753472222222224</v>
      </c>
      <c r="K1197" t="s">
        <v>984</v>
      </c>
      <c r="AQ1197" t="s">
        <v>1089</v>
      </c>
      <c r="AR1197" t="s">
        <v>1083</v>
      </c>
      <c r="AT1197" t="s">
        <v>987</v>
      </c>
      <c r="AZ1197" t="s">
        <v>1011</v>
      </c>
      <c r="BA1197" t="s">
        <v>1012</v>
      </c>
      <c r="BB1197" t="s">
        <v>1013</v>
      </c>
      <c r="BD1197" t="s">
        <v>1014</v>
      </c>
      <c r="BE1197" t="s">
        <v>311</v>
      </c>
    </row>
    <row r="1198" spans="1:57" ht="13" x14ac:dyDescent="0.15">
      <c r="A1198">
        <v>1839</v>
      </c>
      <c r="B1198">
        <v>79416109</v>
      </c>
      <c r="C1198" t="s">
        <v>311</v>
      </c>
      <c r="D1198" s="7">
        <v>42304</v>
      </c>
      <c r="E1198" s="7">
        <v>45709</v>
      </c>
      <c r="F1198">
        <v>330862</v>
      </c>
      <c r="G1198" t="s">
        <v>983</v>
      </c>
      <c r="H1198" t="s">
        <v>9</v>
      </c>
      <c r="I1198" s="7">
        <v>45616</v>
      </c>
      <c r="J1198" s="8">
        <v>0.59726851851851848</v>
      </c>
      <c r="K1198" t="s">
        <v>984</v>
      </c>
      <c r="AQ1198" t="s">
        <v>1089</v>
      </c>
      <c r="AR1198" t="s">
        <v>1102</v>
      </c>
      <c r="AT1198" t="s">
        <v>987</v>
      </c>
      <c r="AZ1198" t="s">
        <v>1011</v>
      </c>
      <c r="BA1198" t="s">
        <v>1103</v>
      </c>
      <c r="BB1198" t="s">
        <v>1032</v>
      </c>
      <c r="BD1198" t="s">
        <v>1005</v>
      </c>
      <c r="BE1198" t="s">
        <v>311</v>
      </c>
    </row>
    <row r="1199" spans="1:57" ht="13" x14ac:dyDescent="0.15">
      <c r="A1199">
        <v>1839</v>
      </c>
      <c r="B1199">
        <v>79646042</v>
      </c>
      <c r="C1199" t="s">
        <v>312</v>
      </c>
      <c r="D1199" s="7">
        <v>42312</v>
      </c>
      <c r="E1199" s="7">
        <v>45699</v>
      </c>
      <c r="F1199">
        <v>330862</v>
      </c>
      <c r="G1199" t="s">
        <v>983</v>
      </c>
      <c r="H1199" t="s">
        <v>9</v>
      </c>
      <c r="I1199" s="7">
        <v>45697</v>
      </c>
      <c r="J1199" s="8">
        <v>0.896087962962963</v>
      </c>
      <c r="K1199" t="s">
        <v>984</v>
      </c>
      <c r="AQ1199" t="s">
        <v>1600</v>
      </c>
      <c r="AR1199" t="s">
        <v>1315</v>
      </c>
      <c r="AT1199" t="s">
        <v>987</v>
      </c>
      <c r="AZ1199" t="s">
        <v>1182</v>
      </c>
      <c r="BA1199" t="s">
        <v>1183</v>
      </c>
      <c r="BB1199" t="s">
        <v>990</v>
      </c>
      <c r="BD1199" t="s">
        <v>991</v>
      </c>
      <c r="BE1199" t="s">
        <v>312</v>
      </c>
    </row>
    <row r="1200" spans="1:57" ht="13" x14ac:dyDescent="0.15">
      <c r="A1200">
        <v>1839</v>
      </c>
      <c r="B1200">
        <v>79737588</v>
      </c>
      <c r="C1200" t="s">
        <v>313</v>
      </c>
      <c r="D1200" s="7">
        <v>42313</v>
      </c>
      <c r="E1200" s="7">
        <v>45701</v>
      </c>
      <c r="F1200">
        <v>330862</v>
      </c>
      <c r="G1200" t="s">
        <v>983</v>
      </c>
      <c r="H1200" t="s">
        <v>9</v>
      </c>
      <c r="I1200" s="7">
        <v>45616</v>
      </c>
      <c r="J1200" s="8">
        <v>0.95420138888888884</v>
      </c>
      <c r="K1200" t="s">
        <v>984</v>
      </c>
      <c r="AQ1200" t="s">
        <v>985</v>
      </c>
      <c r="AR1200" t="s">
        <v>1378</v>
      </c>
      <c r="AT1200" t="s">
        <v>987</v>
      </c>
      <c r="AZ1200" t="s">
        <v>1011</v>
      </c>
      <c r="BA1200" t="s">
        <v>1103</v>
      </c>
      <c r="BB1200" t="s">
        <v>1032</v>
      </c>
      <c r="BD1200" t="s">
        <v>1005</v>
      </c>
      <c r="BE1200" t="s">
        <v>313</v>
      </c>
    </row>
    <row r="1201" spans="1:57" ht="13" x14ac:dyDescent="0.15">
      <c r="A1201">
        <v>1839</v>
      </c>
      <c r="B1201">
        <v>79737588</v>
      </c>
      <c r="C1201" t="s">
        <v>313</v>
      </c>
      <c r="D1201" s="7">
        <v>42313</v>
      </c>
      <c r="E1201" s="7">
        <v>45701</v>
      </c>
      <c r="F1201">
        <v>330862</v>
      </c>
      <c r="G1201" t="s">
        <v>983</v>
      </c>
      <c r="H1201" t="s">
        <v>9</v>
      </c>
      <c r="I1201" s="7">
        <v>45680</v>
      </c>
      <c r="J1201" s="8">
        <v>4.7164351851851853E-2</v>
      </c>
      <c r="K1201" t="s">
        <v>984</v>
      </c>
      <c r="AQ1201" t="s">
        <v>985</v>
      </c>
      <c r="AR1201" t="s">
        <v>1050</v>
      </c>
      <c r="AT1201" t="s">
        <v>987</v>
      </c>
      <c r="AZ1201" t="s">
        <v>1011</v>
      </c>
      <c r="BA1201" t="s">
        <v>1012</v>
      </c>
      <c r="BB1201" t="s">
        <v>1013</v>
      </c>
      <c r="BD1201" t="s">
        <v>1014</v>
      </c>
      <c r="BE1201" t="s">
        <v>313</v>
      </c>
    </row>
    <row r="1202" spans="1:57" ht="13" x14ac:dyDescent="0.15">
      <c r="A1202">
        <v>1839</v>
      </c>
      <c r="B1202">
        <v>79737588</v>
      </c>
      <c r="C1202" t="s">
        <v>313</v>
      </c>
      <c r="D1202" s="7">
        <v>42313</v>
      </c>
      <c r="E1202" s="7">
        <v>45701</v>
      </c>
      <c r="F1202">
        <v>330862</v>
      </c>
      <c r="G1202" t="s">
        <v>983</v>
      </c>
      <c r="H1202" t="s">
        <v>9</v>
      </c>
      <c r="I1202" s="7">
        <v>45685</v>
      </c>
      <c r="J1202" s="8">
        <v>2.4745370370370369E-2</v>
      </c>
      <c r="K1202" t="s">
        <v>984</v>
      </c>
      <c r="AQ1202" t="s">
        <v>985</v>
      </c>
      <c r="AR1202" t="s">
        <v>1601</v>
      </c>
      <c r="AT1202" t="s">
        <v>987</v>
      </c>
      <c r="AZ1202" t="s">
        <v>1011</v>
      </c>
      <c r="BA1202" t="s">
        <v>1012</v>
      </c>
      <c r="BB1202" t="s">
        <v>1013</v>
      </c>
      <c r="BD1202" t="s">
        <v>1014</v>
      </c>
      <c r="BE1202" t="s">
        <v>313</v>
      </c>
    </row>
    <row r="1203" spans="1:57" ht="13" x14ac:dyDescent="0.15">
      <c r="A1203">
        <v>1839</v>
      </c>
      <c r="B1203">
        <v>80182176</v>
      </c>
      <c r="C1203" t="s">
        <v>314</v>
      </c>
      <c r="D1203" s="7">
        <v>42321</v>
      </c>
      <c r="E1203" s="7">
        <v>45696</v>
      </c>
      <c r="F1203">
        <v>330862</v>
      </c>
      <c r="G1203" t="s">
        <v>983</v>
      </c>
      <c r="H1203" t="s">
        <v>9</v>
      </c>
      <c r="I1203" s="7">
        <v>45694</v>
      </c>
      <c r="J1203" s="8">
        <v>0.37787037037037036</v>
      </c>
      <c r="K1203" t="s">
        <v>984</v>
      </c>
      <c r="AQ1203" t="s">
        <v>985</v>
      </c>
      <c r="AR1203" t="s">
        <v>986</v>
      </c>
      <c r="AT1203" t="s">
        <v>987</v>
      </c>
      <c r="AZ1203" t="s">
        <v>988</v>
      </c>
      <c r="BA1203" t="s">
        <v>989</v>
      </c>
      <c r="BB1203" t="s">
        <v>990</v>
      </c>
      <c r="BD1203" t="s">
        <v>991</v>
      </c>
      <c r="BE1203" t="s">
        <v>314</v>
      </c>
    </row>
    <row r="1204" spans="1:57" ht="13" x14ac:dyDescent="0.15">
      <c r="A1204">
        <v>1839</v>
      </c>
      <c r="B1204">
        <v>80182176</v>
      </c>
      <c r="C1204" t="s">
        <v>314</v>
      </c>
      <c r="D1204" s="7">
        <v>42321</v>
      </c>
      <c r="E1204" s="7">
        <v>45696</v>
      </c>
      <c r="F1204">
        <v>330862</v>
      </c>
      <c r="G1204" t="s">
        <v>983</v>
      </c>
      <c r="H1204" t="s">
        <v>9</v>
      </c>
      <c r="I1204" s="7">
        <v>45677</v>
      </c>
      <c r="J1204" s="8">
        <v>0.64857638888888891</v>
      </c>
      <c r="K1204" t="s">
        <v>984</v>
      </c>
      <c r="AQ1204" t="s">
        <v>985</v>
      </c>
      <c r="AR1204" t="s">
        <v>1050</v>
      </c>
      <c r="AT1204" t="s">
        <v>987</v>
      </c>
      <c r="AZ1204" t="s">
        <v>1011</v>
      </c>
      <c r="BA1204" t="s">
        <v>1012</v>
      </c>
      <c r="BB1204" t="s">
        <v>1013</v>
      </c>
      <c r="BD1204" t="s">
        <v>1014</v>
      </c>
      <c r="BE1204" t="s">
        <v>314</v>
      </c>
    </row>
    <row r="1205" spans="1:57" ht="13" x14ac:dyDescent="0.15">
      <c r="A1205">
        <v>1839</v>
      </c>
      <c r="B1205">
        <v>80267018</v>
      </c>
      <c r="C1205" t="s">
        <v>315</v>
      </c>
      <c r="D1205" s="7">
        <v>42324</v>
      </c>
      <c r="E1205" s="7">
        <v>45695</v>
      </c>
      <c r="F1205">
        <v>330862</v>
      </c>
      <c r="G1205" t="s">
        <v>983</v>
      </c>
      <c r="H1205" t="s">
        <v>9</v>
      </c>
      <c r="I1205" s="7">
        <v>45684</v>
      </c>
      <c r="J1205" s="8">
        <v>0.89793981481481477</v>
      </c>
      <c r="K1205" t="s">
        <v>984</v>
      </c>
      <c r="AQ1205" t="s">
        <v>992</v>
      </c>
      <c r="AR1205" t="s">
        <v>1602</v>
      </c>
      <c r="AT1205" t="s">
        <v>987</v>
      </c>
      <c r="AZ1205" t="s">
        <v>1002</v>
      </c>
      <c r="BA1205" t="s">
        <v>1003</v>
      </c>
      <c r="BB1205" t="s">
        <v>1004</v>
      </c>
      <c r="BD1205" t="s">
        <v>1005</v>
      </c>
      <c r="BE1205" t="s">
        <v>315</v>
      </c>
    </row>
    <row r="1206" spans="1:57" ht="13" x14ac:dyDescent="0.15">
      <c r="A1206">
        <v>1839</v>
      </c>
      <c r="B1206">
        <v>80296899</v>
      </c>
      <c r="C1206" t="s">
        <v>316</v>
      </c>
      <c r="D1206" s="7">
        <v>42325</v>
      </c>
      <c r="E1206" s="7">
        <v>45691</v>
      </c>
      <c r="F1206">
        <v>330862</v>
      </c>
      <c r="G1206" t="s">
        <v>983</v>
      </c>
      <c r="H1206" t="s">
        <v>9</v>
      </c>
      <c r="I1206" s="7">
        <v>45673</v>
      </c>
      <c r="J1206" s="8">
        <v>0.11736111111111111</v>
      </c>
      <c r="K1206" t="s">
        <v>984</v>
      </c>
      <c r="AQ1206" t="s">
        <v>998</v>
      </c>
      <c r="AR1206" t="s">
        <v>1603</v>
      </c>
      <c r="AT1206" t="s">
        <v>987</v>
      </c>
      <c r="AZ1206" t="s">
        <v>1016</v>
      </c>
      <c r="BA1206" t="s">
        <v>1017</v>
      </c>
      <c r="BB1206" t="s">
        <v>1018</v>
      </c>
      <c r="BD1206" t="s">
        <v>991</v>
      </c>
      <c r="BE1206" t="s">
        <v>316</v>
      </c>
    </row>
    <row r="1207" spans="1:57" ht="13" x14ac:dyDescent="0.15">
      <c r="A1207">
        <v>1839</v>
      </c>
      <c r="B1207">
        <v>80338976</v>
      </c>
      <c r="C1207" t="s">
        <v>317</v>
      </c>
      <c r="D1207" s="7">
        <v>42326</v>
      </c>
      <c r="E1207" s="7">
        <v>45710</v>
      </c>
      <c r="F1207">
        <v>330862</v>
      </c>
      <c r="G1207" t="s">
        <v>983</v>
      </c>
      <c r="H1207" t="s">
        <v>9</v>
      </c>
      <c r="I1207" s="7">
        <v>45631</v>
      </c>
      <c r="J1207" s="8">
        <v>3.6805555555555554E-3</v>
      </c>
      <c r="K1207" t="s">
        <v>984</v>
      </c>
      <c r="AQ1207" t="s">
        <v>985</v>
      </c>
      <c r="AR1207" t="s">
        <v>1604</v>
      </c>
      <c r="AT1207" t="s">
        <v>987</v>
      </c>
      <c r="AZ1207" t="s">
        <v>1055</v>
      </c>
      <c r="BA1207" t="s">
        <v>1056</v>
      </c>
      <c r="BB1207" t="s">
        <v>1013</v>
      </c>
      <c r="BD1207" t="s">
        <v>1022</v>
      </c>
      <c r="BE1207" t="s">
        <v>317</v>
      </c>
    </row>
    <row r="1208" spans="1:57" ht="13" x14ac:dyDescent="0.15">
      <c r="A1208">
        <v>1839</v>
      </c>
      <c r="B1208">
        <v>80338976</v>
      </c>
      <c r="C1208" t="s">
        <v>317</v>
      </c>
      <c r="D1208" s="7">
        <v>42326</v>
      </c>
      <c r="E1208" s="7">
        <v>45710</v>
      </c>
      <c r="F1208">
        <v>330862</v>
      </c>
      <c r="G1208" t="s">
        <v>983</v>
      </c>
      <c r="H1208" t="s">
        <v>9</v>
      </c>
      <c r="I1208" s="7">
        <v>45658</v>
      </c>
      <c r="J1208" s="8">
        <v>0.54143518518518519</v>
      </c>
      <c r="K1208" t="s">
        <v>984</v>
      </c>
      <c r="AQ1208" t="s">
        <v>985</v>
      </c>
      <c r="AR1208" t="s">
        <v>1605</v>
      </c>
      <c r="AT1208" t="s">
        <v>987</v>
      </c>
      <c r="AZ1208" t="s">
        <v>1007</v>
      </c>
      <c r="BA1208" t="s">
        <v>1008</v>
      </c>
      <c r="BB1208" t="s">
        <v>990</v>
      </c>
      <c r="BD1208" t="s">
        <v>1005</v>
      </c>
      <c r="BE1208" t="s">
        <v>317</v>
      </c>
    </row>
    <row r="1209" spans="1:57" ht="13" x14ac:dyDescent="0.15">
      <c r="A1209">
        <v>1839</v>
      </c>
      <c r="B1209">
        <v>80338976</v>
      </c>
      <c r="C1209" t="s">
        <v>317</v>
      </c>
      <c r="D1209" s="7">
        <v>42326</v>
      </c>
      <c r="E1209" s="7">
        <v>45710</v>
      </c>
      <c r="F1209">
        <v>336447</v>
      </c>
      <c r="G1209" t="s">
        <v>1074</v>
      </c>
      <c r="H1209" t="s">
        <v>26</v>
      </c>
      <c r="I1209" s="7">
        <v>45658</v>
      </c>
      <c r="J1209" s="8">
        <v>0.54068287037037033</v>
      </c>
      <c r="K1209" t="s">
        <v>984</v>
      </c>
      <c r="AQ1209" t="s">
        <v>985</v>
      </c>
      <c r="AR1209" t="s">
        <v>1606</v>
      </c>
      <c r="BE1209" t="s">
        <v>317</v>
      </c>
    </row>
    <row r="1210" spans="1:57" ht="13" x14ac:dyDescent="0.15">
      <c r="A1210">
        <v>1839</v>
      </c>
      <c r="B1210">
        <v>80338976</v>
      </c>
      <c r="C1210" t="s">
        <v>317</v>
      </c>
      <c r="D1210" s="7">
        <v>42326</v>
      </c>
      <c r="E1210" s="7">
        <v>45710</v>
      </c>
      <c r="F1210">
        <v>336453</v>
      </c>
      <c r="G1210" t="s">
        <v>1074</v>
      </c>
      <c r="H1210" t="s">
        <v>27</v>
      </c>
      <c r="I1210" s="7">
        <v>45658</v>
      </c>
      <c r="J1210" s="8">
        <v>0.54079861111111116</v>
      </c>
      <c r="K1210" t="s">
        <v>984</v>
      </c>
      <c r="AQ1210" t="s">
        <v>985</v>
      </c>
      <c r="AR1210" t="s">
        <v>1076</v>
      </c>
      <c r="BE1210" t="s">
        <v>317</v>
      </c>
    </row>
    <row r="1211" spans="1:57" ht="13" x14ac:dyDescent="0.15">
      <c r="A1211">
        <v>1839</v>
      </c>
      <c r="B1211">
        <v>80338976</v>
      </c>
      <c r="C1211" t="s">
        <v>317</v>
      </c>
      <c r="D1211" s="7">
        <v>42326</v>
      </c>
      <c r="E1211" s="7">
        <v>45710</v>
      </c>
      <c r="F1211">
        <v>336709</v>
      </c>
      <c r="G1211" t="s">
        <v>1074</v>
      </c>
      <c r="H1211" t="s">
        <v>28</v>
      </c>
      <c r="I1211" s="7">
        <v>45658</v>
      </c>
      <c r="J1211" s="8">
        <v>0.54085648148148147</v>
      </c>
      <c r="K1211" t="s">
        <v>984</v>
      </c>
      <c r="AQ1211" t="s">
        <v>985</v>
      </c>
      <c r="AR1211" t="s">
        <v>1077</v>
      </c>
      <c r="BE1211" t="s">
        <v>317</v>
      </c>
    </row>
    <row r="1212" spans="1:57" ht="13" x14ac:dyDescent="0.15">
      <c r="A1212">
        <v>1839</v>
      </c>
      <c r="B1212">
        <v>85305684</v>
      </c>
      <c r="C1212" t="s">
        <v>1607</v>
      </c>
      <c r="D1212" s="7">
        <v>42374</v>
      </c>
      <c r="E1212" s="7">
        <v>45693</v>
      </c>
      <c r="F1212">
        <v>330862</v>
      </c>
      <c r="G1212" t="s">
        <v>983</v>
      </c>
      <c r="H1212" t="s">
        <v>9</v>
      </c>
      <c r="I1212" s="7">
        <v>45616</v>
      </c>
      <c r="J1212" s="8">
        <v>0.63167824074074075</v>
      </c>
      <c r="K1212" t="s">
        <v>984</v>
      </c>
      <c r="AQ1212" t="s">
        <v>992</v>
      </c>
      <c r="AR1212" t="s">
        <v>1378</v>
      </c>
      <c r="AT1212" t="s">
        <v>987</v>
      </c>
      <c r="AZ1212" t="s">
        <v>1011</v>
      </c>
      <c r="BA1212" t="s">
        <v>1103</v>
      </c>
      <c r="BB1212" t="s">
        <v>1032</v>
      </c>
      <c r="BD1212" t="s">
        <v>1005</v>
      </c>
      <c r="BE1212" t="s">
        <v>1607</v>
      </c>
    </row>
    <row r="1213" spans="1:57" ht="13" x14ac:dyDescent="0.15">
      <c r="A1213">
        <v>1839</v>
      </c>
      <c r="B1213">
        <v>86825629</v>
      </c>
      <c r="C1213" t="s">
        <v>318</v>
      </c>
      <c r="D1213" s="7">
        <v>42397</v>
      </c>
      <c r="E1213" s="7">
        <v>45708</v>
      </c>
      <c r="F1213">
        <v>330862</v>
      </c>
      <c r="G1213" t="s">
        <v>983</v>
      </c>
      <c r="H1213" t="s">
        <v>9</v>
      </c>
      <c r="I1213" s="7">
        <v>45698</v>
      </c>
      <c r="J1213" s="8">
        <v>0.51410879629629624</v>
      </c>
      <c r="K1213" t="s">
        <v>984</v>
      </c>
      <c r="AQ1213" t="s">
        <v>992</v>
      </c>
      <c r="AR1213" t="s">
        <v>1608</v>
      </c>
      <c r="AT1213" t="s">
        <v>987</v>
      </c>
      <c r="AZ1213" t="s">
        <v>1002</v>
      </c>
      <c r="BA1213" t="s">
        <v>1003</v>
      </c>
      <c r="BB1213" t="s">
        <v>1004</v>
      </c>
      <c r="BD1213" t="s">
        <v>1005</v>
      </c>
      <c r="BE1213" t="s">
        <v>318</v>
      </c>
    </row>
    <row r="1214" spans="1:57" ht="13" x14ac:dyDescent="0.15">
      <c r="A1214">
        <v>1839</v>
      </c>
      <c r="B1214">
        <v>86825629</v>
      </c>
      <c r="C1214" t="s">
        <v>318</v>
      </c>
      <c r="D1214" s="7">
        <v>42397</v>
      </c>
      <c r="E1214" s="7">
        <v>45708</v>
      </c>
      <c r="F1214">
        <v>330862</v>
      </c>
      <c r="G1214" t="s">
        <v>983</v>
      </c>
      <c r="H1214" t="s">
        <v>9</v>
      </c>
      <c r="I1214" s="7">
        <v>45698</v>
      </c>
      <c r="J1214" s="8">
        <v>0.50599537037037035</v>
      </c>
      <c r="K1214" t="s">
        <v>984</v>
      </c>
      <c r="AQ1214" t="s">
        <v>992</v>
      </c>
      <c r="AR1214" t="s">
        <v>993</v>
      </c>
      <c r="AT1214" t="s">
        <v>987</v>
      </c>
      <c r="AZ1214" t="s">
        <v>988</v>
      </c>
      <c r="BA1214" t="s">
        <v>989</v>
      </c>
      <c r="BB1214" t="s">
        <v>990</v>
      </c>
      <c r="BD1214" t="s">
        <v>991</v>
      </c>
      <c r="BE1214" t="s">
        <v>318</v>
      </c>
    </row>
    <row r="1215" spans="1:57" ht="13" x14ac:dyDescent="0.15">
      <c r="A1215">
        <v>1839</v>
      </c>
      <c r="B1215">
        <v>86825629</v>
      </c>
      <c r="C1215" t="s">
        <v>318</v>
      </c>
      <c r="D1215" s="7">
        <v>42397</v>
      </c>
      <c r="E1215" s="7">
        <v>45708</v>
      </c>
      <c r="F1215">
        <v>330862</v>
      </c>
      <c r="G1215" t="s">
        <v>983</v>
      </c>
      <c r="H1215" t="s">
        <v>9</v>
      </c>
      <c r="I1215" s="7">
        <v>45700</v>
      </c>
      <c r="J1215" s="8">
        <v>0.60561342592592593</v>
      </c>
      <c r="K1215" t="s">
        <v>984</v>
      </c>
      <c r="AQ1215" t="s">
        <v>992</v>
      </c>
      <c r="AR1215" t="s">
        <v>1033</v>
      </c>
      <c r="AT1215" t="s">
        <v>987</v>
      </c>
      <c r="AZ1215" t="s">
        <v>1007</v>
      </c>
      <c r="BA1215" t="s">
        <v>1008</v>
      </c>
      <c r="BB1215" t="s">
        <v>990</v>
      </c>
      <c r="BD1215" t="s">
        <v>1005</v>
      </c>
      <c r="BE1215" t="s">
        <v>318</v>
      </c>
    </row>
    <row r="1216" spans="1:57" ht="13" x14ac:dyDescent="0.15">
      <c r="A1216">
        <v>1839</v>
      </c>
      <c r="B1216">
        <v>88395854</v>
      </c>
      <c r="C1216" t="s">
        <v>319</v>
      </c>
      <c r="D1216" s="7">
        <v>42411</v>
      </c>
      <c r="E1216" s="7">
        <v>45709</v>
      </c>
      <c r="F1216">
        <v>330862</v>
      </c>
      <c r="G1216" t="s">
        <v>983</v>
      </c>
      <c r="H1216" t="s">
        <v>9</v>
      </c>
      <c r="I1216" s="7">
        <v>45700</v>
      </c>
      <c r="J1216" s="8">
        <v>0.68503472222222217</v>
      </c>
      <c r="K1216" t="s">
        <v>984</v>
      </c>
      <c r="AQ1216" t="s">
        <v>1142</v>
      </c>
      <c r="AR1216" t="s">
        <v>1609</v>
      </c>
      <c r="AT1216" t="s">
        <v>987</v>
      </c>
      <c r="AZ1216" t="s">
        <v>1220</v>
      </c>
      <c r="BA1216" t="s">
        <v>1221</v>
      </c>
      <c r="BB1216" t="s">
        <v>1082</v>
      </c>
      <c r="BD1216" t="s">
        <v>991</v>
      </c>
      <c r="BE1216" t="s">
        <v>319</v>
      </c>
    </row>
    <row r="1217" spans="1:57" ht="13" x14ac:dyDescent="0.15">
      <c r="A1217">
        <v>1839</v>
      </c>
      <c r="B1217">
        <v>88395854</v>
      </c>
      <c r="C1217" t="s">
        <v>319</v>
      </c>
      <c r="D1217" s="7">
        <v>42411</v>
      </c>
      <c r="E1217" s="7">
        <v>45709</v>
      </c>
      <c r="F1217">
        <v>330862</v>
      </c>
      <c r="G1217" t="s">
        <v>983</v>
      </c>
      <c r="H1217" t="s">
        <v>9</v>
      </c>
      <c r="I1217" s="7">
        <v>45700</v>
      </c>
      <c r="J1217" s="8">
        <v>0.69472222222222224</v>
      </c>
      <c r="K1217" t="s">
        <v>984</v>
      </c>
      <c r="AQ1217" t="s">
        <v>1142</v>
      </c>
      <c r="AR1217" t="s">
        <v>1609</v>
      </c>
      <c r="AT1217" t="s">
        <v>987</v>
      </c>
      <c r="AZ1217" t="s">
        <v>1220</v>
      </c>
      <c r="BA1217" t="s">
        <v>1221</v>
      </c>
      <c r="BB1217" t="s">
        <v>1082</v>
      </c>
      <c r="BD1217" t="s">
        <v>991</v>
      </c>
      <c r="BE1217" t="s">
        <v>319</v>
      </c>
    </row>
    <row r="1218" spans="1:57" ht="13" x14ac:dyDescent="0.15">
      <c r="A1218">
        <v>1839</v>
      </c>
      <c r="B1218">
        <v>88395854</v>
      </c>
      <c r="C1218" t="s">
        <v>319</v>
      </c>
      <c r="D1218" s="7">
        <v>42411</v>
      </c>
      <c r="E1218" s="7">
        <v>45709</v>
      </c>
      <c r="F1218">
        <v>330862</v>
      </c>
      <c r="G1218" t="s">
        <v>983</v>
      </c>
      <c r="H1218" t="s">
        <v>9</v>
      </c>
      <c r="I1218" s="7">
        <v>45700</v>
      </c>
      <c r="J1218" s="8">
        <v>0.7152546296296296</v>
      </c>
      <c r="K1218" t="s">
        <v>984</v>
      </c>
      <c r="AQ1218" t="s">
        <v>1142</v>
      </c>
      <c r="AR1218" t="s">
        <v>1554</v>
      </c>
      <c r="AT1218" t="s">
        <v>987</v>
      </c>
      <c r="AZ1218" t="s">
        <v>1028</v>
      </c>
      <c r="BA1218" t="s">
        <v>1037</v>
      </c>
      <c r="BB1218" t="s">
        <v>1038</v>
      </c>
      <c r="BD1218" t="s">
        <v>991</v>
      </c>
      <c r="BE1218" t="s">
        <v>319</v>
      </c>
    </row>
    <row r="1219" spans="1:57" ht="13" x14ac:dyDescent="0.15">
      <c r="A1219">
        <v>1839</v>
      </c>
      <c r="B1219">
        <v>88395854</v>
      </c>
      <c r="C1219" t="s">
        <v>319</v>
      </c>
      <c r="D1219" s="7">
        <v>42411</v>
      </c>
      <c r="E1219" s="7">
        <v>45709</v>
      </c>
      <c r="F1219">
        <v>330862</v>
      </c>
      <c r="G1219" t="s">
        <v>983</v>
      </c>
      <c r="H1219" t="s">
        <v>9</v>
      </c>
      <c r="I1219" s="7">
        <v>45700</v>
      </c>
      <c r="J1219" s="8">
        <v>0.70743055555555556</v>
      </c>
      <c r="K1219" t="s">
        <v>984</v>
      </c>
      <c r="AQ1219" t="s">
        <v>1142</v>
      </c>
      <c r="AR1219" t="s">
        <v>1610</v>
      </c>
      <c r="AT1219" t="s">
        <v>987</v>
      </c>
      <c r="AZ1219" t="s">
        <v>1080</v>
      </c>
      <c r="BA1219" t="s">
        <v>1081</v>
      </c>
      <c r="BB1219" t="s">
        <v>1082</v>
      </c>
      <c r="BD1219" t="s">
        <v>991</v>
      </c>
      <c r="BE1219" t="s">
        <v>319</v>
      </c>
    </row>
    <row r="1220" spans="1:57" ht="13" x14ac:dyDescent="0.15">
      <c r="A1220">
        <v>1839</v>
      </c>
      <c r="B1220">
        <v>88395854</v>
      </c>
      <c r="C1220" t="s">
        <v>319</v>
      </c>
      <c r="D1220" s="7">
        <v>42411</v>
      </c>
      <c r="E1220" s="7">
        <v>45709</v>
      </c>
      <c r="F1220">
        <v>330862</v>
      </c>
      <c r="G1220" t="s">
        <v>983</v>
      </c>
      <c r="H1220" t="s">
        <v>9</v>
      </c>
      <c r="I1220" s="7">
        <v>45700</v>
      </c>
      <c r="J1220" s="8">
        <v>0.69673611111111111</v>
      </c>
      <c r="K1220" t="s">
        <v>984</v>
      </c>
      <c r="AQ1220" t="s">
        <v>1142</v>
      </c>
      <c r="AR1220" t="s">
        <v>1315</v>
      </c>
      <c r="AT1220" t="s">
        <v>987</v>
      </c>
      <c r="AZ1220" t="s">
        <v>1182</v>
      </c>
      <c r="BA1220" t="s">
        <v>1183</v>
      </c>
      <c r="BB1220" t="s">
        <v>990</v>
      </c>
      <c r="BD1220" t="s">
        <v>991</v>
      </c>
      <c r="BE1220" t="s">
        <v>319</v>
      </c>
    </row>
    <row r="1221" spans="1:57" ht="13" x14ac:dyDescent="0.15">
      <c r="A1221">
        <v>1839</v>
      </c>
      <c r="B1221">
        <v>89953352</v>
      </c>
      <c r="C1221" t="s">
        <v>320</v>
      </c>
      <c r="D1221" s="7">
        <v>42421</v>
      </c>
      <c r="E1221" s="7">
        <v>45713</v>
      </c>
      <c r="F1221">
        <v>330862</v>
      </c>
      <c r="G1221" t="s">
        <v>983</v>
      </c>
      <c r="H1221" t="s">
        <v>9</v>
      </c>
      <c r="I1221" s="7">
        <v>45677</v>
      </c>
      <c r="J1221" s="8">
        <v>0.4901388888888889</v>
      </c>
      <c r="K1221" t="s">
        <v>984</v>
      </c>
      <c r="AQ1221" t="s">
        <v>985</v>
      </c>
      <c r="AR1221" t="s">
        <v>1461</v>
      </c>
      <c r="AT1221" t="s">
        <v>987</v>
      </c>
      <c r="AZ1221" t="s">
        <v>1002</v>
      </c>
      <c r="BA1221" t="s">
        <v>1003</v>
      </c>
      <c r="BB1221" t="s">
        <v>1004</v>
      </c>
      <c r="BD1221" t="s">
        <v>1005</v>
      </c>
      <c r="BE1221" t="s">
        <v>320</v>
      </c>
    </row>
    <row r="1222" spans="1:57" ht="13" x14ac:dyDescent="0.15">
      <c r="A1222">
        <v>1839</v>
      </c>
      <c r="B1222">
        <v>89953352</v>
      </c>
      <c r="C1222" t="s">
        <v>320</v>
      </c>
      <c r="D1222" s="7">
        <v>42421</v>
      </c>
      <c r="E1222" s="7">
        <v>45713</v>
      </c>
      <c r="F1222">
        <v>330862</v>
      </c>
      <c r="G1222" t="s">
        <v>983</v>
      </c>
      <c r="H1222" t="s">
        <v>9</v>
      </c>
      <c r="I1222" s="7">
        <v>45678</v>
      </c>
      <c r="J1222" s="8">
        <v>0.59222222222222221</v>
      </c>
      <c r="K1222" t="s">
        <v>984</v>
      </c>
      <c r="AQ1222" t="s">
        <v>985</v>
      </c>
      <c r="AR1222" t="s">
        <v>1361</v>
      </c>
      <c r="AT1222" t="s">
        <v>987</v>
      </c>
      <c r="AZ1222" t="s">
        <v>1044</v>
      </c>
      <c r="BA1222" t="s">
        <v>1045</v>
      </c>
      <c r="BB1222" t="s">
        <v>990</v>
      </c>
      <c r="BD1222" t="s">
        <v>991</v>
      </c>
      <c r="BE1222" t="s">
        <v>320</v>
      </c>
    </row>
    <row r="1223" spans="1:57" ht="13" x14ac:dyDescent="0.15">
      <c r="A1223">
        <v>1839</v>
      </c>
      <c r="B1223">
        <v>89953352</v>
      </c>
      <c r="C1223" t="s">
        <v>320</v>
      </c>
      <c r="D1223" s="7">
        <v>42421</v>
      </c>
      <c r="E1223" s="7">
        <v>45713</v>
      </c>
      <c r="F1223">
        <v>330862</v>
      </c>
      <c r="G1223" t="s">
        <v>983</v>
      </c>
      <c r="H1223" t="s">
        <v>9</v>
      </c>
      <c r="I1223" s="7">
        <v>45677</v>
      </c>
      <c r="J1223" s="8">
        <v>0.52598379629629632</v>
      </c>
      <c r="K1223" t="s">
        <v>984</v>
      </c>
      <c r="AQ1223" t="s">
        <v>985</v>
      </c>
      <c r="AR1223" t="s">
        <v>1611</v>
      </c>
      <c r="AT1223" t="s">
        <v>987</v>
      </c>
      <c r="AZ1223" t="s">
        <v>1071</v>
      </c>
      <c r="BA1223" t="s">
        <v>1072</v>
      </c>
      <c r="BB1223" t="s">
        <v>1048</v>
      </c>
      <c r="BD1223" t="s">
        <v>1005</v>
      </c>
      <c r="BE1223" t="s">
        <v>320</v>
      </c>
    </row>
    <row r="1224" spans="1:57" ht="13" x14ac:dyDescent="0.15">
      <c r="A1224">
        <v>1839</v>
      </c>
      <c r="B1224">
        <v>89953352</v>
      </c>
      <c r="C1224" t="s">
        <v>320</v>
      </c>
      <c r="D1224" s="7">
        <v>42421</v>
      </c>
      <c r="E1224" s="7">
        <v>45713</v>
      </c>
      <c r="F1224">
        <v>336444</v>
      </c>
      <c r="G1224" t="s">
        <v>995</v>
      </c>
      <c r="H1224" t="s">
        <v>12</v>
      </c>
      <c r="I1224" s="7">
        <v>45713</v>
      </c>
      <c r="J1224" s="8">
        <v>0.49721064814814814</v>
      </c>
      <c r="K1224" t="s">
        <v>984</v>
      </c>
      <c r="AQ1224" t="s">
        <v>996</v>
      </c>
      <c r="BE1224" t="s">
        <v>320</v>
      </c>
    </row>
    <row r="1225" spans="1:57" ht="13" x14ac:dyDescent="0.15">
      <c r="A1225">
        <v>1839</v>
      </c>
      <c r="B1225">
        <v>90641209</v>
      </c>
      <c r="C1225" t="s">
        <v>321</v>
      </c>
      <c r="D1225" s="7">
        <v>42430</v>
      </c>
      <c r="E1225" s="7">
        <v>45711</v>
      </c>
      <c r="F1225">
        <v>330862</v>
      </c>
      <c r="G1225" t="s">
        <v>983</v>
      </c>
      <c r="H1225" t="s">
        <v>9</v>
      </c>
      <c r="I1225" s="7">
        <v>45696</v>
      </c>
      <c r="J1225" s="8">
        <v>0.68587962962962967</v>
      </c>
      <c r="K1225" t="s">
        <v>984</v>
      </c>
      <c r="AQ1225" t="s">
        <v>1320</v>
      </c>
      <c r="AR1225" t="s">
        <v>986</v>
      </c>
      <c r="AT1225" t="s">
        <v>987</v>
      </c>
      <c r="AZ1225" t="s">
        <v>988</v>
      </c>
      <c r="BA1225" t="s">
        <v>989</v>
      </c>
      <c r="BB1225" t="s">
        <v>990</v>
      </c>
      <c r="BD1225" t="s">
        <v>991</v>
      </c>
      <c r="BE1225" t="s">
        <v>321</v>
      </c>
    </row>
    <row r="1226" spans="1:57" ht="13" x14ac:dyDescent="0.15">
      <c r="A1226">
        <v>1839</v>
      </c>
      <c r="B1226">
        <v>95069175</v>
      </c>
      <c r="C1226" t="s">
        <v>1612</v>
      </c>
      <c r="D1226" s="7">
        <v>42492</v>
      </c>
      <c r="E1226" s="7">
        <v>45713</v>
      </c>
      <c r="F1226">
        <v>330862</v>
      </c>
      <c r="G1226" t="s">
        <v>983</v>
      </c>
      <c r="H1226" t="s">
        <v>9</v>
      </c>
      <c r="I1226" s="7">
        <v>45636</v>
      </c>
      <c r="J1226" s="8">
        <v>0.4941550925925926</v>
      </c>
      <c r="K1226" t="s">
        <v>984</v>
      </c>
      <c r="AQ1226" t="s">
        <v>1090</v>
      </c>
      <c r="AR1226" t="s">
        <v>1262</v>
      </c>
      <c r="AT1226" t="s">
        <v>987</v>
      </c>
      <c r="AZ1226" t="s">
        <v>1028</v>
      </c>
      <c r="BA1226" t="s">
        <v>1029</v>
      </c>
      <c r="BB1226" t="s">
        <v>1018</v>
      </c>
      <c r="BD1226" t="s">
        <v>1022</v>
      </c>
      <c r="BE1226" t="s">
        <v>1612</v>
      </c>
    </row>
    <row r="1227" spans="1:57" ht="13" x14ac:dyDescent="0.15">
      <c r="A1227">
        <v>1839</v>
      </c>
      <c r="B1227">
        <v>95309197</v>
      </c>
      <c r="C1227" t="s">
        <v>1613</v>
      </c>
      <c r="D1227" s="7">
        <v>42495</v>
      </c>
      <c r="E1227" s="7">
        <v>45693</v>
      </c>
      <c r="F1227">
        <v>330862</v>
      </c>
      <c r="G1227" t="s">
        <v>983</v>
      </c>
      <c r="H1227" t="s">
        <v>9</v>
      </c>
      <c r="I1227" s="7">
        <v>45636</v>
      </c>
      <c r="J1227" s="8">
        <v>0.48332175925925924</v>
      </c>
      <c r="K1227" t="s">
        <v>984</v>
      </c>
      <c r="AQ1227" t="s">
        <v>1113</v>
      </c>
      <c r="AR1227" t="s">
        <v>1208</v>
      </c>
      <c r="AT1227" t="s">
        <v>987</v>
      </c>
      <c r="AZ1227" t="s">
        <v>1011</v>
      </c>
      <c r="BA1227" t="s">
        <v>1031</v>
      </c>
      <c r="BB1227" t="s">
        <v>1032</v>
      </c>
      <c r="BD1227" t="s">
        <v>1005</v>
      </c>
      <c r="BE1227" t="s">
        <v>1613</v>
      </c>
    </row>
    <row r="1228" spans="1:57" ht="13" x14ac:dyDescent="0.15">
      <c r="A1228">
        <v>1839</v>
      </c>
      <c r="B1228">
        <v>95482221</v>
      </c>
      <c r="C1228" t="s">
        <v>1614</v>
      </c>
      <c r="D1228" s="7">
        <v>42496</v>
      </c>
      <c r="E1228" s="7">
        <v>45708</v>
      </c>
      <c r="F1228">
        <v>330862</v>
      </c>
      <c r="G1228" t="s">
        <v>983</v>
      </c>
      <c r="H1228" t="s">
        <v>9</v>
      </c>
      <c r="I1228" s="7">
        <v>45616</v>
      </c>
      <c r="J1228" s="8">
        <v>0.64140046296296294</v>
      </c>
      <c r="K1228" t="s">
        <v>984</v>
      </c>
      <c r="AQ1228" t="s">
        <v>992</v>
      </c>
      <c r="AR1228" t="s">
        <v>1615</v>
      </c>
      <c r="AT1228" t="s">
        <v>987</v>
      </c>
      <c r="AZ1228" t="s">
        <v>1182</v>
      </c>
      <c r="BA1228" t="s">
        <v>1185</v>
      </c>
      <c r="BB1228" t="s">
        <v>1026</v>
      </c>
      <c r="BD1228" t="s">
        <v>1022</v>
      </c>
      <c r="BE1228" t="s">
        <v>1614</v>
      </c>
    </row>
    <row r="1229" spans="1:57" ht="13" x14ac:dyDescent="0.15">
      <c r="A1229">
        <v>1839</v>
      </c>
      <c r="B1229">
        <v>97330329</v>
      </c>
      <c r="C1229" t="s">
        <v>322</v>
      </c>
      <c r="D1229" s="7">
        <v>42510</v>
      </c>
      <c r="E1229" s="7">
        <v>45696</v>
      </c>
      <c r="F1229">
        <v>330862</v>
      </c>
      <c r="G1229" t="s">
        <v>983</v>
      </c>
      <c r="H1229" t="s">
        <v>9</v>
      </c>
      <c r="I1229" s="7">
        <v>45694</v>
      </c>
      <c r="J1229" s="8">
        <v>0.53575231481481478</v>
      </c>
      <c r="K1229" t="s">
        <v>984</v>
      </c>
      <c r="AQ1229" t="s">
        <v>1090</v>
      </c>
      <c r="AR1229" t="s">
        <v>993</v>
      </c>
      <c r="AT1229" t="s">
        <v>987</v>
      </c>
      <c r="AZ1229" t="s">
        <v>988</v>
      </c>
      <c r="BA1229" t="s">
        <v>989</v>
      </c>
      <c r="BB1229" t="s">
        <v>990</v>
      </c>
      <c r="BD1229" t="s">
        <v>991</v>
      </c>
      <c r="BE1229" t="s">
        <v>322</v>
      </c>
    </row>
    <row r="1230" spans="1:57" ht="13" x14ac:dyDescent="0.15">
      <c r="A1230">
        <v>1839</v>
      </c>
      <c r="B1230">
        <v>100847660</v>
      </c>
      <c r="C1230" t="s">
        <v>1616</v>
      </c>
      <c r="D1230" s="7">
        <v>42537</v>
      </c>
      <c r="E1230" s="7">
        <v>45635</v>
      </c>
      <c r="F1230">
        <v>330862</v>
      </c>
      <c r="G1230" t="s">
        <v>983</v>
      </c>
      <c r="H1230" t="s">
        <v>9</v>
      </c>
      <c r="I1230" s="7">
        <v>45616</v>
      </c>
      <c r="J1230" s="8">
        <v>0.6118055555555556</v>
      </c>
      <c r="K1230" t="s">
        <v>984</v>
      </c>
      <c r="AQ1230" t="s">
        <v>998</v>
      </c>
      <c r="AR1230" t="s">
        <v>1102</v>
      </c>
      <c r="AT1230" t="s">
        <v>987</v>
      </c>
      <c r="AZ1230" t="s">
        <v>1011</v>
      </c>
      <c r="BA1230" t="s">
        <v>1103</v>
      </c>
      <c r="BB1230" t="s">
        <v>1032</v>
      </c>
      <c r="BD1230" t="s">
        <v>1005</v>
      </c>
      <c r="BE1230" t="s">
        <v>1616</v>
      </c>
    </row>
    <row r="1231" spans="1:57" ht="13" x14ac:dyDescent="0.15">
      <c r="A1231">
        <v>1839</v>
      </c>
      <c r="B1231">
        <v>100852661</v>
      </c>
      <c r="C1231" t="s">
        <v>323</v>
      </c>
      <c r="D1231" s="7">
        <v>42537</v>
      </c>
      <c r="E1231" s="7">
        <v>45679</v>
      </c>
      <c r="F1231">
        <v>330862</v>
      </c>
      <c r="G1231" t="s">
        <v>983</v>
      </c>
      <c r="H1231" t="s">
        <v>9</v>
      </c>
      <c r="I1231" s="7">
        <v>45677</v>
      </c>
      <c r="J1231" s="8">
        <v>0.72633101851851856</v>
      </c>
      <c r="K1231" t="s">
        <v>984</v>
      </c>
      <c r="AQ1231" t="s">
        <v>985</v>
      </c>
      <c r="AR1231" t="s">
        <v>1050</v>
      </c>
      <c r="AT1231" t="s">
        <v>987</v>
      </c>
      <c r="AZ1231" t="s">
        <v>1011</v>
      </c>
      <c r="BA1231" t="s">
        <v>1012</v>
      </c>
      <c r="BB1231" t="s">
        <v>1013</v>
      </c>
      <c r="BD1231" t="s">
        <v>1014</v>
      </c>
      <c r="BE1231" t="s">
        <v>323</v>
      </c>
    </row>
    <row r="1232" spans="1:57" ht="13" x14ac:dyDescent="0.15">
      <c r="A1232">
        <v>1839</v>
      </c>
      <c r="B1232">
        <v>101796544</v>
      </c>
      <c r="C1232" t="s">
        <v>324</v>
      </c>
      <c r="D1232" s="7">
        <v>42541</v>
      </c>
      <c r="E1232" s="7">
        <v>45708</v>
      </c>
      <c r="F1232">
        <v>330862</v>
      </c>
      <c r="G1232" t="s">
        <v>983</v>
      </c>
      <c r="H1232" t="s">
        <v>9</v>
      </c>
      <c r="I1232" s="7">
        <v>45697</v>
      </c>
      <c r="J1232" s="8">
        <v>2.8472222222222222E-2</v>
      </c>
      <c r="K1232" t="s">
        <v>984</v>
      </c>
      <c r="AQ1232" t="s">
        <v>992</v>
      </c>
      <c r="AR1232" t="s">
        <v>993</v>
      </c>
      <c r="AT1232" t="s">
        <v>987</v>
      </c>
      <c r="AZ1232" t="s">
        <v>988</v>
      </c>
      <c r="BA1232" t="s">
        <v>989</v>
      </c>
      <c r="BB1232" t="s">
        <v>990</v>
      </c>
      <c r="BD1232" t="s">
        <v>991</v>
      </c>
      <c r="BE1232" t="s">
        <v>324</v>
      </c>
    </row>
    <row r="1233" spans="1:57" ht="13" x14ac:dyDescent="0.15">
      <c r="A1233">
        <v>1839</v>
      </c>
      <c r="B1233">
        <v>103712330</v>
      </c>
      <c r="C1233" t="s">
        <v>325</v>
      </c>
      <c r="D1233" s="7">
        <v>42556</v>
      </c>
      <c r="E1233" s="7">
        <v>45708</v>
      </c>
      <c r="F1233">
        <v>330862</v>
      </c>
      <c r="G1233" t="s">
        <v>983</v>
      </c>
      <c r="H1233" t="s">
        <v>9</v>
      </c>
      <c r="I1233" s="7">
        <v>45633</v>
      </c>
      <c r="J1233" s="8">
        <v>0.44188657407407406</v>
      </c>
      <c r="K1233" t="s">
        <v>984</v>
      </c>
      <c r="AQ1233" t="s">
        <v>1142</v>
      </c>
      <c r="AR1233" t="s">
        <v>1617</v>
      </c>
      <c r="AT1233" t="s">
        <v>987</v>
      </c>
      <c r="AZ1233" t="s">
        <v>1024</v>
      </c>
      <c r="BA1233" t="s">
        <v>1025</v>
      </c>
      <c r="BB1233" t="s">
        <v>1026</v>
      </c>
      <c r="BD1233" t="s">
        <v>1022</v>
      </c>
      <c r="BE1233" t="s">
        <v>325</v>
      </c>
    </row>
    <row r="1234" spans="1:57" ht="13" x14ac:dyDescent="0.15">
      <c r="A1234">
        <v>1839</v>
      </c>
      <c r="B1234">
        <v>103712330</v>
      </c>
      <c r="C1234" t="s">
        <v>325</v>
      </c>
      <c r="D1234" s="7">
        <v>42556</v>
      </c>
      <c r="E1234" s="7">
        <v>45708</v>
      </c>
      <c r="F1234">
        <v>330862</v>
      </c>
      <c r="G1234" t="s">
        <v>983</v>
      </c>
      <c r="H1234" t="s">
        <v>9</v>
      </c>
      <c r="I1234" s="7">
        <v>45702</v>
      </c>
      <c r="J1234" s="8">
        <v>0.66850694444444447</v>
      </c>
      <c r="K1234" t="s">
        <v>984</v>
      </c>
      <c r="AQ1234" t="s">
        <v>1142</v>
      </c>
      <c r="AR1234" t="s">
        <v>1341</v>
      </c>
      <c r="AT1234" t="s">
        <v>987</v>
      </c>
      <c r="AZ1234" t="s">
        <v>1174</v>
      </c>
      <c r="BA1234" t="s">
        <v>1175</v>
      </c>
      <c r="BB1234" t="s">
        <v>990</v>
      </c>
      <c r="BD1234" t="s">
        <v>991</v>
      </c>
      <c r="BE1234" t="s">
        <v>325</v>
      </c>
    </row>
    <row r="1235" spans="1:57" ht="13" x14ac:dyDescent="0.15">
      <c r="A1235">
        <v>1839</v>
      </c>
      <c r="B1235">
        <v>103712330</v>
      </c>
      <c r="C1235" t="s">
        <v>325</v>
      </c>
      <c r="D1235" s="7">
        <v>42556</v>
      </c>
      <c r="E1235" s="7">
        <v>45708</v>
      </c>
      <c r="F1235">
        <v>330862</v>
      </c>
      <c r="G1235" t="s">
        <v>983</v>
      </c>
      <c r="H1235" t="s">
        <v>9</v>
      </c>
      <c r="I1235" s="7">
        <v>45702</v>
      </c>
      <c r="J1235" s="8">
        <v>0.66115740740740736</v>
      </c>
      <c r="K1235" t="s">
        <v>984</v>
      </c>
      <c r="AQ1235" t="s">
        <v>1142</v>
      </c>
      <c r="AR1235" t="s">
        <v>1519</v>
      </c>
      <c r="AT1235" t="s">
        <v>987</v>
      </c>
      <c r="AZ1235" t="s">
        <v>1080</v>
      </c>
      <c r="BA1235" t="s">
        <v>1081</v>
      </c>
      <c r="BB1235" t="s">
        <v>1082</v>
      </c>
      <c r="BD1235" t="s">
        <v>991</v>
      </c>
      <c r="BE1235" t="s">
        <v>325</v>
      </c>
    </row>
    <row r="1236" spans="1:57" ht="13" x14ac:dyDescent="0.15">
      <c r="A1236">
        <v>1839</v>
      </c>
      <c r="B1236">
        <v>104935454</v>
      </c>
      <c r="C1236" t="s">
        <v>326</v>
      </c>
      <c r="D1236" s="7">
        <v>42566</v>
      </c>
      <c r="E1236" s="7">
        <v>45694</v>
      </c>
      <c r="F1236">
        <v>330862</v>
      </c>
      <c r="G1236" t="s">
        <v>983</v>
      </c>
      <c r="H1236" t="s">
        <v>9</v>
      </c>
      <c r="I1236" s="7">
        <v>45694</v>
      </c>
      <c r="J1236" s="8">
        <v>0.62981481481481483</v>
      </c>
      <c r="K1236" t="s">
        <v>984</v>
      </c>
      <c r="AQ1236" t="s">
        <v>992</v>
      </c>
      <c r="AR1236" t="s">
        <v>1285</v>
      </c>
      <c r="AT1236" t="s">
        <v>987</v>
      </c>
      <c r="AZ1236" t="s">
        <v>988</v>
      </c>
      <c r="BA1236" t="s">
        <v>989</v>
      </c>
      <c r="BB1236" t="s">
        <v>990</v>
      </c>
      <c r="BD1236" t="s">
        <v>991</v>
      </c>
      <c r="BE1236" t="s">
        <v>326</v>
      </c>
    </row>
    <row r="1237" spans="1:57" ht="13" x14ac:dyDescent="0.15">
      <c r="A1237">
        <v>1839</v>
      </c>
      <c r="B1237">
        <v>106012094</v>
      </c>
      <c r="C1237" t="s">
        <v>327</v>
      </c>
      <c r="D1237" s="7">
        <v>42571</v>
      </c>
      <c r="E1237" s="7">
        <v>45695</v>
      </c>
      <c r="F1237">
        <v>330862</v>
      </c>
      <c r="G1237" t="s">
        <v>983</v>
      </c>
      <c r="H1237" t="s">
        <v>9</v>
      </c>
      <c r="I1237" s="7">
        <v>45694</v>
      </c>
      <c r="J1237" s="8">
        <v>0.58711805555555552</v>
      </c>
      <c r="K1237" t="s">
        <v>984</v>
      </c>
      <c r="AQ1237" t="s">
        <v>992</v>
      </c>
      <c r="AR1237" t="s">
        <v>986</v>
      </c>
      <c r="AT1237" t="s">
        <v>987</v>
      </c>
      <c r="AZ1237" t="s">
        <v>988</v>
      </c>
      <c r="BA1237" t="s">
        <v>989</v>
      </c>
      <c r="BB1237" t="s">
        <v>990</v>
      </c>
      <c r="BD1237" t="s">
        <v>991</v>
      </c>
      <c r="BE1237" t="s">
        <v>327</v>
      </c>
    </row>
    <row r="1238" spans="1:57" ht="13" x14ac:dyDescent="0.15">
      <c r="A1238">
        <v>1839</v>
      </c>
      <c r="B1238">
        <v>108543739</v>
      </c>
      <c r="C1238" t="s">
        <v>328</v>
      </c>
      <c r="D1238" s="7">
        <v>42593</v>
      </c>
      <c r="E1238" s="7">
        <v>45700</v>
      </c>
      <c r="F1238">
        <v>330862</v>
      </c>
      <c r="G1238" t="s">
        <v>983</v>
      </c>
      <c r="H1238" t="s">
        <v>9</v>
      </c>
      <c r="I1238" s="7">
        <v>45700</v>
      </c>
      <c r="J1238" s="8">
        <v>0.72623842592592591</v>
      </c>
      <c r="K1238" t="s">
        <v>984</v>
      </c>
      <c r="AQ1238" t="s">
        <v>998</v>
      </c>
      <c r="AR1238" t="s">
        <v>994</v>
      </c>
      <c r="AT1238" t="s">
        <v>987</v>
      </c>
      <c r="AZ1238" t="s">
        <v>1011</v>
      </c>
      <c r="BA1238" t="s">
        <v>1012</v>
      </c>
      <c r="BB1238" t="s">
        <v>1013</v>
      </c>
      <c r="BD1238" t="s">
        <v>1014</v>
      </c>
      <c r="BE1238" t="s">
        <v>328</v>
      </c>
    </row>
    <row r="1239" spans="1:57" ht="13" x14ac:dyDescent="0.15">
      <c r="A1239">
        <v>1839</v>
      </c>
      <c r="B1239">
        <v>111279340</v>
      </c>
      <c r="C1239" t="s">
        <v>329</v>
      </c>
      <c r="D1239" s="7">
        <v>42626</v>
      </c>
      <c r="E1239" s="7">
        <v>45708</v>
      </c>
      <c r="F1239">
        <v>330862</v>
      </c>
      <c r="G1239" t="s">
        <v>983</v>
      </c>
      <c r="H1239" t="s">
        <v>9</v>
      </c>
      <c r="I1239" s="7">
        <v>45622</v>
      </c>
      <c r="J1239" s="8">
        <v>0.44622685185185185</v>
      </c>
      <c r="K1239" t="s">
        <v>984</v>
      </c>
      <c r="AQ1239" t="s">
        <v>1089</v>
      </c>
      <c r="AR1239" t="s">
        <v>1618</v>
      </c>
      <c r="AT1239" t="s">
        <v>987</v>
      </c>
      <c r="AZ1239" t="s">
        <v>1028</v>
      </c>
      <c r="BA1239" t="s">
        <v>1029</v>
      </c>
      <c r="BB1239" t="s">
        <v>1018</v>
      </c>
      <c r="BD1239" t="s">
        <v>1022</v>
      </c>
      <c r="BE1239" t="s">
        <v>329</v>
      </c>
    </row>
    <row r="1240" spans="1:57" ht="13" x14ac:dyDescent="0.15">
      <c r="A1240">
        <v>1839</v>
      </c>
      <c r="B1240">
        <v>111279340</v>
      </c>
      <c r="C1240" t="s">
        <v>329</v>
      </c>
      <c r="D1240" s="7">
        <v>42626</v>
      </c>
      <c r="E1240" s="7">
        <v>45708</v>
      </c>
      <c r="F1240">
        <v>330862</v>
      </c>
      <c r="G1240" t="s">
        <v>983</v>
      </c>
      <c r="H1240" t="s">
        <v>9</v>
      </c>
      <c r="I1240" s="7">
        <v>45629</v>
      </c>
      <c r="J1240" s="8">
        <v>0.47671296296296295</v>
      </c>
      <c r="K1240" t="s">
        <v>984</v>
      </c>
      <c r="AQ1240" t="s">
        <v>1089</v>
      </c>
      <c r="AR1240" t="s">
        <v>1619</v>
      </c>
      <c r="AT1240" t="s">
        <v>987</v>
      </c>
      <c r="AZ1240" t="s">
        <v>1028</v>
      </c>
      <c r="BA1240" t="s">
        <v>1029</v>
      </c>
      <c r="BB1240" t="s">
        <v>1018</v>
      </c>
      <c r="BD1240" t="s">
        <v>1022</v>
      </c>
      <c r="BE1240" t="s">
        <v>329</v>
      </c>
    </row>
    <row r="1241" spans="1:57" ht="13" x14ac:dyDescent="0.15">
      <c r="A1241">
        <v>1839</v>
      </c>
      <c r="B1241">
        <v>111279340</v>
      </c>
      <c r="C1241" t="s">
        <v>329</v>
      </c>
      <c r="D1241" s="7">
        <v>42626</v>
      </c>
      <c r="E1241" s="7">
        <v>45708</v>
      </c>
      <c r="F1241">
        <v>330862</v>
      </c>
      <c r="G1241" t="s">
        <v>983</v>
      </c>
      <c r="H1241" t="s">
        <v>9</v>
      </c>
      <c r="I1241" s="7">
        <v>45631</v>
      </c>
      <c r="J1241" s="8">
        <v>0.68504629629629632</v>
      </c>
      <c r="K1241" t="s">
        <v>984</v>
      </c>
      <c r="AQ1241" t="s">
        <v>1089</v>
      </c>
      <c r="AR1241" t="s">
        <v>1311</v>
      </c>
      <c r="AT1241" t="s">
        <v>987</v>
      </c>
      <c r="AZ1241" t="s">
        <v>1020</v>
      </c>
      <c r="BA1241" t="s">
        <v>1021</v>
      </c>
      <c r="BB1241" t="s">
        <v>1018</v>
      </c>
      <c r="BD1241" t="s">
        <v>1022</v>
      </c>
      <c r="BE1241" t="s">
        <v>329</v>
      </c>
    </row>
    <row r="1242" spans="1:57" ht="13" x14ac:dyDescent="0.15">
      <c r="A1242">
        <v>1839</v>
      </c>
      <c r="B1242">
        <v>111279340</v>
      </c>
      <c r="C1242" t="s">
        <v>329</v>
      </c>
      <c r="D1242" s="7">
        <v>42626</v>
      </c>
      <c r="E1242" s="7">
        <v>45708</v>
      </c>
      <c r="F1242">
        <v>330862</v>
      </c>
      <c r="G1242" t="s">
        <v>983</v>
      </c>
      <c r="H1242" t="s">
        <v>9</v>
      </c>
      <c r="I1242" s="7">
        <v>45635</v>
      </c>
      <c r="J1242" s="8">
        <v>0.67357638888888893</v>
      </c>
      <c r="K1242" t="s">
        <v>984</v>
      </c>
      <c r="AQ1242" t="s">
        <v>1089</v>
      </c>
      <c r="AR1242" t="s">
        <v>1432</v>
      </c>
      <c r="AT1242" t="s">
        <v>987</v>
      </c>
      <c r="AZ1242" t="s">
        <v>1182</v>
      </c>
      <c r="BA1242" t="s">
        <v>1185</v>
      </c>
      <c r="BB1242" t="s">
        <v>1026</v>
      </c>
      <c r="BD1242" t="s">
        <v>1022</v>
      </c>
      <c r="BE1242" t="s">
        <v>329</v>
      </c>
    </row>
    <row r="1243" spans="1:57" ht="13" x14ac:dyDescent="0.15">
      <c r="A1243">
        <v>1839</v>
      </c>
      <c r="B1243">
        <v>111279340</v>
      </c>
      <c r="C1243" t="s">
        <v>329</v>
      </c>
      <c r="D1243" s="7">
        <v>42626</v>
      </c>
      <c r="E1243" s="7">
        <v>45708</v>
      </c>
      <c r="F1243">
        <v>330862</v>
      </c>
      <c r="G1243" t="s">
        <v>983</v>
      </c>
      <c r="H1243" t="s">
        <v>9</v>
      </c>
      <c r="I1243" s="7">
        <v>45687</v>
      </c>
      <c r="J1243" s="8">
        <v>0.4572222222222222</v>
      </c>
      <c r="K1243" t="s">
        <v>984</v>
      </c>
      <c r="AQ1243" t="s">
        <v>1089</v>
      </c>
      <c r="AR1243" t="s">
        <v>1420</v>
      </c>
      <c r="AT1243" t="s">
        <v>987</v>
      </c>
      <c r="AZ1243" t="s">
        <v>1007</v>
      </c>
      <c r="BA1243" t="s">
        <v>1008</v>
      </c>
      <c r="BB1243" t="s">
        <v>990</v>
      </c>
      <c r="BD1243" t="s">
        <v>1005</v>
      </c>
      <c r="BE1243" t="s">
        <v>329</v>
      </c>
    </row>
    <row r="1244" spans="1:57" ht="13" x14ac:dyDescent="0.15">
      <c r="A1244">
        <v>1839</v>
      </c>
      <c r="B1244">
        <v>111279340</v>
      </c>
      <c r="C1244" t="s">
        <v>329</v>
      </c>
      <c r="D1244" s="7">
        <v>42626</v>
      </c>
      <c r="E1244" s="7">
        <v>45708</v>
      </c>
      <c r="F1244">
        <v>330862</v>
      </c>
      <c r="G1244" t="s">
        <v>983</v>
      </c>
      <c r="H1244" t="s">
        <v>9</v>
      </c>
      <c r="I1244" s="7">
        <v>45694</v>
      </c>
      <c r="J1244" s="8">
        <v>0.46704861111111112</v>
      </c>
      <c r="K1244" t="s">
        <v>984</v>
      </c>
      <c r="AQ1244" t="s">
        <v>1089</v>
      </c>
      <c r="AR1244" t="s">
        <v>993</v>
      </c>
      <c r="AT1244" t="s">
        <v>987</v>
      </c>
      <c r="AZ1244" t="s">
        <v>988</v>
      </c>
      <c r="BA1244" t="s">
        <v>989</v>
      </c>
      <c r="BB1244" t="s">
        <v>990</v>
      </c>
      <c r="BD1244" t="s">
        <v>991</v>
      </c>
      <c r="BE1244" t="s">
        <v>329</v>
      </c>
    </row>
    <row r="1245" spans="1:57" ht="13" x14ac:dyDescent="0.15">
      <c r="A1245">
        <v>1839</v>
      </c>
      <c r="B1245">
        <v>111279340</v>
      </c>
      <c r="C1245" t="s">
        <v>329</v>
      </c>
      <c r="D1245" s="7">
        <v>42626</v>
      </c>
      <c r="E1245" s="7">
        <v>45708</v>
      </c>
      <c r="F1245">
        <v>330862</v>
      </c>
      <c r="G1245" t="s">
        <v>983</v>
      </c>
      <c r="H1245" t="s">
        <v>9</v>
      </c>
      <c r="I1245" s="7">
        <v>45690</v>
      </c>
      <c r="J1245" s="8">
        <v>0.65740740740740744</v>
      </c>
      <c r="K1245" t="s">
        <v>984</v>
      </c>
      <c r="AQ1245" t="s">
        <v>1089</v>
      </c>
      <c r="AR1245" t="s">
        <v>1419</v>
      </c>
      <c r="AT1245" t="s">
        <v>987</v>
      </c>
      <c r="AZ1245" t="s">
        <v>1002</v>
      </c>
      <c r="BA1245" t="s">
        <v>1003</v>
      </c>
      <c r="BB1245" t="s">
        <v>1004</v>
      </c>
      <c r="BD1245" t="s">
        <v>1005</v>
      </c>
      <c r="BE1245" t="s">
        <v>329</v>
      </c>
    </row>
    <row r="1246" spans="1:57" ht="13" x14ac:dyDescent="0.15">
      <c r="A1246">
        <v>1839</v>
      </c>
      <c r="B1246">
        <v>111279340</v>
      </c>
      <c r="C1246" t="s">
        <v>329</v>
      </c>
      <c r="D1246" s="7">
        <v>42626</v>
      </c>
      <c r="E1246" s="7">
        <v>45708</v>
      </c>
      <c r="F1246">
        <v>330862</v>
      </c>
      <c r="G1246" t="s">
        <v>983</v>
      </c>
      <c r="H1246" t="s">
        <v>9</v>
      </c>
      <c r="I1246" s="7">
        <v>45690</v>
      </c>
      <c r="J1246" s="8">
        <v>0.68663194444444442</v>
      </c>
      <c r="K1246" t="s">
        <v>984</v>
      </c>
      <c r="AQ1246" t="s">
        <v>1089</v>
      </c>
      <c r="AR1246" t="s">
        <v>1419</v>
      </c>
      <c r="AT1246" t="s">
        <v>987</v>
      </c>
      <c r="AZ1246" t="s">
        <v>1002</v>
      </c>
      <c r="BA1246" t="s">
        <v>1003</v>
      </c>
      <c r="BB1246" t="s">
        <v>1004</v>
      </c>
      <c r="BD1246" t="s">
        <v>1005</v>
      </c>
      <c r="BE1246" t="s">
        <v>329</v>
      </c>
    </row>
    <row r="1247" spans="1:57" ht="13" x14ac:dyDescent="0.15">
      <c r="A1247">
        <v>1839</v>
      </c>
      <c r="B1247">
        <v>111279340</v>
      </c>
      <c r="C1247" t="s">
        <v>329</v>
      </c>
      <c r="D1247" s="7">
        <v>42626</v>
      </c>
      <c r="E1247" s="7">
        <v>45708</v>
      </c>
      <c r="F1247">
        <v>330862</v>
      </c>
      <c r="G1247" t="s">
        <v>983</v>
      </c>
      <c r="H1247" t="s">
        <v>9</v>
      </c>
      <c r="I1247" s="7">
        <v>45678</v>
      </c>
      <c r="J1247" s="8">
        <v>0.47356481481481483</v>
      </c>
      <c r="K1247" t="s">
        <v>984</v>
      </c>
      <c r="AQ1247" t="s">
        <v>1089</v>
      </c>
      <c r="AR1247" t="s">
        <v>1083</v>
      </c>
      <c r="AT1247" t="s">
        <v>987</v>
      </c>
      <c r="AZ1247" t="s">
        <v>1011</v>
      </c>
      <c r="BA1247" t="s">
        <v>1012</v>
      </c>
      <c r="BB1247" t="s">
        <v>1013</v>
      </c>
      <c r="BD1247" t="s">
        <v>1014</v>
      </c>
      <c r="BE1247" t="s">
        <v>329</v>
      </c>
    </row>
    <row r="1248" spans="1:57" ht="13" x14ac:dyDescent="0.15">
      <c r="A1248">
        <v>1839</v>
      </c>
      <c r="B1248">
        <v>113364663</v>
      </c>
      <c r="C1248" t="s">
        <v>330</v>
      </c>
      <c r="D1248" s="7">
        <v>42660</v>
      </c>
      <c r="E1248" s="7">
        <v>45696</v>
      </c>
      <c r="F1248">
        <v>330862</v>
      </c>
      <c r="G1248" t="s">
        <v>983</v>
      </c>
      <c r="H1248" t="s">
        <v>9</v>
      </c>
      <c r="I1248" s="7">
        <v>45636</v>
      </c>
      <c r="J1248" s="8">
        <v>0.47945601851851855</v>
      </c>
      <c r="K1248" t="s">
        <v>984</v>
      </c>
      <c r="AQ1248" t="s">
        <v>992</v>
      </c>
      <c r="AR1248" t="s">
        <v>1098</v>
      </c>
      <c r="AT1248" t="s">
        <v>987</v>
      </c>
      <c r="AZ1248" t="s">
        <v>1020</v>
      </c>
      <c r="BA1248" t="s">
        <v>1021</v>
      </c>
      <c r="BB1248" t="s">
        <v>1018</v>
      </c>
      <c r="BD1248" t="s">
        <v>1022</v>
      </c>
      <c r="BE1248" t="s">
        <v>330</v>
      </c>
    </row>
    <row r="1249" spans="1:57" ht="13" x14ac:dyDescent="0.15">
      <c r="A1249">
        <v>1839</v>
      </c>
      <c r="B1249">
        <v>113364663</v>
      </c>
      <c r="C1249" t="s">
        <v>330</v>
      </c>
      <c r="D1249" s="7">
        <v>42660</v>
      </c>
      <c r="E1249" s="7">
        <v>45696</v>
      </c>
      <c r="F1249">
        <v>330862</v>
      </c>
      <c r="G1249" t="s">
        <v>983</v>
      </c>
      <c r="H1249" t="s">
        <v>9</v>
      </c>
      <c r="I1249" s="7">
        <v>45636</v>
      </c>
      <c r="J1249" s="8">
        <v>0.51331018518518523</v>
      </c>
      <c r="K1249" t="s">
        <v>984</v>
      </c>
      <c r="AQ1249" t="s">
        <v>992</v>
      </c>
      <c r="AR1249" t="s">
        <v>1262</v>
      </c>
      <c r="AT1249" t="s">
        <v>987</v>
      </c>
      <c r="AZ1249" t="s">
        <v>1028</v>
      </c>
      <c r="BA1249" t="s">
        <v>1029</v>
      </c>
      <c r="BB1249" t="s">
        <v>1018</v>
      </c>
      <c r="BD1249" t="s">
        <v>1022</v>
      </c>
      <c r="BE1249" t="s">
        <v>330</v>
      </c>
    </row>
    <row r="1250" spans="1:57" ht="13" x14ac:dyDescent="0.15">
      <c r="A1250">
        <v>1839</v>
      </c>
      <c r="B1250">
        <v>113364663</v>
      </c>
      <c r="C1250" t="s">
        <v>330</v>
      </c>
      <c r="D1250" s="7">
        <v>42660</v>
      </c>
      <c r="E1250" s="7">
        <v>45696</v>
      </c>
      <c r="F1250">
        <v>330862</v>
      </c>
      <c r="G1250" t="s">
        <v>983</v>
      </c>
      <c r="H1250" t="s">
        <v>9</v>
      </c>
      <c r="I1250" s="7">
        <v>45696</v>
      </c>
      <c r="J1250" s="8">
        <v>0.755462962962963</v>
      </c>
      <c r="K1250" t="s">
        <v>984</v>
      </c>
      <c r="AQ1250" t="s">
        <v>992</v>
      </c>
      <c r="AR1250" t="s">
        <v>993</v>
      </c>
      <c r="AT1250" t="s">
        <v>987</v>
      </c>
      <c r="AZ1250" t="s">
        <v>988</v>
      </c>
      <c r="BA1250" t="s">
        <v>989</v>
      </c>
      <c r="BB1250" t="s">
        <v>990</v>
      </c>
      <c r="BD1250" t="s">
        <v>991</v>
      </c>
      <c r="BE1250" t="s">
        <v>330</v>
      </c>
    </row>
    <row r="1251" spans="1:57" ht="13" x14ac:dyDescent="0.15">
      <c r="A1251">
        <v>1839</v>
      </c>
      <c r="B1251">
        <v>113364663</v>
      </c>
      <c r="C1251" t="s">
        <v>330</v>
      </c>
      <c r="D1251" s="7">
        <v>42660</v>
      </c>
      <c r="E1251" s="7">
        <v>45696</v>
      </c>
      <c r="F1251">
        <v>330862</v>
      </c>
      <c r="G1251" t="s">
        <v>983</v>
      </c>
      <c r="H1251" t="s">
        <v>9</v>
      </c>
      <c r="I1251" s="7">
        <v>45679</v>
      </c>
      <c r="J1251" s="8">
        <v>0.52159722222222227</v>
      </c>
      <c r="K1251" t="s">
        <v>984</v>
      </c>
      <c r="AQ1251" t="s">
        <v>992</v>
      </c>
      <c r="AR1251" t="s">
        <v>1461</v>
      </c>
      <c r="AT1251" t="s">
        <v>987</v>
      </c>
      <c r="AZ1251" t="s">
        <v>1002</v>
      </c>
      <c r="BA1251" t="s">
        <v>1003</v>
      </c>
      <c r="BB1251" t="s">
        <v>1004</v>
      </c>
      <c r="BD1251" t="s">
        <v>1005</v>
      </c>
      <c r="BE1251" t="s">
        <v>330</v>
      </c>
    </row>
    <row r="1252" spans="1:57" ht="13" x14ac:dyDescent="0.15">
      <c r="A1252">
        <v>1839</v>
      </c>
      <c r="B1252">
        <v>113668735</v>
      </c>
      <c r="C1252" t="s">
        <v>331</v>
      </c>
      <c r="D1252" s="7">
        <v>42664</v>
      </c>
      <c r="E1252" s="7">
        <v>45713</v>
      </c>
      <c r="F1252">
        <v>330862</v>
      </c>
      <c r="G1252" t="s">
        <v>983</v>
      </c>
      <c r="H1252" t="s">
        <v>9</v>
      </c>
      <c r="I1252" s="7">
        <v>45695</v>
      </c>
      <c r="J1252" s="8">
        <v>0.86047453703703702</v>
      </c>
      <c r="K1252" t="s">
        <v>984</v>
      </c>
      <c r="AQ1252" t="s">
        <v>985</v>
      </c>
      <c r="AR1252" t="s">
        <v>986</v>
      </c>
      <c r="AT1252" t="s">
        <v>987</v>
      </c>
      <c r="AZ1252" t="s">
        <v>988</v>
      </c>
      <c r="BA1252" t="s">
        <v>989</v>
      </c>
      <c r="BB1252" t="s">
        <v>990</v>
      </c>
      <c r="BD1252" t="s">
        <v>991</v>
      </c>
      <c r="BE1252" t="s">
        <v>331</v>
      </c>
    </row>
    <row r="1253" spans="1:57" ht="13" x14ac:dyDescent="0.15">
      <c r="A1253">
        <v>1839</v>
      </c>
      <c r="B1253">
        <v>114167972</v>
      </c>
      <c r="C1253" t="s">
        <v>332</v>
      </c>
      <c r="D1253" s="7">
        <v>42667</v>
      </c>
      <c r="E1253" s="7">
        <v>45694</v>
      </c>
      <c r="F1253">
        <v>330862</v>
      </c>
      <c r="G1253" t="s">
        <v>983</v>
      </c>
      <c r="H1253" t="s">
        <v>9</v>
      </c>
      <c r="I1253" s="7">
        <v>45694</v>
      </c>
      <c r="J1253" s="8">
        <v>0.39223379629629629</v>
      </c>
      <c r="K1253" t="s">
        <v>984</v>
      </c>
      <c r="AQ1253" t="s">
        <v>1090</v>
      </c>
      <c r="AR1253" t="s">
        <v>993</v>
      </c>
      <c r="AT1253" t="s">
        <v>987</v>
      </c>
      <c r="AZ1253" t="s">
        <v>988</v>
      </c>
      <c r="BA1253" t="s">
        <v>989</v>
      </c>
      <c r="BB1253" t="s">
        <v>990</v>
      </c>
      <c r="BD1253" t="s">
        <v>991</v>
      </c>
      <c r="BE1253" t="s">
        <v>332</v>
      </c>
    </row>
    <row r="1254" spans="1:57" ht="13" x14ac:dyDescent="0.15">
      <c r="A1254">
        <v>1839</v>
      </c>
      <c r="B1254">
        <v>114167972</v>
      </c>
      <c r="C1254" t="s">
        <v>332</v>
      </c>
      <c r="D1254" s="7">
        <v>42667</v>
      </c>
      <c r="E1254" s="7">
        <v>45694</v>
      </c>
      <c r="F1254">
        <v>330862</v>
      </c>
      <c r="G1254" t="s">
        <v>983</v>
      </c>
      <c r="H1254" t="s">
        <v>9</v>
      </c>
      <c r="I1254" s="7">
        <v>45686</v>
      </c>
      <c r="J1254" s="8">
        <v>0.6522337962962963</v>
      </c>
      <c r="K1254" t="s">
        <v>984</v>
      </c>
      <c r="AQ1254" t="s">
        <v>1090</v>
      </c>
      <c r="AR1254" t="s">
        <v>1114</v>
      </c>
      <c r="AT1254" t="s">
        <v>987</v>
      </c>
      <c r="AZ1254" t="s">
        <v>1011</v>
      </c>
      <c r="BA1254" t="s">
        <v>1012</v>
      </c>
      <c r="BB1254" t="s">
        <v>1013</v>
      </c>
      <c r="BD1254" t="s">
        <v>1014</v>
      </c>
      <c r="BE1254" t="s">
        <v>332</v>
      </c>
    </row>
    <row r="1255" spans="1:57" ht="13" x14ac:dyDescent="0.15">
      <c r="A1255">
        <v>1839</v>
      </c>
      <c r="B1255">
        <v>115371035</v>
      </c>
      <c r="C1255" t="s">
        <v>333</v>
      </c>
      <c r="D1255" s="7">
        <v>42676</v>
      </c>
      <c r="E1255" s="7">
        <v>45710</v>
      </c>
      <c r="F1255">
        <v>330862</v>
      </c>
      <c r="G1255" t="s">
        <v>983</v>
      </c>
      <c r="H1255" t="s">
        <v>9</v>
      </c>
      <c r="I1255" s="7">
        <v>45705</v>
      </c>
      <c r="J1255" s="8">
        <v>0.98052083333333329</v>
      </c>
      <c r="K1255" t="s">
        <v>984</v>
      </c>
      <c r="AQ1255" t="s">
        <v>998</v>
      </c>
      <c r="AR1255" t="s">
        <v>1620</v>
      </c>
      <c r="AT1255" t="s">
        <v>987</v>
      </c>
      <c r="AZ1255" t="s">
        <v>1174</v>
      </c>
      <c r="BA1255" t="s">
        <v>1175</v>
      </c>
      <c r="BB1255" t="s">
        <v>990</v>
      </c>
      <c r="BD1255" t="s">
        <v>991</v>
      </c>
      <c r="BE1255" t="s">
        <v>333</v>
      </c>
    </row>
    <row r="1256" spans="1:57" ht="13" x14ac:dyDescent="0.15">
      <c r="A1256">
        <v>1839</v>
      </c>
      <c r="B1256">
        <v>115371035</v>
      </c>
      <c r="C1256" t="s">
        <v>333</v>
      </c>
      <c r="D1256" s="7">
        <v>42676</v>
      </c>
      <c r="E1256" s="7">
        <v>45710</v>
      </c>
      <c r="F1256">
        <v>330862</v>
      </c>
      <c r="G1256" t="s">
        <v>983</v>
      </c>
      <c r="H1256" t="s">
        <v>9</v>
      </c>
      <c r="I1256" s="7">
        <v>45707</v>
      </c>
      <c r="J1256" s="8">
        <v>0.66769675925925931</v>
      </c>
      <c r="K1256" t="s">
        <v>984</v>
      </c>
      <c r="AQ1256" t="s">
        <v>992</v>
      </c>
      <c r="AR1256" t="s">
        <v>1621</v>
      </c>
      <c r="AT1256" t="s">
        <v>987</v>
      </c>
      <c r="AZ1256" t="s">
        <v>1174</v>
      </c>
      <c r="BA1256" t="s">
        <v>1175</v>
      </c>
      <c r="BB1256" t="s">
        <v>990</v>
      </c>
      <c r="BD1256" t="s">
        <v>991</v>
      </c>
      <c r="BE1256" t="s">
        <v>333</v>
      </c>
    </row>
    <row r="1257" spans="1:57" ht="13" x14ac:dyDescent="0.15">
      <c r="A1257">
        <v>1839</v>
      </c>
      <c r="B1257">
        <v>115371035</v>
      </c>
      <c r="C1257" t="s">
        <v>333</v>
      </c>
      <c r="D1257" s="7">
        <v>42676</v>
      </c>
      <c r="E1257" s="7">
        <v>45710</v>
      </c>
      <c r="F1257">
        <v>330862</v>
      </c>
      <c r="G1257" t="s">
        <v>983</v>
      </c>
      <c r="H1257" t="s">
        <v>9</v>
      </c>
      <c r="I1257" s="7">
        <v>45707</v>
      </c>
      <c r="J1257" s="8">
        <v>0.78752314814814817</v>
      </c>
      <c r="K1257" t="s">
        <v>984</v>
      </c>
      <c r="AQ1257" t="s">
        <v>992</v>
      </c>
      <c r="AR1257" t="s">
        <v>1621</v>
      </c>
      <c r="AT1257" t="s">
        <v>987</v>
      </c>
      <c r="AZ1257" t="s">
        <v>1174</v>
      </c>
      <c r="BA1257" t="s">
        <v>1175</v>
      </c>
      <c r="BB1257" t="s">
        <v>990</v>
      </c>
      <c r="BD1257" t="s">
        <v>991</v>
      </c>
      <c r="BE1257" t="s">
        <v>333</v>
      </c>
    </row>
    <row r="1258" spans="1:57" ht="13" x14ac:dyDescent="0.15">
      <c r="A1258">
        <v>1839</v>
      </c>
      <c r="B1258">
        <v>115371035</v>
      </c>
      <c r="C1258" t="s">
        <v>333</v>
      </c>
      <c r="D1258" s="7">
        <v>42676</v>
      </c>
      <c r="E1258" s="7">
        <v>45710</v>
      </c>
      <c r="F1258">
        <v>330862</v>
      </c>
      <c r="G1258" t="s">
        <v>983</v>
      </c>
      <c r="H1258" t="s">
        <v>9</v>
      </c>
      <c r="I1258" s="7">
        <v>45706</v>
      </c>
      <c r="J1258" s="8">
        <v>0.97560185185185189</v>
      </c>
      <c r="K1258" t="s">
        <v>984</v>
      </c>
      <c r="AQ1258" t="s">
        <v>992</v>
      </c>
      <c r="AR1258" t="s">
        <v>1622</v>
      </c>
      <c r="AT1258" t="s">
        <v>987</v>
      </c>
      <c r="AZ1258" t="s">
        <v>1174</v>
      </c>
      <c r="BA1258" t="s">
        <v>1175</v>
      </c>
      <c r="BB1258" t="s">
        <v>990</v>
      </c>
      <c r="BD1258" t="s">
        <v>991</v>
      </c>
      <c r="BE1258" t="s">
        <v>333</v>
      </c>
    </row>
    <row r="1259" spans="1:57" ht="13" x14ac:dyDescent="0.15">
      <c r="A1259">
        <v>1839</v>
      </c>
      <c r="B1259">
        <v>115371035</v>
      </c>
      <c r="C1259" t="s">
        <v>333</v>
      </c>
      <c r="D1259" s="7">
        <v>42676</v>
      </c>
      <c r="E1259" s="7">
        <v>45710</v>
      </c>
      <c r="F1259">
        <v>336447</v>
      </c>
      <c r="G1259" t="s">
        <v>1074</v>
      </c>
      <c r="H1259" t="s">
        <v>26</v>
      </c>
      <c r="I1259" s="7">
        <v>45706</v>
      </c>
      <c r="J1259" s="8">
        <v>0.97457175925925921</v>
      </c>
      <c r="K1259" t="s">
        <v>984</v>
      </c>
      <c r="AQ1259" t="s">
        <v>992</v>
      </c>
      <c r="AR1259" t="s">
        <v>1623</v>
      </c>
      <c r="BE1259" t="s">
        <v>333</v>
      </c>
    </row>
    <row r="1260" spans="1:57" ht="13" x14ac:dyDescent="0.15">
      <c r="A1260">
        <v>1839</v>
      </c>
      <c r="B1260">
        <v>115371035</v>
      </c>
      <c r="C1260" t="s">
        <v>333</v>
      </c>
      <c r="D1260" s="7">
        <v>42676</v>
      </c>
      <c r="E1260" s="7">
        <v>45710</v>
      </c>
      <c r="F1260">
        <v>336453</v>
      </c>
      <c r="G1260" t="s">
        <v>1074</v>
      </c>
      <c r="H1260" t="s">
        <v>27</v>
      </c>
      <c r="I1260" s="7">
        <v>45706</v>
      </c>
      <c r="J1260" s="8">
        <v>0.97471064814814812</v>
      </c>
      <c r="K1260" t="s">
        <v>984</v>
      </c>
      <c r="AQ1260" t="s">
        <v>992</v>
      </c>
      <c r="AR1260" t="s">
        <v>1076</v>
      </c>
      <c r="BE1260" t="s">
        <v>333</v>
      </c>
    </row>
    <row r="1261" spans="1:57" ht="13" x14ac:dyDescent="0.15">
      <c r="A1261">
        <v>1839</v>
      </c>
      <c r="B1261">
        <v>117019199</v>
      </c>
      <c r="C1261" t="s">
        <v>334</v>
      </c>
      <c r="D1261" s="7">
        <v>42683</v>
      </c>
      <c r="E1261" s="7">
        <v>45710</v>
      </c>
      <c r="F1261">
        <v>330862</v>
      </c>
      <c r="G1261" t="s">
        <v>983</v>
      </c>
      <c r="H1261" t="s">
        <v>9</v>
      </c>
      <c r="I1261" s="7">
        <v>45664</v>
      </c>
      <c r="J1261" s="8">
        <v>0.9252893518518519</v>
      </c>
      <c r="K1261" t="s">
        <v>984</v>
      </c>
      <c r="AQ1261" t="s">
        <v>998</v>
      </c>
      <c r="AR1261" t="s">
        <v>1558</v>
      </c>
      <c r="AT1261" t="s">
        <v>987</v>
      </c>
      <c r="AZ1261" t="s">
        <v>1007</v>
      </c>
      <c r="BA1261" t="s">
        <v>1008</v>
      </c>
      <c r="BB1261" t="s">
        <v>990</v>
      </c>
      <c r="BD1261" t="s">
        <v>1005</v>
      </c>
      <c r="BE1261" t="s">
        <v>334</v>
      </c>
    </row>
    <row r="1262" spans="1:57" ht="13" x14ac:dyDescent="0.15">
      <c r="A1262">
        <v>1839</v>
      </c>
      <c r="B1262">
        <v>117019199</v>
      </c>
      <c r="C1262" t="s">
        <v>334</v>
      </c>
      <c r="D1262" s="7">
        <v>42683</v>
      </c>
      <c r="E1262" s="7">
        <v>45710</v>
      </c>
      <c r="F1262">
        <v>330862</v>
      </c>
      <c r="G1262" t="s">
        <v>983</v>
      </c>
      <c r="H1262" t="s">
        <v>9</v>
      </c>
      <c r="I1262" s="7">
        <v>45706</v>
      </c>
      <c r="J1262" s="8">
        <v>0.89358796296296295</v>
      </c>
      <c r="K1262" t="s">
        <v>984</v>
      </c>
      <c r="AQ1262" t="s">
        <v>998</v>
      </c>
      <c r="AR1262" t="s">
        <v>1624</v>
      </c>
      <c r="AT1262" t="s">
        <v>987</v>
      </c>
      <c r="AZ1262" t="s">
        <v>1220</v>
      </c>
      <c r="BA1262" t="s">
        <v>1221</v>
      </c>
      <c r="BB1262" t="s">
        <v>1082</v>
      </c>
      <c r="BD1262" t="s">
        <v>991</v>
      </c>
      <c r="BE1262" t="s">
        <v>334</v>
      </c>
    </row>
    <row r="1263" spans="1:57" ht="13" x14ac:dyDescent="0.15">
      <c r="A1263">
        <v>1839</v>
      </c>
      <c r="B1263">
        <v>117019199</v>
      </c>
      <c r="C1263" t="s">
        <v>334</v>
      </c>
      <c r="D1263" s="7">
        <v>42683</v>
      </c>
      <c r="E1263" s="7">
        <v>45710</v>
      </c>
      <c r="F1263">
        <v>330862</v>
      </c>
      <c r="G1263" t="s">
        <v>983</v>
      </c>
      <c r="H1263" t="s">
        <v>9</v>
      </c>
      <c r="I1263" s="7">
        <v>45706</v>
      </c>
      <c r="J1263" s="8">
        <v>0.89437500000000003</v>
      </c>
      <c r="K1263" t="s">
        <v>984</v>
      </c>
      <c r="AQ1263" t="s">
        <v>998</v>
      </c>
      <c r="AR1263" t="s">
        <v>1625</v>
      </c>
      <c r="AT1263" t="s">
        <v>987</v>
      </c>
      <c r="AZ1263" t="s">
        <v>1028</v>
      </c>
      <c r="BA1263" t="s">
        <v>1037</v>
      </c>
      <c r="BB1263" t="s">
        <v>1038</v>
      </c>
      <c r="BD1263" t="s">
        <v>991</v>
      </c>
      <c r="BE1263" t="s">
        <v>334</v>
      </c>
    </row>
    <row r="1264" spans="1:57" ht="13" x14ac:dyDescent="0.15">
      <c r="A1264">
        <v>1839</v>
      </c>
      <c r="B1264">
        <v>117019199</v>
      </c>
      <c r="C1264" t="s">
        <v>334</v>
      </c>
      <c r="D1264" s="7">
        <v>42683</v>
      </c>
      <c r="E1264" s="7">
        <v>45710</v>
      </c>
      <c r="F1264">
        <v>330862</v>
      </c>
      <c r="G1264" t="s">
        <v>983</v>
      </c>
      <c r="H1264" t="s">
        <v>9</v>
      </c>
      <c r="I1264" s="7">
        <v>45631</v>
      </c>
      <c r="J1264" s="8">
        <v>0.55929398148148146</v>
      </c>
      <c r="K1264" t="s">
        <v>984</v>
      </c>
      <c r="AQ1264" t="s">
        <v>998</v>
      </c>
      <c r="AR1264" t="s">
        <v>1576</v>
      </c>
      <c r="AT1264" t="s">
        <v>987</v>
      </c>
      <c r="AZ1264" t="s">
        <v>1028</v>
      </c>
      <c r="BA1264" t="s">
        <v>1029</v>
      </c>
      <c r="BB1264" t="s">
        <v>1018</v>
      </c>
      <c r="BD1264" t="s">
        <v>1022</v>
      </c>
      <c r="BE1264" t="s">
        <v>334</v>
      </c>
    </row>
    <row r="1265" spans="1:57" ht="13" x14ac:dyDescent="0.15">
      <c r="A1265">
        <v>1839</v>
      </c>
      <c r="B1265">
        <v>117505282</v>
      </c>
      <c r="C1265" t="s">
        <v>335</v>
      </c>
      <c r="D1265" s="7">
        <v>42692</v>
      </c>
      <c r="E1265" s="7">
        <v>45703</v>
      </c>
      <c r="F1265">
        <v>330862</v>
      </c>
      <c r="G1265" t="s">
        <v>983</v>
      </c>
      <c r="H1265" t="s">
        <v>9</v>
      </c>
      <c r="I1265" s="7">
        <v>45694</v>
      </c>
      <c r="J1265" s="8">
        <v>0.38290509259259259</v>
      </c>
      <c r="K1265" t="s">
        <v>984</v>
      </c>
      <c r="AQ1265" t="s">
        <v>1090</v>
      </c>
      <c r="AR1265" t="s">
        <v>993</v>
      </c>
      <c r="AT1265" t="s">
        <v>987</v>
      </c>
      <c r="AZ1265" t="s">
        <v>988</v>
      </c>
      <c r="BA1265" t="s">
        <v>989</v>
      </c>
      <c r="BB1265" t="s">
        <v>990</v>
      </c>
      <c r="BD1265" t="s">
        <v>991</v>
      </c>
      <c r="BE1265" t="s">
        <v>335</v>
      </c>
    </row>
    <row r="1266" spans="1:57" ht="13" x14ac:dyDescent="0.15">
      <c r="A1266">
        <v>1839</v>
      </c>
      <c r="B1266">
        <v>117505282</v>
      </c>
      <c r="C1266" t="s">
        <v>335</v>
      </c>
      <c r="D1266" s="7">
        <v>42692</v>
      </c>
      <c r="E1266" s="7">
        <v>45703</v>
      </c>
      <c r="F1266">
        <v>330862</v>
      </c>
      <c r="G1266" t="s">
        <v>983</v>
      </c>
      <c r="H1266" t="s">
        <v>9</v>
      </c>
      <c r="I1266" s="7">
        <v>45636</v>
      </c>
      <c r="J1266" s="8">
        <v>0.79119212962962959</v>
      </c>
      <c r="K1266" t="s">
        <v>984</v>
      </c>
      <c r="AQ1266" t="s">
        <v>1090</v>
      </c>
      <c r="AR1266" t="s">
        <v>1097</v>
      </c>
      <c r="AT1266" t="s">
        <v>987</v>
      </c>
      <c r="AZ1266" t="s">
        <v>1024</v>
      </c>
      <c r="BA1266" t="s">
        <v>1025</v>
      </c>
      <c r="BB1266" t="s">
        <v>1026</v>
      </c>
      <c r="BD1266" t="s">
        <v>1022</v>
      </c>
      <c r="BE1266" t="s">
        <v>335</v>
      </c>
    </row>
    <row r="1267" spans="1:57" ht="13" x14ac:dyDescent="0.15">
      <c r="A1267">
        <v>1839</v>
      </c>
      <c r="B1267">
        <v>117505282</v>
      </c>
      <c r="C1267" t="s">
        <v>335</v>
      </c>
      <c r="D1267" s="7">
        <v>42692</v>
      </c>
      <c r="E1267" s="7">
        <v>45703</v>
      </c>
      <c r="F1267">
        <v>330862</v>
      </c>
      <c r="G1267" t="s">
        <v>983</v>
      </c>
      <c r="H1267" t="s">
        <v>9</v>
      </c>
      <c r="I1267" s="7">
        <v>45636</v>
      </c>
      <c r="J1267" s="8">
        <v>0.59953703703703709</v>
      </c>
      <c r="K1267" t="s">
        <v>984</v>
      </c>
      <c r="AQ1267" t="s">
        <v>1090</v>
      </c>
      <c r="AR1267" t="s">
        <v>1096</v>
      </c>
      <c r="AT1267" t="s">
        <v>987</v>
      </c>
      <c r="AZ1267" t="s">
        <v>1011</v>
      </c>
      <c r="BA1267" t="s">
        <v>1031</v>
      </c>
      <c r="BB1267" t="s">
        <v>1032</v>
      </c>
      <c r="BD1267" t="s">
        <v>1005</v>
      </c>
      <c r="BE1267" t="s">
        <v>335</v>
      </c>
    </row>
    <row r="1268" spans="1:57" ht="13" x14ac:dyDescent="0.15">
      <c r="A1268">
        <v>1839</v>
      </c>
      <c r="B1268">
        <v>118188099</v>
      </c>
      <c r="C1268" t="s">
        <v>1626</v>
      </c>
      <c r="D1268" s="7">
        <v>42705</v>
      </c>
      <c r="E1268" s="7">
        <v>45698</v>
      </c>
      <c r="F1268">
        <v>330862</v>
      </c>
      <c r="G1268" t="s">
        <v>983</v>
      </c>
      <c r="H1268" t="s">
        <v>9</v>
      </c>
      <c r="I1268" s="7">
        <v>45640</v>
      </c>
      <c r="J1268" s="8">
        <v>0.88471064814814815</v>
      </c>
      <c r="K1268" t="s">
        <v>984</v>
      </c>
      <c r="AQ1268" t="s">
        <v>992</v>
      </c>
      <c r="AR1268" t="s">
        <v>1086</v>
      </c>
      <c r="AT1268" t="s">
        <v>987</v>
      </c>
      <c r="AZ1268" t="s">
        <v>1028</v>
      </c>
      <c r="BA1268" t="s">
        <v>1029</v>
      </c>
      <c r="BB1268" t="s">
        <v>1018</v>
      </c>
      <c r="BD1268" t="s">
        <v>1022</v>
      </c>
      <c r="BE1268" t="s">
        <v>1626</v>
      </c>
    </row>
    <row r="1269" spans="1:57" ht="13" x14ac:dyDescent="0.15">
      <c r="A1269">
        <v>1839</v>
      </c>
      <c r="B1269">
        <v>118188099</v>
      </c>
      <c r="C1269" t="s">
        <v>1626</v>
      </c>
      <c r="D1269" s="7">
        <v>42705</v>
      </c>
      <c r="E1269" s="7">
        <v>45698</v>
      </c>
      <c r="F1269">
        <v>336444</v>
      </c>
      <c r="G1269" t="s">
        <v>995</v>
      </c>
      <c r="H1269" t="s">
        <v>12</v>
      </c>
      <c r="I1269" s="7">
        <v>45641</v>
      </c>
      <c r="J1269" s="8">
        <v>0.81335648148148143</v>
      </c>
      <c r="K1269" t="s">
        <v>984</v>
      </c>
      <c r="AQ1269" t="s">
        <v>996</v>
      </c>
      <c r="BE1269" t="s">
        <v>1626</v>
      </c>
    </row>
    <row r="1270" spans="1:57" ht="13" x14ac:dyDescent="0.15">
      <c r="A1270">
        <v>1839</v>
      </c>
      <c r="B1270">
        <v>118274883</v>
      </c>
      <c r="C1270" t="s">
        <v>336</v>
      </c>
      <c r="D1270" s="7">
        <v>42706</v>
      </c>
      <c r="E1270" s="7">
        <v>45700</v>
      </c>
      <c r="F1270">
        <v>330862</v>
      </c>
      <c r="G1270" t="s">
        <v>983</v>
      </c>
      <c r="H1270" t="s">
        <v>9</v>
      </c>
      <c r="I1270" s="7">
        <v>45700</v>
      </c>
      <c r="J1270" s="8">
        <v>0.64274305555555555</v>
      </c>
      <c r="K1270" t="s">
        <v>984</v>
      </c>
      <c r="AQ1270" t="s">
        <v>992</v>
      </c>
      <c r="AR1270" t="s">
        <v>994</v>
      </c>
      <c r="AT1270" t="s">
        <v>987</v>
      </c>
      <c r="BE1270" t="s">
        <v>336</v>
      </c>
    </row>
    <row r="1271" spans="1:57" ht="13" x14ac:dyDescent="0.15">
      <c r="A1271">
        <v>1839</v>
      </c>
      <c r="B1271">
        <v>118283878</v>
      </c>
      <c r="C1271" t="s">
        <v>337</v>
      </c>
      <c r="D1271" s="7">
        <v>42706</v>
      </c>
      <c r="E1271" s="7">
        <v>45696</v>
      </c>
      <c r="F1271">
        <v>330862</v>
      </c>
      <c r="G1271" t="s">
        <v>983</v>
      </c>
      <c r="H1271" t="s">
        <v>9</v>
      </c>
      <c r="I1271" s="7">
        <v>45694</v>
      </c>
      <c r="J1271" s="8">
        <v>0.78640046296296295</v>
      </c>
      <c r="K1271" t="s">
        <v>984</v>
      </c>
      <c r="AQ1271" t="s">
        <v>992</v>
      </c>
      <c r="AR1271" t="s">
        <v>986</v>
      </c>
      <c r="AT1271" t="s">
        <v>987</v>
      </c>
      <c r="AZ1271" t="s">
        <v>988</v>
      </c>
      <c r="BA1271" t="s">
        <v>989</v>
      </c>
      <c r="BB1271" t="s">
        <v>990</v>
      </c>
      <c r="BD1271" t="s">
        <v>991</v>
      </c>
      <c r="BE1271" t="s">
        <v>337</v>
      </c>
    </row>
    <row r="1272" spans="1:57" ht="13" x14ac:dyDescent="0.15">
      <c r="A1272">
        <v>1839</v>
      </c>
      <c r="B1272">
        <v>118293070</v>
      </c>
      <c r="C1272" t="s">
        <v>338</v>
      </c>
      <c r="D1272" s="7">
        <v>42706</v>
      </c>
      <c r="E1272" s="7">
        <v>45696</v>
      </c>
      <c r="F1272">
        <v>330862</v>
      </c>
      <c r="G1272" t="s">
        <v>983</v>
      </c>
      <c r="H1272" t="s">
        <v>9</v>
      </c>
      <c r="I1272" s="7">
        <v>45694</v>
      </c>
      <c r="J1272" s="8">
        <v>0.36895833333333333</v>
      </c>
      <c r="K1272" t="s">
        <v>984</v>
      </c>
      <c r="AQ1272" t="s">
        <v>992</v>
      </c>
      <c r="AR1272" t="s">
        <v>993</v>
      </c>
      <c r="AT1272" t="s">
        <v>987</v>
      </c>
      <c r="AZ1272" t="s">
        <v>988</v>
      </c>
      <c r="BA1272" t="s">
        <v>989</v>
      </c>
      <c r="BB1272" t="s">
        <v>990</v>
      </c>
      <c r="BD1272" t="s">
        <v>991</v>
      </c>
      <c r="BE1272" t="s">
        <v>338</v>
      </c>
    </row>
    <row r="1273" spans="1:57" ht="13" x14ac:dyDescent="0.15">
      <c r="A1273">
        <v>1839</v>
      </c>
      <c r="B1273">
        <v>118295600</v>
      </c>
      <c r="C1273" t="s">
        <v>339</v>
      </c>
      <c r="D1273" s="7">
        <v>42706</v>
      </c>
      <c r="E1273" s="7">
        <v>45713</v>
      </c>
      <c r="F1273">
        <v>330862</v>
      </c>
      <c r="G1273" t="s">
        <v>983</v>
      </c>
      <c r="H1273" t="s">
        <v>9</v>
      </c>
      <c r="I1273" s="7">
        <v>45694</v>
      </c>
      <c r="J1273" s="8">
        <v>0.4274074074074074</v>
      </c>
      <c r="K1273" t="s">
        <v>984</v>
      </c>
      <c r="AQ1273" t="s">
        <v>1042</v>
      </c>
      <c r="AR1273" t="s">
        <v>986</v>
      </c>
      <c r="AT1273" t="s">
        <v>987</v>
      </c>
      <c r="AZ1273" t="s">
        <v>988</v>
      </c>
      <c r="BA1273" t="s">
        <v>989</v>
      </c>
      <c r="BB1273" t="s">
        <v>990</v>
      </c>
      <c r="BD1273" t="s">
        <v>991</v>
      </c>
      <c r="BE1273" t="s">
        <v>339</v>
      </c>
    </row>
    <row r="1274" spans="1:57" ht="13" x14ac:dyDescent="0.15">
      <c r="A1274">
        <v>1839</v>
      </c>
      <c r="B1274">
        <v>118295697</v>
      </c>
      <c r="C1274" t="s">
        <v>340</v>
      </c>
      <c r="D1274" s="7">
        <v>42706</v>
      </c>
      <c r="E1274" s="7">
        <v>45705</v>
      </c>
      <c r="F1274">
        <v>330862</v>
      </c>
      <c r="G1274" t="s">
        <v>983</v>
      </c>
      <c r="H1274" t="s">
        <v>9</v>
      </c>
      <c r="I1274" s="7">
        <v>45697</v>
      </c>
      <c r="J1274" s="8">
        <v>0.57762731481481477</v>
      </c>
      <c r="K1274" t="s">
        <v>984</v>
      </c>
      <c r="AQ1274" t="s">
        <v>992</v>
      </c>
      <c r="AR1274" t="s">
        <v>1066</v>
      </c>
      <c r="AT1274" t="s">
        <v>987</v>
      </c>
      <c r="AZ1274" t="s">
        <v>988</v>
      </c>
      <c r="BA1274" t="s">
        <v>989</v>
      </c>
      <c r="BB1274" t="s">
        <v>990</v>
      </c>
      <c r="BD1274" t="s">
        <v>991</v>
      </c>
      <c r="BE1274" t="s">
        <v>340</v>
      </c>
    </row>
    <row r="1275" spans="1:57" ht="13" x14ac:dyDescent="0.15">
      <c r="A1275">
        <v>1839</v>
      </c>
      <c r="B1275">
        <v>118429002</v>
      </c>
      <c r="C1275" t="s">
        <v>341</v>
      </c>
      <c r="D1275" s="7">
        <v>42710</v>
      </c>
      <c r="E1275" s="7">
        <v>45695</v>
      </c>
      <c r="F1275">
        <v>330862</v>
      </c>
      <c r="G1275" t="s">
        <v>983</v>
      </c>
      <c r="H1275" t="s">
        <v>9</v>
      </c>
      <c r="I1275" s="7">
        <v>45694</v>
      </c>
      <c r="J1275" s="8">
        <v>0.5237384259259259</v>
      </c>
      <c r="K1275" t="s">
        <v>984</v>
      </c>
      <c r="AQ1275" t="s">
        <v>1090</v>
      </c>
      <c r="AR1275" t="s">
        <v>1285</v>
      </c>
      <c r="AT1275" t="s">
        <v>987</v>
      </c>
      <c r="AZ1275" t="s">
        <v>988</v>
      </c>
      <c r="BA1275" t="s">
        <v>989</v>
      </c>
      <c r="BB1275" t="s">
        <v>990</v>
      </c>
      <c r="BD1275" t="s">
        <v>991</v>
      </c>
      <c r="BE1275" t="s">
        <v>341</v>
      </c>
    </row>
    <row r="1276" spans="1:57" ht="13" x14ac:dyDescent="0.15">
      <c r="A1276">
        <v>1839</v>
      </c>
      <c r="B1276">
        <v>118779909</v>
      </c>
      <c r="C1276" t="s">
        <v>342</v>
      </c>
      <c r="D1276" s="7">
        <v>42717</v>
      </c>
      <c r="E1276" s="7">
        <v>45697</v>
      </c>
      <c r="F1276">
        <v>330862</v>
      </c>
      <c r="G1276" t="s">
        <v>983</v>
      </c>
      <c r="H1276" t="s">
        <v>9</v>
      </c>
      <c r="I1276" s="7">
        <v>45697</v>
      </c>
      <c r="J1276" s="8">
        <v>0.65201388888888889</v>
      </c>
      <c r="K1276" t="s">
        <v>984</v>
      </c>
      <c r="AQ1276" t="s">
        <v>1092</v>
      </c>
      <c r="AR1276" t="s">
        <v>993</v>
      </c>
      <c r="AT1276" t="s">
        <v>987</v>
      </c>
      <c r="AZ1276" t="s">
        <v>988</v>
      </c>
      <c r="BA1276" t="s">
        <v>989</v>
      </c>
      <c r="BB1276" t="s">
        <v>990</v>
      </c>
      <c r="BD1276" t="s">
        <v>991</v>
      </c>
      <c r="BE1276" t="s">
        <v>342</v>
      </c>
    </row>
    <row r="1277" spans="1:57" ht="13" x14ac:dyDescent="0.15">
      <c r="A1277">
        <v>1839</v>
      </c>
      <c r="B1277">
        <v>118788101</v>
      </c>
      <c r="C1277" t="s">
        <v>343</v>
      </c>
      <c r="D1277" s="7">
        <v>42717</v>
      </c>
      <c r="E1277" s="7">
        <v>45698</v>
      </c>
      <c r="F1277">
        <v>330862</v>
      </c>
      <c r="G1277" t="s">
        <v>983</v>
      </c>
      <c r="H1277" t="s">
        <v>9</v>
      </c>
      <c r="I1277" s="7">
        <v>45698</v>
      </c>
      <c r="J1277" s="8">
        <v>0.51579861111111114</v>
      </c>
      <c r="K1277" t="s">
        <v>984</v>
      </c>
      <c r="AQ1277" t="s">
        <v>992</v>
      </c>
      <c r="AR1277" t="s">
        <v>986</v>
      </c>
      <c r="AT1277" t="s">
        <v>987</v>
      </c>
      <c r="AZ1277" t="s">
        <v>988</v>
      </c>
      <c r="BA1277" t="s">
        <v>989</v>
      </c>
      <c r="BB1277" t="s">
        <v>990</v>
      </c>
      <c r="BD1277" t="s">
        <v>991</v>
      </c>
      <c r="BE1277" t="s">
        <v>343</v>
      </c>
    </row>
    <row r="1278" spans="1:57" ht="13" x14ac:dyDescent="0.15">
      <c r="A1278">
        <v>1839</v>
      </c>
      <c r="B1278">
        <v>118788101</v>
      </c>
      <c r="C1278" t="s">
        <v>343</v>
      </c>
      <c r="D1278" s="7">
        <v>42717</v>
      </c>
      <c r="E1278" s="7">
        <v>45698</v>
      </c>
      <c r="F1278">
        <v>330862</v>
      </c>
      <c r="G1278" t="s">
        <v>983</v>
      </c>
      <c r="H1278" t="s">
        <v>9</v>
      </c>
      <c r="I1278" s="7">
        <v>45677</v>
      </c>
      <c r="J1278" s="8">
        <v>0.57818287037037042</v>
      </c>
      <c r="K1278" t="s">
        <v>984</v>
      </c>
      <c r="AQ1278" t="s">
        <v>992</v>
      </c>
      <c r="AR1278" t="s">
        <v>1352</v>
      </c>
      <c r="AT1278" t="s">
        <v>987</v>
      </c>
      <c r="AZ1278" t="s">
        <v>1002</v>
      </c>
      <c r="BA1278" t="s">
        <v>1003</v>
      </c>
      <c r="BB1278" t="s">
        <v>1004</v>
      </c>
      <c r="BD1278" t="s">
        <v>1005</v>
      </c>
      <c r="BE1278" t="s">
        <v>343</v>
      </c>
    </row>
    <row r="1279" spans="1:57" ht="13" x14ac:dyDescent="0.15">
      <c r="A1279">
        <v>1839</v>
      </c>
      <c r="B1279">
        <v>119184246</v>
      </c>
      <c r="C1279" t="s">
        <v>344</v>
      </c>
      <c r="D1279" s="7">
        <v>42721</v>
      </c>
      <c r="E1279" s="7">
        <v>45702</v>
      </c>
      <c r="F1279">
        <v>330862</v>
      </c>
      <c r="G1279" t="s">
        <v>983</v>
      </c>
      <c r="H1279" t="s">
        <v>9</v>
      </c>
      <c r="I1279" s="7">
        <v>45695</v>
      </c>
      <c r="J1279" s="8">
        <v>0.73537037037037034</v>
      </c>
      <c r="K1279" t="s">
        <v>984</v>
      </c>
      <c r="AQ1279" t="s">
        <v>1089</v>
      </c>
      <c r="AR1279" t="s">
        <v>986</v>
      </c>
      <c r="AT1279" t="s">
        <v>987</v>
      </c>
      <c r="AZ1279" t="s">
        <v>988</v>
      </c>
      <c r="BA1279" t="s">
        <v>989</v>
      </c>
      <c r="BB1279" t="s">
        <v>990</v>
      </c>
      <c r="BD1279" t="s">
        <v>991</v>
      </c>
      <c r="BE1279" t="s">
        <v>344</v>
      </c>
    </row>
    <row r="1280" spans="1:57" ht="13" x14ac:dyDescent="0.15">
      <c r="A1280">
        <v>1839</v>
      </c>
      <c r="B1280">
        <v>119568159</v>
      </c>
      <c r="C1280" t="s">
        <v>345</v>
      </c>
      <c r="D1280" s="7">
        <v>42730</v>
      </c>
      <c r="E1280" s="7">
        <v>45701</v>
      </c>
      <c r="F1280">
        <v>330862</v>
      </c>
      <c r="G1280" t="s">
        <v>983</v>
      </c>
      <c r="H1280" t="s">
        <v>9</v>
      </c>
      <c r="I1280" s="7">
        <v>45694</v>
      </c>
      <c r="J1280" s="8">
        <v>0.42667824074074073</v>
      </c>
      <c r="K1280" t="s">
        <v>984</v>
      </c>
      <c r="AQ1280" t="s">
        <v>992</v>
      </c>
      <c r="AR1280" t="s">
        <v>986</v>
      </c>
      <c r="AT1280" t="s">
        <v>987</v>
      </c>
      <c r="AZ1280" t="s">
        <v>988</v>
      </c>
      <c r="BA1280" t="s">
        <v>989</v>
      </c>
      <c r="BB1280" t="s">
        <v>990</v>
      </c>
      <c r="BD1280" t="s">
        <v>991</v>
      </c>
      <c r="BE1280" t="s">
        <v>345</v>
      </c>
    </row>
    <row r="1281" spans="1:57" ht="13" x14ac:dyDescent="0.15">
      <c r="A1281">
        <v>1839</v>
      </c>
      <c r="B1281">
        <v>119619422</v>
      </c>
      <c r="C1281" t="s">
        <v>346</v>
      </c>
      <c r="D1281" s="7">
        <v>42731</v>
      </c>
      <c r="E1281" s="7">
        <v>45692</v>
      </c>
      <c r="F1281">
        <v>330862</v>
      </c>
      <c r="G1281" t="s">
        <v>983</v>
      </c>
      <c r="H1281" t="s">
        <v>9</v>
      </c>
      <c r="I1281" s="7">
        <v>45690</v>
      </c>
      <c r="J1281" s="8">
        <v>0.22351851851851851</v>
      </c>
      <c r="K1281" t="s">
        <v>984</v>
      </c>
      <c r="AQ1281" t="s">
        <v>998</v>
      </c>
      <c r="AR1281" t="s">
        <v>1060</v>
      </c>
      <c r="AT1281" t="s">
        <v>987</v>
      </c>
      <c r="AZ1281" t="s">
        <v>1016</v>
      </c>
      <c r="BA1281" t="s">
        <v>1017</v>
      </c>
      <c r="BB1281" t="s">
        <v>1018</v>
      </c>
      <c r="BD1281" t="s">
        <v>991</v>
      </c>
      <c r="BE1281" t="s">
        <v>346</v>
      </c>
    </row>
    <row r="1282" spans="1:57" ht="13" x14ac:dyDescent="0.15">
      <c r="A1282">
        <v>1839</v>
      </c>
      <c r="B1282">
        <v>119806655</v>
      </c>
      <c r="C1282" t="s">
        <v>347</v>
      </c>
      <c r="D1282" s="7">
        <v>42738</v>
      </c>
      <c r="E1282" s="7">
        <v>45694</v>
      </c>
      <c r="F1282">
        <v>330862</v>
      </c>
      <c r="G1282" t="s">
        <v>983</v>
      </c>
      <c r="H1282" t="s">
        <v>9</v>
      </c>
      <c r="I1282" s="7">
        <v>45694</v>
      </c>
      <c r="J1282" s="8">
        <v>0.73200231481481481</v>
      </c>
      <c r="K1282" t="s">
        <v>984</v>
      </c>
      <c r="AQ1282" t="s">
        <v>992</v>
      </c>
      <c r="AR1282" t="s">
        <v>1066</v>
      </c>
      <c r="AT1282" t="s">
        <v>987</v>
      </c>
      <c r="AZ1282" t="s">
        <v>988</v>
      </c>
      <c r="BA1282" t="s">
        <v>989</v>
      </c>
      <c r="BB1282" t="s">
        <v>990</v>
      </c>
      <c r="BD1282" t="s">
        <v>991</v>
      </c>
      <c r="BE1282" t="s">
        <v>347</v>
      </c>
    </row>
    <row r="1283" spans="1:57" ht="13" x14ac:dyDescent="0.15">
      <c r="A1283">
        <v>1839</v>
      </c>
      <c r="B1283">
        <v>119808753</v>
      </c>
      <c r="C1283" t="s">
        <v>348</v>
      </c>
      <c r="D1283" s="7">
        <v>42738</v>
      </c>
      <c r="E1283" s="7">
        <v>45695</v>
      </c>
      <c r="F1283">
        <v>330862</v>
      </c>
      <c r="G1283" t="s">
        <v>983</v>
      </c>
      <c r="H1283" t="s">
        <v>9</v>
      </c>
      <c r="I1283" s="7">
        <v>45695</v>
      </c>
      <c r="J1283" s="8">
        <v>0.16658564814814814</v>
      </c>
      <c r="K1283" t="s">
        <v>984</v>
      </c>
      <c r="AQ1283" t="s">
        <v>992</v>
      </c>
      <c r="AR1283" t="s">
        <v>986</v>
      </c>
      <c r="AT1283" t="s">
        <v>987</v>
      </c>
      <c r="AZ1283" t="s">
        <v>988</v>
      </c>
      <c r="BA1283" t="s">
        <v>989</v>
      </c>
      <c r="BB1283" t="s">
        <v>990</v>
      </c>
      <c r="BD1283" t="s">
        <v>991</v>
      </c>
      <c r="BE1283" t="s">
        <v>348</v>
      </c>
    </row>
    <row r="1284" spans="1:57" ht="13" x14ac:dyDescent="0.15">
      <c r="A1284">
        <v>1839</v>
      </c>
      <c r="B1284">
        <v>119814476</v>
      </c>
      <c r="C1284" t="s">
        <v>349</v>
      </c>
      <c r="D1284" s="7">
        <v>42738</v>
      </c>
      <c r="E1284" s="7">
        <v>45685</v>
      </c>
      <c r="F1284">
        <v>330862</v>
      </c>
      <c r="G1284" t="s">
        <v>983</v>
      </c>
      <c r="H1284" t="s">
        <v>9</v>
      </c>
      <c r="I1284" s="7">
        <v>45682</v>
      </c>
      <c r="J1284" s="8">
        <v>0.43442129629629628</v>
      </c>
      <c r="K1284" t="s">
        <v>984</v>
      </c>
      <c r="AQ1284" t="s">
        <v>992</v>
      </c>
      <c r="AR1284" t="s">
        <v>1627</v>
      </c>
      <c r="AT1284" t="s">
        <v>987</v>
      </c>
      <c r="AZ1284" t="s">
        <v>1011</v>
      </c>
      <c r="BA1284" t="s">
        <v>1012</v>
      </c>
      <c r="BB1284" t="s">
        <v>1013</v>
      </c>
      <c r="BD1284" t="s">
        <v>1014</v>
      </c>
      <c r="BE1284" t="s">
        <v>349</v>
      </c>
    </row>
    <row r="1285" spans="1:57" ht="13" x14ac:dyDescent="0.15">
      <c r="A1285">
        <v>1839</v>
      </c>
      <c r="B1285">
        <v>119857509</v>
      </c>
      <c r="C1285" t="s">
        <v>350</v>
      </c>
      <c r="D1285" s="7">
        <v>42740</v>
      </c>
      <c r="E1285" s="7">
        <v>45703</v>
      </c>
      <c r="F1285">
        <v>330862</v>
      </c>
      <c r="G1285" t="s">
        <v>983</v>
      </c>
      <c r="H1285" t="s">
        <v>9</v>
      </c>
      <c r="I1285" s="7">
        <v>45635</v>
      </c>
      <c r="J1285" s="8">
        <v>0.40917824074074072</v>
      </c>
      <c r="K1285" t="s">
        <v>984</v>
      </c>
      <c r="AQ1285" t="s">
        <v>1530</v>
      </c>
      <c r="AR1285" t="s">
        <v>1209</v>
      </c>
      <c r="AT1285" t="s">
        <v>987</v>
      </c>
      <c r="AZ1285" t="s">
        <v>1024</v>
      </c>
      <c r="BA1285" t="s">
        <v>1025</v>
      </c>
      <c r="BB1285" t="s">
        <v>1026</v>
      </c>
      <c r="BD1285" t="s">
        <v>1022</v>
      </c>
      <c r="BE1285" t="s">
        <v>350</v>
      </c>
    </row>
    <row r="1286" spans="1:57" ht="13" x14ac:dyDescent="0.15">
      <c r="A1286">
        <v>1839</v>
      </c>
      <c r="B1286">
        <v>119857509</v>
      </c>
      <c r="C1286" t="s">
        <v>350</v>
      </c>
      <c r="D1286" s="7">
        <v>42740</v>
      </c>
      <c r="E1286" s="7">
        <v>45703</v>
      </c>
      <c r="F1286">
        <v>330862</v>
      </c>
      <c r="G1286" t="s">
        <v>983</v>
      </c>
      <c r="H1286" t="s">
        <v>9</v>
      </c>
      <c r="I1286" s="7">
        <v>45651</v>
      </c>
      <c r="J1286" s="8">
        <v>0.59376157407407404</v>
      </c>
      <c r="K1286" t="s">
        <v>984</v>
      </c>
      <c r="AQ1286" t="s">
        <v>1530</v>
      </c>
      <c r="AR1286" t="s">
        <v>1628</v>
      </c>
      <c r="AT1286" t="s">
        <v>987</v>
      </c>
      <c r="AZ1286" t="s">
        <v>1028</v>
      </c>
      <c r="BA1286" t="s">
        <v>1068</v>
      </c>
      <c r="BB1286" t="s">
        <v>1069</v>
      </c>
      <c r="BD1286" t="s">
        <v>1005</v>
      </c>
      <c r="BE1286" t="s">
        <v>350</v>
      </c>
    </row>
    <row r="1287" spans="1:57" ht="13" x14ac:dyDescent="0.15">
      <c r="A1287">
        <v>1839</v>
      </c>
      <c r="B1287">
        <v>119857509</v>
      </c>
      <c r="C1287" t="s">
        <v>350</v>
      </c>
      <c r="D1287" s="7">
        <v>42740</v>
      </c>
      <c r="E1287" s="7">
        <v>45703</v>
      </c>
      <c r="F1287">
        <v>330862</v>
      </c>
      <c r="G1287" t="s">
        <v>983</v>
      </c>
      <c r="H1287" t="s">
        <v>9</v>
      </c>
      <c r="I1287" s="7">
        <v>45651</v>
      </c>
      <c r="J1287" s="8">
        <v>0.59420138888888885</v>
      </c>
      <c r="K1287" t="s">
        <v>984</v>
      </c>
      <c r="AQ1287" t="s">
        <v>1530</v>
      </c>
      <c r="AR1287" t="s">
        <v>1629</v>
      </c>
      <c r="AT1287" t="s">
        <v>987</v>
      </c>
      <c r="AZ1287" t="s">
        <v>1071</v>
      </c>
      <c r="BA1287" t="s">
        <v>1072</v>
      </c>
      <c r="BB1287" t="s">
        <v>1048</v>
      </c>
      <c r="BD1287" t="s">
        <v>1005</v>
      </c>
      <c r="BE1287" t="s">
        <v>350</v>
      </c>
    </row>
    <row r="1288" spans="1:57" ht="13" x14ac:dyDescent="0.15">
      <c r="A1288">
        <v>1839</v>
      </c>
      <c r="B1288">
        <v>119857509</v>
      </c>
      <c r="C1288" t="s">
        <v>350</v>
      </c>
      <c r="D1288" s="7">
        <v>42740</v>
      </c>
      <c r="E1288" s="7">
        <v>45703</v>
      </c>
      <c r="F1288">
        <v>330862</v>
      </c>
      <c r="G1288" t="s">
        <v>983</v>
      </c>
      <c r="H1288" t="s">
        <v>9</v>
      </c>
      <c r="I1288" s="7">
        <v>45651</v>
      </c>
      <c r="J1288" s="8">
        <v>0.59447916666666667</v>
      </c>
      <c r="K1288" t="s">
        <v>984</v>
      </c>
      <c r="AQ1288" t="s">
        <v>1530</v>
      </c>
      <c r="AR1288" t="s">
        <v>1584</v>
      </c>
      <c r="AT1288" t="s">
        <v>987</v>
      </c>
      <c r="AZ1288" t="s">
        <v>1007</v>
      </c>
      <c r="BA1288" t="s">
        <v>1008</v>
      </c>
      <c r="BB1288" t="s">
        <v>990</v>
      </c>
      <c r="BD1288" t="s">
        <v>1005</v>
      </c>
      <c r="BE1288" t="s">
        <v>350</v>
      </c>
    </row>
    <row r="1289" spans="1:57" ht="13" x14ac:dyDescent="0.15">
      <c r="A1289">
        <v>1839</v>
      </c>
      <c r="B1289">
        <v>119857509</v>
      </c>
      <c r="C1289" t="s">
        <v>350</v>
      </c>
      <c r="D1289" s="7">
        <v>42740</v>
      </c>
      <c r="E1289" s="7">
        <v>45703</v>
      </c>
      <c r="F1289">
        <v>330862</v>
      </c>
      <c r="G1289" t="s">
        <v>983</v>
      </c>
      <c r="H1289" t="s">
        <v>9</v>
      </c>
      <c r="I1289" s="7">
        <v>45651</v>
      </c>
      <c r="J1289" s="8">
        <v>0.59483796296296299</v>
      </c>
      <c r="K1289" t="s">
        <v>984</v>
      </c>
      <c r="AQ1289" t="s">
        <v>1530</v>
      </c>
      <c r="AR1289" t="s">
        <v>1630</v>
      </c>
      <c r="AT1289" t="s">
        <v>987</v>
      </c>
      <c r="AZ1289" t="s">
        <v>988</v>
      </c>
      <c r="BA1289" t="s">
        <v>1058</v>
      </c>
      <c r="BB1289" t="s">
        <v>1018</v>
      </c>
      <c r="BD1289" t="s">
        <v>1005</v>
      </c>
      <c r="BE1289" t="s">
        <v>350</v>
      </c>
    </row>
    <row r="1290" spans="1:57" ht="13" x14ac:dyDescent="0.15">
      <c r="A1290">
        <v>1839</v>
      </c>
      <c r="B1290">
        <v>119857509</v>
      </c>
      <c r="C1290" t="s">
        <v>350</v>
      </c>
      <c r="D1290" s="7">
        <v>42740</v>
      </c>
      <c r="E1290" s="7">
        <v>45703</v>
      </c>
      <c r="F1290">
        <v>330862</v>
      </c>
      <c r="G1290" t="s">
        <v>983</v>
      </c>
      <c r="H1290" t="s">
        <v>9</v>
      </c>
      <c r="I1290" s="7">
        <v>45651</v>
      </c>
      <c r="J1290" s="8">
        <v>0.59516203703703707</v>
      </c>
      <c r="K1290" t="s">
        <v>984</v>
      </c>
      <c r="AQ1290" t="s">
        <v>1530</v>
      </c>
      <c r="AR1290" t="s">
        <v>1350</v>
      </c>
      <c r="AT1290" t="s">
        <v>987</v>
      </c>
      <c r="AZ1290" t="s">
        <v>1020</v>
      </c>
      <c r="BA1290" t="s">
        <v>1230</v>
      </c>
      <c r="BB1290" t="s">
        <v>1018</v>
      </c>
      <c r="BD1290" t="s">
        <v>1005</v>
      </c>
      <c r="BE1290" t="s">
        <v>350</v>
      </c>
    </row>
    <row r="1291" spans="1:57" ht="13" x14ac:dyDescent="0.15">
      <c r="A1291">
        <v>1839</v>
      </c>
      <c r="B1291">
        <v>119857509</v>
      </c>
      <c r="C1291" t="s">
        <v>350</v>
      </c>
      <c r="D1291" s="7">
        <v>42740</v>
      </c>
      <c r="E1291" s="7">
        <v>45703</v>
      </c>
      <c r="F1291">
        <v>330862</v>
      </c>
      <c r="G1291" t="s">
        <v>983</v>
      </c>
      <c r="H1291" t="s">
        <v>9</v>
      </c>
      <c r="I1291" s="7">
        <v>45651</v>
      </c>
      <c r="J1291" s="8">
        <v>0.59565972222222219</v>
      </c>
      <c r="K1291" t="s">
        <v>984</v>
      </c>
      <c r="AQ1291" t="s">
        <v>1530</v>
      </c>
      <c r="AR1291" t="s">
        <v>1631</v>
      </c>
      <c r="AT1291" t="s">
        <v>987</v>
      </c>
      <c r="AZ1291" t="s">
        <v>1182</v>
      </c>
      <c r="BA1291" t="s">
        <v>1188</v>
      </c>
      <c r="BB1291" t="s">
        <v>1013</v>
      </c>
      <c r="BD1291" t="s">
        <v>1005</v>
      </c>
      <c r="BE1291" t="s">
        <v>350</v>
      </c>
    </row>
    <row r="1292" spans="1:57" ht="13" x14ac:dyDescent="0.15">
      <c r="A1292">
        <v>1839</v>
      </c>
      <c r="B1292">
        <v>119857509</v>
      </c>
      <c r="C1292" t="s">
        <v>350</v>
      </c>
      <c r="D1292" s="7">
        <v>42740</v>
      </c>
      <c r="E1292" s="7">
        <v>45703</v>
      </c>
      <c r="F1292">
        <v>330862</v>
      </c>
      <c r="G1292" t="s">
        <v>983</v>
      </c>
      <c r="H1292" t="s">
        <v>9</v>
      </c>
      <c r="I1292" s="7">
        <v>45651</v>
      </c>
      <c r="J1292" s="8">
        <v>0.59592592592592597</v>
      </c>
      <c r="K1292" t="s">
        <v>984</v>
      </c>
      <c r="AQ1292" t="s">
        <v>1530</v>
      </c>
      <c r="AR1292" t="s">
        <v>1632</v>
      </c>
      <c r="AT1292" t="s">
        <v>987</v>
      </c>
      <c r="AZ1292" t="s">
        <v>1028</v>
      </c>
      <c r="BA1292" t="s">
        <v>1236</v>
      </c>
      <c r="BB1292" t="s">
        <v>1237</v>
      </c>
      <c r="BD1292" t="s">
        <v>1005</v>
      </c>
      <c r="BE1292" t="s">
        <v>350</v>
      </c>
    </row>
    <row r="1293" spans="1:57" ht="13" x14ac:dyDescent="0.15">
      <c r="A1293">
        <v>1839</v>
      </c>
      <c r="B1293">
        <v>119857509</v>
      </c>
      <c r="C1293" t="s">
        <v>350</v>
      </c>
      <c r="D1293" s="7">
        <v>42740</v>
      </c>
      <c r="E1293" s="7">
        <v>45703</v>
      </c>
      <c r="F1293">
        <v>330862</v>
      </c>
      <c r="G1293" t="s">
        <v>983</v>
      </c>
      <c r="H1293" t="s">
        <v>9</v>
      </c>
      <c r="I1293" s="7">
        <v>45651</v>
      </c>
      <c r="J1293" s="8">
        <v>0.59652777777777777</v>
      </c>
      <c r="K1293" t="s">
        <v>984</v>
      </c>
      <c r="AQ1293" t="s">
        <v>1530</v>
      </c>
      <c r="AR1293" t="s">
        <v>1633</v>
      </c>
      <c r="AT1293" t="s">
        <v>987</v>
      </c>
      <c r="AZ1293" t="s">
        <v>1239</v>
      </c>
      <c r="BA1293" t="s">
        <v>1240</v>
      </c>
      <c r="BB1293" t="s">
        <v>1237</v>
      </c>
      <c r="BD1293" t="s">
        <v>1005</v>
      </c>
      <c r="BE1293" t="s">
        <v>350</v>
      </c>
    </row>
    <row r="1294" spans="1:57" ht="13" x14ac:dyDescent="0.15">
      <c r="A1294">
        <v>1839</v>
      </c>
      <c r="B1294">
        <v>119857509</v>
      </c>
      <c r="C1294" t="s">
        <v>350</v>
      </c>
      <c r="D1294" s="7">
        <v>42740</v>
      </c>
      <c r="E1294" s="7">
        <v>45703</v>
      </c>
      <c r="F1294">
        <v>330862</v>
      </c>
      <c r="G1294" t="s">
        <v>983</v>
      </c>
      <c r="H1294" t="s">
        <v>9</v>
      </c>
      <c r="I1294" s="7">
        <v>45651</v>
      </c>
      <c r="J1294" s="8">
        <v>0.59731481481481485</v>
      </c>
      <c r="K1294" t="s">
        <v>984</v>
      </c>
      <c r="AQ1294" t="s">
        <v>1530</v>
      </c>
      <c r="AR1294" t="s">
        <v>1634</v>
      </c>
      <c r="AT1294" t="s">
        <v>987</v>
      </c>
      <c r="AZ1294" t="s">
        <v>1174</v>
      </c>
      <c r="BA1294" t="s">
        <v>1242</v>
      </c>
      <c r="BB1294" t="s">
        <v>1026</v>
      </c>
      <c r="BD1294" t="s">
        <v>1005</v>
      </c>
      <c r="BE1294" t="s">
        <v>350</v>
      </c>
    </row>
    <row r="1295" spans="1:57" ht="13" x14ac:dyDescent="0.15">
      <c r="A1295">
        <v>1839</v>
      </c>
      <c r="B1295">
        <v>119857509</v>
      </c>
      <c r="C1295" t="s">
        <v>350</v>
      </c>
      <c r="D1295" s="7">
        <v>42740</v>
      </c>
      <c r="E1295" s="7">
        <v>45703</v>
      </c>
      <c r="F1295">
        <v>330862</v>
      </c>
      <c r="G1295" t="s">
        <v>983</v>
      </c>
      <c r="H1295" t="s">
        <v>9</v>
      </c>
      <c r="I1295" s="7">
        <v>45651</v>
      </c>
      <c r="J1295" s="8">
        <v>0.59777777777777774</v>
      </c>
      <c r="K1295" t="s">
        <v>984</v>
      </c>
      <c r="AQ1295" t="s">
        <v>1530</v>
      </c>
      <c r="AR1295" t="s">
        <v>1635</v>
      </c>
      <c r="AT1295" t="s">
        <v>987</v>
      </c>
      <c r="AZ1295" t="s">
        <v>1002</v>
      </c>
      <c r="BA1295" t="s">
        <v>1124</v>
      </c>
      <c r="BB1295" t="s">
        <v>1125</v>
      </c>
      <c r="BD1295" t="s">
        <v>1005</v>
      </c>
      <c r="BE1295" t="s">
        <v>350</v>
      </c>
    </row>
    <row r="1296" spans="1:57" ht="13" x14ac:dyDescent="0.15">
      <c r="A1296">
        <v>1839</v>
      </c>
      <c r="B1296">
        <v>119857509</v>
      </c>
      <c r="C1296" t="s">
        <v>350</v>
      </c>
      <c r="D1296" s="7">
        <v>42740</v>
      </c>
      <c r="E1296" s="7">
        <v>45703</v>
      </c>
      <c r="F1296">
        <v>330862</v>
      </c>
      <c r="G1296" t="s">
        <v>983</v>
      </c>
      <c r="H1296" t="s">
        <v>9</v>
      </c>
      <c r="I1296" s="7">
        <v>45651</v>
      </c>
      <c r="J1296" s="8">
        <v>0.5982291666666667</v>
      </c>
      <c r="K1296" t="s">
        <v>984</v>
      </c>
      <c r="AQ1296" t="s">
        <v>1530</v>
      </c>
      <c r="AR1296" t="s">
        <v>1635</v>
      </c>
      <c r="AT1296" t="s">
        <v>987</v>
      </c>
      <c r="AZ1296" t="s">
        <v>1002</v>
      </c>
      <c r="BA1296" t="s">
        <v>1124</v>
      </c>
      <c r="BB1296" t="s">
        <v>1125</v>
      </c>
      <c r="BD1296" t="s">
        <v>1005</v>
      </c>
      <c r="BE1296" t="s">
        <v>350</v>
      </c>
    </row>
    <row r="1297" spans="1:57" ht="13" x14ac:dyDescent="0.15">
      <c r="A1297">
        <v>1839</v>
      </c>
      <c r="B1297">
        <v>119857509</v>
      </c>
      <c r="C1297" t="s">
        <v>350</v>
      </c>
      <c r="D1297" s="7">
        <v>42740</v>
      </c>
      <c r="E1297" s="7">
        <v>45703</v>
      </c>
      <c r="F1297">
        <v>330862</v>
      </c>
      <c r="G1297" t="s">
        <v>983</v>
      </c>
      <c r="H1297" t="s">
        <v>9</v>
      </c>
      <c r="I1297" s="7">
        <v>45654</v>
      </c>
      <c r="J1297" s="8">
        <v>0.51021990740740741</v>
      </c>
      <c r="K1297" t="s">
        <v>984</v>
      </c>
      <c r="AQ1297" t="s">
        <v>1530</v>
      </c>
      <c r="AR1297" t="s">
        <v>1636</v>
      </c>
      <c r="AT1297" t="s">
        <v>987</v>
      </c>
      <c r="AZ1297" t="s">
        <v>1028</v>
      </c>
      <c r="BA1297" t="s">
        <v>1068</v>
      </c>
      <c r="BB1297" t="s">
        <v>1069</v>
      </c>
      <c r="BD1297" t="s">
        <v>1005</v>
      </c>
      <c r="BE1297" t="s">
        <v>350</v>
      </c>
    </row>
    <row r="1298" spans="1:57" ht="13" x14ac:dyDescent="0.15">
      <c r="A1298">
        <v>1839</v>
      </c>
      <c r="B1298">
        <v>119857509</v>
      </c>
      <c r="C1298" t="s">
        <v>350</v>
      </c>
      <c r="D1298" s="7">
        <v>42740</v>
      </c>
      <c r="E1298" s="7">
        <v>45703</v>
      </c>
      <c r="F1298">
        <v>330862</v>
      </c>
      <c r="G1298" t="s">
        <v>983</v>
      </c>
      <c r="H1298" t="s">
        <v>9</v>
      </c>
      <c r="I1298" s="7">
        <v>45654</v>
      </c>
      <c r="J1298" s="8">
        <v>0.51836805555555554</v>
      </c>
      <c r="K1298" t="s">
        <v>984</v>
      </c>
      <c r="AQ1298" t="s">
        <v>1530</v>
      </c>
      <c r="AR1298" t="s">
        <v>1637</v>
      </c>
      <c r="AT1298" t="s">
        <v>987</v>
      </c>
      <c r="AZ1298" t="s">
        <v>988</v>
      </c>
      <c r="BA1298" t="s">
        <v>1058</v>
      </c>
      <c r="BB1298" t="s">
        <v>1018</v>
      </c>
      <c r="BD1298" t="s">
        <v>1005</v>
      </c>
      <c r="BE1298" t="s">
        <v>350</v>
      </c>
    </row>
    <row r="1299" spans="1:57" ht="13" x14ac:dyDescent="0.15">
      <c r="A1299">
        <v>1839</v>
      </c>
      <c r="B1299">
        <v>119857509</v>
      </c>
      <c r="C1299" t="s">
        <v>350</v>
      </c>
      <c r="D1299" s="7">
        <v>42740</v>
      </c>
      <c r="E1299" s="7">
        <v>45703</v>
      </c>
      <c r="F1299">
        <v>330862</v>
      </c>
      <c r="G1299" t="s">
        <v>983</v>
      </c>
      <c r="H1299" t="s">
        <v>9</v>
      </c>
      <c r="I1299" s="7">
        <v>45654</v>
      </c>
      <c r="J1299" s="8">
        <v>0.53281250000000002</v>
      </c>
      <c r="K1299" t="s">
        <v>984</v>
      </c>
      <c r="AQ1299" t="s">
        <v>1530</v>
      </c>
      <c r="AR1299" t="s">
        <v>1434</v>
      </c>
      <c r="AT1299" t="s">
        <v>987</v>
      </c>
      <c r="AZ1299" t="s">
        <v>1071</v>
      </c>
      <c r="BA1299" t="s">
        <v>1072</v>
      </c>
      <c r="BB1299" t="s">
        <v>1048</v>
      </c>
      <c r="BD1299" t="s">
        <v>1005</v>
      </c>
      <c r="BE1299" t="s">
        <v>350</v>
      </c>
    </row>
    <row r="1300" spans="1:57" ht="13" x14ac:dyDescent="0.15">
      <c r="A1300">
        <v>1839</v>
      </c>
      <c r="B1300">
        <v>119857509</v>
      </c>
      <c r="C1300" t="s">
        <v>350</v>
      </c>
      <c r="D1300" s="7">
        <v>42740</v>
      </c>
      <c r="E1300" s="7">
        <v>45703</v>
      </c>
      <c r="F1300">
        <v>330862</v>
      </c>
      <c r="G1300" t="s">
        <v>983</v>
      </c>
      <c r="H1300" t="s">
        <v>9</v>
      </c>
      <c r="I1300" s="7">
        <v>45654</v>
      </c>
      <c r="J1300" s="8">
        <v>0.5393634259259259</v>
      </c>
      <c r="K1300" t="s">
        <v>984</v>
      </c>
      <c r="AQ1300" t="s">
        <v>1530</v>
      </c>
      <c r="AR1300" t="s">
        <v>1638</v>
      </c>
      <c r="AT1300" t="s">
        <v>987</v>
      </c>
      <c r="AZ1300" t="s">
        <v>1007</v>
      </c>
      <c r="BA1300" t="s">
        <v>1008</v>
      </c>
      <c r="BB1300" t="s">
        <v>990</v>
      </c>
      <c r="BD1300" t="s">
        <v>1005</v>
      </c>
      <c r="BE1300" t="s">
        <v>350</v>
      </c>
    </row>
    <row r="1301" spans="1:57" ht="13" x14ac:dyDescent="0.15">
      <c r="A1301">
        <v>1839</v>
      </c>
      <c r="B1301">
        <v>119857509</v>
      </c>
      <c r="C1301" t="s">
        <v>350</v>
      </c>
      <c r="D1301" s="7">
        <v>42740</v>
      </c>
      <c r="E1301" s="7">
        <v>45703</v>
      </c>
      <c r="F1301">
        <v>330862</v>
      </c>
      <c r="G1301" t="s">
        <v>983</v>
      </c>
      <c r="H1301" t="s">
        <v>9</v>
      </c>
      <c r="I1301" s="7">
        <v>45654</v>
      </c>
      <c r="J1301" s="8">
        <v>0.54692129629629627</v>
      </c>
      <c r="K1301" t="s">
        <v>984</v>
      </c>
      <c r="AQ1301" t="s">
        <v>1530</v>
      </c>
      <c r="AR1301" t="s">
        <v>1639</v>
      </c>
      <c r="AT1301" t="s">
        <v>987</v>
      </c>
      <c r="AZ1301" t="s">
        <v>1174</v>
      </c>
      <c r="BA1301" t="s">
        <v>1242</v>
      </c>
      <c r="BB1301" t="s">
        <v>1026</v>
      </c>
      <c r="BD1301" t="s">
        <v>1005</v>
      </c>
      <c r="BE1301" t="s">
        <v>350</v>
      </c>
    </row>
    <row r="1302" spans="1:57" ht="13" x14ac:dyDescent="0.15">
      <c r="A1302">
        <v>1839</v>
      </c>
      <c r="B1302">
        <v>119857509</v>
      </c>
      <c r="C1302" t="s">
        <v>350</v>
      </c>
      <c r="D1302" s="7">
        <v>42740</v>
      </c>
      <c r="E1302" s="7">
        <v>45703</v>
      </c>
      <c r="F1302">
        <v>330862</v>
      </c>
      <c r="G1302" t="s">
        <v>983</v>
      </c>
      <c r="H1302" t="s">
        <v>9</v>
      </c>
      <c r="I1302" s="7">
        <v>45654</v>
      </c>
      <c r="J1302" s="8">
        <v>0.55196759259259254</v>
      </c>
      <c r="K1302" t="s">
        <v>984</v>
      </c>
      <c r="AQ1302" t="s">
        <v>1530</v>
      </c>
      <c r="AR1302" t="s">
        <v>1640</v>
      </c>
      <c r="AT1302" t="s">
        <v>987</v>
      </c>
      <c r="AZ1302" t="s">
        <v>1024</v>
      </c>
      <c r="BA1302" t="s">
        <v>1025</v>
      </c>
      <c r="BB1302" t="s">
        <v>1026</v>
      </c>
      <c r="BD1302" t="s">
        <v>1022</v>
      </c>
      <c r="BE1302" t="s">
        <v>350</v>
      </c>
    </row>
    <row r="1303" spans="1:57" ht="13" x14ac:dyDescent="0.15">
      <c r="A1303">
        <v>1839</v>
      </c>
      <c r="B1303">
        <v>119857509</v>
      </c>
      <c r="C1303" t="s">
        <v>350</v>
      </c>
      <c r="D1303" s="7">
        <v>42740</v>
      </c>
      <c r="E1303" s="7">
        <v>45703</v>
      </c>
      <c r="F1303">
        <v>330862</v>
      </c>
      <c r="G1303" t="s">
        <v>983</v>
      </c>
      <c r="H1303" t="s">
        <v>9</v>
      </c>
      <c r="I1303" s="7">
        <v>45654</v>
      </c>
      <c r="J1303" s="8">
        <v>0.55322916666666666</v>
      </c>
      <c r="K1303" t="s">
        <v>984</v>
      </c>
      <c r="AQ1303" t="s">
        <v>1530</v>
      </c>
      <c r="AR1303" t="s">
        <v>1641</v>
      </c>
      <c r="AT1303" t="s">
        <v>987</v>
      </c>
      <c r="AZ1303" t="s">
        <v>1002</v>
      </c>
      <c r="BA1303" t="s">
        <v>1124</v>
      </c>
      <c r="BB1303" t="s">
        <v>1125</v>
      </c>
      <c r="BD1303" t="s">
        <v>1005</v>
      </c>
      <c r="BE1303" t="s">
        <v>350</v>
      </c>
    </row>
    <row r="1304" spans="1:57" ht="13" x14ac:dyDescent="0.15">
      <c r="A1304">
        <v>1839</v>
      </c>
      <c r="B1304">
        <v>119857509</v>
      </c>
      <c r="C1304" t="s">
        <v>350</v>
      </c>
      <c r="D1304" s="7">
        <v>42740</v>
      </c>
      <c r="E1304" s="7">
        <v>45703</v>
      </c>
      <c r="F1304">
        <v>330862</v>
      </c>
      <c r="G1304" t="s">
        <v>983</v>
      </c>
      <c r="H1304" t="s">
        <v>9</v>
      </c>
      <c r="I1304" s="7">
        <v>45654</v>
      </c>
      <c r="J1304" s="8">
        <v>0.56435185185185188</v>
      </c>
      <c r="K1304" t="s">
        <v>984</v>
      </c>
      <c r="AQ1304" t="s">
        <v>1530</v>
      </c>
      <c r="AR1304" t="s">
        <v>1642</v>
      </c>
      <c r="AT1304" t="s">
        <v>987</v>
      </c>
      <c r="AZ1304" t="s">
        <v>1182</v>
      </c>
      <c r="BA1304" t="s">
        <v>1188</v>
      </c>
      <c r="BB1304" t="s">
        <v>1013</v>
      </c>
      <c r="BD1304" t="s">
        <v>1005</v>
      </c>
      <c r="BE1304" t="s">
        <v>350</v>
      </c>
    </row>
    <row r="1305" spans="1:57" ht="13" x14ac:dyDescent="0.15">
      <c r="A1305">
        <v>1839</v>
      </c>
      <c r="B1305">
        <v>119857509</v>
      </c>
      <c r="C1305" t="s">
        <v>350</v>
      </c>
      <c r="D1305" s="7">
        <v>42740</v>
      </c>
      <c r="E1305" s="7">
        <v>45703</v>
      </c>
      <c r="F1305">
        <v>330862</v>
      </c>
      <c r="G1305" t="s">
        <v>983</v>
      </c>
      <c r="H1305" t="s">
        <v>9</v>
      </c>
      <c r="I1305" s="7">
        <v>45654</v>
      </c>
      <c r="J1305" s="8">
        <v>0.58148148148148149</v>
      </c>
      <c r="K1305" t="s">
        <v>984</v>
      </c>
      <c r="AQ1305" t="s">
        <v>1530</v>
      </c>
      <c r="AR1305" t="s">
        <v>1643</v>
      </c>
      <c r="AT1305" t="s">
        <v>987</v>
      </c>
      <c r="AZ1305" t="s">
        <v>1020</v>
      </c>
      <c r="BA1305" t="s">
        <v>1230</v>
      </c>
      <c r="BB1305" t="s">
        <v>1018</v>
      </c>
      <c r="BD1305" t="s">
        <v>1005</v>
      </c>
      <c r="BE1305" t="s">
        <v>350</v>
      </c>
    </row>
    <row r="1306" spans="1:57" ht="13" x14ac:dyDescent="0.15">
      <c r="A1306">
        <v>1839</v>
      </c>
      <c r="B1306">
        <v>119857509</v>
      </c>
      <c r="C1306" t="s">
        <v>350</v>
      </c>
      <c r="D1306" s="7">
        <v>42740</v>
      </c>
      <c r="E1306" s="7">
        <v>45703</v>
      </c>
      <c r="F1306">
        <v>330862</v>
      </c>
      <c r="G1306" t="s">
        <v>983</v>
      </c>
      <c r="H1306" t="s">
        <v>9</v>
      </c>
      <c r="I1306" s="7">
        <v>45641</v>
      </c>
      <c r="J1306" s="8">
        <v>0.70822916666666669</v>
      </c>
      <c r="K1306" t="s">
        <v>984</v>
      </c>
      <c r="AQ1306" t="s">
        <v>1530</v>
      </c>
      <c r="AR1306" t="s">
        <v>1346</v>
      </c>
      <c r="AT1306" t="s">
        <v>987</v>
      </c>
      <c r="AZ1306" t="s">
        <v>1024</v>
      </c>
      <c r="BA1306" t="s">
        <v>1025</v>
      </c>
      <c r="BB1306" t="s">
        <v>1026</v>
      </c>
      <c r="BD1306" t="s">
        <v>1022</v>
      </c>
      <c r="BE1306" t="s">
        <v>350</v>
      </c>
    </row>
    <row r="1307" spans="1:57" ht="13" x14ac:dyDescent="0.15">
      <c r="A1307">
        <v>1839</v>
      </c>
      <c r="B1307">
        <v>119857509</v>
      </c>
      <c r="C1307" t="s">
        <v>350</v>
      </c>
      <c r="D1307" s="7">
        <v>42740</v>
      </c>
      <c r="E1307" s="7">
        <v>45703</v>
      </c>
      <c r="F1307">
        <v>330862</v>
      </c>
      <c r="G1307" t="s">
        <v>983</v>
      </c>
      <c r="H1307" t="s">
        <v>9</v>
      </c>
      <c r="I1307" s="7">
        <v>45676</v>
      </c>
      <c r="J1307" s="8">
        <v>0.60923611111111109</v>
      </c>
      <c r="K1307" t="s">
        <v>984</v>
      </c>
      <c r="AQ1307" t="s">
        <v>1530</v>
      </c>
      <c r="AR1307" t="s">
        <v>1505</v>
      </c>
      <c r="AT1307" t="s">
        <v>987</v>
      </c>
      <c r="AZ1307" t="s">
        <v>1044</v>
      </c>
      <c r="BA1307" t="s">
        <v>1045</v>
      </c>
      <c r="BB1307" t="s">
        <v>990</v>
      </c>
      <c r="BD1307" t="s">
        <v>991</v>
      </c>
      <c r="BE1307" t="s">
        <v>350</v>
      </c>
    </row>
    <row r="1308" spans="1:57" ht="13" x14ac:dyDescent="0.15">
      <c r="A1308">
        <v>1839</v>
      </c>
      <c r="B1308">
        <v>119857509</v>
      </c>
      <c r="C1308" t="s">
        <v>350</v>
      </c>
      <c r="D1308" s="7">
        <v>42740</v>
      </c>
      <c r="E1308" s="7">
        <v>45703</v>
      </c>
      <c r="F1308">
        <v>330862</v>
      </c>
      <c r="G1308" t="s">
        <v>983</v>
      </c>
      <c r="H1308" t="s">
        <v>9</v>
      </c>
      <c r="I1308" s="7">
        <v>45671</v>
      </c>
      <c r="J1308" s="8">
        <v>0.42630787037037038</v>
      </c>
      <c r="K1308" t="s">
        <v>984</v>
      </c>
      <c r="AQ1308" t="s">
        <v>1530</v>
      </c>
      <c r="AR1308" t="s">
        <v>1644</v>
      </c>
      <c r="AT1308" t="s">
        <v>987</v>
      </c>
      <c r="AZ1308" t="s">
        <v>1024</v>
      </c>
      <c r="BA1308" t="s">
        <v>1047</v>
      </c>
      <c r="BB1308" t="s">
        <v>1048</v>
      </c>
      <c r="BD1308" t="s">
        <v>1014</v>
      </c>
      <c r="BE1308" t="s">
        <v>350</v>
      </c>
    </row>
    <row r="1309" spans="1:57" ht="13" x14ac:dyDescent="0.15">
      <c r="A1309">
        <v>1839</v>
      </c>
      <c r="B1309">
        <v>119857509</v>
      </c>
      <c r="C1309" t="s">
        <v>350</v>
      </c>
      <c r="D1309" s="7">
        <v>42740</v>
      </c>
      <c r="E1309" s="7">
        <v>45703</v>
      </c>
      <c r="F1309">
        <v>330862</v>
      </c>
      <c r="G1309" t="s">
        <v>983</v>
      </c>
      <c r="H1309" t="s">
        <v>9</v>
      </c>
      <c r="I1309" s="7">
        <v>45671</v>
      </c>
      <c r="J1309" s="8">
        <v>0.42670138888888887</v>
      </c>
      <c r="K1309" t="s">
        <v>984</v>
      </c>
      <c r="AQ1309" t="s">
        <v>1530</v>
      </c>
      <c r="AR1309" t="s">
        <v>1645</v>
      </c>
      <c r="AT1309" t="s">
        <v>987</v>
      </c>
      <c r="AZ1309" t="s">
        <v>1044</v>
      </c>
      <c r="BA1309" t="s">
        <v>1045</v>
      </c>
      <c r="BB1309" t="s">
        <v>990</v>
      </c>
      <c r="BD1309" t="s">
        <v>991</v>
      </c>
      <c r="BE1309" t="s">
        <v>350</v>
      </c>
    </row>
    <row r="1310" spans="1:57" ht="13" x14ac:dyDescent="0.15">
      <c r="A1310">
        <v>1839</v>
      </c>
      <c r="B1310">
        <v>119857509</v>
      </c>
      <c r="C1310" t="s">
        <v>350</v>
      </c>
      <c r="D1310" s="7">
        <v>42740</v>
      </c>
      <c r="E1310" s="7">
        <v>45703</v>
      </c>
      <c r="F1310">
        <v>330862</v>
      </c>
      <c r="G1310" t="s">
        <v>983</v>
      </c>
      <c r="H1310" t="s">
        <v>9</v>
      </c>
      <c r="I1310" s="7">
        <v>45659</v>
      </c>
      <c r="J1310" s="8">
        <v>0.77045138888888887</v>
      </c>
      <c r="K1310" t="s">
        <v>984</v>
      </c>
      <c r="AQ1310" t="s">
        <v>1530</v>
      </c>
      <c r="AR1310" t="s">
        <v>1342</v>
      </c>
      <c r="AT1310" t="s">
        <v>987</v>
      </c>
      <c r="AZ1310" t="s">
        <v>1002</v>
      </c>
      <c r="BA1310" t="s">
        <v>1003</v>
      </c>
      <c r="BB1310" t="s">
        <v>1004</v>
      </c>
      <c r="BD1310" t="s">
        <v>1005</v>
      </c>
      <c r="BE1310" t="s">
        <v>350</v>
      </c>
    </row>
    <row r="1311" spans="1:57" ht="13" x14ac:dyDescent="0.15">
      <c r="A1311">
        <v>1839</v>
      </c>
      <c r="B1311">
        <v>119857509</v>
      </c>
      <c r="C1311" t="s">
        <v>350</v>
      </c>
      <c r="D1311" s="7">
        <v>42740</v>
      </c>
      <c r="E1311" s="7">
        <v>45703</v>
      </c>
      <c r="F1311">
        <v>330862</v>
      </c>
      <c r="G1311" t="s">
        <v>983</v>
      </c>
      <c r="H1311" t="s">
        <v>9</v>
      </c>
      <c r="I1311" s="7">
        <v>45682</v>
      </c>
      <c r="J1311" s="8">
        <v>0.65581018518518519</v>
      </c>
      <c r="K1311" t="s">
        <v>984</v>
      </c>
      <c r="AQ1311" t="s">
        <v>1530</v>
      </c>
      <c r="AR1311" t="s">
        <v>1646</v>
      </c>
      <c r="AT1311" t="s">
        <v>987</v>
      </c>
      <c r="AZ1311" t="s">
        <v>1011</v>
      </c>
      <c r="BA1311" t="s">
        <v>1012</v>
      </c>
      <c r="BB1311" t="s">
        <v>1013</v>
      </c>
      <c r="BD1311" t="s">
        <v>1014</v>
      </c>
      <c r="BE1311" t="s">
        <v>350</v>
      </c>
    </row>
    <row r="1312" spans="1:57" ht="13" x14ac:dyDescent="0.15">
      <c r="A1312">
        <v>1839</v>
      </c>
      <c r="B1312">
        <v>119857509</v>
      </c>
      <c r="C1312" t="s">
        <v>350</v>
      </c>
      <c r="D1312" s="7">
        <v>42740</v>
      </c>
      <c r="E1312" s="7">
        <v>45703</v>
      </c>
      <c r="F1312">
        <v>330862</v>
      </c>
      <c r="G1312" t="s">
        <v>983</v>
      </c>
      <c r="H1312" t="s">
        <v>9</v>
      </c>
      <c r="I1312" s="7">
        <v>45678</v>
      </c>
      <c r="J1312" s="8">
        <v>0.42201388888888891</v>
      </c>
      <c r="K1312" t="s">
        <v>984</v>
      </c>
      <c r="AQ1312" t="s">
        <v>1530</v>
      </c>
      <c r="AR1312" t="s">
        <v>1514</v>
      </c>
      <c r="AT1312" t="s">
        <v>987</v>
      </c>
      <c r="AZ1312" t="s">
        <v>1016</v>
      </c>
      <c r="BA1312" t="s">
        <v>1017</v>
      </c>
      <c r="BB1312" t="s">
        <v>1018</v>
      </c>
      <c r="BD1312" t="s">
        <v>991</v>
      </c>
      <c r="BE1312" t="s">
        <v>350</v>
      </c>
    </row>
    <row r="1313" spans="1:57" ht="13" x14ac:dyDescent="0.15">
      <c r="A1313">
        <v>1839</v>
      </c>
      <c r="B1313">
        <v>119857509</v>
      </c>
      <c r="C1313" t="s">
        <v>350</v>
      </c>
      <c r="D1313" s="7">
        <v>42740</v>
      </c>
      <c r="E1313" s="7">
        <v>45703</v>
      </c>
      <c r="F1313">
        <v>330862</v>
      </c>
      <c r="G1313" t="s">
        <v>983</v>
      </c>
      <c r="H1313" t="s">
        <v>9</v>
      </c>
      <c r="I1313" s="7">
        <v>45678</v>
      </c>
      <c r="J1313" s="8">
        <v>0.42258101851851854</v>
      </c>
      <c r="K1313" t="s">
        <v>984</v>
      </c>
      <c r="AQ1313" t="s">
        <v>1530</v>
      </c>
      <c r="AR1313" t="s">
        <v>1050</v>
      </c>
      <c r="AT1313" t="s">
        <v>987</v>
      </c>
      <c r="AZ1313" t="s">
        <v>1011</v>
      </c>
      <c r="BA1313" t="s">
        <v>1012</v>
      </c>
      <c r="BB1313" t="s">
        <v>1013</v>
      </c>
      <c r="BD1313" t="s">
        <v>1014</v>
      </c>
      <c r="BE1313" t="s">
        <v>350</v>
      </c>
    </row>
    <row r="1314" spans="1:57" ht="13" x14ac:dyDescent="0.15">
      <c r="A1314">
        <v>1839</v>
      </c>
      <c r="B1314">
        <v>119857509</v>
      </c>
      <c r="C1314" t="s">
        <v>350</v>
      </c>
      <c r="D1314" s="7">
        <v>42740</v>
      </c>
      <c r="E1314" s="7">
        <v>45703</v>
      </c>
      <c r="F1314">
        <v>330862</v>
      </c>
      <c r="G1314" t="s">
        <v>983</v>
      </c>
      <c r="H1314" t="s">
        <v>9</v>
      </c>
      <c r="I1314" s="7">
        <v>45676</v>
      </c>
      <c r="J1314" s="8">
        <v>0.60341435185185188</v>
      </c>
      <c r="K1314" t="s">
        <v>984</v>
      </c>
      <c r="AQ1314" t="s">
        <v>1530</v>
      </c>
      <c r="AR1314" t="s">
        <v>1647</v>
      </c>
      <c r="AT1314" t="s">
        <v>987</v>
      </c>
      <c r="AZ1314" t="s">
        <v>1024</v>
      </c>
      <c r="BA1314" t="s">
        <v>1047</v>
      </c>
      <c r="BB1314" t="s">
        <v>1048</v>
      </c>
      <c r="BD1314" t="s">
        <v>1014</v>
      </c>
      <c r="BE1314" t="s">
        <v>350</v>
      </c>
    </row>
    <row r="1315" spans="1:57" ht="13" x14ac:dyDescent="0.15">
      <c r="A1315">
        <v>1839</v>
      </c>
      <c r="B1315">
        <v>119857509</v>
      </c>
      <c r="C1315" t="s">
        <v>350</v>
      </c>
      <c r="D1315" s="7">
        <v>42740</v>
      </c>
      <c r="E1315" s="7">
        <v>45703</v>
      </c>
      <c r="F1315">
        <v>330862</v>
      </c>
      <c r="G1315" t="s">
        <v>983</v>
      </c>
      <c r="H1315" t="s">
        <v>9</v>
      </c>
      <c r="I1315" s="7">
        <v>45691</v>
      </c>
      <c r="J1315" s="8">
        <v>0.95885416666666667</v>
      </c>
      <c r="K1315" t="s">
        <v>984</v>
      </c>
      <c r="AQ1315" t="s">
        <v>1530</v>
      </c>
      <c r="AR1315" t="s">
        <v>1133</v>
      </c>
      <c r="AT1315" t="s">
        <v>987</v>
      </c>
      <c r="AZ1315" t="s">
        <v>1002</v>
      </c>
      <c r="BA1315" t="s">
        <v>1065</v>
      </c>
      <c r="BB1315" t="s">
        <v>1004</v>
      </c>
      <c r="BD1315" t="s">
        <v>991</v>
      </c>
      <c r="BE1315" t="s">
        <v>350</v>
      </c>
    </row>
    <row r="1316" spans="1:57" ht="13" x14ac:dyDescent="0.15">
      <c r="A1316">
        <v>1839</v>
      </c>
      <c r="B1316">
        <v>119857509</v>
      </c>
      <c r="C1316" t="s">
        <v>350</v>
      </c>
      <c r="D1316" s="7">
        <v>42740</v>
      </c>
      <c r="E1316" s="7">
        <v>45703</v>
      </c>
      <c r="F1316">
        <v>330862</v>
      </c>
      <c r="G1316" t="s">
        <v>983</v>
      </c>
      <c r="H1316" t="s">
        <v>9</v>
      </c>
      <c r="I1316" s="7">
        <v>45691</v>
      </c>
      <c r="J1316" s="8">
        <v>0.95927083333333329</v>
      </c>
      <c r="K1316" t="s">
        <v>984</v>
      </c>
      <c r="AQ1316" t="s">
        <v>1530</v>
      </c>
      <c r="AR1316" t="s">
        <v>986</v>
      </c>
      <c r="AT1316" t="s">
        <v>987</v>
      </c>
      <c r="AZ1316" t="s">
        <v>988</v>
      </c>
      <c r="BA1316" t="s">
        <v>989</v>
      </c>
      <c r="BB1316" t="s">
        <v>990</v>
      </c>
      <c r="BD1316" t="s">
        <v>991</v>
      </c>
      <c r="BE1316" t="s">
        <v>350</v>
      </c>
    </row>
    <row r="1317" spans="1:57" ht="13" x14ac:dyDescent="0.15">
      <c r="A1317">
        <v>1839</v>
      </c>
      <c r="B1317">
        <v>119857509</v>
      </c>
      <c r="C1317" t="s">
        <v>350</v>
      </c>
      <c r="D1317" s="7">
        <v>42740</v>
      </c>
      <c r="E1317" s="7">
        <v>45703</v>
      </c>
      <c r="F1317">
        <v>330862</v>
      </c>
      <c r="G1317" t="s">
        <v>983</v>
      </c>
      <c r="H1317" t="s">
        <v>9</v>
      </c>
      <c r="I1317" s="7">
        <v>45685</v>
      </c>
      <c r="J1317" s="8">
        <v>0.4271875</v>
      </c>
      <c r="K1317" t="s">
        <v>984</v>
      </c>
      <c r="AQ1317" t="s">
        <v>1530</v>
      </c>
      <c r="AR1317" t="s">
        <v>1648</v>
      </c>
      <c r="AT1317" t="s">
        <v>987</v>
      </c>
      <c r="AZ1317" t="s">
        <v>1071</v>
      </c>
      <c r="BA1317" t="s">
        <v>1135</v>
      </c>
      <c r="BB1317" t="s">
        <v>1136</v>
      </c>
      <c r="BD1317" t="s">
        <v>991</v>
      </c>
      <c r="BE1317" t="s">
        <v>350</v>
      </c>
    </row>
    <row r="1318" spans="1:57" ht="13" x14ac:dyDescent="0.15">
      <c r="A1318">
        <v>1839</v>
      </c>
      <c r="B1318">
        <v>119857509</v>
      </c>
      <c r="C1318" t="s">
        <v>350</v>
      </c>
      <c r="D1318" s="7">
        <v>42740</v>
      </c>
      <c r="E1318" s="7">
        <v>45703</v>
      </c>
      <c r="F1318">
        <v>330862</v>
      </c>
      <c r="G1318" t="s">
        <v>983</v>
      </c>
      <c r="H1318" t="s">
        <v>9</v>
      </c>
      <c r="I1318" s="7">
        <v>45685</v>
      </c>
      <c r="J1318" s="8">
        <v>0.42758101851851854</v>
      </c>
      <c r="K1318" t="s">
        <v>984</v>
      </c>
      <c r="AQ1318" t="s">
        <v>1530</v>
      </c>
      <c r="AR1318" t="s">
        <v>1649</v>
      </c>
      <c r="AT1318" t="s">
        <v>987</v>
      </c>
      <c r="AZ1318" t="s">
        <v>1062</v>
      </c>
      <c r="BA1318" t="s">
        <v>1297</v>
      </c>
      <c r="BB1318" t="s">
        <v>1048</v>
      </c>
      <c r="BD1318" t="s">
        <v>991</v>
      </c>
      <c r="BE1318" t="s">
        <v>350</v>
      </c>
    </row>
    <row r="1319" spans="1:57" ht="13" x14ac:dyDescent="0.15">
      <c r="A1319">
        <v>1839</v>
      </c>
      <c r="B1319">
        <v>119857509</v>
      </c>
      <c r="C1319" t="s">
        <v>350</v>
      </c>
      <c r="D1319" s="7">
        <v>42740</v>
      </c>
      <c r="E1319" s="7">
        <v>45703</v>
      </c>
      <c r="F1319">
        <v>330862</v>
      </c>
      <c r="G1319" t="s">
        <v>983</v>
      </c>
      <c r="H1319" t="s">
        <v>9</v>
      </c>
      <c r="I1319" s="7">
        <v>45685</v>
      </c>
      <c r="J1319" s="8">
        <v>0.42799768518518516</v>
      </c>
      <c r="K1319" t="s">
        <v>984</v>
      </c>
      <c r="AQ1319" t="s">
        <v>1530</v>
      </c>
      <c r="AR1319" t="s">
        <v>1650</v>
      </c>
      <c r="AT1319" t="s">
        <v>987</v>
      </c>
      <c r="AZ1319" t="s">
        <v>1062</v>
      </c>
      <c r="BA1319" t="s">
        <v>1063</v>
      </c>
      <c r="BB1319" t="s">
        <v>1048</v>
      </c>
      <c r="BD1319" t="s">
        <v>991</v>
      </c>
      <c r="BE1319" t="s">
        <v>350</v>
      </c>
    </row>
    <row r="1320" spans="1:57" ht="13" x14ac:dyDescent="0.15">
      <c r="A1320">
        <v>1839</v>
      </c>
      <c r="B1320">
        <v>119857509</v>
      </c>
      <c r="C1320" t="s">
        <v>350</v>
      </c>
      <c r="D1320" s="7">
        <v>42740</v>
      </c>
      <c r="E1320" s="7">
        <v>45703</v>
      </c>
      <c r="F1320">
        <v>330862</v>
      </c>
      <c r="G1320" t="s">
        <v>983</v>
      </c>
      <c r="H1320" t="s">
        <v>9</v>
      </c>
      <c r="I1320" s="7">
        <v>45697</v>
      </c>
      <c r="J1320" s="8">
        <v>0.54686342592592596</v>
      </c>
      <c r="K1320" t="s">
        <v>984</v>
      </c>
      <c r="AQ1320" t="s">
        <v>1530</v>
      </c>
      <c r="AR1320" t="s">
        <v>1263</v>
      </c>
      <c r="AT1320" t="s">
        <v>987</v>
      </c>
      <c r="AZ1320" t="s">
        <v>1182</v>
      </c>
      <c r="BA1320" t="s">
        <v>1183</v>
      </c>
      <c r="BB1320" t="s">
        <v>990</v>
      </c>
      <c r="BD1320" t="s">
        <v>991</v>
      </c>
      <c r="BE1320" t="s">
        <v>350</v>
      </c>
    </row>
    <row r="1321" spans="1:57" ht="13" x14ac:dyDescent="0.15">
      <c r="A1321">
        <v>1839</v>
      </c>
      <c r="B1321">
        <v>119857509</v>
      </c>
      <c r="C1321" t="s">
        <v>350</v>
      </c>
      <c r="D1321" s="7">
        <v>42740</v>
      </c>
      <c r="E1321" s="7">
        <v>45703</v>
      </c>
      <c r="F1321">
        <v>330862</v>
      </c>
      <c r="G1321" t="s">
        <v>983</v>
      </c>
      <c r="H1321" t="s">
        <v>9</v>
      </c>
      <c r="I1321" s="7">
        <v>45697</v>
      </c>
      <c r="J1321" s="8">
        <v>0.55547453703703709</v>
      </c>
      <c r="K1321" t="s">
        <v>984</v>
      </c>
      <c r="AQ1321" t="s">
        <v>1530</v>
      </c>
      <c r="AR1321" t="s">
        <v>1433</v>
      </c>
      <c r="AT1321" t="s">
        <v>987</v>
      </c>
      <c r="AZ1321" t="s">
        <v>1220</v>
      </c>
      <c r="BA1321" t="s">
        <v>1221</v>
      </c>
      <c r="BB1321" t="s">
        <v>1082</v>
      </c>
      <c r="BD1321" t="s">
        <v>991</v>
      </c>
      <c r="BE1321" t="s">
        <v>350</v>
      </c>
    </row>
    <row r="1322" spans="1:57" ht="13" x14ac:dyDescent="0.15">
      <c r="A1322">
        <v>1839</v>
      </c>
      <c r="B1322">
        <v>119857509</v>
      </c>
      <c r="C1322" t="s">
        <v>350</v>
      </c>
      <c r="D1322" s="7">
        <v>42740</v>
      </c>
      <c r="E1322" s="7">
        <v>45703</v>
      </c>
      <c r="F1322">
        <v>330862</v>
      </c>
      <c r="G1322" t="s">
        <v>983</v>
      </c>
      <c r="H1322" t="s">
        <v>9</v>
      </c>
      <c r="I1322" s="7">
        <v>45697</v>
      </c>
      <c r="J1322" s="8">
        <v>0.56216435185185187</v>
      </c>
      <c r="K1322" t="s">
        <v>984</v>
      </c>
      <c r="AQ1322" t="s">
        <v>1530</v>
      </c>
      <c r="AR1322" t="s">
        <v>1506</v>
      </c>
      <c r="AT1322" t="s">
        <v>987</v>
      </c>
      <c r="AZ1322" t="s">
        <v>1080</v>
      </c>
      <c r="BA1322" t="s">
        <v>1081</v>
      </c>
      <c r="BB1322" t="s">
        <v>1082</v>
      </c>
      <c r="BD1322" t="s">
        <v>991</v>
      </c>
      <c r="BE1322" t="s">
        <v>350</v>
      </c>
    </row>
    <row r="1323" spans="1:57" ht="13" x14ac:dyDescent="0.15">
      <c r="A1323">
        <v>1839</v>
      </c>
      <c r="B1323">
        <v>119857509</v>
      </c>
      <c r="C1323" t="s">
        <v>350</v>
      </c>
      <c r="D1323" s="7">
        <v>42740</v>
      </c>
      <c r="E1323" s="7">
        <v>45703</v>
      </c>
      <c r="F1323">
        <v>330862</v>
      </c>
      <c r="G1323" t="s">
        <v>983</v>
      </c>
      <c r="H1323" t="s">
        <v>9</v>
      </c>
      <c r="I1323" s="7">
        <v>45697</v>
      </c>
      <c r="J1323" s="8">
        <v>0.5689467592592593</v>
      </c>
      <c r="K1323" t="s">
        <v>984</v>
      </c>
      <c r="AQ1323" t="s">
        <v>1530</v>
      </c>
      <c r="AR1323" t="s">
        <v>1651</v>
      </c>
      <c r="AT1323" t="s">
        <v>987</v>
      </c>
      <c r="AZ1323" t="s">
        <v>1028</v>
      </c>
      <c r="BA1323" t="s">
        <v>1037</v>
      </c>
      <c r="BB1323" t="s">
        <v>1038</v>
      </c>
      <c r="BD1323" t="s">
        <v>991</v>
      </c>
      <c r="BE1323" t="s">
        <v>350</v>
      </c>
    </row>
    <row r="1324" spans="1:57" ht="13" x14ac:dyDescent="0.15">
      <c r="A1324">
        <v>1839</v>
      </c>
      <c r="B1324">
        <v>119857509</v>
      </c>
      <c r="C1324" t="s">
        <v>350</v>
      </c>
      <c r="D1324" s="7">
        <v>42740</v>
      </c>
      <c r="E1324" s="7">
        <v>45703</v>
      </c>
      <c r="F1324">
        <v>330862</v>
      </c>
      <c r="G1324" t="s">
        <v>983</v>
      </c>
      <c r="H1324" t="s">
        <v>9</v>
      </c>
      <c r="I1324" s="7">
        <v>45697</v>
      </c>
      <c r="J1324" s="8">
        <v>0.59099537037037042</v>
      </c>
      <c r="K1324" t="s">
        <v>984</v>
      </c>
      <c r="AQ1324" t="s">
        <v>1530</v>
      </c>
      <c r="AR1324" t="s">
        <v>1265</v>
      </c>
      <c r="AT1324" t="s">
        <v>987</v>
      </c>
      <c r="AZ1324" t="s">
        <v>1002</v>
      </c>
      <c r="BA1324" t="s">
        <v>1040</v>
      </c>
      <c r="BB1324" t="s">
        <v>1041</v>
      </c>
      <c r="BD1324" t="s">
        <v>991</v>
      </c>
      <c r="BE1324" t="s">
        <v>350</v>
      </c>
    </row>
    <row r="1325" spans="1:57" ht="13" x14ac:dyDescent="0.15">
      <c r="A1325">
        <v>1839</v>
      </c>
      <c r="B1325">
        <v>119857509</v>
      </c>
      <c r="C1325" t="s">
        <v>350</v>
      </c>
      <c r="D1325" s="7">
        <v>42740</v>
      </c>
      <c r="E1325" s="7">
        <v>45703</v>
      </c>
      <c r="F1325">
        <v>330862</v>
      </c>
      <c r="G1325" t="s">
        <v>983</v>
      </c>
      <c r="H1325" t="s">
        <v>9</v>
      </c>
      <c r="I1325" s="7">
        <v>45697</v>
      </c>
      <c r="J1325" s="8">
        <v>0.65281250000000002</v>
      </c>
      <c r="K1325" t="s">
        <v>984</v>
      </c>
      <c r="AQ1325" t="s">
        <v>1530</v>
      </c>
      <c r="AR1325" t="s">
        <v>1295</v>
      </c>
      <c r="AT1325" t="s">
        <v>987</v>
      </c>
      <c r="AZ1325" t="s">
        <v>1174</v>
      </c>
      <c r="BA1325" t="s">
        <v>1175</v>
      </c>
      <c r="BB1325" t="s">
        <v>990</v>
      </c>
      <c r="BD1325" t="s">
        <v>991</v>
      </c>
      <c r="BE1325" t="s">
        <v>350</v>
      </c>
    </row>
    <row r="1326" spans="1:57" ht="13" x14ac:dyDescent="0.15">
      <c r="A1326">
        <v>1839</v>
      </c>
      <c r="B1326">
        <v>119857509</v>
      </c>
      <c r="C1326" t="s">
        <v>350</v>
      </c>
      <c r="D1326" s="7">
        <v>42740</v>
      </c>
      <c r="E1326" s="7">
        <v>45703</v>
      </c>
      <c r="F1326">
        <v>330862</v>
      </c>
      <c r="G1326" t="s">
        <v>983</v>
      </c>
      <c r="H1326" t="s">
        <v>9</v>
      </c>
      <c r="I1326" s="7">
        <v>45697</v>
      </c>
      <c r="J1326" s="8">
        <v>0.65910879629629626</v>
      </c>
      <c r="K1326" t="s">
        <v>984</v>
      </c>
      <c r="AQ1326" t="s">
        <v>1530</v>
      </c>
      <c r="AR1326" t="s">
        <v>1652</v>
      </c>
      <c r="AT1326" t="s">
        <v>987</v>
      </c>
      <c r="AZ1326" t="s">
        <v>988</v>
      </c>
      <c r="BA1326" t="s">
        <v>1035</v>
      </c>
      <c r="BB1326" t="s">
        <v>1026</v>
      </c>
      <c r="BD1326" t="s">
        <v>991</v>
      </c>
      <c r="BE1326" t="s">
        <v>350</v>
      </c>
    </row>
    <row r="1327" spans="1:57" ht="13" x14ac:dyDescent="0.15">
      <c r="A1327">
        <v>1839</v>
      </c>
      <c r="B1327">
        <v>119857509</v>
      </c>
      <c r="C1327" t="s">
        <v>350</v>
      </c>
      <c r="D1327" s="7">
        <v>42740</v>
      </c>
      <c r="E1327" s="7">
        <v>45703</v>
      </c>
      <c r="F1327">
        <v>330862</v>
      </c>
      <c r="G1327" t="s">
        <v>983</v>
      </c>
      <c r="H1327" t="s">
        <v>9</v>
      </c>
      <c r="I1327" s="7">
        <v>45697</v>
      </c>
      <c r="J1327" s="8">
        <v>0.66506944444444449</v>
      </c>
      <c r="K1327" t="s">
        <v>984</v>
      </c>
      <c r="AQ1327" t="s">
        <v>1530</v>
      </c>
      <c r="AR1327" t="s">
        <v>1653</v>
      </c>
      <c r="AT1327" t="s">
        <v>987</v>
      </c>
      <c r="AZ1327" t="s">
        <v>1220</v>
      </c>
      <c r="BA1327" t="s">
        <v>1292</v>
      </c>
      <c r="BB1327" t="s">
        <v>1293</v>
      </c>
      <c r="BD1327" t="s">
        <v>991</v>
      </c>
      <c r="BE1327" t="s">
        <v>350</v>
      </c>
    </row>
    <row r="1328" spans="1:57" ht="13" x14ac:dyDescent="0.15">
      <c r="A1328">
        <v>1839</v>
      </c>
      <c r="B1328">
        <v>119857509</v>
      </c>
      <c r="C1328" t="s">
        <v>350</v>
      </c>
      <c r="D1328" s="7">
        <v>42740</v>
      </c>
      <c r="E1328" s="7">
        <v>45703</v>
      </c>
      <c r="F1328">
        <v>330862</v>
      </c>
      <c r="G1328" t="s">
        <v>983</v>
      </c>
      <c r="H1328" t="s">
        <v>9</v>
      </c>
      <c r="I1328" s="7">
        <v>45697</v>
      </c>
      <c r="J1328" s="8">
        <v>0.66923611111111114</v>
      </c>
      <c r="K1328" t="s">
        <v>984</v>
      </c>
      <c r="AQ1328" t="s">
        <v>1530</v>
      </c>
      <c r="AR1328" t="s">
        <v>986</v>
      </c>
      <c r="AT1328" t="s">
        <v>987</v>
      </c>
      <c r="AZ1328" t="s">
        <v>988</v>
      </c>
      <c r="BA1328" t="s">
        <v>989</v>
      </c>
      <c r="BB1328" t="s">
        <v>990</v>
      </c>
      <c r="BD1328" t="s">
        <v>991</v>
      </c>
      <c r="BE1328" t="s">
        <v>350</v>
      </c>
    </row>
    <row r="1329" spans="1:57" ht="13" x14ac:dyDescent="0.15">
      <c r="A1329">
        <v>1839</v>
      </c>
      <c r="B1329">
        <v>119857509</v>
      </c>
      <c r="C1329" t="s">
        <v>350</v>
      </c>
      <c r="D1329" s="7">
        <v>42740</v>
      </c>
      <c r="E1329" s="7">
        <v>45703</v>
      </c>
      <c r="F1329">
        <v>330862</v>
      </c>
      <c r="G1329" t="s">
        <v>983</v>
      </c>
      <c r="H1329" t="s">
        <v>9</v>
      </c>
      <c r="I1329" s="7">
        <v>45697</v>
      </c>
      <c r="J1329" s="8">
        <v>0.6749074074074074</v>
      </c>
      <c r="K1329" t="s">
        <v>984</v>
      </c>
      <c r="AQ1329" t="s">
        <v>1530</v>
      </c>
      <c r="AR1329" t="s">
        <v>1137</v>
      </c>
      <c r="AT1329" t="s">
        <v>987</v>
      </c>
      <c r="AZ1329" t="s">
        <v>1062</v>
      </c>
      <c r="BA1329" t="s">
        <v>1063</v>
      </c>
      <c r="BB1329" t="s">
        <v>1048</v>
      </c>
      <c r="BD1329" t="s">
        <v>991</v>
      </c>
      <c r="BE1329" t="s">
        <v>350</v>
      </c>
    </row>
    <row r="1330" spans="1:57" ht="13" x14ac:dyDescent="0.15">
      <c r="A1330">
        <v>1839</v>
      </c>
      <c r="B1330">
        <v>119857509</v>
      </c>
      <c r="C1330" t="s">
        <v>350</v>
      </c>
      <c r="D1330" s="7">
        <v>42740</v>
      </c>
      <c r="E1330" s="7">
        <v>45703</v>
      </c>
      <c r="F1330">
        <v>330862</v>
      </c>
      <c r="G1330" t="s">
        <v>983</v>
      </c>
      <c r="H1330" t="s">
        <v>9</v>
      </c>
      <c r="I1330" s="7">
        <v>45697</v>
      </c>
      <c r="J1330" s="8">
        <v>0.67879629629629634</v>
      </c>
      <c r="K1330" t="s">
        <v>984</v>
      </c>
      <c r="AQ1330" t="s">
        <v>1530</v>
      </c>
      <c r="AR1330" t="s">
        <v>1654</v>
      </c>
      <c r="AT1330" t="s">
        <v>987</v>
      </c>
      <c r="AZ1330" t="s">
        <v>1071</v>
      </c>
      <c r="BA1330" t="s">
        <v>1135</v>
      </c>
      <c r="BB1330" t="s">
        <v>1136</v>
      </c>
      <c r="BD1330" t="s">
        <v>991</v>
      </c>
      <c r="BE1330" t="s">
        <v>350</v>
      </c>
    </row>
    <row r="1331" spans="1:57" ht="13" x14ac:dyDescent="0.15">
      <c r="A1331">
        <v>1839</v>
      </c>
      <c r="B1331">
        <v>119857509</v>
      </c>
      <c r="C1331" t="s">
        <v>350</v>
      </c>
      <c r="D1331" s="7">
        <v>42740</v>
      </c>
      <c r="E1331" s="7">
        <v>45703</v>
      </c>
      <c r="F1331">
        <v>330862</v>
      </c>
      <c r="G1331" t="s">
        <v>983</v>
      </c>
      <c r="H1331" t="s">
        <v>9</v>
      </c>
      <c r="I1331" s="7">
        <v>45697</v>
      </c>
      <c r="J1331" s="8">
        <v>0.68190972222222224</v>
      </c>
      <c r="K1331" t="s">
        <v>984</v>
      </c>
      <c r="AQ1331" t="s">
        <v>1530</v>
      </c>
      <c r="AR1331" t="s">
        <v>1133</v>
      </c>
      <c r="AT1331" t="s">
        <v>987</v>
      </c>
      <c r="AZ1331" t="s">
        <v>1002</v>
      </c>
      <c r="BA1331" t="s">
        <v>1065</v>
      </c>
      <c r="BB1331" t="s">
        <v>1004</v>
      </c>
      <c r="BD1331" t="s">
        <v>991</v>
      </c>
      <c r="BE1331" t="s">
        <v>350</v>
      </c>
    </row>
    <row r="1332" spans="1:57" ht="13" x14ac:dyDescent="0.15">
      <c r="A1332">
        <v>1839</v>
      </c>
      <c r="B1332">
        <v>119857509</v>
      </c>
      <c r="C1332" t="s">
        <v>350</v>
      </c>
      <c r="D1332" s="7">
        <v>42740</v>
      </c>
      <c r="E1332" s="7">
        <v>45703</v>
      </c>
      <c r="F1332">
        <v>330862</v>
      </c>
      <c r="G1332" t="s">
        <v>983</v>
      </c>
      <c r="H1332" t="s">
        <v>9</v>
      </c>
      <c r="I1332" s="7">
        <v>45635</v>
      </c>
      <c r="J1332" s="8">
        <v>0.4085300925925926</v>
      </c>
      <c r="K1332" t="s">
        <v>984</v>
      </c>
      <c r="AQ1332" t="s">
        <v>1530</v>
      </c>
      <c r="AR1332" t="s">
        <v>1131</v>
      </c>
      <c r="AT1332" t="s">
        <v>987</v>
      </c>
      <c r="AZ1332" t="s">
        <v>1020</v>
      </c>
      <c r="BA1332" t="s">
        <v>1021</v>
      </c>
      <c r="BB1332" t="s">
        <v>1018</v>
      </c>
      <c r="BD1332" t="s">
        <v>1022</v>
      </c>
      <c r="BE1332" t="s">
        <v>350</v>
      </c>
    </row>
    <row r="1333" spans="1:57" ht="13" x14ac:dyDescent="0.15">
      <c r="A1333">
        <v>1839</v>
      </c>
      <c r="B1333">
        <v>119857509</v>
      </c>
      <c r="C1333" t="s">
        <v>350</v>
      </c>
      <c r="D1333" s="7">
        <v>42740</v>
      </c>
      <c r="E1333" s="7">
        <v>45703</v>
      </c>
      <c r="F1333">
        <v>330862</v>
      </c>
      <c r="G1333" t="s">
        <v>983</v>
      </c>
      <c r="H1333" t="s">
        <v>9</v>
      </c>
      <c r="I1333" s="7">
        <v>45631</v>
      </c>
      <c r="J1333" s="8">
        <v>0.40827546296296297</v>
      </c>
      <c r="K1333" t="s">
        <v>984</v>
      </c>
      <c r="AQ1333" t="s">
        <v>1530</v>
      </c>
      <c r="AR1333" t="s">
        <v>1589</v>
      </c>
      <c r="AT1333" t="s">
        <v>987</v>
      </c>
      <c r="AZ1333" t="s">
        <v>1239</v>
      </c>
      <c r="BA1333" t="s">
        <v>1281</v>
      </c>
      <c r="BB1333" t="s">
        <v>1026</v>
      </c>
      <c r="BD1333" t="s">
        <v>1022</v>
      </c>
      <c r="BE1333" t="s">
        <v>350</v>
      </c>
    </row>
    <row r="1334" spans="1:57" ht="13" x14ac:dyDescent="0.15">
      <c r="A1334">
        <v>1839</v>
      </c>
      <c r="B1334">
        <v>119857509</v>
      </c>
      <c r="C1334" t="s">
        <v>350</v>
      </c>
      <c r="D1334" s="7">
        <v>42740</v>
      </c>
      <c r="E1334" s="7">
        <v>45703</v>
      </c>
      <c r="F1334">
        <v>330862</v>
      </c>
      <c r="G1334" t="s">
        <v>983</v>
      </c>
      <c r="H1334" t="s">
        <v>9</v>
      </c>
      <c r="I1334" s="7">
        <v>45620</v>
      </c>
      <c r="J1334" s="8">
        <v>0.62866898148148154</v>
      </c>
      <c r="K1334" t="s">
        <v>984</v>
      </c>
      <c r="AQ1334" t="s">
        <v>1530</v>
      </c>
      <c r="AR1334" t="s">
        <v>1655</v>
      </c>
      <c r="AT1334" t="s">
        <v>987</v>
      </c>
      <c r="AZ1334" t="s">
        <v>1182</v>
      </c>
      <c r="BA1334" t="s">
        <v>1185</v>
      </c>
      <c r="BB1334" t="s">
        <v>1026</v>
      </c>
      <c r="BD1334" t="s">
        <v>1022</v>
      </c>
      <c r="BE1334" t="s">
        <v>350</v>
      </c>
    </row>
    <row r="1335" spans="1:57" ht="13" x14ac:dyDescent="0.15">
      <c r="A1335">
        <v>1839</v>
      </c>
      <c r="B1335">
        <v>119857509</v>
      </c>
      <c r="C1335" t="s">
        <v>350</v>
      </c>
      <c r="D1335" s="7">
        <v>42740</v>
      </c>
      <c r="E1335" s="7">
        <v>45703</v>
      </c>
      <c r="F1335">
        <v>330862</v>
      </c>
      <c r="G1335" t="s">
        <v>983</v>
      </c>
      <c r="H1335" t="s">
        <v>9</v>
      </c>
      <c r="I1335" s="7">
        <v>45641</v>
      </c>
      <c r="J1335" s="8">
        <v>0.71663194444444445</v>
      </c>
      <c r="K1335" t="s">
        <v>984</v>
      </c>
      <c r="AQ1335" t="s">
        <v>1530</v>
      </c>
      <c r="AR1335" t="s">
        <v>1019</v>
      </c>
      <c r="AT1335" t="s">
        <v>987</v>
      </c>
      <c r="AZ1335" t="s">
        <v>1020</v>
      </c>
      <c r="BA1335" t="s">
        <v>1021</v>
      </c>
      <c r="BB1335" t="s">
        <v>1018</v>
      </c>
      <c r="BD1335" t="s">
        <v>1022</v>
      </c>
      <c r="BE1335" t="s">
        <v>350</v>
      </c>
    </row>
    <row r="1336" spans="1:57" ht="13" x14ac:dyDescent="0.15">
      <c r="A1336">
        <v>1839</v>
      </c>
      <c r="B1336">
        <v>119857509</v>
      </c>
      <c r="C1336" t="s">
        <v>350</v>
      </c>
      <c r="D1336" s="7">
        <v>42740</v>
      </c>
      <c r="E1336" s="7">
        <v>45703</v>
      </c>
      <c r="F1336">
        <v>330862</v>
      </c>
      <c r="G1336" t="s">
        <v>983</v>
      </c>
      <c r="H1336" t="s">
        <v>9</v>
      </c>
      <c r="I1336" s="7">
        <v>45620</v>
      </c>
      <c r="J1336" s="8">
        <v>0.62193287037037037</v>
      </c>
      <c r="K1336" t="s">
        <v>984</v>
      </c>
      <c r="AQ1336" t="s">
        <v>1530</v>
      </c>
      <c r="AR1336" t="s">
        <v>1362</v>
      </c>
      <c r="AT1336" t="s">
        <v>987</v>
      </c>
      <c r="AZ1336" t="s">
        <v>1028</v>
      </c>
      <c r="BA1336" t="s">
        <v>1029</v>
      </c>
      <c r="BB1336" t="s">
        <v>1018</v>
      </c>
      <c r="BD1336" t="s">
        <v>1022</v>
      </c>
      <c r="BE1336" t="s">
        <v>350</v>
      </c>
    </row>
    <row r="1337" spans="1:57" ht="13" x14ac:dyDescent="0.15">
      <c r="A1337">
        <v>1839</v>
      </c>
      <c r="B1337">
        <v>119857509</v>
      </c>
      <c r="C1337" t="s">
        <v>350</v>
      </c>
      <c r="D1337" s="7">
        <v>42740</v>
      </c>
      <c r="E1337" s="7">
        <v>45703</v>
      </c>
      <c r="F1337">
        <v>330862</v>
      </c>
      <c r="G1337" t="s">
        <v>983</v>
      </c>
      <c r="H1337" t="s">
        <v>9</v>
      </c>
      <c r="I1337" s="7">
        <v>45618</v>
      </c>
      <c r="J1337" s="8">
        <v>0.81739583333333332</v>
      </c>
      <c r="K1337" t="s">
        <v>984</v>
      </c>
      <c r="AQ1337" t="s">
        <v>1530</v>
      </c>
      <c r="AR1337" t="s">
        <v>1362</v>
      </c>
      <c r="AT1337" t="s">
        <v>987</v>
      </c>
      <c r="AZ1337" t="s">
        <v>1028</v>
      </c>
      <c r="BA1337" t="s">
        <v>1029</v>
      </c>
      <c r="BB1337" t="s">
        <v>1018</v>
      </c>
      <c r="BD1337" t="s">
        <v>1022</v>
      </c>
      <c r="BE1337" t="s">
        <v>350</v>
      </c>
    </row>
    <row r="1338" spans="1:57" ht="13" x14ac:dyDescent="0.15">
      <c r="A1338">
        <v>1839</v>
      </c>
      <c r="B1338">
        <v>119857509</v>
      </c>
      <c r="C1338" t="s">
        <v>350</v>
      </c>
      <c r="D1338" s="7">
        <v>42740</v>
      </c>
      <c r="E1338" s="7">
        <v>45703</v>
      </c>
      <c r="F1338">
        <v>330862</v>
      </c>
      <c r="G1338" t="s">
        <v>983</v>
      </c>
      <c r="H1338" t="s">
        <v>9</v>
      </c>
      <c r="I1338" s="7">
        <v>45618</v>
      </c>
      <c r="J1338" s="8">
        <v>0.81811342592592595</v>
      </c>
      <c r="K1338" t="s">
        <v>984</v>
      </c>
      <c r="AQ1338" t="s">
        <v>1530</v>
      </c>
      <c r="AR1338" t="s">
        <v>1655</v>
      </c>
      <c r="AT1338" t="s">
        <v>987</v>
      </c>
      <c r="AZ1338" t="s">
        <v>1182</v>
      </c>
      <c r="BA1338" t="s">
        <v>1185</v>
      </c>
      <c r="BB1338" t="s">
        <v>1026</v>
      </c>
      <c r="BD1338" t="s">
        <v>1022</v>
      </c>
      <c r="BE1338" t="s">
        <v>350</v>
      </c>
    </row>
    <row r="1339" spans="1:57" ht="13" x14ac:dyDescent="0.15">
      <c r="A1339">
        <v>1839</v>
      </c>
      <c r="B1339">
        <v>120113464</v>
      </c>
      <c r="C1339" t="s">
        <v>351</v>
      </c>
      <c r="D1339" s="7">
        <v>42747</v>
      </c>
      <c r="E1339" s="7">
        <v>45711</v>
      </c>
      <c r="F1339">
        <v>330862</v>
      </c>
      <c r="G1339" t="s">
        <v>983</v>
      </c>
      <c r="H1339" t="s">
        <v>9</v>
      </c>
      <c r="I1339" s="7">
        <v>45642</v>
      </c>
      <c r="J1339" s="8">
        <v>0.76329861111111108</v>
      </c>
      <c r="K1339" t="s">
        <v>984</v>
      </c>
      <c r="AQ1339" t="s">
        <v>992</v>
      </c>
      <c r="AR1339" t="s">
        <v>1027</v>
      </c>
      <c r="AT1339" t="s">
        <v>987</v>
      </c>
      <c r="AZ1339" t="s">
        <v>1028</v>
      </c>
      <c r="BA1339" t="s">
        <v>1029</v>
      </c>
      <c r="BB1339" t="s">
        <v>1018</v>
      </c>
      <c r="BD1339" t="s">
        <v>1022</v>
      </c>
      <c r="BE1339" t="s">
        <v>351</v>
      </c>
    </row>
    <row r="1340" spans="1:57" ht="13" x14ac:dyDescent="0.15">
      <c r="A1340">
        <v>1839</v>
      </c>
      <c r="B1340">
        <v>120113464</v>
      </c>
      <c r="C1340" t="s">
        <v>351</v>
      </c>
      <c r="D1340" s="7">
        <v>42747</v>
      </c>
      <c r="E1340" s="7">
        <v>45711</v>
      </c>
      <c r="F1340">
        <v>330862</v>
      </c>
      <c r="G1340" t="s">
        <v>983</v>
      </c>
      <c r="H1340" t="s">
        <v>9</v>
      </c>
      <c r="I1340" s="7">
        <v>45711</v>
      </c>
      <c r="J1340" s="8">
        <v>0.79208333333333336</v>
      </c>
      <c r="K1340" t="s">
        <v>984</v>
      </c>
      <c r="AQ1340" t="s">
        <v>992</v>
      </c>
      <c r="AR1340" t="s">
        <v>1454</v>
      </c>
      <c r="AT1340" t="s">
        <v>987</v>
      </c>
      <c r="AZ1340" t="s">
        <v>1016</v>
      </c>
      <c r="BA1340" t="s">
        <v>1017</v>
      </c>
      <c r="BB1340" t="s">
        <v>1018</v>
      </c>
      <c r="BD1340" t="s">
        <v>991</v>
      </c>
      <c r="BE1340" t="s">
        <v>351</v>
      </c>
    </row>
    <row r="1341" spans="1:57" ht="13" x14ac:dyDescent="0.15">
      <c r="A1341">
        <v>1839</v>
      </c>
      <c r="B1341">
        <v>120113464</v>
      </c>
      <c r="C1341" t="s">
        <v>351</v>
      </c>
      <c r="D1341" s="7">
        <v>42747</v>
      </c>
      <c r="E1341" s="7">
        <v>45711</v>
      </c>
      <c r="F1341">
        <v>330862</v>
      </c>
      <c r="G1341" t="s">
        <v>983</v>
      </c>
      <c r="H1341" t="s">
        <v>9</v>
      </c>
      <c r="I1341" s="7">
        <v>45636</v>
      </c>
      <c r="J1341" s="8">
        <v>0.6334143518518518</v>
      </c>
      <c r="K1341" t="s">
        <v>984</v>
      </c>
      <c r="AQ1341" t="s">
        <v>992</v>
      </c>
      <c r="AR1341" t="s">
        <v>1208</v>
      </c>
      <c r="AT1341" t="s">
        <v>987</v>
      </c>
      <c r="AZ1341" t="s">
        <v>1011</v>
      </c>
      <c r="BA1341" t="s">
        <v>1031</v>
      </c>
      <c r="BB1341" t="s">
        <v>1032</v>
      </c>
      <c r="BD1341" t="s">
        <v>1005</v>
      </c>
      <c r="BE1341" t="s">
        <v>351</v>
      </c>
    </row>
    <row r="1342" spans="1:57" ht="13" x14ac:dyDescent="0.15">
      <c r="A1342">
        <v>1839</v>
      </c>
      <c r="B1342">
        <v>120113464</v>
      </c>
      <c r="C1342" t="s">
        <v>351</v>
      </c>
      <c r="D1342" s="7">
        <v>42747</v>
      </c>
      <c r="E1342" s="7">
        <v>45711</v>
      </c>
      <c r="F1342">
        <v>330862</v>
      </c>
      <c r="G1342" t="s">
        <v>983</v>
      </c>
      <c r="H1342" t="s">
        <v>9</v>
      </c>
      <c r="I1342" s="7">
        <v>45636</v>
      </c>
      <c r="J1342" s="8">
        <v>0.66453703703703704</v>
      </c>
      <c r="K1342" t="s">
        <v>984</v>
      </c>
      <c r="AQ1342" t="s">
        <v>992</v>
      </c>
      <c r="AR1342" t="s">
        <v>1404</v>
      </c>
      <c r="AT1342" t="s">
        <v>987</v>
      </c>
      <c r="AZ1342" t="s">
        <v>1239</v>
      </c>
      <c r="BA1342" t="s">
        <v>1281</v>
      </c>
      <c r="BB1342" t="s">
        <v>1026</v>
      </c>
      <c r="BD1342" t="s">
        <v>1022</v>
      </c>
      <c r="BE1342" t="s">
        <v>351</v>
      </c>
    </row>
    <row r="1343" spans="1:57" ht="13" x14ac:dyDescent="0.15">
      <c r="A1343">
        <v>1839</v>
      </c>
      <c r="B1343">
        <v>120113464</v>
      </c>
      <c r="C1343" t="s">
        <v>351</v>
      </c>
      <c r="D1343" s="7">
        <v>42747</v>
      </c>
      <c r="E1343" s="7">
        <v>45711</v>
      </c>
      <c r="F1343">
        <v>330862</v>
      </c>
      <c r="G1343" t="s">
        <v>983</v>
      </c>
      <c r="H1343" t="s">
        <v>9</v>
      </c>
      <c r="I1343" s="7">
        <v>45630</v>
      </c>
      <c r="J1343" s="8">
        <v>0.84627314814814814</v>
      </c>
      <c r="K1343" t="s">
        <v>984</v>
      </c>
      <c r="AQ1343" t="s">
        <v>992</v>
      </c>
      <c r="AR1343" t="s">
        <v>1656</v>
      </c>
      <c r="AT1343" t="s">
        <v>987</v>
      </c>
      <c r="AZ1343" t="s">
        <v>1239</v>
      </c>
      <c r="BA1343" t="s">
        <v>1281</v>
      </c>
      <c r="BB1343" t="s">
        <v>1026</v>
      </c>
      <c r="BD1343" t="s">
        <v>1022</v>
      </c>
      <c r="BE1343" t="s">
        <v>351</v>
      </c>
    </row>
    <row r="1344" spans="1:57" ht="13" x14ac:dyDescent="0.15">
      <c r="A1344">
        <v>1839</v>
      </c>
      <c r="B1344">
        <v>120113464</v>
      </c>
      <c r="C1344" t="s">
        <v>351</v>
      </c>
      <c r="D1344" s="7">
        <v>42747</v>
      </c>
      <c r="E1344" s="7">
        <v>45711</v>
      </c>
      <c r="F1344">
        <v>330862</v>
      </c>
      <c r="G1344" t="s">
        <v>983</v>
      </c>
      <c r="H1344" t="s">
        <v>9</v>
      </c>
      <c r="I1344" s="7">
        <v>45635</v>
      </c>
      <c r="J1344" s="8">
        <v>0.75143518518518515</v>
      </c>
      <c r="K1344" t="s">
        <v>984</v>
      </c>
      <c r="AQ1344" t="s">
        <v>992</v>
      </c>
      <c r="AR1344" t="s">
        <v>1132</v>
      </c>
      <c r="AT1344" t="s">
        <v>987</v>
      </c>
      <c r="AZ1344" t="s">
        <v>1002</v>
      </c>
      <c r="BA1344" t="s">
        <v>1124</v>
      </c>
      <c r="BB1344" t="s">
        <v>1125</v>
      </c>
      <c r="BD1344" t="s">
        <v>1005</v>
      </c>
      <c r="BE1344" t="s">
        <v>351</v>
      </c>
    </row>
    <row r="1345" spans="1:57" ht="13" x14ac:dyDescent="0.15">
      <c r="A1345">
        <v>1839</v>
      </c>
      <c r="B1345">
        <v>120113464</v>
      </c>
      <c r="C1345" t="s">
        <v>351</v>
      </c>
      <c r="D1345" s="7">
        <v>42747</v>
      </c>
      <c r="E1345" s="7">
        <v>45711</v>
      </c>
      <c r="F1345">
        <v>330862</v>
      </c>
      <c r="G1345" t="s">
        <v>983</v>
      </c>
      <c r="H1345" t="s">
        <v>9</v>
      </c>
      <c r="I1345" s="7">
        <v>45636</v>
      </c>
      <c r="J1345" s="8">
        <v>0.6281944444444445</v>
      </c>
      <c r="K1345" t="s">
        <v>984</v>
      </c>
      <c r="AQ1345" t="s">
        <v>992</v>
      </c>
      <c r="AR1345" t="s">
        <v>1208</v>
      </c>
      <c r="AT1345" t="s">
        <v>987</v>
      </c>
      <c r="AZ1345" t="s">
        <v>1011</v>
      </c>
      <c r="BA1345" t="s">
        <v>1031</v>
      </c>
      <c r="BB1345" t="s">
        <v>1032</v>
      </c>
      <c r="BD1345" t="s">
        <v>1005</v>
      </c>
      <c r="BE1345" t="s">
        <v>351</v>
      </c>
    </row>
    <row r="1346" spans="1:57" ht="13" x14ac:dyDescent="0.15">
      <c r="A1346">
        <v>1839</v>
      </c>
      <c r="B1346">
        <v>120113464</v>
      </c>
      <c r="C1346" t="s">
        <v>351</v>
      </c>
      <c r="D1346" s="7">
        <v>42747</v>
      </c>
      <c r="E1346" s="7">
        <v>45711</v>
      </c>
      <c r="F1346">
        <v>330862</v>
      </c>
      <c r="G1346" t="s">
        <v>983</v>
      </c>
      <c r="H1346" t="s">
        <v>9</v>
      </c>
      <c r="I1346" s="7">
        <v>45707</v>
      </c>
      <c r="J1346" s="8">
        <v>0.76905092592592594</v>
      </c>
      <c r="K1346" t="s">
        <v>984</v>
      </c>
      <c r="AQ1346" t="s">
        <v>992</v>
      </c>
      <c r="AR1346" t="s">
        <v>1657</v>
      </c>
      <c r="AT1346" t="s">
        <v>987</v>
      </c>
      <c r="AZ1346" t="s">
        <v>1080</v>
      </c>
      <c r="BA1346" t="s">
        <v>1081</v>
      </c>
      <c r="BB1346" t="s">
        <v>1082</v>
      </c>
      <c r="BD1346" t="s">
        <v>991</v>
      </c>
      <c r="BE1346" t="s">
        <v>351</v>
      </c>
    </row>
    <row r="1347" spans="1:57" ht="13" x14ac:dyDescent="0.15">
      <c r="A1347">
        <v>1839</v>
      </c>
      <c r="B1347">
        <v>120113464</v>
      </c>
      <c r="C1347" t="s">
        <v>351</v>
      </c>
      <c r="D1347" s="7">
        <v>42747</v>
      </c>
      <c r="E1347" s="7">
        <v>45711</v>
      </c>
      <c r="F1347">
        <v>330862</v>
      </c>
      <c r="G1347" t="s">
        <v>983</v>
      </c>
      <c r="H1347" t="s">
        <v>9</v>
      </c>
      <c r="I1347" s="7">
        <v>45679</v>
      </c>
      <c r="J1347" s="8">
        <v>0.65951388888888884</v>
      </c>
      <c r="K1347" t="s">
        <v>984</v>
      </c>
      <c r="AQ1347" t="s">
        <v>992</v>
      </c>
      <c r="AR1347" t="s">
        <v>1050</v>
      </c>
      <c r="AT1347" t="s">
        <v>987</v>
      </c>
      <c r="AZ1347" t="s">
        <v>1011</v>
      </c>
      <c r="BA1347" t="s">
        <v>1012</v>
      </c>
      <c r="BB1347" t="s">
        <v>1013</v>
      </c>
      <c r="BD1347" t="s">
        <v>1014</v>
      </c>
      <c r="BE1347" t="s">
        <v>351</v>
      </c>
    </row>
    <row r="1348" spans="1:57" ht="13" x14ac:dyDescent="0.15">
      <c r="A1348">
        <v>1839</v>
      </c>
      <c r="B1348">
        <v>120113464</v>
      </c>
      <c r="C1348" t="s">
        <v>351</v>
      </c>
      <c r="D1348" s="7">
        <v>42747</v>
      </c>
      <c r="E1348" s="7">
        <v>45711</v>
      </c>
      <c r="F1348">
        <v>330862</v>
      </c>
      <c r="G1348" t="s">
        <v>983</v>
      </c>
      <c r="H1348" t="s">
        <v>9</v>
      </c>
      <c r="I1348" s="7">
        <v>45667</v>
      </c>
      <c r="J1348" s="8">
        <v>0.80184027777777778</v>
      </c>
      <c r="K1348" t="s">
        <v>984</v>
      </c>
      <c r="AQ1348" t="s">
        <v>992</v>
      </c>
      <c r="AR1348" t="s">
        <v>1658</v>
      </c>
      <c r="AT1348" t="s">
        <v>987</v>
      </c>
      <c r="AZ1348" t="s">
        <v>1239</v>
      </c>
      <c r="BA1348" t="s">
        <v>1240</v>
      </c>
      <c r="BB1348" t="s">
        <v>1237</v>
      </c>
      <c r="BD1348" t="s">
        <v>1005</v>
      </c>
      <c r="BE1348" t="s">
        <v>351</v>
      </c>
    </row>
    <row r="1349" spans="1:57" ht="13" x14ac:dyDescent="0.15">
      <c r="A1349">
        <v>1839</v>
      </c>
      <c r="B1349">
        <v>120113464</v>
      </c>
      <c r="C1349" t="s">
        <v>351</v>
      </c>
      <c r="D1349" s="7">
        <v>42747</v>
      </c>
      <c r="E1349" s="7">
        <v>45711</v>
      </c>
      <c r="F1349">
        <v>330862</v>
      </c>
      <c r="G1349" t="s">
        <v>983</v>
      </c>
      <c r="H1349" t="s">
        <v>9</v>
      </c>
      <c r="I1349" s="7">
        <v>45667</v>
      </c>
      <c r="J1349" s="8">
        <v>0.63604166666666662</v>
      </c>
      <c r="K1349" t="s">
        <v>984</v>
      </c>
      <c r="AQ1349" t="s">
        <v>992</v>
      </c>
      <c r="AR1349" t="s">
        <v>1597</v>
      </c>
      <c r="AT1349" t="s">
        <v>987</v>
      </c>
      <c r="AZ1349" t="s">
        <v>1002</v>
      </c>
      <c r="BA1349" t="s">
        <v>1003</v>
      </c>
      <c r="BB1349" t="s">
        <v>1004</v>
      </c>
      <c r="BD1349" t="s">
        <v>1005</v>
      </c>
      <c r="BE1349" t="s">
        <v>351</v>
      </c>
    </row>
    <row r="1350" spans="1:57" ht="13" x14ac:dyDescent="0.15">
      <c r="A1350">
        <v>1839</v>
      </c>
      <c r="B1350">
        <v>120113464</v>
      </c>
      <c r="C1350" t="s">
        <v>351</v>
      </c>
      <c r="D1350" s="7">
        <v>42747</v>
      </c>
      <c r="E1350" s="7">
        <v>45711</v>
      </c>
      <c r="F1350">
        <v>330862</v>
      </c>
      <c r="G1350" t="s">
        <v>983</v>
      </c>
      <c r="H1350" t="s">
        <v>9</v>
      </c>
      <c r="I1350" s="7">
        <v>45665</v>
      </c>
      <c r="J1350" s="8">
        <v>0.72921296296296301</v>
      </c>
      <c r="K1350" t="s">
        <v>984</v>
      </c>
      <c r="AQ1350" t="s">
        <v>992</v>
      </c>
      <c r="AR1350" t="s">
        <v>1659</v>
      </c>
      <c r="AT1350" t="s">
        <v>987</v>
      </c>
      <c r="AZ1350" t="s">
        <v>1002</v>
      </c>
      <c r="BA1350" t="s">
        <v>1003</v>
      </c>
      <c r="BB1350" t="s">
        <v>1004</v>
      </c>
      <c r="BD1350" t="s">
        <v>1005</v>
      </c>
      <c r="BE1350" t="s">
        <v>351</v>
      </c>
    </row>
    <row r="1351" spans="1:57" ht="13" x14ac:dyDescent="0.15">
      <c r="A1351">
        <v>1839</v>
      </c>
      <c r="B1351">
        <v>120113464</v>
      </c>
      <c r="C1351" t="s">
        <v>351</v>
      </c>
      <c r="D1351" s="7">
        <v>42747</v>
      </c>
      <c r="E1351" s="7">
        <v>45711</v>
      </c>
      <c r="F1351">
        <v>330862</v>
      </c>
      <c r="G1351" t="s">
        <v>983</v>
      </c>
      <c r="H1351" t="s">
        <v>9</v>
      </c>
      <c r="I1351" s="7">
        <v>45637</v>
      </c>
      <c r="J1351" s="8">
        <v>0.68587962962962967</v>
      </c>
      <c r="K1351" t="s">
        <v>984</v>
      </c>
      <c r="AQ1351" t="s">
        <v>992</v>
      </c>
      <c r="AR1351" t="s">
        <v>1405</v>
      </c>
      <c r="AT1351" t="s">
        <v>987</v>
      </c>
      <c r="AZ1351" t="s">
        <v>1239</v>
      </c>
      <c r="BA1351" t="s">
        <v>1281</v>
      </c>
      <c r="BB1351" t="s">
        <v>1026</v>
      </c>
      <c r="BD1351" t="s">
        <v>1022</v>
      </c>
      <c r="BE1351" t="s">
        <v>351</v>
      </c>
    </row>
    <row r="1352" spans="1:57" ht="13" x14ac:dyDescent="0.15">
      <c r="A1352">
        <v>1839</v>
      </c>
      <c r="B1352">
        <v>120113464</v>
      </c>
      <c r="C1352" t="s">
        <v>351</v>
      </c>
      <c r="D1352" s="7">
        <v>42747</v>
      </c>
      <c r="E1352" s="7">
        <v>45711</v>
      </c>
      <c r="F1352">
        <v>330862</v>
      </c>
      <c r="G1352" t="s">
        <v>983</v>
      </c>
      <c r="H1352" t="s">
        <v>9</v>
      </c>
      <c r="I1352" s="7">
        <v>45637</v>
      </c>
      <c r="J1352" s="8">
        <v>0.69843750000000004</v>
      </c>
      <c r="K1352" t="s">
        <v>984</v>
      </c>
      <c r="AQ1352" t="s">
        <v>992</v>
      </c>
      <c r="AR1352" t="s">
        <v>1418</v>
      </c>
      <c r="AT1352" t="s">
        <v>987</v>
      </c>
      <c r="AZ1352" t="s">
        <v>1028</v>
      </c>
      <c r="BA1352" t="s">
        <v>1029</v>
      </c>
      <c r="BB1352" t="s">
        <v>1018</v>
      </c>
      <c r="BD1352" t="s">
        <v>1022</v>
      </c>
      <c r="BE1352" t="s">
        <v>351</v>
      </c>
    </row>
    <row r="1353" spans="1:57" ht="13" x14ac:dyDescent="0.15">
      <c r="A1353">
        <v>1839</v>
      </c>
      <c r="B1353">
        <v>120113464</v>
      </c>
      <c r="C1353" t="s">
        <v>351</v>
      </c>
      <c r="D1353" s="7">
        <v>42747</v>
      </c>
      <c r="E1353" s="7">
        <v>45711</v>
      </c>
      <c r="F1353">
        <v>330862</v>
      </c>
      <c r="G1353" t="s">
        <v>983</v>
      </c>
      <c r="H1353" t="s">
        <v>9</v>
      </c>
      <c r="I1353" s="7">
        <v>45640</v>
      </c>
      <c r="J1353" s="8">
        <v>0.6187731481481481</v>
      </c>
      <c r="K1353" t="s">
        <v>984</v>
      </c>
      <c r="AQ1353" t="s">
        <v>992</v>
      </c>
      <c r="AR1353" t="s">
        <v>1350</v>
      </c>
      <c r="AT1353" t="s">
        <v>987</v>
      </c>
      <c r="AZ1353" t="s">
        <v>1020</v>
      </c>
      <c r="BA1353" t="s">
        <v>1230</v>
      </c>
      <c r="BB1353" t="s">
        <v>1018</v>
      </c>
      <c r="BD1353" t="s">
        <v>1005</v>
      </c>
      <c r="BE1353" t="s">
        <v>351</v>
      </c>
    </row>
    <row r="1354" spans="1:57" ht="13" x14ac:dyDescent="0.15">
      <c r="A1354">
        <v>1839</v>
      </c>
      <c r="B1354">
        <v>120113464</v>
      </c>
      <c r="C1354" t="s">
        <v>351</v>
      </c>
      <c r="D1354" s="7">
        <v>42747</v>
      </c>
      <c r="E1354" s="7">
        <v>45711</v>
      </c>
      <c r="F1354">
        <v>330862</v>
      </c>
      <c r="G1354" t="s">
        <v>983</v>
      </c>
      <c r="H1354" t="s">
        <v>9</v>
      </c>
      <c r="I1354" s="7">
        <v>45640</v>
      </c>
      <c r="J1354" s="8">
        <v>0.66552083333333334</v>
      </c>
      <c r="K1354" t="s">
        <v>984</v>
      </c>
      <c r="AQ1354" t="s">
        <v>992</v>
      </c>
      <c r="AR1354" t="s">
        <v>1660</v>
      </c>
      <c r="AT1354" t="s">
        <v>987</v>
      </c>
      <c r="AZ1354" t="s">
        <v>1139</v>
      </c>
      <c r="BA1354" t="s">
        <v>1140</v>
      </c>
      <c r="BB1354" t="s">
        <v>1032</v>
      </c>
      <c r="BD1354" t="s">
        <v>1005</v>
      </c>
      <c r="BE1354" t="s">
        <v>351</v>
      </c>
    </row>
    <row r="1355" spans="1:57" ht="13" x14ac:dyDescent="0.15">
      <c r="A1355">
        <v>1839</v>
      </c>
      <c r="B1355">
        <v>120113464</v>
      </c>
      <c r="C1355" t="s">
        <v>351</v>
      </c>
      <c r="D1355" s="7">
        <v>42747</v>
      </c>
      <c r="E1355" s="7">
        <v>45711</v>
      </c>
      <c r="F1355">
        <v>330862</v>
      </c>
      <c r="G1355" t="s">
        <v>983</v>
      </c>
      <c r="H1355" t="s">
        <v>9</v>
      </c>
      <c r="I1355" s="7">
        <v>45672</v>
      </c>
      <c r="J1355" s="8">
        <v>0.76035879629629632</v>
      </c>
      <c r="K1355" t="s">
        <v>984</v>
      </c>
      <c r="AQ1355" t="s">
        <v>992</v>
      </c>
      <c r="AR1355" t="s">
        <v>1396</v>
      </c>
      <c r="AT1355" t="s">
        <v>987</v>
      </c>
      <c r="AZ1355" t="s">
        <v>1024</v>
      </c>
      <c r="BA1355" t="s">
        <v>1047</v>
      </c>
      <c r="BB1355" t="s">
        <v>1048</v>
      </c>
      <c r="BD1355" t="s">
        <v>1014</v>
      </c>
      <c r="BE1355" t="s">
        <v>351</v>
      </c>
    </row>
    <row r="1356" spans="1:57" ht="13" x14ac:dyDescent="0.15">
      <c r="A1356">
        <v>1839</v>
      </c>
      <c r="B1356">
        <v>120113464</v>
      </c>
      <c r="C1356" t="s">
        <v>351</v>
      </c>
      <c r="D1356" s="7">
        <v>42747</v>
      </c>
      <c r="E1356" s="7">
        <v>45711</v>
      </c>
      <c r="F1356">
        <v>330862</v>
      </c>
      <c r="G1356" t="s">
        <v>983</v>
      </c>
      <c r="H1356" t="s">
        <v>9</v>
      </c>
      <c r="I1356" s="7">
        <v>45672</v>
      </c>
      <c r="J1356" s="8">
        <v>0.79592592592592593</v>
      </c>
      <c r="K1356" t="s">
        <v>984</v>
      </c>
      <c r="AQ1356" t="s">
        <v>992</v>
      </c>
      <c r="AR1356" t="s">
        <v>1397</v>
      </c>
      <c r="AT1356" t="s">
        <v>987</v>
      </c>
      <c r="AZ1356" t="s">
        <v>1044</v>
      </c>
      <c r="BA1356" t="s">
        <v>1045</v>
      </c>
      <c r="BB1356" t="s">
        <v>990</v>
      </c>
      <c r="BD1356" t="s">
        <v>991</v>
      </c>
      <c r="BE1356" t="s">
        <v>351</v>
      </c>
    </row>
    <row r="1357" spans="1:57" ht="13" x14ac:dyDescent="0.15">
      <c r="A1357">
        <v>1839</v>
      </c>
      <c r="B1357">
        <v>120113464</v>
      </c>
      <c r="C1357" t="s">
        <v>351</v>
      </c>
      <c r="D1357" s="7">
        <v>42747</v>
      </c>
      <c r="E1357" s="7">
        <v>45711</v>
      </c>
      <c r="F1357">
        <v>330862</v>
      </c>
      <c r="G1357" t="s">
        <v>983</v>
      </c>
      <c r="H1357" t="s">
        <v>9</v>
      </c>
      <c r="I1357" s="7">
        <v>45658</v>
      </c>
      <c r="J1357" s="8">
        <v>0.83340277777777783</v>
      </c>
      <c r="K1357" t="s">
        <v>984</v>
      </c>
      <c r="AQ1357" t="s">
        <v>992</v>
      </c>
      <c r="AR1357" t="s">
        <v>1342</v>
      </c>
      <c r="AT1357" t="s">
        <v>987</v>
      </c>
      <c r="AZ1357" t="s">
        <v>1002</v>
      </c>
      <c r="BA1357" t="s">
        <v>1003</v>
      </c>
      <c r="BB1357" t="s">
        <v>1004</v>
      </c>
      <c r="BD1357" t="s">
        <v>1005</v>
      </c>
      <c r="BE1357" t="s">
        <v>351</v>
      </c>
    </row>
    <row r="1358" spans="1:57" ht="13" x14ac:dyDescent="0.15">
      <c r="A1358">
        <v>1839</v>
      </c>
      <c r="B1358">
        <v>120113464</v>
      </c>
      <c r="C1358" t="s">
        <v>351</v>
      </c>
      <c r="D1358" s="7">
        <v>42747</v>
      </c>
      <c r="E1358" s="7">
        <v>45711</v>
      </c>
      <c r="F1358">
        <v>330862</v>
      </c>
      <c r="G1358" t="s">
        <v>983</v>
      </c>
      <c r="H1358" t="s">
        <v>9</v>
      </c>
      <c r="I1358" s="7">
        <v>45659</v>
      </c>
      <c r="J1358" s="8">
        <v>0.68277777777777782</v>
      </c>
      <c r="K1358" t="s">
        <v>984</v>
      </c>
      <c r="AQ1358" t="s">
        <v>992</v>
      </c>
      <c r="AR1358" t="s">
        <v>1605</v>
      </c>
      <c r="AT1358" t="s">
        <v>987</v>
      </c>
      <c r="AZ1358" t="s">
        <v>1007</v>
      </c>
      <c r="BA1358" t="s">
        <v>1008</v>
      </c>
      <c r="BB1358" t="s">
        <v>990</v>
      </c>
      <c r="BD1358" t="s">
        <v>1005</v>
      </c>
      <c r="BE1358" t="s">
        <v>351</v>
      </c>
    </row>
    <row r="1359" spans="1:57" ht="13" x14ac:dyDescent="0.15">
      <c r="A1359">
        <v>1839</v>
      </c>
      <c r="B1359">
        <v>120113464</v>
      </c>
      <c r="C1359" t="s">
        <v>351</v>
      </c>
      <c r="D1359" s="7">
        <v>42747</v>
      </c>
      <c r="E1359" s="7">
        <v>45711</v>
      </c>
      <c r="F1359">
        <v>330862</v>
      </c>
      <c r="G1359" t="s">
        <v>983</v>
      </c>
      <c r="H1359" t="s">
        <v>9</v>
      </c>
      <c r="I1359" s="7">
        <v>45664</v>
      </c>
      <c r="J1359" s="8">
        <v>0.85359953703703706</v>
      </c>
      <c r="K1359" t="s">
        <v>984</v>
      </c>
      <c r="AQ1359" t="s">
        <v>992</v>
      </c>
      <c r="AR1359" t="s">
        <v>1661</v>
      </c>
      <c r="AT1359" t="s">
        <v>987</v>
      </c>
      <c r="AZ1359" t="s">
        <v>1028</v>
      </c>
      <c r="BA1359" t="s">
        <v>1236</v>
      </c>
      <c r="BB1359" t="s">
        <v>1237</v>
      </c>
      <c r="BD1359" t="s">
        <v>1005</v>
      </c>
      <c r="BE1359" t="s">
        <v>351</v>
      </c>
    </row>
    <row r="1360" spans="1:57" ht="13" x14ac:dyDescent="0.15">
      <c r="A1360">
        <v>1839</v>
      </c>
      <c r="B1360">
        <v>120113492</v>
      </c>
      <c r="C1360" t="s">
        <v>352</v>
      </c>
      <c r="D1360" s="7">
        <v>42747</v>
      </c>
      <c r="E1360" s="7">
        <v>45699</v>
      </c>
      <c r="F1360">
        <v>330862</v>
      </c>
      <c r="G1360" t="s">
        <v>983</v>
      </c>
      <c r="H1360" t="s">
        <v>9</v>
      </c>
      <c r="I1360" s="7">
        <v>45694</v>
      </c>
      <c r="J1360" s="8">
        <v>0.68043981481481486</v>
      </c>
      <c r="K1360" t="s">
        <v>984</v>
      </c>
      <c r="AQ1360" t="s">
        <v>1253</v>
      </c>
      <c r="AR1360" t="s">
        <v>1285</v>
      </c>
      <c r="AT1360" t="s">
        <v>987</v>
      </c>
      <c r="AZ1360" t="s">
        <v>988</v>
      </c>
      <c r="BA1360" t="s">
        <v>989</v>
      </c>
      <c r="BB1360" t="s">
        <v>990</v>
      </c>
      <c r="BD1360" t="s">
        <v>991</v>
      </c>
      <c r="BE1360" t="s">
        <v>352</v>
      </c>
    </row>
    <row r="1361" spans="1:57" ht="13" x14ac:dyDescent="0.15">
      <c r="A1361">
        <v>1839</v>
      </c>
      <c r="B1361">
        <v>120418912</v>
      </c>
      <c r="C1361" t="s">
        <v>353</v>
      </c>
      <c r="D1361" s="7">
        <v>42752</v>
      </c>
      <c r="E1361" s="7">
        <v>45694</v>
      </c>
      <c r="F1361">
        <v>330862</v>
      </c>
      <c r="G1361" t="s">
        <v>983</v>
      </c>
      <c r="H1361" t="s">
        <v>9</v>
      </c>
      <c r="I1361" s="7">
        <v>45694</v>
      </c>
      <c r="J1361" s="8">
        <v>0.38737268518518519</v>
      </c>
      <c r="K1361" t="s">
        <v>984</v>
      </c>
      <c r="AQ1361" t="s">
        <v>992</v>
      </c>
      <c r="AR1361" t="s">
        <v>986</v>
      </c>
      <c r="AT1361" t="s">
        <v>987</v>
      </c>
      <c r="AZ1361" t="s">
        <v>988</v>
      </c>
      <c r="BA1361" t="s">
        <v>989</v>
      </c>
      <c r="BB1361" t="s">
        <v>990</v>
      </c>
      <c r="BD1361" t="s">
        <v>991</v>
      </c>
      <c r="BE1361" t="s">
        <v>353</v>
      </c>
    </row>
    <row r="1362" spans="1:57" ht="13" x14ac:dyDescent="0.15">
      <c r="A1362">
        <v>1839</v>
      </c>
      <c r="B1362">
        <v>120578233</v>
      </c>
      <c r="C1362" t="s">
        <v>354</v>
      </c>
      <c r="D1362" s="7">
        <v>42756</v>
      </c>
      <c r="E1362" s="7">
        <v>45698</v>
      </c>
      <c r="F1362">
        <v>330862</v>
      </c>
      <c r="G1362" t="s">
        <v>983</v>
      </c>
      <c r="H1362" t="s">
        <v>9</v>
      </c>
      <c r="I1362" s="7">
        <v>45690</v>
      </c>
      <c r="J1362" s="8">
        <v>0.56623842592592588</v>
      </c>
      <c r="K1362" t="s">
        <v>984</v>
      </c>
      <c r="AQ1362" t="s">
        <v>992</v>
      </c>
      <c r="AR1362" t="s">
        <v>1269</v>
      </c>
      <c r="AT1362" t="s">
        <v>987</v>
      </c>
      <c r="AZ1362" t="s">
        <v>1011</v>
      </c>
      <c r="BA1362" t="s">
        <v>1012</v>
      </c>
      <c r="BB1362" t="s">
        <v>1013</v>
      </c>
      <c r="BD1362" t="s">
        <v>1014</v>
      </c>
      <c r="BE1362" t="s">
        <v>354</v>
      </c>
    </row>
    <row r="1363" spans="1:57" ht="13" x14ac:dyDescent="0.15">
      <c r="A1363">
        <v>1839</v>
      </c>
      <c r="B1363">
        <v>120680752</v>
      </c>
      <c r="C1363" t="s">
        <v>355</v>
      </c>
      <c r="D1363" s="7">
        <v>42760</v>
      </c>
      <c r="E1363" s="7">
        <v>45700</v>
      </c>
      <c r="F1363">
        <v>330862</v>
      </c>
      <c r="G1363" t="s">
        <v>983</v>
      </c>
      <c r="H1363" t="s">
        <v>9</v>
      </c>
      <c r="I1363" s="7">
        <v>45673</v>
      </c>
      <c r="J1363" s="8">
        <v>0.84662037037037041</v>
      </c>
      <c r="K1363" t="s">
        <v>984</v>
      </c>
      <c r="AQ1363" t="s">
        <v>1090</v>
      </c>
      <c r="AR1363" t="s">
        <v>1015</v>
      </c>
      <c r="AT1363" t="s">
        <v>987</v>
      </c>
      <c r="AZ1363" t="s">
        <v>1016</v>
      </c>
      <c r="BA1363" t="s">
        <v>1017</v>
      </c>
      <c r="BB1363" t="s">
        <v>1018</v>
      </c>
      <c r="BD1363" t="s">
        <v>991</v>
      </c>
      <c r="BE1363" t="s">
        <v>355</v>
      </c>
    </row>
    <row r="1364" spans="1:57" ht="13" x14ac:dyDescent="0.15">
      <c r="A1364">
        <v>1839</v>
      </c>
      <c r="B1364">
        <v>120680752</v>
      </c>
      <c r="C1364" t="s">
        <v>355</v>
      </c>
      <c r="D1364" s="7">
        <v>42760</v>
      </c>
      <c r="E1364" s="7">
        <v>45700</v>
      </c>
      <c r="F1364">
        <v>330862</v>
      </c>
      <c r="G1364" t="s">
        <v>983</v>
      </c>
      <c r="H1364" t="s">
        <v>9</v>
      </c>
      <c r="I1364" s="7">
        <v>45643</v>
      </c>
      <c r="J1364" s="8">
        <v>0.68862268518518521</v>
      </c>
      <c r="K1364" t="s">
        <v>984</v>
      </c>
      <c r="AQ1364" t="s">
        <v>1090</v>
      </c>
      <c r="AR1364" t="s">
        <v>1019</v>
      </c>
      <c r="AT1364" t="s">
        <v>987</v>
      </c>
      <c r="AZ1364" t="s">
        <v>1020</v>
      </c>
      <c r="BA1364" t="s">
        <v>1021</v>
      </c>
      <c r="BB1364" t="s">
        <v>1018</v>
      </c>
      <c r="BD1364" t="s">
        <v>1022</v>
      </c>
      <c r="BE1364" t="s">
        <v>355</v>
      </c>
    </row>
    <row r="1365" spans="1:57" ht="13" x14ac:dyDescent="0.15">
      <c r="A1365">
        <v>1839</v>
      </c>
      <c r="B1365">
        <v>120680752</v>
      </c>
      <c r="C1365" t="s">
        <v>355</v>
      </c>
      <c r="D1365" s="7">
        <v>42760</v>
      </c>
      <c r="E1365" s="7">
        <v>45700</v>
      </c>
      <c r="F1365">
        <v>330862</v>
      </c>
      <c r="G1365" t="s">
        <v>983</v>
      </c>
      <c r="H1365" t="s">
        <v>9</v>
      </c>
      <c r="I1365" s="7">
        <v>45636</v>
      </c>
      <c r="J1365" s="8">
        <v>0.41791666666666666</v>
      </c>
      <c r="K1365" t="s">
        <v>984</v>
      </c>
      <c r="AQ1365" t="s">
        <v>1090</v>
      </c>
      <c r="AR1365" t="s">
        <v>1096</v>
      </c>
      <c r="AT1365" t="s">
        <v>987</v>
      </c>
      <c r="AZ1365" t="s">
        <v>1011</v>
      </c>
      <c r="BA1365" t="s">
        <v>1031</v>
      </c>
      <c r="BB1365" t="s">
        <v>1032</v>
      </c>
      <c r="BD1365" t="s">
        <v>1005</v>
      </c>
      <c r="BE1365" t="s">
        <v>355</v>
      </c>
    </row>
    <row r="1366" spans="1:57" ht="13" x14ac:dyDescent="0.15">
      <c r="A1366">
        <v>1839</v>
      </c>
      <c r="B1366">
        <v>121280949</v>
      </c>
      <c r="C1366" t="s">
        <v>1662</v>
      </c>
      <c r="D1366" s="7">
        <v>42769</v>
      </c>
      <c r="E1366" s="7">
        <v>45650</v>
      </c>
      <c r="F1366">
        <v>330862</v>
      </c>
      <c r="G1366" t="s">
        <v>983</v>
      </c>
      <c r="H1366" t="s">
        <v>9</v>
      </c>
      <c r="I1366" s="7">
        <v>45650</v>
      </c>
      <c r="J1366" s="8">
        <v>0.76982638888888888</v>
      </c>
      <c r="K1366" t="s">
        <v>984</v>
      </c>
      <c r="AQ1366" t="s">
        <v>992</v>
      </c>
      <c r="AR1366" t="s">
        <v>1304</v>
      </c>
      <c r="AT1366" t="s">
        <v>987</v>
      </c>
      <c r="AZ1366" t="s">
        <v>988</v>
      </c>
      <c r="BA1366" t="s">
        <v>1058</v>
      </c>
      <c r="BB1366" t="s">
        <v>1018</v>
      </c>
      <c r="BD1366" t="s">
        <v>1005</v>
      </c>
      <c r="BE1366" t="s">
        <v>1662</v>
      </c>
    </row>
    <row r="1367" spans="1:57" ht="13" x14ac:dyDescent="0.15">
      <c r="A1367">
        <v>1839</v>
      </c>
      <c r="B1367">
        <v>121481416</v>
      </c>
      <c r="C1367" t="s">
        <v>356</v>
      </c>
      <c r="D1367" s="7">
        <v>42773</v>
      </c>
      <c r="E1367" s="7">
        <v>45713</v>
      </c>
      <c r="F1367">
        <v>330862</v>
      </c>
      <c r="G1367" t="s">
        <v>983</v>
      </c>
      <c r="H1367" t="s">
        <v>9</v>
      </c>
      <c r="I1367" s="7">
        <v>45694</v>
      </c>
      <c r="J1367" s="8">
        <v>0.37215277777777778</v>
      </c>
      <c r="K1367" t="s">
        <v>984</v>
      </c>
      <c r="AQ1367" t="s">
        <v>998</v>
      </c>
      <c r="AR1367" t="s">
        <v>1066</v>
      </c>
      <c r="AT1367" t="s">
        <v>987</v>
      </c>
      <c r="AZ1367" t="s">
        <v>988</v>
      </c>
      <c r="BA1367" t="s">
        <v>989</v>
      </c>
      <c r="BB1367" t="s">
        <v>990</v>
      </c>
      <c r="BD1367" t="s">
        <v>991</v>
      </c>
      <c r="BE1367" t="s">
        <v>356</v>
      </c>
    </row>
    <row r="1368" spans="1:57" ht="13" x14ac:dyDescent="0.15">
      <c r="A1368">
        <v>1839</v>
      </c>
      <c r="B1368">
        <v>121714432</v>
      </c>
      <c r="C1368" t="s">
        <v>357</v>
      </c>
      <c r="D1368" s="7">
        <v>42780</v>
      </c>
      <c r="E1368" s="7">
        <v>45694</v>
      </c>
      <c r="F1368">
        <v>330862</v>
      </c>
      <c r="G1368" t="s">
        <v>983</v>
      </c>
      <c r="H1368" t="s">
        <v>9</v>
      </c>
      <c r="I1368" s="7">
        <v>45694</v>
      </c>
      <c r="J1368" s="8">
        <v>0.40810185185185183</v>
      </c>
      <c r="K1368" t="s">
        <v>984</v>
      </c>
      <c r="AQ1368" t="s">
        <v>992</v>
      </c>
      <c r="AR1368" t="s">
        <v>993</v>
      </c>
      <c r="AT1368" t="s">
        <v>987</v>
      </c>
      <c r="AZ1368" t="s">
        <v>988</v>
      </c>
      <c r="BA1368" t="s">
        <v>989</v>
      </c>
      <c r="BB1368" t="s">
        <v>990</v>
      </c>
      <c r="BD1368" t="s">
        <v>991</v>
      </c>
      <c r="BE1368" t="s">
        <v>357</v>
      </c>
    </row>
    <row r="1369" spans="1:57" ht="13" x14ac:dyDescent="0.15">
      <c r="A1369">
        <v>1839</v>
      </c>
      <c r="B1369">
        <v>121714432</v>
      </c>
      <c r="C1369" t="s">
        <v>357</v>
      </c>
      <c r="D1369" s="7">
        <v>42780</v>
      </c>
      <c r="E1369" s="7">
        <v>45694</v>
      </c>
      <c r="F1369">
        <v>330862</v>
      </c>
      <c r="G1369" t="s">
        <v>983</v>
      </c>
      <c r="H1369" t="s">
        <v>9</v>
      </c>
      <c r="I1369" s="7">
        <v>45636</v>
      </c>
      <c r="J1369" s="8">
        <v>0.5970833333333333</v>
      </c>
      <c r="K1369" t="s">
        <v>984</v>
      </c>
      <c r="AQ1369" t="s">
        <v>992</v>
      </c>
      <c r="AR1369" t="s">
        <v>1096</v>
      </c>
      <c r="AT1369" t="s">
        <v>987</v>
      </c>
      <c r="AZ1369" t="s">
        <v>1011</v>
      </c>
      <c r="BA1369" t="s">
        <v>1031</v>
      </c>
      <c r="BB1369" t="s">
        <v>1032</v>
      </c>
      <c r="BD1369" t="s">
        <v>1005</v>
      </c>
      <c r="BE1369" t="s">
        <v>357</v>
      </c>
    </row>
    <row r="1370" spans="1:57" ht="13" x14ac:dyDescent="0.15">
      <c r="A1370">
        <v>1839</v>
      </c>
      <c r="B1370">
        <v>122173299</v>
      </c>
      <c r="C1370" t="s">
        <v>358</v>
      </c>
      <c r="D1370" s="7">
        <v>42791</v>
      </c>
      <c r="E1370" s="7">
        <v>45701</v>
      </c>
      <c r="F1370">
        <v>330862</v>
      </c>
      <c r="G1370" t="s">
        <v>983</v>
      </c>
      <c r="H1370" t="s">
        <v>9</v>
      </c>
      <c r="I1370" s="7">
        <v>45623</v>
      </c>
      <c r="J1370" s="8">
        <v>0.6121064814814815</v>
      </c>
      <c r="K1370" t="s">
        <v>984</v>
      </c>
      <c r="AQ1370" t="s">
        <v>985</v>
      </c>
      <c r="AR1370" t="s">
        <v>1053</v>
      </c>
      <c r="AT1370" t="s">
        <v>987</v>
      </c>
      <c r="AZ1370" t="s">
        <v>1055</v>
      </c>
      <c r="BA1370" t="s">
        <v>1056</v>
      </c>
      <c r="BB1370" t="s">
        <v>1013</v>
      </c>
      <c r="BD1370" t="s">
        <v>1022</v>
      </c>
      <c r="BE1370" t="s">
        <v>358</v>
      </c>
    </row>
    <row r="1371" spans="1:57" ht="13" x14ac:dyDescent="0.15">
      <c r="A1371">
        <v>1839</v>
      </c>
      <c r="B1371">
        <v>122173299</v>
      </c>
      <c r="C1371" t="s">
        <v>358</v>
      </c>
      <c r="D1371" s="7">
        <v>42791</v>
      </c>
      <c r="E1371" s="7">
        <v>45701</v>
      </c>
      <c r="F1371">
        <v>330862</v>
      </c>
      <c r="G1371" t="s">
        <v>983</v>
      </c>
      <c r="H1371" t="s">
        <v>9</v>
      </c>
      <c r="I1371" s="7">
        <v>45694</v>
      </c>
      <c r="J1371" s="8">
        <v>0.46141203703703704</v>
      </c>
      <c r="K1371" t="s">
        <v>984</v>
      </c>
      <c r="AQ1371" t="s">
        <v>985</v>
      </c>
      <c r="AR1371" t="s">
        <v>993</v>
      </c>
      <c r="AT1371" t="s">
        <v>987</v>
      </c>
      <c r="AZ1371" t="s">
        <v>988</v>
      </c>
      <c r="BA1371" t="s">
        <v>989</v>
      </c>
      <c r="BB1371" t="s">
        <v>990</v>
      </c>
      <c r="BD1371" t="s">
        <v>991</v>
      </c>
      <c r="BE1371" t="s">
        <v>358</v>
      </c>
    </row>
    <row r="1372" spans="1:57" ht="13" x14ac:dyDescent="0.15">
      <c r="A1372">
        <v>1839</v>
      </c>
      <c r="B1372">
        <v>122173299</v>
      </c>
      <c r="C1372" t="s">
        <v>358</v>
      </c>
      <c r="D1372" s="7">
        <v>42791</v>
      </c>
      <c r="E1372" s="7">
        <v>45701</v>
      </c>
      <c r="F1372">
        <v>330862</v>
      </c>
      <c r="G1372" t="s">
        <v>983</v>
      </c>
      <c r="H1372" t="s">
        <v>9</v>
      </c>
      <c r="I1372" s="7">
        <v>45694</v>
      </c>
      <c r="J1372" s="8">
        <v>0.57407407407407407</v>
      </c>
      <c r="K1372" t="s">
        <v>984</v>
      </c>
      <c r="AQ1372" t="s">
        <v>985</v>
      </c>
      <c r="AR1372" t="s">
        <v>1066</v>
      </c>
      <c r="AT1372" t="s">
        <v>987</v>
      </c>
      <c r="AZ1372" t="s">
        <v>988</v>
      </c>
      <c r="BA1372" t="s">
        <v>989</v>
      </c>
      <c r="BB1372" t="s">
        <v>990</v>
      </c>
      <c r="BD1372" t="s">
        <v>991</v>
      </c>
      <c r="BE1372" t="s">
        <v>358</v>
      </c>
    </row>
    <row r="1373" spans="1:57" ht="13" x14ac:dyDescent="0.15">
      <c r="A1373">
        <v>1839</v>
      </c>
      <c r="B1373">
        <v>122358189</v>
      </c>
      <c r="C1373" t="s">
        <v>359</v>
      </c>
      <c r="D1373" s="7">
        <v>42796</v>
      </c>
      <c r="E1373" s="7">
        <v>45696</v>
      </c>
      <c r="F1373">
        <v>330862</v>
      </c>
      <c r="G1373" t="s">
        <v>983</v>
      </c>
      <c r="H1373" t="s">
        <v>9</v>
      </c>
      <c r="I1373" s="7">
        <v>45679</v>
      </c>
      <c r="J1373" s="8">
        <v>0.89451388888888894</v>
      </c>
      <c r="K1373" t="s">
        <v>984</v>
      </c>
      <c r="AQ1373" t="s">
        <v>1089</v>
      </c>
      <c r="AR1373" t="s">
        <v>1050</v>
      </c>
      <c r="AT1373" t="s">
        <v>987</v>
      </c>
      <c r="AZ1373" t="s">
        <v>1011</v>
      </c>
      <c r="BA1373" t="s">
        <v>1012</v>
      </c>
      <c r="BB1373" t="s">
        <v>1013</v>
      </c>
      <c r="BD1373" t="s">
        <v>1014</v>
      </c>
      <c r="BE1373" t="s">
        <v>359</v>
      </c>
    </row>
    <row r="1374" spans="1:57" ht="13" x14ac:dyDescent="0.15">
      <c r="A1374">
        <v>1839</v>
      </c>
      <c r="B1374">
        <v>122524473</v>
      </c>
      <c r="C1374" t="s">
        <v>360</v>
      </c>
      <c r="D1374" s="7">
        <v>42800</v>
      </c>
      <c r="E1374" s="7">
        <v>45692</v>
      </c>
      <c r="F1374">
        <v>330862</v>
      </c>
      <c r="G1374" t="s">
        <v>983</v>
      </c>
      <c r="H1374" t="s">
        <v>9</v>
      </c>
      <c r="I1374" s="7">
        <v>45673</v>
      </c>
      <c r="J1374" s="8">
        <v>0.3338888888888889</v>
      </c>
      <c r="K1374" t="s">
        <v>984</v>
      </c>
      <c r="AQ1374" t="s">
        <v>1090</v>
      </c>
      <c r="AR1374" t="s">
        <v>1663</v>
      </c>
      <c r="AT1374" t="s">
        <v>987</v>
      </c>
      <c r="AZ1374" t="s">
        <v>1016</v>
      </c>
      <c r="BA1374" t="s">
        <v>1017</v>
      </c>
      <c r="BB1374" t="s">
        <v>1018</v>
      </c>
      <c r="BD1374" t="s">
        <v>991</v>
      </c>
      <c r="BE1374" t="s">
        <v>360</v>
      </c>
    </row>
    <row r="1375" spans="1:57" ht="13" x14ac:dyDescent="0.15">
      <c r="A1375">
        <v>1839</v>
      </c>
      <c r="B1375">
        <v>122626488</v>
      </c>
      <c r="C1375" t="s">
        <v>361</v>
      </c>
      <c r="D1375" s="7">
        <v>42802</v>
      </c>
      <c r="E1375" s="7">
        <v>45700</v>
      </c>
      <c r="F1375">
        <v>330862</v>
      </c>
      <c r="G1375" t="s">
        <v>983</v>
      </c>
      <c r="H1375" t="s">
        <v>9</v>
      </c>
      <c r="I1375" s="7">
        <v>45694</v>
      </c>
      <c r="J1375" s="8">
        <v>0.81086805555555552</v>
      </c>
      <c r="K1375" t="s">
        <v>984</v>
      </c>
      <c r="AQ1375" t="s">
        <v>992</v>
      </c>
      <c r="AR1375" t="s">
        <v>986</v>
      </c>
      <c r="AT1375" t="s">
        <v>987</v>
      </c>
      <c r="AZ1375" t="s">
        <v>988</v>
      </c>
      <c r="BA1375" t="s">
        <v>989</v>
      </c>
      <c r="BB1375" t="s">
        <v>990</v>
      </c>
      <c r="BD1375" t="s">
        <v>991</v>
      </c>
      <c r="BE1375" t="s">
        <v>361</v>
      </c>
    </row>
    <row r="1376" spans="1:57" ht="13" x14ac:dyDescent="0.15">
      <c r="A1376">
        <v>1839</v>
      </c>
      <c r="B1376">
        <v>123194952</v>
      </c>
      <c r="C1376" t="s">
        <v>362</v>
      </c>
      <c r="D1376" s="7">
        <v>42814</v>
      </c>
      <c r="E1376" s="7">
        <v>45696</v>
      </c>
      <c r="F1376">
        <v>330862</v>
      </c>
      <c r="G1376" t="s">
        <v>983</v>
      </c>
      <c r="H1376" t="s">
        <v>9</v>
      </c>
      <c r="I1376" s="7">
        <v>45694</v>
      </c>
      <c r="J1376" s="8">
        <v>0.81201388888888892</v>
      </c>
      <c r="K1376" t="s">
        <v>984</v>
      </c>
      <c r="AQ1376" t="s">
        <v>1090</v>
      </c>
      <c r="AR1376" t="s">
        <v>986</v>
      </c>
      <c r="AT1376" t="s">
        <v>987</v>
      </c>
      <c r="AZ1376" t="s">
        <v>988</v>
      </c>
      <c r="BA1376" t="s">
        <v>989</v>
      </c>
      <c r="BB1376" t="s">
        <v>990</v>
      </c>
      <c r="BD1376" t="s">
        <v>991</v>
      </c>
      <c r="BE1376" t="s">
        <v>362</v>
      </c>
    </row>
    <row r="1377" spans="1:57" ht="13" x14ac:dyDescent="0.15">
      <c r="A1377">
        <v>1839</v>
      </c>
      <c r="B1377">
        <v>123215564</v>
      </c>
      <c r="C1377" t="s">
        <v>363</v>
      </c>
      <c r="D1377" s="7">
        <v>42814</v>
      </c>
      <c r="E1377" s="7">
        <v>45673</v>
      </c>
      <c r="F1377">
        <v>330862</v>
      </c>
      <c r="G1377" t="s">
        <v>983</v>
      </c>
      <c r="H1377" t="s">
        <v>9</v>
      </c>
      <c r="I1377" s="7">
        <v>45673</v>
      </c>
      <c r="J1377" s="8">
        <v>0.75773148148148151</v>
      </c>
      <c r="K1377" t="s">
        <v>984</v>
      </c>
      <c r="AQ1377" t="s">
        <v>1251</v>
      </c>
      <c r="AR1377" t="s">
        <v>1557</v>
      </c>
      <c r="AT1377" t="s">
        <v>987</v>
      </c>
      <c r="AZ1377" t="s">
        <v>1016</v>
      </c>
      <c r="BA1377" t="s">
        <v>1017</v>
      </c>
      <c r="BB1377" t="s">
        <v>1018</v>
      </c>
      <c r="BD1377" t="s">
        <v>991</v>
      </c>
      <c r="BE1377" t="s">
        <v>363</v>
      </c>
    </row>
    <row r="1378" spans="1:57" ht="13" x14ac:dyDescent="0.15">
      <c r="A1378">
        <v>1839</v>
      </c>
      <c r="B1378">
        <v>124050476</v>
      </c>
      <c r="C1378" t="s">
        <v>364</v>
      </c>
      <c r="D1378" s="7">
        <v>42832</v>
      </c>
      <c r="E1378" s="7">
        <v>45696</v>
      </c>
      <c r="F1378">
        <v>330862</v>
      </c>
      <c r="G1378" t="s">
        <v>983</v>
      </c>
      <c r="H1378" t="s">
        <v>9</v>
      </c>
      <c r="I1378" s="7">
        <v>45696</v>
      </c>
      <c r="J1378" s="8">
        <v>0.30900462962962966</v>
      </c>
      <c r="K1378" t="s">
        <v>984</v>
      </c>
      <c r="AQ1378" t="s">
        <v>1090</v>
      </c>
      <c r="AR1378" t="s">
        <v>994</v>
      </c>
      <c r="AT1378" t="s">
        <v>987</v>
      </c>
      <c r="AZ1378" t="s">
        <v>1011</v>
      </c>
      <c r="BA1378" t="s">
        <v>1012</v>
      </c>
      <c r="BB1378" t="s">
        <v>1013</v>
      </c>
      <c r="BD1378" t="s">
        <v>1014</v>
      </c>
      <c r="BE1378" t="s">
        <v>364</v>
      </c>
    </row>
    <row r="1379" spans="1:57" ht="13" x14ac:dyDescent="0.15">
      <c r="A1379">
        <v>1839</v>
      </c>
      <c r="B1379">
        <v>124091599</v>
      </c>
      <c r="C1379" t="s">
        <v>365</v>
      </c>
      <c r="D1379" s="7">
        <v>42832</v>
      </c>
      <c r="E1379" s="7">
        <v>45694</v>
      </c>
      <c r="F1379">
        <v>330862</v>
      </c>
      <c r="G1379" t="s">
        <v>983</v>
      </c>
      <c r="H1379" t="s">
        <v>9</v>
      </c>
      <c r="I1379" s="7">
        <v>45680</v>
      </c>
      <c r="J1379" s="8">
        <v>0.93440972222222218</v>
      </c>
      <c r="K1379" t="s">
        <v>984</v>
      </c>
      <c r="AQ1379" t="s">
        <v>985</v>
      </c>
      <c r="AR1379" t="s">
        <v>1664</v>
      </c>
      <c r="AT1379" t="s">
        <v>987</v>
      </c>
      <c r="AZ1379" t="s">
        <v>1028</v>
      </c>
      <c r="BA1379" t="s">
        <v>1029</v>
      </c>
      <c r="BB1379" t="s">
        <v>1018</v>
      </c>
      <c r="BD1379" t="s">
        <v>1022</v>
      </c>
      <c r="BE1379" t="s">
        <v>365</v>
      </c>
    </row>
    <row r="1380" spans="1:57" ht="13" x14ac:dyDescent="0.15">
      <c r="A1380">
        <v>1839</v>
      </c>
      <c r="B1380">
        <v>124091599</v>
      </c>
      <c r="C1380" t="s">
        <v>365</v>
      </c>
      <c r="D1380" s="7">
        <v>42832</v>
      </c>
      <c r="E1380" s="7">
        <v>45694</v>
      </c>
      <c r="F1380">
        <v>330862</v>
      </c>
      <c r="G1380" t="s">
        <v>983</v>
      </c>
      <c r="H1380" t="s">
        <v>9</v>
      </c>
      <c r="I1380" s="7">
        <v>45694</v>
      </c>
      <c r="J1380" s="8">
        <v>0.71487268518518521</v>
      </c>
      <c r="K1380" t="s">
        <v>984</v>
      </c>
      <c r="AQ1380" t="s">
        <v>985</v>
      </c>
      <c r="AR1380" t="s">
        <v>993</v>
      </c>
      <c r="AT1380" t="s">
        <v>987</v>
      </c>
      <c r="AZ1380" t="s">
        <v>988</v>
      </c>
      <c r="BA1380" t="s">
        <v>989</v>
      </c>
      <c r="BB1380" t="s">
        <v>990</v>
      </c>
      <c r="BD1380" t="s">
        <v>991</v>
      </c>
      <c r="BE1380" t="s">
        <v>365</v>
      </c>
    </row>
    <row r="1381" spans="1:57" ht="13" x14ac:dyDescent="0.15">
      <c r="A1381">
        <v>1839</v>
      </c>
      <c r="B1381">
        <v>124091599</v>
      </c>
      <c r="C1381" t="s">
        <v>365</v>
      </c>
      <c r="D1381" s="7">
        <v>42832</v>
      </c>
      <c r="E1381" s="7">
        <v>45694</v>
      </c>
      <c r="F1381">
        <v>330862</v>
      </c>
      <c r="G1381" t="s">
        <v>983</v>
      </c>
      <c r="H1381" t="s">
        <v>9</v>
      </c>
      <c r="I1381" s="7">
        <v>45687</v>
      </c>
      <c r="J1381" s="8">
        <v>0.56178240740740737</v>
      </c>
      <c r="K1381" t="s">
        <v>984</v>
      </c>
      <c r="AQ1381" t="s">
        <v>985</v>
      </c>
      <c r="AR1381" t="s">
        <v>1665</v>
      </c>
      <c r="AT1381" t="s">
        <v>987</v>
      </c>
      <c r="AZ1381" t="s">
        <v>1490</v>
      </c>
      <c r="BA1381" t="s">
        <v>1491</v>
      </c>
      <c r="BB1381" t="s">
        <v>1136</v>
      </c>
      <c r="BD1381" t="s">
        <v>1005</v>
      </c>
      <c r="BE1381" t="s">
        <v>365</v>
      </c>
    </row>
    <row r="1382" spans="1:57" ht="13" x14ac:dyDescent="0.15">
      <c r="A1382">
        <v>1839</v>
      </c>
      <c r="B1382">
        <v>124091599</v>
      </c>
      <c r="C1382" t="s">
        <v>365</v>
      </c>
      <c r="D1382" s="7">
        <v>42832</v>
      </c>
      <c r="E1382" s="7">
        <v>45694</v>
      </c>
      <c r="F1382">
        <v>330862</v>
      </c>
      <c r="G1382" t="s">
        <v>983</v>
      </c>
      <c r="H1382" t="s">
        <v>9</v>
      </c>
      <c r="I1382" s="7">
        <v>45684</v>
      </c>
      <c r="J1382" s="8">
        <v>0.85646990740740736</v>
      </c>
      <c r="K1382" t="s">
        <v>984</v>
      </c>
      <c r="AQ1382" t="s">
        <v>985</v>
      </c>
      <c r="AR1382" t="s">
        <v>1666</v>
      </c>
      <c r="AT1382" t="s">
        <v>987</v>
      </c>
      <c r="AZ1382" t="s">
        <v>1493</v>
      </c>
      <c r="BA1382" t="s">
        <v>1494</v>
      </c>
      <c r="BB1382" t="s">
        <v>1495</v>
      </c>
      <c r="BD1382" t="s">
        <v>1005</v>
      </c>
      <c r="BE1382" t="s">
        <v>365</v>
      </c>
    </row>
    <row r="1383" spans="1:57" ht="13" x14ac:dyDescent="0.15">
      <c r="A1383">
        <v>1839</v>
      </c>
      <c r="B1383">
        <v>124091599</v>
      </c>
      <c r="C1383" t="s">
        <v>365</v>
      </c>
      <c r="D1383" s="7">
        <v>42832</v>
      </c>
      <c r="E1383" s="7">
        <v>45694</v>
      </c>
      <c r="F1383">
        <v>330862</v>
      </c>
      <c r="G1383" t="s">
        <v>983</v>
      </c>
      <c r="H1383" t="s">
        <v>9</v>
      </c>
      <c r="I1383" s="7">
        <v>45675</v>
      </c>
      <c r="J1383" s="8">
        <v>0.94449074074074069</v>
      </c>
      <c r="K1383" t="s">
        <v>984</v>
      </c>
      <c r="AQ1383" t="s">
        <v>985</v>
      </c>
      <c r="AR1383" t="s">
        <v>1545</v>
      </c>
      <c r="AT1383" t="s">
        <v>987</v>
      </c>
      <c r="AZ1383" t="s">
        <v>1182</v>
      </c>
      <c r="BA1383" t="s">
        <v>1188</v>
      </c>
      <c r="BB1383" t="s">
        <v>1013</v>
      </c>
      <c r="BD1383" t="s">
        <v>1005</v>
      </c>
      <c r="BE1383" t="s">
        <v>365</v>
      </c>
    </row>
    <row r="1384" spans="1:57" ht="13" x14ac:dyDescent="0.15">
      <c r="A1384">
        <v>1839</v>
      </c>
      <c r="B1384">
        <v>124091599</v>
      </c>
      <c r="C1384" t="s">
        <v>365</v>
      </c>
      <c r="D1384" s="7">
        <v>42832</v>
      </c>
      <c r="E1384" s="7">
        <v>45694</v>
      </c>
      <c r="F1384">
        <v>330862</v>
      </c>
      <c r="G1384" t="s">
        <v>983</v>
      </c>
      <c r="H1384" t="s">
        <v>9</v>
      </c>
      <c r="I1384" s="7">
        <v>45675</v>
      </c>
      <c r="J1384" s="8">
        <v>0.94325231481481486</v>
      </c>
      <c r="K1384" t="s">
        <v>984</v>
      </c>
      <c r="AQ1384" t="s">
        <v>985</v>
      </c>
      <c r="AR1384" t="s">
        <v>1544</v>
      </c>
      <c r="AT1384" t="s">
        <v>987</v>
      </c>
      <c r="AZ1384" t="s">
        <v>1139</v>
      </c>
      <c r="BA1384" t="s">
        <v>1140</v>
      </c>
      <c r="BB1384" t="s">
        <v>1032</v>
      </c>
      <c r="BD1384" t="s">
        <v>1005</v>
      </c>
      <c r="BE1384" t="s">
        <v>365</v>
      </c>
    </row>
    <row r="1385" spans="1:57" ht="13" x14ac:dyDescent="0.15">
      <c r="A1385">
        <v>1839</v>
      </c>
      <c r="B1385">
        <v>124091599</v>
      </c>
      <c r="C1385" t="s">
        <v>365</v>
      </c>
      <c r="D1385" s="7">
        <v>42832</v>
      </c>
      <c r="E1385" s="7">
        <v>45694</v>
      </c>
      <c r="F1385">
        <v>330862</v>
      </c>
      <c r="G1385" t="s">
        <v>983</v>
      </c>
      <c r="H1385" t="s">
        <v>9</v>
      </c>
      <c r="I1385" s="7">
        <v>45675</v>
      </c>
      <c r="J1385" s="8">
        <v>0.8958680555555556</v>
      </c>
      <c r="K1385" t="s">
        <v>984</v>
      </c>
      <c r="AQ1385" t="s">
        <v>985</v>
      </c>
      <c r="AR1385" t="s">
        <v>1229</v>
      </c>
      <c r="AT1385" t="s">
        <v>987</v>
      </c>
      <c r="AZ1385" t="s">
        <v>1020</v>
      </c>
      <c r="BA1385" t="s">
        <v>1230</v>
      </c>
      <c r="BB1385" t="s">
        <v>1018</v>
      </c>
      <c r="BD1385" t="s">
        <v>1005</v>
      </c>
      <c r="BE1385" t="s">
        <v>365</v>
      </c>
    </row>
    <row r="1386" spans="1:57" ht="13" x14ac:dyDescent="0.15">
      <c r="A1386">
        <v>1839</v>
      </c>
      <c r="B1386">
        <v>124091599</v>
      </c>
      <c r="C1386" t="s">
        <v>365</v>
      </c>
      <c r="D1386" s="7">
        <v>42832</v>
      </c>
      <c r="E1386" s="7">
        <v>45694</v>
      </c>
      <c r="F1386">
        <v>330862</v>
      </c>
      <c r="G1386" t="s">
        <v>983</v>
      </c>
      <c r="H1386" t="s">
        <v>9</v>
      </c>
      <c r="I1386" s="7">
        <v>45675</v>
      </c>
      <c r="J1386" s="8">
        <v>0.8947222222222222</v>
      </c>
      <c r="K1386" t="s">
        <v>984</v>
      </c>
      <c r="AQ1386" t="s">
        <v>985</v>
      </c>
      <c r="AR1386" t="s">
        <v>1232</v>
      </c>
      <c r="AT1386" t="s">
        <v>987</v>
      </c>
      <c r="AZ1386" t="s">
        <v>1071</v>
      </c>
      <c r="BA1386" t="s">
        <v>1072</v>
      </c>
      <c r="BB1386" t="s">
        <v>1048</v>
      </c>
      <c r="BD1386" t="s">
        <v>1005</v>
      </c>
      <c r="BE1386" t="s">
        <v>365</v>
      </c>
    </row>
    <row r="1387" spans="1:57" ht="13" x14ac:dyDescent="0.15">
      <c r="A1387">
        <v>1839</v>
      </c>
      <c r="B1387">
        <v>124091599</v>
      </c>
      <c r="C1387" t="s">
        <v>365</v>
      </c>
      <c r="D1387" s="7">
        <v>42832</v>
      </c>
      <c r="E1387" s="7">
        <v>45694</v>
      </c>
      <c r="F1387">
        <v>330862</v>
      </c>
      <c r="G1387" t="s">
        <v>983</v>
      </c>
      <c r="H1387" t="s">
        <v>9</v>
      </c>
      <c r="I1387" s="7">
        <v>45675</v>
      </c>
      <c r="J1387" s="8">
        <v>0.89291666666666669</v>
      </c>
      <c r="K1387" t="s">
        <v>984</v>
      </c>
      <c r="AQ1387" t="s">
        <v>985</v>
      </c>
      <c r="AR1387" t="s">
        <v>1200</v>
      </c>
      <c r="AT1387" t="s">
        <v>987</v>
      </c>
      <c r="AZ1387" t="s">
        <v>1028</v>
      </c>
      <c r="BA1387" t="s">
        <v>1068</v>
      </c>
      <c r="BB1387" t="s">
        <v>1069</v>
      </c>
      <c r="BD1387" t="s">
        <v>1005</v>
      </c>
      <c r="BE1387" t="s">
        <v>365</v>
      </c>
    </row>
    <row r="1388" spans="1:57" ht="13" x14ac:dyDescent="0.15">
      <c r="A1388">
        <v>1839</v>
      </c>
      <c r="B1388">
        <v>124091599</v>
      </c>
      <c r="C1388" t="s">
        <v>365</v>
      </c>
      <c r="D1388" s="7">
        <v>42832</v>
      </c>
      <c r="E1388" s="7">
        <v>45694</v>
      </c>
      <c r="F1388">
        <v>330862</v>
      </c>
      <c r="G1388" t="s">
        <v>983</v>
      </c>
      <c r="H1388" t="s">
        <v>9</v>
      </c>
      <c r="I1388" s="7">
        <v>45675</v>
      </c>
      <c r="J1388" s="8">
        <v>0.8909259259259259</v>
      </c>
      <c r="K1388" t="s">
        <v>984</v>
      </c>
      <c r="AQ1388" t="s">
        <v>985</v>
      </c>
      <c r="AR1388" t="s">
        <v>1095</v>
      </c>
      <c r="AT1388" t="s">
        <v>987</v>
      </c>
      <c r="AZ1388" t="s">
        <v>1002</v>
      </c>
      <c r="BA1388" t="s">
        <v>1003</v>
      </c>
      <c r="BB1388" t="s">
        <v>1004</v>
      </c>
      <c r="BD1388" t="s">
        <v>1005</v>
      </c>
      <c r="BE1388" t="s">
        <v>365</v>
      </c>
    </row>
    <row r="1389" spans="1:57" ht="13" x14ac:dyDescent="0.15">
      <c r="A1389">
        <v>1839</v>
      </c>
      <c r="B1389">
        <v>124091599</v>
      </c>
      <c r="C1389" t="s">
        <v>365</v>
      </c>
      <c r="D1389" s="7">
        <v>42832</v>
      </c>
      <c r="E1389" s="7">
        <v>45694</v>
      </c>
      <c r="F1389">
        <v>330862</v>
      </c>
      <c r="G1389" t="s">
        <v>983</v>
      </c>
      <c r="H1389" t="s">
        <v>9</v>
      </c>
      <c r="I1389" s="7">
        <v>45675</v>
      </c>
      <c r="J1389" s="8">
        <v>0.89048611111111109</v>
      </c>
      <c r="K1389" t="s">
        <v>984</v>
      </c>
      <c r="AQ1389" t="s">
        <v>985</v>
      </c>
      <c r="AR1389" t="s">
        <v>1201</v>
      </c>
      <c r="AT1389" t="s">
        <v>987</v>
      </c>
      <c r="AZ1389" t="s">
        <v>1011</v>
      </c>
      <c r="BA1389" t="s">
        <v>1202</v>
      </c>
      <c r="BB1389" t="s">
        <v>1203</v>
      </c>
      <c r="BD1389" t="s">
        <v>991</v>
      </c>
      <c r="BE1389" t="s">
        <v>365</v>
      </c>
    </row>
    <row r="1390" spans="1:57" ht="13" x14ac:dyDescent="0.15">
      <c r="A1390">
        <v>1839</v>
      </c>
      <c r="B1390">
        <v>124091599</v>
      </c>
      <c r="C1390" t="s">
        <v>365</v>
      </c>
      <c r="D1390" s="7">
        <v>42832</v>
      </c>
      <c r="E1390" s="7">
        <v>45694</v>
      </c>
      <c r="F1390">
        <v>330862</v>
      </c>
      <c r="G1390" t="s">
        <v>983</v>
      </c>
      <c r="H1390" t="s">
        <v>9</v>
      </c>
      <c r="I1390" s="7">
        <v>45675</v>
      </c>
      <c r="J1390" s="8">
        <v>0.88847222222222222</v>
      </c>
      <c r="K1390" t="s">
        <v>984</v>
      </c>
      <c r="AQ1390" t="s">
        <v>985</v>
      </c>
      <c r="AR1390" t="s">
        <v>1105</v>
      </c>
      <c r="AT1390" t="s">
        <v>987</v>
      </c>
      <c r="AZ1390" t="s">
        <v>1044</v>
      </c>
      <c r="BA1390" t="s">
        <v>1045</v>
      </c>
      <c r="BB1390" t="s">
        <v>990</v>
      </c>
      <c r="BD1390" t="s">
        <v>991</v>
      </c>
      <c r="BE1390" t="s">
        <v>365</v>
      </c>
    </row>
    <row r="1391" spans="1:57" ht="13" x14ac:dyDescent="0.15">
      <c r="A1391">
        <v>1839</v>
      </c>
      <c r="B1391">
        <v>124091599</v>
      </c>
      <c r="C1391" t="s">
        <v>365</v>
      </c>
      <c r="D1391" s="7">
        <v>42832</v>
      </c>
      <c r="E1391" s="7">
        <v>45694</v>
      </c>
      <c r="F1391">
        <v>330862</v>
      </c>
      <c r="G1391" t="s">
        <v>983</v>
      </c>
      <c r="H1391" t="s">
        <v>9</v>
      </c>
      <c r="I1391" s="7">
        <v>45678</v>
      </c>
      <c r="J1391" s="8">
        <v>0.94980324074074074</v>
      </c>
      <c r="K1391" t="s">
        <v>984</v>
      </c>
      <c r="AQ1391" t="s">
        <v>985</v>
      </c>
      <c r="AR1391" t="s">
        <v>1464</v>
      </c>
      <c r="AT1391" t="s">
        <v>987</v>
      </c>
      <c r="AZ1391" t="s">
        <v>1020</v>
      </c>
      <c r="BA1391" t="s">
        <v>1021</v>
      </c>
      <c r="BB1391" t="s">
        <v>1018</v>
      </c>
      <c r="BD1391" t="s">
        <v>1022</v>
      </c>
      <c r="BE1391" t="s">
        <v>365</v>
      </c>
    </row>
    <row r="1392" spans="1:57" ht="13" x14ac:dyDescent="0.15">
      <c r="A1392">
        <v>1839</v>
      </c>
      <c r="B1392">
        <v>124091599</v>
      </c>
      <c r="C1392" t="s">
        <v>365</v>
      </c>
      <c r="D1392" s="7">
        <v>42832</v>
      </c>
      <c r="E1392" s="7">
        <v>45694</v>
      </c>
      <c r="F1392">
        <v>330862</v>
      </c>
      <c r="G1392" t="s">
        <v>983</v>
      </c>
      <c r="H1392" t="s">
        <v>9</v>
      </c>
      <c r="I1392" s="7">
        <v>45678</v>
      </c>
      <c r="J1392" s="8">
        <v>0.94739583333333333</v>
      </c>
      <c r="K1392" t="s">
        <v>984</v>
      </c>
      <c r="AQ1392" t="s">
        <v>985</v>
      </c>
      <c r="AR1392" t="s">
        <v>1667</v>
      </c>
      <c r="AT1392" t="s">
        <v>987</v>
      </c>
      <c r="AZ1392" t="s">
        <v>1002</v>
      </c>
      <c r="BA1392" t="s">
        <v>1124</v>
      </c>
      <c r="BB1392" t="s">
        <v>1125</v>
      </c>
      <c r="BD1392" t="s">
        <v>1005</v>
      </c>
      <c r="BE1392" t="s">
        <v>365</v>
      </c>
    </row>
    <row r="1393" spans="1:57" ht="13" x14ac:dyDescent="0.15">
      <c r="A1393">
        <v>1839</v>
      </c>
      <c r="B1393">
        <v>124091599</v>
      </c>
      <c r="C1393" t="s">
        <v>365</v>
      </c>
      <c r="D1393" s="7">
        <v>42832</v>
      </c>
      <c r="E1393" s="7">
        <v>45694</v>
      </c>
      <c r="F1393">
        <v>330862</v>
      </c>
      <c r="G1393" t="s">
        <v>983</v>
      </c>
      <c r="H1393" t="s">
        <v>9</v>
      </c>
      <c r="I1393" s="7">
        <v>45680</v>
      </c>
      <c r="J1393" s="8">
        <v>0.93687500000000001</v>
      </c>
      <c r="K1393" t="s">
        <v>984</v>
      </c>
      <c r="AQ1393" t="s">
        <v>985</v>
      </c>
      <c r="AR1393" t="s">
        <v>1668</v>
      </c>
      <c r="AT1393" t="s">
        <v>987</v>
      </c>
      <c r="AZ1393" t="s">
        <v>1182</v>
      </c>
      <c r="BA1393" t="s">
        <v>1185</v>
      </c>
      <c r="BB1393" t="s">
        <v>1026</v>
      </c>
      <c r="BD1393" t="s">
        <v>1022</v>
      </c>
      <c r="BE1393" t="s">
        <v>365</v>
      </c>
    </row>
    <row r="1394" spans="1:57" ht="13" x14ac:dyDescent="0.15">
      <c r="A1394">
        <v>1839</v>
      </c>
      <c r="B1394">
        <v>124091599</v>
      </c>
      <c r="C1394" t="s">
        <v>365</v>
      </c>
      <c r="D1394" s="7">
        <v>42832</v>
      </c>
      <c r="E1394" s="7">
        <v>45694</v>
      </c>
      <c r="F1394">
        <v>330862</v>
      </c>
      <c r="G1394" t="s">
        <v>983</v>
      </c>
      <c r="H1394" t="s">
        <v>9</v>
      </c>
      <c r="I1394" s="7">
        <v>45680</v>
      </c>
      <c r="J1394" s="8">
        <v>0.93883101851851847</v>
      </c>
      <c r="K1394" t="s">
        <v>984</v>
      </c>
      <c r="AQ1394" t="s">
        <v>985</v>
      </c>
      <c r="AR1394" t="s">
        <v>1669</v>
      </c>
      <c r="AT1394" t="s">
        <v>987</v>
      </c>
      <c r="AZ1394" t="s">
        <v>1055</v>
      </c>
      <c r="BA1394" t="s">
        <v>1056</v>
      </c>
      <c r="BB1394" t="s">
        <v>1013</v>
      </c>
      <c r="BD1394" t="s">
        <v>1022</v>
      </c>
      <c r="BE1394" t="s">
        <v>365</v>
      </c>
    </row>
    <row r="1395" spans="1:57" ht="13" x14ac:dyDescent="0.15">
      <c r="A1395">
        <v>1839</v>
      </c>
      <c r="B1395">
        <v>124091599</v>
      </c>
      <c r="C1395" t="s">
        <v>365</v>
      </c>
      <c r="D1395" s="7">
        <v>42832</v>
      </c>
      <c r="E1395" s="7">
        <v>45694</v>
      </c>
      <c r="F1395">
        <v>330862</v>
      </c>
      <c r="G1395" t="s">
        <v>983</v>
      </c>
      <c r="H1395" t="s">
        <v>9</v>
      </c>
      <c r="I1395" s="7">
        <v>45678</v>
      </c>
      <c r="J1395" s="8">
        <v>0.94303240740740746</v>
      </c>
      <c r="K1395" t="s">
        <v>984</v>
      </c>
      <c r="AQ1395" t="s">
        <v>985</v>
      </c>
      <c r="AR1395" t="s">
        <v>1235</v>
      </c>
      <c r="AT1395" t="s">
        <v>987</v>
      </c>
      <c r="AZ1395" t="s">
        <v>1028</v>
      </c>
      <c r="BA1395" t="s">
        <v>1236</v>
      </c>
      <c r="BB1395" t="s">
        <v>1237</v>
      </c>
      <c r="BD1395" t="s">
        <v>1005</v>
      </c>
      <c r="BE1395" t="s">
        <v>365</v>
      </c>
    </row>
    <row r="1396" spans="1:57" ht="13" x14ac:dyDescent="0.15">
      <c r="A1396">
        <v>1839</v>
      </c>
      <c r="B1396">
        <v>124091599</v>
      </c>
      <c r="C1396" t="s">
        <v>365</v>
      </c>
      <c r="D1396" s="7">
        <v>42832</v>
      </c>
      <c r="E1396" s="7">
        <v>45694</v>
      </c>
      <c r="F1396">
        <v>330862</v>
      </c>
      <c r="G1396" t="s">
        <v>983</v>
      </c>
      <c r="H1396" t="s">
        <v>9</v>
      </c>
      <c r="I1396" s="7">
        <v>45678</v>
      </c>
      <c r="J1396" s="8">
        <v>0.94567129629629632</v>
      </c>
      <c r="K1396" t="s">
        <v>984</v>
      </c>
      <c r="AQ1396" t="s">
        <v>985</v>
      </c>
      <c r="AR1396" t="s">
        <v>1241</v>
      </c>
      <c r="AT1396" t="s">
        <v>987</v>
      </c>
      <c r="AZ1396" t="s">
        <v>1174</v>
      </c>
      <c r="BA1396" t="s">
        <v>1242</v>
      </c>
      <c r="BB1396" t="s">
        <v>1026</v>
      </c>
      <c r="BD1396" t="s">
        <v>1005</v>
      </c>
      <c r="BE1396" t="s">
        <v>365</v>
      </c>
    </row>
    <row r="1397" spans="1:57" ht="13" x14ac:dyDescent="0.15">
      <c r="A1397">
        <v>1839</v>
      </c>
      <c r="B1397">
        <v>124197325</v>
      </c>
      <c r="C1397" t="s">
        <v>366</v>
      </c>
      <c r="D1397" s="7">
        <v>42835</v>
      </c>
      <c r="E1397" s="7">
        <v>45696</v>
      </c>
      <c r="F1397">
        <v>330862</v>
      </c>
      <c r="G1397" t="s">
        <v>983</v>
      </c>
      <c r="H1397" t="s">
        <v>9</v>
      </c>
      <c r="I1397" s="7">
        <v>45675</v>
      </c>
      <c r="J1397" s="8">
        <v>0.30913194444444442</v>
      </c>
      <c r="K1397" t="s">
        <v>984</v>
      </c>
      <c r="AQ1397" t="s">
        <v>992</v>
      </c>
      <c r="AR1397" t="s">
        <v>1051</v>
      </c>
      <c r="AT1397" t="s">
        <v>987</v>
      </c>
      <c r="AZ1397" t="s">
        <v>1002</v>
      </c>
      <c r="BA1397" t="s">
        <v>1003</v>
      </c>
      <c r="BB1397" t="s">
        <v>1004</v>
      </c>
      <c r="BD1397" t="s">
        <v>1005</v>
      </c>
      <c r="BE1397" t="s">
        <v>366</v>
      </c>
    </row>
    <row r="1398" spans="1:57" ht="13" x14ac:dyDescent="0.15">
      <c r="A1398">
        <v>1839</v>
      </c>
      <c r="B1398">
        <v>124197325</v>
      </c>
      <c r="C1398" t="s">
        <v>366</v>
      </c>
      <c r="D1398" s="7">
        <v>42835</v>
      </c>
      <c r="E1398" s="7">
        <v>45696</v>
      </c>
      <c r="F1398">
        <v>330862</v>
      </c>
      <c r="G1398" t="s">
        <v>983</v>
      </c>
      <c r="H1398" t="s">
        <v>9</v>
      </c>
      <c r="I1398" s="7">
        <v>45694</v>
      </c>
      <c r="J1398" s="8">
        <v>0.84545138888888893</v>
      </c>
      <c r="K1398" t="s">
        <v>984</v>
      </c>
      <c r="AQ1398" t="s">
        <v>992</v>
      </c>
      <c r="AR1398" t="s">
        <v>986</v>
      </c>
      <c r="AT1398" t="s">
        <v>987</v>
      </c>
      <c r="AZ1398" t="s">
        <v>988</v>
      </c>
      <c r="BA1398" t="s">
        <v>989</v>
      </c>
      <c r="BB1398" t="s">
        <v>990</v>
      </c>
      <c r="BD1398" t="s">
        <v>991</v>
      </c>
      <c r="BE1398" t="s">
        <v>366</v>
      </c>
    </row>
    <row r="1399" spans="1:57" ht="13" x14ac:dyDescent="0.15">
      <c r="A1399">
        <v>1839</v>
      </c>
      <c r="B1399">
        <v>124231681</v>
      </c>
      <c r="C1399" t="s">
        <v>367</v>
      </c>
      <c r="D1399" s="7">
        <v>42836</v>
      </c>
      <c r="E1399" s="7">
        <v>45706</v>
      </c>
      <c r="F1399">
        <v>330862</v>
      </c>
      <c r="G1399" t="s">
        <v>983</v>
      </c>
      <c r="H1399" t="s">
        <v>9</v>
      </c>
      <c r="I1399" s="7">
        <v>45705</v>
      </c>
      <c r="J1399" s="8">
        <v>0.64535879629629633</v>
      </c>
      <c r="K1399" t="s">
        <v>984</v>
      </c>
      <c r="AQ1399" t="s">
        <v>1206</v>
      </c>
      <c r="AR1399" t="s">
        <v>1290</v>
      </c>
      <c r="AT1399" t="s">
        <v>987</v>
      </c>
      <c r="AZ1399" t="s">
        <v>1182</v>
      </c>
      <c r="BA1399" t="s">
        <v>1183</v>
      </c>
      <c r="BB1399" t="s">
        <v>990</v>
      </c>
      <c r="BD1399" t="s">
        <v>991</v>
      </c>
      <c r="BE1399" t="s">
        <v>367</v>
      </c>
    </row>
    <row r="1400" spans="1:57" ht="13" x14ac:dyDescent="0.15">
      <c r="A1400">
        <v>1839</v>
      </c>
      <c r="B1400">
        <v>124365896</v>
      </c>
      <c r="C1400" t="s">
        <v>368</v>
      </c>
      <c r="D1400" s="7">
        <v>42837</v>
      </c>
      <c r="E1400" s="7">
        <v>45702</v>
      </c>
      <c r="F1400">
        <v>330862</v>
      </c>
      <c r="G1400" t="s">
        <v>983</v>
      </c>
      <c r="H1400" t="s">
        <v>9</v>
      </c>
      <c r="I1400" s="7">
        <v>45701</v>
      </c>
      <c r="J1400" s="8">
        <v>0.98890046296296297</v>
      </c>
      <c r="K1400" t="s">
        <v>984</v>
      </c>
      <c r="AQ1400" t="s">
        <v>992</v>
      </c>
      <c r="AR1400" t="s">
        <v>1290</v>
      </c>
      <c r="AT1400" t="s">
        <v>987</v>
      </c>
      <c r="AZ1400" t="s">
        <v>1182</v>
      </c>
      <c r="BA1400" t="s">
        <v>1183</v>
      </c>
      <c r="BB1400" t="s">
        <v>990</v>
      </c>
      <c r="BD1400" t="s">
        <v>991</v>
      </c>
      <c r="BE1400" t="s">
        <v>368</v>
      </c>
    </row>
    <row r="1401" spans="1:57" ht="13" x14ac:dyDescent="0.15">
      <c r="A1401">
        <v>1839</v>
      </c>
      <c r="B1401">
        <v>124365896</v>
      </c>
      <c r="C1401" t="s">
        <v>368</v>
      </c>
      <c r="D1401" s="7">
        <v>42837</v>
      </c>
      <c r="E1401" s="7">
        <v>45702</v>
      </c>
      <c r="F1401">
        <v>330862</v>
      </c>
      <c r="G1401" t="s">
        <v>983</v>
      </c>
      <c r="H1401" t="s">
        <v>9</v>
      </c>
      <c r="I1401" s="7">
        <v>45700</v>
      </c>
      <c r="J1401" s="8">
        <v>0.97152777777777777</v>
      </c>
      <c r="K1401" t="s">
        <v>984</v>
      </c>
      <c r="AQ1401" t="s">
        <v>992</v>
      </c>
      <c r="AR1401" t="s">
        <v>1266</v>
      </c>
      <c r="AT1401" t="s">
        <v>987</v>
      </c>
      <c r="AZ1401" t="s">
        <v>1028</v>
      </c>
      <c r="BA1401" t="s">
        <v>1037</v>
      </c>
      <c r="BB1401" t="s">
        <v>1038</v>
      </c>
      <c r="BD1401" t="s">
        <v>991</v>
      </c>
      <c r="BE1401" t="s">
        <v>368</v>
      </c>
    </row>
    <row r="1402" spans="1:57" ht="13" x14ac:dyDescent="0.15">
      <c r="A1402">
        <v>1839</v>
      </c>
      <c r="B1402">
        <v>124365896</v>
      </c>
      <c r="C1402" t="s">
        <v>368</v>
      </c>
      <c r="D1402" s="7">
        <v>42837</v>
      </c>
      <c r="E1402" s="7">
        <v>45702</v>
      </c>
      <c r="F1402">
        <v>330862</v>
      </c>
      <c r="G1402" t="s">
        <v>983</v>
      </c>
      <c r="H1402" t="s">
        <v>9</v>
      </c>
      <c r="I1402" s="7">
        <v>45699</v>
      </c>
      <c r="J1402" s="8">
        <v>0.65118055555555554</v>
      </c>
      <c r="K1402" t="s">
        <v>984</v>
      </c>
      <c r="AQ1402" t="s">
        <v>992</v>
      </c>
      <c r="AR1402" t="s">
        <v>1266</v>
      </c>
      <c r="AT1402" t="s">
        <v>987</v>
      </c>
      <c r="AZ1402" t="s">
        <v>1028</v>
      </c>
      <c r="BA1402" t="s">
        <v>1037</v>
      </c>
      <c r="BB1402" t="s">
        <v>1038</v>
      </c>
      <c r="BD1402" t="s">
        <v>991</v>
      </c>
      <c r="BE1402" t="s">
        <v>368</v>
      </c>
    </row>
    <row r="1403" spans="1:57" ht="13" x14ac:dyDescent="0.15">
      <c r="A1403">
        <v>1839</v>
      </c>
      <c r="B1403">
        <v>124365896</v>
      </c>
      <c r="C1403" t="s">
        <v>368</v>
      </c>
      <c r="D1403" s="7">
        <v>42837</v>
      </c>
      <c r="E1403" s="7">
        <v>45702</v>
      </c>
      <c r="F1403">
        <v>330862</v>
      </c>
      <c r="G1403" t="s">
        <v>983</v>
      </c>
      <c r="H1403" t="s">
        <v>9</v>
      </c>
      <c r="I1403" s="7">
        <v>45699</v>
      </c>
      <c r="J1403" s="8">
        <v>0.64474537037037039</v>
      </c>
      <c r="K1403" t="s">
        <v>984</v>
      </c>
      <c r="AQ1403" t="s">
        <v>992</v>
      </c>
      <c r="AR1403" t="s">
        <v>1295</v>
      </c>
      <c r="AT1403" t="s">
        <v>987</v>
      </c>
      <c r="AZ1403" t="s">
        <v>1174</v>
      </c>
      <c r="BA1403" t="s">
        <v>1175</v>
      </c>
      <c r="BB1403" t="s">
        <v>990</v>
      </c>
      <c r="BD1403" t="s">
        <v>991</v>
      </c>
      <c r="BE1403" t="s">
        <v>368</v>
      </c>
    </row>
    <row r="1404" spans="1:57" ht="13" x14ac:dyDescent="0.15">
      <c r="A1404">
        <v>1839</v>
      </c>
      <c r="B1404">
        <v>124365896</v>
      </c>
      <c r="C1404" t="s">
        <v>368</v>
      </c>
      <c r="D1404" s="7">
        <v>42837</v>
      </c>
      <c r="E1404" s="7">
        <v>45702</v>
      </c>
      <c r="F1404">
        <v>330862</v>
      </c>
      <c r="G1404" t="s">
        <v>983</v>
      </c>
      <c r="H1404" t="s">
        <v>9</v>
      </c>
      <c r="I1404" s="7">
        <v>45702</v>
      </c>
      <c r="J1404" s="8">
        <v>0.52358796296296295</v>
      </c>
      <c r="K1404" t="s">
        <v>984</v>
      </c>
      <c r="AQ1404" t="s">
        <v>992</v>
      </c>
      <c r="AR1404" t="s">
        <v>1290</v>
      </c>
      <c r="AT1404" t="s">
        <v>987</v>
      </c>
      <c r="AZ1404" t="s">
        <v>1182</v>
      </c>
      <c r="BA1404" t="s">
        <v>1183</v>
      </c>
      <c r="BB1404" t="s">
        <v>990</v>
      </c>
      <c r="BD1404" t="s">
        <v>991</v>
      </c>
      <c r="BE1404" t="s">
        <v>368</v>
      </c>
    </row>
    <row r="1405" spans="1:57" ht="13" x14ac:dyDescent="0.15">
      <c r="A1405">
        <v>1839</v>
      </c>
      <c r="B1405">
        <v>124365896</v>
      </c>
      <c r="C1405" t="s">
        <v>368</v>
      </c>
      <c r="D1405" s="7">
        <v>42837</v>
      </c>
      <c r="E1405" s="7">
        <v>45702</v>
      </c>
      <c r="F1405">
        <v>330862</v>
      </c>
      <c r="G1405" t="s">
        <v>983</v>
      </c>
      <c r="H1405" t="s">
        <v>9</v>
      </c>
      <c r="I1405" s="7">
        <v>45700</v>
      </c>
      <c r="J1405" s="8">
        <v>0.97380787037037042</v>
      </c>
      <c r="K1405" t="s">
        <v>984</v>
      </c>
      <c r="AQ1405" t="s">
        <v>992</v>
      </c>
      <c r="AR1405" t="s">
        <v>1295</v>
      </c>
      <c r="AT1405" t="s">
        <v>987</v>
      </c>
      <c r="AZ1405" t="s">
        <v>1174</v>
      </c>
      <c r="BA1405" t="s">
        <v>1175</v>
      </c>
      <c r="BB1405" t="s">
        <v>990</v>
      </c>
      <c r="BD1405" t="s">
        <v>991</v>
      </c>
      <c r="BE1405" t="s">
        <v>368</v>
      </c>
    </row>
    <row r="1406" spans="1:57" ht="13" x14ac:dyDescent="0.15">
      <c r="A1406">
        <v>1839</v>
      </c>
      <c r="B1406">
        <v>124365896</v>
      </c>
      <c r="C1406" t="s">
        <v>368</v>
      </c>
      <c r="D1406" s="7">
        <v>42837</v>
      </c>
      <c r="E1406" s="7">
        <v>45702</v>
      </c>
      <c r="F1406">
        <v>330862</v>
      </c>
      <c r="G1406" t="s">
        <v>983</v>
      </c>
      <c r="H1406" t="s">
        <v>9</v>
      </c>
      <c r="I1406" s="7">
        <v>45700</v>
      </c>
      <c r="J1406" s="8">
        <v>0.97590277777777779</v>
      </c>
      <c r="K1406" t="s">
        <v>984</v>
      </c>
      <c r="AQ1406" t="s">
        <v>992</v>
      </c>
      <c r="AR1406" t="s">
        <v>1295</v>
      </c>
      <c r="AT1406" t="s">
        <v>987</v>
      </c>
      <c r="AZ1406" t="s">
        <v>1174</v>
      </c>
      <c r="BA1406" t="s">
        <v>1175</v>
      </c>
      <c r="BB1406" t="s">
        <v>990</v>
      </c>
      <c r="BD1406" t="s">
        <v>991</v>
      </c>
      <c r="BE1406" t="s">
        <v>368</v>
      </c>
    </row>
    <row r="1407" spans="1:57" ht="13" x14ac:dyDescent="0.15">
      <c r="A1407">
        <v>1839</v>
      </c>
      <c r="B1407">
        <v>124432460</v>
      </c>
      <c r="C1407" t="s">
        <v>369</v>
      </c>
      <c r="D1407" s="7">
        <v>42838</v>
      </c>
      <c r="E1407" s="7">
        <v>45694</v>
      </c>
      <c r="F1407">
        <v>330862</v>
      </c>
      <c r="G1407" t="s">
        <v>983</v>
      </c>
      <c r="H1407" t="s">
        <v>9</v>
      </c>
      <c r="I1407" s="7">
        <v>45694</v>
      </c>
      <c r="J1407" s="8">
        <v>0.38026620370370373</v>
      </c>
      <c r="K1407" t="s">
        <v>984</v>
      </c>
      <c r="AQ1407" t="s">
        <v>1366</v>
      </c>
      <c r="AR1407" t="s">
        <v>993</v>
      </c>
      <c r="AT1407" t="s">
        <v>987</v>
      </c>
      <c r="AZ1407" t="s">
        <v>988</v>
      </c>
      <c r="BA1407" t="s">
        <v>989</v>
      </c>
      <c r="BB1407" t="s">
        <v>990</v>
      </c>
      <c r="BD1407" t="s">
        <v>991</v>
      </c>
      <c r="BE1407" t="s">
        <v>369</v>
      </c>
    </row>
    <row r="1408" spans="1:57" ht="13" x14ac:dyDescent="0.15">
      <c r="A1408">
        <v>1839</v>
      </c>
      <c r="B1408">
        <v>124926707</v>
      </c>
      <c r="C1408" t="s">
        <v>370</v>
      </c>
      <c r="D1408" s="7">
        <v>42848</v>
      </c>
      <c r="E1408" s="7">
        <v>45694</v>
      </c>
      <c r="F1408">
        <v>330862</v>
      </c>
      <c r="G1408" t="s">
        <v>983</v>
      </c>
      <c r="H1408" t="s">
        <v>9</v>
      </c>
      <c r="I1408" s="7">
        <v>45636</v>
      </c>
      <c r="J1408" s="8">
        <v>0.47598379629629628</v>
      </c>
      <c r="K1408" t="s">
        <v>984</v>
      </c>
      <c r="AQ1408" t="s">
        <v>1092</v>
      </c>
      <c r="AR1408" t="s">
        <v>1096</v>
      </c>
      <c r="AT1408" t="s">
        <v>987</v>
      </c>
      <c r="AZ1408" t="s">
        <v>1011</v>
      </c>
      <c r="BA1408" t="s">
        <v>1031</v>
      </c>
      <c r="BB1408" t="s">
        <v>1032</v>
      </c>
      <c r="BD1408" t="s">
        <v>1005</v>
      </c>
      <c r="BE1408" t="s">
        <v>370</v>
      </c>
    </row>
    <row r="1409" spans="1:57" ht="13" x14ac:dyDescent="0.15">
      <c r="A1409">
        <v>1839</v>
      </c>
      <c r="B1409">
        <v>124926707</v>
      </c>
      <c r="C1409" t="s">
        <v>370</v>
      </c>
      <c r="D1409" s="7">
        <v>42848</v>
      </c>
      <c r="E1409" s="7">
        <v>45694</v>
      </c>
      <c r="F1409">
        <v>336444</v>
      </c>
      <c r="G1409" t="s">
        <v>995</v>
      </c>
      <c r="H1409" t="s">
        <v>12</v>
      </c>
      <c r="I1409" s="7">
        <v>45655</v>
      </c>
      <c r="J1409" s="8">
        <v>0.48927083333333332</v>
      </c>
      <c r="K1409" t="s">
        <v>984</v>
      </c>
      <c r="AQ1409" t="s">
        <v>996</v>
      </c>
      <c r="BE1409" t="s">
        <v>370</v>
      </c>
    </row>
    <row r="1410" spans="1:57" ht="13" x14ac:dyDescent="0.15">
      <c r="A1410">
        <v>1839</v>
      </c>
      <c r="B1410">
        <v>124926707</v>
      </c>
      <c r="C1410" t="s">
        <v>370</v>
      </c>
      <c r="D1410" s="7">
        <v>42848</v>
      </c>
      <c r="E1410" s="7">
        <v>45694</v>
      </c>
      <c r="F1410">
        <v>336444</v>
      </c>
      <c r="G1410" t="s">
        <v>995</v>
      </c>
      <c r="H1410" t="s">
        <v>12</v>
      </c>
      <c r="I1410" s="7">
        <v>45675</v>
      </c>
      <c r="J1410" s="8">
        <v>0.54270833333333335</v>
      </c>
      <c r="K1410" t="s">
        <v>984</v>
      </c>
      <c r="AQ1410" t="s">
        <v>996</v>
      </c>
      <c r="BE1410" t="s">
        <v>370</v>
      </c>
    </row>
    <row r="1411" spans="1:57" ht="13" x14ac:dyDescent="0.15">
      <c r="A1411">
        <v>1839</v>
      </c>
      <c r="B1411">
        <v>125096057</v>
      </c>
      <c r="C1411" t="s">
        <v>371</v>
      </c>
      <c r="D1411" s="7">
        <v>42850</v>
      </c>
      <c r="E1411" s="7">
        <v>45712</v>
      </c>
      <c r="F1411">
        <v>330862</v>
      </c>
      <c r="G1411" t="s">
        <v>983</v>
      </c>
      <c r="H1411" t="s">
        <v>9</v>
      </c>
      <c r="I1411" s="7">
        <v>45652</v>
      </c>
      <c r="J1411" s="8">
        <v>0.80476851851851849</v>
      </c>
      <c r="K1411" t="s">
        <v>984</v>
      </c>
      <c r="AQ1411" t="s">
        <v>1142</v>
      </c>
      <c r="AR1411" t="s">
        <v>1057</v>
      </c>
      <c r="AT1411" t="s">
        <v>987</v>
      </c>
      <c r="AZ1411" t="s">
        <v>988</v>
      </c>
      <c r="BA1411" t="s">
        <v>1058</v>
      </c>
      <c r="BB1411" t="s">
        <v>1018</v>
      </c>
      <c r="BD1411" t="s">
        <v>1005</v>
      </c>
      <c r="BE1411" t="s">
        <v>371</v>
      </c>
    </row>
    <row r="1412" spans="1:57" ht="13" x14ac:dyDescent="0.15">
      <c r="A1412">
        <v>1839</v>
      </c>
      <c r="B1412">
        <v>125096057</v>
      </c>
      <c r="C1412" t="s">
        <v>371</v>
      </c>
      <c r="D1412" s="7">
        <v>42850</v>
      </c>
      <c r="E1412" s="7">
        <v>45712</v>
      </c>
      <c r="F1412">
        <v>330862</v>
      </c>
      <c r="G1412" t="s">
        <v>983</v>
      </c>
      <c r="H1412" t="s">
        <v>9</v>
      </c>
      <c r="I1412" s="7">
        <v>45712</v>
      </c>
      <c r="J1412" s="8">
        <v>0.60443287037037041</v>
      </c>
      <c r="K1412" t="s">
        <v>984</v>
      </c>
      <c r="AQ1412" t="s">
        <v>1142</v>
      </c>
      <c r="AR1412" t="s">
        <v>1670</v>
      </c>
      <c r="AT1412" t="s">
        <v>987</v>
      </c>
      <c r="AZ1412" t="s">
        <v>1002</v>
      </c>
      <c r="BA1412" t="s">
        <v>1065</v>
      </c>
      <c r="BB1412" t="s">
        <v>1004</v>
      </c>
      <c r="BD1412" t="s">
        <v>991</v>
      </c>
      <c r="BE1412" t="s">
        <v>371</v>
      </c>
    </row>
    <row r="1413" spans="1:57" ht="13" x14ac:dyDescent="0.15">
      <c r="A1413">
        <v>1839</v>
      </c>
      <c r="B1413">
        <v>125096057</v>
      </c>
      <c r="C1413" t="s">
        <v>371</v>
      </c>
      <c r="D1413" s="7">
        <v>42850</v>
      </c>
      <c r="E1413" s="7">
        <v>45712</v>
      </c>
      <c r="F1413">
        <v>330862</v>
      </c>
      <c r="G1413" t="s">
        <v>983</v>
      </c>
      <c r="H1413" t="s">
        <v>9</v>
      </c>
      <c r="I1413" s="7">
        <v>45712</v>
      </c>
      <c r="J1413" s="8">
        <v>0.59217592592592594</v>
      </c>
      <c r="K1413" t="s">
        <v>984</v>
      </c>
      <c r="AQ1413" t="s">
        <v>1142</v>
      </c>
      <c r="AR1413" t="s">
        <v>1671</v>
      </c>
      <c r="AT1413" t="s">
        <v>987</v>
      </c>
      <c r="AZ1413" t="s">
        <v>1062</v>
      </c>
      <c r="BA1413" t="s">
        <v>1063</v>
      </c>
      <c r="BB1413" t="s">
        <v>1048</v>
      </c>
      <c r="BD1413" t="s">
        <v>991</v>
      </c>
      <c r="BE1413" t="s">
        <v>371</v>
      </c>
    </row>
    <row r="1414" spans="1:57" ht="13" x14ac:dyDescent="0.15">
      <c r="A1414">
        <v>1839</v>
      </c>
      <c r="B1414">
        <v>125096057</v>
      </c>
      <c r="C1414" t="s">
        <v>371</v>
      </c>
      <c r="D1414" s="7">
        <v>42850</v>
      </c>
      <c r="E1414" s="7">
        <v>45712</v>
      </c>
      <c r="F1414">
        <v>330862</v>
      </c>
      <c r="G1414" t="s">
        <v>983</v>
      </c>
      <c r="H1414" t="s">
        <v>9</v>
      </c>
      <c r="I1414" s="7">
        <v>45712</v>
      </c>
      <c r="J1414" s="8">
        <v>0.53626157407407404</v>
      </c>
      <c r="K1414" t="s">
        <v>984</v>
      </c>
      <c r="AQ1414" t="s">
        <v>1142</v>
      </c>
      <c r="AR1414" t="s">
        <v>1228</v>
      </c>
      <c r="AT1414" t="s">
        <v>987</v>
      </c>
      <c r="AZ1414" t="s">
        <v>1220</v>
      </c>
      <c r="BA1414" t="s">
        <v>1221</v>
      </c>
      <c r="BB1414" t="s">
        <v>1082</v>
      </c>
      <c r="BD1414" t="s">
        <v>991</v>
      </c>
      <c r="BE1414" t="s">
        <v>371</v>
      </c>
    </row>
    <row r="1415" spans="1:57" ht="13" x14ac:dyDescent="0.15">
      <c r="A1415">
        <v>1839</v>
      </c>
      <c r="B1415">
        <v>125096057</v>
      </c>
      <c r="C1415" t="s">
        <v>371</v>
      </c>
      <c r="D1415" s="7">
        <v>42850</v>
      </c>
      <c r="E1415" s="7">
        <v>45712</v>
      </c>
      <c r="F1415">
        <v>330862</v>
      </c>
      <c r="G1415" t="s">
        <v>983</v>
      </c>
      <c r="H1415" t="s">
        <v>9</v>
      </c>
      <c r="I1415" s="7">
        <v>45652</v>
      </c>
      <c r="J1415" s="8">
        <v>0.81049768518518517</v>
      </c>
      <c r="K1415" t="s">
        <v>984</v>
      </c>
      <c r="AQ1415" t="s">
        <v>1142</v>
      </c>
      <c r="AR1415" t="s">
        <v>1070</v>
      </c>
      <c r="AT1415" t="s">
        <v>987</v>
      </c>
      <c r="AZ1415" t="s">
        <v>1071</v>
      </c>
      <c r="BA1415" t="s">
        <v>1072</v>
      </c>
      <c r="BB1415" t="s">
        <v>1048</v>
      </c>
      <c r="BD1415" t="s">
        <v>1005</v>
      </c>
      <c r="BE1415" t="s">
        <v>371</v>
      </c>
    </row>
    <row r="1416" spans="1:57" ht="13" x14ac:dyDescent="0.15">
      <c r="A1416">
        <v>1839</v>
      </c>
      <c r="B1416">
        <v>125096057</v>
      </c>
      <c r="C1416" t="s">
        <v>371</v>
      </c>
      <c r="D1416" s="7">
        <v>42850</v>
      </c>
      <c r="E1416" s="7">
        <v>45712</v>
      </c>
      <c r="F1416">
        <v>330862</v>
      </c>
      <c r="G1416" t="s">
        <v>983</v>
      </c>
      <c r="H1416" t="s">
        <v>9</v>
      </c>
      <c r="I1416" s="7">
        <v>45664</v>
      </c>
      <c r="J1416" s="8">
        <v>0.59331018518518519</v>
      </c>
      <c r="K1416" t="s">
        <v>984</v>
      </c>
      <c r="AQ1416" t="s">
        <v>1142</v>
      </c>
      <c r="AR1416" t="s">
        <v>1558</v>
      </c>
      <c r="AT1416" t="s">
        <v>987</v>
      </c>
      <c r="AZ1416" t="s">
        <v>1007</v>
      </c>
      <c r="BA1416" t="s">
        <v>1008</v>
      </c>
      <c r="BB1416" t="s">
        <v>990</v>
      </c>
      <c r="BD1416" t="s">
        <v>1005</v>
      </c>
      <c r="BE1416" t="s">
        <v>371</v>
      </c>
    </row>
    <row r="1417" spans="1:57" ht="13" x14ac:dyDescent="0.15">
      <c r="A1417">
        <v>1839</v>
      </c>
      <c r="B1417">
        <v>125096057</v>
      </c>
      <c r="C1417" t="s">
        <v>371</v>
      </c>
      <c r="D1417" s="7">
        <v>42850</v>
      </c>
      <c r="E1417" s="7">
        <v>45712</v>
      </c>
      <c r="F1417">
        <v>330862</v>
      </c>
      <c r="G1417" t="s">
        <v>983</v>
      </c>
      <c r="H1417" t="s">
        <v>9</v>
      </c>
      <c r="I1417" s="7">
        <v>45664</v>
      </c>
      <c r="J1417" s="8">
        <v>0.69223379629629633</v>
      </c>
      <c r="K1417" t="s">
        <v>984</v>
      </c>
      <c r="AQ1417" t="s">
        <v>1142</v>
      </c>
      <c r="AR1417" t="s">
        <v>1317</v>
      </c>
      <c r="AT1417" t="s">
        <v>987</v>
      </c>
      <c r="AZ1417" t="s">
        <v>1002</v>
      </c>
      <c r="BA1417" t="s">
        <v>1003</v>
      </c>
      <c r="BB1417" t="s">
        <v>1004</v>
      </c>
      <c r="BD1417" t="s">
        <v>1005</v>
      </c>
      <c r="BE1417" t="s">
        <v>371</v>
      </c>
    </row>
    <row r="1418" spans="1:57" ht="13" x14ac:dyDescent="0.15">
      <c r="A1418">
        <v>1839</v>
      </c>
      <c r="B1418">
        <v>125096057</v>
      </c>
      <c r="C1418" t="s">
        <v>371</v>
      </c>
      <c r="D1418" s="7">
        <v>42850</v>
      </c>
      <c r="E1418" s="7">
        <v>45712</v>
      </c>
      <c r="F1418">
        <v>330862</v>
      </c>
      <c r="G1418" t="s">
        <v>983</v>
      </c>
      <c r="H1418" t="s">
        <v>9</v>
      </c>
      <c r="I1418" s="7">
        <v>45664</v>
      </c>
      <c r="J1418" s="8">
        <v>0.70105324074074071</v>
      </c>
      <c r="K1418" t="s">
        <v>984</v>
      </c>
      <c r="AQ1418" t="s">
        <v>1142</v>
      </c>
      <c r="AR1418" t="s">
        <v>1672</v>
      </c>
      <c r="AT1418" t="s">
        <v>987</v>
      </c>
      <c r="AZ1418" t="s">
        <v>1071</v>
      </c>
      <c r="BA1418" t="s">
        <v>1072</v>
      </c>
      <c r="BB1418" t="s">
        <v>1048</v>
      </c>
      <c r="BD1418" t="s">
        <v>1005</v>
      </c>
      <c r="BE1418" t="s">
        <v>371</v>
      </c>
    </row>
    <row r="1419" spans="1:57" ht="13" x14ac:dyDescent="0.15">
      <c r="A1419">
        <v>1839</v>
      </c>
      <c r="B1419">
        <v>125096057</v>
      </c>
      <c r="C1419" t="s">
        <v>371</v>
      </c>
      <c r="D1419" s="7">
        <v>42850</v>
      </c>
      <c r="E1419" s="7">
        <v>45712</v>
      </c>
      <c r="F1419">
        <v>330862</v>
      </c>
      <c r="G1419" t="s">
        <v>983</v>
      </c>
      <c r="H1419" t="s">
        <v>9</v>
      </c>
      <c r="I1419" s="7">
        <v>45664</v>
      </c>
      <c r="J1419" s="8">
        <v>0.71565972222222218</v>
      </c>
      <c r="K1419" t="s">
        <v>984</v>
      </c>
      <c r="AQ1419" t="s">
        <v>1142</v>
      </c>
      <c r="AR1419" t="s">
        <v>1317</v>
      </c>
      <c r="AT1419" t="s">
        <v>987</v>
      </c>
      <c r="AZ1419" t="s">
        <v>1002</v>
      </c>
      <c r="BA1419" t="s">
        <v>1003</v>
      </c>
      <c r="BB1419" t="s">
        <v>1004</v>
      </c>
      <c r="BD1419" t="s">
        <v>1005</v>
      </c>
      <c r="BE1419" t="s">
        <v>371</v>
      </c>
    </row>
    <row r="1420" spans="1:57" ht="13" x14ac:dyDescent="0.15">
      <c r="A1420">
        <v>1839</v>
      </c>
      <c r="B1420">
        <v>125096057</v>
      </c>
      <c r="C1420" t="s">
        <v>371</v>
      </c>
      <c r="D1420" s="7">
        <v>42850</v>
      </c>
      <c r="E1420" s="7">
        <v>45712</v>
      </c>
      <c r="F1420">
        <v>330862</v>
      </c>
      <c r="G1420" t="s">
        <v>983</v>
      </c>
      <c r="H1420" t="s">
        <v>9</v>
      </c>
      <c r="I1420" s="7">
        <v>45680</v>
      </c>
      <c r="J1420" s="8">
        <v>0.84491898148148148</v>
      </c>
      <c r="K1420" t="s">
        <v>984</v>
      </c>
      <c r="AQ1420" t="s">
        <v>1142</v>
      </c>
      <c r="AR1420" t="s">
        <v>1673</v>
      </c>
      <c r="AT1420" t="s">
        <v>987</v>
      </c>
      <c r="AZ1420" t="s">
        <v>1139</v>
      </c>
      <c r="BA1420" t="s">
        <v>1140</v>
      </c>
      <c r="BB1420" t="s">
        <v>1032</v>
      </c>
      <c r="BD1420" t="s">
        <v>1005</v>
      </c>
      <c r="BE1420" t="s">
        <v>371</v>
      </c>
    </row>
    <row r="1421" spans="1:57" ht="13" x14ac:dyDescent="0.15">
      <c r="A1421">
        <v>1839</v>
      </c>
      <c r="B1421">
        <v>125096057</v>
      </c>
      <c r="C1421" t="s">
        <v>371</v>
      </c>
      <c r="D1421" s="7">
        <v>42850</v>
      </c>
      <c r="E1421" s="7">
        <v>45712</v>
      </c>
      <c r="F1421">
        <v>330862</v>
      </c>
      <c r="G1421" t="s">
        <v>983</v>
      </c>
      <c r="H1421" t="s">
        <v>9</v>
      </c>
      <c r="I1421" s="7">
        <v>45681</v>
      </c>
      <c r="J1421" s="8">
        <v>0.5730439814814815</v>
      </c>
      <c r="K1421" t="s">
        <v>984</v>
      </c>
      <c r="AQ1421" t="s">
        <v>1142</v>
      </c>
      <c r="AR1421" t="s">
        <v>1674</v>
      </c>
      <c r="AT1421" t="s">
        <v>987</v>
      </c>
      <c r="AZ1421" t="s">
        <v>988</v>
      </c>
      <c r="BA1421" t="s">
        <v>1058</v>
      </c>
      <c r="BB1421" t="s">
        <v>1018</v>
      </c>
      <c r="BD1421" t="s">
        <v>1005</v>
      </c>
      <c r="BE1421" t="s">
        <v>371</v>
      </c>
    </row>
    <row r="1422" spans="1:57" ht="13" x14ac:dyDescent="0.15">
      <c r="A1422">
        <v>1839</v>
      </c>
      <c r="B1422">
        <v>125096057</v>
      </c>
      <c r="C1422" t="s">
        <v>371</v>
      </c>
      <c r="D1422" s="7">
        <v>42850</v>
      </c>
      <c r="E1422" s="7">
        <v>45712</v>
      </c>
      <c r="F1422">
        <v>330862</v>
      </c>
      <c r="G1422" t="s">
        <v>983</v>
      </c>
      <c r="H1422" t="s">
        <v>9</v>
      </c>
      <c r="I1422" s="7">
        <v>45681</v>
      </c>
      <c r="J1422" s="8">
        <v>0.58203703703703702</v>
      </c>
      <c r="K1422" t="s">
        <v>984</v>
      </c>
      <c r="AQ1422" t="s">
        <v>1142</v>
      </c>
      <c r="AR1422" t="s">
        <v>1675</v>
      </c>
      <c r="AT1422" t="s">
        <v>987</v>
      </c>
      <c r="AZ1422" t="s">
        <v>1028</v>
      </c>
      <c r="BA1422" t="s">
        <v>1236</v>
      </c>
      <c r="BB1422" t="s">
        <v>1237</v>
      </c>
      <c r="BD1422" t="s">
        <v>1005</v>
      </c>
      <c r="BE1422" t="s">
        <v>371</v>
      </c>
    </row>
    <row r="1423" spans="1:57" ht="13" x14ac:dyDescent="0.15">
      <c r="A1423">
        <v>1839</v>
      </c>
      <c r="B1423">
        <v>125096057</v>
      </c>
      <c r="C1423" t="s">
        <v>371</v>
      </c>
      <c r="D1423" s="7">
        <v>42850</v>
      </c>
      <c r="E1423" s="7">
        <v>45712</v>
      </c>
      <c r="F1423">
        <v>330862</v>
      </c>
      <c r="G1423" t="s">
        <v>983</v>
      </c>
      <c r="H1423" t="s">
        <v>9</v>
      </c>
      <c r="I1423" s="7">
        <v>45681</v>
      </c>
      <c r="J1423" s="8">
        <v>0.66118055555555555</v>
      </c>
      <c r="K1423" t="s">
        <v>984</v>
      </c>
      <c r="AQ1423" t="s">
        <v>1142</v>
      </c>
      <c r="AR1423" t="s">
        <v>1676</v>
      </c>
      <c r="AT1423" t="s">
        <v>987</v>
      </c>
      <c r="AZ1423" t="s">
        <v>1182</v>
      </c>
      <c r="BA1423" t="s">
        <v>1185</v>
      </c>
      <c r="BB1423" t="s">
        <v>1026</v>
      </c>
      <c r="BD1423" t="s">
        <v>1022</v>
      </c>
      <c r="BE1423" t="s">
        <v>371</v>
      </c>
    </row>
    <row r="1424" spans="1:57" ht="13" x14ac:dyDescent="0.15">
      <c r="A1424">
        <v>1839</v>
      </c>
      <c r="B1424">
        <v>125096057</v>
      </c>
      <c r="C1424" t="s">
        <v>371</v>
      </c>
      <c r="D1424" s="7">
        <v>42850</v>
      </c>
      <c r="E1424" s="7">
        <v>45712</v>
      </c>
      <c r="F1424">
        <v>330862</v>
      </c>
      <c r="G1424" t="s">
        <v>983</v>
      </c>
      <c r="H1424" t="s">
        <v>9</v>
      </c>
      <c r="I1424" s="7">
        <v>45681</v>
      </c>
      <c r="J1424" s="8">
        <v>0.68960648148148151</v>
      </c>
      <c r="K1424" t="s">
        <v>984</v>
      </c>
      <c r="AQ1424" t="s">
        <v>1142</v>
      </c>
      <c r="AR1424" t="s">
        <v>1669</v>
      </c>
      <c r="AT1424" t="s">
        <v>987</v>
      </c>
      <c r="AZ1424" t="s">
        <v>1055</v>
      </c>
      <c r="BA1424" t="s">
        <v>1056</v>
      </c>
      <c r="BB1424" t="s">
        <v>1013</v>
      </c>
      <c r="BD1424" t="s">
        <v>1022</v>
      </c>
      <c r="BE1424" t="s">
        <v>371</v>
      </c>
    </row>
    <row r="1425" spans="1:57" ht="13" x14ac:dyDescent="0.15">
      <c r="A1425">
        <v>1839</v>
      </c>
      <c r="B1425">
        <v>125096057</v>
      </c>
      <c r="C1425" t="s">
        <v>371</v>
      </c>
      <c r="D1425" s="7">
        <v>42850</v>
      </c>
      <c r="E1425" s="7">
        <v>45712</v>
      </c>
      <c r="F1425">
        <v>330862</v>
      </c>
      <c r="G1425" t="s">
        <v>983</v>
      </c>
      <c r="H1425" t="s">
        <v>9</v>
      </c>
      <c r="I1425" s="7">
        <v>45681</v>
      </c>
      <c r="J1425" s="8">
        <v>0.71971064814814811</v>
      </c>
      <c r="K1425" t="s">
        <v>984</v>
      </c>
      <c r="AQ1425" t="s">
        <v>1142</v>
      </c>
      <c r="AR1425" t="s">
        <v>1677</v>
      </c>
      <c r="AT1425" t="s">
        <v>987</v>
      </c>
      <c r="AZ1425" t="s">
        <v>1024</v>
      </c>
      <c r="BA1425" t="s">
        <v>1047</v>
      </c>
      <c r="BB1425" t="s">
        <v>1048</v>
      </c>
      <c r="BD1425" t="s">
        <v>1014</v>
      </c>
      <c r="BE1425" t="s">
        <v>371</v>
      </c>
    </row>
    <row r="1426" spans="1:57" ht="13" x14ac:dyDescent="0.15">
      <c r="A1426">
        <v>1839</v>
      </c>
      <c r="B1426">
        <v>125096057</v>
      </c>
      <c r="C1426" t="s">
        <v>371</v>
      </c>
      <c r="D1426" s="7">
        <v>42850</v>
      </c>
      <c r="E1426" s="7">
        <v>45712</v>
      </c>
      <c r="F1426">
        <v>330862</v>
      </c>
      <c r="G1426" t="s">
        <v>983</v>
      </c>
      <c r="H1426" t="s">
        <v>9</v>
      </c>
      <c r="I1426" s="7">
        <v>45684</v>
      </c>
      <c r="J1426" s="8">
        <v>0.53734953703703703</v>
      </c>
      <c r="K1426" t="s">
        <v>984</v>
      </c>
      <c r="AQ1426" t="s">
        <v>1142</v>
      </c>
      <c r="AR1426" t="s">
        <v>1678</v>
      </c>
      <c r="AT1426" t="s">
        <v>987</v>
      </c>
      <c r="AZ1426" t="s">
        <v>1020</v>
      </c>
      <c r="BA1426" t="s">
        <v>1230</v>
      </c>
      <c r="BB1426" t="s">
        <v>1018</v>
      </c>
      <c r="BD1426" t="s">
        <v>1005</v>
      </c>
      <c r="BE1426" t="s">
        <v>371</v>
      </c>
    </row>
    <row r="1427" spans="1:57" ht="13" x14ac:dyDescent="0.15">
      <c r="A1427">
        <v>1839</v>
      </c>
      <c r="B1427">
        <v>125096057</v>
      </c>
      <c r="C1427" t="s">
        <v>371</v>
      </c>
      <c r="D1427" s="7">
        <v>42850</v>
      </c>
      <c r="E1427" s="7">
        <v>45712</v>
      </c>
      <c r="F1427">
        <v>330862</v>
      </c>
      <c r="G1427" t="s">
        <v>983</v>
      </c>
      <c r="H1427" t="s">
        <v>9</v>
      </c>
      <c r="I1427" s="7">
        <v>45684</v>
      </c>
      <c r="J1427" s="8">
        <v>0.53866898148148146</v>
      </c>
      <c r="K1427" t="s">
        <v>984</v>
      </c>
      <c r="AQ1427" t="s">
        <v>1142</v>
      </c>
      <c r="AR1427" t="s">
        <v>1679</v>
      </c>
      <c r="AT1427" t="s">
        <v>987</v>
      </c>
      <c r="AZ1427" t="s">
        <v>1020</v>
      </c>
      <c r="BA1427" t="s">
        <v>1021</v>
      </c>
      <c r="BB1427" t="s">
        <v>1018</v>
      </c>
      <c r="BD1427" t="s">
        <v>1022</v>
      </c>
      <c r="BE1427" t="s">
        <v>371</v>
      </c>
    </row>
    <row r="1428" spans="1:57" ht="13" x14ac:dyDescent="0.15">
      <c r="A1428">
        <v>1839</v>
      </c>
      <c r="B1428">
        <v>125096057</v>
      </c>
      <c r="C1428" t="s">
        <v>371</v>
      </c>
      <c r="D1428" s="7">
        <v>42850</v>
      </c>
      <c r="E1428" s="7">
        <v>45712</v>
      </c>
      <c r="F1428">
        <v>330862</v>
      </c>
      <c r="G1428" t="s">
        <v>983</v>
      </c>
      <c r="H1428" t="s">
        <v>9</v>
      </c>
      <c r="I1428" s="7">
        <v>45680</v>
      </c>
      <c r="J1428" s="8">
        <v>0.75736111111111115</v>
      </c>
      <c r="K1428" t="s">
        <v>984</v>
      </c>
      <c r="AQ1428" t="s">
        <v>1142</v>
      </c>
      <c r="AR1428" t="s">
        <v>1680</v>
      </c>
      <c r="AS1428" t="s">
        <v>1516</v>
      </c>
      <c r="AT1428" t="s">
        <v>987</v>
      </c>
      <c r="BE1428" t="s">
        <v>371</v>
      </c>
    </row>
    <row r="1429" spans="1:57" ht="13" x14ac:dyDescent="0.15">
      <c r="A1429">
        <v>1839</v>
      </c>
      <c r="B1429">
        <v>125096057</v>
      </c>
      <c r="C1429" t="s">
        <v>371</v>
      </c>
      <c r="D1429" s="7">
        <v>42850</v>
      </c>
      <c r="E1429" s="7">
        <v>45712</v>
      </c>
      <c r="F1429">
        <v>330862</v>
      </c>
      <c r="G1429" t="s">
        <v>983</v>
      </c>
      <c r="H1429" t="s">
        <v>9</v>
      </c>
      <c r="I1429" s="7">
        <v>45680</v>
      </c>
      <c r="J1429" s="8">
        <v>0.77462962962962967</v>
      </c>
      <c r="K1429" t="s">
        <v>984</v>
      </c>
      <c r="AQ1429" t="s">
        <v>1142</v>
      </c>
      <c r="AR1429" t="s">
        <v>1442</v>
      </c>
      <c r="AT1429" t="s">
        <v>987</v>
      </c>
      <c r="AZ1429" t="s">
        <v>1016</v>
      </c>
      <c r="BA1429" t="s">
        <v>1017</v>
      </c>
      <c r="BB1429" t="s">
        <v>1018</v>
      </c>
      <c r="BD1429" t="s">
        <v>991</v>
      </c>
      <c r="BE1429" t="s">
        <v>371</v>
      </c>
    </row>
    <row r="1430" spans="1:57" ht="13" x14ac:dyDescent="0.15">
      <c r="A1430">
        <v>1839</v>
      </c>
      <c r="B1430">
        <v>125096057</v>
      </c>
      <c r="C1430" t="s">
        <v>371</v>
      </c>
      <c r="D1430" s="7">
        <v>42850</v>
      </c>
      <c r="E1430" s="7">
        <v>45712</v>
      </c>
      <c r="F1430">
        <v>330862</v>
      </c>
      <c r="G1430" t="s">
        <v>983</v>
      </c>
      <c r="H1430" t="s">
        <v>9</v>
      </c>
      <c r="I1430" s="7">
        <v>45680</v>
      </c>
      <c r="J1430" s="8">
        <v>0.80126157407407406</v>
      </c>
      <c r="K1430" t="s">
        <v>984</v>
      </c>
      <c r="AQ1430" t="s">
        <v>1142</v>
      </c>
      <c r="AR1430" t="s">
        <v>1677</v>
      </c>
      <c r="AT1430" t="s">
        <v>987</v>
      </c>
      <c r="AZ1430" t="s">
        <v>1024</v>
      </c>
      <c r="BA1430" t="s">
        <v>1047</v>
      </c>
      <c r="BB1430" t="s">
        <v>1048</v>
      </c>
      <c r="BD1430" t="s">
        <v>1014</v>
      </c>
      <c r="BE1430" t="s">
        <v>371</v>
      </c>
    </row>
    <row r="1431" spans="1:57" ht="13" x14ac:dyDescent="0.15">
      <c r="A1431">
        <v>1839</v>
      </c>
      <c r="B1431">
        <v>125096057</v>
      </c>
      <c r="C1431" t="s">
        <v>371</v>
      </c>
      <c r="D1431" s="7">
        <v>42850</v>
      </c>
      <c r="E1431" s="7">
        <v>45712</v>
      </c>
      <c r="F1431">
        <v>330862</v>
      </c>
      <c r="G1431" t="s">
        <v>983</v>
      </c>
      <c r="H1431" t="s">
        <v>9</v>
      </c>
      <c r="I1431" s="7">
        <v>45680</v>
      </c>
      <c r="J1431" s="8">
        <v>0.80603009259259262</v>
      </c>
      <c r="K1431" t="s">
        <v>984</v>
      </c>
      <c r="AQ1431" t="s">
        <v>1142</v>
      </c>
      <c r="AR1431" t="s">
        <v>1681</v>
      </c>
      <c r="AT1431" t="s">
        <v>987</v>
      </c>
      <c r="AZ1431" t="s">
        <v>1044</v>
      </c>
      <c r="BA1431" t="s">
        <v>1045</v>
      </c>
      <c r="BB1431" t="s">
        <v>990</v>
      </c>
      <c r="BD1431" t="s">
        <v>991</v>
      </c>
      <c r="BE1431" t="s">
        <v>371</v>
      </c>
    </row>
    <row r="1432" spans="1:57" ht="13" x14ac:dyDescent="0.15">
      <c r="A1432">
        <v>1839</v>
      </c>
      <c r="B1432">
        <v>125096057</v>
      </c>
      <c r="C1432" t="s">
        <v>371</v>
      </c>
      <c r="D1432" s="7">
        <v>42850</v>
      </c>
      <c r="E1432" s="7">
        <v>45712</v>
      </c>
      <c r="F1432">
        <v>330862</v>
      </c>
      <c r="G1432" t="s">
        <v>983</v>
      </c>
      <c r="H1432" t="s">
        <v>9</v>
      </c>
      <c r="I1432" s="7">
        <v>45680</v>
      </c>
      <c r="J1432" s="8">
        <v>0.83975694444444449</v>
      </c>
      <c r="K1432" t="s">
        <v>984</v>
      </c>
      <c r="AQ1432" t="s">
        <v>1142</v>
      </c>
      <c r="AR1432" t="s">
        <v>1682</v>
      </c>
      <c r="AT1432" t="s">
        <v>987</v>
      </c>
      <c r="AZ1432" t="s">
        <v>1071</v>
      </c>
      <c r="BA1432" t="s">
        <v>1072</v>
      </c>
      <c r="BB1432" t="s">
        <v>1048</v>
      </c>
      <c r="BD1432" t="s">
        <v>1005</v>
      </c>
      <c r="BE1432" t="s">
        <v>371</v>
      </c>
    </row>
    <row r="1433" spans="1:57" ht="13" x14ac:dyDescent="0.15">
      <c r="A1433">
        <v>1839</v>
      </c>
      <c r="B1433">
        <v>125096057</v>
      </c>
      <c r="C1433" t="s">
        <v>371</v>
      </c>
      <c r="D1433" s="7">
        <v>42850</v>
      </c>
      <c r="E1433" s="7">
        <v>45712</v>
      </c>
      <c r="F1433">
        <v>330862</v>
      </c>
      <c r="G1433" t="s">
        <v>983</v>
      </c>
      <c r="H1433" t="s">
        <v>9</v>
      </c>
      <c r="I1433" s="7">
        <v>45712</v>
      </c>
      <c r="J1433" s="8">
        <v>0.53881944444444441</v>
      </c>
      <c r="K1433" t="s">
        <v>984</v>
      </c>
      <c r="AQ1433" t="s">
        <v>1142</v>
      </c>
      <c r="AR1433" t="s">
        <v>1194</v>
      </c>
      <c r="AT1433" t="s">
        <v>987</v>
      </c>
      <c r="AZ1433" t="s">
        <v>1080</v>
      </c>
      <c r="BA1433" t="s">
        <v>1081</v>
      </c>
      <c r="BB1433" t="s">
        <v>1082</v>
      </c>
      <c r="BD1433" t="s">
        <v>991</v>
      </c>
      <c r="BE1433" t="s">
        <v>371</v>
      </c>
    </row>
    <row r="1434" spans="1:57" ht="13" x14ac:dyDescent="0.15">
      <c r="A1434">
        <v>1839</v>
      </c>
      <c r="B1434">
        <v>125096057</v>
      </c>
      <c r="C1434" t="s">
        <v>371</v>
      </c>
      <c r="D1434" s="7">
        <v>42850</v>
      </c>
      <c r="E1434" s="7">
        <v>45712</v>
      </c>
      <c r="F1434">
        <v>330862</v>
      </c>
      <c r="G1434" t="s">
        <v>983</v>
      </c>
      <c r="H1434" t="s">
        <v>9</v>
      </c>
      <c r="I1434" s="7">
        <v>45712</v>
      </c>
      <c r="J1434" s="8">
        <v>0.54562500000000003</v>
      </c>
      <c r="K1434" t="s">
        <v>984</v>
      </c>
      <c r="AQ1434" t="s">
        <v>1142</v>
      </c>
      <c r="AR1434" t="s">
        <v>1193</v>
      </c>
      <c r="AT1434" t="s">
        <v>987</v>
      </c>
      <c r="AZ1434" t="s">
        <v>1028</v>
      </c>
      <c r="BA1434" t="s">
        <v>1037</v>
      </c>
      <c r="BB1434" t="s">
        <v>1038</v>
      </c>
      <c r="BD1434" t="s">
        <v>991</v>
      </c>
      <c r="BE1434" t="s">
        <v>371</v>
      </c>
    </row>
    <row r="1435" spans="1:57" ht="13" x14ac:dyDescent="0.15">
      <c r="A1435">
        <v>1839</v>
      </c>
      <c r="B1435">
        <v>125096057</v>
      </c>
      <c r="C1435" t="s">
        <v>371</v>
      </c>
      <c r="D1435" s="7">
        <v>42850</v>
      </c>
      <c r="E1435" s="7">
        <v>45712</v>
      </c>
      <c r="F1435">
        <v>330862</v>
      </c>
      <c r="G1435" t="s">
        <v>983</v>
      </c>
      <c r="H1435" t="s">
        <v>9</v>
      </c>
      <c r="I1435" s="7">
        <v>45712</v>
      </c>
      <c r="J1435" s="8">
        <v>0.5511342592592593</v>
      </c>
      <c r="K1435" t="s">
        <v>984</v>
      </c>
      <c r="AQ1435" t="s">
        <v>1142</v>
      </c>
      <c r="AR1435" t="s">
        <v>1259</v>
      </c>
      <c r="AT1435" t="s">
        <v>987</v>
      </c>
      <c r="AZ1435" t="s">
        <v>1002</v>
      </c>
      <c r="BA1435" t="s">
        <v>1040</v>
      </c>
      <c r="BB1435" t="s">
        <v>1041</v>
      </c>
      <c r="BD1435" t="s">
        <v>991</v>
      </c>
      <c r="BE1435" t="s">
        <v>371</v>
      </c>
    </row>
    <row r="1436" spans="1:57" ht="13" x14ac:dyDescent="0.15">
      <c r="A1436">
        <v>1839</v>
      </c>
      <c r="B1436">
        <v>125096057</v>
      </c>
      <c r="C1436" t="s">
        <v>371</v>
      </c>
      <c r="D1436" s="7">
        <v>42850</v>
      </c>
      <c r="E1436" s="7">
        <v>45712</v>
      </c>
      <c r="F1436">
        <v>330862</v>
      </c>
      <c r="G1436" t="s">
        <v>983</v>
      </c>
      <c r="H1436" t="s">
        <v>9</v>
      </c>
      <c r="I1436" s="7">
        <v>45712</v>
      </c>
      <c r="J1436" s="8">
        <v>0.55660879629629634</v>
      </c>
      <c r="K1436" t="s">
        <v>984</v>
      </c>
      <c r="AQ1436" t="s">
        <v>1142</v>
      </c>
      <c r="AR1436" t="s">
        <v>1192</v>
      </c>
      <c r="AT1436" t="s">
        <v>987</v>
      </c>
      <c r="AZ1436" t="s">
        <v>1174</v>
      </c>
      <c r="BA1436" t="s">
        <v>1175</v>
      </c>
      <c r="BB1436" t="s">
        <v>990</v>
      </c>
      <c r="BD1436" t="s">
        <v>991</v>
      </c>
      <c r="BE1436" t="s">
        <v>371</v>
      </c>
    </row>
    <row r="1437" spans="1:57" ht="13" x14ac:dyDescent="0.15">
      <c r="A1437">
        <v>1839</v>
      </c>
      <c r="B1437">
        <v>125096057</v>
      </c>
      <c r="C1437" t="s">
        <v>371</v>
      </c>
      <c r="D1437" s="7">
        <v>42850</v>
      </c>
      <c r="E1437" s="7">
        <v>45712</v>
      </c>
      <c r="F1437">
        <v>330862</v>
      </c>
      <c r="G1437" t="s">
        <v>983</v>
      </c>
      <c r="H1437" t="s">
        <v>9</v>
      </c>
      <c r="I1437" s="7">
        <v>45712</v>
      </c>
      <c r="J1437" s="8">
        <v>0.56906250000000003</v>
      </c>
      <c r="K1437" t="s">
        <v>984</v>
      </c>
      <c r="AQ1437" t="s">
        <v>1142</v>
      </c>
      <c r="AR1437" t="s">
        <v>1683</v>
      </c>
      <c r="AT1437" t="s">
        <v>987</v>
      </c>
      <c r="AZ1437" t="s">
        <v>1071</v>
      </c>
      <c r="BA1437" t="s">
        <v>1135</v>
      </c>
      <c r="BB1437" t="s">
        <v>1136</v>
      </c>
      <c r="BD1437" t="s">
        <v>991</v>
      </c>
      <c r="BE1437" t="s">
        <v>371</v>
      </c>
    </row>
    <row r="1438" spans="1:57" ht="13" x14ac:dyDescent="0.15">
      <c r="A1438">
        <v>1839</v>
      </c>
      <c r="B1438">
        <v>125096057</v>
      </c>
      <c r="C1438" t="s">
        <v>371</v>
      </c>
      <c r="D1438" s="7">
        <v>42850</v>
      </c>
      <c r="E1438" s="7">
        <v>45712</v>
      </c>
      <c r="F1438">
        <v>330862</v>
      </c>
      <c r="G1438" t="s">
        <v>983</v>
      </c>
      <c r="H1438" t="s">
        <v>9</v>
      </c>
      <c r="I1438" s="7">
        <v>45712</v>
      </c>
      <c r="J1438" s="8">
        <v>0.58714120370370371</v>
      </c>
      <c r="K1438" t="s">
        <v>984</v>
      </c>
      <c r="AQ1438" t="s">
        <v>1142</v>
      </c>
      <c r="AR1438" t="s">
        <v>1227</v>
      </c>
      <c r="AT1438" t="s">
        <v>987</v>
      </c>
      <c r="AZ1438" t="s">
        <v>988</v>
      </c>
      <c r="BA1438" t="s">
        <v>1035</v>
      </c>
      <c r="BB1438" t="s">
        <v>1026</v>
      </c>
      <c r="BD1438" t="s">
        <v>991</v>
      </c>
      <c r="BE1438" t="s">
        <v>371</v>
      </c>
    </row>
    <row r="1439" spans="1:57" ht="13" x14ac:dyDescent="0.15">
      <c r="A1439">
        <v>1839</v>
      </c>
      <c r="B1439">
        <v>125152026</v>
      </c>
      <c r="C1439" t="s">
        <v>372</v>
      </c>
      <c r="D1439" s="7">
        <v>42851</v>
      </c>
      <c r="E1439" s="7">
        <v>45703</v>
      </c>
      <c r="F1439">
        <v>330862</v>
      </c>
      <c r="G1439" t="s">
        <v>983</v>
      </c>
      <c r="H1439" t="s">
        <v>9</v>
      </c>
      <c r="I1439" s="7">
        <v>45694</v>
      </c>
      <c r="J1439" s="8">
        <v>0.62069444444444444</v>
      </c>
      <c r="K1439" t="s">
        <v>984</v>
      </c>
      <c r="AQ1439" t="s">
        <v>998</v>
      </c>
      <c r="AR1439" t="s">
        <v>986</v>
      </c>
      <c r="AT1439" t="s">
        <v>987</v>
      </c>
      <c r="AZ1439" t="s">
        <v>988</v>
      </c>
      <c r="BA1439" t="s">
        <v>989</v>
      </c>
      <c r="BB1439" t="s">
        <v>990</v>
      </c>
      <c r="BD1439" t="s">
        <v>991</v>
      </c>
      <c r="BE1439" t="s">
        <v>372</v>
      </c>
    </row>
    <row r="1440" spans="1:57" ht="13" x14ac:dyDescent="0.15">
      <c r="A1440">
        <v>1839</v>
      </c>
      <c r="B1440">
        <v>125225643</v>
      </c>
      <c r="C1440" t="s">
        <v>1684</v>
      </c>
      <c r="D1440" s="7">
        <v>42853</v>
      </c>
      <c r="E1440" s="7">
        <v>45642</v>
      </c>
      <c r="F1440">
        <v>330862</v>
      </c>
      <c r="G1440" t="s">
        <v>983</v>
      </c>
      <c r="H1440" t="s">
        <v>9</v>
      </c>
      <c r="I1440" s="7">
        <v>45616</v>
      </c>
      <c r="J1440" s="8">
        <v>0.84392361111111114</v>
      </c>
      <c r="K1440" t="s">
        <v>984</v>
      </c>
      <c r="AQ1440" t="s">
        <v>1142</v>
      </c>
      <c r="AR1440" t="s">
        <v>1378</v>
      </c>
      <c r="AT1440" t="s">
        <v>987</v>
      </c>
      <c r="AZ1440" t="s">
        <v>1011</v>
      </c>
      <c r="BA1440" t="s">
        <v>1103</v>
      </c>
      <c r="BB1440" t="s">
        <v>1032</v>
      </c>
      <c r="BD1440" t="s">
        <v>1005</v>
      </c>
      <c r="BE1440" t="s">
        <v>1684</v>
      </c>
    </row>
    <row r="1441" spans="1:57" ht="13" x14ac:dyDescent="0.15">
      <c r="A1441">
        <v>1839</v>
      </c>
      <c r="B1441">
        <v>125278096</v>
      </c>
      <c r="C1441" t="s">
        <v>373</v>
      </c>
      <c r="D1441" s="7">
        <v>42856</v>
      </c>
      <c r="E1441" s="7">
        <v>45698</v>
      </c>
      <c r="F1441">
        <v>330862</v>
      </c>
      <c r="G1441" t="s">
        <v>983</v>
      </c>
      <c r="H1441" t="s">
        <v>9</v>
      </c>
      <c r="I1441" s="7">
        <v>45678</v>
      </c>
      <c r="J1441" s="8">
        <v>0.2810300925925926</v>
      </c>
      <c r="K1441" t="s">
        <v>984</v>
      </c>
      <c r="AQ1441" t="s">
        <v>1592</v>
      </c>
      <c r="AR1441" t="s">
        <v>1083</v>
      </c>
      <c r="AT1441" t="s">
        <v>987</v>
      </c>
      <c r="AZ1441" t="s">
        <v>1011</v>
      </c>
      <c r="BA1441" t="s">
        <v>1012</v>
      </c>
      <c r="BB1441" t="s">
        <v>1013</v>
      </c>
      <c r="BD1441" t="s">
        <v>1014</v>
      </c>
      <c r="BE1441" t="s">
        <v>373</v>
      </c>
    </row>
    <row r="1442" spans="1:57" ht="13" x14ac:dyDescent="0.15">
      <c r="A1442">
        <v>1839</v>
      </c>
      <c r="B1442">
        <v>126182769</v>
      </c>
      <c r="C1442" t="s">
        <v>374</v>
      </c>
      <c r="D1442" s="7">
        <v>42872</v>
      </c>
      <c r="E1442" s="7">
        <v>45694</v>
      </c>
      <c r="F1442">
        <v>330862</v>
      </c>
      <c r="G1442" t="s">
        <v>983</v>
      </c>
      <c r="H1442" t="s">
        <v>9</v>
      </c>
      <c r="I1442" s="7">
        <v>45694</v>
      </c>
      <c r="J1442" s="8">
        <v>0.37037037037037035</v>
      </c>
      <c r="K1442" t="s">
        <v>984</v>
      </c>
      <c r="AQ1442" t="s">
        <v>1092</v>
      </c>
      <c r="AR1442" t="s">
        <v>986</v>
      </c>
      <c r="AT1442" t="s">
        <v>987</v>
      </c>
      <c r="AZ1442" t="s">
        <v>988</v>
      </c>
      <c r="BA1442" t="s">
        <v>989</v>
      </c>
      <c r="BB1442" t="s">
        <v>990</v>
      </c>
      <c r="BD1442" t="s">
        <v>991</v>
      </c>
      <c r="BE1442" t="s">
        <v>374</v>
      </c>
    </row>
    <row r="1443" spans="1:57" ht="13" x14ac:dyDescent="0.15">
      <c r="A1443">
        <v>1839</v>
      </c>
      <c r="B1443">
        <v>127660598</v>
      </c>
      <c r="C1443" t="s">
        <v>375</v>
      </c>
      <c r="D1443" s="7">
        <v>42898</v>
      </c>
      <c r="E1443" s="7">
        <v>45711</v>
      </c>
      <c r="F1443">
        <v>330862</v>
      </c>
      <c r="G1443" t="s">
        <v>983</v>
      </c>
      <c r="H1443" t="s">
        <v>9</v>
      </c>
      <c r="I1443" s="7">
        <v>45694</v>
      </c>
      <c r="J1443" s="8">
        <v>0.50765046296296301</v>
      </c>
      <c r="K1443" t="s">
        <v>984</v>
      </c>
      <c r="AQ1443" t="s">
        <v>992</v>
      </c>
      <c r="AR1443" t="s">
        <v>993</v>
      </c>
      <c r="AT1443" t="s">
        <v>987</v>
      </c>
      <c r="AZ1443" t="s">
        <v>988</v>
      </c>
      <c r="BA1443" t="s">
        <v>989</v>
      </c>
      <c r="BB1443" t="s">
        <v>990</v>
      </c>
      <c r="BD1443" t="s">
        <v>991</v>
      </c>
      <c r="BE1443" t="s">
        <v>375</v>
      </c>
    </row>
    <row r="1444" spans="1:57" ht="13" x14ac:dyDescent="0.15">
      <c r="A1444">
        <v>1839</v>
      </c>
      <c r="B1444">
        <v>127693417</v>
      </c>
      <c r="C1444" t="s">
        <v>376</v>
      </c>
      <c r="D1444" s="7">
        <v>42899</v>
      </c>
      <c r="E1444" s="7">
        <v>45713</v>
      </c>
      <c r="F1444">
        <v>330862</v>
      </c>
      <c r="G1444" t="s">
        <v>983</v>
      </c>
      <c r="H1444" t="s">
        <v>9</v>
      </c>
      <c r="I1444" s="7">
        <v>45633</v>
      </c>
      <c r="J1444" s="8">
        <v>0.45443287037037039</v>
      </c>
      <c r="K1444" t="s">
        <v>984</v>
      </c>
      <c r="AQ1444" t="s">
        <v>1092</v>
      </c>
      <c r="AR1444" t="s">
        <v>1311</v>
      </c>
      <c r="AT1444" t="s">
        <v>987</v>
      </c>
      <c r="AZ1444" t="s">
        <v>1020</v>
      </c>
      <c r="BA1444" t="s">
        <v>1021</v>
      </c>
      <c r="BB1444" t="s">
        <v>1018</v>
      </c>
      <c r="BD1444" t="s">
        <v>1022</v>
      </c>
      <c r="BE1444" t="s">
        <v>376</v>
      </c>
    </row>
    <row r="1445" spans="1:57" ht="13" x14ac:dyDescent="0.15">
      <c r="A1445">
        <v>1839</v>
      </c>
      <c r="B1445">
        <v>127693417</v>
      </c>
      <c r="C1445" t="s">
        <v>376</v>
      </c>
      <c r="D1445" s="7">
        <v>42899</v>
      </c>
      <c r="E1445" s="7">
        <v>45713</v>
      </c>
      <c r="F1445">
        <v>330862</v>
      </c>
      <c r="G1445" t="s">
        <v>983</v>
      </c>
      <c r="H1445" t="s">
        <v>9</v>
      </c>
      <c r="I1445" s="7">
        <v>45651</v>
      </c>
      <c r="J1445" s="8">
        <v>0.51133101851851848</v>
      </c>
      <c r="K1445" t="s">
        <v>984</v>
      </c>
      <c r="AQ1445" t="s">
        <v>1092</v>
      </c>
      <c r="AR1445" t="s">
        <v>1189</v>
      </c>
      <c r="AT1445" t="s">
        <v>987</v>
      </c>
      <c r="AZ1445" t="s">
        <v>1028</v>
      </c>
      <c r="BA1445" t="s">
        <v>1068</v>
      </c>
      <c r="BB1445" t="s">
        <v>1069</v>
      </c>
      <c r="BD1445" t="s">
        <v>1005</v>
      </c>
      <c r="BE1445" t="s">
        <v>376</v>
      </c>
    </row>
    <row r="1446" spans="1:57" ht="13" x14ac:dyDescent="0.15">
      <c r="A1446">
        <v>1839</v>
      </c>
      <c r="B1446">
        <v>127693417</v>
      </c>
      <c r="C1446" t="s">
        <v>376</v>
      </c>
      <c r="D1446" s="7">
        <v>42899</v>
      </c>
      <c r="E1446" s="7">
        <v>45713</v>
      </c>
      <c r="F1446">
        <v>330862</v>
      </c>
      <c r="G1446" t="s">
        <v>983</v>
      </c>
      <c r="H1446" t="s">
        <v>9</v>
      </c>
      <c r="I1446" s="7">
        <v>45651</v>
      </c>
      <c r="J1446" s="8">
        <v>0.51542824074074078</v>
      </c>
      <c r="K1446" t="s">
        <v>984</v>
      </c>
      <c r="AQ1446" t="s">
        <v>1092</v>
      </c>
      <c r="AR1446" t="s">
        <v>1305</v>
      </c>
      <c r="AT1446" t="s">
        <v>987</v>
      </c>
      <c r="AZ1446" t="s">
        <v>1071</v>
      </c>
      <c r="BA1446" t="s">
        <v>1072</v>
      </c>
      <c r="BB1446" t="s">
        <v>1048</v>
      </c>
      <c r="BD1446" t="s">
        <v>1005</v>
      </c>
      <c r="BE1446" t="s">
        <v>376</v>
      </c>
    </row>
    <row r="1447" spans="1:57" ht="13" x14ac:dyDescent="0.15">
      <c r="A1447">
        <v>1839</v>
      </c>
      <c r="B1447">
        <v>127693417</v>
      </c>
      <c r="C1447" t="s">
        <v>376</v>
      </c>
      <c r="D1447" s="7">
        <v>42899</v>
      </c>
      <c r="E1447" s="7">
        <v>45713</v>
      </c>
      <c r="F1447">
        <v>330862</v>
      </c>
      <c r="G1447" t="s">
        <v>983</v>
      </c>
      <c r="H1447" t="s">
        <v>9</v>
      </c>
      <c r="I1447" s="7">
        <v>45694</v>
      </c>
      <c r="J1447" s="8">
        <v>0.68745370370370373</v>
      </c>
      <c r="K1447" t="s">
        <v>984</v>
      </c>
      <c r="AQ1447" t="s">
        <v>1092</v>
      </c>
      <c r="AR1447" t="s">
        <v>1066</v>
      </c>
      <c r="AT1447" t="s">
        <v>987</v>
      </c>
      <c r="AZ1447" t="s">
        <v>988</v>
      </c>
      <c r="BA1447" t="s">
        <v>989</v>
      </c>
      <c r="BB1447" t="s">
        <v>990</v>
      </c>
      <c r="BD1447" t="s">
        <v>991</v>
      </c>
      <c r="BE1447" t="s">
        <v>376</v>
      </c>
    </row>
    <row r="1448" spans="1:57" ht="13" x14ac:dyDescent="0.15">
      <c r="A1448">
        <v>1839</v>
      </c>
      <c r="B1448">
        <v>127693417</v>
      </c>
      <c r="C1448" t="s">
        <v>376</v>
      </c>
      <c r="D1448" s="7">
        <v>42899</v>
      </c>
      <c r="E1448" s="7">
        <v>45713</v>
      </c>
      <c r="F1448">
        <v>330862</v>
      </c>
      <c r="G1448" t="s">
        <v>983</v>
      </c>
      <c r="H1448" t="s">
        <v>9</v>
      </c>
      <c r="I1448" s="7">
        <v>45672</v>
      </c>
      <c r="J1448" s="8">
        <v>0.48907407407407405</v>
      </c>
      <c r="K1448" t="s">
        <v>984</v>
      </c>
      <c r="AQ1448" t="s">
        <v>1092</v>
      </c>
      <c r="AR1448" t="s">
        <v>1302</v>
      </c>
      <c r="AT1448" t="s">
        <v>987</v>
      </c>
      <c r="AZ1448" t="s">
        <v>1024</v>
      </c>
      <c r="BA1448" t="s">
        <v>1047</v>
      </c>
      <c r="BB1448" t="s">
        <v>1048</v>
      </c>
      <c r="BD1448" t="s">
        <v>1014</v>
      </c>
      <c r="BE1448" t="s">
        <v>376</v>
      </c>
    </row>
    <row r="1449" spans="1:57" ht="13" x14ac:dyDescent="0.15">
      <c r="A1449">
        <v>1839</v>
      </c>
      <c r="B1449">
        <v>127693417</v>
      </c>
      <c r="C1449" t="s">
        <v>376</v>
      </c>
      <c r="D1449" s="7">
        <v>42899</v>
      </c>
      <c r="E1449" s="7">
        <v>45713</v>
      </c>
      <c r="F1449">
        <v>330862</v>
      </c>
      <c r="G1449" t="s">
        <v>983</v>
      </c>
      <c r="H1449" t="s">
        <v>9</v>
      </c>
      <c r="I1449" s="7">
        <v>45675</v>
      </c>
      <c r="J1449" s="8">
        <v>0.6733217592592593</v>
      </c>
      <c r="K1449" t="s">
        <v>984</v>
      </c>
      <c r="AQ1449" t="s">
        <v>1092</v>
      </c>
      <c r="AR1449" t="s">
        <v>1095</v>
      </c>
      <c r="AT1449" t="s">
        <v>987</v>
      </c>
      <c r="AZ1449" t="s">
        <v>1002</v>
      </c>
      <c r="BA1449" t="s">
        <v>1003</v>
      </c>
      <c r="BB1449" t="s">
        <v>1004</v>
      </c>
      <c r="BD1449" t="s">
        <v>1005</v>
      </c>
      <c r="BE1449" t="s">
        <v>376</v>
      </c>
    </row>
    <row r="1450" spans="1:57" ht="13" x14ac:dyDescent="0.15">
      <c r="A1450">
        <v>1839</v>
      </c>
      <c r="B1450">
        <v>127693417</v>
      </c>
      <c r="C1450" t="s">
        <v>376</v>
      </c>
      <c r="D1450" s="7">
        <v>42899</v>
      </c>
      <c r="E1450" s="7">
        <v>45713</v>
      </c>
      <c r="F1450">
        <v>330862</v>
      </c>
      <c r="G1450" t="s">
        <v>983</v>
      </c>
      <c r="H1450" t="s">
        <v>9</v>
      </c>
      <c r="I1450" s="7">
        <v>45633</v>
      </c>
      <c r="J1450" s="8">
        <v>0.44993055555555556</v>
      </c>
      <c r="K1450" t="s">
        <v>984</v>
      </c>
      <c r="AQ1450" t="s">
        <v>1092</v>
      </c>
      <c r="AR1450" t="s">
        <v>1685</v>
      </c>
      <c r="AT1450" t="s">
        <v>987</v>
      </c>
      <c r="AZ1450" t="s">
        <v>1024</v>
      </c>
      <c r="BA1450" t="s">
        <v>1025</v>
      </c>
      <c r="BB1450" t="s">
        <v>1026</v>
      </c>
      <c r="BD1450" t="s">
        <v>1022</v>
      </c>
      <c r="BE1450" t="s">
        <v>376</v>
      </c>
    </row>
    <row r="1451" spans="1:57" ht="13" x14ac:dyDescent="0.15">
      <c r="A1451">
        <v>1839</v>
      </c>
      <c r="B1451">
        <v>127693417</v>
      </c>
      <c r="C1451" t="s">
        <v>376</v>
      </c>
      <c r="D1451" s="7">
        <v>42899</v>
      </c>
      <c r="E1451" s="7">
        <v>45713</v>
      </c>
      <c r="F1451">
        <v>330862</v>
      </c>
      <c r="G1451" t="s">
        <v>983</v>
      </c>
      <c r="H1451" t="s">
        <v>9</v>
      </c>
      <c r="I1451" s="7">
        <v>45672</v>
      </c>
      <c r="J1451" s="8">
        <v>0.48434027777777777</v>
      </c>
      <c r="K1451" t="s">
        <v>984</v>
      </c>
      <c r="AQ1451" t="s">
        <v>1092</v>
      </c>
      <c r="AR1451" t="s">
        <v>1477</v>
      </c>
      <c r="AT1451" t="s">
        <v>987</v>
      </c>
      <c r="AZ1451" t="s">
        <v>1016</v>
      </c>
      <c r="BA1451" t="s">
        <v>1017</v>
      </c>
      <c r="BB1451" t="s">
        <v>1018</v>
      </c>
      <c r="BD1451" t="s">
        <v>991</v>
      </c>
      <c r="BE1451" t="s">
        <v>376</v>
      </c>
    </row>
    <row r="1452" spans="1:57" ht="13" x14ac:dyDescent="0.15">
      <c r="A1452">
        <v>1839</v>
      </c>
      <c r="B1452">
        <v>128007191</v>
      </c>
      <c r="C1452" t="s">
        <v>377</v>
      </c>
      <c r="D1452" s="7">
        <v>42905</v>
      </c>
      <c r="E1452" s="7">
        <v>45694</v>
      </c>
      <c r="F1452">
        <v>330862</v>
      </c>
      <c r="G1452" t="s">
        <v>983</v>
      </c>
      <c r="H1452" t="s">
        <v>9</v>
      </c>
      <c r="I1452" s="7">
        <v>45694</v>
      </c>
      <c r="J1452" s="8">
        <v>0.35689814814814813</v>
      </c>
      <c r="K1452" t="s">
        <v>984</v>
      </c>
      <c r="AQ1452" t="s">
        <v>992</v>
      </c>
      <c r="AR1452" t="s">
        <v>994</v>
      </c>
      <c r="AT1452" t="s">
        <v>987</v>
      </c>
      <c r="AZ1452" t="s">
        <v>1011</v>
      </c>
      <c r="BA1452" t="s">
        <v>1012</v>
      </c>
      <c r="BB1452" t="s">
        <v>1013</v>
      </c>
      <c r="BD1452" t="s">
        <v>1014</v>
      </c>
      <c r="BE1452" t="s">
        <v>377</v>
      </c>
    </row>
    <row r="1453" spans="1:57" ht="13" x14ac:dyDescent="0.15">
      <c r="A1453">
        <v>1839</v>
      </c>
      <c r="B1453">
        <v>128007191</v>
      </c>
      <c r="C1453" t="s">
        <v>377</v>
      </c>
      <c r="D1453" s="7">
        <v>42905</v>
      </c>
      <c r="E1453" s="7">
        <v>45694</v>
      </c>
      <c r="F1453">
        <v>330862</v>
      </c>
      <c r="G1453" t="s">
        <v>983</v>
      </c>
      <c r="H1453" t="s">
        <v>9</v>
      </c>
      <c r="I1453" s="7">
        <v>45694</v>
      </c>
      <c r="J1453" s="8">
        <v>0.35630787037037037</v>
      </c>
      <c r="K1453" t="s">
        <v>984</v>
      </c>
      <c r="AQ1453" t="s">
        <v>992</v>
      </c>
      <c r="AR1453" t="s">
        <v>993</v>
      </c>
      <c r="AT1453" t="s">
        <v>987</v>
      </c>
      <c r="AZ1453" t="s">
        <v>988</v>
      </c>
      <c r="BA1453" t="s">
        <v>989</v>
      </c>
      <c r="BB1453" t="s">
        <v>990</v>
      </c>
      <c r="BD1453" t="s">
        <v>991</v>
      </c>
      <c r="BE1453" t="s">
        <v>377</v>
      </c>
    </row>
    <row r="1454" spans="1:57" ht="13" x14ac:dyDescent="0.15">
      <c r="A1454">
        <v>1839</v>
      </c>
      <c r="B1454">
        <v>128077216</v>
      </c>
      <c r="C1454" t="s">
        <v>378</v>
      </c>
      <c r="D1454" s="7">
        <v>42906</v>
      </c>
      <c r="E1454" s="7">
        <v>45695</v>
      </c>
      <c r="F1454">
        <v>330862</v>
      </c>
      <c r="G1454" t="s">
        <v>983</v>
      </c>
      <c r="H1454" t="s">
        <v>9</v>
      </c>
      <c r="I1454" s="7">
        <v>45679</v>
      </c>
      <c r="J1454" s="8">
        <v>0.43552083333333336</v>
      </c>
      <c r="K1454" t="s">
        <v>984</v>
      </c>
      <c r="AQ1454" t="s">
        <v>992</v>
      </c>
      <c r="AR1454" t="s">
        <v>1083</v>
      </c>
      <c r="AT1454" t="s">
        <v>987</v>
      </c>
      <c r="AZ1454" t="s">
        <v>1011</v>
      </c>
      <c r="BA1454" t="s">
        <v>1012</v>
      </c>
      <c r="BB1454" t="s">
        <v>1013</v>
      </c>
      <c r="BD1454" t="s">
        <v>1014</v>
      </c>
      <c r="BE1454" t="s">
        <v>378</v>
      </c>
    </row>
    <row r="1455" spans="1:57" ht="13" x14ac:dyDescent="0.15">
      <c r="A1455">
        <v>1839</v>
      </c>
      <c r="B1455">
        <v>128411593</v>
      </c>
      <c r="C1455" t="s">
        <v>379</v>
      </c>
      <c r="D1455" s="7">
        <v>42913</v>
      </c>
      <c r="E1455" s="7">
        <v>45712</v>
      </c>
      <c r="F1455">
        <v>330862</v>
      </c>
      <c r="G1455" t="s">
        <v>983</v>
      </c>
      <c r="H1455" t="s">
        <v>9</v>
      </c>
      <c r="I1455" s="7">
        <v>45700</v>
      </c>
      <c r="J1455" s="8">
        <v>0.60642361111111109</v>
      </c>
      <c r="K1455" t="s">
        <v>984</v>
      </c>
      <c r="AQ1455" t="s">
        <v>992</v>
      </c>
      <c r="AR1455" t="s">
        <v>1039</v>
      </c>
      <c r="AT1455" t="s">
        <v>987</v>
      </c>
      <c r="AZ1455" t="s">
        <v>1002</v>
      </c>
      <c r="BA1455" t="s">
        <v>1040</v>
      </c>
      <c r="BB1455" t="s">
        <v>1041</v>
      </c>
      <c r="BD1455" t="s">
        <v>991</v>
      </c>
      <c r="BE1455" t="s">
        <v>379</v>
      </c>
    </row>
    <row r="1456" spans="1:57" ht="13" x14ac:dyDescent="0.15">
      <c r="A1456">
        <v>1839</v>
      </c>
      <c r="B1456">
        <v>128411593</v>
      </c>
      <c r="C1456" t="s">
        <v>379</v>
      </c>
      <c r="D1456" s="7">
        <v>42913</v>
      </c>
      <c r="E1456" s="7">
        <v>45712</v>
      </c>
      <c r="F1456">
        <v>330862</v>
      </c>
      <c r="G1456" t="s">
        <v>983</v>
      </c>
      <c r="H1456" t="s">
        <v>9</v>
      </c>
      <c r="I1456" s="7">
        <v>45695</v>
      </c>
      <c r="J1456" s="8">
        <v>0.35202546296296294</v>
      </c>
      <c r="K1456" t="s">
        <v>984</v>
      </c>
      <c r="AQ1456" t="s">
        <v>992</v>
      </c>
      <c r="AR1456" t="s">
        <v>993</v>
      </c>
      <c r="AT1456" t="s">
        <v>987</v>
      </c>
      <c r="AZ1456" t="s">
        <v>988</v>
      </c>
      <c r="BA1456" t="s">
        <v>989</v>
      </c>
      <c r="BB1456" t="s">
        <v>990</v>
      </c>
      <c r="BD1456" t="s">
        <v>991</v>
      </c>
      <c r="BE1456" t="s">
        <v>379</v>
      </c>
    </row>
    <row r="1457" spans="1:57" ht="13" x14ac:dyDescent="0.15">
      <c r="A1457">
        <v>1839</v>
      </c>
      <c r="B1457">
        <v>128411593</v>
      </c>
      <c r="C1457" t="s">
        <v>379</v>
      </c>
      <c r="D1457" s="7">
        <v>42913</v>
      </c>
      <c r="E1457" s="7">
        <v>45712</v>
      </c>
      <c r="F1457">
        <v>330862</v>
      </c>
      <c r="G1457" t="s">
        <v>983</v>
      </c>
      <c r="H1457" t="s">
        <v>9</v>
      </c>
      <c r="I1457" s="7">
        <v>45695</v>
      </c>
      <c r="J1457" s="8">
        <v>0.35074074074074074</v>
      </c>
      <c r="K1457" t="s">
        <v>984</v>
      </c>
      <c r="AQ1457" t="s">
        <v>992</v>
      </c>
      <c r="AR1457" t="s">
        <v>993</v>
      </c>
      <c r="AT1457" t="s">
        <v>987</v>
      </c>
      <c r="AZ1457" t="s">
        <v>988</v>
      </c>
      <c r="BA1457" t="s">
        <v>989</v>
      </c>
      <c r="BB1457" t="s">
        <v>990</v>
      </c>
      <c r="BD1457" t="s">
        <v>991</v>
      </c>
      <c r="BE1457" t="s">
        <v>379</v>
      </c>
    </row>
    <row r="1458" spans="1:57" ht="13" x14ac:dyDescent="0.15">
      <c r="A1458">
        <v>1839</v>
      </c>
      <c r="B1458">
        <v>128411593</v>
      </c>
      <c r="C1458" t="s">
        <v>379</v>
      </c>
      <c r="D1458" s="7">
        <v>42913</v>
      </c>
      <c r="E1458" s="7">
        <v>45712</v>
      </c>
      <c r="F1458">
        <v>330862</v>
      </c>
      <c r="G1458" t="s">
        <v>983</v>
      </c>
      <c r="H1458" t="s">
        <v>9</v>
      </c>
      <c r="I1458" s="7">
        <v>45695</v>
      </c>
      <c r="J1458" s="8">
        <v>0.38018518518518518</v>
      </c>
      <c r="K1458" t="s">
        <v>984</v>
      </c>
      <c r="AQ1458" t="s">
        <v>992</v>
      </c>
      <c r="AR1458" t="s">
        <v>994</v>
      </c>
      <c r="AT1458" t="s">
        <v>987</v>
      </c>
      <c r="AZ1458" t="s">
        <v>1011</v>
      </c>
      <c r="BA1458" t="s">
        <v>1012</v>
      </c>
      <c r="BB1458" t="s">
        <v>1013</v>
      </c>
      <c r="BD1458" t="s">
        <v>1014</v>
      </c>
      <c r="BE1458" t="s">
        <v>379</v>
      </c>
    </row>
    <row r="1459" spans="1:57" ht="13" x14ac:dyDescent="0.15">
      <c r="A1459">
        <v>1839</v>
      </c>
      <c r="B1459">
        <v>128411593</v>
      </c>
      <c r="C1459" t="s">
        <v>379</v>
      </c>
      <c r="D1459" s="7">
        <v>42913</v>
      </c>
      <c r="E1459" s="7">
        <v>45712</v>
      </c>
      <c r="F1459">
        <v>330862</v>
      </c>
      <c r="G1459" t="s">
        <v>983</v>
      </c>
      <c r="H1459" t="s">
        <v>9</v>
      </c>
      <c r="I1459" s="7">
        <v>45697</v>
      </c>
      <c r="J1459" s="8">
        <v>0.46384259259259258</v>
      </c>
      <c r="K1459" t="s">
        <v>984</v>
      </c>
      <c r="AQ1459" t="s">
        <v>992</v>
      </c>
      <c r="AR1459" t="s">
        <v>1315</v>
      </c>
      <c r="AT1459" t="s">
        <v>987</v>
      </c>
      <c r="AZ1459" t="s">
        <v>1182</v>
      </c>
      <c r="BA1459" t="s">
        <v>1183</v>
      </c>
      <c r="BB1459" t="s">
        <v>990</v>
      </c>
      <c r="BD1459" t="s">
        <v>991</v>
      </c>
      <c r="BE1459" t="s">
        <v>379</v>
      </c>
    </row>
    <row r="1460" spans="1:57" ht="13" x14ac:dyDescent="0.15">
      <c r="A1460">
        <v>1839</v>
      </c>
      <c r="B1460">
        <v>128411593</v>
      </c>
      <c r="C1460" t="s">
        <v>379</v>
      </c>
      <c r="D1460" s="7">
        <v>42913</v>
      </c>
      <c r="E1460" s="7">
        <v>45712</v>
      </c>
      <c r="F1460">
        <v>330862</v>
      </c>
      <c r="G1460" t="s">
        <v>983</v>
      </c>
      <c r="H1460" t="s">
        <v>9</v>
      </c>
      <c r="I1460" s="7">
        <v>45712</v>
      </c>
      <c r="J1460" s="8">
        <v>0.59084490740740736</v>
      </c>
      <c r="K1460" t="s">
        <v>984</v>
      </c>
      <c r="AQ1460" t="s">
        <v>992</v>
      </c>
      <c r="AR1460" t="s">
        <v>1686</v>
      </c>
      <c r="AT1460" t="s">
        <v>987</v>
      </c>
      <c r="AZ1460" t="s">
        <v>1220</v>
      </c>
      <c r="BA1460" t="s">
        <v>1221</v>
      </c>
      <c r="BB1460" t="s">
        <v>1082</v>
      </c>
      <c r="BD1460" t="s">
        <v>991</v>
      </c>
      <c r="BE1460" t="s">
        <v>379</v>
      </c>
    </row>
    <row r="1461" spans="1:57" ht="13" x14ac:dyDescent="0.15">
      <c r="A1461">
        <v>1839</v>
      </c>
      <c r="B1461">
        <v>128411593</v>
      </c>
      <c r="C1461" t="s">
        <v>379</v>
      </c>
      <c r="D1461" s="7">
        <v>42913</v>
      </c>
      <c r="E1461" s="7">
        <v>45712</v>
      </c>
      <c r="F1461">
        <v>330862</v>
      </c>
      <c r="G1461" t="s">
        <v>983</v>
      </c>
      <c r="H1461" t="s">
        <v>9</v>
      </c>
      <c r="I1461" s="7">
        <v>45705</v>
      </c>
      <c r="J1461" s="8">
        <v>0.60111111111111115</v>
      </c>
      <c r="K1461" t="s">
        <v>984</v>
      </c>
      <c r="AQ1461" t="s">
        <v>992</v>
      </c>
      <c r="AR1461" t="s">
        <v>1079</v>
      </c>
      <c r="AT1461" t="s">
        <v>987</v>
      </c>
      <c r="AZ1461" t="s">
        <v>1080</v>
      </c>
      <c r="BA1461" t="s">
        <v>1081</v>
      </c>
      <c r="BB1461" t="s">
        <v>1082</v>
      </c>
      <c r="BD1461" t="s">
        <v>991</v>
      </c>
      <c r="BE1461" t="s">
        <v>379</v>
      </c>
    </row>
    <row r="1462" spans="1:57" ht="13" x14ac:dyDescent="0.15">
      <c r="A1462">
        <v>1839</v>
      </c>
      <c r="B1462">
        <v>128411593</v>
      </c>
      <c r="C1462" t="s">
        <v>379</v>
      </c>
      <c r="D1462" s="7">
        <v>42913</v>
      </c>
      <c r="E1462" s="7">
        <v>45712</v>
      </c>
      <c r="F1462">
        <v>330862</v>
      </c>
      <c r="G1462" t="s">
        <v>983</v>
      </c>
      <c r="H1462" t="s">
        <v>9</v>
      </c>
      <c r="I1462" s="7">
        <v>45709</v>
      </c>
      <c r="J1462" s="8">
        <v>0.81380787037037039</v>
      </c>
      <c r="K1462" t="s">
        <v>984</v>
      </c>
      <c r="AQ1462" t="s">
        <v>992</v>
      </c>
      <c r="AR1462" t="s">
        <v>1687</v>
      </c>
      <c r="AT1462" t="s">
        <v>987</v>
      </c>
      <c r="AZ1462" t="s">
        <v>1028</v>
      </c>
      <c r="BA1462" t="s">
        <v>1037</v>
      </c>
      <c r="BB1462" t="s">
        <v>1038</v>
      </c>
      <c r="BD1462" t="s">
        <v>991</v>
      </c>
      <c r="BE1462" t="s">
        <v>379</v>
      </c>
    </row>
    <row r="1463" spans="1:57" ht="13" x14ac:dyDescent="0.15">
      <c r="A1463">
        <v>1839</v>
      </c>
      <c r="B1463">
        <v>128464291</v>
      </c>
      <c r="C1463" t="s">
        <v>380</v>
      </c>
      <c r="D1463" s="7">
        <v>42914</v>
      </c>
      <c r="E1463" s="7">
        <v>45696</v>
      </c>
      <c r="F1463">
        <v>330862</v>
      </c>
      <c r="G1463" t="s">
        <v>983</v>
      </c>
      <c r="H1463" t="s">
        <v>9</v>
      </c>
      <c r="I1463" s="7">
        <v>45694</v>
      </c>
      <c r="J1463" s="8">
        <v>0.5596875</v>
      </c>
      <c r="K1463" t="s">
        <v>984</v>
      </c>
      <c r="AQ1463" t="s">
        <v>1261</v>
      </c>
      <c r="AR1463" t="s">
        <v>1285</v>
      </c>
      <c r="AT1463" t="s">
        <v>987</v>
      </c>
      <c r="AZ1463" t="s">
        <v>988</v>
      </c>
      <c r="BA1463" t="s">
        <v>989</v>
      </c>
      <c r="BB1463" t="s">
        <v>990</v>
      </c>
      <c r="BD1463" t="s">
        <v>991</v>
      </c>
      <c r="BE1463" t="s">
        <v>380</v>
      </c>
    </row>
    <row r="1464" spans="1:57" ht="13" x14ac:dyDescent="0.15">
      <c r="A1464">
        <v>1839</v>
      </c>
      <c r="B1464">
        <v>130466319</v>
      </c>
      <c r="C1464" t="s">
        <v>381</v>
      </c>
      <c r="D1464" s="7">
        <v>42948</v>
      </c>
      <c r="E1464" s="7">
        <v>45691</v>
      </c>
      <c r="F1464">
        <v>330862</v>
      </c>
      <c r="G1464" t="s">
        <v>983</v>
      </c>
      <c r="H1464" t="s">
        <v>9</v>
      </c>
      <c r="I1464" s="7">
        <v>45691</v>
      </c>
      <c r="J1464" s="8">
        <v>0.5102430555555556</v>
      </c>
      <c r="K1464" t="s">
        <v>984</v>
      </c>
      <c r="AQ1464" t="s">
        <v>998</v>
      </c>
      <c r="AR1464" t="s">
        <v>994</v>
      </c>
      <c r="AT1464" t="s">
        <v>987</v>
      </c>
      <c r="AZ1464" t="s">
        <v>1011</v>
      </c>
      <c r="BA1464" t="s">
        <v>1012</v>
      </c>
      <c r="BB1464" t="s">
        <v>1013</v>
      </c>
      <c r="BD1464" t="s">
        <v>1014</v>
      </c>
      <c r="BE1464" t="s">
        <v>381</v>
      </c>
    </row>
    <row r="1465" spans="1:57" ht="13" x14ac:dyDescent="0.15">
      <c r="A1465">
        <v>1839</v>
      </c>
      <c r="B1465">
        <v>130466443</v>
      </c>
      <c r="C1465" t="s">
        <v>1688</v>
      </c>
      <c r="D1465" s="7">
        <v>42948</v>
      </c>
      <c r="E1465" s="7">
        <v>45692</v>
      </c>
      <c r="F1465">
        <v>330862</v>
      </c>
      <c r="G1465" t="s">
        <v>983</v>
      </c>
      <c r="H1465" t="s">
        <v>9</v>
      </c>
      <c r="I1465" s="7">
        <v>45657</v>
      </c>
      <c r="J1465" s="8">
        <v>0.6803703703703704</v>
      </c>
      <c r="K1465" t="s">
        <v>984</v>
      </c>
      <c r="AQ1465" t="s">
        <v>992</v>
      </c>
      <c r="AR1465" t="s">
        <v>1689</v>
      </c>
      <c r="AT1465" t="s">
        <v>987</v>
      </c>
      <c r="AZ1465" t="s">
        <v>1002</v>
      </c>
      <c r="BA1465" t="s">
        <v>1003</v>
      </c>
      <c r="BB1465" t="s">
        <v>1004</v>
      </c>
      <c r="BD1465" t="s">
        <v>1005</v>
      </c>
      <c r="BE1465" t="s">
        <v>1688</v>
      </c>
    </row>
    <row r="1466" spans="1:57" ht="13" x14ac:dyDescent="0.15">
      <c r="A1466">
        <v>1839</v>
      </c>
      <c r="B1466">
        <v>130963270</v>
      </c>
      <c r="C1466" t="s">
        <v>382</v>
      </c>
      <c r="D1466" s="7">
        <v>42960</v>
      </c>
      <c r="E1466" s="7">
        <v>45701</v>
      </c>
      <c r="F1466">
        <v>330862</v>
      </c>
      <c r="G1466" t="s">
        <v>983</v>
      </c>
      <c r="H1466" t="s">
        <v>9</v>
      </c>
      <c r="I1466" s="7">
        <v>45673</v>
      </c>
      <c r="J1466" s="8">
        <v>0.38712962962962966</v>
      </c>
      <c r="K1466" t="s">
        <v>984</v>
      </c>
      <c r="AQ1466" t="s">
        <v>992</v>
      </c>
      <c r="AR1466" t="s">
        <v>1663</v>
      </c>
      <c r="AT1466" t="s">
        <v>987</v>
      </c>
      <c r="AZ1466" t="s">
        <v>1016</v>
      </c>
      <c r="BA1466" t="s">
        <v>1017</v>
      </c>
      <c r="BB1466" t="s">
        <v>1018</v>
      </c>
      <c r="BD1466" t="s">
        <v>991</v>
      </c>
      <c r="BE1466" t="s">
        <v>382</v>
      </c>
    </row>
    <row r="1467" spans="1:57" ht="13" x14ac:dyDescent="0.15">
      <c r="A1467">
        <v>1839</v>
      </c>
      <c r="B1467">
        <v>131805566</v>
      </c>
      <c r="C1467" t="s">
        <v>383</v>
      </c>
      <c r="D1467" s="7">
        <v>42975</v>
      </c>
      <c r="E1467" s="7">
        <v>45697</v>
      </c>
      <c r="F1467">
        <v>330862</v>
      </c>
      <c r="G1467" t="s">
        <v>983</v>
      </c>
      <c r="H1467" t="s">
        <v>9</v>
      </c>
      <c r="I1467" s="7">
        <v>45694</v>
      </c>
      <c r="J1467" s="8">
        <v>0.51181712962962966</v>
      </c>
      <c r="K1467" t="s">
        <v>984</v>
      </c>
      <c r="AQ1467" t="s">
        <v>998</v>
      </c>
      <c r="AR1467" t="s">
        <v>986</v>
      </c>
      <c r="AT1467" t="s">
        <v>987</v>
      </c>
      <c r="AZ1467" t="s">
        <v>988</v>
      </c>
      <c r="BA1467" t="s">
        <v>989</v>
      </c>
      <c r="BB1467" t="s">
        <v>990</v>
      </c>
      <c r="BD1467" t="s">
        <v>991</v>
      </c>
      <c r="BE1467" t="s">
        <v>383</v>
      </c>
    </row>
    <row r="1468" spans="1:57" ht="13" x14ac:dyDescent="0.15">
      <c r="A1468">
        <v>1839</v>
      </c>
      <c r="B1468">
        <v>134510762</v>
      </c>
      <c r="C1468" t="s">
        <v>384</v>
      </c>
      <c r="D1468" s="7">
        <v>43022</v>
      </c>
      <c r="E1468" s="7">
        <v>45700</v>
      </c>
      <c r="F1468">
        <v>330862</v>
      </c>
      <c r="G1468" t="s">
        <v>983</v>
      </c>
      <c r="H1468" t="s">
        <v>9</v>
      </c>
      <c r="I1468" s="7">
        <v>45695</v>
      </c>
      <c r="J1468" s="8">
        <v>0.19678240740740741</v>
      </c>
      <c r="K1468" t="s">
        <v>984</v>
      </c>
      <c r="AQ1468" t="s">
        <v>1090</v>
      </c>
      <c r="AR1468" t="s">
        <v>1066</v>
      </c>
      <c r="AT1468" t="s">
        <v>987</v>
      </c>
      <c r="AZ1468" t="s">
        <v>988</v>
      </c>
      <c r="BA1468" t="s">
        <v>989</v>
      </c>
      <c r="BB1468" t="s">
        <v>990</v>
      </c>
      <c r="BD1468" t="s">
        <v>991</v>
      </c>
      <c r="BE1468" t="s">
        <v>384</v>
      </c>
    </row>
    <row r="1469" spans="1:57" ht="13" x14ac:dyDescent="0.15">
      <c r="A1469">
        <v>1839</v>
      </c>
      <c r="B1469">
        <v>135292365</v>
      </c>
      <c r="C1469" t="s">
        <v>385</v>
      </c>
      <c r="D1469" s="7">
        <v>43036</v>
      </c>
      <c r="E1469" s="7">
        <v>45696</v>
      </c>
      <c r="F1469">
        <v>330862</v>
      </c>
      <c r="G1469" t="s">
        <v>983</v>
      </c>
      <c r="H1469" t="s">
        <v>9</v>
      </c>
      <c r="I1469" s="7">
        <v>45694</v>
      </c>
      <c r="J1469" s="8">
        <v>0.56489583333333337</v>
      </c>
      <c r="K1469" t="s">
        <v>984</v>
      </c>
      <c r="AQ1469" t="s">
        <v>1089</v>
      </c>
      <c r="AR1469" t="s">
        <v>986</v>
      </c>
      <c r="AT1469" t="s">
        <v>987</v>
      </c>
      <c r="AZ1469" t="s">
        <v>988</v>
      </c>
      <c r="BA1469" t="s">
        <v>989</v>
      </c>
      <c r="BB1469" t="s">
        <v>990</v>
      </c>
      <c r="BD1469" t="s">
        <v>991</v>
      </c>
      <c r="BE1469" t="s">
        <v>385</v>
      </c>
    </row>
    <row r="1470" spans="1:57" ht="13" x14ac:dyDescent="0.15">
      <c r="A1470">
        <v>1839</v>
      </c>
      <c r="B1470">
        <v>135292365</v>
      </c>
      <c r="C1470" t="s">
        <v>385</v>
      </c>
      <c r="D1470" s="7">
        <v>43036</v>
      </c>
      <c r="E1470" s="7">
        <v>45696</v>
      </c>
      <c r="F1470">
        <v>330862</v>
      </c>
      <c r="G1470" t="s">
        <v>983</v>
      </c>
      <c r="H1470" t="s">
        <v>9</v>
      </c>
      <c r="I1470" s="7">
        <v>45692</v>
      </c>
      <c r="J1470" s="8">
        <v>6.745370370370371E-2</v>
      </c>
      <c r="K1470" t="s">
        <v>984</v>
      </c>
      <c r="AQ1470" t="s">
        <v>1089</v>
      </c>
      <c r="AR1470" t="s">
        <v>1269</v>
      </c>
      <c r="AT1470" t="s">
        <v>987</v>
      </c>
      <c r="AZ1470" t="s">
        <v>1011</v>
      </c>
      <c r="BA1470" t="s">
        <v>1012</v>
      </c>
      <c r="BB1470" t="s">
        <v>1013</v>
      </c>
      <c r="BD1470" t="s">
        <v>1014</v>
      </c>
      <c r="BE1470" t="s">
        <v>385</v>
      </c>
    </row>
    <row r="1471" spans="1:57" ht="13" x14ac:dyDescent="0.15">
      <c r="A1471">
        <v>1839</v>
      </c>
      <c r="B1471">
        <v>135292365</v>
      </c>
      <c r="C1471" t="s">
        <v>385</v>
      </c>
      <c r="D1471" s="7">
        <v>43036</v>
      </c>
      <c r="E1471" s="7">
        <v>45696</v>
      </c>
      <c r="F1471">
        <v>330862</v>
      </c>
      <c r="G1471" t="s">
        <v>983</v>
      </c>
      <c r="H1471" t="s">
        <v>9</v>
      </c>
      <c r="I1471" s="7">
        <v>45692</v>
      </c>
      <c r="J1471" s="8">
        <v>6.8634259259259256E-2</v>
      </c>
      <c r="K1471" t="s">
        <v>984</v>
      </c>
      <c r="AQ1471" t="s">
        <v>1089</v>
      </c>
      <c r="AR1471" t="s">
        <v>1046</v>
      </c>
      <c r="AT1471" t="s">
        <v>987</v>
      </c>
      <c r="AZ1471" t="s">
        <v>1024</v>
      </c>
      <c r="BA1471" t="s">
        <v>1047</v>
      </c>
      <c r="BB1471" t="s">
        <v>1048</v>
      </c>
      <c r="BD1471" t="s">
        <v>1014</v>
      </c>
      <c r="BE1471" t="s">
        <v>385</v>
      </c>
    </row>
    <row r="1472" spans="1:57" ht="13" x14ac:dyDescent="0.15">
      <c r="A1472">
        <v>1839</v>
      </c>
      <c r="B1472">
        <v>135702714</v>
      </c>
      <c r="C1472" t="s">
        <v>386</v>
      </c>
      <c r="D1472" s="7">
        <v>43044</v>
      </c>
      <c r="E1472" s="7">
        <v>45709</v>
      </c>
      <c r="F1472">
        <v>330862</v>
      </c>
      <c r="G1472" t="s">
        <v>983</v>
      </c>
      <c r="H1472" t="s">
        <v>9</v>
      </c>
      <c r="I1472" s="7">
        <v>45679</v>
      </c>
      <c r="J1472" s="8">
        <v>0.39462962962962961</v>
      </c>
      <c r="K1472" t="s">
        <v>984</v>
      </c>
      <c r="AQ1472" t="s">
        <v>998</v>
      </c>
      <c r="AR1472" t="s">
        <v>1083</v>
      </c>
      <c r="AT1472" t="s">
        <v>987</v>
      </c>
      <c r="AZ1472" t="s">
        <v>1011</v>
      </c>
      <c r="BA1472" t="s">
        <v>1012</v>
      </c>
      <c r="BB1472" t="s">
        <v>1013</v>
      </c>
      <c r="BD1472" t="s">
        <v>1014</v>
      </c>
      <c r="BE1472" t="s">
        <v>386</v>
      </c>
    </row>
    <row r="1473" spans="1:57" ht="13" x14ac:dyDescent="0.15">
      <c r="A1473">
        <v>1839</v>
      </c>
      <c r="B1473">
        <v>135702714</v>
      </c>
      <c r="C1473" t="s">
        <v>386</v>
      </c>
      <c r="D1473" s="7">
        <v>43044</v>
      </c>
      <c r="E1473" s="7">
        <v>45709</v>
      </c>
      <c r="F1473">
        <v>330862</v>
      </c>
      <c r="G1473" t="s">
        <v>983</v>
      </c>
      <c r="H1473" t="s">
        <v>9</v>
      </c>
      <c r="I1473" s="7">
        <v>45690</v>
      </c>
      <c r="J1473" s="8">
        <v>0.66408564814814819</v>
      </c>
      <c r="K1473" t="s">
        <v>984</v>
      </c>
      <c r="AQ1473" t="s">
        <v>998</v>
      </c>
      <c r="AR1473" t="s">
        <v>1420</v>
      </c>
      <c r="AT1473" t="s">
        <v>987</v>
      </c>
      <c r="AZ1473" t="s">
        <v>1007</v>
      </c>
      <c r="BA1473" t="s">
        <v>1008</v>
      </c>
      <c r="BB1473" t="s">
        <v>990</v>
      </c>
      <c r="BD1473" t="s">
        <v>1005</v>
      </c>
      <c r="BE1473" t="s">
        <v>386</v>
      </c>
    </row>
    <row r="1474" spans="1:57" ht="13" x14ac:dyDescent="0.15">
      <c r="A1474">
        <v>1839</v>
      </c>
      <c r="B1474">
        <v>135702714</v>
      </c>
      <c r="C1474" t="s">
        <v>386</v>
      </c>
      <c r="D1474" s="7">
        <v>43044</v>
      </c>
      <c r="E1474" s="7">
        <v>45709</v>
      </c>
      <c r="F1474">
        <v>330862</v>
      </c>
      <c r="G1474" t="s">
        <v>983</v>
      </c>
      <c r="H1474" t="s">
        <v>9</v>
      </c>
      <c r="I1474" s="7">
        <v>45686</v>
      </c>
      <c r="J1474" s="8">
        <v>0.71432870370370372</v>
      </c>
      <c r="K1474" t="s">
        <v>984</v>
      </c>
      <c r="AQ1474" t="s">
        <v>992</v>
      </c>
      <c r="AR1474" t="s">
        <v>1690</v>
      </c>
      <c r="AT1474" t="s">
        <v>987</v>
      </c>
      <c r="AZ1474" t="s">
        <v>1007</v>
      </c>
      <c r="BA1474" t="s">
        <v>1008</v>
      </c>
      <c r="BB1474" t="s">
        <v>990</v>
      </c>
      <c r="BD1474" t="s">
        <v>1005</v>
      </c>
      <c r="BE1474" t="s">
        <v>386</v>
      </c>
    </row>
    <row r="1475" spans="1:57" ht="13" x14ac:dyDescent="0.15">
      <c r="A1475">
        <v>1839</v>
      </c>
      <c r="B1475">
        <v>135702714</v>
      </c>
      <c r="C1475" t="s">
        <v>386</v>
      </c>
      <c r="D1475" s="7">
        <v>43044</v>
      </c>
      <c r="E1475" s="7">
        <v>45709</v>
      </c>
      <c r="F1475">
        <v>330862</v>
      </c>
      <c r="G1475" t="s">
        <v>983</v>
      </c>
      <c r="H1475" t="s">
        <v>9</v>
      </c>
      <c r="I1475" s="7">
        <v>45703</v>
      </c>
      <c r="J1475" s="8">
        <v>0.69056712962962963</v>
      </c>
      <c r="K1475" t="s">
        <v>984</v>
      </c>
      <c r="AQ1475" t="s">
        <v>998</v>
      </c>
      <c r="AR1475" t="s">
        <v>997</v>
      </c>
      <c r="AT1475" t="s">
        <v>987</v>
      </c>
      <c r="AZ1475" t="s">
        <v>988</v>
      </c>
      <c r="BA1475" t="s">
        <v>989</v>
      </c>
      <c r="BB1475" t="s">
        <v>990</v>
      </c>
      <c r="BD1475" t="s">
        <v>991</v>
      </c>
      <c r="BE1475" t="s">
        <v>386</v>
      </c>
    </row>
    <row r="1476" spans="1:57" ht="13" x14ac:dyDescent="0.15">
      <c r="A1476">
        <v>1839</v>
      </c>
      <c r="B1476">
        <v>135702714</v>
      </c>
      <c r="C1476" t="s">
        <v>386</v>
      </c>
      <c r="D1476" s="7">
        <v>43044</v>
      </c>
      <c r="E1476" s="7">
        <v>45709</v>
      </c>
      <c r="F1476">
        <v>330862</v>
      </c>
      <c r="G1476" t="s">
        <v>983</v>
      </c>
      <c r="H1476" t="s">
        <v>9</v>
      </c>
      <c r="I1476" s="7">
        <v>45682</v>
      </c>
      <c r="J1476" s="8">
        <v>0.96567129629629633</v>
      </c>
      <c r="K1476" t="s">
        <v>984</v>
      </c>
      <c r="AQ1476" t="s">
        <v>998</v>
      </c>
      <c r="AR1476" t="s">
        <v>1001</v>
      </c>
      <c r="AT1476" t="s">
        <v>987</v>
      </c>
      <c r="AZ1476" t="s">
        <v>1002</v>
      </c>
      <c r="BA1476" t="s">
        <v>1003</v>
      </c>
      <c r="BB1476" t="s">
        <v>1004</v>
      </c>
      <c r="BD1476" t="s">
        <v>1005</v>
      </c>
      <c r="BE1476" t="s">
        <v>386</v>
      </c>
    </row>
    <row r="1477" spans="1:57" ht="13" x14ac:dyDescent="0.15">
      <c r="A1477">
        <v>1839</v>
      </c>
      <c r="B1477">
        <v>135702714</v>
      </c>
      <c r="C1477" t="s">
        <v>386</v>
      </c>
      <c r="D1477" s="7">
        <v>43044</v>
      </c>
      <c r="E1477" s="7">
        <v>45709</v>
      </c>
      <c r="F1477">
        <v>330862</v>
      </c>
      <c r="G1477" t="s">
        <v>983</v>
      </c>
      <c r="H1477" t="s">
        <v>9</v>
      </c>
      <c r="I1477" s="7">
        <v>45692</v>
      </c>
      <c r="J1477" s="8">
        <v>0.59348379629629633</v>
      </c>
      <c r="K1477" t="s">
        <v>984</v>
      </c>
      <c r="AQ1477" t="s">
        <v>992</v>
      </c>
      <c r="AR1477" t="s">
        <v>994</v>
      </c>
      <c r="AT1477" t="s">
        <v>987</v>
      </c>
      <c r="AZ1477" t="s">
        <v>1011</v>
      </c>
      <c r="BA1477" t="s">
        <v>1012</v>
      </c>
      <c r="BB1477" t="s">
        <v>1013</v>
      </c>
      <c r="BD1477" t="s">
        <v>1014</v>
      </c>
      <c r="BE1477" t="s">
        <v>386</v>
      </c>
    </row>
    <row r="1478" spans="1:57" ht="13" x14ac:dyDescent="0.15">
      <c r="A1478">
        <v>1839</v>
      </c>
      <c r="B1478">
        <v>135727591</v>
      </c>
      <c r="C1478" t="s">
        <v>387</v>
      </c>
      <c r="D1478" s="7">
        <v>43045</v>
      </c>
      <c r="E1478" s="7">
        <v>45696</v>
      </c>
      <c r="F1478">
        <v>330862</v>
      </c>
      <c r="G1478" t="s">
        <v>983</v>
      </c>
      <c r="H1478" t="s">
        <v>9</v>
      </c>
      <c r="I1478" s="7">
        <v>45616</v>
      </c>
      <c r="J1478" s="8">
        <v>0.5682638888888889</v>
      </c>
      <c r="K1478" t="s">
        <v>984</v>
      </c>
      <c r="AQ1478" t="s">
        <v>985</v>
      </c>
      <c r="AR1478" t="s">
        <v>1102</v>
      </c>
      <c r="AT1478" t="s">
        <v>987</v>
      </c>
      <c r="AZ1478" t="s">
        <v>1011</v>
      </c>
      <c r="BA1478" t="s">
        <v>1103</v>
      </c>
      <c r="BB1478" t="s">
        <v>1032</v>
      </c>
      <c r="BD1478" t="s">
        <v>1005</v>
      </c>
      <c r="BE1478" t="s">
        <v>387</v>
      </c>
    </row>
    <row r="1479" spans="1:57" ht="13" x14ac:dyDescent="0.15">
      <c r="A1479">
        <v>1839</v>
      </c>
      <c r="B1479">
        <v>135727591</v>
      </c>
      <c r="C1479" t="s">
        <v>387</v>
      </c>
      <c r="D1479" s="7">
        <v>43045</v>
      </c>
      <c r="E1479" s="7">
        <v>45696</v>
      </c>
      <c r="F1479">
        <v>330862</v>
      </c>
      <c r="G1479" t="s">
        <v>983</v>
      </c>
      <c r="H1479" t="s">
        <v>9</v>
      </c>
      <c r="I1479" s="7">
        <v>45616</v>
      </c>
      <c r="J1479" s="8">
        <v>0.57063657407407409</v>
      </c>
      <c r="K1479" t="s">
        <v>984</v>
      </c>
      <c r="AQ1479" t="s">
        <v>985</v>
      </c>
      <c r="AR1479" t="s">
        <v>1104</v>
      </c>
      <c r="AT1479" t="s">
        <v>987</v>
      </c>
      <c r="AZ1479" t="s">
        <v>1055</v>
      </c>
      <c r="BA1479" t="s">
        <v>1056</v>
      </c>
      <c r="BB1479" t="s">
        <v>1013</v>
      </c>
      <c r="BD1479" t="s">
        <v>1022</v>
      </c>
      <c r="BE1479" t="s">
        <v>387</v>
      </c>
    </row>
    <row r="1480" spans="1:57" ht="13" x14ac:dyDescent="0.15">
      <c r="A1480">
        <v>1839</v>
      </c>
      <c r="B1480">
        <v>135727591</v>
      </c>
      <c r="C1480" t="s">
        <v>387</v>
      </c>
      <c r="D1480" s="7">
        <v>43045</v>
      </c>
      <c r="E1480" s="7">
        <v>45696</v>
      </c>
      <c r="F1480">
        <v>330862</v>
      </c>
      <c r="G1480" t="s">
        <v>983</v>
      </c>
      <c r="H1480" t="s">
        <v>9</v>
      </c>
      <c r="I1480" s="7">
        <v>45694</v>
      </c>
      <c r="J1480" s="8">
        <v>0.38767361111111109</v>
      </c>
      <c r="K1480" t="s">
        <v>984</v>
      </c>
      <c r="AQ1480" t="s">
        <v>985</v>
      </c>
      <c r="AR1480" t="s">
        <v>993</v>
      </c>
      <c r="AT1480" t="s">
        <v>987</v>
      </c>
      <c r="AZ1480" t="s">
        <v>988</v>
      </c>
      <c r="BA1480" t="s">
        <v>989</v>
      </c>
      <c r="BB1480" t="s">
        <v>990</v>
      </c>
      <c r="BD1480" t="s">
        <v>991</v>
      </c>
      <c r="BE1480" t="s">
        <v>387</v>
      </c>
    </row>
    <row r="1481" spans="1:57" ht="13" x14ac:dyDescent="0.15">
      <c r="A1481">
        <v>1839</v>
      </c>
      <c r="B1481">
        <v>135729680</v>
      </c>
      <c r="C1481" t="s">
        <v>388</v>
      </c>
      <c r="D1481" s="7">
        <v>43045</v>
      </c>
      <c r="E1481" s="7">
        <v>45713</v>
      </c>
      <c r="F1481">
        <v>330862</v>
      </c>
      <c r="G1481" t="s">
        <v>983</v>
      </c>
      <c r="H1481" t="s">
        <v>9</v>
      </c>
      <c r="I1481" s="7">
        <v>45677</v>
      </c>
      <c r="J1481" s="8">
        <v>0.49386574074074074</v>
      </c>
      <c r="K1481" t="s">
        <v>984</v>
      </c>
      <c r="AQ1481" t="s">
        <v>985</v>
      </c>
      <c r="AR1481" t="s">
        <v>1361</v>
      </c>
      <c r="AT1481" t="s">
        <v>987</v>
      </c>
      <c r="AZ1481" t="s">
        <v>1044</v>
      </c>
      <c r="BA1481" t="s">
        <v>1045</v>
      </c>
      <c r="BB1481" t="s">
        <v>990</v>
      </c>
      <c r="BD1481" t="s">
        <v>991</v>
      </c>
      <c r="BE1481" t="s">
        <v>388</v>
      </c>
    </row>
    <row r="1482" spans="1:57" ht="13" x14ac:dyDescent="0.15">
      <c r="A1482">
        <v>1839</v>
      </c>
      <c r="B1482">
        <v>135729680</v>
      </c>
      <c r="C1482" t="s">
        <v>388</v>
      </c>
      <c r="D1482" s="7">
        <v>43045</v>
      </c>
      <c r="E1482" s="7">
        <v>45713</v>
      </c>
      <c r="F1482">
        <v>330862</v>
      </c>
      <c r="G1482" t="s">
        <v>983</v>
      </c>
      <c r="H1482" t="s">
        <v>9</v>
      </c>
      <c r="I1482" s="7">
        <v>45677</v>
      </c>
      <c r="J1482" s="8">
        <v>0.47592592592592592</v>
      </c>
      <c r="K1482" t="s">
        <v>984</v>
      </c>
      <c r="AQ1482" t="s">
        <v>985</v>
      </c>
      <c r="AR1482" t="s">
        <v>1461</v>
      </c>
      <c r="AT1482" t="s">
        <v>987</v>
      </c>
      <c r="AZ1482" t="s">
        <v>1002</v>
      </c>
      <c r="BA1482" t="s">
        <v>1003</v>
      </c>
      <c r="BB1482" t="s">
        <v>1004</v>
      </c>
      <c r="BD1482" t="s">
        <v>1005</v>
      </c>
      <c r="BE1482" t="s">
        <v>388</v>
      </c>
    </row>
    <row r="1483" spans="1:57" ht="13" x14ac:dyDescent="0.15">
      <c r="A1483">
        <v>1839</v>
      </c>
      <c r="B1483">
        <v>135729680</v>
      </c>
      <c r="C1483" t="s">
        <v>388</v>
      </c>
      <c r="D1483" s="7">
        <v>43045</v>
      </c>
      <c r="E1483" s="7">
        <v>45713</v>
      </c>
      <c r="F1483">
        <v>330862</v>
      </c>
      <c r="G1483" t="s">
        <v>983</v>
      </c>
      <c r="H1483" t="s">
        <v>9</v>
      </c>
      <c r="I1483" s="7">
        <v>45677</v>
      </c>
      <c r="J1483" s="8">
        <v>0.51802083333333337</v>
      </c>
      <c r="K1483" t="s">
        <v>984</v>
      </c>
      <c r="AQ1483" t="s">
        <v>985</v>
      </c>
      <c r="AR1483" t="s">
        <v>1570</v>
      </c>
      <c r="AT1483" t="s">
        <v>987</v>
      </c>
      <c r="AZ1483" t="s">
        <v>1028</v>
      </c>
      <c r="BA1483" t="s">
        <v>1068</v>
      </c>
      <c r="BB1483" t="s">
        <v>1069</v>
      </c>
      <c r="BD1483" t="s">
        <v>1005</v>
      </c>
      <c r="BE1483" t="s">
        <v>388</v>
      </c>
    </row>
    <row r="1484" spans="1:57" ht="13" x14ac:dyDescent="0.15">
      <c r="A1484">
        <v>1839</v>
      </c>
      <c r="B1484">
        <v>135729680</v>
      </c>
      <c r="C1484" t="s">
        <v>388</v>
      </c>
      <c r="D1484" s="7">
        <v>43045</v>
      </c>
      <c r="E1484" s="7">
        <v>45713</v>
      </c>
      <c r="F1484">
        <v>330862</v>
      </c>
      <c r="G1484" t="s">
        <v>983</v>
      </c>
      <c r="H1484" t="s">
        <v>9</v>
      </c>
      <c r="I1484" s="7">
        <v>45677</v>
      </c>
      <c r="J1484" s="8">
        <v>0.50384259259259256</v>
      </c>
      <c r="K1484" t="s">
        <v>984</v>
      </c>
      <c r="AQ1484" t="s">
        <v>985</v>
      </c>
      <c r="AR1484" t="s">
        <v>1509</v>
      </c>
      <c r="AT1484" t="s">
        <v>987</v>
      </c>
      <c r="AZ1484" t="s">
        <v>1016</v>
      </c>
      <c r="BA1484" t="s">
        <v>1017</v>
      </c>
      <c r="BB1484" t="s">
        <v>1018</v>
      </c>
      <c r="BD1484" t="s">
        <v>991</v>
      </c>
      <c r="BE1484" t="s">
        <v>388</v>
      </c>
    </row>
    <row r="1485" spans="1:57" ht="13" x14ac:dyDescent="0.15">
      <c r="A1485">
        <v>1839</v>
      </c>
      <c r="B1485">
        <v>135729680</v>
      </c>
      <c r="C1485" t="s">
        <v>388</v>
      </c>
      <c r="D1485" s="7">
        <v>43045</v>
      </c>
      <c r="E1485" s="7">
        <v>45713</v>
      </c>
      <c r="F1485">
        <v>330862</v>
      </c>
      <c r="G1485" t="s">
        <v>983</v>
      </c>
      <c r="H1485" t="s">
        <v>9</v>
      </c>
      <c r="I1485" s="7">
        <v>45677</v>
      </c>
      <c r="J1485" s="8">
        <v>0.48324074074074075</v>
      </c>
      <c r="K1485" t="s">
        <v>984</v>
      </c>
      <c r="AQ1485" t="s">
        <v>985</v>
      </c>
      <c r="AR1485" t="s">
        <v>1538</v>
      </c>
      <c r="AT1485" t="s">
        <v>987</v>
      </c>
      <c r="AZ1485" t="s">
        <v>1024</v>
      </c>
      <c r="BA1485" t="s">
        <v>1047</v>
      </c>
      <c r="BB1485" t="s">
        <v>1048</v>
      </c>
      <c r="BD1485" t="s">
        <v>1014</v>
      </c>
      <c r="BE1485" t="s">
        <v>388</v>
      </c>
    </row>
    <row r="1486" spans="1:57" ht="13" x14ac:dyDescent="0.15">
      <c r="A1486">
        <v>1839</v>
      </c>
      <c r="B1486">
        <v>135729680</v>
      </c>
      <c r="C1486" t="s">
        <v>388</v>
      </c>
      <c r="D1486" s="7">
        <v>43045</v>
      </c>
      <c r="E1486" s="7">
        <v>45713</v>
      </c>
      <c r="F1486">
        <v>330862</v>
      </c>
      <c r="G1486" t="s">
        <v>983</v>
      </c>
      <c r="H1486" t="s">
        <v>9</v>
      </c>
      <c r="I1486" s="7">
        <v>45697</v>
      </c>
      <c r="J1486" s="8">
        <v>0.46572916666666669</v>
      </c>
      <c r="K1486" t="s">
        <v>984</v>
      </c>
      <c r="AQ1486" t="s">
        <v>985</v>
      </c>
      <c r="AR1486" t="s">
        <v>1479</v>
      </c>
      <c r="AT1486" t="s">
        <v>987</v>
      </c>
      <c r="AZ1486" t="s">
        <v>1174</v>
      </c>
      <c r="BA1486" t="s">
        <v>1175</v>
      </c>
      <c r="BB1486" t="s">
        <v>990</v>
      </c>
      <c r="BD1486" t="s">
        <v>991</v>
      </c>
      <c r="BE1486" t="s">
        <v>388</v>
      </c>
    </row>
    <row r="1487" spans="1:57" ht="13" x14ac:dyDescent="0.15">
      <c r="A1487">
        <v>1839</v>
      </c>
      <c r="B1487">
        <v>135729680</v>
      </c>
      <c r="C1487" t="s">
        <v>388</v>
      </c>
      <c r="D1487" s="7">
        <v>43045</v>
      </c>
      <c r="E1487" s="7">
        <v>45713</v>
      </c>
      <c r="F1487">
        <v>330862</v>
      </c>
      <c r="G1487" t="s">
        <v>983</v>
      </c>
      <c r="H1487" t="s">
        <v>9</v>
      </c>
      <c r="I1487" s="7">
        <v>45697</v>
      </c>
      <c r="J1487" s="8">
        <v>0.45847222222222223</v>
      </c>
      <c r="K1487" t="s">
        <v>984</v>
      </c>
      <c r="AQ1487" t="s">
        <v>985</v>
      </c>
      <c r="AR1487" t="s">
        <v>1039</v>
      </c>
      <c r="AT1487" t="s">
        <v>987</v>
      </c>
      <c r="AZ1487" t="s">
        <v>1002</v>
      </c>
      <c r="BA1487" t="s">
        <v>1040</v>
      </c>
      <c r="BB1487" t="s">
        <v>1041</v>
      </c>
      <c r="BD1487" t="s">
        <v>991</v>
      </c>
      <c r="BE1487" t="s">
        <v>388</v>
      </c>
    </row>
    <row r="1488" spans="1:57" ht="13" x14ac:dyDescent="0.15">
      <c r="A1488">
        <v>1839</v>
      </c>
      <c r="B1488">
        <v>135729680</v>
      </c>
      <c r="C1488" t="s">
        <v>388</v>
      </c>
      <c r="D1488" s="7">
        <v>43045</v>
      </c>
      <c r="E1488" s="7">
        <v>45713</v>
      </c>
      <c r="F1488">
        <v>330862</v>
      </c>
      <c r="G1488" t="s">
        <v>983</v>
      </c>
      <c r="H1488" t="s">
        <v>9</v>
      </c>
      <c r="I1488" s="7">
        <v>45697</v>
      </c>
      <c r="J1488" s="8">
        <v>0.4544097222222222</v>
      </c>
      <c r="K1488" t="s">
        <v>984</v>
      </c>
      <c r="AQ1488" t="s">
        <v>985</v>
      </c>
      <c r="AR1488" t="s">
        <v>1554</v>
      </c>
      <c r="AT1488" t="s">
        <v>987</v>
      </c>
      <c r="AZ1488" t="s">
        <v>1028</v>
      </c>
      <c r="BA1488" t="s">
        <v>1037</v>
      </c>
      <c r="BB1488" t="s">
        <v>1038</v>
      </c>
      <c r="BD1488" t="s">
        <v>991</v>
      </c>
      <c r="BE1488" t="s">
        <v>388</v>
      </c>
    </row>
    <row r="1489" spans="1:57" ht="13" x14ac:dyDescent="0.15">
      <c r="A1489">
        <v>1839</v>
      </c>
      <c r="B1489">
        <v>135729680</v>
      </c>
      <c r="C1489" t="s">
        <v>388</v>
      </c>
      <c r="D1489" s="7">
        <v>43045</v>
      </c>
      <c r="E1489" s="7">
        <v>45713</v>
      </c>
      <c r="F1489">
        <v>330862</v>
      </c>
      <c r="G1489" t="s">
        <v>983</v>
      </c>
      <c r="H1489" t="s">
        <v>9</v>
      </c>
      <c r="I1489" s="7">
        <v>45697</v>
      </c>
      <c r="J1489" s="8">
        <v>0.44793981481481482</v>
      </c>
      <c r="K1489" t="s">
        <v>984</v>
      </c>
      <c r="AQ1489" t="s">
        <v>985</v>
      </c>
      <c r="AR1489" t="s">
        <v>1517</v>
      </c>
      <c r="AT1489" t="s">
        <v>987</v>
      </c>
      <c r="AZ1489" t="s">
        <v>1080</v>
      </c>
      <c r="BA1489" t="s">
        <v>1081</v>
      </c>
      <c r="BB1489" t="s">
        <v>1082</v>
      </c>
      <c r="BD1489" t="s">
        <v>991</v>
      </c>
      <c r="BE1489" t="s">
        <v>388</v>
      </c>
    </row>
    <row r="1490" spans="1:57" ht="13" x14ac:dyDescent="0.15">
      <c r="A1490">
        <v>1839</v>
      </c>
      <c r="B1490">
        <v>135729680</v>
      </c>
      <c r="C1490" t="s">
        <v>388</v>
      </c>
      <c r="D1490" s="7">
        <v>43045</v>
      </c>
      <c r="E1490" s="7">
        <v>45713</v>
      </c>
      <c r="F1490">
        <v>330862</v>
      </c>
      <c r="G1490" t="s">
        <v>983</v>
      </c>
      <c r="H1490" t="s">
        <v>9</v>
      </c>
      <c r="I1490" s="7">
        <v>45697</v>
      </c>
      <c r="J1490" s="8">
        <v>0.44480324074074074</v>
      </c>
      <c r="K1490" t="s">
        <v>984</v>
      </c>
      <c r="AQ1490" t="s">
        <v>985</v>
      </c>
      <c r="AR1490" t="s">
        <v>1219</v>
      </c>
      <c r="AT1490" t="s">
        <v>987</v>
      </c>
      <c r="AZ1490" t="s">
        <v>1220</v>
      </c>
      <c r="BA1490" t="s">
        <v>1221</v>
      </c>
      <c r="BB1490" t="s">
        <v>1082</v>
      </c>
      <c r="BD1490" t="s">
        <v>991</v>
      </c>
      <c r="BE1490" t="s">
        <v>388</v>
      </c>
    </row>
    <row r="1491" spans="1:57" ht="13" x14ac:dyDescent="0.15">
      <c r="A1491">
        <v>1839</v>
      </c>
      <c r="B1491">
        <v>135729680</v>
      </c>
      <c r="C1491" t="s">
        <v>388</v>
      </c>
      <c r="D1491" s="7">
        <v>43045</v>
      </c>
      <c r="E1491" s="7">
        <v>45713</v>
      </c>
      <c r="F1491">
        <v>330862</v>
      </c>
      <c r="G1491" t="s">
        <v>983</v>
      </c>
      <c r="H1491" t="s">
        <v>9</v>
      </c>
      <c r="I1491" s="7">
        <v>45697</v>
      </c>
      <c r="J1491" s="8">
        <v>0.44061342592592595</v>
      </c>
      <c r="K1491" t="s">
        <v>984</v>
      </c>
      <c r="AQ1491" t="s">
        <v>985</v>
      </c>
      <c r="AR1491" t="s">
        <v>1315</v>
      </c>
      <c r="AT1491" t="s">
        <v>987</v>
      </c>
      <c r="AZ1491" t="s">
        <v>1182</v>
      </c>
      <c r="BA1491" t="s">
        <v>1183</v>
      </c>
      <c r="BB1491" t="s">
        <v>990</v>
      </c>
      <c r="BD1491" t="s">
        <v>991</v>
      </c>
      <c r="BE1491" t="s">
        <v>388</v>
      </c>
    </row>
    <row r="1492" spans="1:57" ht="13" x14ac:dyDescent="0.15">
      <c r="A1492">
        <v>1839</v>
      </c>
      <c r="B1492">
        <v>135729680</v>
      </c>
      <c r="C1492" t="s">
        <v>388</v>
      </c>
      <c r="D1492" s="7">
        <v>43045</v>
      </c>
      <c r="E1492" s="7">
        <v>45713</v>
      </c>
      <c r="F1492">
        <v>330862</v>
      </c>
      <c r="G1492" t="s">
        <v>983</v>
      </c>
      <c r="H1492" t="s">
        <v>9</v>
      </c>
      <c r="I1492" s="7">
        <v>45707</v>
      </c>
      <c r="J1492" s="8">
        <v>0.6452430555555555</v>
      </c>
      <c r="K1492" t="s">
        <v>984</v>
      </c>
      <c r="AQ1492" t="s">
        <v>992</v>
      </c>
      <c r="AR1492" t="s">
        <v>1691</v>
      </c>
      <c r="AT1492" t="s">
        <v>987</v>
      </c>
      <c r="AZ1492" t="s">
        <v>1011</v>
      </c>
      <c r="BA1492" t="s">
        <v>1012</v>
      </c>
      <c r="BB1492" t="s">
        <v>1013</v>
      </c>
      <c r="BD1492" t="s">
        <v>1014</v>
      </c>
      <c r="BE1492" t="s">
        <v>388</v>
      </c>
    </row>
    <row r="1493" spans="1:57" ht="13" x14ac:dyDescent="0.15">
      <c r="A1493">
        <v>1839</v>
      </c>
      <c r="B1493">
        <v>135729680</v>
      </c>
      <c r="C1493" t="s">
        <v>388</v>
      </c>
      <c r="D1493" s="7">
        <v>43045</v>
      </c>
      <c r="E1493" s="7">
        <v>45713</v>
      </c>
      <c r="F1493">
        <v>330862</v>
      </c>
      <c r="G1493" t="s">
        <v>983</v>
      </c>
      <c r="H1493" t="s">
        <v>9</v>
      </c>
      <c r="I1493" s="7">
        <v>45642</v>
      </c>
      <c r="J1493" s="8">
        <v>0.7630555555555556</v>
      </c>
      <c r="K1493" t="s">
        <v>984</v>
      </c>
      <c r="AQ1493" t="s">
        <v>985</v>
      </c>
      <c r="AR1493" t="s">
        <v>1085</v>
      </c>
      <c r="AT1493" t="s">
        <v>987</v>
      </c>
      <c r="AZ1493" t="s">
        <v>1011</v>
      </c>
      <c r="BA1493" t="s">
        <v>1031</v>
      </c>
      <c r="BB1493" t="s">
        <v>1032</v>
      </c>
      <c r="BD1493" t="s">
        <v>1005</v>
      </c>
      <c r="BE1493" t="s">
        <v>388</v>
      </c>
    </row>
    <row r="1494" spans="1:57" ht="13" x14ac:dyDescent="0.15">
      <c r="A1494">
        <v>1839</v>
      </c>
      <c r="B1494">
        <v>135951287</v>
      </c>
      <c r="C1494" t="s">
        <v>389</v>
      </c>
      <c r="D1494" s="7">
        <v>43049</v>
      </c>
      <c r="E1494" s="7">
        <v>45701</v>
      </c>
      <c r="F1494">
        <v>330862</v>
      </c>
      <c r="G1494" t="s">
        <v>983</v>
      </c>
      <c r="H1494" t="s">
        <v>9</v>
      </c>
      <c r="I1494" s="7">
        <v>45679</v>
      </c>
      <c r="J1494" s="8">
        <v>0.76280092592592597</v>
      </c>
      <c r="K1494" t="s">
        <v>984</v>
      </c>
      <c r="AQ1494" t="s">
        <v>992</v>
      </c>
      <c r="AR1494" t="s">
        <v>1538</v>
      </c>
      <c r="AT1494" t="s">
        <v>987</v>
      </c>
      <c r="AZ1494" t="s">
        <v>1024</v>
      </c>
      <c r="BA1494" t="s">
        <v>1047</v>
      </c>
      <c r="BB1494" t="s">
        <v>1048</v>
      </c>
      <c r="BD1494" t="s">
        <v>1014</v>
      </c>
      <c r="BE1494" t="s">
        <v>389</v>
      </c>
    </row>
    <row r="1495" spans="1:57" ht="13" x14ac:dyDescent="0.15">
      <c r="A1495">
        <v>1839</v>
      </c>
      <c r="B1495">
        <v>135951287</v>
      </c>
      <c r="C1495" t="s">
        <v>389</v>
      </c>
      <c r="D1495" s="7">
        <v>43049</v>
      </c>
      <c r="E1495" s="7">
        <v>45701</v>
      </c>
      <c r="F1495">
        <v>330862</v>
      </c>
      <c r="G1495" t="s">
        <v>983</v>
      </c>
      <c r="H1495" t="s">
        <v>9</v>
      </c>
      <c r="I1495" s="7">
        <v>45679</v>
      </c>
      <c r="J1495" s="8">
        <v>0.73074074074074069</v>
      </c>
      <c r="K1495" t="s">
        <v>984</v>
      </c>
      <c r="AQ1495" t="s">
        <v>992</v>
      </c>
      <c r="AR1495" t="s">
        <v>1509</v>
      </c>
      <c r="AT1495" t="s">
        <v>987</v>
      </c>
      <c r="AZ1495" t="s">
        <v>1016</v>
      </c>
      <c r="BA1495" t="s">
        <v>1017</v>
      </c>
      <c r="BB1495" t="s">
        <v>1018</v>
      </c>
      <c r="BD1495" t="s">
        <v>991</v>
      </c>
      <c r="BE1495" t="s">
        <v>389</v>
      </c>
    </row>
    <row r="1496" spans="1:57" ht="13" x14ac:dyDescent="0.15">
      <c r="A1496">
        <v>1839</v>
      </c>
      <c r="B1496">
        <v>135951287</v>
      </c>
      <c r="C1496" t="s">
        <v>389</v>
      </c>
      <c r="D1496" s="7">
        <v>43049</v>
      </c>
      <c r="E1496" s="7">
        <v>45701</v>
      </c>
      <c r="F1496">
        <v>330862</v>
      </c>
      <c r="G1496" t="s">
        <v>983</v>
      </c>
      <c r="H1496" t="s">
        <v>9</v>
      </c>
      <c r="I1496" s="7">
        <v>45694</v>
      </c>
      <c r="J1496" s="8">
        <v>0.37662037037037038</v>
      </c>
      <c r="K1496" t="s">
        <v>984</v>
      </c>
      <c r="AQ1496" t="s">
        <v>992</v>
      </c>
      <c r="AR1496" t="s">
        <v>993</v>
      </c>
      <c r="AT1496" t="s">
        <v>987</v>
      </c>
      <c r="AZ1496" t="s">
        <v>988</v>
      </c>
      <c r="BA1496" t="s">
        <v>989</v>
      </c>
      <c r="BB1496" t="s">
        <v>990</v>
      </c>
      <c r="BD1496" t="s">
        <v>991</v>
      </c>
      <c r="BE1496" t="s">
        <v>389</v>
      </c>
    </row>
    <row r="1497" spans="1:57" ht="13" x14ac:dyDescent="0.15">
      <c r="A1497">
        <v>1839</v>
      </c>
      <c r="B1497">
        <v>135951287</v>
      </c>
      <c r="C1497" t="s">
        <v>389</v>
      </c>
      <c r="D1497" s="7">
        <v>43049</v>
      </c>
      <c r="E1497" s="7">
        <v>45701</v>
      </c>
      <c r="F1497">
        <v>330862</v>
      </c>
      <c r="G1497" t="s">
        <v>983</v>
      </c>
      <c r="H1497" t="s">
        <v>9</v>
      </c>
      <c r="I1497" s="7">
        <v>45679</v>
      </c>
      <c r="J1497" s="8">
        <v>0.76103009259259258</v>
      </c>
      <c r="K1497" t="s">
        <v>984</v>
      </c>
      <c r="AQ1497" t="s">
        <v>992</v>
      </c>
      <c r="AR1497" t="s">
        <v>1538</v>
      </c>
      <c r="AT1497" t="s">
        <v>987</v>
      </c>
      <c r="AZ1497" t="s">
        <v>1024</v>
      </c>
      <c r="BA1497" t="s">
        <v>1047</v>
      </c>
      <c r="BB1497" t="s">
        <v>1048</v>
      </c>
      <c r="BD1497" t="s">
        <v>1014</v>
      </c>
      <c r="BE1497" t="s">
        <v>389</v>
      </c>
    </row>
    <row r="1498" spans="1:57" ht="13" x14ac:dyDescent="0.15">
      <c r="A1498">
        <v>1839</v>
      </c>
      <c r="B1498">
        <v>135951287</v>
      </c>
      <c r="C1498" t="s">
        <v>389</v>
      </c>
      <c r="D1498" s="7">
        <v>43049</v>
      </c>
      <c r="E1498" s="7">
        <v>45701</v>
      </c>
      <c r="F1498">
        <v>330862</v>
      </c>
      <c r="G1498" t="s">
        <v>983</v>
      </c>
      <c r="H1498" t="s">
        <v>9</v>
      </c>
      <c r="I1498" s="7">
        <v>45679</v>
      </c>
      <c r="J1498" s="8">
        <v>0.75465277777777773</v>
      </c>
      <c r="K1498" t="s">
        <v>984</v>
      </c>
      <c r="AQ1498" t="s">
        <v>992</v>
      </c>
      <c r="AR1498" t="s">
        <v>1461</v>
      </c>
      <c r="AT1498" t="s">
        <v>987</v>
      </c>
      <c r="AZ1498" t="s">
        <v>1002</v>
      </c>
      <c r="BA1498" t="s">
        <v>1003</v>
      </c>
      <c r="BB1498" t="s">
        <v>1004</v>
      </c>
      <c r="BD1498" t="s">
        <v>1005</v>
      </c>
      <c r="BE1498" t="s">
        <v>389</v>
      </c>
    </row>
    <row r="1499" spans="1:57" ht="13" x14ac:dyDescent="0.15">
      <c r="A1499">
        <v>1839</v>
      </c>
      <c r="B1499">
        <v>135951287</v>
      </c>
      <c r="C1499" t="s">
        <v>389</v>
      </c>
      <c r="D1499" s="7">
        <v>43049</v>
      </c>
      <c r="E1499" s="7">
        <v>45701</v>
      </c>
      <c r="F1499">
        <v>330862</v>
      </c>
      <c r="G1499" t="s">
        <v>983</v>
      </c>
      <c r="H1499" t="s">
        <v>9</v>
      </c>
      <c r="I1499" s="7">
        <v>45679</v>
      </c>
      <c r="J1499" s="8">
        <v>0.74599537037037034</v>
      </c>
      <c r="K1499" t="s">
        <v>984</v>
      </c>
      <c r="AQ1499" t="s">
        <v>992</v>
      </c>
      <c r="AR1499" t="s">
        <v>1083</v>
      </c>
      <c r="AT1499" t="s">
        <v>987</v>
      </c>
      <c r="AZ1499" t="s">
        <v>1011</v>
      </c>
      <c r="BA1499" t="s">
        <v>1012</v>
      </c>
      <c r="BB1499" t="s">
        <v>1013</v>
      </c>
      <c r="BD1499" t="s">
        <v>1014</v>
      </c>
      <c r="BE1499" t="s">
        <v>389</v>
      </c>
    </row>
    <row r="1500" spans="1:57" ht="13" x14ac:dyDescent="0.15">
      <c r="A1500">
        <v>1839</v>
      </c>
      <c r="B1500">
        <v>135951287</v>
      </c>
      <c r="C1500" t="s">
        <v>389</v>
      </c>
      <c r="D1500" s="7">
        <v>43049</v>
      </c>
      <c r="E1500" s="7">
        <v>45701</v>
      </c>
      <c r="F1500">
        <v>330862</v>
      </c>
      <c r="G1500" t="s">
        <v>983</v>
      </c>
      <c r="H1500" t="s">
        <v>9</v>
      </c>
      <c r="I1500" s="7">
        <v>45636</v>
      </c>
      <c r="J1500" s="8">
        <v>0.92500000000000004</v>
      </c>
      <c r="K1500" t="s">
        <v>984</v>
      </c>
      <c r="AQ1500" t="s">
        <v>992</v>
      </c>
      <c r="AR1500" t="s">
        <v>1098</v>
      </c>
      <c r="AT1500" t="s">
        <v>987</v>
      </c>
      <c r="AZ1500" t="s">
        <v>1020</v>
      </c>
      <c r="BA1500" t="s">
        <v>1021</v>
      </c>
      <c r="BB1500" t="s">
        <v>1018</v>
      </c>
      <c r="BD1500" t="s">
        <v>1022</v>
      </c>
      <c r="BE1500" t="s">
        <v>389</v>
      </c>
    </row>
    <row r="1501" spans="1:57" ht="13" x14ac:dyDescent="0.15">
      <c r="A1501">
        <v>1839</v>
      </c>
      <c r="B1501">
        <v>135951287</v>
      </c>
      <c r="C1501" t="s">
        <v>389</v>
      </c>
      <c r="D1501" s="7">
        <v>43049</v>
      </c>
      <c r="E1501" s="7">
        <v>45701</v>
      </c>
      <c r="F1501">
        <v>330862</v>
      </c>
      <c r="G1501" t="s">
        <v>983</v>
      </c>
      <c r="H1501" t="s">
        <v>9</v>
      </c>
      <c r="I1501" s="7">
        <v>45636</v>
      </c>
      <c r="J1501" s="8">
        <v>0.90785879629629629</v>
      </c>
      <c r="K1501" t="s">
        <v>984</v>
      </c>
      <c r="AQ1501" t="s">
        <v>992</v>
      </c>
      <c r="AR1501" t="s">
        <v>1096</v>
      </c>
      <c r="AT1501" t="s">
        <v>987</v>
      </c>
      <c r="AZ1501" t="s">
        <v>1011</v>
      </c>
      <c r="BA1501" t="s">
        <v>1031</v>
      </c>
      <c r="BB1501" t="s">
        <v>1032</v>
      </c>
      <c r="BD1501" t="s">
        <v>1005</v>
      </c>
      <c r="BE1501" t="s">
        <v>389</v>
      </c>
    </row>
    <row r="1502" spans="1:57" ht="13" x14ac:dyDescent="0.15">
      <c r="A1502">
        <v>1839</v>
      </c>
      <c r="B1502">
        <v>135951287</v>
      </c>
      <c r="C1502" t="s">
        <v>389</v>
      </c>
      <c r="D1502" s="7">
        <v>43049</v>
      </c>
      <c r="E1502" s="7">
        <v>45701</v>
      </c>
      <c r="F1502">
        <v>330862</v>
      </c>
      <c r="G1502" t="s">
        <v>983</v>
      </c>
      <c r="H1502" t="s">
        <v>9</v>
      </c>
      <c r="I1502" s="7">
        <v>45636</v>
      </c>
      <c r="J1502" s="8">
        <v>0.91028935185185189</v>
      </c>
      <c r="K1502" t="s">
        <v>984</v>
      </c>
      <c r="AQ1502" t="s">
        <v>992</v>
      </c>
      <c r="AR1502" t="s">
        <v>1278</v>
      </c>
      <c r="AT1502" t="s">
        <v>987</v>
      </c>
      <c r="AZ1502" t="s">
        <v>1002</v>
      </c>
      <c r="BA1502" t="s">
        <v>1124</v>
      </c>
      <c r="BB1502" t="s">
        <v>1125</v>
      </c>
      <c r="BD1502" t="s">
        <v>1005</v>
      </c>
      <c r="BE1502" t="s">
        <v>389</v>
      </c>
    </row>
    <row r="1503" spans="1:57" ht="13" x14ac:dyDescent="0.15">
      <c r="A1503">
        <v>1839</v>
      </c>
      <c r="B1503">
        <v>135951287</v>
      </c>
      <c r="C1503" t="s">
        <v>389</v>
      </c>
      <c r="D1503" s="7">
        <v>43049</v>
      </c>
      <c r="E1503" s="7">
        <v>45701</v>
      </c>
      <c r="F1503">
        <v>330862</v>
      </c>
      <c r="G1503" t="s">
        <v>983</v>
      </c>
      <c r="H1503" t="s">
        <v>9</v>
      </c>
      <c r="I1503" s="7">
        <v>45636</v>
      </c>
      <c r="J1503" s="8">
        <v>0.91576388888888893</v>
      </c>
      <c r="K1503" t="s">
        <v>984</v>
      </c>
      <c r="AQ1503" t="s">
        <v>992</v>
      </c>
      <c r="AR1503" t="s">
        <v>1096</v>
      </c>
      <c r="AT1503" t="s">
        <v>987</v>
      </c>
      <c r="AZ1503" t="s">
        <v>1011</v>
      </c>
      <c r="BA1503" t="s">
        <v>1031</v>
      </c>
      <c r="BB1503" t="s">
        <v>1032</v>
      </c>
      <c r="BD1503" t="s">
        <v>1005</v>
      </c>
      <c r="BE1503" t="s">
        <v>389</v>
      </c>
    </row>
    <row r="1504" spans="1:57" ht="13" x14ac:dyDescent="0.15">
      <c r="A1504">
        <v>1839</v>
      </c>
      <c r="B1504">
        <v>135951287</v>
      </c>
      <c r="C1504" t="s">
        <v>389</v>
      </c>
      <c r="D1504" s="7">
        <v>43049</v>
      </c>
      <c r="E1504" s="7">
        <v>45701</v>
      </c>
      <c r="F1504">
        <v>330862</v>
      </c>
      <c r="G1504" t="s">
        <v>983</v>
      </c>
      <c r="H1504" t="s">
        <v>9</v>
      </c>
      <c r="I1504" s="7">
        <v>45636</v>
      </c>
      <c r="J1504" s="8">
        <v>0.91870370370370369</v>
      </c>
      <c r="K1504" t="s">
        <v>984</v>
      </c>
      <c r="AQ1504" t="s">
        <v>992</v>
      </c>
      <c r="AR1504" t="s">
        <v>1262</v>
      </c>
      <c r="AT1504" t="s">
        <v>987</v>
      </c>
      <c r="AZ1504" t="s">
        <v>1028</v>
      </c>
      <c r="BA1504" t="s">
        <v>1029</v>
      </c>
      <c r="BB1504" t="s">
        <v>1018</v>
      </c>
      <c r="BD1504" t="s">
        <v>1022</v>
      </c>
      <c r="BE1504" t="s">
        <v>389</v>
      </c>
    </row>
    <row r="1505" spans="1:57" ht="13" x14ac:dyDescent="0.15">
      <c r="A1505">
        <v>1839</v>
      </c>
      <c r="B1505">
        <v>135951287</v>
      </c>
      <c r="C1505" t="s">
        <v>389</v>
      </c>
      <c r="D1505" s="7">
        <v>43049</v>
      </c>
      <c r="E1505" s="7">
        <v>45701</v>
      </c>
      <c r="F1505">
        <v>330862</v>
      </c>
      <c r="G1505" t="s">
        <v>983</v>
      </c>
      <c r="H1505" t="s">
        <v>9</v>
      </c>
      <c r="I1505" s="7">
        <v>45636</v>
      </c>
      <c r="J1505" s="8">
        <v>0.92341435185185183</v>
      </c>
      <c r="K1505" t="s">
        <v>984</v>
      </c>
      <c r="AQ1505" t="s">
        <v>992</v>
      </c>
      <c r="AR1505" t="s">
        <v>1097</v>
      </c>
      <c r="AT1505" t="s">
        <v>987</v>
      </c>
      <c r="AZ1505" t="s">
        <v>1024</v>
      </c>
      <c r="BA1505" t="s">
        <v>1025</v>
      </c>
      <c r="BB1505" t="s">
        <v>1026</v>
      </c>
      <c r="BD1505" t="s">
        <v>1022</v>
      </c>
      <c r="BE1505" t="s">
        <v>389</v>
      </c>
    </row>
    <row r="1506" spans="1:57" ht="13" x14ac:dyDescent="0.15">
      <c r="A1506">
        <v>1839</v>
      </c>
      <c r="B1506">
        <v>135951287</v>
      </c>
      <c r="C1506" t="s">
        <v>389</v>
      </c>
      <c r="D1506" s="7">
        <v>43049</v>
      </c>
      <c r="E1506" s="7">
        <v>45701</v>
      </c>
      <c r="F1506">
        <v>336444</v>
      </c>
      <c r="G1506" t="s">
        <v>995</v>
      </c>
      <c r="H1506" t="s">
        <v>12</v>
      </c>
      <c r="I1506" s="7">
        <v>45679</v>
      </c>
      <c r="J1506" s="8">
        <v>0.76188657407407412</v>
      </c>
      <c r="K1506" t="s">
        <v>984</v>
      </c>
      <c r="AQ1506" t="s">
        <v>996</v>
      </c>
      <c r="BE1506" t="s">
        <v>389</v>
      </c>
    </row>
    <row r="1507" spans="1:57" ht="13" x14ac:dyDescent="0.15">
      <c r="A1507">
        <v>1839</v>
      </c>
      <c r="B1507">
        <v>136012659</v>
      </c>
      <c r="C1507" t="s">
        <v>390</v>
      </c>
      <c r="D1507" s="7">
        <v>43051</v>
      </c>
      <c r="E1507" s="7">
        <v>45695</v>
      </c>
      <c r="F1507">
        <v>330862</v>
      </c>
      <c r="G1507" t="s">
        <v>983</v>
      </c>
      <c r="H1507" t="s">
        <v>9</v>
      </c>
      <c r="I1507" s="7">
        <v>45695</v>
      </c>
      <c r="J1507" s="8">
        <v>0.85687500000000005</v>
      </c>
      <c r="K1507" t="s">
        <v>984</v>
      </c>
      <c r="AQ1507" t="s">
        <v>992</v>
      </c>
      <c r="AR1507" t="s">
        <v>986</v>
      </c>
      <c r="AT1507" t="s">
        <v>987</v>
      </c>
      <c r="AZ1507" t="s">
        <v>988</v>
      </c>
      <c r="BA1507" t="s">
        <v>989</v>
      </c>
      <c r="BB1507" t="s">
        <v>990</v>
      </c>
      <c r="BD1507" t="s">
        <v>991</v>
      </c>
      <c r="BE1507" t="s">
        <v>390</v>
      </c>
    </row>
    <row r="1508" spans="1:57" ht="13" x14ac:dyDescent="0.15">
      <c r="A1508">
        <v>1839</v>
      </c>
      <c r="B1508">
        <v>136120416</v>
      </c>
      <c r="C1508" t="s">
        <v>391</v>
      </c>
      <c r="D1508" s="7">
        <v>43053</v>
      </c>
      <c r="E1508" s="7">
        <v>45701</v>
      </c>
      <c r="F1508">
        <v>330862</v>
      </c>
      <c r="G1508" t="s">
        <v>983</v>
      </c>
      <c r="H1508" t="s">
        <v>9</v>
      </c>
      <c r="I1508" s="7">
        <v>45694</v>
      </c>
      <c r="J1508" s="8">
        <v>0.55863425925925925</v>
      </c>
      <c r="K1508" t="s">
        <v>984</v>
      </c>
      <c r="AQ1508" t="s">
        <v>1090</v>
      </c>
      <c r="AR1508" t="s">
        <v>986</v>
      </c>
      <c r="AT1508" t="s">
        <v>987</v>
      </c>
      <c r="AZ1508" t="s">
        <v>988</v>
      </c>
      <c r="BA1508" t="s">
        <v>989</v>
      </c>
      <c r="BB1508" t="s">
        <v>990</v>
      </c>
      <c r="BD1508" t="s">
        <v>991</v>
      </c>
      <c r="BE1508" t="s">
        <v>391</v>
      </c>
    </row>
    <row r="1509" spans="1:57" ht="13" x14ac:dyDescent="0.15">
      <c r="A1509">
        <v>1839</v>
      </c>
      <c r="B1509">
        <v>136429130</v>
      </c>
      <c r="C1509" t="s">
        <v>392</v>
      </c>
      <c r="D1509" s="7">
        <v>43056</v>
      </c>
      <c r="E1509" s="7">
        <v>45707</v>
      </c>
      <c r="F1509">
        <v>330862</v>
      </c>
      <c r="G1509" t="s">
        <v>983</v>
      </c>
      <c r="H1509" t="s">
        <v>9</v>
      </c>
      <c r="I1509" s="7">
        <v>45626</v>
      </c>
      <c r="J1509" s="8">
        <v>0.75585648148148143</v>
      </c>
      <c r="K1509" t="s">
        <v>984</v>
      </c>
      <c r="AQ1509" t="s">
        <v>992</v>
      </c>
      <c r="AR1509" t="s">
        <v>1692</v>
      </c>
      <c r="AT1509" t="s">
        <v>987</v>
      </c>
      <c r="AZ1509" t="s">
        <v>1182</v>
      </c>
      <c r="BA1509" t="s">
        <v>1185</v>
      </c>
      <c r="BB1509" t="s">
        <v>1026</v>
      </c>
      <c r="BD1509" t="s">
        <v>1022</v>
      </c>
      <c r="BE1509" t="s">
        <v>392</v>
      </c>
    </row>
    <row r="1510" spans="1:57" ht="13" x14ac:dyDescent="0.15">
      <c r="A1510">
        <v>1839</v>
      </c>
      <c r="B1510">
        <v>136429130</v>
      </c>
      <c r="C1510" t="s">
        <v>392</v>
      </c>
      <c r="D1510" s="7">
        <v>43056</v>
      </c>
      <c r="E1510" s="7">
        <v>45707</v>
      </c>
      <c r="F1510">
        <v>330862</v>
      </c>
      <c r="G1510" t="s">
        <v>983</v>
      </c>
      <c r="H1510" t="s">
        <v>9</v>
      </c>
      <c r="I1510" s="7">
        <v>45633</v>
      </c>
      <c r="J1510" s="8">
        <v>0.69359953703703703</v>
      </c>
      <c r="K1510" t="s">
        <v>984</v>
      </c>
      <c r="AQ1510" t="s">
        <v>992</v>
      </c>
      <c r="AR1510" t="s">
        <v>1693</v>
      </c>
      <c r="AT1510" t="s">
        <v>987</v>
      </c>
      <c r="AZ1510" t="s">
        <v>1011</v>
      </c>
      <c r="BA1510" t="s">
        <v>1031</v>
      </c>
      <c r="BB1510" t="s">
        <v>1032</v>
      </c>
      <c r="BD1510" t="s">
        <v>1005</v>
      </c>
      <c r="BE1510" t="s">
        <v>392</v>
      </c>
    </row>
    <row r="1511" spans="1:57" ht="13" x14ac:dyDescent="0.15">
      <c r="A1511">
        <v>1839</v>
      </c>
      <c r="B1511">
        <v>136429130</v>
      </c>
      <c r="C1511" t="s">
        <v>392</v>
      </c>
      <c r="D1511" s="7">
        <v>43056</v>
      </c>
      <c r="E1511" s="7">
        <v>45707</v>
      </c>
      <c r="F1511">
        <v>330862</v>
      </c>
      <c r="G1511" t="s">
        <v>983</v>
      </c>
      <c r="H1511" t="s">
        <v>9</v>
      </c>
      <c r="I1511" s="7">
        <v>45643</v>
      </c>
      <c r="J1511" s="8">
        <v>0.73552083333333329</v>
      </c>
      <c r="K1511" t="s">
        <v>984</v>
      </c>
      <c r="AQ1511" t="s">
        <v>992</v>
      </c>
      <c r="AR1511" t="s">
        <v>1527</v>
      </c>
      <c r="AT1511" t="s">
        <v>987</v>
      </c>
      <c r="AZ1511" t="s">
        <v>1002</v>
      </c>
      <c r="BA1511" t="s">
        <v>1124</v>
      </c>
      <c r="BB1511" t="s">
        <v>1125</v>
      </c>
      <c r="BD1511" t="s">
        <v>1005</v>
      </c>
      <c r="BE1511" t="s">
        <v>392</v>
      </c>
    </row>
    <row r="1512" spans="1:57" ht="13" x14ac:dyDescent="0.15">
      <c r="A1512">
        <v>1839</v>
      </c>
      <c r="B1512">
        <v>136429130</v>
      </c>
      <c r="C1512" t="s">
        <v>392</v>
      </c>
      <c r="D1512" s="7">
        <v>43056</v>
      </c>
      <c r="E1512" s="7">
        <v>45707</v>
      </c>
      <c r="F1512">
        <v>330862</v>
      </c>
      <c r="G1512" t="s">
        <v>983</v>
      </c>
      <c r="H1512" t="s">
        <v>9</v>
      </c>
      <c r="I1512" s="7">
        <v>45643</v>
      </c>
      <c r="J1512" s="8">
        <v>0.82547453703703699</v>
      </c>
      <c r="K1512" t="s">
        <v>984</v>
      </c>
      <c r="AQ1512" t="s">
        <v>992</v>
      </c>
      <c r="AR1512" t="s">
        <v>1474</v>
      </c>
      <c r="AT1512" t="s">
        <v>987</v>
      </c>
      <c r="AZ1512" t="s">
        <v>1475</v>
      </c>
      <c r="BA1512" t="s">
        <v>1188</v>
      </c>
      <c r="BB1512" t="s">
        <v>1476</v>
      </c>
      <c r="BD1512" t="s">
        <v>1022</v>
      </c>
      <c r="BE1512" t="s">
        <v>392</v>
      </c>
    </row>
    <row r="1513" spans="1:57" ht="13" x14ac:dyDescent="0.15">
      <c r="A1513">
        <v>1839</v>
      </c>
      <c r="B1513">
        <v>136429130</v>
      </c>
      <c r="C1513" t="s">
        <v>392</v>
      </c>
      <c r="D1513" s="7">
        <v>43056</v>
      </c>
      <c r="E1513" s="7">
        <v>45707</v>
      </c>
      <c r="F1513">
        <v>330862</v>
      </c>
      <c r="G1513" t="s">
        <v>983</v>
      </c>
      <c r="H1513" t="s">
        <v>9</v>
      </c>
      <c r="I1513" s="7">
        <v>45649</v>
      </c>
      <c r="J1513" s="8">
        <v>0.56998842592592591</v>
      </c>
      <c r="K1513" t="s">
        <v>984</v>
      </c>
      <c r="AQ1513" t="s">
        <v>992</v>
      </c>
      <c r="AR1513" t="s">
        <v>1190</v>
      </c>
      <c r="AT1513" t="s">
        <v>987</v>
      </c>
      <c r="AZ1513" t="s">
        <v>1139</v>
      </c>
      <c r="BA1513" t="s">
        <v>1140</v>
      </c>
      <c r="BB1513" t="s">
        <v>1032</v>
      </c>
      <c r="BD1513" t="s">
        <v>1005</v>
      </c>
      <c r="BE1513" t="s">
        <v>392</v>
      </c>
    </row>
    <row r="1514" spans="1:57" ht="13" x14ac:dyDescent="0.15">
      <c r="A1514">
        <v>1839</v>
      </c>
      <c r="B1514">
        <v>136429130</v>
      </c>
      <c r="C1514" t="s">
        <v>392</v>
      </c>
      <c r="D1514" s="7">
        <v>43056</v>
      </c>
      <c r="E1514" s="7">
        <v>45707</v>
      </c>
      <c r="F1514">
        <v>330862</v>
      </c>
      <c r="G1514" t="s">
        <v>983</v>
      </c>
      <c r="H1514" t="s">
        <v>9</v>
      </c>
      <c r="I1514" s="7">
        <v>45649</v>
      </c>
      <c r="J1514" s="8">
        <v>0.59150462962962957</v>
      </c>
      <c r="K1514" t="s">
        <v>984</v>
      </c>
      <c r="AQ1514" t="s">
        <v>992</v>
      </c>
      <c r="AR1514" t="s">
        <v>1187</v>
      </c>
      <c r="AT1514" t="s">
        <v>987</v>
      </c>
      <c r="AZ1514" t="s">
        <v>1215</v>
      </c>
      <c r="BA1514" t="s">
        <v>1216</v>
      </c>
      <c r="BB1514" t="s">
        <v>1217</v>
      </c>
      <c r="BD1514" t="s">
        <v>1022</v>
      </c>
      <c r="BE1514" t="s">
        <v>392</v>
      </c>
    </row>
    <row r="1515" spans="1:57" ht="13" x14ac:dyDescent="0.15">
      <c r="A1515">
        <v>1839</v>
      </c>
      <c r="B1515">
        <v>136429130</v>
      </c>
      <c r="C1515" t="s">
        <v>392</v>
      </c>
      <c r="D1515" s="7">
        <v>43056</v>
      </c>
      <c r="E1515" s="7">
        <v>45707</v>
      </c>
      <c r="F1515">
        <v>330862</v>
      </c>
      <c r="G1515" t="s">
        <v>983</v>
      </c>
      <c r="H1515" t="s">
        <v>9</v>
      </c>
      <c r="I1515" s="7">
        <v>45640</v>
      </c>
      <c r="J1515" s="8">
        <v>0.93478009259259254</v>
      </c>
      <c r="K1515" t="s">
        <v>984</v>
      </c>
      <c r="AQ1515" t="s">
        <v>992</v>
      </c>
      <c r="AR1515" t="s">
        <v>1694</v>
      </c>
      <c r="AT1515" t="s">
        <v>987</v>
      </c>
      <c r="AZ1515" t="s">
        <v>1215</v>
      </c>
      <c r="BA1515" t="s">
        <v>1216</v>
      </c>
      <c r="BB1515" t="s">
        <v>1217</v>
      </c>
      <c r="BD1515" t="s">
        <v>1022</v>
      </c>
      <c r="BE1515" t="s">
        <v>392</v>
      </c>
    </row>
    <row r="1516" spans="1:57" ht="13" x14ac:dyDescent="0.15">
      <c r="A1516">
        <v>1839</v>
      </c>
      <c r="B1516">
        <v>136429130</v>
      </c>
      <c r="C1516" t="s">
        <v>392</v>
      </c>
      <c r="D1516" s="7">
        <v>43056</v>
      </c>
      <c r="E1516" s="7">
        <v>45707</v>
      </c>
      <c r="F1516">
        <v>330862</v>
      </c>
      <c r="G1516" t="s">
        <v>983</v>
      </c>
      <c r="H1516" t="s">
        <v>9</v>
      </c>
      <c r="I1516" s="7">
        <v>45672</v>
      </c>
      <c r="J1516" s="8">
        <v>0.95071759259259259</v>
      </c>
      <c r="K1516" t="s">
        <v>984</v>
      </c>
      <c r="AQ1516" t="s">
        <v>992</v>
      </c>
      <c r="AR1516" t="s">
        <v>1274</v>
      </c>
      <c r="AT1516" t="s">
        <v>987</v>
      </c>
      <c r="AZ1516" t="s">
        <v>1016</v>
      </c>
      <c r="BA1516" t="s">
        <v>1017</v>
      </c>
      <c r="BB1516" t="s">
        <v>1018</v>
      </c>
      <c r="BD1516" t="s">
        <v>991</v>
      </c>
      <c r="BE1516" t="s">
        <v>392</v>
      </c>
    </row>
    <row r="1517" spans="1:57" ht="13" x14ac:dyDescent="0.15">
      <c r="A1517">
        <v>1839</v>
      </c>
      <c r="B1517">
        <v>136429130</v>
      </c>
      <c r="C1517" t="s">
        <v>392</v>
      </c>
      <c r="D1517" s="7">
        <v>43056</v>
      </c>
      <c r="E1517" s="7">
        <v>45707</v>
      </c>
      <c r="F1517">
        <v>330862</v>
      </c>
      <c r="G1517" t="s">
        <v>983</v>
      </c>
      <c r="H1517" t="s">
        <v>9</v>
      </c>
      <c r="I1517" s="7">
        <v>45655</v>
      </c>
      <c r="J1517" s="8">
        <v>0.83466435185185184</v>
      </c>
      <c r="K1517" t="s">
        <v>984</v>
      </c>
      <c r="AQ1517" t="s">
        <v>1042</v>
      </c>
      <c r="AR1517" t="s">
        <v>1695</v>
      </c>
      <c r="AT1517" t="s">
        <v>987</v>
      </c>
      <c r="AZ1517" t="s">
        <v>1002</v>
      </c>
      <c r="BA1517" t="s">
        <v>1003</v>
      </c>
      <c r="BB1517" t="s">
        <v>1004</v>
      </c>
      <c r="BD1517" t="s">
        <v>1005</v>
      </c>
      <c r="BE1517" t="s">
        <v>392</v>
      </c>
    </row>
    <row r="1518" spans="1:57" ht="13" x14ac:dyDescent="0.15">
      <c r="A1518">
        <v>1839</v>
      </c>
      <c r="B1518">
        <v>136429130</v>
      </c>
      <c r="C1518" t="s">
        <v>392</v>
      </c>
      <c r="D1518" s="7">
        <v>43056</v>
      </c>
      <c r="E1518" s="7">
        <v>45707</v>
      </c>
      <c r="F1518">
        <v>330862</v>
      </c>
      <c r="G1518" t="s">
        <v>983</v>
      </c>
      <c r="H1518" t="s">
        <v>9</v>
      </c>
      <c r="I1518" s="7">
        <v>45658</v>
      </c>
      <c r="J1518" s="8">
        <v>0.59362268518518524</v>
      </c>
      <c r="K1518" t="s">
        <v>984</v>
      </c>
      <c r="AQ1518" t="s">
        <v>992</v>
      </c>
      <c r="AR1518" t="s">
        <v>1307</v>
      </c>
      <c r="AT1518" t="s">
        <v>987</v>
      </c>
      <c r="AZ1518" t="s">
        <v>1002</v>
      </c>
      <c r="BA1518" t="s">
        <v>1003</v>
      </c>
      <c r="BB1518" t="s">
        <v>1004</v>
      </c>
      <c r="BD1518" t="s">
        <v>1005</v>
      </c>
      <c r="BE1518" t="s">
        <v>392</v>
      </c>
    </row>
    <row r="1519" spans="1:57" ht="13" x14ac:dyDescent="0.15">
      <c r="A1519">
        <v>1839</v>
      </c>
      <c r="B1519">
        <v>136429130</v>
      </c>
      <c r="C1519" t="s">
        <v>392</v>
      </c>
      <c r="D1519" s="7">
        <v>43056</v>
      </c>
      <c r="E1519" s="7">
        <v>45707</v>
      </c>
      <c r="F1519">
        <v>330862</v>
      </c>
      <c r="G1519" t="s">
        <v>983</v>
      </c>
      <c r="H1519" t="s">
        <v>9</v>
      </c>
      <c r="I1519" s="7">
        <v>45662</v>
      </c>
      <c r="J1519" s="8">
        <v>0.55431712962962965</v>
      </c>
      <c r="K1519" t="s">
        <v>984</v>
      </c>
      <c r="AQ1519" t="s">
        <v>992</v>
      </c>
      <c r="AR1519" t="s">
        <v>1696</v>
      </c>
      <c r="AT1519" t="s">
        <v>987</v>
      </c>
      <c r="AZ1519" t="s">
        <v>1182</v>
      </c>
      <c r="BA1519" t="s">
        <v>1185</v>
      </c>
      <c r="BB1519" t="s">
        <v>1026</v>
      </c>
      <c r="BD1519" t="s">
        <v>1022</v>
      </c>
      <c r="BE1519" t="s">
        <v>392</v>
      </c>
    </row>
    <row r="1520" spans="1:57" ht="13" x14ac:dyDescent="0.15">
      <c r="A1520">
        <v>1839</v>
      </c>
      <c r="B1520">
        <v>136429130</v>
      </c>
      <c r="C1520" t="s">
        <v>392</v>
      </c>
      <c r="D1520" s="7">
        <v>43056</v>
      </c>
      <c r="E1520" s="7">
        <v>45707</v>
      </c>
      <c r="F1520">
        <v>330862</v>
      </c>
      <c r="G1520" t="s">
        <v>983</v>
      </c>
      <c r="H1520" t="s">
        <v>9</v>
      </c>
      <c r="I1520" s="7">
        <v>45666</v>
      </c>
      <c r="J1520" s="8">
        <v>0.82939814814814816</v>
      </c>
      <c r="K1520" t="s">
        <v>984</v>
      </c>
      <c r="AQ1520" t="s">
        <v>992</v>
      </c>
      <c r="AR1520" t="s">
        <v>1300</v>
      </c>
      <c r="AT1520" t="s">
        <v>987</v>
      </c>
      <c r="AZ1520" t="s">
        <v>1011</v>
      </c>
      <c r="BA1520" t="s">
        <v>1202</v>
      </c>
      <c r="BB1520" t="s">
        <v>1203</v>
      </c>
      <c r="BD1520" t="s">
        <v>991</v>
      </c>
      <c r="BE1520" t="s">
        <v>392</v>
      </c>
    </row>
    <row r="1521" spans="1:57" ht="13" x14ac:dyDescent="0.15">
      <c r="A1521">
        <v>1839</v>
      </c>
      <c r="B1521">
        <v>136429130</v>
      </c>
      <c r="C1521" t="s">
        <v>392</v>
      </c>
      <c r="D1521" s="7">
        <v>43056</v>
      </c>
      <c r="E1521" s="7">
        <v>45707</v>
      </c>
      <c r="F1521">
        <v>330862</v>
      </c>
      <c r="G1521" t="s">
        <v>983</v>
      </c>
      <c r="H1521" t="s">
        <v>9</v>
      </c>
      <c r="I1521" s="7">
        <v>45679</v>
      </c>
      <c r="J1521" s="8">
        <v>0.56645833333333329</v>
      </c>
      <c r="K1521" t="s">
        <v>984</v>
      </c>
      <c r="AQ1521" t="s">
        <v>992</v>
      </c>
      <c r="AR1521" t="s">
        <v>1083</v>
      </c>
      <c r="AT1521" t="s">
        <v>987</v>
      </c>
      <c r="AZ1521" t="s">
        <v>1011</v>
      </c>
      <c r="BA1521" t="s">
        <v>1012</v>
      </c>
      <c r="BB1521" t="s">
        <v>1013</v>
      </c>
      <c r="BD1521" t="s">
        <v>1014</v>
      </c>
      <c r="BE1521" t="s">
        <v>392</v>
      </c>
    </row>
    <row r="1522" spans="1:57" ht="13" x14ac:dyDescent="0.15">
      <c r="A1522">
        <v>1839</v>
      </c>
      <c r="B1522">
        <v>136429130</v>
      </c>
      <c r="C1522" t="s">
        <v>392</v>
      </c>
      <c r="D1522" s="7">
        <v>43056</v>
      </c>
      <c r="E1522" s="7">
        <v>45707</v>
      </c>
      <c r="F1522">
        <v>330862</v>
      </c>
      <c r="G1522" t="s">
        <v>983</v>
      </c>
      <c r="H1522" t="s">
        <v>9</v>
      </c>
      <c r="I1522" s="7">
        <v>45688</v>
      </c>
      <c r="J1522" s="8">
        <v>0.73883101851851851</v>
      </c>
      <c r="K1522" t="s">
        <v>984</v>
      </c>
      <c r="AQ1522" t="s">
        <v>992</v>
      </c>
      <c r="AR1522" t="s">
        <v>1064</v>
      </c>
      <c r="AT1522" t="s">
        <v>987</v>
      </c>
      <c r="AZ1522" t="s">
        <v>1002</v>
      </c>
      <c r="BA1522" t="s">
        <v>1065</v>
      </c>
      <c r="BB1522" t="s">
        <v>1004</v>
      </c>
      <c r="BD1522" t="s">
        <v>991</v>
      </c>
      <c r="BE1522" t="s">
        <v>392</v>
      </c>
    </row>
    <row r="1523" spans="1:57" ht="13" x14ac:dyDescent="0.15">
      <c r="A1523">
        <v>1839</v>
      </c>
      <c r="B1523">
        <v>136429130</v>
      </c>
      <c r="C1523" t="s">
        <v>392</v>
      </c>
      <c r="D1523" s="7">
        <v>43056</v>
      </c>
      <c r="E1523" s="7">
        <v>45707</v>
      </c>
      <c r="F1523">
        <v>330862</v>
      </c>
      <c r="G1523" t="s">
        <v>983</v>
      </c>
      <c r="H1523" t="s">
        <v>9</v>
      </c>
      <c r="I1523" s="7">
        <v>45688</v>
      </c>
      <c r="J1523" s="8">
        <v>0.78658564814814813</v>
      </c>
      <c r="K1523" t="s">
        <v>984</v>
      </c>
      <c r="AQ1523" t="s">
        <v>992</v>
      </c>
      <c r="AR1523" t="s">
        <v>1298</v>
      </c>
      <c r="AT1523" t="s">
        <v>987</v>
      </c>
      <c r="AZ1523" t="s">
        <v>1071</v>
      </c>
      <c r="BA1523" t="s">
        <v>1135</v>
      </c>
      <c r="BB1523" t="s">
        <v>1136</v>
      </c>
      <c r="BD1523" t="s">
        <v>991</v>
      </c>
      <c r="BE1523" t="s">
        <v>392</v>
      </c>
    </row>
    <row r="1524" spans="1:57" ht="13" x14ac:dyDescent="0.15">
      <c r="A1524">
        <v>1839</v>
      </c>
      <c r="B1524">
        <v>136429130</v>
      </c>
      <c r="C1524" t="s">
        <v>392</v>
      </c>
      <c r="D1524" s="7">
        <v>43056</v>
      </c>
      <c r="E1524" s="7">
        <v>45707</v>
      </c>
      <c r="F1524">
        <v>330862</v>
      </c>
      <c r="G1524" t="s">
        <v>983</v>
      </c>
      <c r="H1524" t="s">
        <v>9</v>
      </c>
      <c r="I1524" s="7">
        <v>45703</v>
      </c>
      <c r="J1524" s="8">
        <v>0.5489236111111111</v>
      </c>
      <c r="K1524" t="s">
        <v>984</v>
      </c>
      <c r="AQ1524" t="s">
        <v>992</v>
      </c>
      <c r="AR1524" t="s">
        <v>1697</v>
      </c>
      <c r="AT1524" t="s">
        <v>987</v>
      </c>
      <c r="AZ1524" t="s">
        <v>1182</v>
      </c>
      <c r="BA1524" t="s">
        <v>1183</v>
      </c>
      <c r="BB1524" t="s">
        <v>990</v>
      </c>
      <c r="BD1524" t="s">
        <v>991</v>
      </c>
      <c r="BE1524" t="s">
        <v>392</v>
      </c>
    </row>
    <row r="1525" spans="1:57" ht="13" x14ac:dyDescent="0.15">
      <c r="A1525">
        <v>1839</v>
      </c>
      <c r="B1525">
        <v>136429130</v>
      </c>
      <c r="C1525" t="s">
        <v>392</v>
      </c>
      <c r="D1525" s="7">
        <v>43056</v>
      </c>
      <c r="E1525" s="7">
        <v>45707</v>
      </c>
      <c r="F1525">
        <v>330862</v>
      </c>
      <c r="G1525" t="s">
        <v>983</v>
      </c>
      <c r="H1525" t="s">
        <v>9</v>
      </c>
      <c r="I1525" s="7">
        <v>45703</v>
      </c>
      <c r="J1525" s="8">
        <v>0.5502893518518519</v>
      </c>
      <c r="K1525" t="s">
        <v>984</v>
      </c>
      <c r="AQ1525" t="s">
        <v>992</v>
      </c>
      <c r="AR1525" t="s">
        <v>1272</v>
      </c>
      <c r="AT1525" t="s">
        <v>987</v>
      </c>
      <c r="AZ1525" t="s">
        <v>1002</v>
      </c>
      <c r="BA1525" t="s">
        <v>1040</v>
      </c>
      <c r="BB1525" t="s">
        <v>1041</v>
      </c>
      <c r="BD1525" t="s">
        <v>991</v>
      </c>
      <c r="BE1525" t="s">
        <v>392</v>
      </c>
    </row>
    <row r="1526" spans="1:57" ht="13" x14ac:dyDescent="0.15">
      <c r="A1526">
        <v>1839</v>
      </c>
      <c r="B1526">
        <v>136429130</v>
      </c>
      <c r="C1526" t="s">
        <v>392</v>
      </c>
      <c r="D1526" s="7">
        <v>43056</v>
      </c>
      <c r="E1526" s="7">
        <v>45707</v>
      </c>
      <c r="F1526">
        <v>330862</v>
      </c>
      <c r="G1526" t="s">
        <v>983</v>
      </c>
      <c r="H1526" t="s">
        <v>9</v>
      </c>
      <c r="I1526" s="7">
        <v>45707</v>
      </c>
      <c r="J1526" s="8">
        <v>0.8059722222222222</v>
      </c>
      <c r="K1526" t="s">
        <v>984</v>
      </c>
      <c r="AQ1526" t="s">
        <v>992</v>
      </c>
      <c r="AR1526" t="s">
        <v>1698</v>
      </c>
      <c r="AT1526" t="s">
        <v>987</v>
      </c>
      <c r="AZ1526" t="s">
        <v>1080</v>
      </c>
      <c r="BA1526" t="s">
        <v>1081</v>
      </c>
      <c r="BB1526" t="s">
        <v>1082</v>
      </c>
      <c r="BD1526" t="s">
        <v>991</v>
      </c>
      <c r="BE1526" t="s">
        <v>392</v>
      </c>
    </row>
    <row r="1527" spans="1:57" ht="13" x14ac:dyDescent="0.15">
      <c r="A1527">
        <v>1839</v>
      </c>
      <c r="B1527">
        <v>136429130</v>
      </c>
      <c r="C1527" t="s">
        <v>392</v>
      </c>
      <c r="D1527" s="7">
        <v>43056</v>
      </c>
      <c r="E1527" s="7">
        <v>45707</v>
      </c>
      <c r="F1527">
        <v>330862</v>
      </c>
      <c r="G1527" t="s">
        <v>983</v>
      </c>
      <c r="H1527" t="s">
        <v>9</v>
      </c>
      <c r="I1527" s="7">
        <v>45623</v>
      </c>
      <c r="J1527" s="8">
        <v>0.86121527777777773</v>
      </c>
      <c r="K1527" t="s">
        <v>984</v>
      </c>
      <c r="AQ1527" t="s">
        <v>1042</v>
      </c>
      <c r="AR1527" t="s">
        <v>1054</v>
      </c>
      <c r="AT1527" t="s">
        <v>987</v>
      </c>
      <c r="AZ1527" t="s">
        <v>1028</v>
      </c>
      <c r="BA1527" t="s">
        <v>1029</v>
      </c>
      <c r="BB1527" t="s">
        <v>1018</v>
      </c>
      <c r="BD1527" t="s">
        <v>1022</v>
      </c>
      <c r="BE1527" t="s">
        <v>392</v>
      </c>
    </row>
    <row r="1528" spans="1:57" ht="13" x14ac:dyDescent="0.15">
      <c r="A1528">
        <v>1839</v>
      </c>
      <c r="B1528">
        <v>136429130</v>
      </c>
      <c r="C1528" t="s">
        <v>392</v>
      </c>
      <c r="D1528" s="7">
        <v>43056</v>
      </c>
      <c r="E1528" s="7">
        <v>45707</v>
      </c>
      <c r="F1528">
        <v>330862</v>
      </c>
      <c r="G1528" t="s">
        <v>983</v>
      </c>
      <c r="H1528" t="s">
        <v>9</v>
      </c>
      <c r="I1528" s="7">
        <v>45626</v>
      </c>
      <c r="J1528" s="8">
        <v>0.67420138888888892</v>
      </c>
      <c r="K1528" t="s">
        <v>984</v>
      </c>
      <c r="AQ1528" t="s">
        <v>992</v>
      </c>
      <c r="AR1528" t="s">
        <v>1213</v>
      </c>
      <c r="AT1528" t="s">
        <v>987</v>
      </c>
      <c r="AZ1528" t="s">
        <v>1028</v>
      </c>
      <c r="BA1528" t="s">
        <v>1029</v>
      </c>
      <c r="BB1528" t="s">
        <v>1018</v>
      </c>
      <c r="BD1528" t="s">
        <v>1022</v>
      </c>
      <c r="BE1528" t="s">
        <v>392</v>
      </c>
    </row>
    <row r="1529" spans="1:57" ht="13" x14ac:dyDescent="0.15">
      <c r="A1529">
        <v>1839</v>
      </c>
      <c r="B1529">
        <v>137224579</v>
      </c>
      <c r="C1529" t="s">
        <v>393</v>
      </c>
      <c r="D1529" s="7">
        <v>43068</v>
      </c>
      <c r="E1529" s="7">
        <v>45696</v>
      </c>
      <c r="F1529">
        <v>330862</v>
      </c>
      <c r="G1529" t="s">
        <v>983</v>
      </c>
      <c r="H1529" t="s">
        <v>9</v>
      </c>
      <c r="I1529" s="7">
        <v>45694</v>
      </c>
      <c r="J1529" s="8">
        <v>0.92193287037037042</v>
      </c>
      <c r="K1529" t="s">
        <v>984</v>
      </c>
      <c r="AQ1529" t="s">
        <v>992</v>
      </c>
      <c r="AR1529" t="s">
        <v>993</v>
      </c>
      <c r="AT1529" t="s">
        <v>987</v>
      </c>
      <c r="AZ1529" t="s">
        <v>988</v>
      </c>
      <c r="BA1529" t="s">
        <v>989</v>
      </c>
      <c r="BB1529" t="s">
        <v>990</v>
      </c>
      <c r="BD1529" t="s">
        <v>991</v>
      </c>
      <c r="BE1529" t="s">
        <v>393</v>
      </c>
    </row>
    <row r="1530" spans="1:57" ht="13" x14ac:dyDescent="0.15">
      <c r="A1530">
        <v>1839</v>
      </c>
      <c r="B1530">
        <v>137388026</v>
      </c>
      <c r="C1530" t="s">
        <v>1699</v>
      </c>
      <c r="D1530" s="7">
        <v>43070</v>
      </c>
      <c r="E1530" s="7">
        <v>45696</v>
      </c>
      <c r="F1530">
        <v>330862</v>
      </c>
      <c r="G1530" t="s">
        <v>983</v>
      </c>
      <c r="H1530" t="s">
        <v>9</v>
      </c>
      <c r="I1530" s="7">
        <v>45616</v>
      </c>
      <c r="J1530" s="8">
        <v>0.64296296296296296</v>
      </c>
      <c r="K1530" t="s">
        <v>984</v>
      </c>
      <c r="AQ1530" t="s">
        <v>1092</v>
      </c>
      <c r="AR1530" t="s">
        <v>1378</v>
      </c>
      <c r="AT1530" t="s">
        <v>987</v>
      </c>
      <c r="AZ1530" t="s">
        <v>1011</v>
      </c>
      <c r="BA1530" t="s">
        <v>1103</v>
      </c>
      <c r="BB1530" t="s">
        <v>1032</v>
      </c>
      <c r="BD1530" t="s">
        <v>1005</v>
      </c>
      <c r="BE1530" t="s">
        <v>1699</v>
      </c>
    </row>
    <row r="1531" spans="1:57" ht="13" x14ac:dyDescent="0.15">
      <c r="A1531">
        <v>1839</v>
      </c>
      <c r="B1531">
        <v>137388026</v>
      </c>
      <c r="C1531" t="s">
        <v>1699</v>
      </c>
      <c r="D1531" s="7">
        <v>43070</v>
      </c>
      <c r="E1531" s="7">
        <v>45696</v>
      </c>
      <c r="F1531">
        <v>330862</v>
      </c>
      <c r="G1531" t="s">
        <v>983</v>
      </c>
      <c r="H1531" t="s">
        <v>9</v>
      </c>
      <c r="I1531" s="7">
        <v>45636</v>
      </c>
      <c r="J1531" s="8">
        <v>0.50482638888888887</v>
      </c>
      <c r="K1531" t="s">
        <v>984</v>
      </c>
      <c r="AQ1531" t="s">
        <v>1092</v>
      </c>
      <c r="AR1531" t="s">
        <v>1208</v>
      </c>
      <c r="AT1531" t="s">
        <v>987</v>
      </c>
      <c r="AZ1531" t="s">
        <v>1011</v>
      </c>
      <c r="BA1531" t="s">
        <v>1031</v>
      </c>
      <c r="BB1531" t="s">
        <v>1032</v>
      </c>
      <c r="BD1531" t="s">
        <v>1005</v>
      </c>
      <c r="BE1531" t="s">
        <v>1699</v>
      </c>
    </row>
    <row r="1532" spans="1:57" ht="13" x14ac:dyDescent="0.15">
      <c r="A1532">
        <v>1839</v>
      </c>
      <c r="B1532">
        <v>137990095</v>
      </c>
      <c r="C1532" t="s">
        <v>394</v>
      </c>
      <c r="D1532" s="7">
        <v>43077</v>
      </c>
      <c r="E1532" s="7">
        <v>45692</v>
      </c>
      <c r="F1532">
        <v>336444</v>
      </c>
      <c r="G1532" t="s">
        <v>995</v>
      </c>
      <c r="H1532" t="s">
        <v>12</v>
      </c>
      <c r="I1532" s="7">
        <v>45692</v>
      </c>
      <c r="J1532" s="8">
        <v>0.62732638888888892</v>
      </c>
      <c r="K1532" t="s">
        <v>984</v>
      </c>
      <c r="AQ1532" t="s">
        <v>996</v>
      </c>
      <c r="BE1532" t="s">
        <v>394</v>
      </c>
    </row>
    <row r="1533" spans="1:57" ht="13" x14ac:dyDescent="0.15">
      <c r="A1533">
        <v>1839</v>
      </c>
      <c r="B1533">
        <v>138353222</v>
      </c>
      <c r="C1533" t="s">
        <v>395</v>
      </c>
      <c r="D1533" s="7">
        <v>43083</v>
      </c>
      <c r="E1533" s="7">
        <v>45692</v>
      </c>
      <c r="F1533">
        <v>330862</v>
      </c>
      <c r="G1533" t="s">
        <v>983</v>
      </c>
      <c r="H1533" t="s">
        <v>9</v>
      </c>
      <c r="I1533" s="7">
        <v>45686</v>
      </c>
      <c r="J1533" s="8">
        <v>8.5150462962962969E-2</v>
      </c>
      <c r="K1533" t="s">
        <v>984</v>
      </c>
      <c r="AQ1533" t="s">
        <v>1090</v>
      </c>
      <c r="AR1533" t="s">
        <v>1700</v>
      </c>
      <c r="AT1533" t="s">
        <v>987</v>
      </c>
      <c r="AZ1533" t="s">
        <v>1011</v>
      </c>
      <c r="BA1533" t="s">
        <v>1012</v>
      </c>
      <c r="BB1533" t="s">
        <v>1013</v>
      </c>
      <c r="BD1533" t="s">
        <v>1014</v>
      </c>
      <c r="BE1533" t="s">
        <v>395</v>
      </c>
    </row>
    <row r="1534" spans="1:57" ht="13" x14ac:dyDescent="0.15">
      <c r="A1534">
        <v>1839</v>
      </c>
      <c r="B1534">
        <v>138418435</v>
      </c>
      <c r="C1534" t="s">
        <v>396</v>
      </c>
      <c r="D1534" s="7">
        <v>43084</v>
      </c>
      <c r="E1534" s="7">
        <v>45702</v>
      </c>
      <c r="F1534">
        <v>330862</v>
      </c>
      <c r="G1534" t="s">
        <v>983</v>
      </c>
      <c r="H1534" t="s">
        <v>9</v>
      </c>
      <c r="I1534" s="7">
        <v>45701</v>
      </c>
      <c r="J1534" s="8">
        <v>0.38115740740740739</v>
      </c>
      <c r="K1534" t="s">
        <v>984</v>
      </c>
      <c r="AQ1534" t="s">
        <v>992</v>
      </c>
      <c r="AR1534" t="s">
        <v>994</v>
      </c>
      <c r="AT1534" t="s">
        <v>987</v>
      </c>
      <c r="AZ1534" t="s">
        <v>1011</v>
      </c>
      <c r="BA1534" t="s">
        <v>1012</v>
      </c>
      <c r="BB1534" t="s">
        <v>1013</v>
      </c>
      <c r="BD1534" t="s">
        <v>1014</v>
      </c>
      <c r="BE1534" t="s">
        <v>396</v>
      </c>
    </row>
    <row r="1535" spans="1:57" ht="13" x14ac:dyDescent="0.15">
      <c r="A1535">
        <v>1839</v>
      </c>
      <c r="B1535">
        <v>138418435</v>
      </c>
      <c r="C1535" t="s">
        <v>396</v>
      </c>
      <c r="D1535" s="7">
        <v>43084</v>
      </c>
      <c r="E1535" s="7">
        <v>45702</v>
      </c>
      <c r="F1535">
        <v>330862</v>
      </c>
      <c r="G1535" t="s">
        <v>983</v>
      </c>
      <c r="H1535" t="s">
        <v>9</v>
      </c>
      <c r="I1535" s="7">
        <v>45636</v>
      </c>
      <c r="J1535" s="8">
        <v>0.70548611111111115</v>
      </c>
      <c r="K1535" t="s">
        <v>984</v>
      </c>
      <c r="AQ1535" t="s">
        <v>992</v>
      </c>
      <c r="AR1535" t="s">
        <v>1098</v>
      </c>
      <c r="AT1535" t="s">
        <v>987</v>
      </c>
      <c r="AZ1535" t="s">
        <v>1020</v>
      </c>
      <c r="BA1535" t="s">
        <v>1021</v>
      </c>
      <c r="BB1535" t="s">
        <v>1018</v>
      </c>
      <c r="BD1535" t="s">
        <v>1022</v>
      </c>
      <c r="BE1535" t="s">
        <v>396</v>
      </c>
    </row>
    <row r="1536" spans="1:57" ht="13" x14ac:dyDescent="0.15">
      <c r="A1536">
        <v>1839</v>
      </c>
      <c r="B1536">
        <v>139182238</v>
      </c>
      <c r="C1536" t="s">
        <v>397</v>
      </c>
      <c r="D1536" s="7">
        <v>43092</v>
      </c>
      <c r="E1536" s="7">
        <v>45713</v>
      </c>
      <c r="F1536">
        <v>330862</v>
      </c>
      <c r="G1536" t="s">
        <v>983</v>
      </c>
      <c r="H1536" t="s">
        <v>9</v>
      </c>
      <c r="I1536" s="7">
        <v>45637</v>
      </c>
      <c r="J1536" s="8">
        <v>4.0625000000000001E-3</v>
      </c>
      <c r="K1536" t="s">
        <v>984</v>
      </c>
      <c r="AQ1536" t="s">
        <v>992</v>
      </c>
      <c r="AR1536" t="s">
        <v>1208</v>
      </c>
      <c r="AT1536" t="s">
        <v>987</v>
      </c>
      <c r="AZ1536" t="s">
        <v>1028</v>
      </c>
      <c r="BA1536" t="s">
        <v>1029</v>
      </c>
      <c r="BB1536" t="s">
        <v>1018</v>
      </c>
      <c r="BD1536" t="s">
        <v>1022</v>
      </c>
      <c r="BE1536" t="s">
        <v>397</v>
      </c>
    </row>
    <row r="1537" spans="1:57" ht="13" x14ac:dyDescent="0.15">
      <c r="A1537">
        <v>1839</v>
      </c>
      <c r="B1537">
        <v>139182238</v>
      </c>
      <c r="C1537" t="s">
        <v>397</v>
      </c>
      <c r="D1537" s="7">
        <v>43092</v>
      </c>
      <c r="E1537" s="7">
        <v>45713</v>
      </c>
      <c r="F1537">
        <v>330862</v>
      </c>
      <c r="G1537" t="s">
        <v>983</v>
      </c>
      <c r="H1537" t="s">
        <v>9</v>
      </c>
      <c r="I1537" s="7">
        <v>45637</v>
      </c>
      <c r="J1537" s="8">
        <v>8.4490740740740741E-3</v>
      </c>
      <c r="K1537" t="s">
        <v>984</v>
      </c>
      <c r="AQ1537" t="s">
        <v>992</v>
      </c>
      <c r="AR1537" t="s">
        <v>1122</v>
      </c>
      <c r="AT1537" t="s">
        <v>987</v>
      </c>
      <c r="BE1537" t="s">
        <v>397</v>
      </c>
    </row>
    <row r="1538" spans="1:57" ht="13" x14ac:dyDescent="0.15">
      <c r="A1538">
        <v>1839</v>
      </c>
      <c r="B1538">
        <v>139182238</v>
      </c>
      <c r="C1538" t="s">
        <v>397</v>
      </c>
      <c r="D1538" s="7">
        <v>43092</v>
      </c>
      <c r="E1538" s="7">
        <v>45713</v>
      </c>
      <c r="F1538">
        <v>330862</v>
      </c>
      <c r="G1538" t="s">
        <v>983</v>
      </c>
      <c r="H1538" t="s">
        <v>9</v>
      </c>
      <c r="I1538" s="7">
        <v>45694</v>
      </c>
      <c r="J1538" s="8">
        <v>0.72498842592592594</v>
      </c>
      <c r="K1538" t="s">
        <v>984</v>
      </c>
      <c r="AQ1538" t="s">
        <v>992</v>
      </c>
      <c r="AR1538" t="s">
        <v>986</v>
      </c>
      <c r="AT1538" t="s">
        <v>987</v>
      </c>
      <c r="AZ1538" t="s">
        <v>988</v>
      </c>
      <c r="BA1538" t="s">
        <v>989</v>
      </c>
      <c r="BB1538" t="s">
        <v>990</v>
      </c>
      <c r="BD1538" t="s">
        <v>991</v>
      </c>
      <c r="BE1538" t="s">
        <v>397</v>
      </c>
    </row>
    <row r="1539" spans="1:57" ht="13" x14ac:dyDescent="0.15">
      <c r="A1539">
        <v>1839</v>
      </c>
      <c r="B1539">
        <v>139182238</v>
      </c>
      <c r="C1539" t="s">
        <v>397</v>
      </c>
      <c r="D1539" s="7">
        <v>43092</v>
      </c>
      <c r="E1539" s="7">
        <v>45713</v>
      </c>
      <c r="F1539">
        <v>330862</v>
      </c>
      <c r="G1539" t="s">
        <v>983</v>
      </c>
      <c r="H1539" t="s">
        <v>9</v>
      </c>
      <c r="I1539" s="7">
        <v>45637</v>
      </c>
      <c r="J1539" s="8">
        <v>2.042824074074074E-2</v>
      </c>
      <c r="K1539" t="s">
        <v>984</v>
      </c>
      <c r="AQ1539" t="s">
        <v>992</v>
      </c>
      <c r="AR1539" t="s">
        <v>1209</v>
      </c>
      <c r="AT1539" t="s">
        <v>987</v>
      </c>
      <c r="AZ1539" t="s">
        <v>1024</v>
      </c>
      <c r="BA1539" t="s">
        <v>1025</v>
      </c>
      <c r="BB1539" t="s">
        <v>1026</v>
      </c>
      <c r="BD1539" t="s">
        <v>1022</v>
      </c>
      <c r="BE1539" t="s">
        <v>397</v>
      </c>
    </row>
    <row r="1540" spans="1:57" ht="13" x14ac:dyDescent="0.15">
      <c r="A1540">
        <v>1839</v>
      </c>
      <c r="B1540">
        <v>139182238</v>
      </c>
      <c r="C1540" t="s">
        <v>397</v>
      </c>
      <c r="D1540" s="7">
        <v>43092</v>
      </c>
      <c r="E1540" s="7">
        <v>45713</v>
      </c>
      <c r="F1540">
        <v>330862</v>
      </c>
      <c r="G1540" t="s">
        <v>983</v>
      </c>
      <c r="H1540" t="s">
        <v>9</v>
      </c>
      <c r="I1540" s="7">
        <v>45637</v>
      </c>
      <c r="J1540" s="8">
        <v>1.0810185185185185E-2</v>
      </c>
      <c r="K1540" t="s">
        <v>984</v>
      </c>
      <c r="AQ1540" t="s">
        <v>992</v>
      </c>
      <c r="AR1540" t="s">
        <v>1209</v>
      </c>
      <c r="BE1540" t="s">
        <v>397</v>
      </c>
    </row>
    <row r="1541" spans="1:57" ht="13" x14ac:dyDescent="0.15">
      <c r="A1541">
        <v>1839</v>
      </c>
      <c r="B1541">
        <v>139443425</v>
      </c>
      <c r="C1541" t="s">
        <v>398</v>
      </c>
      <c r="D1541" s="7">
        <v>43100</v>
      </c>
      <c r="E1541" s="7">
        <v>45697</v>
      </c>
      <c r="F1541">
        <v>330862</v>
      </c>
      <c r="G1541" t="s">
        <v>983</v>
      </c>
      <c r="H1541" t="s">
        <v>9</v>
      </c>
      <c r="I1541" s="7">
        <v>45694</v>
      </c>
      <c r="J1541" s="8">
        <v>0.60559027777777774</v>
      </c>
      <c r="K1541" t="s">
        <v>984</v>
      </c>
      <c r="AQ1541" t="s">
        <v>998</v>
      </c>
      <c r="AR1541" t="s">
        <v>993</v>
      </c>
      <c r="AT1541" t="s">
        <v>987</v>
      </c>
      <c r="AZ1541" t="s">
        <v>988</v>
      </c>
      <c r="BA1541" t="s">
        <v>989</v>
      </c>
      <c r="BB1541" t="s">
        <v>990</v>
      </c>
      <c r="BD1541" t="s">
        <v>991</v>
      </c>
      <c r="BE1541" t="s">
        <v>398</v>
      </c>
    </row>
    <row r="1542" spans="1:57" ht="13" x14ac:dyDescent="0.15">
      <c r="A1542">
        <v>1839</v>
      </c>
      <c r="B1542">
        <v>140043434</v>
      </c>
      <c r="C1542" t="s">
        <v>399</v>
      </c>
      <c r="D1542" s="7">
        <v>43108</v>
      </c>
      <c r="E1542" s="7">
        <v>45695</v>
      </c>
      <c r="F1542">
        <v>330862</v>
      </c>
      <c r="G1542" t="s">
        <v>983</v>
      </c>
      <c r="H1542" t="s">
        <v>9</v>
      </c>
      <c r="I1542" s="7">
        <v>45694</v>
      </c>
      <c r="J1542" s="8">
        <v>0.43961805555555555</v>
      </c>
      <c r="K1542" t="s">
        <v>984</v>
      </c>
      <c r="AQ1542" t="s">
        <v>1089</v>
      </c>
      <c r="AR1542" t="s">
        <v>986</v>
      </c>
      <c r="AT1542" t="s">
        <v>987</v>
      </c>
      <c r="AZ1542" t="s">
        <v>988</v>
      </c>
      <c r="BA1542" t="s">
        <v>989</v>
      </c>
      <c r="BB1542" t="s">
        <v>990</v>
      </c>
      <c r="BD1542" t="s">
        <v>991</v>
      </c>
      <c r="BE1542" t="s">
        <v>399</v>
      </c>
    </row>
    <row r="1543" spans="1:57" ht="13" x14ac:dyDescent="0.15">
      <c r="A1543">
        <v>1839</v>
      </c>
      <c r="B1543">
        <v>140695542</v>
      </c>
      <c r="C1543" t="s">
        <v>400</v>
      </c>
      <c r="D1543" s="7">
        <v>43119</v>
      </c>
      <c r="E1543" s="7">
        <v>45696</v>
      </c>
      <c r="F1543">
        <v>330862</v>
      </c>
      <c r="G1543" t="s">
        <v>983</v>
      </c>
      <c r="H1543" t="s">
        <v>9</v>
      </c>
      <c r="I1543" s="7">
        <v>45694</v>
      </c>
      <c r="J1543" s="8">
        <v>0.49429398148148146</v>
      </c>
      <c r="K1543" t="s">
        <v>984</v>
      </c>
      <c r="AQ1543" t="s">
        <v>992</v>
      </c>
      <c r="AR1543" t="s">
        <v>986</v>
      </c>
      <c r="AT1543" t="s">
        <v>987</v>
      </c>
      <c r="AZ1543" t="s">
        <v>988</v>
      </c>
      <c r="BA1543" t="s">
        <v>989</v>
      </c>
      <c r="BB1543" t="s">
        <v>990</v>
      </c>
      <c r="BD1543" t="s">
        <v>991</v>
      </c>
      <c r="BE1543" t="s">
        <v>400</v>
      </c>
    </row>
    <row r="1544" spans="1:57" ht="13" x14ac:dyDescent="0.15">
      <c r="A1544">
        <v>1839</v>
      </c>
      <c r="B1544">
        <v>142075276</v>
      </c>
      <c r="C1544" t="s">
        <v>1701</v>
      </c>
      <c r="D1544" s="7">
        <v>43140</v>
      </c>
      <c r="E1544" s="7">
        <v>45701</v>
      </c>
      <c r="F1544">
        <v>336444</v>
      </c>
      <c r="G1544" t="s">
        <v>995</v>
      </c>
      <c r="H1544" t="s">
        <v>12</v>
      </c>
      <c r="I1544" s="7">
        <v>45636</v>
      </c>
      <c r="J1544" s="8">
        <v>0.4753472222222222</v>
      </c>
      <c r="K1544" t="s">
        <v>984</v>
      </c>
      <c r="AQ1544" t="s">
        <v>996</v>
      </c>
      <c r="BE1544" t="s">
        <v>1701</v>
      </c>
    </row>
    <row r="1545" spans="1:57" ht="13" x14ac:dyDescent="0.15">
      <c r="A1545">
        <v>1839</v>
      </c>
      <c r="B1545">
        <v>142746541</v>
      </c>
      <c r="C1545" t="s">
        <v>401</v>
      </c>
      <c r="D1545" s="7">
        <v>43159</v>
      </c>
      <c r="E1545" s="7">
        <v>45694</v>
      </c>
      <c r="F1545">
        <v>330862</v>
      </c>
      <c r="G1545" t="s">
        <v>983</v>
      </c>
      <c r="H1545" t="s">
        <v>9</v>
      </c>
      <c r="I1545" s="7">
        <v>45694</v>
      </c>
      <c r="J1545" s="8">
        <v>0.60586805555555556</v>
      </c>
      <c r="K1545" t="s">
        <v>984</v>
      </c>
      <c r="AQ1545" t="s">
        <v>1090</v>
      </c>
      <c r="AR1545" t="s">
        <v>986</v>
      </c>
      <c r="AT1545" t="s">
        <v>987</v>
      </c>
      <c r="AZ1545" t="s">
        <v>988</v>
      </c>
      <c r="BA1545" t="s">
        <v>989</v>
      </c>
      <c r="BB1545" t="s">
        <v>990</v>
      </c>
      <c r="BD1545" t="s">
        <v>991</v>
      </c>
      <c r="BE1545" t="s">
        <v>401</v>
      </c>
    </row>
    <row r="1546" spans="1:57" ht="13" x14ac:dyDescent="0.15">
      <c r="A1546">
        <v>1839</v>
      </c>
      <c r="B1546">
        <v>142753892</v>
      </c>
      <c r="C1546" t="s">
        <v>402</v>
      </c>
      <c r="D1546" s="7">
        <v>43159</v>
      </c>
      <c r="E1546" s="7">
        <v>45695</v>
      </c>
      <c r="F1546">
        <v>330862</v>
      </c>
      <c r="G1546" t="s">
        <v>983</v>
      </c>
      <c r="H1546" t="s">
        <v>9</v>
      </c>
      <c r="I1546" s="7">
        <v>45695</v>
      </c>
      <c r="J1546" s="8">
        <v>0.8134837962962963</v>
      </c>
      <c r="K1546" t="s">
        <v>984</v>
      </c>
      <c r="AQ1546" t="s">
        <v>998</v>
      </c>
      <c r="AR1546" t="s">
        <v>993</v>
      </c>
      <c r="AT1546" t="s">
        <v>987</v>
      </c>
      <c r="AZ1546" t="s">
        <v>988</v>
      </c>
      <c r="BA1546" t="s">
        <v>989</v>
      </c>
      <c r="BB1546" t="s">
        <v>990</v>
      </c>
      <c r="BD1546" t="s">
        <v>991</v>
      </c>
      <c r="BE1546" t="s">
        <v>402</v>
      </c>
    </row>
    <row r="1547" spans="1:57" ht="13" x14ac:dyDescent="0.15">
      <c r="A1547">
        <v>1839</v>
      </c>
      <c r="B1547">
        <v>143032636</v>
      </c>
      <c r="C1547" t="s">
        <v>403</v>
      </c>
      <c r="D1547" s="7">
        <v>43167</v>
      </c>
      <c r="E1547" s="7">
        <v>45694</v>
      </c>
      <c r="F1547">
        <v>330862</v>
      </c>
      <c r="G1547" t="s">
        <v>983</v>
      </c>
      <c r="H1547" t="s">
        <v>9</v>
      </c>
      <c r="I1547" s="7">
        <v>45694</v>
      </c>
      <c r="J1547" s="8">
        <v>0.49265046296296294</v>
      </c>
      <c r="K1547" t="s">
        <v>984</v>
      </c>
      <c r="AQ1547" t="s">
        <v>998</v>
      </c>
      <c r="AR1547" t="s">
        <v>986</v>
      </c>
      <c r="AT1547" t="s">
        <v>987</v>
      </c>
      <c r="AZ1547" t="s">
        <v>988</v>
      </c>
      <c r="BA1547" t="s">
        <v>989</v>
      </c>
      <c r="BB1547" t="s">
        <v>990</v>
      </c>
      <c r="BD1547" t="s">
        <v>991</v>
      </c>
      <c r="BE1547" t="s">
        <v>403</v>
      </c>
    </row>
    <row r="1548" spans="1:57" ht="13" x14ac:dyDescent="0.15">
      <c r="A1548">
        <v>1839</v>
      </c>
      <c r="B1548">
        <v>143231423</v>
      </c>
      <c r="C1548" t="s">
        <v>404</v>
      </c>
      <c r="D1548" s="7">
        <v>43172</v>
      </c>
      <c r="E1548" s="7">
        <v>45696</v>
      </c>
      <c r="F1548">
        <v>330862</v>
      </c>
      <c r="G1548" t="s">
        <v>983</v>
      </c>
      <c r="H1548" t="s">
        <v>9</v>
      </c>
      <c r="I1548" s="7">
        <v>45694</v>
      </c>
      <c r="J1548" s="8">
        <v>0.39515046296296297</v>
      </c>
      <c r="K1548" t="s">
        <v>984</v>
      </c>
      <c r="AQ1548" t="s">
        <v>992</v>
      </c>
      <c r="AR1548" t="s">
        <v>1066</v>
      </c>
      <c r="AT1548" t="s">
        <v>987</v>
      </c>
      <c r="AZ1548" t="s">
        <v>988</v>
      </c>
      <c r="BA1548" t="s">
        <v>989</v>
      </c>
      <c r="BB1548" t="s">
        <v>990</v>
      </c>
      <c r="BD1548" t="s">
        <v>991</v>
      </c>
      <c r="BE1548" t="s">
        <v>404</v>
      </c>
    </row>
    <row r="1549" spans="1:57" ht="13" x14ac:dyDescent="0.15">
      <c r="A1549">
        <v>1839</v>
      </c>
      <c r="B1549">
        <v>145083380</v>
      </c>
      <c r="C1549" t="s">
        <v>405</v>
      </c>
      <c r="D1549" s="7">
        <v>43210</v>
      </c>
      <c r="E1549" s="7">
        <v>45711</v>
      </c>
      <c r="F1549">
        <v>330862</v>
      </c>
      <c r="G1549" t="s">
        <v>983</v>
      </c>
      <c r="H1549" t="s">
        <v>9</v>
      </c>
      <c r="I1549" s="7">
        <v>45691</v>
      </c>
      <c r="J1549" s="8">
        <v>0.87754629629629632</v>
      </c>
      <c r="K1549" t="s">
        <v>984</v>
      </c>
      <c r="AQ1549" t="s">
        <v>1090</v>
      </c>
      <c r="AR1549" t="s">
        <v>1269</v>
      </c>
      <c r="AT1549" t="s">
        <v>987</v>
      </c>
      <c r="AZ1549" t="s">
        <v>1011</v>
      </c>
      <c r="BA1549" t="s">
        <v>1012</v>
      </c>
      <c r="BB1549" t="s">
        <v>1013</v>
      </c>
      <c r="BD1549" t="s">
        <v>1014</v>
      </c>
      <c r="BE1549" t="s">
        <v>405</v>
      </c>
    </row>
    <row r="1550" spans="1:57" ht="13" x14ac:dyDescent="0.15">
      <c r="A1550">
        <v>1839</v>
      </c>
      <c r="B1550">
        <v>147576359</v>
      </c>
      <c r="C1550" t="s">
        <v>406</v>
      </c>
      <c r="D1550" s="7">
        <v>43259</v>
      </c>
      <c r="E1550" s="7">
        <v>45697</v>
      </c>
      <c r="F1550">
        <v>330862</v>
      </c>
      <c r="G1550" t="s">
        <v>983</v>
      </c>
      <c r="H1550" t="s">
        <v>9</v>
      </c>
      <c r="I1550" s="7">
        <v>45697</v>
      </c>
      <c r="J1550" s="8">
        <v>0.78899305555555554</v>
      </c>
      <c r="K1550" t="s">
        <v>984</v>
      </c>
      <c r="AQ1550" t="s">
        <v>1530</v>
      </c>
      <c r="AR1550" t="s">
        <v>986</v>
      </c>
      <c r="AT1550" t="s">
        <v>987</v>
      </c>
      <c r="AZ1550" t="s">
        <v>988</v>
      </c>
      <c r="BA1550" t="s">
        <v>989</v>
      </c>
      <c r="BB1550" t="s">
        <v>990</v>
      </c>
      <c r="BD1550" t="s">
        <v>991</v>
      </c>
      <c r="BE1550" t="s">
        <v>406</v>
      </c>
    </row>
    <row r="1551" spans="1:57" ht="13" x14ac:dyDescent="0.15">
      <c r="A1551">
        <v>1839</v>
      </c>
      <c r="B1551">
        <v>147576359</v>
      </c>
      <c r="C1551" t="s">
        <v>406</v>
      </c>
      <c r="D1551" s="7">
        <v>43259</v>
      </c>
      <c r="E1551" s="7">
        <v>45697</v>
      </c>
      <c r="F1551">
        <v>330862</v>
      </c>
      <c r="G1551" t="s">
        <v>983</v>
      </c>
      <c r="H1551" t="s">
        <v>9</v>
      </c>
      <c r="I1551" s="7">
        <v>45694</v>
      </c>
      <c r="J1551" s="8">
        <v>0.5202430555555555</v>
      </c>
      <c r="K1551" t="s">
        <v>984</v>
      </c>
      <c r="AQ1551" t="s">
        <v>1530</v>
      </c>
      <c r="AR1551" t="s">
        <v>986</v>
      </c>
      <c r="AT1551" t="s">
        <v>987</v>
      </c>
      <c r="AZ1551" t="s">
        <v>988</v>
      </c>
      <c r="BA1551" t="s">
        <v>989</v>
      </c>
      <c r="BB1551" t="s">
        <v>990</v>
      </c>
      <c r="BD1551" t="s">
        <v>991</v>
      </c>
      <c r="BE1551" t="s">
        <v>406</v>
      </c>
    </row>
    <row r="1552" spans="1:57" ht="13" x14ac:dyDescent="0.15">
      <c r="A1552">
        <v>1839</v>
      </c>
      <c r="B1552">
        <v>149056573</v>
      </c>
      <c r="C1552" t="s">
        <v>407</v>
      </c>
      <c r="D1552" s="7">
        <v>43291</v>
      </c>
      <c r="E1552" s="7">
        <v>45696</v>
      </c>
      <c r="F1552">
        <v>330862</v>
      </c>
      <c r="G1552" t="s">
        <v>983</v>
      </c>
      <c r="H1552" t="s">
        <v>9</v>
      </c>
      <c r="I1552" s="7">
        <v>45694</v>
      </c>
      <c r="J1552" s="8">
        <v>0.55200231481481477</v>
      </c>
      <c r="K1552" t="s">
        <v>984</v>
      </c>
      <c r="AQ1552" t="s">
        <v>985</v>
      </c>
      <c r="AR1552" t="s">
        <v>986</v>
      </c>
      <c r="AT1552" t="s">
        <v>987</v>
      </c>
      <c r="AZ1552" t="s">
        <v>988</v>
      </c>
      <c r="BA1552" t="s">
        <v>989</v>
      </c>
      <c r="BB1552" t="s">
        <v>990</v>
      </c>
      <c r="BD1552" t="s">
        <v>991</v>
      </c>
      <c r="BE1552" t="s">
        <v>407</v>
      </c>
    </row>
    <row r="1553" spans="1:57" ht="13" x14ac:dyDescent="0.15">
      <c r="A1553">
        <v>1839</v>
      </c>
      <c r="B1553">
        <v>149802003</v>
      </c>
      <c r="C1553" t="s">
        <v>408</v>
      </c>
      <c r="D1553" s="7">
        <v>43301</v>
      </c>
      <c r="E1553" s="7">
        <v>45702</v>
      </c>
      <c r="F1553">
        <v>330862</v>
      </c>
      <c r="G1553" t="s">
        <v>983</v>
      </c>
      <c r="H1553" t="s">
        <v>9</v>
      </c>
      <c r="I1553" s="7">
        <v>45674</v>
      </c>
      <c r="J1553" s="8">
        <v>0.76025462962962964</v>
      </c>
      <c r="K1553" t="s">
        <v>984</v>
      </c>
      <c r="AQ1553" t="s">
        <v>1089</v>
      </c>
      <c r="AR1553" t="s">
        <v>1095</v>
      </c>
      <c r="AT1553" t="s">
        <v>987</v>
      </c>
      <c r="AZ1553" t="s">
        <v>1002</v>
      </c>
      <c r="BA1553" t="s">
        <v>1003</v>
      </c>
      <c r="BB1553" t="s">
        <v>1004</v>
      </c>
      <c r="BD1553" t="s">
        <v>1005</v>
      </c>
      <c r="BE1553" t="s">
        <v>408</v>
      </c>
    </row>
    <row r="1554" spans="1:57" ht="13" x14ac:dyDescent="0.15">
      <c r="A1554">
        <v>1839</v>
      </c>
      <c r="B1554">
        <v>149901183</v>
      </c>
      <c r="C1554" t="s">
        <v>409</v>
      </c>
      <c r="D1554" s="7">
        <v>43304</v>
      </c>
      <c r="E1554" s="7">
        <v>45664</v>
      </c>
      <c r="F1554">
        <v>336444</v>
      </c>
      <c r="G1554" t="s">
        <v>995</v>
      </c>
      <c r="H1554" t="s">
        <v>12</v>
      </c>
      <c r="I1554" s="7">
        <v>45663</v>
      </c>
      <c r="J1554" s="8">
        <v>0.61174768518518519</v>
      </c>
      <c r="K1554" t="s">
        <v>984</v>
      </c>
      <c r="AQ1554" t="s">
        <v>996</v>
      </c>
      <c r="BE1554" t="s">
        <v>409</v>
      </c>
    </row>
    <row r="1555" spans="1:57" ht="13" x14ac:dyDescent="0.15">
      <c r="A1555">
        <v>1839</v>
      </c>
      <c r="B1555">
        <v>150000962</v>
      </c>
      <c r="C1555" t="s">
        <v>410</v>
      </c>
      <c r="D1555" s="7">
        <v>43306</v>
      </c>
      <c r="E1555" s="7">
        <v>45673</v>
      </c>
      <c r="F1555">
        <v>330862</v>
      </c>
      <c r="G1555" t="s">
        <v>983</v>
      </c>
      <c r="H1555" t="s">
        <v>9</v>
      </c>
      <c r="I1555" s="7">
        <v>45673</v>
      </c>
      <c r="J1555" s="8">
        <v>0.47008101851851852</v>
      </c>
      <c r="K1555" t="s">
        <v>984</v>
      </c>
      <c r="AQ1555" t="s">
        <v>998</v>
      </c>
      <c r="AR1555" t="s">
        <v>1663</v>
      </c>
      <c r="AT1555" t="s">
        <v>987</v>
      </c>
      <c r="AZ1555" t="s">
        <v>1016</v>
      </c>
      <c r="BA1555" t="s">
        <v>1017</v>
      </c>
      <c r="BB1555" t="s">
        <v>1018</v>
      </c>
      <c r="BD1555" t="s">
        <v>991</v>
      </c>
      <c r="BE1555" t="s">
        <v>410</v>
      </c>
    </row>
    <row r="1556" spans="1:57" ht="13" x14ac:dyDescent="0.15">
      <c r="A1556">
        <v>1839</v>
      </c>
      <c r="B1556">
        <v>150070492</v>
      </c>
      <c r="C1556" t="s">
        <v>411</v>
      </c>
      <c r="D1556" s="7">
        <v>43308</v>
      </c>
      <c r="E1556" s="7">
        <v>45696</v>
      </c>
      <c r="F1556">
        <v>330862</v>
      </c>
      <c r="G1556" t="s">
        <v>983</v>
      </c>
      <c r="H1556" t="s">
        <v>9</v>
      </c>
      <c r="I1556" s="7">
        <v>45695</v>
      </c>
      <c r="J1556" s="8">
        <v>0.44039351851851855</v>
      </c>
      <c r="K1556" t="s">
        <v>984</v>
      </c>
      <c r="AQ1556" t="s">
        <v>992</v>
      </c>
      <c r="AR1556" t="s">
        <v>986</v>
      </c>
      <c r="AT1556" t="s">
        <v>987</v>
      </c>
      <c r="AZ1556" t="s">
        <v>988</v>
      </c>
      <c r="BA1556" t="s">
        <v>989</v>
      </c>
      <c r="BB1556" t="s">
        <v>990</v>
      </c>
      <c r="BD1556" t="s">
        <v>991</v>
      </c>
      <c r="BE1556" t="s">
        <v>411</v>
      </c>
    </row>
    <row r="1557" spans="1:57" ht="13" x14ac:dyDescent="0.15">
      <c r="A1557">
        <v>1839</v>
      </c>
      <c r="B1557">
        <v>151001318</v>
      </c>
      <c r="C1557" t="s">
        <v>412</v>
      </c>
      <c r="D1557" s="7">
        <v>43327</v>
      </c>
      <c r="E1557" s="7">
        <v>45705</v>
      </c>
      <c r="F1557">
        <v>330862</v>
      </c>
      <c r="G1557" t="s">
        <v>983</v>
      </c>
      <c r="H1557" t="s">
        <v>9</v>
      </c>
      <c r="I1557" s="7">
        <v>45617</v>
      </c>
      <c r="J1557" s="8">
        <v>0.52299768518518519</v>
      </c>
      <c r="K1557" t="s">
        <v>984</v>
      </c>
      <c r="AQ1557" t="s">
        <v>992</v>
      </c>
      <c r="AR1557" t="s">
        <v>1702</v>
      </c>
      <c r="AT1557" t="s">
        <v>987</v>
      </c>
      <c r="AZ1557" t="s">
        <v>1055</v>
      </c>
      <c r="BA1557" t="s">
        <v>1056</v>
      </c>
      <c r="BB1557" t="s">
        <v>1013</v>
      </c>
      <c r="BD1557" t="s">
        <v>1022</v>
      </c>
      <c r="BE1557" t="s">
        <v>412</v>
      </c>
    </row>
    <row r="1558" spans="1:57" ht="13" x14ac:dyDescent="0.15">
      <c r="A1558">
        <v>1839</v>
      </c>
      <c r="B1558">
        <v>151001318</v>
      </c>
      <c r="C1558" t="s">
        <v>412</v>
      </c>
      <c r="D1558" s="7">
        <v>43327</v>
      </c>
      <c r="E1558" s="7">
        <v>45705</v>
      </c>
      <c r="F1558">
        <v>330862</v>
      </c>
      <c r="G1558" t="s">
        <v>983</v>
      </c>
      <c r="H1558" t="s">
        <v>9</v>
      </c>
      <c r="I1558" s="7">
        <v>45617</v>
      </c>
      <c r="J1558" s="8">
        <v>0.65971064814814817</v>
      </c>
      <c r="K1558" t="s">
        <v>984</v>
      </c>
      <c r="AQ1558" t="s">
        <v>992</v>
      </c>
      <c r="AR1558" t="s">
        <v>1370</v>
      </c>
      <c r="AT1558" t="s">
        <v>987</v>
      </c>
      <c r="AZ1558" t="s">
        <v>1055</v>
      </c>
      <c r="BA1558" t="s">
        <v>1056</v>
      </c>
      <c r="BB1558" t="s">
        <v>1013</v>
      </c>
      <c r="BD1558" t="s">
        <v>1022</v>
      </c>
      <c r="BE1558" t="s">
        <v>412</v>
      </c>
    </row>
    <row r="1559" spans="1:57" ht="13" x14ac:dyDescent="0.15">
      <c r="A1559">
        <v>1839</v>
      </c>
      <c r="B1559">
        <v>151001318</v>
      </c>
      <c r="C1559" t="s">
        <v>412</v>
      </c>
      <c r="D1559" s="7">
        <v>43327</v>
      </c>
      <c r="E1559" s="7">
        <v>45705</v>
      </c>
      <c r="F1559">
        <v>330862</v>
      </c>
      <c r="G1559" t="s">
        <v>983</v>
      </c>
      <c r="H1559" t="s">
        <v>9</v>
      </c>
      <c r="I1559" s="7">
        <v>45674</v>
      </c>
      <c r="J1559" s="8">
        <v>0.58833333333333337</v>
      </c>
      <c r="K1559" t="s">
        <v>984</v>
      </c>
      <c r="AQ1559" t="s">
        <v>992</v>
      </c>
      <c r="AR1559" t="s">
        <v>1204</v>
      </c>
      <c r="AT1559" t="s">
        <v>987</v>
      </c>
      <c r="AZ1559" t="s">
        <v>1024</v>
      </c>
      <c r="BA1559" t="s">
        <v>1047</v>
      </c>
      <c r="BB1559" t="s">
        <v>1048</v>
      </c>
      <c r="BD1559" t="s">
        <v>1014</v>
      </c>
      <c r="BE1559" t="s">
        <v>412</v>
      </c>
    </row>
    <row r="1560" spans="1:57" ht="13" x14ac:dyDescent="0.15">
      <c r="A1560">
        <v>1839</v>
      </c>
      <c r="B1560">
        <v>151001318</v>
      </c>
      <c r="C1560" t="s">
        <v>412</v>
      </c>
      <c r="D1560" s="7">
        <v>43327</v>
      </c>
      <c r="E1560" s="7">
        <v>45705</v>
      </c>
      <c r="F1560">
        <v>330862</v>
      </c>
      <c r="G1560" t="s">
        <v>983</v>
      </c>
      <c r="H1560" t="s">
        <v>9</v>
      </c>
      <c r="I1560" s="7">
        <v>45694</v>
      </c>
      <c r="J1560" s="8">
        <v>0.49253472222222222</v>
      </c>
      <c r="K1560" t="s">
        <v>984</v>
      </c>
      <c r="AQ1560" t="s">
        <v>992</v>
      </c>
      <c r="AR1560" t="s">
        <v>1066</v>
      </c>
      <c r="AT1560" t="s">
        <v>987</v>
      </c>
      <c r="AZ1560" t="s">
        <v>988</v>
      </c>
      <c r="BA1560" t="s">
        <v>989</v>
      </c>
      <c r="BB1560" t="s">
        <v>990</v>
      </c>
      <c r="BD1560" t="s">
        <v>991</v>
      </c>
      <c r="BE1560" t="s">
        <v>412</v>
      </c>
    </row>
    <row r="1561" spans="1:57" ht="13" x14ac:dyDescent="0.15">
      <c r="A1561">
        <v>1839</v>
      </c>
      <c r="B1561">
        <v>151001318</v>
      </c>
      <c r="C1561" t="s">
        <v>412</v>
      </c>
      <c r="D1561" s="7">
        <v>43327</v>
      </c>
      <c r="E1561" s="7">
        <v>45705</v>
      </c>
      <c r="F1561">
        <v>330862</v>
      </c>
      <c r="G1561" t="s">
        <v>983</v>
      </c>
      <c r="H1561" t="s">
        <v>9</v>
      </c>
      <c r="I1561" s="7">
        <v>45620</v>
      </c>
      <c r="J1561" s="8">
        <v>0.69222222222222218</v>
      </c>
      <c r="K1561" t="s">
        <v>984</v>
      </c>
      <c r="AQ1561" t="s">
        <v>992</v>
      </c>
      <c r="AR1561" t="s">
        <v>1186</v>
      </c>
      <c r="AT1561" t="s">
        <v>987</v>
      </c>
      <c r="AZ1561" t="s">
        <v>1028</v>
      </c>
      <c r="BA1561" t="s">
        <v>1029</v>
      </c>
      <c r="BB1561" t="s">
        <v>1018</v>
      </c>
      <c r="BD1561" t="s">
        <v>1022</v>
      </c>
      <c r="BE1561" t="s">
        <v>412</v>
      </c>
    </row>
    <row r="1562" spans="1:57" ht="13" x14ac:dyDescent="0.15">
      <c r="A1562">
        <v>1839</v>
      </c>
      <c r="B1562">
        <v>151001318</v>
      </c>
      <c r="C1562" t="s">
        <v>412</v>
      </c>
      <c r="D1562" s="7">
        <v>43327</v>
      </c>
      <c r="E1562" s="7">
        <v>45705</v>
      </c>
      <c r="F1562">
        <v>330862</v>
      </c>
      <c r="G1562" t="s">
        <v>983</v>
      </c>
      <c r="H1562" t="s">
        <v>9</v>
      </c>
      <c r="I1562" s="7">
        <v>45660</v>
      </c>
      <c r="J1562" s="8">
        <v>7.2962962962962966E-2</v>
      </c>
      <c r="K1562" t="s">
        <v>984</v>
      </c>
      <c r="AQ1562" t="s">
        <v>992</v>
      </c>
      <c r="AR1562" t="s">
        <v>1307</v>
      </c>
      <c r="AT1562" t="s">
        <v>987</v>
      </c>
      <c r="AZ1562" t="s">
        <v>1002</v>
      </c>
      <c r="BA1562" t="s">
        <v>1003</v>
      </c>
      <c r="BB1562" t="s">
        <v>1004</v>
      </c>
      <c r="BD1562" t="s">
        <v>1005</v>
      </c>
      <c r="BE1562" t="s">
        <v>412</v>
      </c>
    </row>
    <row r="1563" spans="1:57" ht="13" x14ac:dyDescent="0.15">
      <c r="A1563">
        <v>1839</v>
      </c>
      <c r="B1563">
        <v>151001318</v>
      </c>
      <c r="C1563" t="s">
        <v>412</v>
      </c>
      <c r="D1563" s="7">
        <v>43327</v>
      </c>
      <c r="E1563" s="7">
        <v>45705</v>
      </c>
      <c r="F1563">
        <v>330862</v>
      </c>
      <c r="G1563" t="s">
        <v>983</v>
      </c>
      <c r="H1563" t="s">
        <v>9</v>
      </c>
      <c r="I1563" s="7">
        <v>45664</v>
      </c>
      <c r="J1563" s="8">
        <v>0.67418981481481477</v>
      </c>
      <c r="K1563" t="s">
        <v>984</v>
      </c>
      <c r="AQ1563" t="s">
        <v>992</v>
      </c>
      <c r="AR1563" t="s">
        <v>1558</v>
      </c>
      <c r="AT1563" t="s">
        <v>987</v>
      </c>
      <c r="AZ1563" t="s">
        <v>1007</v>
      </c>
      <c r="BA1563" t="s">
        <v>1008</v>
      </c>
      <c r="BB1563" t="s">
        <v>990</v>
      </c>
      <c r="BD1563" t="s">
        <v>1005</v>
      </c>
      <c r="BE1563" t="s">
        <v>412</v>
      </c>
    </row>
    <row r="1564" spans="1:57" ht="13" x14ac:dyDescent="0.15">
      <c r="A1564">
        <v>1839</v>
      </c>
      <c r="B1564">
        <v>151001318</v>
      </c>
      <c r="C1564" t="s">
        <v>412</v>
      </c>
      <c r="D1564" s="7">
        <v>43327</v>
      </c>
      <c r="E1564" s="7">
        <v>45705</v>
      </c>
      <c r="F1564">
        <v>330862</v>
      </c>
      <c r="G1564" t="s">
        <v>983</v>
      </c>
      <c r="H1564" t="s">
        <v>9</v>
      </c>
      <c r="I1564" s="7">
        <v>45664</v>
      </c>
      <c r="J1564" s="8">
        <v>0.67576388888888894</v>
      </c>
      <c r="K1564" t="s">
        <v>984</v>
      </c>
      <c r="AQ1564" t="s">
        <v>992</v>
      </c>
      <c r="AR1564" t="s">
        <v>1558</v>
      </c>
      <c r="AT1564" t="s">
        <v>987</v>
      </c>
      <c r="AZ1564" t="s">
        <v>1002</v>
      </c>
      <c r="BA1564" t="s">
        <v>1003</v>
      </c>
      <c r="BB1564" t="s">
        <v>1004</v>
      </c>
      <c r="BD1564" t="s">
        <v>1005</v>
      </c>
      <c r="BE1564" t="s">
        <v>412</v>
      </c>
    </row>
    <row r="1565" spans="1:57" ht="13" x14ac:dyDescent="0.15">
      <c r="A1565">
        <v>1839</v>
      </c>
      <c r="B1565">
        <v>151001318</v>
      </c>
      <c r="C1565" t="s">
        <v>412</v>
      </c>
      <c r="D1565" s="7">
        <v>43327</v>
      </c>
      <c r="E1565" s="7">
        <v>45705</v>
      </c>
      <c r="F1565">
        <v>336444</v>
      </c>
      <c r="G1565" t="s">
        <v>995</v>
      </c>
      <c r="H1565" t="s">
        <v>12</v>
      </c>
      <c r="I1565" s="7">
        <v>45639</v>
      </c>
      <c r="J1565" s="8">
        <v>0.71196759259259257</v>
      </c>
      <c r="K1565" t="s">
        <v>984</v>
      </c>
      <c r="AQ1565" t="s">
        <v>996</v>
      </c>
      <c r="BE1565" t="s">
        <v>412</v>
      </c>
    </row>
    <row r="1566" spans="1:57" ht="13" x14ac:dyDescent="0.15">
      <c r="A1566">
        <v>1839</v>
      </c>
      <c r="B1566">
        <v>151696660</v>
      </c>
      <c r="C1566" t="s">
        <v>1703</v>
      </c>
      <c r="D1566" s="7">
        <v>43339</v>
      </c>
      <c r="E1566" s="7">
        <v>45713</v>
      </c>
      <c r="F1566">
        <v>330862</v>
      </c>
      <c r="G1566" t="s">
        <v>983</v>
      </c>
      <c r="H1566" t="s">
        <v>9</v>
      </c>
      <c r="I1566" s="7">
        <v>45636</v>
      </c>
      <c r="J1566" s="8">
        <v>0.48628472222222224</v>
      </c>
      <c r="K1566" t="s">
        <v>984</v>
      </c>
      <c r="AQ1566" t="s">
        <v>992</v>
      </c>
      <c r="AR1566" t="s">
        <v>1096</v>
      </c>
      <c r="AT1566" t="s">
        <v>987</v>
      </c>
      <c r="AZ1566" t="s">
        <v>1011</v>
      </c>
      <c r="BA1566" t="s">
        <v>1031</v>
      </c>
      <c r="BB1566" t="s">
        <v>1032</v>
      </c>
      <c r="BD1566" t="s">
        <v>1005</v>
      </c>
      <c r="BE1566" t="s">
        <v>1703</v>
      </c>
    </row>
    <row r="1567" spans="1:57" ht="13" x14ac:dyDescent="0.15">
      <c r="A1567">
        <v>1839</v>
      </c>
      <c r="B1567">
        <v>154613277</v>
      </c>
      <c r="C1567" t="s">
        <v>1704</v>
      </c>
      <c r="D1567" s="7">
        <v>43394</v>
      </c>
      <c r="E1567" s="7">
        <v>45702</v>
      </c>
      <c r="F1567">
        <v>330862</v>
      </c>
      <c r="G1567" t="s">
        <v>983</v>
      </c>
      <c r="H1567" t="s">
        <v>9</v>
      </c>
      <c r="I1567" s="7">
        <v>45638</v>
      </c>
      <c r="J1567" s="8">
        <v>0.60395833333333337</v>
      </c>
      <c r="K1567" t="s">
        <v>984</v>
      </c>
      <c r="AQ1567" t="s">
        <v>985</v>
      </c>
      <c r="AR1567" t="s">
        <v>1030</v>
      </c>
      <c r="AT1567" t="s">
        <v>987</v>
      </c>
      <c r="AZ1567" t="s">
        <v>1011</v>
      </c>
      <c r="BA1567" t="s">
        <v>1031</v>
      </c>
      <c r="BB1567" t="s">
        <v>1032</v>
      </c>
      <c r="BD1567" t="s">
        <v>1005</v>
      </c>
      <c r="BE1567" t="s">
        <v>1704</v>
      </c>
    </row>
    <row r="1568" spans="1:57" ht="13" x14ac:dyDescent="0.15">
      <c r="A1568">
        <v>1839</v>
      </c>
      <c r="B1568">
        <v>154768599</v>
      </c>
      <c r="C1568" t="s">
        <v>413</v>
      </c>
      <c r="D1568" s="7">
        <v>43396</v>
      </c>
      <c r="E1568" s="7">
        <v>45697</v>
      </c>
      <c r="F1568">
        <v>330862</v>
      </c>
      <c r="G1568" t="s">
        <v>983</v>
      </c>
      <c r="H1568" t="s">
        <v>9</v>
      </c>
      <c r="I1568" s="7">
        <v>45697</v>
      </c>
      <c r="J1568" s="8">
        <v>0.95947916666666666</v>
      </c>
      <c r="K1568" t="s">
        <v>984</v>
      </c>
      <c r="AQ1568" t="s">
        <v>1090</v>
      </c>
      <c r="AR1568" t="s">
        <v>993</v>
      </c>
      <c r="AT1568" t="s">
        <v>987</v>
      </c>
      <c r="AZ1568" t="s">
        <v>988</v>
      </c>
      <c r="BA1568" t="s">
        <v>989</v>
      </c>
      <c r="BB1568" t="s">
        <v>990</v>
      </c>
      <c r="BD1568" t="s">
        <v>991</v>
      </c>
      <c r="BE1568" t="s">
        <v>413</v>
      </c>
    </row>
    <row r="1569" spans="1:57" ht="13" x14ac:dyDescent="0.15">
      <c r="A1569">
        <v>1839</v>
      </c>
      <c r="B1569">
        <v>155580479</v>
      </c>
      <c r="C1569" t="s">
        <v>414</v>
      </c>
      <c r="D1569" s="7">
        <v>43416</v>
      </c>
      <c r="E1569" s="7">
        <v>45696</v>
      </c>
      <c r="F1569">
        <v>330862</v>
      </c>
      <c r="G1569" t="s">
        <v>983</v>
      </c>
      <c r="H1569" t="s">
        <v>9</v>
      </c>
      <c r="I1569" s="7">
        <v>45675</v>
      </c>
      <c r="J1569" s="8">
        <v>0.71072916666666663</v>
      </c>
      <c r="K1569" t="s">
        <v>984</v>
      </c>
      <c r="AQ1569" t="s">
        <v>992</v>
      </c>
      <c r="AR1569" t="s">
        <v>1121</v>
      </c>
      <c r="AT1569" t="s">
        <v>987</v>
      </c>
      <c r="AZ1569" t="s">
        <v>1007</v>
      </c>
      <c r="BA1569" t="s">
        <v>1008</v>
      </c>
      <c r="BB1569" t="s">
        <v>990</v>
      </c>
      <c r="BD1569" t="s">
        <v>1005</v>
      </c>
      <c r="BE1569" t="s">
        <v>414</v>
      </c>
    </row>
    <row r="1570" spans="1:57" ht="13" x14ac:dyDescent="0.15">
      <c r="A1570">
        <v>1839</v>
      </c>
      <c r="B1570">
        <v>155580479</v>
      </c>
      <c r="C1570" t="s">
        <v>414</v>
      </c>
      <c r="D1570" s="7">
        <v>43416</v>
      </c>
      <c r="E1570" s="7">
        <v>45696</v>
      </c>
      <c r="F1570">
        <v>330862</v>
      </c>
      <c r="G1570" t="s">
        <v>983</v>
      </c>
      <c r="H1570" t="s">
        <v>9</v>
      </c>
      <c r="I1570" s="7">
        <v>45694</v>
      </c>
      <c r="J1570" s="8">
        <v>0.73891203703703701</v>
      </c>
      <c r="K1570" t="s">
        <v>984</v>
      </c>
      <c r="AQ1570" t="s">
        <v>992</v>
      </c>
      <c r="AR1570" t="s">
        <v>986</v>
      </c>
      <c r="AT1570" t="s">
        <v>987</v>
      </c>
      <c r="AZ1570" t="s">
        <v>988</v>
      </c>
      <c r="BA1570" t="s">
        <v>989</v>
      </c>
      <c r="BB1570" t="s">
        <v>990</v>
      </c>
      <c r="BD1570" t="s">
        <v>991</v>
      </c>
      <c r="BE1570" t="s">
        <v>414</v>
      </c>
    </row>
    <row r="1571" spans="1:57" ht="13" x14ac:dyDescent="0.15">
      <c r="A1571">
        <v>1839</v>
      </c>
      <c r="B1571">
        <v>155580479</v>
      </c>
      <c r="C1571" t="s">
        <v>414</v>
      </c>
      <c r="D1571" s="7">
        <v>43416</v>
      </c>
      <c r="E1571" s="7">
        <v>45696</v>
      </c>
      <c r="F1571">
        <v>330862</v>
      </c>
      <c r="G1571" t="s">
        <v>983</v>
      </c>
      <c r="H1571" t="s">
        <v>9</v>
      </c>
      <c r="I1571" s="7">
        <v>45657</v>
      </c>
      <c r="J1571" s="8">
        <v>0.52329861111111109</v>
      </c>
      <c r="K1571" t="s">
        <v>984</v>
      </c>
      <c r="AQ1571" t="s">
        <v>992</v>
      </c>
      <c r="AR1571" t="s">
        <v>1705</v>
      </c>
      <c r="AT1571" t="s">
        <v>987</v>
      </c>
      <c r="AZ1571" t="s">
        <v>1002</v>
      </c>
      <c r="BA1571" t="s">
        <v>1003</v>
      </c>
      <c r="BB1571" t="s">
        <v>1004</v>
      </c>
      <c r="BD1571" t="s">
        <v>1005</v>
      </c>
      <c r="BE1571" t="s">
        <v>414</v>
      </c>
    </row>
    <row r="1572" spans="1:57" ht="13" x14ac:dyDescent="0.15">
      <c r="A1572">
        <v>1839</v>
      </c>
      <c r="B1572">
        <v>155606080</v>
      </c>
      <c r="C1572" t="s">
        <v>415</v>
      </c>
      <c r="D1572" s="7">
        <v>43416</v>
      </c>
      <c r="E1572" s="7">
        <v>45678</v>
      </c>
      <c r="F1572">
        <v>330862</v>
      </c>
      <c r="G1572" t="s">
        <v>983</v>
      </c>
      <c r="H1572" t="s">
        <v>9</v>
      </c>
      <c r="I1572" s="7">
        <v>45673</v>
      </c>
      <c r="J1572" s="8">
        <v>0.55884259259259261</v>
      </c>
      <c r="K1572" t="s">
        <v>984</v>
      </c>
      <c r="AQ1572" t="s">
        <v>1556</v>
      </c>
      <c r="AR1572" t="s">
        <v>1663</v>
      </c>
      <c r="AT1572" t="s">
        <v>987</v>
      </c>
      <c r="AZ1572" t="s">
        <v>1016</v>
      </c>
      <c r="BA1572" t="s">
        <v>1017</v>
      </c>
      <c r="BB1572" t="s">
        <v>1018</v>
      </c>
      <c r="BD1572" t="s">
        <v>991</v>
      </c>
      <c r="BE1572" t="s">
        <v>415</v>
      </c>
    </row>
    <row r="1573" spans="1:57" ht="13" x14ac:dyDescent="0.15">
      <c r="A1573">
        <v>1839</v>
      </c>
      <c r="B1573">
        <v>155606080</v>
      </c>
      <c r="C1573" t="s">
        <v>415</v>
      </c>
      <c r="D1573" s="7">
        <v>43416</v>
      </c>
      <c r="E1573" s="7">
        <v>45678</v>
      </c>
      <c r="F1573">
        <v>330862</v>
      </c>
      <c r="G1573" t="s">
        <v>983</v>
      </c>
      <c r="H1573" t="s">
        <v>9</v>
      </c>
      <c r="I1573" s="7">
        <v>45678</v>
      </c>
      <c r="J1573" s="8">
        <v>0.38214120370370369</v>
      </c>
      <c r="K1573" t="s">
        <v>984</v>
      </c>
      <c r="AQ1573" t="s">
        <v>1556</v>
      </c>
      <c r="AR1573" t="s">
        <v>1083</v>
      </c>
      <c r="AS1573" t="s">
        <v>1516</v>
      </c>
      <c r="AT1573" t="s">
        <v>987</v>
      </c>
      <c r="BE1573" t="s">
        <v>415</v>
      </c>
    </row>
    <row r="1574" spans="1:57" ht="13" x14ac:dyDescent="0.15">
      <c r="A1574">
        <v>1839</v>
      </c>
      <c r="B1574">
        <v>155902891</v>
      </c>
      <c r="C1574" t="s">
        <v>416</v>
      </c>
      <c r="D1574" s="7">
        <v>43419</v>
      </c>
      <c r="E1574" s="7">
        <v>45702</v>
      </c>
      <c r="F1574">
        <v>330862</v>
      </c>
      <c r="G1574" t="s">
        <v>983</v>
      </c>
      <c r="H1574" t="s">
        <v>9</v>
      </c>
      <c r="I1574" s="7">
        <v>45700</v>
      </c>
      <c r="J1574" s="8">
        <v>0.79484953703703709</v>
      </c>
      <c r="K1574" t="s">
        <v>984</v>
      </c>
      <c r="AQ1574" t="s">
        <v>1706</v>
      </c>
      <c r="AR1574" t="s">
        <v>1315</v>
      </c>
      <c r="AT1574" t="s">
        <v>987</v>
      </c>
      <c r="AZ1574" t="s">
        <v>1182</v>
      </c>
      <c r="BA1574" t="s">
        <v>1183</v>
      </c>
      <c r="BB1574" t="s">
        <v>990</v>
      </c>
      <c r="BD1574" t="s">
        <v>991</v>
      </c>
      <c r="BE1574" t="s">
        <v>416</v>
      </c>
    </row>
    <row r="1575" spans="1:57" ht="13" x14ac:dyDescent="0.15">
      <c r="A1575">
        <v>1839</v>
      </c>
      <c r="B1575">
        <v>155905619</v>
      </c>
      <c r="C1575" t="s">
        <v>417</v>
      </c>
      <c r="D1575" s="7">
        <v>43419</v>
      </c>
      <c r="E1575" s="7">
        <v>45702</v>
      </c>
      <c r="F1575">
        <v>330862</v>
      </c>
      <c r="G1575" t="s">
        <v>983</v>
      </c>
      <c r="H1575" t="s">
        <v>9</v>
      </c>
      <c r="I1575" s="7">
        <v>45675</v>
      </c>
      <c r="J1575" s="8">
        <v>0.6996296296296296</v>
      </c>
      <c r="K1575" t="s">
        <v>984</v>
      </c>
      <c r="AQ1575" t="s">
        <v>985</v>
      </c>
      <c r="AR1575" t="s">
        <v>1105</v>
      </c>
      <c r="AT1575" t="s">
        <v>987</v>
      </c>
      <c r="AZ1575" t="s">
        <v>1044</v>
      </c>
      <c r="BA1575" t="s">
        <v>1045</v>
      </c>
      <c r="BB1575" t="s">
        <v>990</v>
      </c>
      <c r="BD1575" t="s">
        <v>991</v>
      </c>
      <c r="BE1575" t="s">
        <v>417</v>
      </c>
    </row>
    <row r="1576" spans="1:57" ht="13" x14ac:dyDescent="0.15">
      <c r="A1576">
        <v>1839</v>
      </c>
      <c r="B1576">
        <v>155905619</v>
      </c>
      <c r="C1576" t="s">
        <v>417</v>
      </c>
      <c r="D1576" s="7">
        <v>43419</v>
      </c>
      <c r="E1576" s="7">
        <v>45702</v>
      </c>
      <c r="F1576">
        <v>330862</v>
      </c>
      <c r="G1576" t="s">
        <v>983</v>
      </c>
      <c r="H1576" t="s">
        <v>9</v>
      </c>
      <c r="I1576" s="7">
        <v>45677</v>
      </c>
      <c r="J1576" s="8">
        <v>0.3253240740740741</v>
      </c>
      <c r="K1576" t="s">
        <v>984</v>
      </c>
      <c r="AQ1576" t="s">
        <v>985</v>
      </c>
      <c r="AR1576" t="s">
        <v>1461</v>
      </c>
      <c r="AT1576" t="s">
        <v>987</v>
      </c>
      <c r="AZ1576" t="s">
        <v>1002</v>
      </c>
      <c r="BA1576" t="s">
        <v>1003</v>
      </c>
      <c r="BB1576" t="s">
        <v>1004</v>
      </c>
      <c r="BD1576" t="s">
        <v>1005</v>
      </c>
      <c r="BE1576" t="s">
        <v>417</v>
      </c>
    </row>
    <row r="1577" spans="1:57" ht="13" x14ac:dyDescent="0.15">
      <c r="A1577">
        <v>1839</v>
      </c>
      <c r="B1577">
        <v>155905619</v>
      </c>
      <c r="C1577" t="s">
        <v>417</v>
      </c>
      <c r="D1577" s="7">
        <v>43419</v>
      </c>
      <c r="E1577" s="7">
        <v>45702</v>
      </c>
      <c r="F1577">
        <v>330862</v>
      </c>
      <c r="G1577" t="s">
        <v>983</v>
      </c>
      <c r="H1577" t="s">
        <v>9</v>
      </c>
      <c r="I1577" s="7">
        <v>45675</v>
      </c>
      <c r="J1577" s="8">
        <v>0.69528935185185181</v>
      </c>
      <c r="K1577" t="s">
        <v>984</v>
      </c>
      <c r="AQ1577" t="s">
        <v>985</v>
      </c>
      <c r="AR1577" t="s">
        <v>1105</v>
      </c>
      <c r="AT1577" t="s">
        <v>987</v>
      </c>
      <c r="AZ1577" t="s">
        <v>1044</v>
      </c>
      <c r="BA1577" t="s">
        <v>1045</v>
      </c>
      <c r="BB1577" t="s">
        <v>990</v>
      </c>
      <c r="BD1577" t="s">
        <v>991</v>
      </c>
      <c r="BE1577" t="s">
        <v>417</v>
      </c>
    </row>
    <row r="1578" spans="1:57" ht="13" x14ac:dyDescent="0.15">
      <c r="A1578">
        <v>1839</v>
      </c>
      <c r="B1578">
        <v>155905619</v>
      </c>
      <c r="C1578" t="s">
        <v>417</v>
      </c>
      <c r="D1578" s="7">
        <v>43419</v>
      </c>
      <c r="E1578" s="7">
        <v>45702</v>
      </c>
      <c r="F1578">
        <v>330862</v>
      </c>
      <c r="G1578" t="s">
        <v>983</v>
      </c>
      <c r="H1578" t="s">
        <v>9</v>
      </c>
      <c r="I1578" s="7">
        <v>45694</v>
      </c>
      <c r="J1578" s="8">
        <v>0.57795138888888886</v>
      </c>
      <c r="K1578" t="s">
        <v>984</v>
      </c>
      <c r="AQ1578" t="s">
        <v>985</v>
      </c>
      <c r="AR1578" t="s">
        <v>993</v>
      </c>
      <c r="AT1578" t="s">
        <v>987</v>
      </c>
      <c r="AZ1578" t="s">
        <v>988</v>
      </c>
      <c r="BA1578" t="s">
        <v>989</v>
      </c>
      <c r="BB1578" t="s">
        <v>990</v>
      </c>
      <c r="BD1578" t="s">
        <v>991</v>
      </c>
      <c r="BE1578" t="s">
        <v>417</v>
      </c>
    </row>
    <row r="1579" spans="1:57" ht="13" x14ac:dyDescent="0.15">
      <c r="A1579">
        <v>1839</v>
      </c>
      <c r="B1579">
        <v>155941743</v>
      </c>
      <c r="C1579" t="s">
        <v>1707</v>
      </c>
      <c r="D1579" s="7">
        <v>43420</v>
      </c>
      <c r="E1579" s="7">
        <v>45701</v>
      </c>
      <c r="F1579">
        <v>330862</v>
      </c>
      <c r="G1579" t="s">
        <v>983</v>
      </c>
      <c r="H1579" t="s">
        <v>9</v>
      </c>
      <c r="I1579" s="7">
        <v>45636</v>
      </c>
      <c r="J1579" s="8">
        <v>0.93682870370370375</v>
      </c>
      <c r="K1579" t="s">
        <v>984</v>
      </c>
      <c r="AQ1579" t="s">
        <v>1092</v>
      </c>
      <c r="AR1579" t="s">
        <v>1339</v>
      </c>
      <c r="AT1579" t="s">
        <v>987</v>
      </c>
      <c r="AZ1579" t="s">
        <v>1174</v>
      </c>
      <c r="BA1579" t="s">
        <v>1242</v>
      </c>
      <c r="BB1579" t="s">
        <v>1026</v>
      </c>
      <c r="BD1579" t="s">
        <v>1005</v>
      </c>
      <c r="BE1579" t="s">
        <v>1707</v>
      </c>
    </row>
    <row r="1580" spans="1:57" ht="13" x14ac:dyDescent="0.15">
      <c r="A1580">
        <v>1839</v>
      </c>
      <c r="B1580">
        <v>156763166</v>
      </c>
      <c r="C1580" t="s">
        <v>418</v>
      </c>
      <c r="D1580" s="7">
        <v>43433</v>
      </c>
      <c r="E1580" s="7">
        <v>45713</v>
      </c>
      <c r="F1580">
        <v>330862</v>
      </c>
      <c r="G1580" t="s">
        <v>983</v>
      </c>
      <c r="H1580" t="s">
        <v>9</v>
      </c>
      <c r="I1580" s="7">
        <v>45694</v>
      </c>
      <c r="J1580" s="8">
        <v>0.36547453703703703</v>
      </c>
      <c r="K1580" t="s">
        <v>984</v>
      </c>
      <c r="AQ1580" t="s">
        <v>1090</v>
      </c>
      <c r="AR1580" t="s">
        <v>993</v>
      </c>
      <c r="AT1580" t="s">
        <v>987</v>
      </c>
      <c r="AZ1580" t="s">
        <v>988</v>
      </c>
      <c r="BA1580" t="s">
        <v>989</v>
      </c>
      <c r="BB1580" t="s">
        <v>990</v>
      </c>
      <c r="BD1580" t="s">
        <v>991</v>
      </c>
      <c r="BE1580" t="s">
        <v>418</v>
      </c>
    </row>
    <row r="1581" spans="1:57" ht="13" x14ac:dyDescent="0.15">
      <c r="A1581">
        <v>1839</v>
      </c>
      <c r="B1581">
        <v>156763166</v>
      </c>
      <c r="C1581" t="s">
        <v>418</v>
      </c>
      <c r="D1581" s="7">
        <v>43433</v>
      </c>
      <c r="E1581" s="7">
        <v>45713</v>
      </c>
      <c r="F1581">
        <v>330862</v>
      </c>
      <c r="G1581" t="s">
        <v>983</v>
      </c>
      <c r="H1581" t="s">
        <v>9</v>
      </c>
      <c r="I1581" s="7">
        <v>45674</v>
      </c>
      <c r="J1581" s="8">
        <v>0.58971064814814811</v>
      </c>
      <c r="K1581" t="s">
        <v>984</v>
      </c>
      <c r="AQ1581" t="s">
        <v>1446</v>
      </c>
      <c r="AR1581" t="s">
        <v>1095</v>
      </c>
      <c r="AT1581" t="s">
        <v>987</v>
      </c>
      <c r="AZ1581" t="s">
        <v>1002</v>
      </c>
      <c r="BA1581" t="s">
        <v>1003</v>
      </c>
      <c r="BB1581" t="s">
        <v>1004</v>
      </c>
      <c r="BD1581" t="s">
        <v>1005</v>
      </c>
      <c r="BE1581" t="s">
        <v>418</v>
      </c>
    </row>
    <row r="1582" spans="1:57" ht="13" x14ac:dyDescent="0.15">
      <c r="A1582">
        <v>1839</v>
      </c>
      <c r="B1582">
        <v>157686459</v>
      </c>
      <c r="C1582" t="s">
        <v>419</v>
      </c>
      <c r="D1582" s="7">
        <v>43455</v>
      </c>
      <c r="E1582" s="7">
        <v>45706</v>
      </c>
      <c r="F1582">
        <v>330862</v>
      </c>
      <c r="G1582" t="s">
        <v>983</v>
      </c>
      <c r="H1582" t="s">
        <v>9</v>
      </c>
      <c r="I1582" s="7">
        <v>45639</v>
      </c>
      <c r="J1582" s="8">
        <v>0.5931481481481482</v>
      </c>
      <c r="K1582" t="s">
        <v>984</v>
      </c>
      <c r="AQ1582" t="s">
        <v>992</v>
      </c>
      <c r="AR1582" t="s">
        <v>1019</v>
      </c>
      <c r="AT1582" t="s">
        <v>987</v>
      </c>
      <c r="AZ1582" t="s">
        <v>1011</v>
      </c>
      <c r="BA1582" t="s">
        <v>1031</v>
      </c>
      <c r="BB1582" t="s">
        <v>1032</v>
      </c>
      <c r="BD1582" t="s">
        <v>1005</v>
      </c>
      <c r="BE1582" t="s">
        <v>419</v>
      </c>
    </row>
    <row r="1583" spans="1:57" ht="13" x14ac:dyDescent="0.15">
      <c r="A1583">
        <v>1839</v>
      </c>
      <c r="B1583">
        <v>157686459</v>
      </c>
      <c r="C1583" t="s">
        <v>419</v>
      </c>
      <c r="D1583" s="7">
        <v>43455</v>
      </c>
      <c r="E1583" s="7">
        <v>45706</v>
      </c>
      <c r="F1583">
        <v>330862</v>
      </c>
      <c r="G1583" t="s">
        <v>983</v>
      </c>
      <c r="H1583" t="s">
        <v>9</v>
      </c>
      <c r="I1583" s="7">
        <v>45697</v>
      </c>
      <c r="J1583" s="8">
        <v>0.73800925925925931</v>
      </c>
      <c r="K1583" t="s">
        <v>984</v>
      </c>
      <c r="AQ1583" t="s">
        <v>992</v>
      </c>
      <c r="AR1583" t="s">
        <v>986</v>
      </c>
      <c r="AT1583" t="s">
        <v>987</v>
      </c>
      <c r="AZ1583" t="s">
        <v>988</v>
      </c>
      <c r="BA1583" t="s">
        <v>989</v>
      </c>
      <c r="BB1583" t="s">
        <v>990</v>
      </c>
      <c r="BD1583" t="s">
        <v>991</v>
      </c>
      <c r="BE1583" t="s">
        <v>419</v>
      </c>
    </row>
    <row r="1584" spans="1:57" ht="13" x14ac:dyDescent="0.15">
      <c r="A1584">
        <v>1839</v>
      </c>
      <c r="B1584">
        <v>157686459</v>
      </c>
      <c r="C1584" t="s">
        <v>419</v>
      </c>
      <c r="D1584" s="7">
        <v>43455</v>
      </c>
      <c r="E1584" s="7">
        <v>45706</v>
      </c>
      <c r="F1584">
        <v>330862</v>
      </c>
      <c r="G1584" t="s">
        <v>983</v>
      </c>
      <c r="H1584" t="s">
        <v>9</v>
      </c>
      <c r="I1584" s="7">
        <v>45683</v>
      </c>
      <c r="J1584" s="8">
        <v>0.56215277777777772</v>
      </c>
      <c r="K1584" t="s">
        <v>984</v>
      </c>
      <c r="AQ1584" t="s">
        <v>992</v>
      </c>
      <c r="AR1584" t="s">
        <v>1708</v>
      </c>
      <c r="AT1584" t="s">
        <v>987</v>
      </c>
      <c r="AZ1584" t="s">
        <v>1007</v>
      </c>
      <c r="BA1584" t="s">
        <v>1008</v>
      </c>
      <c r="BB1584" t="s">
        <v>990</v>
      </c>
      <c r="BD1584" t="s">
        <v>1005</v>
      </c>
      <c r="BE1584" t="s">
        <v>419</v>
      </c>
    </row>
    <row r="1585" spans="1:57" ht="13" x14ac:dyDescent="0.15">
      <c r="A1585">
        <v>1839</v>
      </c>
      <c r="B1585">
        <v>158993404</v>
      </c>
      <c r="C1585" t="s">
        <v>420</v>
      </c>
      <c r="D1585" s="7">
        <v>43495</v>
      </c>
      <c r="E1585" s="7">
        <v>45709</v>
      </c>
      <c r="F1585">
        <v>330862</v>
      </c>
      <c r="G1585" t="s">
        <v>983</v>
      </c>
      <c r="H1585" t="s">
        <v>9</v>
      </c>
      <c r="I1585" s="7">
        <v>45697</v>
      </c>
      <c r="J1585" s="8">
        <v>0.67513888888888884</v>
      </c>
      <c r="K1585" t="s">
        <v>984</v>
      </c>
      <c r="AQ1585" t="s">
        <v>1089</v>
      </c>
      <c r="AR1585" t="s">
        <v>993</v>
      </c>
      <c r="AT1585" t="s">
        <v>987</v>
      </c>
      <c r="AZ1585" t="s">
        <v>988</v>
      </c>
      <c r="BA1585" t="s">
        <v>989</v>
      </c>
      <c r="BB1585" t="s">
        <v>990</v>
      </c>
      <c r="BD1585" t="s">
        <v>991</v>
      </c>
      <c r="BE1585" t="s">
        <v>420</v>
      </c>
    </row>
    <row r="1586" spans="1:57" ht="13" x14ac:dyDescent="0.15">
      <c r="A1586">
        <v>1839</v>
      </c>
      <c r="B1586">
        <v>160778536</v>
      </c>
      <c r="C1586" t="s">
        <v>421</v>
      </c>
      <c r="D1586" s="7">
        <v>43523</v>
      </c>
      <c r="E1586" s="7">
        <v>45702</v>
      </c>
      <c r="F1586">
        <v>330862</v>
      </c>
      <c r="G1586" t="s">
        <v>983</v>
      </c>
      <c r="H1586" t="s">
        <v>9</v>
      </c>
      <c r="I1586" s="7">
        <v>45694</v>
      </c>
      <c r="J1586" s="8">
        <v>0.37438657407407405</v>
      </c>
      <c r="K1586" t="s">
        <v>984</v>
      </c>
      <c r="AQ1586" t="s">
        <v>998</v>
      </c>
      <c r="AR1586" t="s">
        <v>1066</v>
      </c>
      <c r="AT1586" t="s">
        <v>987</v>
      </c>
      <c r="AZ1586" t="s">
        <v>988</v>
      </c>
      <c r="BA1586" t="s">
        <v>989</v>
      </c>
      <c r="BB1586" t="s">
        <v>990</v>
      </c>
      <c r="BD1586" t="s">
        <v>991</v>
      </c>
      <c r="BE1586" t="s">
        <v>421</v>
      </c>
    </row>
    <row r="1587" spans="1:57" ht="13" x14ac:dyDescent="0.15">
      <c r="A1587">
        <v>1839</v>
      </c>
      <c r="B1587">
        <v>160847928</v>
      </c>
      <c r="C1587" t="s">
        <v>422</v>
      </c>
      <c r="D1587" s="7">
        <v>43524</v>
      </c>
      <c r="E1587" s="7">
        <v>45702</v>
      </c>
      <c r="F1587">
        <v>330862</v>
      </c>
      <c r="G1587" t="s">
        <v>983</v>
      </c>
      <c r="H1587" t="s">
        <v>9</v>
      </c>
      <c r="I1587" s="7">
        <v>45694</v>
      </c>
      <c r="J1587" s="8">
        <v>0.43172453703703706</v>
      </c>
      <c r="K1587" t="s">
        <v>984</v>
      </c>
      <c r="AQ1587" t="s">
        <v>1092</v>
      </c>
      <c r="AR1587" t="s">
        <v>993</v>
      </c>
      <c r="AT1587" t="s">
        <v>987</v>
      </c>
      <c r="AZ1587" t="s">
        <v>988</v>
      </c>
      <c r="BA1587" t="s">
        <v>989</v>
      </c>
      <c r="BB1587" t="s">
        <v>990</v>
      </c>
      <c r="BD1587" t="s">
        <v>991</v>
      </c>
      <c r="BE1587" t="s">
        <v>422</v>
      </c>
    </row>
    <row r="1588" spans="1:57" ht="13" x14ac:dyDescent="0.15">
      <c r="A1588">
        <v>1839</v>
      </c>
      <c r="B1588">
        <v>160850862</v>
      </c>
      <c r="C1588" t="s">
        <v>1709</v>
      </c>
      <c r="D1588" s="7">
        <v>43524</v>
      </c>
      <c r="E1588" s="7">
        <v>45653</v>
      </c>
      <c r="F1588">
        <v>330862</v>
      </c>
      <c r="G1588" t="s">
        <v>983</v>
      </c>
      <c r="H1588" t="s">
        <v>9</v>
      </c>
      <c r="I1588" s="7">
        <v>45653</v>
      </c>
      <c r="J1588" s="8">
        <v>0.70540509259259254</v>
      </c>
      <c r="K1588" t="s">
        <v>984</v>
      </c>
      <c r="AQ1588" t="s">
        <v>992</v>
      </c>
      <c r="AR1588" t="s">
        <v>1710</v>
      </c>
      <c r="AT1588" t="s">
        <v>987</v>
      </c>
      <c r="AZ1588" t="s">
        <v>1020</v>
      </c>
      <c r="BA1588" t="s">
        <v>1230</v>
      </c>
      <c r="BB1588" t="s">
        <v>1018</v>
      </c>
      <c r="BD1588" t="s">
        <v>1005</v>
      </c>
      <c r="BE1588" t="s">
        <v>1709</v>
      </c>
    </row>
    <row r="1589" spans="1:57" ht="13" x14ac:dyDescent="0.15">
      <c r="A1589">
        <v>1839</v>
      </c>
      <c r="B1589">
        <v>160850862</v>
      </c>
      <c r="C1589" t="s">
        <v>1709</v>
      </c>
      <c r="D1589" s="7">
        <v>43524</v>
      </c>
      <c r="E1589" s="7">
        <v>45653</v>
      </c>
      <c r="F1589">
        <v>330862</v>
      </c>
      <c r="G1589" t="s">
        <v>983</v>
      </c>
      <c r="H1589" t="s">
        <v>9</v>
      </c>
      <c r="I1589" s="7">
        <v>45653</v>
      </c>
      <c r="J1589" s="8">
        <v>0.69641203703703702</v>
      </c>
      <c r="K1589" t="s">
        <v>984</v>
      </c>
      <c r="AQ1589" t="s">
        <v>992</v>
      </c>
      <c r="AR1589" t="s">
        <v>1073</v>
      </c>
      <c r="AT1589" t="s">
        <v>987</v>
      </c>
      <c r="AZ1589" t="s">
        <v>1007</v>
      </c>
      <c r="BA1589" t="s">
        <v>1008</v>
      </c>
      <c r="BB1589" t="s">
        <v>990</v>
      </c>
      <c r="BD1589" t="s">
        <v>1005</v>
      </c>
      <c r="BE1589" t="s">
        <v>1709</v>
      </c>
    </row>
    <row r="1590" spans="1:57" ht="13" x14ac:dyDescent="0.15">
      <c r="A1590">
        <v>1839</v>
      </c>
      <c r="B1590">
        <v>160850862</v>
      </c>
      <c r="C1590" t="s">
        <v>1709</v>
      </c>
      <c r="D1590" s="7">
        <v>43524</v>
      </c>
      <c r="E1590" s="7">
        <v>45653</v>
      </c>
      <c r="F1590">
        <v>330862</v>
      </c>
      <c r="G1590" t="s">
        <v>983</v>
      </c>
      <c r="H1590" t="s">
        <v>9</v>
      </c>
      <c r="I1590" s="7">
        <v>45653</v>
      </c>
      <c r="J1590" s="8">
        <v>0.67965277777777777</v>
      </c>
      <c r="K1590" t="s">
        <v>984</v>
      </c>
      <c r="AQ1590" t="s">
        <v>992</v>
      </c>
      <c r="AR1590" t="s">
        <v>1070</v>
      </c>
      <c r="AT1590" t="s">
        <v>987</v>
      </c>
      <c r="AZ1590" t="s">
        <v>1071</v>
      </c>
      <c r="BA1590" t="s">
        <v>1072</v>
      </c>
      <c r="BB1590" t="s">
        <v>1048</v>
      </c>
      <c r="BD1590" t="s">
        <v>1005</v>
      </c>
      <c r="BE1590" t="s">
        <v>1709</v>
      </c>
    </row>
    <row r="1591" spans="1:57" ht="13" x14ac:dyDescent="0.15">
      <c r="A1591">
        <v>1839</v>
      </c>
      <c r="B1591">
        <v>160850862</v>
      </c>
      <c r="C1591" t="s">
        <v>1709</v>
      </c>
      <c r="D1591" s="7">
        <v>43524</v>
      </c>
      <c r="E1591" s="7">
        <v>45653</v>
      </c>
      <c r="F1591">
        <v>330862</v>
      </c>
      <c r="G1591" t="s">
        <v>983</v>
      </c>
      <c r="H1591" t="s">
        <v>9</v>
      </c>
      <c r="I1591" s="7">
        <v>45653</v>
      </c>
      <c r="J1591" s="8">
        <v>0.67872685185185189</v>
      </c>
      <c r="K1591" t="s">
        <v>984</v>
      </c>
      <c r="AQ1591" t="s">
        <v>992</v>
      </c>
      <c r="AR1591" t="s">
        <v>1073</v>
      </c>
      <c r="AT1591" t="s">
        <v>987</v>
      </c>
      <c r="AZ1591" t="s">
        <v>1007</v>
      </c>
      <c r="BA1591" t="s">
        <v>1008</v>
      </c>
      <c r="BB1591" t="s">
        <v>990</v>
      </c>
      <c r="BD1591" t="s">
        <v>1005</v>
      </c>
      <c r="BE1591" t="s">
        <v>1709</v>
      </c>
    </row>
    <row r="1592" spans="1:57" ht="13" x14ac:dyDescent="0.15">
      <c r="A1592">
        <v>1839</v>
      </c>
      <c r="B1592">
        <v>160851888</v>
      </c>
      <c r="C1592" t="s">
        <v>423</v>
      </c>
      <c r="D1592" s="7">
        <v>43524</v>
      </c>
      <c r="E1592" s="7">
        <v>45685</v>
      </c>
      <c r="F1592">
        <v>330862</v>
      </c>
      <c r="G1592" t="s">
        <v>983</v>
      </c>
      <c r="H1592" t="s">
        <v>9</v>
      </c>
      <c r="I1592" s="7">
        <v>45684</v>
      </c>
      <c r="J1592" s="8">
        <v>0.91587962962962965</v>
      </c>
      <c r="K1592" t="s">
        <v>984</v>
      </c>
      <c r="AQ1592" t="s">
        <v>1092</v>
      </c>
      <c r="AR1592" t="s">
        <v>1601</v>
      </c>
      <c r="AT1592" t="s">
        <v>987</v>
      </c>
      <c r="AZ1592" t="s">
        <v>1011</v>
      </c>
      <c r="BA1592" t="s">
        <v>1012</v>
      </c>
      <c r="BB1592" t="s">
        <v>1013</v>
      </c>
      <c r="BD1592" t="s">
        <v>1014</v>
      </c>
      <c r="BE1592" t="s">
        <v>423</v>
      </c>
    </row>
    <row r="1593" spans="1:57" ht="13" x14ac:dyDescent="0.15">
      <c r="A1593">
        <v>1839</v>
      </c>
      <c r="B1593">
        <v>160894541</v>
      </c>
      <c r="C1593" t="s">
        <v>424</v>
      </c>
      <c r="D1593" s="7">
        <v>43525</v>
      </c>
      <c r="E1593" s="7">
        <v>45713</v>
      </c>
      <c r="F1593">
        <v>330862</v>
      </c>
      <c r="G1593" t="s">
        <v>983</v>
      </c>
      <c r="H1593" t="s">
        <v>9</v>
      </c>
      <c r="I1593" s="7">
        <v>45636</v>
      </c>
      <c r="J1593" s="8">
        <v>0.70219907407407411</v>
      </c>
      <c r="K1593" t="s">
        <v>984</v>
      </c>
      <c r="AQ1593" t="s">
        <v>985</v>
      </c>
      <c r="AR1593" t="s">
        <v>1279</v>
      </c>
      <c r="AT1593" t="s">
        <v>987</v>
      </c>
      <c r="AZ1593" t="s">
        <v>1174</v>
      </c>
      <c r="BA1593" t="s">
        <v>1242</v>
      </c>
      <c r="BB1593" t="s">
        <v>1026</v>
      </c>
      <c r="BD1593" t="s">
        <v>1005</v>
      </c>
      <c r="BE1593" t="s">
        <v>424</v>
      </c>
    </row>
    <row r="1594" spans="1:57" ht="13" x14ac:dyDescent="0.15">
      <c r="A1594">
        <v>1839</v>
      </c>
      <c r="B1594">
        <v>160894541</v>
      </c>
      <c r="C1594" t="s">
        <v>424</v>
      </c>
      <c r="D1594" s="7">
        <v>43525</v>
      </c>
      <c r="E1594" s="7">
        <v>45713</v>
      </c>
      <c r="F1594">
        <v>330862</v>
      </c>
      <c r="G1594" t="s">
        <v>983</v>
      </c>
      <c r="H1594" t="s">
        <v>9</v>
      </c>
      <c r="I1594" s="7">
        <v>45694</v>
      </c>
      <c r="J1594" s="8">
        <v>0.54</v>
      </c>
      <c r="K1594" t="s">
        <v>984</v>
      </c>
      <c r="AQ1594" t="s">
        <v>985</v>
      </c>
      <c r="AR1594" t="s">
        <v>986</v>
      </c>
      <c r="AT1594" t="s">
        <v>987</v>
      </c>
      <c r="AZ1594" t="s">
        <v>988</v>
      </c>
      <c r="BA1594" t="s">
        <v>989</v>
      </c>
      <c r="BB1594" t="s">
        <v>990</v>
      </c>
      <c r="BD1594" t="s">
        <v>991</v>
      </c>
      <c r="BE1594" t="s">
        <v>424</v>
      </c>
    </row>
    <row r="1595" spans="1:57" ht="13" x14ac:dyDescent="0.15">
      <c r="A1595">
        <v>1839</v>
      </c>
      <c r="B1595">
        <v>160894541</v>
      </c>
      <c r="C1595" t="s">
        <v>424</v>
      </c>
      <c r="D1595" s="7">
        <v>43525</v>
      </c>
      <c r="E1595" s="7">
        <v>45713</v>
      </c>
      <c r="F1595">
        <v>330862</v>
      </c>
      <c r="G1595" t="s">
        <v>983</v>
      </c>
      <c r="H1595" t="s">
        <v>9</v>
      </c>
      <c r="I1595" s="7">
        <v>45694</v>
      </c>
      <c r="J1595" s="8">
        <v>0.54197916666666668</v>
      </c>
      <c r="K1595" t="s">
        <v>984</v>
      </c>
      <c r="AQ1595" t="s">
        <v>985</v>
      </c>
      <c r="AR1595" t="s">
        <v>986</v>
      </c>
      <c r="AT1595" t="s">
        <v>987</v>
      </c>
      <c r="AZ1595" t="s">
        <v>988</v>
      </c>
      <c r="BA1595" t="s">
        <v>989</v>
      </c>
      <c r="BB1595" t="s">
        <v>990</v>
      </c>
      <c r="BD1595" t="s">
        <v>991</v>
      </c>
      <c r="BE1595" t="s">
        <v>424</v>
      </c>
    </row>
    <row r="1596" spans="1:57" ht="13" x14ac:dyDescent="0.15">
      <c r="A1596">
        <v>1839</v>
      </c>
      <c r="B1596">
        <v>160894542</v>
      </c>
      <c r="C1596" t="s">
        <v>425</v>
      </c>
      <c r="D1596" s="7">
        <v>43525</v>
      </c>
      <c r="E1596" s="7">
        <v>45706</v>
      </c>
      <c r="F1596">
        <v>330862</v>
      </c>
      <c r="G1596" t="s">
        <v>983</v>
      </c>
      <c r="H1596" t="s">
        <v>9</v>
      </c>
      <c r="I1596" s="7">
        <v>45679</v>
      </c>
      <c r="J1596" s="8">
        <v>0.63945601851851852</v>
      </c>
      <c r="K1596" t="s">
        <v>984</v>
      </c>
      <c r="AQ1596" t="s">
        <v>992</v>
      </c>
      <c r="AR1596" t="s">
        <v>1083</v>
      </c>
      <c r="AT1596" t="s">
        <v>987</v>
      </c>
      <c r="AZ1596" t="s">
        <v>1011</v>
      </c>
      <c r="BA1596" t="s">
        <v>1012</v>
      </c>
      <c r="BB1596" t="s">
        <v>1013</v>
      </c>
      <c r="BD1596" t="s">
        <v>1014</v>
      </c>
      <c r="BE1596" t="s">
        <v>425</v>
      </c>
    </row>
    <row r="1597" spans="1:57" ht="13" x14ac:dyDescent="0.15">
      <c r="A1597">
        <v>1839</v>
      </c>
      <c r="B1597">
        <v>160894542</v>
      </c>
      <c r="C1597" t="s">
        <v>425</v>
      </c>
      <c r="D1597" s="7">
        <v>43525</v>
      </c>
      <c r="E1597" s="7">
        <v>45706</v>
      </c>
      <c r="F1597">
        <v>330862</v>
      </c>
      <c r="G1597" t="s">
        <v>983</v>
      </c>
      <c r="H1597" t="s">
        <v>9</v>
      </c>
      <c r="I1597" s="7">
        <v>45675</v>
      </c>
      <c r="J1597" s="8">
        <v>0.63533564814814814</v>
      </c>
      <c r="K1597" t="s">
        <v>984</v>
      </c>
      <c r="AQ1597" t="s">
        <v>992</v>
      </c>
      <c r="AR1597" t="s">
        <v>1095</v>
      </c>
      <c r="AT1597" t="s">
        <v>987</v>
      </c>
      <c r="AZ1597" t="s">
        <v>1002</v>
      </c>
      <c r="BA1597" t="s">
        <v>1003</v>
      </c>
      <c r="BB1597" t="s">
        <v>1004</v>
      </c>
      <c r="BD1597" t="s">
        <v>1005</v>
      </c>
      <c r="BE1597" t="s">
        <v>425</v>
      </c>
    </row>
    <row r="1598" spans="1:57" ht="13" x14ac:dyDescent="0.15">
      <c r="A1598">
        <v>1839</v>
      </c>
      <c r="B1598">
        <v>160894542</v>
      </c>
      <c r="C1598" t="s">
        <v>425</v>
      </c>
      <c r="D1598" s="7">
        <v>43525</v>
      </c>
      <c r="E1598" s="7">
        <v>45706</v>
      </c>
      <c r="F1598">
        <v>330862</v>
      </c>
      <c r="G1598" t="s">
        <v>983</v>
      </c>
      <c r="H1598" t="s">
        <v>9</v>
      </c>
      <c r="I1598" s="7">
        <v>45676</v>
      </c>
      <c r="J1598" s="8">
        <v>0.59089120370370374</v>
      </c>
      <c r="K1598" t="s">
        <v>984</v>
      </c>
      <c r="AQ1598" t="s">
        <v>992</v>
      </c>
      <c r="AR1598" t="s">
        <v>1095</v>
      </c>
      <c r="AT1598" t="s">
        <v>987</v>
      </c>
      <c r="AZ1598" t="s">
        <v>1002</v>
      </c>
      <c r="BA1598" t="s">
        <v>1003</v>
      </c>
      <c r="BB1598" t="s">
        <v>1004</v>
      </c>
      <c r="BD1598" t="s">
        <v>1005</v>
      </c>
      <c r="BE1598" t="s">
        <v>425</v>
      </c>
    </row>
    <row r="1599" spans="1:57" ht="13" x14ac:dyDescent="0.15">
      <c r="A1599">
        <v>1839</v>
      </c>
      <c r="B1599">
        <v>160894542</v>
      </c>
      <c r="C1599" t="s">
        <v>425</v>
      </c>
      <c r="D1599" s="7">
        <v>43525</v>
      </c>
      <c r="E1599" s="7">
        <v>45706</v>
      </c>
      <c r="F1599">
        <v>330862</v>
      </c>
      <c r="G1599" t="s">
        <v>983</v>
      </c>
      <c r="H1599" t="s">
        <v>9</v>
      </c>
      <c r="I1599" s="7">
        <v>45689</v>
      </c>
      <c r="J1599" s="8">
        <v>0.66401620370370373</v>
      </c>
      <c r="K1599" t="s">
        <v>984</v>
      </c>
      <c r="AQ1599" t="s">
        <v>992</v>
      </c>
      <c r="AR1599" t="s">
        <v>1066</v>
      </c>
      <c r="AT1599" t="s">
        <v>987</v>
      </c>
      <c r="AZ1599" t="s">
        <v>988</v>
      </c>
      <c r="BA1599" t="s">
        <v>989</v>
      </c>
      <c r="BB1599" t="s">
        <v>990</v>
      </c>
      <c r="BD1599" t="s">
        <v>991</v>
      </c>
      <c r="BE1599" t="s">
        <v>425</v>
      </c>
    </row>
    <row r="1600" spans="1:57" ht="13" x14ac:dyDescent="0.15">
      <c r="A1600">
        <v>1839</v>
      </c>
      <c r="B1600">
        <v>160894542</v>
      </c>
      <c r="C1600" t="s">
        <v>425</v>
      </c>
      <c r="D1600" s="7">
        <v>43525</v>
      </c>
      <c r="E1600" s="7">
        <v>45706</v>
      </c>
      <c r="F1600">
        <v>330862</v>
      </c>
      <c r="G1600" t="s">
        <v>983</v>
      </c>
      <c r="H1600" t="s">
        <v>9</v>
      </c>
      <c r="I1600" s="7">
        <v>45685</v>
      </c>
      <c r="J1600" s="8">
        <v>0.59009259259259261</v>
      </c>
      <c r="K1600" t="s">
        <v>984</v>
      </c>
      <c r="AQ1600" t="s">
        <v>992</v>
      </c>
      <c r="AR1600" t="s">
        <v>1711</v>
      </c>
      <c r="AT1600" t="s">
        <v>987</v>
      </c>
      <c r="AZ1600" t="s">
        <v>1071</v>
      </c>
      <c r="BA1600" t="s">
        <v>1135</v>
      </c>
      <c r="BB1600" t="s">
        <v>1136</v>
      </c>
      <c r="BD1600" t="s">
        <v>991</v>
      </c>
      <c r="BE1600" t="s">
        <v>425</v>
      </c>
    </row>
    <row r="1601" spans="1:57" ht="13" x14ac:dyDescent="0.15">
      <c r="A1601">
        <v>1839</v>
      </c>
      <c r="B1601">
        <v>160894542</v>
      </c>
      <c r="C1601" t="s">
        <v>425</v>
      </c>
      <c r="D1601" s="7">
        <v>43525</v>
      </c>
      <c r="E1601" s="7">
        <v>45706</v>
      </c>
      <c r="F1601">
        <v>330862</v>
      </c>
      <c r="G1601" t="s">
        <v>983</v>
      </c>
      <c r="H1601" t="s">
        <v>9</v>
      </c>
      <c r="I1601" s="7">
        <v>45685</v>
      </c>
      <c r="J1601" s="8">
        <v>0.59201388888888884</v>
      </c>
      <c r="K1601" t="s">
        <v>984</v>
      </c>
      <c r="AQ1601" t="s">
        <v>992</v>
      </c>
      <c r="AR1601" t="s">
        <v>1712</v>
      </c>
      <c r="AT1601" t="s">
        <v>987</v>
      </c>
      <c r="AZ1601" t="s">
        <v>1062</v>
      </c>
      <c r="BA1601" t="s">
        <v>1063</v>
      </c>
      <c r="BB1601" t="s">
        <v>1048</v>
      </c>
      <c r="BD1601" t="s">
        <v>991</v>
      </c>
      <c r="BE1601" t="s">
        <v>425</v>
      </c>
    </row>
    <row r="1602" spans="1:57" ht="13" x14ac:dyDescent="0.15">
      <c r="A1602">
        <v>1839</v>
      </c>
      <c r="B1602">
        <v>160894542</v>
      </c>
      <c r="C1602" t="s">
        <v>425</v>
      </c>
      <c r="D1602" s="7">
        <v>43525</v>
      </c>
      <c r="E1602" s="7">
        <v>45706</v>
      </c>
      <c r="F1602">
        <v>330862</v>
      </c>
      <c r="G1602" t="s">
        <v>983</v>
      </c>
      <c r="H1602" t="s">
        <v>9</v>
      </c>
      <c r="I1602" s="7">
        <v>45688</v>
      </c>
      <c r="J1602" s="8">
        <v>0.60815972222222225</v>
      </c>
      <c r="K1602" t="s">
        <v>984</v>
      </c>
      <c r="AQ1602" t="s">
        <v>992</v>
      </c>
      <c r="AR1602" t="s">
        <v>1064</v>
      </c>
      <c r="AT1602" t="s">
        <v>987</v>
      </c>
      <c r="AZ1602" t="s">
        <v>1002</v>
      </c>
      <c r="BA1602" t="s">
        <v>1065</v>
      </c>
      <c r="BB1602" t="s">
        <v>1004</v>
      </c>
      <c r="BD1602" t="s">
        <v>991</v>
      </c>
      <c r="BE1602" t="s">
        <v>425</v>
      </c>
    </row>
    <row r="1603" spans="1:57" ht="13" x14ac:dyDescent="0.15">
      <c r="A1603">
        <v>1839</v>
      </c>
      <c r="B1603">
        <v>160894542</v>
      </c>
      <c r="C1603" t="s">
        <v>425</v>
      </c>
      <c r="D1603" s="7">
        <v>43525</v>
      </c>
      <c r="E1603" s="7">
        <v>45706</v>
      </c>
      <c r="F1603">
        <v>330862</v>
      </c>
      <c r="G1603" t="s">
        <v>983</v>
      </c>
      <c r="H1603" t="s">
        <v>9</v>
      </c>
      <c r="I1603" s="7">
        <v>45689</v>
      </c>
      <c r="J1603" s="8">
        <v>0.66234953703703703</v>
      </c>
      <c r="K1603" t="s">
        <v>984</v>
      </c>
      <c r="AQ1603" t="s">
        <v>992</v>
      </c>
      <c r="AR1603" t="s">
        <v>1066</v>
      </c>
      <c r="AT1603" t="s">
        <v>987</v>
      </c>
      <c r="AZ1603" t="s">
        <v>988</v>
      </c>
      <c r="BA1603" t="s">
        <v>989</v>
      </c>
      <c r="BB1603" t="s">
        <v>990</v>
      </c>
      <c r="BD1603" t="s">
        <v>991</v>
      </c>
      <c r="BE1603" t="s">
        <v>425</v>
      </c>
    </row>
    <row r="1604" spans="1:57" ht="13" x14ac:dyDescent="0.15">
      <c r="A1604">
        <v>1839</v>
      </c>
      <c r="B1604">
        <v>160894542</v>
      </c>
      <c r="C1604" t="s">
        <v>425</v>
      </c>
      <c r="D1604" s="7">
        <v>43525</v>
      </c>
      <c r="E1604" s="7">
        <v>45706</v>
      </c>
      <c r="F1604">
        <v>330862</v>
      </c>
      <c r="G1604" t="s">
        <v>983</v>
      </c>
      <c r="H1604" t="s">
        <v>9</v>
      </c>
      <c r="I1604" s="7">
        <v>45680</v>
      </c>
      <c r="J1604" s="8">
        <v>0.63987268518518514</v>
      </c>
      <c r="K1604" t="s">
        <v>984</v>
      </c>
      <c r="AQ1604" t="s">
        <v>992</v>
      </c>
      <c r="AR1604" t="s">
        <v>1713</v>
      </c>
      <c r="AT1604" t="s">
        <v>987</v>
      </c>
      <c r="AZ1604" t="s">
        <v>1024</v>
      </c>
      <c r="BA1604" t="s">
        <v>1047</v>
      </c>
      <c r="BB1604" t="s">
        <v>1048</v>
      </c>
      <c r="BD1604" t="s">
        <v>1014</v>
      </c>
      <c r="BE1604" t="s">
        <v>425</v>
      </c>
    </row>
    <row r="1605" spans="1:57" ht="13" x14ac:dyDescent="0.15">
      <c r="A1605">
        <v>1839</v>
      </c>
      <c r="B1605">
        <v>160894542</v>
      </c>
      <c r="C1605" t="s">
        <v>425</v>
      </c>
      <c r="D1605" s="7">
        <v>43525</v>
      </c>
      <c r="E1605" s="7">
        <v>45706</v>
      </c>
      <c r="F1605">
        <v>330862</v>
      </c>
      <c r="G1605" t="s">
        <v>983</v>
      </c>
      <c r="H1605" t="s">
        <v>9</v>
      </c>
      <c r="I1605" s="7">
        <v>45695</v>
      </c>
      <c r="J1605" s="8">
        <v>0.60659722222222223</v>
      </c>
      <c r="K1605" t="s">
        <v>984</v>
      </c>
      <c r="AQ1605" t="s">
        <v>992</v>
      </c>
      <c r="AR1605" t="s">
        <v>1517</v>
      </c>
      <c r="AT1605" t="s">
        <v>987</v>
      </c>
      <c r="AZ1605" t="s">
        <v>1080</v>
      </c>
      <c r="BA1605" t="s">
        <v>1081</v>
      </c>
      <c r="BB1605" t="s">
        <v>1082</v>
      </c>
      <c r="BD1605" t="s">
        <v>991</v>
      </c>
      <c r="BE1605" t="s">
        <v>425</v>
      </c>
    </row>
    <row r="1606" spans="1:57" ht="13" x14ac:dyDescent="0.15">
      <c r="A1606">
        <v>1839</v>
      </c>
      <c r="B1606">
        <v>160894542</v>
      </c>
      <c r="C1606" t="s">
        <v>425</v>
      </c>
      <c r="D1606" s="7">
        <v>43525</v>
      </c>
      <c r="E1606" s="7">
        <v>45706</v>
      </c>
      <c r="F1606">
        <v>330862</v>
      </c>
      <c r="G1606" t="s">
        <v>983</v>
      </c>
      <c r="H1606" t="s">
        <v>9</v>
      </c>
      <c r="I1606" s="7">
        <v>45668</v>
      </c>
      <c r="J1606" s="8">
        <v>0.64098379629629632</v>
      </c>
      <c r="K1606" t="s">
        <v>984</v>
      </c>
      <c r="AQ1606" t="s">
        <v>992</v>
      </c>
      <c r="AR1606" t="s">
        <v>1317</v>
      </c>
      <c r="AT1606" t="s">
        <v>987</v>
      </c>
      <c r="AZ1606" t="s">
        <v>1002</v>
      </c>
      <c r="BA1606" t="s">
        <v>1003</v>
      </c>
      <c r="BB1606" t="s">
        <v>1004</v>
      </c>
      <c r="BD1606" t="s">
        <v>1005</v>
      </c>
      <c r="BE1606" t="s">
        <v>425</v>
      </c>
    </row>
    <row r="1607" spans="1:57" ht="13" x14ac:dyDescent="0.15">
      <c r="A1607">
        <v>1839</v>
      </c>
      <c r="B1607">
        <v>160894542</v>
      </c>
      <c r="C1607" t="s">
        <v>425</v>
      </c>
      <c r="D1607" s="7">
        <v>43525</v>
      </c>
      <c r="E1607" s="7">
        <v>45706</v>
      </c>
      <c r="F1607">
        <v>330862</v>
      </c>
      <c r="G1607" t="s">
        <v>983</v>
      </c>
      <c r="H1607" t="s">
        <v>9</v>
      </c>
      <c r="I1607" s="7">
        <v>45659</v>
      </c>
      <c r="J1607" s="8">
        <v>0.513275462962963</v>
      </c>
      <c r="K1607" t="s">
        <v>984</v>
      </c>
      <c r="AQ1607" t="s">
        <v>992</v>
      </c>
      <c r="AR1607" t="s">
        <v>1714</v>
      </c>
      <c r="AT1607" t="s">
        <v>987</v>
      </c>
      <c r="AZ1607" t="s">
        <v>1239</v>
      </c>
      <c r="BA1607" t="s">
        <v>1240</v>
      </c>
      <c r="BB1607" t="s">
        <v>1237</v>
      </c>
      <c r="BD1607" t="s">
        <v>1005</v>
      </c>
      <c r="BE1607" t="s">
        <v>425</v>
      </c>
    </row>
    <row r="1608" spans="1:57" ht="13" x14ac:dyDescent="0.15">
      <c r="A1608">
        <v>1839</v>
      </c>
      <c r="B1608">
        <v>160894542</v>
      </c>
      <c r="C1608" t="s">
        <v>425</v>
      </c>
      <c r="D1608" s="7">
        <v>43525</v>
      </c>
      <c r="E1608" s="7">
        <v>45706</v>
      </c>
      <c r="F1608">
        <v>330862</v>
      </c>
      <c r="G1608" t="s">
        <v>983</v>
      </c>
      <c r="H1608" t="s">
        <v>9</v>
      </c>
      <c r="I1608" s="7">
        <v>45670</v>
      </c>
      <c r="J1608" s="8">
        <v>0.61254629629629631</v>
      </c>
      <c r="K1608" t="s">
        <v>984</v>
      </c>
      <c r="AQ1608" t="s">
        <v>992</v>
      </c>
      <c r="AR1608" t="s">
        <v>1715</v>
      </c>
      <c r="AT1608" t="s">
        <v>987</v>
      </c>
      <c r="AZ1608" t="s">
        <v>1028</v>
      </c>
      <c r="BA1608" t="s">
        <v>1068</v>
      </c>
      <c r="BB1608" t="s">
        <v>1069</v>
      </c>
      <c r="BD1608" t="s">
        <v>1005</v>
      </c>
      <c r="BE1608" t="s">
        <v>425</v>
      </c>
    </row>
    <row r="1609" spans="1:57" ht="13" x14ac:dyDescent="0.15">
      <c r="A1609">
        <v>1839</v>
      </c>
      <c r="B1609">
        <v>160894542</v>
      </c>
      <c r="C1609" t="s">
        <v>425</v>
      </c>
      <c r="D1609" s="7">
        <v>43525</v>
      </c>
      <c r="E1609" s="7">
        <v>45706</v>
      </c>
      <c r="F1609">
        <v>330862</v>
      </c>
      <c r="G1609" t="s">
        <v>983</v>
      </c>
      <c r="H1609" t="s">
        <v>9</v>
      </c>
      <c r="I1609" s="7">
        <v>45672</v>
      </c>
      <c r="J1609" s="8">
        <v>0.64545138888888887</v>
      </c>
      <c r="K1609" t="s">
        <v>984</v>
      </c>
      <c r="AQ1609" t="s">
        <v>992</v>
      </c>
      <c r="AR1609" t="s">
        <v>1302</v>
      </c>
      <c r="AT1609" t="s">
        <v>987</v>
      </c>
      <c r="AZ1609" t="s">
        <v>1024</v>
      </c>
      <c r="BA1609" t="s">
        <v>1047</v>
      </c>
      <c r="BB1609" t="s">
        <v>1048</v>
      </c>
      <c r="BD1609" t="s">
        <v>1014</v>
      </c>
      <c r="BE1609" t="s">
        <v>425</v>
      </c>
    </row>
    <row r="1610" spans="1:57" ht="13" x14ac:dyDescent="0.15">
      <c r="A1610">
        <v>1839</v>
      </c>
      <c r="B1610">
        <v>160894542</v>
      </c>
      <c r="C1610" t="s">
        <v>425</v>
      </c>
      <c r="D1610" s="7">
        <v>43525</v>
      </c>
      <c r="E1610" s="7">
        <v>45706</v>
      </c>
      <c r="F1610">
        <v>330862</v>
      </c>
      <c r="G1610" t="s">
        <v>983</v>
      </c>
      <c r="H1610" t="s">
        <v>9</v>
      </c>
      <c r="I1610" s="7">
        <v>45672</v>
      </c>
      <c r="J1610" s="8">
        <v>0.64121527777777776</v>
      </c>
      <c r="K1610" t="s">
        <v>984</v>
      </c>
      <c r="AQ1610" t="s">
        <v>992</v>
      </c>
      <c r="AR1610" t="s">
        <v>1301</v>
      </c>
      <c r="AT1610" t="s">
        <v>987</v>
      </c>
      <c r="AZ1610" t="s">
        <v>1044</v>
      </c>
      <c r="BA1610" t="s">
        <v>1045</v>
      </c>
      <c r="BB1610" t="s">
        <v>990</v>
      </c>
      <c r="BD1610" t="s">
        <v>991</v>
      </c>
      <c r="BE1610" t="s">
        <v>425</v>
      </c>
    </row>
    <row r="1611" spans="1:57" ht="13" x14ac:dyDescent="0.15">
      <c r="A1611">
        <v>1839</v>
      </c>
      <c r="B1611">
        <v>160894542</v>
      </c>
      <c r="C1611" t="s">
        <v>425</v>
      </c>
      <c r="D1611" s="7">
        <v>43525</v>
      </c>
      <c r="E1611" s="7">
        <v>45706</v>
      </c>
      <c r="F1611">
        <v>330862</v>
      </c>
      <c r="G1611" t="s">
        <v>983</v>
      </c>
      <c r="H1611" t="s">
        <v>9</v>
      </c>
      <c r="I1611" s="7">
        <v>45672</v>
      </c>
      <c r="J1611" s="8">
        <v>0.63855324074074071</v>
      </c>
      <c r="K1611" t="s">
        <v>984</v>
      </c>
      <c r="AQ1611" t="s">
        <v>992</v>
      </c>
      <c r="AR1611" t="s">
        <v>1302</v>
      </c>
      <c r="AT1611" t="s">
        <v>987</v>
      </c>
      <c r="AZ1611" t="s">
        <v>1024</v>
      </c>
      <c r="BA1611" t="s">
        <v>1047</v>
      </c>
      <c r="BB1611" t="s">
        <v>1048</v>
      </c>
      <c r="BD1611" t="s">
        <v>1014</v>
      </c>
      <c r="BE1611" t="s">
        <v>425</v>
      </c>
    </row>
    <row r="1612" spans="1:57" ht="13" x14ac:dyDescent="0.15">
      <c r="A1612">
        <v>1839</v>
      </c>
      <c r="B1612">
        <v>160894542</v>
      </c>
      <c r="C1612" t="s">
        <v>425</v>
      </c>
      <c r="D1612" s="7">
        <v>43525</v>
      </c>
      <c r="E1612" s="7">
        <v>45706</v>
      </c>
      <c r="F1612">
        <v>330862</v>
      </c>
      <c r="G1612" t="s">
        <v>983</v>
      </c>
      <c r="H1612" t="s">
        <v>9</v>
      </c>
      <c r="I1612" s="7">
        <v>45672</v>
      </c>
      <c r="J1612" s="8">
        <v>0.63711805555555556</v>
      </c>
      <c r="K1612" t="s">
        <v>984</v>
      </c>
      <c r="AQ1612" t="s">
        <v>992</v>
      </c>
      <c r="AR1612" t="s">
        <v>1477</v>
      </c>
      <c r="AT1612" t="s">
        <v>987</v>
      </c>
      <c r="AZ1612" t="s">
        <v>1016</v>
      </c>
      <c r="BA1612" t="s">
        <v>1017</v>
      </c>
      <c r="BB1612" t="s">
        <v>1018</v>
      </c>
      <c r="BD1612" t="s">
        <v>991</v>
      </c>
      <c r="BE1612" t="s">
        <v>425</v>
      </c>
    </row>
    <row r="1613" spans="1:57" ht="13" x14ac:dyDescent="0.15">
      <c r="A1613">
        <v>1839</v>
      </c>
      <c r="B1613">
        <v>160894542</v>
      </c>
      <c r="C1613" t="s">
        <v>425</v>
      </c>
      <c r="D1613" s="7">
        <v>43525</v>
      </c>
      <c r="E1613" s="7">
        <v>45706</v>
      </c>
      <c r="F1613">
        <v>330862</v>
      </c>
      <c r="G1613" t="s">
        <v>983</v>
      </c>
      <c r="H1613" t="s">
        <v>9</v>
      </c>
      <c r="I1613" s="7">
        <v>45673</v>
      </c>
      <c r="J1613" s="8">
        <v>0.6199189814814815</v>
      </c>
      <c r="K1613" t="s">
        <v>984</v>
      </c>
      <c r="AQ1613" t="s">
        <v>992</v>
      </c>
      <c r="AR1613" t="s">
        <v>1716</v>
      </c>
      <c r="AT1613" t="s">
        <v>987</v>
      </c>
      <c r="AZ1613" t="s">
        <v>1002</v>
      </c>
      <c r="BA1613" t="s">
        <v>1003</v>
      </c>
      <c r="BB1613" t="s">
        <v>1004</v>
      </c>
      <c r="BD1613" t="s">
        <v>1005</v>
      </c>
      <c r="BE1613" t="s">
        <v>425</v>
      </c>
    </row>
    <row r="1614" spans="1:57" ht="13" x14ac:dyDescent="0.15">
      <c r="A1614">
        <v>1839</v>
      </c>
      <c r="B1614">
        <v>160894542</v>
      </c>
      <c r="C1614" t="s">
        <v>425</v>
      </c>
      <c r="D1614" s="7">
        <v>43525</v>
      </c>
      <c r="E1614" s="7">
        <v>45706</v>
      </c>
      <c r="F1614">
        <v>330862</v>
      </c>
      <c r="G1614" t="s">
        <v>983</v>
      </c>
      <c r="H1614" t="s">
        <v>9</v>
      </c>
      <c r="I1614" s="7">
        <v>45641</v>
      </c>
      <c r="J1614" s="8">
        <v>0.65777777777777779</v>
      </c>
      <c r="K1614" t="s">
        <v>984</v>
      </c>
      <c r="AQ1614" t="s">
        <v>992</v>
      </c>
      <c r="AR1614" t="s">
        <v>1717</v>
      </c>
      <c r="AT1614" t="s">
        <v>987</v>
      </c>
      <c r="AZ1614" t="s">
        <v>1239</v>
      </c>
      <c r="BA1614" t="s">
        <v>1240</v>
      </c>
      <c r="BB1614" t="s">
        <v>1237</v>
      </c>
      <c r="BD1614" t="s">
        <v>1005</v>
      </c>
      <c r="BE1614" t="s">
        <v>425</v>
      </c>
    </row>
    <row r="1615" spans="1:57" ht="13" x14ac:dyDescent="0.15">
      <c r="A1615">
        <v>1839</v>
      </c>
      <c r="B1615">
        <v>160894542</v>
      </c>
      <c r="C1615" t="s">
        <v>425</v>
      </c>
      <c r="D1615" s="7">
        <v>43525</v>
      </c>
      <c r="E1615" s="7">
        <v>45706</v>
      </c>
      <c r="F1615">
        <v>330862</v>
      </c>
      <c r="G1615" t="s">
        <v>983</v>
      </c>
      <c r="H1615" t="s">
        <v>9</v>
      </c>
      <c r="I1615" s="7">
        <v>45702</v>
      </c>
      <c r="J1615" s="8">
        <v>0.60425925925925927</v>
      </c>
      <c r="K1615" t="s">
        <v>984</v>
      </c>
      <c r="AQ1615" t="s">
        <v>992</v>
      </c>
      <c r="AR1615" t="s">
        <v>1079</v>
      </c>
      <c r="AT1615" t="s">
        <v>987</v>
      </c>
      <c r="AZ1615" t="s">
        <v>1080</v>
      </c>
      <c r="BA1615" t="s">
        <v>1081</v>
      </c>
      <c r="BB1615" t="s">
        <v>1082</v>
      </c>
      <c r="BD1615" t="s">
        <v>991</v>
      </c>
      <c r="BE1615" t="s">
        <v>425</v>
      </c>
    </row>
    <row r="1616" spans="1:57" ht="13" x14ac:dyDescent="0.15">
      <c r="A1616">
        <v>1839</v>
      </c>
      <c r="B1616">
        <v>160894542</v>
      </c>
      <c r="C1616" t="s">
        <v>425</v>
      </c>
      <c r="D1616" s="7">
        <v>43525</v>
      </c>
      <c r="E1616" s="7">
        <v>45706</v>
      </c>
      <c r="F1616">
        <v>330862</v>
      </c>
      <c r="G1616" t="s">
        <v>983</v>
      </c>
      <c r="H1616" t="s">
        <v>9</v>
      </c>
      <c r="I1616" s="7">
        <v>45633</v>
      </c>
      <c r="J1616" s="8">
        <v>0.62613425925925925</v>
      </c>
      <c r="K1616" t="s">
        <v>984</v>
      </c>
      <c r="AQ1616" t="s">
        <v>992</v>
      </c>
      <c r="AR1616" t="s">
        <v>1693</v>
      </c>
      <c r="AT1616" t="s">
        <v>987</v>
      </c>
      <c r="AZ1616" t="s">
        <v>1011</v>
      </c>
      <c r="BA1616" t="s">
        <v>1031</v>
      </c>
      <c r="BB1616" t="s">
        <v>1032</v>
      </c>
      <c r="BD1616" t="s">
        <v>1005</v>
      </c>
      <c r="BE1616" t="s">
        <v>425</v>
      </c>
    </row>
    <row r="1617" spans="1:57" ht="13" x14ac:dyDescent="0.15">
      <c r="A1617">
        <v>1839</v>
      </c>
      <c r="B1617">
        <v>160894542</v>
      </c>
      <c r="C1617" t="s">
        <v>425</v>
      </c>
      <c r="D1617" s="7">
        <v>43525</v>
      </c>
      <c r="E1617" s="7">
        <v>45706</v>
      </c>
      <c r="F1617">
        <v>330862</v>
      </c>
      <c r="G1617" t="s">
        <v>983</v>
      </c>
      <c r="H1617" t="s">
        <v>9</v>
      </c>
      <c r="I1617" s="7">
        <v>45700</v>
      </c>
      <c r="J1617" s="8">
        <v>0.58380787037037041</v>
      </c>
      <c r="K1617" t="s">
        <v>984</v>
      </c>
      <c r="AQ1617" t="s">
        <v>992</v>
      </c>
      <c r="AR1617" t="s">
        <v>1219</v>
      </c>
      <c r="AT1617" t="s">
        <v>987</v>
      </c>
      <c r="AZ1617" t="s">
        <v>1220</v>
      </c>
      <c r="BA1617" t="s">
        <v>1221</v>
      </c>
      <c r="BB1617" t="s">
        <v>1082</v>
      </c>
      <c r="BD1617" t="s">
        <v>991</v>
      </c>
      <c r="BE1617" t="s">
        <v>425</v>
      </c>
    </row>
    <row r="1618" spans="1:57" ht="13" x14ac:dyDescent="0.15">
      <c r="A1618">
        <v>1839</v>
      </c>
      <c r="B1618">
        <v>160894542</v>
      </c>
      <c r="C1618" t="s">
        <v>425</v>
      </c>
      <c r="D1618" s="7">
        <v>43525</v>
      </c>
      <c r="E1618" s="7">
        <v>45706</v>
      </c>
      <c r="F1618">
        <v>330862</v>
      </c>
      <c r="G1618" t="s">
        <v>983</v>
      </c>
      <c r="H1618" t="s">
        <v>9</v>
      </c>
      <c r="I1618" s="7">
        <v>45706</v>
      </c>
      <c r="J1618" s="8">
        <v>0.63309027777777782</v>
      </c>
      <c r="K1618" t="s">
        <v>984</v>
      </c>
      <c r="AQ1618" t="s">
        <v>992</v>
      </c>
      <c r="AR1618" t="s">
        <v>1718</v>
      </c>
      <c r="AT1618" t="s">
        <v>987</v>
      </c>
      <c r="AZ1618" t="s">
        <v>1080</v>
      </c>
      <c r="BA1618" t="s">
        <v>1081</v>
      </c>
      <c r="BB1618" t="s">
        <v>1082</v>
      </c>
      <c r="BD1618" t="s">
        <v>991</v>
      </c>
      <c r="BE1618" t="s">
        <v>425</v>
      </c>
    </row>
    <row r="1619" spans="1:57" ht="13" x14ac:dyDescent="0.15">
      <c r="A1619">
        <v>1839</v>
      </c>
      <c r="B1619">
        <v>160894542</v>
      </c>
      <c r="C1619" t="s">
        <v>425</v>
      </c>
      <c r="D1619" s="7">
        <v>43525</v>
      </c>
      <c r="E1619" s="7">
        <v>45706</v>
      </c>
      <c r="F1619">
        <v>330862</v>
      </c>
      <c r="G1619" t="s">
        <v>983</v>
      </c>
      <c r="H1619" t="s">
        <v>9</v>
      </c>
      <c r="I1619" s="7">
        <v>45696</v>
      </c>
      <c r="J1619" s="8">
        <v>0.64844907407407404</v>
      </c>
      <c r="K1619" t="s">
        <v>984</v>
      </c>
      <c r="AQ1619" t="s">
        <v>992</v>
      </c>
      <c r="AR1619" t="s">
        <v>1219</v>
      </c>
      <c r="AT1619" t="s">
        <v>987</v>
      </c>
      <c r="AZ1619" t="s">
        <v>1220</v>
      </c>
      <c r="BA1619" t="s">
        <v>1221</v>
      </c>
      <c r="BB1619" t="s">
        <v>1082</v>
      </c>
      <c r="BD1619" t="s">
        <v>991</v>
      </c>
      <c r="BE1619" t="s">
        <v>425</v>
      </c>
    </row>
    <row r="1620" spans="1:57" ht="13" x14ac:dyDescent="0.15">
      <c r="A1620">
        <v>1839</v>
      </c>
      <c r="B1620">
        <v>160894542</v>
      </c>
      <c r="C1620" t="s">
        <v>425</v>
      </c>
      <c r="D1620" s="7">
        <v>43525</v>
      </c>
      <c r="E1620" s="7">
        <v>45706</v>
      </c>
      <c r="F1620">
        <v>330862</v>
      </c>
      <c r="G1620" t="s">
        <v>983</v>
      </c>
      <c r="H1620" t="s">
        <v>9</v>
      </c>
      <c r="I1620" s="7">
        <v>45696</v>
      </c>
      <c r="J1620" s="8">
        <v>0.64657407407407408</v>
      </c>
      <c r="K1620" t="s">
        <v>984</v>
      </c>
      <c r="AQ1620" t="s">
        <v>992</v>
      </c>
      <c r="AR1620" t="s">
        <v>1219</v>
      </c>
      <c r="AT1620" t="s">
        <v>987</v>
      </c>
      <c r="AZ1620" t="s">
        <v>1220</v>
      </c>
      <c r="BA1620" t="s">
        <v>1221</v>
      </c>
      <c r="BB1620" t="s">
        <v>1082</v>
      </c>
      <c r="BD1620" t="s">
        <v>991</v>
      </c>
      <c r="BE1620" t="s">
        <v>425</v>
      </c>
    </row>
    <row r="1621" spans="1:57" ht="13" x14ac:dyDescent="0.15">
      <c r="A1621">
        <v>1839</v>
      </c>
      <c r="B1621">
        <v>160894542</v>
      </c>
      <c r="C1621" t="s">
        <v>425</v>
      </c>
      <c r="D1621" s="7">
        <v>43525</v>
      </c>
      <c r="E1621" s="7">
        <v>45706</v>
      </c>
      <c r="F1621">
        <v>330862</v>
      </c>
      <c r="G1621" t="s">
        <v>983</v>
      </c>
      <c r="H1621" t="s">
        <v>9</v>
      </c>
      <c r="I1621" s="7">
        <v>45696</v>
      </c>
      <c r="J1621" s="8">
        <v>0.64547453703703705</v>
      </c>
      <c r="K1621" t="s">
        <v>984</v>
      </c>
      <c r="AQ1621" t="s">
        <v>992</v>
      </c>
      <c r="AR1621" t="s">
        <v>1315</v>
      </c>
      <c r="AT1621" t="s">
        <v>987</v>
      </c>
      <c r="AZ1621" t="s">
        <v>1182</v>
      </c>
      <c r="BA1621" t="s">
        <v>1183</v>
      </c>
      <c r="BB1621" t="s">
        <v>990</v>
      </c>
      <c r="BD1621" t="s">
        <v>991</v>
      </c>
      <c r="BE1621" t="s">
        <v>425</v>
      </c>
    </row>
    <row r="1622" spans="1:57" ht="13" x14ac:dyDescent="0.15">
      <c r="A1622">
        <v>1839</v>
      </c>
      <c r="B1622">
        <v>160894542</v>
      </c>
      <c r="C1622" t="s">
        <v>425</v>
      </c>
      <c r="D1622" s="7">
        <v>43525</v>
      </c>
      <c r="E1622" s="7">
        <v>45706</v>
      </c>
      <c r="F1622">
        <v>330862</v>
      </c>
      <c r="G1622" t="s">
        <v>983</v>
      </c>
      <c r="H1622" t="s">
        <v>9</v>
      </c>
      <c r="I1622" s="7">
        <v>45698</v>
      </c>
      <c r="J1622" s="8">
        <v>0.60215277777777776</v>
      </c>
      <c r="K1622" t="s">
        <v>984</v>
      </c>
      <c r="AQ1622" t="s">
        <v>992</v>
      </c>
      <c r="AR1622" t="s">
        <v>1719</v>
      </c>
      <c r="AT1622" t="s">
        <v>987</v>
      </c>
      <c r="AZ1622" t="s">
        <v>1002</v>
      </c>
      <c r="BA1622" t="s">
        <v>1124</v>
      </c>
      <c r="BB1622" t="s">
        <v>1125</v>
      </c>
      <c r="BD1622" t="s">
        <v>1005</v>
      </c>
      <c r="BE1622" t="s">
        <v>425</v>
      </c>
    </row>
    <row r="1623" spans="1:57" ht="13" x14ac:dyDescent="0.15">
      <c r="A1623">
        <v>1839</v>
      </c>
      <c r="B1623">
        <v>160894542</v>
      </c>
      <c r="C1623" t="s">
        <v>425</v>
      </c>
      <c r="D1623" s="7">
        <v>43525</v>
      </c>
      <c r="E1623" s="7">
        <v>45706</v>
      </c>
      <c r="F1623">
        <v>330862</v>
      </c>
      <c r="G1623" t="s">
        <v>983</v>
      </c>
      <c r="H1623" t="s">
        <v>9</v>
      </c>
      <c r="I1623" s="7">
        <v>45704</v>
      </c>
      <c r="J1623" s="8">
        <v>0.57906250000000004</v>
      </c>
      <c r="K1623" t="s">
        <v>984</v>
      </c>
      <c r="AQ1623" t="s">
        <v>992</v>
      </c>
      <c r="AR1623" t="s">
        <v>1720</v>
      </c>
      <c r="AT1623" t="s">
        <v>987</v>
      </c>
      <c r="AZ1623" t="s">
        <v>988</v>
      </c>
      <c r="BA1623" t="s">
        <v>1035</v>
      </c>
      <c r="BB1623" t="s">
        <v>1026</v>
      </c>
      <c r="BD1623" t="s">
        <v>991</v>
      </c>
      <c r="BE1623" t="s">
        <v>425</v>
      </c>
    </row>
    <row r="1624" spans="1:57" ht="13" x14ac:dyDescent="0.15">
      <c r="A1624">
        <v>1839</v>
      </c>
      <c r="B1624">
        <v>160894542</v>
      </c>
      <c r="C1624" t="s">
        <v>425</v>
      </c>
      <c r="D1624" s="7">
        <v>43525</v>
      </c>
      <c r="E1624" s="7">
        <v>45706</v>
      </c>
      <c r="F1624">
        <v>330862</v>
      </c>
      <c r="G1624" t="s">
        <v>983</v>
      </c>
      <c r="H1624" t="s">
        <v>9</v>
      </c>
      <c r="I1624" s="7">
        <v>45694</v>
      </c>
      <c r="J1624" s="8">
        <v>0.53839120370370375</v>
      </c>
      <c r="K1624" t="s">
        <v>984</v>
      </c>
      <c r="AQ1624" t="s">
        <v>992</v>
      </c>
      <c r="AR1624" t="s">
        <v>1066</v>
      </c>
      <c r="AT1624" t="s">
        <v>987</v>
      </c>
      <c r="AZ1624" t="s">
        <v>988</v>
      </c>
      <c r="BA1624" t="s">
        <v>989</v>
      </c>
      <c r="BB1624" t="s">
        <v>990</v>
      </c>
      <c r="BD1624" t="s">
        <v>991</v>
      </c>
      <c r="BE1624" t="s">
        <v>425</v>
      </c>
    </row>
    <row r="1625" spans="1:57" ht="13" x14ac:dyDescent="0.15">
      <c r="A1625">
        <v>1839</v>
      </c>
      <c r="B1625">
        <v>160894542</v>
      </c>
      <c r="C1625" t="s">
        <v>425</v>
      </c>
      <c r="D1625" s="7">
        <v>43525</v>
      </c>
      <c r="E1625" s="7">
        <v>45706</v>
      </c>
      <c r="F1625">
        <v>330862</v>
      </c>
      <c r="G1625" t="s">
        <v>983</v>
      </c>
      <c r="H1625" t="s">
        <v>9</v>
      </c>
      <c r="I1625" s="7">
        <v>45704</v>
      </c>
      <c r="J1625" s="8">
        <v>0.57805555555555554</v>
      </c>
      <c r="K1625" t="s">
        <v>984</v>
      </c>
      <c r="AQ1625" t="s">
        <v>992</v>
      </c>
      <c r="AR1625" t="s">
        <v>1721</v>
      </c>
      <c r="AT1625" t="s">
        <v>987</v>
      </c>
      <c r="AZ1625" t="s">
        <v>1220</v>
      </c>
      <c r="BA1625" t="s">
        <v>1292</v>
      </c>
      <c r="BB1625" t="s">
        <v>1293</v>
      </c>
      <c r="BD1625" t="s">
        <v>991</v>
      </c>
      <c r="BE1625" t="s">
        <v>425</v>
      </c>
    </row>
    <row r="1626" spans="1:57" ht="13" x14ac:dyDescent="0.15">
      <c r="A1626">
        <v>1839</v>
      </c>
      <c r="B1626">
        <v>160894620</v>
      </c>
      <c r="C1626" t="s">
        <v>426</v>
      </c>
      <c r="D1626" s="7">
        <v>43525</v>
      </c>
      <c r="E1626" s="7">
        <v>45696</v>
      </c>
      <c r="F1626">
        <v>330862</v>
      </c>
      <c r="G1626" t="s">
        <v>983</v>
      </c>
      <c r="H1626" t="s">
        <v>9</v>
      </c>
      <c r="I1626" s="7">
        <v>45675</v>
      </c>
      <c r="J1626" s="8">
        <v>0.64318287037037036</v>
      </c>
      <c r="K1626" t="s">
        <v>984</v>
      </c>
      <c r="AQ1626" t="s">
        <v>992</v>
      </c>
      <c r="AR1626" t="s">
        <v>1051</v>
      </c>
      <c r="AT1626" t="s">
        <v>987</v>
      </c>
      <c r="AZ1626" t="s">
        <v>1002</v>
      </c>
      <c r="BA1626" t="s">
        <v>1003</v>
      </c>
      <c r="BB1626" t="s">
        <v>1004</v>
      </c>
      <c r="BD1626" t="s">
        <v>1005</v>
      </c>
      <c r="BE1626" t="s">
        <v>426</v>
      </c>
    </row>
    <row r="1627" spans="1:57" ht="13" x14ac:dyDescent="0.15">
      <c r="A1627">
        <v>1839</v>
      </c>
      <c r="B1627">
        <v>160894620</v>
      </c>
      <c r="C1627" t="s">
        <v>426</v>
      </c>
      <c r="D1627" s="7">
        <v>43525</v>
      </c>
      <c r="E1627" s="7">
        <v>45696</v>
      </c>
      <c r="F1627">
        <v>330862</v>
      </c>
      <c r="G1627" t="s">
        <v>983</v>
      </c>
      <c r="H1627" t="s">
        <v>9</v>
      </c>
      <c r="I1627" s="7">
        <v>45675</v>
      </c>
      <c r="J1627" s="8">
        <v>0.67374999999999996</v>
      </c>
      <c r="K1627" t="s">
        <v>984</v>
      </c>
      <c r="AQ1627" t="s">
        <v>992</v>
      </c>
      <c r="AR1627" t="s">
        <v>1722</v>
      </c>
      <c r="AT1627" t="s">
        <v>987</v>
      </c>
      <c r="AZ1627" t="s">
        <v>1028</v>
      </c>
      <c r="BA1627" t="s">
        <v>1029</v>
      </c>
      <c r="BB1627" t="s">
        <v>1018</v>
      </c>
      <c r="BD1627" t="s">
        <v>1022</v>
      </c>
      <c r="BE1627" t="s">
        <v>426</v>
      </c>
    </row>
    <row r="1628" spans="1:57" ht="13" x14ac:dyDescent="0.15">
      <c r="A1628">
        <v>1839</v>
      </c>
      <c r="B1628">
        <v>160894620</v>
      </c>
      <c r="C1628" t="s">
        <v>426</v>
      </c>
      <c r="D1628" s="7">
        <v>43525</v>
      </c>
      <c r="E1628" s="7">
        <v>45696</v>
      </c>
      <c r="F1628">
        <v>330862</v>
      </c>
      <c r="G1628" t="s">
        <v>983</v>
      </c>
      <c r="H1628" t="s">
        <v>9</v>
      </c>
      <c r="I1628" s="7">
        <v>45675</v>
      </c>
      <c r="J1628" s="8">
        <v>0.67488425925925921</v>
      </c>
      <c r="K1628" t="s">
        <v>984</v>
      </c>
      <c r="AQ1628" t="s">
        <v>992</v>
      </c>
      <c r="AR1628" t="s">
        <v>1723</v>
      </c>
      <c r="AT1628" t="s">
        <v>987</v>
      </c>
      <c r="AZ1628" t="s">
        <v>1020</v>
      </c>
      <c r="BA1628" t="s">
        <v>1021</v>
      </c>
      <c r="BB1628" t="s">
        <v>1018</v>
      </c>
      <c r="BD1628" t="s">
        <v>1022</v>
      </c>
      <c r="BE1628" t="s">
        <v>426</v>
      </c>
    </row>
    <row r="1629" spans="1:57" ht="13" x14ac:dyDescent="0.15">
      <c r="A1629">
        <v>1839</v>
      </c>
      <c r="B1629">
        <v>160894625</v>
      </c>
      <c r="C1629" t="s">
        <v>427</v>
      </c>
      <c r="D1629" s="7">
        <v>43525</v>
      </c>
      <c r="E1629" s="7">
        <v>45700</v>
      </c>
      <c r="F1629">
        <v>330862</v>
      </c>
      <c r="G1629" t="s">
        <v>983</v>
      </c>
      <c r="H1629" t="s">
        <v>9</v>
      </c>
      <c r="I1629" s="7">
        <v>45700</v>
      </c>
      <c r="J1629" s="8">
        <v>0.77506944444444448</v>
      </c>
      <c r="K1629" t="s">
        <v>984</v>
      </c>
      <c r="AQ1629" t="s">
        <v>992</v>
      </c>
      <c r="AR1629" t="s">
        <v>986</v>
      </c>
      <c r="AT1629" t="s">
        <v>987</v>
      </c>
      <c r="AZ1629" t="s">
        <v>988</v>
      </c>
      <c r="BA1629" t="s">
        <v>989</v>
      </c>
      <c r="BB1629" t="s">
        <v>990</v>
      </c>
      <c r="BD1629" t="s">
        <v>991</v>
      </c>
      <c r="BE1629" t="s">
        <v>427</v>
      </c>
    </row>
    <row r="1630" spans="1:57" ht="13" x14ac:dyDescent="0.15">
      <c r="A1630">
        <v>1839</v>
      </c>
      <c r="B1630">
        <v>160894625</v>
      </c>
      <c r="C1630" t="s">
        <v>427</v>
      </c>
      <c r="D1630" s="7">
        <v>43525</v>
      </c>
      <c r="E1630" s="7">
        <v>45700</v>
      </c>
      <c r="F1630">
        <v>330862</v>
      </c>
      <c r="G1630" t="s">
        <v>983</v>
      </c>
      <c r="H1630" t="s">
        <v>9</v>
      </c>
      <c r="I1630" s="7">
        <v>45700</v>
      </c>
      <c r="J1630" s="8">
        <v>0.77561342592592597</v>
      </c>
      <c r="K1630" t="s">
        <v>984</v>
      </c>
      <c r="AQ1630" t="s">
        <v>992</v>
      </c>
      <c r="AR1630" t="s">
        <v>986</v>
      </c>
      <c r="AT1630" t="s">
        <v>987</v>
      </c>
      <c r="AZ1630" t="s">
        <v>988</v>
      </c>
      <c r="BA1630" t="s">
        <v>989</v>
      </c>
      <c r="BB1630" t="s">
        <v>990</v>
      </c>
      <c r="BD1630" t="s">
        <v>991</v>
      </c>
      <c r="BE1630" t="s">
        <v>427</v>
      </c>
    </row>
    <row r="1631" spans="1:57" ht="13" x14ac:dyDescent="0.15">
      <c r="A1631">
        <v>1839</v>
      </c>
      <c r="B1631">
        <v>160894732</v>
      </c>
      <c r="C1631" t="s">
        <v>428</v>
      </c>
      <c r="D1631" s="7">
        <v>43525</v>
      </c>
      <c r="E1631" s="7">
        <v>45696</v>
      </c>
      <c r="F1631">
        <v>330862</v>
      </c>
      <c r="G1631" t="s">
        <v>983</v>
      </c>
      <c r="H1631" t="s">
        <v>9</v>
      </c>
      <c r="I1631" s="7">
        <v>45694</v>
      </c>
      <c r="J1631" s="8">
        <v>0.40949074074074077</v>
      </c>
      <c r="K1631" t="s">
        <v>984</v>
      </c>
      <c r="AQ1631" t="s">
        <v>1090</v>
      </c>
      <c r="AR1631" t="s">
        <v>993</v>
      </c>
      <c r="AT1631" t="s">
        <v>987</v>
      </c>
      <c r="AZ1631" t="s">
        <v>988</v>
      </c>
      <c r="BA1631" t="s">
        <v>989</v>
      </c>
      <c r="BB1631" t="s">
        <v>990</v>
      </c>
      <c r="BD1631" t="s">
        <v>991</v>
      </c>
      <c r="BE1631" t="s">
        <v>428</v>
      </c>
    </row>
    <row r="1632" spans="1:57" ht="13" x14ac:dyDescent="0.15">
      <c r="A1632">
        <v>1839</v>
      </c>
      <c r="B1632">
        <v>160934209</v>
      </c>
      <c r="C1632" t="s">
        <v>429</v>
      </c>
      <c r="D1632" s="7">
        <v>43525</v>
      </c>
      <c r="E1632" s="7">
        <v>45696</v>
      </c>
      <c r="F1632">
        <v>330862</v>
      </c>
      <c r="G1632" t="s">
        <v>983</v>
      </c>
      <c r="H1632" t="s">
        <v>9</v>
      </c>
      <c r="I1632" s="7">
        <v>45694</v>
      </c>
      <c r="J1632" s="8">
        <v>0.52299768518518519</v>
      </c>
      <c r="K1632" t="s">
        <v>984</v>
      </c>
      <c r="AQ1632" t="s">
        <v>1724</v>
      </c>
      <c r="AR1632" t="s">
        <v>993</v>
      </c>
      <c r="AT1632" t="s">
        <v>987</v>
      </c>
      <c r="AZ1632" t="s">
        <v>988</v>
      </c>
      <c r="BA1632" t="s">
        <v>989</v>
      </c>
      <c r="BB1632" t="s">
        <v>990</v>
      </c>
      <c r="BD1632" t="s">
        <v>991</v>
      </c>
      <c r="BE1632" t="s">
        <v>429</v>
      </c>
    </row>
    <row r="1633" spans="1:57" ht="13" x14ac:dyDescent="0.15">
      <c r="A1633">
        <v>1839</v>
      </c>
      <c r="B1633">
        <v>160971296</v>
      </c>
      <c r="C1633" t="s">
        <v>430</v>
      </c>
      <c r="D1633" s="7">
        <v>43526</v>
      </c>
      <c r="E1633" s="7">
        <v>45678</v>
      </c>
      <c r="F1633">
        <v>330862</v>
      </c>
      <c r="G1633" t="s">
        <v>983</v>
      </c>
      <c r="H1633" t="s">
        <v>9</v>
      </c>
      <c r="I1633" s="7">
        <v>45678</v>
      </c>
      <c r="J1633" s="8">
        <v>0.83012731481481483</v>
      </c>
      <c r="K1633" t="s">
        <v>984</v>
      </c>
      <c r="AQ1633" t="s">
        <v>992</v>
      </c>
      <c r="AR1633" t="s">
        <v>1352</v>
      </c>
      <c r="AT1633" t="s">
        <v>987</v>
      </c>
      <c r="AZ1633" t="s">
        <v>1002</v>
      </c>
      <c r="BA1633" t="s">
        <v>1003</v>
      </c>
      <c r="BB1633" t="s">
        <v>1004</v>
      </c>
      <c r="BD1633" t="s">
        <v>1005</v>
      </c>
      <c r="BE1633" t="s">
        <v>430</v>
      </c>
    </row>
    <row r="1634" spans="1:57" ht="13" x14ac:dyDescent="0.15">
      <c r="A1634">
        <v>1839</v>
      </c>
      <c r="B1634">
        <v>161568213</v>
      </c>
      <c r="C1634" t="s">
        <v>431</v>
      </c>
      <c r="D1634" s="7">
        <v>43536</v>
      </c>
      <c r="E1634" s="7">
        <v>45709</v>
      </c>
      <c r="F1634">
        <v>330862</v>
      </c>
      <c r="G1634" t="s">
        <v>983</v>
      </c>
      <c r="H1634" t="s">
        <v>9</v>
      </c>
      <c r="I1634" s="7">
        <v>45623</v>
      </c>
      <c r="J1634" s="8">
        <v>0.40175925925925926</v>
      </c>
      <c r="K1634" t="s">
        <v>984</v>
      </c>
      <c r="AQ1634" t="s">
        <v>992</v>
      </c>
      <c r="AR1634" t="s">
        <v>1725</v>
      </c>
      <c r="AT1634" t="s">
        <v>987</v>
      </c>
      <c r="AZ1634" t="s">
        <v>1055</v>
      </c>
      <c r="BA1634" t="s">
        <v>1056</v>
      </c>
      <c r="BB1634" t="s">
        <v>1013</v>
      </c>
      <c r="BD1634" t="s">
        <v>1022</v>
      </c>
      <c r="BE1634" t="s">
        <v>431</v>
      </c>
    </row>
    <row r="1635" spans="1:57" ht="13" x14ac:dyDescent="0.15">
      <c r="A1635">
        <v>1839</v>
      </c>
      <c r="B1635">
        <v>161568213</v>
      </c>
      <c r="C1635" t="s">
        <v>431</v>
      </c>
      <c r="D1635" s="7">
        <v>43536</v>
      </c>
      <c r="E1635" s="7">
        <v>45709</v>
      </c>
      <c r="F1635">
        <v>330862</v>
      </c>
      <c r="G1635" t="s">
        <v>983</v>
      </c>
      <c r="H1635" t="s">
        <v>9</v>
      </c>
      <c r="I1635" s="7">
        <v>45625</v>
      </c>
      <c r="J1635" s="8">
        <v>0.34011574074074075</v>
      </c>
      <c r="K1635" t="s">
        <v>984</v>
      </c>
      <c r="AQ1635" t="s">
        <v>992</v>
      </c>
      <c r="AR1635" t="s">
        <v>1591</v>
      </c>
      <c r="AT1635" t="s">
        <v>987</v>
      </c>
      <c r="AZ1635" t="s">
        <v>1028</v>
      </c>
      <c r="BA1635" t="s">
        <v>1029</v>
      </c>
      <c r="BB1635" t="s">
        <v>1018</v>
      </c>
      <c r="BD1635" t="s">
        <v>1022</v>
      </c>
      <c r="BE1635" t="s">
        <v>431</v>
      </c>
    </row>
    <row r="1636" spans="1:57" ht="13" x14ac:dyDescent="0.15">
      <c r="A1636">
        <v>1839</v>
      </c>
      <c r="B1636">
        <v>161568213</v>
      </c>
      <c r="C1636" t="s">
        <v>431</v>
      </c>
      <c r="D1636" s="7">
        <v>43536</v>
      </c>
      <c r="E1636" s="7">
        <v>45709</v>
      </c>
      <c r="F1636">
        <v>330862</v>
      </c>
      <c r="G1636" t="s">
        <v>983</v>
      </c>
      <c r="H1636" t="s">
        <v>9</v>
      </c>
      <c r="I1636" s="7">
        <v>45703</v>
      </c>
      <c r="J1636" s="8">
        <v>0.36057870370370371</v>
      </c>
      <c r="K1636" t="s">
        <v>984</v>
      </c>
      <c r="AQ1636" t="s">
        <v>992</v>
      </c>
      <c r="AR1636" t="s">
        <v>1726</v>
      </c>
      <c r="AT1636" t="s">
        <v>987</v>
      </c>
      <c r="AZ1636" t="s">
        <v>1011</v>
      </c>
      <c r="BA1636" t="s">
        <v>1012</v>
      </c>
      <c r="BB1636" t="s">
        <v>1013</v>
      </c>
      <c r="BD1636" t="s">
        <v>1014</v>
      </c>
      <c r="BE1636" t="s">
        <v>431</v>
      </c>
    </row>
    <row r="1637" spans="1:57" ht="13" x14ac:dyDescent="0.15">
      <c r="A1637">
        <v>1839</v>
      </c>
      <c r="B1637">
        <v>161568213</v>
      </c>
      <c r="C1637" t="s">
        <v>431</v>
      </c>
      <c r="D1637" s="7">
        <v>43536</v>
      </c>
      <c r="E1637" s="7">
        <v>45709</v>
      </c>
      <c r="F1637">
        <v>330862</v>
      </c>
      <c r="G1637" t="s">
        <v>983</v>
      </c>
      <c r="H1637" t="s">
        <v>9</v>
      </c>
      <c r="I1637" s="7">
        <v>45633</v>
      </c>
      <c r="J1637" s="8">
        <v>0.35135416666666669</v>
      </c>
      <c r="K1637" t="s">
        <v>984</v>
      </c>
      <c r="AQ1637" t="s">
        <v>992</v>
      </c>
      <c r="AR1637" t="s">
        <v>1327</v>
      </c>
      <c r="AT1637" t="s">
        <v>987</v>
      </c>
      <c r="AZ1637" t="s">
        <v>1011</v>
      </c>
      <c r="BA1637" t="s">
        <v>1031</v>
      </c>
      <c r="BB1637" t="s">
        <v>1032</v>
      </c>
      <c r="BD1637" t="s">
        <v>1005</v>
      </c>
      <c r="BE1637" t="s">
        <v>431</v>
      </c>
    </row>
    <row r="1638" spans="1:57" ht="13" x14ac:dyDescent="0.15">
      <c r="A1638">
        <v>1839</v>
      </c>
      <c r="B1638">
        <v>161568213</v>
      </c>
      <c r="C1638" t="s">
        <v>431</v>
      </c>
      <c r="D1638" s="7">
        <v>43536</v>
      </c>
      <c r="E1638" s="7">
        <v>45709</v>
      </c>
      <c r="F1638">
        <v>330862</v>
      </c>
      <c r="G1638" t="s">
        <v>983</v>
      </c>
      <c r="H1638" t="s">
        <v>9</v>
      </c>
      <c r="I1638" s="7">
        <v>45686</v>
      </c>
      <c r="J1638" s="8">
        <v>0.33236111111111111</v>
      </c>
      <c r="K1638" t="s">
        <v>984</v>
      </c>
      <c r="AQ1638" t="s">
        <v>992</v>
      </c>
      <c r="AR1638" t="s">
        <v>1700</v>
      </c>
      <c r="AT1638" t="s">
        <v>987</v>
      </c>
      <c r="AZ1638" t="s">
        <v>1011</v>
      </c>
      <c r="BA1638" t="s">
        <v>1012</v>
      </c>
      <c r="BB1638" t="s">
        <v>1013</v>
      </c>
      <c r="BD1638" t="s">
        <v>1014</v>
      </c>
      <c r="BE1638" t="s">
        <v>431</v>
      </c>
    </row>
    <row r="1639" spans="1:57" ht="13" x14ac:dyDescent="0.15">
      <c r="A1639">
        <v>1839</v>
      </c>
      <c r="B1639">
        <v>161568213</v>
      </c>
      <c r="C1639" t="s">
        <v>431</v>
      </c>
      <c r="D1639" s="7">
        <v>43536</v>
      </c>
      <c r="E1639" s="7">
        <v>45709</v>
      </c>
      <c r="F1639">
        <v>330862</v>
      </c>
      <c r="G1639" t="s">
        <v>983</v>
      </c>
      <c r="H1639" t="s">
        <v>9</v>
      </c>
      <c r="I1639" s="7">
        <v>45627</v>
      </c>
      <c r="J1639" s="8">
        <v>0.3503472222222222</v>
      </c>
      <c r="K1639" t="s">
        <v>984</v>
      </c>
      <c r="AQ1639" t="s">
        <v>992</v>
      </c>
      <c r="AR1639" t="s">
        <v>1363</v>
      </c>
      <c r="AT1639" t="s">
        <v>987</v>
      </c>
      <c r="AZ1639" t="s">
        <v>1182</v>
      </c>
      <c r="BA1639" t="s">
        <v>1185</v>
      </c>
      <c r="BB1639" t="s">
        <v>1026</v>
      </c>
      <c r="BD1639" t="s">
        <v>1022</v>
      </c>
      <c r="BE1639" t="s">
        <v>431</v>
      </c>
    </row>
    <row r="1640" spans="1:57" ht="13" x14ac:dyDescent="0.15">
      <c r="A1640">
        <v>1839</v>
      </c>
      <c r="B1640">
        <v>164998965</v>
      </c>
      <c r="C1640" t="s">
        <v>432</v>
      </c>
      <c r="D1640" s="7">
        <v>43570</v>
      </c>
      <c r="E1640" s="7">
        <v>45691</v>
      </c>
      <c r="F1640">
        <v>330862</v>
      </c>
      <c r="G1640" t="s">
        <v>983</v>
      </c>
      <c r="H1640" t="s">
        <v>9</v>
      </c>
      <c r="I1640" s="7">
        <v>45689</v>
      </c>
      <c r="J1640" s="8">
        <v>0.91451388888888885</v>
      </c>
      <c r="K1640" t="s">
        <v>984</v>
      </c>
      <c r="AQ1640" t="s">
        <v>1251</v>
      </c>
      <c r="AR1640" t="s">
        <v>1727</v>
      </c>
      <c r="AT1640" t="s">
        <v>987</v>
      </c>
      <c r="AZ1640" t="s">
        <v>1016</v>
      </c>
      <c r="BA1640" t="s">
        <v>1017</v>
      </c>
      <c r="BB1640" t="s">
        <v>1018</v>
      </c>
      <c r="BD1640" t="s">
        <v>991</v>
      </c>
      <c r="BE1640" t="s">
        <v>432</v>
      </c>
    </row>
    <row r="1641" spans="1:57" ht="13" x14ac:dyDescent="0.15">
      <c r="A1641">
        <v>1839</v>
      </c>
      <c r="B1641">
        <v>165520775</v>
      </c>
      <c r="C1641" t="s">
        <v>433</v>
      </c>
      <c r="D1641" s="7">
        <v>43580</v>
      </c>
      <c r="E1641" s="7">
        <v>45700</v>
      </c>
      <c r="F1641">
        <v>330862</v>
      </c>
      <c r="G1641" t="s">
        <v>983</v>
      </c>
      <c r="H1641" t="s">
        <v>9</v>
      </c>
      <c r="I1641" s="7">
        <v>45619</v>
      </c>
      <c r="J1641" s="8">
        <v>1.3217592592592593E-2</v>
      </c>
      <c r="K1641" t="s">
        <v>984</v>
      </c>
      <c r="AQ1641" t="s">
        <v>1092</v>
      </c>
      <c r="AR1641" t="s">
        <v>1362</v>
      </c>
      <c r="AT1641" t="s">
        <v>987</v>
      </c>
      <c r="AZ1641" t="s">
        <v>1028</v>
      </c>
      <c r="BA1641" t="s">
        <v>1029</v>
      </c>
      <c r="BB1641" t="s">
        <v>1018</v>
      </c>
      <c r="BD1641" t="s">
        <v>1022</v>
      </c>
      <c r="BE1641" t="s">
        <v>433</v>
      </c>
    </row>
    <row r="1642" spans="1:57" ht="13" x14ac:dyDescent="0.15">
      <c r="A1642">
        <v>1839</v>
      </c>
      <c r="B1642">
        <v>165520775</v>
      </c>
      <c r="C1642" t="s">
        <v>433</v>
      </c>
      <c r="D1642" s="7">
        <v>43580</v>
      </c>
      <c r="E1642" s="7">
        <v>45700</v>
      </c>
      <c r="F1642">
        <v>330862</v>
      </c>
      <c r="G1642" t="s">
        <v>983</v>
      </c>
      <c r="H1642" t="s">
        <v>9</v>
      </c>
      <c r="I1642" s="7">
        <v>45700</v>
      </c>
      <c r="J1642" s="8">
        <v>0.91043981481481484</v>
      </c>
      <c r="K1642" t="s">
        <v>984</v>
      </c>
      <c r="AQ1642" t="s">
        <v>1092</v>
      </c>
      <c r="AR1642" t="s">
        <v>1728</v>
      </c>
      <c r="AT1642" t="s">
        <v>987</v>
      </c>
      <c r="AZ1642" t="s">
        <v>1220</v>
      </c>
      <c r="BA1642" t="s">
        <v>1221</v>
      </c>
      <c r="BB1642" t="s">
        <v>1082</v>
      </c>
      <c r="BD1642" t="s">
        <v>991</v>
      </c>
      <c r="BE1642" t="s">
        <v>433</v>
      </c>
    </row>
    <row r="1643" spans="1:57" ht="13" x14ac:dyDescent="0.15">
      <c r="A1643">
        <v>1839</v>
      </c>
      <c r="B1643">
        <v>165520775</v>
      </c>
      <c r="C1643" t="s">
        <v>433</v>
      </c>
      <c r="D1643" s="7">
        <v>43580</v>
      </c>
      <c r="E1643" s="7">
        <v>45700</v>
      </c>
      <c r="F1643">
        <v>330862</v>
      </c>
      <c r="G1643" t="s">
        <v>983</v>
      </c>
      <c r="H1643" t="s">
        <v>9</v>
      </c>
      <c r="I1643" s="7">
        <v>45620</v>
      </c>
      <c r="J1643" s="8">
        <v>5.5127314814814816E-2</v>
      </c>
      <c r="K1643" t="s">
        <v>984</v>
      </c>
      <c r="AQ1643" t="s">
        <v>1092</v>
      </c>
      <c r="AR1643" t="s">
        <v>1655</v>
      </c>
      <c r="AT1643" t="s">
        <v>987</v>
      </c>
      <c r="AZ1643" t="s">
        <v>1182</v>
      </c>
      <c r="BA1643" t="s">
        <v>1185</v>
      </c>
      <c r="BB1643" t="s">
        <v>1026</v>
      </c>
      <c r="BD1643" t="s">
        <v>1022</v>
      </c>
      <c r="BE1643" t="s">
        <v>433</v>
      </c>
    </row>
    <row r="1644" spans="1:57" ht="13" x14ac:dyDescent="0.15">
      <c r="A1644">
        <v>1839</v>
      </c>
      <c r="B1644">
        <v>165520775</v>
      </c>
      <c r="C1644" t="s">
        <v>433</v>
      </c>
      <c r="D1644" s="7">
        <v>43580</v>
      </c>
      <c r="E1644" s="7">
        <v>45700</v>
      </c>
      <c r="F1644">
        <v>330862</v>
      </c>
      <c r="G1644" t="s">
        <v>983</v>
      </c>
      <c r="H1644" t="s">
        <v>9</v>
      </c>
      <c r="I1644" s="7">
        <v>45631</v>
      </c>
      <c r="J1644" s="8">
        <v>5.092592592592593E-3</v>
      </c>
      <c r="K1644" t="s">
        <v>984</v>
      </c>
      <c r="AQ1644" t="s">
        <v>1092</v>
      </c>
      <c r="AR1644" t="s">
        <v>1656</v>
      </c>
      <c r="AT1644" t="s">
        <v>987</v>
      </c>
      <c r="AZ1644" t="s">
        <v>1239</v>
      </c>
      <c r="BA1644" t="s">
        <v>1281</v>
      </c>
      <c r="BB1644" t="s">
        <v>1026</v>
      </c>
      <c r="BD1644" t="s">
        <v>1022</v>
      </c>
      <c r="BE1644" t="s">
        <v>433</v>
      </c>
    </row>
    <row r="1645" spans="1:57" ht="13" x14ac:dyDescent="0.15">
      <c r="A1645">
        <v>1839</v>
      </c>
      <c r="B1645">
        <v>165520775</v>
      </c>
      <c r="C1645" t="s">
        <v>433</v>
      </c>
      <c r="D1645" s="7">
        <v>43580</v>
      </c>
      <c r="E1645" s="7">
        <v>45700</v>
      </c>
      <c r="F1645">
        <v>330862</v>
      </c>
      <c r="G1645" t="s">
        <v>983</v>
      </c>
      <c r="H1645" t="s">
        <v>9</v>
      </c>
      <c r="I1645" s="7">
        <v>45631</v>
      </c>
      <c r="J1645" s="8">
        <v>0.9964467592592593</v>
      </c>
      <c r="K1645" t="s">
        <v>984</v>
      </c>
      <c r="AQ1645" t="s">
        <v>1092</v>
      </c>
      <c r="AR1645" t="s">
        <v>1729</v>
      </c>
      <c r="AT1645" t="s">
        <v>987</v>
      </c>
      <c r="AZ1645" t="s">
        <v>1020</v>
      </c>
      <c r="BA1645" t="s">
        <v>1021</v>
      </c>
      <c r="BB1645" t="s">
        <v>1018</v>
      </c>
      <c r="BD1645" t="s">
        <v>1022</v>
      </c>
      <c r="BE1645" t="s">
        <v>433</v>
      </c>
    </row>
    <row r="1646" spans="1:57" ht="13" x14ac:dyDescent="0.15">
      <c r="A1646">
        <v>1839</v>
      </c>
      <c r="B1646">
        <v>165520775</v>
      </c>
      <c r="C1646" t="s">
        <v>433</v>
      </c>
      <c r="D1646" s="7">
        <v>43580</v>
      </c>
      <c r="E1646" s="7">
        <v>45700</v>
      </c>
      <c r="F1646">
        <v>330862</v>
      </c>
      <c r="G1646" t="s">
        <v>983</v>
      </c>
      <c r="H1646" t="s">
        <v>9</v>
      </c>
      <c r="I1646" s="7">
        <v>45632</v>
      </c>
      <c r="J1646" s="8">
        <v>0.97432870370370372</v>
      </c>
      <c r="K1646" t="s">
        <v>984</v>
      </c>
      <c r="AQ1646" t="s">
        <v>1092</v>
      </c>
      <c r="AR1646" t="s">
        <v>1617</v>
      </c>
      <c r="AT1646" t="s">
        <v>987</v>
      </c>
      <c r="AZ1646" t="s">
        <v>1024</v>
      </c>
      <c r="BA1646" t="s">
        <v>1025</v>
      </c>
      <c r="BB1646" t="s">
        <v>1026</v>
      </c>
      <c r="BD1646" t="s">
        <v>1022</v>
      </c>
      <c r="BE1646" t="s">
        <v>433</v>
      </c>
    </row>
    <row r="1647" spans="1:57" ht="13" x14ac:dyDescent="0.15">
      <c r="A1647">
        <v>1839</v>
      </c>
      <c r="B1647">
        <v>165520775</v>
      </c>
      <c r="C1647" t="s">
        <v>433</v>
      </c>
      <c r="D1647" s="7">
        <v>43580</v>
      </c>
      <c r="E1647" s="7">
        <v>45700</v>
      </c>
      <c r="F1647">
        <v>330862</v>
      </c>
      <c r="G1647" t="s">
        <v>983</v>
      </c>
      <c r="H1647" t="s">
        <v>9</v>
      </c>
      <c r="I1647" s="7">
        <v>45636</v>
      </c>
      <c r="J1647" s="8">
        <v>4.5185185185185182E-2</v>
      </c>
      <c r="K1647" t="s">
        <v>984</v>
      </c>
      <c r="AQ1647" t="s">
        <v>1092</v>
      </c>
      <c r="AR1647" t="s">
        <v>1132</v>
      </c>
      <c r="AT1647" t="s">
        <v>987</v>
      </c>
      <c r="AZ1647" t="s">
        <v>1002</v>
      </c>
      <c r="BA1647" t="s">
        <v>1124</v>
      </c>
      <c r="BB1647" t="s">
        <v>1125</v>
      </c>
      <c r="BD1647" t="s">
        <v>1005</v>
      </c>
      <c r="BE1647" t="s">
        <v>433</v>
      </c>
    </row>
    <row r="1648" spans="1:57" ht="13" x14ac:dyDescent="0.15">
      <c r="A1648">
        <v>1839</v>
      </c>
      <c r="B1648">
        <v>165520775</v>
      </c>
      <c r="C1648" t="s">
        <v>433</v>
      </c>
      <c r="D1648" s="7">
        <v>43580</v>
      </c>
      <c r="E1648" s="7">
        <v>45700</v>
      </c>
      <c r="F1648">
        <v>330862</v>
      </c>
      <c r="G1648" t="s">
        <v>983</v>
      </c>
      <c r="H1648" t="s">
        <v>9</v>
      </c>
      <c r="I1648" s="7">
        <v>45646</v>
      </c>
      <c r="J1648" s="8">
        <v>0.98828703703703702</v>
      </c>
      <c r="K1648" t="s">
        <v>984</v>
      </c>
      <c r="AQ1648" t="s">
        <v>1092</v>
      </c>
      <c r="AR1648" t="s">
        <v>1350</v>
      </c>
      <c r="AT1648" t="s">
        <v>987</v>
      </c>
      <c r="AZ1648" t="s">
        <v>1020</v>
      </c>
      <c r="BA1648" t="s">
        <v>1230</v>
      </c>
      <c r="BB1648" t="s">
        <v>1018</v>
      </c>
      <c r="BD1648" t="s">
        <v>1005</v>
      </c>
      <c r="BE1648" t="s">
        <v>433</v>
      </c>
    </row>
    <row r="1649" spans="1:57" ht="13" x14ac:dyDescent="0.15">
      <c r="A1649">
        <v>1839</v>
      </c>
      <c r="B1649">
        <v>165520775</v>
      </c>
      <c r="C1649" t="s">
        <v>433</v>
      </c>
      <c r="D1649" s="7">
        <v>43580</v>
      </c>
      <c r="E1649" s="7">
        <v>45700</v>
      </c>
      <c r="F1649">
        <v>330862</v>
      </c>
      <c r="G1649" t="s">
        <v>983</v>
      </c>
      <c r="H1649" t="s">
        <v>9</v>
      </c>
      <c r="I1649" s="7">
        <v>45647</v>
      </c>
      <c r="J1649" s="8">
        <v>0.94762731481481477</v>
      </c>
      <c r="K1649" t="s">
        <v>984</v>
      </c>
      <c r="AQ1649" t="s">
        <v>1092</v>
      </c>
      <c r="AR1649" t="s">
        <v>1584</v>
      </c>
      <c r="AT1649" t="s">
        <v>987</v>
      </c>
      <c r="AZ1649" t="s">
        <v>1007</v>
      </c>
      <c r="BA1649" t="s">
        <v>1008</v>
      </c>
      <c r="BB1649" t="s">
        <v>990</v>
      </c>
      <c r="BD1649" t="s">
        <v>1005</v>
      </c>
      <c r="BE1649" t="s">
        <v>433</v>
      </c>
    </row>
    <row r="1650" spans="1:57" ht="13" x14ac:dyDescent="0.15">
      <c r="A1650">
        <v>1839</v>
      </c>
      <c r="B1650">
        <v>165520775</v>
      </c>
      <c r="C1650" t="s">
        <v>433</v>
      </c>
      <c r="D1650" s="7">
        <v>43580</v>
      </c>
      <c r="E1650" s="7">
        <v>45700</v>
      </c>
      <c r="F1650">
        <v>330862</v>
      </c>
      <c r="G1650" t="s">
        <v>983</v>
      </c>
      <c r="H1650" t="s">
        <v>9</v>
      </c>
      <c r="I1650" s="7">
        <v>45648</v>
      </c>
      <c r="J1650" s="8">
        <v>0.9819444444444444</v>
      </c>
      <c r="K1650" t="s">
        <v>984</v>
      </c>
      <c r="AQ1650" t="s">
        <v>1092</v>
      </c>
      <c r="AR1650" t="s">
        <v>1730</v>
      </c>
      <c r="AT1650" t="s">
        <v>987</v>
      </c>
      <c r="AZ1650" t="s">
        <v>1028</v>
      </c>
      <c r="BA1650" t="s">
        <v>1068</v>
      </c>
      <c r="BB1650" t="s">
        <v>1069</v>
      </c>
      <c r="BD1650" t="s">
        <v>1005</v>
      </c>
      <c r="BE1650" t="s">
        <v>433</v>
      </c>
    </row>
    <row r="1651" spans="1:57" ht="13" x14ac:dyDescent="0.15">
      <c r="A1651">
        <v>1839</v>
      </c>
      <c r="B1651">
        <v>165520775</v>
      </c>
      <c r="C1651" t="s">
        <v>433</v>
      </c>
      <c r="D1651" s="7">
        <v>43580</v>
      </c>
      <c r="E1651" s="7">
        <v>45700</v>
      </c>
      <c r="F1651">
        <v>330862</v>
      </c>
      <c r="G1651" t="s">
        <v>983</v>
      </c>
      <c r="H1651" t="s">
        <v>9</v>
      </c>
      <c r="I1651" s="7">
        <v>45650</v>
      </c>
      <c r="J1651" s="8">
        <v>2.6377314814814815E-2</v>
      </c>
      <c r="K1651" t="s">
        <v>984</v>
      </c>
      <c r="AQ1651" t="s">
        <v>1092</v>
      </c>
      <c r="AR1651" t="s">
        <v>1731</v>
      </c>
      <c r="AT1651" t="s">
        <v>987</v>
      </c>
      <c r="AZ1651" t="s">
        <v>1071</v>
      </c>
      <c r="BA1651" t="s">
        <v>1072</v>
      </c>
      <c r="BB1651" t="s">
        <v>1048</v>
      </c>
      <c r="BD1651" t="s">
        <v>1005</v>
      </c>
      <c r="BE1651" t="s">
        <v>433</v>
      </c>
    </row>
    <row r="1652" spans="1:57" ht="13" x14ac:dyDescent="0.15">
      <c r="A1652">
        <v>1839</v>
      </c>
      <c r="B1652">
        <v>165520775</v>
      </c>
      <c r="C1652" t="s">
        <v>433</v>
      </c>
      <c r="D1652" s="7">
        <v>43580</v>
      </c>
      <c r="E1652" s="7">
        <v>45700</v>
      </c>
      <c r="F1652">
        <v>330862</v>
      </c>
      <c r="G1652" t="s">
        <v>983</v>
      </c>
      <c r="H1652" t="s">
        <v>9</v>
      </c>
      <c r="I1652" s="7">
        <v>45650</v>
      </c>
      <c r="J1652" s="8">
        <v>0.98540509259259257</v>
      </c>
      <c r="K1652" t="s">
        <v>984</v>
      </c>
      <c r="AQ1652" t="s">
        <v>1092</v>
      </c>
      <c r="AR1652" t="s">
        <v>1630</v>
      </c>
      <c r="AT1652" t="s">
        <v>987</v>
      </c>
      <c r="AZ1652" t="s">
        <v>988</v>
      </c>
      <c r="BA1652" t="s">
        <v>1058</v>
      </c>
      <c r="BB1652" t="s">
        <v>1018</v>
      </c>
      <c r="BD1652" t="s">
        <v>1005</v>
      </c>
      <c r="BE1652" t="s">
        <v>433</v>
      </c>
    </row>
    <row r="1653" spans="1:57" ht="13" x14ac:dyDescent="0.15">
      <c r="A1653">
        <v>1839</v>
      </c>
      <c r="B1653">
        <v>165520775</v>
      </c>
      <c r="C1653" t="s">
        <v>433</v>
      </c>
      <c r="D1653" s="7">
        <v>43580</v>
      </c>
      <c r="E1653" s="7">
        <v>45700</v>
      </c>
      <c r="F1653">
        <v>330862</v>
      </c>
      <c r="G1653" t="s">
        <v>983</v>
      </c>
      <c r="H1653" t="s">
        <v>9</v>
      </c>
      <c r="I1653" s="7">
        <v>45672</v>
      </c>
      <c r="J1653" s="8">
        <v>0.90524305555555551</v>
      </c>
      <c r="K1653" t="s">
        <v>984</v>
      </c>
      <c r="AQ1653" t="s">
        <v>1092</v>
      </c>
      <c r="AR1653" t="s">
        <v>1397</v>
      </c>
      <c r="AT1653" t="s">
        <v>987</v>
      </c>
      <c r="AZ1653" t="s">
        <v>1044</v>
      </c>
      <c r="BA1653" t="s">
        <v>1045</v>
      </c>
      <c r="BB1653" t="s">
        <v>990</v>
      </c>
      <c r="BD1653" t="s">
        <v>991</v>
      </c>
      <c r="BE1653" t="s">
        <v>433</v>
      </c>
    </row>
    <row r="1654" spans="1:57" ht="13" x14ac:dyDescent="0.15">
      <c r="A1654">
        <v>1839</v>
      </c>
      <c r="B1654">
        <v>165520775</v>
      </c>
      <c r="C1654" t="s">
        <v>433</v>
      </c>
      <c r="D1654" s="7">
        <v>43580</v>
      </c>
      <c r="E1654" s="7">
        <v>45700</v>
      </c>
      <c r="F1654">
        <v>330862</v>
      </c>
      <c r="G1654" t="s">
        <v>983</v>
      </c>
      <c r="H1654" t="s">
        <v>9</v>
      </c>
      <c r="I1654" s="7">
        <v>45670</v>
      </c>
      <c r="J1654" s="8">
        <v>0.98878472222222225</v>
      </c>
      <c r="K1654" t="s">
        <v>984</v>
      </c>
      <c r="AQ1654" t="s">
        <v>1092</v>
      </c>
      <c r="AR1654" t="s">
        <v>1644</v>
      </c>
      <c r="AT1654" t="s">
        <v>987</v>
      </c>
      <c r="AZ1654" t="s">
        <v>1024</v>
      </c>
      <c r="BA1654" t="s">
        <v>1047</v>
      </c>
      <c r="BB1654" t="s">
        <v>1048</v>
      </c>
      <c r="BD1654" t="s">
        <v>1014</v>
      </c>
      <c r="BE1654" t="s">
        <v>433</v>
      </c>
    </row>
    <row r="1655" spans="1:57" ht="13" x14ac:dyDescent="0.15">
      <c r="A1655">
        <v>1839</v>
      </c>
      <c r="B1655">
        <v>165520775</v>
      </c>
      <c r="C1655" t="s">
        <v>433</v>
      </c>
      <c r="D1655" s="7">
        <v>43580</v>
      </c>
      <c r="E1655" s="7">
        <v>45700</v>
      </c>
      <c r="F1655">
        <v>330862</v>
      </c>
      <c r="G1655" t="s">
        <v>983</v>
      </c>
      <c r="H1655" t="s">
        <v>9</v>
      </c>
      <c r="I1655" s="7">
        <v>45660</v>
      </c>
      <c r="J1655" s="8">
        <v>3.2939814814814818E-2</v>
      </c>
      <c r="K1655" t="s">
        <v>984</v>
      </c>
      <c r="AQ1655" t="s">
        <v>1092</v>
      </c>
      <c r="AR1655" t="s">
        <v>1342</v>
      </c>
      <c r="AT1655" t="s">
        <v>987</v>
      </c>
      <c r="AZ1655" t="s">
        <v>1002</v>
      </c>
      <c r="BA1655" t="s">
        <v>1003</v>
      </c>
      <c r="BB1655" t="s">
        <v>1004</v>
      </c>
      <c r="BD1655" t="s">
        <v>1005</v>
      </c>
      <c r="BE1655" t="s">
        <v>433</v>
      </c>
    </row>
    <row r="1656" spans="1:57" ht="13" x14ac:dyDescent="0.15">
      <c r="A1656">
        <v>1839</v>
      </c>
      <c r="B1656">
        <v>165520775</v>
      </c>
      <c r="C1656" t="s">
        <v>433</v>
      </c>
      <c r="D1656" s="7">
        <v>43580</v>
      </c>
      <c r="E1656" s="7">
        <v>45700</v>
      </c>
      <c r="F1656">
        <v>330862</v>
      </c>
      <c r="G1656" t="s">
        <v>983</v>
      </c>
      <c r="H1656" t="s">
        <v>9</v>
      </c>
      <c r="I1656" s="7">
        <v>45694</v>
      </c>
      <c r="J1656" s="8">
        <v>3.9375E-2</v>
      </c>
      <c r="K1656" t="s">
        <v>984</v>
      </c>
      <c r="AQ1656" t="s">
        <v>1092</v>
      </c>
      <c r="AR1656" t="s">
        <v>1295</v>
      </c>
      <c r="AT1656" t="s">
        <v>987</v>
      </c>
      <c r="AZ1656" t="s">
        <v>1174</v>
      </c>
      <c r="BA1656" t="s">
        <v>1175</v>
      </c>
      <c r="BB1656" t="s">
        <v>990</v>
      </c>
      <c r="BD1656" t="s">
        <v>991</v>
      </c>
      <c r="BE1656" t="s">
        <v>433</v>
      </c>
    </row>
    <row r="1657" spans="1:57" ht="13" x14ac:dyDescent="0.15">
      <c r="A1657">
        <v>1839</v>
      </c>
      <c r="B1657">
        <v>165520775</v>
      </c>
      <c r="C1657" t="s">
        <v>433</v>
      </c>
      <c r="D1657" s="7">
        <v>43580</v>
      </c>
      <c r="E1657" s="7">
        <v>45700</v>
      </c>
      <c r="F1657">
        <v>330862</v>
      </c>
      <c r="G1657" t="s">
        <v>983</v>
      </c>
      <c r="H1657" t="s">
        <v>9</v>
      </c>
      <c r="I1657" s="7">
        <v>45685</v>
      </c>
      <c r="J1657" s="8">
        <v>2.5428240740740741E-2</v>
      </c>
      <c r="K1657" t="s">
        <v>984</v>
      </c>
      <c r="AQ1657" t="s">
        <v>1092</v>
      </c>
      <c r="AR1657" t="s">
        <v>1648</v>
      </c>
      <c r="AT1657" t="s">
        <v>987</v>
      </c>
      <c r="AZ1657" t="s">
        <v>1071</v>
      </c>
      <c r="BA1657" t="s">
        <v>1135</v>
      </c>
      <c r="BB1657" t="s">
        <v>1136</v>
      </c>
      <c r="BD1657" t="s">
        <v>991</v>
      </c>
      <c r="BE1657" t="s">
        <v>433</v>
      </c>
    </row>
    <row r="1658" spans="1:57" ht="13" x14ac:dyDescent="0.15">
      <c r="A1658">
        <v>1839</v>
      </c>
      <c r="B1658">
        <v>165520775</v>
      </c>
      <c r="C1658" t="s">
        <v>433</v>
      </c>
      <c r="D1658" s="7">
        <v>43580</v>
      </c>
      <c r="E1658" s="7">
        <v>45700</v>
      </c>
      <c r="F1658">
        <v>330862</v>
      </c>
      <c r="G1658" t="s">
        <v>983</v>
      </c>
      <c r="H1658" t="s">
        <v>9</v>
      </c>
      <c r="I1658" s="7">
        <v>45686</v>
      </c>
      <c r="J1658" s="8">
        <v>1.5671296296296298E-2</v>
      </c>
      <c r="K1658" t="s">
        <v>984</v>
      </c>
      <c r="AQ1658" t="s">
        <v>1092</v>
      </c>
      <c r="AR1658" t="s">
        <v>1732</v>
      </c>
      <c r="AT1658" t="s">
        <v>987</v>
      </c>
      <c r="AZ1658" t="s">
        <v>1062</v>
      </c>
      <c r="BA1658" t="s">
        <v>1063</v>
      </c>
      <c r="BB1658" t="s">
        <v>1048</v>
      </c>
      <c r="BD1658" t="s">
        <v>991</v>
      </c>
      <c r="BE1658" t="s">
        <v>433</v>
      </c>
    </row>
    <row r="1659" spans="1:57" ht="13" x14ac:dyDescent="0.15">
      <c r="A1659">
        <v>1839</v>
      </c>
      <c r="B1659">
        <v>165520775</v>
      </c>
      <c r="C1659" t="s">
        <v>433</v>
      </c>
      <c r="D1659" s="7">
        <v>43580</v>
      </c>
      <c r="E1659" s="7">
        <v>45700</v>
      </c>
      <c r="F1659">
        <v>330862</v>
      </c>
      <c r="G1659" t="s">
        <v>983</v>
      </c>
      <c r="H1659" t="s">
        <v>9</v>
      </c>
      <c r="I1659" s="7">
        <v>45687</v>
      </c>
      <c r="J1659" s="8">
        <v>2.6145833333333333E-2</v>
      </c>
      <c r="K1659" t="s">
        <v>984</v>
      </c>
      <c r="AQ1659" t="s">
        <v>1092</v>
      </c>
      <c r="AR1659" t="s">
        <v>1733</v>
      </c>
      <c r="AT1659" t="s">
        <v>987</v>
      </c>
      <c r="AZ1659" t="s">
        <v>1002</v>
      </c>
      <c r="BA1659" t="s">
        <v>1065</v>
      </c>
      <c r="BB1659" t="s">
        <v>1004</v>
      </c>
      <c r="BD1659" t="s">
        <v>991</v>
      </c>
      <c r="BE1659" t="s">
        <v>433</v>
      </c>
    </row>
    <row r="1660" spans="1:57" ht="13" x14ac:dyDescent="0.15">
      <c r="A1660">
        <v>1839</v>
      </c>
      <c r="B1660">
        <v>165520775</v>
      </c>
      <c r="C1660" t="s">
        <v>433</v>
      </c>
      <c r="D1660" s="7">
        <v>43580</v>
      </c>
      <c r="E1660" s="7">
        <v>45700</v>
      </c>
      <c r="F1660">
        <v>330862</v>
      </c>
      <c r="G1660" t="s">
        <v>983</v>
      </c>
      <c r="H1660" t="s">
        <v>9</v>
      </c>
      <c r="I1660" s="7">
        <v>45688</v>
      </c>
      <c r="J1660" s="8">
        <v>4.9421296296296297E-3</v>
      </c>
      <c r="K1660" t="s">
        <v>984</v>
      </c>
      <c r="AQ1660" t="s">
        <v>1092</v>
      </c>
      <c r="AR1660" t="s">
        <v>1734</v>
      </c>
      <c r="AT1660" t="s">
        <v>987</v>
      </c>
      <c r="AZ1660" t="s">
        <v>1062</v>
      </c>
      <c r="BA1660" t="s">
        <v>1297</v>
      </c>
      <c r="BB1660" t="s">
        <v>1048</v>
      </c>
      <c r="BD1660" t="s">
        <v>991</v>
      </c>
      <c r="BE1660" t="s">
        <v>433</v>
      </c>
    </row>
    <row r="1661" spans="1:57" ht="13" x14ac:dyDescent="0.15">
      <c r="A1661">
        <v>1839</v>
      </c>
      <c r="B1661">
        <v>165520775</v>
      </c>
      <c r="C1661" t="s">
        <v>433</v>
      </c>
      <c r="D1661" s="7">
        <v>43580</v>
      </c>
      <c r="E1661" s="7">
        <v>45700</v>
      </c>
      <c r="F1661">
        <v>330862</v>
      </c>
      <c r="G1661" t="s">
        <v>983</v>
      </c>
      <c r="H1661" t="s">
        <v>9</v>
      </c>
      <c r="I1661" s="7">
        <v>45689</v>
      </c>
      <c r="J1661" s="8">
        <v>7.2291666666666671E-2</v>
      </c>
      <c r="K1661" t="s">
        <v>984</v>
      </c>
      <c r="AQ1661" t="s">
        <v>1092</v>
      </c>
      <c r="AR1661" t="s">
        <v>1130</v>
      </c>
      <c r="AT1661" t="s">
        <v>987</v>
      </c>
      <c r="AZ1661" t="s">
        <v>988</v>
      </c>
      <c r="BA1661" t="s">
        <v>989</v>
      </c>
      <c r="BB1661" t="s">
        <v>990</v>
      </c>
      <c r="BD1661" t="s">
        <v>991</v>
      </c>
      <c r="BE1661" t="s">
        <v>433</v>
      </c>
    </row>
    <row r="1662" spans="1:57" ht="13" x14ac:dyDescent="0.15">
      <c r="A1662">
        <v>1839</v>
      </c>
      <c r="B1662">
        <v>165520775</v>
      </c>
      <c r="C1662" t="s">
        <v>433</v>
      </c>
      <c r="D1662" s="7">
        <v>43580</v>
      </c>
      <c r="E1662" s="7">
        <v>45700</v>
      </c>
      <c r="F1662">
        <v>330862</v>
      </c>
      <c r="G1662" t="s">
        <v>983</v>
      </c>
      <c r="H1662" t="s">
        <v>9</v>
      </c>
      <c r="I1662" s="7">
        <v>45695</v>
      </c>
      <c r="J1662" s="8">
        <v>4.929398148148148E-2</v>
      </c>
      <c r="K1662" t="s">
        <v>984</v>
      </c>
      <c r="AQ1662" t="s">
        <v>1092</v>
      </c>
      <c r="AR1662" t="s">
        <v>1265</v>
      </c>
      <c r="AT1662" t="s">
        <v>987</v>
      </c>
      <c r="AZ1662" t="s">
        <v>1002</v>
      </c>
      <c r="BA1662" t="s">
        <v>1040</v>
      </c>
      <c r="BB1662" t="s">
        <v>1041</v>
      </c>
      <c r="BD1662" t="s">
        <v>991</v>
      </c>
      <c r="BE1662" t="s">
        <v>433</v>
      </c>
    </row>
    <row r="1663" spans="1:57" ht="13" x14ac:dyDescent="0.15">
      <c r="A1663">
        <v>1839</v>
      </c>
      <c r="B1663">
        <v>165520775</v>
      </c>
      <c r="C1663" t="s">
        <v>433</v>
      </c>
      <c r="D1663" s="7">
        <v>43580</v>
      </c>
      <c r="E1663" s="7">
        <v>45700</v>
      </c>
      <c r="F1663">
        <v>330862</v>
      </c>
      <c r="G1663" t="s">
        <v>983</v>
      </c>
      <c r="H1663" t="s">
        <v>9</v>
      </c>
      <c r="I1663" s="7">
        <v>45620</v>
      </c>
      <c r="J1663" s="8">
        <v>1.0127314814814815E-2</v>
      </c>
      <c r="K1663" t="s">
        <v>984</v>
      </c>
      <c r="AQ1663" t="s">
        <v>1090</v>
      </c>
      <c r="AR1663" t="s">
        <v>1655</v>
      </c>
      <c r="AT1663" t="s">
        <v>987</v>
      </c>
      <c r="AZ1663" t="s">
        <v>1182</v>
      </c>
      <c r="BA1663" t="s">
        <v>1185</v>
      </c>
      <c r="BB1663" t="s">
        <v>1026</v>
      </c>
      <c r="BD1663" t="s">
        <v>1022</v>
      </c>
      <c r="BE1663" t="s">
        <v>433</v>
      </c>
    </row>
    <row r="1664" spans="1:57" ht="13" x14ac:dyDescent="0.15">
      <c r="A1664">
        <v>1839</v>
      </c>
      <c r="B1664">
        <v>165520775</v>
      </c>
      <c r="C1664" t="s">
        <v>433</v>
      </c>
      <c r="D1664" s="7">
        <v>43580</v>
      </c>
      <c r="E1664" s="7">
        <v>45700</v>
      </c>
      <c r="F1664">
        <v>330862</v>
      </c>
      <c r="G1664" t="s">
        <v>983</v>
      </c>
      <c r="H1664" t="s">
        <v>9</v>
      </c>
      <c r="I1664" s="7">
        <v>45696</v>
      </c>
      <c r="J1664" s="8">
        <v>2.2569444444444442E-3</v>
      </c>
      <c r="K1664" t="s">
        <v>984</v>
      </c>
      <c r="AQ1664" t="s">
        <v>1092</v>
      </c>
      <c r="AR1664" t="s">
        <v>1263</v>
      </c>
      <c r="AT1664" t="s">
        <v>987</v>
      </c>
      <c r="AZ1664" t="s">
        <v>1182</v>
      </c>
      <c r="BA1664" t="s">
        <v>1183</v>
      </c>
      <c r="BB1664" t="s">
        <v>990</v>
      </c>
      <c r="BD1664" t="s">
        <v>991</v>
      </c>
      <c r="BE1664" t="s">
        <v>433</v>
      </c>
    </row>
    <row r="1665" spans="1:57" ht="13" x14ac:dyDescent="0.15">
      <c r="A1665">
        <v>1839</v>
      </c>
      <c r="B1665">
        <v>165520775</v>
      </c>
      <c r="C1665" t="s">
        <v>433</v>
      </c>
      <c r="D1665" s="7">
        <v>43580</v>
      </c>
      <c r="E1665" s="7">
        <v>45700</v>
      </c>
      <c r="F1665">
        <v>330862</v>
      </c>
      <c r="G1665" t="s">
        <v>983</v>
      </c>
      <c r="H1665" t="s">
        <v>9</v>
      </c>
      <c r="I1665" s="7">
        <v>45697</v>
      </c>
      <c r="J1665" s="8">
        <v>2.3506944444444445E-2</v>
      </c>
      <c r="K1665" t="s">
        <v>984</v>
      </c>
      <c r="AQ1665" t="s">
        <v>1092</v>
      </c>
      <c r="AR1665" t="s">
        <v>1651</v>
      </c>
      <c r="AT1665" t="s">
        <v>987</v>
      </c>
      <c r="AZ1665" t="s">
        <v>1028</v>
      </c>
      <c r="BA1665" t="s">
        <v>1037</v>
      </c>
      <c r="BB1665" t="s">
        <v>1038</v>
      </c>
      <c r="BD1665" t="s">
        <v>991</v>
      </c>
      <c r="BE1665" t="s">
        <v>433</v>
      </c>
    </row>
    <row r="1666" spans="1:57" ht="13" x14ac:dyDescent="0.15">
      <c r="A1666">
        <v>1839</v>
      </c>
      <c r="B1666">
        <v>165662256</v>
      </c>
      <c r="C1666" t="s">
        <v>434</v>
      </c>
      <c r="D1666" s="7">
        <v>43581</v>
      </c>
      <c r="E1666" s="7">
        <v>45710</v>
      </c>
      <c r="F1666">
        <v>330862</v>
      </c>
      <c r="G1666" t="s">
        <v>983</v>
      </c>
      <c r="H1666" t="s">
        <v>9</v>
      </c>
      <c r="I1666" s="7">
        <v>45694</v>
      </c>
      <c r="J1666" s="8">
        <v>0.3803009259259259</v>
      </c>
      <c r="K1666" t="s">
        <v>984</v>
      </c>
      <c r="AQ1666" t="s">
        <v>1530</v>
      </c>
      <c r="AR1666" t="s">
        <v>993</v>
      </c>
      <c r="AT1666" t="s">
        <v>987</v>
      </c>
      <c r="AZ1666" t="s">
        <v>988</v>
      </c>
      <c r="BA1666" t="s">
        <v>989</v>
      </c>
      <c r="BB1666" t="s">
        <v>990</v>
      </c>
      <c r="BD1666" t="s">
        <v>991</v>
      </c>
      <c r="BE1666" t="s">
        <v>434</v>
      </c>
    </row>
    <row r="1667" spans="1:57" ht="13" x14ac:dyDescent="0.15">
      <c r="A1667">
        <v>1839</v>
      </c>
      <c r="B1667">
        <v>166897144</v>
      </c>
      <c r="C1667" t="s">
        <v>435</v>
      </c>
      <c r="D1667" s="7">
        <v>43600</v>
      </c>
      <c r="E1667" s="7">
        <v>45708</v>
      </c>
      <c r="F1667">
        <v>330862</v>
      </c>
      <c r="G1667" t="s">
        <v>983</v>
      </c>
      <c r="H1667" t="s">
        <v>9</v>
      </c>
      <c r="I1667" s="7">
        <v>45679</v>
      </c>
      <c r="J1667" s="8">
        <v>0.35457175925925927</v>
      </c>
      <c r="K1667" t="s">
        <v>984</v>
      </c>
      <c r="AQ1667" t="s">
        <v>1089</v>
      </c>
      <c r="AR1667" t="s">
        <v>1461</v>
      </c>
      <c r="AT1667" t="s">
        <v>987</v>
      </c>
      <c r="AZ1667" t="s">
        <v>1002</v>
      </c>
      <c r="BA1667" t="s">
        <v>1003</v>
      </c>
      <c r="BB1667" t="s">
        <v>1004</v>
      </c>
      <c r="BD1667" t="s">
        <v>1005</v>
      </c>
      <c r="BE1667" t="s">
        <v>435</v>
      </c>
    </row>
    <row r="1668" spans="1:57" ht="13" x14ac:dyDescent="0.15">
      <c r="A1668">
        <v>1839</v>
      </c>
      <c r="B1668">
        <v>166898507</v>
      </c>
      <c r="C1668" t="s">
        <v>436</v>
      </c>
      <c r="D1668" s="7">
        <v>43600</v>
      </c>
      <c r="E1668" s="7">
        <v>45709</v>
      </c>
      <c r="F1668">
        <v>330862</v>
      </c>
      <c r="G1668" t="s">
        <v>983</v>
      </c>
      <c r="H1668" t="s">
        <v>9</v>
      </c>
      <c r="I1668" s="7">
        <v>45707</v>
      </c>
      <c r="J1668" s="8">
        <v>0.86964120370370368</v>
      </c>
      <c r="K1668" t="s">
        <v>984</v>
      </c>
      <c r="AQ1668" t="s">
        <v>998</v>
      </c>
      <c r="AR1668" t="s">
        <v>1735</v>
      </c>
      <c r="AT1668" t="s">
        <v>987</v>
      </c>
      <c r="AZ1668" t="s">
        <v>1182</v>
      </c>
      <c r="BA1668" t="s">
        <v>1183</v>
      </c>
      <c r="BB1668" t="s">
        <v>990</v>
      </c>
      <c r="BD1668" t="s">
        <v>991</v>
      </c>
      <c r="BE1668" t="s">
        <v>436</v>
      </c>
    </row>
    <row r="1669" spans="1:57" ht="13" x14ac:dyDescent="0.15">
      <c r="A1669">
        <v>1839</v>
      </c>
      <c r="B1669">
        <v>167351100</v>
      </c>
      <c r="C1669" t="s">
        <v>437</v>
      </c>
      <c r="D1669" s="7">
        <v>43608</v>
      </c>
      <c r="E1669" s="7">
        <v>45710</v>
      </c>
      <c r="F1669">
        <v>330862</v>
      </c>
      <c r="G1669" t="s">
        <v>983</v>
      </c>
      <c r="H1669" t="s">
        <v>9</v>
      </c>
      <c r="I1669" s="7">
        <v>45694</v>
      </c>
      <c r="J1669" s="8">
        <v>0.76162037037037034</v>
      </c>
      <c r="K1669" t="s">
        <v>984</v>
      </c>
      <c r="AQ1669" t="s">
        <v>985</v>
      </c>
      <c r="AR1669" t="s">
        <v>986</v>
      </c>
      <c r="AT1669" t="s">
        <v>987</v>
      </c>
      <c r="AZ1669" t="s">
        <v>988</v>
      </c>
      <c r="BA1669" t="s">
        <v>989</v>
      </c>
      <c r="BB1669" t="s">
        <v>990</v>
      </c>
      <c r="BD1669" t="s">
        <v>991</v>
      </c>
      <c r="BE1669" t="s">
        <v>437</v>
      </c>
    </row>
    <row r="1670" spans="1:57" ht="13" x14ac:dyDescent="0.15">
      <c r="A1670">
        <v>1839</v>
      </c>
      <c r="B1670">
        <v>167745279</v>
      </c>
      <c r="C1670" t="s">
        <v>438</v>
      </c>
      <c r="D1670" s="7">
        <v>43614</v>
      </c>
      <c r="E1670" s="7">
        <v>45694</v>
      </c>
      <c r="F1670">
        <v>330862</v>
      </c>
      <c r="G1670" t="s">
        <v>983</v>
      </c>
      <c r="H1670" t="s">
        <v>9</v>
      </c>
      <c r="I1670" s="7">
        <v>45694</v>
      </c>
      <c r="J1670" s="8">
        <v>0.54848379629629629</v>
      </c>
      <c r="K1670" t="s">
        <v>984</v>
      </c>
      <c r="AQ1670" t="s">
        <v>985</v>
      </c>
      <c r="AR1670" t="s">
        <v>986</v>
      </c>
      <c r="AT1670" t="s">
        <v>987</v>
      </c>
      <c r="AZ1670" t="s">
        <v>988</v>
      </c>
      <c r="BA1670" t="s">
        <v>989</v>
      </c>
      <c r="BB1670" t="s">
        <v>990</v>
      </c>
      <c r="BD1670" t="s">
        <v>991</v>
      </c>
      <c r="BE1670" t="s">
        <v>438</v>
      </c>
    </row>
    <row r="1671" spans="1:57" ht="13" x14ac:dyDescent="0.15">
      <c r="A1671">
        <v>1839</v>
      </c>
      <c r="B1671">
        <v>167769882</v>
      </c>
      <c r="C1671" t="s">
        <v>1736</v>
      </c>
      <c r="D1671" s="7">
        <v>43614</v>
      </c>
      <c r="E1671" s="7">
        <v>45708</v>
      </c>
      <c r="F1671">
        <v>330862</v>
      </c>
      <c r="G1671" t="s">
        <v>983</v>
      </c>
      <c r="H1671" t="s">
        <v>9</v>
      </c>
      <c r="I1671" s="7">
        <v>45639</v>
      </c>
      <c r="J1671" s="8">
        <v>0.71232638888888888</v>
      </c>
      <c r="K1671" t="s">
        <v>984</v>
      </c>
      <c r="AQ1671" t="s">
        <v>985</v>
      </c>
      <c r="AR1671" t="s">
        <v>1328</v>
      </c>
      <c r="AT1671" t="s">
        <v>987</v>
      </c>
      <c r="AZ1671" t="s">
        <v>1011</v>
      </c>
      <c r="BA1671" t="s">
        <v>1031</v>
      </c>
      <c r="BB1671" t="s">
        <v>1032</v>
      </c>
      <c r="BD1671" t="s">
        <v>1005</v>
      </c>
      <c r="BE1671" t="s">
        <v>1736</v>
      </c>
    </row>
    <row r="1672" spans="1:57" ht="13" x14ac:dyDescent="0.15">
      <c r="A1672">
        <v>1839</v>
      </c>
      <c r="B1672">
        <v>171119272</v>
      </c>
      <c r="C1672" t="s">
        <v>439</v>
      </c>
      <c r="D1672" s="7">
        <v>43659</v>
      </c>
      <c r="E1672" s="7">
        <v>45695</v>
      </c>
      <c r="F1672">
        <v>330862</v>
      </c>
      <c r="G1672" t="s">
        <v>983</v>
      </c>
      <c r="H1672" t="s">
        <v>9</v>
      </c>
      <c r="I1672" s="7">
        <v>45694</v>
      </c>
      <c r="J1672" s="8">
        <v>0.4377199074074074</v>
      </c>
      <c r="K1672" t="s">
        <v>984</v>
      </c>
      <c r="AQ1672" t="s">
        <v>1446</v>
      </c>
      <c r="AR1672" t="s">
        <v>993</v>
      </c>
      <c r="AT1672" t="s">
        <v>987</v>
      </c>
      <c r="AZ1672" t="s">
        <v>988</v>
      </c>
      <c r="BA1672" t="s">
        <v>989</v>
      </c>
      <c r="BB1672" t="s">
        <v>990</v>
      </c>
      <c r="BD1672" t="s">
        <v>991</v>
      </c>
      <c r="BE1672" t="s">
        <v>439</v>
      </c>
    </row>
    <row r="1673" spans="1:57" ht="13" x14ac:dyDescent="0.15">
      <c r="A1673">
        <v>1839</v>
      </c>
      <c r="B1673">
        <v>173429159</v>
      </c>
      <c r="C1673" t="s">
        <v>440</v>
      </c>
      <c r="D1673" s="7">
        <v>43691</v>
      </c>
      <c r="E1673" s="7">
        <v>45696</v>
      </c>
      <c r="F1673">
        <v>330862</v>
      </c>
      <c r="G1673" t="s">
        <v>983</v>
      </c>
      <c r="H1673" t="s">
        <v>9</v>
      </c>
      <c r="I1673" s="7">
        <v>45694</v>
      </c>
      <c r="J1673" s="8">
        <v>0.68769675925925922</v>
      </c>
      <c r="K1673" t="s">
        <v>984</v>
      </c>
      <c r="AQ1673" t="s">
        <v>1090</v>
      </c>
      <c r="AR1673" t="s">
        <v>986</v>
      </c>
      <c r="AT1673" t="s">
        <v>987</v>
      </c>
      <c r="AZ1673" t="s">
        <v>988</v>
      </c>
      <c r="BA1673" t="s">
        <v>989</v>
      </c>
      <c r="BB1673" t="s">
        <v>990</v>
      </c>
      <c r="BD1673" t="s">
        <v>991</v>
      </c>
      <c r="BE1673" t="s">
        <v>440</v>
      </c>
    </row>
    <row r="1674" spans="1:57" ht="13" x14ac:dyDescent="0.15">
      <c r="A1674">
        <v>1839</v>
      </c>
      <c r="B1674">
        <v>173429159</v>
      </c>
      <c r="C1674" t="s">
        <v>440</v>
      </c>
      <c r="D1674" s="7">
        <v>43691</v>
      </c>
      <c r="E1674" s="7">
        <v>45696</v>
      </c>
      <c r="F1674">
        <v>330862</v>
      </c>
      <c r="G1674" t="s">
        <v>983</v>
      </c>
      <c r="H1674" t="s">
        <v>9</v>
      </c>
      <c r="I1674" s="7">
        <v>45694</v>
      </c>
      <c r="J1674" s="8">
        <v>0.68628472222222225</v>
      </c>
      <c r="K1674" t="s">
        <v>984</v>
      </c>
      <c r="AQ1674" t="s">
        <v>1090</v>
      </c>
      <c r="AR1674" t="s">
        <v>986</v>
      </c>
      <c r="AT1674" t="s">
        <v>987</v>
      </c>
      <c r="AZ1674" t="s">
        <v>988</v>
      </c>
      <c r="BA1674" t="s">
        <v>989</v>
      </c>
      <c r="BB1674" t="s">
        <v>990</v>
      </c>
      <c r="BD1674" t="s">
        <v>991</v>
      </c>
      <c r="BE1674" t="s">
        <v>440</v>
      </c>
    </row>
    <row r="1675" spans="1:57" ht="13" x14ac:dyDescent="0.15">
      <c r="A1675">
        <v>1839</v>
      </c>
      <c r="B1675">
        <v>175751700</v>
      </c>
      <c r="C1675" t="s">
        <v>441</v>
      </c>
      <c r="D1675" s="7">
        <v>43722</v>
      </c>
      <c r="E1675" s="7">
        <v>45696</v>
      </c>
      <c r="F1675">
        <v>330862</v>
      </c>
      <c r="G1675" t="s">
        <v>983</v>
      </c>
      <c r="H1675" t="s">
        <v>9</v>
      </c>
      <c r="I1675" s="7">
        <v>45694</v>
      </c>
      <c r="J1675" s="8">
        <v>0.43631944444444443</v>
      </c>
      <c r="K1675" t="s">
        <v>984</v>
      </c>
      <c r="AQ1675" t="s">
        <v>1446</v>
      </c>
      <c r="AR1675" t="s">
        <v>993</v>
      </c>
      <c r="AT1675" t="s">
        <v>987</v>
      </c>
      <c r="AZ1675" t="s">
        <v>988</v>
      </c>
      <c r="BA1675" t="s">
        <v>989</v>
      </c>
      <c r="BB1675" t="s">
        <v>990</v>
      </c>
      <c r="BD1675" t="s">
        <v>991</v>
      </c>
      <c r="BE1675" t="s">
        <v>441</v>
      </c>
    </row>
    <row r="1676" spans="1:57" ht="13" x14ac:dyDescent="0.15">
      <c r="A1676">
        <v>1839</v>
      </c>
      <c r="B1676">
        <v>175751700</v>
      </c>
      <c r="C1676" t="s">
        <v>441</v>
      </c>
      <c r="D1676" s="7">
        <v>43722</v>
      </c>
      <c r="E1676" s="7">
        <v>45696</v>
      </c>
      <c r="F1676">
        <v>330862</v>
      </c>
      <c r="G1676" t="s">
        <v>983</v>
      </c>
      <c r="H1676" t="s">
        <v>9</v>
      </c>
      <c r="I1676" s="7">
        <v>45636</v>
      </c>
      <c r="J1676" s="8">
        <v>0.46811342592592592</v>
      </c>
      <c r="K1676" t="s">
        <v>984</v>
      </c>
      <c r="AQ1676" t="s">
        <v>1446</v>
      </c>
      <c r="AR1676" t="s">
        <v>1096</v>
      </c>
      <c r="AT1676" t="s">
        <v>987</v>
      </c>
      <c r="AZ1676" t="s">
        <v>1011</v>
      </c>
      <c r="BA1676" t="s">
        <v>1031</v>
      </c>
      <c r="BB1676" t="s">
        <v>1032</v>
      </c>
      <c r="BD1676" t="s">
        <v>1005</v>
      </c>
      <c r="BE1676" t="s">
        <v>441</v>
      </c>
    </row>
    <row r="1677" spans="1:57" ht="13" x14ac:dyDescent="0.15">
      <c r="A1677">
        <v>1839</v>
      </c>
      <c r="B1677">
        <v>178860948</v>
      </c>
      <c r="C1677" t="s">
        <v>442</v>
      </c>
      <c r="D1677" s="7">
        <v>43768</v>
      </c>
      <c r="E1677" s="7">
        <v>45701</v>
      </c>
      <c r="F1677">
        <v>330862</v>
      </c>
      <c r="G1677" t="s">
        <v>983</v>
      </c>
      <c r="H1677" t="s">
        <v>9</v>
      </c>
      <c r="I1677" s="7">
        <v>45695</v>
      </c>
      <c r="J1677" s="8">
        <v>0.40061342592592591</v>
      </c>
      <c r="K1677" t="s">
        <v>984</v>
      </c>
      <c r="AQ1677" t="s">
        <v>998</v>
      </c>
      <c r="AR1677" t="s">
        <v>993</v>
      </c>
      <c r="AT1677" t="s">
        <v>987</v>
      </c>
      <c r="AZ1677" t="s">
        <v>988</v>
      </c>
      <c r="BA1677" t="s">
        <v>989</v>
      </c>
      <c r="BB1677" t="s">
        <v>990</v>
      </c>
      <c r="BD1677" t="s">
        <v>991</v>
      </c>
      <c r="BE1677" t="s">
        <v>442</v>
      </c>
    </row>
    <row r="1678" spans="1:57" ht="13" x14ac:dyDescent="0.15">
      <c r="A1678">
        <v>1839</v>
      </c>
      <c r="B1678">
        <v>179115374</v>
      </c>
      <c r="C1678" t="s">
        <v>1737</v>
      </c>
      <c r="D1678" s="7">
        <v>43774</v>
      </c>
      <c r="E1678" s="7">
        <v>45712</v>
      </c>
      <c r="F1678">
        <v>330862</v>
      </c>
      <c r="G1678" t="s">
        <v>983</v>
      </c>
      <c r="H1678" t="s">
        <v>9</v>
      </c>
      <c r="I1678" s="7">
        <v>45616</v>
      </c>
      <c r="J1678" s="8">
        <v>0.4949189814814815</v>
      </c>
      <c r="K1678" t="s">
        <v>984</v>
      </c>
      <c r="AQ1678" t="s">
        <v>1738</v>
      </c>
      <c r="AR1678" t="s">
        <v>1104</v>
      </c>
      <c r="AT1678" t="s">
        <v>987</v>
      </c>
      <c r="AZ1678" t="s">
        <v>1055</v>
      </c>
      <c r="BA1678" t="s">
        <v>1056</v>
      </c>
      <c r="BB1678" t="s">
        <v>1013</v>
      </c>
      <c r="BD1678" t="s">
        <v>1022</v>
      </c>
      <c r="BE1678" t="s">
        <v>1737</v>
      </c>
    </row>
    <row r="1679" spans="1:57" ht="13" x14ac:dyDescent="0.15">
      <c r="A1679">
        <v>1839</v>
      </c>
      <c r="B1679">
        <v>179116905</v>
      </c>
      <c r="C1679" t="s">
        <v>1739</v>
      </c>
      <c r="D1679" s="7">
        <v>43774</v>
      </c>
      <c r="E1679" s="7">
        <v>45613</v>
      </c>
      <c r="F1679">
        <v>330862</v>
      </c>
      <c r="G1679" t="s">
        <v>983</v>
      </c>
      <c r="H1679" t="s">
        <v>9</v>
      </c>
      <c r="I1679" s="7">
        <v>45568</v>
      </c>
      <c r="J1679" s="8">
        <v>0.40901620370370373</v>
      </c>
      <c r="K1679" t="s">
        <v>984</v>
      </c>
      <c r="AQ1679" t="s">
        <v>1556</v>
      </c>
      <c r="AR1679" t="s">
        <v>1100</v>
      </c>
      <c r="AT1679" t="s">
        <v>987</v>
      </c>
      <c r="BE1679" t="s">
        <v>1739</v>
      </c>
    </row>
    <row r="1680" spans="1:57" ht="13" x14ac:dyDescent="0.15">
      <c r="A1680">
        <v>1839</v>
      </c>
      <c r="B1680">
        <v>179116905</v>
      </c>
      <c r="C1680" t="s">
        <v>1739</v>
      </c>
      <c r="D1680" s="7">
        <v>43774</v>
      </c>
      <c r="E1680" s="7">
        <v>45613</v>
      </c>
      <c r="F1680">
        <v>330862</v>
      </c>
      <c r="G1680" t="s">
        <v>983</v>
      </c>
      <c r="H1680" t="s">
        <v>9</v>
      </c>
      <c r="I1680" s="7">
        <v>45611</v>
      </c>
      <c r="J1680" s="8">
        <v>0.71381944444444445</v>
      </c>
      <c r="K1680" t="s">
        <v>984</v>
      </c>
      <c r="AQ1680" t="s">
        <v>1089</v>
      </c>
      <c r="AR1680" t="s">
        <v>1740</v>
      </c>
      <c r="AT1680" t="s">
        <v>987</v>
      </c>
      <c r="BE1680" t="s">
        <v>1739</v>
      </c>
    </row>
    <row r="1681" spans="1:57" ht="13" x14ac:dyDescent="0.15">
      <c r="A1681">
        <v>1839</v>
      </c>
      <c r="B1681">
        <v>179549632</v>
      </c>
      <c r="C1681" t="s">
        <v>1741</v>
      </c>
      <c r="D1681" s="7">
        <v>43783</v>
      </c>
      <c r="E1681" s="7">
        <v>45674</v>
      </c>
      <c r="F1681">
        <v>336444</v>
      </c>
      <c r="G1681" t="s">
        <v>995</v>
      </c>
      <c r="H1681" t="s">
        <v>12</v>
      </c>
      <c r="I1681" s="7">
        <v>45636</v>
      </c>
      <c r="J1681" s="8">
        <v>0.48752314814814812</v>
      </c>
      <c r="K1681" t="s">
        <v>984</v>
      </c>
      <c r="AQ1681" t="s">
        <v>996</v>
      </c>
      <c r="BE1681" t="s">
        <v>1741</v>
      </c>
    </row>
    <row r="1682" spans="1:57" ht="13" x14ac:dyDescent="0.15">
      <c r="A1682">
        <v>1839</v>
      </c>
      <c r="B1682">
        <v>180736750</v>
      </c>
      <c r="C1682" t="s">
        <v>443</v>
      </c>
      <c r="D1682" s="7">
        <v>43799</v>
      </c>
      <c r="E1682" s="7">
        <v>45704</v>
      </c>
      <c r="F1682">
        <v>330862</v>
      </c>
      <c r="G1682" t="s">
        <v>983</v>
      </c>
      <c r="H1682" t="s">
        <v>9</v>
      </c>
      <c r="I1682" s="7">
        <v>45694</v>
      </c>
      <c r="J1682" s="8">
        <v>0.53651620370370368</v>
      </c>
      <c r="K1682" t="s">
        <v>984</v>
      </c>
      <c r="AQ1682" t="s">
        <v>985</v>
      </c>
      <c r="AR1682" t="s">
        <v>986</v>
      </c>
      <c r="AT1682" t="s">
        <v>987</v>
      </c>
      <c r="AZ1682" t="s">
        <v>988</v>
      </c>
      <c r="BA1682" t="s">
        <v>989</v>
      </c>
      <c r="BB1682" t="s">
        <v>990</v>
      </c>
      <c r="BD1682" t="s">
        <v>991</v>
      </c>
      <c r="BE1682" t="s">
        <v>443</v>
      </c>
    </row>
    <row r="1683" spans="1:57" ht="13" x14ac:dyDescent="0.15">
      <c r="A1683">
        <v>1839</v>
      </c>
      <c r="B1683">
        <v>182001403</v>
      </c>
      <c r="C1683" t="s">
        <v>444</v>
      </c>
      <c r="D1683" s="7">
        <v>43826</v>
      </c>
      <c r="E1683" s="7">
        <v>45708</v>
      </c>
      <c r="F1683">
        <v>330862</v>
      </c>
      <c r="G1683" t="s">
        <v>983</v>
      </c>
      <c r="H1683" t="s">
        <v>9</v>
      </c>
      <c r="I1683" s="7">
        <v>45677</v>
      </c>
      <c r="J1683" s="8">
        <v>0.88011574074074073</v>
      </c>
      <c r="K1683" t="s">
        <v>984</v>
      </c>
      <c r="AQ1683" t="s">
        <v>1089</v>
      </c>
      <c r="AR1683" t="s">
        <v>1083</v>
      </c>
      <c r="AT1683" t="s">
        <v>987</v>
      </c>
      <c r="AZ1683" t="s">
        <v>1011</v>
      </c>
      <c r="BA1683" t="s">
        <v>1012</v>
      </c>
      <c r="BB1683" t="s">
        <v>1013</v>
      </c>
      <c r="BD1683" t="s">
        <v>1014</v>
      </c>
      <c r="BE1683" t="s">
        <v>444</v>
      </c>
    </row>
    <row r="1684" spans="1:57" ht="13" x14ac:dyDescent="0.15">
      <c r="A1684">
        <v>1839</v>
      </c>
      <c r="B1684">
        <v>183753171</v>
      </c>
      <c r="C1684" t="s">
        <v>1742</v>
      </c>
      <c r="D1684" s="7">
        <v>43866</v>
      </c>
      <c r="E1684" s="7">
        <v>45666</v>
      </c>
      <c r="F1684">
        <v>330862</v>
      </c>
      <c r="G1684" t="s">
        <v>983</v>
      </c>
      <c r="H1684" t="s">
        <v>9</v>
      </c>
      <c r="I1684" s="7">
        <v>45636</v>
      </c>
      <c r="J1684" s="8">
        <v>0.5574189814814815</v>
      </c>
      <c r="K1684" t="s">
        <v>984</v>
      </c>
      <c r="AQ1684" t="s">
        <v>1090</v>
      </c>
      <c r="AR1684" t="s">
        <v>1339</v>
      </c>
      <c r="AT1684" t="s">
        <v>987</v>
      </c>
      <c r="AZ1684" t="s">
        <v>1174</v>
      </c>
      <c r="BA1684" t="s">
        <v>1242</v>
      </c>
      <c r="BB1684" t="s">
        <v>1026</v>
      </c>
      <c r="BD1684" t="s">
        <v>1005</v>
      </c>
      <c r="BE1684" t="s">
        <v>1742</v>
      </c>
    </row>
    <row r="1685" spans="1:57" ht="13" x14ac:dyDescent="0.15">
      <c r="A1685">
        <v>1839</v>
      </c>
      <c r="B1685">
        <v>183753171</v>
      </c>
      <c r="C1685" t="s">
        <v>1742</v>
      </c>
      <c r="D1685" s="7">
        <v>43866</v>
      </c>
      <c r="E1685" s="7">
        <v>45666</v>
      </c>
      <c r="F1685">
        <v>330862</v>
      </c>
      <c r="G1685" t="s">
        <v>983</v>
      </c>
      <c r="H1685" t="s">
        <v>9</v>
      </c>
      <c r="I1685" s="7">
        <v>45636</v>
      </c>
      <c r="J1685" s="8">
        <v>0.56037037037037041</v>
      </c>
      <c r="K1685" t="s">
        <v>984</v>
      </c>
      <c r="AQ1685" t="s">
        <v>1090</v>
      </c>
      <c r="AR1685" t="s">
        <v>1339</v>
      </c>
      <c r="AT1685" t="s">
        <v>987</v>
      </c>
      <c r="AZ1685" t="s">
        <v>1174</v>
      </c>
      <c r="BA1685" t="s">
        <v>1242</v>
      </c>
      <c r="BB1685" t="s">
        <v>1026</v>
      </c>
      <c r="BD1685" t="s">
        <v>1005</v>
      </c>
      <c r="BE1685" t="s">
        <v>1742</v>
      </c>
    </row>
    <row r="1686" spans="1:57" ht="13" x14ac:dyDescent="0.15">
      <c r="A1686">
        <v>1839</v>
      </c>
      <c r="B1686">
        <v>183753171</v>
      </c>
      <c r="C1686" t="s">
        <v>1742</v>
      </c>
      <c r="D1686" s="7">
        <v>43866</v>
      </c>
      <c r="E1686" s="7">
        <v>45666</v>
      </c>
      <c r="F1686">
        <v>330862</v>
      </c>
      <c r="G1686" t="s">
        <v>983</v>
      </c>
      <c r="H1686" t="s">
        <v>9</v>
      </c>
      <c r="I1686" s="7">
        <v>45636</v>
      </c>
      <c r="J1686" s="8">
        <v>0.55950231481481483</v>
      </c>
      <c r="K1686" t="s">
        <v>984</v>
      </c>
      <c r="AQ1686" t="s">
        <v>1090</v>
      </c>
      <c r="AR1686" t="s">
        <v>1339</v>
      </c>
      <c r="AT1686" t="s">
        <v>987</v>
      </c>
      <c r="AZ1686" t="s">
        <v>1174</v>
      </c>
      <c r="BA1686" t="s">
        <v>1242</v>
      </c>
      <c r="BB1686" t="s">
        <v>1026</v>
      </c>
      <c r="BD1686" t="s">
        <v>1005</v>
      </c>
      <c r="BE1686" t="s">
        <v>1742</v>
      </c>
    </row>
    <row r="1687" spans="1:57" ht="13" x14ac:dyDescent="0.15">
      <c r="A1687">
        <v>1839</v>
      </c>
      <c r="B1687">
        <v>183753171</v>
      </c>
      <c r="C1687" t="s">
        <v>1742</v>
      </c>
      <c r="D1687" s="7">
        <v>43866</v>
      </c>
      <c r="E1687" s="7">
        <v>45666</v>
      </c>
      <c r="F1687">
        <v>330862</v>
      </c>
      <c r="G1687" t="s">
        <v>983</v>
      </c>
      <c r="H1687" t="s">
        <v>9</v>
      </c>
      <c r="I1687" s="7">
        <v>45636</v>
      </c>
      <c r="J1687" s="8">
        <v>0.55608796296296292</v>
      </c>
      <c r="K1687" t="s">
        <v>984</v>
      </c>
      <c r="AQ1687" t="s">
        <v>1090</v>
      </c>
      <c r="AR1687" t="s">
        <v>1132</v>
      </c>
      <c r="AT1687" t="s">
        <v>987</v>
      </c>
      <c r="AZ1687" t="s">
        <v>1002</v>
      </c>
      <c r="BA1687" t="s">
        <v>1124</v>
      </c>
      <c r="BB1687" t="s">
        <v>1125</v>
      </c>
      <c r="BD1687" t="s">
        <v>1005</v>
      </c>
      <c r="BE1687" t="s">
        <v>1742</v>
      </c>
    </row>
    <row r="1688" spans="1:57" ht="13" x14ac:dyDescent="0.15">
      <c r="A1688">
        <v>1839</v>
      </c>
      <c r="B1688">
        <v>183979957</v>
      </c>
      <c r="C1688" t="s">
        <v>445</v>
      </c>
      <c r="D1688" s="7">
        <v>43872</v>
      </c>
      <c r="E1688" s="7">
        <v>45713</v>
      </c>
      <c r="F1688">
        <v>330862</v>
      </c>
      <c r="G1688" t="s">
        <v>983</v>
      </c>
      <c r="H1688" t="s">
        <v>9</v>
      </c>
      <c r="I1688" s="7">
        <v>45694</v>
      </c>
      <c r="J1688" s="8">
        <v>0.40793981481481484</v>
      </c>
      <c r="K1688" t="s">
        <v>984</v>
      </c>
      <c r="AQ1688" t="s">
        <v>985</v>
      </c>
      <c r="AR1688" t="s">
        <v>1066</v>
      </c>
      <c r="AT1688" t="s">
        <v>987</v>
      </c>
      <c r="AZ1688" t="s">
        <v>988</v>
      </c>
      <c r="BA1688" t="s">
        <v>989</v>
      </c>
      <c r="BB1688" t="s">
        <v>990</v>
      </c>
      <c r="BD1688" t="s">
        <v>991</v>
      </c>
      <c r="BE1688" t="s">
        <v>445</v>
      </c>
    </row>
    <row r="1689" spans="1:57" ht="13" x14ac:dyDescent="0.15">
      <c r="A1689">
        <v>1839</v>
      </c>
      <c r="B1689">
        <v>183979957</v>
      </c>
      <c r="C1689" t="s">
        <v>445</v>
      </c>
      <c r="D1689" s="7">
        <v>43872</v>
      </c>
      <c r="E1689" s="7">
        <v>45713</v>
      </c>
      <c r="F1689">
        <v>330862</v>
      </c>
      <c r="G1689" t="s">
        <v>983</v>
      </c>
      <c r="H1689" t="s">
        <v>9</v>
      </c>
      <c r="I1689" s="7">
        <v>45616</v>
      </c>
      <c r="J1689" s="8">
        <v>0.6334143518518518</v>
      </c>
      <c r="K1689" t="s">
        <v>984</v>
      </c>
      <c r="AQ1689" t="s">
        <v>985</v>
      </c>
      <c r="AR1689" t="s">
        <v>1104</v>
      </c>
      <c r="AT1689" t="s">
        <v>987</v>
      </c>
      <c r="AZ1689" t="s">
        <v>1055</v>
      </c>
      <c r="BA1689" t="s">
        <v>1056</v>
      </c>
      <c r="BB1689" t="s">
        <v>1013</v>
      </c>
      <c r="BD1689" t="s">
        <v>1022</v>
      </c>
      <c r="BE1689" t="s">
        <v>445</v>
      </c>
    </row>
    <row r="1690" spans="1:57" ht="13" x14ac:dyDescent="0.15">
      <c r="A1690">
        <v>1839</v>
      </c>
      <c r="B1690">
        <v>183979957</v>
      </c>
      <c r="C1690" t="s">
        <v>445</v>
      </c>
      <c r="D1690" s="7">
        <v>43872</v>
      </c>
      <c r="E1690" s="7">
        <v>45713</v>
      </c>
      <c r="F1690">
        <v>330862</v>
      </c>
      <c r="G1690" t="s">
        <v>983</v>
      </c>
      <c r="H1690" t="s">
        <v>9</v>
      </c>
      <c r="I1690" s="7">
        <v>45616</v>
      </c>
      <c r="J1690" s="8">
        <v>0.6284143518518519</v>
      </c>
      <c r="K1690" t="s">
        <v>984</v>
      </c>
      <c r="AQ1690" t="s">
        <v>985</v>
      </c>
      <c r="AR1690" t="s">
        <v>1399</v>
      </c>
      <c r="AT1690" t="s">
        <v>987</v>
      </c>
      <c r="AZ1690" t="s">
        <v>1011</v>
      </c>
      <c r="BA1690" t="s">
        <v>1103</v>
      </c>
      <c r="BB1690" t="s">
        <v>1032</v>
      </c>
      <c r="BD1690" t="s">
        <v>1005</v>
      </c>
      <c r="BE1690" t="s">
        <v>445</v>
      </c>
    </row>
    <row r="1691" spans="1:57" ht="13" x14ac:dyDescent="0.15">
      <c r="A1691">
        <v>1839</v>
      </c>
      <c r="B1691">
        <v>185767454</v>
      </c>
      <c r="C1691" t="s">
        <v>1743</v>
      </c>
      <c r="D1691" s="7">
        <v>43908</v>
      </c>
      <c r="E1691" s="7">
        <v>45693</v>
      </c>
      <c r="F1691">
        <v>330862</v>
      </c>
      <c r="G1691" t="s">
        <v>983</v>
      </c>
      <c r="H1691" t="s">
        <v>9</v>
      </c>
      <c r="I1691" s="7">
        <v>45636</v>
      </c>
      <c r="J1691" s="8">
        <v>0.53189814814814818</v>
      </c>
      <c r="K1691" t="s">
        <v>984</v>
      </c>
      <c r="AQ1691" t="s">
        <v>992</v>
      </c>
      <c r="AR1691" t="s">
        <v>1096</v>
      </c>
      <c r="AT1691" t="s">
        <v>987</v>
      </c>
      <c r="AZ1691" t="s">
        <v>1011</v>
      </c>
      <c r="BA1691" t="s">
        <v>1031</v>
      </c>
      <c r="BB1691" t="s">
        <v>1032</v>
      </c>
      <c r="BD1691" t="s">
        <v>1005</v>
      </c>
      <c r="BE1691" t="s">
        <v>1743</v>
      </c>
    </row>
    <row r="1692" spans="1:57" ht="13" x14ac:dyDescent="0.15">
      <c r="A1692">
        <v>1839</v>
      </c>
      <c r="B1692">
        <v>185767454</v>
      </c>
      <c r="C1692" t="s">
        <v>1743</v>
      </c>
      <c r="D1692" s="7">
        <v>43908</v>
      </c>
      <c r="E1692" s="7">
        <v>45693</v>
      </c>
      <c r="F1692">
        <v>330862</v>
      </c>
      <c r="G1692" t="s">
        <v>983</v>
      </c>
      <c r="H1692" t="s">
        <v>9</v>
      </c>
      <c r="I1692" s="7">
        <v>45643</v>
      </c>
      <c r="J1692" s="8">
        <v>0.51049768518518523</v>
      </c>
      <c r="K1692" t="s">
        <v>984</v>
      </c>
      <c r="AQ1692" t="s">
        <v>992</v>
      </c>
      <c r="AR1692" t="s">
        <v>1085</v>
      </c>
      <c r="AT1692" t="s">
        <v>987</v>
      </c>
      <c r="AZ1692" t="s">
        <v>1011</v>
      </c>
      <c r="BA1692" t="s">
        <v>1031</v>
      </c>
      <c r="BB1692" t="s">
        <v>1032</v>
      </c>
      <c r="BD1692" t="s">
        <v>1005</v>
      </c>
      <c r="BE1692" t="s">
        <v>1743</v>
      </c>
    </row>
    <row r="1693" spans="1:57" ht="13" x14ac:dyDescent="0.15">
      <c r="A1693">
        <v>1839</v>
      </c>
      <c r="B1693">
        <v>185891764</v>
      </c>
      <c r="C1693" t="s">
        <v>446</v>
      </c>
      <c r="D1693" s="7">
        <v>43910</v>
      </c>
      <c r="E1693" s="7">
        <v>45701</v>
      </c>
      <c r="F1693">
        <v>330862</v>
      </c>
      <c r="G1693" t="s">
        <v>983</v>
      </c>
      <c r="H1693" t="s">
        <v>9</v>
      </c>
      <c r="I1693" s="7">
        <v>45698</v>
      </c>
      <c r="J1693" s="8">
        <v>0.26873842592592595</v>
      </c>
      <c r="K1693" t="s">
        <v>984</v>
      </c>
      <c r="AQ1693" t="s">
        <v>1744</v>
      </c>
      <c r="AR1693" t="s">
        <v>1745</v>
      </c>
      <c r="AT1693" t="s">
        <v>987</v>
      </c>
      <c r="BE1693" t="s">
        <v>446</v>
      </c>
    </row>
    <row r="1694" spans="1:57" ht="13" x14ac:dyDescent="0.15">
      <c r="A1694">
        <v>1839</v>
      </c>
      <c r="B1694">
        <v>185891764</v>
      </c>
      <c r="C1694" t="s">
        <v>446</v>
      </c>
      <c r="D1694" s="7">
        <v>43910</v>
      </c>
      <c r="E1694" s="7">
        <v>45701</v>
      </c>
      <c r="F1694">
        <v>330862</v>
      </c>
      <c r="G1694" t="s">
        <v>983</v>
      </c>
      <c r="H1694" t="s">
        <v>9</v>
      </c>
      <c r="I1694" s="7">
        <v>45698</v>
      </c>
      <c r="J1694" s="8">
        <v>0.26949074074074075</v>
      </c>
      <c r="K1694" t="s">
        <v>984</v>
      </c>
      <c r="AQ1694" t="s">
        <v>1744</v>
      </c>
      <c r="AR1694" t="s">
        <v>1745</v>
      </c>
      <c r="AT1694" t="s">
        <v>987</v>
      </c>
      <c r="AZ1694" t="s">
        <v>1011</v>
      </c>
      <c r="BA1694" t="s">
        <v>1012</v>
      </c>
      <c r="BB1694" t="s">
        <v>1013</v>
      </c>
      <c r="BD1694" t="s">
        <v>1014</v>
      </c>
      <c r="BE1694" t="s">
        <v>446</v>
      </c>
    </row>
    <row r="1695" spans="1:57" ht="13" x14ac:dyDescent="0.15">
      <c r="A1695">
        <v>1839</v>
      </c>
      <c r="B1695">
        <v>185891764</v>
      </c>
      <c r="C1695" t="s">
        <v>446</v>
      </c>
      <c r="D1695" s="7">
        <v>43910</v>
      </c>
      <c r="E1695" s="7">
        <v>45701</v>
      </c>
      <c r="F1695">
        <v>330862</v>
      </c>
      <c r="G1695" t="s">
        <v>983</v>
      </c>
      <c r="H1695" t="s">
        <v>9</v>
      </c>
      <c r="I1695" s="7">
        <v>45699</v>
      </c>
      <c r="J1695" s="8">
        <v>0.28096064814814814</v>
      </c>
      <c r="K1695" t="s">
        <v>984</v>
      </c>
      <c r="AQ1695" t="s">
        <v>1744</v>
      </c>
      <c r="AR1695" t="s">
        <v>1745</v>
      </c>
      <c r="AT1695" t="s">
        <v>987</v>
      </c>
      <c r="AZ1695" t="s">
        <v>1011</v>
      </c>
      <c r="BA1695" t="s">
        <v>1012</v>
      </c>
      <c r="BB1695" t="s">
        <v>1013</v>
      </c>
      <c r="BD1695" t="s">
        <v>1014</v>
      </c>
      <c r="BE1695" t="s">
        <v>446</v>
      </c>
    </row>
    <row r="1696" spans="1:57" ht="13" x14ac:dyDescent="0.15">
      <c r="A1696">
        <v>1839</v>
      </c>
      <c r="B1696">
        <v>185891764</v>
      </c>
      <c r="C1696" t="s">
        <v>446</v>
      </c>
      <c r="D1696" s="7">
        <v>43910</v>
      </c>
      <c r="E1696" s="7">
        <v>45701</v>
      </c>
      <c r="F1696">
        <v>330862</v>
      </c>
      <c r="G1696" t="s">
        <v>983</v>
      </c>
      <c r="H1696" t="s">
        <v>9</v>
      </c>
      <c r="I1696" s="7">
        <v>45670</v>
      </c>
      <c r="J1696" s="8">
        <v>0.21943287037037038</v>
      </c>
      <c r="K1696" t="s">
        <v>984</v>
      </c>
      <c r="AQ1696" t="s">
        <v>1744</v>
      </c>
      <c r="AR1696" t="s">
        <v>1746</v>
      </c>
      <c r="AT1696" t="s">
        <v>987</v>
      </c>
      <c r="AZ1696" t="s">
        <v>1002</v>
      </c>
      <c r="BA1696" t="s">
        <v>1003</v>
      </c>
      <c r="BB1696" t="s">
        <v>1004</v>
      </c>
      <c r="BD1696" t="s">
        <v>1005</v>
      </c>
      <c r="BE1696" t="s">
        <v>446</v>
      </c>
    </row>
    <row r="1697" spans="1:57" ht="13" x14ac:dyDescent="0.15">
      <c r="A1697">
        <v>1839</v>
      </c>
      <c r="B1697">
        <v>185891764</v>
      </c>
      <c r="C1697" t="s">
        <v>446</v>
      </c>
      <c r="D1697" s="7">
        <v>43910</v>
      </c>
      <c r="E1697" s="7">
        <v>45701</v>
      </c>
      <c r="F1697">
        <v>330862</v>
      </c>
      <c r="G1697" t="s">
        <v>983</v>
      </c>
      <c r="H1697" t="s">
        <v>9</v>
      </c>
      <c r="I1697" s="7">
        <v>45670</v>
      </c>
      <c r="J1697" s="8">
        <v>0.28649305555555554</v>
      </c>
      <c r="K1697" t="s">
        <v>984</v>
      </c>
      <c r="AQ1697" t="s">
        <v>1744</v>
      </c>
      <c r="AR1697" t="s">
        <v>1746</v>
      </c>
      <c r="AT1697" t="s">
        <v>987</v>
      </c>
      <c r="AZ1697" t="s">
        <v>1002</v>
      </c>
      <c r="BA1697" t="s">
        <v>1003</v>
      </c>
      <c r="BB1697" t="s">
        <v>1004</v>
      </c>
      <c r="BD1697" t="s">
        <v>1005</v>
      </c>
      <c r="BE1697" t="s">
        <v>446</v>
      </c>
    </row>
    <row r="1698" spans="1:57" ht="13" x14ac:dyDescent="0.15">
      <c r="A1698">
        <v>1839</v>
      </c>
      <c r="B1698">
        <v>186657703</v>
      </c>
      <c r="C1698" t="s">
        <v>447</v>
      </c>
      <c r="D1698" s="7">
        <v>43929</v>
      </c>
      <c r="E1698" s="7">
        <v>45713</v>
      </c>
      <c r="F1698">
        <v>330862</v>
      </c>
      <c r="G1698" t="s">
        <v>983</v>
      </c>
      <c r="H1698" t="s">
        <v>9</v>
      </c>
      <c r="I1698" s="7">
        <v>45703</v>
      </c>
      <c r="J1698" s="8">
        <v>0.85648148148148151</v>
      </c>
      <c r="K1698" t="s">
        <v>984</v>
      </c>
      <c r="AQ1698" t="s">
        <v>992</v>
      </c>
      <c r="AR1698" t="s">
        <v>1290</v>
      </c>
      <c r="AT1698" t="s">
        <v>987</v>
      </c>
      <c r="AZ1698" t="s">
        <v>1182</v>
      </c>
      <c r="BA1698" t="s">
        <v>1183</v>
      </c>
      <c r="BB1698" t="s">
        <v>990</v>
      </c>
      <c r="BD1698" t="s">
        <v>991</v>
      </c>
      <c r="BE1698" t="s">
        <v>447</v>
      </c>
    </row>
    <row r="1699" spans="1:57" ht="13" x14ac:dyDescent="0.15">
      <c r="A1699">
        <v>1839</v>
      </c>
      <c r="B1699">
        <v>186657703</v>
      </c>
      <c r="C1699" t="s">
        <v>447</v>
      </c>
      <c r="D1699" s="7">
        <v>43929</v>
      </c>
      <c r="E1699" s="7">
        <v>45713</v>
      </c>
      <c r="F1699">
        <v>330862</v>
      </c>
      <c r="G1699" t="s">
        <v>983</v>
      </c>
      <c r="H1699" t="s">
        <v>9</v>
      </c>
      <c r="I1699" s="7">
        <v>45636</v>
      </c>
      <c r="J1699" s="8">
        <v>0.47023148148148147</v>
      </c>
      <c r="K1699" t="s">
        <v>984</v>
      </c>
      <c r="AQ1699" t="s">
        <v>992</v>
      </c>
      <c r="AR1699" t="s">
        <v>1122</v>
      </c>
      <c r="AT1699" t="s">
        <v>987</v>
      </c>
      <c r="AZ1699" t="s">
        <v>1028</v>
      </c>
      <c r="BA1699" t="s">
        <v>1029</v>
      </c>
      <c r="BB1699" t="s">
        <v>1018</v>
      </c>
      <c r="BD1699" t="s">
        <v>1022</v>
      </c>
      <c r="BE1699" t="s">
        <v>447</v>
      </c>
    </row>
    <row r="1700" spans="1:57" ht="13" x14ac:dyDescent="0.15">
      <c r="A1700">
        <v>1839</v>
      </c>
      <c r="B1700">
        <v>186657703</v>
      </c>
      <c r="C1700" t="s">
        <v>447</v>
      </c>
      <c r="D1700" s="7">
        <v>43929</v>
      </c>
      <c r="E1700" s="7">
        <v>45713</v>
      </c>
      <c r="F1700">
        <v>330862</v>
      </c>
      <c r="G1700" t="s">
        <v>983</v>
      </c>
      <c r="H1700" t="s">
        <v>9</v>
      </c>
      <c r="I1700" s="7">
        <v>45653</v>
      </c>
      <c r="J1700" s="8">
        <v>0.58596064814814819</v>
      </c>
      <c r="K1700" t="s">
        <v>984</v>
      </c>
      <c r="AQ1700" t="s">
        <v>992</v>
      </c>
      <c r="AR1700" t="s">
        <v>1197</v>
      </c>
      <c r="AT1700" t="s">
        <v>987</v>
      </c>
      <c r="AZ1700" t="s">
        <v>1020</v>
      </c>
      <c r="BA1700" t="s">
        <v>1021</v>
      </c>
      <c r="BB1700" t="s">
        <v>1018</v>
      </c>
      <c r="BD1700" t="s">
        <v>1022</v>
      </c>
      <c r="BE1700" t="s">
        <v>447</v>
      </c>
    </row>
    <row r="1701" spans="1:57" ht="13" x14ac:dyDescent="0.15">
      <c r="A1701">
        <v>1839</v>
      </c>
      <c r="B1701">
        <v>186657703</v>
      </c>
      <c r="C1701" t="s">
        <v>447</v>
      </c>
      <c r="D1701" s="7">
        <v>43929</v>
      </c>
      <c r="E1701" s="7">
        <v>45713</v>
      </c>
      <c r="F1701">
        <v>330862</v>
      </c>
      <c r="G1701" t="s">
        <v>983</v>
      </c>
      <c r="H1701" t="s">
        <v>9</v>
      </c>
      <c r="I1701" s="7">
        <v>45700</v>
      </c>
      <c r="J1701" s="8">
        <v>0.82015046296296301</v>
      </c>
      <c r="K1701" t="s">
        <v>984</v>
      </c>
      <c r="AQ1701" t="s">
        <v>992</v>
      </c>
      <c r="AR1701" t="s">
        <v>1343</v>
      </c>
      <c r="AT1701" t="s">
        <v>987</v>
      </c>
      <c r="BE1701" t="s">
        <v>447</v>
      </c>
    </row>
    <row r="1702" spans="1:57" ht="13" x14ac:dyDescent="0.15">
      <c r="A1702">
        <v>1839</v>
      </c>
      <c r="B1702">
        <v>186657703</v>
      </c>
      <c r="C1702" t="s">
        <v>447</v>
      </c>
      <c r="D1702" s="7">
        <v>43929</v>
      </c>
      <c r="E1702" s="7">
        <v>45713</v>
      </c>
      <c r="F1702">
        <v>330862</v>
      </c>
      <c r="G1702" t="s">
        <v>983</v>
      </c>
      <c r="H1702" t="s">
        <v>9</v>
      </c>
      <c r="I1702" s="7">
        <v>45692</v>
      </c>
      <c r="J1702" s="8">
        <v>0.9985532407407407</v>
      </c>
      <c r="K1702" t="s">
        <v>984</v>
      </c>
      <c r="AQ1702" t="s">
        <v>992</v>
      </c>
      <c r="AR1702" t="s">
        <v>1747</v>
      </c>
      <c r="AT1702" t="s">
        <v>987</v>
      </c>
      <c r="AZ1702" t="s">
        <v>1007</v>
      </c>
      <c r="BA1702" t="s">
        <v>1008</v>
      </c>
      <c r="BB1702" t="s">
        <v>990</v>
      </c>
      <c r="BD1702" t="s">
        <v>1005</v>
      </c>
      <c r="BE1702" t="s">
        <v>447</v>
      </c>
    </row>
    <row r="1703" spans="1:57" ht="13" x14ac:dyDescent="0.15">
      <c r="A1703">
        <v>1839</v>
      </c>
      <c r="B1703">
        <v>186657703</v>
      </c>
      <c r="C1703" t="s">
        <v>447</v>
      </c>
      <c r="D1703" s="7">
        <v>43929</v>
      </c>
      <c r="E1703" s="7">
        <v>45713</v>
      </c>
      <c r="F1703">
        <v>330862</v>
      </c>
      <c r="G1703" t="s">
        <v>983</v>
      </c>
      <c r="H1703" t="s">
        <v>9</v>
      </c>
      <c r="I1703" s="7">
        <v>45692</v>
      </c>
      <c r="J1703" s="8">
        <v>0.80131944444444447</v>
      </c>
      <c r="K1703" t="s">
        <v>984</v>
      </c>
      <c r="AQ1703" t="s">
        <v>992</v>
      </c>
      <c r="AR1703" t="s">
        <v>1747</v>
      </c>
      <c r="AT1703" t="s">
        <v>987</v>
      </c>
      <c r="AZ1703" t="s">
        <v>1007</v>
      </c>
      <c r="BA1703" t="s">
        <v>1008</v>
      </c>
      <c r="BB1703" t="s">
        <v>990</v>
      </c>
      <c r="BD1703" t="s">
        <v>1005</v>
      </c>
      <c r="BE1703" t="s">
        <v>447</v>
      </c>
    </row>
    <row r="1704" spans="1:57" ht="13" x14ac:dyDescent="0.15">
      <c r="A1704">
        <v>1839</v>
      </c>
      <c r="B1704">
        <v>186875078</v>
      </c>
      <c r="C1704" t="s">
        <v>448</v>
      </c>
      <c r="D1704" s="7">
        <v>43931</v>
      </c>
      <c r="E1704" s="7">
        <v>45710</v>
      </c>
      <c r="F1704">
        <v>330862</v>
      </c>
      <c r="G1704" t="s">
        <v>983</v>
      </c>
      <c r="H1704" t="s">
        <v>9</v>
      </c>
      <c r="I1704" s="7">
        <v>45668</v>
      </c>
      <c r="J1704" s="8">
        <v>0.39431712962962961</v>
      </c>
      <c r="K1704" t="s">
        <v>984</v>
      </c>
      <c r="AQ1704" t="s">
        <v>992</v>
      </c>
      <c r="AR1704" t="s">
        <v>1300</v>
      </c>
      <c r="AT1704" t="s">
        <v>987</v>
      </c>
      <c r="AZ1704" t="s">
        <v>1011</v>
      </c>
      <c r="BA1704" t="s">
        <v>1202</v>
      </c>
      <c r="BB1704" t="s">
        <v>1203</v>
      </c>
      <c r="BD1704" t="s">
        <v>991</v>
      </c>
      <c r="BE1704" t="s">
        <v>448</v>
      </c>
    </row>
    <row r="1705" spans="1:57" ht="13" x14ac:dyDescent="0.15">
      <c r="A1705">
        <v>1839</v>
      </c>
      <c r="B1705">
        <v>186875078</v>
      </c>
      <c r="C1705" t="s">
        <v>448</v>
      </c>
      <c r="D1705" s="7">
        <v>43931</v>
      </c>
      <c r="E1705" s="7">
        <v>45710</v>
      </c>
      <c r="F1705">
        <v>330862</v>
      </c>
      <c r="G1705" t="s">
        <v>983</v>
      </c>
      <c r="H1705" t="s">
        <v>9</v>
      </c>
      <c r="I1705" s="7">
        <v>45668</v>
      </c>
      <c r="J1705" s="8">
        <v>0.48443287037037036</v>
      </c>
      <c r="K1705" t="s">
        <v>984</v>
      </c>
      <c r="AQ1705" t="s">
        <v>992</v>
      </c>
      <c r="AR1705" t="s">
        <v>1748</v>
      </c>
      <c r="AT1705" t="s">
        <v>987</v>
      </c>
      <c r="AZ1705" t="s">
        <v>988</v>
      </c>
      <c r="BA1705" t="s">
        <v>1058</v>
      </c>
      <c r="BB1705" t="s">
        <v>1018</v>
      </c>
      <c r="BD1705" t="s">
        <v>1005</v>
      </c>
      <c r="BE1705" t="s">
        <v>448</v>
      </c>
    </row>
    <row r="1706" spans="1:57" ht="13" x14ac:dyDescent="0.15">
      <c r="A1706">
        <v>1839</v>
      </c>
      <c r="B1706">
        <v>186875078</v>
      </c>
      <c r="C1706" t="s">
        <v>448</v>
      </c>
      <c r="D1706" s="7">
        <v>43931</v>
      </c>
      <c r="E1706" s="7">
        <v>45710</v>
      </c>
      <c r="F1706">
        <v>330862</v>
      </c>
      <c r="G1706" t="s">
        <v>983</v>
      </c>
      <c r="H1706" t="s">
        <v>9</v>
      </c>
      <c r="I1706" s="7">
        <v>45669</v>
      </c>
      <c r="J1706" s="8">
        <v>0.43459490740740742</v>
      </c>
      <c r="K1706" t="s">
        <v>984</v>
      </c>
      <c r="AQ1706" t="s">
        <v>992</v>
      </c>
      <c r="AR1706" t="s">
        <v>1749</v>
      </c>
      <c r="AT1706" t="s">
        <v>987</v>
      </c>
      <c r="AZ1706" t="s">
        <v>1020</v>
      </c>
      <c r="BA1706" t="s">
        <v>1230</v>
      </c>
      <c r="BB1706" t="s">
        <v>1018</v>
      </c>
      <c r="BD1706" t="s">
        <v>1005</v>
      </c>
      <c r="BE1706" t="s">
        <v>448</v>
      </c>
    </row>
    <row r="1707" spans="1:57" ht="13" x14ac:dyDescent="0.15">
      <c r="A1707">
        <v>1839</v>
      </c>
      <c r="B1707">
        <v>186875078</v>
      </c>
      <c r="C1707" t="s">
        <v>448</v>
      </c>
      <c r="D1707" s="7">
        <v>43931</v>
      </c>
      <c r="E1707" s="7">
        <v>45710</v>
      </c>
      <c r="F1707">
        <v>330862</v>
      </c>
      <c r="G1707" t="s">
        <v>983</v>
      </c>
      <c r="H1707" t="s">
        <v>9</v>
      </c>
      <c r="I1707" s="7">
        <v>45682</v>
      </c>
      <c r="J1707" s="8">
        <v>0.41328703703703706</v>
      </c>
      <c r="K1707" t="s">
        <v>984</v>
      </c>
      <c r="AQ1707" t="s">
        <v>992</v>
      </c>
      <c r="AR1707" t="s">
        <v>1520</v>
      </c>
      <c r="AT1707" t="s">
        <v>987</v>
      </c>
      <c r="AZ1707" t="s">
        <v>1028</v>
      </c>
      <c r="BA1707" t="s">
        <v>1068</v>
      </c>
      <c r="BB1707" t="s">
        <v>1069</v>
      </c>
      <c r="BD1707" t="s">
        <v>1005</v>
      </c>
      <c r="BE1707" t="s">
        <v>448</v>
      </c>
    </row>
    <row r="1708" spans="1:57" ht="13" x14ac:dyDescent="0.15">
      <c r="A1708">
        <v>1839</v>
      </c>
      <c r="B1708">
        <v>186875078</v>
      </c>
      <c r="C1708" t="s">
        <v>448</v>
      </c>
      <c r="D1708" s="7">
        <v>43931</v>
      </c>
      <c r="E1708" s="7">
        <v>45710</v>
      </c>
      <c r="F1708">
        <v>330862</v>
      </c>
      <c r="G1708" t="s">
        <v>983</v>
      </c>
      <c r="H1708" t="s">
        <v>9</v>
      </c>
      <c r="I1708" s="7">
        <v>45683</v>
      </c>
      <c r="J1708" s="8">
        <v>0.82105324074074071</v>
      </c>
      <c r="K1708" t="s">
        <v>984</v>
      </c>
      <c r="AQ1708" t="s">
        <v>992</v>
      </c>
      <c r="AR1708" t="s">
        <v>1243</v>
      </c>
      <c r="AT1708" t="s">
        <v>987</v>
      </c>
      <c r="AZ1708" t="s">
        <v>1002</v>
      </c>
      <c r="BA1708" t="s">
        <v>1124</v>
      </c>
      <c r="BB1708" t="s">
        <v>1125</v>
      </c>
      <c r="BD1708" t="s">
        <v>1005</v>
      </c>
      <c r="BE1708" t="s">
        <v>448</v>
      </c>
    </row>
    <row r="1709" spans="1:57" ht="13" x14ac:dyDescent="0.15">
      <c r="A1709">
        <v>1839</v>
      </c>
      <c r="B1709">
        <v>186875078</v>
      </c>
      <c r="C1709" t="s">
        <v>448</v>
      </c>
      <c r="D1709" s="7">
        <v>43931</v>
      </c>
      <c r="E1709" s="7">
        <v>45710</v>
      </c>
      <c r="F1709">
        <v>330862</v>
      </c>
      <c r="G1709" t="s">
        <v>983</v>
      </c>
      <c r="H1709" t="s">
        <v>9</v>
      </c>
      <c r="I1709" s="7">
        <v>45677</v>
      </c>
      <c r="J1709" s="8">
        <v>0.37872685185185184</v>
      </c>
      <c r="K1709" t="s">
        <v>984</v>
      </c>
      <c r="AQ1709" t="s">
        <v>992</v>
      </c>
      <c r="AR1709" t="s">
        <v>1361</v>
      </c>
      <c r="AT1709" t="s">
        <v>987</v>
      </c>
      <c r="AZ1709" t="s">
        <v>1044</v>
      </c>
      <c r="BA1709" t="s">
        <v>1045</v>
      </c>
      <c r="BB1709" t="s">
        <v>990</v>
      </c>
      <c r="BD1709" t="s">
        <v>991</v>
      </c>
      <c r="BE1709" t="s">
        <v>448</v>
      </c>
    </row>
    <row r="1710" spans="1:57" ht="13" x14ac:dyDescent="0.15">
      <c r="A1710">
        <v>1839</v>
      </c>
      <c r="B1710">
        <v>186875078</v>
      </c>
      <c r="C1710" t="s">
        <v>448</v>
      </c>
      <c r="D1710" s="7">
        <v>43931</v>
      </c>
      <c r="E1710" s="7">
        <v>45710</v>
      </c>
      <c r="F1710">
        <v>330862</v>
      </c>
      <c r="G1710" t="s">
        <v>983</v>
      </c>
      <c r="H1710" t="s">
        <v>9</v>
      </c>
      <c r="I1710" s="7">
        <v>45689</v>
      </c>
      <c r="J1710" s="8">
        <v>0.42487268518518517</v>
      </c>
      <c r="K1710" t="s">
        <v>984</v>
      </c>
      <c r="AQ1710" t="s">
        <v>992</v>
      </c>
      <c r="AR1710" t="s">
        <v>1066</v>
      </c>
      <c r="AT1710" t="s">
        <v>987</v>
      </c>
      <c r="AZ1710" t="s">
        <v>988</v>
      </c>
      <c r="BA1710" t="s">
        <v>989</v>
      </c>
      <c r="BB1710" t="s">
        <v>990</v>
      </c>
      <c r="BD1710" t="s">
        <v>991</v>
      </c>
      <c r="BE1710" t="s">
        <v>448</v>
      </c>
    </row>
    <row r="1711" spans="1:57" ht="13" x14ac:dyDescent="0.15">
      <c r="A1711">
        <v>1839</v>
      </c>
      <c r="B1711">
        <v>186875078</v>
      </c>
      <c r="C1711" t="s">
        <v>448</v>
      </c>
      <c r="D1711" s="7">
        <v>43931</v>
      </c>
      <c r="E1711" s="7">
        <v>45710</v>
      </c>
      <c r="F1711">
        <v>330862</v>
      </c>
      <c r="G1711" t="s">
        <v>983</v>
      </c>
      <c r="H1711" t="s">
        <v>9</v>
      </c>
      <c r="I1711" s="7">
        <v>45703</v>
      </c>
      <c r="J1711" s="8">
        <v>0.43096064814814816</v>
      </c>
      <c r="K1711" t="s">
        <v>984</v>
      </c>
      <c r="AQ1711" t="s">
        <v>992</v>
      </c>
      <c r="AR1711" t="s">
        <v>1697</v>
      </c>
      <c r="AT1711" t="s">
        <v>987</v>
      </c>
      <c r="AZ1711" t="s">
        <v>1182</v>
      </c>
      <c r="BA1711" t="s">
        <v>1183</v>
      </c>
      <c r="BB1711" t="s">
        <v>990</v>
      </c>
      <c r="BD1711" t="s">
        <v>991</v>
      </c>
      <c r="BE1711" t="s">
        <v>448</v>
      </c>
    </row>
    <row r="1712" spans="1:57" ht="13" x14ac:dyDescent="0.15">
      <c r="A1712">
        <v>1839</v>
      </c>
      <c r="B1712">
        <v>186875078</v>
      </c>
      <c r="C1712" t="s">
        <v>448</v>
      </c>
      <c r="D1712" s="7">
        <v>43931</v>
      </c>
      <c r="E1712" s="7">
        <v>45710</v>
      </c>
      <c r="F1712">
        <v>330862</v>
      </c>
      <c r="G1712" t="s">
        <v>983</v>
      </c>
      <c r="H1712" t="s">
        <v>9</v>
      </c>
      <c r="I1712" s="7">
        <v>45703</v>
      </c>
      <c r="J1712" s="8">
        <v>0.46807870370370369</v>
      </c>
      <c r="K1712" t="s">
        <v>984</v>
      </c>
      <c r="AQ1712" t="s">
        <v>992</v>
      </c>
      <c r="AR1712" t="s">
        <v>1272</v>
      </c>
      <c r="AT1712" t="s">
        <v>987</v>
      </c>
      <c r="AZ1712" t="s">
        <v>1002</v>
      </c>
      <c r="BA1712" t="s">
        <v>1040</v>
      </c>
      <c r="BB1712" t="s">
        <v>1041</v>
      </c>
      <c r="BD1712" t="s">
        <v>991</v>
      </c>
      <c r="BE1712" t="s">
        <v>448</v>
      </c>
    </row>
    <row r="1713" spans="1:57" ht="13" x14ac:dyDescent="0.15">
      <c r="A1713">
        <v>1839</v>
      </c>
      <c r="B1713">
        <v>186875078</v>
      </c>
      <c r="C1713" t="s">
        <v>448</v>
      </c>
      <c r="D1713" s="7">
        <v>43931</v>
      </c>
      <c r="E1713" s="7">
        <v>45710</v>
      </c>
      <c r="F1713">
        <v>330862</v>
      </c>
      <c r="G1713" t="s">
        <v>983</v>
      </c>
      <c r="H1713" t="s">
        <v>9</v>
      </c>
      <c r="I1713" s="7">
        <v>45697</v>
      </c>
      <c r="J1713" s="8">
        <v>0.66511574074074076</v>
      </c>
      <c r="K1713" t="s">
        <v>984</v>
      </c>
      <c r="AQ1713" t="s">
        <v>992</v>
      </c>
      <c r="AR1713" t="s">
        <v>994</v>
      </c>
      <c r="AT1713" t="s">
        <v>987</v>
      </c>
      <c r="AZ1713" t="s">
        <v>1011</v>
      </c>
      <c r="BA1713" t="s">
        <v>1012</v>
      </c>
      <c r="BB1713" t="s">
        <v>1013</v>
      </c>
      <c r="BD1713" t="s">
        <v>1014</v>
      </c>
      <c r="BE1713" t="s">
        <v>448</v>
      </c>
    </row>
    <row r="1714" spans="1:57" ht="13" x14ac:dyDescent="0.15">
      <c r="A1714">
        <v>1839</v>
      </c>
      <c r="B1714">
        <v>186875078</v>
      </c>
      <c r="C1714" t="s">
        <v>448</v>
      </c>
      <c r="D1714" s="7">
        <v>43931</v>
      </c>
      <c r="E1714" s="7">
        <v>45710</v>
      </c>
      <c r="F1714">
        <v>330862</v>
      </c>
      <c r="G1714" t="s">
        <v>983</v>
      </c>
      <c r="H1714" t="s">
        <v>9</v>
      </c>
      <c r="I1714" s="7">
        <v>45697</v>
      </c>
      <c r="J1714" s="8">
        <v>0.66981481481481486</v>
      </c>
      <c r="K1714" t="s">
        <v>984</v>
      </c>
      <c r="AQ1714" t="s">
        <v>992</v>
      </c>
      <c r="AR1714" t="s">
        <v>994</v>
      </c>
      <c r="AT1714" t="s">
        <v>987</v>
      </c>
      <c r="AZ1714" t="s">
        <v>1011</v>
      </c>
      <c r="BA1714" t="s">
        <v>1012</v>
      </c>
      <c r="BB1714" t="s">
        <v>1013</v>
      </c>
      <c r="BD1714" t="s">
        <v>1014</v>
      </c>
      <c r="BE1714" t="s">
        <v>448</v>
      </c>
    </row>
    <row r="1715" spans="1:57" ht="13" x14ac:dyDescent="0.15">
      <c r="A1715">
        <v>1839</v>
      </c>
      <c r="B1715">
        <v>186875078</v>
      </c>
      <c r="C1715" t="s">
        <v>448</v>
      </c>
      <c r="D1715" s="7">
        <v>43931</v>
      </c>
      <c r="E1715" s="7">
        <v>45710</v>
      </c>
      <c r="F1715">
        <v>330862</v>
      </c>
      <c r="G1715" t="s">
        <v>983</v>
      </c>
      <c r="H1715" t="s">
        <v>9</v>
      </c>
      <c r="I1715" s="7">
        <v>45696</v>
      </c>
      <c r="J1715" s="8">
        <v>0.39173611111111112</v>
      </c>
      <c r="K1715" t="s">
        <v>984</v>
      </c>
      <c r="AQ1715" t="s">
        <v>992</v>
      </c>
      <c r="AR1715" t="s">
        <v>1750</v>
      </c>
      <c r="AT1715" t="s">
        <v>987</v>
      </c>
      <c r="AZ1715" t="s">
        <v>1002</v>
      </c>
      <c r="BA1715" t="s">
        <v>1065</v>
      </c>
      <c r="BB1715" t="s">
        <v>1004</v>
      </c>
      <c r="BD1715" t="s">
        <v>991</v>
      </c>
      <c r="BE1715" t="s">
        <v>448</v>
      </c>
    </row>
    <row r="1716" spans="1:57" ht="13" x14ac:dyDescent="0.15">
      <c r="A1716">
        <v>1839</v>
      </c>
      <c r="B1716">
        <v>186875078</v>
      </c>
      <c r="C1716" t="s">
        <v>448</v>
      </c>
      <c r="D1716" s="7">
        <v>43931</v>
      </c>
      <c r="E1716" s="7">
        <v>45710</v>
      </c>
      <c r="F1716">
        <v>330862</v>
      </c>
      <c r="G1716" t="s">
        <v>983</v>
      </c>
      <c r="H1716" t="s">
        <v>9</v>
      </c>
      <c r="I1716" s="7">
        <v>45696</v>
      </c>
      <c r="J1716" s="8">
        <v>0.60828703703703701</v>
      </c>
      <c r="K1716" t="s">
        <v>984</v>
      </c>
      <c r="AQ1716" t="s">
        <v>992</v>
      </c>
      <c r="AR1716" t="s">
        <v>1061</v>
      </c>
      <c r="AT1716" t="s">
        <v>987</v>
      </c>
      <c r="AZ1716" t="s">
        <v>1062</v>
      </c>
      <c r="BA1716" t="s">
        <v>1063</v>
      </c>
      <c r="BB1716" t="s">
        <v>1048</v>
      </c>
      <c r="BD1716" t="s">
        <v>991</v>
      </c>
      <c r="BE1716" t="s">
        <v>448</v>
      </c>
    </row>
    <row r="1717" spans="1:57" ht="13" x14ac:dyDescent="0.15">
      <c r="A1717">
        <v>1839</v>
      </c>
      <c r="B1717">
        <v>186875078</v>
      </c>
      <c r="C1717" t="s">
        <v>448</v>
      </c>
      <c r="D1717" s="7">
        <v>43931</v>
      </c>
      <c r="E1717" s="7">
        <v>45710</v>
      </c>
      <c r="F1717">
        <v>330862</v>
      </c>
      <c r="G1717" t="s">
        <v>983</v>
      </c>
      <c r="H1717" t="s">
        <v>9</v>
      </c>
      <c r="I1717" s="7">
        <v>45710</v>
      </c>
      <c r="J1717" s="8">
        <v>0.43312499999999998</v>
      </c>
      <c r="K1717" t="s">
        <v>984</v>
      </c>
      <c r="AQ1717" t="s">
        <v>992</v>
      </c>
      <c r="AR1717" t="s">
        <v>1228</v>
      </c>
      <c r="AT1717" t="s">
        <v>987</v>
      </c>
      <c r="AZ1717" t="s">
        <v>1220</v>
      </c>
      <c r="BA1717" t="s">
        <v>1221</v>
      </c>
      <c r="BB1717" t="s">
        <v>1082</v>
      </c>
      <c r="BD1717" t="s">
        <v>991</v>
      </c>
      <c r="BE1717" t="s">
        <v>448</v>
      </c>
    </row>
    <row r="1718" spans="1:57" ht="13" x14ac:dyDescent="0.15">
      <c r="A1718">
        <v>1839</v>
      </c>
      <c r="B1718">
        <v>186875078</v>
      </c>
      <c r="C1718" t="s">
        <v>448</v>
      </c>
      <c r="D1718" s="7">
        <v>43931</v>
      </c>
      <c r="E1718" s="7">
        <v>45710</v>
      </c>
      <c r="F1718">
        <v>330862</v>
      </c>
      <c r="G1718" t="s">
        <v>983</v>
      </c>
      <c r="H1718" t="s">
        <v>9</v>
      </c>
      <c r="I1718" s="7">
        <v>45710</v>
      </c>
      <c r="J1718" s="8">
        <v>0.60167824074074072</v>
      </c>
      <c r="K1718" t="s">
        <v>984</v>
      </c>
      <c r="AQ1718" t="s">
        <v>992</v>
      </c>
      <c r="AR1718" t="s">
        <v>1194</v>
      </c>
      <c r="AT1718" t="s">
        <v>987</v>
      </c>
      <c r="AZ1718" t="s">
        <v>1080</v>
      </c>
      <c r="BA1718" t="s">
        <v>1081</v>
      </c>
      <c r="BB1718" t="s">
        <v>1082</v>
      </c>
      <c r="BD1718" t="s">
        <v>991</v>
      </c>
      <c r="BE1718" t="s">
        <v>448</v>
      </c>
    </row>
    <row r="1719" spans="1:57" ht="13" x14ac:dyDescent="0.15">
      <c r="A1719">
        <v>1839</v>
      </c>
      <c r="B1719">
        <v>186875078</v>
      </c>
      <c r="C1719" t="s">
        <v>448</v>
      </c>
      <c r="D1719" s="7">
        <v>43931</v>
      </c>
      <c r="E1719" s="7">
        <v>45710</v>
      </c>
      <c r="F1719">
        <v>330862</v>
      </c>
      <c r="G1719" t="s">
        <v>983</v>
      </c>
      <c r="H1719" t="s">
        <v>9</v>
      </c>
      <c r="I1719" s="7">
        <v>45662</v>
      </c>
      <c r="J1719" s="8">
        <v>0.62271990740740746</v>
      </c>
      <c r="K1719" t="s">
        <v>984</v>
      </c>
      <c r="AQ1719" t="s">
        <v>992</v>
      </c>
      <c r="AR1719" t="s">
        <v>1510</v>
      </c>
      <c r="AT1719" t="s">
        <v>987</v>
      </c>
      <c r="AZ1719" t="s">
        <v>1071</v>
      </c>
      <c r="BA1719" t="s">
        <v>1072</v>
      </c>
      <c r="BB1719" t="s">
        <v>1048</v>
      </c>
      <c r="BD1719" t="s">
        <v>1005</v>
      </c>
      <c r="BE1719" t="s">
        <v>448</v>
      </c>
    </row>
    <row r="1720" spans="1:57" ht="13" x14ac:dyDescent="0.15">
      <c r="A1720">
        <v>1839</v>
      </c>
      <c r="B1720">
        <v>186875078</v>
      </c>
      <c r="C1720" t="s">
        <v>448</v>
      </c>
      <c r="D1720" s="7">
        <v>43931</v>
      </c>
      <c r="E1720" s="7">
        <v>45710</v>
      </c>
      <c r="F1720">
        <v>330862</v>
      </c>
      <c r="G1720" t="s">
        <v>983</v>
      </c>
      <c r="H1720" t="s">
        <v>9</v>
      </c>
      <c r="I1720" s="7">
        <v>45661</v>
      </c>
      <c r="J1720" s="8">
        <v>0.40100694444444446</v>
      </c>
      <c r="K1720" t="s">
        <v>984</v>
      </c>
      <c r="AQ1720" t="s">
        <v>992</v>
      </c>
      <c r="AR1720" t="s">
        <v>1512</v>
      </c>
      <c r="AT1720" t="s">
        <v>987</v>
      </c>
      <c r="AZ1720" t="s">
        <v>1007</v>
      </c>
      <c r="BA1720" t="s">
        <v>1008</v>
      </c>
      <c r="BB1720" t="s">
        <v>990</v>
      </c>
      <c r="BD1720" t="s">
        <v>1005</v>
      </c>
      <c r="BE1720" t="s">
        <v>448</v>
      </c>
    </row>
    <row r="1721" spans="1:57" ht="13" x14ac:dyDescent="0.15">
      <c r="A1721">
        <v>1839</v>
      </c>
      <c r="B1721">
        <v>186875078</v>
      </c>
      <c r="C1721" t="s">
        <v>448</v>
      </c>
      <c r="D1721" s="7">
        <v>43931</v>
      </c>
      <c r="E1721" s="7">
        <v>45710</v>
      </c>
      <c r="F1721">
        <v>330862</v>
      </c>
      <c r="G1721" t="s">
        <v>983</v>
      </c>
      <c r="H1721" t="s">
        <v>9</v>
      </c>
      <c r="I1721" s="7">
        <v>45676</v>
      </c>
      <c r="J1721" s="8">
        <v>0.60909722222222218</v>
      </c>
      <c r="K1721" t="s">
        <v>984</v>
      </c>
      <c r="AQ1721" t="s">
        <v>992</v>
      </c>
      <c r="AR1721" t="s">
        <v>1204</v>
      </c>
      <c r="AT1721" t="s">
        <v>987</v>
      </c>
      <c r="AZ1721" t="s">
        <v>1024</v>
      </c>
      <c r="BA1721" t="s">
        <v>1047</v>
      </c>
      <c r="BB1721" t="s">
        <v>1048</v>
      </c>
      <c r="BD1721" t="s">
        <v>1014</v>
      </c>
      <c r="BE1721" t="s">
        <v>448</v>
      </c>
    </row>
    <row r="1722" spans="1:57" ht="13" x14ac:dyDescent="0.15">
      <c r="A1722">
        <v>1839</v>
      </c>
      <c r="B1722">
        <v>186875078</v>
      </c>
      <c r="C1722" t="s">
        <v>448</v>
      </c>
      <c r="D1722" s="7">
        <v>43931</v>
      </c>
      <c r="E1722" s="7">
        <v>45710</v>
      </c>
      <c r="F1722">
        <v>330862</v>
      </c>
      <c r="G1722" t="s">
        <v>983</v>
      </c>
      <c r="H1722" t="s">
        <v>9</v>
      </c>
      <c r="I1722" s="7">
        <v>45655</v>
      </c>
      <c r="J1722" s="8">
        <v>0.64473379629629635</v>
      </c>
      <c r="K1722" t="s">
        <v>984</v>
      </c>
      <c r="AQ1722" t="s">
        <v>992</v>
      </c>
      <c r="AR1722" t="s">
        <v>1695</v>
      </c>
      <c r="AT1722" t="s">
        <v>987</v>
      </c>
      <c r="AZ1722" t="s">
        <v>1002</v>
      </c>
      <c r="BA1722" t="s">
        <v>1003</v>
      </c>
      <c r="BB1722" t="s">
        <v>1004</v>
      </c>
      <c r="BD1722" t="s">
        <v>1005</v>
      </c>
      <c r="BE1722" t="s">
        <v>448</v>
      </c>
    </row>
    <row r="1723" spans="1:57" ht="13" x14ac:dyDescent="0.15">
      <c r="A1723">
        <v>1839</v>
      </c>
      <c r="B1723">
        <v>186875078</v>
      </c>
      <c r="C1723" t="s">
        <v>448</v>
      </c>
      <c r="D1723" s="7">
        <v>43931</v>
      </c>
      <c r="E1723" s="7">
        <v>45710</v>
      </c>
      <c r="F1723">
        <v>330862</v>
      </c>
      <c r="G1723" t="s">
        <v>983</v>
      </c>
      <c r="H1723" t="s">
        <v>9</v>
      </c>
      <c r="I1723" s="7">
        <v>45647</v>
      </c>
      <c r="J1723" s="8">
        <v>0.6165856481481482</v>
      </c>
      <c r="K1723" t="s">
        <v>984</v>
      </c>
      <c r="AQ1723" t="s">
        <v>992</v>
      </c>
      <c r="AR1723" t="s">
        <v>1190</v>
      </c>
      <c r="AT1723" t="s">
        <v>987</v>
      </c>
      <c r="AZ1723" t="s">
        <v>1139</v>
      </c>
      <c r="BA1723" t="s">
        <v>1140</v>
      </c>
      <c r="BB1723" t="s">
        <v>1032</v>
      </c>
      <c r="BD1723" t="s">
        <v>1005</v>
      </c>
      <c r="BE1723" t="s">
        <v>448</v>
      </c>
    </row>
    <row r="1724" spans="1:57" ht="13" x14ac:dyDescent="0.15">
      <c r="A1724">
        <v>1839</v>
      </c>
      <c r="B1724">
        <v>186875078</v>
      </c>
      <c r="C1724" t="s">
        <v>448</v>
      </c>
      <c r="D1724" s="7">
        <v>43931</v>
      </c>
      <c r="E1724" s="7">
        <v>45710</v>
      </c>
      <c r="F1724">
        <v>330862</v>
      </c>
      <c r="G1724" t="s">
        <v>983</v>
      </c>
      <c r="H1724" t="s">
        <v>9</v>
      </c>
      <c r="I1724" s="7">
        <v>45619</v>
      </c>
      <c r="J1724" s="8">
        <v>0.62157407407407406</v>
      </c>
      <c r="K1724" t="s">
        <v>984</v>
      </c>
      <c r="AQ1724" t="s">
        <v>992</v>
      </c>
      <c r="AR1724" t="s">
        <v>1186</v>
      </c>
      <c r="AT1724" t="s">
        <v>987</v>
      </c>
      <c r="AZ1724" t="s">
        <v>1028</v>
      </c>
      <c r="BA1724" t="s">
        <v>1029</v>
      </c>
      <c r="BB1724" t="s">
        <v>1018</v>
      </c>
      <c r="BD1724" t="s">
        <v>1022</v>
      </c>
      <c r="BE1724" t="s">
        <v>448</v>
      </c>
    </row>
    <row r="1725" spans="1:57" ht="13" x14ac:dyDescent="0.15">
      <c r="A1725">
        <v>1839</v>
      </c>
      <c r="B1725">
        <v>186875078</v>
      </c>
      <c r="C1725" t="s">
        <v>448</v>
      </c>
      <c r="D1725" s="7">
        <v>43931</v>
      </c>
      <c r="E1725" s="7">
        <v>45710</v>
      </c>
      <c r="F1725">
        <v>330862</v>
      </c>
      <c r="G1725" t="s">
        <v>983</v>
      </c>
      <c r="H1725" t="s">
        <v>9</v>
      </c>
      <c r="I1725" s="7">
        <v>45627</v>
      </c>
      <c r="J1725" s="8">
        <v>0.61701388888888886</v>
      </c>
      <c r="K1725" t="s">
        <v>984</v>
      </c>
      <c r="AQ1725" t="s">
        <v>992</v>
      </c>
      <c r="AR1725" t="s">
        <v>1692</v>
      </c>
      <c r="AT1725" t="s">
        <v>987</v>
      </c>
      <c r="AZ1725" t="s">
        <v>1182</v>
      </c>
      <c r="BA1725" t="s">
        <v>1185</v>
      </c>
      <c r="BB1725" t="s">
        <v>1026</v>
      </c>
      <c r="BD1725" t="s">
        <v>1022</v>
      </c>
      <c r="BE1725" t="s">
        <v>448</v>
      </c>
    </row>
    <row r="1726" spans="1:57" ht="13" x14ac:dyDescent="0.15">
      <c r="A1726">
        <v>1839</v>
      </c>
      <c r="B1726">
        <v>188333836</v>
      </c>
      <c r="C1726" t="s">
        <v>449</v>
      </c>
      <c r="D1726" s="7">
        <v>43963</v>
      </c>
      <c r="E1726" s="7">
        <v>45709</v>
      </c>
      <c r="F1726">
        <v>330862</v>
      </c>
      <c r="G1726" t="s">
        <v>983</v>
      </c>
      <c r="H1726" t="s">
        <v>9</v>
      </c>
      <c r="I1726" s="7">
        <v>45638</v>
      </c>
      <c r="J1726" s="8">
        <v>0.66016203703703702</v>
      </c>
      <c r="K1726" t="s">
        <v>984</v>
      </c>
      <c r="AQ1726" t="s">
        <v>1110</v>
      </c>
      <c r="AR1726" t="s">
        <v>1086</v>
      </c>
      <c r="AT1726" t="s">
        <v>987</v>
      </c>
      <c r="AZ1726" t="s">
        <v>1028</v>
      </c>
      <c r="BA1726" t="s">
        <v>1029</v>
      </c>
      <c r="BB1726" t="s">
        <v>1018</v>
      </c>
      <c r="BD1726" t="s">
        <v>1022</v>
      </c>
      <c r="BE1726" t="s">
        <v>449</v>
      </c>
    </row>
    <row r="1727" spans="1:57" ht="13" x14ac:dyDescent="0.15">
      <c r="A1727">
        <v>1839</v>
      </c>
      <c r="B1727">
        <v>188333836</v>
      </c>
      <c r="C1727" t="s">
        <v>449</v>
      </c>
      <c r="D1727" s="7">
        <v>43963</v>
      </c>
      <c r="E1727" s="7">
        <v>45709</v>
      </c>
      <c r="F1727">
        <v>330862</v>
      </c>
      <c r="G1727" t="s">
        <v>983</v>
      </c>
      <c r="H1727" t="s">
        <v>9</v>
      </c>
      <c r="I1727" s="7">
        <v>45638</v>
      </c>
      <c r="J1727" s="8">
        <v>0.66431712962962963</v>
      </c>
      <c r="K1727" t="s">
        <v>984</v>
      </c>
      <c r="AQ1727" t="s">
        <v>1110</v>
      </c>
      <c r="AR1727" t="s">
        <v>1094</v>
      </c>
      <c r="AT1727" t="s">
        <v>987</v>
      </c>
      <c r="AZ1727" t="s">
        <v>1024</v>
      </c>
      <c r="BA1727" t="s">
        <v>1025</v>
      </c>
      <c r="BB1727" t="s">
        <v>1026</v>
      </c>
      <c r="BD1727" t="s">
        <v>1022</v>
      </c>
      <c r="BE1727" t="s">
        <v>449</v>
      </c>
    </row>
    <row r="1728" spans="1:57" ht="13" x14ac:dyDescent="0.15">
      <c r="A1728">
        <v>1839</v>
      </c>
      <c r="B1728">
        <v>188333836</v>
      </c>
      <c r="C1728" t="s">
        <v>449</v>
      </c>
      <c r="D1728" s="7">
        <v>43963</v>
      </c>
      <c r="E1728" s="7">
        <v>45709</v>
      </c>
      <c r="F1728">
        <v>330862</v>
      </c>
      <c r="G1728" t="s">
        <v>983</v>
      </c>
      <c r="H1728" t="s">
        <v>9</v>
      </c>
      <c r="I1728" s="7">
        <v>45708</v>
      </c>
      <c r="J1728" s="8">
        <v>3.2951388888888891E-2</v>
      </c>
      <c r="K1728" t="s">
        <v>984</v>
      </c>
      <c r="AQ1728" t="s">
        <v>1092</v>
      </c>
      <c r="AR1728" t="s">
        <v>1383</v>
      </c>
      <c r="AT1728" t="s">
        <v>987</v>
      </c>
      <c r="AZ1728" t="s">
        <v>988</v>
      </c>
      <c r="BA1728" t="s">
        <v>989</v>
      </c>
      <c r="BB1728" t="s">
        <v>990</v>
      </c>
      <c r="BD1728" t="s">
        <v>991</v>
      </c>
      <c r="BE1728" t="s">
        <v>449</v>
      </c>
    </row>
    <row r="1729" spans="1:57" ht="13" x14ac:dyDescent="0.15">
      <c r="A1729">
        <v>1839</v>
      </c>
      <c r="B1729">
        <v>188333836</v>
      </c>
      <c r="C1729" t="s">
        <v>449</v>
      </c>
      <c r="D1729" s="7">
        <v>43963</v>
      </c>
      <c r="E1729" s="7">
        <v>45709</v>
      </c>
      <c r="F1729">
        <v>330862</v>
      </c>
      <c r="G1729" t="s">
        <v>983</v>
      </c>
      <c r="H1729" t="s">
        <v>9</v>
      </c>
      <c r="I1729" s="7">
        <v>45638</v>
      </c>
      <c r="J1729" s="8">
        <v>0.66905092592592597</v>
      </c>
      <c r="K1729" t="s">
        <v>984</v>
      </c>
      <c r="AQ1729" t="s">
        <v>1110</v>
      </c>
      <c r="AR1729" t="s">
        <v>1528</v>
      </c>
      <c r="AT1729" t="s">
        <v>987</v>
      </c>
      <c r="AZ1729" t="s">
        <v>1174</v>
      </c>
      <c r="BA1729" t="s">
        <v>1242</v>
      </c>
      <c r="BB1729" t="s">
        <v>1026</v>
      </c>
      <c r="BD1729" t="s">
        <v>1005</v>
      </c>
      <c r="BE1729" t="s">
        <v>449</v>
      </c>
    </row>
    <row r="1730" spans="1:57" ht="13" x14ac:dyDescent="0.15">
      <c r="A1730">
        <v>1839</v>
      </c>
      <c r="B1730">
        <v>188333836</v>
      </c>
      <c r="C1730" t="s">
        <v>449</v>
      </c>
      <c r="D1730" s="7">
        <v>43963</v>
      </c>
      <c r="E1730" s="7">
        <v>45709</v>
      </c>
      <c r="F1730">
        <v>330862</v>
      </c>
      <c r="G1730" t="s">
        <v>983</v>
      </c>
      <c r="H1730" t="s">
        <v>9</v>
      </c>
      <c r="I1730" s="7">
        <v>45638</v>
      </c>
      <c r="J1730" s="8">
        <v>0.66622685185185182</v>
      </c>
      <c r="K1730" t="s">
        <v>984</v>
      </c>
      <c r="AQ1730" t="s">
        <v>1110</v>
      </c>
      <c r="AR1730" t="s">
        <v>1527</v>
      </c>
      <c r="AT1730" t="s">
        <v>987</v>
      </c>
      <c r="AZ1730" t="s">
        <v>1002</v>
      </c>
      <c r="BA1730" t="s">
        <v>1124</v>
      </c>
      <c r="BB1730" t="s">
        <v>1125</v>
      </c>
      <c r="BD1730" t="s">
        <v>1005</v>
      </c>
      <c r="BE1730" t="s">
        <v>449</v>
      </c>
    </row>
    <row r="1731" spans="1:57" ht="13" x14ac:dyDescent="0.15">
      <c r="A1731">
        <v>1839</v>
      </c>
      <c r="B1731">
        <v>189531814</v>
      </c>
      <c r="C1731" t="s">
        <v>450</v>
      </c>
      <c r="D1731" s="7">
        <v>43979</v>
      </c>
      <c r="E1731" s="7">
        <v>45709</v>
      </c>
      <c r="F1731">
        <v>330862</v>
      </c>
      <c r="G1731" t="s">
        <v>983</v>
      </c>
      <c r="H1731" t="s">
        <v>9</v>
      </c>
      <c r="I1731" s="7">
        <v>45674</v>
      </c>
      <c r="J1731" s="8">
        <v>0.68046296296296294</v>
      </c>
      <c r="K1731" t="s">
        <v>984</v>
      </c>
      <c r="AQ1731" t="s">
        <v>992</v>
      </c>
      <c r="AR1731" t="s">
        <v>1751</v>
      </c>
      <c r="AT1731" t="s">
        <v>987</v>
      </c>
      <c r="AZ1731" t="s">
        <v>1002</v>
      </c>
      <c r="BA1731" t="s">
        <v>1003</v>
      </c>
      <c r="BB1731" t="s">
        <v>1004</v>
      </c>
      <c r="BD1731" t="s">
        <v>1005</v>
      </c>
      <c r="BE1731" t="s">
        <v>450</v>
      </c>
    </row>
    <row r="1732" spans="1:57" ht="13" x14ac:dyDescent="0.15">
      <c r="A1732">
        <v>1839</v>
      </c>
      <c r="B1732">
        <v>189531814</v>
      </c>
      <c r="C1732" t="s">
        <v>450</v>
      </c>
      <c r="D1732" s="7">
        <v>43979</v>
      </c>
      <c r="E1732" s="7">
        <v>45709</v>
      </c>
      <c r="F1732">
        <v>330862</v>
      </c>
      <c r="G1732" t="s">
        <v>983</v>
      </c>
      <c r="H1732" t="s">
        <v>9</v>
      </c>
      <c r="I1732" s="7">
        <v>45674</v>
      </c>
      <c r="J1732" s="8">
        <v>0.68825231481481486</v>
      </c>
      <c r="K1732" t="s">
        <v>984</v>
      </c>
      <c r="AQ1732" t="s">
        <v>992</v>
      </c>
      <c r="AR1732" t="s">
        <v>1752</v>
      </c>
      <c r="AT1732" t="s">
        <v>987</v>
      </c>
      <c r="AZ1732" t="s">
        <v>1007</v>
      </c>
      <c r="BA1732" t="s">
        <v>1008</v>
      </c>
      <c r="BB1732" t="s">
        <v>990</v>
      </c>
      <c r="BD1732" t="s">
        <v>1005</v>
      </c>
      <c r="BE1732" t="s">
        <v>450</v>
      </c>
    </row>
    <row r="1733" spans="1:57" ht="13" x14ac:dyDescent="0.15">
      <c r="A1733">
        <v>1839</v>
      </c>
      <c r="B1733">
        <v>189648150</v>
      </c>
      <c r="C1733" t="s">
        <v>451</v>
      </c>
      <c r="D1733" s="7">
        <v>43980</v>
      </c>
      <c r="E1733" s="7">
        <v>45709</v>
      </c>
      <c r="F1733">
        <v>330862</v>
      </c>
      <c r="G1733" t="s">
        <v>983</v>
      </c>
      <c r="H1733" t="s">
        <v>9</v>
      </c>
      <c r="I1733" s="7">
        <v>45694</v>
      </c>
      <c r="J1733" s="8">
        <v>0.5189583333333333</v>
      </c>
      <c r="K1733" t="s">
        <v>984</v>
      </c>
      <c r="AQ1733" t="s">
        <v>985</v>
      </c>
      <c r="AR1733" t="s">
        <v>993</v>
      </c>
      <c r="AT1733" t="s">
        <v>987</v>
      </c>
      <c r="AZ1733" t="s">
        <v>988</v>
      </c>
      <c r="BA1733" t="s">
        <v>989</v>
      </c>
      <c r="BB1733" t="s">
        <v>990</v>
      </c>
      <c r="BD1733" t="s">
        <v>991</v>
      </c>
      <c r="BE1733" t="s">
        <v>451</v>
      </c>
    </row>
    <row r="1734" spans="1:57" ht="13" x14ac:dyDescent="0.15">
      <c r="A1734">
        <v>1839</v>
      </c>
      <c r="B1734">
        <v>191927105</v>
      </c>
      <c r="C1734" t="s">
        <v>1753</v>
      </c>
      <c r="D1734" s="7">
        <v>43992</v>
      </c>
      <c r="E1734" s="7">
        <v>45707</v>
      </c>
      <c r="F1734">
        <v>336447</v>
      </c>
      <c r="G1734" t="s">
        <v>1074</v>
      </c>
      <c r="H1734" t="s">
        <v>26</v>
      </c>
      <c r="I1734" s="7">
        <v>45561</v>
      </c>
      <c r="J1734" s="8">
        <v>0.62427083333333333</v>
      </c>
      <c r="K1734" t="s">
        <v>984</v>
      </c>
      <c r="AQ1734" t="s">
        <v>985</v>
      </c>
      <c r="AR1734" t="s">
        <v>1754</v>
      </c>
      <c r="BE1734" t="s">
        <v>1753</v>
      </c>
    </row>
    <row r="1735" spans="1:57" ht="13" x14ac:dyDescent="0.15">
      <c r="A1735">
        <v>1839</v>
      </c>
      <c r="B1735">
        <v>191927105</v>
      </c>
      <c r="C1735" t="s">
        <v>1753</v>
      </c>
      <c r="D1735" s="7">
        <v>43992</v>
      </c>
      <c r="E1735" s="7">
        <v>45707</v>
      </c>
      <c r="F1735">
        <v>336453</v>
      </c>
      <c r="G1735" t="s">
        <v>1074</v>
      </c>
      <c r="H1735" t="s">
        <v>27</v>
      </c>
      <c r="I1735" s="7">
        <v>45561</v>
      </c>
      <c r="J1735" s="8">
        <v>0.62451388888888892</v>
      </c>
      <c r="K1735" t="s">
        <v>984</v>
      </c>
      <c r="AQ1735" t="s">
        <v>985</v>
      </c>
      <c r="AR1735" t="s">
        <v>1076</v>
      </c>
      <c r="BE1735" t="s">
        <v>1753</v>
      </c>
    </row>
    <row r="1736" spans="1:57" ht="13" x14ac:dyDescent="0.15">
      <c r="A1736">
        <v>1839</v>
      </c>
      <c r="B1736">
        <v>191927105</v>
      </c>
      <c r="C1736" t="s">
        <v>1753</v>
      </c>
      <c r="D1736" s="7">
        <v>43992</v>
      </c>
      <c r="E1736" s="7">
        <v>45707</v>
      </c>
      <c r="F1736">
        <v>336709</v>
      </c>
      <c r="G1736" t="s">
        <v>1074</v>
      </c>
      <c r="H1736" t="s">
        <v>28</v>
      </c>
      <c r="I1736" s="7">
        <v>45561</v>
      </c>
      <c r="J1736" s="8">
        <v>0.62462962962962965</v>
      </c>
      <c r="K1736" t="s">
        <v>984</v>
      </c>
      <c r="AQ1736" t="s">
        <v>985</v>
      </c>
      <c r="AR1736" t="s">
        <v>1077</v>
      </c>
      <c r="BE1736" t="s">
        <v>1753</v>
      </c>
    </row>
    <row r="1737" spans="1:57" ht="13" x14ac:dyDescent="0.15">
      <c r="A1737">
        <v>1839</v>
      </c>
      <c r="B1737">
        <v>192023408</v>
      </c>
      <c r="C1737" t="s">
        <v>1755</v>
      </c>
      <c r="D1737" s="7">
        <v>43994</v>
      </c>
      <c r="E1737" s="7">
        <v>45692</v>
      </c>
      <c r="F1737">
        <v>330862</v>
      </c>
      <c r="G1737" t="s">
        <v>983</v>
      </c>
      <c r="H1737" t="s">
        <v>9</v>
      </c>
      <c r="I1737" s="7">
        <v>45643</v>
      </c>
      <c r="J1737" s="8">
        <v>0.82241898148148151</v>
      </c>
      <c r="K1737" t="s">
        <v>984</v>
      </c>
      <c r="AQ1737" t="s">
        <v>1556</v>
      </c>
      <c r="AR1737" t="s">
        <v>1756</v>
      </c>
      <c r="AT1737" t="s">
        <v>987</v>
      </c>
      <c r="AZ1737" t="s">
        <v>1215</v>
      </c>
      <c r="BA1737" t="s">
        <v>1216</v>
      </c>
      <c r="BB1737" t="s">
        <v>1217</v>
      </c>
      <c r="BD1737" t="s">
        <v>1022</v>
      </c>
      <c r="BE1737" t="s">
        <v>1755</v>
      </c>
    </row>
    <row r="1738" spans="1:57" ht="13" x14ac:dyDescent="0.15">
      <c r="A1738">
        <v>1839</v>
      </c>
      <c r="B1738">
        <v>194337839</v>
      </c>
      <c r="C1738" t="s">
        <v>452</v>
      </c>
      <c r="D1738" s="7">
        <v>44027</v>
      </c>
      <c r="E1738" s="7">
        <v>45713</v>
      </c>
      <c r="F1738">
        <v>330862</v>
      </c>
      <c r="G1738" t="s">
        <v>983</v>
      </c>
      <c r="H1738" t="s">
        <v>9</v>
      </c>
      <c r="I1738" s="7">
        <v>45616</v>
      </c>
      <c r="J1738" s="8">
        <v>0.57700231481481479</v>
      </c>
      <c r="K1738" t="s">
        <v>984</v>
      </c>
      <c r="AQ1738" t="s">
        <v>985</v>
      </c>
      <c r="AR1738" t="s">
        <v>1102</v>
      </c>
      <c r="AT1738" t="s">
        <v>987</v>
      </c>
      <c r="AZ1738" t="s">
        <v>1011</v>
      </c>
      <c r="BA1738" t="s">
        <v>1103</v>
      </c>
      <c r="BB1738" t="s">
        <v>1032</v>
      </c>
      <c r="BD1738" t="s">
        <v>1005</v>
      </c>
      <c r="BE1738" t="s">
        <v>452</v>
      </c>
    </row>
    <row r="1739" spans="1:57" ht="13" x14ac:dyDescent="0.15">
      <c r="A1739">
        <v>1839</v>
      </c>
      <c r="B1739">
        <v>194337839</v>
      </c>
      <c r="C1739" t="s">
        <v>452</v>
      </c>
      <c r="D1739" s="7">
        <v>44027</v>
      </c>
      <c r="E1739" s="7">
        <v>45713</v>
      </c>
      <c r="F1739">
        <v>330862</v>
      </c>
      <c r="G1739" t="s">
        <v>983</v>
      </c>
      <c r="H1739" t="s">
        <v>9</v>
      </c>
      <c r="I1739" s="7">
        <v>45677</v>
      </c>
      <c r="J1739" s="8">
        <v>0.73682870370370368</v>
      </c>
      <c r="K1739" t="s">
        <v>984</v>
      </c>
      <c r="AQ1739" t="s">
        <v>985</v>
      </c>
      <c r="AR1739" t="s">
        <v>1083</v>
      </c>
      <c r="AT1739" t="s">
        <v>987</v>
      </c>
      <c r="AZ1739" t="s">
        <v>1011</v>
      </c>
      <c r="BA1739" t="s">
        <v>1012</v>
      </c>
      <c r="BB1739" t="s">
        <v>1013</v>
      </c>
      <c r="BD1739" t="s">
        <v>1014</v>
      </c>
      <c r="BE1739" t="s">
        <v>452</v>
      </c>
    </row>
    <row r="1740" spans="1:57" ht="13" x14ac:dyDescent="0.15">
      <c r="A1740">
        <v>1839</v>
      </c>
      <c r="B1740">
        <v>194337839</v>
      </c>
      <c r="C1740" t="s">
        <v>452</v>
      </c>
      <c r="D1740" s="7">
        <v>44027</v>
      </c>
      <c r="E1740" s="7">
        <v>45713</v>
      </c>
      <c r="F1740">
        <v>330862</v>
      </c>
      <c r="G1740" t="s">
        <v>983</v>
      </c>
      <c r="H1740" t="s">
        <v>9</v>
      </c>
      <c r="I1740" s="7">
        <v>45694</v>
      </c>
      <c r="J1740" s="8">
        <v>0.36004629629629631</v>
      </c>
      <c r="K1740" t="s">
        <v>984</v>
      </c>
      <c r="AQ1740" t="s">
        <v>985</v>
      </c>
      <c r="AR1740" t="s">
        <v>993</v>
      </c>
      <c r="AT1740" t="s">
        <v>987</v>
      </c>
      <c r="AZ1740" t="s">
        <v>988</v>
      </c>
      <c r="BA1740" t="s">
        <v>989</v>
      </c>
      <c r="BB1740" t="s">
        <v>990</v>
      </c>
      <c r="BD1740" t="s">
        <v>991</v>
      </c>
      <c r="BE1740" t="s">
        <v>452</v>
      </c>
    </row>
    <row r="1741" spans="1:57" ht="13" x14ac:dyDescent="0.15">
      <c r="A1741">
        <v>1839</v>
      </c>
      <c r="B1741">
        <v>194337839</v>
      </c>
      <c r="C1741" t="s">
        <v>452</v>
      </c>
      <c r="D1741" s="7">
        <v>44027</v>
      </c>
      <c r="E1741" s="7">
        <v>45713</v>
      </c>
      <c r="F1741">
        <v>330862</v>
      </c>
      <c r="G1741" t="s">
        <v>983</v>
      </c>
      <c r="H1741" t="s">
        <v>9</v>
      </c>
      <c r="I1741" s="7">
        <v>45684</v>
      </c>
      <c r="J1741" s="8">
        <v>0.62818287037037035</v>
      </c>
      <c r="K1741" t="s">
        <v>984</v>
      </c>
      <c r="AQ1741" t="s">
        <v>985</v>
      </c>
      <c r="AR1741" t="s">
        <v>1218</v>
      </c>
      <c r="AT1741" t="s">
        <v>987</v>
      </c>
      <c r="AZ1741" t="s">
        <v>1011</v>
      </c>
      <c r="BA1741" t="s">
        <v>1012</v>
      </c>
      <c r="BB1741" t="s">
        <v>1013</v>
      </c>
      <c r="BD1741" t="s">
        <v>1014</v>
      </c>
      <c r="BE1741" t="s">
        <v>452</v>
      </c>
    </row>
    <row r="1742" spans="1:57" ht="13" x14ac:dyDescent="0.15">
      <c r="A1742">
        <v>1839</v>
      </c>
      <c r="B1742">
        <v>194337839</v>
      </c>
      <c r="C1742" t="s">
        <v>452</v>
      </c>
      <c r="D1742" s="7">
        <v>44027</v>
      </c>
      <c r="E1742" s="7">
        <v>45713</v>
      </c>
      <c r="F1742">
        <v>330862</v>
      </c>
      <c r="G1742" t="s">
        <v>983</v>
      </c>
      <c r="H1742" t="s">
        <v>9</v>
      </c>
      <c r="I1742" s="7">
        <v>45616</v>
      </c>
      <c r="J1742" s="8">
        <v>0.5800925925925926</v>
      </c>
      <c r="K1742" t="s">
        <v>984</v>
      </c>
      <c r="AQ1742" t="s">
        <v>985</v>
      </c>
      <c r="AR1742" t="s">
        <v>1104</v>
      </c>
      <c r="AT1742" t="s">
        <v>987</v>
      </c>
      <c r="AZ1742" t="s">
        <v>1055</v>
      </c>
      <c r="BA1742" t="s">
        <v>1056</v>
      </c>
      <c r="BB1742" t="s">
        <v>1013</v>
      </c>
      <c r="BD1742" t="s">
        <v>1022</v>
      </c>
      <c r="BE1742" t="s">
        <v>452</v>
      </c>
    </row>
    <row r="1743" spans="1:57" ht="13" x14ac:dyDescent="0.15">
      <c r="A1743">
        <v>1839</v>
      </c>
      <c r="B1743">
        <v>194397598</v>
      </c>
      <c r="C1743" t="s">
        <v>453</v>
      </c>
      <c r="D1743" s="7">
        <v>44028</v>
      </c>
      <c r="E1743" s="7">
        <v>45696</v>
      </c>
      <c r="F1743">
        <v>330862</v>
      </c>
      <c r="G1743" t="s">
        <v>983</v>
      </c>
      <c r="H1743" t="s">
        <v>9</v>
      </c>
      <c r="I1743" s="7">
        <v>45637</v>
      </c>
      <c r="J1743" s="8">
        <v>0.82210648148148147</v>
      </c>
      <c r="K1743" t="s">
        <v>984</v>
      </c>
      <c r="AQ1743" t="s">
        <v>985</v>
      </c>
      <c r="AR1743" t="s">
        <v>1108</v>
      </c>
      <c r="AT1743" t="s">
        <v>987</v>
      </c>
      <c r="AZ1743" t="s">
        <v>1011</v>
      </c>
      <c r="BA1743" t="s">
        <v>1031</v>
      </c>
      <c r="BB1743" t="s">
        <v>1032</v>
      </c>
      <c r="BD1743" t="s">
        <v>1005</v>
      </c>
      <c r="BE1743" t="s">
        <v>453</v>
      </c>
    </row>
    <row r="1744" spans="1:57" ht="13" x14ac:dyDescent="0.15">
      <c r="A1744">
        <v>1839</v>
      </c>
      <c r="B1744">
        <v>194397598</v>
      </c>
      <c r="C1744" t="s">
        <v>453</v>
      </c>
      <c r="D1744" s="7">
        <v>44028</v>
      </c>
      <c r="E1744" s="7">
        <v>45696</v>
      </c>
      <c r="F1744">
        <v>330862</v>
      </c>
      <c r="G1744" t="s">
        <v>983</v>
      </c>
      <c r="H1744" t="s">
        <v>9</v>
      </c>
      <c r="I1744" s="7">
        <v>45694</v>
      </c>
      <c r="J1744" s="8">
        <v>0.59116898148148145</v>
      </c>
      <c r="K1744" t="s">
        <v>984</v>
      </c>
      <c r="AQ1744" t="s">
        <v>985</v>
      </c>
      <c r="AR1744" t="s">
        <v>993</v>
      </c>
      <c r="AT1744" t="s">
        <v>987</v>
      </c>
      <c r="AZ1744" t="s">
        <v>988</v>
      </c>
      <c r="BA1744" t="s">
        <v>989</v>
      </c>
      <c r="BB1744" t="s">
        <v>990</v>
      </c>
      <c r="BD1744" t="s">
        <v>991</v>
      </c>
      <c r="BE1744" t="s">
        <v>453</v>
      </c>
    </row>
    <row r="1745" spans="1:57" ht="13" x14ac:dyDescent="0.15">
      <c r="A1745">
        <v>1839</v>
      </c>
      <c r="B1745">
        <v>194448242</v>
      </c>
      <c r="C1745" t="s">
        <v>454</v>
      </c>
      <c r="D1745" s="7">
        <v>44029</v>
      </c>
      <c r="E1745" s="7">
        <v>45706</v>
      </c>
      <c r="F1745">
        <v>330862</v>
      </c>
      <c r="G1745" t="s">
        <v>983</v>
      </c>
      <c r="H1745" t="s">
        <v>9</v>
      </c>
      <c r="I1745" s="7">
        <v>45643</v>
      </c>
      <c r="J1745" s="8">
        <v>0.80693287037037043</v>
      </c>
      <c r="K1745" t="s">
        <v>984</v>
      </c>
      <c r="AQ1745" t="s">
        <v>1556</v>
      </c>
      <c r="AR1745" t="s">
        <v>1757</v>
      </c>
      <c r="AT1745" t="s">
        <v>987</v>
      </c>
      <c r="AZ1745" t="s">
        <v>1055</v>
      </c>
      <c r="BA1745" t="s">
        <v>1056</v>
      </c>
      <c r="BB1745" t="s">
        <v>1013</v>
      </c>
      <c r="BD1745" t="s">
        <v>1022</v>
      </c>
      <c r="BE1745" t="s">
        <v>454</v>
      </c>
    </row>
    <row r="1746" spans="1:57" ht="13" x14ac:dyDescent="0.15">
      <c r="A1746">
        <v>1839</v>
      </c>
      <c r="B1746">
        <v>194448242</v>
      </c>
      <c r="C1746" t="s">
        <v>454</v>
      </c>
      <c r="D1746" s="7">
        <v>44029</v>
      </c>
      <c r="E1746" s="7">
        <v>45706</v>
      </c>
      <c r="F1746">
        <v>330862</v>
      </c>
      <c r="G1746" t="s">
        <v>983</v>
      </c>
      <c r="H1746" t="s">
        <v>9</v>
      </c>
      <c r="I1746" s="7">
        <v>45691</v>
      </c>
      <c r="J1746" s="8">
        <v>0.11295138888888889</v>
      </c>
      <c r="K1746" t="s">
        <v>984</v>
      </c>
      <c r="AQ1746" t="s">
        <v>1089</v>
      </c>
      <c r="AR1746" t="s">
        <v>1269</v>
      </c>
      <c r="AT1746" t="s">
        <v>987</v>
      </c>
      <c r="AZ1746" t="s">
        <v>1011</v>
      </c>
      <c r="BA1746" t="s">
        <v>1012</v>
      </c>
      <c r="BB1746" t="s">
        <v>1013</v>
      </c>
      <c r="BD1746" t="s">
        <v>1014</v>
      </c>
      <c r="BE1746" t="s">
        <v>454</v>
      </c>
    </row>
    <row r="1747" spans="1:57" ht="13" x14ac:dyDescent="0.15">
      <c r="A1747">
        <v>1839</v>
      </c>
      <c r="B1747">
        <v>194448253</v>
      </c>
      <c r="C1747" t="s">
        <v>1758</v>
      </c>
      <c r="D1747" s="7">
        <v>44029</v>
      </c>
      <c r="E1747" s="7">
        <v>45696</v>
      </c>
      <c r="F1747">
        <v>330862</v>
      </c>
      <c r="G1747" t="s">
        <v>983</v>
      </c>
      <c r="H1747" t="s">
        <v>9</v>
      </c>
      <c r="I1747" s="7">
        <v>45616</v>
      </c>
      <c r="J1747" s="8">
        <v>0.83062499999999995</v>
      </c>
      <c r="K1747" t="s">
        <v>984</v>
      </c>
      <c r="AQ1747" t="s">
        <v>1090</v>
      </c>
      <c r="AR1747" t="s">
        <v>1104</v>
      </c>
      <c r="AT1747" t="s">
        <v>987</v>
      </c>
      <c r="AZ1747" t="s">
        <v>1055</v>
      </c>
      <c r="BA1747" t="s">
        <v>1056</v>
      </c>
      <c r="BB1747" t="s">
        <v>1013</v>
      </c>
      <c r="BD1747" t="s">
        <v>1022</v>
      </c>
      <c r="BE1747" t="s">
        <v>1758</v>
      </c>
    </row>
    <row r="1748" spans="1:57" ht="13" x14ac:dyDescent="0.15">
      <c r="A1748">
        <v>1839</v>
      </c>
      <c r="B1748">
        <v>194687454</v>
      </c>
      <c r="C1748" t="s">
        <v>455</v>
      </c>
      <c r="D1748" s="7">
        <v>44036</v>
      </c>
      <c r="E1748" s="7">
        <v>45708</v>
      </c>
      <c r="F1748">
        <v>330862</v>
      </c>
      <c r="G1748" t="s">
        <v>983</v>
      </c>
      <c r="H1748" t="s">
        <v>9</v>
      </c>
      <c r="I1748" s="7">
        <v>45694</v>
      </c>
      <c r="J1748" s="8">
        <v>0.67259259259259263</v>
      </c>
      <c r="K1748" t="s">
        <v>984</v>
      </c>
      <c r="AQ1748" t="s">
        <v>992</v>
      </c>
      <c r="AR1748" t="s">
        <v>1066</v>
      </c>
      <c r="AT1748" t="s">
        <v>987</v>
      </c>
      <c r="AZ1748" t="s">
        <v>988</v>
      </c>
      <c r="BA1748" t="s">
        <v>989</v>
      </c>
      <c r="BB1748" t="s">
        <v>990</v>
      </c>
      <c r="BD1748" t="s">
        <v>991</v>
      </c>
      <c r="BE1748" t="s">
        <v>455</v>
      </c>
    </row>
    <row r="1749" spans="1:57" ht="13" x14ac:dyDescent="0.15">
      <c r="A1749">
        <v>1839</v>
      </c>
      <c r="B1749">
        <v>194687454</v>
      </c>
      <c r="C1749" t="s">
        <v>455</v>
      </c>
      <c r="D1749" s="7">
        <v>44036</v>
      </c>
      <c r="E1749" s="7">
        <v>45708</v>
      </c>
      <c r="F1749">
        <v>330862</v>
      </c>
      <c r="G1749" t="s">
        <v>983</v>
      </c>
      <c r="H1749" t="s">
        <v>9</v>
      </c>
      <c r="I1749" s="7">
        <v>45616</v>
      </c>
      <c r="J1749" s="8">
        <v>0.66356481481481477</v>
      </c>
      <c r="K1749" t="s">
        <v>984</v>
      </c>
      <c r="AQ1749" t="s">
        <v>992</v>
      </c>
      <c r="AR1749" t="s">
        <v>1104</v>
      </c>
      <c r="AT1749" t="s">
        <v>987</v>
      </c>
      <c r="AZ1749" t="s">
        <v>1055</v>
      </c>
      <c r="BA1749" t="s">
        <v>1056</v>
      </c>
      <c r="BB1749" t="s">
        <v>1013</v>
      </c>
      <c r="BD1749" t="s">
        <v>1022</v>
      </c>
      <c r="BE1749" t="s">
        <v>455</v>
      </c>
    </row>
    <row r="1750" spans="1:57" ht="13" x14ac:dyDescent="0.15">
      <c r="A1750">
        <v>1839</v>
      </c>
      <c r="B1750">
        <v>194687454</v>
      </c>
      <c r="C1750" t="s">
        <v>455</v>
      </c>
      <c r="D1750" s="7">
        <v>44036</v>
      </c>
      <c r="E1750" s="7">
        <v>45708</v>
      </c>
      <c r="F1750">
        <v>330862</v>
      </c>
      <c r="G1750" t="s">
        <v>983</v>
      </c>
      <c r="H1750" t="s">
        <v>9</v>
      </c>
      <c r="I1750" s="7">
        <v>45616</v>
      </c>
      <c r="J1750" s="8">
        <v>0.66167824074074078</v>
      </c>
      <c r="K1750" t="s">
        <v>984</v>
      </c>
      <c r="AQ1750" t="s">
        <v>992</v>
      </c>
      <c r="AR1750" t="s">
        <v>1583</v>
      </c>
      <c r="AT1750" t="s">
        <v>987</v>
      </c>
      <c r="AZ1750" t="s">
        <v>1182</v>
      </c>
      <c r="BA1750" t="s">
        <v>1185</v>
      </c>
      <c r="BB1750" t="s">
        <v>1026</v>
      </c>
      <c r="BD1750" t="s">
        <v>1022</v>
      </c>
      <c r="BE1750" t="s">
        <v>455</v>
      </c>
    </row>
    <row r="1751" spans="1:57" ht="13" x14ac:dyDescent="0.15">
      <c r="A1751">
        <v>1839</v>
      </c>
      <c r="B1751">
        <v>194687454</v>
      </c>
      <c r="C1751" t="s">
        <v>455</v>
      </c>
      <c r="D1751" s="7">
        <v>44036</v>
      </c>
      <c r="E1751" s="7">
        <v>45708</v>
      </c>
      <c r="F1751">
        <v>330862</v>
      </c>
      <c r="G1751" t="s">
        <v>983</v>
      </c>
      <c r="H1751" t="s">
        <v>9</v>
      </c>
      <c r="I1751" s="7">
        <v>45638</v>
      </c>
      <c r="J1751" s="8">
        <v>0.65108796296296301</v>
      </c>
      <c r="K1751" t="s">
        <v>984</v>
      </c>
      <c r="AQ1751" t="s">
        <v>992</v>
      </c>
      <c r="AR1751" t="s">
        <v>1085</v>
      </c>
      <c r="AT1751" t="s">
        <v>987</v>
      </c>
      <c r="AZ1751" t="s">
        <v>1011</v>
      </c>
      <c r="BA1751" t="s">
        <v>1031</v>
      </c>
      <c r="BB1751" t="s">
        <v>1032</v>
      </c>
      <c r="BD1751" t="s">
        <v>1005</v>
      </c>
      <c r="BE1751" t="s">
        <v>455</v>
      </c>
    </row>
    <row r="1752" spans="1:57" ht="13" x14ac:dyDescent="0.15">
      <c r="A1752">
        <v>1839</v>
      </c>
      <c r="B1752">
        <v>194687454</v>
      </c>
      <c r="C1752" t="s">
        <v>455</v>
      </c>
      <c r="D1752" s="7">
        <v>44036</v>
      </c>
      <c r="E1752" s="7">
        <v>45708</v>
      </c>
      <c r="F1752">
        <v>330862</v>
      </c>
      <c r="G1752" t="s">
        <v>983</v>
      </c>
      <c r="H1752" t="s">
        <v>9</v>
      </c>
      <c r="I1752" s="7">
        <v>45694</v>
      </c>
      <c r="J1752" s="8">
        <v>0.72299768518518515</v>
      </c>
      <c r="K1752" t="s">
        <v>984</v>
      </c>
      <c r="AQ1752" t="s">
        <v>992</v>
      </c>
      <c r="AR1752" t="s">
        <v>993</v>
      </c>
      <c r="AT1752" t="s">
        <v>987</v>
      </c>
      <c r="AZ1752" t="s">
        <v>988</v>
      </c>
      <c r="BA1752" t="s">
        <v>989</v>
      </c>
      <c r="BB1752" t="s">
        <v>990</v>
      </c>
      <c r="BD1752" t="s">
        <v>991</v>
      </c>
      <c r="BE1752" t="s">
        <v>455</v>
      </c>
    </row>
    <row r="1753" spans="1:57" ht="13" x14ac:dyDescent="0.15">
      <c r="A1753">
        <v>1839</v>
      </c>
      <c r="B1753">
        <v>194687454</v>
      </c>
      <c r="C1753" t="s">
        <v>455</v>
      </c>
      <c r="D1753" s="7">
        <v>44036</v>
      </c>
      <c r="E1753" s="7">
        <v>45708</v>
      </c>
      <c r="F1753">
        <v>336444</v>
      </c>
      <c r="G1753" t="s">
        <v>995</v>
      </c>
      <c r="H1753" t="s">
        <v>12</v>
      </c>
      <c r="I1753" s="7">
        <v>45616</v>
      </c>
      <c r="J1753" s="8">
        <v>0.66688657407407403</v>
      </c>
      <c r="K1753" t="s">
        <v>984</v>
      </c>
      <c r="AQ1753" t="s">
        <v>996</v>
      </c>
      <c r="BE1753" t="s">
        <v>455</v>
      </c>
    </row>
    <row r="1754" spans="1:57" ht="13" x14ac:dyDescent="0.15">
      <c r="A1754">
        <v>1839</v>
      </c>
      <c r="B1754">
        <v>195443226</v>
      </c>
      <c r="C1754" t="s">
        <v>1759</v>
      </c>
      <c r="D1754" s="7">
        <v>44055</v>
      </c>
      <c r="E1754" s="7">
        <v>45708</v>
      </c>
      <c r="F1754">
        <v>336447</v>
      </c>
      <c r="G1754" t="s">
        <v>1074</v>
      </c>
      <c r="H1754" t="s">
        <v>26</v>
      </c>
      <c r="I1754" s="7">
        <v>45631</v>
      </c>
      <c r="J1754" s="8">
        <v>0.66721064814814812</v>
      </c>
      <c r="K1754" t="s">
        <v>984</v>
      </c>
      <c r="AQ1754" t="s">
        <v>992</v>
      </c>
      <c r="AR1754" t="s">
        <v>1760</v>
      </c>
      <c r="BE1754" t="s">
        <v>1759</v>
      </c>
    </row>
    <row r="1755" spans="1:57" ht="13" x14ac:dyDescent="0.15">
      <c r="A1755">
        <v>1839</v>
      </c>
      <c r="B1755">
        <v>195443226</v>
      </c>
      <c r="C1755" t="s">
        <v>1759</v>
      </c>
      <c r="D1755" s="7">
        <v>44055</v>
      </c>
      <c r="E1755" s="7">
        <v>45708</v>
      </c>
      <c r="F1755">
        <v>336453</v>
      </c>
      <c r="G1755" t="s">
        <v>1074</v>
      </c>
      <c r="H1755" t="s">
        <v>27</v>
      </c>
      <c r="I1755" s="7">
        <v>45631</v>
      </c>
      <c r="J1755" s="8">
        <v>0.66741898148148149</v>
      </c>
      <c r="K1755" t="s">
        <v>984</v>
      </c>
      <c r="AQ1755" t="s">
        <v>992</v>
      </c>
      <c r="AR1755" t="s">
        <v>1076</v>
      </c>
      <c r="BE1755" t="s">
        <v>1759</v>
      </c>
    </row>
    <row r="1756" spans="1:57" ht="13" x14ac:dyDescent="0.15">
      <c r="A1756">
        <v>1839</v>
      </c>
      <c r="B1756">
        <v>195443226</v>
      </c>
      <c r="C1756" t="s">
        <v>1759</v>
      </c>
      <c r="D1756" s="7">
        <v>44055</v>
      </c>
      <c r="E1756" s="7">
        <v>45708</v>
      </c>
      <c r="F1756">
        <v>336709</v>
      </c>
      <c r="G1756" t="s">
        <v>1074</v>
      </c>
      <c r="H1756" t="s">
        <v>28</v>
      </c>
      <c r="I1756" s="7">
        <v>45631</v>
      </c>
      <c r="J1756" s="8">
        <v>0.66753472222222221</v>
      </c>
      <c r="K1756" t="s">
        <v>984</v>
      </c>
      <c r="AQ1756" t="s">
        <v>992</v>
      </c>
      <c r="AR1756" t="s">
        <v>1077</v>
      </c>
      <c r="BE1756" t="s">
        <v>1759</v>
      </c>
    </row>
    <row r="1757" spans="1:57" ht="13" x14ac:dyDescent="0.15">
      <c r="A1757">
        <v>1839</v>
      </c>
      <c r="B1757">
        <v>196580510</v>
      </c>
      <c r="C1757" t="s">
        <v>456</v>
      </c>
      <c r="D1757" s="7">
        <v>44083</v>
      </c>
      <c r="E1757" s="7">
        <v>45682</v>
      </c>
      <c r="F1757">
        <v>330862</v>
      </c>
      <c r="G1757" t="s">
        <v>983</v>
      </c>
      <c r="H1757" t="s">
        <v>9</v>
      </c>
      <c r="I1757" s="7">
        <v>45669</v>
      </c>
      <c r="J1757" s="8">
        <v>0.92515046296296299</v>
      </c>
      <c r="K1757" t="s">
        <v>984</v>
      </c>
      <c r="AQ1757" t="s">
        <v>992</v>
      </c>
      <c r="AR1757" t="s">
        <v>1391</v>
      </c>
      <c r="AT1757" t="s">
        <v>987</v>
      </c>
      <c r="AZ1757" t="s">
        <v>1011</v>
      </c>
      <c r="BA1757" t="s">
        <v>1202</v>
      </c>
      <c r="BB1757" t="s">
        <v>1203</v>
      </c>
      <c r="BD1757" t="s">
        <v>991</v>
      </c>
      <c r="BE1757" t="s">
        <v>456</v>
      </c>
    </row>
    <row r="1758" spans="1:57" ht="13" x14ac:dyDescent="0.15">
      <c r="A1758">
        <v>1839</v>
      </c>
      <c r="B1758">
        <v>197076156</v>
      </c>
      <c r="C1758" t="s">
        <v>457</v>
      </c>
      <c r="D1758" s="7">
        <v>44094</v>
      </c>
      <c r="E1758" s="7">
        <v>45674</v>
      </c>
      <c r="F1758">
        <v>330862</v>
      </c>
      <c r="G1758" t="s">
        <v>983</v>
      </c>
      <c r="H1758" t="s">
        <v>9</v>
      </c>
      <c r="I1758" s="7">
        <v>45674</v>
      </c>
      <c r="J1758" s="8">
        <v>0.58908564814814812</v>
      </c>
      <c r="K1758" t="s">
        <v>984</v>
      </c>
      <c r="AQ1758" t="s">
        <v>1261</v>
      </c>
      <c r="AR1758" t="s">
        <v>1761</v>
      </c>
      <c r="AT1758" t="s">
        <v>987</v>
      </c>
      <c r="AZ1758" t="s">
        <v>1016</v>
      </c>
      <c r="BA1758" t="s">
        <v>1017</v>
      </c>
      <c r="BB1758" t="s">
        <v>1018</v>
      </c>
      <c r="BD1758" t="s">
        <v>991</v>
      </c>
      <c r="BE1758" t="s">
        <v>457</v>
      </c>
    </row>
    <row r="1759" spans="1:57" ht="13" x14ac:dyDescent="0.15">
      <c r="A1759">
        <v>1839</v>
      </c>
      <c r="B1759">
        <v>197703120</v>
      </c>
      <c r="C1759" t="s">
        <v>458</v>
      </c>
      <c r="D1759" s="7">
        <v>44106</v>
      </c>
      <c r="E1759" s="7">
        <v>45700</v>
      </c>
      <c r="F1759">
        <v>330862</v>
      </c>
      <c r="G1759" t="s">
        <v>983</v>
      </c>
      <c r="H1759" t="s">
        <v>9</v>
      </c>
      <c r="I1759" s="7">
        <v>45700</v>
      </c>
      <c r="J1759" s="8">
        <v>0.8948842592592593</v>
      </c>
      <c r="K1759" t="s">
        <v>984</v>
      </c>
      <c r="AQ1759" t="s">
        <v>1092</v>
      </c>
      <c r="AR1759" t="s">
        <v>1609</v>
      </c>
      <c r="AT1759" t="s">
        <v>987</v>
      </c>
      <c r="AZ1759" t="s">
        <v>1220</v>
      </c>
      <c r="BA1759" t="s">
        <v>1221</v>
      </c>
      <c r="BB1759" t="s">
        <v>1082</v>
      </c>
      <c r="BD1759" t="s">
        <v>991</v>
      </c>
      <c r="BE1759" t="s">
        <v>458</v>
      </c>
    </row>
    <row r="1760" spans="1:57" ht="13" x14ac:dyDescent="0.15">
      <c r="A1760">
        <v>1839</v>
      </c>
      <c r="B1760">
        <v>197877512</v>
      </c>
      <c r="C1760" t="s">
        <v>459</v>
      </c>
      <c r="D1760" s="7">
        <v>44110</v>
      </c>
      <c r="E1760" s="7">
        <v>45700</v>
      </c>
      <c r="F1760">
        <v>330862</v>
      </c>
      <c r="G1760" t="s">
        <v>983</v>
      </c>
      <c r="H1760" t="s">
        <v>9</v>
      </c>
      <c r="I1760" s="7">
        <v>45695</v>
      </c>
      <c r="J1760" s="8">
        <v>0.26687499999999997</v>
      </c>
      <c r="K1760" t="s">
        <v>984</v>
      </c>
      <c r="AQ1760" t="s">
        <v>1337</v>
      </c>
      <c r="AR1760" t="s">
        <v>993</v>
      </c>
      <c r="AT1760" t="s">
        <v>987</v>
      </c>
      <c r="AZ1760" t="s">
        <v>988</v>
      </c>
      <c r="BA1760" t="s">
        <v>989</v>
      </c>
      <c r="BB1760" t="s">
        <v>990</v>
      </c>
      <c r="BD1760" t="s">
        <v>991</v>
      </c>
      <c r="BE1760" t="s">
        <v>459</v>
      </c>
    </row>
    <row r="1761" spans="1:57" ht="13" x14ac:dyDescent="0.15">
      <c r="A1761">
        <v>1839</v>
      </c>
      <c r="B1761">
        <v>197883238</v>
      </c>
      <c r="C1761" t="s">
        <v>460</v>
      </c>
      <c r="D1761" s="7">
        <v>44110</v>
      </c>
      <c r="E1761" s="7">
        <v>45710</v>
      </c>
      <c r="F1761">
        <v>330862</v>
      </c>
      <c r="G1761" t="s">
        <v>983</v>
      </c>
      <c r="H1761" t="s">
        <v>9</v>
      </c>
      <c r="I1761" s="7">
        <v>45680</v>
      </c>
      <c r="J1761" s="8">
        <v>0.7475694444444444</v>
      </c>
      <c r="K1761" t="s">
        <v>984</v>
      </c>
      <c r="AQ1761" t="s">
        <v>992</v>
      </c>
      <c r="AR1761" t="s">
        <v>1563</v>
      </c>
      <c r="AT1761" t="s">
        <v>987</v>
      </c>
      <c r="AZ1761" t="s">
        <v>1002</v>
      </c>
      <c r="BA1761" t="s">
        <v>1003</v>
      </c>
      <c r="BB1761" t="s">
        <v>1004</v>
      </c>
      <c r="BD1761" t="s">
        <v>1005</v>
      </c>
      <c r="BE1761" t="s">
        <v>460</v>
      </c>
    </row>
    <row r="1762" spans="1:57" ht="13" x14ac:dyDescent="0.15">
      <c r="A1762">
        <v>1839</v>
      </c>
      <c r="B1762">
        <v>197883283</v>
      </c>
      <c r="C1762" t="s">
        <v>1762</v>
      </c>
      <c r="D1762" s="7">
        <v>44110</v>
      </c>
      <c r="E1762" s="7">
        <v>45713</v>
      </c>
      <c r="F1762">
        <v>330862</v>
      </c>
      <c r="G1762" t="s">
        <v>983</v>
      </c>
      <c r="H1762" t="s">
        <v>9</v>
      </c>
      <c r="I1762" s="7">
        <v>45709</v>
      </c>
      <c r="J1762" s="8">
        <v>0.53099537037037037</v>
      </c>
      <c r="K1762" t="s">
        <v>984</v>
      </c>
      <c r="AQ1762" t="s">
        <v>1251</v>
      </c>
      <c r="AR1762" t="s">
        <v>1763</v>
      </c>
      <c r="AT1762" t="s">
        <v>987</v>
      </c>
      <c r="AZ1762" t="s">
        <v>1011</v>
      </c>
      <c r="BA1762" t="s">
        <v>1012</v>
      </c>
      <c r="BB1762" t="s">
        <v>1013</v>
      </c>
      <c r="BD1762" t="s">
        <v>1014</v>
      </c>
      <c r="BE1762" t="s">
        <v>1762</v>
      </c>
    </row>
    <row r="1763" spans="1:57" ht="13" x14ac:dyDescent="0.15">
      <c r="A1763">
        <v>1839</v>
      </c>
      <c r="B1763">
        <v>198698033</v>
      </c>
      <c r="C1763" t="s">
        <v>461</v>
      </c>
      <c r="D1763" s="7">
        <v>44126</v>
      </c>
      <c r="E1763" s="7">
        <v>45673</v>
      </c>
      <c r="F1763">
        <v>330862</v>
      </c>
      <c r="G1763" t="s">
        <v>983</v>
      </c>
      <c r="H1763" t="s">
        <v>9</v>
      </c>
      <c r="I1763" s="7">
        <v>45673</v>
      </c>
      <c r="J1763" s="8">
        <v>2.2372685185185186E-2</v>
      </c>
      <c r="K1763" t="s">
        <v>984</v>
      </c>
      <c r="AQ1763" t="s">
        <v>1042</v>
      </c>
      <c r="AR1763" t="s">
        <v>1603</v>
      </c>
      <c r="AT1763" t="s">
        <v>987</v>
      </c>
      <c r="AZ1763" t="s">
        <v>1016</v>
      </c>
      <c r="BA1763" t="s">
        <v>1017</v>
      </c>
      <c r="BB1763" t="s">
        <v>1018</v>
      </c>
      <c r="BD1763" t="s">
        <v>991</v>
      </c>
      <c r="BE1763" t="s">
        <v>461</v>
      </c>
    </row>
    <row r="1764" spans="1:57" ht="13" x14ac:dyDescent="0.15">
      <c r="A1764">
        <v>1839</v>
      </c>
      <c r="B1764">
        <v>199224208</v>
      </c>
      <c r="C1764" t="s">
        <v>462</v>
      </c>
      <c r="D1764" s="7">
        <v>44141</v>
      </c>
      <c r="E1764" s="7">
        <v>45713</v>
      </c>
      <c r="F1764">
        <v>330862</v>
      </c>
      <c r="G1764" t="s">
        <v>983</v>
      </c>
      <c r="H1764" t="s">
        <v>9</v>
      </c>
      <c r="I1764" s="7">
        <v>45637</v>
      </c>
      <c r="J1764" s="8">
        <v>0.95439814814814816</v>
      </c>
      <c r="K1764" t="s">
        <v>984</v>
      </c>
      <c r="AQ1764" t="s">
        <v>1206</v>
      </c>
      <c r="AR1764" t="s">
        <v>1764</v>
      </c>
      <c r="AT1764" t="s">
        <v>987</v>
      </c>
      <c r="AZ1764" t="s">
        <v>1024</v>
      </c>
      <c r="BA1764" t="s">
        <v>1025</v>
      </c>
      <c r="BB1764" t="s">
        <v>1026</v>
      </c>
      <c r="BD1764" t="s">
        <v>1022</v>
      </c>
      <c r="BE1764" t="s">
        <v>462</v>
      </c>
    </row>
    <row r="1765" spans="1:57" ht="13" x14ac:dyDescent="0.15">
      <c r="A1765">
        <v>1839</v>
      </c>
      <c r="B1765">
        <v>199224208</v>
      </c>
      <c r="C1765" t="s">
        <v>462</v>
      </c>
      <c r="D1765" s="7">
        <v>44141</v>
      </c>
      <c r="E1765" s="7">
        <v>45713</v>
      </c>
      <c r="F1765">
        <v>330862</v>
      </c>
      <c r="G1765" t="s">
        <v>983</v>
      </c>
      <c r="H1765" t="s">
        <v>9</v>
      </c>
      <c r="I1765" s="7">
        <v>45674</v>
      </c>
      <c r="J1765" s="8">
        <v>0.93572916666666661</v>
      </c>
      <c r="K1765" t="s">
        <v>984</v>
      </c>
      <c r="AQ1765" t="s">
        <v>1206</v>
      </c>
      <c r="AR1765" t="s">
        <v>1201</v>
      </c>
      <c r="AT1765" t="s">
        <v>987</v>
      </c>
      <c r="AZ1765" t="s">
        <v>1011</v>
      </c>
      <c r="BA1765" t="s">
        <v>1202</v>
      </c>
      <c r="BB1765" t="s">
        <v>1203</v>
      </c>
      <c r="BD1765" t="s">
        <v>991</v>
      </c>
      <c r="BE1765" t="s">
        <v>462</v>
      </c>
    </row>
    <row r="1766" spans="1:57" ht="13" x14ac:dyDescent="0.15">
      <c r="A1766">
        <v>1839</v>
      </c>
      <c r="B1766">
        <v>199224208</v>
      </c>
      <c r="C1766" t="s">
        <v>462</v>
      </c>
      <c r="D1766" s="7">
        <v>44141</v>
      </c>
      <c r="E1766" s="7">
        <v>45713</v>
      </c>
      <c r="F1766">
        <v>330862</v>
      </c>
      <c r="G1766" t="s">
        <v>983</v>
      </c>
      <c r="H1766" t="s">
        <v>9</v>
      </c>
      <c r="I1766" s="7">
        <v>45637</v>
      </c>
      <c r="J1766" s="8">
        <v>0.96940972222222221</v>
      </c>
      <c r="K1766" t="s">
        <v>984</v>
      </c>
      <c r="AQ1766" t="s">
        <v>1206</v>
      </c>
      <c r="AR1766" t="s">
        <v>1765</v>
      </c>
      <c r="AT1766" t="s">
        <v>987</v>
      </c>
      <c r="AZ1766" t="s">
        <v>1028</v>
      </c>
      <c r="BA1766" t="s">
        <v>1029</v>
      </c>
      <c r="BB1766" t="s">
        <v>1018</v>
      </c>
      <c r="BD1766" t="s">
        <v>1022</v>
      </c>
      <c r="BE1766" t="s">
        <v>462</v>
      </c>
    </row>
    <row r="1767" spans="1:57" ht="13" x14ac:dyDescent="0.15">
      <c r="A1767">
        <v>1839</v>
      </c>
      <c r="B1767">
        <v>200541701</v>
      </c>
      <c r="C1767" t="s">
        <v>463</v>
      </c>
      <c r="D1767" s="7">
        <v>44155</v>
      </c>
      <c r="E1767" s="7">
        <v>45696</v>
      </c>
      <c r="F1767">
        <v>330862</v>
      </c>
      <c r="G1767" t="s">
        <v>983</v>
      </c>
      <c r="H1767" t="s">
        <v>9</v>
      </c>
      <c r="I1767" s="7">
        <v>45694</v>
      </c>
      <c r="J1767" s="8">
        <v>0.9272569444444444</v>
      </c>
      <c r="K1767" t="s">
        <v>984</v>
      </c>
      <c r="AQ1767" t="s">
        <v>1090</v>
      </c>
      <c r="AR1767" t="s">
        <v>993</v>
      </c>
      <c r="AT1767" t="s">
        <v>987</v>
      </c>
      <c r="AZ1767" t="s">
        <v>988</v>
      </c>
      <c r="BA1767" t="s">
        <v>989</v>
      </c>
      <c r="BB1767" t="s">
        <v>990</v>
      </c>
      <c r="BD1767" t="s">
        <v>991</v>
      </c>
      <c r="BE1767" t="s">
        <v>463</v>
      </c>
    </row>
    <row r="1768" spans="1:57" ht="13" x14ac:dyDescent="0.15">
      <c r="A1768">
        <v>1839</v>
      </c>
      <c r="B1768">
        <v>200544077</v>
      </c>
      <c r="C1768" t="s">
        <v>464</v>
      </c>
      <c r="D1768" s="7">
        <v>44155</v>
      </c>
      <c r="E1768" s="7">
        <v>45701</v>
      </c>
      <c r="F1768">
        <v>330862</v>
      </c>
      <c r="G1768" t="s">
        <v>983</v>
      </c>
      <c r="H1768" t="s">
        <v>9</v>
      </c>
      <c r="I1768" s="7">
        <v>45636</v>
      </c>
      <c r="J1768" s="8">
        <v>0.88598379629629631</v>
      </c>
      <c r="K1768" t="s">
        <v>984</v>
      </c>
      <c r="AQ1768" t="s">
        <v>992</v>
      </c>
      <c r="AR1768" t="s">
        <v>1097</v>
      </c>
      <c r="AT1768" t="s">
        <v>987</v>
      </c>
      <c r="AZ1768" t="s">
        <v>1024</v>
      </c>
      <c r="BA1768" t="s">
        <v>1025</v>
      </c>
      <c r="BB1768" t="s">
        <v>1026</v>
      </c>
      <c r="BD1768" t="s">
        <v>1022</v>
      </c>
      <c r="BE1768" t="s">
        <v>464</v>
      </c>
    </row>
    <row r="1769" spans="1:57" ht="13" x14ac:dyDescent="0.15">
      <c r="A1769">
        <v>1839</v>
      </c>
      <c r="B1769">
        <v>200544077</v>
      </c>
      <c r="C1769" t="s">
        <v>464</v>
      </c>
      <c r="D1769" s="7">
        <v>44155</v>
      </c>
      <c r="E1769" s="7">
        <v>45701</v>
      </c>
      <c r="F1769">
        <v>330862</v>
      </c>
      <c r="G1769" t="s">
        <v>983</v>
      </c>
      <c r="H1769" t="s">
        <v>9</v>
      </c>
      <c r="I1769" s="7">
        <v>45636</v>
      </c>
      <c r="J1769" s="8">
        <v>0.88696759259259261</v>
      </c>
      <c r="K1769" t="s">
        <v>984</v>
      </c>
      <c r="AQ1769" t="s">
        <v>992</v>
      </c>
      <c r="AR1769" t="s">
        <v>1098</v>
      </c>
      <c r="AT1769" t="s">
        <v>987</v>
      </c>
      <c r="AZ1769" t="s">
        <v>1020</v>
      </c>
      <c r="BA1769" t="s">
        <v>1021</v>
      </c>
      <c r="BB1769" t="s">
        <v>1018</v>
      </c>
      <c r="BD1769" t="s">
        <v>1022</v>
      </c>
      <c r="BE1769" t="s">
        <v>464</v>
      </c>
    </row>
    <row r="1770" spans="1:57" ht="13" x14ac:dyDescent="0.15">
      <c r="A1770">
        <v>1839</v>
      </c>
      <c r="B1770">
        <v>200544077</v>
      </c>
      <c r="C1770" t="s">
        <v>464</v>
      </c>
      <c r="D1770" s="7">
        <v>44155</v>
      </c>
      <c r="E1770" s="7">
        <v>45701</v>
      </c>
      <c r="F1770">
        <v>330862</v>
      </c>
      <c r="G1770" t="s">
        <v>983</v>
      </c>
      <c r="H1770" t="s">
        <v>9</v>
      </c>
      <c r="I1770" s="7">
        <v>45675</v>
      </c>
      <c r="J1770" s="8">
        <v>0.3752314814814815</v>
      </c>
      <c r="K1770" t="s">
        <v>984</v>
      </c>
      <c r="AQ1770" t="s">
        <v>992</v>
      </c>
      <c r="AR1770" t="s">
        <v>1492</v>
      </c>
      <c r="AT1770" t="s">
        <v>987</v>
      </c>
      <c r="AZ1770" t="s">
        <v>1493</v>
      </c>
      <c r="BA1770" t="s">
        <v>1494</v>
      </c>
      <c r="BB1770" t="s">
        <v>1495</v>
      </c>
      <c r="BD1770" t="s">
        <v>1005</v>
      </c>
      <c r="BE1770" t="s">
        <v>464</v>
      </c>
    </row>
    <row r="1771" spans="1:57" ht="13" x14ac:dyDescent="0.15">
      <c r="A1771">
        <v>1839</v>
      </c>
      <c r="B1771">
        <v>200544077</v>
      </c>
      <c r="C1771" t="s">
        <v>464</v>
      </c>
      <c r="D1771" s="7">
        <v>44155</v>
      </c>
      <c r="E1771" s="7">
        <v>45701</v>
      </c>
      <c r="F1771">
        <v>330862</v>
      </c>
      <c r="G1771" t="s">
        <v>983</v>
      </c>
      <c r="H1771" t="s">
        <v>9</v>
      </c>
      <c r="I1771" s="7">
        <v>45675</v>
      </c>
      <c r="J1771" s="8">
        <v>0.38039351851851849</v>
      </c>
      <c r="K1771" t="s">
        <v>984</v>
      </c>
      <c r="AQ1771" t="s">
        <v>992</v>
      </c>
      <c r="AR1771" t="s">
        <v>1489</v>
      </c>
      <c r="AT1771" t="s">
        <v>987</v>
      </c>
      <c r="AZ1771" t="s">
        <v>1490</v>
      </c>
      <c r="BA1771" t="s">
        <v>1491</v>
      </c>
      <c r="BB1771" t="s">
        <v>1136</v>
      </c>
      <c r="BD1771" t="s">
        <v>1005</v>
      </c>
      <c r="BE1771" t="s">
        <v>464</v>
      </c>
    </row>
    <row r="1772" spans="1:57" ht="13" x14ac:dyDescent="0.15">
      <c r="A1772">
        <v>1839</v>
      </c>
      <c r="B1772">
        <v>200544077</v>
      </c>
      <c r="C1772" t="s">
        <v>464</v>
      </c>
      <c r="D1772" s="7">
        <v>44155</v>
      </c>
      <c r="E1772" s="7">
        <v>45701</v>
      </c>
      <c r="F1772">
        <v>330862</v>
      </c>
      <c r="G1772" t="s">
        <v>983</v>
      </c>
      <c r="H1772" t="s">
        <v>9</v>
      </c>
      <c r="I1772" s="7">
        <v>45674</v>
      </c>
      <c r="J1772" s="8">
        <v>0.73028935185185184</v>
      </c>
      <c r="K1772" t="s">
        <v>984</v>
      </c>
      <c r="AQ1772" t="s">
        <v>992</v>
      </c>
      <c r="AR1772" t="s">
        <v>1095</v>
      </c>
      <c r="AT1772" t="s">
        <v>987</v>
      </c>
      <c r="AZ1772" t="s">
        <v>1002</v>
      </c>
      <c r="BA1772" t="s">
        <v>1003</v>
      </c>
      <c r="BB1772" t="s">
        <v>1004</v>
      </c>
      <c r="BD1772" t="s">
        <v>1005</v>
      </c>
      <c r="BE1772" t="s">
        <v>464</v>
      </c>
    </row>
    <row r="1773" spans="1:57" ht="13" x14ac:dyDescent="0.15">
      <c r="A1773">
        <v>1839</v>
      </c>
      <c r="B1773">
        <v>200544077</v>
      </c>
      <c r="C1773" t="s">
        <v>464</v>
      </c>
      <c r="D1773" s="7">
        <v>44155</v>
      </c>
      <c r="E1773" s="7">
        <v>45701</v>
      </c>
      <c r="F1773">
        <v>330862</v>
      </c>
      <c r="G1773" t="s">
        <v>983</v>
      </c>
      <c r="H1773" t="s">
        <v>9</v>
      </c>
      <c r="I1773" s="7">
        <v>45674</v>
      </c>
      <c r="J1773" s="8">
        <v>0.74832175925925926</v>
      </c>
      <c r="K1773" t="s">
        <v>984</v>
      </c>
      <c r="AQ1773" t="s">
        <v>992</v>
      </c>
      <c r="AR1773" t="s">
        <v>1107</v>
      </c>
      <c r="AT1773" t="s">
        <v>987</v>
      </c>
      <c r="AZ1773" t="s">
        <v>1007</v>
      </c>
      <c r="BA1773" t="s">
        <v>1008</v>
      </c>
      <c r="BB1773" t="s">
        <v>990</v>
      </c>
      <c r="BD1773" t="s">
        <v>1005</v>
      </c>
      <c r="BE1773" t="s">
        <v>464</v>
      </c>
    </row>
    <row r="1774" spans="1:57" ht="13" x14ac:dyDescent="0.15">
      <c r="A1774">
        <v>1839</v>
      </c>
      <c r="B1774">
        <v>200544077</v>
      </c>
      <c r="C1774" t="s">
        <v>464</v>
      </c>
      <c r="D1774" s="7">
        <v>44155</v>
      </c>
      <c r="E1774" s="7">
        <v>45701</v>
      </c>
      <c r="F1774">
        <v>330862</v>
      </c>
      <c r="G1774" t="s">
        <v>983</v>
      </c>
      <c r="H1774" t="s">
        <v>9</v>
      </c>
      <c r="I1774" s="7">
        <v>45674</v>
      </c>
      <c r="J1774" s="8">
        <v>0.82620370370370366</v>
      </c>
      <c r="K1774" t="s">
        <v>984</v>
      </c>
      <c r="AQ1774" t="s">
        <v>992</v>
      </c>
      <c r="AR1774" t="s">
        <v>1105</v>
      </c>
      <c r="AT1774" t="s">
        <v>987</v>
      </c>
      <c r="AZ1774" t="s">
        <v>1044</v>
      </c>
      <c r="BA1774" t="s">
        <v>1045</v>
      </c>
      <c r="BB1774" t="s">
        <v>990</v>
      </c>
      <c r="BD1774" t="s">
        <v>991</v>
      </c>
      <c r="BE1774" t="s">
        <v>464</v>
      </c>
    </row>
    <row r="1775" spans="1:57" ht="13" x14ac:dyDescent="0.15">
      <c r="A1775">
        <v>1839</v>
      </c>
      <c r="B1775">
        <v>200544077</v>
      </c>
      <c r="C1775" t="s">
        <v>464</v>
      </c>
      <c r="D1775" s="7">
        <v>44155</v>
      </c>
      <c r="E1775" s="7">
        <v>45701</v>
      </c>
      <c r="F1775">
        <v>330862</v>
      </c>
      <c r="G1775" t="s">
        <v>983</v>
      </c>
      <c r="H1775" t="s">
        <v>9</v>
      </c>
      <c r="I1775" s="7">
        <v>45674</v>
      </c>
      <c r="J1775" s="8">
        <v>0.93280092592592589</v>
      </c>
      <c r="K1775" t="s">
        <v>984</v>
      </c>
      <c r="AQ1775" t="s">
        <v>992</v>
      </c>
      <c r="AR1775" t="s">
        <v>1200</v>
      </c>
      <c r="AT1775" t="s">
        <v>987</v>
      </c>
      <c r="AZ1775" t="s">
        <v>1028</v>
      </c>
      <c r="BA1775" t="s">
        <v>1068</v>
      </c>
      <c r="BB1775" t="s">
        <v>1069</v>
      </c>
      <c r="BD1775" t="s">
        <v>1005</v>
      </c>
      <c r="BE1775" t="s">
        <v>464</v>
      </c>
    </row>
    <row r="1776" spans="1:57" ht="13" x14ac:dyDescent="0.15">
      <c r="A1776">
        <v>1839</v>
      </c>
      <c r="B1776">
        <v>200544077</v>
      </c>
      <c r="C1776" t="s">
        <v>464</v>
      </c>
      <c r="D1776" s="7">
        <v>44155</v>
      </c>
      <c r="E1776" s="7">
        <v>45701</v>
      </c>
      <c r="F1776">
        <v>330862</v>
      </c>
      <c r="G1776" t="s">
        <v>983</v>
      </c>
      <c r="H1776" t="s">
        <v>9</v>
      </c>
      <c r="I1776" s="7">
        <v>45674</v>
      </c>
      <c r="J1776" s="8">
        <v>0.93846064814814811</v>
      </c>
      <c r="K1776" t="s">
        <v>984</v>
      </c>
      <c r="AQ1776" t="s">
        <v>992</v>
      </c>
      <c r="AR1776" t="s">
        <v>1232</v>
      </c>
      <c r="AT1776" t="s">
        <v>987</v>
      </c>
      <c r="AZ1776" t="s">
        <v>1071</v>
      </c>
      <c r="BA1776" t="s">
        <v>1072</v>
      </c>
      <c r="BB1776" t="s">
        <v>1048</v>
      </c>
      <c r="BD1776" t="s">
        <v>1005</v>
      </c>
      <c r="BE1776" t="s">
        <v>464</v>
      </c>
    </row>
    <row r="1777" spans="1:57" ht="13" x14ac:dyDescent="0.15">
      <c r="A1777">
        <v>1839</v>
      </c>
      <c r="B1777">
        <v>200544077</v>
      </c>
      <c r="C1777" t="s">
        <v>464</v>
      </c>
      <c r="D1777" s="7">
        <v>44155</v>
      </c>
      <c r="E1777" s="7">
        <v>45701</v>
      </c>
      <c r="F1777">
        <v>330862</v>
      </c>
      <c r="G1777" t="s">
        <v>983</v>
      </c>
      <c r="H1777" t="s">
        <v>9</v>
      </c>
      <c r="I1777" s="7">
        <v>45674</v>
      </c>
      <c r="J1777" s="8">
        <v>0.94182870370370375</v>
      </c>
      <c r="K1777" t="s">
        <v>984</v>
      </c>
      <c r="AQ1777" t="s">
        <v>992</v>
      </c>
      <c r="AR1777" t="s">
        <v>1231</v>
      </c>
      <c r="AT1777" t="s">
        <v>987</v>
      </c>
      <c r="AZ1777" t="s">
        <v>988</v>
      </c>
      <c r="BA1777" t="s">
        <v>1058</v>
      </c>
      <c r="BB1777" t="s">
        <v>1018</v>
      </c>
      <c r="BD1777" t="s">
        <v>1005</v>
      </c>
      <c r="BE1777" t="s">
        <v>464</v>
      </c>
    </row>
    <row r="1778" spans="1:57" ht="13" x14ac:dyDescent="0.15">
      <c r="A1778">
        <v>1839</v>
      </c>
      <c r="B1778">
        <v>200544077</v>
      </c>
      <c r="C1778" t="s">
        <v>464</v>
      </c>
      <c r="D1778" s="7">
        <v>44155</v>
      </c>
      <c r="E1778" s="7">
        <v>45701</v>
      </c>
      <c r="F1778">
        <v>330862</v>
      </c>
      <c r="G1778" t="s">
        <v>983</v>
      </c>
      <c r="H1778" t="s">
        <v>9</v>
      </c>
      <c r="I1778" s="7">
        <v>45674</v>
      </c>
      <c r="J1778" s="8">
        <v>0.94497685185185187</v>
      </c>
      <c r="K1778" t="s">
        <v>984</v>
      </c>
      <c r="AQ1778" t="s">
        <v>992</v>
      </c>
      <c r="AR1778" t="s">
        <v>1229</v>
      </c>
      <c r="AT1778" t="s">
        <v>987</v>
      </c>
      <c r="AZ1778" t="s">
        <v>1020</v>
      </c>
      <c r="BA1778" t="s">
        <v>1230</v>
      </c>
      <c r="BB1778" t="s">
        <v>1018</v>
      </c>
      <c r="BD1778" t="s">
        <v>1005</v>
      </c>
      <c r="BE1778" t="s">
        <v>464</v>
      </c>
    </row>
    <row r="1779" spans="1:57" ht="13" x14ac:dyDescent="0.15">
      <c r="A1779">
        <v>1839</v>
      </c>
      <c r="B1779">
        <v>200544077</v>
      </c>
      <c r="C1779" t="s">
        <v>464</v>
      </c>
      <c r="D1779" s="7">
        <v>44155</v>
      </c>
      <c r="E1779" s="7">
        <v>45701</v>
      </c>
      <c r="F1779">
        <v>330862</v>
      </c>
      <c r="G1779" t="s">
        <v>983</v>
      </c>
      <c r="H1779" t="s">
        <v>9</v>
      </c>
      <c r="I1779" s="7">
        <v>45674</v>
      </c>
      <c r="J1779" s="8">
        <v>0.94836805555555559</v>
      </c>
      <c r="K1779" t="s">
        <v>984</v>
      </c>
      <c r="AQ1779" t="s">
        <v>992</v>
      </c>
      <c r="AR1779" t="s">
        <v>1544</v>
      </c>
      <c r="AT1779" t="s">
        <v>987</v>
      </c>
      <c r="AZ1779" t="s">
        <v>1139</v>
      </c>
      <c r="BA1779" t="s">
        <v>1140</v>
      </c>
      <c r="BB1779" t="s">
        <v>1032</v>
      </c>
      <c r="BD1779" t="s">
        <v>1005</v>
      </c>
      <c r="BE1779" t="s">
        <v>464</v>
      </c>
    </row>
    <row r="1780" spans="1:57" ht="13" x14ac:dyDescent="0.15">
      <c r="A1780">
        <v>1839</v>
      </c>
      <c r="B1780">
        <v>200544077</v>
      </c>
      <c r="C1780" t="s">
        <v>464</v>
      </c>
      <c r="D1780" s="7">
        <v>44155</v>
      </c>
      <c r="E1780" s="7">
        <v>45701</v>
      </c>
      <c r="F1780">
        <v>330862</v>
      </c>
      <c r="G1780" t="s">
        <v>983</v>
      </c>
      <c r="H1780" t="s">
        <v>9</v>
      </c>
      <c r="I1780" s="7">
        <v>45674</v>
      </c>
      <c r="J1780" s="8">
        <v>0.95065972222222217</v>
      </c>
      <c r="K1780" t="s">
        <v>984</v>
      </c>
      <c r="AQ1780" t="s">
        <v>992</v>
      </c>
      <c r="AR1780" t="s">
        <v>1545</v>
      </c>
      <c r="AT1780" t="s">
        <v>987</v>
      </c>
      <c r="AZ1780" t="s">
        <v>1182</v>
      </c>
      <c r="BA1780" t="s">
        <v>1188</v>
      </c>
      <c r="BB1780" t="s">
        <v>1013</v>
      </c>
      <c r="BD1780" t="s">
        <v>1005</v>
      </c>
      <c r="BE1780" t="s">
        <v>464</v>
      </c>
    </row>
    <row r="1781" spans="1:57" ht="13" x14ac:dyDescent="0.15">
      <c r="A1781">
        <v>1839</v>
      </c>
      <c r="B1781">
        <v>200544077</v>
      </c>
      <c r="C1781" t="s">
        <v>464</v>
      </c>
      <c r="D1781" s="7">
        <v>44155</v>
      </c>
      <c r="E1781" s="7">
        <v>45701</v>
      </c>
      <c r="F1781">
        <v>330862</v>
      </c>
      <c r="G1781" t="s">
        <v>983</v>
      </c>
      <c r="H1781" t="s">
        <v>9</v>
      </c>
      <c r="I1781" s="7">
        <v>45674</v>
      </c>
      <c r="J1781" s="8">
        <v>0.95387731481481486</v>
      </c>
      <c r="K1781" t="s">
        <v>984</v>
      </c>
      <c r="AQ1781" t="s">
        <v>992</v>
      </c>
      <c r="AR1781" t="s">
        <v>1546</v>
      </c>
      <c r="AT1781" t="s">
        <v>987</v>
      </c>
      <c r="AZ1781" t="s">
        <v>1028</v>
      </c>
      <c r="BA1781" t="s">
        <v>1236</v>
      </c>
      <c r="BB1781" t="s">
        <v>1237</v>
      </c>
      <c r="BD1781" t="s">
        <v>1005</v>
      </c>
      <c r="BE1781" t="s">
        <v>464</v>
      </c>
    </row>
    <row r="1782" spans="1:57" ht="13" x14ac:dyDescent="0.15">
      <c r="A1782">
        <v>1839</v>
      </c>
      <c r="B1782">
        <v>200544077</v>
      </c>
      <c r="C1782" t="s">
        <v>464</v>
      </c>
      <c r="D1782" s="7">
        <v>44155</v>
      </c>
      <c r="E1782" s="7">
        <v>45701</v>
      </c>
      <c r="F1782">
        <v>330862</v>
      </c>
      <c r="G1782" t="s">
        <v>983</v>
      </c>
      <c r="H1782" t="s">
        <v>9</v>
      </c>
      <c r="I1782" s="7">
        <v>45674</v>
      </c>
      <c r="J1782" s="8">
        <v>0.95741898148148152</v>
      </c>
      <c r="K1782" t="s">
        <v>984</v>
      </c>
      <c r="AQ1782" t="s">
        <v>992</v>
      </c>
      <c r="AR1782" t="s">
        <v>1534</v>
      </c>
      <c r="AT1782" t="s">
        <v>987</v>
      </c>
      <c r="AZ1782" t="s">
        <v>1239</v>
      </c>
      <c r="BA1782" t="s">
        <v>1240</v>
      </c>
      <c r="BB1782" t="s">
        <v>1237</v>
      </c>
      <c r="BD1782" t="s">
        <v>1005</v>
      </c>
      <c r="BE1782" t="s">
        <v>464</v>
      </c>
    </row>
    <row r="1783" spans="1:57" ht="13" x14ac:dyDescent="0.15">
      <c r="A1783">
        <v>1839</v>
      </c>
      <c r="B1783">
        <v>200544077</v>
      </c>
      <c r="C1783" t="s">
        <v>464</v>
      </c>
      <c r="D1783" s="7">
        <v>44155</v>
      </c>
      <c r="E1783" s="7">
        <v>45701</v>
      </c>
      <c r="F1783">
        <v>330862</v>
      </c>
      <c r="G1783" t="s">
        <v>983</v>
      </c>
      <c r="H1783" t="s">
        <v>9</v>
      </c>
      <c r="I1783" s="7">
        <v>45674</v>
      </c>
      <c r="J1783" s="8">
        <v>0.9609375</v>
      </c>
      <c r="K1783" t="s">
        <v>984</v>
      </c>
      <c r="AQ1783" t="s">
        <v>992</v>
      </c>
      <c r="AR1783" t="s">
        <v>1331</v>
      </c>
      <c r="AT1783" t="s">
        <v>987</v>
      </c>
      <c r="AZ1783" t="s">
        <v>1174</v>
      </c>
      <c r="BA1783" t="s">
        <v>1242</v>
      </c>
      <c r="BB1783" t="s">
        <v>1026</v>
      </c>
      <c r="BD1783" t="s">
        <v>1005</v>
      </c>
      <c r="BE1783" t="s">
        <v>464</v>
      </c>
    </row>
    <row r="1784" spans="1:57" ht="13" x14ac:dyDescent="0.15">
      <c r="A1784">
        <v>1839</v>
      </c>
      <c r="B1784">
        <v>200544077</v>
      </c>
      <c r="C1784" t="s">
        <v>464</v>
      </c>
      <c r="D1784" s="7">
        <v>44155</v>
      </c>
      <c r="E1784" s="7">
        <v>45701</v>
      </c>
      <c r="F1784">
        <v>330862</v>
      </c>
      <c r="G1784" t="s">
        <v>983</v>
      </c>
      <c r="H1784" t="s">
        <v>9</v>
      </c>
      <c r="I1784" s="7">
        <v>45674</v>
      </c>
      <c r="J1784" s="8">
        <v>0.97425925925925927</v>
      </c>
      <c r="K1784" t="s">
        <v>984</v>
      </c>
      <c r="AQ1784" t="s">
        <v>992</v>
      </c>
      <c r="AR1784" t="s">
        <v>1105</v>
      </c>
      <c r="AT1784" t="s">
        <v>987</v>
      </c>
      <c r="AZ1784" t="s">
        <v>1044</v>
      </c>
      <c r="BA1784" t="s">
        <v>1045</v>
      </c>
      <c r="BB1784" t="s">
        <v>990</v>
      </c>
      <c r="BD1784" t="s">
        <v>991</v>
      </c>
      <c r="BE1784" t="s">
        <v>464</v>
      </c>
    </row>
    <row r="1785" spans="1:57" ht="13" x14ac:dyDescent="0.15">
      <c r="A1785">
        <v>1839</v>
      </c>
      <c r="B1785">
        <v>200544077</v>
      </c>
      <c r="C1785" t="s">
        <v>464</v>
      </c>
      <c r="D1785" s="7">
        <v>44155</v>
      </c>
      <c r="E1785" s="7">
        <v>45701</v>
      </c>
      <c r="F1785">
        <v>330862</v>
      </c>
      <c r="G1785" t="s">
        <v>983</v>
      </c>
      <c r="H1785" t="s">
        <v>9</v>
      </c>
      <c r="I1785" s="7">
        <v>45674</v>
      </c>
      <c r="J1785" s="8">
        <v>0.98465277777777782</v>
      </c>
      <c r="K1785" t="s">
        <v>984</v>
      </c>
      <c r="AQ1785" t="s">
        <v>992</v>
      </c>
      <c r="AR1785" t="s">
        <v>1547</v>
      </c>
      <c r="AT1785" t="s">
        <v>987</v>
      </c>
      <c r="AZ1785" t="s">
        <v>1002</v>
      </c>
      <c r="BA1785" t="s">
        <v>1124</v>
      </c>
      <c r="BB1785" t="s">
        <v>1125</v>
      </c>
      <c r="BD1785" t="s">
        <v>1005</v>
      </c>
      <c r="BE1785" t="s">
        <v>464</v>
      </c>
    </row>
    <row r="1786" spans="1:57" ht="13" x14ac:dyDescent="0.15">
      <c r="A1786">
        <v>1839</v>
      </c>
      <c r="B1786">
        <v>200544077</v>
      </c>
      <c r="C1786" t="s">
        <v>464</v>
      </c>
      <c r="D1786" s="7">
        <v>44155</v>
      </c>
      <c r="E1786" s="7">
        <v>45701</v>
      </c>
      <c r="F1786">
        <v>330862</v>
      </c>
      <c r="G1786" t="s">
        <v>983</v>
      </c>
      <c r="H1786" t="s">
        <v>9</v>
      </c>
      <c r="I1786" s="7">
        <v>45636</v>
      </c>
      <c r="J1786" s="8">
        <v>0.86442129629629627</v>
      </c>
      <c r="K1786" t="s">
        <v>984</v>
      </c>
      <c r="AQ1786" t="s">
        <v>992</v>
      </c>
      <c r="AR1786" t="s">
        <v>1096</v>
      </c>
      <c r="AT1786" t="s">
        <v>987</v>
      </c>
      <c r="AZ1786" t="s">
        <v>1011</v>
      </c>
      <c r="BA1786" t="s">
        <v>1031</v>
      </c>
      <c r="BB1786" t="s">
        <v>1032</v>
      </c>
      <c r="BD1786" t="s">
        <v>1005</v>
      </c>
      <c r="BE1786" t="s">
        <v>464</v>
      </c>
    </row>
    <row r="1787" spans="1:57" ht="13" x14ac:dyDescent="0.15">
      <c r="A1787">
        <v>1839</v>
      </c>
      <c r="B1787">
        <v>200544077</v>
      </c>
      <c r="C1787" t="s">
        <v>464</v>
      </c>
      <c r="D1787" s="7">
        <v>44155</v>
      </c>
      <c r="E1787" s="7">
        <v>45701</v>
      </c>
      <c r="F1787">
        <v>330862</v>
      </c>
      <c r="G1787" t="s">
        <v>983</v>
      </c>
      <c r="H1787" t="s">
        <v>9</v>
      </c>
      <c r="I1787" s="7">
        <v>45636</v>
      </c>
      <c r="J1787" s="8">
        <v>0.8790162037037037</v>
      </c>
      <c r="K1787" t="s">
        <v>984</v>
      </c>
      <c r="AQ1787" t="s">
        <v>992</v>
      </c>
      <c r="AR1787" t="s">
        <v>1262</v>
      </c>
      <c r="AT1787" t="s">
        <v>987</v>
      </c>
      <c r="AZ1787" t="s">
        <v>1028</v>
      </c>
      <c r="BA1787" t="s">
        <v>1029</v>
      </c>
      <c r="BB1787" t="s">
        <v>1018</v>
      </c>
      <c r="BD1787" t="s">
        <v>1022</v>
      </c>
      <c r="BE1787" t="s">
        <v>464</v>
      </c>
    </row>
    <row r="1788" spans="1:57" ht="13" x14ac:dyDescent="0.15">
      <c r="A1788">
        <v>1839</v>
      </c>
      <c r="B1788">
        <v>200544077</v>
      </c>
      <c r="C1788" t="s">
        <v>464</v>
      </c>
      <c r="D1788" s="7">
        <v>44155</v>
      </c>
      <c r="E1788" s="7">
        <v>45701</v>
      </c>
      <c r="F1788">
        <v>330862</v>
      </c>
      <c r="G1788" t="s">
        <v>983</v>
      </c>
      <c r="H1788" t="s">
        <v>9</v>
      </c>
      <c r="I1788" s="7">
        <v>45677</v>
      </c>
      <c r="J1788" s="8">
        <v>0.64943287037037034</v>
      </c>
      <c r="K1788" t="s">
        <v>984</v>
      </c>
      <c r="AQ1788" t="s">
        <v>992</v>
      </c>
      <c r="AR1788" t="s">
        <v>1083</v>
      </c>
      <c r="AT1788" t="s">
        <v>987</v>
      </c>
      <c r="AZ1788" t="s">
        <v>1011</v>
      </c>
      <c r="BA1788" t="s">
        <v>1012</v>
      </c>
      <c r="BB1788" t="s">
        <v>1013</v>
      </c>
      <c r="BD1788" t="s">
        <v>1014</v>
      </c>
      <c r="BE1788" t="s">
        <v>464</v>
      </c>
    </row>
    <row r="1789" spans="1:57" ht="13" x14ac:dyDescent="0.15">
      <c r="A1789">
        <v>1839</v>
      </c>
      <c r="B1789">
        <v>200544077</v>
      </c>
      <c r="C1789" t="s">
        <v>464</v>
      </c>
      <c r="D1789" s="7">
        <v>44155</v>
      </c>
      <c r="E1789" s="7">
        <v>45701</v>
      </c>
      <c r="F1789">
        <v>330862</v>
      </c>
      <c r="G1789" t="s">
        <v>983</v>
      </c>
      <c r="H1789" t="s">
        <v>9</v>
      </c>
      <c r="I1789" s="7">
        <v>45694</v>
      </c>
      <c r="J1789" s="8">
        <v>0.35568287037037039</v>
      </c>
      <c r="K1789" t="s">
        <v>984</v>
      </c>
      <c r="AQ1789" t="s">
        <v>992</v>
      </c>
      <c r="AR1789" t="s">
        <v>1066</v>
      </c>
      <c r="AT1789" t="s">
        <v>987</v>
      </c>
      <c r="AZ1789" t="s">
        <v>988</v>
      </c>
      <c r="BA1789" t="s">
        <v>989</v>
      </c>
      <c r="BB1789" t="s">
        <v>990</v>
      </c>
      <c r="BD1789" t="s">
        <v>991</v>
      </c>
      <c r="BE1789" t="s">
        <v>464</v>
      </c>
    </row>
    <row r="1790" spans="1:57" ht="13" x14ac:dyDescent="0.15">
      <c r="A1790">
        <v>1839</v>
      </c>
      <c r="B1790">
        <v>200545729</v>
      </c>
      <c r="C1790" t="s">
        <v>465</v>
      </c>
      <c r="D1790" s="7">
        <v>44155</v>
      </c>
      <c r="E1790" s="7">
        <v>45694</v>
      </c>
      <c r="F1790">
        <v>330862</v>
      </c>
      <c r="G1790" t="s">
        <v>983</v>
      </c>
      <c r="H1790" t="s">
        <v>9</v>
      </c>
      <c r="I1790" s="7">
        <v>45694</v>
      </c>
      <c r="J1790" s="8">
        <v>0.38535879629629627</v>
      </c>
      <c r="K1790" t="s">
        <v>984</v>
      </c>
      <c r="AQ1790" t="s">
        <v>992</v>
      </c>
      <c r="AR1790" t="s">
        <v>993</v>
      </c>
      <c r="AT1790" t="s">
        <v>987</v>
      </c>
      <c r="AZ1790" t="s">
        <v>988</v>
      </c>
      <c r="BA1790" t="s">
        <v>989</v>
      </c>
      <c r="BB1790" t="s">
        <v>990</v>
      </c>
      <c r="BD1790" t="s">
        <v>991</v>
      </c>
      <c r="BE1790" t="s">
        <v>465</v>
      </c>
    </row>
    <row r="1791" spans="1:57" ht="13" x14ac:dyDescent="0.15">
      <c r="A1791">
        <v>1839</v>
      </c>
      <c r="B1791">
        <v>200809966</v>
      </c>
      <c r="C1791" t="s">
        <v>466</v>
      </c>
      <c r="D1791" s="7">
        <v>44161</v>
      </c>
      <c r="E1791" s="7">
        <v>45696</v>
      </c>
      <c r="F1791">
        <v>330862</v>
      </c>
      <c r="G1791" t="s">
        <v>983</v>
      </c>
      <c r="H1791" t="s">
        <v>9</v>
      </c>
      <c r="I1791" s="7">
        <v>45696</v>
      </c>
      <c r="J1791" s="8">
        <v>0.61495370370370372</v>
      </c>
      <c r="K1791" t="s">
        <v>984</v>
      </c>
      <c r="AQ1791" t="s">
        <v>1090</v>
      </c>
      <c r="AR1791" t="s">
        <v>1046</v>
      </c>
      <c r="AT1791" t="s">
        <v>987</v>
      </c>
      <c r="AZ1791" t="s">
        <v>1024</v>
      </c>
      <c r="BA1791" t="s">
        <v>1047</v>
      </c>
      <c r="BB1791" t="s">
        <v>1048</v>
      </c>
      <c r="BD1791" t="s">
        <v>1014</v>
      </c>
      <c r="BE1791" t="s">
        <v>466</v>
      </c>
    </row>
    <row r="1792" spans="1:57" ht="13" x14ac:dyDescent="0.15">
      <c r="A1792">
        <v>1839</v>
      </c>
      <c r="B1792">
        <v>201190809</v>
      </c>
      <c r="C1792" t="s">
        <v>467</v>
      </c>
      <c r="D1792" s="7">
        <v>44169</v>
      </c>
      <c r="E1792" s="7">
        <v>45700</v>
      </c>
      <c r="F1792">
        <v>330862</v>
      </c>
      <c r="G1792" t="s">
        <v>983</v>
      </c>
      <c r="H1792" t="s">
        <v>9</v>
      </c>
      <c r="I1792" s="7">
        <v>45694</v>
      </c>
      <c r="J1792" s="8">
        <v>0.39880787037037035</v>
      </c>
      <c r="K1792" t="s">
        <v>984</v>
      </c>
      <c r="AQ1792" t="s">
        <v>998</v>
      </c>
      <c r="AR1792" t="s">
        <v>993</v>
      </c>
      <c r="AT1792" t="s">
        <v>987</v>
      </c>
      <c r="AZ1792" t="s">
        <v>988</v>
      </c>
      <c r="BA1792" t="s">
        <v>989</v>
      </c>
      <c r="BB1792" t="s">
        <v>990</v>
      </c>
      <c r="BD1792" t="s">
        <v>991</v>
      </c>
      <c r="BE1792" t="s">
        <v>467</v>
      </c>
    </row>
    <row r="1793" spans="1:57" ht="13" x14ac:dyDescent="0.15">
      <c r="A1793">
        <v>1839</v>
      </c>
      <c r="B1793">
        <v>201561805</v>
      </c>
      <c r="C1793" t="s">
        <v>468</v>
      </c>
      <c r="D1793" s="7">
        <v>44179</v>
      </c>
      <c r="E1793" s="7">
        <v>45701</v>
      </c>
      <c r="F1793">
        <v>330862</v>
      </c>
      <c r="G1793" t="s">
        <v>983</v>
      </c>
      <c r="H1793" t="s">
        <v>9</v>
      </c>
      <c r="I1793" s="7">
        <v>45694</v>
      </c>
      <c r="J1793" s="8">
        <v>0.40585648148148146</v>
      </c>
      <c r="K1793" t="s">
        <v>984</v>
      </c>
      <c r="AQ1793" t="s">
        <v>1042</v>
      </c>
      <c r="AR1793" t="s">
        <v>1066</v>
      </c>
      <c r="AT1793" t="s">
        <v>987</v>
      </c>
      <c r="AZ1793" t="s">
        <v>988</v>
      </c>
      <c r="BA1793" t="s">
        <v>989</v>
      </c>
      <c r="BB1793" t="s">
        <v>990</v>
      </c>
      <c r="BD1793" t="s">
        <v>991</v>
      </c>
      <c r="BE1793" t="s">
        <v>468</v>
      </c>
    </row>
    <row r="1794" spans="1:57" ht="13" x14ac:dyDescent="0.15">
      <c r="A1794">
        <v>1839</v>
      </c>
      <c r="B1794">
        <v>201561805</v>
      </c>
      <c r="C1794" t="s">
        <v>468</v>
      </c>
      <c r="D1794" s="7">
        <v>44179</v>
      </c>
      <c r="E1794" s="7">
        <v>45701</v>
      </c>
      <c r="F1794">
        <v>330862</v>
      </c>
      <c r="G1794" t="s">
        <v>983</v>
      </c>
      <c r="H1794" t="s">
        <v>9</v>
      </c>
      <c r="I1794" s="7">
        <v>45686</v>
      </c>
      <c r="J1794" s="8">
        <v>0.61524305555555558</v>
      </c>
      <c r="K1794" t="s">
        <v>984</v>
      </c>
      <c r="AQ1794" t="s">
        <v>998</v>
      </c>
      <c r="AR1794" t="s">
        <v>1114</v>
      </c>
      <c r="AT1794" t="s">
        <v>987</v>
      </c>
      <c r="AZ1794" t="s">
        <v>1011</v>
      </c>
      <c r="BA1794" t="s">
        <v>1012</v>
      </c>
      <c r="BB1794" t="s">
        <v>1013</v>
      </c>
      <c r="BD1794" t="s">
        <v>1014</v>
      </c>
      <c r="BE1794" t="s">
        <v>468</v>
      </c>
    </row>
    <row r="1795" spans="1:57" ht="13" x14ac:dyDescent="0.15">
      <c r="A1795">
        <v>1839</v>
      </c>
      <c r="B1795">
        <v>201872392</v>
      </c>
      <c r="C1795" t="s">
        <v>469</v>
      </c>
      <c r="D1795" s="7">
        <v>44187</v>
      </c>
      <c r="E1795" s="7">
        <v>45698</v>
      </c>
      <c r="F1795">
        <v>330862</v>
      </c>
      <c r="G1795" t="s">
        <v>983</v>
      </c>
      <c r="H1795" t="s">
        <v>9</v>
      </c>
      <c r="I1795" s="7">
        <v>45698</v>
      </c>
      <c r="J1795" s="8">
        <v>0.49394675925925924</v>
      </c>
      <c r="K1795" t="s">
        <v>984</v>
      </c>
      <c r="AQ1795" t="s">
        <v>1090</v>
      </c>
      <c r="AR1795" t="s">
        <v>994</v>
      </c>
      <c r="AT1795" t="s">
        <v>987</v>
      </c>
      <c r="AZ1795" t="s">
        <v>1011</v>
      </c>
      <c r="BA1795" t="s">
        <v>1012</v>
      </c>
      <c r="BB1795" t="s">
        <v>1013</v>
      </c>
      <c r="BD1795" t="s">
        <v>1014</v>
      </c>
      <c r="BE1795" t="s">
        <v>469</v>
      </c>
    </row>
    <row r="1796" spans="1:57" ht="13" x14ac:dyDescent="0.15">
      <c r="A1796">
        <v>1839</v>
      </c>
      <c r="B1796">
        <v>201874257</v>
      </c>
      <c r="C1796" t="s">
        <v>470</v>
      </c>
      <c r="D1796" s="7">
        <v>44187</v>
      </c>
      <c r="E1796" s="7">
        <v>45696</v>
      </c>
      <c r="F1796">
        <v>330862</v>
      </c>
      <c r="G1796" t="s">
        <v>983</v>
      </c>
      <c r="H1796" t="s">
        <v>9</v>
      </c>
      <c r="I1796" s="7">
        <v>45693</v>
      </c>
      <c r="J1796" s="8">
        <v>0.4102662037037037</v>
      </c>
      <c r="K1796" t="s">
        <v>984</v>
      </c>
      <c r="AQ1796" t="s">
        <v>998</v>
      </c>
      <c r="AR1796" t="s">
        <v>1269</v>
      </c>
      <c r="AT1796" t="s">
        <v>987</v>
      </c>
      <c r="AZ1796" t="s">
        <v>1011</v>
      </c>
      <c r="BA1796" t="s">
        <v>1012</v>
      </c>
      <c r="BB1796" t="s">
        <v>1013</v>
      </c>
      <c r="BD1796" t="s">
        <v>1014</v>
      </c>
      <c r="BE1796" t="s">
        <v>470</v>
      </c>
    </row>
    <row r="1797" spans="1:57" ht="13" x14ac:dyDescent="0.15">
      <c r="A1797">
        <v>1839</v>
      </c>
      <c r="B1797">
        <v>201874257</v>
      </c>
      <c r="C1797" t="s">
        <v>470</v>
      </c>
      <c r="D1797" s="7">
        <v>44187</v>
      </c>
      <c r="E1797" s="7">
        <v>45696</v>
      </c>
      <c r="F1797">
        <v>330862</v>
      </c>
      <c r="G1797" t="s">
        <v>983</v>
      </c>
      <c r="H1797" t="s">
        <v>9</v>
      </c>
      <c r="I1797" s="7">
        <v>45694</v>
      </c>
      <c r="J1797" s="8">
        <v>0.37907407407407406</v>
      </c>
      <c r="K1797" t="s">
        <v>984</v>
      </c>
      <c r="AQ1797" t="s">
        <v>998</v>
      </c>
      <c r="AR1797" t="s">
        <v>986</v>
      </c>
      <c r="AT1797" t="s">
        <v>987</v>
      </c>
      <c r="AZ1797" t="s">
        <v>988</v>
      </c>
      <c r="BA1797" t="s">
        <v>989</v>
      </c>
      <c r="BB1797" t="s">
        <v>990</v>
      </c>
      <c r="BD1797" t="s">
        <v>991</v>
      </c>
      <c r="BE1797" t="s">
        <v>470</v>
      </c>
    </row>
    <row r="1798" spans="1:57" ht="13" x14ac:dyDescent="0.15">
      <c r="A1798">
        <v>1839</v>
      </c>
      <c r="B1798">
        <v>202305675</v>
      </c>
      <c r="C1798" t="s">
        <v>471</v>
      </c>
      <c r="D1798" s="7">
        <v>44204</v>
      </c>
      <c r="E1798" s="7">
        <v>45699</v>
      </c>
      <c r="F1798">
        <v>330862</v>
      </c>
      <c r="G1798" t="s">
        <v>983</v>
      </c>
      <c r="H1798" t="s">
        <v>9</v>
      </c>
      <c r="I1798" s="7">
        <v>45635</v>
      </c>
      <c r="J1798" s="8">
        <v>9.571759259259259E-2</v>
      </c>
      <c r="K1798" t="s">
        <v>984</v>
      </c>
      <c r="AQ1798" t="s">
        <v>1090</v>
      </c>
      <c r="AR1798" t="s">
        <v>1208</v>
      </c>
      <c r="AT1798" t="s">
        <v>987</v>
      </c>
      <c r="AZ1798" t="s">
        <v>1011</v>
      </c>
      <c r="BA1798" t="s">
        <v>1031</v>
      </c>
      <c r="BB1798" t="s">
        <v>1032</v>
      </c>
      <c r="BD1798" t="s">
        <v>1005</v>
      </c>
      <c r="BE1798" t="s">
        <v>471</v>
      </c>
    </row>
    <row r="1799" spans="1:57" ht="13" x14ac:dyDescent="0.15">
      <c r="A1799">
        <v>1839</v>
      </c>
      <c r="B1799">
        <v>202305675</v>
      </c>
      <c r="C1799" t="s">
        <v>471</v>
      </c>
      <c r="D1799" s="7">
        <v>44204</v>
      </c>
      <c r="E1799" s="7">
        <v>45699</v>
      </c>
      <c r="F1799">
        <v>330862</v>
      </c>
      <c r="G1799" t="s">
        <v>983</v>
      </c>
      <c r="H1799" t="s">
        <v>9</v>
      </c>
      <c r="I1799" s="7">
        <v>45635</v>
      </c>
      <c r="J1799" s="8">
        <v>0.10127314814814815</v>
      </c>
      <c r="K1799" t="s">
        <v>984</v>
      </c>
      <c r="AQ1799" t="s">
        <v>1090</v>
      </c>
      <c r="AR1799" t="s">
        <v>1208</v>
      </c>
      <c r="AT1799" t="s">
        <v>987</v>
      </c>
      <c r="AZ1799" t="s">
        <v>1011</v>
      </c>
      <c r="BA1799" t="s">
        <v>1031</v>
      </c>
      <c r="BB1799" t="s">
        <v>1032</v>
      </c>
      <c r="BD1799" t="s">
        <v>1005</v>
      </c>
      <c r="BE1799" t="s">
        <v>471</v>
      </c>
    </row>
    <row r="1800" spans="1:57" ht="13" x14ac:dyDescent="0.15">
      <c r="A1800">
        <v>1839</v>
      </c>
      <c r="B1800">
        <v>202305675</v>
      </c>
      <c r="C1800" t="s">
        <v>471</v>
      </c>
      <c r="D1800" s="7">
        <v>44204</v>
      </c>
      <c r="E1800" s="7">
        <v>45699</v>
      </c>
      <c r="F1800">
        <v>330862</v>
      </c>
      <c r="G1800" t="s">
        <v>983</v>
      </c>
      <c r="H1800" t="s">
        <v>9</v>
      </c>
      <c r="I1800" s="7">
        <v>45657</v>
      </c>
      <c r="J1800" s="8">
        <v>6.637731481481482E-2</v>
      </c>
      <c r="K1800" t="s">
        <v>984</v>
      </c>
      <c r="AQ1800" t="s">
        <v>1090</v>
      </c>
      <c r="AR1800" t="s">
        <v>1705</v>
      </c>
      <c r="AT1800" t="s">
        <v>987</v>
      </c>
      <c r="AZ1800" t="s">
        <v>1002</v>
      </c>
      <c r="BA1800" t="s">
        <v>1003</v>
      </c>
      <c r="BB1800" t="s">
        <v>1004</v>
      </c>
      <c r="BD1800" t="s">
        <v>1005</v>
      </c>
      <c r="BE1800" t="s">
        <v>471</v>
      </c>
    </row>
    <row r="1801" spans="1:57" ht="13" x14ac:dyDescent="0.15">
      <c r="A1801">
        <v>1839</v>
      </c>
      <c r="B1801">
        <v>202305675</v>
      </c>
      <c r="C1801" t="s">
        <v>471</v>
      </c>
      <c r="D1801" s="7">
        <v>44204</v>
      </c>
      <c r="E1801" s="7">
        <v>45699</v>
      </c>
      <c r="F1801">
        <v>330862</v>
      </c>
      <c r="G1801" t="s">
        <v>983</v>
      </c>
      <c r="H1801" t="s">
        <v>9</v>
      </c>
      <c r="I1801" s="7">
        <v>45657</v>
      </c>
      <c r="J1801" s="8">
        <v>7.0428240740740736E-2</v>
      </c>
      <c r="K1801" t="s">
        <v>984</v>
      </c>
      <c r="AQ1801" t="s">
        <v>1090</v>
      </c>
      <c r="AR1801" t="s">
        <v>1705</v>
      </c>
      <c r="AT1801" t="s">
        <v>987</v>
      </c>
      <c r="AZ1801" t="s">
        <v>1002</v>
      </c>
      <c r="BA1801" t="s">
        <v>1003</v>
      </c>
      <c r="BB1801" t="s">
        <v>1004</v>
      </c>
      <c r="BD1801" t="s">
        <v>1005</v>
      </c>
      <c r="BE1801" t="s">
        <v>471</v>
      </c>
    </row>
    <row r="1802" spans="1:57" ht="13" x14ac:dyDescent="0.15">
      <c r="A1802">
        <v>1839</v>
      </c>
      <c r="B1802">
        <v>202305675</v>
      </c>
      <c r="C1802" t="s">
        <v>471</v>
      </c>
      <c r="D1802" s="7">
        <v>44204</v>
      </c>
      <c r="E1802" s="7">
        <v>45699</v>
      </c>
      <c r="F1802">
        <v>330862</v>
      </c>
      <c r="G1802" t="s">
        <v>983</v>
      </c>
      <c r="H1802" t="s">
        <v>9</v>
      </c>
      <c r="I1802" s="7">
        <v>45658</v>
      </c>
      <c r="J1802" s="8">
        <v>0.71271990740740743</v>
      </c>
      <c r="K1802" t="s">
        <v>984</v>
      </c>
      <c r="AQ1802" t="s">
        <v>1090</v>
      </c>
      <c r="AR1802" t="s">
        <v>1342</v>
      </c>
      <c r="AT1802" t="s">
        <v>987</v>
      </c>
      <c r="AZ1802" t="s">
        <v>1002</v>
      </c>
      <c r="BA1802" t="s">
        <v>1003</v>
      </c>
      <c r="BB1802" t="s">
        <v>1004</v>
      </c>
      <c r="BD1802" t="s">
        <v>1005</v>
      </c>
      <c r="BE1802" t="s">
        <v>471</v>
      </c>
    </row>
    <row r="1803" spans="1:57" ht="13" x14ac:dyDescent="0.15">
      <c r="A1803">
        <v>1839</v>
      </c>
      <c r="B1803">
        <v>202305675</v>
      </c>
      <c r="C1803" t="s">
        <v>471</v>
      </c>
      <c r="D1803" s="7">
        <v>44204</v>
      </c>
      <c r="E1803" s="7">
        <v>45699</v>
      </c>
      <c r="F1803">
        <v>330862</v>
      </c>
      <c r="G1803" t="s">
        <v>983</v>
      </c>
      <c r="H1803" t="s">
        <v>9</v>
      </c>
      <c r="I1803" s="7">
        <v>45663</v>
      </c>
      <c r="J1803" s="8">
        <v>2.5150462962962961E-2</v>
      </c>
      <c r="K1803" t="s">
        <v>984</v>
      </c>
      <c r="AQ1803" t="s">
        <v>1090</v>
      </c>
      <c r="AR1803" t="s">
        <v>1766</v>
      </c>
      <c r="AT1803" t="s">
        <v>987</v>
      </c>
      <c r="AZ1803" t="s">
        <v>1002</v>
      </c>
      <c r="BA1803" t="s">
        <v>1124</v>
      </c>
      <c r="BB1803" t="s">
        <v>1125</v>
      </c>
      <c r="BD1803" t="s">
        <v>1005</v>
      </c>
      <c r="BE1803" t="s">
        <v>471</v>
      </c>
    </row>
    <row r="1804" spans="1:57" ht="13" x14ac:dyDescent="0.15">
      <c r="A1804">
        <v>1839</v>
      </c>
      <c r="B1804">
        <v>202305675</v>
      </c>
      <c r="C1804" t="s">
        <v>471</v>
      </c>
      <c r="D1804" s="7">
        <v>44204</v>
      </c>
      <c r="E1804" s="7">
        <v>45699</v>
      </c>
      <c r="F1804">
        <v>330862</v>
      </c>
      <c r="G1804" t="s">
        <v>983</v>
      </c>
      <c r="H1804" t="s">
        <v>9</v>
      </c>
      <c r="I1804" s="7">
        <v>45663</v>
      </c>
      <c r="J1804" s="8">
        <v>2.9849537037037036E-2</v>
      </c>
      <c r="K1804" t="s">
        <v>984</v>
      </c>
      <c r="AQ1804" t="s">
        <v>1090</v>
      </c>
      <c r="AR1804" t="s">
        <v>1766</v>
      </c>
      <c r="AT1804" t="s">
        <v>987</v>
      </c>
      <c r="AZ1804" t="s">
        <v>1002</v>
      </c>
      <c r="BA1804" t="s">
        <v>1124</v>
      </c>
      <c r="BB1804" t="s">
        <v>1125</v>
      </c>
      <c r="BD1804" t="s">
        <v>1005</v>
      </c>
      <c r="BE1804" t="s">
        <v>471</v>
      </c>
    </row>
    <row r="1805" spans="1:57" ht="13" x14ac:dyDescent="0.15">
      <c r="A1805">
        <v>1839</v>
      </c>
      <c r="B1805">
        <v>202305675</v>
      </c>
      <c r="C1805" t="s">
        <v>471</v>
      </c>
      <c r="D1805" s="7">
        <v>44204</v>
      </c>
      <c r="E1805" s="7">
        <v>45699</v>
      </c>
      <c r="F1805">
        <v>330862</v>
      </c>
      <c r="G1805" t="s">
        <v>983</v>
      </c>
      <c r="H1805" t="s">
        <v>9</v>
      </c>
      <c r="I1805" s="7">
        <v>45699</v>
      </c>
      <c r="J1805" s="8">
        <v>3.7060185185185182E-2</v>
      </c>
      <c r="K1805" t="s">
        <v>984</v>
      </c>
      <c r="AQ1805" t="s">
        <v>1090</v>
      </c>
      <c r="AR1805" t="s">
        <v>1265</v>
      </c>
      <c r="AT1805" t="s">
        <v>987</v>
      </c>
      <c r="AZ1805" t="s">
        <v>1002</v>
      </c>
      <c r="BA1805" t="s">
        <v>1040</v>
      </c>
      <c r="BB1805" t="s">
        <v>1041</v>
      </c>
      <c r="BD1805" t="s">
        <v>991</v>
      </c>
      <c r="BE1805" t="s">
        <v>471</v>
      </c>
    </row>
    <row r="1806" spans="1:57" ht="13" x14ac:dyDescent="0.15">
      <c r="A1806">
        <v>1839</v>
      </c>
      <c r="B1806">
        <v>202305675</v>
      </c>
      <c r="C1806" t="s">
        <v>471</v>
      </c>
      <c r="D1806" s="7">
        <v>44204</v>
      </c>
      <c r="E1806" s="7">
        <v>45699</v>
      </c>
      <c r="F1806">
        <v>330862</v>
      </c>
      <c r="G1806" t="s">
        <v>983</v>
      </c>
      <c r="H1806" t="s">
        <v>9</v>
      </c>
      <c r="I1806" s="7">
        <v>45677</v>
      </c>
      <c r="J1806" s="8">
        <v>0.98846064814814816</v>
      </c>
      <c r="K1806" t="s">
        <v>984</v>
      </c>
      <c r="AQ1806" t="s">
        <v>1090</v>
      </c>
      <c r="AR1806" t="s">
        <v>1050</v>
      </c>
      <c r="AT1806" t="s">
        <v>987</v>
      </c>
      <c r="AZ1806" t="s">
        <v>1011</v>
      </c>
      <c r="BA1806" t="s">
        <v>1012</v>
      </c>
      <c r="BB1806" t="s">
        <v>1013</v>
      </c>
      <c r="BD1806" t="s">
        <v>1014</v>
      </c>
      <c r="BE1806" t="s">
        <v>471</v>
      </c>
    </row>
    <row r="1807" spans="1:57" ht="13" x14ac:dyDescent="0.15">
      <c r="A1807">
        <v>1839</v>
      </c>
      <c r="B1807">
        <v>202305675</v>
      </c>
      <c r="C1807" t="s">
        <v>471</v>
      </c>
      <c r="D1807" s="7">
        <v>44204</v>
      </c>
      <c r="E1807" s="7">
        <v>45699</v>
      </c>
      <c r="F1807">
        <v>330862</v>
      </c>
      <c r="G1807" t="s">
        <v>983</v>
      </c>
      <c r="H1807" t="s">
        <v>9</v>
      </c>
      <c r="I1807" s="7">
        <v>45637</v>
      </c>
      <c r="J1807" s="8">
        <v>0.12162037037037036</v>
      </c>
      <c r="K1807" t="s">
        <v>984</v>
      </c>
      <c r="AQ1807" t="s">
        <v>1090</v>
      </c>
      <c r="AR1807" t="s">
        <v>1418</v>
      </c>
      <c r="AT1807" t="s">
        <v>987</v>
      </c>
      <c r="AZ1807" t="s">
        <v>1028</v>
      </c>
      <c r="BA1807" t="s">
        <v>1029</v>
      </c>
      <c r="BB1807" t="s">
        <v>1018</v>
      </c>
      <c r="BD1807" t="s">
        <v>1022</v>
      </c>
      <c r="BE1807" t="s">
        <v>471</v>
      </c>
    </row>
    <row r="1808" spans="1:57" ht="13" x14ac:dyDescent="0.15">
      <c r="A1808">
        <v>1839</v>
      </c>
      <c r="B1808">
        <v>202305675</v>
      </c>
      <c r="C1808" t="s">
        <v>471</v>
      </c>
      <c r="D1808" s="7">
        <v>44204</v>
      </c>
      <c r="E1808" s="7">
        <v>45699</v>
      </c>
      <c r="F1808">
        <v>336444</v>
      </c>
      <c r="G1808" t="s">
        <v>995</v>
      </c>
      <c r="H1808" t="s">
        <v>12</v>
      </c>
      <c r="I1808" s="7">
        <v>45635</v>
      </c>
      <c r="J1808" s="8">
        <v>0.11478009259259259</v>
      </c>
      <c r="K1808" t="s">
        <v>984</v>
      </c>
      <c r="AQ1808" t="s">
        <v>996</v>
      </c>
      <c r="BE1808" t="s">
        <v>471</v>
      </c>
    </row>
    <row r="1809" spans="1:57" ht="13" x14ac:dyDescent="0.15">
      <c r="A1809">
        <v>1839</v>
      </c>
      <c r="B1809">
        <v>202543547</v>
      </c>
      <c r="C1809" t="s">
        <v>472</v>
      </c>
      <c r="D1809" s="7">
        <v>44211</v>
      </c>
      <c r="E1809" s="7">
        <v>45696</v>
      </c>
      <c r="F1809">
        <v>330862</v>
      </c>
      <c r="G1809" t="s">
        <v>983</v>
      </c>
      <c r="H1809" t="s">
        <v>9</v>
      </c>
      <c r="I1809" s="7">
        <v>45636</v>
      </c>
      <c r="J1809" s="8">
        <v>0.51858796296296295</v>
      </c>
      <c r="K1809" t="s">
        <v>984</v>
      </c>
      <c r="AQ1809" t="s">
        <v>992</v>
      </c>
      <c r="AR1809" t="s">
        <v>1262</v>
      </c>
      <c r="AT1809" t="s">
        <v>987</v>
      </c>
      <c r="AZ1809" t="s">
        <v>1028</v>
      </c>
      <c r="BA1809" t="s">
        <v>1029</v>
      </c>
      <c r="BB1809" t="s">
        <v>1018</v>
      </c>
      <c r="BD1809" t="s">
        <v>1022</v>
      </c>
      <c r="BE1809" t="s">
        <v>472</v>
      </c>
    </row>
    <row r="1810" spans="1:57" ht="13" x14ac:dyDescent="0.15">
      <c r="A1810">
        <v>1839</v>
      </c>
      <c r="B1810">
        <v>202543547</v>
      </c>
      <c r="C1810" t="s">
        <v>472</v>
      </c>
      <c r="D1810" s="7">
        <v>44211</v>
      </c>
      <c r="E1810" s="7">
        <v>45696</v>
      </c>
      <c r="F1810">
        <v>330862</v>
      </c>
      <c r="G1810" t="s">
        <v>983</v>
      </c>
      <c r="H1810" t="s">
        <v>9</v>
      </c>
      <c r="I1810" s="7">
        <v>45636</v>
      </c>
      <c r="J1810" s="8">
        <v>0.51673611111111106</v>
      </c>
      <c r="K1810" t="s">
        <v>984</v>
      </c>
      <c r="AQ1810" t="s">
        <v>992</v>
      </c>
      <c r="AR1810" t="s">
        <v>1096</v>
      </c>
      <c r="AT1810" t="s">
        <v>987</v>
      </c>
      <c r="AZ1810" t="s">
        <v>1011</v>
      </c>
      <c r="BA1810" t="s">
        <v>1031</v>
      </c>
      <c r="BB1810" t="s">
        <v>1032</v>
      </c>
      <c r="BD1810" t="s">
        <v>1005</v>
      </c>
      <c r="BE1810" t="s">
        <v>472</v>
      </c>
    </row>
    <row r="1811" spans="1:57" ht="13" x14ac:dyDescent="0.15">
      <c r="A1811">
        <v>1839</v>
      </c>
      <c r="B1811">
        <v>202543547</v>
      </c>
      <c r="C1811" t="s">
        <v>472</v>
      </c>
      <c r="D1811" s="7">
        <v>44211</v>
      </c>
      <c r="E1811" s="7">
        <v>45696</v>
      </c>
      <c r="F1811">
        <v>330862</v>
      </c>
      <c r="G1811" t="s">
        <v>983</v>
      </c>
      <c r="H1811" t="s">
        <v>9</v>
      </c>
      <c r="I1811" s="7">
        <v>45677</v>
      </c>
      <c r="J1811" s="8">
        <v>0.70646990740740745</v>
      </c>
      <c r="K1811" t="s">
        <v>984</v>
      </c>
      <c r="AQ1811" t="s">
        <v>992</v>
      </c>
      <c r="AR1811" t="s">
        <v>1083</v>
      </c>
      <c r="AT1811" t="s">
        <v>987</v>
      </c>
      <c r="AZ1811" t="s">
        <v>1011</v>
      </c>
      <c r="BA1811" t="s">
        <v>1012</v>
      </c>
      <c r="BB1811" t="s">
        <v>1013</v>
      </c>
      <c r="BD1811" t="s">
        <v>1014</v>
      </c>
      <c r="BE1811" t="s">
        <v>472</v>
      </c>
    </row>
    <row r="1812" spans="1:57" ht="13" x14ac:dyDescent="0.15">
      <c r="A1812">
        <v>1839</v>
      </c>
      <c r="B1812">
        <v>203554051</v>
      </c>
      <c r="C1812" t="s">
        <v>1767</v>
      </c>
      <c r="D1812" s="7">
        <v>44239</v>
      </c>
      <c r="E1812" s="7">
        <v>45696</v>
      </c>
      <c r="F1812">
        <v>330862</v>
      </c>
      <c r="G1812" t="s">
        <v>983</v>
      </c>
      <c r="H1812" t="s">
        <v>9</v>
      </c>
      <c r="I1812" s="7">
        <v>45653</v>
      </c>
      <c r="J1812" s="8">
        <v>0.74091435185185184</v>
      </c>
      <c r="K1812" t="s">
        <v>984</v>
      </c>
      <c r="AQ1812" t="s">
        <v>985</v>
      </c>
      <c r="AR1812" t="s">
        <v>1073</v>
      </c>
      <c r="AT1812" t="s">
        <v>987</v>
      </c>
      <c r="AZ1812" t="s">
        <v>1007</v>
      </c>
      <c r="BA1812" t="s">
        <v>1008</v>
      </c>
      <c r="BB1812" t="s">
        <v>990</v>
      </c>
      <c r="BD1812" t="s">
        <v>1005</v>
      </c>
      <c r="BE1812" t="s">
        <v>1767</v>
      </c>
    </row>
    <row r="1813" spans="1:57" ht="13" x14ac:dyDescent="0.15">
      <c r="A1813">
        <v>1839</v>
      </c>
      <c r="B1813">
        <v>203554051</v>
      </c>
      <c r="C1813" t="s">
        <v>1767</v>
      </c>
      <c r="D1813" s="7">
        <v>44239</v>
      </c>
      <c r="E1813" s="7">
        <v>45696</v>
      </c>
      <c r="F1813">
        <v>330862</v>
      </c>
      <c r="G1813" t="s">
        <v>983</v>
      </c>
      <c r="H1813" t="s">
        <v>9</v>
      </c>
      <c r="I1813" s="7">
        <v>45653</v>
      </c>
      <c r="J1813" s="8">
        <v>0.74023148148148143</v>
      </c>
      <c r="K1813" t="s">
        <v>984</v>
      </c>
      <c r="AQ1813" t="s">
        <v>985</v>
      </c>
      <c r="AR1813" t="s">
        <v>1768</v>
      </c>
      <c r="AT1813" t="s">
        <v>987</v>
      </c>
      <c r="AZ1813" t="s">
        <v>1028</v>
      </c>
      <c r="BA1813" t="s">
        <v>1029</v>
      </c>
      <c r="BB1813" t="s">
        <v>1018</v>
      </c>
      <c r="BD1813" t="s">
        <v>1022</v>
      </c>
      <c r="BE1813" t="s">
        <v>1767</v>
      </c>
    </row>
    <row r="1814" spans="1:57" ht="13" x14ac:dyDescent="0.15">
      <c r="A1814">
        <v>1839</v>
      </c>
      <c r="B1814">
        <v>203554051</v>
      </c>
      <c r="C1814" t="s">
        <v>1767</v>
      </c>
      <c r="D1814" s="7">
        <v>44239</v>
      </c>
      <c r="E1814" s="7">
        <v>45696</v>
      </c>
      <c r="F1814">
        <v>330862</v>
      </c>
      <c r="G1814" t="s">
        <v>983</v>
      </c>
      <c r="H1814" t="s">
        <v>9</v>
      </c>
      <c r="I1814" s="7">
        <v>45618</v>
      </c>
      <c r="J1814" s="8">
        <v>0.71682870370370366</v>
      </c>
      <c r="K1814" t="s">
        <v>984</v>
      </c>
      <c r="AQ1814" t="s">
        <v>985</v>
      </c>
      <c r="AR1814" t="s">
        <v>1195</v>
      </c>
      <c r="AT1814" t="s">
        <v>987</v>
      </c>
      <c r="AZ1814" t="s">
        <v>1055</v>
      </c>
      <c r="BA1814" t="s">
        <v>1056</v>
      </c>
      <c r="BB1814" t="s">
        <v>1013</v>
      </c>
      <c r="BD1814" t="s">
        <v>1022</v>
      </c>
      <c r="BE1814" t="s">
        <v>1767</v>
      </c>
    </row>
    <row r="1815" spans="1:57" ht="13" x14ac:dyDescent="0.15">
      <c r="A1815">
        <v>1839</v>
      </c>
      <c r="B1815">
        <v>203555183</v>
      </c>
      <c r="C1815" t="s">
        <v>473</v>
      </c>
      <c r="D1815" s="7">
        <v>44239</v>
      </c>
      <c r="E1815" s="7">
        <v>45701</v>
      </c>
      <c r="F1815">
        <v>330862</v>
      </c>
      <c r="G1815" t="s">
        <v>983</v>
      </c>
      <c r="H1815" t="s">
        <v>9</v>
      </c>
      <c r="I1815" s="7">
        <v>45694</v>
      </c>
      <c r="J1815" s="8">
        <v>0.58113425925925921</v>
      </c>
      <c r="K1815" t="s">
        <v>984</v>
      </c>
      <c r="AQ1815" t="s">
        <v>1092</v>
      </c>
      <c r="AR1815" t="s">
        <v>993</v>
      </c>
      <c r="AT1815" t="s">
        <v>987</v>
      </c>
      <c r="AZ1815" t="s">
        <v>988</v>
      </c>
      <c r="BA1815" t="s">
        <v>989</v>
      </c>
      <c r="BB1815" t="s">
        <v>990</v>
      </c>
      <c r="BD1815" t="s">
        <v>991</v>
      </c>
      <c r="BE1815" t="s">
        <v>473</v>
      </c>
    </row>
    <row r="1816" spans="1:57" ht="13" x14ac:dyDescent="0.15">
      <c r="A1816">
        <v>1839</v>
      </c>
      <c r="B1816">
        <v>203555183</v>
      </c>
      <c r="C1816" t="s">
        <v>473</v>
      </c>
      <c r="D1816" s="7">
        <v>44239</v>
      </c>
      <c r="E1816" s="7">
        <v>45701</v>
      </c>
      <c r="F1816">
        <v>330862</v>
      </c>
      <c r="G1816" t="s">
        <v>983</v>
      </c>
      <c r="H1816" t="s">
        <v>9</v>
      </c>
      <c r="I1816" s="7">
        <v>45700</v>
      </c>
      <c r="J1816" s="8">
        <v>0.37765046296296295</v>
      </c>
      <c r="K1816" t="s">
        <v>984</v>
      </c>
      <c r="AQ1816" t="s">
        <v>1092</v>
      </c>
      <c r="AR1816" t="s">
        <v>993</v>
      </c>
      <c r="AT1816" t="s">
        <v>987</v>
      </c>
      <c r="AZ1816" t="s">
        <v>988</v>
      </c>
      <c r="BA1816" t="s">
        <v>989</v>
      </c>
      <c r="BB1816" t="s">
        <v>990</v>
      </c>
      <c r="BD1816" t="s">
        <v>991</v>
      </c>
      <c r="BE1816" t="s">
        <v>473</v>
      </c>
    </row>
    <row r="1817" spans="1:57" ht="13" x14ac:dyDescent="0.15">
      <c r="A1817">
        <v>1839</v>
      </c>
      <c r="B1817">
        <v>203555549</v>
      </c>
      <c r="C1817" t="s">
        <v>474</v>
      </c>
      <c r="D1817" s="7">
        <v>44239</v>
      </c>
      <c r="E1817" s="7">
        <v>45662</v>
      </c>
      <c r="F1817">
        <v>336444</v>
      </c>
      <c r="G1817" t="s">
        <v>995</v>
      </c>
      <c r="H1817" t="s">
        <v>12</v>
      </c>
      <c r="I1817" s="7">
        <v>45660</v>
      </c>
      <c r="J1817" s="8">
        <v>0.29908564814814814</v>
      </c>
      <c r="K1817" t="s">
        <v>984</v>
      </c>
      <c r="AQ1817" t="s">
        <v>996</v>
      </c>
      <c r="BE1817" t="s">
        <v>474</v>
      </c>
    </row>
    <row r="1818" spans="1:57" ht="13" x14ac:dyDescent="0.15">
      <c r="A1818">
        <v>1839</v>
      </c>
      <c r="B1818">
        <v>203601947</v>
      </c>
      <c r="C1818" t="s">
        <v>1769</v>
      </c>
      <c r="D1818" s="7">
        <v>44241</v>
      </c>
      <c r="E1818" s="7">
        <v>45707</v>
      </c>
      <c r="F1818">
        <v>330862</v>
      </c>
      <c r="G1818" t="s">
        <v>983</v>
      </c>
      <c r="H1818" t="s">
        <v>9</v>
      </c>
      <c r="I1818" s="7">
        <v>45616</v>
      </c>
      <c r="J1818" s="8">
        <v>0.7661458333333333</v>
      </c>
      <c r="K1818" t="s">
        <v>984</v>
      </c>
      <c r="AQ1818" t="s">
        <v>992</v>
      </c>
      <c r="AR1818" t="s">
        <v>1104</v>
      </c>
      <c r="AT1818" t="s">
        <v>987</v>
      </c>
      <c r="AZ1818" t="s">
        <v>1055</v>
      </c>
      <c r="BA1818" t="s">
        <v>1056</v>
      </c>
      <c r="BB1818" t="s">
        <v>1013</v>
      </c>
      <c r="BD1818" t="s">
        <v>1022</v>
      </c>
      <c r="BE1818" t="s">
        <v>1769</v>
      </c>
    </row>
    <row r="1819" spans="1:57" ht="13" x14ac:dyDescent="0.15">
      <c r="A1819">
        <v>1839</v>
      </c>
      <c r="B1819">
        <v>203720807</v>
      </c>
      <c r="C1819" t="s">
        <v>1770</v>
      </c>
      <c r="D1819" s="7">
        <v>44243</v>
      </c>
      <c r="E1819" s="7">
        <v>45702</v>
      </c>
      <c r="F1819">
        <v>330862</v>
      </c>
      <c r="G1819" t="s">
        <v>983</v>
      </c>
      <c r="H1819" t="s">
        <v>9</v>
      </c>
      <c r="I1819" s="7">
        <v>45636</v>
      </c>
      <c r="J1819" s="8">
        <v>0.51405092592592594</v>
      </c>
      <c r="K1819" t="s">
        <v>984</v>
      </c>
      <c r="AQ1819" t="s">
        <v>985</v>
      </c>
      <c r="AR1819" t="s">
        <v>1208</v>
      </c>
      <c r="AT1819" t="s">
        <v>987</v>
      </c>
      <c r="AZ1819" t="s">
        <v>1011</v>
      </c>
      <c r="BA1819" t="s">
        <v>1031</v>
      </c>
      <c r="BB1819" t="s">
        <v>1032</v>
      </c>
      <c r="BD1819" t="s">
        <v>1005</v>
      </c>
      <c r="BE1819" t="s">
        <v>1770</v>
      </c>
    </row>
    <row r="1820" spans="1:57" ht="13" x14ac:dyDescent="0.15">
      <c r="A1820">
        <v>1839</v>
      </c>
      <c r="B1820">
        <v>204186197</v>
      </c>
      <c r="C1820" t="s">
        <v>475</v>
      </c>
      <c r="D1820" s="7">
        <v>44252</v>
      </c>
      <c r="E1820" s="7">
        <v>45694</v>
      </c>
      <c r="F1820">
        <v>330862</v>
      </c>
      <c r="G1820" t="s">
        <v>983</v>
      </c>
      <c r="H1820" t="s">
        <v>9</v>
      </c>
      <c r="I1820" s="7">
        <v>45669</v>
      </c>
      <c r="J1820" s="8">
        <v>0.67459490740740746</v>
      </c>
      <c r="K1820" t="s">
        <v>984</v>
      </c>
      <c r="AQ1820" t="s">
        <v>992</v>
      </c>
      <c r="AR1820" t="s">
        <v>1391</v>
      </c>
      <c r="AT1820" t="s">
        <v>987</v>
      </c>
      <c r="AZ1820" t="s">
        <v>1011</v>
      </c>
      <c r="BA1820" t="s">
        <v>1202</v>
      </c>
      <c r="BB1820" t="s">
        <v>1203</v>
      </c>
      <c r="BD1820" t="s">
        <v>991</v>
      </c>
      <c r="BE1820" t="s">
        <v>475</v>
      </c>
    </row>
    <row r="1821" spans="1:57" ht="13" x14ac:dyDescent="0.15">
      <c r="A1821">
        <v>1839</v>
      </c>
      <c r="B1821">
        <v>204186197</v>
      </c>
      <c r="C1821" t="s">
        <v>475</v>
      </c>
      <c r="D1821" s="7">
        <v>44252</v>
      </c>
      <c r="E1821" s="7">
        <v>45694</v>
      </c>
      <c r="F1821">
        <v>330862</v>
      </c>
      <c r="G1821" t="s">
        <v>983</v>
      </c>
      <c r="H1821" t="s">
        <v>9</v>
      </c>
      <c r="I1821" s="7">
        <v>45694</v>
      </c>
      <c r="J1821" s="8">
        <v>0.65108796296296301</v>
      </c>
      <c r="K1821" t="s">
        <v>984</v>
      </c>
      <c r="AQ1821" t="s">
        <v>992</v>
      </c>
      <c r="AR1821" t="s">
        <v>986</v>
      </c>
      <c r="AT1821" t="s">
        <v>987</v>
      </c>
      <c r="AZ1821" t="s">
        <v>988</v>
      </c>
      <c r="BA1821" t="s">
        <v>989</v>
      </c>
      <c r="BB1821" t="s">
        <v>990</v>
      </c>
      <c r="BD1821" t="s">
        <v>991</v>
      </c>
      <c r="BE1821" t="s">
        <v>475</v>
      </c>
    </row>
    <row r="1822" spans="1:57" ht="13" x14ac:dyDescent="0.15">
      <c r="A1822">
        <v>1839</v>
      </c>
      <c r="B1822">
        <v>204964218</v>
      </c>
      <c r="C1822" t="s">
        <v>476</v>
      </c>
      <c r="D1822" s="7">
        <v>44259</v>
      </c>
      <c r="E1822" s="7">
        <v>45686</v>
      </c>
      <c r="F1822">
        <v>330862</v>
      </c>
      <c r="G1822" t="s">
        <v>983</v>
      </c>
      <c r="H1822" t="s">
        <v>9</v>
      </c>
      <c r="I1822" s="7">
        <v>45684</v>
      </c>
      <c r="J1822" s="8">
        <v>0.75322916666666662</v>
      </c>
      <c r="K1822" t="s">
        <v>984</v>
      </c>
      <c r="AQ1822" t="s">
        <v>992</v>
      </c>
      <c r="AR1822" t="s">
        <v>1771</v>
      </c>
      <c r="AT1822" t="s">
        <v>987</v>
      </c>
      <c r="AZ1822" t="s">
        <v>1016</v>
      </c>
      <c r="BA1822" t="s">
        <v>1017</v>
      </c>
      <c r="BB1822" t="s">
        <v>1018</v>
      </c>
      <c r="BD1822" t="s">
        <v>991</v>
      </c>
      <c r="BE1822" t="s">
        <v>476</v>
      </c>
    </row>
    <row r="1823" spans="1:57" ht="13" x14ac:dyDescent="0.15">
      <c r="A1823">
        <v>1839</v>
      </c>
      <c r="B1823">
        <v>204964671</v>
      </c>
      <c r="C1823" t="s">
        <v>477</v>
      </c>
      <c r="D1823" s="7">
        <v>44259</v>
      </c>
      <c r="E1823" s="7">
        <v>45674</v>
      </c>
      <c r="F1823">
        <v>330862</v>
      </c>
      <c r="G1823" t="s">
        <v>983</v>
      </c>
      <c r="H1823" t="s">
        <v>9</v>
      </c>
      <c r="I1823" s="7">
        <v>45674</v>
      </c>
      <c r="J1823" s="8">
        <v>0.76782407407407405</v>
      </c>
      <c r="K1823" t="s">
        <v>984</v>
      </c>
      <c r="AQ1823" t="s">
        <v>998</v>
      </c>
      <c r="AR1823" t="s">
        <v>1545</v>
      </c>
      <c r="AT1823" t="s">
        <v>987</v>
      </c>
      <c r="AZ1823" t="s">
        <v>1182</v>
      </c>
      <c r="BA1823" t="s">
        <v>1188</v>
      </c>
      <c r="BB1823" t="s">
        <v>1013</v>
      </c>
      <c r="BD1823" t="s">
        <v>1005</v>
      </c>
      <c r="BE1823" t="s">
        <v>477</v>
      </c>
    </row>
    <row r="1824" spans="1:57" ht="13" x14ac:dyDescent="0.15">
      <c r="A1824">
        <v>1839</v>
      </c>
      <c r="B1824">
        <v>205038505</v>
      </c>
      <c r="C1824" t="s">
        <v>1772</v>
      </c>
      <c r="D1824" s="7">
        <v>44260</v>
      </c>
      <c r="E1824" s="7">
        <v>45659</v>
      </c>
      <c r="F1824">
        <v>336447</v>
      </c>
      <c r="G1824" t="s">
        <v>1074</v>
      </c>
      <c r="H1824" t="s">
        <v>26</v>
      </c>
      <c r="I1824" s="7">
        <v>45639</v>
      </c>
      <c r="J1824" s="8">
        <v>0.61348379629629635</v>
      </c>
      <c r="K1824" t="s">
        <v>984</v>
      </c>
      <c r="AQ1824" t="s">
        <v>992</v>
      </c>
      <c r="AR1824" t="s">
        <v>1773</v>
      </c>
      <c r="BE1824" t="s">
        <v>1772</v>
      </c>
    </row>
    <row r="1825" spans="1:57" ht="13" x14ac:dyDescent="0.15">
      <c r="A1825">
        <v>1839</v>
      </c>
      <c r="B1825">
        <v>205038505</v>
      </c>
      <c r="C1825" t="s">
        <v>1772</v>
      </c>
      <c r="D1825" s="7">
        <v>44260</v>
      </c>
      <c r="E1825" s="7">
        <v>45659</v>
      </c>
      <c r="F1825">
        <v>336453</v>
      </c>
      <c r="G1825" t="s">
        <v>1074</v>
      </c>
      <c r="H1825" t="s">
        <v>27</v>
      </c>
      <c r="I1825" s="7">
        <v>45639</v>
      </c>
      <c r="J1825" s="8">
        <v>0.61361111111111111</v>
      </c>
      <c r="K1825" t="s">
        <v>984</v>
      </c>
      <c r="AQ1825" t="s">
        <v>992</v>
      </c>
      <c r="AR1825" t="s">
        <v>1076</v>
      </c>
      <c r="BE1825" t="s">
        <v>1772</v>
      </c>
    </row>
    <row r="1826" spans="1:57" ht="13" x14ac:dyDescent="0.15">
      <c r="A1826">
        <v>1839</v>
      </c>
      <c r="B1826">
        <v>205038505</v>
      </c>
      <c r="C1826" t="s">
        <v>1772</v>
      </c>
      <c r="D1826" s="7">
        <v>44260</v>
      </c>
      <c r="E1826" s="7">
        <v>45659</v>
      </c>
      <c r="F1826">
        <v>336709</v>
      </c>
      <c r="G1826" t="s">
        <v>1074</v>
      </c>
      <c r="H1826" t="s">
        <v>28</v>
      </c>
      <c r="I1826" s="7">
        <v>45639</v>
      </c>
      <c r="J1826" s="8">
        <v>0.61383101851851851</v>
      </c>
      <c r="K1826" t="s">
        <v>984</v>
      </c>
      <c r="AQ1826" t="s">
        <v>992</v>
      </c>
      <c r="AR1826" t="s">
        <v>1077</v>
      </c>
      <c r="BE1826" t="s">
        <v>1772</v>
      </c>
    </row>
    <row r="1827" spans="1:57" ht="13" x14ac:dyDescent="0.15">
      <c r="A1827">
        <v>1839</v>
      </c>
      <c r="B1827">
        <v>206851367</v>
      </c>
      <c r="C1827" t="s">
        <v>478</v>
      </c>
      <c r="D1827" s="7">
        <v>44271</v>
      </c>
      <c r="E1827" s="7">
        <v>45694</v>
      </c>
      <c r="F1827">
        <v>330862</v>
      </c>
      <c r="G1827" t="s">
        <v>983</v>
      </c>
      <c r="H1827" t="s">
        <v>9</v>
      </c>
      <c r="I1827" s="7">
        <v>45694</v>
      </c>
      <c r="J1827" s="8">
        <v>0.63990740740740737</v>
      </c>
      <c r="K1827" t="s">
        <v>984</v>
      </c>
      <c r="AQ1827" t="s">
        <v>1090</v>
      </c>
      <c r="AR1827" t="s">
        <v>993</v>
      </c>
      <c r="AT1827" t="s">
        <v>987</v>
      </c>
      <c r="AZ1827" t="s">
        <v>988</v>
      </c>
      <c r="BA1827" t="s">
        <v>989</v>
      </c>
      <c r="BB1827" t="s">
        <v>990</v>
      </c>
      <c r="BD1827" t="s">
        <v>991</v>
      </c>
      <c r="BE1827" t="s">
        <v>478</v>
      </c>
    </row>
    <row r="1828" spans="1:57" ht="13" x14ac:dyDescent="0.15">
      <c r="A1828">
        <v>1839</v>
      </c>
      <c r="B1828">
        <v>206851367</v>
      </c>
      <c r="C1828" t="s">
        <v>478</v>
      </c>
      <c r="D1828" s="7">
        <v>44271</v>
      </c>
      <c r="E1828" s="7">
        <v>45694</v>
      </c>
      <c r="F1828">
        <v>330862</v>
      </c>
      <c r="G1828" t="s">
        <v>983</v>
      </c>
      <c r="H1828" t="s">
        <v>9</v>
      </c>
      <c r="I1828" s="7">
        <v>45694</v>
      </c>
      <c r="J1828" s="8">
        <v>0.63913194444444443</v>
      </c>
      <c r="K1828" t="s">
        <v>984</v>
      </c>
      <c r="AQ1828" t="s">
        <v>1090</v>
      </c>
      <c r="AR1828" t="s">
        <v>993</v>
      </c>
      <c r="AT1828" t="s">
        <v>987</v>
      </c>
      <c r="AZ1828" t="s">
        <v>988</v>
      </c>
      <c r="BA1828" t="s">
        <v>989</v>
      </c>
      <c r="BB1828" t="s">
        <v>990</v>
      </c>
      <c r="BD1828" t="s">
        <v>991</v>
      </c>
      <c r="BE1828" t="s">
        <v>478</v>
      </c>
    </row>
    <row r="1829" spans="1:57" ht="13" x14ac:dyDescent="0.15">
      <c r="A1829">
        <v>1839</v>
      </c>
      <c r="B1829">
        <v>211234238</v>
      </c>
      <c r="C1829" t="s">
        <v>479</v>
      </c>
      <c r="D1829" s="7">
        <v>44305</v>
      </c>
      <c r="E1829" s="7">
        <v>45695</v>
      </c>
      <c r="F1829">
        <v>330862</v>
      </c>
      <c r="G1829" t="s">
        <v>983</v>
      </c>
      <c r="H1829" t="s">
        <v>9</v>
      </c>
      <c r="I1829" s="7">
        <v>45670</v>
      </c>
      <c r="J1829" s="8">
        <v>0.69938657407407412</v>
      </c>
      <c r="K1829" t="s">
        <v>984</v>
      </c>
      <c r="AQ1829" t="s">
        <v>1089</v>
      </c>
      <c r="AR1829" t="s">
        <v>1774</v>
      </c>
      <c r="AT1829" t="s">
        <v>987</v>
      </c>
      <c r="AZ1829" t="s">
        <v>1239</v>
      </c>
      <c r="BA1829" t="s">
        <v>1240</v>
      </c>
      <c r="BB1829" t="s">
        <v>1237</v>
      </c>
      <c r="BD1829" t="s">
        <v>1005</v>
      </c>
      <c r="BE1829" t="s">
        <v>479</v>
      </c>
    </row>
    <row r="1830" spans="1:57" ht="13" x14ac:dyDescent="0.15">
      <c r="A1830">
        <v>1839</v>
      </c>
      <c r="B1830">
        <v>211234238</v>
      </c>
      <c r="C1830" t="s">
        <v>479</v>
      </c>
      <c r="D1830" s="7">
        <v>44305</v>
      </c>
      <c r="E1830" s="7">
        <v>45695</v>
      </c>
      <c r="F1830">
        <v>330862</v>
      </c>
      <c r="G1830" t="s">
        <v>983</v>
      </c>
      <c r="H1830" t="s">
        <v>9</v>
      </c>
      <c r="I1830" s="7">
        <v>45671</v>
      </c>
      <c r="J1830" s="8">
        <v>0.46773148148148147</v>
      </c>
      <c r="K1830" t="s">
        <v>984</v>
      </c>
      <c r="AQ1830" t="s">
        <v>1089</v>
      </c>
      <c r="AR1830" t="s">
        <v>1774</v>
      </c>
      <c r="AT1830" t="s">
        <v>987</v>
      </c>
      <c r="AZ1830" t="s">
        <v>1239</v>
      </c>
      <c r="BA1830" t="s">
        <v>1240</v>
      </c>
      <c r="BB1830" t="s">
        <v>1237</v>
      </c>
      <c r="BD1830" t="s">
        <v>1005</v>
      </c>
      <c r="BE1830" t="s">
        <v>479</v>
      </c>
    </row>
    <row r="1831" spans="1:57" ht="13" x14ac:dyDescent="0.15">
      <c r="A1831">
        <v>1839</v>
      </c>
      <c r="B1831">
        <v>214260881</v>
      </c>
      <c r="C1831" t="s">
        <v>480</v>
      </c>
      <c r="D1831" s="7">
        <v>44322</v>
      </c>
      <c r="E1831" s="7">
        <v>45694</v>
      </c>
      <c r="F1831">
        <v>330862</v>
      </c>
      <c r="G1831" t="s">
        <v>983</v>
      </c>
      <c r="H1831" t="s">
        <v>9</v>
      </c>
      <c r="I1831" s="7">
        <v>45694</v>
      </c>
      <c r="J1831" s="8">
        <v>0.88378472222222226</v>
      </c>
      <c r="K1831" t="s">
        <v>984</v>
      </c>
      <c r="AQ1831" t="s">
        <v>1092</v>
      </c>
      <c r="AR1831" t="s">
        <v>993</v>
      </c>
      <c r="AT1831" t="s">
        <v>987</v>
      </c>
      <c r="AZ1831" t="s">
        <v>988</v>
      </c>
      <c r="BA1831" t="s">
        <v>989</v>
      </c>
      <c r="BB1831" t="s">
        <v>990</v>
      </c>
      <c r="BD1831" t="s">
        <v>991</v>
      </c>
      <c r="BE1831" t="s">
        <v>480</v>
      </c>
    </row>
    <row r="1832" spans="1:57" ht="13" x14ac:dyDescent="0.15">
      <c r="A1832">
        <v>1839</v>
      </c>
      <c r="B1832">
        <v>215996578</v>
      </c>
      <c r="C1832" t="s">
        <v>481</v>
      </c>
      <c r="D1832" s="7">
        <v>44328</v>
      </c>
      <c r="E1832" s="7">
        <v>45692</v>
      </c>
      <c r="F1832">
        <v>330862</v>
      </c>
      <c r="G1832" t="s">
        <v>983</v>
      </c>
      <c r="H1832" t="s">
        <v>9</v>
      </c>
      <c r="I1832" s="7">
        <v>45686</v>
      </c>
      <c r="J1832" s="8">
        <v>0.83920138888888884</v>
      </c>
      <c r="K1832" t="s">
        <v>984</v>
      </c>
      <c r="AQ1832" t="s">
        <v>998</v>
      </c>
      <c r="AR1832" t="s">
        <v>1114</v>
      </c>
      <c r="AT1832" t="s">
        <v>987</v>
      </c>
      <c r="AZ1832" t="s">
        <v>1011</v>
      </c>
      <c r="BA1832" t="s">
        <v>1012</v>
      </c>
      <c r="BB1832" t="s">
        <v>1013</v>
      </c>
      <c r="BD1832" t="s">
        <v>1014</v>
      </c>
      <c r="BE1832" t="s">
        <v>481</v>
      </c>
    </row>
    <row r="1833" spans="1:57" ht="13" x14ac:dyDescent="0.15">
      <c r="A1833">
        <v>1839</v>
      </c>
      <c r="B1833">
        <v>216276753</v>
      </c>
      <c r="C1833" t="s">
        <v>482</v>
      </c>
      <c r="D1833" s="7">
        <v>44334</v>
      </c>
      <c r="E1833" s="7">
        <v>45704</v>
      </c>
      <c r="F1833">
        <v>336444</v>
      </c>
      <c r="G1833" t="s">
        <v>995</v>
      </c>
      <c r="H1833" t="s">
        <v>12</v>
      </c>
      <c r="I1833" s="7">
        <v>45694</v>
      </c>
      <c r="J1833" s="8">
        <v>0.46145833333333336</v>
      </c>
      <c r="K1833" t="s">
        <v>984</v>
      </c>
      <c r="AQ1833" t="s">
        <v>996</v>
      </c>
      <c r="BE1833" t="s">
        <v>482</v>
      </c>
    </row>
    <row r="1834" spans="1:57" ht="13" x14ac:dyDescent="0.15">
      <c r="A1834">
        <v>1839</v>
      </c>
      <c r="B1834">
        <v>216340190</v>
      </c>
      <c r="C1834" t="s">
        <v>483</v>
      </c>
      <c r="D1834" s="7">
        <v>44335</v>
      </c>
      <c r="E1834" s="7">
        <v>45672</v>
      </c>
      <c r="F1834">
        <v>330862</v>
      </c>
      <c r="G1834" t="s">
        <v>983</v>
      </c>
      <c r="H1834" t="s">
        <v>9</v>
      </c>
      <c r="I1834" s="7">
        <v>45672</v>
      </c>
      <c r="J1834" s="8">
        <v>0.36128472222222224</v>
      </c>
      <c r="K1834" t="s">
        <v>984</v>
      </c>
      <c r="AQ1834" t="s">
        <v>1251</v>
      </c>
      <c r="AR1834" t="s">
        <v>1775</v>
      </c>
      <c r="AT1834" t="s">
        <v>987</v>
      </c>
      <c r="AZ1834" t="s">
        <v>1016</v>
      </c>
      <c r="BA1834" t="s">
        <v>1017</v>
      </c>
      <c r="BB1834" t="s">
        <v>1018</v>
      </c>
      <c r="BD1834" t="s">
        <v>991</v>
      </c>
      <c r="BE1834" t="s">
        <v>483</v>
      </c>
    </row>
    <row r="1835" spans="1:57" ht="13" x14ac:dyDescent="0.15">
      <c r="A1835">
        <v>1839</v>
      </c>
      <c r="B1835">
        <v>219658761</v>
      </c>
      <c r="C1835" t="s">
        <v>484</v>
      </c>
      <c r="D1835" s="7">
        <v>44376</v>
      </c>
      <c r="E1835" s="7">
        <v>45695</v>
      </c>
      <c r="F1835">
        <v>330862</v>
      </c>
      <c r="G1835" t="s">
        <v>983</v>
      </c>
      <c r="H1835" t="s">
        <v>9</v>
      </c>
      <c r="I1835" s="7">
        <v>45690</v>
      </c>
      <c r="J1835" s="8">
        <v>0.82846064814814813</v>
      </c>
      <c r="K1835" t="s">
        <v>984</v>
      </c>
      <c r="AQ1835" t="s">
        <v>992</v>
      </c>
      <c r="AR1835" t="s">
        <v>994</v>
      </c>
      <c r="AT1835" t="s">
        <v>987</v>
      </c>
      <c r="AZ1835" t="s">
        <v>1011</v>
      </c>
      <c r="BA1835" t="s">
        <v>1012</v>
      </c>
      <c r="BB1835" t="s">
        <v>1013</v>
      </c>
      <c r="BD1835" t="s">
        <v>1014</v>
      </c>
      <c r="BE1835" t="s">
        <v>484</v>
      </c>
    </row>
    <row r="1836" spans="1:57" ht="13" x14ac:dyDescent="0.15">
      <c r="A1836">
        <v>1839</v>
      </c>
      <c r="B1836">
        <v>219658761</v>
      </c>
      <c r="C1836" t="s">
        <v>484</v>
      </c>
      <c r="D1836" s="7">
        <v>44376</v>
      </c>
      <c r="E1836" s="7">
        <v>45695</v>
      </c>
      <c r="F1836">
        <v>330862</v>
      </c>
      <c r="G1836" t="s">
        <v>983</v>
      </c>
      <c r="H1836" t="s">
        <v>9</v>
      </c>
      <c r="I1836" s="7">
        <v>45695</v>
      </c>
      <c r="J1836" s="8">
        <v>0.53060185185185182</v>
      </c>
      <c r="K1836" t="s">
        <v>984</v>
      </c>
      <c r="AQ1836" t="s">
        <v>992</v>
      </c>
      <c r="AR1836" t="s">
        <v>994</v>
      </c>
      <c r="AT1836" t="s">
        <v>987</v>
      </c>
      <c r="AZ1836" t="s">
        <v>1011</v>
      </c>
      <c r="BA1836" t="s">
        <v>1012</v>
      </c>
      <c r="BB1836" t="s">
        <v>1013</v>
      </c>
      <c r="BD1836" t="s">
        <v>1014</v>
      </c>
      <c r="BE1836" t="s">
        <v>484</v>
      </c>
    </row>
    <row r="1837" spans="1:57" ht="13" x14ac:dyDescent="0.15">
      <c r="A1837">
        <v>1839</v>
      </c>
      <c r="B1837">
        <v>219993136</v>
      </c>
      <c r="C1837" t="s">
        <v>485</v>
      </c>
      <c r="D1837" s="7">
        <v>44384</v>
      </c>
      <c r="E1837" s="7">
        <v>45692</v>
      </c>
      <c r="F1837">
        <v>330862</v>
      </c>
      <c r="G1837" t="s">
        <v>983</v>
      </c>
      <c r="H1837" t="s">
        <v>9</v>
      </c>
      <c r="I1837" s="7">
        <v>45672</v>
      </c>
      <c r="J1837" s="8">
        <v>3.0219907407407407E-2</v>
      </c>
      <c r="K1837" t="s">
        <v>984</v>
      </c>
      <c r="AQ1837" t="s">
        <v>1090</v>
      </c>
      <c r="AR1837" t="s">
        <v>1776</v>
      </c>
      <c r="AT1837" t="s">
        <v>987</v>
      </c>
      <c r="AZ1837" t="s">
        <v>1016</v>
      </c>
      <c r="BA1837" t="s">
        <v>1017</v>
      </c>
      <c r="BB1837" t="s">
        <v>1018</v>
      </c>
      <c r="BD1837" t="s">
        <v>991</v>
      </c>
      <c r="BE1837" t="s">
        <v>485</v>
      </c>
    </row>
    <row r="1838" spans="1:57" ht="13" x14ac:dyDescent="0.15">
      <c r="A1838">
        <v>1839</v>
      </c>
      <c r="B1838">
        <v>219993136</v>
      </c>
      <c r="C1838" t="s">
        <v>485</v>
      </c>
      <c r="D1838" s="7">
        <v>44384</v>
      </c>
      <c r="E1838" s="7">
        <v>45692</v>
      </c>
      <c r="F1838">
        <v>330862</v>
      </c>
      <c r="G1838" t="s">
        <v>983</v>
      </c>
      <c r="H1838" t="s">
        <v>9</v>
      </c>
      <c r="I1838" s="7">
        <v>45672</v>
      </c>
      <c r="J1838" s="8">
        <v>3.0879629629629628E-2</v>
      </c>
      <c r="K1838" t="s">
        <v>984</v>
      </c>
      <c r="AQ1838" t="s">
        <v>1090</v>
      </c>
      <c r="AR1838" t="s">
        <v>1776</v>
      </c>
      <c r="AT1838" t="s">
        <v>987</v>
      </c>
      <c r="AZ1838" t="s">
        <v>1016</v>
      </c>
      <c r="BA1838" t="s">
        <v>1017</v>
      </c>
      <c r="BB1838" t="s">
        <v>1018</v>
      </c>
      <c r="BD1838" t="s">
        <v>991</v>
      </c>
      <c r="BE1838" t="s">
        <v>485</v>
      </c>
    </row>
    <row r="1839" spans="1:57" ht="13" x14ac:dyDescent="0.15">
      <c r="A1839">
        <v>1839</v>
      </c>
      <c r="B1839">
        <v>223412125</v>
      </c>
      <c r="C1839" t="s">
        <v>486</v>
      </c>
      <c r="D1839" s="7">
        <v>44397</v>
      </c>
      <c r="E1839" s="7">
        <v>45689</v>
      </c>
      <c r="F1839">
        <v>330862</v>
      </c>
      <c r="G1839" t="s">
        <v>983</v>
      </c>
      <c r="H1839" t="s">
        <v>9</v>
      </c>
      <c r="I1839" s="7">
        <v>45680</v>
      </c>
      <c r="J1839" s="8">
        <v>0.13568287037037038</v>
      </c>
      <c r="K1839" t="s">
        <v>984</v>
      </c>
      <c r="AQ1839" t="s">
        <v>1322</v>
      </c>
      <c r="AR1839" t="s">
        <v>1050</v>
      </c>
      <c r="AT1839" t="s">
        <v>987</v>
      </c>
      <c r="AZ1839" t="s">
        <v>1011</v>
      </c>
      <c r="BA1839" t="s">
        <v>1012</v>
      </c>
      <c r="BB1839" t="s">
        <v>1013</v>
      </c>
      <c r="BD1839" t="s">
        <v>1014</v>
      </c>
      <c r="BE1839" t="s">
        <v>486</v>
      </c>
    </row>
    <row r="1840" spans="1:57" ht="13" x14ac:dyDescent="0.15">
      <c r="A1840">
        <v>1839</v>
      </c>
      <c r="B1840">
        <v>223412125</v>
      </c>
      <c r="C1840" t="s">
        <v>486</v>
      </c>
      <c r="D1840" s="7">
        <v>44397</v>
      </c>
      <c r="E1840" s="7">
        <v>45689</v>
      </c>
      <c r="F1840">
        <v>336447</v>
      </c>
      <c r="G1840" t="s">
        <v>1074</v>
      </c>
      <c r="H1840" t="s">
        <v>26</v>
      </c>
      <c r="I1840" s="7">
        <v>45687</v>
      </c>
      <c r="J1840" s="8">
        <v>0.66886574074074079</v>
      </c>
      <c r="K1840" t="s">
        <v>984</v>
      </c>
      <c r="AQ1840" t="s">
        <v>1273</v>
      </c>
      <c r="AR1840" t="s">
        <v>1777</v>
      </c>
      <c r="BE1840" t="s">
        <v>486</v>
      </c>
    </row>
    <row r="1841" spans="1:57" ht="13" x14ac:dyDescent="0.15">
      <c r="A1841">
        <v>1839</v>
      </c>
      <c r="B1841">
        <v>223412125</v>
      </c>
      <c r="C1841" t="s">
        <v>486</v>
      </c>
      <c r="D1841" s="7">
        <v>44397</v>
      </c>
      <c r="E1841" s="7">
        <v>45689</v>
      </c>
      <c r="F1841">
        <v>336453</v>
      </c>
      <c r="G1841" t="s">
        <v>1074</v>
      </c>
      <c r="H1841" t="s">
        <v>27</v>
      </c>
      <c r="I1841" s="7">
        <v>45687</v>
      </c>
      <c r="J1841" s="8">
        <v>0.66899305555555555</v>
      </c>
      <c r="K1841" t="s">
        <v>984</v>
      </c>
      <c r="AQ1841" t="s">
        <v>1273</v>
      </c>
      <c r="AR1841" t="s">
        <v>1076</v>
      </c>
      <c r="BE1841" t="s">
        <v>486</v>
      </c>
    </row>
    <row r="1842" spans="1:57" ht="13" x14ac:dyDescent="0.15">
      <c r="A1842">
        <v>1839</v>
      </c>
      <c r="B1842">
        <v>223412125</v>
      </c>
      <c r="C1842" t="s">
        <v>486</v>
      </c>
      <c r="D1842" s="7">
        <v>44397</v>
      </c>
      <c r="E1842" s="7">
        <v>45689</v>
      </c>
      <c r="F1842">
        <v>336709</v>
      </c>
      <c r="G1842" t="s">
        <v>1074</v>
      </c>
      <c r="H1842" t="s">
        <v>28</v>
      </c>
      <c r="I1842" s="7">
        <v>45687</v>
      </c>
      <c r="J1842" s="8">
        <v>0.66912037037037042</v>
      </c>
      <c r="K1842" t="s">
        <v>984</v>
      </c>
      <c r="AQ1842" t="s">
        <v>1273</v>
      </c>
      <c r="AR1842" t="s">
        <v>1077</v>
      </c>
      <c r="BE1842" t="s">
        <v>486</v>
      </c>
    </row>
    <row r="1843" spans="1:57" ht="13" x14ac:dyDescent="0.15">
      <c r="A1843">
        <v>1839</v>
      </c>
      <c r="B1843">
        <v>223859370</v>
      </c>
      <c r="C1843" t="s">
        <v>487</v>
      </c>
      <c r="D1843" s="7">
        <v>44403</v>
      </c>
      <c r="E1843" s="7">
        <v>45702</v>
      </c>
      <c r="F1843">
        <v>330862</v>
      </c>
      <c r="G1843" t="s">
        <v>983</v>
      </c>
      <c r="H1843" t="s">
        <v>9</v>
      </c>
      <c r="I1843" s="7">
        <v>45676</v>
      </c>
      <c r="J1843" s="8">
        <v>0.70015046296296302</v>
      </c>
      <c r="K1843" t="s">
        <v>984</v>
      </c>
      <c r="AQ1843" t="s">
        <v>985</v>
      </c>
      <c r="AR1843" t="s">
        <v>1095</v>
      </c>
      <c r="AT1843" t="s">
        <v>987</v>
      </c>
      <c r="AZ1843" t="s">
        <v>1002</v>
      </c>
      <c r="BA1843" t="s">
        <v>1003</v>
      </c>
      <c r="BB1843" t="s">
        <v>1004</v>
      </c>
      <c r="BD1843" t="s">
        <v>1005</v>
      </c>
      <c r="BE1843" t="s">
        <v>487</v>
      </c>
    </row>
    <row r="1844" spans="1:57" ht="13" x14ac:dyDescent="0.15">
      <c r="A1844">
        <v>1839</v>
      </c>
      <c r="B1844">
        <v>223859370</v>
      </c>
      <c r="C1844" t="s">
        <v>487</v>
      </c>
      <c r="D1844" s="7">
        <v>44403</v>
      </c>
      <c r="E1844" s="7">
        <v>45702</v>
      </c>
      <c r="F1844">
        <v>330862</v>
      </c>
      <c r="G1844" t="s">
        <v>983</v>
      </c>
      <c r="H1844" t="s">
        <v>9</v>
      </c>
      <c r="I1844" s="7">
        <v>45694</v>
      </c>
      <c r="J1844" s="8">
        <v>0.65918981481481487</v>
      </c>
      <c r="K1844" t="s">
        <v>984</v>
      </c>
      <c r="AQ1844" t="s">
        <v>985</v>
      </c>
      <c r="AR1844" t="s">
        <v>1066</v>
      </c>
      <c r="AT1844" t="s">
        <v>987</v>
      </c>
      <c r="AZ1844" t="s">
        <v>988</v>
      </c>
      <c r="BA1844" t="s">
        <v>989</v>
      </c>
      <c r="BB1844" t="s">
        <v>990</v>
      </c>
      <c r="BD1844" t="s">
        <v>991</v>
      </c>
      <c r="BE1844" t="s">
        <v>487</v>
      </c>
    </row>
    <row r="1845" spans="1:57" ht="13" x14ac:dyDescent="0.15">
      <c r="A1845">
        <v>1839</v>
      </c>
      <c r="B1845">
        <v>223859370</v>
      </c>
      <c r="C1845" t="s">
        <v>487</v>
      </c>
      <c r="D1845" s="7">
        <v>44403</v>
      </c>
      <c r="E1845" s="7">
        <v>45702</v>
      </c>
      <c r="F1845">
        <v>330862</v>
      </c>
      <c r="G1845" t="s">
        <v>983</v>
      </c>
      <c r="H1845" t="s">
        <v>9</v>
      </c>
      <c r="I1845" s="7">
        <v>45636</v>
      </c>
      <c r="J1845" s="8">
        <v>0.49516203703703704</v>
      </c>
      <c r="K1845" t="s">
        <v>984</v>
      </c>
      <c r="AQ1845" t="s">
        <v>985</v>
      </c>
      <c r="AR1845" t="s">
        <v>1098</v>
      </c>
      <c r="AT1845" t="s">
        <v>987</v>
      </c>
      <c r="AZ1845" t="s">
        <v>1020</v>
      </c>
      <c r="BA1845" t="s">
        <v>1021</v>
      </c>
      <c r="BB1845" t="s">
        <v>1018</v>
      </c>
      <c r="BD1845" t="s">
        <v>1022</v>
      </c>
      <c r="BE1845" t="s">
        <v>487</v>
      </c>
    </row>
    <row r="1846" spans="1:57" ht="13" x14ac:dyDescent="0.15">
      <c r="A1846">
        <v>1839</v>
      </c>
      <c r="B1846">
        <v>223859370</v>
      </c>
      <c r="C1846" t="s">
        <v>487</v>
      </c>
      <c r="D1846" s="7">
        <v>44403</v>
      </c>
      <c r="E1846" s="7">
        <v>45702</v>
      </c>
      <c r="F1846">
        <v>330862</v>
      </c>
      <c r="G1846" t="s">
        <v>983</v>
      </c>
      <c r="H1846" t="s">
        <v>9</v>
      </c>
      <c r="I1846" s="7">
        <v>45636</v>
      </c>
      <c r="J1846" s="8">
        <v>0.4924189814814815</v>
      </c>
      <c r="K1846" t="s">
        <v>984</v>
      </c>
      <c r="AQ1846" t="s">
        <v>985</v>
      </c>
      <c r="AR1846" t="s">
        <v>1097</v>
      </c>
      <c r="AT1846" t="s">
        <v>987</v>
      </c>
      <c r="AZ1846" t="s">
        <v>1024</v>
      </c>
      <c r="BA1846" t="s">
        <v>1025</v>
      </c>
      <c r="BB1846" t="s">
        <v>1026</v>
      </c>
      <c r="BD1846" t="s">
        <v>1022</v>
      </c>
      <c r="BE1846" t="s">
        <v>487</v>
      </c>
    </row>
    <row r="1847" spans="1:57" ht="13" x14ac:dyDescent="0.15">
      <c r="A1847">
        <v>1839</v>
      </c>
      <c r="B1847">
        <v>223859370</v>
      </c>
      <c r="C1847" t="s">
        <v>487</v>
      </c>
      <c r="D1847" s="7">
        <v>44403</v>
      </c>
      <c r="E1847" s="7">
        <v>45702</v>
      </c>
      <c r="F1847">
        <v>330862</v>
      </c>
      <c r="G1847" t="s">
        <v>983</v>
      </c>
      <c r="H1847" t="s">
        <v>9</v>
      </c>
      <c r="I1847" s="7">
        <v>45636</v>
      </c>
      <c r="J1847" s="8">
        <v>0.4904513888888889</v>
      </c>
      <c r="K1847" t="s">
        <v>984</v>
      </c>
      <c r="AQ1847" t="s">
        <v>985</v>
      </c>
      <c r="AR1847" t="s">
        <v>1262</v>
      </c>
      <c r="AT1847" t="s">
        <v>987</v>
      </c>
      <c r="AZ1847" t="s">
        <v>1028</v>
      </c>
      <c r="BA1847" t="s">
        <v>1029</v>
      </c>
      <c r="BB1847" t="s">
        <v>1018</v>
      </c>
      <c r="BD1847" t="s">
        <v>1022</v>
      </c>
      <c r="BE1847" t="s">
        <v>487</v>
      </c>
    </row>
    <row r="1848" spans="1:57" ht="13" x14ac:dyDescent="0.15">
      <c r="A1848">
        <v>1839</v>
      </c>
      <c r="B1848">
        <v>223859370</v>
      </c>
      <c r="C1848" t="s">
        <v>487</v>
      </c>
      <c r="D1848" s="7">
        <v>44403</v>
      </c>
      <c r="E1848" s="7">
        <v>45702</v>
      </c>
      <c r="F1848">
        <v>330862</v>
      </c>
      <c r="G1848" t="s">
        <v>983</v>
      </c>
      <c r="H1848" t="s">
        <v>9</v>
      </c>
      <c r="I1848" s="7">
        <v>45636</v>
      </c>
      <c r="J1848" s="8">
        <v>0.48797453703703703</v>
      </c>
      <c r="K1848" t="s">
        <v>984</v>
      </c>
      <c r="AQ1848" t="s">
        <v>985</v>
      </c>
      <c r="AR1848" t="s">
        <v>1096</v>
      </c>
      <c r="AT1848" t="s">
        <v>987</v>
      </c>
      <c r="AZ1848" t="s">
        <v>1011</v>
      </c>
      <c r="BA1848" t="s">
        <v>1031</v>
      </c>
      <c r="BB1848" t="s">
        <v>1032</v>
      </c>
      <c r="BD1848" t="s">
        <v>1005</v>
      </c>
      <c r="BE1848" t="s">
        <v>487</v>
      </c>
    </row>
    <row r="1849" spans="1:57" ht="13" x14ac:dyDescent="0.15">
      <c r="A1849">
        <v>1839</v>
      </c>
      <c r="B1849">
        <v>223859370</v>
      </c>
      <c r="C1849" t="s">
        <v>487</v>
      </c>
      <c r="D1849" s="7">
        <v>44403</v>
      </c>
      <c r="E1849" s="7">
        <v>45702</v>
      </c>
      <c r="F1849">
        <v>330862</v>
      </c>
      <c r="G1849" t="s">
        <v>983</v>
      </c>
      <c r="H1849" t="s">
        <v>9</v>
      </c>
      <c r="I1849" s="7">
        <v>45676</v>
      </c>
      <c r="J1849" s="8">
        <v>0.70511574074074079</v>
      </c>
      <c r="K1849" t="s">
        <v>984</v>
      </c>
      <c r="AQ1849" t="s">
        <v>985</v>
      </c>
      <c r="AR1849" t="s">
        <v>1107</v>
      </c>
      <c r="AT1849" t="s">
        <v>987</v>
      </c>
      <c r="AZ1849" t="s">
        <v>1007</v>
      </c>
      <c r="BA1849" t="s">
        <v>1008</v>
      </c>
      <c r="BB1849" t="s">
        <v>990</v>
      </c>
      <c r="BD1849" t="s">
        <v>1005</v>
      </c>
      <c r="BE1849" t="s">
        <v>487</v>
      </c>
    </row>
    <row r="1850" spans="1:57" ht="13" x14ac:dyDescent="0.15">
      <c r="A1850">
        <v>1839</v>
      </c>
      <c r="B1850">
        <v>224783140</v>
      </c>
      <c r="C1850" t="s">
        <v>1778</v>
      </c>
      <c r="D1850" s="7">
        <v>44425</v>
      </c>
      <c r="E1850" s="7">
        <v>45692</v>
      </c>
      <c r="F1850">
        <v>330862</v>
      </c>
      <c r="G1850" t="s">
        <v>983</v>
      </c>
      <c r="H1850" t="s">
        <v>9</v>
      </c>
      <c r="I1850" s="7">
        <v>45616</v>
      </c>
      <c r="J1850" s="8">
        <v>0.71028935185185182</v>
      </c>
      <c r="K1850" t="s">
        <v>984</v>
      </c>
      <c r="AQ1850" t="s">
        <v>985</v>
      </c>
      <c r="AR1850" t="s">
        <v>1378</v>
      </c>
      <c r="AT1850" t="s">
        <v>987</v>
      </c>
      <c r="AZ1850" t="s">
        <v>1011</v>
      </c>
      <c r="BA1850" t="s">
        <v>1103</v>
      </c>
      <c r="BB1850" t="s">
        <v>1032</v>
      </c>
      <c r="BD1850" t="s">
        <v>1005</v>
      </c>
      <c r="BE1850" t="s">
        <v>1778</v>
      </c>
    </row>
    <row r="1851" spans="1:57" ht="13" x14ac:dyDescent="0.15">
      <c r="A1851">
        <v>1839</v>
      </c>
      <c r="B1851">
        <v>225071142</v>
      </c>
      <c r="C1851" t="s">
        <v>488</v>
      </c>
      <c r="D1851" s="7">
        <v>44426</v>
      </c>
      <c r="E1851" s="7">
        <v>45665</v>
      </c>
      <c r="F1851">
        <v>330862</v>
      </c>
      <c r="G1851" t="s">
        <v>983</v>
      </c>
      <c r="H1851" t="s">
        <v>9</v>
      </c>
      <c r="I1851" s="7">
        <v>45664</v>
      </c>
      <c r="J1851" s="8">
        <v>0.78133101851851849</v>
      </c>
      <c r="K1851" t="s">
        <v>984</v>
      </c>
      <c r="AQ1851" t="s">
        <v>1089</v>
      </c>
      <c r="AR1851" t="s">
        <v>1317</v>
      </c>
      <c r="AT1851" t="s">
        <v>987</v>
      </c>
      <c r="AZ1851" t="s">
        <v>1002</v>
      </c>
      <c r="BA1851" t="s">
        <v>1003</v>
      </c>
      <c r="BB1851" t="s">
        <v>1004</v>
      </c>
      <c r="BD1851" t="s">
        <v>1005</v>
      </c>
      <c r="BE1851" t="s">
        <v>488</v>
      </c>
    </row>
    <row r="1852" spans="1:57" ht="13" x14ac:dyDescent="0.15">
      <c r="A1852">
        <v>1839</v>
      </c>
      <c r="B1852">
        <v>225723238</v>
      </c>
      <c r="C1852" t="s">
        <v>489</v>
      </c>
      <c r="D1852" s="7">
        <v>44433</v>
      </c>
      <c r="E1852" s="7">
        <v>45674</v>
      </c>
      <c r="F1852">
        <v>336444</v>
      </c>
      <c r="G1852" t="s">
        <v>995</v>
      </c>
      <c r="H1852" t="s">
        <v>12</v>
      </c>
      <c r="I1852" s="7">
        <v>45662</v>
      </c>
      <c r="J1852" s="8">
        <v>0.17605324074074075</v>
      </c>
      <c r="K1852" t="s">
        <v>984</v>
      </c>
      <c r="AQ1852" t="s">
        <v>996</v>
      </c>
      <c r="BE1852" t="s">
        <v>489</v>
      </c>
    </row>
    <row r="1853" spans="1:57" ht="13" x14ac:dyDescent="0.15">
      <c r="A1853">
        <v>1839</v>
      </c>
      <c r="B1853">
        <v>227294005</v>
      </c>
      <c r="C1853" t="s">
        <v>1779</v>
      </c>
      <c r="D1853" s="7">
        <v>44465</v>
      </c>
      <c r="E1853" s="7">
        <v>45678</v>
      </c>
      <c r="F1853">
        <v>330862</v>
      </c>
      <c r="G1853" t="s">
        <v>983</v>
      </c>
      <c r="H1853" t="s">
        <v>9</v>
      </c>
      <c r="I1853" s="7">
        <v>45636</v>
      </c>
      <c r="J1853" s="8">
        <v>0.39185185185185184</v>
      </c>
      <c r="K1853" t="s">
        <v>984</v>
      </c>
      <c r="AQ1853" t="s">
        <v>998</v>
      </c>
      <c r="AR1853" t="s">
        <v>1262</v>
      </c>
      <c r="AT1853" t="s">
        <v>987</v>
      </c>
      <c r="AZ1853" t="s">
        <v>1028</v>
      </c>
      <c r="BA1853" t="s">
        <v>1029</v>
      </c>
      <c r="BB1853" t="s">
        <v>1018</v>
      </c>
      <c r="BD1853" t="s">
        <v>1022</v>
      </c>
      <c r="BE1853" t="s">
        <v>1779</v>
      </c>
    </row>
    <row r="1854" spans="1:57" ht="13" x14ac:dyDescent="0.15">
      <c r="A1854">
        <v>1839</v>
      </c>
      <c r="B1854">
        <v>227831021</v>
      </c>
      <c r="C1854" t="s">
        <v>490</v>
      </c>
      <c r="D1854" s="7">
        <v>44478</v>
      </c>
      <c r="E1854" s="7">
        <v>45696</v>
      </c>
      <c r="F1854">
        <v>330862</v>
      </c>
      <c r="G1854" t="s">
        <v>983</v>
      </c>
      <c r="H1854" t="s">
        <v>9</v>
      </c>
      <c r="I1854" s="7">
        <v>45677</v>
      </c>
      <c r="J1854" s="8">
        <v>0.66</v>
      </c>
      <c r="K1854" t="s">
        <v>984</v>
      </c>
      <c r="AQ1854" t="s">
        <v>1090</v>
      </c>
      <c r="AR1854" t="s">
        <v>1083</v>
      </c>
      <c r="AT1854" t="s">
        <v>987</v>
      </c>
      <c r="AZ1854" t="s">
        <v>1011</v>
      </c>
      <c r="BA1854" t="s">
        <v>1012</v>
      </c>
      <c r="BB1854" t="s">
        <v>1013</v>
      </c>
      <c r="BD1854" t="s">
        <v>1014</v>
      </c>
      <c r="BE1854" t="s">
        <v>490</v>
      </c>
    </row>
    <row r="1855" spans="1:57" ht="13" x14ac:dyDescent="0.15">
      <c r="A1855">
        <v>1839</v>
      </c>
      <c r="B1855">
        <v>228169912</v>
      </c>
      <c r="C1855" t="s">
        <v>491</v>
      </c>
      <c r="D1855" s="7">
        <v>44487</v>
      </c>
      <c r="E1855" s="7">
        <v>45709</v>
      </c>
      <c r="F1855">
        <v>330862</v>
      </c>
      <c r="G1855" t="s">
        <v>983</v>
      </c>
      <c r="H1855" t="s">
        <v>9</v>
      </c>
      <c r="I1855" s="7">
        <v>45706</v>
      </c>
      <c r="J1855" s="8">
        <v>0.60174768518518518</v>
      </c>
      <c r="K1855" t="s">
        <v>984</v>
      </c>
      <c r="AQ1855" t="s">
        <v>992</v>
      </c>
      <c r="AR1855" t="s">
        <v>1780</v>
      </c>
      <c r="AT1855" t="s">
        <v>987</v>
      </c>
      <c r="AZ1855" t="s">
        <v>1080</v>
      </c>
      <c r="BA1855" t="s">
        <v>1081</v>
      </c>
      <c r="BB1855" t="s">
        <v>1082</v>
      </c>
      <c r="BD1855" t="s">
        <v>991</v>
      </c>
      <c r="BE1855" t="s">
        <v>491</v>
      </c>
    </row>
    <row r="1856" spans="1:57" ht="13" x14ac:dyDescent="0.15">
      <c r="A1856">
        <v>1839</v>
      </c>
      <c r="B1856">
        <v>228249725</v>
      </c>
      <c r="C1856" t="s">
        <v>492</v>
      </c>
      <c r="D1856" s="7">
        <v>44489</v>
      </c>
      <c r="E1856" s="7">
        <v>45682</v>
      </c>
      <c r="F1856">
        <v>336444</v>
      </c>
      <c r="G1856" t="s">
        <v>995</v>
      </c>
      <c r="H1856" t="s">
        <v>12</v>
      </c>
      <c r="I1856" s="7">
        <v>45670</v>
      </c>
      <c r="J1856" s="8">
        <v>8.6874999999999994E-2</v>
      </c>
      <c r="K1856" t="s">
        <v>984</v>
      </c>
      <c r="AQ1856" t="s">
        <v>996</v>
      </c>
      <c r="BE1856" t="s">
        <v>492</v>
      </c>
    </row>
    <row r="1857" spans="1:57" ht="13" x14ac:dyDescent="0.15">
      <c r="A1857">
        <v>1839</v>
      </c>
      <c r="B1857">
        <v>228250677</v>
      </c>
      <c r="C1857" t="s">
        <v>493</v>
      </c>
      <c r="D1857" s="7">
        <v>44489</v>
      </c>
      <c r="E1857" s="7">
        <v>45713</v>
      </c>
      <c r="F1857">
        <v>330862</v>
      </c>
      <c r="G1857" t="s">
        <v>983</v>
      </c>
      <c r="H1857" t="s">
        <v>9</v>
      </c>
      <c r="I1857" s="7">
        <v>45693</v>
      </c>
      <c r="J1857" s="8">
        <v>0.50686342592592593</v>
      </c>
      <c r="K1857" t="s">
        <v>984</v>
      </c>
      <c r="AQ1857" t="s">
        <v>985</v>
      </c>
      <c r="AR1857" t="s">
        <v>994</v>
      </c>
      <c r="AT1857" t="s">
        <v>987</v>
      </c>
      <c r="AZ1857" t="s">
        <v>1011</v>
      </c>
      <c r="BA1857" t="s">
        <v>1012</v>
      </c>
      <c r="BB1857" t="s">
        <v>1013</v>
      </c>
      <c r="BD1857" t="s">
        <v>1014</v>
      </c>
      <c r="BE1857" t="s">
        <v>493</v>
      </c>
    </row>
    <row r="1858" spans="1:57" ht="13" x14ac:dyDescent="0.15">
      <c r="A1858">
        <v>1839</v>
      </c>
      <c r="B1858">
        <v>228273661</v>
      </c>
      <c r="C1858" t="s">
        <v>494</v>
      </c>
      <c r="D1858" s="7">
        <v>44490</v>
      </c>
      <c r="E1858" s="7">
        <v>45696</v>
      </c>
      <c r="F1858">
        <v>330862</v>
      </c>
      <c r="G1858" t="s">
        <v>983</v>
      </c>
      <c r="H1858" t="s">
        <v>9</v>
      </c>
      <c r="I1858" s="7">
        <v>45694</v>
      </c>
      <c r="J1858" s="8">
        <v>0.67723379629629632</v>
      </c>
      <c r="K1858" t="s">
        <v>984</v>
      </c>
      <c r="AQ1858" t="s">
        <v>992</v>
      </c>
      <c r="AR1858" t="s">
        <v>1781</v>
      </c>
      <c r="AT1858" t="s">
        <v>987</v>
      </c>
      <c r="AZ1858" t="s">
        <v>1071</v>
      </c>
      <c r="BA1858" t="s">
        <v>1135</v>
      </c>
      <c r="BB1858" t="s">
        <v>1136</v>
      </c>
      <c r="BD1858" t="s">
        <v>991</v>
      </c>
      <c r="BE1858" t="s">
        <v>494</v>
      </c>
    </row>
    <row r="1859" spans="1:57" ht="13" x14ac:dyDescent="0.15">
      <c r="A1859">
        <v>1839</v>
      </c>
      <c r="B1859">
        <v>228273661</v>
      </c>
      <c r="C1859" t="s">
        <v>494</v>
      </c>
      <c r="D1859" s="7">
        <v>44490</v>
      </c>
      <c r="E1859" s="7">
        <v>45696</v>
      </c>
      <c r="F1859">
        <v>330862</v>
      </c>
      <c r="G1859" t="s">
        <v>983</v>
      </c>
      <c r="H1859" t="s">
        <v>9</v>
      </c>
      <c r="I1859" s="7">
        <v>45694</v>
      </c>
      <c r="J1859" s="8">
        <v>0.67798611111111107</v>
      </c>
      <c r="K1859" t="s">
        <v>984</v>
      </c>
      <c r="AQ1859" t="s">
        <v>992</v>
      </c>
      <c r="AR1859" t="s">
        <v>986</v>
      </c>
      <c r="AT1859" t="s">
        <v>987</v>
      </c>
      <c r="AZ1859" t="s">
        <v>988</v>
      </c>
      <c r="BA1859" t="s">
        <v>989</v>
      </c>
      <c r="BB1859" t="s">
        <v>990</v>
      </c>
      <c r="BD1859" t="s">
        <v>991</v>
      </c>
      <c r="BE1859" t="s">
        <v>494</v>
      </c>
    </row>
    <row r="1860" spans="1:57" ht="13" x14ac:dyDescent="0.15">
      <c r="A1860">
        <v>1839</v>
      </c>
      <c r="B1860">
        <v>228273661</v>
      </c>
      <c r="C1860" t="s">
        <v>494</v>
      </c>
      <c r="D1860" s="7">
        <v>44490</v>
      </c>
      <c r="E1860" s="7">
        <v>45696</v>
      </c>
      <c r="F1860">
        <v>330862</v>
      </c>
      <c r="G1860" t="s">
        <v>983</v>
      </c>
      <c r="H1860" t="s">
        <v>9</v>
      </c>
      <c r="I1860" s="7">
        <v>45694</v>
      </c>
      <c r="J1860" s="8">
        <v>0.67868055555555551</v>
      </c>
      <c r="K1860" t="s">
        <v>984</v>
      </c>
      <c r="AQ1860" t="s">
        <v>992</v>
      </c>
      <c r="AR1860" t="s">
        <v>1384</v>
      </c>
      <c r="AT1860" t="s">
        <v>987</v>
      </c>
      <c r="AZ1860" t="s">
        <v>988</v>
      </c>
      <c r="BA1860" t="s">
        <v>1035</v>
      </c>
      <c r="BB1860" t="s">
        <v>1026</v>
      </c>
      <c r="BD1860" t="s">
        <v>991</v>
      </c>
      <c r="BE1860" t="s">
        <v>494</v>
      </c>
    </row>
    <row r="1861" spans="1:57" ht="13" x14ac:dyDescent="0.15">
      <c r="A1861">
        <v>1839</v>
      </c>
      <c r="B1861">
        <v>228273661</v>
      </c>
      <c r="C1861" t="s">
        <v>494</v>
      </c>
      <c r="D1861" s="7">
        <v>44490</v>
      </c>
      <c r="E1861" s="7">
        <v>45696</v>
      </c>
      <c r="F1861">
        <v>330862</v>
      </c>
      <c r="G1861" t="s">
        <v>983</v>
      </c>
      <c r="H1861" t="s">
        <v>9</v>
      </c>
      <c r="I1861" s="7">
        <v>45694</v>
      </c>
      <c r="J1861" s="8">
        <v>0.67350694444444448</v>
      </c>
      <c r="K1861" t="s">
        <v>984</v>
      </c>
      <c r="AQ1861" t="s">
        <v>992</v>
      </c>
      <c r="AR1861" t="s">
        <v>1782</v>
      </c>
      <c r="AT1861" t="s">
        <v>987</v>
      </c>
      <c r="AZ1861" t="s">
        <v>988</v>
      </c>
      <c r="BA1861" t="s">
        <v>1058</v>
      </c>
      <c r="BB1861" t="s">
        <v>1018</v>
      </c>
      <c r="BD1861" t="s">
        <v>1005</v>
      </c>
      <c r="BE1861" t="s">
        <v>494</v>
      </c>
    </row>
    <row r="1862" spans="1:57" ht="13" x14ac:dyDescent="0.15">
      <c r="A1862">
        <v>1839</v>
      </c>
      <c r="B1862">
        <v>228273661</v>
      </c>
      <c r="C1862" t="s">
        <v>494</v>
      </c>
      <c r="D1862" s="7">
        <v>44490</v>
      </c>
      <c r="E1862" s="7">
        <v>45696</v>
      </c>
      <c r="F1862">
        <v>330862</v>
      </c>
      <c r="G1862" t="s">
        <v>983</v>
      </c>
      <c r="H1862" t="s">
        <v>9</v>
      </c>
      <c r="I1862" s="7">
        <v>45694</v>
      </c>
      <c r="J1862" s="8">
        <v>0.68001157407407409</v>
      </c>
      <c r="K1862" t="s">
        <v>984</v>
      </c>
      <c r="AQ1862" t="s">
        <v>992</v>
      </c>
      <c r="AR1862" t="s">
        <v>1783</v>
      </c>
      <c r="AT1862" t="s">
        <v>987</v>
      </c>
      <c r="AZ1862" t="s">
        <v>1028</v>
      </c>
      <c r="BA1862" t="s">
        <v>1037</v>
      </c>
      <c r="BB1862" t="s">
        <v>1038</v>
      </c>
      <c r="BD1862" t="s">
        <v>991</v>
      </c>
      <c r="BE1862" t="s">
        <v>494</v>
      </c>
    </row>
    <row r="1863" spans="1:57" ht="13" x14ac:dyDescent="0.15">
      <c r="A1863">
        <v>1839</v>
      </c>
      <c r="B1863">
        <v>228273661</v>
      </c>
      <c r="C1863" t="s">
        <v>494</v>
      </c>
      <c r="D1863" s="7">
        <v>44490</v>
      </c>
      <c r="E1863" s="7">
        <v>45696</v>
      </c>
      <c r="F1863">
        <v>330862</v>
      </c>
      <c r="G1863" t="s">
        <v>983</v>
      </c>
      <c r="H1863" t="s">
        <v>9</v>
      </c>
      <c r="I1863" s="7">
        <v>45694</v>
      </c>
      <c r="J1863" s="8">
        <v>0.67651620370370369</v>
      </c>
      <c r="K1863" t="s">
        <v>984</v>
      </c>
      <c r="AQ1863" t="s">
        <v>992</v>
      </c>
      <c r="AR1863" t="s">
        <v>1137</v>
      </c>
      <c r="AT1863" t="s">
        <v>987</v>
      </c>
      <c r="AZ1863" t="s">
        <v>1062</v>
      </c>
      <c r="BA1863" t="s">
        <v>1063</v>
      </c>
      <c r="BB1863" t="s">
        <v>1048</v>
      </c>
      <c r="BD1863" t="s">
        <v>991</v>
      </c>
      <c r="BE1863" t="s">
        <v>494</v>
      </c>
    </row>
    <row r="1864" spans="1:57" ht="13" x14ac:dyDescent="0.15">
      <c r="A1864">
        <v>1839</v>
      </c>
      <c r="B1864">
        <v>228273661</v>
      </c>
      <c r="C1864" t="s">
        <v>494</v>
      </c>
      <c r="D1864" s="7">
        <v>44490</v>
      </c>
      <c r="E1864" s="7">
        <v>45696</v>
      </c>
      <c r="F1864">
        <v>330862</v>
      </c>
      <c r="G1864" t="s">
        <v>983</v>
      </c>
      <c r="H1864" t="s">
        <v>9</v>
      </c>
      <c r="I1864" s="7">
        <v>45694</v>
      </c>
      <c r="J1864" s="8">
        <v>0.67594907407407412</v>
      </c>
      <c r="K1864" t="s">
        <v>984</v>
      </c>
      <c r="AQ1864" t="s">
        <v>992</v>
      </c>
      <c r="AR1864" t="s">
        <v>1456</v>
      </c>
      <c r="AT1864" t="s">
        <v>987</v>
      </c>
      <c r="AZ1864" t="s">
        <v>1016</v>
      </c>
      <c r="BA1864" t="s">
        <v>1017</v>
      </c>
      <c r="BB1864" t="s">
        <v>1018</v>
      </c>
      <c r="BD1864" t="s">
        <v>991</v>
      </c>
      <c r="BE1864" t="s">
        <v>494</v>
      </c>
    </row>
    <row r="1865" spans="1:57" ht="13" x14ac:dyDescent="0.15">
      <c r="A1865">
        <v>1839</v>
      </c>
      <c r="B1865">
        <v>228273661</v>
      </c>
      <c r="C1865" t="s">
        <v>494</v>
      </c>
      <c r="D1865" s="7">
        <v>44490</v>
      </c>
      <c r="E1865" s="7">
        <v>45696</v>
      </c>
      <c r="F1865">
        <v>330862</v>
      </c>
      <c r="G1865" t="s">
        <v>983</v>
      </c>
      <c r="H1865" t="s">
        <v>9</v>
      </c>
      <c r="I1865" s="7">
        <v>45694</v>
      </c>
      <c r="J1865" s="8">
        <v>0.67423611111111115</v>
      </c>
      <c r="K1865" t="s">
        <v>984</v>
      </c>
      <c r="AQ1865" t="s">
        <v>992</v>
      </c>
      <c r="AR1865" t="s">
        <v>1784</v>
      </c>
      <c r="AT1865" t="s">
        <v>987</v>
      </c>
      <c r="AZ1865" t="s">
        <v>1071</v>
      </c>
      <c r="BA1865" t="s">
        <v>1072</v>
      </c>
      <c r="BB1865" t="s">
        <v>1048</v>
      </c>
      <c r="BD1865" t="s">
        <v>1005</v>
      </c>
      <c r="BE1865" t="s">
        <v>494</v>
      </c>
    </row>
    <row r="1866" spans="1:57" ht="13" x14ac:dyDescent="0.15">
      <c r="A1866">
        <v>1839</v>
      </c>
      <c r="B1866">
        <v>228273661</v>
      </c>
      <c r="C1866" t="s">
        <v>494</v>
      </c>
      <c r="D1866" s="7">
        <v>44490</v>
      </c>
      <c r="E1866" s="7">
        <v>45696</v>
      </c>
      <c r="F1866">
        <v>330862</v>
      </c>
      <c r="G1866" t="s">
        <v>983</v>
      </c>
      <c r="H1866" t="s">
        <v>9</v>
      </c>
      <c r="I1866" s="7">
        <v>45694</v>
      </c>
      <c r="J1866" s="8">
        <v>0.67940972222222218</v>
      </c>
      <c r="K1866" t="s">
        <v>984</v>
      </c>
      <c r="AQ1866" t="s">
        <v>992</v>
      </c>
      <c r="AR1866" t="s">
        <v>1295</v>
      </c>
      <c r="AT1866" t="s">
        <v>987</v>
      </c>
      <c r="AZ1866" t="s">
        <v>1174</v>
      </c>
      <c r="BA1866" t="s">
        <v>1175</v>
      </c>
      <c r="BB1866" t="s">
        <v>990</v>
      </c>
      <c r="BD1866" t="s">
        <v>991</v>
      </c>
      <c r="BE1866" t="s">
        <v>494</v>
      </c>
    </row>
    <row r="1867" spans="1:57" ht="13" x14ac:dyDescent="0.15">
      <c r="A1867">
        <v>1839</v>
      </c>
      <c r="B1867">
        <v>228273661</v>
      </c>
      <c r="C1867" t="s">
        <v>494</v>
      </c>
      <c r="D1867" s="7">
        <v>44490</v>
      </c>
      <c r="E1867" s="7">
        <v>45696</v>
      </c>
      <c r="F1867">
        <v>330862</v>
      </c>
      <c r="G1867" t="s">
        <v>983</v>
      </c>
      <c r="H1867" t="s">
        <v>9</v>
      </c>
      <c r="I1867" s="7">
        <v>45694</v>
      </c>
      <c r="J1867" s="8">
        <v>0.67289351851851853</v>
      </c>
      <c r="K1867" t="s">
        <v>984</v>
      </c>
      <c r="AQ1867" t="s">
        <v>992</v>
      </c>
      <c r="AR1867" t="s">
        <v>1138</v>
      </c>
      <c r="AT1867" t="s">
        <v>987</v>
      </c>
      <c r="AZ1867" t="s">
        <v>1139</v>
      </c>
      <c r="BA1867" t="s">
        <v>1140</v>
      </c>
      <c r="BB1867" t="s">
        <v>1032</v>
      </c>
      <c r="BD1867" t="s">
        <v>1005</v>
      </c>
      <c r="BE1867" t="s">
        <v>494</v>
      </c>
    </row>
    <row r="1868" spans="1:57" ht="13" x14ac:dyDescent="0.15">
      <c r="A1868">
        <v>1839</v>
      </c>
      <c r="B1868">
        <v>228273661</v>
      </c>
      <c r="C1868" t="s">
        <v>494</v>
      </c>
      <c r="D1868" s="7">
        <v>44490</v>
      </c>
      <c r="E1868" s="7">
        <v>45696</v>
      </c>
      <c r="F1868">
        <v>330862</v>
      </c>
      <c r="G1868" t="s">
        <v>983</v>
      </c>
      <c r="H1868" t="s">
        <v>9</v>
      </c>
      <c r="I1868" s="7">
        <v>45694</v>
      </c>
      <c r="J1868" s="8">
        <v>0.67210648148148144</v>
      </c>
      <c r="K1868" t="s">
        <v>984</v>
      </c>
      <c r="AQ1868" t="s">
        <v>992</v>
      </c>
      <c r="AR1868" t="s">
        <v>1747</v>
      </c>
      <c r="AT1868" t="s">
        <v>987</v>
      </c>
      <c r="AZ1868" t="s">
        <v>1007</v>
      </c>
      <c r="BA1868" t="s">
        <v>1008</v>
      </c>
      <c r="BB1868" t="s">
        <v>990</v>
      </c>
      <c r="BD1868" t="s">
        <v>1005</v>
      </c>
      <c r="BE1868" t="s">
        <v>494</v>
      </c>
    </row>
    <row r="1869" spans="1:57" ht="13" x14ac:dyDescent="0.15">
      <c r="A1869">
        <v>1839</v>
      </c>
      <c r="B1869">
        <v>228273661</v>
      </c>
      <c r="C1869" t="s">
        <v>494</v>
      </c>
      <c r="D1869" s="7">
        <v>44490</v>
      </c>
      <c r="E1869" s="7">
        <v>45696</v>
      </c>
      <c r="F1869">
        <v>330862</v>
      </c>
      <c r="G1869" t="s">
        <v>983</v>
      </c>
      <c r="H1869" t="s">
        <v>9</v>
      </c>
      <c r="I1869" s="7">
        <v>45694</v>
      </c>
      <c r="J1869" s="8">
        <v>0.67137731481481477</v>
      </c>
      <c r="K1869" t="s">
        <v>984</v>
      </c>
      <c r="AQ1869" t="s">
        <v>992</v>
      </c>
      <c r="AR1869" t="s">
        <v>1782</v>
      </c>
      <c r="AT1869" t="s">
        <v>987</v>
      </c>
      <c r="AZ1869" t="s">
        <v>988</v>
      </c>
      <c r="BA1869" t="s">
        <v>1058</v>
      </c>
      <c r="BB1869" t="s">
        <v>1018</v>
      </c>
      <c r="BD1869" t="s">
        <v>1005</v>
      </c>
      <c r="BE1869" t="s">
        <v>494</v>
      </c>
    </row>
    <row r="1870" spans="1:57" ht="13" x14ac:dyDescent="0.15">
      <c r="A1870">
        <v>1839</v>
      </c>
      <c r="B1870">
        <v>228273661</v>
      </c>
      <c r="C1870" t="s">
        <v>494</v>
      </c>
      <c r="D1870" s="7">
        <v>44490</v>
      </c>
      <c r="E1870" s="7">
        <v>45696</v>
      </c>
      <c r="F1870">
        <v>330862</v>
      </c>
      <c r="G1870" t="s">
        <v>983</v>
      </c>
      <c r="H1870" t="s">
        <v>9</v>
      </c>
      <c r="I1870" s="7">
        <v>45694</v>
      </c>
      <c r="J1870" s="8">
        <v>0.66994212962962962</v>
      </c>
      <c r="K1870" t="s">
        <v>984</v>
      </c>
      <c r="AQ1870" t="s">
        <v>992</v>
      </c>
      <c r="AR1870" t="s">
        <v>1138</v>
      </c>
      <c r="AT1870" t="s">
        <v>987</v>
      </c>
      <c r="AZ1870" t="s">
        <v>1139</v>
      </c>
      <c r="BA1870" t="s">
        <v>1140</v>
      </c>
      <c r="BB1870" t="s">
        <v>1032</v>
      </c>
      <c r="BD1870" t="s">
        <v>1005</v>
      </c>
      <c r="BE1870" t="s">
        <v>494</v>
      </c>
    </row>
    <row r="1871" spans="1:57" ht="13" x14ac:dyDescent="0.15">
      <c r="A1871">
        <v>1839</v>
      </c>
      <c r="B1871">
        <v>228318861</v>
      </c>
      <c r="C1871" t="s">
        <v>1785</v>
      </c>
      <c r="D1871" s="7">
        <v>44491</v>
      </c>
      <c r="E1871" s="7">
        <v>45709</v>
      </c>
      <c r="F1871">
        <v>330862</v>
      </c>
      <c r="G1871" t="s">
        <v>983</v>
      </c>
      <c r="H1871" t="s">
        <v>9</v>
      </c>
      <c r="I1871" s="7">
        <v>45709</v>
      </c>
      <c r="J1871" s="8">
        <v>0.65702546296296294</v>
      </c>
      <c r="K1871" t="s">
        <v>984</v>
      </c>
      <c r="AQ1871" t="s">
        <v>1089</v>
      </c>
      <c r="AR1871" t="s">
        <v>1194</v>
      </c>
      <c r="AT1871" t="s">
        <v>987</v>
      </c>
      <c r="AZ1871" t="s">
        <v>1080</v>
      </c>
      <c r="BA1871" t="s">
        <v>1081</v>
      </c>
      <c r="BB1871" t="s">
        <v>1082</v>
      </c>
      <c r="BD1871" t="s">
        <v>991</v>
      </c>
      <c r="BE1871" t="s">
        <v>1785</v>
      </c>
    </row>
    <row r="1872" spans="1:57" ht="13" x14ac:dyDescent="0.15">
      <c r="A1872">
        <v>1839</v>
      </c>
      <c r="B1872">
        <v>228318861</v>
      </c>
      <c r="C1872" t="s">
        <v>1785</v>
      </c>
      <c r="D1872" s="7">
        <v>44491</v>
      </c>
      <c r="E1872" s="7">
        <v>45709</v>
      </c>
      <c r="F1872">
        <v>330862</v>
      </c>
      <c r="G1872" t="s">
        <v>983</v>
      </c>
      <c r="H1872" t="s">
        <v>9</v>
      </c>
      <c r="I1872" s="7">
        <v>45616</v>
      </c>
      <c r="J1872" s="8">
        <v>0.88527777777777783</v>
      </c>
      <c r="K1872" t="s">
        <v>984</v>
      </c>
      <c r="AQ1872" t="s">
        <v>1089</v>
      </c>
      <c r="AR1872" t="s">
        <v>1399</v>
      </c>
      <c r="AT1872" t="s">
        <v>987</v>
      </c>
      <c r="AZ1872" t="s">
        <v>1011</v>
      </c>
      <c r="BA1872" t="s">
        <v>1103</v>
      </c>
      <c r="BB1872" t="s">
        <v>1032</v>
      </c>
      <c r="BD1872" t="s">
        <v>1005</v>
      </c>
      <c r="BE1872" t="s">
        <v>1785</v>
      </c>
    </row>
    <row r="1873" spans="1:57" ht="13" x14ac:dyDescent="0.15">
      <c r="A1873">
        <v>1839</v>
      </c>
      <c r="B1873">
        <v>228421997</v>
      </c>
      <c r="C1873" t="s">
        <v>1786</v>
      </c>
      <c r="D1873" s="7">
        <v>44494</v>
      </c>
      <c r="E1873" s="7">
        <v>45701</v>
      </c>
      <c r="F1873">
        <v>330862</v>
      </c>
      <c r="G1873" t="s">
        <v>983</v>
      </c>
      <c r="H1873" t="s">
        <v>9</v>
      </c>
      <c r="I1873" s="7">
        <v>45618</v>
      </c>
      <c r="J1873" s="8">
        <v>0.25789351851851849</v>
      </c>
      <c r="K1873" t="s">
        <v>984</v>
      </c>
      <c r="AQ1873" t="s">
        <v>1089</v>
      </c>
      <c r="AR1873" t="s">
        <v>1344</v>
      </c>
      <c r="AT1873" t="s">
        <v>987</v>
      </c>
      <c r="AZ1873" t="s">
        <v>1011</v>
      </c>
      <c r="BA1873" t="s">
        <v>1103</v>
      </c>
      <c r="BB1873" t="s">
        <v>1032</v>
      </c>
      <c r="BD1873" t="s">
        <v>1005</v>
      </c>
      <c r="BE1873" t="s">
        <v>1786</v>
      </c>
    </row>
    <row r="1874" spans="1:57" ht="13" x14ac:dyDescent="0.15">
      <c r="A1874">
        <v>1839</v>
      </c>
      <c r="B1874">
        <v>228421997</v>
      </c>
      <c r="C1874" t="s">
        <v>1786</v>
      </c>
      <c r="D1874" s="7">
        <v>44494</v>
      </c>
      <c r="E1874" s="7">
        <v>45701</v>
      </c>
      <c r="F1874">
        <v>330862</v>
      </c>
      <c r="G1874" t="s">
        <v>983</v>
      </c>
      <c r="H1874" t="s">
        <v>9</v>
      </c>
      <c r="I1874" s="7">
        <v>45618</v>
      </c>
      <c r="J1874" s="8">
        <v>0.26451388888888888</v>
      </c>
      <c r="K1874" t="s">
        <v>984</v>
      </c>
      <c r="AQ1874" t="s">
        <v>1089</v>
      </c>
      <c r="AR1874" t="s">
        <v>1345</v>
      </c>
      <c r="AT1874" t="s">
        <v>987</v>
      </c>
      <c r="AZ1874" t="s">
        <v>1055</v>
      </c>
      <c r="BA1874" t="s">
        <v>1056</v>
      </c>
      <c r="BB1874" t="s">
        <v>1013</v>
      </c>
      <c r="BD1874" t="s">
        <v>1022</v>
      </c>
      <c r="BE1874" t="s">
        <v>1786</v>
      </c>
    </row>
    <row r="1875" spans="1:57" ht="13" x14ac:dyDescent="0.15">
      <c r="A1875">
        <v>1839</v>
      </c>
      <c r="B1875">
        <v>229658415</v>
      </c>
      <c r="C1875" t="s">
        <v>495</v>
      </c>
      <c r="D1875" s="7">
        <v>44508</v>
      </c>
      <c r="E1875" s="7">
        <v>45680</v>
      </c>
      <c r="F1875">
        <v>330862</v>
      </c>
      <c r="G1875" t="s">
        <v>983</v>
      </c>
      <c r="H1875" t="s">
        <v>9</v>
      </c>
      <c r="I1875" s="7">
        <v>45680</v>
      </c>
      <c r="J1875" s="8">
        <v>0.37925925925925924</v>
      </c>
      <c r="K1875" t="s">
        <v>984</v>
      </c>
      <c r="AQ1875" t="s">
        <v>1320</v>
      </c>
      <c r="AR1875" t="s">
        <v>1050</v>
      </c>
      <c r="AT1875" t="s">
        <v>987</v>
      </c>
      <c r="AZ1875" t="s">
        <v>1011</v>
      </c>
      <c r="BA1875" t="s">
        <v>1012</v>
      </c>
      <c r="BB1875" t="s">
        <v>1013</v>
      </c>
      <c r="BD1875" t="s">
        <v>1014</v>
      </c>
      <c r="BE1875" t="s">
        <v>495</v>
      </c>
    </row>
    <row r="1876" spans="1:57" ht="13" x14ac:dyDescent="0.15">
      <c r="A1876">
        <v>1839</v>
      </c>
      <c r="B1876">
        <v>231261132</v>
      </c>
      <c r="C1876" t="s">
        <v>496</v>
      </c>
      <c r="D1876" s="7">
        <v>44521</v>
      </c>
      <c r="E1876" s="7">
        <v>45712</v>
      </c>
      <c r="F1876">
        <v>330862</v>
      </c>
      <c r="G1876" t="s">
        <v>983</v>
      </c>
      <c r="H1876" t="s">
        <v>9</v>
      </c>
      <c r="I1876" s="7">
        <v>45674</v>
      </c>
      <c r="J1876" s="8">
        <v>0.72645833333333332</v>
      </c>
      <c r="K1876" t="s">
        <v>984</v>
      </c>
      <c r="AQ1876" t="s">
        <v>1142</v>
      </c>
      <c r="AR1876" t="s">
        <v>1051</v>
      </c>
      <c r="AT1876" t="s">
        <v>987</v>
      </c>
      <c r="AZ1876" t="s">
        <v>1002</v>
      </c>
      <c r="BA1876" t="s">
        <v>1003</v>
      </c>
      <c r="BB1876" t="s">
        <v>1004</v>
      </c>
      <c r="BD1876" t="s">
        <v>1005</v>
      </c>
      <c r="BE1876" t="s">
        <v>496</v>
      </c>
    </row>
    <row r="1877" spans="1:57" ht="13" x14ac:dyDescent="0.15">
      <c r="A1877">
        <v>1839</v>
      </c>
      <c r="B1877">
        <v>231261132</v>
      </c>
      <c r="C1877" t="s">
        <v>496</v>
      </c>
      <c r="D1877" s="7">
        <v>44521</v>
      </c>
      <c r="E1877" s="7">
        <v>45712</v>
      </c>
      <c r="F1877">
        <v>330862</v>
      </c>
      <c r="G1877" t="s">
        <v>983</v>
      </c>
      <c r="H1877" t="s">
        <v>9</v>
      </c>
      <c r="I1877" s="7">
        <v>45712</v>
      </c>
      <c r="J1877" s="8">
        <v>0.67133101851851851</v>
      </c>
      <c r="K1877" t="s">
        <v>984</v>
      </c>
      <c r="AQ1877" t="s">
        <v>1142</v>
      </c>
      <c r="AR1877" t="s">
        <v>1787</v>
      </c>
      <c r="AT1877" t="s">
        <v>987</v>
      </c>
      <c r="AZ1877" t="s">
        <v>988</v>
      </c>
      <c r="BA1877" t="s">
        <v>989</v>
      </c>
      <c r="BB1877" t="s">
        <v>990</v>
      </c>
      <c r="BD1877" t="s">
        <v>991</v>
      </c>
      <c r="BE1877" t="s">
        <v>496</v>
      </c>
    </row>
    <row r="1878" spans="1:57" ht="13" x14ac:dyDescent="0.15">
      <c r="A1878">
        <v>1839</v>
      </c>
      <c r="B1878">
        <v>231261132</v>
      </c>
      <c r="C1878" t="s">
        <v>496</v>
      </c>
      <c r="D1878" s="7">
        <v>44521</v>
      </c>
      <c r="E1878" s="7">
        <v>45712</v>
      </c>
      <c r="F1878">
        <v>330862</v>
      </c>
      <c r="G1878" t="s">
        <v>983</v>
      </c>
      <c r="H1878" t="s">
        <v>9</v>
      </c>
      <c r="I1878" s="7">
        <v>45712</v>
      </c>
      <c r="J1878" s="8">
        <v>0.66424768518518518</v>
      </c>
      <c r="K1878" t="s">
        <v>984</v>
      </c>
      <c r="AQ1878" t="s">
        <v>1142</v>
      </c>
      <c r="AR1878" t="s">
        <v>1787</v>
      </c>
      <c r="AT1878" t="s">
        <v>987</v>
      </c>
      <c r="AZ1878" t="s">
        <v>988</v>
      </c>
      <c r="BA1878" t="s">
        <v>989</v>
      </c>
      <c r="BB1878" t="s">
        <v>990</v>
      </c>
      <c r="BD1878" t="s">
        <v>991</v>
      </c>
      <c r="BE1878" t="s">
        <v>496</v>
      </c>
    </row>
    <row r="1879" spans="1:57" ht="13" x14ac:dyDescent="0.15">
      <c r="A1879">
        <v>1839</v>
      </c>
      <c r="B1879">
        <v>231574805</v>
      </c>
      <c r="C1879" t="s">
        <v>1788</v>
      </c>
      <c r="D1879" s="7">
        <v>44531</v>
      </c>
      <c r="E1879" s="7">
        <v>45713</v>
      </c>
      <c r="F1879">
        <v>330862</v>
      </c>
      <c r="G1879" t="s">
        <v>983</v>
      </c>
      <c r="H1879" t="s">
        <v>9</v>
      </c>
      <c r="I1879" s="7">
        <v>45634</v>
      </c>
      <c r="J1879" s="8">
        <v>0.40489583333333334</v>
      </c>
      <c r="K1879" t="s">
        <v>984</v>
      </c>
      <c r="AQ1879" t="s">
        <v>998</v>
      </c>
      <c r="AR1879" t="s">
        <v>1693</v>
      </c>
      <c r="AT1879" t="s">
        <v>987</v>
      </c>
      <c r="AZ1879" t="s">
        <v>1011</v>
      </c>
      <c r="BA1879" t="s">
        <v>1031</v>
      </c>
      <c r="BB1879" t="s">
        <v>1032</v>
      </c>
      <c r="BD1879" t="s">
        <v>1005</v>
      </c>
      <c r="BE1879" t="s">
        <v>1788</v>
      </c>
    </row>
    <row r="1880" spans="1:57" ht="13" x14ac:dyDescent="0.15">
      <c r="A1880">
        <v>1839</v>
      </c>
      <c r="B1880">
        <v>231575038</v>
      </c>
      <c r="C1880" t="s">
        <v>497</v>
      </c>
      <c r="D1880" s="7">
        <v>44531</v>
      </c>
      <c r="E1880" s="7">
        <v>45691</v>
      </c>
      <c r="F1880">
        <v>330862</v>
      </c>
      <c r="G1880" t="s">
        <v>983</v>
      </c>
      <c r="H1880" t="s">
        <v>9</v>
      </c>
      <c r="I1880" s="7">
        <v>45691</v>
      </c>
      <c r="J1880" s="8">
        <v>0.50290509259259264</v>
      </c>
      <c r="K1880" t="s">
        <v>984</v>
      </c>
      <c r="AQ1880" t="s">
        <v>1724</v>
      </c>
      <c r="AR1880" t="s">
        <v>994</v>
      </c>
      <c r="AT1880" t="s">
        <v>987</v>
      </c>
      <c r="AZ1880" t="s">
        <v>1011</v>
      </c>
      <c r="BA1880" t="s">
        <v>1012</v>
      </c>
      <c r="BB1880" t="s">
        <v>1013</v>
      </c>
      <c r="BD1880" t="s">
        <v>1014</v>
      </c>
      <c r="BE1880" t="s">
        <v>497</v>
      </c>
    </row>
    <row r="1881" spans="1:57" ht="13" x14ac:dyDescent="0.15">
      <c r="A1881">
        <v>1839</v>
      </c>
      <c r="B1881">
        <v>232199827</v>
      </c>
      <c r="C1881" t="s">
        <v>498</v>
      </c>
      <c r="D1881" s="7">
        <v>44542</v>
      </c>
      <c r="E1881" s="7">
        <v>45710</v>
      </c>
      <c r="F1881">
        <v>330862</v>
      </c>
      <c r="G1881" t="s">
        <v>983</v>
      </c>
      <c r="H1881" t="s">
        <v>9</v>
      </c>
      <c r="I1881" s="7">
        <v>45678</v>
      </c>
      <c r="J1881" s="8">
        <v>0.96628472222222217</v>
      </c>
      <c r="K1881" t="s">
        <v>984</v>
      </c>
      <c r="AQ1881" t="s">
        <v>1530</v>
      </c>
      <c r="AR1881" t="s">
        <v>1538</v>
      </c>
      <c r="AT1881" t="s">
        <v>987</v>
      </c>
      <c r="AZ1881" t="s">
        <v>1024</v>
      </c>
      <c r="BA1881" t="s">
        <v>1047</v>
      </c>
      <c r="BB1881" t="s">
        <v>1048</v>
      </c>
      <c r="BD1881" t="s">
        <v>1014</v>
      </c>
      <c r="BE1881" t="s">
        <v>498</v>
      </c>
    </row>
    <row r="1882" spans="1:57" ht="13" x14ac:dyDescent="0.15">
      <c r="A1882">
        <v>1839</v>
      </c>
      <c r="B1882">
        <v>232199827</v>
      </c>
      <c r="C1882" t="s">
        <v>498</v>
      </c>
      <c r="D1882" s="7">
        <v>44542</v>
      </c>
      <c r="E1882" s="7">
        <v>45710</v>
      </c>
      <c r="F1882">
        <v>330862</v>
      </c>
      <c r="G1882" t="s">
        <v>983</v>
      </c>
      <c r="H1882" t="s">
        <v>9</v>
      </c>
      <c r="I1882" s="7">
        <v>45678</v>
      </c>
      <c r="J1882" s="8">
        <v>0.97479166666666661</v>
      </c>
      <c r="K1882" t="s">
        <v>984</v>
      </c>
      <c r="AQ1882" t="s">
        <v>1530</v>
      </c>
      <c r="AR1882" t="s">
        <v>1461</v>
      </c>
      <c r="AT1882" t="s">
        <v>987</v>
      </c>
      <c r="AZ1882" t="s">
        <v>1002</v>
      </c>
      <c r="BA1882" t="s">
        <v>1003</v>
      </c>
      <c r="BB1882" t="s">
        <v>1004</v>
      </c>
      <c r="BD1882" t="s">
        <v>1005</v>
      </c>
      <c r="BE1882" t="s">
        <v>498</v>
      </c>
    </row>
    <row r="1883" spans="1:57" ht="13" x14ac:dyDescent="0.15">
      <c r="A1883">
        <v>1839</v>
      </c>
      <c r="B1883">
        <v>232199827</v>
      </c>
      <c r="C1883" t="s">
        <v>498</v>
      </c>
      <c r="D1883" s="7">
        <v>44542</v>
      </c>
      <c r="E1883" s="7">
        <v>45710</v>
      </c>
      <c r="F1883">
        <v>330862</v>
      </c>
      <c r="G1883" t="s">
        <v>983</v>
      </c>
      <c r="H1883" t="s">
        <v>9</v>
      </c>
      <c r="I1883" s="7">
        <v>45678</v>
      </c>
      <c r="J1883" s="8">
        <v>0.97870370370370374</v>
      </c>
      <c r="K1883" t="s">
        <v>984</v>
      </c>
      <c r="AQ1883" t="s">
        <v>1530</v>
      </c>
      <c r="AR1883" t="s">
        <v>1570</v>
      </c>
      <c r="AT1883" t="s">
        <v>987</v>
      </c>
      <c r="AZ1883" t="s">
        <v>1028</v>
      </c>
      <c r="BA1883" t="s">
        <v>1068</v>
      </c>
      <c r="BB1883" t="s">
        <v>1069</v>
      </c>
      <c r="BD1883" t="s">
        <v>1005</v>
      </c>
      <c r="BE1883" t="s">
        <v>498</v>
      </c>
    </row>
    <row r="1884" spans="1:57" ht="13" x14ac:dyDescent="0.15">
      <c r="A1884">
        <v>1839</v>
      </c>
      <c r="B1884">
        <v>232199827</v>
      </c>
      <c r="C1884" t="s">
        <v>498</v>
      </c>
      <c r="D1884" s="7">
        <v>44542</v>
      </c>
      <c r="E1884" s="7">
        <v>45710</v>
      </c>
      <c r="F1884">
        <v>330862</v>
      </c>
      <c r="G1884" t="s">
        <v>983</v>
      </c>
      <c r="H1884" t="s">
        <v>9</v>
      </c>
      <c r="I1884" s="7">
        <v>45694</v>
      </c>
      <c r="J1884" s="8">
        <v>0.36627314814814815</v>
      </c>
      <c r="K1884" t="s">
        <v>984</v>
      </c>
      <c r="AQ1884" t="s">
        <v>1530</v>
      </c>
      <c r="AR1884" t="s">
        <v>1789</v>
      </c>
      <c r="AT1884" t="s">
        <v>987</v>
      </c>
      <c r="AZ1884" t="s">
        <v>988</v>
      </c>
      <c r="BA1884" t="s">
        <v>989</v>
      </c>
      <c r="BB1884" t="s">
        <v>990</v>
      </c>
      <c r="BD1884" t="s">
        <v>991</v>
      </c>
      <c r="BE1884" t="s">
        <v>498</v>
      </c>
    </row>
    <row r="1885" spans="1:57" ht="13" x14ac:dyDescent="0.15">
      <c r="A1885">
        <v>1839</v>
      </c>
      <c r="B1885">
        <v>232199827</v>
      </c>
      <c r="C1885" t="s">
        <v>498</v>
      </c>
      <c r="D1885" s="7">
        <v>44542</v>
      </c>
      <c r="E1885" s="7">
        <v>45710</v>
      </c>
      <c r="F1885">
        <v>336444</v>
      </c>
      <c r="G1885" t="s">
        <v>995</v>
      </c>
      <c r="H1885" t="s">
        <v>12</v>
      </c>
      <c r="I1885" s="7">
        <v>45678</v>
      </c>
      <c r="J1885" s="8">
        <v>0.96467592592592588</v>
      </c>
      <c r="K1885" t="s">
        <v>984</v>
      </c>
      <c r="AQ1885" t="s">
        <v>996</v>
      </c>
      <c r="BE1885" t="s">
        <v>498</v>
      </c>
    </row>
    <row r="1886" spans="1:57" ht="13" x14ac:dyDescent="0.15">
      <c r="A1886">
        <v>1839</v>
      </c>
      <c r="B1886">
        <v>232199827</v>
      </c>
      <c r="C1886" t="s">
        <v>498</v>
      </c>
      <c r="D1886" s="7">
        <v>44542</v>
      </c>
      <c r="E1886" s="7">
        <v>45710</v>
      </c>
      <c r="F1886">
        <v>336447</v>
      </c>
      <c r="G1886" t="s">
        <v>1074</v>
      </c>
      <c r="H1886" t="s">
        <v>26</v>
      </c>
      <c r="I1886" s="7">
        <v>45678</v>
      </c>
      <c r="J1886" s="8">
        <v>0.96407407407407408</v>
      </c>
      <c r="K1886" t="s">
        <v>984</v>
      </c>
      <c r="AQ1886" t="s">
        <v>1530</v>
      </c>
      <c r="AR1886" t="s">
        <v>1790</v>
      </c>
      <c r="BE1886" t="s">
        <v>498</v>
      </c>
    </row>
    <row r="1887" spans="1:57" ht="13" x14ac:dyDescent="0.15">
      <c r="A1887">
        <v>1839</v>
      </c>
      <c r="B1887">
        <v>232199827</v>
      </c>
      <c r="C1887" t="s">
        <v>498</v>
      </c>
      <c r="D1887" s="7">
        <v>44542</v>
      </c>
      <c r="E1887" s="7">
        <v>45710</v>
      </c>
      <c r="F1887">
        <v>336453</v>
      </c>
      <c r="G1887" t="s">
        <v>1074</v>
      </c>
      <c r="H1887" t="s">
        <v>27</v>
      </c>
      <c r="I1887" s="7">
        <v>45678</v>
      </c>
      <c r="J1887" s="8">
        <v>0.96417824074074077</v>
      </c>
      <c r="K1887" t="s">
        <v>984</v>
      </c>
      <c r="AQ1887" t="s">
        <v>1530</v>
      </c>
      <c r="AR1887" t="s">
        <v>1076</v>
      </c>
      <c r="BE1887" t="s">
        <v>498</v>
      </c>
    </row>
    <row r="1888" spans="1:57" ht="13" x14ac:dyDescent="0.15">
      <c r="A1888">
        <v>1839</v>
      </c>
      <c r="B1888">
        <v>232199827</v>
      </c>
      <c r="C1888" t="s">
        <v>498</v>
      </c>
      <c r="D1888" s="7">
        <v>44542</v>
      </c>
      <c r="E1888" s="7">
        <v>45710</v>
      </c>
      <c r="F1888">
        <v>336709</v>
      </c>
      <c r="G1888" t="s">
        <v>1074</v>
      </c>
      <c r="H1888" t="s">
        <v>28</v>
      </c>
      <c r="I1888" s="7">
        <v>45678</v>
      </c>
      <c r="J1888" s="8">
        <v>0.9642708333333333</v>
      </c>
      <c r="K1888" t="s">
        <v>984</v>
      </c>
      <c r="AQ1888" t="s">
        <v>1530</v>
      </c>
      <c r="AR1888" t="s">
        <v>1077</v>
      </c>
      <c r="BE1888" t="s">
        <v>498</v>
      </c>
    </row>
    <row r="1889" spans="1:57" ht="13" x14ac:dyDescent="0.15">
      <c r="A1889">
        <v>1839</v>
      </c>
      <c r="B1889">
        <v>233803762</v>
      </c>
      <c r="C1889" t="s">
        <v>1791</v>
      </c>
      <c r="D1889" s="7">
        <v>44584</v>
      </c>
      <c r="E1889" s="7">
        <v>45683</v>
      </c>
      <c r="F1889">
        <v>330862</v>
      </c>
      <c r="G1889" t="s">
        <v>983</v>
      </c>
      <c r="H1889" t="s">
        <v>9</v>
      </c>
      <c r="I1889" s="7">
        <v>45648</v>
      </c>
      <c r="J1889" s="8">
        <v>0.47600694444444447</v>
      </c>
      <c r="K1889" t="s">
        <v>984</v>
      </c>
      <c r="AQ1889" t="s">
        <v>992</v>
      </c>
      <c r="AR1889" t="s">
        <v>1191</v>
      </c>
      <c r="AT1889" t="s">
        <v>987</v>
      </c>
      <c r="AZ1889" t="s">
        <v>1007</v>
      </c>
      <c r="BA1889" t="s">
        <v>1008</v>
      </c>
      <c r="BB1889" t="s">
        <v>990</v>
      </c>
      <c r="BD1889" t="s">
        <v>1005</v>
      </c>
      <c r="BE1889" t="s">
        <v>1791</v>
      </c>
    </row>
    <row r="1890" spans="1:57" ht="13" x14ac:dyDescent="0.15">
      <c r="A1890">
        <v>1839</v>
      </c>
      <c r="B1890">
        <v>233803762</v>
      </c>
      <c r="C1890" t="s">
        <v>1791</v>
      </c>
      <c r="D1890" s="7">
        <v>44584</v>
      </c>
      <c r="E1890" s="7">
        <v>45683</v>
      </c>
      <c r="F1890">
        <v>330862</v>
      </c>
      <c r="G1890" t="s">
        <v>983</v>
      </c>
      <c r="H1890" t="s">
        <v>9</v>
      </c>
      <c r="I1890" s="7">
        <v>45648</v>
      </c>
      <c r="J1890" s="8">
        <v>0.47461805555555553</v>
      </c>
      <c r="K1890" t="s">
        <v>984</v>
      </c>
      <c r="AQ1890" t="s">
        <v>992</v>
      </c>
      <c r="AR1890" t="s">
        <v>1086</v>
      </c>
      <c r="AT1890" t="s">
        <v>987</v>
      </c>
      <c r="AZ1890" t="s">
        <v>1028</v>
      </c>
      <c r="BA1890" t="s">
        <v>1029</v>
      </c>
      <c r="BB1890" t="s">
        <v>1018</v>
      </c>
      <c r="BD1890" t="s">
        <v>1022</v>
      </c>
      <c r="BE1890" t="s">
        <v>1791</v>
      </c>
    </row>
    <row r="1891" spans="1:57" ht="13" x14ac:dyDescent="0.15">
      <c r="A1891">
        <v>1839</v>
      </c>
      <c r="B1891">
        <v>235037417</v>
      </c>
      <c r="C1891" t="s">
        <v>499</v>
      </c>
      <c r="D1891" s="7">
        <v>44615</v>
      </c>
      <c r="E1891" s="7">
        <v>45708</v>
      </c>
      <c r="F1891">
        <v>330862</v>
      </c>
      <c r="G1891" t="s">
        <v>983</v>
      </c>
      <c r="H1891" t="s">
        <v>9</v>
      </c>
      <c r="I1891" s="7">
        <v>45708</v>
      </c>
      <c r="J1891" s="8">
        <v>0.76577546296296295</v>
      </c>
      <c r="K1891" t="s">
        <v>984</v>
      </c>
      <c r="AQ1891" t="s">
        <v>998</v>
      </c>
      <c r="AR1891" t="s">
        <v>1194</v>
      </c>
      <c r="AT1891" t="s">
        <v>987</v>
      </c>
      <c r="AZ1891" t="s">
        <v>1080</v>
      </c>
      <c r="BA1891" t="s">
        <v>1081</v>
      </c>
      <c r="BB1891" t="s">
        <v>1082</v>
      </c>
      <c r="BD1891" t="s">
        <v>991</v>
      </c>
      <c r="BE1891" t="s">
        <v>499</v>
      </c>
    </row>
    <row r="1892" spans="1:57" ht="13" x14ac:dyDescent="0.15">
      <c r="A1892">
        <v>1839</v>
      </c>
      <c r="B1892">
        <v>235037417</v>
      </c>
      <c r="C1892" t="s">
        <v>499</v>
      </c>
      <c r="D1892" s="7">
        <v>44615</v>
      </c>
      <c r="E1892" s="7">
        <v>45708</v>
      </c>
      <c r="F1892">
        <v>330862</v>
      </c>
      <c r="G1892" t="s">
        <v>983</v>
      </c>
      <c r="H1892" t="s">
        <v>9</v>
      </c>
      <c r="I1892" s="7">
        <v>45666</v>
      </c>
      <c r="J1892" s="8">
        <v>0.5131134259259259</v>
      </c>
      <c r="K1892" t="s">
        <v>984</v>
      </c>
      <c r="AQ1892" t="s">
        <v>1142</v>
      </c>
      <c r="AR1892" t="s">
        <v>1792</v>
      </c>
      <c r="AT1892" t="s">
        <v>987</v>
      </c>
      <c r="AZ1892" t="s">
        <v>988</v>
      </c>
      <c r="BA1892" t="s">
        <v>1058</v>
      </c>
      <c r="BB1892" t="s">
        <v>1018</v>
      </c>
      <c r="BD1892" t="s">
        <v>1005</v>
      </c>
      <c r="BE1892" t="s">
        <v>499</v>
      </c>
    </row>
    <row r="1893" spans="1:57" ht="13" x14ac:dyDescent="0.15">
      <c r="A1893">
        <v>1839</v>
      </c>
      <c r="B1893">
        <v>235537998</v>
      </c>
      <c r="C1893" t="s">
        <v>500</v>
      </c>
      <c r="D1893" s="7">
        <v>44620</v>
      </c>
      <c r="E1893" s="7">
        <v>45705</v>
      </c>
      <c r="F1893">
        <v>330862</v>
      </c>
      <c r="G1893" t="s">
        <v>983</v>
      </c>
      <c r="H1893" t="s">
        <v>9</v>
      </c>
      <c r="I1893" s="7">
        <v>45705</v>
      </c>
      <c r="J1893" s="8">
        <v>0.59744212962962961</v>
      </c>
      <c r="K1893" t="s">
        <v>984</v>
      </c>
      <c r="AQ1893" t="s">
        <v>1089</v>
      </c>
      <c r="AR1893" t="s">
        <v>1793</v>
      </c>
      <c r="AT1893" t="s">
        <v>987</v>
      </c>
      <c r="AZ1893" t="s">
        <v>1016</v>
      </c>
      <c r="BA1893" t="s">
        <v>1017</v>
      </c>
      <c r="BB1893" t="s">
        <v>1018</v>
      </c>
      <c r="BD1893" t="s">
        <v>991</v>
      </c>
      <c r="BE1893" t="s">
        <v>500</v>
      </c>
    </row>
    <row r="1894" spans="1:57" ht="13" x14ac:dyDescent="0.15">
      <c r="A1894">
        <v>1839</v>
      </c>
      <c r="B1894">
        <v>236211638</v>
      </c>
      <c r="C1894" t="s">
        <v>501</v>
      </c>
      <c r="D1894" s="7">
        <v>44632</v>
      </c>
      <c r="E1894" s="7">
        <v>45680</v>
      </c>
      <c r="F1894">
        <v>330862</v>
      </c>
      <c r="G1894" t="s">
        <v>983</v>
      </c>
      <c r="H1894" t="s">
        <v>9</v>
      </c>
      <c r="I1894" s="7">
        <v>45680</v>
      </c>
      <c r="J1894" s="8">
        <v>0.42671296296296296</v>
      </c>
      <c r="K1894" t="s">
        <v>984</v>
      </c>
      <c r="AQ1894" t="s">
        <v>1251</v>
      </c>
      <c r="AR1894" t="s">
        <v>1509</v>
      </c>
      <c r="AT1894" t="s">
        <v>987</v>
      </c>
      <c r="AZ1894" t="s">
        <v>1016</v>
      </c>
      <c r="BA1894" t="s">
        <v>1017</v>
      </c>
      <c r="BB1894" t="s">
        <v>1018</v>
      </c>
      <c r="BD1894" t="s">
        <v>991</v>
      </c>
      <c r="BE1894" t="s">
        <v>501</v>
      </c>
    </row>
    <row r="1895" spans="1:57" ht="13" x14ac:dyDescent="0.15">
      <c r="A1895">
        <v>1839</v>
      </c>
      <c r="B1895">
        <v>236854515</v>
      </c>
      <c r="C1895" t="s">
        <v>502</v>
      </c>
      <c r="D1895" s="7">
        <v>44642</v>
      </c>
      <c r="E1895" s="7">
        <v>45691</v>
      </c>
      <c r="F1895">
        <v>330862</v>
      </c>
      <c r="G1895" t="s">
        <v>983</v>
      </c>
      <c r="H1895" t="s">
        <v>9</v>
      </c>
      <c r="I1895" s="7">
        <v>45691</v>
      </c>
      <c r="J1895" s="8">
        <v>0.72840277777777773</v>
      </c>
      <c r="K1895" t="s">
        <v>984</v>
      </c>
      <c r="AQ1895" t="s">
        <v>1090</v>
      </c>
      <c r="AR1895" t="s">
        <v>1269</v>
      </c>
      <c r="AT1895" t="s">
        <v>987</v>
      </c>
      <c r="AZ1895" t="s">
        <v>1011</v>
      </c>
      <c r="BA1895" t="s">
        <v>1012</v>
      </c>
      <c r="BB1895" t="s">
        <v>1013</v>
      </c>
      <c r="BD1895" t="s">
        <v>1014</v>
      </c>
      <c r="BE1895" t="s">
        <v>502</v>
      </c>
    </row>
    <row r="1896" spans="1:57" ht="13" x14ac:dyDescent="0.15">
      <c r="A1896">
        <v>1839</v>
      </c>
      <c r="B1896">
        <v>237110521</v>
      </c>
      <c r="C1896" t="s">
        <v>503</v>
      </c>
      <c r="D1896" s="7">
        <v>44649</v>
      </c>
      <c r="E1896" s="7">
        <v>45696</v>
      </c>
      <c r="F1896">
        <v>330862</v>
      </c>
      <c r="G1896" t="s">
        <v>983</v>
      </c>
      <c r="H1896" t="s">
        <v>9</v>
      </c>
      <c r="I1896" s="7">
        <v>45694</v>
      </c>
      <c r="J1896" s="8">
        <v>0.98450231481481476</v>
      </c>
      <c r="K1896" t="s">
        <v>984</v>
      </c>
      <c r="AQ1896" t="s">
        <v>1090</v>
      </c>
      <c r="AR1896" t="s">
        <v>1794</v>
      </c>
      <c r="AT1896" t="s">
        <v>987</v>
      </c>
      <c r="AZ1896" t="s">
        <v>1016</v>
      </c>
      <c r="BA1896" t="s">
        <v>1017</v>
      </c>
      <c r="BB1896" t="s">
        <v>1018</v>
      </c>
      <c r="BD1896" t="s">
        <v>991</v>
      </c>
      <c r="BE1896" t="s">
        <v>503</v>
      </c>
    </row>
    <row r="1897" spans="1:57" ht="13" x14ac:dyDescent="0.15">
      <c r="A1897">
        <v>1839</v>
      </c>
      <c r="B1897">
        <v>237110521</v>
      </c>
      <c r="C1897" t="s">
        <v>503</v>
      </c>
      <c r="D1897" s="7">
        <v>44649</v>
      </c>
      <c r="E1897" s="7">
        <v>45696</v>
      </c>
      <c r="F1897">
        <v>330862</v>
      </c>
      <c r="G1897" t="s">
        <v>983</v>
      </c>
      <c r="H1897" t="s">
        <v>9</v>
      </c>
      <c r="I1897" s="7">
        <v>45694</v>
      </c>
      <c r="J1897" s="8">
        <v>0.39891203703703704</v>
      </c>
      <c r="K1897" t="s">
        <v>984</v>
      </c>
      <c r="AQ1897" t="s">
        <v>1090</v>
      </c>
      <c r="AR1897" t="s">
        <v>1795</v>
      </c>
      <c r="AT1897" t="s">
        <v>987</v>
      </c>
      <c r="AZ1897" t="s">
        <v>988</v>
      </c>
      <c r="BA1897" t="s">
        <v>989</v>
      </c>
      <c r="BB1897" t="s">
        <v>990</v>
      </c>
      <c r="BD1897" t="s">
        <v>991</v>
      </c>
      <c r="BE1897" t="s">
        <v>503</v>
      </c>
    </row>
    <row r="1898" spans="1:57" ht="13" x14ac:dyDescent="0.15">
      <c r="A1898">
        <v>1839</v>
      </c>
      <c r="B1898">
        <v>237110521</v>
      </c>
      <c r="C1898" t="s">
        <v>503</v>
      </c>
      <c r="D1898" s="7">
        <v>44649</v>
      </c>
      <c r="E1898" s="7">
        <v>45696</v>
      </c>
      <c r="F1898">
        <v>330862</v>
      </c>
      <c r="G1898" t="s">
        <v>983</v>
      </c>
      <c r="H1898" t="s">
        <v>9</v>
      </c>
      <c r="I1898" s="7">
        <v>45694</v>
      </c>
      <c r="J1898" s="8">
        <v>0.40446759259259257</v>
      </c>
      <c r="K1898" t="s">
        <v>984</v>
      </c>
      <c r="AQ1898" t="s">
        <v>1090</v>
      </c>
      <c r="AR1898" t="s">
        <v>1796</v>
      </c>
      <c r="AT1898" t="s">
        <v>987</v>
      </c>
      <c r="AZ1898" t="s">
        <v>1011</v>
      </c>
      <c r="BA1898" t="s">
        <v>1012</v>
      </c>
      <c r="BB1898" t="s">
        <v>1013</v>
      </c>
      <c r="BD1898" t="s">
        <v>1014</v>
      </c>
      <c r="BE1898" t="s">
        <v>503</v>
      </c>
    </row>
    <row r="1899" spans="1:57" ht="13" x14ac:dyDescent="0.15">
      <c r="A1899">
        <v>1839</v>
      </c>
      <c r="B1899">
        <v>237643629</v>
      </c>
      <c r="C1899" t="s">
        <v>504</v>
      </c>
      <c r="D1899" s="7">
        <v>44665</v>
      </c>
      <c r="E1899" s="7">
        <v>45672</v>
      </c>
      <c r="F1899">
        <v>330862</v>
      </c>
      <c r="G1899" t="s">
        <v>983</v>
      </c>
      <c r="H1899" t="s">
        <v>9</v>
      </c>
      <c r="I1899" s="7">
        <v>45672</v>
      </c>
      <c r="J1899" s="8">
        <v>0.95181712962962961</v>
      </c>
      <c r="K1899" t="s">
        <v>984</v>
      </c>
      <c r="AQ1899" t="s">
        <v>998</v>
      </c>
      <c r="AR1899" t="s">
        <v>1274</v>
      </c>
      <c r="AT1899" t="s">
        <v>987</v>
      </c>
      <c r="AZ1899" t="s">
        <v>1016</v>
      </c>
      <c r="BA1899" t="s">
        <v>1017</v>
      </c>
      <c r="BB1899" t="s">
        <v>1018</v>
      </c>
      <c r="BD1899" t="s">
        <v>991</v>
      </c>
      <c r="BE1899" t="s">
        <v>504</v>
      </c>
    </row>
    <row r="1900" spans="1:57" ht="13" x14ac:dyDescent="0.15">
      <c r="A1900">
        <v>1839</v>
      </c>
      <c r="B1900">
        <v>237643947</v>
      </c>
      <c r="C1900" t="s">
        <v>1797</v>
      </c>
      <c r="D1900" s="7">
        <v>44665</v>
      </c>
      <c r="E1900" s="7">
        <v>45713</v>
      </c>
      <c r="F1900">
        <v>330862</v>
      </c>
      <c r="G1900" t="s">
        <v>983</v>
      </c>
      <c r="H1900" t="s">
        <v>9</v>
      </c>
      <c r="I1900" s="7">
        <v>45636</v>
      </c>
      <c r="J1900" s="8">
        <v>0.65037037037037038</v>
      </c>
      <c r="K1900" t="s">
        <v>984</v>
      </c>
      <c r="AQ1900" t="s">
        <v>1090</v>
      </c>
      <c r="AR1900" t="s">
        <v>1096</v>
      </c>
      <c r="AT1900" t="s">
        <v>987</v>
      </c>
      <c r="AZ1900" t="s">
        <v>1011</v>
      </c>
      <c r="BA1900" t="s">
        <v>1031</v>
      </c>
      <c r="BB1900" t="s">
        <v>1032</v>
      </c>
      <c r="BD1900" t="s">
        <v>1005</v>
      </c>
      <c r="BE1900" t="s">
        <v>1797</v>
      </c>
    </row>
    <row r="1901" spans="1:57" ht="13" x14ac:dyDescent="0.15">
      <c r="A1901">
        <v>1839</v>
      </c>
      <c r="B1901">
        <v>237643947</v>
      </c>
      <c r="C1901" t="s">
        <v>1797</v>
      </c>
      <c r="D1901" s="7">
        <v>44665</v>
      </c>
      <c r="E1901" s="7">
        <v>45713</v>
      </c>
      <c r="F1901">
        <v>330862</v>
      </c>
      <c r="G1901" t="s">
        <v>983</v>
      </c>
      <c r="H1901" t="s">
        <v>9</v>
      </c>
      <c r="I1901" s="7">
        <v>45636</v>
      </c>
      <c r="J1901" s="8">
        <v>0.66642361111111115</v>
      </c>
      <c r="K1901" t="s">
        <v>984</v>
      </c>
      <c r="AQ1901" t="s">
        <v>1090</v>
      </c>
      <c r="AR1901" t="s">
        <v>1262</v>
      </c>
      <c r="AT1901" t="s">
        <v>987</v>
      </c>
      <c r="AZ1901" t="s">
        <v>1028</v>
      </c>
      <c r="BA1901" t="s">
        <v>1029</v>
      </c>
      <c r="BB1901" t="s">
        <v>1018</v>
      </c>
      <c r="BD1901" t="s">
        <v>1022</v>
      </c>
      <c r="BE1901" t="s">
        <v>1797</v>
      </c>
    </row>
    <row r="1902" spans="1:57" ht="13" x14ac:dyDescent="0.15">
      <c r="A1902">
        <v>1839</v>
      </c>
      <c r="B1902">
        <v>237643947</v>
      </c>
      <c r="C1902" t="s">
        <v>1797</v>
      </c>
      <c r="D1902" s="7">
        <v>44665</v>
      </c>
      <c r="E1902" s="7">
        <v>45713</v>
      </c>
      <c r="F1902">
        <v>330862</v>
      </c>
      <c r="G1902" t="s">
        <v>983</v>
      </c>
      <c r="H1902" t="s">
        <v>9</v>
      </c>
      <c r="I1902" s="7">
        <v>45636</v>
      </c>
      <c r="J1902" s="8">
        <v>0.66973379629629626</v>
      </c>
      <c r="K1902" t="s">
        <v>984</v>
      </c>
      <c r="AQ1902" t="s">
        <v>1090</v>
      </c>
      <c r="AR1902" t="s">
        <v>1097</v>
      </c>
      <c r="AT1902" t="s">
        <v>987</v>
      </c>
      <c r="AZ1902" t="s">
        <v>1024</v>
      </c>
      <c r="BA1902" t="s">
        <v>1025</v>
      </c>
      <c r="BB1902" t="s">
        <v>1026</v>
      </c>
      <c r="BD1902" t="s">
        <v>1022</v>
      </c>
      <c r="BE1902" t="s">
        <v>1797</v>
      </c>
    </row>
    <row r="1903" spans="1:57" ht="13" x14ac:dyDescent="0.15">
      <c r="A1903">
        <v>1839</v>
      </c>
      <c r="B1903">
        <v>237644270</v>
      </c>
      <c r="C1903" t="s">
        <v>1798</v>
      </c>
      <c r="D1903" s="7">
        <v>44665</v>
      </c>
      <c r="E1903" s="7">
        <v>45615</v>
      </c>
      <c r="F1903">
        <v>330862</v>
      </c>
      <c r="G1903" t="s">
        <v>983</v>
      </c>
      <c r="H1903" t="s">
        <v>9</v>
      </c>
      <c r="I1903" s="7">
        <v>45615</v>
      </c>
      <c r="J1903" s="8">
        <v>0.48539351851851853</v>
      </c>
      <c r="K1903" t="s">
        <v>984</v>
      </c>
      <c r="AQ1903" t="s">
        <v>1251</v>
      </c>
      <c r="AR1903" t="s">
        <v>1799</v>
      </c>
      <c r="AT1903" t="s">
        <v>987</v>
      </c>
      <c r="BE1903" t="s">
        <v>1798</v>
      </c>
    </row>
    <row r="1904" spans="1:57" ht="13" x14ac:dyDescent="0.15">
      <c r="A1904">
        <v>1839</v>
      </c>
      <c r="B1904">
        <v>239402362</v>
      </c>
      <c r="C1904" t="s">
        <v>505</v>
      </c>
      <c r="D1904" s="7">
        <v>44700</v>
      </c>
      <c r="E1904" s="7">
        <v>45702</v>
      </c>
      <c r="F1904">
        <v>330862</v>
      </c>
      <c r="G1904" t="s">
        <v>983</v>
      </c>
      <c r="H1904" t="s">
        <v>9</v>
      </c>
      <c r="I1904" s="7">
        <v>45702</v>
      </c>
      <c r="J1904" s="8">
        <v>0.49550925925925926</v>
      </c>
      <c r="K1904" t="s">
        <v>984</v>
      </c>
      <c r="AQ1904" t="s">
        <v>992</v>
      </c>
      <c r="AR1904" t="s">
        <v>1800</v>
      </c>
      <c r="AT1904" t="s">
        <v>987</v>
      </c>
      <c r="AZ1904" t="s">
        <v>1071</v>
      </c>
      <c r="BA1904" t="s">
        <v>1135</v>
      </c>
      <c r="BB1904" t="s">
        <v>1136</v>
      </c>
      <c r="BD1904" t="s">
        <v>991</v>
      </c>
      <c r="BE1904" t="s">
        <v>505</v>
      </c>
    </row>
    <row r="1905" spans="1:57" ht="13" x14ac:dyDescent="0.15">
      <c r="A1905">
        <v>1839</v>
      </c>
      <c r="B1905">
        <v>239402362</v>
      </c>
      <c r="C1905" t="s">
        <v>505</v>
      </c>
      <c r="D1905" s="7">
        <v>44700</v>
      </c>
      <c r="E1905" s="7">
        <v>45702</v>
      </c>
      <c r="F1905">
        <v>330862</v>
      </c>
      <c r="G1905" t="s">
        <v>983</v>
      </c>
      <c r="H1905" t="s">
        <v>9</v>
      </c>
      <c r="I1905" s="7">
        <v>45668</v>
      </c>
      <c r="J1905" s="8">
        <v>0.63910879629629624</v>
      </c>
      <c r="K1905" t="s">
        <v>984</v>
      </c>
      <c r="AQ1905" t="s">
        <v>992</v>
      </c>
      <c r="AR1905" t="s">
        <v>1672</v>
      </c>
      <c r="AT1905" t="s">
        <v>987</v>
      </c>
      <c r="AZ1905" t="s">
        <v>1071</v>
      </c>
      <c r="BA1905" t="s">
        <v>1072</v>
      </c>
      <c r="BB1905" t="s">
        <v>1048</v>
      </c>
      <c r="BD1905" t="s">
        <v>1005</v>
      </c>
      <c r="BE1905" t="s">
        <v>505</v>
      </c>
    </row>
    <row r="1906" spans="1:57" ht="13" x14ac:dyDescent="0.15">
      <c r="A1906">
        <v>1839</v>
      </c>
      <c r="B1906">
        <v>239402362</v>
      </c>
      <c r="C1906" t="s">
        <v>505</v>
      </c>
      <c r="D1906" s="7">
        <v>44700</v>
      </c>
      <c r="E1906" s="7">
        <v>45702</v>
      </c>
      <c r="F1906">
        <v>330862</v>
      </c>
      <c r="G1906" t="s">
        <v>983</v>
      </c>
      <c r="H1906" t="s">
        <v>9</v>
      </c>
      <c r="I1906" s="7">
        <v>45702</v>
      </c>
      <c r="J1906" s="8">
        <v>0.57122685185185185</v>
      </c>
      <c r="K1906" t="s">
        <v>984</v>
      </c>
      <c r="AQ1906" t="s">
        <v>992</v>
      </c>
      <c r="AR1906" t="s">
        <v>1801</v>
      </c>
      <c r="AT1906" t="s">
        <v>987</v>
      </c>
      <c r="AZ1906" t="s">
        <v>1002</v>
      </c>
      <c r="BA1906" t="s">
        <v>1003</v>
      </c>
      <c r="BB1906" t="s">
        <v>1004</v>
      </c>
      <c r="BD1906" t="s">
        <v>1005</v>
      </c>
      <c r="BE1906" t="s">
        <v>505</v>
      </c>
    </row>
    <row r="1907" spans="1:57" ht="13" x14ac:dyDescent="0.15">
      <c r="A1907">
        <v>1839</v>
      </c>
      <c r="B1907">
        <v>239402362</v>
      </c>
      <c r="C1907" t="s">
        <v>505</v>
      </c>
      <c r="D1907" s="7">
        <v>44700</v>
      </c>
      <c r="E1907" s="7">
        <v>45702</v>
      </c>
      <c r="F1907">
        <v>330862</v>
      </c>
      <c r="G1907" t="s">
        <v>983</v>
      </c>
      <c r="H1907" t="s">
        <v>9</v>
      </c>
      <c r="I1907" s="7">
        <v>45702</v>
      </c>
      <c r="J1907" s="8">
        <v>0.57451388888888888</v>
      </c>
      <c r="K1907" t="s">
        <v>984</v>
      </c>
      <c r="AQ1907" t="s">
        <v>992</v>
      </c>
      <c r="AR1907" t="s">
        <v>1802</v>
      </c>
      <c r="AT1907" t="s">
        <v>987</v>
      </c>
      <c r="AZ1907" t="s">
        <v>1002</v>
      </c>
      <c r="BA1907" t="s">
        <v>1124</v>
      </c>
      <c r="BB1907" t="s">
        <v>1125</v>
      </c>
      <c r="BD1907" t="s">
        <v>1005</v>
      </c>
      <c r="BE1907" t="s">
        <v>505</v>
      </c>
    </row>
    <row r="1908" spans="1:57" ht="13" x14ac:dyDescent="0.15">
      <c r="A1908">
        <v>1839</v>
      </c>
      <c r="B1908">
        <v>239593555</v>
      </c>
      <c r="C1908" t="s">
        <v>506</v>
      </c>
      <c r="D1908" s="7">
        <v>44706</v>
      </c>
      <c r="E1908" s="7">
        <v>45694</v>
      </c>
      <c r="F1908">
        <v>330862</v>
      </c>
      <c r="G1908" t="s">
        <v>983</v>
      </c>
      <c r="H1908" t="s">
        <v>9</v>
      </c>
      <c r="I1908" s="7">
        <v>45672</v>
      </c>
      <c r="J1908" s="8">
        <v>0.60342592592592592</v>
      </c>
      <c r="K1908" t="s">
        <v>984</v>
      </c>
      <c r="AQ1908" t="s">
        <v>992</v>
      </c>
      <c r="AR1908" t="s">
        <v>1803</v>
      </c>
      <c r="AT1908" t="s">
        <v>987</v>
      </c>
      <c r="AZ1908" t="s">
        <v>1016</v>
      </c>
      <c r="BA1908" t="s">
        <v>1017</v>
      </c>
      <c r="BB1908" t="s">
        <v>1018</v>
      </c>
      <c r="BD1908" t="s">
        <v>991</v>
      </c>
      <c r="BE1908" t="s">
        <v>506</v>
      </c>
    </row>
    <row r="1909" spans="1:57" ht="13" x14ac:dyDescent="0.15">
      <c r="A1909">
        <v>1839</v>
      </c>
      <c r="B1909">
        <v>239593555</v>
      </c>
      <c r="C1909" t="s">
        <v>506</v>
      </c>
      <c r="D1909" s="7">
        <v>44706</v>
      </c>
      <c r="E1909" s="7">
        <v>45694</v>
      </c>
      <c r="F1909">
        <v>330862</v>
      </c>
      <c r="G1909" t="s">
        <v>983</v>
      </c>
      <c r="H1909" t="s">
        <v>9</v>
      </c>
      <c r="I1909" s="7">
        <v>45694</v>
      </c>
      <c r="J1909" s="8">
        <v>0.39657407407407408</v>
      </c>
      <c r="K1909" t="s">
        <v>984</v>
      </c>
      <c r="AQ1909" t="s">
        <v>992</v>
      </c>
      <c r="AR1909" t="s">
        <v>993</v>
      </c>
      <c r="AT1909" t="s">
        <v>987</v>
      </c>
      <c r="AZ1909" t="s">
        <v>988</v>
      </c>
      <c r="BA1909" t="s">
        <v>989</v>
      </c>
      <c r="BB1909" t="s">
        <v>990</v>
      </c>
      <c r="BD1909" t="s">
        <v>991</v>
      </c>
      <c r="BE1909" t="s">
        <v>506</v>
      </c>
    </row>
    <row r="1910" spans="1:57" ht="13" x14ac:dyDescent="0.15">
      <c r="A1910">
        <v>1839</v>
      </c>
      <c r="B1910">
        <v>239917487</v>
      </c>
      <c r="C1910" t="s">
        <v>507</v>
      </c>
      <c r="D1910" s="7">
        <v>44716</v>
      </c>
      <c r="E1910" s="7">
        <v>45674</v>
      </c>
      <c r="F1910">
        <v>330862</v>
      </c>
      <c r="G1910" t="s">
        <v>983</v>
      </c>
      <c r="H1910" t="s">
        <v>9</v>
      </c>
      <c r="I1910" s="7">
        <v>45672</v>
      </c>
      <c r="J1910" s="8">
        <v>0.87136574074074069</v>
      </c>
      <c r="K1910" t="s">
        <v>984</v>
      </c>
      <c r="AQ1910" t="s">
        <v>1042</v>
      </c>
      <c r="AR1910" t="s">
        <v>1274</v>
      </c>
      <c r="AT1910" t="s">
        <v>987</v>
      </c>
      <c r="AZ1910" t="s">
        <v>1016</v>
      </c>
      <c r="BA1910" t="s">
        <v>1017</v>
      </c>
      <c r="BB1910" t="s">
        <v>1018</v>
      </c>
      <c r="BD1910" t="s">
        <v>991</v>
      </c>
      <c r="BE1910" t="s">
        <v>507</v>
      </c>
    </row>
    <row r="1911" spans="1:57" ht="13" x14ac:dyDescent="0.15">
      <c r="A1911">
        <v>1839</v>
      </c>
      <c r="B1911">
        <v>240044767</v>
      </c>
      <c r="C1911" t="s">
        <v>508</v>
      </c>
      <c r="D1911" s="7">
        <v>44720</v>
      </c>
      <c r="E1911" s="7">
        <v>45694</v>
      </c>
      <c r="F1911">
        <v>330862</v>
      </c>
      <c r="G1911" t="s">
        <v>983</v>
      </c>
      <c r="H1911" t="s">
        <v>9</v>
      </c>
      <c r="I1911" s="7">
        <v>45694</v>
      </c>
      <c r="J1911" s="8">
        <v>0.46089120370370368</v>
      </c>
      <c r="K1911" t="s">
        <v>984</v>
      </c>
      <c r="AQ1911" t="s">
        <v>985</v>
      </c>
      <c r="AR1911" t="s">
        <v>986</v>
      </c>
      <c r="AT1911" t="s">
        <v>987</v>
      </c>
      <c r="AZ1911" t="s">
        <v>988</v>
      </c>
      <c r="BA1911" t="s">
        <v>989</v>
      </c>
      <c r="BB1911" t="s">
        <v>990</v>
      </c>
      <c r="BD1911" t="s">
        <v>991</v>
      </c>
      <c r="BE1911" t="s">
        <v>508</v>
      </c>
    </row>
    <row r="1912" spans="1:57" ht="13" x14ac:dyDescent="0.15">
      <c r="A1912">
        <v>1839</v>
      </c>
      <c r="B1912">
        <v>240072178</v>
      </c>
      <c r="C1912" t="s">
        <v>509</v>
      </c>
      <c r="D1912" s="7">
        <v>44720</v>
      </c>
      <c r="E1912" s="7">
        <v>45708</v>
      </c>
      <c r="F1912">
        <v>330862</v>
      </c>
      <c r="G1912" t="s">
        <v>983</v>
      </c>
      <c r="H1912" t="s">
        <v>9</v>
      </c>
      <c r="I1912" s="7">
        <v>45708</v>
      </c>
      <c r="J1912" s="8">
        <v>0.4331712962962963</v>
      </c>
      <c r="K1912" t="s">
        <v>984</v>
      </c>
      <c r="AQ1912" t="s">
        <v>992</v>
      </c>
      <c r="AR1912" t="s">
        <v>1804</v>
      </c>
      <c r="AT1912" t="s">
        <v>987</v>
      </c>
      <c r="AZ1912" t="s">
        <v>1011</v>
      </c>
      <c r="BA1912" t="s">
        <v>1012</v>
      </c>
      <c r="BB1912" t="s">
        <v>1013</v>
      </c>
      <c r="BD1912" t="s">
        <v>1014</v>
      </c>
      <c r="BE1912" t="s">
        <v>509</v>
      </c>
    </row>
    <row r="1913" spans="1:57" ht="13" x14ac:dyDescent="0.15">
      <c r="A1913">
        <v>1839</v>
      </c>
      <c r="B1913">
        <v>240837955</v>
      </c>
      <c r="C1913" t="s">
        <v>510</v>
      </c>
      <c r="D1913" s="7">
        <v>44737</v>
      </c>
      <c r="E1913" s="7">
        <v>45660</v>
      </c>
      <c r="F1913">
        <v>336444</v>
      </c>
      <c r="G1913" t="s">
        <v>995</v>
      </c>
      <c r="H1913" t="s">
        <v>12</v>
      </c>
      <c r="I1913" s="7">
        <v>45659</v>
      </c>
      <c r="J1913" s="8">
        <v>0.67630787037037032</v>
      </c>
      <c r="K1913" t="s">
        <v>984</v>
      </c>
      <c r="AQ1913" t="s">
        <v>996</v>
      </c>
      <c r="BE1913" t="s">
        <v>510</v>
      </c>
    </row>
    <row r="1914" spans="1:57" ht="13" x14ac:dyDescent="0.15">
      <c r="A1914">
        <v>1839</v>
      </c>
      <c r="B1914">
        <v>241658676</v>
      </c>
      <c r="C1914" t="s">
        <v>511</v>
      </c>
      <c r="D1914" s="7">
        <v>44763</v>
      </c>
      <c r="E1914" s="7">
        <v>45694</v>
      </c>
      <c r="F1914">
        <v>330862</v>
      </c>
      <c r="G1914" t="s">
        <v>983</v>
      </c>
      <c r="H1914" t="s">
        <v>9</v>
      </c>
      <c r="I1914" s="7">
        <v>45694</v>
      </c>
      <c r="J1914" s="8">
        <v>0.36678240740740742</v>
      </c>
      <c r="K1914" t="s">
        <v>984</v>
      </c>
      <c r="AQ1914" t="s">
        <v>1090</v>
      </c>
      <c r="AR1914" t="s">
        <v>993</v>
      </c>
      <c r="AT1914" t="s">
        <v>987</v>
      </c>
      <c r="AZ1914" t="s">
        <v>988</v>
      </c>
      <c r="BA1914" t="s">
        <v>989</v>
      </c>
      <c r="BB1914" t="s">
        <v>990</v>
      </c>
      <c r="BD1914" t="s">
        <v>991</v>
      </c>
      <c r="BE1914" t="s">
        <v>511</v>
      </c>
    </row>
    <row r="1915" spans="1:57" ht="13" x14ac:dyDescent="0.15">
      <c r="A1915">
        <v>1839</v>
      </c>
      <c r="B1915">
        <v>241658676</v>
      </c>
      <c r="C1915" t="s">
        <v>511</v>
      </c>
      <c r="D1915" s="7">
        <v>44763</v>
      </c>
      <c r="E1915" s="7">
        <v>45694</v>
      </c>
      <c r="F1915">
        <v>330862</v>
      </c>
      <c r="G1915" t="s">
        <v>983</v>
      </c>
      <c r="H1915" t="s">
        <v>9</v>
      </c>
      <c r="I1915" s="7">
        <v>45616</v>
      </c>
      <c r="J1915" s="8">
        <v>0.60266203703703702</v>
      </c>
      <c r="K1915" t="s">
        <v>984</v>
      </c>
      <c r="AQ1915" t="s">
        <v>1090</v>
      </c>
      <c r="AR1915" t="s">
        <v>1102</v>
      </c>
      <c r="AT1915" t="s">
        <v>987</v>
      </c>
      <c r="AZ1915" t="s">
        <v>1011</v>
      </c>
      <c r="BA1915" t="s">
        <v>1103</v>
      </c>
      <c r="BB1915" t="s">
        <v>1032</v>
      </c>
      <c r="BD1915" t="s">
        <v>1005</v>
      </c>
      <c r="BE1915" t="s">
        <v>511</v>
      </c>
    </row>
    <row r="1916" spans="1:57" ht="13" x14ac:dyDescent="0.15">
      <c r="A1916">
        <v>1839</v>
      </c>
      <c r="B1916">
        <v>241658676</v>
      </c>
      <c r="C1916" t="s">
        <v>511</v>
      </c>
      <c r="D1916" s="7">
        <v>44763</v>
      </c>
      <c r="E1916" s="7">
        <v>45694</v>
      </c>
      <c r="F1916">
        <v>330862</v>
      </c>
      <c r="G1916" t="s">
        <v>983</v>
      </c>
      <c r="H1916" t="s">
        <v>9</v>
      </c>
      <c r="I1916" s="7">
        <v>45636</v>
      </c>
      <c r="J1916" s="8">
        <v>0.54790509259259257</v>
      </c>
      <c r="K1916" t="s">
        <v>984</v>
      </c>
      <c r="AQ1916" t="s">
        <v>1090</v>
      </c>
      <c r="AR1916" t="s">
        <v>1277</v>
      </c>
      <c r="AT1916" t="s">
        <v>987</v>
      </c>
      <c r="AZ1916" t="s">
        <v>1011</v>
      </c>
      <c r="BA1916" t="s">
        <v>1031</v>
      </c>
      <c r="BB1916" t="s">
        <v>1032</v>
      </c>
      <c r="BD1916" t="s">
        <v>1005</v>
      </c>
      <c r="BE1916" t="s">
        <v>511</v>
      </c>
    </row>
    <row r="1917" spans="1:57" ht="13" x14ac:dyDescent="0.15">
      <c r="A1917">
        <v>1839</v>
      </c>
      <c r="B1917">
        <v>241712020</v>
      </c>
      <c r="C1917" t="s">
        <v>512</v>
      </c>
      <c r="D1917" s="7">
        <v>44765</v>
      </c>
      <c r="E1917" s="7">
        <v>45712</v>
      </c>
      <c r="F1917">
        <v>330862</v>
      </c>
      <c r="G1917" t="s">
        <v>983</v>
      </c>
      <c r="H1917" t="s">
        <v>9</v>
      </c>
      <c r="I1917" s="7">
        <v>45673</v>
      </c>
      <c r="J1917" s="8">
        <v>0.79820601851851847</v>
      </c>
      <c r="K1917" t="s">
        <v>984</v>
      </c>
      <c r="AQ1917" t="s">
        <v>1089</v>
      </c>
      <c r="AR1917" t="s">
        <v>1348</v>
      </c>
      <c r="AT1917" t="s">
        <v>987</v>
      </c>
      <c r="AZ1917" t="s">
        <v>1044</v>
      </c>
      <c r="BA1917" t="s">
        <v>1045</v>
      </c>
      <c r="BB1917" t="s">
        <v>990</v>
      </c>
      <c r="BD1917" t="s">
        <v>991</v>
      </c>
      <c r="BE1917" t="s">
        <v>512</v>
      </c>
    </row>
    <row r="1918" spans="1:57" ht="13" x14ac:dyDescent="0.15">
      <c r="A1918">
        <v>1839</v>
      </c>
      <c r="B1918">
        <v>241712020</v>
      </c>
      <c r="C1918" t="s">
        <v>512</v>
      </c>
      <c r="D1918" s="7">
        <v>44765</v>
      </c>
      <c r="E1918" s="7">
        <v>45712</v>
      </c>
      <c r="F1918">
        <v>330862</v>
      </c>
      <c r="G1918" t="s">
        <v>983</v>
      </c>
      <c r="H1918" t="s">
        <v>9</v>
      </c>
      <c r="I1918" s="7">
        <v>45712</v>
      </c>
      <c r="J1918" s="8">
        <v>0.82171296296296292</v>
      </c>
      <c r="K1918" t="s">
        <v>984</v>
      </c>
      <c r="AQ1918" t="s">
        <v>1089</v>
      </c>
      <c r="AR1918" t="s">
        <v>1259</v>
      </c>
      <c r="AT1918" t="s">
        <v>987</v>
      </c>
      <c r="AZ1918" t="s">
        <v>1002</v>
      </c>
      <c r="BA1918" t="s">
        <v>1040</v>
      </c>
      <c r="BB1918" t="s">
        <v>1041</v>
      </c>
      <c r="BD1918" t="s">
        <v>991</v>
      </c>
      <c r="BE1918" t="s">
        <v>512</v>
      </c>
    </row>
    <row r="1919" spans="1:57" ht="13" x14ac:dyDescent="0.15">
      <c r="A1919">
        <v>1839</v>
      </c>
      <c r="B1919">
        <v>241712020</v>
      </c>
      <c r="C1919" t="s">
        <v>512</v>
      </c>
      <c r="D1919" s="7">
        <v>44765</v>
      </c>
      <c r="E1919" s="7">
        <v>45712</v>
      </c>
      <c r="F1919">
        <v>330862</v>
      </c>
      <c r="G1919" t="s">
        <v>983</v>
      </c>
      <c r="H1919" t="s">
        <v>9</v>
      </c>
      <c r="I1919" s="7">
        <v>45664</v>
      </c>
      <c r="J1919" s="8">
        <v>0.70666666666666667</v>
      </c>
      <c r="K1919" t="s">
        <v>984</v>
      </c>
      <c r="AQ1919" t="s">
        <v>1089</v>
      </c>
      <c r="AR1919" t="s">
        <v>1317</v>
      </c>
      <c r="AT1919" t="s">
        <v>987</v>
      </c>
      <c r="AZ1919" t="s">
        <v>1002</v>
      </c>
      <c r="BA1919" t="s">
        <v>1003</v>
      </c>
      <c r="BB1919" t="s">
        <v>1004</v>
      </c>
      <c r="BD1919" t="s">
        <v>1005</v>
      </c>
      <c r="BE1919" t="s">
        <v>512</v>
      </c>
    </row>
    <row r="1920" spans="1:57" ht="13" x14ac:dyDescent="0.15">
      <c r="A1920">
        <v>1839</v>
      </c>
      <c r="B1920">
        <v>241712020</v>
      </c>
      <c r="C1920" t="s">
        <v>512</v>
      </c>
      <c r="D1920" s="7">
        <v>44765</v>
      </c>
      <c r="E1920" s="7">
        <v>45712</v>
      </c>
      <c r="F1920">
        <v>330862</v>
      </c>
      <c r="G1920" t="s">
        <v>983</v>
      </c>
      <c r="H1920" t="s">
        <v>9</v>
      </c>
      <c r="I1920" s="7">
        <v>45670</v>
      </c>
      <c r="J1920" s="8">
        <v>0.77376157407407409</v>
      </c>
      <c r="K1920" t="s">
        <v>984</v>
      </c>
      <c r="AQ1920" t="s">
        <v>1089</v>
      </c>
      <c r="AR1920" t="s">
        <v>1300</v>
      </c>
      <c r="AT1920" t="s">
        <v>987</v>
      </c>
      <c r="AZ1920" t="s">
        <v>1011</v>
      </c>
      <c r="BA1920" t="s">
        <v>1202</v>
      </c>
      <c r="BB1920" t="s">
        <v>1203</v>
      </c>
      <c r="BD1920" t="s">
        <v>991</v>
      </c>
      <c r="BE1920" t="s">
        <v>512</v>
      </c>
    </row>
    <row r="1921" spans="1:57" ht="13" x14ac:dyDescent="0.15">
      <c r="A1921">
        <v>1839</v>
      </c>
      <c r="B1921">
        <v>241712020</v>
      </c>
      <c r="C1921" t="s">
        <v>512</v>
      </c>
      <c r="D1921" s="7">
        <v>44765</v>
      </c>
      <c r="E1921" s="7">
        <v>45712</v>
      </c>
      <c r="F1921">
        <v>330862</v>
      </c>
      <c r="G1921" t="s">
        <v>983</v>
      </c>
      <c r="H1921" t="s">
        <v>9</v>
      </c>
      <c r="I1921" s="7">
        <v>45668</v>
      </c>
      <c r="J1921" s="8">
        <v>8.067129629629629E-3</v>
      </c>
      <c r="K1921" t="s">
        <v>984</v>
      </c>
      <c r="AQ1921" t="s">
        <v>1089</v>
      </c>
      <c r="AR1921" t="s">
        <v>1558</v>
      </c>
      <c r="AT1921" t="s">
        <v>987</v>
      </c>
      <c r="AZ1921" t="s">
        <v>1007</v>
      </c>
      <c r="BA1921" t="s">
        <v>1008</v>
      </c>
      <c r="BB1921" t="s">
        <v>990</v>
      </c>
      <c r="BD1921" t="s">
        <v>1005</v>
      </c>
      <c r="BE1921" t="s">
        <v>512</v>
      </c>
    </row>
    <row r="1922" spans="1:57" ht="13" x14ac:dyDescent="0.15">
      <c r="A1922">
        <v>1839</v>
      </c>
      <c r="B1922">
        <v>242389446</v>
      </c>
      <c r="C1922" t="s">
        <v>513</v>
      </c>
      <c r="D1922" s="7">
        <v>44774</v>
      </c>
      <c r="E1922" s="7">
        <v>45713</v>
      </c>
      <c r="F1922">
        <v>330862</v>
      </c>
      <c r="G1922" t="s">
        <v>983</v>
      </c>
      <c r="H1922" t="s">
        <v>9</v>
      </c>
      <c r="I1922" s="7">
        <v>45694</v>
      </c>
      <c r="J1922" s="8">
        <v>0.36096064814814816</v>
      </c>
      <c r="K1922" t="s">
        <v>984</v>
      </c>
      <c r="AQ1922" t="s">
        <v>1090</v>
      </c>
      <c r="AR1922" t="s">
        <v>1285</v>
      </c>
      <c r="AT1922" t="s">
        <v>987</v>
      </c>
      <c r="AZ1922" t="s">
        <v>988</v>
      </c>
      <c r="BA1922" t="s">
        <v>989</v>
      </c>
      <c r="BB1922" t="s">
        <v>990</v>
      </c>
      <c r="BD1922" t="s">
        <v>991</v>
      </c>
      <c r="BE1922" t="s">
        <v>513</v>
      </c>
    </row>
    <row r="1923" spans="1:57" ht="13" x14ac:dyDescent="0.15">
      <c r="A1923">
        <v>1839</v>
      </c>
      <c r="B1923">
        <v>242389446</v>
      </c>
      <c r="C1923" t="s">
        <v>513</v>
      </c>
      <c r="D1923" s="7">
        <v>44774</v>
      </c>
      <c r="E1923" s="7">
        <v>45713</v>
      </c>
      <c r="F1923">
        <v>330862</v>
      </c>
      <c r="G1923" t="s">
        <v>983</v>
      </c>
      <c r="H1923" t="s">
        <v>9</v>
      </c>
      <c r="I1923" s="7">
        <v>45695</v>
      </c>
      <c r="J1923" s="8">
        <v>0.51442129629629629</v>
      </c>
      <c r="K1923" t="s">
        <v>984</v>
      </c>
      <c r="AQ1923" t="s">
        <v>1090</v>
      </c>
      <c r="AR1923" t="s">
        <v>1805</v>
      </c>
      <c r="AT1923" t="s">
        <v>987</v>
      </c>
      <c r="AZ1923" t="s">
        <v>1011</v>
      </c>
      <c r="BA1923" t="s">
        <v>1012</v>
      </c>
      <c r="BB1923" t="s">
        <v>1013</v>
      </c>
      <c r="BD1923" t="s">
        <v>1014</v>
      </c>
      <c r="BE1923" t="s">
        <v>513</v>
      </c>
    </row>
    <row r="1924" spans="1:57" ht="13" x14ac:dyDescent="0.15">
      <c r="A1924">
        <v>1839</v>
      </c>
      <c r="B1924">
        <v>242389446</v>
      </c>
      <c r="C1924" t="s">
        <v>513</v>
      </c>
      <c r="D1924" s="7">
        <v>44774</v>
      </c>
      <c r="E1924" s="7">
        <v>45713</v>
      </c>
      <c r="F1924">
        <v>330862</v>
      </c>
      <c r="G1924" t="s">
        <v>983</v>
      </c>
      <c r="H1924" t="s">
        <v>9</v>
      </c>
      <c r="I1924" s="7">
        <v>45695</v>
      </c>
      <c r="J1924" s="8">
        <v>0.510625</v>
      </c>
      <c r="K1924" t="s">
        <v>984</v>
      </c>
      <c r="AQ1924" t="s">
        <v>1090</v>
      </c>
      <c r="AR1924" t="s">
        <v>1805</v>
      </c>
      <c r="AT1924" t="s">
        <v>987</v>
      </c>
      <c r="AZ1924" t="s">
        <v>1011</v>
      </c>
      <c r="BA1924" t="s">
        <v>1012</v>
      </c>
      <c r="BB1924" t="s">
        <v>1013</v>
      </c>
      <c r="BD1924" t="s">
        <v>1014</v>
      </c>
      <c r="BE1924" t="s">
        <v>513</v>
      </c>
    </row>
    <row r="1925" spans="1:57" ht="13" x14ac:dyDescent="0.15">
      <c r="A1925">
        <v>1839</v>
      </c>
      <c r="B1925">
        <v>242389446</v>
      </c>
      <c r="C1925" t="s">
        <v>513</v>
      </c>
      <c r="D1925" s="7">
        <v>44774</v>
      </c>
      <c r="E1925" s="7">
        <v>45713</v>
      </c>
      <c r="F1925">
        <v>330862</v>
      </c>
      <c r="G1925" t="s">
        <v>983</v>
      </c>
      <c r="H1925" t="s">
        <v>9</v>
      </c>
      <c r="I1925" s="7">
        <v>45694</v>
      </c>
      <c r="J1925" s="8">
        <v>0.35699074074074072</v>
      </c>
      <c r="K1925" t="s">
        <v>984</v>
      </c>
      <c r="AQ1925" t="s">
        <v>1090</v>
      </c>
      <c r="AR1925" t="s">
        <v>1285</v>
      </c>
      <c r="AT1925" t="s">
        <v>987</v>
      </c>
      <c r="AZ1925" t="s">
        <v>988</v>
      </c>
      <c r="BA1925" t="s">
        <v>989</v>
      </c>
      <c r="BB1925" t="s">
        <v>990</v>
      </c>
      <c r="BD1925" t="s">
        <v>991</v>
      </c>
      <c r="BE1925" t="s">
        <v>513</v>
      </c>
    </row>
    <row r="1926" spans="1:57" ht="13" x14ac:dyDescent="0.15">
      <c r="A1926">
        <v>1839</v>
      </c>
      <c r="B1926">
        <v>245476419</v>
      </c>
      <c r="C1926" t="s">
        <v>514</v>
      </c>
      <c r="D1926" s="7">
        <v>44807</v>
      </c>
      <c r="E1926" s="7">
        <v>45693</v>
      </c>
      <c r="F1926">
        <v>330862</v>
      </c>
      <c r="G1926" t="s">
        <v>983</v>
      </c>
      <c r="H1926" t="s">
        <v>9</v>
      </c>
      <c r="I1926" s="7">
        <v>45683</v>
      </c>
      <c r="J1926" s="8">
        <v>0.34718749999999998</v>
      </c>
      <c r="K1926" t="s">
        <v>984</v>
      </c>
      <c r="AQ1926" t="s">
        <v>992</v>
      </c>
      <c r="AR1926" t="s">
        <v>1806</v>
      </c>
      <c r="AT1926" t="s">
        <v>987</v>
      </c>
      <c r="AZ1926" t="s">
        <v>1024</v>
      </c>
      <c r="BA1926" t="s">
        <v>1025</v>
      </c>
      <c r="BB1926" t="s">
        <v>1026</v>
      </c>
      <c r="BD1926" t="s">
        <v>1022</v>
      </c>
      <c r="BE1926" t="s">
        <v>514</v>
      </c>
    </row>
    <row r="1927" spans="1:57" ht="13" x14ac:dyDescent="0.15">
      <c r="A1927">
        <v>1839</v>
      </c>
      <c r="B1927">
        <v>245476419</v>
      </c>
      <c r="C1927" t="s">
        <v>514</v>
      </c>
      <c r="D1927" s="7">
        <v>44807</v>
      </c>
      <c r="E1927" s="7">
        <v>45693</v>
      </c>
      <c r="F1927">
        <v>330862</v>
      </c>
      <c r="G1927" t="s">
        <v>983</v>
      </c>
      <c r="H1927" t="s">
        <v>9</v>
      </c>
      <c r="I1927" s="7">
        <v>45683</v>
      </c>
      <c r="J1927" s="8">
        <v>0.37331018518518516</v>
      </c>
      <c r="K1927" t="s">
        <v>984</v>
      </c>
      <c r="AQ1927" t="s">
        <v>992</v>
      </c>
      <c r="AR1927" t="s">
        <v>1807</v>
      </c>
      <c r="AT1927" t="s">
        <v>987</v>
      </c>
      <c r="AZ1927" t="s">
        <v>1182</v>
      </c>
      <c r="BA1927" t="s">
        <v>1188</v>
      </c>
      <c r="BB1927" t="s">
        <v>1013</v>
      </c>
      <c r="BD1927" t="s">
        <v>1005</v>
      </c>
      <c r="BE1927" t="s">
        <v>514</v>
      </c>
    </row>
    <row r="1928" spans="1:57" ht="13" x14ac:dyDescent="0.15">
      <c r="A1928">
        <v>1839</v>
      </c>
      <c r="B1928">
        <v>245476419</v>
      </c>
      <c r="C1928" t="s">
        <v>514</v>
      </c>
      <c r="D1928" s="7">
        <v>44807</v>
      </c>
      <c r="E1928" s="7">
        <v>45693</v>
      </c>
      <c r="F1928">
        <v>330862</v>
      </c>
      <c r="G1928" t="s">
        <v>983</v>
      </c>
      <c r="H1928" t="s">
        <v>9</v>
      </c>
      <c r="I1928" s="7">
        <v>45683</v>
      </c>
      <c r="J1928" s="8">
        <v>0.36568287037037039</v>
      </c>
      <c r="K1928" t="s">
        <v>984</v>
      </c>
      <c r="AQ1928" t="s">
        <v>992</v>
      </c>
      <c r="AR1928" t="s">
        <v>1808</v>
      </c>
      <c r="AT1928" t="s">
        <v>987</v>
      </c>
      <c r="AZ1928" t="s">
        <v>1024</v>
      </c>
      <c r="BA1928" t="s">
        <v>1047</v>
      </c>
      <c r="BB1928" t="s">
        <v>1048</v>
      </c>
      <c r="BD1928" t="s">
        <v>1014</v>
      </c>
      <c r="BE1928" t="s">
        <v>514</v>
      </c>
    </row>
    <row r="1929" spans="1:57" ht="13" x14ac:dyDescent="0.15">
      <c r="A1929">
        <v>1839</v>
      </c>
      <c r="B1929">
        <v>245947538</v>
      </c>
      <c r="C1929" t="s">
        <v>1809</v>
      </c>
      <c r="D1929" s="7">
        <v>44816</v>
      </c>
      <c r="E1929" s="7">
        <v>45694</v>
      </c>
      <c r="F1929">
        <v>330862</v>
      </c>
      <c r="G1929" t="s">
        <v>983</v>
      </c>
      <c r="H1929" t="s">
        <v>9</v>
      </c>
      <c r="I1929" s="7">
        <v>45636</v>
      </c>
      <c r="J1929" s="8">
        <v>0.57746527777777779</v>
      </c>
      <c r="K1929" t="s">
        <v>984</v>
      </c>
      <c r="AQ1929" t="s">
        <v>998</v>
      </c>
      <c r="AR1929" t="s">
        <v>1096</v>
      </c>
      <c r="AT1929" t="s">
        <v>987</v>
      </c>
      <c r="AZ1929" t="s">
        <v>1011</v>
      </c>
      <c r="BA1929" t="s">
        <v>1031</v>
      </c>
      <c r="BB1929" t="s">
        <v>1032</v>
      </c>
      <c r="BD1929" t="s">
        <v>1005</v>
      </c>
      <c r="BE1929" t="s">
        <v>1809</v>
      </c>
    </row>
    <row r="1930" spans="1:57" ht="13" x14ac:dyDescent="0.15">
      <c r="A1930">
        <v>1839</v>
      </c>
      <c r="B1930">
        <v>245947538</v>
      </c>
      <c r="C1930" t="s">
        <v>1809</v>
      </c>
      <c r="D1930" s="7">
        <v>44816</v>
      </c>
      <c r="E1930" s="7">
        <v>45694</v>
      </c>
      <c r="F1930">
        <v>330862</v>
      </c>
      <c r="G1930" t="s">
        <v>983</v>
      </c>
      <c r="H1930" t="s">
        <v>9</v>
      </c>
      <c r="I1930" s="7">
        <v>45636</v>
      </c>
      <c r="J1930" s="8">
        <v>0.57451388888888888</v>
      </c>
      <c r="K1930" t="s">
        <v>984</v>
      </c>
      <c r="AQ1930" t="s">
        <v>998</v>
      </c>
      <c r="AR1930" t="s">
        <v>1096</v>
      </c>
      <c r="AT1930" t="s">
        <v>987</v>
      </c>
      <c r="AZ1930" t="s">
        <v>1011</v>
      </c>
      <c r="BA1930" t="s">
        <v>1031</v>
      </c>
      <c r="BB1930" t="s">
        <v>1032</v>
      </c>
      <c r="BD1930" t="s">
        <v>1005</v>
      </c>
      <c r="BE1930" t="s">
        <v>1809</v>
      </c>
    </row>
    <row r="1931" spans="1:57" ht="13" x14ac:dyDescent="0.15">
      <c r="A1931">
        <v>1839</v>
      </c>
      <c r="B1931">
        <v>245975180</v>
      </c>
      <c r="C1931" t="s">
        <v>515</v>
      </c>
      <c r="D1931" s="7">
        <v>44817</v>
      </c>
      <c r="E1931" s="7">
        <v>45698</v>
      </c>
      <c r="F1931">
        <v>330862</v>
      </c>
      <c r="G1931" t="s">
        <v>983</v>
      </c>
      <c r="H1931" t="s">
        <v>9</v>
      </c>
      <c r="I1931" s="7">
        <v>45698</v>
      </c>
      <c r="J1931" s="8">
        <v>0.31434027777777779</v>
      </c>
      <c r="K1931" t="s">
        <v>984</v>
      </c>
      <c r="AQ1931" t="s">
        <v>998</v>
      </c>
      <c r="AR1931" t="s">
        <v>1269</v>
      </c>
      <c r="AT1931" t="s">
        <v>987</v>
      </c>
      <c r="AZ1931" t="s">
        <v>1011</v>
      </c>
      <c r="BA1931" t="s">
        <v>1012</v>
      </c>
      <c r="BB1931" t="s">
        <v>1013</v>
      </c>
      <c r="BD1931" t="s">
        <v>1014</v>
      </c>
      <c r="BE1931" t="s">
        <v>515</v>
      </c>
    </row>
    <row r="1932" spans="1:57" ht="13" x14ac:dyDescent="0.15">
      <c r="A1932">
        <v>1839</v>
      </c>
      <c r="B1932">
        <v>246745135</v>
      </c>
      <c r="C1932" t="s">
        <v>516</v>
      </c>
      <c r="D1932" s="7">
        <v>44830</v>
      </c>
      <c r="E1932" s="7">
        <v>45678</v>
      </c>
      <c r="F1932">
        <v>330862</v>
      </c>
      <c r="G1932" t="s">
        <v>983</v>
      </c>
      <c r="H1932" t="s">
        <v>9</v>
      </c>
      <c r="I1932" s="7">
        <v>45678</v>
      </c>
      <c r="J1932" s="8">
        <v>0.59918981481481481</v>
      </c>
      <c r="K1932" t="s">
        <v>984</v>
      </c>
      <c r="AQ1932" t="s">
        <v>998</v>
      </c>
      <c r="AR1932" t="s">
        <v>1352</v>
      </c>
      <c r="AT1932" t="s">
        <v>987</v>
      </c>
      <c r="AZ1932" t="s">
        <v>1002</v>
      </c>
      <c r="BA1932" t="s">
        <v>1003</v>
      </c>
      <c r="BB1932" t="s">
        <v>1004</v>
      </c>
      <c r="BD1932" t="s">
        <v>1005</v>
      </c>
      <c r="BE1932" t="s">
        <v>516</v>
      </c>
    </row>
    <row r="1933" spans="1:57" ht="13" x14ac:dyDescent="0.15">
      <c r="A1933">
        <v>1839</v>
      </c>
      <c r="B1933">
        <v>247426735</v>
      </c>
      <c r="C1933" t="s">
        <v>517</v>
      </c>
      <c r="D1933" s="7">
        <v>44840</v>
      </c>
      <c r="E1933" s="7">
        <v>45697</v>
      </c>
      <c r="F1933">
        <v>330862</v>
      </c>
      <c r="G1933" t="s">
        <v>983</v>
      </c>
      <c r="H1933" t="s">
        <v>9</v>
      </c>
      <c r="I1933" s="7">
        <v>45694</v>
      </c>
      <c r="J1933" s="8">
        <v>0.36071759259259262</v>
      </c>
      <c r="K1933" t="s">
        <v>984</v>
      </c>
      <c r="AQ1933" t="s">
        <v>1261</v>
      </c>
      <c r="AR1933" t="s">
        <v>986</v>
      </c>
      <c r="AT1933" t="s">
        <v>987</v>
      </c>
      <c r="AZ1933" t="s">
        <v>988</v>
      </c>
      <c r="BA1933" t="s">
        <v>989</v>
      </c>
      <c r="BB1933" t="s">
        <v>990</v>
      </c>
      <c r="BD1933" t="s">
        <v>991</v>
      </c>
      <c r="BE1933" t="s">
        <v>517</v>
      </c>
    </row>
    <row r="1934" spans="1:57" ht="13" x14ac:dyDescent="0.15">
      <c r="A1934">
        <v>1839</v>
      </c>
      <c r="B1934">
        <v>248386359</v>
      </c>
      <c r="C1934" t="s">
        <v>518</v>
      </c>
      <c r="D1934" s="7">
        <v>44853</v>
      </c>
      <c r="E1934" s="7">
        <v>45698</v>
      </c>
      <c r="F1934">
        <v>330862</v>
      </c>
      <c r="G1934" t="s">
        <v>983</v>
      </c>
      <c r="H1934" t="s">
        <v>9</v>
      </c>
      <c r="I1934" s="7">
        <v>45636</v>
      </c>
      <c r="J1934" s="8">
        <v>0.56393518518518515</v>
      </c>
      <c r="K1934" t="s">
        <v>984</v>
      </c>
      <c r="AQ1934" t="s">
        <v>1042</v>
      </c>
      <c r="AR1934" t="s">
        <v>1208</v>
      </c>
      <c r="AT1934" t="s">
        <v>987</v>
      </c>
      <c r="AZ1934" t="s">
        <v>1011</v>
      </c>
      <c r="BA1934" t="s">
        <v>1031</v>
      </c>
      <c r="BB1934" t="s">
        <v>1032</v>
      </c>
      <c r="BD1934" t="s">
        <v>1005</v>
      </c>
      <c r="BE1934" t="s">
        <v>518</v>
      </c>
    </row>
    <row r="1935" spans="1:57" ht="13" x14ac:dyDescent="0.15">
      <c r="A1935">
        <v>1839</v>
      </c>
      <c r="B1935">
        <v>248386359</v>
      </c>
      <c r="C1935" t="s">
        <v>518</v>
      </c>
      <c r="D1935" s="7">
        <v>44853</v>
      </c>
      <c r="E1935" s="7">
        <v>45698</v>
      </c>
      <c r="F1935">
        <v>330862</v>
      </c>
      <c r="G1935" t="s">
        <v>983</v>
      </c>
      <c r="H1935" t="s">
        <v>9</v>
      </c>
      <c r="I1935" s="7">
        <v>45694</v>
      </c>
      <c r="J1935" s="8">
        <v>0.44399305555555557</v>
      </c>
      <c r="K1935" t="s">
        <v>984</v>
      </c>
      <c r="AQ1935" t="s">
        <v>992</v>
      </c>
      <c r="AR1935" t="s">
        <v>986</v>
      </c>
      <c r="AT1935" t="s">
        <v>987</v>
      </c>
      <c r="AZ1935" t="s">
        <v>988</v>
      </c>
      <c r="BA1935" t="s">
        <v>989</v>
      </c>
      <c r="BB1935" t="s">
        <v>990</v>
      </c>
      <c r="BD1935" t="s">
        <v>991</v>
      </c>
      <c r="BE1935" t="s">
        <v>518</v>
      </c>
    </row>
    <row r="1936" spans="1:57" ht="13" x14ac:dyDescent="0.15">
      <c r="A1936">
        <v>1839</v>
      </c>
      <c r="B1936">
        <v>248386359</v>
      </c>
      <c r="C1936" t="s">
        <v>518</v>
      </c>
      <c r="D1936" s="7">
        <v>44853</v>
      </c>
      <c r="E1936" s="7">
        <v>45698</v>
      </c>
      <c r="F1936">
        <v>330862</v>
      </c>
      <c r="G1936" t="s">
        <v>983</v>
      </c>
      <c r="H1936" t="s">
        <v>9</v>
      </c>
      <c r="I1936" s="7">
        <v>45636</v>
      </c>
      <c r="J1936" s="8">
        <v>0.56311342592592595</v>
      </c>
      <c r="K1936" t="s">
        <v>984</v>
      </c>
      <c r="AQ1936" t="s">
        <v>1042</v>
      </c>
      <c r="AR1936" t="s">
        <v>1208</v>
      </c>
      <c r="AT1936" t="s">
        <v>987</v>
      </c>
      <c r="AZ1936" t="s">
        <v>1011</v>
      </c>
      <c r="BA1936" t="s">
        <v>1031</v>
      </c>
      <c r="BB1936" t="s">
        <v>1032</v>
      </c>
      <c r="BD1936" t="s">
        <v>1005</v>
      </c>
      <c r="BE1936" t="s">
        <v>518</v>
      </c>
    </row>
    <row r="1937" spans="1:57" ht="13" x14ac:dyDescent="0.15">
      <c r="A1937">
        <v>1839</v>
      </c>
      <c r="B1937">
        <v>248392274</v>
      </c>
      <c r="C1937" t="s">
        <v>519</v>
      </c>
      <c r="D1937" s="7">
        <v>44853</v>
      </c>
      <c r="E1937" s="7">
        <v>45672</v>
      </c>
      <c r="F1937">
        <v>330862</v>
      </c>
      <c r="G1937" t="s">
        <v>983</v>
      </c>
      <c r="H1937" t="s">
        <v>9</v>
      </c>
      <c r="I1937" s="7">
        <v>45672</v>
      </c>
      <c r="J1937" s="8">
        <v>0.90798611111111116</v>
      </c>
      <c r="K1937" t="s">
        <v>984</v>
      </c>
      <c r="AQ1937" t="s">
        <v>1113</v>
      </c>
      <c r="AR1937" t="s">
        <v>1603</v>
      </c>
      <c r="AT1937" t="s">
        <v>987</v>
      </c>
      <c r="AZ1937" t="s">
        <v>1016</v>
      </c>
      <c r="BA1937" t="s">
        <v>1017</v>
      </c>
      <c r="BB1937" t="s">
        <v>1018</v>
      </c>
      <c r="BD1937" t="s">
        <v>991</v>
      </c>
      <c r="BE1937" t="s">
        <v>519</v>
      </c>
    </row>
    <row r="1938" spans="1:57" ht="13" x14ac:dyDescent="0.15">
      <c r="A1938">
        <v>1839</v>
      </c>
      <c r="B1938">
        <v>249194217</v>
      </c>
      <c r="C1938" t="s">
        <v>1810</v>
      </c>
      <c r="D1938" s="7">
        <v>44866</v>
      </c>
      <c r="E1938" s="7">
        <v>45691</v>
      </c>
      <c r="F1938">
        <v>330862</v>
      </c>
      <c r="G1938" t="s">
        <v>983</v>
      </c>
      <c r="H1938" t="s">
        <v>9</v>
      </c>
      <c r="I1938" s="7">
        <v>45614</v>
      </c>
      <c r="J1938" s="8">
        <v>0.67221064814814813</v>
      </c>
      <c r="K1938" t="s">
        <v>984</v>
      </c>
      <c r="AQ1938" t="s">
        <v>992</v>
      </c>
      <c r="AR1938" t="s">
        <v>1811</v>
      </c>
      <c r="AT1938" t="s">
        <v>987</v>
      </c>
      <c r="BE1938" t="s">
        <v>1810</v>
      </c>
    </row>
    <row r="1939" spans="1:57" ht="13" x14ac:dyDescent="0.15">
      <c r="A1939">
        <v>1839</v>
      </c>
      <c r="B1939">
        <v>249598428</v>
      </c>
      <c r="C1939" t="s">
        <v>520</v>
      </c>
      <c r="D1939" s="7">
        <v>44868</v>
      </c>
      <c r="E1939" s="7">
        <v>45694</v>
      </c>
      <c r="F1939">
        <v>330862</v>
      </c>
      <c r="G1939" t="s">
        <v>983</v>
      </c>
      <c r="H1939" t="s">
        <v>9</v>
      </c>
      <c r="I1939" s="7">
        <v>45694</v>
      </c>
      <c r="J1939" s="8">
        <v>0.51775462962962959</v>
      </c>
      <c r="K1939" t="s">
        <v>984</v>
      </c>
      <c r="AQ1939" t="s">
        <v>992</v>
      </c>
      <c r="AR1939" t="s">
        <v>993</v>
      </c>
      <c r="AT1939" t="s">
        <v>987</v>
      </c>
      <c r="AZ1939" t="s">
        <v>988</v>
      </c>
      <c r="BA1939" t="s">
        <v>989</v>
      </c>
      <c r="BB1939" t="s">
        <v>990</v>
      </c>
      <c r="BD1939" t="s">
        <v>991</v>
      </c>
      <c r="BE1939" t="s">
        <v>520</v>
      </c>
    </row>
    <row r="1940" spans="1:57" ht="13" x14ac:dyDescent="0.15">
      <c r="A1940">
        <v>1839</v>
      </c>
      <c r="B1940">
        <v>249598428</v>
      </c>
      <c r="C1940" t="s">
        <v>520</v>
      </c>
      <c r="D1940" s="7">
        <v>44868</v>
      </c>
      <c r="E1940" s="7">
        <v>45694</v>
      </c>
      <c r="F1940">
        <v>330862</v>
      </c>
      <c r="G1940" t="s">
        <v>983</v>
      </c>
      <c r="H1940" t="s">
        <v>9</v>
      </c>
      <c r="I1940" s="7">
        <v>45673</v>
      </c>
      <c r="J1940" s="8">
        <v>0.41594907407407405</v>
      </c>
      <c r="K1940" t="s">
        <v>984</v>
      </c>
      <c r="AQ1940" t="s">
        <v>992</v>
      </c>
      <c r="AR1940" t="s">
        <v>1663</v>
      </c>
      <c r="AT1940" t="s">
        <v>987</v>
      </c>
      <c r="AZ1940" t="s">
        <v>1016</v>
      </c>
      <c r="BA1940" t="s">
        <v>1017</v>
      </c>
      <c r="BB1940" t="s">
        <v>1018</v>
      </c>
      <c r="BD1940" t="s">
        <v>991</v>
      </c>
      <c r="BE1940" t="s">
        <v>520</v>
      </c>
    </row>
    <row r="1941" spans="1:57" ht="13" x14ac:dyDescent="0.15">
      <c r="A1941">
        <v>1839</v>
      </c>
      <c r="B1941">
        <v>250287615</v>
      </c>
      <c r="C1941" t="s">
        <v>521</v>
      </c>
      <c r="D1941" s="7">
        <v>44880</v>
      </c>
      <c r="E1941" s="7">
        <v>45692</v>
      </c>
      <c r="F1941">
        <v>330862</v>
      </c>
      <c r="G1941" t="s">
        <v>983</v>
      </c>
      <c r="H1941" t="s">
        <v>9</v>
      </c>
      <c r="I1941" s="7">
        <v>45690</v>
      </c>
      <c r="J1941" s="8">
        <v>0.81505787037037036</v>
      </c>
      <c r="K1941" t="s">
        <v>984</v>
      </c>
      <c r="AQ1941" t="s">
        <v>998</v>
      </c>
      <c r="AR1941" t="s">
        <v>994</v>
      </c>
      <c r="AT1941" t="s">
        <v>987</v>
      </c>
      <c r="AZ1941" t="s">
        <v>1011</v>
      </c>
      <c r="BA1941" t="s">
        <v>1012</v>
      </c>
      <c r="BB1941" t="s">
        <v>1013</v>
      </c>
      <c r="BD1941" t="s">
        <v>1014</v>
      </c>
      <c r="BE1941" t="s">
        <v>521</v>
      </c>
    </row>
    <row r="1942" spans="1:57" ht="13" x14ac:dyDescent="0.15">
      <c r="A1942">
        <v>1839</v>
      </c>
      <c r="B1942">
        <v>250685646</v>
      </c>
      <c r="C1942" t="s">
        <v>1812</v>
      </c>
      <c r="D1942" s="7">
        <v>44888</v>
      </c>
      <c r="E1942" s="7">
        <v>45657</v>
      </c>
      <c r="F1942">
        <v>330862</v>
      </c>
      <c r="G1942" t="s">
        <v>983</v>
      </c>
      <c r="H1942" t="s">
        <v>9</v>
      </c>
      <c r="I1942" s="7">
        <v>45657</v>
      </c>
      <c r="J1942" s="8">
        <v>0.66973379629629626</v>
      </c>
      <c r="K1942" t="s">
        <v>984</v>
      </c>
      <c r="AQ1942" t="s">
        <v>1090</v>
      </c>
      <c r="AR1942" t="s">
        <v>1813</v>
      </c>
      <c r="AT1942" t="s">
        <v>987</v>
      </c>
      <c r="AZ1942" t="s">
        <v>1007</v>
      </c>
      <c r="BA1942" t="s">
        <v>1008</v>
      </c>
      <c r="BB1942" t="s">
        <v>990</v>
      </c>
      <c r="BD1942" t="s">
        <v>1005</v>
      </c>
      <c r="BE1942" t="s">
        <v>1812</v>
      </c>
    </row>
    <row r="1943" spans="1:57" ht="13" x14ac:dyDescent="0.15">
      <c r="A1943">
        <v>1839</v>
      </c>
      <c r="B1943">
        <v>250685646</v>
      </c>
      <c r="C1943" t="s">
        <v>1812</v>
      </c>
      <c r="D1943" s="7">
        <v>44888</v>
      </c>
      <c r="E1943" s="7">
        <v>45657</v>
      </c>
      <c r="F1943">
        <v>330862</v>
      </c>
      <c r="G1943" t="s">
        <v>983</v>
      </c>
      <c r="H1943" t="s">
        <v>9</v>
      </c>
      <c r="I1943" s="7">
        <v>45657</v>
      </c>
      <c r="J1943" s="8">
        <v>0.66998842592592589</v>
      </c>
      <c r="K1943" t="s">
        <v>984</v>
      </c>
      <c r="AQ1943" t="s">
        <v>1090</v>
      </c>
      <c r="AR1943" t="s">
        <v>1705</v>
      </c>
      <c r="AT1943" t="s">
        <v>987</v>
      </c>
      <c r="AZ1943" t="s">
        <v>1002</v>
      </c>
      <c r="BA1943" t="s">
        <v>1003</v>
      </c>
      <c r="BB1943" t="s">
        <v>1004</v>
      </c>
      <c r="BD1943" t="s">
        <v>1005</v>
      </c>
      <c r="BE1943" t="s">
        <v>1812</v>
      </c>
    </row>
    <row r="1944" spans="1:57" ht="13" x14ac:dyDescent="0.15">
      <c r="A1944">
        <v>1839</v>
      </c>
      <c r="B1944">
        <v>250885776</v>
      </c>
      <c r="C1944" t="s">
        <v>522</v>
      </c>
      <c r="D1944" s="7">
        <v>44894</v>
      </c>
      <c r="E1944" s="7">
        <v>45701</v>
      </c>
      <c r="F1944">
        <v>330862</v>
      </c>
      <c r="G1944" t="s">
        <v>983</v>
      </c>
      <c r="H1944" t="s">
        <v>9</v>
      </c>
      <c r="I1944" s="7">
        <v>45616</v>
      </c>
      <c r="J1944" s="8">
        <v>0.65447916666666661</v>
      </c>
      <c r="K1944" t="s">
        <v>984</v>
      </c>
      <c r="AQ1944" t="s">
        <v>985</v>
      </c>
      <c r="AR1944" t="s">
        <v>1378</v>
      </c>
      <c r="AT1944" t="s">
        <v>987</v>
      </c>
      <c r="AZ1944" t="s">
        <v>1011</v>
      </c>
      <c r="BA1944" t="s">
        <v>1103</v>
      </c>
      <c r="BB1944" t="s">
        <v>1032</v>
      </c>
      <c r="BD1944" t="s">
        <v>1005</v>
      </c>
      <c r="BE1944" t="s">
        <v>522</v>
      </c>
    </row>
    <row r="1945" spans="1:57" ht="13" x14ac:dyDescent="0.15">
      <c r="A1945">
        <v>1839</v>
      </c>
      <c r="B1945">
        <v>250885776</v>
      </c>
      <c r="C1945" t="s">
        <v>522</v>
      </c>
      <c r="D1945" s="7">
        <v>44894</v>
      </c>
      <c r="E1945" s="7">
        <v>45701</v>
      </c>
      <c r="F1945">
        <v>330862</v>
      </c>
      <c r="G1945" t="s">
        <v>983</v>
      </c>
      <c r="H1945" t="s">
        <v>9</v>
      </c>
      <c r="I1945" s="7">
        <v>45694</v>
      </c>
      <c r="J1945" s="8">
        <v>0.82188657407407406</v>
      </c>
      <c r="K1945" t="s">
        <v>984</v>
      </c>
      <c r="AQ1945" t="s">
        <v>985</v>
      </c>
      <c r="AR1945" t="s">
        <v>986</v>
      </c>
      <c r="AT1945" t="s">
        <v>987</v>
      </c>
      <c r="AZ1945" t="s">
        <v>988</v>
      </c>
      <c r="BA1945" t="s">
        <v>989</v>
      </c>
      <c r="BB1945" t="s">
        <v>990</v>
      </c>
      <c r="BD1945" t="s">
        <v>991</v>
      </c>
      <c r="BE1945" t="s">
        <v>522</v>
      </c>
    </row>
    <row r="1946" spans="1:57" ht="13" x14ac:dyDescent="0.15">
      <c r="A1946">
        <v>1839</v>
      </c>
      <c r="B1946">
        <v>251369290</v>
      </c>
      <c r="C1946" t="s">
        <v>523</v>
      </c>
      <c r="D1946" s="7">
        <v>44903</v>
      </c>
      <c r="E1946" s="7">
        <v>45708</v>
      </c>
      <c r="F1946">
        <v>336444</v>
      </c>
      <c r="G1946" t="s">
        <v>995</v>
      </c>
      <c r="H1946" t="s">
        <v>12</v>
      </c>
      <c r="I1946" s="7">
        <v>45661</v>
      </c>
      <c r="J1946" s="8">
        <v>0.77923611111111113</v>
      </c>
      <c r="K1946" t="s">
        <v>984</v>
      </c>
      <c r="AQ1946" t="s">
        <v>996</v>
      </c>
      <c r="BE1946" t="s">
        <v>523</v>
      </c>
    </row>
    <row r="1947" spans="1:57" ht="13" x14ac:dyDescent="0.15">
      <c r="A1947">
        <v>1839</v>
      </c>
      <c r="B1947">
        <v>251570742</v>
      </c>
      <c r="C1947" t="s">
        <v>524</v>
      </c>
      <c r="D1947" s="7">
        <v>44910</v>
      </c>
      <c r="E1947" s="7">
        <v>45709</v>
      </c>
      <c r="F1947">
        <v>330862</v>
      </c>
      <c r="G1947" t="s">
        <v>983</v>
      </c>
      <c r="H1947" t="s">
        <v>9</v>
      </c>
      <c r="I1947" s="7">
        <v>45678</v>
      </c>
      <c r="J1947" s="8">
        <v>0.27998842592592593</v>
      </c>
      <c r="K1947" t="s">
        <v>984</v>
      </c>
      <c r="AQ1947" t="s">
        <v>992</v>
      </c>
      <c r="AR1947" t="s">
        <v>1083</v>
      </c>
      <c r="AT1947" t="s">
        <v>987</v>
      </c>
      <c r="AZ1947" t="s">
        <v>1011</v>
      </c>
      <c r="BA1947" t="s">
        <v>1012</v>
      </c>
      <c r="BB1947" t="s">
        <v>1013</v>
      </c>
      <c r="BD1947" t="s">
        <v>1014</v>
      </c>
      <c r="BE1947" t="s">
        <v>524</v>
      </c>
    </row>
    <row r="1948" spans="1:57" ht="13" x14ac:dyDescent="0.15">
      <c r="A1948">
        <v>1839</v>
      </c>
      <c r="B1948">
        <v>251570742</v>
      </c>
      <c r="C1948" t="s">
        <v>524</v>
      </c>
      <c r="D1948" s="7">
        <v>44910</v>
      </c>
      <c r="E1948" s="7">
        <v>45709</v>
      </c>
      <c r="F1948">
        <v>330862</v>
      </c>
      <c r="G1948" t="s">
        <v>983</v>
      </c>
      <c r="H1948" t="s">
        <v>9</v>
      </c>
      <c r="I1948" s="7">
        <v>45678</v>
      </c>
      <c r="J1948" s="8">
        <v>0.38853009259259258</v>
      </c>
      <c r="K1948" t="s">
        <v>984</v>
      </c>
      <c r="AQ1948" t="s">
        <v>992</v>
      </c>
      <c r="AR1948" t="s">
        <v>1509</v>
      </c>
      <c r="AT1948" t="s">
        <v>987</v>
      </c>
      <c r="AZ1948" t="s">
        <v>1016</v>
      </c>
      <c r="BA1948" t="s">
        <v>1017</v>
      </c>
      <c r="BB1948" t="s">
        <v>1018</v>
      </c>
      <c r="BD1948" t="s">
        <v>991</v>
      </c>
      <c r="BE1948" t="s">
        <v>524</v>
      </c>
    </row>
    <row r="1949" spans="1:57" ht="13" x14ac:dyDescent="0.15">
      <c r="A1949">
        <v>1839</v>
      </c>
      <c r="B1949">
        <v>251757231</v>
      </c>
      <c r="C1949" t="s">
        <v>525</v>
      </c>
      <c r="D1949" s="7">
        <v>44917</v>
      </c>
      <c r="E1949" s="7">
        <v>45694</v>
      </c>
      <c r="F1949">
        <v>330862</v>
      </c>
      <c r="G1949" t="s">
        <v>983</v>
      </c>
      <c r="H1949" t="s">
        <v>9</v>
      </c>
      <c r="I1949" s="7">
        <v>45694</v>
      </c>
      <c r="J1949" s="8">
        <v>0.43201388888888886</v>
      </c>
      <c r="K1949" t="s">
        <v>984</v>
      </c>
      <c r="AQ1949" t="s">
        <v>998</v>
      </c>
      <c r="AR1949" t="s">
        <v>993</v>
      </c>
      <c r="AT1949" t="s">
        <v>987</v>
      </c>
      <c r="AZ1949" t="s">
        <v>988</v>
      </c>
      <c r="BA1949" t="s">
        <v>989</v>
      </c>
      <c r="BB1949" t="s">
        <v>990</v>
      </c>
      <c r="BD1949" t="s">
        <v>991</v>
      </c>
      <c r="BE1949" t="s">
        <v>525</v>
      </c>
    </row>
    <row r="1950" spans="1:57" ht="13" x14ac:dyDescent="0.15">
      <c r="A1950">
        <v>1839</v>
      </c>
      <c r="B1950">
        <v>251960036</v>
      </c>
      <c r="C1950" t="s">
        <v>526</v>
      </c>
      <c r="D1950" s="7">
        <v>44926</v>
      </c>
      <c r="E1950" s="7">
        <v>45700</v>
      </c>
      <c r="F1950">
        <v>330862</v>
      </c>
      <c r="G1950" t="s">
        <v>983</v>
      </c>
      <c r="H1950" t="s">
        <v>9</v>
      </c>
      <c r="I1950" s="7">
        <v>45700</v>
      </c>
      <c r="J1950" s="8">
        <v>0.55307870370370371</v>
      </c>
      <c r="K1950" t="s">
        <v>984</v>
      </c>
      <c r="AQ1950" t="s">
        <v>985</v>
      </c>
      <c r="AR1950" t="s">
        <v>1269</v>
      </c>
      <c r="AT1950" t="s">
        <v>987</v>
      </c>
      <c r="AZ1950" t="s">
        <v>1011</v>
      </c>
      <c r="BA1950" t="s">
        <v>1012</v>
      </c>
      <c r="BB1950" t="s">
        <v>1013</v>
      </c>
      <c r="BD1950" t="s">
        <v>1014</v>
      </c>
      <c r="BE1950" t="s">
        <v>526</v>
      </c>
    </row>
    <row r="1951" spans="1:57" ht="13" x14ac:dyDescent="0.15">
      <c r="A1951">
        <v>1839</v>
      </c>
      <c r="B1951">
        <v>251983731</v>
      </c>
      <c r="C1951" t="s">
        <v>527</v>
      </c>
      <c r="D1951" s="7">
        <v>44928</v>
      </c>
      <c r="E1951" s="7">
        <v>45677</v>
      </c>
      <c r="F1951">
        <v>330862</v>
      </c>
      <c r="G1951" t="s">
        <v>983</v>
      </c>
      <c r="H1951" t="s">
        <v>9</v>
      </c>
      <c r="I1951" s="7">
        <v>45677</v>
      </c>
      <c r="J1951" s="8">
        <v>0.35766203703703703</v>
      </c>
      <c r="K1951" t="s">
        <v>984</v>
      </c>
      <c r="AQ1951" t="s">
        <v>1814</v>
      </c>
      <c r="AR1951" t="s">
        <v>1463</v>
      </c>
      <c r="AT1951" t="s">
        <v>987</v>
      </c>
      <c r="AZ1951" t="s">
        <v>1028</v>
      </c>
      <c r="BA1951" t="s">
        <v>1029</v>
      </c>
      <c r="BB1951" t="s">
        <v>1018</v>
      </c>
      <c r="BD1951" t="s">
        <v>1022</v>
      </c>
      <c r="BE1951" t="s">
        <v>527</v>
      </c>
    </row>
    <row r="1952" spans="1:57" ht="13" x14ac:dyDescent="0.15">
      <c r="A1952">
        <v>1839</v>
      </c>
      <c r="B1952">
        <v>252208031</v>
      </c>
      <c r="C1952" t="s">
        <v>528</v>
      </c>
      <c r="D1952" s="7">
        <v>44939</v>
      </c>
      <c r="E1952" s="7">
        <v>45687</v>
      </c>
      <c r="F1952">
        <v>330862</v>
      </c>
      <c r="G1952" t="s">
        <v>983</v>
      </c>
      <c r="H1952" t="s">
        <v>9</v>
      </c>
      <c r="I1952" s="7">
        <v>45687</v>
      </c>
      <c r="J1952" s="8">
        <v>0.61871527777777779</v>
      </c>
      <c r="K1952" t="s">
        <v>984</v>
      </c>
      <c r="AQ1952" t="s">
        <v>1273</v>
      </c>
      <c r="AR1952" t="s">
        <v>994</v>
      </c>
      <c r="AT1952" t="s">
        <v>987</v>
      </c>
      <c r="AZ1952" t="s">
        <v>1011</v>
      </c>
      <c r="BA1952" t="s">
        <v>1012</v>
      </c>
      <c r="BB1952" t="s">
        <v>1013</v>
      </c>
      <c r="BD1952" t="s">
        <v>1014</v>
      </c>
      <c r="BE1952" t="s">
        <v>528</v>
      </c>
    </row>
    <row r="1953" spans="1:57" ht="13" x14ac:dyDescent="0.15">
      <c r="A1953">
        <v>1839</v>
      </c>
      <c r="B1953">
        <v>252221595</v>
      </c>
      <c r="C1953" t="s">
        <v>529</v>
      </c>
      <c r="D1953" s="7">
        <v>44940</v>
      </c>
      <c r="E1953" s="7">
        <v>45678</v>
      </c>
      <c r="F1953">
        <v>330862</v>
      </c>
      <c r="G1953" t="s">
        <v>983</v>
      </c>
      <c r="H1953" t="s">
        <v>9</v>
      </c>
      <c r="I1953" s="7">
        <v>45672</v>
      </c>
      <c r="J1953" s="8">
        <v>0.76740740740740743</v>
      </c>
      <c r="K1953" t="s">
        <v>984</v>
      </c>
      <c r="AQ1953" t="s">
        <v>1090</v>
      </c>
      <c r="AR1953" t="s">
        <v>1274</v>
      </c>
      <c r="AT1953" t="s">
        <v>987</v>
      </c>
      <c r="AZ1953" t="s">
        <v>1016</v>
      </c>
      <c r="BA1953" t="s">
        <v>1017</v>
      </c>
      <c r="BB1953" t="s">
        <v>1018</v>
      </c>
      <c r="BD1953" t="s">
        <v>991</v>
      </c>
      <c r="BE1953" t="s">
        <v>529</v>
      </c>
    </row>
    <row r="1954" spans="1:57" ht="13" x14ac:dyDescent="0.15">
      <c r="A1954">
        <v>1839</v>
      </c>
      <c r="B1954">
        <v>252647783</v>
      </c>
      <c r="C1954" t="s">
        <v>1815</v>
      </c>
      <c r="D1954" s="7">
        <v>44953</v>
      </c>
      <c r="E1954" s="7">
        <v>45642</v>
      </c>
      <c r="F1954">
        <v>330862</v>
      </c>
      <c r="G1954" t="s">
        <v>983</v>
      </c>
      <c r="H1954" t="s">
        <v>9</v>
      </c>
      <c r="I1954" s="7">
        <v>45635</v>
      </c>
      <c r="J1954" s="8">
        <v>0.91878472222222218</v>
      </c>
      <c r="K1954" t="s">
        <v>984</v>
      </c>
      <c r="AQ1954" t="s">
        <v>985</v>
      </c>
      <c r="AR1954" t="s">
        <v>1097</v>
      </c>
      <c r="AT1954" t="s">
        <v>987</v>
      </c>
      <c r="AZ1954" t="s">
        <v>1024</v>
      </c>
      <c r="BA1954" t="s">
        <v>1025</v>
      </c>
      <c r="BB1954" t="s">
        <v>1026</v>
      </c>
      <c r="BD1954" t="s">
        <v>1022</v>
      </c>
      <c r="BE1954" t="s">
        <v>1815</v>
      </c>
    </row>
    <row r="1955" spans="1:57" ht="13" x14ac:dyDescent="0.15">
      <c r="A1955">
        <v>1839</v>
      </c>
      <c r="B1955">
        <v>252647783</v>
      </c>
      <c r="C1955" t="s">
        <v>1815</v>
      </c>
      <c r="D1955" s="7">
        <v>44953</v>
      </c>
      <c r="E1955" s="7">
        <v>45642</v>
      </c>
      <c r="F1955">
        <v>330862</v>
      </c>
      <c r="G1955" t="s">
        <v>983</v>
      </c>
      <c r="H1955" t="s">
        <v>9</v>
      </c>
      <c r="I1955" s="7">
        <v>45642</v>
      </c>
      <c r="J1955" s="8">
        <v>0.85576388888888888</v>
      </c>
      <c r="K1955" t="s">
        <v>984</v>
      </c>
      <c r="AQ1955" t="s">
        <v>985</v>
      </c>
      <c r="AR1955" t="s">
        <v>1094</v>
      </c>
      <c r="AT1955" t="s">
        <v>987</v>
      </c>
      <c r="AZ1955" t="s">
        <v>1024</v>
      </c>
      <c r="BA1955" t="s">
        <v>1025</v>
      </c>
      <c r="BB1955" t="s">
        <v>1026</v>
      </c>
      <c r="BD1955" t="s">
        <v>1022</v>
      </c>
      <c r="BE1955" t="s">
        <v>1815</v>
      </c>
    </row>
    <row r="1956" spans="1:57" ht="13" x14ac:dyDescent="0.15">
      <c r="A1956">
        <v>1839</v>
      </c>
      <c r="B1956">
        <v>252756498</v>
      </c>
      <c r="C1956" t="s">
        <v>530</v>
      </c>
      <c r="D1956" s="7">
        <v>44956</v>
      </c>
      <c r="E1956" s="7">
        <v>45700</v>
      </c>
      <c r="F1956">
        <v>330862</v>
      </c>
      <c r="G1956" t="s">
        <v>983</v>
      </c>
      <c r="H1956" t="s">
        <v>9</v>
      </c>
      <c r="I1956" s="7">
        <v>45700</v>
      </c>
      <c r="J1956" s="8">
        <v>0.47797453703703702</v>
      </c>
      <c r="K1956" t="s">
        <v>984</v>
      </c>
      <c r="AQ1956" t="s">
        <v>985</v>
      </c>
      <c r="AR1956" t="s">
        <v>994</v>
      </c>
      <c r="AT1956" t="s">
        <v>987</v>
      </c>
      <c r="AZ1956" t="s">
        <v>1011</v>
      </c>
      <c r="BA1956" t="s">
        <v>1012</v>
      </c>
      <c r="BB1956" t="s">
        <v>1013</v>
      </c>
      <c r="BD1956" t="s">
        <v>1014</v>
      </c>
      <c r="BE1956" t="s">
        <v>530</v>
      </c>
    </row>
    <row r="1957" spans="1:57" ht="13" x14ac:dyDescent="0.15">
      <c r="A1957">
        <v>1839</v>
      </c>
      <c r="B1957">
        <v>253032817</v>
      </c>
      <c r="C1957" t="s">
        <v>531</v>
      </c>
      <c r="D1957" s="7">
        <v>44961</v>
      </c>
      <c r="E1957" s="7">
        <v>45701</v>
      </c>
      <c r="F1957">
        <v>330862</v>
      </c>
      <c r="G1957" t="s">
        <v>983</v>
      </c>
      <c r="H1957" t="s">
        <v>9</v>
      </c>
      <c r="I1957" s="7">
        <v>45699</v>
      </c>
      <c r="J1957" s="8">
        <v>0.20537037037037037</v>
      </c>
      <c r="K1957" t="s">
        <v>984</v>
      </c>
      <c r="AQ1957" t="s">
        <v>1816</v>
      </c>
      <c r="AR1957" t="s">
        <v>1285</v>
      </c>
      <c r="AT1957" t="s">
        <v>987</v>
      </c>
      <c r="AZ1957" t="s">
        <v>988</v>
      </c>
      <c r="BA1957" t="s">
        <v>989</v>
      </c>
      <c r="BB1957" t="s">
        <v>990</v>
      </c>
      <c r="BD1957" t="s">
        <v>991</v>
      </c>
      <c r="BE1957" t="s">
        <v>531</v>
      </c>
    </row>
    <row r="1958" spans="1:57" ht="13" x14ac:dyDescent="0.15">
      <c r="A1958">
        <v>1839</v>
      </c>
      <c r="B1958">
        <v>253032817</v>
      </c>
      <c r="C1958" t="s">
        <v>531</v>
      </c>
      <c r="D1958" s="7">
        <v>44961</v>
      </c>
      <c r="E1958" s="7">
        <v>45701</v>
      </c>
      <c r="F1958">
        <v>330862</v>
      </c>
      <c r="G1958" t="s">
        <v>983</v>
      </c>
      <c r="H1958" t="s">
        <v>9</v>
      </c>
      <c r="I1958" s="7">
        <v>45624</v>
      </c>
      <c r="J1958" s="8">
        <v>0.34899305555555554</v>
      </c>
      <c r="K1958" t="s">
        <v>984</v>
      </c>
      <c r="AQ1958" t="s">
        <v>1816</v>
      </c>
      <c r="AR1958" t="s">
        <v>1817</v>
      </c>
      <c r="AT1958" t="s">
        <v>987</v>
      </c>
      <c r="AZ1958" t="s">
        <v>1028</v>
      </c>
      <c r="BA1958" t="s">
        <v>1029</v>
      </c>
      <c r="BB1958" t="s">
        <v>1018</v>
      </c>
      <c r="BD1958" t="s">
        <v>1022</v>
      </c>
      <c r="BE1958" t="s">
        <v>531</v>
      </c>
    </row>
    <row r="1959" spans="1:57" ht="13" x14ac:dyDescent="0.15">
      <c r="A1959">
        <v>1839</v>
      </c>
      <c r="B1959">
        <v>253032817</v>
      </c>
      <c r="C1959" t="s">
        <v>531</v>
      </c>
      <c r="D1959" s="7">
        <v>44961</v>
      </c>
      <c r="E1959" s="7">
        <v>45701</v>
      </c>
      <c r="F1959">
        <v>330862</v>
      </c>
      <c r="G1959" t="s">
        <v>983</v>
      </c>
      <c r="H1959" t="s">
        <v>9</v>
      </c>
      <c r="I1959" s="7">
        <v>45624</v>
      </c>
      <c r="J1959" s="8">
        <v>0.3472337962962963</v>
      </c>
      <c r="K1959" t="s">
        <v>984</v>
      </c>
      <c r="AQ1959" t="s">
        <v>1816</v>
      </c>
      <c r="AR1959" t="s">
        <v>1818</v>
      </c>
      <c r="AT1959" t="s">
        <v>987</v>
      </c>
      <c r="AZ1959" t="s">
        <v>1055</v>
      </c>
      <c r="BA1959" t="s">
        <v>1056</v>
      </c>
      <c r="BB1959" t="s">
        <v>1013</v>
      </c>
      <c r="BD1959" t="s">
        <v>1022</v>
      </c>
      <c r="BE1959" t="s">
        <v>531</v>
      </c>
    </row>
    <row r="1960" spans="1:57" ht="13" x14ac:dyDescent="0.15">
      <c r="A1960">
        <v>1839</v>
      </c>
      <c r="B1960">
        <v>253032817</v>
      </c>
      <c r="C1960" t="s">
        <v>531</v>
      </c>
      <c r="D1960" s="7">
        <v>44961</v>
      </c>
      <c r="E1960" s="7">
        <v>45701</v>
      </c>
      <c r="F1960">
        <v>336444</v>
      </c>
      <c r="G1960" t="s">
        <v>995</v>
      </c>
      <c r="H1960" t="s">
        <v>12</v>
      </c>
      <c r="I1960" s="7">
        <v>45699</v>
      </c>
      <c r="J1960" s="8">
        <v>0.208125</v>
      </c>
      <c r="K1960" t="s">
        <v>984</v>
      </c>
      <c r="AQ1960" t="s">
        <v>996</v>
      </c>
      <c r="BE1960" t="s">
        <v>531</v>
      </c>
    </row>
    <row r="1961" spans="1:57" ht="13" x14ac:dyDescent="0.15">
      <c r="A1961">
        <v>1839</v>
      </c>
      <c r="B1961">
        <v>253032817</v>
      </c>
      <c r="C1961" t="s">
        <v>531</v>
      </c>
      <c r="D1961" s="7">
        <v>44961</v>
      </c>
      <c r="E1961" s="7">
        <v>45701</v>
      </c>
      <c r="F1961">
        <v>336444</v>
      </c>
      <c r="G1961" t="s">
        <v>995</v>
      </c>
      <c r="H1961" t="s">
        <v>12</v>
      </c>
      <c r="I1961" s="7">
        <v>45678</v>
      </c>
      <c r="J1961" s="8">
        <v>9.0578703703703703E-2</v>
      </c>
      <c r="K1961" t="s">
        <v>984</v>
      </c>
      <c r="AQ1961" t="s">
        <v>996</v>
      </c>
      <c r="BE1961" t="s">
        <v>531</v>
      </c>
    </row>
    <row r="1962" spans="1:57" ht="13" x14ac:dyDescent="0.15">
      <c r="A1962">
        <v>1839</v>
      </c>
      <c r="B1962">
        <v>254345406</v>
      </c>
      <c r="C1962" t="s">
        <v>532</v>
      </c>
      <c r="D1962" s="7">
        <v>44968</v>
      </c>
      <c r="E1962" s="7">
        <v>45672</v>
      </c>
      <c r="F1962">
        <v>330862</v>
      </c>
      <c r="G1962" t="s">
        <v>983</v>
      </c>
      <c r="H1962" t="s">
        <v>9</v>
      </c>
      <c r="I1962" s="7">
        <v>45672</v>
      </c>
      <c r="J1962" s="8">
        <v>0.34317129629629628</v>
      </c>
      <c r="K1962" t="s">
        <v>984</v>
      </c>
      <c r="AQ1962" t="s">
        <v>992</v>
      </c>
      <c r="AR1962" t="s">
        <v>1553</v>
      </c>
      <c r="AT1962" t="s">
        <v>987</v>
      </c>
      <c r="AZ1962" t="s">
        <v>1011</v>
      </c>
      <c r="BA1962" t="s">
        <v>1202</v>
      </c>
      <c r="BB1962" t="s">
        <v>1203</v>
      </c>
      <c r="BD1962" t="s">
        <v>991</v>
      </c>
      <c r="BE1962" t="s">
        <v>532</v>
      </c>
    </row>
    <row r="1963" spans="1:57" ht="13" x14ac:dyDescent="0.15">
      <c r="A1963">
        <v>1839</v>
      </c>
      <c r="B1963">
        <v>254345406</v>
      </c>
      <c r="C1963" t="s">
        <v>532</v>
      </c>
      <c r="D1963" s="7">
        <v>44968</v>
      </c>
      <c r="E1963" s="7">
        <v>45672</v>
      </c>
      <c r="F1963">
        <v>330862</v>
      </c>
      <c r="G1963" t="s">
        <v>983</v>
      </c>
      <c r="H1963" t="s">
        <v>9</v>
      </c>
      <c r="I1963" s="7">
        <v>45672</v>
      </c>
      <c r="J1963" s="8">
        <v>0.34443287037037035</v>
      </c>
      <c r="K1963" t="s">
        <v>984</v>
      </c>
      <c r="AQ1963" t="s">
        <v>992</v>
      </c>
      <c r="AR1963" t="s">
        <v>1553</v>
      </c>
      <c r="AT1963" t="s">
        <v>987</v>
      </c>
      <c r="AZ1963" t="s">
        <v>1011</v>
      </c>
      <c r="BA1963" t="s">
        <v>1202</v>
      </c>
      <c r="BB1963" t="s">
        <v>1203</v>
      </c>
      <c r="BD1963" t="s">
        <v>991</v>
      </c>
      <c r="BE1963" t="s">
        <v>532</v>
      </c>
    </row>
    <row r="1964" spans="1:57" ht="13" x14ac:dyDescent="0.15">
      <c r="A1964">
        <v>1839</v>
      </c>
      <c r="B1964">
        <v>254475090</v>
      </c>
      <c r="C1964" t="s">
        <v>533</v>
      </c>
      <c r="D1964" s="7">
        <v>44971</v>
      </c>
      <c r="E1964" s="7">
        <v>45694</v>
      </c>
      <c r="F1964">
        <v>330862</v>
      </c>
      <c r="G1964" t="s">
        <v>983</v>
      </c>
      <c r="H1964" t="s">
        <v>9</v>
      </c>
      <c r="I1964" s="7">
        <v>45694</v>
      </c>
      <c r="J1964" s="8">
        <v>0.35737268518518517</v>
      </c>
      <c r="K1964" t="s">
        <v>984</v>
      </c>
      <c r="AQ1964" t="s">
        <v>985</v>
      </c>
      <c r="AR1964" t="s">
        <v>986</v>
      </c>
      <c r="AT1964" t="s">
        <v>987</v>
      </c>
      <c r="AZ1964" t="s">
        <v>988</v>
      </c>
      <c r="BA1964" t="s">
        <v>989</v>
      </c>
      <c r="BB1964" t="s">
        <v>990</v>
      </c>
      <c r="BD1964" t="s">
        <v>991</v>
      </c>
      <c r="BE1964" t="s">
        <v>533</v>
      </c>
    </row>
    <row r="1965" spans="1:57" ht="13" x14ac:dyDescent="0.15">
      <c r="A1965">
        <v>1839</v>
      </c>
      <c r="B1965">
        <v>254561071</v>
      </c>
      <c r="C1965" t="s">
        <v>534</v>
      </c>
      <c r="D1965" s="7">
        <v>44974</v>
      </c>
      <c r="E1965" s="7">
        <v>45682</v>
      </c>
      <c r="F1965">
        <v>330862</v>
      </c>
      <c r="G1965" t="s">
        <v>983</v>
      </c>
      <c r="H1965" t="s">
        <v>9</v>
      </c>
      <c r="I1965" s="7">
        <v>45680</v>
      </c>
      <c r="J1965" s="8">
        <v>0.74185185185185187</v>
      </c>
      <c r="K1965" t="s">
        <v>984</v>
      </c>
      <c r="AQ1965" t="s">
        <v>985</v>
      </c>
      <c r="AR1965" t="s">
        <v>1680</v>
      </c>
      <c r="AT1965" t="s">
        <v>987</v>
      </c>
      <c r="AZ1965" t="s">
        <v>1011</v>
      </c>
      <c r="BA1965" t="s">
        <v>1012</v>
      </c>
      <c r="BB1965" t="s">
        <v>1013</v>
      </c>
      <c r="BD1965" t="s">
        <v>1014</v>
      </c>
      <c r="BE1965" t="s">
        <v>534</v>
      </c>
    </row>
    <row r="1966" spans="1:57" ht="13" x14ac:dyDescent="0.15">
      <c r="A1966">
        <v>1839</v>
      </c>
      <c r="B1966">
        <v>255094705</v>
      </c>
      <c r="C1966" t="s">
        <v>535</v>
      </c>
      <c r="D1966" s="7">
        <v>44984</v>
      </c>
      <c r="E1966" s="7">
        <v>45695</v>
      </c>
      <c r="F1966">
        <v>330862</v>
      </c>
      <c r="G1966" t="s">
        <v>983</v>
      </c>
      <c r="H1966" t="s">
        <v>9</v>
      </c>
      <c r="I1966" s="7">
        <v>45689</v>
      </c>
      <c r="J1966" s="8">
        <v>0.10643518518518519</v>
      </c>
      <c r="K1966" t="s">
        <v>984</v>
      </c>
      <c r="AQ1966" t="s">
        <v>1042</v>
      </c>
      <c r="AR1966" t="s">
        <v>994</v>
      </c>
      <c r="AT1966" t="s">
        <v>987</v>
      </c>
      <c r="AZ1966" t="s">
        <v>1011</v>
      </c>
      <c r="BA1966" t="s">
        <v>1012</v>
      </c>
      <c r="BB1966" t="s">
        <v>1013</v>
      </c>
      <c r="BD1966" t="s">
        <v>1014</v>
      </c>
      <c r="BE1966" t="s">
        <v>535</v>
      </c>
    </row>
    <row r="1967" spans="1:57" ht="13" x14ac:dyDescent="0.15">
      <c r="A1967">
        <v>1839</v>
      </c>
      <c r="B1967">
        <v>255480793</v>
      </c>
      <c r="C1967" t="s">
        <v>1819</v>
      </c>
      <c r="D1967" s="7">
        <v>44994</v>
      </c>
      <c r="E1967" s="7">
        <v>45708</v>
      </c>
      <c r="F1967">
        <v>330862</v>
      </c>
      <c r="G1967" t="s">
        <v>983</v>
      </c>
      <c r="H1967" t="s">
        <v>9</v>
      </c>
      <c r="I1967" s="7">
        <v>45638</v>
      </c>
      <c r="J1967" s="8">
        <v>0.51155092592592588</v>
      </c>
      <c r="K1967" t="s">
        <v>984</v>
      </c>
      <c r="AQ1967" t="s">
        <v>1446</v>
      </c>
      <c r="AR1967" t="s">
        <v>1030</v>
      </c>
      <c r="AT1967" t="s">
        <v>987</v>
      </c>
      <c r="AZ1967" t="s">
        <v>1011</v>
      </c>
      <c r="BA1967" t="s">
        <v>1031</v>
      </c>
      <c r="BB1967" t="s">
        <v>1032</v>
      </c>
      <c r="BD1967" t="s">
        <v>1005</v>
      </c>
      <c r="BE1967" t="s">
        <v>1819</v>
      </c>
    </row>
    <row r="1968" spans="1:57" ht="13" x14ac:dyDescent="0.15">
      <c r="A1968">
        <v>1839</v>
      </c>
      <c r="B1968">
        <v>255647411</v>
      </c>
      <c r="C1968" t="s">
        <v>1820</v>
      </c>
      <c r="D1968" s="7">
        <v>44999</v>
      </c>
      <c r="E1968" s="7">
        <v>45707</v>
      </c>
      <c r="F1968">
        <v>330862</v>
      </c>
      <c r="G1968" t="s">
        <v>983</v>
      </c>
      <c r="H1968" t="s">
        <v>9</v>
      </c>
      <c r="I1968" s="7">
        <v>45495</v>
      </c>
      <c r="J1968" s="8">
        <v>0.62715277777777778</v>
      </c>
      <c r="K1968" t="s">
        <v>984</v>
      </c>
      <c r="AQ1968" t="s">
        <v>1556</v>
      </c>
      <c r="AR1968" t="s">
        <v>1821</v>
      </c>
      <c r="AT1968" t="s">
        <v>987</v>
      </c>
      <c r="BE1968" t="s">
        <v>1820</v>
      </c>
    </row>
    <row r="1969" spans="1:57" ht="13" x14ac:dyDescent="0.15">
      <c r="A1969">
        <v>1839</v>
      </c>
      <c r="B1969">
        <v>255647411</v>
      </c>
      <c r="C1969" t="s">
        <v>1820</v>
      </c>
      <c r="D1969" s="7">
        <v>44999</v>
      </c>
      <c r="E1969" s="7">
        <v>45707</v>
      </c>
      <c r="F1969">
        <v>330862</v>
      </c>
      <c r="G1969" t="s">
        <v>983</v>
      </c>
      <c r="H1969" t="s">
        <v>9</v>
      </c>
      <c r="I1969" s="7">
        <v>45496</v>
      </c>
      <c r="J1969" s="8">
        <v>0.42568287037037039</v>
      </c>
      <c r="K1969" t="s">
        <v>984</v>
      </c>
      <c r="AQ1969" t="s">
        <v>1556</v>
      </c>
      <c r="AR1969" t="s">
        <v>1100</v>
      </c>
      <c r="AT1969" t="s">
        <v>987</v>
      </c>
      <c r="BE1969" t="s">
        <v>1820</v>
      </c>
    </row>
    <row r="1970" spans="1:57" ht="13" x14ac:dyDescent="0.15">
      <c r="A1970">
        <v>1839</v>
      </c>
      <c r="B1970">
        <v>255647411</v>
      </c>
      <c r="C1970" t="s">
        <v>1820</v>
      </c>
      <c r="D1970" s="7">
        <v>44999</v>
      </c>
      <c r="E1970" s="7">
        <v>45707</v>
      </c>
      <c r="F1970">
        <v>330862</v>
      </c>
      <c r="G1970" t="s">
        <v>983</v>
      </c>
      <c r="H1970" t="s">
        <v>9</v>
      </c>
      <c r="I1970" s="7">
        <v>45496</v>
      </c>
      <c r="J1970" s="8">
        <v>0.43394675925925924</v>
      </c>
      <c r="K1970" t="s">
        <v>984</v>
      </c>
      <c r="AQ1970" t="s">
        <v>1738</v>
      </c>
      <c r="AR1970" t="s">
        <v>1100</v>
      </c>
      <c r="AT1970" t="s">
        <v>987</v>
      </c>
      <c r="BE1970" t="s">
        <v>1820</v>
      </c>
    </row>
    <row r="1971" spans="1:57" ht="13" x14ac:dyDescent="0.15">
      <c r="A1971">
        <v>1839</v>
      </c>
      <c r="B1971">
        <v>255647411</v>
      </c>
      <c r="C1971" t="s">
        <v>1820</v>
      </c>
      <c r="D1971" s="7">
        <v>44999</v>
      </c>
      <c r="E1971" s="7">
        <v>45707</v>
      </c>
      <c r="F1971">
        <v>330862</v>
      </c>
      <c r="G1971" t="s">
        <v>983</v>
      </c>
      <c r="H1971" t="s">
        <v>9</v>
      </c>
      <c r="I1971" s="7">
        <v>45496</v>
      </c>
      <c r="J1971" s="8">
        <v>0.43898148148148147</v>
      </c>
      <c r="K1971" t="s">
        <v>984</v>
      </c>
      <c r="AQ1971" t="s">
        <v>1738</v>
      </c>
      <c r="AR1971" t="s">
        <v>1100</v>
      </c>
      <c r="AT1971" t="s">
        <v>987</v>
      </c>
      <c r="BE1971" t="s">
        <v>1820</v>
      </c>
    </row>
    <row r="1972" spans="1:57" ht="13" x14ac:dyDescent="0.15">
      <c r="A1972">
        <v>1839</v>
      </c>
      <c r="B1972">
        <v>255647411</v>
      </c>
      <c r="C1972" t="s">
        <v>1820</v>
      </c>
      <c r="D1972" s="7">
        <v>44999</v>
      </c>
      <c r="E1972" s="7">
        <v>45707</v>
      </c>
      <c r="F1972">
        <v>330862</v>
      </c>
      <c r="G1972" t="s">
        <v>983</v>
      </c>
      <c r="H1972" t="s">
        <v>9</v>
      </c>
      <c r="I1972" s="7">
        <v>45497</v>
      </c>
      <c r="J1972" s="8">
        <v>0.47097222222222224</v>
      </c>
      <c r="K1972" t="s">
        <v>984</v>
      </c>
      <c r="AQ1972" t="s">
        <v>1556</v>
      </c>
      <c r="AR1972" t="s">
        <v>1100</v>
      </c>
      <c r="AT1972" t="s">
        <v>987</v>
      </c>
      <c r="BE1972" t="s">
        <v>1820</v>
      </c>
    </row>
    <row r="1973" spans="1:57" ht="13" x14ac:dyDescent="0.15">
      <c r="A1973">
        <v>1839</v>
      </c>
      <c r="B1973">
        <v>255647411</v>
      </c>
      <c r="C1973" t="s">
        <v>1820</v>
      </c>
      <c r="D1973" s="7">
        <v>44999</v>
      </c>
      <c r="E1973" s="7">
        <v>45707</v>
      </c>
      <c r="F1973">
        <v>330862</v>
      </c>
      <c r="G1973" t="s">
        <v>983</v>
      </c>
      <c r="H1973" t="s">
        <v>9</v>
      </c>
      <c r="I1973" s="7">
        <v>45497</v>
      </c>
      <c r="J1973" s="8">
        <v>0.47326388888888887</v>
      </c>
      <c r="K1973" t="s">
        <v>984</v>
      </c>
      <c r="AQ1973" t="s">
        <v>1556</v>
      </c>
      <c r="AR1973" t="s">
        <v>1100</v>
      </c>
      <c r="AT1973" t="s">
        <v>987</v>
      </c>
      <c r="BE1973" t="s">
        <v>1820</v>
      </c>
    </row>
    <row r="1974" spans="1:57" ht="13" x14ac:dyDescent="0.15">
      <c r="A1974">
        <v>1839</v>
      </c>
      <c r="B1974">
        <v>255647411</v>
      </c>
      <c r="C1974" t="s">
        <v>1820</v>
      </c>
      <c r="D1974" s="7">
        <v>44999</v>
      </c>
      <c r="E1974" s="7">
        <v>45707</v>
      </c>
      <c r="F1974">
        <v>330862</v>
      </c>
      <c r="G1974" t="s">
        <v>983</v>
      </c>
      <c r="H1974" t="s">
        <v>9</v>
      </c>
      <c r="I1974" s="7">
        <v>45497</v>
      </c>
      <c r="J1974" s="8">
        <v>0.47490740740740739</v>
      </c>
      <c r="K1974" t="s">
        <v>984</v>
      </c>
      <c r="AQ1974" t="s">
        <v>1556</v>
      </c>
      <c r="AR1974" t="s">
        <v>1100</v>
      </c>
      <c r="AT1974" t="s">
        <v>987</v>
      </c>
      <c r="BE1974" t="s">
        <v>1820</v>
      </c>
    </row>
    <row r="1975" spans="1:57" ht="13" x14ac:dyDescent="0.15">
      <c r="A1975">
        <v>1839</v>
      </c>
      <c r="B1975">
        <v>255647411</v>
      </c>
      <c r="C1975" t="s">
        <v>1820</v>
      </c>
      <c r="D1975" s="7">
        <v>44999</v>
      </c>
      <c r="E1975" s="7">
        <v>45707</v>
      </c>
      <c r="F1975">
        <v>330862</v>
      </c>
      <c r="G1975" t="s">
        <v>983</v>
      </c>
      <c r="H1975" t="s">
        <v>9</v>
      </c>
      <c r="I1975" s="7">
        <v>45497</v>
      </c>
      <c r="J1975" s="8">
        <v>0.4755671296296296</v>
      </c>
      <c r="K1975" t="s">
        <v>984</v>
      </c>
      <c r="AQ1975" t="s">
        <v>1556</v>
      </c>
      <c r="AR1975" t="s">
        <v>1100</v>
      </c>
      <c r="AT1975" t="s">
        <v>987</v>
      </c>
      <c r="BE1975" t="s">
        <v>1820</v>
      </c>
    </row>
    <row r="1976" spans="1:57" ht="13" x14ac:dyDescent="0.15">
      <c r="A1976">
        <v>1839</v>
      </c>
      <c r="B1976">
        <v>255647411</v>
      </c>
      <c r="C1976" t="s">
        <v>1820</v>
      </c>
      <c r="D1976" s="7">
        <v>44999</v>
      </c>
      <c r="E1976" s="7">
        <v>45707</v>
      </c>
      <c r="F1976">
        <v>330862</v>
      </c>
      <c r="G1976" t="s">
        <v>983</v>
      </c>
      <c r="H1976" t="s">
        <v>9</v>
      </c>
      <c r="I1976" s="7">
        <v>45497</v>
      </c>
      <c r="J1976" s="8">
        <v>0.47792824074074075</v>
      </c>
      <c r="K1976" t="s">
        <v>984</v>
      </c>
      <c r="AQ1976" t="s">
        <v>1556</v>
      </c>
      <c r="AR1976" t="s">
        <v>1100</v>
      </c>
      <c r="AT1976" t="s">
        <v>987</v>
      </c>
      <c r="BE1976" t="s">
        <v>1820</v>
      </c>
    </row>
    <row r="1977" spans="1:57" ht="13" x14ac:dyDescent="0.15">
      <c r="A1977">
        <v>1839</v>
      </c>
      <c r="B1977">
        <v>255647411</v>
      </c>
      <c r="C1977" t="s">
        <v>1820</v>
      </c>
      <c r="D1977" s="7">
        <v>44999</v>
      </c>
      <c r="E1977" s="7">
        <v>45707</v>
      </c>
      <c r="F1977">
        <v>330862</v>
      </c>
      <c r="G1977" t="s">
        <v>983</v>
      </c>
      <c r="H1977" t="s">
        <v>9</v>
      </c>
      <c r="I1977" s="7">
        <v>45497</v>
      </c>
      <c r="J1977" s="8">
        <v>0.48743055555555553</v>
      </c>
      <c r="K1977" t="s">
        <v>984</v>
      </c>
      <c r="AQ1977" t="s">
        <v>1556</v>
      </c>
      <c r="AR1977" t="s">
        <v>1100</v>
      </c>
      <c r="AT1977" t="s">
        <v>987</v>
      </c>
      <c r="BE1977" t="s">
        <v>1820</v>
      </c>
    </row>
    <row r="1978" spans="1:57" ht="13" x14ac:dyDescent="0.15">
      <c r="A1978">
        <v>1839</v>
      </c>
      <c r="B1978">
        <v>255647411</v>
      </c>
      <c r="C1978" t="s">
        <v>1820</v>
      </c>
      <c r="D1978" s="7">
        <v>44999</v>
      </c>
      <c r="E1978" s="7">
        <v>45707</v>
      </c>
      <c r="F1978">
        <v>330862</v>
      </c>
      <c r="G1978" t="s">
        <v>983</v>
      </c>
      <c r="H1978" t="s">
        <v>9</v>
      </c>
      <c r="I1978" s="7">
        <v>45497</v>
      </c>
      <c r="J1978" s="8">
        <v>0.48909722222222224</v>
      </c>
      <c r="K1978" t="s">
        <v>984</v>
      </c>
      <c r="AQ1978" t="s">
        <v>1556</v>
      </c>
      <c r="AR1978" t="s">
        <v>1100</v>
      </c>
      <c r="AT1978" t="s">
        <v>987</v>
      </c>
      <c r="BE1978" t="s">
        <v>1820</v>
      </c>
    </row>
    <row r="1979" spans="1:57" ht="13" x14ac:dyDescent="0.15">
      <c r="A1979">
        <v>1839</v>
      </c>
      <c r="B1979">
        <v>255647411</v>
      </c>
      <c r="C1979" t="s">
        <v>1820</v>
      </c>
      <c r="D1979" s="7">
        <v>44999</v>
      </c>
      <c r="E1979" s="7">
        <v>45707</v>
      </c>
      <c r="F1979">
        <v>330862</v>
      </c>
      <c r="G1979" t="s">
        <v>983</v>
      </c>
      <c r="H1979" t="s">
        <v>9</v>
      </c>
      <c r="I1979" s="7">
        <v>45497</v>
      </c>
      <c r="J1979" s="8">
        <v>0.49216435185185187</v>
      </c>
      <c r="K1979" t="s">
        <v>984</v>
      </c>
      <c r="AQ1979" t="s">
        <v>1556</v>
      </c>
      <c r="AR1979" t="s">
        <v>1822</v>
      </c>
      <c r="AT1979" t="s">
        <v>987</v>
      </c>
      <c r="BE1979" t="s">
        <v>1820</v>
      </c>
    </row>
    <row r="1980" spans="1:57" ht="13" x14ac:dyDescent="0.15">
      <c r="A1980">
        <v>1839</v>
      </c>
      <c r="B1980">
        <v>255647411</v>
      </c>
      <c r="C1980" t="s">
        <v>1820</v>
      </c>
      <c r="D1980" s="7">
        <v>44999</v>
      </c>
      <c r="E1980" s="7">
        <v>45707</v>
      </c>
      <c r="F1980">
        <v>330862</v>
      </c>
      <c r="G1980" t="s">
        <v>983</v>
      </c>
      <c r="H1980" t="s">
        <v>9</v>
      </c>
      <c r="I1980" s="7">
        <v>45497</v>
      </c>
      <c r="J1980" s="8">
        <v>0.54787037037037034</v>
      </c>
      <c r="K1980" t="s">
        <v>984</v>
      </c>
      <c r="AQ1980" t="s">
        <v>1556</v>
      </c>
      <c r="AR1980" t="s">
        <v>1822</v>
      </c>
      <c r="AT1980" t="s">
        <v>987</v>
      </c>
      <c r="BE1980" t="s">
        <v>1820</v>
      </c>
    </row>
    <row r="1981" spans="1:57" ht="13" x14ac:dyDescent="0.15">
      <c r="A1981">
        <v>1839</v>
      </c>
      <c r="B1981">
        <v>255647411</v>
      </c>
      <c r="C1981" t="s">
        <v>1820</v>
      </c>
      <c r="D1981" s="7">
        <v>44999</v>
      </c>
      <c r="E1981" s="7">
        <v>45707</v>
      </c>
      <c r="F1981">
        <v>330862</v>
      </c>
      <c r="G1981" t="s">
        <v>983</v>
      </c>
      <c r="H1981" t="s">
        <v>9</v>
      </c>
      <c r="I1981" s="7">
        <v>45497</v>
      </c>
      <c r="J1981" s="8">
        <v>0.54907407407407405</v>
      </c>
      <c r="K1981" t="s">
        <v>984</v>
      </c>
      <c r="AQ1981" t="s">
        <v>1556</v>
      </c>
      <c r="AR1981" t="s">
        <v>1822</v>
      </c>
      <c r="AT1981" t="s">
        <v>987</v>
      </c>
      <c r="BE1981" t="s">
        <v>1820</v>
      </c>
    </row>
    <row r="1982" spans="1:57" ht="13" x14ac:dyDescent="0.15">
      <c r="A1982">
        <v>1839</v>
      </c>
      <c r="B1982">
        <v>255647411</v>
      </c>
      <c r="C1982" t="s">
        <v>1820</v>
      </c>
      <c r="D1982" s="7">
        <v>44999</v>
      </c>
      <c r="E1982" s="7">
        <v>45707</v>
      </c>
      <c r="F1982">
        <v>330862</v>
      </c>
      <c r="G1982" t="s">
        <v>983</v>
      </c>
      <c r="H1982" t="s">
        <v>9</v>
      </c>
      <c r="I1982" s="7">
        <v>45567</v>
      </c>
      <c r="J1982" s="8">
        <v>0.6369097222222222</v>
      </c>
      <c r="K1982" t="s">
        <v>984</v>
      </c>
      <c r="AQ1982" t="s">
        <v>1556</v>
      </c>
      <c r="AR1982" t="s">
        <v>1823</v>
      </c>
      <c r="AT1982" t="s">
        <v>987</v>
      </c>
      <c r="BE1982" t="s">
        <v>1820</v>
      </c>
    </row>
    <row r="1983" spans="1:57" ht="13" x14ac:dyDescent="0.15">
      <c r="A1983">
        <v>1839</v>
      </c>
      <c r="B1983">
        <v>255647411</v>
      </c>
      <c r="C1983" t="s">
        <v>1820</v>
      </c>
      <c r="D1983" s="7">
        <v>44999</v>
      </c>
      <c r="E1983" s="7">
        <v>45707</v>
      </c>
      <c r="F1983">
        <v>330862</v>
      </c>
      <c r="G1983" t="s">
        <v>983</v>
      </c>
      <c r="H1983" t="s">
        <v>9</v>
      </c>
      <c r="I1983" s="7">
        <v>45495</v>
      </c>
      <c r="J1983" s="8">
        <v>0.57247685185185182</v>
      </c>
      <c r="K1983" t="s">
        <v>984</v>
      </c>
      <c r="AQ1983" t="s">
        <v>1556</v>
      </c>
      <c r="AR1983" t="s">
        <v>1824</v>
      </c>
      <c r="AT1983" t="s">
        <v>987</v>
      </c>
      <c r="BE1983" t="s">
        <v>1820</v>
      </c>
    </row>
    <row r="1984" spans="1:57" ht="13" x14ac:dyDescent="0.15">
      <c r="A1984">
        <v>1839</v>
      </c>
      <c r="B1984">
        <v>255647411</v>
      </c>
      <c r="C1984" t="s">
        <v>1820</v>
      </c>
      <c r="D1984" s="7">
        <v>44999</v>
      </c>
      <c r="E1984" s="7">
        <v>45707</v>
      </c>
      <c r="F1984">
        <v>330862</v>
      </c>
      <c r="G1984" t="s">
        <v>983</v>
      </c>
      <c r="H1984" t="s">
        <v>9</v>
      </c>
      <c r="I1984" s="7">
        <v>45615</v>
      </c>
      <c r="J1984" s="8">
        <v>0.54615740740740737</v>
      </c>
      <c r="K1984" t="s">
        <v>984</v>
      </c>
      <c r="AQ1984" t="s">
        <v>1089</v>
      </c>
      <c r="AR1984" t="s">
        <v>1825</v>
      </c>
      <c r="AT1984" t="s">
        <v>987</v>
      </c>
      <c r="BE1984" t="s">
        <v>1820</v>
      </c>
    </row>
    <row r="1985" spans="1:57" ht="13" x14ac:dyDescent="0.15">
      <c r="A1985">
        <v>1839</v>
      </c>
      <c r="B1985">
        <v>255647411</v>
      </c>
      <c r="C1985" t="s">
        <v>1820</v>
      </c>
      <c r="D1985" s="7">
        <v>44999</v>
      </c>
      <c r="E1985" s="7">
        <v>45707</v>
      </c>
      <c r="F1985">
        <v>330862</v>
      </c>
      <c r="G1985" t="s">
        <v>983</v>
      </c>
      <c r="H1985" t="s">
        <v>9</v>
      </c>
      <c r="I1985" s="7">
        <v>45495</v>
      </c>
      <c r="J1985" s="8">
        <v>0.56840277777777781</v>
      </c>
      <c r="K1985" t="s">
        <v>984</v>
      </c>
      <c r="AQ1985" t="s">
        <v>1556</v>
      </c>
      <c r="AR1985" t="s">
        <v>1826</v>
      </c>
      <c r="AT1985" t="s">
        <v>987</v>
      </c>
      <c r="BE1985" t="s">
        <v>1820</v>
      </c>
    </row>
    <row r="1986" spans="1:57" ht="13" x14ac:dyDescent="0.15">
      <c r="A1986">
        <v>1839</v>
      </c>
      <c r="B1986">
        <v>255647411</v>
      </c>
      <c r="C1986" t="s">
        <v>1820</v>
      </c>
      <c r="D1986" s="7">
        <v>44999</v>
      </c>
      <c r="E1986" s="7">
        <v>45707</v>
      </c>
      <c r="F1986">
        <v>336447</v>
      </c>
      <c r="G1986" t="s">
        <v>1074</v>
      </c>
      <c r="H1986" t="s">
        <v>26</v>
      </c>
      <c r="I1986" s="7">
        <v>45559</v>
      </c>
      <c r="J1986" s="8">
        <v>0.51133101851851848</v>
      </c>
      <c r="K1986" t="s">
        <v>984</v>
      </c>
      <c r="AQ1986" t="s">
        <v>1556</v>
      </c>
      <c r="AR1986" t="s">
        <v>1827</v>
      </c>
      <c r="BE1986" t="s">
        <v>1820</v>
      </c>
    </row>
    <row r="1987" spans="1:57" ht="13" x14ac:dyDescent="0.15">
      <c r="A1987">
        <v>1839</v>
      </c>
      <c r="B1987">
        <v>255647411</v>
      </c>
      <c r="C1987" t="s">
        <v>1820</v>
      </c>
      <c r="D1987" s="7">
        <v>44999</v>
      </c>
      <c r="E1987" s="7">
        <v>45707</v>
      </c>
      <c r="F1987">
        <v>336447</v>
      </c>
      <c r="G1987" t="s">
        <v>1074</v>
      </c>
      <c r="H1987" t="s">
        <v>26</v>
      </c>
      <c r="I1987" s="7">
        <v>45588</v>
      </c>
      <c r="J1987" s="8">
        <v>0.40747685185185184</v>
      </c>
      <c r="K1987" t="s">
        <v>984</v>
      </c>
      <c r="AQ1987" t="s">
        <v>1556</v>
      </c>
      <c r="AR1987" t="s">
        <v>1118</v>
      </c>
      <c r="BE1987" t="s">
        <v>1820</v>
      </c>
    </row>
    <row r="1988" spans="1:57" ht="13" x14ac:dyDescent="0.15">
      <c r="A1988">
        <v>1839</v>
      </c>
      <c r="B1988">
        <v>255647411</v>
      </c>
      <c r="C1988" t="s">
        <v>1820</v>
      </c>
      <c r="D1988" s="7">
        <v>44999</v>
      </c>
      <c r="E1988" s="7">
        <v>45707</v>
      </c>
      <c r="F1988">
        <v>336447</v>
      </c>
      <c r="G1988" t="s">
        <v>1074</v>
      </c>
      <c r="H1988" t="s">
        <v>26</v>
      </c>
      <c r="I1988" s="7">
        <v>45567</v>
      </c>
      <c r="J1988" s="8">
        <v>0.5662962962962963</v>
      </c>
      <c r="K1988" t="s">
        <v>984</v>
      </c>
      <c r="AQ1988" t="s">
        <v>1556</v>
      </c>
      <c r="AR1988" t="s">
        <v>1828</v>
      </c>
      <c r="BE1988" t="s">
        <v>1820</v>
      </c>
    </row>
    <row r="1989" spans="1:57" ht="13" x14ac:dyDescent="0.15">
      <c r="A1989">
        <v>1839</v>
      </c>
      <c r="B1989">
        <v>255647411</v>
      </c>
      <c r="C1989" t="s">
        <v>1820</v>
      </c>
      <c r="D1989" s="7">
        <v>44999</v>
      </c>
      <c r="E1989" s="7">
        <v>45707</v>
      </c>
      <c r="F1989">
        <v>336447</v>
      </c>
      <c r="G1989" t="s">
        <v>1074</v>
      </c>
      <c r="H1989" t="s">
        <v>26</v>
      </c>
      <c r="I1989" s="7">
        <v>45567</v>
      </c>
      <c r="J1989" s="8">
        <v>0.5619791666666667</v>
      </c>
      <c r="K1989" t="s">
        <v>984</v>
      </c>
      <c r="AQ1989" t="s">
        <v>1556</v>
      </c>
      <c r="AR1989" t="s">
        <v>1118</v>
      </c>
      <c r="BE1989" t="s">
        <v>1820</v>
      </c>
    </row>
    <row r="1990" spans="1:57" ht="13" x14ac:dyDescent="0.15">
      <c r="A1990">
        <v>1839</v>
      </c>
      <c r="B1990">
        <v>255647411</v>
      </c>
      <c r="C1990" t="s">
        <v>1820</v>
      </c>
      <c r="D1990" s="7">
        <v>44999</v>
      </c>
      <c r="E1990" s="7">
        <v>45707</v>
      </c>
      <c r="F1990">
        <v>336447</v>
      </c>
      <c r="G1990" t="s">
        <v>1074</v>
      </c>
      <c r="H1990" t="s">
        <v>26</v>
      </c>
      <c r="I1990" s="7">
        <v>45561</v>
      </c>
      <c r="J1990" s="8">
        <v>0.62765046296296301</v>
      </c>
      <c r="K1990" t="s">
        <v>984</v>
      </c>
      <c r="AQ1990" t="s">
        <v>1556</v>
      </c>
      <c r="AR1990" t="s">
        <v>1118</v>
      </c>
      <c r="BE1990" t="s">
        <v>1820</v>
      </c>
    </row>
    <row r="1991" spans="1:57" ht="13" x14ac:dyDescent="0.15">
      <c r="A1991">
        <v>1839</v>
      </c>
      <c r="B1991">
        <v>255647411</v>
      </c>
      <c r="C1991" t="s">
        <v>1820</v>
      </c>
      <c r="D1991" s="7">
        <v>44999</v>
      </c>
      <c r="E1991" s="7">
        <v>45707</v>
      </c>
      <c r="F1991">
        <v>336447</v>
      </c>
      <c r="G1991" t="s">
        <v>1074</v>
      </c>
      <c r="H1991" t="s">
        <v>26</v>
      </c>
      <c r="I1991" s="7">
        <v>45561</v>
      </c>
      <c r="J1991" s="8">
        <v>0.58177083333333335</v>
      </c>
      <c r="K1991" t="s">
        <v>984</v>
      </c>
      <c r="AQ1991" t="s">
        <v>1556</v>
      </c>
      <c r="AR1991" t="s">
        <v>1118</v>
      </c>
      <c r="BE1991" t="s">
        <v>1820</v>
      </c>
    </row>
    <row r="1992" spans="1:57" ht="13" x14ac:dyDescent="0.15">
      <c r="A1992">
        <v>1839</v>
      </c>
      <c r="B1992">
        <v>255647411</v>
      </c>
      <c r="C1992" t="s">
        <v>1820</v>
      </c>
      <c r="D1992" s="7">
        <v>44999</v>
      </c>
      <c r="E1992" s="7">
        <v>45707</v>
      </c>
      <c r="F1992">
        <v>336447</v>
      </c>
      <c r="G1992" t="s">
        <v>1074</v>
      </c>
      <c r="H1992" t="s">
        <v>26</v>
      </c>
      <c r="I1992" s="7">
        <v>45561</v>
      </c>
      <c r="J1992" s="8">
        <v>0.57909722222222226</v>
      </c>
      <c r="K1992" t="s">
        <v>984</v>
      </c>
      <c r="AQ1992" t="s">
        <v>1556</v>
      </c>
      <c r="AR1992" t="s">
        <v>1118</v>
      </c>
      <c r="BE1992" t="s">
        <v>1820</v>
      </c>
    </row>
    <row r="1993" spans="1:57" ht="13" x14ac:dyDescent="0.15">
      <c r="A1993">
        <v>1839</v>
      </c>
      <c r="B1993">
        <v>255647411</v>
      </c>
      <c r="C1993" t="s">
        <v>1820</v>
      </c>
      <c r="D1993" s="7">
        <v>44999</v>
      </c>
      <c r="E1993" s="7">
        <v>45707</v>
      </c>
      <c r="F1993">
        <v>336447</v>
      </c>
      <c r="G1993" t="s">
        <v>1074</v>
      </c>
      <c r="H1993" t="s">
        <v>26</v>
      </c>
      <c r="I1993" s="7">
        <v>45561</v>
      </c>
      <c r="J1993" s="8">
        <v>0.57158564814814816</v>
      </c>
      <c r="K1993" t="s">
        <v>984</v>
      </c>
      <c r="AQ1993" t="s">
        <v>1556</v>
      </c>
      <c r="AR1993" t="s">
        <v>1118</v>
      </c>
      <c r="BE1993" t="s">
        <v>1820</v>
      </c>
    </row>
    <row r="1994" spans="1:57" ht="13" x14ac:dyDescent="0.15">
      <c r="A1994">
        <v>1839</v>
      </c>
      <c r="B1994">
        <v>255647411</v>
      </c>
      <c r="C1994" t="s">
        <v>1820</v>
      </c>
      <c r="D1994" s="7">
        <v>44999</v>
      </c>
      <c r="E1994" s="7">
        <v>45707</v>
      </c>
      <c r="F1994">
        <v>336447</v>
      </c>
      <c r="G1994" t="s">
        <v>1074</v>
      </c>
      <c r="H1994" t="s">
        <v>26</v>
      </c>
      <c r="I1994" s="7">
        <v>45561</v>
      </c>
      <c r="J1994" s="8">
        <v>0.56890046296296293</v>
      </c>
      <c r="K1994" t="s">
        <v>984</v>
      </c>
      <c r="AQ1994" t="s">
        <v>1556</v>
      </c>
      <c r="AR1994" t="s">
        <v>1118</v>
      </c>
      <c r="BE1994" t="s">
        <v>1820</v>
      </c>
    </row>
    <row r="1995" spans="1:57" ht="13" x14ac:dyDescent="0.15">
      <c r="A1995">
        <v>1839</v>
      </c>
      <c r="B1995">
        <v>255647411</v>
      </c>
      <c r="C1995" t="s">
        <v>1820</v>
      </c>
      <c r="D1995" s="7">
        <v>44999</v>
      </c>
      <c r="E1995" s="7">
        <v>45707</v>
      </c>
      <c r="F1995">
        <v>336447</v>
      </c>
      <c r="G1995" t="s">
        <v>1074</v>
      </c>
      <c r="H1995" t="s">
        <v>26</v>
      </c>
      <c r="I1995" s="7">
        <v>45561</v>
      </c>
      <c r="J1995" s="8">
        <v>0.56708333333333338</v>
      </c>
      <c r="K1995" t="s">
        <v>984</v>
      </c>
      <c r="AQ1995" t="s">
        <v>1556</v>
      </c>
      <c r="AR1995" t="s">
        <v>1754</v>
      </c>
      <c r="BE1995" t="s">
        <v>1820</v>
      </c>
    </row>
    <row r="1996" spans="1:57" ht="13" x14ac:dyDescent="0.15">
      <c r="A1996">
        <v>1839</v>
      </c>
      <c r="B1996">
        <v>255647411</v>
      </c>
      <c r="C1996" t="s">
        <v>1820</v>
      </c>
      <c r="D1996" s="7">
        <v>44999</v>
      </c>
      <c r="E1996" s="7">
        <v>45707</v>
      </c>
      <c r="F1996">
        <v>336447</v>
      </c>
      <c r="G1996" t="s">
        <v>1074</v>
      </c>
      <c r="H1996" t="s">
        <v>26</v>
      </c>
      <c r="I1996" s="7">
        <v>45561</v>
      </c>
      <c r="J1996" s="8">
        <v>0.56171296296296291</v>
      </c>
      <c r="K1996" t="s">
        <v>984</v>
      </c>
      <c r="AQ1996" t="s">
        <v>1556</v>
      </c>
      <c r="AR1996" t="s">
        <v>1118</v>
      </c>
      <c r="BE1996" t="s">
        <v>1820</v>
      </c>
    </row>
    <row r="1997" spans="1:57" ht="13" x14ac:dyDescent="0.15">
      <c r="A1997">
        <v>1839</v>
      </c>
      <c r="B1997">
        <v>255647411</v>
      </c>
      <c r="C1997" t="s">
        <v>1820</v>
      </c>
      <c r="D1997" s="7">
        <v>44999</v>
      </c>
      <c r="E1997" s="7">
        <v>45707</v>
      </c>
      <c r="F1997">
        <v>336447</v>
      </c>
      <c r="G1997" t="s">
        <v>1074</v>
      </c>
      <c r="H1997" t="s">
        <v>26</v>
      </c>
      <c r="I1997" s="7">
        <v>45561</v>
      </c>
      <c r="J1997" s="8">
        <v>0.55829861111111112</v>
      </c>
      <c r="K1997" t="s">
        <v>984</v>
      </c>
      <c r="AQ1997" t="s">
        <v>1556</v>
      </c>
      <c r="AR1997" t="s">
        <v>1118</v>
      </c>
      <c r="BE1997" t="s">
        <v>1820</v>
      </c>
    </row>
    <row r="1998" spans="1:57" ht="13" x14ac:dyDescent="0.15">
      <c r="A1998">
        <v>1839</v>
      </c>
      <c r="B1998">
        <v>255647411</v>
      </c>
      <c r="C1998" t="s">
        <v>1820</v>
      </c>
      <c r="D1998" s="7">
        <v>44999</v>
      </c>
      <c r="E1998" s="7">
        <v>45707</v>
      </c>
      <c r="F1998">
        <v>336447</v>
      </c>
      <c r="G1998" t="s">
        <v>1074</v>
      </c>
      <c r="H1998" t="s">
        <v>26</v>
      </c>
      <c r="I1998" s="7">
        <v>45561</v>
      </c>
      <c r="J1998" s="8">
        <v>0.55709490740740741</v>
      </c>
      <c r="K1998" t="s">
        <v>984</v>
      </c>
      <c r="AQ1998" t="s">
        <v>1556</v>
      </c>
      <c r="AR1998" t="s">
        <v>1118</v>
      </c>
      <c r="BE1998" t="s">
        <v>1820</v>
      </c>
    </row>
    <row r="1999" spans="1:57" ht="13" x14ac:dyDescent="0.15">
      <c r="A1999">
        <v>1839</v>
      </c>
      <c r="B1999">
        <v>255647411</v>
      </c>
      <c r="C1999" t="s">
        <v>1820</v>
      </c>
      <c r="D1999" s="7">
        <v>44999</v>
      </c>
      <c r="E1999" s="7">
        <v>45707</v>
      </c>
      <c r="F1999">
        <v>336447</v>
      </c>
      <c r="G1999" t="s">
        <v>1074</v>
      </c>
      <c r="H1999" t="s">
        <v>26</v>
      </c>
      <c r="I1999" s="7">
        <v>45561</v>
      </c>
      <c r="J1999" s="8">
        <v>0.55600694444444443</v>
      </c>
      <c r="K1999" t="s">
        <v>984</v>
      </c>
      <c r="AQ1999" t="s">
        <v>1556</v>
      </c>
      <c r="AR1999" t="s">
        <v>1118</v>
      </c>
      <c r="BE1999" t="s">
        <v>1820</v>
      </c>
    </row>
    <row r="2000" spans="1:57" ht="13" x14ac:dyDescent="0.15">
      <c r="A2000">
        <v>1839</v>
      </c>
      <c r="B2000">
        <v>255647411</v>
      </c>
      <c r="C2000" t="s">
        <v>1820</v>
      </c>
      <c r="D2000" s="7">
        <v>44999</v>
      </c>
      <c r="E2000" s="7">
        <v>45707</v>
      </c>
      <c r="F2000">
        <v>336447</v>
      </c>
      <c r="G2000" t="s">
        <v>1074</v>
      </c>
      <c r="H2000" t="s">
        <v>26</v>
      </c>
      <c r="I2000" s="7">
        <v>45561</v>
      </c>
      <c r="J2000" s="8">
        <v>0.54609953703703706</v>
      </c>
      <c r="K2000" t="s">
        <v>984</v>
      </c>
      <c r="AQ2000" t="s">
        <v>1556</v>
      </c>
      <c r="AR2000" t="s">
        <v>1118</v>
      </c>
      <c r="BE2000" t="s">
        <v>1820</v>
      </c>
    </row>
    <row r="2001" spans="1:57" ht="13" x14ac:dyDescent="0.15">
      <c r="A2001">
        <v>1839</v>
      </c>
      <c r="B2001">
        <v>255647411</v>
      </c>
      <c r="C2001" t="s">
        <v>1820</v>
      </c>
      <c r="D2001" s="7">
        <v>44999</v>
      </c>
      <c r="E2001" s="7">
        <v>45707</v>
      </c>
      <c r="F2001">
        <v>336447</v>
      </c>
      <c r="G2001" t="s">
        <v>1074</v>
      </c>
      <c r="H2001" t="s">
        <v>26</v>
      </c>
      <c r="I2001" s="7">
        <v>45561</v>
      </c>
      <c r="J2001" s="8">
        <v>0.54208333333333336</v>
      </c>
      <c r="K2001" t="s">
        <v>984</v>
      </c>
      <c r="AQ2001" t="s">
        <v>1556</v>
      </c>
      <c r="AR2001" t="s">
        <v>1118</v>
      </c>
      <c r="BE2001" t="s">
        <v>1820</v>
      </c>
    </row>
    <row r="2002" spans="1:57" ht="13" x14ac:dyDescent="0.15">
      <c r="A2002">
        <v>1839</v>
      </c>
      <c r="B2002">
        <v>255647411</v>
      </c>
      <c r="C2002" t="s">
        <v>1820</v>
      </c>
      <c r="D2002" s="7">
        <v>44999</v>
      </c>
      <c r="E2002" s="7">
        <v>45707</v>
      </c>
      <c r="F2002">
        <v>336447</v>
      </c>
      <c r="G2002" t="s">
        <v>1074</v>
      </c>
      <c r="H2002" t="s">
        <v>26</v>
      </c>
      <c r="I2002" s="7">
        <v>45559</v>
      </c>
      <c r="J2002" s="8">
        <v>0.64171296296296299</v>
      </c>
      <c r="K2002" t="s">
        <v>984</v>
      </c>
      <c r="AQ2002" t="s">
        <v>1556</v>
      </c>
      <c r="AR2002" t="s">
        <v>1118</v>
      </c>
      <c r="BE2002" t="s">
        <v>1820</v>
      </c>
    </row>
    <row r="2003" spans="1:57" ht="13" x14ac:dyDescent="0.15">
      <c r="A2003">
        <v>1839</v>
      </c>
      <c r="B2003">
        <v>255647411</v>
      </c>
      <c r="C2003" t="s">
        <v>1820</v>
      </c>
      <c r="D2003" s="7">
        <v>44999</v>
      </c>
      <c r="E2003" s="7">
        <v>45707</v>
      </c>
      <c r="F2003">
        <v>336447</v>
      </c>
      <c r="G2003" t="s">
        <v>1074</v>
      </c>
      <c r="H2003" t="s">
        <v>26</v>
      </c>
      <c r="I2003" s="7">
        <v>45559</v>
      </c>
      <c r="J2003" s="8">
        <v>0.6519907407407407</v>
      </c>
      <c r="K2003" t="s">
        <v>984</v>
      </c>
      <c r="AQ2003" t="s">
        <v>1556</v>
      </c>
      <c r="AR2003" t="s">
        <v>1118</v>
      </c>
      <c r="BE2003" t="s">
        <v>1820</v>
      </c>
    </row>
    <row r="2004" spans="1:57" ht="13" x14ac:dyDescent="0.15">
      <c r="A2004">
        <v>1839</v>
      </c>
      <c r="B2004">
        <v>255647411</v>
      </c>
      <c r="C2004" t="s">
        <v>1820</v>
      </c>
      <c r="D2004" s="7">
        <v>44999</v>
      </c>
      <c r="E2004" s="7">
        <v>45707</v>
      </c>
      <c r="F2004">
        <v>336447</v>
      </c>
      <c r="G2004" t="s">
        <v>1074</v>
      </c>
      <c r="H2004" t="s">
        <v>26</v>
      </c>
      <c r="I2004" s="7">
        <v>45559</v>
      </c>
      <c r="J2004" s="8">
        <v>0.65304398148148146</v>
      </c>
      <c r="K2004" t="s">
        <v>984</v>
      </c>
      <c r="AQ2004" t="s">
        <v>1556</v>
      </c>
      <c r="AR2004" t="s">
        <v>1118</v>
      </c>
      <c r="BE2004" t="s">
        <v>1820</v>
      </c>
    </row>
    <row r="2005" spans="1:57" ht="13" x14ac:dyDescent="0.15">
      <c r="A2005">
        <v>1839</v>
      </c>
      <c r="B2005">
        <v>255647411</v>
      </c>
      <c r="C2005" t="s">
        <v>1820</v>
      </c>
      <c r="D2005" s="7">
        <v>44999</v>
      </c>
      <c r="E2005" s="7">
        <v>45707</v>
      </c>
      <c r="F2005">
        <v>336447</v>
      </c>
      <c r="G2005" t="s">
        <v>1074</v>
      </c>
      <c r="H2005" t="s">
        <v>26</v>
      </c>
      <c r="I2005" s="7">
        <v>45559</v>
      </c>
      <c r="J2005" s="8">
        <v>0.65451388888888884</v>
      </c>
      <c r="K2005" t="s">
        <v>984</v>
      </c>
      <c r="AQ2005" t="s">
        <v>1556</v>
      </c>
      <c r="AR2005" t="s">
        <v>1118</v>
      </c>
      <c r="BE2005" t="s">
        <v>1820</v>
      </c>
    </row>
    <row r="2006" spans="1:57" ht="13" x14ac:dyDescent="0.15">
      <c r="A2006">
        <v>1839</v>
      </c>
      <c r="B2006">
        <v>255647411</v>
      </c>
      <c r="C2006" t="s">
        <v>1820</v>
      </c>
      <c r="D2006" s="7">
        <v>44999</v>
      </c>
      <c r="E2006" s="7">
        <v>45707</v>
      </c>
      <c r="F2006">
        <v>336447</v>
      </c>
      <c r="G2006" t="s">
        <v>1074</v>
      </c>
      <c r="H2006" t="s">
        <v>26</v>
      </c>
      <c r="I2006" s="7">
        <v>45559</v>
      </c>
      <c r="J2006" s="8">
        <v>0.65520833333333328</v>
      </c>
      <c r="K2006" t="s">
        <v>984</v>
      </c>
      <c r="AQ2006" t="s">
        <v>1556</v>
      </c>
      <c r="AR2006" t="s">
        <v>1118</v>
      </c>
      <c r="BE2006" t="s">
        <v>1820</v>
      </c>
    </row>
    <row r="2007" spans="1:57" ht="13" x14ac:dyDescent="0.15">
      <c r="A2007">
        <v>1839</v>
      </c>
      <c r="B2007">
        <v>255647411</v>
      </c>
      <c r="C2007" t="s">
        <v>1820</v>
      </c>
      <c r="D2007" s="7">
        <v>44999</v>
      </c>
      <c r="E2007" s="7">
        <v>45707</v>
      </c>
      <c r="F2007">
        <v>336447</v>
      </c>
      <c r="G2007" t="s">
        <v>1074</v>
      </c>
      <c r="H2007" t="s">
        <v>26</v>
      </c>
      <c r="I2007" s="7">
        <v>45559</v>
      </c>
      <c r="J2007" s="8">
        <v>0.6559490740740741</v>
      </c>
      <c r="K2007" t="s">
        <v>984</v>
      </c>
      <c r="AQ2007" t="s">
        <v>1556</v>
      </c>
      <c r="AR2007" t="s">
        <v>1118</v>
      </c>
      <c r="BE2007" t="s">
        <v>1820</v>
      </c>
    </row>
    <row r="2008" spans="1:57" ht="13" x14ac:dyDescent="0.15">
      <c r="A2008">
        <v>1839</v>
      </c>
      <c r="B2008">
        <v>255647411</v>
      </c>
      <c r="C2008" t="s">
        <v>1820</v>
      </c>
      <c r="D2008" s="7">
        <v>44999</v>
      </c>
      <c r="E2008" s="7">
        <v>45707</v>
      </c>
      <c r="F2008">
        <v>336453</v>
      </c>
      <c r="G2008" t="s">
        <v>1074</v>
      </c>
      <c r="H2008" t="s">
        <v>27</v>
      </c>
      <c r="I2008" s="7">
        <v>45561</v>
      </c>
      <c r="J2008" s="8">
        <v>0.57164351851851847</v>
      </c>
      <c r="K2008" t="s">
        <v>984</v>
      </c>
      <c r="AQ2008" t="s">
        <v>1556</v>
      </c>
      <c r="AR2008" t="s">
        <v>1076</v>
      </c>
      <c r="BE2008" t="s">
        <v>1820</v>
      </c>
    </row>
    <row r="2009" spans="1:57" ht="13" x14ac:dyDescent="0.15">
      <c r="A2009">
        <v>1839</v>
      </c>
      <c r="B2009">
        <v>255647411</v>
      </c>
      <c r="C2009" t="s">
        <v>1820</v>
      </c>
      <c r="D2009" s="7">
        <v>44999</v>
      </c>
      <c r="E2009" s="7">
        <v>45707</v>
      </c>
      <c r="F2009">
        <v>336453</v>
      </c>
      <c r="G2009" t="s">
        <v>1074</v>
      </c>
      <c r="H2009" t="s">
        <v>27</v>
      </c>
      <c r="I2009" s="7">
        <v>45567</v>
      </c>
      <c r="J2009" s="8">
        <v>0.56373842592592593</v>
      </c>
      <c r="K2009" t="s">
        <v>984</v>
      </c>
      <c r="AQ2009" t="s">
        <v>1556</v>
      </c>
      <c r="AR2009" t="s">
        <v>1076</v>
      </c>
      <c r="BE2009" t="s">
        <v>1820</v>
      </c>
    </row>
    <row r="2010" spans="1:57" ht="13" x14ac:dyDescent="0.15">
      <c r="A2010">
        <v>1839</v>
      </c>
      <c r="B2010">
        <v>255647411</v>
      </c>
      <c r="C2010" t="s">
        <v>1820</v>
      </c>
      <c r="D2010" s="7">
        <v>44999</v>
      </c>
      <c r="E2010" s="7">
        <v>45707</v>
      </c>
      <c r="F2010">
        <v>336453</v>
      </c>
      <c r="G2010" t="s">
        <v>1074</v>
      </c>
      <c r="H2010" t="s">
        <v>27</v>
      </c>
      <c r="I2010" s="7">
        <v>45561</v>
      </c>
      <c r="J2010" s="8">
        <v>0.55834490740740739</v>
      </c>
      <c r="K2010" t="s">
        <v>984</v>
      </c>
      <c r="AQ2010" t="s">
        <v>1556</v>
      </c>
      <c r="AR2010" t="s">
        <v>1076</v>
      </c>
      <c r="BE2010" t="s">
        <v>1820</v>
      </c>
    </row>
    <row r="2011" spans="1:57" ht="13" x14ac:dyDescent="0.15">
      <c r="A2011">
        <v>1839</v>
      </c>
      <c r="B2011">
        <v>255647411</v>
      </c>
      <c r="C2011" t="s">
        <v>1820</v>
      </c>
      <c r="D2011" s="7">
        <v>44999</v>
      </c>
      <c r="E2011" s="7">
        <v>45707</v>
      </c>
      <c r="F2011">
        <v>336453</v>
      </c>
      <c r="G2011" t="s">
        <v>1074</v>
      </c>
      <c r="H2011" t="s">
        <v>27</v>
      </c>
      <c r="I2011" s="7">
        <v>45561</v>
      </c>
      <c r="J2011" s="8">
        <v>0.55763888888888891</v>
      </c>
      <c r="K2011" t="s">
        <v>984</v>
      </c>
      <c r="AQ2011" t="s">
        <v>1556</v>
      </c>
      <c r="AR2011" t="s">
        <v>1076</v>
      </c>
      <c r="BE2011" t="s">
        <v>1820</v>
      </c>
    </row>
    <row r="2012" spans="1:57" ht="13" x14ac:dyDescent="0.15">
      <c r="A2012">
        <v>1839</v>
      </c>
      <c r="B2012">
        <v>255647411</v>
      </c>
      <c r="C2012" t="s">
        <v>1820</v>
      </c>
      <c r="D2012" s="7">
        <v>44999</v>
      </c>
      <c r="E2012" s="7">
        <v>45707</v>
      </c>
      <c r="F2012">
        <v>336453</v>
      </c>
      <c r="G2012" t="s">
        <v>1074</v>
      </c>
      <c r="H2012" t="s">
        <v>27</v>
      </c>
      <c r="I2012" s="7">
        <v>45559</v>
      </c>
      <c r="J2012" s="8">
        <v>0.65600694444444441</v>
      </c>
      <c r="K2012" t="s">
        <v>984</v>
      </c>
      <c r="AQ2012" t="s">
        <v>1556</v>
      </c>
      <c r="AR2012" t="s">
        <v>1076</v>
      </c>
      <c r="BE2012" t="s">
        <v>1820</v>
      </c>
    </row>
    <row r="2013" spans="1:57" ht="13" x14ac:dyDescent="0.15">
      <c r="A2013">
        <v>1839</v>
      </c>
      <c r="B2013">
        <v>255647411</v>
      </c>
      <c r="C2013" t="s">
        <v>1820</v>
      </c>
      <c r="D2013" s="7">
        <v>44999</v>
      </c>
      <c r="E2013" s="7">
        <v>45707</v>
      </c>
      <c r="F2013">
        <v>336453</v>
      </c>
      <c r="G2013" t="s">
        <v>1074</v>
      </c>
      <c r="H2013" t="s">
        <v>27</v>
      </c>
      <c r="I2013" s="7">
        <v>45559</v>
      </c>
      <c r="J2013" s="8">
        <v>0.64178240740740744</v>
      </c>
      <c r="K2013" t="s">
        <v>984</v>
      </c>
      <c r="AQ2013" t="s">
        <v>1556</v>
      </c>
      <c r="AR2013" t="s">
        <v>1076</v>
      </c>
      <c r="BE2013" t="s">
        <v>1820</v>
      </c>
    </row>
    <row r="2014" spans="1:57" ht="13" x14ac:dyDescent="0.15">
      <c r="A2014">
        <v>1839</v>
      </c>
      <c r="B2014">
        <v>255647411</v>
      </c>
      <c r="C2014" t="s">
        <v>1820</v>
      </c>
      <c r="D2014" s="7">
        <v>44999</v>
      </c>
      <c r="E2014" s="7">
        <v>45707</v>
      </c>
      <c r="F2014">
        <v>336453</v>
      </c>
      <c r="G2014" t="s">
        <v>1074</v>
      </c>
      <c r="H2014" t="s">
        <v>27</v>
      </c>
      <c r="I2014" s="7">
        <v>45559</v>
      </c>
      <c r="J2014" s="8">
        <v>0.51151620370370365</v>
      </c>
      <c r="K2014" t="s">
        <v>984</v>
      </c>
      <c r="AQ2014" t="s">
        <v>1556</v>
      </c>
      <c r="AR2014" t="s">
        <v>1076</v>
      </c>
      <c r="BE2014" t="s">
        <v>1820</v>
      </c>
    </row>
    <row r="2015" spans="1:57" ht="13" x14ac:dyDescent="0.15">
      <c r="A2015">
        <v>1839</v>
      </c>
      <c r="B2015">
        <v>255647411</v>
      </c>
      <c r="C2015" t="s">
        <v>1820</v>
      </c>
      <c r="D2015" s="7">
        <v>44999</v>
      </c>
      <c r="E2015" s="7">
        <v>45707</v>
      </c>
      <c r="F2015">
        <v>336453</v>
      </c>
      <c r="G2015" t="s">
        <v>1074</v>
      </c>
      <c r="H2015" t="s">
        <v>27</v>
      </c>
      <c r="I2015" s="7">
        <v>45561</v>
      </c>
      <c r="J2015" s="8">
        <v>0.58181712962962961</v>
      </c>
      <c r="K2015" t="s">
        <v>984</v>
      </c>
      <c r="AQ2015" t="s">
        <v>1556</v>
      </c>
      <c r="AR2015" t="s">
        <v>1076</v>
      </c>
      <c r="BE2015" t="s">
        <v>1820</v>
      </c>
    </row>
    <row r="2016" spans="1:57" ht="13" x14ac:dyDescent="0.15">
      <c r="A2016">
        <v>1839</v>
      </c>
      <c r="B2016">
        <v>255647411</v>
      </c>
      <c r="C2016" t="s">
        <v>1820</v>
      </c>
      <c r="D2016" s="7">
        <v>44999</v>
      </c>
      <c r="E2016" s="7">
        <v>45707</v>
      </c>
      <c r="F2016">
        <v>336453</v>
      </c>
      <c r="G2016" t="s">
        <v>1074</v>
      </c>
      <c r="H2016" t="s">
        <v>27</v>
      </c>
      <c r="I2016" s="7">
        <v>45561</v>
      </c>
      <c r="J2016" s="8">
        <v>0.56182870370370375</v>
      </c>
      <c r="K2016" t="s">
        <v>984</v>
      </c>
      <c r="AQ2016" t="s">
        <v>1556</v>
      </c>
      <c r="AR2016" t="s">
        <v>1076</v>
      </c>
      <c r="BE2016" t="s">
        <v>1820</v>
      </c>
    </row>
    <row r="2017" spans="1:57" ht="13" x14ac:dyDescent="0.15">
      <c r="A2017">
        <v>1839</v>
      </c>
      <c r="B2017">
        <v>255647411</v>
      </c>
      <c r="C2017" t="s">
        <v>1820</v>
      </c>
      <c r="D2017" s="7">
        <v>44999</v>
      </c>
      <c r="E2017" s="7">
        <v>45707</v>
      </c>
      <c r="F2017">
        <v>336453</v>
      </c>
      <c r="G2017" t="s">
        <v>1074</v>
      </c>
      <c r="H2017" t="s">
        <v>27</v>
      </c>
      <c r="I2017" s="7">
        <v>45567</v>
      </c>
      <c r="J2017" s="8">
        <v>0.56633101851851853</v>
      </c>
      <c r="K2017" t="s">
        <v>984</v>
      </c>
      <c r="AQ2017" t="s">
        <v>1556</v>
      </c>
      <c r="AR2017" t="s">
        <v>1076</v>
      </c>
      <c r="BE2017" t="s">
        <v>1820</v>
      </c>
    </row>
    <row r="2018" spans="1:57" ht="13" x14ac:dyDescent="0.15">
      <c r="A2018">
        <v>1839</v>
      </c>
      <c r="B2018">
        <v>255647411</v>
      </c>
      <c r="C2018" t="s">
        <v>1820</v>
      </c>
      <c r="D2018" s="7">
        <v>44999</v>
      </c>
      <c r="E2018" s="7">
        <v>45707</v>
      </c>
      <c r="F2018">
        <v>336453</v>
      </c>
      <c r="G2018" t="s">
        <v>1074</v>
      </c>
      <c r="H2018" t="s">
        <v>27</v>
      </c>
      <c r="I2018" s="7">
        <v>45588</v>
      </c>
      <c r="J2018" s="8">
        <v>0.4075347222222222</v>
      </c>
      <c r="K2018" t="s">
        <v>984</v>
      </c>
      <c r="AQ2018" t="s">
        <v>1556</v>
      </c>
      <c r="AR2018" t="s">
        <v>1076</v>
      </c>
      <c r="BE2018" t="s">
        <v>1820</v>
      </c>
    </row>
    <row r="2019" spans="1:57" ht="13" x14ac:dyDescent="0.15">
      <c r="A2019">
        <v>1839</v>
      </c>
      <c r="B2019">
        <v>255647411</v>
      </c>
      <c r="C2019" t="s">
        <v>1820</v>
      </c>
      <c r="D2019" s="7">
        <v>44999</v>
      </c>
      <c r="E2019" s="7">
        <v>45707</v>
      </c>
      <c r="F2019">
        <v>336709</v>
      </c>
      <c r="G2019" t="s">
        <v>1074</v>
      </c>
      <c r="H2019" t="s">
        <v>28</v>
      </c>
      <c r="I2019" s="7">
        <v>45561</v>
      </c>
      <c r="J2019" s="8">
        <v>0.56192129629629628</v>
      </c>
      <c r="K2019" t="s">
        <v>984</v>
      </c>
      <c r="AQ2019" t="s">
        <v>1556</v>
      </c>
      <c r="AR2019" t="s">
        <v>1077</v>
      </c>
      <c r="BE2019" t="s">
        <v>1820</v>
      </c>
    </row>
    <row r="2020" spans="1:57" ht="13" x14ac:dyDescent="0.15">
      <c r="A2020">
        <v>1839</v>
      </c>
      <c r="B2020">
        <v>255647411</v>
      </c>
      <c r="C2020" t="s">
        <v>1820</v>
      </c>
      <c r="D2020" s="7">
        <v>44999</v>
      </c>
      <c r="E2020" s="7">
        <v>45707</v>
      </c>
      <c r="F2020">
        <v>336709</v>
      </c>
      <c r="G2020" t="s">
        <v>1074</v>
      </c>
      <c r="H2020" t="s">
        <v>28</v>
      </c>
      <c r="I2020" s="7">
        <v>45561</v>
      </c>
      <c r="J2020" s="8">
        <v>0.55843750000000003</v>
      </c>
      <c r="K2020" t="s">
        <v>984</v>
      </c>
      <c r="AQ2020" t="s">
        <v>1556</v>
      </c>
      <c r="AR2020" t="s">
        <v>1077</v>
      </c>
      <c r="BE2020" t="s">
        <v>1820</v>
      </c>
    </row>
    <row r="2021" spans="1:57" ht="13" x14ac:dyDescent="0.15">
      <c r="A2021">
        <v>1839</v>
      </c>
      <c r="B2021">
        <v>255647411</v>
      </c>
      <c r="C2021" t="s">
        <v>1820</v>
      </c>
      <c r="D2021" s="7">
        <v>44999</v>
      </c>
      <c r="E2021" s="7">
        <v>45707</v>
      </c>
      <c r="F2021">
        <v>336709</v>
      </c>
      <c r="G2021" t="s">
        <v>1074</v>
      </c>
      <c r="H2021" t="s">
        <v>28</v>
      </c>
      <c r="I2021" s="7">
        <v>45561</v>
      </c>
      <c r="J2021" s="8">
        <v>0.57173611111111111</v>
      </c>
      <c r="K2021" t="s">
        <v>984</v>
      </c>
      <c r="AQ2021" t="s">
        <v>1556</v>
      </c>
      <c r="AR2021" t="s">
        <v>1077</v>
      </c>
      <c r="BE2021" t="s">
        <v>1820</v>
      </c>
    </row>
    <row r="2022" spans="1:57" ht="13" x14ac:dyDescent="0.15">
      <c r="A2022">
        <v>1839</v>
      </c>
      <c r="B2022">
        <v>255647411</v>
      </c>
      <c r="C2022" t="s">
        <v>1820</v>
      </c>
      <c r="D2022" s="7">
        <v>44999</v>
      </c>
      <c r="E2022" s="7">
        <v>45707</v>
      </c>
      <c r="F2022">
        <v>336709</v>
      </c>
      <c r="G2022" t="s">
        <v>1074</v>
      </c>
      <c r="H2022" t="s">
        <v>28</v>
      </c>
      <c r="I2022" s="7">
        <v>45561</v>
      </c>
      <c r="J2022" s="8">
        <v>0.5818402777777778</v>
      </c>
      <c r="K2022" t="s">
        <v>984</v>
      </c>
      <c r="AQ2022" t="s">
        <v>1556</v>
      </c>
      <c r="AR2022" t="s">
        <v>1077</v>
      </c>
      <c r="BE2022" t="s">
        <v>1820</v>
      </c>
    </row>
    <row r="2023" spans="1:57" ht="13" x14ac:dyDescent="0.15">
      <c r="A2023">
        <v>1839</v>
      </c>
      <c r="B2023">
        <v>255647411</v>
      </c>
      <c r="C2023" t="s">
        <v>1820</v>
      </c>
      <c r="D2023" s="7">
        <v>44999</v>
      </c>
      <c r="E2023" s="7">
        <v>45707</v>
      </c>
      <c r="F2023">
        <v>336709</v>
      </c>
      <c r="G2023" t="s">
        <v>1074</v>
      </c>
      <c r="H2023" t="s">
        <v>28</v>
      </c>
      <c r="I2023" s="7">
        <v>45588</v>
      </c>
      <c r="J2023" s="8">
        <v>0.40756944444444443</v>
      </c>
      <c r="K2023" t="s">
        <v>984</v>
      </c>
      <c r="AQ2023" t="s">
        <v>1556</v>
      </c>
      <c r="AR2023" t="s">
        <v>1077</v>
      </c>
      <c r="BE2023" t="s">
        <v>1820</v>
      </c>
    </row>
    <row r="2024" spans="1:57" ht="13" x14ac:dyDescent="0.15">
      <c r="A2024">
        <v>1839</v>
      </c>
      <c r="B2024">
        <v>257952563</v>
      </c>
      <c r="C2024" t="s">
        <v>536</v>
      </c>
      <c r="D2024" s="7">
        <v>45013</v>
      </c>
      <c r="E2024" s="7">
        <v>45701</v>
      </c>
      <c r="F2024">
        <v>330862</v>
      </c>
      <c r="G2024" t="s">
        <v>983</v>
      </c>
      <c r="H2024" t="s">
        <v>9</v>
      </c>
      <c r="I2024" s="7">
        <v>45616</v>
      </c>
      <c r="J2024" s="8">
        <v>0.60333333333333339</v>
      </c>
      <c r="K2024" t="s">
        <v>984</v>
      </c>
      <c r="AQ2024" t="s">
        <v>1090</v>
      </c>
      <c r="AR2024" t="s">
        <v>1287</v>
      </c>
      <c r="AT2024" t="s">
        <v>987</v>
      </c>
      <c r="AZ2024" t="s">
        <v>1011</v>
      </c>
      <c r="BA2024" t="s">
        <v>1103</v>
      </c>
      <c r="BB2024" t="s">
        <v>1032</v>
      </c>
      <c r="BD2024" t="s">
        <v>1005</v>
      </c>
      <c r="BE2024" t="s">
        <v>536</v>
      </c>
    </row>
    <row r="2025" spans="1:57" ht="13" x14ac:dyDescent="0.15">
      <c r="A2025">
        <v>1839</v>
      </c>
      <c r="B2025">
        <v>257952563</v>
      </c>
      <c r="C2025" t="s">
        <v>536</v>
      </c>
      <c r="D2025" s="7">
        <v>45013</v>
      </c>
      <c r="E2025" s="7">
        <v>45701</v>
      </c>
      <c r="F2025">
        <v>330862</v>
      </c>
      <c r="G2025" t="s">
        <v>983</v>
      </c>
      <c r="H2025" t="s">
        <v>9</v>
      </c>
      <c r="I2025" s="7">
        <v>45638</v>
      </c>
      <c r="J2025" s="8">
        <v>0.2071412037037037</v>
      </c>
      <c r="K2025" t="s">
        <v>984</v>
      </c>
      <c r="AQ2025" t="s">
        <v>1090</v>
      </c>
      <c r="AR2025" t="s">
        <v>1829</v>
      </c>
      <c r="AT2025" t="s">
        <v>987</v>
      </c>
      <c r="AZ2025" t="s">
        <v>1011</v>
      </c>
      <c r="BA2025" t="s">
        <v>1031</v>
      </c>
      <c r="BB2025" t="s">
        <v>1032</v>
      </c>
      <c r="BD2025" t="s">
        <v>1005</v>
      </c>
      <c r="BE2025" t="s">
        <v>536</v>
      </c>
    </row>
    <row r="2026" spans="1:57" ht="13" x14ac:dyDescent="0.15">
      <c r="A2026">
        <v>1839</v>
      </c>
      <c r="B2026">
        <v>257952563</v>
      </c>
      <c r="C2026" t="s">
        <v>536</v>
      </c>
      <c r="D2026" s="7">
        <v>45013</v>
      </c>
      <c r="E2026" s="7">
        <v>45701</v>
      </c>
      <c r="F2026">
        <v>330862</v>
      </c>
      <c r="G2026" t="s">
        <v>983</v>
      </c>
      <c r="H2026" t="s">
        <v>9</v>
      </c>
      <c r="I2026" s="7">
        <v>45638</v>
      </c>
      <c r="J2026" s="8">
        <v>0.20831018518518518</v>
      </c>
      <c r="K2026" t="s">
        <v>984</v>
      </c>
      <c r="AQ2026" t="s">
        <v>1090</v>
      </c>
      <c r="AR2026" t="s">
        <v>1830</v>
      </c>
      <c r="AT2026" t="s">
        <v>987</v>
      </c>
      <c r="AZ2026" t="s">
        <v>1028</v>
      </c>
      <c r="BA2026" t="s">
        <v>1029</v>
      </c>
      <c r="BB2026" t="s">
        <v>1018</v>
      </c>
      <c r="BD2026" t="s">
        <v>1022</v>
      </c>
      <c r="BE2026" t="s">
        <v>536</v>
      </c>
    </row>
    <row r="2027" spans="1:57" ht="13" x14ac:dyDescent="0.15">
      <c r="A2027">
        <v>1839</v>
      </c>
      <c r="B2027">
        <v>257952563</v>
      </c>
      <c r="C2027" t="s">
        <v>536</v>
      </c>
      <c r="D2027" s="7">
        <v>45013</v>
      </c>
      <c r="E2027" s="7">
        <v>45701</v>
      </c>
      <c r="F2027">
        <v>330862</v>
      </c>
      <c r="G2027" t="s">
        <v>983</v>
      </c>
      <c r="H2027" t="s">
        <v>9</v>
      </c>
      <c r="I2027" s="7">
        <v>45695</v>
      </c>
      <c r="J2027" s="8">
        <v>9.060185185185185E-2</v>
      </c>
      <c r="K2027" t="s">
        <v>984</v>
      </c>
      <c r="AQ2027" t="s">
        <v>1090</v>
      </c>
      <c r="AR2027" t="s">
        <v>1043</v>
      </c>
      <c r="AT2027" t="s">
        <v>987</v>
      </c>
      <c r="AZ2027" t="s">
        <v>1044</v>
      </c>
      <c r="BA2027" t="s">
        <v>1045</v>
      </c>
      <c r="BB2027" t="s">
        <v>990</v>
      </c>
      <c r="BD2027" t="s">
        <v>991</v>
      </c>
      <c r="BE2027" t="s">
        <v>536</v>
      </c>
    </row>
    <row r="2028" spans="1:57" ht="13" x14ac:dyDescent="0.15">
      <c r="A2028">
        <v>1839</v>
      </c>
      <c r="B2028">
        <v>257952563</v>
      </c>
      <c r="C2028" t="s">
        <v>536</v>
      </c>
      <c r="D2028" s="7">
        <v>45013</v>
      </c>
      <c r="E2028" s="7">
        <v>45701</v>
      </c>
      <c r="F2028">
        <v>330862</v>
      </c>
      <c r="G2028" t="s">
        <v>983</v>
      </c>
      <c r="H2028" t="s">
        <v>9</v>
      </c>
      <c r="I2028" s="7">
        <v>45691</v>
      </c>
      <c r="J2028" s="8">
        <v>0.94543981481481476</v>
      </c>
      <c r="K2028" t="s">
        <v>984</v>
      </c>
      <c r="AQ2028" t="s">
        <v>1090</v>
      </c>
      <c r="AR2028" t="s">
        <v>1269</v>
      </c>
      <c r="AT2028" t="s">
        <v>987</v>
      </c>
      <c r="AZ2028" t="s">
        <v>1011</v>
      </c>
      <c r="BA2028" t="s">
        <v>1012</v>
      </c>
      <c r="BB2028" t="s">
        <v>1013</v>
      </c>
      <c r="BD2028" t="s">
        <v>1014</v>
      </c>
      <c r="BE2028" t="s">
        <v>536</v>
      </c>
    </row>
    <row r="2029" spans="1:57" ht="13" x14ac:dyDescent="0.15">
      <c r="A2029">
        <v>1839</v>
      </c>
      <c r="B2029">
        <v>257952563</v>
      </c>
      <c r="C2029" t="s">
        <v>536</v>
      </c>
      <c r="D2029" s="7">
        <v>45013</v>
      </c>
      <c r="E2029" s="7">
        <v>45701</v>
      </c>
      <c r="F2029">
        <v>330862</v>
      </c>
      <c r="G2029" t="s">
        <v>983</v>
      </c>
      <c r="H2029" t="s">
        <v>9</v>
      </c>
      <c r="I2029" s="7">
        <v>45695</v>
      </c>
      <c r="J2029" s="8">
        <v>8.1134259259259253E-2</v>
      </c>
      <c r="K2029" t="s">
        <v>984</v>
      </c>
      <c r="AQ2029" t="s">
        <v>1090</v>
      </c>
      <c r="AR2029" t="s">
        <v>1269</v>
      </c>
      <c r="AT2029" t="s">
        <v>987</v>
      </c>
      <c r="AZ2029" t="s">
        <v>1011</v>
      </c>
      <c r="BA2029" t="s">
        <v>1012</v>
      </c>
      <c r="BB2029" t="s">
        <v>1013</v>
      </c>
      <c r="BD2029" t="s">
        <v>1014</v>
      </c>
      <c r="BE2029" t="s">
        <v>536</v>
      </c>
    </row>
    <row r="2030" spans="1:57" ht="13" x14ac:dyDescent="0.15">
      <c r="A2030">
        <v>1839</v>
      </c>
      <c r="B2030">
        <v>257952563</v>
      </c>
      <c r="C2030" t="s">
        <v>536</v>
      </c>
      <c r="D2030" s="7">
        <v>45013</v>
      </c>
      <c r="E2030" s="7">
        <v>45701</v>
      </c>
      <c r="F2030">
        <v>336444</v>
      </c>
      <c r="G2030" t="s">
        <v>995</v>
      </c>
      <c r="H2030" t="s">
        <v>12</v>
      </c>
      <c r="I2030" s="7">
        <v>45695</v>
      </c>
      <c r="J2030" s="8">
        <v>8.3043981481481483E-2</v>
      </c>
      <c r="K2030" t="s">
        <v>984</v>
      </c>
      <c r="AQ2030" t="s">
        <v>996</v>
      </c>
      <c r="BE2030" t="s">
        <v>536</v>
      </c>
    </row>
    <row r="2031" spans="1:57" ht="13" x14ac:dyDescent="0.15">
      <c r="A2031">
        <v>1839</v>
      </c>
      <c r="B2031">
        <v>257952563</v>
      </c>
      <c r="C2031" t="s">
        <v>536</v>
      </c>
      <c r="D2031" s="7">
        <v>45013</v>
      </c>
      <c r="E2031" s="7">
        <v>45701</v>
      </c>
      <c r="F2031">
        <v>336444</v>
      </c>
      <c r="G2031" t="s">
        <v>995</v>
      </c>
      <c r="H2031" t="s">
        <v>12</v>
      </c>
      <c r="I2031" s="7">
        <v>45675</v>
      </c>
      <c r="J2031" s="8">
        <v>4.0532407407407406E-2</v>
      </c>
      <c r="K2031" t="s">
        <v>984</v>
      </c>
      <c r="AQ2031" t="s">
        <v>996</v>
      </c>
      <c r="BE2031" t="s">
        <v>536</v>
      </c>
    </row>
    <row r="2032" spans="1:57" ht="13" x14ac:dyDescent="0.15">
      <c r="A2032">
        <v>1839</v>
      </c>
      <c r="B2032">
        <v>258879313</v>
      </c>
      <c r="C2032" t="s">
        <v>537</v>
      </c>
      <c r="D2032" s="7">
        <v>45023</v>
      </c>
      <c r="E2032" s="7">
        <v>45675</v>
      </c>
      <c r="F2032">
        <v>330862</v>
      </c>
      <c r="G2032" t="s">
        <v>983</v>
      </c>
      <c r="H2032" t="s">
        <v>9</v>
      </c>
      <c r="I2032" s="7">
        <v>45674</v>
      </c>
      <c r="J2032" s="8">
        <v>0.58438657407407413</v>
      </c>
      <c r="K2032" t="s">
        <v>984</v>
      </c>
      <c r="AQ2032" t="s">
        <v>1092</v>
      </c>
      <c r="AR2032" t="s">
        <v>1598</v>
      </c>
      <c r="AT2032" t="s">
        <v>987</v>
      </c>
      <c r="AZ2032" t="s">
        <v>1016</v>
      </c>
      <c r="BA2032" t="s">
        <v>1017</v>
      </c>
      <c r="BB2032" t="s">
        <v>1018</v>
      </c>
      <c r="BD2032" t="s">
        <v>991</v>
      </c>
      <c r="BE2032" t="s">
        <v>537</v>
      </c>
    </row>
    <row r="2033" spans="1:57" ht="13" x14ac:dyDescent="0.15">
      <c r="A2033">
        <v>1839</v>
      </c>
      <c r="B2033">
        <v>258879313</v>
      </c>
      <c r="C2033" t="s">
        <v>537</v>
      </c>
      <c r="D2033" s="7">
        <v>45023</v>
      </c>
      <c r="E2033" s="7">
        <v>45675</v>
      </c>
      <c r="F2033">
        <v>330862</v>
      </c>
      <c r="G2033" t="s">
        <v>983</v>
      </c>
      <c r="H2033" t="s">
        <v>9</v>
      </c>
      <c r="I2033" s="7">
        <v>45674</v>
      </c>
      <c r="J2033" s="8">
        <v>0.58628472222222228</v>
      </c>
      <c r="K2033" t="s">
        <v>984</v>
      </c>
      <c r="AQ2033" t="s">
        <v>1092</v>
      </c>
      <c r="AR2033" t="s">
        <v>1598</v>
      </c>
      <c r="AT2033" t="s">
        <v>987</v>
      </c>
      <c r="AZ2033" t="s">
        <v>1016</v>
      </c>
      <c r="BA2033" t="s">
        <v>1017</v>
      </c>
      <c r="BB2033" t="s">
        <v>1018</v>
      </c>
      <c r="BD2033" t="s">
        <v>991</v>
      </c>
      <c r="BE2033" t="s">
        <v>537</v>
      </c>
    </row>
    <row r="2034" spans="1:57" ht="13" x14ac:dyDescent="0.15">
      <c r="A2034">
        <v>1839</v>
      </c>
      <c r="B2034">
        <v>258879455</v>
      </c>
      <c r="C2034" t="s">
        <v>538</v>
      </c>
      <c r="D2034" s="7">
        <v>45023</v>
      </c>
      <c r="E2034" s="7">
        <v>45696</v>
      </c>
      <c r="F2034">
        <v>330862</v>
      </c>
      <c r="G2034" t="s">
        <v>983</v>
      </c>
      <c r="H2034" t="s">
        <v>9</v>
      </c>
      <c r="I2034" s="7">
        <v>45694</v>
      </c>
      <c r="J2034" s="8">
        <v>0.77269675925925929</v>
      </c>
      <c r="K2034" t="s">
        <v>984</v>
      </c>
      <c r="AQ2034" t="s">
        <v>998</v>
      </c>
      <c r="AR2034" t="s">
        <v>986</v>
      </c>
      <c r="AT2034" t="s">
        <v>987</v>
      </c>
      <c r="AZ2034" t="s">
        <v>988</v>
      </c>
      <c r="BA2034" t="s">
        <v>989</v>
      </c>
      <c r="BB2034" t="s">
        <v>990</v>
      </c>
      <c r="BD2034" t="s">
        <v>991</v>
      </c>
      <c r="BE2034" t="s">
        <v>538</v>
      </c>
    </row>
    <row r="2035" spans="1:57" ht="13" x14ac:dyDescent="0.15">
      <c r="A2035">
        <v>1839</v>
      </c>
      <c r="B2035">
        <v>258882406</v>
      </c>
      <c r="C2035" t="s">
        <v>539</v>
      </c>
      <c r="D2035" s="7">
        <v>45023</v>
      </c>
      <c r="E2035" s="7">
        <v>45694</v>
      </c>
      <c r="F2035">
        <v>330862</v>
      </c>
      <c r="G2035" t="s">
        <v>983</v>
      </c>
      <c r="H2035" t="s">
        <v>9</v>
      </c>
      <c r="I2035" s="7">
        <v>45694</v>
      </c>
      <c r="J2035" s="8">
        <v>0.44893518518518516</v>
      </c>
      <c r="K2035" t="s">
        <v>984</v>
      </c>
      <c r="AQ2035" t="s">
        <v>985</v>
      </c>
      <c r="AR2035" t="s">
        <v>993</v>
      </c>
      <c r="AT2035" t="s">
        <v>987</v>
      </c>
      <c r="AZ2035" t="s">
        <v>988</v>
      </c>
      <c r="BA2035" t="s">
        <v>989</v>
      </c>
      <c r="BB2035" t="s">
        <v>990</v>
      </c>
      <c r="BD2035" t="s">
        <v>991</v>
      </c>
      <c r="BE2035" t="s">
        <v>539</v>
      </c>
    </row>
    <row r="2036" spans="1:57" ht="13" x14ac:dyDescent="0.15">
      <c r="A2036">
        <v>1839</v>
      </c>
      <c r="B2036">
        <v>259067769</v>
      </c>
      <c r="C2036" t="s">
        <v>1831</v>
      </c>
      <c r="D2036" s="7">
        <v>45028</v>
      </c>
      <c r="E2036" s="7">
        <v>45685</v>
      </c>
      <c r="F2036">
        <v>330862</v>
      </c>
      <c r="G2036" t="s">
        <v>983</v>
      </c>
      <c r="H2036" t="s">
        <v>9</v>
      </c>
      <c r="I2036" s="7">
        <v>45629</v>
      </c>
      <c r="J2036" s="8">
        <v>0.85583333333333333</v>
      </c>
      <c r="K2036" t="s">
        <v>984</v>
      </c>
      <c r="AQ2036" t="s">
        <v>992</v>
      </c>
      <c r="AR2036" t="s">
        <v>1424</v>
      </c>
      <c r="AT2036" t="s">
        <v>987</v>
      </c>
      <c r="AZ2036" t="s">
        <v>1028</v>
      </c>
      <c r="BA2036" t="s">
        <v>1029</v>
      </c>
      <c r="BB2036" t="s">
        <v>1018</v>
      </c>
      <c r="BD2036" t="s">
        <v>1022</v>
      </c>
      <c r="BE2036" t="s">
        <v>1831</v>
      </c>
    </row>
    <row r="2037" spans="1:57" ht="13" x14ac:dyDescent="0.15">
      <c r="A2037">
        <v>1839</v>
      </c>
      <c r="B2037">
        <v>259260280</v>
      </c>
      <c r="C2037" t="s">
        <v>540</v>
      </c>
      <c r="D2037" s="7">
        <v>45034</v>
      </c>
      <c r="E2037" s="7">
        <v>45694</v>
      </c>
      <c r="F2037">
        <v>330862</v>
      </c>
      <c r="G2037" t="s">
        <v>983</v>
      </c>
      <c r="H2037" t="s">
        <v>9</v>
      </c>
      <c r="I2037" s="7">
        <v>45694</v>
      </c>
      <c r="J2037" s="8">
        <v>0.60641203703703705</v>
      </c>
      <c r="K2037" t="s">
        <v>984</v>
      </c>
      <c r="AQ2037" t="s">
        <v>992</v>
      </c>
      <c r="AR2037" t="s">
        <v>986</v>
      </c>
      <c r="AT2037" t="s">
        <v>987</v>
      </c>
      <c r="AZ2037" t="s">
        <v>988</v>
      </c>
      <c r="BA2037" t="s">
        <v>989</v>
      </c>
      <c r="BB2037" t="s">
        <v>990</v>
      </c>
      <c r="BD2037" t="s">
        <v>991</v>
      </c>
      <c r="BE2037" t="s">
        <v>540</v>
      </c>
    </row>
    <row r="2038" spans="1:57" ht="13" x14ac:dyDescent="0.15">
      <c r="A2038">
        <v>1839</v>
      </c>
      <c r="B2038">
        <v>259271029</v>
      </c>
      <c r="C2038" t="s">
        <v>541</v>
      </c>
      <c r="D2038" s="7">
        <v>45035</v>
      </c>
      <c r="E2038" s="7">
        <v>45713</v>
      </c>
      <c r="F2038">
        <v>330862</v>
      </c>
      <c r="G2038" t="s">
        <v>983</v>
      </c>
      <c r="H2038" t="s">
        <v>9</v>
      </c>
      <c r="I2038" s="7">
        <v>45616</v>
      </c>
      <c r="J2038" s="8">
        <v>0.70377314814814818</v>
      </c>
      <c r="K2038" t="s">
        <v>984</v>
      </c>
      <c r="AQ2038" t="s">
        <v>992</v>
      </c>
      <c r="AR2038" t="s">
        <v>1104</v>
      </c>
      <c r="AT2038" t="s">
        <v>987</v>
      </c>
      <c r="AZ2038" t="s">
        <v>1055</v>
      </c>
      <c r="BA2038" t="s">
        <v>1056</v>
      </c>
      <c r="BB2038" t="s">
        <v>1013</v>
      </c>
      <c r="BD2038" t="s">
        <v>1022</v>
      </c>
      <c r="BE2038" t="s">
        <v>541</v>
      </c>
    </row>
    <row r="2039" spans="1:57" ht="13" x14ac:dyDescent="0.15">
      <c r="A2039">
        <v>1839</v>
      </c>
      <c r="B2039">
        <v>259271029</v>
      </c>
      <c r="C2039" t="s">
        <v>541</v>
      </c>
      <c r="D2039" s="7">
        <v>45035</v>
      </c>
      <c r="E2039" s="7">
        <v>45713</v>
      </c>
      <c r="F2039">
        <v>330862</v>
      </c>
      <c r="G2039" t="s">
        <v>983</v>
      </c>
      <c r="H2039" t="s">
        <v>9</v>
      </c>
      <c r="I2039" s="7">
        <v>45616</v>
      </c>
      <c r="J2039" s="8">
        <v>0.70248842592592597</v>
      </c>
      <c r="K2039" t="s">
        <v>984</v>
      </c>
      <c r="AQ2039" t="s">
        <v>992</v>
      </c>
      <c r="AR2039" t="s">
        <v>1399</v>
      </c>
      <c r="AT2039" t="s">
        <v>987</v>
      </c>
      <c r="AZ2039" t="s">
        <v>1011</v>
      </c>
      <c r="BA2039" t="s">
        <v>1103</v>
      </c>
      <c r="BB2039" t="s">
        <v>1032</v>
      </c>
      <c r="BD2039" t="s">
        <v>1005</v>
      </c>
      <c r="BE2039" t="s">
        <v>541</v>
      </c>
    </row>
    <row r="2040" spans="1:57" ht="13" x14ac:dyDescent="0.15">
      <c r="A2040">
        <v>1839</v>
      </c>
      <c r="B2040">
        <v>259271029</v>
      </c>
      <c r="C2040" t="s">
        <v>541</v>
      </c>
      <c r="D2040" s="7">
        <v>45035</v>
      </c>
      <c r="E2040" s="7">
        <v>45713</v>
      </c>
      <c r="F2040">
        <v>330862</v>
      </c>
      <c r="G2040" t="s">
        <v>983</v>
      </c>
      <c r="H2040" t="s">
        <v>9</v>
      </c>
      <c r="I2040" s="7">
        <v>45703</v>
      </c>
      <c r="J2040" s="8">
        <v>0.93234953703703705</v>
      </c>
      <c r="K2040" t="s">
        <v>984</v>
      </c>
      <c r="AQ2040" t="s">
        <v>992</v>
      </c>
      <c r="AR2040" t="s">
        <v>997</v>
      </c>
      <c r="AT2040" t="s">
        <v>987</v>
      </c>
      <c r="AZ2040" t="s">
        <v>988</v>
      </c>
      <c r="BA2040" t="s">
        <v>989</v>
      </c>
      <c r="BB2040" t="s">
        <v>990</v>
      </c>
      <c r="BD2040" t="s">
        <v>991</v>
      </c>
      <c r="BE2040" t="s">
        <v>541</v>
      </c>
    </row>
    <row r="2041" spans="1:57" ht="13" x14ac:dyDescent="0.15">
      <c r="A2041">
        <v>1839</v>
      </c>
      <c r="B2041">
        <v>259271029</v>
      </c>
      <c r="C2041" t="s">
        <v>541</v>
      </c>
      <c r="D2041" s="7">
        <v>45035</v>
      </c>
      <c r="E2041" s="7">
        <v>45713</v>
      </c>
      <c r="F2041">
        <v>330862</v>
      </c>
      <c r="G2041" t="s">
        <v>983</v>
      </c>
      <c r="H2041" t="s">
        <v>9</v>
      </c>
      <c r="I2041" s="7">
        <v>45703</v>
      </c>
      <c r="J2041" s="8">
        <v>0.88370370370370366</v>
      </c>
      <c r="K2041" t="s">
        <v>984</v>
      </c>
      <c r="AQ2041" t="s">
        <v>992</v>
      </c>
      <c r="AR2041" t="s">
        <v>997</v>
      </c>
      <c r="AT2041" t="s">
        <v>987</v>
      </c>
      <c r="AZ2041" t="s">
        <v>988</v>
      </c>
      <c r="BA2041" t="s">
        <v>989</v>
      </c>
      <c r="BB2041" t="s">
        <v>990</v>
      </c>
      <c r="BD2041" t="s">
        <v>991</v>
      </c>
      <c r="BE2041" t="s">
        <v>541</v>
      </c>
    </row>
    <row r="2042" spans="1:57" ht="13" x14ac:dyDescent="0.15">
      <c r="A2042">
        <v>1839</v>
      </c>
      <c r="B2042">
        <v>259271029</v>
      </c>
      <c r="C2042" t="s">
        <v>541</v>
      </c>
      <c r="D2042" s="7">
        <v>45035</v>
      </c>
      <c r="E2042" s="7">
        <v>45713</v>
      </c>
      <c r="F2042">
        <v>330862</v>
      </c>
      <c r="G2042" t="s">
        <v>983</v>
      </c>
      <c r="H2042" t="s">
        <v>9</v>
      </c>
      <c r="I2042" s="7">
        <v>45680</v>
      </c>
      <c r="J2042" s="8">
        <v>0.5659143518518519</v>
      </c>
      <c r="K2042" t="s">
        <v>984</v>
      </c>
      <c r="AQ2042" t="s">
        <v>992</v>
      </c>
      <c r="AR2042" t="s">
        <v>1563</v>
      </c>
      <c r="AT2042" t="s">
        <v>987</v>
      </c>
      <c r="AZ2042" t="s">
        <v>1002</v>
      </c>
      <c r="BA2042" t="s">
        <v>1003</v>
      </c>
      <c r="BB2042" t="s">
        <v>1004</v>
      </c>
      <c r="BD2042" t="s">
        <v>1005</v>
      </c>
      <c r="BE2042" t="s">
        <v>541</v>
      </c>
    </row>
    <row r="2043" spans="1:57" ht="13" x14ac:dyDescent="0.15">
      <c r="A2043">
        <v>1839</v>
      </c>
      <c r="B2043">
        <v>259271029</v>
      </c>
      <c r="C2043" t="s">
        <v>541</v>
      </c>
      <c r="D2043" s="7">
        <v>45035</v>
      </c>
      <c r="E2043" s="7">
        <v>45713</v>
      </c>
      <c r="F2043">
        <v>330862</v>
      </c>
      <c r="G2043" t="s">
        <v>983</v>
      </c>
      <c r="H2043" t="s">
        <v>9</v>
      </c>
      <c r="I2043" s="7">
        <v>45676</v>
      </c>
      <c r="J2043" s="8">
        <v>0.79442129629629632</v>
      </c>
      <c r="K2043" t="s">
        <v>984</v>
      </c>
      <c r="AQ2043" t="s">
        <v>992</v>
      </c>
      <c r="AR2043" t="s">
        <v>1107</v>
      </c>
      <c r="AT2043" t="s">
        <v>987</v>
      </c>
      <c r="AZ2043" t="s">
        <v>1007</v>
      </c>
      <c r="BA2043" t="s">
        <v>1008</v>
      </c>
      <c r="BB2043" t="s">
        <v>990</v>
      </c>
      <c r="BD2043" t="s">
        <v>1005</v>
      </c>
      <c r="BE2043" t="s">
        <v>541</v>
      </c>
    </row>
    <row r="2044" spans="1:57" ht="13" x14ac:dyDescent="0.15">
      <c r="A2044">
        <v>1839</v>
      </c>
      <c r="B2044">
        <v>259271029</v>
      </c>
      <c r="C2044" t="s">
        <v>541</v>
      </c>
      <c r="D2044" s="7">
        <v>45035</v>
      </c>
      <c r="E2044" s="7">
        <v>45713</v>
      </c>
      <c r="F2044">
        <v>330862</v>
      </c>
      <c r="G2044" t="s">
        <v>983</v>
      </c>
      <c r="H2044" t="s">
        <v>9</v>
      </c>
      <c r="I2044" s="7">
        <v>45678</v>
      </c>
      <c r="J2044" s="8">
        <v>0.93363425925925925</v>
      </c>
      <c r="K2044" t="s">
        <v>984</v>
      </c>
      <c r="AQ2044" t="s">
        <v>992</v>
      </c>
      <c r="AR2044" t="s">
        <v>1107</v>
      </c>
      <c r="AT2044" t="s">
        <v>987</v>
      </c>
      <c r="AZ2044" t="s">
        <v>1007</v>
      </c>
      <c r="BA2044" t="s">
        <v>1008</v>
      </c>
      <c r="BB2044" t="s">
        <v>990</v>
      </c>
      <c r="BD2044" t="s">
        <v>1005</v>
      </c>
      <c r="BE2044" t="s">
        <v>541</v>
      </c>
    </row>
    <row r="2045" spans="1:57" ht="13" x14ac:dyDescent="0.15">
      <c r="A2045">
        <v>1839</v>
      </c>
      <c r="B2045">
        <v>259271029</v>
      </c>
      <c r="C2045" t="s">
        <v>541</v>
      </c>
      <c r="D2045" s="7">
        <v>45035</v>
      </c>
      <c r="E2045" s="7">
        <v>45713</v>
      </c>
      <c r="F2045">
        <v>330862</v>
      </c>
      <c r="G2045" t="s">
        <v>983</v>
      </c>
      <c r="H2045" t="s">
        <v>9</v>
      </c>
      <c r="I2045" s="7">
        <v>45676</v>
      </c>
      <c r="J2045" s="8">
        <v>0.79293981481481479</v>
      </c>
      <c r="K2045" t="s">
        <v>984</v>
      </c>
      <c r="AQ2045" t="s">
        <v>992</v>
      </c>
      <c r="AR2045" t="s">
        <v>1095</v>
      </c>
      <c r="AT2045" t="s">
        <v>987</v>
      </c>
      <c r="AZ2045" t="s">
        <v>1002</v>
      </c>
      <c r="BA2045" t="s">
        <v>1003</v>
      </c>
      <c r="BB2045" t="s">
        <v>1004</v>
      </c>
      <c r="BD2045" t="s">
        <v>1005</v>
      </c>
      <c r="BE2045" t="s">
        <v>541</v>
      </c>
    </row>
    <row r="2046" spans="1:57" ht="13" x14ac:dyDescent="0.15">
      <c r="A2046">
        <v>1839</v>
      </c>
      <c r="B2046">
        <v>259681307</v>
      </c>
      <c r="C2046" t="s">
        <v>542</v>
      </c>
      <c r="D2046" s="7">
        <v>45044</v>
      </c>
      <c r="E2046" s="7">
        <v>45668</v>
      </c>
      <c r="F2046">
        <v>336444</v>
      </c>
      <c r="G2046" t="s">
        <v>995</v>
      </c>
      <c r="H2046" t="s">
        <v>12</v>
      </c>
      <c r="I2046" s="7">
        <v>45668</v>
      </c>
      <c r="J2046" s="8">
        <v>8.8773148148148143E-2</v>
      </c>
      <c r="K2046" t="s">
        <v>984</v>
      </c>
      <c r="AQ2046" t="s">
        <v>996</v>
      </c>
      <c r="BE2046" t="s">
        <v>542</v>
      </c>
    </row>
    <row r="2047" spans="1:57" ht="13" x14ac:dyDescent="0.15">
      <c r="A2047">
        <v>1839</v>
      </c>
      <c r="B2047">
        <v>259939220</v>
      </c>
      <c r="C2047" t="s">
        <v>543</v>
      </c>
      <c r="D2047" s="7">
        <v>45049</v>
      </c>
      <c r="E2047" s="7">
        <v>45676</v>
      </c>
      <c r="F2047">
        <v>330862</v>
      </c>
      <c r="G2047" t="s">
        <v>983</v>
      </c>
      <c r="H2047" t="s">
        <v>9</v>
      </c>
      <c r="I2047" s="7">
        <v>45676</v>
      </c>
      <c r="J2047" s="8">
        <v>0.40679398148148149</v>
      </c>
      <c r="K2047" t="s">
        <v>984</v>
      </c>
      <c r="AQ2047" t="s">
        <v>998</v>
      </c>
      <c r="AR2047" t="s">
        <v>1204</v>
      </c>
      <c r="AT2047" t="s">
        <v>987</v>
      </c>
      <c r="AZ2047" t="s">
        <v>1024</v>
      </c>
      <c r="BA2047" t="s">
        <v>1047</v>
      </c>
      <c r="BB2047" t="s">
        <v>1048</v>
      </c>
      <c r="BD2047" t="s">
        <v>1014</v>
      </c>
      <c r="BE2047" t="s">
        <v>543</v>
      </c>
    </row>
    <row r="2048" spans="1:57" ht="13" x14ac:dyDescent="0.15">
      <c r="A2048">
        <v>1839</v>
      </c>
      <c r="B2048">
        <v>259939220</v>
      </c>
      <c r="C2048" t="s">
        <v>543</v>
      </c>
      <c r="D2048" s="7">
        <v>45049</v>
      </c>
      <c r="E2048" s="7">
        <v>45676</v>
      </c>
      <c r="F2048">
        <v>330862</v>
      </c>
      <c r="G2048" t="s">
        <v>983</v>
      </c>
      <c r="H2048" t="s">
        <v>9</v>
      </c>
      <c r="I2048" s="7">
        <v>45676</v>
      </c>
      <c r="J2048" s="8">
        <v>0.39681712962962962</v>
      </c>
      <c r="K2048" t="s">
        <v>984</v>
      </c>
      <c r="AQ2048" t="s">
        <v>998</v>
      </c>
      <c r="AR2048" t="s">
        <v>1095</v>
      </c>
      <c r="AT2048" t="s">
        <v>987</v>
      </c>
      <c r="AZ2048" t="s">
        <v>1002</v>
      </c>
      <c r="BA2048" t="s">
        <v>1003</v>
      </c>
      <c r="BB2048" t="s">
        <v>1004</v>
      </c>
      <c r="BD2048" t="s">
        <v>1005</v>
      </c>
      <c r="BE2048" t="s">
        <v>543</v>
      </c>
    </row>
    <row r="2049" spans="1:57" ht="13" x14ac:dyDescent="0.15">
      <c r="A2049">
        <v>1839</v>
      </c>
      <c r="B2049">
        <v>259939220</v>
      </c>
      <c r="C2049" t="s">
        <v>543</v>
      </c>
      <c r="D2049" s="7">
        <v>45049</v>
      </c>
      <c r="E2049" s="7">
        <v>45676</v>
      </c>
      <c r="F2049">
        <v>330862</v>
      </c>
      <c r="G2049" t="s">
        <v>983</v>
      </c>
      <c r="H2049" t="s">
        <v>9</v>
      </c>
      <c r="I2049" s="7">
        <v>45641</v>
      </c>
      <c r="J2049" s="8">
        <v>0.35498842592592594</v>
      </c>
      <c r="K2049" t="s">
        <v>984</v>
      </c>
      <c r="AQ2049" t="s">
        <v>998</v>
      </c>
      <c r="AR2049" t="s">
        <v>1832</v>
      </c>
      <c r="AT2049" t="s">
        <v>987</v>
      </c>
      <c r="AZ2049" t="s">
        <v>1020</v>
      </c>
      <c r="BA2049" t="s">
        <v>1230</v>
      </c>
      <c r="BB2049" t="s">
        <v>1018</v>
      </c>
      <c r="BD2049" t="s">
        <v>1005</v>
      </c>
      <c r="BE2049" t="s">
        <v>543</v>
      </c>
    </row>
    <row r="2050" spans="1:57" ht="13" x14ac:dyDescent="0.15">
      <c r="A2050">
        <v>1839</v>
      </c>
      <c r="B2050">
        <v>259939220</v>
      </c>
      <c r="C2050" t="s">
        <v>543</v>
      </c>
      <c r="D2050" s="7">
        <v>45049</v>
      </c>
      <c r="E2050" s="7">
        <v>45676</v>
      </c>
      <c r="F2050">
        <v>330862</v>
      </c>
      <c r="G2050" t="s">
        <v>983</v>
      </c>
      <c r="H2050" t="s">
        <v>9</v>
      </c>
      <c r="I2050" s="7">
        <v>45641</v>
      </c>
      <c r="J2050" s="8">
        <v>0.34865740740740742</v>
      </c>
      <c r="K2050" t="s">
        <v>984</v>
      </c>
      <c r="AQ2050" t="s">
        <v>998</v>
      </c>
      <c r="AR2050" t="s">
        <v>1832</v>
      </c>
      <c r="AT2050" t="s">
        <v>987</v>
      </c>
      <c r="AZ2050" t="s">
        <v>1020</v>
      </c>
      <c r="BA2050" t="s">
        <v>1230</v>
      </c>
      <c r="BB2050" t="s">
        <v>1018</v>
      </c>
      <c r="BD2050" t="s">
        <v>1005</v>
      </c>
      <c r="BE2050" t="s">
        <v>543</v>
      </c>
    </row>
    <row r="2051" spans="1:57" ht="13" x14ac:dyDescent="0.15">
      <c r="A2051">
        <v>1839</v>
      </c>
      <c r="B2051">
        <v>260089977</v>
      </c>
      <c r="C2051" t="s">
        <v>544</v>
      </c>
      <c r="D2051" s="7">
        <v>45052</v>
      </c>
      <c r="E2051" s="7">
        <v>45680</v>
      </c>
      <c r="F2051">
        <v>330862</v>
      </c>
      <c r="G2051" t="s">
        <v>983</v>
      </c>
      <c r="H2051" t="s">
        <v>9</v>
      </c>
      <c r="I2051" s="7">
        <v>45672</v>
      </c>
      <c r="J2051" s="8">
        <v>4.0324074074074075E-2</v>
      </c>
      <c r="K2051" t="s">
        <v>984</v>
      </c>
      <c r="AQ2051" t="s">
        <v>1706</v>
      </c>
      <c r="AR2051" t="s">
        <v>1833</v>
      </c>
      <c r="AT2051" t="s">
        <v>987</v>
      </c>
      <c r="AZ2051" t="s">
        <v>1834</v>
      </c>
      <c r="BE2051" t="s">
        <v>544</v>
      </c>
    </row>
    <row r="2052" spans="1:57" ht="13" x14ac:dyDescent="0.15">
      <c r="A2052">
        <v>1839</v>
      </c>
      <c r="B2052">
        <v>260680669</v>
      </c>
      <c r="C2052" t="s">
        <v>545</v>
      </c>
      <c r="D2052" s="7">
        <v>45072</v>
      </c>
      <c r="E2052" s="7">
        <v>45702</v>
      </c>
      <c r="F2052">
        <v>330862</v>
      </c>
      <c r="G2052" t="s">
        <v>983</v>
      </c>
      <c r="H2052" t="s">
        <v>9</v>
      </c>
      <c r="I2052" s="7">
        <v>45702</v>
      </c>
      <c r="J2052" s="8">
        <v>0.39690972222222221</v>
      </c>
      <c r="K2052" t="s">
        <v>984</v>
      </c>
      <c r="AQ2052" t="s">
        <v>998</v>
      </c>
      <c r="AR2052" t="s">
        <v>1793</v>
      </c>
      <c r="AT2052" t="s">
        <v>987</v>
      </c>
      <c r="AZ2052" t="s">
        <v>1016</v>
      </c>
      <c r="BA2052" t="s">
        <v>1017</v>
      </c>
      <c r="BB2052" t="s">
        <v>1018</v>
      </c>
      <c r="BD2052" t="s">
        <v>991</v>
      </c>
      <c r="BE2052" t="s">
        <v>545</v>
      </c>
    </row>
    <row r="2053" spans="1:57" ht="13" x14ac:dyDescent="0.15">
      <c r="A2053">
        <v>1839</v>
      </c>
      <c r="B2053">
        <v>260752974</v>
      </c>
      <c r="C2053" t="s">
        <v>546</v>
      </c>
      <c r="D2053" s="7">
        <v>45076</v>
      </c>
      <c r="E2053" s="7">
        <v>45694</v>
      </c>
      <c r="F2053">
        <v>330862</v>
      </c>
      <c r="G2053" t="s">
        <v>983</v>
      </c>
      <c r="H2053" t="s">
        <v>9</v>
      </c>
      <c r="I2053" s="7">
        <v>45694</v>
      </c>
      <c r="J2053" s="8">
        <v>0.52984953703703708</v>
      </c>
      <c r="K2053" t="s">
        <v>984</v>
      </c>
      <c r="AQ2053" t="s">
        <v>1273</v>
      </c>
      <c r="AR2053" t="s">
        <v>993</v>
      </c>
      <c r="AT2053" t="s">
        <v>987</v>
      </c>
      <c r="AZ2053" t="s">
        <v>988</v>
      </c>
      <c r="BA2053" t="s">
        <v>989</v>
      </c>
      <c r="BB2053" t="s">
        <v>990</v>
      </c>
      <c r="BD2053" t="s">
        <v>991</v>
      </c>
      <c r="BE2053" t="s">
        <v>546</v>
      </c>
    </row>
    <row r="2054" spans="1:57" ht="13" x14ac:dyDescent="0.15">
      <c r="A2054">
        <v>1839</v>
      </c>
      <c r="B2054">
        <v>260770353</v>
      </c>
      <c r="C2054" t="s">
        <v>1835</v>
      </c>
      <c r="D2054" s="7">
        <v>45076</v>
      </c>
      <c r="E2054" s="7">
        <v>45670</v>
      </c>
      <c r="F2054">
        <v>330862</v>
      </c>
      <c r="G2054" t="s">
        <v>983</v>
      </c>
      <c r="H2054" t="s">
        <v>9</v>
      </c>
      <c r="I2054" s="7">
        <v>45636</v>
      </c>
      <c r="J2054" s="8">
        <v>0.89144675925925931</v>
      </c>
      <c r="K2054" t="s">
        <v>984</v>
      </c>
      <c r="AQ2054" t="s">
        <v>1092</v>
      </c>
      <c r="AR2054" t="s">
        <v>1096</v>
      </c>
      <c r="AT2054" t="s">
        <v>987</v>
      </c>
      <c r="AZ2054" t="s">
        <v>1011</v>
      </c>
      <c r="BA2054" t="s">
        <v>1031</v>
      </c>
      <c r="BB2054" t="s">
        <v>1032</v>
      </c>
      <c r="BD2054" t="s">
        <v>1005</v>
      </c>
      <c r="BE2054" t="s">
        <v>1835</v>
      </c>
    </row>
    <row r="2055" spans="1:57" ht="13" x14ac:dyDescent="0.15">
      <c r="A2055">
        <v>1839</v>
      </c>
      <c r="B2055">
        <v>261502293</v>
      </c>
      <c r="C2055" t="s">
        <v>1836</v>
      </c>
      <c r="D2055" s="7">
        <v>45098</v>
      </c>
      <c r="E2055" s="7">
        <v>45711</v>
      </c>
      <c r="F2055">
        <v>330862</v>
      </c>
      <c r="G2055" t="s">
        <v>983</v>
      </c>
      <c r="H2055" t="s">
        <v>9</v>
      </c>
      <c r="I2055" s="7">
        <v>45637</v>
      </c>
      <c r="J2055" s="8">
        <v>0.73163194444444446</v>
      </c>
      <c r="K2055" t="s">
        <v>984</v>
      </c>
      <c r="AQ2055" t="s">
        <v>998</v>
      </c>
      <c r="AR2055" t="s">
        <v>1314</v>
      </c>
      <c r="AT2055" t="s">
        <v>987</v>
      </c>
      <c r="AZ2055" t="s">
        <v>1174</v>
      </c>
      <c r="BA2055" t="s">
        <v>1242</v>
      </c>
      <c r="BB2055" t="s">
        <v>1026</v>
      </c>
      <c r="BD2055" t="s">
        <v>1005</v>
      </c>
      <c r="BE2055" t="s">
        <v>1836</v>
      </c>
    </row>
    <row r="2056" spans="1:57" ht="13" x14ac:dyDescent="0.15">
      <c r="A2056">
        <v>1839</v>
      </c>
      <c r="B2056">
        <v>261792891</v>
      </c>
      <c r="C2056" t="s">
        <v>547</v>
      </c>
      <c r="D2056" s="7">
        <v>45107</v>
      </c>
      <c r="E2056" s="7">
        <v>45670</v>
      </c>
      <c r="F2056">
        <v>336444</v>
      </c>
      <c r="G2056" t="s">
        <v>995</v>
      </c>
      <c r="H2056" t="s">
        <v>12</v>
      </c>
      <c r="I2056" s="7">
        <v>45664</v>
      </c>
      <c r="J2056" s="8">
        <v>0.67291666666666672</v>
      </c>
      <c r="K2056" t="s">
        <v>984</v>
      </c>
      <c r="AQ2056" t="s">
        <v>996</v>
      </c>
      <c r="BE2056" t="s">
        <v>547</v>
      </c>
    </row>
    <row r="2057" spans="1:57" ht="13" x14ac:dyDescent="0.15">
      <c r="A2057">
        <v>1839</v>
      </c>
      <c r="B2057">
        <v>262072154</v>
      </c>
      <c r="C2057" t="s">
        <v>1837</v>
      </c>
      <c r="D2057" s="7">
        <v>45117</v>
      </c>
      <c r="E2057" s="7">
        <v>45624</v>
      </c>
      <c r="F2057">
        <v>330862</v>
      </c>
      <c r="G2057" t="s">
        <v>983</v>
      </c>
      <c r="H2057" t="s">
        <v>9</v>
      </c>
      <c r="I2057" s="7">
        <v>45568</v>
      </c>
      <c r="J2057" s="8">
        <v>0.38947916666666665</v>
      </c>
      <c r="K2057" t="s">
        <v>984</v>
      </c>
      <c r="AQ2057" t="s">
        <v>1556</v>
      </c>
      <c r="AR2057" t="s">
        <v>1100</v>
      </c>
      <c r="AT2057" t="s">
        <v>987</v>
      </c>
      <c r="BE2057" t="s">
        <v>1837</v>
      </c>
    </row>
    <row r="2058" spans="1:57" ht="13" x14ac:dyDescent="0.15">
      <c r="A2058">
        <v>1839</v>
      </c>
      <c r="B2058">
        <v>262072154</v>
      </c>
      <c r="C2058" t="s">
        <v>1837</v>
      </c>
      <c r="D2058" s="7">
        <v>45117</v>
      </c>
      <c r="E2058" s="7">
        <v>45624</v>
      </c>
      <c r="F2058">
        <v>330862</v>
      </c>
      <c r="G2058" t="s">
        <v>983</v>
      </c>
      <c r="H2058" t="s">
        <v>9</v>
      </c>
      <c r="I2058" s="7">
        <v>45568</v>
      </c>
      <c r="J2058" s="8">
        <v>0.40484953703703702</v>
      </c>
      <c r="K2058" t="s">
        <v>984</v>
      </c>
      <c r="AQ2058" t="s">
        <v>1556</v>
      </c>
      <c r="AR2058" t="s">
        <v>1100</v>
      </c>
      <c r="AT2058" t="s">
        <v>987</v>
      </c>
      <c r="BE2058" t="s">
        <v>1837</v>
      </c>
    </row>
    <row r="2059" spans="1:57" ht="13" x14ac:dyDescent="0.15">
      <c r="A2059">
        <v>1839</v>
      </c>
      <c r="B2059">
        <v>262072154</v>
      </c>
      <c r="C2059" t="s">
        <v>1837</v>
      </c>
      <c r="D2059" s="7">
        <v>45117</v>
      </c>
      <c r="E2059" s="7">
        <v>45624</v>
      </c>
      <c r="F2059">
        <v>330862</v>
      </c>
      <c r="G2059" t="s">
        <v>983</v>
      </c>
      <c r="H2059" t="s">
        <v>9</v>
      </c>
      <c r="I2059" s="7">
        <v>45568</v>
      </c>
      <c r="J2059" s="8">
        <v>0.40666666666666668</v>
      </c>
      <c r="K2059" t="s">
        <v>984</v>
      </c>
      <c r="AQ2059" t="s">
        <v>1556</v>
      </c>
      <c r="AR2059" t="s">
        <v>1100</v>
      </c>
      <c r="AT2059" t="s">
        <v>987</v>
      </c>
      <c r="BE2059" t="s">
        <v>1837</v>
      </c>
    </row>
    <row r="2060" spans="1:57" ht="13" x14ac:dyDescent="0.15">
      <c r="A2060">
        <v>1839</v>
      </c>
      <c r="B2060">
        <v>262072154</v>
      </c>
      <c r="C2060" t="s">
        <v>1837</v>
      </c>
      <c r="D2060" s="7">
        <v>45117</v>
      </c>
      <c r="E2060" s="7">
        <v>45624</v>
      </c>
      <c r="F2060">
        <v>330862</v>
      </c>
      <c r="G2060" t="s">
        <v>983</v>
      </c>
      <c r="H2060" t="s">
        <v>9</v>
      </c>
      <c r="I2060" s="7">
        <v>45568</v>
      </c>
      <c r="J2060" s="8">
        <v>0.40828703703703706</v>
      </c>
      <c r="K2060" t="s">
        <v>984</v>
      </c>
      <c r="AQ2060" t="s">
        <v>1556</v>
      </c>
      <c r="AR2060" t="s">
        <v>1100</v>
      </c>
      <c r="AT2060" t="s">
        <v>987</v>
      </c>
      <c r="BE2060" t="s">
        <v>1837</v>
      </c>
    </row>
    <row r="2061" spans="1:57" ht="13" x14ac:dyDescent="0.15">
      <c r="A2061">
        <v>1839</v>
      </c>
      <c r="B2061">
        <v>262072154</v>
      </c>
      <c r="C2061" t="s">
        <v>1837</v>
      </c>
      <c r="D2061" s="7">
        <v>45117</v>
      </c>
      <c r="E2061" s="7">
        <v>45624</v>
      </c>
      <c r="F2061">
        <v>330862</v>
      </c>
      <c r="G2061" t="s">
        <v>983</v>
      </c>
      <c r="H2061" t="s">
        <v>9</v>
      </c>
      <c r="I2061" s="7">
        <v>45576</v>
      </c>
      <c r="J2061" s="8">
        <v>0.38425925925925924</v>
      </c>
      <c r="K2061" t="s">
        <v>984</v>
      </c>
      <c r="AQ2061" t="s">
        <v>1556</v>
      </c>
      <c r="AR2061" t="s">
        <v>1100</v>
      </c>
      <c r="AT2061" t="s">
        <v>987</v>
      </c>
      <c r="BE2061" t="s">
        <v>1837</v>
      </c>
    </row>
    <row r="2062" spans="1:57" ht="13" x14ac:dyDescent="0.15">
      <c r="A2062">
        <v>1839</v>
      </c>
      <c r="B2062">
        <v>262072154</v>
      </c>
      <c r="C2062" t="s">
        <v>1837</v>
      </c>
      <c r="D2062" s="7">
        <v>45117</v>
      </c>
      <c r="E2062" s="7">
        <v>45624</v>
      </c>
      <c r="F2062">
        <v>330862</v>
      </c>
      <c r="G2062" t="s">
        <v>983</v>
      </c>
      <c r="H2062" t="s">
        <v>9</v>
      </c>
      <c r="I2062" s="7">
        <v>45611</v>
      </c>
      <c r="J2062" s="8">
        <v>0.48942129629629627</v>
      </c>
      <c r="K2062" t="s">
        <v>984</v>
      </c>
      <c r="AQ2062" t="s">
        <v>1089</v>
      </c>
      <c r="AR2062" t="s">
        <v>1838</v>
      </c>
      <c r="AT2062" t="s">
        <v>987</v>
      </c>
      <c r="BE2062" t="s">
        <v>1837</v>
      </c>
    </row>
    <row r="2063" spans="1:57" ht="13" x14ac:dyDescent="0.15">
      <c r="A2063">
        <v>1839</v>
      </c>
      <c r="B2063">
        <v>262072154</v>
      </c>
      <c r="C2063" t="s">
        <v>1837</v>
      </c>
      <c r="D2063" s="7">
        <v>45117</v>
      </c>
      <c r="E2063" s="7">
        <v>45624</v>
      </c>
      <c r="F2063">
        <v>330862</v>
      </c>
      <c r="G2063" t="s">
        <v>983</v>
      </c>
      <c r="H2063" t="s">
        <v>9</v>
      </c>
      <c r="I2063" s="7">
        <v>45567</v>
      </c>
      <c r="J2063" s="8">
        <v>0.4846759259259259</v>
      </c>
      <c r="K2063" t="s">
        <v>984</v>
      </c>
      <c r="AQ2063" t="s">
        <v>1556</v>
      </c>
      <c r="AR2063" t="s">
        <v>1100</v>
      </c>
      <c r="AT2063" t="s">
        <v>987</v>
      </c>
      <c r="BE2063" t="s">
        <v>1837</v>
      </c>
    </row>
    <row r="2064" spans="1:57" ht="13" x14ac:dyDescent="0.15">
      <c r="A2064">
        <v>1839</v>
      </c>
      <c r="B2064">
        <v>262072154</v>
      </c>
      <c r="C2064" t="s">
        <v>1837</v>
      </c>
      <c r="D2064" s="7">
        <v>45117</v>
      </c>
      <c r="E2064" s="7">
        <v>45624</v>
      </c>
      <c r="F2064">
        <v>330862</v>
      </c>
      <c r="G2064" t="s">
        <v>983</v>
      </c>
      <c r="H2064" t="s">
        <v>9</v>
      </c>
      <c r="I2064" s="7">
        <v>45567</v>
      </c>
      <c r="J2064" s="8">
        <v>0.43402777777777779</v>
      </c>
      <c r="K2064" t="s">
        <v>984</v>
      </c>
      <c r="AQ2064" t="s">
        <v>1556</v>
      </c>
      <c r="AR2064" t="s">
        <v>1100</v>
      </c>
      <c r="AT2064" t="s">
        <v>987</v>
      </c>
      <c r="BE2064" t="s">
        <v>1837</v>
      </c>
    </row>
    <row r="2065" spans="1:57" ht="13" x14ac:dyDescent="0.15">
      <c r="A2065">
        <v>1839</v>
      </c>
      <c r="B2065">
        <v>262072154</v>
      </c>
      <c r="C2065" t="s">
        <v>1837</v>
      </c>
      <c r="D2065" s="7">
        <v>45117</v>
      </c>
      <c r="E2065" s="7">
        <v>45624</v>
      </c>
      <c r="F2065">
        <v>336444</v>
      </c>
      <c r="G2065" t="s">
        <v>995</v>
      </c>
      <c r="H2065" t="s">
        <v>12</v>
      </c>
      <c r="I2065" s="7">
        <v>45614</v>
      </c>
      <c r="J2065" s="8">
        <v>0.4379513888888889</v>
      </c>
      <c r="K2065" t="s">
        <v>984</v>
      </c>
      <c r="AQ2065" t="s">
        <v>996</v>
      </c>
      <c r="BE2065" t="s">
        <v>1837</v>
      </c>
    </row>
    <row r="2066" spans="1:57" ht="13" x14ac:dyDescent="0.15">
      <c r="A2066">
        <v>1839</v>
      </c>
      <c r="B2066">
        <v>262080547</v>
      </c>
      <c r="C2066" t="s">
        <v>1839</v>
      </c>
      <c r="D2066" s="7">
        <v>45118</v>
      </c>
      <c r="E2066" s="7">
        <v>45692</v>
      </c>
      <c r="F2066">
        <v>330862</v>
      </c>
      <c r="G2066" t="s">
        <v>983</v>
      </c>
      <c r="H2066" t="s">
        <v>9</v>
      </c>
      <c r="I2066" s="7">
        <v>45636</v>
      </c>
      <c r="J2066" s="8">
        <v>0.58940972222222221</v>
      </c>
      <c r="K2066" t="s">
        <v>984</v>
      </c>
      <c r="AQ2066" t="s">
        <v>992</v>
      </c>
      <c r="AR2066" t="s">
        <v>1279</v>
      </c>
      <c r="AT2066" t="s">
        <v>987</v>
      </c>
      <c r="AZ2066" t="s">
        <v>1174</v>
      </c>
      <c r="BA2066" t="s">
        <v>1242</v>
      </c>
      <c r="BB2066" t="s">
        <v>1026</v>
      </c>
      <c r="BD2066" t="s">
        <v>1005</v>
      </c>
      <c r="BE2066" t="s">
        <v>1839</v>
      </c>
    </row>
    <row r="2067" spans="1:57" ht="13" x14ac:dyDescent="0.15">
      <c r="A2067">
        <v>1839</v>
      </c>
      <c r="B2067">
        <v>262080547</v>
      </c>
      <c r="C2067" t="s">
        <v>1839</v>
      </c>
      <c r="D2067" s="7">
        <v>45118</v>
      </c>
      <c r="E2067" s="7">
        <v>45692</v>
      </c>
      <c r="F2067">
        <v>330862</v>
      </c>
      <c r="G2067" t="s">
        <v>983</v>
      </c>
      <c r="H2067" t="s">
        <v>9</v>
      </c>
      <c r="I2067" s="7">
        <v>45636</v>
      </c>
      <c r="J2067" s="8">
        <v>0.58497685185185189</v>
      </c>
      <c r="K2067" t="s">
        <v>984</v>
      </c>
      <c r="AQ2067" t="s">
        <v>992</v>
      </c>
      <c r="AR2067" t="s">
        <v>1262</v>
      </c>
      <c r="AT2067" t="s">
        <v>987</v>
      </c>
      <c r="AZ2067" t="s">
        <v>1028</v>
      </c>
      <c r="BA2067" t="s">
        <v>1029</v>
      </c>
      <c r="BB2067" t="s">
        <v>1018</v>
      </c>
      <c r="BD2067" t="s">
        <v>1022</v>
      </c>
      <c r="BE2067" t="s">
        <v>1839</v>
      </c>
    </row>
    <row r="2068" spans="1:57" ht="13" x14ac:dyDescent="0.15">
      <c r="A2068">
        <v>1839</v>
      </c>
      <c r="B2068">
        <v>262080547</v>
      </c>
      <c r="C2068" t="s">
        <v>1839</v>
      </c>
      <c r="D2068" s="7">
        <v>45118</v>
      </c>
      <c r="E2068" s="7">
        <v>45692</v>
      </c>
      <c r="F2068">
        <v>330862</v>
      </c>
      <c r="G2068" t="s">
        <v>983</v>
      </c>
      <c r="H2068" t="s">
        <v>9</v>
      </c>
      <c r="I2068" s="7">
        <v>45636</v>
      </c>
      <c r="J2068" s="8">
        <v>0.57929398148148148</v>
      </c>
      <c r="K2068" t="s">
        <v>984</v>
      </c>
      <c r="AQ2068" t="s">
        <v>992</v>
      </c>
      <c r="AR2068" t="s">
        <v>1208</v>
      </c>
      <c r="AT2068" t="s">
        <v>987</v>
      </c>
      <c r="AZ2068" t="s">
        <v>1011</v>
      </c>
      <c r="BA2068" t="s">
        <v>1031</v>
      </c>
      <c r="BB2068" t="s">
        <v>1032</v>
      </c>
      <c r="BD2068" t="s">
        <v>1005</v>
      </c>
      <c r="BE2068" t="s">
        <v>1839</v>
      </c>
    </row>
    <row r="2069" spans="1:57" ht="13" x14ac:dyDescent="0.15">
      <c r="A2069">
        <v>1839</v>
      </c>
      <c r="B2069">
        <v>263648361</v>
      </c>
      <c r="C2069" t="s">
        <v>548</v>
      </c>
      <c r="D2069" s="7">
        <v>45139</v>
      </c>
      <c r="E2069" s="7">
        <v>45694</v>
      </c>
      <c r="F2069">
        <v>330862</v>
      </c>
      <c r="G2069" t="s">
        <v>983</v>
      </c>
      <c r="H2069" t="s">
        <v>9</v>
      </c>
      <c r="I2069" s="7">
        <v>45694</v>
      </c>
      <c r="J2069" s="8">
        <v>0.36684027777777778</v>
      </c>
      <c r="K2069" t="s">
        <v>984</v>
      </c>
      <c r="AQ2069" t="s">
        <v>998</v>
      </c>
      <c r="AR2069" t="s">
        <v>993</v>
      </c>
      <c r="AT2069" t="s">
        <v>987</v>
      </c>
      <c r="AZ2069" t="s">
        <v>988</v>
      </c>
      <c r="BA2069" t="s">
        <v>989</v>
      </c>
      <c r="BB2069" t="s">
        <v>990</v>
      </c>
      <c r="BD2069" t="s">
        <v>991</v>
      </c>
      <c r="BE2069" t="s">
        <v>548</v>
      </c>
    </row>
    <row r="2070" spans="1:57" ht="13" x14ac:dyDescent="0.15">
      <c r="A2070">
        <v>1839</v>
      </c>
      <c r="B2070">
        <v>263815204</v>
      </c>
      <c r="C2070" t="s">
        <v>1840</v>
      </c>
      <c r="D2070" s="7">
        <v>45145</v>
      </c>
      <c r="E2070" s="7">
        <v>45639</v>
      </c>
      <c r="F2070">
        <v>336444</v>
      </c>
      <c r="G2070" t="s">
        <v>995</v>
      </c>
      <c r="H2070" t="s">
        <v>12</v>
      </c>
      <c r="I2070" s="7">
        <v>45614</v>
      </c>
      <c r="J2070" s="8">
        <v>0.52605324074074078</v>
      </c>
      <c r="K2070" t="s">
        <v>984</v>
      </c>
      <c r="AQ2070" t="s">
        <v>996</v>
      </c>
      <c r="BE2070" t="s">
        <v>1840</v>
      </c>
    </row>
    <row r="2071" spans="1:57" ht="13" x14ac:dyDescent="0.15">
      <c r="A2071">
        <v>1839</v>
      </c>
      <c r="B2071">
        <v>263842418</v>
      </c>
      <c r="C2071" t="s">
        <v>549</v>
      </c>
      <c r="D2071" s="7">
        <v>45145</v>
      </c>
      <c r="E2071" s="7">
        <v>45708</v>
      </c>
      <c r="F2071">
        <v>330862</v>
      </c>
      <c r="G2071" t="s">
        <v>983</v>
      </c>
      <c r="H2071" t="s">
        <v>9</v>
      </c>
      <c r="I2071" s="7">
        <v>45705</v>
      </c>
      <c r="J2071" s="8">
        <v>0.54214120370370367</v>
      </c>
      <c r="K2071" t="s">
        <v>984</v>
      </c>
      <c r="AQ2071" t="s">
        <v>1092</v>
      </c>
      <c r="AR2071" t="s">
        <v>1841</v>
      </c>
      <c r="AT2071" t="s">
        <v>987</v>
      </c>
      <c r="AZ2071" t="s">
        <v>1002</v>
      </c>
      <c r="BA2071" t="s">
        <v>1003</v>
      </c>
      <c r="BB2071" t="s">
        <v>1004</v>
      </c>
      <c r="BD2071" t="s">
        <v>1005</v>
      </c>
      <c r="BE2071" t="s">
        <v>549</v>
      </c>
    </row>
    <row r="2072" spans="1:57" ht="13" x14ac:dyDescent="0.15">
      <c r="A2072">
        <v>1839</v>
      </c>
      <c r="B2072">
        <v>263842418</v>
      </c>
      <c r="C2072" t="s">
        <v>549</v>
      </c>
      <c r="D2072" s="7">
        <v>45145</v>
      </c>
      <c r="E2072" s="7">
        <v>45708</v>
      </c>
      <c r="F2072">
        <v>330862</v>
      </c>
      <c r="G2072" t="s">
        <v>983</v>
      </c>
      <c r="H2072" t="s">
        <v>9</v>
      </c>
      <c r="I2072" s="7">
        <v>45695</v>
      </c>
      <c r="J2072" s="8">
        <v>0.67976851851851849</v>
      </c>
      <c r="K2072" t="s">
        <v>984</v>
      </c>
      <c r="AQ2072" t="s">
        <v>1092</v>
      </c>
      <c r="AR2072" t="s">
        <v>1415</v>
      </c>
      <c r="AT2072" t="s">
        <v>987</v>
      </c>
      <c r="AZ2072" t="s">
        <v>1007</v>
      </c>
      <c r="BA2072" t="s">
        <v>1008</v>
      </c>
      <c r="BB2072" t="s">
        <v>990</v>
      </c>
      <c r="BD2072" t="s">
        <v>1005</v>
      </c>
      <c r="BE2072" t="s">
        <v>549</v>
      </c>
    </row>
    <row r="2073" spans="1:57" ht="13" x14ac:dyDescent="0.15">
      <c r="A2073">
        <v>1839</v>
      </c>
      <c r="B2073">
        <v>263842418</v>
      </c>
      <c r="C2073" t="s">
        <v>549</v>
      </c>
      <c r="D2073" s="7">
        <v>45145</v>
      </c>
      <c r="E2073" s="7">
        <v>45708</v>
      </c>
      <c r="F2073">
        <v>330862</v>
      </c>
      <c r="G2073" t="s">
        <v>983</v>
      </c>
      <c r="H2073" t="s">
        <v>9</v>
      </c>
      <c r="I2073" s="7">
        <v>45707</v>
      </c>
      <c r="J2073" s="8">
        <v>0.66265046296296293</v>
      </c>
      <c r="K2073" t="s">
        <v>984</v>
      </c>
      <c r="AQ2073" t="s">
        <v>1092</v>
      </c>
      <c r="AR2073" t="s">
        <v>1383</v>
      </c>
      <c r="AT2073" t="s">
        <v>987</v>
      </c>
      <c r="AZ2073" t="s">
        <v>988</v>
      </c>
      <c r="BA2073" t="s">
        <v>989</v>
      </c>
      <c r="BB2073" t="s">
        <v>990</v>
      </c>
      <c r="BD2073" t="s">
        <v>991</v>
      </c>
      <c r="BE2073" t="s">
        <v>549</v>
      </c>
    </row>
    <row r="2074" spans="1:57" ht="13" x14ac:dyDescent="0.15">
      <c r="A2074">
        <v>1839</v>
      </c>
      <c r="B2074">
        <v>263842418</v>
      </c>
      <c r="C2074" t="s">
        <v>549</v>
      </c>
      <c r="D2074" s="7">
        <v>45145</v>
      </c>
      <c r="E2074" s="7">
        <v>45708</v>
      </c>
      <c r="F2074">
        <v>330862</v>
      </c>
      <c r="G2074" t="s">
        <v>983</v>
      </c>
      <c r="H2074" t="s">
        <v>9</v>
      </c>
      <c r="I2074" s="7">
        <v>45677</v>
      </c>
      <c r="J2074" s="8">
        <v>0.61883101851851852</v>
      </c>
      <c r="K2074" t="s">
        <v>984</v>
      </c>
      <c r="AQ2074" t="s">
        <v>1092</v>
      </c>
      <c r="AR2074" t="s">
        <v>1462</v>
      </c>
      <c r="AT2074" t="s">
        <v>987</v>
      </c>
      <c r="AZ2074" t="s">
        <v>1007</v>
      </c>
      <c r="BA2074" t="s">
        <v>1008</v>
      </c>
      <c r="BB2074" t="s">
        <v>990</v>
      </c>
      <c r="BD2074" t="s">
        <v>1005</v>
      </c>
      <c r="BE2074" t="s">
        <v>549</v>
      </c>
    </row>
    <row r="2075" spans="1:57" ht="13" x14ac:dyDescent="0.15">
      <c r="A2075">
        <v>1839</v>
      </c>
      <c r="B2075">
        <v>263842418</v>
      </c>
      <c r="C2075" t="s">
        <v>549</v>
      </c>
      <c r="D2075" s="7">
        <v>45145</v>
      </c>
      <c r="E2075" s="7">
        <v>45708</v>
      </c>
      <c r="F2075">
        <v>330862</v>
      </c>
      <c r="G2075" t="s">
        <v>983</v>
      </c>
      <c r="H2075" t="s">
        <v>9</v>
      </c>
      <c r="I2075" s="7">
        <v>45708</v>
      </c>
      <c r="J2075" s="8">
        <v>0.46740740740740738</v>
      </c>
      <c r="K2075" t="s">
        <v>984</v>
      </c>
      <c r="AQ2075" t="s">
        <v>1092</v>
      </c>
      <c r="AR2075" t="s">
        <v>1842</v>
      </c>
      <c r="AT2075" t="s">
        <v>987</v>
      </c>
      <c r="AZ2075" t="s">
        <v>1002</v>
      </c>
      <c r="BA2075" t="s">
        <v>1003</v>
      </c>
      <c r="BB2075" t="s">
        <v>1004</v>
      </c>
      <c r="BD2075" t="s">
        <v>1005</v>
      </c>
      <c r="BE2075" t="s">
        <v>549</v>
      </c>
    </row>
    <row r="2076" spans="1:57" ht="13" x14ac:dyDescent="0.15">
      <c r="A2076">
        <v>1839</v>
      </c>
      <c r="B2076">
        <v>264092849</v>
      </c>
      <c r="C2076" t="s">
        <v>1843</v>
      </c>
      <c r="D2076" s="7">
        <v>45153</v>
      </c>
      <c r="E2076" s="7">
        <v>45654</v>
      </c>
      <c r="F2076">
        <v>330862</v>
      </c>
      <c r="G2076" t="s">
        <v>983</v>
      </c>
      <c r="H2076" t="s">
        <v>9</v>
      </c>
      <c r="I2076" s="7">
        <v>45584</v>
      </c>
      <c r="J2076" s="8">
        <v>0.88929398148148153</v>
      </c>
      <c r="K2076" t="s">
        <v>984</v>
      </c>
      <c r="AQ2076" t="s">
        <v>985</v>
      </c>
      <c r="AR2076" t="s">
        <v>1100</v>
      </c>
      <c r="AT2076" t="s">
        <v>987</v>
      </c>
      <c r="BE2076" t="s">
        <v>1843</v>
      </c>
    </row>
    <row r="2077" spans="1:57" ht="13" x14ac:dyDescent="0.15">
      <c r="A2077">
        <v>1839</v>
      </c>
      <c r="B2077">
        <v>264092849</v>
      </c>
      <c r="C2077" t="s">
        <v>1843</v>
      </c>
      <c r="D2077" s="7">
        <v>45153</v>
      </c>
      <c r="E2077" s="7">
        <v>45654</v>
      </c>
      <c r="F2077">
        <v>330862</v>
      </c>
      <c r="G2077" t="s">
        <v>983</v>
      </c>
      <c r="H2077" t="s">
        <v>9</v>
      </c>
      <c r="I2077" s="7">
        <v>45584</v>
      </c>
      <c r="J2077" s="8">
        <v>0.91643518518518519</v>
      </c>
      <c r="K2077" t="s">
        <v>984</v>
      </c>
      <c r="AQ2077" t="s">
        <v>985</v>
      </c>
      <c r="AR2077" t="s">
        <v>1100</v>
      </c>
      <c r="AT2077" t="s">
        <v>987</v>
      </c>
      <c r="BE2077" t="s">
        <v>1843</v>
      </c>
    </row>
    <row r="2078" spans="1:57" ht="13" x14ac:dyDescent="0.15">
      <c r="A2078">
        <v>1839</v>
      </c>
      <c r="B2078">
        <v>264390375</v>
      </c>
      <c r="C2078" t="s">
        <v>550</v>
      </c>
      <c r="D2078" s="7">
        <v>45162</v>
      </c>
      <c r="E2078" s="7">
        <v>45694</v>
      </c>
      <c r="F2078">
        <v>330862</v>
      </c>
      <c r="G2078" t="s">
        <v>983</v>
      </c>
      <c r="H2078" t="s">
        <v>9</v>
      </c>
      <c r="I2078" s="7">
        <v>45675</v>
      </c>
      <c r="J2078" s="8">
        <v>0.11638888888888889</v>
      </c>
      <c r="K2078" t="s">
        <v>984</v>
      </c>
      <c r="AQ2078" t="s">
        <v>1092</v>
      </c>
      <c r="AR2078" t="s">
        <v>1647</v>
      </c>
      <c r="AT2078" t="s">
        <v>987</v>
      </c>
      <c r="AZ2078" t="s">
        <v>1024</v>
      </c>
      <c r="BA2078" t="s">
        <v>1047</v>
      </c>
      <c r="BB2078" t="s">
        <v>1048</v>
      </c>
      <c r="BD2078" t="s">
        <v>1014</v>
      </c>
      <c r="BE2078" t="s">
        <v>550</v>
      </c>
    </row>
    <row r="2079" spans="1:57" ht="13" x14ac:dyDescent="0.15">
      <c r="A2079">
        <v>1839</v>
      </c>
      <c r="B2079">
        <v>264390375</v>
      </c>
      <c r="C2079" t="s">
        <v>550</v>
      </c>
      <c r="D2079" s="7">
        <v>45162</v>
      </c>
      <c r="E2079" s="7">
        <v>45694</v>
      </c>
      <c r="F2079">
        <v>330862</v>
      </c>
      <c r="G2079" t="s">
        <v>983</v>
      </c>
      <c r="H2079" t="s">
        <v>9</v>
      </c>
      <c r="I2079" s="7">
        <v>45675</v>
      </c>
      <c r="J2079" s="8">
        <v>0.14769675925925926</v>
      </c>
      <c r="K2079" t="s">
        <v>984</v>
      </c>
      <c r="AQ2079" t="s">
        <v>1092</v>
      </c>
      <c r="AR2079" t="s">
        <v>1844</v>
      </c>
      <c r="AT2079" t="s">
        <v>987</v>
      </c>
      <c r="AZ2079" t="s">
        <v>1002</v>
      </c>
      <c r="BA2079" t="s">
        <v>1124</v>
      </c>
      <c r="BB2079" t="s">
        <v>1125</v>
      </c>
      <c r="BD2079" t="s">
        <v>1005</v>
      </c>
      <c r="BE2079" t="s">
        <v>550</v>
      </c>
    </row>
    <row r="2080" spans="1:57" ht="13" x14ac:dyDescent="0.15">
      <c r="A2080">
        <v>1839</v>
      </c>
      <c r="B2080">
        <v>264390375</v>
      </c>
      <c r="C2080" t="s">
        <v>550</v>
      </c>
      <c r="D2080" s="7">
        <v>45162</v>
      </c>
      <c r="E2080" s="7">
        <v>45694</v>
      </c>
      <c r="F2080">
        <v>330862</v>
      </c>
      <c r="G2080" t="s">
        <v>983</v>
      </c>
      <c r="H2080" t="s">
        <v>9</v>
      </c>
      <c r="I2080" s="7">
        <v>45675</v>
      </c>
      <c r="J2080" s="8">
        <v>0.14658564814814815</v>
      </c>
      <c r="K2080" t="s">
        <v>984</v>
      </c>
      <c r="AQ2080" t="s">
        <v>1092</v>
      </c>
      <c r="AR2080" t="s">
        <v>1845</v>
      </c>
      <c r="AT2080" t="s">
        <v>987</v>
      </c>
      <c r="AZ2080" t="s">
        <v>1174</v>
      </c>
      <c r="BA2080" t="s">
        <v>1242</v>
      </c>
      <c r="BB2080" t="s">
        <v>1026</v>
      </c>
      <c r="BD2080" t="s">
        <v>1005</v>
      </c>
      <c r="BE2080" t="s">
        <v>550</v>
      </c>
    </row>
    <row r="2081" spans="1:57" ht="13" x14ac:dyDescent="0.15">
      <c r="A2081">
        <v>1839</v>
      </c>
      <c r="B2081">
        <v>264390375</v>
      </c>
      <c r="C2081" t="s">
        <v>550</v>
      </c>
      <c r="D2081" s="7">
        <v>45162</v>
      </c>
      <c r="E2081" s="7">
        <v>45694</v>
      </c>
      <c r="F2081">
        <v>330862</v>
      </c>
      <c r="G2081" t="s">
        <v>983</v>
      </c>
      <c r="H2081" t="s">
        <v>9</v>
      </c>
      <c r="I2081" s="7">
        <v>45675</v>
      </c>
      <c r="J2081" s="8">
        <v>0.14493055555555556</v>
      </c>
      <c r="K2081" t="s">
        <v>984</v>
      </c>
      <c r="AQ2081" t="s">
        <v>1092</v>
      </c>
      <c r="AR2081" t="s">
        <v>1846</v>
      </c>
      <c r="AT2081" t="s">
        <v>987</v>
      </c>
      <c r="AZ2081" t="s">
        <v>1239</v>
      </c>
      <c r="BA2081" t="s">
        <v>1240</v>
      </c>
      <c r="BB2081" t="s">
        <v>1237</v>
      </c>
      <c r="BD2081" t="s">
        <v>1005</v>
      </c>
      <c r="BE2081" t="s">
        <v>550</v>
      </c>
    </row>
    <row r="2082" spans="1:57" ht="13" x14ac:dyDescent="0.15">
      <c r="A2082">
        <v>1839</v>
      </c>
      <c r="B2082">
        <v>264390375</v>
      </c>
      <c r="C2082" t="s">
        <v>550</v>
      </c>
      <c r="D2082" s="7">
        <v>45162</v>
      </c>
      <c r="E2082" s="7">
        <v>45694</v>
      </c>
      <c r="F2082">
        <v>330862</v>
      </c>
      <c r="G2082" t="s">
        <v>983</v>
      </c>
      <c r="H2082" t="s">
        <v>9</v>
      </c>
      <c r="I2082" s="7">
        <v>45675</v>
      </c>
      <c r="J2082" s="8">
        <v>0.14307870370370371</v>
      </c>
      <c r="K2082" t="s">
        <v>984</v>
      </c>
      <c r="AQ2082" t="s">
        <v>1092</v>
      </c>
      <c r="AR2082" t="s">
        <v>1847</v>
      </c>
      <c r="AT2082" t="s">
        <v>987</v>
      </c>
      <c r="AZ2082" t="s">
        <v>1028</v>
      </c>
      <c r="BA2082" t="s">
        <v>1236</v>
      </c>
      <c r="BB2082" t="s">
        <v>1237</v>
      </c>
      <c r="BD2082" t="s">
        <v>1005</v>
      </c>
      <c r="BE2082" t="s">
        <v>550</v>
      </c>
    </row>
    <row r="2083" spans="1:57" ht="13" x14ac:dyDescent="0.15">
      <c r="A2083">
        <v>1839</v>
      </c>
      <c r="B2083">
        <v>264390375</v>
      </c>
      <c r="C2083" t="s">
        <v>550</v>
      </c>
      <c r="D2083" s="7">
        <v>45162</v>
      </c>
      <c r="E2083" s="7">
        <v>45694</v>
      </c>
      <c r="F2083">
        <v>330862</v>
      </c>
      <c r="G2083" t="s">
        <v>983</v>
      </c>
      <c r="H2083" t="s">
        <v>9</v>
      </c>
      <c r="I2083" s="7">
        <v>45675</v>
      </c>
      <c r="J2083" s="8">
        <v>0.14152777777777778</v>
      </c>
      <c r="K2083" t="s">
        <v>984</v>
      </c>
      <c r="AQ2083" t="s">
        <v>1092</v>
      </c>
      <c r="AR2083" t="s">
        <v>1848</v>
      </c>
      <c r="AT2083" t="s">
        <v>987</v>
      </c>
      <c r="AZ2083" t="s">
        <v>1182</v>
      </c>
      <c r="BA2083" t="s">
        <v>1188</v>
      </c>
      <c r="BB2083" t="s">
        <v>1013</v>
      </c>
      <c r="BD2083" t="s">
        <v>1005</v>
      </c>
      <c r="BE2083" t="s">
        <v>550</v>
      </c>
    </row>
    <row r="2084" spans="1:57" ht="13" x14ac:dyDescent="0.15">
      <c r="A2084">
        <v>1839</v>
      </c>
      <c r="B2084">
        <v>264390375</v>
      </c>
      <c r="C2084" t="s">
        <v>550</v>
      </c>
      <c r="D2084" s="7">
        <v>45162</v>
      </c>
      <c r="E2084" s="7">
        <v>45694</v>
      </c>
      <c r="F2084">
        <v>330862</v>
      </c>
      <c r="G2084" t="s">
        <v>983</v>
      </c>
      <c r="H2084" t="s">
        <v>9</v>
      </c>
      <c r="I2084" s="7">
        <v>45675</v>
      </c>
      <c r="J2084" s="8">
        <v>0.14023148148148148</v>
      </c>
      <c r="K2084" t="s">
        <v>984</v>
      </c>
      <c r="AQ2084" t="s">
        <v>1092</v>
      </c>
      <c r="AR2084" t="s">
        <v>1849</v>
      </c>
      <c r="AT2084" t="s">
        <v>987</v>
      </c>
      <c r="AZ2084" t="s">
        <v>1139</v>
      </c>
      <c r="BA2084" t="s">
        <v>1140</v>
      </c>
      <c r="BB2084" t="s">
        <v>1032</v>
      </c>
      <c r="BD2084" t="s">
        <v>1005</v>
      </c>
      <c r="BE2084" t="s">
        <v>550</v>
      </c>
    </row>
    <row r="2085" spans="1:57" ht="13" x14ac:dyDescent="0.15">
      <c r="A2085">
        <v>1839</v>
      </c>
      <c r="B2085">
        <v>264390375</v>
      </c>
      <c r="C2085" t="s">
        <v>550</v>
      </c>
      <c r="D2085" s="7">
        <v>45162</v>
      </c>
      <c r="E2085" s="7">
        <v>45694</v>
      </c>
      <c r="F2085">
        <v>330862</v>
      </c>
      <c r="G2085" t="s">
        <v>983</v>
      </c>
      <c r="H2085" t="s">
        <v>9</v>
      </c>
      <c r="I2085" s="7">
        <v>45675</v>
      </c>
      <c r="J2085" s="8">
        <v>0.13893518518518519</v>
      </c>
      <c r="K2085" t="s">
        <v>984</v>
      </c>
      <c r="AQ2085" t="s">
        <v>1092</v>
      </c>
      <c r="AR2085" t="s">
        <v>1850</v>
      </c>
      <c r="AT2085" t="s">
        <v>987</v>
      </c>
      <c r="AZ2085" t="s">
        <v>1020</v>
      </c>
      <c r="BA2085" t="s">
        <v>1230</v>
      </c>
      <c r="BB2085" t="s">
        <v>1018</v>
      </c>
      <c r="BD2085" t="s">
        <v>1005</v>
      </c>
      <c r="BE2085" t="s">
        <v>550</v>
      </c>
    </row>
    <row r="2086" spans="1:57" ht="13" x14ac:dyDescent="0.15">
      <c r="A2086">
        <v>1839</v>
      </c>
      <c r="B2086">
        <v>264390375</v>
      </c>
      <c r="C2086" t="s">
        <v>550</v>
      </c>
      <c r="D2086" s="7">
        <v>45162</v>
      </c>
      <c r="E2086" s="7">
        <v>45694</v>
      </c>
      <c r="F2086">
        <v>330862</v>
      </c>
      <c r="G2086" t="s">
        <v>983</v>
      </c>
      <c r="H2086" t="s">
        <v>9</v>
      </c>
      <c r="I2086" s="7">
        <v>45675</v>
      </c>
      <c r="J2086" s="8">
        <v>0.13768518518518519</v>
      </c>
      <c r="K2086" t="s">
        <v>984</v>
      </c>
      <c r="AQ2086" t="s">
        <v>1092</v>
      </c>
      <c r="AR2086" t="s">
        <v>1851</v>
      </c>
      <c r="AT2086" t="s">
        <v>987</v>
      </c>
      <c r="AZ2086" t="s">
        <v>988</v>
      </c>
      <c r="BA2086" t="s">
        <v>1058</v>
      </c>
      <c r="BB2086" t="s">
        <v>1018</v>
      </c>
      <c r="BD2086" t="s">
        <v>1005</v>
      </c>
      <c r="BE2086" t="s">
        <v>550</v>
      </c>
    </row>
    <row r="2087" spans="1:57" ht="13" x14ac:dyDescent="0.15">
      <c r="A2087">
        <v>1839</v>
      </c>
      <c r="B2087">
        <v>264390375</v>
      </c>
      <c r="C2087" t="s">
        <v>550</v>
      </c>
      <c r="D2087" s="7">
        <v>45162</v>
      </c>
      <c r="E2087" s="7">
        <v>45694</v>
      </c>
      <c r="F2087">
        <v>330862</v>
      </c>
      <c r="G2087" t="s">
        <v>983</v>
      </c>
      <c r="H2087" t="s">
        <v>9</v>
      </c>
      <c r="I2087" s="7">
        <v>45675</v>
      </c>
      <c r="J2087" s="8">
        <v>0.13636574074074073</v>
      </c>
      <c r="K2087" t="s">
        <v>984</v>
      </c>
      <c r="AQ2087" t="s">
        <v>1092</v>
      </c>
      <c r="AR2087" t="s">
        <v>1852</v>
      </c>
      <c r="AT2087" t="s">
        <v>987</v>
      </c>
      <c r="AZ2087" t="s">
        <v>1071</v>
      </c>
      <c r="BA2087" t="s">
        <v>1072</v>
      </c>
      <c r="BB2087" t="s">
        <v>1048</v>
      </c>
      <c r="BD2087" t="s">
        <v>1005</v>
      </c>
      <c r="BE2087" t="s">
        <v>550</v>
      </c>
    </row>
    <row r="2088" spans="1:57" ht="13" x14ac:dyDescent="0.15">
      <c r="A2088">
        <v>1839</v>
      </c>
      <c r="B2088">
        <v>264390375</v>
      </c>
      <c r="C2088" t="s">
        <v>550</v>
      </c>
      <c r="D2088" s="7">
        <v>45162</v>
      </c>
      <c r="E2088" s="7">
        <v>45694</v>
      </c>
      <c r="F2088">
        <v>330862</v>
      </c>
      <c r="G2088" t="s">
        <v>983</v>
      </c>
      <c r="H2088" t="s">
        <v>9</v>
      </c>
      <c r="I2088" s="7">
        <v>45675</v>
      </c>
      <c r="J2088" s="8">
        <v>0.13511574074074073</v>
      </c>
      <c r="K2088" t="s">
        <v>984</v>
      </c>
      <c r="AQ2088" t="s">
        <v>1092</v>
      </c>
      <c r="AR2088" t="s">
        <v>1853</v>
      </c>
      <c r="AT2088" t="s">
        <v>987</v>
      </c>
      <c r="AZ2088" t="s">
        <v>1028</v>
      </c>
      <c r="BA2088" t="s">
        <v>1068</v>
      </c>
      <c r="BB2088" t="s">
        <v>1069</v>
      </c>
      <c r="BD2088" t="s">
        <v>1005</v>
      </c>
      <c r="BE2088" t="s">
        <v>550</v>
      </c>
    </row>
    <row r="2089" spans="1:57" ht="13" x14ac:dyDescent="0.15">
      <c r="A2089">
        <v>1839</v>
      </c>
      <c r="B2089">
        <v>264390375</v>
      </c>
      <c r="C2089" t="s">
        <v>550</v>
      </c>
      <c r="D2089" s="7">
        <v>45162</v>
      </c>
      <c r="E2089" s="7">
        <v>45694</v>
      </c>
      <c r="F2089">
        <v>330862</v>
      </c>
      <c r="G2089" t="s">
        <v>983</v>
      </c>
      <c r="H2089" t="s">
        <v>9</v>
      </c>
      <c r="I2089" s="7">
        <v>45675</v>
      </c>
      <c r="J2089" s="8">
        <v>0.13136574074074073</v>
      </c>
      <c r="K2089" t="s">
        <v>984</v>
      </c>
      <c r="AQ2089" t="s">
        <v>1092</v>
      </c>
      <c r="AR2089" t="s">
        <v>1647</v>
      </c>
      <c r="AT2089" t="s">
        <v>987</v>
      </c>
      <c r="AZ2089" t="s">
        <v>1024</v>
      </c>
      <c r="BA2089" t="s">
        <v>1047</v>
      </c>
      <c r="BB2089" t="s">
        <v>1048</v>
      </c>
      <c r="BD2089" t="s">
        <v>1014</v>
      </c>
      <c r="BE2089" t="s">
        <v>550</v>
      </c>
    </row>
    <row r="2090" spans="1:57" ht="13" x14ac:dyDescent="0.15">
      <c r="A2090">
        <v>1839</v>
      </c>
      <c r="B2090">
        <v>264390375</v>
      </c>
      <c r="C2090" t="s">
        <v>550</v>
      </c>
      <c r="D2090" s="7">
        <v>45162</v>
      </c>
      <c r="E2090" s="7">
        <v>45694</v>
      </c>
      <c r="F2090">
        <v>330862</v>
      </c>
      <c r="G2090" t="s">
        <v>983</v>
      </c>
      <c r="H2090" t="s">
        <v>9</v>
      </c>
      <c r="I2090" s="7">
        <v>45675</v>
      </c>
      <c r="J2090" s="8">
        <v>0.12956018518518519</v>
      </c>
      <c r="K2090" t="s">
        <v>984</v>
      </c>
      <c r="AQ2090" t="s">
        <v>1092</v>
      </c>
      <c r="AR2090" t="s">
        <v>1121</v>
      </c>
      <c r="AT2090" t="s">
        <v>987</v>
      </c>
      <c r="AZ2090" t="s">
        <v>1007</v>
      </c>
      <c r="BA2090" t="s">
        <v>1008</v>
      </c>
      <c r="BB2090" t="s">
        <v>990</v>
      </c>
      <c r="BD2090" t="s">
        <v>1005</v>
      </c>
      <c r="BE2090" t="s">
        <v>550</v>
      </c>
    </row>
    <row r="2091" spans="1:57" ht="13" x14ac:dyDescent="0.15">
      <c r="A2091">
        <v>1839</v>
      </c>
      <c r="B2091">
        <v>264390375</v>
      </c>
      <c r="C2091" t="s">
        <v>550</v>
      </c>
      <c r="D2091" s="7">
        <v>45162</v>
      </c>
      <c r="E2091" s="7">
        <v>45694</v>
      </c>
      <c r="F2091">
        <v>330862</v>
      </c>
      <c r="G2091" t="s">
        <v>983</v>
      </c>
      <c r="H2091" t="s">
        <v>9</v>
      </c>
      <c r="I2091" s="7">
        <v>45694</v>
      </c>
      <c r="J2091" s="8">
        <v>0.39912037037037035</v>
      </c>
      <c r="K2091" t="s">
        <v>984</v>
      </c>
      <c r="AQ2091" t="s">
        <v>1092</v>
      </c>
      <c r="AR2091" t="s">
        <v>986</v>
      </c>
      <c r="AT2091" t="s">
        <v>987</v>
      </c>
      <c r="AZ2091" t="s">
        <v>988</v>
      </c>
      <c r="BA2091" t="s">
        <v>989</v>
      </c>
      <c r="BB2091" t="s">
        <v>990</v>
      </c>
      <c r="BD2091" t="s">
        <v>991</v>
      </c>
      <c r="BE2091" t="s">
        <v>550</v>
      </c>
    </row>
    <row r="2092" spans="1:57" ht="13" x14ac:dyDescent="0.15">
      <c r="A2092">
        <v>1839</v>
      </c>
      <c r="B2092">
        <v>264390375</v>
      </c>
      <c r="C2092" t="s">
        <v>550</v>
      </c>
      <c r="D2092" s="7">
        <v>45162</v>
      </c>
      <c r="E2092" s="7">
        <v>45694</v>
      </c>
      <c r="F2092">
        <v>330862</v>
      </c>
      <c r="G2092" t="s">
        <v>983</v>
      </c>
      <c r="H2092" t="s">
        <v>9</v>
      </c>
      <c r="I2092" s="7">
        <v>45675</v>
      </c>
      <c r="J2092" s="8">
        <v>0.11730324074074074</v>
      </c>
      <c r="K2092" t="s">
        <v>984</v>
      </c>
      <c r="AQ2092" t="s">
        <v>1092</v>
      </c>
      <c r="AR2092" t="s">
        <v>1505</v>
      </c>
      <c r="AT2092" t="s">
        <v>987</v>
      </c>
      <c r="AZ2092" t="s">
        <v>1044</v>
      </c>
      <c r="BA2092" t="s">
        <v>1045</v>
      </c>
      <c r="BB2092" t="s">
        <v>990</v>
      </c>
      <c r="BD2092" t="s">
        <v>991</v>
      </c>
      <c r="BE2092" t="s">
        <v>550</v>
      </c>
    </row>
    <row r="2093" spans="1:57" ht="13" x14ac:dyDescent="0.15">
      <c r="A2093">
        <v>1839</v>
      </c>
      <c r="B2093">
        <v>264390375</v>
      </c>
      <c r="C2093" t="s">
        <v>550</v>
      </c>
      <c r="D2093" s="7">
        <v>45162</v>
      </c>
      <c r="E2093" s="7">
        <v>45694</v>
      </c>
      <c r="F2093">
        <v>330862</v>
      </c>
      <c r="G2093" t="s">
        <v>983</v>
      </c>
      <c r="H2093" t="s">
        <v>9</v>
      </c>
      <c r="I2093" s="7">
        <v>45675</v>
      </c>
      <c r="J2093" s="8">
        <v>0.12785879629629629</v>
      </c>
      <c r="K2093" t="s">
        <v>984</v>
      </c>
      <c r="AQ2093" t="s">
        <v>1092</v>
      </c>
      <c r="AR2093" t="s">
        <v>1051</v>
      </c>
      <c r="AT2093" t="s">
        <v>987</v>
      </c>
      <c r="AZ2093" t="s">
        <v>1002</v>
      </c>
      <c r="BA2093" t="s">
        <v>1003</v>
      </c>
      <c r="BB2093" t="s">
        <v>1004</v>
      </c>
      <c r="BD2093" t="s">
        <v>1005</v>
      </c>
      <c r="BE2093" t="s">
        <v>550</v>
      </c>
    </row>
    <row r="2094" spans="1:57" ht="13" x14ac:dyDescent="0.15">
      <c r="A2094">
        <v>1839</v>
      </c>
      <c r="B2094">
        <v>264915254</v>
      </c>
      <c r="C2094" t="s">
        <v>551</v>
      </c>
      <c r="D2094" s="7">
        <v>45166</v>
      </c>
      <c r="E2094" s="7">
        <v>45709</v>
      </c>
      <c r="F2094">
        <v>330862</v>
      </c>
      <c r="G2094" t="s">
        <v>983</v>
      </c>
      <c r="H2094" t="s">
        <v>9</v>
      </c>
      <c r="I2094" s="7">
        <v>45707</v>
      </c>
      <c r="J2094" s="8">
        <v>0.39255787037037038</v>
      </c>
      <c r="K2094" t="s">
        <v>984</v>
      </c>
      <c r="AQ2094" t="s">
        <v>1089</v>
      </c>
      <c r="AR2094" t="s">
        <v>1624</v>
      </c>
      <c r="AT2094" t="s">
        <v>987</v>
      </c>
      <c r="AZ2094" t="s">
        <v>1220</v>
      </c>
      <c r="BA2094" t="s">
        <v>1221</v>
      </c>
      <c r="BB2094" t="s">
        <v>1082</v>
      </c>
      <c r="BD2094" t="s">
        <v>991</v>
      </c>
      <c r="BE2094" t="s">
        <v>551</v>
      </c>
    </row>
    <row r="2095" spans="1:57" ht="13" x14ac:dyDescent="0.15">
      <c r="A2095">
        <v>1839</v>
      </c>
      <c r="B2095">
        <v>264924177</v>
      </c>
      <c r="C2095" t="s">
        <v>1854</v>
      </c>
      <c r="D2095" s="7">
        <v>45167</v>
      </c>
      <c r="E2095" s="7">
        <v>45638</v>
      </c>
      <c r="F2095">
        <v>330862</v>
      </c>
      <c r="G2095" t="s">
        <v>983</v>
      </c>
      <c r="H2095" t="s">
        <v>9</v>
      </c>
      <c r="I2095" s="7">
        <v>45551</v>
      </c>
      <c r="J2095" s="8">
        <v>0.65068287037037043</v>
      </c>
      <c r="K2095" t="s">
        <v>984</v>
      </c>
      <c r="AQ2095" t="s">
        <v>985</v>
      </c>
      <c r="AR2095" t="s">
        <v>1100</v>
      </c>
      <c r="AT2095" t="s">
        <v>987</v>
      </c>
      <c r="BE2095" t="s">
        <v>1854</v>
      </c>
    </row>
    <row r="2096" spans="1:57" ht="13" x14ac:dyDescent="0.15">
      <c r="A2096">
        <v>1839</v>
      </c>
      <c r="B2096">
        <v>264924177</v>
      </c>
      <c r="C2096" t="s">
        <v>1854</v>
      </c>
      <c r="D2096" s="7">
        <v>45167</v>
      </c>
      <c r="E2096" s="7">
        <v>45638</v>
      </c>
      <c r="F2096">
        <v>330862</v>
      </c>
      <c r="G2096" t="s">
        <v>983</v>
      </c>
      <c r="H2096" t="s">
        <v>9</v>
      </c>
      <c r="I2096" s="7">
        <v>45616</v>
      </c>
      <c r="J2096" s="8">
        <v>0.38285879629629632</v>
      </c>
      <c r="K2096" t="s">
        <v>984</v>
      </c>
      <c r="AQ2096" t="s">
        <v>998</v>
      </c>
      <c r="AR2096" t="s">
        <v>1539</v>
      </c>
      <c r="AT2096" t="s">
        <v>987</v>
      </c>
      <c r="BE2096" t="s">
        <v>1854</v>
      </c>
    </row>
    <row r="2097" spans="1:57" ht="13" x14ac:dyDescent="0.15">
      <c r="A2097">
        <v>1839</v>
      </c>
      <c r="B2097">
        <v>264924177</v>
      </c>
      <c r="C2097" t="s">
        <v>1854</v>
      </c>
      <c r="D2097" s="7">
        <v>45167</v>
      </c>
      <c r="E2097" s="7">
        <v>45638</v>
      </c>
      <c r="F2097">
        <v>330862</v>
      </c>
      <c r="G2097" t="s">
        <v>983</v>
      </c>
      <c r="H2097" t="s">
        <v>9</v>
      </c>
      <c r="I2097" s="7">
        <v>45615</v>
      </c>
      <c r="J2097" s="8">
        <v>0.73317129629629629</v>
      </c>
      <c r="K2097" t="s">
        <v>984</v>
      </c>
      <c r="AQ2097" t="s">
        <v>985</v>
      </c>
      <c r="AR2097" t="s">
        <v>1855</v>
      </c>
      <c r="AT2097" t="s">
        <v>987</v>
      </c>
      <c r="BE2097" t="s">
        <v>1854</v>
      </c>
    </row>
    <row r="2098" spans="1:57" ht="13" x14ac:dyDescent="0.15">
      <c r="A2098">
        <v>1839</v>
      </c>
      <c r="B2098">
        <v>264924177</v>
      </c>
      <c r="C2098" t="s">
        <v>1854</v>
      </c>
      <c r="D2098" s="7">
        <v>45167</v>
      </c>
      <c r="E2098" s="7">
        <v>45638</v>
      </c>
      <c r="F2098">
        <v>330862</v>
      </c>
      <c r="G2098" t="s">
        <v>983</v>
      </c>
      <c r="H2098" t="s">
        <v>9</v>
      </c>
      <c r="I2098" s="7">
        <v>45613</v>
      </c>
      <c r="J2098" s="8">
        <v>0.79562500000000003</v>
      </c>
      <c r="K2098" t="s">
        <v>984</v>
      </c>
      <c r="AQ2098" t="s">
        <v>985</v>
      </c>
      <c r="AR2098" t="s">
        <v>1856</v>
      </c>
      <c r="AT2098" t="s">
        <v>987</v>
      </c>
      <c r="BE2098" t="s">
        <v>1854</v>
      </c>
    </row>
    <row r="2099" spans="1:57" ht="13" x14ac:dyDescent="0.15">
      <c r="A2099">
        <v>1839</v>
      </c>
      <c r="B2099">
        <v>264924177</v>
      </c>
      <c r="C2099" t="s">
        <v>1854</v>
      </c>
      <c r="D2099" s="7">
        <v>45167</v>
      </c>
      <c r="E2099" s="7">
        <v>45638</v>
      </c>
      <c r="F2099">
        <v>330862</v>
      </c>
      <c r="G2099" t="s">
        <v>983</v>
      </c>
      <c r="H2099" t="s">
        <v>9</v>
      </c>
      <c r="I2099" s="7">
        <v>45611</v>
      </c>
      <c r="J2099" s="8">
        <v>0.56746527777777778</v>
      </c>
      <c r="K2099" t="s">
        <v>984</v>
      </c>
      <c r="AQ2099" t="s">
        <v>985</v>
      </c>
      <c r="AR2099" t="s">
        <v>1857</v>
      </c>
      <c r="AT2099" t="s">
        <v>987</v>
      </c>
      <c r="BE2099" t="s">
        <v>1854</v>
      </c>
    </row>
    <row r="2100" spans="1:57" ht="13" x14ac:dyDescent="0.15">
      <c r="A2100">
        <v>1839</v>
      </c>
      <c r="B2100">
        <v>264924177</v>
      </c>
      <c r="C2100" t="s">
        <v>1854</v>
      </c>
      <c r="D2100" s="7">
        <v>45167</v>
      </c>
      <c r="E2100" s="7">
        <v>45638</v>
      </c>
      <c r="F2100">
        <v>330862</v>
      </c>
      <c r="G2100" t="s">
        <v>983</v>
      </c>
      <c r="H2100" t="s">
        <v>9</v>
      </c>
      <c r="I2100" s="7">
        <v>45603</v>
      </c>
      <c r="J2100" s="8">
        <v>0.72539351851851852</v>
      </c>
      <c r="K2100" t="s">
        <v>984</v>
      </c>
      <c r="AQ2100" t="s">
        <v>985</v>
      </c>
      <c r="AR2100" t="s">
        <v>1858</v>
      </c>
      <c r="AT2100" t="s">
        <v>987</v>
      </c>
      <c r="BE2100" t="s">
        <v>1854</v>
      </c>
    </row>
    <row r="2101" spans="1:57" ht="13" x14ac:dyDescent="0.15">
      <c r="A2101">
        <v>1839</v>
      </c>
      <c r="B2101">
        <v>264924177</v>
      </c>
      <c r="C2101" t="s">
        <v>1854</v>
      </c>
      <c r="D2101" s="7">
        <v>45167</v>
      </c>
      <c r="E2101" s="7">
        <v>45638</v>
      </c>
      <c r="F2101">
        <v>330862</v>
      </c>
      <c r="G2101" t="s">
        <v>983</v>
      </c>
      <c r="H2101" t="s">
        <v>9</v>
      </c>
      <c r="I2101" s="7">
        <v>45593</v>
      </c>
      <c r="J2101" s="8">
        <v>0.73949074074074073</v>
      </c>
      <c r="K2101" t="s">
        <v>984</v>
      </c>
      <c r="AQ2101" t="s">
        <v>985</v>
      </c>
      <c r="AR2101" t="s">
        <v>1100</v>
      </c>
      <c r="AT2101" t="s">
        <v>987</v>
      </c>
      <c r="BE2101" t="s">
        <v>1854</v>
      </c>
    </row>
    <row r="2102" spans="1:57" ht="13" x14ac:dyDescent="0.15">
      <c r="A2102">
        <v>1839</v>
      </c>
      <c r="B2102">
        <v>264924177</v>
      </c>
      <c r="C2102" t="s">
        <v>1854</v>
      </c>
      <c r="D2102" s="7">
        <v>45167</v>
      </c>
      <c r="E2102" s="7">
        <v>45638</v>
      </c>
      <c r="F2102">
        <v>330862</v>
      </c>
      <c r="G2102" t="s">
        <v>983</v>
      </c>
      <c r="H2102" t="s">
        <v>9</v>
      </c>
      <c r="I2102" s="7">
        <v>45590</v>
      </c>
      <c r="J2102" s="8">
        <v>0.46827546296296296</v>
      </c>
      <c r="K2102" t="s">
        <v>984</v>
      </c>
      <c r="AQ2102" t="s">
        <v>985</v>
      </c>
      <c r="AR2102" t="s">
        <v>1100</v>
      </c>
      <c r="AT2102" t="s">
        <v>987</v>
      </c>
      <c r="BE2102" t="s">
        <v>1854</v>
      </c>
    </row>
    <row r="2103" spans="1:57" ht="13" x14ac:dyDescent="0.15">
      <c r="A2103">
        <v>1839</v>
      </c>
      <c r="B2103">
        <v>264924177</v>
      </c>
      <c r="C2103" t="s">
        <v>1854</v>
      </c>
      <c r="D2103" s="7">
        <v>45167</v>
      </c>
      <c r="E2103" s="7">
        <v>45638</v>
      </c>
      <c r="F2103">
        <v>330862</v>
      </c>
      <c r="G2103" t="s">
        <v>983</v>
      </c>
      <c r="H2103" t="s">
        <v>9</v>
      </c>
      <c r="I2103" s="7">
        <v>45589</v>
      </c>
      <c r="J2103" s="8">
        <v>0.60533564814814811</v>
      </c>
      <c r="K2103" t="s">
        <v>984</v>
      </c>
      <c r="AQ2103" t="s">
        <v>985</v>
      </c>
      <c r="AR2103" t="s">
        <v>1859</v>
      </c>
      <c r="AT2103" t="s">
        <v>987</v>
      </c>
      <c r="BE2103" t="s">
        <v>1854</v>
      </c>
    </row>
    <row r="2104" spans="1:57" ht="13" x14ac:dyDescent="0.15">
      <c r="A2104">
        <v>1839</v>
      </c>
      <c r="B2104">
        <v>264924177</v>
      </c>
      <c r="C2104" t="s">
        <v>1854</v>
      </c>
      <c r="D2104" s="7">
        <v>45167</v>
      </c>
      <c r="E2104" s="7">
        <v>45638</v>
      </c>
      <c r="F2104">
        <v>330862</v>
      </c>
      <c r="G2104" t="s">
        <v>983</v>
      </c>
      <c r="H2104" t="s">
        <v>9</v>
      </c>
      <c r="I2104" s="7">
        <v>45589</v>
      </c>
      <c r="J2104" s="8">
        <v>0.5703125</v>
      </c>
      <c r="K2104" t="s">
        <v>984</v>
      </c>
      <c r="AQ2104" t="s">
        <v>985</v>
      </c>
      <c r="AR2104" t="s">
        <v>1100</v>
      </c>
      <c r="AT2104" t="s">
        <v>987</v>
      </c>
      <c r="BE2104" t="s">
        <v>1854</v>
      </c>
    </row>
    <row r="2105" spans="1:57" ht="13" x14ac:dyDescent="0.15">
      <c r="A2105">
        <v>1839</v>
      </c>
      <c r="B2105">
        <v>264924177</v>
      </c>
      <c r="C2105" t="s">
        <v>1854</v>
      </c>
      <c r="D2105" s="7">
        <v>45167</v>
      </c>
      <c r="E2105" s="7">
        <v>45638</v>
      </c>
      <c r="F2105">
        <v>330862</v>
      </c>
      <c r="G2105" t="s">
        <v>983</v>
      </c>
      <c r="H2105" t="s">
        <v>9</v>
      </c>
      <c r="I2105" s="7">
        <v>45588</v>
      </c>
      <c r="J2105" s="8">
        <v>0.49012731481481481</v>
      </c>
      <c r="K2105" t="s">
        <v>984</v>
      </c>
      <c r="AQ2105" t="s">
        <v>985</v>
      </c>
      <c r="AR2105" t="s">
        <v>1100</v>
      </c>
      <c r="AT2105" t="s">
        <v>987</v>
      </c>
      <c r="BE2105" t="s">
        <v>1854</v>
      </c>
    </row>
    <row r="2106" spans="1:57" ht="13" x14ac:dyDescent="0.15">
      <c r="A2106">
        <v>1839</v>
      </c>
      <c r="B2106">
        <v>264924177</v>
      </c>
      <c r="C2106" t="s">
        <v>1854</v>
      </c>
      <c r="D2106" s="7">
        <v>45167</v>
      </c>
      <c r="E2106" s="7">
        <v>45638</v>
      </c>
      <c r="F2106">
        <v>330862</v>
      </c>
      <c r="G2106" t="s">
        <v>983</v>
      </c>
      <c r="H2106" t="s">
        <v>9</v>
      </c>
      <c r="I2106" s="7">
        <v>45576</v>
      </c>
      <c r="J2106" s="8">
        <v>0.41233796296296299</v>
      </c>
      <c r="K2106" t="s">
        <v>984</v>
      </c>
      <c r="AQ2106" t="s">
        <v>985</v>
      </c>
      <c r="AR2106" t="s">
        <v>1100</v>
      </c>
      <c r="AT2106" t="s">
        <v>987</v>
      </c>
      <c r="BE2106" t="s">
        <v>1854</v>
      </c>
    </row>
    <row r="2107" spans="1:57" ht="13" x14ac:dyDescent="0.15">
      <c r="A2107">
        <v>1839</v>
      </c>
      <c r="B2107">
        <v>264924177</v>
      </c>
      <c r="C2107" t="s">
        <v>1854</v>
      </c>
      <c r="D2107" s="7">
        <v>45167</v>
      </c>
      <c r="E2107" s="7">
        <v>45638</v>
      </c>
      <c r="F2107">
        <v>330862</v>
      </c>
      <c r="G2107" t="s">
        <v>983</v>
      </c>
      <c r="H2107" t="s">
        <v>9</v>
      </c>
      <c r="I2107" s="7">
        <v>45576</v>
      </c>
      <c r="J2107" s="8">
        <v>0.39307870370370368</v>
      </c>
      <c r="K2107" t="s">
        <v>984</v>
      </c>
      <c r="AQ2107" t="s">
        <v>985</v>
      </c>
      <c r="AR2107" t="s">
        <v>1100</v>
      </c>
      <c r="AT2107" t="s">
        <v>987</v>
      </c>
      <c r="BE2107" t="s">
        <v>1854</v>
      </c>
    </row>
    <row r="2108" spans="1:57" ht="13" x14ac:dyDescent="0.15">
      <c r="A2108">
        <v>1839</v>
      </c>
      <c r="B2108">
        <v>264924177</v>
      </c>
      <c r="C2108" t="s">
        <v>1854</v>
      </c>
      <c r="D2108" s="7">
        <v>45167</v>
      </c>
      <c r="E2108" s="7">
        <v>45638</v>
      </c>
      <c r="F2108">
        <v>330862</v>
      </c>
      <c r="G2108" t="s">
        <v>983</v>
      </c>
      <c r="H2108" t="s">
        <v>9</v>
      </c>
      <c r="I2108" s="7">
        <v>45569</v>
      </c>
      <c r="J2108" s="8">
        <v>0.61868055555555557</v>
      </c>
      <c r="K2108" t="s">
        <v>984</v>
      </c>
      <c r="AQ2108" t="s">
        <v>985</v>
      </c>
      <c r="AR2108" t="s">
        <v>1100</v>
      </c>
      <c r="AT2108" t="s">
        <v>987</v>
      </c>
      <c r="BE2108" t="s">
        <v>1854</v>
      </c>
    </row>
    <row r="2109" spans="1:57" ht="13" x14ac:dyDescent="0.15">
      <c r="A2109">
        <v>1839</v>
      </c>
      <c r="B2109">
        <v>264924177</v>
      </c>
      <c r="C2109" t="s">
        <v>1854</v>
      </c>
      <c r="D2109" s="7">
        <v>45167</v>
      </c>
      <c r="E2109" s="7">
        <v>45638</v>
      </c>
      <c r="F2109">
        <v>330862</v>
      </c>
      <c r="G2109" t="s">
        <v>983</v>
      </c>
      <c r="H2109" t="s">
        <v>9</v>
      </c>
      <c r="I2109" s="7">
        <v>45572</v>
      </c>
      <c r="J2109" s="8">
        <v>0.62317129629629631</v>
      </c>
      <c r="K2109" t="s">
        <v>984</v>
      </c>
      <c r="AQ2109" t="s">
        <v>985</v>
      </c>
      <c r="AR2109" t="s">
        <v>1100</v>
      </c>
      <c r="AT2109" t="s">
        <v>987</v>
      </c>
      <c r="BE2109" t="s">
        <v>1854</v>
      </c>
    </row>
    <row r="2110" spans="1:57" ht="13" x14ac:dyDescent="0.15">
      <c r="A2110">
        <v>1839</v>
      </c>
      <c r="B2110">
        <v>264924177</v>
      </c>
      <c r="C2110" t="s">
        <v>1854</v>
      </c>
      <c r="D2110" s="7">
        <v>45167</v>
      </c>
      <c r="E2110" s="7">
        <v>45638</v>
      </c>
      <c r="F2110">
        <v>336447</v>
      </c>
      <c r="G2110" t="s">
        <v>1074</v>
      </c>
      <c r="H2110" t="s">
        <v>26</v>
      </c>
      <c r="I2110" s="7">
        <v>45561</v>
      </c>
      <c r="J2110" s="8">
        <v>0.62310185185185185</v>
      </c>
      <c r="K2110" t="s">
        <v>984</v>
      </c>
      <c r="AQ2110" t="s">
        <v>985</v>
      </c>
      <c r="AR2110" t="s">
        <v>1118</v>
      </c>
      <c r="BE2110" t="s">
        <v>1854</v>
      </c>
    </row>
    <row r="2111" spans="1:57" ht="13" x14ac:dyDescent="0.15">
      <c r="A2111">
        <v>1839</v>
      </c>
      <c r="B2111">
        <v>264924177</v>
      </c>
      <c r="C2111" t="s">
        <v>1854</v>
      </c>
      <c r="D2111" s="7">
        <v>45167</v>
      </c>
      <c r="E2111" s="7">
        <v>45638</v>
      </c>
      <c r="F2111">
        <v>336447</v>
      </c>
      <c r="G2111" t="s">
        <v>1074</v>
      </c>
      <c r="H2111" t="s">
        <v>26</v>
      </c>
      <c r="I2111" s="7">
        <v>45569</v>
      </c>
      <c r="J2111" s="8">
        <v>0.55188657407407404</v>
      </c>
      <c r="K2111" t="s">
        <v>984</v>
      </c>
      <c r="AQ2111" t="s">
        <v>985</v>
      </c>
      <c r="AR2111" t="s">
        <v>1118</v>
      </c>
      <c r="BE2111" t="s">
        <v>1854</v>
      </c>
    </row>
    <row r="2112" spans="1:57" ht="13" x14ac:dyDescent="0.15">
      <c r="A2112">
        <v>1839</v>
      </c>
      <c r="B2112">
        <v>264924177</v>
      </c>
      <c r="C2112" t="s">
        <v>1854</v>
      </c>
      <c r="D2112" s="7">
        <v>45167</v>
      </c>
      <c r="E2112" s="7">
        <v>45638</v>
      </c>
      <c r="F2112">
        <v>336453</v>
      </c>
      <c r="G2112" t="s">
        <v>1074</v>
      </c>
      <c r="H2112" t="s">
        <v>27</v>
      </c>
      <c r="I2112" s="7">
        <v>45561</v>
      </c>
      <c r="J2112" s="8">
        <v>0.62335648148148148</v>
      </c>
      <c r="K2112" t="s">
        <v>984</v>
      </c>
      <c r="AQ2112" t="s">
        <v>985</v>
      </c>
      <c r="AR2112" t="s">
        <v>1076</v>
      </c>
      <c r="BE2112" t="s">
        <v>1854</v>
      </c>
    </row>
    <row r="2113" spans="1:57" ht="13" x14ac:dyDescent="0.15">
      <c r="A2113">
        <v>1839</v>
      </c>
      <c r="B2113">
        <v>265472149</v>
      </c>
      <c r="C2113" t="s">
        <v>552</v>
      </c>
      <c r="D2113" s="7">
        <v>45181</v>
      </c>
      <c r="E2113" s="7">
        <v>45692</v>
      </c>
      <c r="F2113">
        <v>330862</v>
      </c>
      <c r="G2113" t="s">
        <v>983</v>
      </c>
      <c r="H2113" t="s">
        <v>9</v>
      </c>
      <c r="I2113" s="7">
        <v>45672</v>
      </c>
      <c r="J2113" s="8">
        <v>5.1111111111111114E-2</v>
      </c>
      <c r="K2113" t="s">
        <v>984</v>
      </c>
      <c r="AQ2113" t="s">
        <v>992</v>
      </c>
      <c r="AR2113" t="s">
        <v>1553</v>
      </c>
      <c r="AT2113" t="s">
        <v>987</v>
      </c>
      <c r="AZ2113" t="s">
        <v>1011</v>
      </c>
      <c r="BA2113" t="s">
        <v>1202</v>
      </c>
      <c r="BB2113" t="s">
        <v>1203</v>
      </c>
      <c r="BD2113" t="s">
        <v>991</v>
      </c>
      <c r="BE2113" t="s">
        <v>552</v>
      </c>
    </row>
    <row r="2114" spans="1:57" ht="13" x14ac:dyDescent="0.15">
      <c r="A2114">
        <v>1839</v>
      </c>
      <c r="B2114">
        <v>266972729</v>
      </c>
      <c r="C2114" t="s">
        <v>553</v>
      </c>
      <c r="D2114" s="7">
        <v>45194</v>
      </c>
      <c r="E2114" s="7">
        <v>45668</v>
      </c>
      <c r="F2114">
        <v>330862</v>
      </c>
      <c r="G2114" t="s">
        <v>983</v>
      </c>
      <c r="H2114" t="s">
        <v>9</v>
      </c>
      <c r="I2114" s="7">
        <v>45667</v>
      </c>
      <c r="J2114" s="8">
        <v>0.51355324074074071</v>
      </c>
      <c r="K2114" t="s">
        <v>984</v>
      </c>
      <c r="AQ2114" t="s">
        <v>992</v>
      </c>
      <c r="AR2114" t="s">
        <v>1860</v>
      </c>
      <c r="AT2114" t="s">
        <v>987</v>
      </c>
      <c r="AZ2114" t="s">
        <v>1024</v>
      </c>
      <c r="BA2114" t="s">
        <v>1025</v>
      </c>
      <c r="BB2114" t="s">
        <v>1026</v>
      </c>
      <c r="BD2114" t="s">
        <v>1022</v>
      </c>
      <c r="BE2114" t="s">
        <v>553</v>
      </c>
    </row>
    <row r="2115" spans="1:57" ht="13" x14ac:dyDescent="0.15">
      <c r="A2115">
        <v>1839</v>
      </c>
      <c r="B2115">
        <v>266972729</v>
      </c>
      <c r="C2115" t="s">
        <v>553</v>
      </c>
      <c r="D2115" s="7">
        <v>45194</v>
      </c>
      <c r="E2115" s="7">
        <v>45668</v>
      </c>
      <c r="F2115">
        <v>330862</v>
      </c>
      <c r="G2115" t="s">
        <v>983</v>
      </c>
      <c r="H2115" t="s">
        <v>9</v>
      </c>
      <c r="I2115" s="7">
        <v>45666</v>
      </c>
      <c r="J2115" s="8">
        <v>0.57516203703703705</v>
      </c>
      <c r="K2115" t="s">
        <v>984</v>
      </c>
      <c r="AQ2115" t="s">
        <v>992</v>
      </c>
      <c r="AR2115" t="s">
        <v>1860</v>
      </c>
      <c r="AT2115" t="s">
        <v>987</v>
      </c>
      <c r="AZ2115" t="s">
        <v>1024</v>
      </c>
      <c r="BA2115" t="s">
        <v>1025</v>
      </c>
      <c r="BB2115" t="s">
        <v>1026</v>
      </c>
      <c r="BD2115" t="s">
        <v>1022</v>
      </c>
      <c r="BE2115" t="s">
        <v>553</v>
      </c>
    </row>
    <row r="2116" spans="1:57" ht="13" x14ac:dyDescent="0.15">
      <c r="A2116">
        <v>1839</v>
      </c>
      <c r="B2116">
        <v>267343847</v>
      </c>
      <c r="C2116" t="s">
        <v>554</v>
      </c>
      <c r="D2116" s="7">
        <v>45206</v>
      </c>
      <c r="E2116" s="7">
        <v>45699</v>
      </c>
      <c r="F2116">
        <v>330862</v>
      </c>
      <c r="G2116" t="s">
        <v>983</v>
      </c>
      <c r="H2116" t="s">
        <v>9</v>
      </c>
      <c r="I2116" s="7">
        <v>45610</v>
      </c>
      <c r="J2116" s="8">
        <v>0.58296296296296302</v>
      </c>
      <c r="K2116" t="s">
        <v>984</v>
      </c>
      <c r="AQ2116" t="s">
        <v>992</v>
      </c>
      <c r="AR2116" t="s">
        <v>1858</v>
      </c>
      <c r="AT2116" t="s">
        <v>987</v>
      </c>
      <c r="BE2116" t="s">
        <v>554</v>
      </c>
    </row>
    <row r="2117" spans="1:57" ht="13" x14ac:dyDescent="0.15">
      <c r="A2117">
        <v>1839</v>
      </c>
      <c r="B2117">
        <v>267343847</v>
      </c>
      <c r="C2117" t="s">
        <v>554</v>
      </c>
      <c r="D2117" s="7">
        <v>45206</v>
      </c>
      <c r="E2117" s="7">
        <v>45699</v>
      </c>
      <c r="F2117">
        <v>330862</v>
      </c>
      <c r="G2117" t="s">
        <v>983</v>
      </c>
      <c r="H2117" t="s">
        <v>9</v>
      </c>
      <c r="I2117" s="7">
        <v>45694</v>
      </c>
      <c r="J2117" s="8">
        <v>0.53874999999999995</v>
      </c>
      <c r="K2117" t="s">
        <v>984</v>
      </c>
      <c r="AQ2117" t="s">
        <v>992</v>
      </c>
      <c r="AR2117" t="s">
        <v>1861</v>
      </c>
      <c r="AT2117" t="s">
        <v>987</v>
      </c>
      <c r="AZ2117" t="s">
        <v>1002</v>
      </c>
      <c r="BA2117" t="s">
        <v>1040</v>
      </c>
      <c r="BB2117" t="s">
        <v>1041</v>
      </c>
      <c r="BD2117" t="s">
        <v>991</v>
      </c>
      <c r="BE2117" t="s">
        <v>554</v>
      </c>
    </row>
    <row r="2118" spans="1:57" ht="13" x14ac:dyDescent="0.15">
      <c r="A2118">
        <v>1839</v>
      </c>
      <c r="B2118">
        <v>267343847</v>
      </c>
      <c r="C2118" t="s">
        <v>554</v>
      </c>
      <c r="D2118" s="7">
        <v>45206</v>
      </c>
      <c r="E2118" s="7">
        <v>45699</v>
      </c>
      <c r="F2118">
        <v>330862</v>
      </c>
      <c r="G2118" t="s">
        <v>983</v>
      </c>
      <c r="H2118" t="s">
        <v>9</v>
      </c>
      <c r="I2118" s="7">
        <v>45611</v>
      </c>
      <c r="J2118" s="8">
        <v>0.63603009259259258</v>
      </c>
      <c r="K2118" t="s">
        <v>984</v>
      </c>
      <c r="AQ2118" t="s">
        <v>992</v>
      </c>
      <c r="AR2118" t="s">
        <v>1862</v>
      </c>
      <c r="AT2118" t="s">
        <v>987</v>
      </c>
      <c r="BE2118" t="s">
        <v>554</v>
      </c>
    </row>
    <row r="2119" spans="1:57" ht="13" x14ac:dyDescent="0.15">
      <c r="A2119">
        <v>1839</v>
      </c>
      <c r="B2119">
        <v>267343847</v>
      </c>
      <c r="C2119" t="s">
        <v>554</v>
      </c>
      <c r="D2119" s="7">
        <v>45206</v>
      </c>
      <c r="E2119" s="7">
        <v>45699</v>
      </c>
      <c r="F2119">
        <v>330862</v>
      </c>
      <c r="G2119" t="s">
        <v>983</v>
      </c>
      <c r="H2119" t="s">
        <v>9</v>
      </c>
      <c r="I2119" s="7">
        <v>45611</v>
      </c>
      <c r="J2119" s="8">
        <v>0.63648148148148154</v>
      </c>
      <c r="K2119" t="s">
        <v>984</v>
      </c>
      <c r="AQ2119" t="s">
        <v>992</v>
      </c>
      <c r="AR2119" t="s">
        <v>1863</v>
      </c>
      <c r="AT2119" t="s">
        <v>987</v>
      </c>
      <c r="BE2119" t="s">
        <v>554</v>
      </c>
    </row>
    <row r="2120" spans="1:57" ht="13" x14ac:dyDescent="0.15">
      <c r="A2120">
        <v>1839</v>
      </c>
      <c r="B2120">
        <v>267343847</v>
      </c>
      <c r="C2120" t="s">
        <v>554</v>
      </c>
      <c r="D2120" s="7">
        <v>45206</v>
      </c>
      <c r="E2120" s="7">
        <v>45699</v>
      </c>
      <c r="F2120">
        <v>330862</v>
      </c>
      <c r="G2120" t="s">
        <v>983</v>
      </c>
      <c r="H2120" t="s">
        <v>9</v>
      </c>
      <c r="I2120" s="7">
        <v>45614</v>
      </c>
      <c r="J2120" s="8">
        <v>0.6317476851851852</v>
      </c>
      <c r="K2120" t="s">
        <v>984</v>
      </c>
      <c r="AQ2120" t="s">
        <v>992</v>
      </c>
      <c r="AR2120" t="s">
        <v>1864</v>
      </c>
      <c r="AT2120" t="s">
        <v>987</v>
      </c>
      <c r="BE2120" t="s">
        <v>554</v>
      </c>
    </row>
    <row r="2121" spans="1:57" ht="13" x14ac:dyDescent="0.15">
      <c r="A2121">
        <v>1839</v>
      </c>
      <c r="B2121">
        <v>267343847</v>
      </c>
      <c r="C2121" t="s">
        <v>554</v>
      </c>
      <c r="D2121" s="7">
        <v>45206</v>
      </c>
      <c r="E2121" s="7">
        <v>45699</v>
      </c>
      <c r="F2121">
        <v>330862</v>
      </c>
      <c r="G2121" t="s">
        <v>983</v>
      </c>
      <c r="H2121" t="s">
        <v>9</v>
      </c>
      <c r="I2121" s="7">
        <v>45631</v>
      </c>
      <c r="J2121" s="8">
        <v>0.68210648148148145</v>
      </c>
      <c r="K2121" t="s">
        <v>984</v>
      </c>
      <c r="AQ2121" t="s">
        <v>992</v>
      </c>
      <c r="AR2121" t="s">
        <v>1865</v>
      </c>
      <c r="AT2121" t="s">
        <v>987</v>
      </c>
      <c r="AZ2121" t="s">
        <v>1024</v>
      </c>
      <c r="BA2121" t="s">
        <v>1025</v>
      </c>
      <c r="BB2121" t="s">
        <v>1026</v>
      </c>
      <c r="BD2121" t="s">
        <v>1022</v>
      </c>
      <c r="BE2121" t="s">
        <v>554</v>
      </c>
    </row>
    <row r="2122" spans="1:57" ht="13" x14ac:dyDescent="0.15">
      <c r="A2122">
        <v>1839</v>
      </c>
      <c r="B2122">
        <v>267343847</v>
      </c>
      <c r="C2122" t="s">
        <v>554</v>
      </c>
      <c r="D2122" s="7">
        <v>45206</v>
      </c>
      <c r="E2122" s="7">
        <v>45699</v>
      </c>
      <c r="F2122">
        <v>330862</v>
      </c>
      <c r="G2122" t="s">
        <v>983</v>
      </c>
      <c r="H2122" t="s">
        <v>9</v>
      </c>
      <c r="I2122" s="7">
        <v>45635</v>
      </c>
      <c r="J2122" s="8">
        <v>0.69042824074074072</v>
      </c>
      <c r="K2122" t="s">
        <v>984</v>
      </c>
      <c r="AQ2122" t="s">
        <v>992</v>
      </c>
      <c r="AR2122" t="s">
        <v>1866</v>
      </c>
      <c r="AT2122" t="s">
        <v>987</v>
      </c>
      <c r="AZ2122" t="s">
        <v>1174</v>
      </c>
      <c r="BA2122" t="s">
        <v>1242</v>
      </c>
      <c r="BB2122" t="s">
        <v>1026</v>
      </c>
      <c r="BD2122" t="s">
        <v>1005</v>
      </c>
      <c r="BE2122" t="s">
        <v>554</v>
      </c>
    </row>
    <row r="2123" spans="1:57" ht="13" x14ac:dyDescent="0.15">
      <c r="A2123">
        <v>1839</v>
      </c>
      <c r="B2123">
        <v>267343847</v>
      </c>
      <c r="C2123" t="s">
        <v>554</v>
      </c>
      <c r="D2123" s="7">
        <v>45206</v>
      </c>
      <c r="E2123" s="7">
        <v>45699</v>
      </c>
      <c r="F2123">
        <v>330862</v>
      </c>
      <c r="G2123" t="s">
        <v>983</v>
      </c>
      <c r="H2123" t="s">
        <v>9</v>
      </c>
      <c r="I2123" s="7">
        <v>45614</v>
      </c>
      <c r="J2123" s="8">
        <v>0.69120370370370365</v>
      </c>
      <c r="K2123" t="s">
        <v>984</v>
      </c>
      <c r="AQ2123" t="s">
        <v>992</v>
      </c>
      <c r="AR2123" t="s">
        <v>1867</v>
      </c>
      <c r="AT2123" t="s">
        <v>987</v>
      </c>
      <c r="BE2123" t="s">
        <v>554</v>
      </c>
    </row>
    <row r="2124" spans="1:57" ht="13" x14ac:dyDescent="0.15">
      <c r="A2124">
        <v>1839</v>
      </c>
      <c r="B2124">
        <v>267343847</v>
      </c>
      <c r="C2124" t="s">
        <v>554</v>
      </c>
      <c r="D2124" s="7">
        <v>45206</v>
      </c>
      <c r="E2124" s="7">
        <v>45699</v>
      </c>
      <c r="F2124">
        <v>330862</v>
      </c>
      <c r="G2124" t="s">
        <v>983</v>
      </c>
      <c r="H2124" t="s">
        <v>9</v>
      </c>
      <c r="I2124" s="7">
        <v>45616</v>
      </c>
      <c r="J2124" s="8">
        <v>0.52056712962962959</v>
      </c>
      <c r="K2124" t="s">
        <v>984</v>
      </c>
      <c r="AQ2124" t="s">
        <v>992</v>
      </c>
      <c r="AR2124" t="s">
        <v>1868</v>
      </c>
      <c r="AT2124" t="s">
        <v>987</v>
      </c>
      <c r="AZ2124" t="s">
        <v>1055</v>
      </c>
      <c r="BA2124" t="s">
        <v>1056</v>
      </c>
      <c r="BB2124" t="s">
        <v>1013</v>
      </c>
      <c r="BD2124" t="s">
        <v>1022</v>
      </c>
      <c r="BE2124" t="s">
        <v>554</v>
      </c>
    </row>
    <row r="2125" spans="1:57" ht="13" x14ac:dyDescent="0.15">
      <c r="A2125">
        <v>1839</v>
      </c>
      <c r="B2125">
        <v>267343847</v>
      </c>
      <c r="C2125" t="s">
        <v>554</v>
      </c>
      <c r="D2125" s="7">
        <v>45206</v>
      </c>
      <c r="E2125" s="7">
        <v>45699</v>
      </c>
      <c r="F2125">
        <v>330862</v>
      </c>
      <c r="G2125" t="s">
        <v>983</v>
      </c>
      <c r="H2125" t="s">
        <v>9</v>
      </c>
      <c r="I2125" s="7">
        <v>45616</v>
      </c>
      <c r="J2125" s="8">
        <v>0.5216898148148148</v>
      </c>
      <c r="K2125" t="s">
        <v>984</v>
      </c>
      <c r="AQ2125" t="s">
        <v>992</v>
      </c>
      <c r="AR2125" t="s">
        <v>1869</v>
      </c>
      <c r="AT2125" t="s">
        <v>987</v>
      </c>
      <c r="AZ2125" t="s">
        <v>1011</v>
      </c>
      <c r="BA2125" t="s">
        <v>1103</v>
      </c>
      <c r="BB2125" t="s">
        <v>1032</v>
      </c>
      <c r="BD2125" t="s">
        <v>1005</v>
      </c>
      <c r="BE2125" t="s">
        <v>554</v>
      </c>
    </row>
    <row r="2126" spans="1:57" ht="13" x14ac:dyDescent="0.15">
      <c r="A2126">
        <v>1839</v>
      </c>
      <c r="B2126">
        <v>267343847</v>
      </c>
      <c r="C2126" t="s">
        <v>554</v>
      </c>
      <c r="D2126" s="7">
        <v>45206</v>
      </c>
      <c r="E2126" s="7">
        <v>45699</v>
      </c>
      <c r="F2126">
        <v>330862</v>
      </c>
      <c r="G2126" t="s">
        <v>983</v>
      </c>
      <c r="H2126" t="s">
        <v>9</v>
      </c>
      <c r="I2126" s="7">
        <v>45616</v>
      </c>
      <c r="J2126" s="8">
        <v>0.6736805555555555</v>
      </c>
      <c r="K2126" t="s">
        <v>984</v>
      </c>
      <c r="AQ2126" t="s">
        <v>992</v>
      </c>
      <c r="AR2126" t="s">
        <v>1870</v>
      </c>
      <c r="AT2126" t="s">
        <v>987</v>
      </c>
      <c r="AZ2126" t="s">
        <v>1011</v>
      </c>
      <c r="BA2126" t="s">
        <v>1103</v>
      </c>
      <c r="BB2126" t="s">
        <v>1032</v>
      </c>
      <c r="BD2126" t="s">
        <v>1005</v>
      </c>
      <c r="BE2126" t="s">
        <v>554</v>
      </c>
    </row>
    <row r="2127" spans="1:57" ht="13" x14ac:dyDescent="0.15">
      <c r="A2127">
        <v>1839</v>
      </c>
      <c r="B2127">
        <v>267343847</v>
      </c>
      <c r="C2127" t="s">
        <v>554</v>
      </c>
      <c r="D2127" s="7">
        <v>45206</v>
      </c>
      <c r="E2127" s="7">
        <v>45699</v>
      </c>
      <c r="F2127">
        <v>330862</v>
      </c>
      <c r="G2127" t="s">
        <v>983</v>
      </c>
      <c r="H2127" t="s">
        <v>9</v>
      </c>
      <c r="I2127" s="7">
        <v>45671</v>
      </c>
      <c r="J2127" s="8">
        <v>0.61829861111111106</v>
      </c>
      <c r="K2127" t="s">
        <v>984</v>
      </c>
      <c r="AQ2127" t="s">
        <v>992</v>
      </c>
      <c r="AR2127" t="s">
        <v>1871</v>
      </c>
      <c r="AT2127" t="s">
        <v>987</v>
      </c>
      <c r="AZ2127" t="s">
        <v>1028</v>
      </c>
      <c r="BA2127" t="s">
        <v>1068</v>
      </c>
      <c r="BB2127" t="s">
        <v>1069</v>
      </c>
      <c r="BD2127" t="s">
        <v>1005</v>
      </c>
      <c r="BE2127" t="s">
        <v>554</v>
      </c>
    </row>
    <row r="2128" spans="1:57" ht="13" x14ac:dyDescent="0.15">
      <c r="A2128">
        <v>1839</v>
      </c>
      <c r="B2128">
        <v>267343847</v>
      </c>
      <c r="C2128" t="s">
        <v>554</v>
      </c>
      <c r="D2128" s="7">
        <v>45206</v>
      </c>
      <c r="E2128" s="7">
        <v>45699</v>
      </c>
      <c r="F2128">
        <v>330862</v>
      </c>
      <c r="G2128" t="s">
        <v>983</v>
      </c>
      <c r="H2128" t="s">
        <v>9</v>
      </c>
      <c r="I2128" s="7">
        <v>45671</v>
      </c>
      <c r="J2128" s="8">
        <v>0.63244212962962965</v>
      </c>
      <c r="K2128" t="s">
        <v>984</v>
      </c>
      <c r="AQ2128" t="s">
        <v>992</v>
      </c>
      <c r="AR2128" t="s">
        <v>1872</v>
      </c>
      <c r="AT2128" t="s">
        <v>987</v>
      </c>
      <c r="AZ2128" t="s">
        <v>1016</v>
      </c>
      <c r="BA2128" t="s">
        <v>1017</v>
      </c>
      <c r="BB2128" t="s">
        <v>1018</v>
      </c>
      <c r="BD2128" t="s">
        <v>991</v>
      </c>
      <c r="BE2128" t="s">
        <v>554</v>
      </c>
    </row>
    <row r="2129" spans="1:57" ht="13" x14ac:dyDescent="0.15">
      <c r="A2129">
        <v>1839</v>
      </c>
      <c r="B2129">
        <v>267343847</v>
      </c>
      <c r="C2129" t="s">
        <v>554</v>
      </c>
      <c r="D2129" s="7">
        <v>45206</v>
      </c>
      <c r="E2129" s="7">
        <v>45699</v>
      </c>
      <c r="F2129">
        <v>330862</v>
      </c>
      <c r="G2129" t="s">
        <v>983</v>
      </c>
      <c r="H2129" t="s">
        <v>9</v>
      </c>
      <c r="I2129" s="7">
        <v>45671</v>
      </c>
      <c r="J2129" s="8">
        <v>0.71917824074074077</v>
      </c>
      <c r="K2129" t="s">
        <v>984</v>
      </c>
      <c r="AQ2129" t="s">
        <v>992</v>
      </c>
      <c r="AR2129" t="s">
        <v>1873</v>
      </c>
      <c r="AT2129" t="s">
        <v>987</v>
      </c>
      <c r="AZ2129" t="s">
        <v>1016</v>
      </c>
      <c r="BA2129" t="s">
        <v>1017</v>
      </c>
      <c r="BB2129" t="s">
        <v>1018</v>
      </c>
      <c r="BD2129" t="s">
        <v>991</v>
      </c>
      <c r="BE2129" t="s">
        <v>554</v>
      </c>
    </row>
    <row r="2130" spans="1:57" ht="13" x14ac:dyDescent="0.15">
      <c r="A2130">
        <v>1839</v>
      </c>
      <c r="B2130">
        <v>267343847</v>
      </c>
      <c r="C2130" t="s">
        <v>554</v>
      </c>
      <c r="D2130" s="7">
        <v>45206</v>
      </c>
      <c r="E2130" s="7">
        <v>45699</v>
      </c>
      <c r="F2130">
        <v>330862</v>
      </c>
      <c r="G2130" t="s">
        <v>983</v>
      </c>
      <c r="H2130" t="s">
        <v>9</v>
      </c>
      <c r="I2130" s="7">
        <v>45671</v>
      </c>
      <c r="J2130" s="8">
        <v>0.72844907407407411</v>
      </c>
      <c r="K2130" t="s">
        <v>984</v>
      </c>
      <c r="AQ2130" t="s">
        <v>992</v>
      </c>
      <c r="AR2130" t="s">
        <v>1874</v>
      </c>
      <c r="AT2130" t="s">
        <v>987</v>
      </c>
      <c r="AZ2130" t="s">
        <v>1016</v>
      </c>
      <c r="BA2130" t="s">
        <v>1017</v>
      </c>
      <c r="BB2130" t="s">
        <v>1018</v>
      </c>
      <c r="BD2130" t="s">
        <v>991</v>
      </c>
      <c r="BE2130" t="s">
        <v>554</v>
      </c>
    </row>
    <row r="2131" spans="1:57" ht="13" x14ac:dyDescent="0.15">
      <c r="A2131">
        <v>1839</v>
      </c>
      <c r="B2131">
        <v>267343847</v>
      </c>
      <c r="C2131" t="s">
        <v>554</v>
      </c>
      <c r="D2131" s="7">
        <v>45206</v>
      </c>
      <c r="E2131" s="7">
        <v>45699</v>
      </c>
      <c r="F2131">
        <v>330862</v>
      </c>
      <c r="G2131" t="s">
        <v>983</v>
      </c>
      <c r="H2131" t="s">
        <v>9</v>
      </c>
      <c r="I2131" s="7">
        <v>45671</v>
      </c>
      <c r="J2131" s="8">
        <v>0.73893518518518519</v>
      </c>
      <c r="K2131" t="s">
        <v>984</v>
      </c>
      <c r="AQ2131" t="s">
        <v>992</v>
      </c>
      <c r="AR2131" t="s">
        <v>1875</v>
      </c>
      <c r="AT2131" t="s">
        <v>987</v>
      </c>
      <c r="AZ2131" t="s">
        <v>1016</v>
      </c>
      <c r="BA2131" t="s">
        <v>1017</v>
      </c>
      <c r="BB2131" t="s">
        <v>1018</v>
      </c>
      <c r="BD2131" t="s">
        <v>991</v>
      </c>
      <c r="BE2131" t="s">
        <v>554</v>
      </c>
    </row>
    <row r="2132" spans="1:57" ht="13" x14ac:dyDescent="0.15">
      <c r="A2132">
        <v>1839</v>
      </c>
      <c r="B2132">
        <v>267343847</v>
      </c>
      <c r="C2132" t="s">
        <v>554</v>
      </c>
      <c r="D2132" s="7">
        <v>45206</v>
      </c>
      <c r="E2132" s="7">
        <v>45699</v>
      </c>
      <c r="F2132">
        <v>330862</v>
      </c>
      <c r="G2132" t="s">
        <v>983</v>
      </c>
      <c r="H2132" t="s">
        <v>9</v>
      </c>
      <c r="I2132" s="7">
        <v>45637</v>
      </c>
      <c r="J2132" s="8">
        <v>0.40006944444444442</v>
      </c>
      <c r="K2132" t="s">
        <v>984</v>
      </c>
      <c r="AQ2132" t="s">
        <v>992</v>
      </c>
      <c r="AR2132" t="s">
        <v>1876</v>
      </c>
      <c r="AT2132" t="s">
        <v>987</v>
      </c>
      <c r="AZ2132" t="s">
        <v>1011</v>
      </c>
      <c r="BA2132" t="s">
        <v>1031</v>
      </c>
      <c r="BB2132" t="s">
        <v>1032</v>
      </c>
      <c r="BD2132" t="s">
        <v>1005</v>
      </c>
      <c r="BE2132" t="s">
        <v>554</v>
      </c>
    </row>
    <row r="2133" spans="1:57" ht="13" x14ac:dyDescent="0.15">
      <c r="A2133">
        <v>1839</v>
      </c>
      <c r="B2133">
        <v>267343847</v>
      </c>
      <c r="C2133" t="s">
        <v>554</v>
      </c>
      <c r="D2133" s="7">
        <v>45206</v>
      </c>
      <c r="E2133" s="7">
        <v>45699</v>
      </c>
      <c r="F2133">
        <v>330862</v>
      </c>
      <c r="G2133" t="s">
        <v>983</v>
      </c>
      <c r="H2133" t="s">
        <v>9</v>
      </c>
      <c r="I2133" s="7">
        <v>45637</v>
      </c>
      <c r="J2133" s="8">
        <v>0.40069444444444446</v>
      </c>
      <c r="K2133" t="s">
        <v>984</v>
      </c>
      <c r="AQ2133" t="s">
        <v>992</v>
      </c>
      <c r="AR2133" t="s">
        <v>1877</v>
      </c>
      <c r="AT2133" t="s">
        <v>987</v>
      </c>
      <c r="AZ2133" t="s">
        <v>1011</v>
      </c>
      <c r="BA2133" t="s">
        <v>1031</v>
      </c>
      <c r="BB2133" t="s">
        <v>1032</v>
      </c>
      <c r="BD2133" t="s">
        <v>1005</v>
      </c>
      <c r="BE2133" t="s">
        <v>554</v>
      </c>
    </row>
    <row r="2134" spans="1:57" ht="13" x14ac:dyDescent="0.15">
      <c r="A2134">
        <v>1839</v>
      </c>
      <c r="B2134">
        <v>267343847</v>
      </c>
      <c r="C2134" t="s">
        <v>554</v>
      </c>
      <c r="D2134" s="7">
        <v>45206</v>
      </c>
      <c r="E2134" s="7">
        <v>45699</v>
      </c>
      <c r="F2134">
        <v>330862</v>
      </c>
      <c r="G2134" t="s">
        <v>983</v>
      </c>
      <c r="H2134" t="s">
        <v>9</v>
      </c>
      <c r="I2134" s="7">
        <v>45638</v>
      </c>
      <c r="J2134" s="8">
        <v>0.6814351851851852</v>
      </c>
      <c r="K2134" t="s">
        <v>984</v>
      </c>
      <c r="AQ2134" t="s">
        <v>992</v>
      </c>
      <c r="AR2134" t="s">
        <v>1878</v>
      </c>
      <c r="AT2134" t="s">
        <v>987</v>
      </c>
      <c r="AZ2134" t="s">
        <v>1239</v>
      </c>
      <c r="BA2134" t="s">
        <v>1281</v>
      </c>
      <c r="BB2134" t="s">
        <v>1026</v>
      </c>
      <c r="BD2134" t="s">
        <v>1022</v>
      </c>
      <c r="BE2134" t="s">
        <v>554</v>
      </c>
    </row>
    <row r="2135" spans="1:57" ht="13" x14ac:dyDescent="0.15">
      <c r="A2135">
        <v>1839</v>
      </c>
      <c r="B2135">
        <v>267343847</v>
      </c>
      <c r="C2135" t="s">
        <v>554</v>
      </c>
      <c r="D2135" s="7">
        <v>45206</v>
      </c>
      <c r="E2135" s="7">
        <v>45699</v>
      </c>
      <c r="F2135">
        <v>330862</v>
      </c>
      <c r="G2135" t="s">
        <v>983</v>
      </c>
      <c r="H2135" t="s">
        <v>9</v>
      </c>
      <c r="I2135" s="7">
        <v>45638</v>
      </c>
      <c r="J2135" s="8">
        <v>0.68357638888888894</v>
      </c>
      <c r="K2135" t="s">
        <v>984</v>
      </c>
      <c r="AQ2135" t="s">
        <v>992</v>
      </c>
      <c r="AR2135" t="s">
        <v>1879</v>
      </c>
      <c r="AT2135" t="s">
        <v>987</v>
      </c>
      <c r="AZ2135" t="s">
        <v>1020</v>
      </c>
      <c r="BA2135" t="s">
        <v>1021</v>
      </c>
      <c r="BB2135" t="s">
        <v>1018</v>
      </c>
      <c r="BD2135" t="s">
        <v>1022</v>
      </c>
      <c r="BE2135" t="s">
        <v>554</v>
      </c>
    </row>
    <row r="2136" spans="1:57" ht="13" x14ac:dyDescent="0.15">
      <c r="A2136">
        <v>1839</v>
      </c>
      <c r="B2136">
        <v>267343847</v>
      </c>
      <c r="C2136" t="s">
        <v>554</v>
      </c>
      <c r="D2136" s="7">
        <v>45206</v>
      </c>
      <c r="E2136" s="7">
        <v>45699</v>
      </c>
      <c r="F2136">
        <v>330862</v>
      </c>
      <c r="G2136" t="s">
        <v>983</v>
      </c>
      <c r="H2136" t="s">
        <v>9</v>
      </c>
      <c r="I2136" s="7">
        <v>45638</v>
      </c>
      <c r="J2136" s="8">
        <v>0.68486111111111114</v>
      </c>
      <c r="K2136" t="s">
        <v>984</v>
      </c>
      <c r="AQ2136" t="s">
        <v>992</v>
      </c>
      <c r="AR2136" t="s">
        <v>1694</v>
      </c>
      <c r="AT2136" t="s">
        <v>987</v>
      </c>
      <c r="AZ2136" t="s">
        <v>1215</v>
      </c>
      <c r="BA2136" t="s">
        <v>1216</v>
      </c>
      <c r="BB2136" t="s">
        <v>1217</v>
      </c>
      <c r="BD2136" t="s">
        <v>1022</v>
      </c>
      <c r="BE2136" t="s">
        <v>554</v>
      </c>
    </row>
    <row r="2137" spans="1:57" ht="13" x14ac:dyDescent="0.15">
      <c r="A2137">
        <v>1839</v>
      </c>
      <c r="B2137">
        <v>267343847</v>
      </c>
      <c r="C2137" t="s">
        <v>554</v>
      </c>
      <c r="D2137" s="7">
        <v>45206</v>
      </c>
      <c r="E2137" s="7">
        <v>45699</v>
      </c>
      <c r="F2137">
        <v>330862</v>
      </c>
      <c r="G2137" t="s">
        <v>983</v>
      </c>
      <c r="H2137" t="s">
        <v>9</v>
      </c>
      <c r="I2137" s="7">
        <v>45638</v>
      </c>
      <c r="J2137" s="8">
        <v>0.68706018518518519</v>
      </c>
      <c r="K2137" t="s">
        <v>984</v>
      </c>
      <c r="AQ2137" t="s">
        <v>992</v>
      </c>
      <c r="AR2137" t="s">
        <v>1880</v>
      </c>
      <c r="AT2137" t="s">
        <v>987</v>
      </c>
      <c r="AZ2137" t="s">
        <v>1011</v>
      </c>
      <c r="BA2137" t="s">
        <v>1031</v>
      </c>
      <c r="BB2137" t="s">
        <v>1032</v>
      </c>
      <c r="BD2137" t="s">
        <v>1005</v>
      </c>
      <c r="BE2137" t="s">
        <v>554</v>
      </c>
    </row>
    <row r="2138" spans="1:57" ht="13" x14ac:dyDescent="0.15">
      <c r="A2138">
        <v>1839</v>
      </c>
      <c r="B2138">
        <v>267343847</v>
      </c>
      <c r="C2138" t="s">
        <v>554</v>
      </c>
      <c r="D2138" s="7">
        <v>45206</v>
      </c>
      <c r="E2138" s="7">
        <v>45699</v>
      </c>
      <c r="F2138">
        <v>330862</v>
      </c>
      <c r="G2138" t="s">
        <v>983</v>
      </c>
      <c r="H2138" t="s">
        <v>9</v>
      </c>
      <c r="I2138" s="7">
        <v>45638</v>
      </c>
      <c r="J2138" s="8">
        <v>0.68817129629629625</v>
      </c>
      <c r="K2138" t="s">
        <v>984</v>
      </c>
      <c r="AQ2138" t="s">
        <v>992</v>
      </c>
      <c r="AR2138" t="s">
        <v>1881</v>
      </c>
      <c r="AT2138" t="s">
        <v>987</v>
      </c>
      <c r="AZ2138" t="s">
        <v>1174</v>
      </c>
      <c r="BA2138" t="s">
        <v>1242</v>
      </c>
      <c r="BB2138" t="s">
        <v>1026</v>
      </c>
      <c r="BD2138" t="s">
        <v>1005</v>
      </c>
      <c r="BE2138" t="s">
        <v>554</v>
      </c>
    </row>
    <row r="2139" spans="1:57" ht="13" x14ac:dyDescent="0.15">
      <c r="A2139">
        <v>1839</v>
      </c>
      <c r="B2139">
        <v>267343847</v>
      </c>
      <c r="C2139" t="s">
        <v>554</v>
      </c>
      <c r="D2139" s="7">
        <v>45206</v>
      </c>
      <c r="E2139" s="7">
        <v>45699</v>
      </c>
      <c r="F2139">
        <v>330862</v>
      </c>
      <c r="G2139" t="s">
        <v>983</v>
      </c>
      <c r="H2139" t="s">
        <v>9</v>
      </c>
      <c r="I2139" s="7">
        <v>45638</v>
      </c>
      <c r="J2139" s="8">
        <v>0.6897685185185185</v>
      </c>
      <c r="K2139" t="s">
        <v>984</v>
      </c>
      <c r="AQ2139" t="s">
        <v>992</v>
      </c>
      <c r="AR2139" t="s">
        <v>1882</v>
      </c>
      <c r="AT2139" t="s">
        <v>987</v>
      </c>
      <c r="AZ2139" t="s">
        <v>1002</v>
      </c>
      <c r="BA2139" t="s">
        <v>1124</v>
      </c>
      <c r="BB2139" t="s">
        <v>1125</v>
      </c>
      <c r="BD2139" t="s">
        <v>1005</v>
      </c>
      <c r="BE2139" t="s">
        <v>554</v>
      </c>
    </row>
    <row r="2140" spans="1:57" ht="13" x14ac:dyDescent="0.15">
      <c r="A2140">
        <v>1839</v>
      </c>
      <c r="B2140">
        <v>267343847</v>
      </c>
      <c r="C2140" t="s">
        <v>554</v>
      </c>
      <c r="D2140" s="7">
        <v>45206</v>
      </c>
      <c r="E2140" s="7">
        <v>45699</v>
      </c>
      <c r="F2140">
        <v>330862</v>
      </c>
      <c r="G2140" t="s">
        <v>983</v>
      </c>
      <c r="H2140" t="s">
        <v>9</v>
      </c>
      <c r="I2140" s="7">
        <v>45638</v>
      </c>
      <c r="J2140" s="8">
        <v>0.69079861111111107</v>
      </c>
      <c r="K2140" t="s">
        <v>984</v>
      </c>
      <c r="AQ2140" t="s">
        <v>992</v>
      </c>
      <c r="AR2140" t="s">
        <v>1883</v>
      </c>
      <c r="AT2140" t="s">
        <v>987</v>
      </c>
      <c r="AZ2140" t="s">
        <v>1239</v>
      </c>
      <c r="BA2140" t="s">
        <v>1240</v>
      </c>
      <c r="BB2140" t="s">
        <v>1237</v>
      </c>
      <c r="BD2140" t="s">
        <v>1005</v>
      </c>
      <c r="BE2140" t="s">
        <v>554</v>
      </c>
    </row>
    <row r="2141" spans="1:57" ht="13" x14ac:dyDescent="0.15">
      <c r="A2141">
        <v>1839</v>
      </c>
      <c r="B2141">
        <v>267343847</v>
      </c>
      <c r="C2141" t="s">
        <v>554</v>
      </c>
      <c r="D2141" s="7">
        <v>45206</v>
      </c>
      <c r="E2141" s="7">
        <v>45699</v>
      </c>
      <c r="F2141">
        <v>330862</v>
      </c>
      <c r="G2141" t="s">
        <v>983</v>
      </c>
      <c r="H2141" t="s">
        <v>9</v>
      </c>
      <c r="I2141" s="7">
        <v>45638</v>
      </c>
      <c r="J2141" s="8">
        <v>0.69230324074074079</v>
      </c>
      <c r="K2141" t="s">
        <v>984</v>
      </c>
      <c r="AQ2141" t="s">
        <v>992</v>
      </c>
      <c r="AR2141" t="s">
        <v>1884</v>
      </c>
      <c r="AT2141" t="s">
        <v>987</v>
      </c>
      <c r="AZ2141" t="s">
        <v>1028</v>
      </c>
      <c r="BA2141" t="s">
        <v>1236</v>
      </c>
      <c r="BB2141" t="s">
        <v>1237</v>
      </c>
      <c r="BD2141" t="s">
        <v>1005</v>
      </c>
      <c r="BE2141" t="s">
        <v>554</v>
      </c>
    </row>
    <row r="2142" spans="1:57" ht="13" x14ac:dyDescent="0.15">
      <c r="A2142">
        <v>1839</v>
      </c>
      <c r="B2142">
        <v>267343847</v>
      </c>
      <c r="C2142" t="s">
        <v>554</v>
      </c>
      <c r="D2142" s="7">
        <v>45206</v>
      </c>
      <c r="E2142" s="7">
        <v>45699</v>
      </c>
      <c r="F2142">
        <v>330862</v>
      </c>
      <c r="G2142" t="s">
        <v>983</v>
      </c>
      <c r="H2142" t="s">
        <v>9</v>
      </c>
      <c r="I2142" s="7">
        <v>45638</v>
      </c>
      <c r="J2142" s="8">
        <v>0.69371527777777775</v>
      </c>
      <c r="K2142" t="s">
        <v>984</v>
      </c>
      <c r="AQ2142" t="s">
        <v>992</v>
      </c>
      <c r="AR2142" t="s">
        <v>1885</v>
      </c>
      <c r="AT2142" t="s">
        <v>987</v>
      </c>
      <c r="AZ2142" t="s">
        <v>1182</v>
      </c>
      <c r="BA2142" t="s">
        <v>1188</v>
      </c>
      <c r="BB2142" t="s">
        <v>1013</v>
      </c>
      <c r="BD2142" t="s">
        <v>1005</v>
      </c>
      <c r="BE2142" t="s">
        <v>554</v>
      </c>
    </row>
    <row r="2143" spans="1:57" ht="13" x14ac:dyDescent="0.15">
      <c r="A2143">
        <v>1839</v>
      </c>
      <c r="B2143">
        <v>267343847</v>
      </c>
      <c r="C2143" t="s">
        <v>554</v>
      </c>
      <c r="D2143" s="7">
        <v>45206</v>
      </c>
      <c r="E2143" s="7">
        <v>45699</v>
      </c>
      <c r="F2143">
        <v>330862</v>
      </c>
      <c r="G2143" t="s">
        <v>983</v>
      </c>
      <c r="H2143" t="s">
        <v>9</v>
      </c>
      <c r="I2143" s="7">
        <v>45638</v>
      </c>
      <c r="J2143" s="8">
        <v>0.69482638888888892</v>
      </c>
      <c r="K2143" t="s">
        <v>984</v>
      </c>
      <c r="AQ2143" t="s">
        <v>992</v>
      </c>
      <c r="AR2143" t="s">
        <v>1886</v>
      </c>
      <c r="AT2143" t="s">
        <v>987</v>
      </c>
      <c r="AZ2143" t="s">
        <v>1139</v>
      </c>
      <c r="BA2143" t="s">
        <v>1140</v>
      </c>
      <c r="BB2143" t="s">
        <v>1032</v>
      </c>
      <c r="BD2143" t="s">
        <v>1005</v>
      </c>
      <c r="BE2143" t="s">
        <v>554</v>
      </c>
    </row>
    <row r="2144" spans="1:57" ht="13" x14ac:dyDescent="0.15">
      <c r="A2144">
        <v>1839</v>
      </c>
      <c r="B2144">
        <v>267343847</v>
      </c>
      <c r="C2144" t="s">
        <v>554</v>
      </c>
      <c r="D2144" s="7">
        <v>45206</v>
      </c>
      <c r="E2144" s="7">
        <v>45699</v>
      </c>
      <c r="F2144">
        <v>330862</v>
      </c>
      <c r="G2144" t="s">
        <v>983</v>
      </c>
      <c r="H2144" t="s">
        <v>9</v>
      </c>
      <c r="I2144" s="7">
        <v>45638</v>
      </c>
      <c r="J2144" s="8">
        <v>0.69616898148148143</v>
      </c>
      <c r="K2144" t="s">
        <v>984</v>
      </c>
      <c r="AQ2144" t="s">
        <v>992</v>
      </c>
      <c r="AR2144" t="s">
        <v>1887</v>
      </c>
      <c r="AT2144" t="s">
        <v>987</v>
      </c>
      <c r="AZ2144" t="s">
        <v>1020</v>
      </c>
      <c r="BA2144" t="s">
        <v>1230</v>
      </c>
      <c r="BB2144" t="s">
        <v>1018</v>
      </c>
      <c r="BD2144" t="s">
        <v>1005</v>
      </c>
      <c r="BE2144" t="s">
        <v>554</v>
      </c>
    </row>
    <row r="2145" spans="1:57" ht="13" x14ac:dyDescent="0.15">
      <c r="A2145">
        <v>1839</v>
      </c>
      <c r="B2145">
        <v>267343847</v>
      </c>
      <c r="C2145" t="s">
        <v>554</v>
      </c>
      <c r="D2145" s="7">
        <v>45206</v>
      </c>
      <c r="E2145" s="7">
        <v>45699</v>
      </c>
      <c r="F2145">
        <v>330862</v>
      </c>
      <c r="G2145" t="s">
        <v>983</v>
      </c>
      <c r="H2145" t="s">
        <v>9</v>
      </c>
      <c r="I2145" s="7">
        <v>45643</v>
      </c>
      <c r="J2145" s="8">
        <v>0.51030092592592591</v>
      </c>
      <c r="K2145" t="s">
        <v>984</v>
      </c>
      <c r="AQ2145" t="s">
        <v>992</v>
      </c>
      <c r="AR2145" t="s">
        <v>1888</v>
      </c>
      <c r="AT2145" t="s">
        <v>987</v>
      </c>
      <c r="AZ2145" t="s">
        <v>1011</v>
      </c>
      <c r="BA2145" t="s">
        <v>1031</v>
      </c>
      <c r="BB2145" t="s">
        <v>1032</v>
      </c>
      <c r="BD2145" t="s">
        <v>1005</v>
      </c>
      <c r="BE2145" t="s">
        <v>554</v>
      </c>
    </row>
    <row r="2146" spans="1:57" ht="13" x14ac:dyDescent="0.15">
      <c r="A2146">
        <v>1839</v>
      </c>
      <c r="B2146">
        <v>267343847</v>
      </c>
      <c r="C2146" t="s">
        <v>554</v>
      </c>
      <c r="D2146" s="7">
        <v>45206</v>
      </c>
      <c r="E2146" s="7">
        <v>45699</v>
      </c>
      <c r="F2146">
        <v>330862</v>
      </c>
      <c r="G2146" t="s">
        <v>983</v>
      </c>
      <c r="H2146" t="s">
        <v>9</v>
      </c>
      <c r="I2146" s="7">
        <v>45679</v>
      </c>
      <c r="J2146" s="8">
        <v>0.55121527777777779</v>
      </c>
      <c r="K2146" t="s">
        <v>984</v>
      </c>
      <c r="AQ2146" t="s">
        <v>992</v>
      </c>
      <c r="AR2146" t="s">
        <v>1889</v>
      </c>
      <c r="AT2146" t="s">
        <v>987</v>
      </c>
      <c r="AZ2146" t="s">
        <v>1011</v>
      </c>
      <c r="BA2146" t="s">
        <v>1012</v>
      </c>
      <c r="BB2146" t="s">
        <v>1013</v>
      </c>
      <c r="BD2146" t="s">
        <v>1014</v>
      </c>
      <c r="BE2146" t="s">
        <v>554</v>
      </c>
    </row>
    <row r="2147" spans="1:57" ht="13" x14ac:dyDescent="0.15">
      <c r="A2147">
        <v>1839</v>
      </c>
      <c r="B2147">
        <v>267343847</v>
      </c>
      <c r="C2147" t="s">
        <v>554</v>
      </c>
      <c r="D2147" s="7">
        <v>45206</v>
      </c>
      <c r="E2147" s="7">
        <v>45699</v>
      </c>
      <c r="F2147">
        <v>330862</v>
      </c>
      <c r="G2147" t="s">
        <v>983</v>
      </c>
      <c r="H2147" t="s">
        <v>9</v>
      </c>
      <c r="I2147" s="7">
        <v>45679</v>
      </c>
      <c r="J2147" s="8">
        <v>0.61751157407407409</v>
      </c>
      <c r="K2147" t="s">
        <v>984</v>
      </c>
      <c r="AQ2147" t="s">
        <v>992</v>
      </c>
      <c r="AR2147" t="s">
        <v>1890</v>
      </c>
      <c r="AT2147" t="s">
        <v>987</v>
      </c>
      <c r="AZ2147" t="s">
        <v>1011</v>
      </c>
      <c r="BA2147" t="s">
        <v>1012</v>
      </c>
      <c r="BB2147" t="s">
        <v>1013</v>
      </c>
      <c r="BD2147" t="s">
        <v>1014</v>
      </c>
      <c r="BE2147" t="s">
        <v>554</v>
      </c>
    </row>
    <row r="2148" spans="1:57" ht="13" x14ac:dyDescent="0.15">
      <c r="A2148">
        <v>1839</v>
      </c>
      <c r="B2148">
        <v>267343847</v>
      </c>
      <c r="C2148" t="s">
        <v>554</v>
      </c>
      <c r="D2148" s="7">
        <v>45206</v>
      </c>
      <c r="E2148" s="7">
        <v>45699</v>
      </c>
      <c r="F2148">
        <v>330862</v>
      </c>
      <c r="G2148" t="s">
        <v>983</v>
      </c>
      <c r="H2148" t="s">
        <v>9</v>
      </c>
      <c r="I2148" s="7">
        <v>45679</v>
      </c>
      <c r="J2148" s="8">
        <v>0.61885416666666671</v>
      </c>
      <c r="K2148" t="s">
        <v>984</v>
      </c>
      <c r="AQ2148" t="s">
        <v>992</v>
      </c>
      <c r="AR2148" t="s">
        <v>1891</v>
      </c>
      <c r="AT2148" t="s">
        <v>987</v>
      </c>
      <c r="AZ2148" t="s">
        <v>1011</v>
      </c>
      <c r="BA2148" t="s">
        <v>1012</v>
      </c>
      <c r="BB2148" t="s">
        <v>1013</v>
      </c>
      <c r="BD2148" t="s">
        <v>1014</v>
      </c>
      <c r="BE2148" t="s">
        <v>554</v>
      </c>
    </row>
    <row r="2149" spans="1:57" ht="13" x14ac:dyDescent="0.15">
      <c r="A2149">
        <v>1839</v>
      </c>
      <c r="B2149">
        <v>267343847</v>
      </c>
      <c r="C2149" t="s">
        <v>554</v>
      </c>
      <c r="D2149" s="7">
        <v>45206</v>
      </c>
      <c r="E2149" s="7">
        <v>45699</v>
      </c>
      <c r="F2149">
        <v>330862</v>
      </c>
      <c r="G2149" t="s">
        <v>983</v>
      </c>
      <c r="H2149" t="s">
        <v>9</v>
      </c>
      <c r="I2149" s="7">
        <v>45679</v>
      </c>
      <c r="J2149" s="8">
        <v>0.62170138888888893</v>
      </c>
      <c r="K2149" t="s">
        <v>984</v>
      </c>
      <c r="AQ2149" t="s">
        <v>992</v>
      </c>
      <c r="AR2149" t="s">
        <v>1892</v>
      </c>
      <c r="AT2149" t="s">
        <v>987</v>
      </c>
      <c r="AZ2149" t="s">
        <v>1011</v>
      </c>
      <c r="BA2149" t="s">
        <v>1012</v>
      </c>
      <c r="BB2149" t="s">
        <v>1013</v>
      </c>
      <c r="BD2149" t="s">
        <v>1014</v>
      </c>
      <c r="BE2149" t="s">
        <v>554</v>
      </c>
    </row>
    <row r="2150" spans="1:57" ht="13" x14ac:dyDescent="0.15">
      <c r="A2150">
        <v>1839</v>
      </c>
      <c r="B2150">
        <v>267343847</v>
      </c>
      <c r="C2150" t="s">
        <v>554</v>
      </c>
      <c r="D2150" s="7">
        <v>45206</v>
      </c>
      <c r="E2150" s="7">
        <v>45699</v>
      </c>
      <c r="F2150">
        <v>330862</v>
      </c>
      <c r="G2150" t="s">
        <v>983</v>
      </c>
      <c r="H2150" t="s">
        <v>9</v>
      </c>
      <c r="I2150" s="7">
        <v>45679</v>
      </c>
      <c r="J2150" s="8">
        <v>0.6582986111111111</v>
      </c>
      <c r="K2150" t="s">
        <v>984</v>
      </c>
      <c r="AQ2150" t="s">
        <v>992</v>
      </c>
      <c r="AR2150" t="s">
        <v>1893</v>
      </c>
      <c r="AT2150" t="s">
        <v>987</v>
      </c>
      <c r="AZ2150" t="s">
        <v>1011</v>
      </c>
      <c r="BA2150" t="s">
        <v>1012</v>
      </c>
      <c r="BB2150" t="s">
        <v>1013</v>
      </c>
      <c r="BD2150" t="s">
        <v>1014</v>
      </c>
      <c r="BE2150" t="s">
        <v>554</v>
      </c>
    </row>
    <row r="2151" spans="1:57" ht="13" x14ac:dyDescent="0.15">
      <c r="A2151">
        <v>1839</v>
      </c>
      <c r="B2151">
        <v>267343847</v>
      </c>
      <c r="C2151" t="s">
        <v>554</v>
      </c>
      <c r="D2151" s="7">
        <v>45206</v>
      </c>
      <c r="E2151" s="7">
        <v>45699</v>
      </c>
      <c r="F2151">
        <v>330862</v>
      </c>
      <c r="G2151" t="s">
        <v>983</v>
      </c>
      <c r="H2151" t="s">
        <v>9</v>
      </c>
      <c r="I2151" s="7">
        <v>45673</v>
      </c>
      <c r="J2151" s="8">
        <v>0.44170138888888888</v>
      </c>
      <c r="K2151" t="s">
        <v>984</v>
      </c>
      <c r="AQ2151" t="s">
        <v>992</v>
      </c>
      <c r="AR2151" t="s">
        <v>1894</v>
      </c>
      <c r="AT2151" t="s">
        <v>987</v>
      </c>
      <c r="BE2151" t="s">
        <v>554</v>
      </c>
    </row>
    <row r="2152" spans="1:57" ht="13" x14ac:dyDescent="0.15">
      <c r="A2152">
        <v>1839</v>
      </c>
      <c r="B2152">
        <v>267343847</v>
      </c>
      <c r="C2152" t="s">
        <v>554</v>
      </c>
      <c r="D2152" s="7">
        <v>45206</v>
      </c>
      <c r="E2152" s="7">
        <v>45699</v>
      </c>
      <c r="F2152">
        <v>330862</v>
      </c>
      <c r="G2152" t="s">
        <v>983</v>
      </c>
      <c r="H2152" t="s">
        <v>9</v>
      </c>
      <c r="I2152" s="7">
        <v>45673</v>
      </c>
      <c r="J2152" s="8">
        <v>0.54774305555555558</v>
      </c>
      <c r="K2152" t="s">
        <v>984</v>
      </c>
      <c r="AQ2152" t="s">
        <v>992</v>
      </c>
      <c r="AR2152" t="s">
        <v>1895</v>
      </c>
      <c r="AT2152" t="s">
        <v>987</v>
      </c>
      <c r="AZ2152" t="s">
        <v>1016</v>
      </c>
      <c r="BA2152" t="s">
        <v>1017</v>
      </c>
      <c r="BB2152" t="s">
        <v>1018</v>
      </c>
      <c r="BD2152" t="s">
        <v>991</v>
      </c>
      <c r="BE2152" t="s">
        <v>554</v>
      </c>
    </row>
    <row r="2153" spans="1:57" ht="13" x14ac:dyDescent="0.15">
      <c r="A2153">
        <v>1839</v>
      </c>
      <c r="B2153">
        <v>267343847</v>
      </c>
      <c r="C2153" t="s">
        <v>554</v>
      </c>
      <c r="D2153" s="7">
        <v>45206</v>
      </c>
      <c r="E2153" s="7">
        <v>45699</v>
      </c>
      <c r="F2153">
        <v>330862</v>
      </c>
      <c r="G2153" t="s">
        <v>983</v>
      </c>
      <c r="H2153" t="s">
        <v>9</v>
      </c>
      <c r="I2153" s="7">
        <v>45673</v>
      </c>
      <c r="J2153" s="8">
        <v>0.54865740740740743</v>
      </c>
      <c r="K2153" t="s">
        <v>984</v>
      </c>
      <c r="AQ2153" t="s">
        <v>992</v>
      </c>
      <c r="AR2153" t="s">
        <v>1896</v>
      </c>
      <c r="AT2153" t="s">
        <v>987</v>
      </c>
      <c r="AZ2153" t="s">
        <v>1002</v>
      </c>
      <c r="BA2153" t="s">
        <v>1003</v>
      </c>
      <c r="BB2153" t="s">
        <v>1004</v>
      </c>
      <c r="BD2153" t="s">
        <v>1005</v>
      </c>
      <c r="BE2153" t="s">
        <v>554</v>
      </c>
    </row>
    <row r="2154" spans="1:57" ht="13" x14ac:dyDescent="0.15">
      <c r="A2154">
        <v>1839</v>
      </c>
      <c r="B2154">
        <v>267343847</v>
      </c>
      <c r="C2154" t="s">
        <v>554</v>
      </c>
      <c r="D2154" s="7">
        <v>45206</v>
      </c>
      <c r="E2154" s="7">
        <v>45699</v>
      </c>
      <c r="F2154">
        <v>330862</v>
      </c>
      <c r="G2154" t="s">
        <v>983</v>
      </c>
      <c r="H2154" t="s">
        <v>9</v>
      </c>
      <c r="I2154" s="7">
        <v>45674</v>
      </c>
      <c r="J2154" s="8">
        <v>0.60902777777777772</v>
      </c>
      <c r="K2154" t="s">
        <v>984</v>
      </c>
      <c r="AQ2154" t="s">
        <v>998</v>
      </c>
      <c r="AR2154" t="s">
        <v>1897</v>
      </c>
      <c r="AT2154" t="s">
        <v>987</v>
      </c>
      <c r="AZ2154" t="s">
        <v>1016</v>
      </c>
      <c r="BA2154" t="s">
        <v>1017</v>
      </c>
      <c r="BB2154" t="s">
        <v>1018</v>
      </c>
      <c r="BD2154" t="s">
        <v>991</v>
      </c>
      <c r="BE2154" t="s">
        <v>554</v>
      </c>
    </row>
    <row r="2155" spans="1:57" ht="13" x14ac:dyDescent="0.15">
      <c r="A2155">
        <v>1839</v>
      </c>
      <c r="B2155">
        <v>267343847</v>
      </c>
      <c r="C2155" t="s">
        <v>554</v>
      </c>
      <c r="D2155" s="7">
        <v>45206</v>
      </c>
      <c r="E2155" s="7">
        <v>45699</v>
      </c>
      <c r="F2155">
        <v>330862</v>
      </c>
      <c r="G2155" t="s">
        <v>983</v>
      </c>
      <c r="H2155" t="s">
        <v>9</v>
      </c>
      <c r="I2155" s="7">
        <v>45674</v>
      </c>
      <c r="J2155" s="8">
        <v>0.63115740740740744</v>
      </c>
      <c r="K2155" t="s">
        <v>984</v>
      </c>
      <c r="AQ2155" t="s">
        <v>992</v>
      </c>
      <c r="AR2155" t="s">
        <v>1898</v>
      </c>
      <c r="AT2155" t="s">
        <v>987</v>
      </c>
      <c r="AZ2155" t="s">
        <v>1011</v>
      </c>
      <c r="BA2155" t="s">
        <v>1012</v>
      </c>
      <c r="BB2155" t="s">
        <v>1013</v>
      </c>
      <c r="BD2155" t="s">
        <v>1014</v>
      </c>
      <c r="BE2155" t="s">
        <v>554</v>
      </c>
    </row>
    <row r="2156" spans="1:57" ht="13" x14ac:dyDescent="0.15">
      <c r="A2156">
        <v>1839</v>
      </c>
      <c r="B2156">
        <v>267343847</v>
      </c>
      <c r="C2156" t="s">
        <v>554</v>
      </c>
      <c r="D2156" s="7">
        <v>45206</v>
      </c>
      <c r="E2156" s="7">
        <v>45699</v>
      </c>
      <c r="F2156">
        <v>330862</v>
      </c>
      <c r="G2156" t="s">
        <v>983</v>
      </c>
      <c r="H2156" t="s">
        <v>9</v>
      </c>
      <c r="I2156" s="7">
        <v>45674</v>
      </c>
      <c r="J2156" s="8">
        <v>0.63167824074074075</v>
      </c>
      <c r="K2156" t="s">
        <v>984</v>
      </c>
      <c r="AQ2156" t="s">
        <v>992</v>
      </c>
      <c r="AR2156" t="s">
        <v>1899</v>
      </c>
      <c r="AT2156" t="s">
        <v>987</v>
      </c>
      <c r="AZ2156" t="s">
        <v>1011</v>
      </c>
      <c r="BA2156" t="s">
        <v>1012</v>
      </c>
      <c r="BB2156" t="s">
        <v>1013</v>
      </c>
      <c r="BD2156" t="s">
        <v>1014</v>
      </c>
      <c r="BE2156" t="s">
        <v>554</v>
      </c>
    </row>
    <row r="2157" spans="1:57" ht="13" x14ac:dyDescent="0.15">
      <c r="A2157">
        <v>1839</v>
      </c>
      <c r="B2157">
        <v>267343847</v>
      </c>
      <c r="C2157" t="s">
        <v>554</v>
      </c>
      <c r="D2157" s="7">
        <v>45206</v>
      </c>
      <c r="E2157" s="7">
        <v>45699</v>
      </c>
      <c r="F2157">
        <v>330862</v>
      </c>
      <c r="G2157" t="s">
        <v>983</v>
      </c>
      <c r="H2157" t="s">
        <v>9</v>
      </c>
      <c r="I2157" s="7">
        <v>45685</v>
      </c>
      <c r="J2157" s="8">
        <v>0.6831018518518519</v>
      </c>
      <c r="K2157" t="s">
        <v>984</v>
      </c>
      <c r="AQ2157" t="s">
        <v>992</v>
      </c>
      <c r="AR2157" t="s">
        <v>1900</v>
      </c>
      <c r="AT2157" t="s">
        <v>987</v>
      </c>
      <c r="AZ2157" t="s">
        <v>1011</v>
      </c>
      <c r="BA2157" t="s">
        <v>1012</v>
      </c>
      <c r="BB2157" t="s">
        <v>1013</v>
      </c>
      <c r="BD2157" t="s">
        <v>1014</v>
      </c>
      <c r="BE2157" t="s">
        <v>554</v>
      </c>
    </row>
    <row r="2158" spans="1:57" ht="13" x14ac:dyDescent="0.15">
      <c r="A2158">
        <v>1839</v>
      </c>
      <c r="B2158">
        <v>267343847</v>
      </c>
      <c r="C2158" t="s">
        <v>554</v>
      </c>
      <c r="D2158" s="7">
        <v>45206</v>
      </c>
      <c r="E2158" s="7">
        <v>45699</v>
      </c>
      <c r="F2158">
        <v>330862</v>
      </c>
      <c r="G2158" t="s">
        <v>983</v>
      </c>
      <c r="H2158" t="s">
        <v>9</v>
      </c>
      <c r="I2158" s="7">
        <v>45686</v>
      </c>
      <c r="J2158" s="8">
        <v>0.70076388888888885</v>
      </c>
      <c r="K2158" t="s">
        <v>984</v>
      </c>
      <c r="AQ2158" t="s">
        <v>992</v>
      </c>
      <c r="AR2158" t="s">
        <v>1901</v>
      </c>
      <c r="AT2158" t="s">
        <v>987</v>
      </c>
      <c r="AZ2158" t="s">
        <v>1062</v>
      </c>
      <c r="BA2158" t="s">
        <v>1063</v>
      </c>
      <c r="BB2158" t="s">
        <v>1048</v>
      </c>
      <c r="BD2158" t="s">
        <v>991</v>
      </c>
      <c r="BE2158" t="s">
        <v>554</v>
      </c>
    </row>
    <row r="2159" spans="1:57" ht="13" x14ac:dyDescent="0.15">
      <c r="A2159">
        <v>1839</v>
      </c>
      <c r="B2159">
        <v>267343847</v>
      </c>
      <c r="C2159" t="s">
        <v>554</v>
      </c>
      <c r="D2159" s="7">
        <v>45206</v>
      </c>
      <c r="E2159" s="7">
        <v>45699</v>
      </c>
      <c r="F2159">
        <v>330862</v>
      </c>
      <c r="G2159" t="s">
        <v>983</v>
      </c>
      <c r="H2159" t="s">
        <v>9</v>
      </c>
      <c r="I2159" s="7">
        <v>45686</v>
      </c>
      <c r="J2159" s="8">
        <v>0.70222222222222219</v>
      </c>
      <c r="K2159" t="s">
        <v>984</v>
      </c>
      <c r="AQ2159" t="s">
        <v>992</v>
      </c>
      <c r="AR2159" t="s">
        <v>1902</v>
      </c>
      <c r="AT2159" t="s">
        <v>987</v>
      </c>
      <c r="AZ2159" t="s">
        <v>1062</v>
      </c>
      <c r="BA2159" t="s">
        <v>1297</v>
      </c>
      <c r="BB2159" t="s">
        <v>1048</v>
      </c>
      <c r="BD2159" t="s">
        <v>991</v>
      </c>
      <c r="BE2159" t="s">
        <v>554</v>
      </c>
    </row>
    <row r="2160" spans="1:57" ht="13" x14ac:dyDescent="0.15">
      <c r="A2160">
        <v>1839</v>
      </c>
      <c r="B2160">
        <v>267343847</v>
      </c>
      <c r="C2160" t="s">
        <v>554</v>
      </c>
      <c r="D2160" s="7">
        <v>45206</v>
      </c>
      <c r="E2160" s="7">
        <v>45699</v>
      </c>
      <c r="F2160">
        <v>330862</v>
      </c>
      <c r="G2160" t="s">
        <v>983</v>
      </c>
      <c r="H2160" t="s">
        <v>9</v>
      </c>
      <c r="I2160" s="7">
        <v>45686</v>
      </c>
      <c r="J2160" s="8">
        <v>0.70466435185185183</v>
      </c>
      <c r="K2160" t="s">
        <v>984</v>
      </c>
      <c r="AQ2160" t="s">
        <v>992</v>
      </c>
      <c r="AR2160" t="s">
        <v>1903</v>
      </c>
      <c r="AT2160" t="s">
        <v>987</v>
      </c>
      <c r="AZ2160" t="s">
        <v>1071</v>
      </c>
      <c r="BA2160" t="s">
        <v>1135</v>
      </c>
      <c r="BB2160" t="s">
        <v>1136</v>
      </c>
      <c r="BD2160" t="s">
        <v>991</v>
      </c>
      <c r="BE2160" t="s">
        <v>554</v>
      </c>
    </row>
    <row r="2161" spans="1:57" ht="13" x14ac:dyDescent="0.15">
      <c r="A2161">
        <v>1839</v>
      </c>
      <c r="B2161">
        <v>267343847</v>
      </c>
      <c r="C2161" t="s">
        <v>554</v>
      </c>
      <c r="D2161" s="7">
        <v>45206</v>
      </c>
      <c r="E2161" s="7">
        <v>45699</v>
      </c>
      <c r="F2161">
        <v>330862</v>
      </c>
      <c r="G2161" t="s">
        <v>983</v>
      </c>
      <c r="H2161" t="s">
        <v>9</v>
      </c>
      <c r="I2161" s="7">
        <v>45686</v>
      </c>
      <c r="J2161" s="8">
        <v>0.7063194444444445</v>
      </c>
      <c r="K2161" t="s">
        <v>984</v>
      </c>
      <c r="AQ2161" t="s">
        <v>992</v>
      </c>
      <c r="AR2161" t="s">
        <v>1904</v>
      </c>
      <c r="AT2161" t="s">
        <v>987</v>
      </c>
      <c r="AZ2161" t="s">
        <v>1002</v>
      </c>
      <c r="BA2161" t="s">
        <v>1065</v>
      </c>
      <c r="BB2161" t="s">
        <v>1004</v>
      </c>
      <c r="BD2161" t="s">
        <v>991</v>
      </c>
      <c r="BE2161" t="s">
        <v>554</v>
      </c>
    </row>
    <row r="2162" spans="1:57" ht="13" x14ac:dyDescent="0.15">
      <c r="A2162">
        <v>1839</v>
      </c>
      <c r="B2162">
        <v>267343847</v>
      </c>
      <c r="C2162" t="s">
        <v>554</v>
      </c>
      <c r="D2162" s="7">
        <v>45206</v>
      </c>
      <c r="E2162" s="7">
        <v>45699</v>
      </c>
      <c r="F2162">
        <v>330862</v>
      </c>
      <c r="G2162" t="s">
        <v>983</v>
      </c>
      <c r="H2162" t="s">
        <v>9</v>
      </c>
      <c r="I2162" s="7">
        <v>45680</v>
      </c>
      <c r="J2162" s="8">
        <v>0.67319444444444443</v>
      </c>
      <c r="K2162" t="s">
        <v>984</v>
      </c>
      <c r="AQ2162" t="s">
        <v>992</v>
      </c>
      <c r="AR2162" t="s">
        <v>1905</v>
      </c>
      <c r="AT2162" t="s">
        <v>987</v>
      </c>
      <c r="AZ2162" t="s">
        <v>1016</v>
      </c>
      <c r="BA2162" t="s">
        <v>1017</v>
      </c>
      <c r="BB2162" t="s">
        <v>1018</v>
      </c>
      <c r="BD2162" t="s">
        <v>991</v>
      </c>
      <c r="BE2162" t="s">
        <v>554</v>
      </c>
    </row>
    <row r="2163" spans="1:57" ht="13" x14ac:dyDescent="0.15">
      <c r="A2163">
        <v>1839</v>
      </c>
      <c r="B2163">
        <v>267343847</v>
      </c>
      <c r="C2163" t="s">
        <v>554</v>
      </c>
      <c r="D2163" s="7">
        <v>45206</v>
      </c>
      <c r="E2163" s="7">
        <v>45699</v>
      </c>
      <c r="F2163">
        <v>330862</v>
      </c>
      <c r="G2163" t="s">
        <v>983</v>
      </c>
      <c r="H2163" t="s">
        <v>9</v>
      </c>
      <c r="I2163" s="7">
        <v>45677</v>
      </c>
      <c r="J2163" s="8">
        <v>0.47057870370370369</v>
      </c>
      <c r="K2163" t="s">
        <v>984</v>
      </c>
      <c r="AQ2163" t="s">
        <v>992</v>
      </c>
      <c r="AR2163" t="s">
        <v>1906</v>
      </c>
      <c r="AT2163" t="s">
        <v>987</v>
      </c>
      <c r="AZ2163" t="s">
        <v>1011</v>
      </c>
      <c r="BA2163" t="s">
        <v>1012</v>
      </c>
      <c r="BB2163" t="s">
        <v>1013</v>
      </c>
      <c r="BD2163" t="s">
        <v>1014</v>
      </c>
      <c r="BE2163" t="s">
        <v>554</v>
      </c>
    </row>
    <row r="2164" spans="1:57" ht="13" x14ac:dyDescent="0.15">
      <c r="A2164">
        <v>1839</v>
      </c>
      <c r="B2164">
        <v>267343847</v>
      </c>
      <c r="C2164" t="s">
        <v>554</v>
      </c>
      <c r="D2164" s="7">
        <v>45206</v>
      </c>
      <c r="E2164" s="7">
        <v>45699</v>
      </c>
      <c r="F2164">
        <v>330862</v>
      </c>
      <c r="G2164" t="s">
        <v>983</v>
      </c>
      <c r="H2164" t="s">
        <v>9</v>
      </c>
      <c r="I2164" s="7">
        <v>45610</v>
      </c>
      <c r="J2164" s="8">
        <v>0.66737268518518522</v>
      </c>
      <c r="K2164" t="s">
        <v>984</v>
      </c>
      <c r="AQ2164" t="s">
        <v>992</v>
      </c>
      <c r="AR2164" t="s">
        <v>1858</v>
      </c>
      <c r="AT2164" t="s">
        <v>987</v>
      </c>
      <c r="BE2164" t="s">
        <v>554</v>
      </c>
    </row>
    <row r="2165" spans="1:57" ht="13" x14ac:dyDescent="0.15">
      <c r="A2165">
        <v>1839</v>
      </c>
      <c r="B2165">
        <v>267343847</v>
      </c>
      <c r="C2165" t="s">
        <v>554</v>
      </c>
      <c r="D2165" s="7">
        <v>45206</v>
      </c>
      <c r="E2165" s="7">
        <v>45699</v>
      </c>
      <c r="F2165">
        <v>330862</v>
      </c>
      <c r="G2165" t="s">
        <v>983</v>
      </c>
      <c r="H2165" t="s">
        <v>9</v>
      </c>
      <c r="I2165" s="7">
        <v>45694</v>
      </c>
      <c r="J2165" s="8">
        <v>0.53699074074074071</v>
      </c>
      <c r="K2165" t="s">
        <v>984</v>
      </c>
      <c r="AQ2165" t="s">
        <v>992</v>
      </c>
      <c r="AR2165" t="s">
        <v>1907</v>
      </c>
      <c r="AT2165" t="s">
        <v>987</v>
      </c>
      <c r="AZ2165" t="s">
        <v>1174</v>
      </c>
      <c r="BA2165" t="s">
        <v>1175</v>
      </c>
      <c r="BB2165" t="s">
        <v>990</v>
      </c>
      <c r="BD2165" t="s">
        <v>991</v>
      </c>
      <c r="BE2165" t="s">
        <v>554</v>
      </c>
    </row>
    <row r="2166" spans="1:57" ht="13" x14ac:dyDescent="0.15">
      <c r="A2166">
        <v>1839</v>
      </c>
      <c r="B2166">
        <v>267343847</v>
      </c>
      <c r="C2166" t="s">
        <v>554</v>
      </c>
      <c r="D2166" s="7">
        <v>45206</v>
      </c>
      <c r="E2166" s="7">
        <v>45699</v>
      </c>
      <c r="F2166">
        <v>330862</v>
      </c>
      <c r="G2166" t="s">
        <v>983</v>
      </c>
      <c r="H2166" t="s">
        <v>9</v>
      </c>
      <c r="I2166" s="7">
        <v>45699</v>
      </c>
      <c r="J2166" s="8">
        <v>0.39332175925925927</v>
      </c>
      <c r="K2166" t="s">
        <v>984</v>
      </c>
      <c r="AQ2166" t="s">
        <v>998</v>
      </c>
      <c r="AR2166" t="s">
        <v>1060</v>
      </c>
      <c r="AT2166" t="s">
        <v>987</v>
      </c>
      <c r="AZ2166" t="s">
        <v>1016</v>
      </c>
      <c r="BA2166" t="s">
        <v>1017</v>
      </c>
      <c r="BB2166" t="s">
        <v>1018</v>
      </c>
      <c r="BD2166" t="s">
        <v>991</v>
      </c>
      <c r="BE2166" t="s">
        <v>554</v>
      </c>
    </row>
    <row r="2167" spans="1:57" ht="13" x14ac:dyDescent="0.15">
      <c r="A2167">
        <v>1839</v>
      </c>
      <c r="B2167">
        <v>267343847</v>
      </c>
      <c r="C2167" t="s">
        <v>554</v>
      </c>
      <c r="D2167" s="7">
        <v>45206</v>
      </c>
      <c r="E2167" s="7">
        <v>45699</v>
      </c>
      <c r="F2167">
        <v>330862</v>
      </c>
      <c r="G2167" t="s">
        <v>983</v>
      </c>
      <c r="H2167" t="s">
        <v>9</v>
      </c>
      <c r="I2167" s="7">
        <v>45694</v>
      </c>
      <c r="J2167" s="8">
        <v>0.52915509259259264</v>
      </c>
      <c r="K2167" t="s">
        <v>984</v>
      </c>
      <c r="AQ2167" t="s">
        <v>992</v>
      </c>
      <c r="AR2167" t="s">
        <v>1908</v>
      </c>
      <c r="AT2167" t="s">
        <v>987</v>
      </c>
      <c r="AZ2167" t="s">
        <v>1002</v>
      </c>
      <c r="BA2167" t="s">
        <v>1065</v>
      </c>
      <c r="BB2167" t="s">
        <v>1004</v>
      </c>
      <c r="BD2167" t="s">
        <v>991</v>
      </c>
      <c r="BE2167" t="s">
        <v>554</v>
      </c>
    </row>
    <row r="2168" spans="1:57" ht="13" x14ac:dyDescent="0.15">
      <c r="A2168">
        <v>1839</v>
      </c>
      <c r="B2168">
        <v>267343847</v>
      </c>
      <c r="C2168" t="s">
        <v>554</v>
      </c>
      <c r="D2168" s="7">
        <v>45206</v>
      </c>
      <c r="E2168" s="7">
        <v>45699</v>
      </c>
      <c r="F2168">
        <v>330862</v>
      </c>
      <c r="G2168" t="s">
        <v>983</v>
      </c>
      <c r="H2168" t="s">
        <v>9</v>
      </c>
      <c r="I2168" s="7">
        <v>45694</v>
      </c>
      <c r="J2168" s="8">
        <v>0.5304861111111111</v>
      </c>
      <c r="K2168" t="s">
        <v>984</v>
      </c>
      <c r="AQ2168" t="s">
        <v>992</v>
      </c>
      <c r="AR2168" t="s">
        <v>1909</v>
      </c>
      <c r="AT2168" t="s">
        <v>987</v>
      </c>
      <c r="AZ2168" t="s">
        <v>988</v>
      </c>
      <c r="BA2168" t="s">
        <v>989</v>
      </c>
      <c r="BB2168" t="s">
        <v>990</v>
      </c>
      <c r="BD2168" t="s">
        <v>991</v>
      </c>
      <c r="BE2168" t="s">
        <v>554</v>
      </c>
    </row>
    <row r="2169" spans="1:57" ht="13" x14ac:dyDescent="0.15">
      <c r="A2169">
        <v>1839</v>
      </c>
      <c r="B2169">
        <v>267343847</v>
      </c>
      <c r="C2169" t="s">
        <v>554</v>
      </c>
      <c r="D2169" s="7">
        <v>45206</v>
      </c>
      <c r="E2169" s="7">
        <v>45699</v>
      </c>
      <c r="F2169">
        <v>330862</v>
      </c>
      <c r="G2169" t="s">
        <v>983</v>
      </c>
      <c r="H2169" t="s">
        <v>9</v>
      </c>
      <c r="I2169" s="7">
        <v>45694</v>
      </c>
      <c r="J2169" s="8">
        <v>0.53313657407407411</v>
      </c>
      <c r="K2169" t="s">
        <v>984</v>
      </c>
      <c r="AQ2169" t="s">
        <v>992</v>
      </c>
      <c r="AR2169" t="s">
        <v>1910</v>
      </c>
      <c r="AT2169" t="s">
        <v>987</v>
      </c>
      <c r="AZ2169" t="s">
        <v>1220</v>
      </c>
      <c r="BA2169" t="s">
        <v>1292</v>
      </c>
      <c r="BB2169" t="s">
        <v>1293</v>
      </c>
      <c r="BD2169" t="s">
        <v>991</v>
      </c>
      <c r="BE2169" t="s">
        <v>554</v>
      </c>
    </row>
    <row r="2170" spans="1:57" ht="13" x14ac:dyDescent="0.15">
      <c r="A2170">
        <v>1839</v>
      </c>
      <c r="B2170">
        <v>267343847</v>
      </c>
      <c r="C2170" t="s">
        <v>554</v>
      </c>
      <c r="D2170" s="7">
        <v>45206</v>
      </c>
      <c r="E2170" s="7">
        <v>45699</v>
      </c>
      <c r="F2170">
        <v>330862</v>
      </c>
      <c r="G2170" t="s">
        <v>983</v>
      </c>
      <c r="H2170" t="s">
        <v>9</v>
      </c>
      <c r="I2170" s="7">
        <v>45694</v>
      </c>
      <c r="J2170" s="8">
        <v>0.53576388888888893</v>
      </c>
      <c r="K2170" t="s">
        <v>984</v>
      </c>
      <c r="AQ2170" t="s">
        <v>992</v>
      </c>
      <c r="AR2170" t="s">
        <v>1911</v>
      </c>
      <c r="AT2170" t="s">
        <v>987</v>
      </c>
      <c r="AZ2170" t="s">
        <v>988</v>
      </c>
      <c r="BA2170" t="s">
        <v>1035</v>
      </c>
      <c r="BB2170" t="s">
        <v>1026</v>
      </c>
      <c r="BD2170" t="s">
        <v>991</v>
      </c>
      <c r="BE2170" t="s">
        <v>554</v>
      </c>
    </row>
    <row r="2171" spans="1:57" ht="13" x14ac:dyDescent="0.15">
      <c r="A2171">
        <v>1839</v>
      </c>
      <c r="B2171">
        <v>267999976</v>
      </c>
      <c r="C2171" t="s">
        <v>555</v>
      </c>
      <c r="D2171" s="7">
        <v>45220</v>
      </c>
      <c r="E2171" s="7">
        <v>45709</v>
      </c>
      <c r="F2171">
        <v>330862</v>
      </c>
      <c r="G2171" t="s">
        <v>983</v>
      </c>
      <c r="H2171" t="s">
        <v>9</v>
      </c>
      <c r="I2171" s="7">
        <v>45707</v>
      </c>
      <c r="J2171" s="8">
        <v>0.44406250000000003</v>
      </c>
      <c r="K2171" t="s">
        <v>984</v>
      </c>
      <c r="AQ2171" t="s">
        <v>998</v>
      </c>
      <c r="AR2171" t="s">
        <v>1912</v>
      </c>
      <c r="AT2171" t="s">
        <v>987</v>
      </c>
      <c r="AZ2171" t="s">
        <v>1011</v>
      </c>
      <c r="BA2171" t="s">
        <v>1012</v>
      </c>
      <c r="BB2171" t="s">
        <v>1013</v>
      </c>
      <c r="BD2171" t="s">
        <v>1014</v>
      </c>
      <c r="BE2171" t="s">
        <v>555</v>
      </c>
    </row>
    <row r="2172" spans="1:57" ht="13" x14ac:dyDescent="0.15">
      <c r="A2172">
        <v>1839</v>
      </c>
      <c r="B2172">
        <v>267999987</v>
      </c>
      <c r="C2172" t="s">
        <v>556</v>
      </c>
      <c r="D2172" s="7">
        <v>45220</v>
      </c>
      <c r="E2172" s="7">
        <v>45709</v>
      </c>
      <c r="F2172">
        <v>330862</v>
      </c>
      <c r="G2172" t="s">
        <v>983</v>
      </c>
      <c r="H2172" t="s">
        <v>9</v>
      </c>
      <c r="I2172" s="7">
        <v>45707</v>
      </c>
      <c r="J2172" s="8">
        <v>0.5502893518518519</v>
      </c>
      <c r="K2172" t="s">
        <v>984</v>
      </c>
      <c r="AQ2172" t="s">
        <v>1089</v>
      </c>
      <c r="AR2172" t="s">
        <v>1691</v>
      </c>
      <c r="AT2172" t="s">
        <v>987</v>
      </c>
      <c r="BE2172" t="s">
        <v>556</v>
      </c>
    </row>
    <row r="2173" spans="1:57" ht="13" x14ac:dyDescent="0.15">
      <c r="A2173">
        <v>1839</v>
      </c>
      <c r="B2173">
        <v>268530320</v>
      </c>
      <c r="C2173" t="s">
        <v>557</v>
      </c>
      <c r="D2173" s="7">
        <v>45225</v>
      </c>
      <c r="E2173" s="7">
        <v>45696</v>
      </c>
      <c r="F2173">
        <v>336447</v>
      </c>
      <c r="G2173" t="s">
        <v>1074</v>
      </c>
      <c r="H2173" t="s">
        <v>26</v>
      </c>
      <c r="I2173" s="7">
        <v>45678</v>
      </c>
      <c r="J2173" s="8">
        <v>0.53885416666666663</v>
      </c>
      <c r="K2173" t="s">
        <v>984</v>
      </c>
      <c r="AQ2173" t="s">
        <v>992</v>
      </c>
      <c r="AR2173" t="s">
        <v>1913</v>
      </c>
      <c r="BE2173" t="s">
        <v>557</v>
      </c>
    </row>
    <row r="2174" spans="1:57" ht="13" x14ac:dyDescent="0.15">
      <c r="A2174">
        <v>1839</v>
      </c>
      <c r="B2174">
        <v>268530320</v>
      </c>
      <c r="C2174" t="s">
        <v>557</v>
      </c>
      <c r="D2174" s="7">
        <v>45225</v>
      </c>
      <c r="E2174" s="7">
        <v>45696</v>
      </c>
      <c r="F2174">
        <v>336453</v>
      </c>
      <c r="G2174" t="s">
        <v>1074</v>
      </c>
      <c r="H2174" t="s">
        <v>27</v>
      </c>
      <c r="I2174" s="7">
        <v>45678</v>
      </c>
      <c r="J2174" s="8">
        <v>0.53893518518518524</v>
      </c>
      <c r="K2174" t="s">
        <v>984</v>
      </c>
      <c r="AQ2174" t="s">
        <v>992</v>
      </c>
      <c r="AR2174" t="s">
        <v>1076</v>
      </c>
      <c r="BE2174" t="s">
        <v>557</v>
      </c>
    </row>
    <row r="2175" spans="1:57" ht="13" x14ac:dyDescent="0.15">
      <c r="A2175">
        <v>1839</v>
      </c>
      <c r="B2175">
        <v>268530320</v>
      </c>
      <c r="C2175" t="s">
        <v>557</v>
      </c>
      <c r="D2175" s="7">
        <v>45225</v>
      </c>
      <c r="E2175" s="7">
        <v>45696</v>
      </c>
      <c r="F2175">
        <v>336709</v>
      </c>
      <c r="G2175" t="s">
        <v>1074</v>
      </c>
      <c r="H2175" t="s">
        <v>28</v>
      </c>
      <c r="I2175" s="7">
        <v>45678</v>
      </c>
      <c r="J2175" s="8">
        <v>0.53902777777777777</v>
      </c>
      <c r="K2175" t="s">
        <v>984</v>
      </c>
      <c r="AQ2175" t="s">
        <v>992</v>
      </c>
      <c r="AR2175" t="s">
        <v>1077</v>
      </c>
      <c r="BE2175" t="s">
        <v>557</v>
      </c>
    </row>
    <row r="2176" spans="1:57" ht="13" x14ac:dyDescent="0.15">
      <c r="A2176">
        <v>1839</v>
      </c>
      <c r="B2176">
        <v>269292860</v>
      </c>
      <c r="C2176" t="s">
        <v>558</v>
      </c>
      <c r="D2176" s="7">
        <v>45232</v>
      </c>
      <c r="E2176" s="7">
        <v>45684</v>
      </c>
      <c r="F2176">
        <v>330862</v>
      </c>
      <c r="G2176" t="s">
        <v>983</v>
      </c>
      <c r="H2176" t="s">
        <v>9</v>
      </c>
      <c r="I2176" s="7">
        <v>45681</v>
      </c>
      <c r="J2176" s="8">
        <v>0.44498842592592591</v>
      </c>
      <c r="K2176" t="s">
        <v>984</v>
      </c>
      <c r="AQ2176" t="s">
        <v>992</v>
      </c>
      <c r="AR2176" t="s">
        <v>1680</v>
      </c>
      <c r="AT2176" t="s">
        <v>987</v>
      </c>
      <c r="BE2176" t="s">
        <v>558</v>
      </c>
    </row>
    <row r="2177" spans="1:57" ht="13" x14ac:dyDescent="0.15">
      <c r="A2177">
        <v>1839</v>
      </c>
      <c r="B2177">
        <v>269292860</v>
      </c>
      <c r="C2177" t="s">
        <v>558</v>
      </c>
      <c r="D2177" s="7">
        <v>45232</v>
      </c>
      <c r="E2177" s="7">
        <v>45684</v>
      </c>
      <c r="F2177">
        <v>330862</v>
      </c>
      <c r="G2177" t="s">
        <v>983</v>
      </c>
      <c r="H2177" t="s">
        <v>9</v>
      </c>
      <c r="I2177" s="7">
        <v>45614</v>
      </c>
      <c r="J2177" s="8">
        <v>0.63211805555555556</v>
      </c>
      <c r="K2177" t="s">
        <v>984</v>
      </c>
      <c r="AQ2177" t="s">
        <v>992</v>
      </c>
      <c r="AR2177" t="s">
        <v>1541</v>
      </c>
      <c r="AT2177" t="s">
        <v>987</v>
      </c>
      <c r="BE2177" t="s">
        <v>558</v>
      </c>
    </row>
    <row r="2178" spans="1:57" ht="13" x14ac:dyDescent="0.15">
      <c r="A2178">
        <v>1839</v>
      </c>
      <c r="B2178">
        <v>269604702</v>
      </c>
      <c r="C2178" t="s">
        <v>559</v>
      </c>
      <c r="D2178" s="7">
        <v>45237</v>
      </c>
      <c r="E2178" s="7">
        <v>45692</v>
      </c>
      <c r="F2178">
        <v>330862</v>
      </c>
      <c r="G2178" t="s">
        <v>983</v>
      </c>
      <c r="H2178" t="s">
        <v>9</v>
      </c>
      <c r="I2178" s="7">
        <v>45614</v>
      </c>
      <c r="J2178" s="8">
        <v>0.54607638888888888</v>
      </c>
      <c r="K2178" t="s">
        <v>984</v>
      </c>
      <c r="AQ2178" t="s">
        <v>1089</v>
      </c>
      <c r="AR2178" t="s">
        <v>1914</v>
      </c>
      <c r="AT2178" t="s">
        <v>987</v>
      </c>
      <c r="BE2178" t="s">
        <v>559</v>
      </c>
    </row>
    <row r="2179" spans="1:57" ht="13" x14ac:dyDescent="0.15">
      <c r="A2179">
        <v>1839</v>
      </c>
      <c r="B2179">
        <v>269604702</v>
      </c>
      <c r="C2179" t="s">
        <v>559</v>
      </c>
      <c r="D2179" s="7">
        <v>45237</v>
      </c>
      <c r="E2179" s="7">
        <v>45692</v>
      </c>
      <c r="F2179">
        <v>330862</v>
      </c>
      <c r="G2179" t="s">
        <v>983</v>
      </c>
      <c r="H2179" t="s">
        <v>9</v>
      </c>
      <c r="I2179" s="7">
        <v>45614</v>
      </c>
      <c r="J2179" s="8">
        <v>0.54456018518518523</v>
      </c>
      <c r="K2179" t="s">
        <v>984</v>
      </c>
      <c r="AQ2179" t="s">
        <v>1089</v>
      </c>
      <c r="AR2179" t="s">
        <v>1541</v>
      </c>
      <c r="AT2179" t="s">
        <v>987</v>
      </c>
      <c r="BE2179" t="s">
        <v>559</v>
      </c>
    </row>
    <row r="2180" spans="1:57" ht="13" x14ac:dyDescent="0.15">
      <c r="A2180">
        <v>1839</v>
      </c>
      <c r="B2180">
        <v>269604702</v>
      </c>
      <c r="C2180" t="s">
        <v>559</v>
      </c>
      <c r="D2180" s="7">
        <v>45237</v>
      </c>
      <c r="E2180" s="7">
        <v>45692</v>
      </c>
      <c r="F2180">
        <v>330862</v>
      </c>
      <c r="G2180" t="s">
        <v>983</v>
      </c>
      <c r="H2180" t="s">
        <v>9</v>
      </c>
      <c r="I2180" s="7">
        <v>45680</v>
      </c>
      <c r="J2180" s="8">
        <v>0.42194444444444446</v>
      </c>
      <c r="K2180" t="s">
        <v>984</v>
      </c>
      <c r="AQ2180" t="s">
        <v>1089</v>
      </c>
      <c r="AR2180" t="s">
        <v>1083</v>
      </c>
      <c r="AT2180" t="s">
        <v>987</v>
      </c>
      <c r="AZ2180" t="s">
        <v>1011</v>
      </c>
      <c r="BA2180" t="s">
        <v>1012</v>
      </c>
      <c r="BB2180" t="s">
        <v>1013</v>
      </c>
      <c r="BD2180" t="s">
        <v>1014</v>
      </c>
      <c r="BE2180" t="s">
        <v>559</v>
      </c>
    </row>
    <row r="2181" spans="1:57" ht="13" x14ac:dyDescent="0.15">
      <c r="A2181">
        <v>1839</v>
      </c>
      <c r="B2181">
        <v>269604702</v>
      </c>
      <c r="C2181" t="s">
        <v>559</v>
      </c>
      <c r="D2181" s="7">
        <v>45237</v>
      </c>
      <c r="E2181" s="7">
        <v>45692</v>
      </c>
      <c r="F2181">
        <v>330862</v>
      </c>
      <c r="G2181" t="s">
        <v>983</v>
      </c>
      <c r="H2181" t="s">
        <v>9</v>
      </c>
      <c r="I2181" s="7">
        <v>45614</v>
      </c>
      <c r="J2181" s="8">
        <v>0.55299768518518522</v>
      </c>
      <c r="K2181" t="s">
        <v>984</v>
      </c>
      <c r="AQ2181" t="s">
        <v>1089</v>
      </c>
      <c r="AR2181" t="s">
        <v>1541</v>
      </c>
      <c r="AT2181" t="s">
        <v>987</v>
      </c>
      <c r="BE2181" t="s">
        <v>559</v>
      </c>
    </row>
    <row r="2182" spans="1:57" ht="13" x14ac:dyDescent="0.15">
      <c r="A2182">
        <v>1839</v>
      </c>
      <c r="B2182">
        <v>269882802</v>
      </c>
      <c r="C2182" t="s">
        <v>1915</v>
      </c>
      <c r="D2182" s="7">
        <v>45240</v>
      </c>
      <c r="E2182" s="7">
        <v>45711</v>
      </c>
      <c r="F2182">
        <v>330862</v>
      </c>
      <c r="G2182" t="s">
        <v>983</v>
      </c>
      <c r="H2182" t="s">
        <v>9</v>
      </c>
      <c r="I2182" s="7">
        <v>45709</v>
      </c>
      <c r="J2182" s="8">
        <v>0.67401620370370374</v>
      </c>
      <c r="K2182" t="s">
        <v>984</v>
      </c>
      <c r="AQ2182" t="s">
        <v>992</v>
      </c>
      <c r="AR2182" t="s">
        <v>1916</v>
      </c>
      <c r="AT2182" t="s">
        <v>987</v>
      </c>
      <c r="AZ2182" t="s">
        <v>988</v>
      </c>
      <c r="BA2182" t="s">
        <v>1035</v>
      </c>
      <c r="BB2182" t="s">
        <v>1026</v>
      </c>
      <c r="BD2182" t="s">
        <v>991</v>
      </c>
      <c r="BE2182" t="s">
        <v>1915</v>
      </c>
    </row>
    <row r="2183" spans="1:57" ht="13" x14ac:dyDescent="0.15">
      <c r="A2183">
        <v>1839</v>
      </c>
      <c r="B2183">
        <v>269882802</v>
      </c>
      <c r="C2183" t="s">
        <v>1915</v>
      </c>
      <c r="D2183" s="7">
        <v>45240</v>
      </c>
      <c r="E2183" s="7">
        <v>45711</v>
      </c>
      <c r="F2183">
        <v>330862</v>
      </c>
      <c r="G2183" t="s">
        <v>983</v>
      </c>
      <c r="H2183" t="s">
        <v>9</v>
      </c>
      <c r="I2183" s="7">
        <v>45709</v>
      </c>
      <c r="J2183" s="8">
        <v>0.6624768518518519</v>
      </c>
      <c r="K2183" t="s">
        <v>984</v>
      </c>
      <c r="AQ2183" t="s">
        <v>992</v>
      </c>
      <c r="AR2183" t="s">
        <v>1917</v>
      </c>
      <c r="AT2183" t="s">
        <v>987</v>
      </c>
      <c r="AZ2183" t="s">
        <v>1220</v>
      </c>
      <c r="BA2183" t="s">
        <v>1292</v>
      </c>
      <c r="BB2183" t="s">
        <v>1293</v>
      </c>
      <c r="BD2183" t="s">
        <v>991</v>
      </c>
      <c r="BE2183" t="s">
        <v>1915</v>
      </c>
    </row>
    <row r="2184" spans="1:57" ht="13" x14ac:dyDescent="0.15">
      <c r="A2184">
        <v>1839</v>
      </c>
      <c r="B2184">
        <v>269882802</v>
      </c>
      <c r="C2184" t="s">
        <v>1915</v>
      </c>
      <c r="D2184" s="7">
        <v>45240</v>
      </c>
      <c r="E2184" s="7">
        <v>45711</v>
      </c>
      <c r="F2184">
        <v>330862</v>
      </c>
      <c r="G2184" t="s">
        <v>983</v>
      </c>
      <c r="H2184" t="s">
        <v>9</v>
      </c>
      <c r="I2184" s="7">
        <v>45709</v>
      </c>
      <c r="J2184" s="8">
        <v>0.41652777777777777</v>
      </c>
      <c r="K2184" t="s">
        <v>984</v>
      </c>
      <c r="AQ2184" t="s">
        <v>992</v>
      </c>
      <c r="AR2184" t="s">
        <v>1918</v>
      </c>
      <c r="AT2184" t="s">
        <v>987</v>
      </c>
      <c r="AZ2184" t="s">
        <v>1174</v>
      </c>
      <c r="BA2184" t="s">
        <v>1175</v>
      </c>
      <c r="BB2184" t="s">
        <v>990</v>
      </c>
      <c r="BD2184" t="s">
        <v>991</v>
      </c>
      <c r="BE2184" t="s">
        <v>1915</v>
      </c>
    </row>
    <row r="2185" spans="1:57" ht="13" x14ac:dyDescent="0.15">
      <c r="A2185">
        <v>1839</v>
      </c>
      <c r="B2185">
        <v>269882802</v>
      </c>
      <c r="C2185" t="s">
        <v>1915</v>
      </c>
      <c r="D2185" s="7">
        <v>45240</v>
      </c>
      <c r="E2185" s="7">
        <v>45711</v>
      </c>
      <c r="F2185">
        <v>330862</v>
      </c>
      <c r="G2185" t="s">
        <v>983</v>
      </c>
      <c r="H2185" t="s">
        <v>9</v>
      </c>
      <c r="I2185" s="7">
        <v>45711</v>
      </c>
      <c r="J2185" s="8">
        <v>0.38687500000000002</v>
      </c>
      <c r="K2185" t="s">
        <v>984</v>
      </c>
      <c r="AQ2185" t="s">
        <v>992</v>
      </c>
      <c r="AR2185" t="s">
        <v>1919</v>
      </c>
      <c r="AT2185" t="s">
        <v>987</v>
      </c>
      <c r="AZ2185" t="s">
        <v>1182</v>
      </c>
      <c r="BA2185" t="s">
        <v>1183</v>
      </c>
      <c r="BB2185" t="s">
        <v>990</v>
      </c>
      <c r="BD2185" t="s">
        <v>991</v>
      </c>
      <c r="BE2185" t="s">
        <v>1915</v>
      </c>
    </row>
    <row r="2186" spans="1:57" ht="13" x14ac:dyDescent="0.15">
      <c r="A2186">
        <v>1839</v>
      </c>
      <c r="B2186">
        <v>270449197</v>
      </c>
      <c r="C2186" t="s">
        <v>560</v>
      </c>
      <c r="D2186" s="7">
        <v>45245</v>
      </c>
      <c r="E2186" s="7">
        <v>45699</v>
      </c>
      <c r="F2186">
        <v>330862</v>
      </c>
      <c r="G2186" t="s">
        <v>983</v>
      </c>
      <c r="H2186" t="s">
        <v>9</v>
      </c>
      <c r="I2186" s="7">
        <v>45679</v>
      </c>
      <c r="J2186" s="8">
        <v>0.10849537037037037</v>
      </c>
      <c r="K2186" t="s">
        <v>984</v>
      </c>
      <c r="AQ2186" t="s">
        <v>998</v>
      </c>
      <c r="AR2186" t="s">
        <v>1283</v>
      </c>
      <c r="AT2186" t="s">
        <v>987</v>
      </c>
      <c r="AZ2186" t="s">
        <v>1011</v>
      </c>
      <c r="BA2186" t="s">
        <v>1012</v>
      </c>
      <c r="BB2186" t="s">
        <v>1013</v>
      </c>
      <c r="BD2186" t="s">
        <v>1014</v>
      </c>
      <c r="BE2186" t="s">
        <v>560</v>
      </c>
    </row>
    <row r="2187" spans="1:57" ht="13" x14ac:dyDescent="0.15">
      <c r="A2187">
        <v>1839</v>
      </c>
      <c r="B2187">
        <v>270449197</v>
      </c>
      <c r="C2187" t="s">
        <v>560</v>
      </c>
      <c r="D2187" s="7">
        <v>45245</v>
      </c>
      <c r="E2187" s="7">
        <v>45699</v>
      </c>
      <c r="F2187">
        <v>330862</v>
      </c>
      <c r="G2187" t="s">
        <v>983</v>
      </c>
      <c r="H2187" t="s">
        <v>9</v>
      </c>
      <c r="I2187" s="7">
        <v>45683</v>
      </c>
      <c r="J2187" s="8">
        <v>0.46528935185185183</v>
      </c>
      <c r="K2187" t="s">
        <v>984</v>
      </c>
      <c r="AQ2187" t="s">
        <v>998</v>
      </c>
      <c r="AR2187" t="s">
        <v>1920</v>
      </c>
      <c r="AT2187" t="s">
        <v>987</v>
      </c>
      <c r="AZ2187" t="s">
        <v>1016</v>
      </c>
      <c r="BA2187" t="s">
        <v>1017</v>
      </c>
      <c r="BB2187" t="s">
        <v>1018</v>
      </c>
      <c r="BD2187" t="s">
        <v>991</v>
      </c>
      <c r="BE2187" t="s">
        <v>560</v>
      </c>
    </row>
    <row r="2188" spans="1:57" ht="13" x14ac:dyDescent="0.15">
      <c r="A2188">
        <v>1839</v>
      </c>
      <c r="B2188">
        <v>270449197</v>
      </c>
      <c r="C2188" t="s">
        <v>560</v>
      </c>
      <c r="D2188" s="7">
        <v>45245</v>
      </c>
      <c r="E2188" s="7">
        <v>45699</v>
      </c>
      <c r="F2188">
        <v>330862</v>
      </c>
      <c r="G2188" t="s">
        <v>983</v>
      </c>
      <c r="H2188" t="s">
        <v>9</v>
      </c>
      <c r="I2188" s="7">
        <v>45644</v>
      </c>
      <c r="J2188" s="8">
        <v>0.12377314814814815</v>
      </c>
      <c r="K2188" t="s">
        <v>984</v>
      </c>
      <c r="AQ2188" t="s">
        <v>998</v>
      </c>
      <c r="AR2188" t="s">
        <v>1921</v>
      </c>
      <c r="AT2188" t="s">
        <v>987</v>
      </c>
      <c r="AZ2188" t="s">
        <v>1011</v>
      </c>
      <c r="BA2188" t="s">
        <v>1031</v>
      </c>
      <c r="BB2188" t="s">
        <v>1032</v>
      </c>
      <c r="BD2188" t="s">
        <v>1005</v>
      </c>
      <c r="BE2188" t="s">
        <v>560</v>
      </c>
    </row>
    <row r="2189" spans="1:57" ht="13" x14ac:dyDescent="0.15">
      <c r="A2189">
        <v>1839</v>
      </c>
      <c r="B2189">
        <v>270449197</v>
      </c>
      <c r="C2189" t="s">
        <v>560</v>
      </c>
      <c r="D2189" s="7">
        <v>45245</v>
      </c>
      <c r="E2189" s="7">
        <v>45699</v>
      </c>
      <c r="F2189">
        <v>330862</v>
      </c>
      <c r="G2189" t="s">
        <v>983</v>
      </c>
      <c r="H2189" t="s">
        <v>9</v>
      </c>
      <c r="I2189" s="7">
        <v>45644</v>
      </c>
      <c r="J2189" s="8">
        <v>0.11793981481481482</v>
      </c>
      <c r="K2189" t="s">
        <v>984</v>
      </c>
      <c r="AQ2189" t="s">
        <v>998</v>
      </c>
      <c r="AR2189" t="s">
        <v>1921</v>
      </c>
      <c r="AT2189" t="s">
        <v>987</v>
      </c>
      <c r="AZ2189" t="s">
        <v>1011</v>
      </c>
      <c r="BA2189" t="s">
        <v>1031</v>
      </c>
      <c r="BB2189" t="s">
        <v>1032</v>
      </c>
      <c r="BD2189" t="s">
        <v>1005</v>
      </c>
      <c r="BE2189" t="s">
        <v>560</v>
      </c>
    </row>
    <row r="2190" spans="1:57" ht="13" x14ac:dyDescent="0.15">
      <c r="A2190">
        <v>1839</v>
      </c>
      <c r="B2190">
        <v>270557219</v>
      </c>
      <c r="C2190" t="s">
        <v>561</v>
      </c>
      <c r="D2190" s="7">
        <v>45247</v>
      </c>
      <c r="E2190" s="7">
        <v>45694</v>
      </c>
      <c r="F2190">
        <v>330862</v>
      </c>
      <c r="G2190" t="s">
        <v>983</v>
      </c>
      <c r="H2190" t="s">
        <v>9</v>
      </c>
      <c r="I2190" s="7">
        <v>45673</v>
      </c>
      <c r="J2190" s="8">
        <v>0.39423611111111112</v>
      </c>
      <c r="K2190" t="s">
        <v>984</v>
      </c>
      <c r="AQ2190" t="s">
        <v>998</v>
      </c>
      <c r="AR2190" t="s">
        <v>1663</v>
      </c>
      <c r="AT2190" t="s">
        <v>987</v>
      </c>
      <c r="AZ2190" t="s">
        <v>1016</v>
      </c>
      <c r="BA2190" t="s">
        <v>1017</v>
      </c>
      <c r="BB2190" t="s">
        <v>1018</v>
      </c>
      <c r="BD2190" t="s">
        <v>991</v>
      </c>
      <c r="BE2190" t="s">
        <v>561</v>
      </c>
    </row>
    <row r="2191" spans="1:57" ht="13" x14ac:dyDescent="0.15">
      <c r="A2191">
        <v>1839</v>
      </c>
      <c r="B2191">
        <v>270559112</v>
      </c>
      <c r="C2191" t="s">
        <v>562</v>
      </c>
      <c r="D2191" s="7">
        <v>45247</v>
      </c>
      <c r="E2191" s="7">
        <v>45696</v>
      </c>
      <c r="F2191">
        <v>330862</v>
      </c>
      <c r="G2191" t="s">
        <v>983</v>
      </c>
      <c r="H2191" t="s">
        <v>9</v>
      </c>
      <c r="I2191" s="7">
        <v>45695</v>
      </c>
      <c r="J2191" s="8">
        <v>4.1134259259259259E-2</v>
      </c>
      <c r="K2191" t="s">
        <v>984</v>
      </c>
      <c r="AQ2191" t="s">
        <v>1092</v>
      </c>
      <c r="AR2191" t="s">
        <v>986</v>
      </c>
      <c r="AT2191" t="s">
        <v>987</v>
      </c>
      <c r="AZ2191" t="s">
        <v>988</v>
      </c>
      <c r="BA2191" t="s">
        <v>989</v>
      </c>
      <c r="BB2191" t="s">
        <v>990</v>
      </c>
      <c r="BD2191" t="s">
        <v>991</v>
      </c>
      <c r="BE2191" t="s">
        <v>562</v>
      </c>
    </row>
    <row r="2192" spans="1:57" ht="13" x14ac:dyDescent="0.15">
      <c r="A2192">
        <v>1839</v>
      </c>
      <c r="B2192">
        <v>270755311</v>
      </c>
      <c r="C2192" t="s">
        <v>563</v>
      </c>
      <c r="D2192" s="7">
        <v>45252</v>
      </c>
      <c r="E2192" s="7">
        <v>45708</v>
      </c>
      <c r="F2192">
        <v>336447</v>
      </c>
      <c r="G2192" t="s">
        <v>1074</v>
      </c>
      <c r="H2192" t="s">
        <v>26</v>
      </c>
      <c r="I2192" s="7">
        <v>45561</v>
      </c>
      <c r="J2192" s="8">
        <v>0.63109953703703703</v>
      </c>
      <c r="K2192" t="s">
        <v>984</v>
      </c>
      <c r="AQ2192" t="s">
        <v>1042</v>
      </c>
      <c r="AR2192" t="s">
        <v>1118</v>
      </c>
      <c r="BE2192" t="s">
        <v>563</v>
      </c>
    </row>
    <row r="2193" spans="1:57" ht="13" x14ac:dyDescent="0.15">
      <c r="A2193">
        <v>1839</v>
      </c>
      <c r="B2193">
        <v>270755311</v>
      </c>
      <c r="C2193" t="s">
        <v>563</v>
      </c>
      <c r="D2193" s="7">
        <v>45252</v>
      </c>
      <c r="E2193" s="7">
        <v>45708</v>
      </c>
      <c r="F2193">
        <v>336447</v>
      </c>
      <c r="G2193" t="s">
        <v>1074</v>
      </c>
      <c r="H2193" t="s">
        <v>26</v>
      </c>
      <c r="I2193" s="7">
        <v>45561</v>
      </c>
      <c r="J2193" s="8">
        <v>0.55131944444444447</v>
      </c>
      <c r="K2193" t="s">
        <v>984</v>
      </c>
      <c r="AQ2193" t="s">
        <v>1556</v>
      </c>
      <c r="AR2193" t="s">
        <v>1118</v>
      </c>
      <c r="BE2193" t="s">
        <v>563</v>
      </c>
    </row>
    <row r="2194" spans="1:57" ht="13" x14ac:dyDescent="0.15">
      <c r="A2194">
        <v>1839</v>
      </c>
      <c r="B2194">
        <v>270755311</v>
      </c>
      <c r="C2194" t="s">
        <v>563</v>
      </c>
      <c r="D2194" s="7">
        <v>45252</v>
      </c>
      <c r="E2194" s="7">
        <v>45708</v>
      </c>
      <c r="F2194">
        <v>336447</v>
      </c>
      <c r="G2194" t="s">
        <v>1074</v>
      </c>
      <c r="H2194" t="s">
        <v>26</v>
      </c>
      <c r="I2194" s="7">
        <v>45561</v>
      </c>
      <c r="J2194" s="8">
        <v>0.54725694444444439</v>
      </c>
      <c r="K2194" t="s">
        <v>984</v>
      </c>
      <c r="AQ2194" t="s">
        <v>1556</v>
      </c>
      <c r="AR2194" t="s">
        <v>1118</v>
      </c>
      <c r="BE2194" t="s">
        <v>563</v>
      </c>
    </row>
    <row r="2195" spans="1:57" ht="13" x14ac:dyDescent="0.15">
      <c r="A2195">
        <v>1839</v>
      </c>
      <c r="B2195">
        <v>270755311</v>
      </c>
      <c r="C2195" t="s">
        <v>563</v>
      </c>
      <c r="D2195" s="7">
        <v>45252</v>
      </c>
      <c r="E2195" s="7">
        <v>45708</v>
      </c>
      <c r="F2195">
        <v>336447</v>
      </c>
      <c r="G2195" t="s">
        <v>1074</v>
      </c>
      <c r="H2195" t="s">
        <v>26</v>
      </c>
      <c r="I2195" s="7">
        <v>45561</v>
      </c>
      <c r="J2195" s="8">
        <v>0.54305555555555551</v>
      </c>
      <c r="K2195" t="s">
        <v>984</v>
      </c>
      <c r="AQ2195" t="s">
        <v>1556</v>
      </c>
      <c r="AR2195" t="s">
        <v>1754</v>
      </c>
      <c r="BE2195" t="s">
        <v>563</v>
      </c>
    </row>
    <row r="2196" spans="1:57" ht="13" x14ac:dyDescent="0.15">
      <c r="A2196">
        <v>1839</v>
      </c>
      <c r="B2196">
        <v>270755311</v>
      </c>
      <c r="C2196" t="s">
        <v>563</v>
      </c>
      <c r="D2196" s="7">
        <v>45252</v>
      </c>
      <c r="E2196" s="7">
        <v>45708</v>
      </c>
      <c r="F2196">
        <v>336447</v>
      </c>
      <c r="G2196" t="s">
        <v>1074</v>
      </c>
      <c r="H2196" t="s">
        <v>26</v>
      </c>
      <c r="I2196" s="7">
        <v>45708</v>
      </c>
      <c r="J2196" s="8">
        <v>0.69950231481481484</v>
      </c>
      <c r="K2196" t="s">
        <v>984</v>
      </c>
      <c r="AQ2196" t="s">
        <v>1089</v>
      </c>
      <c r="AR2196" t="s">
        <v>1828</v>
      </c>
      <c r="BE2196" t="s">
        <v>563</v>
      </c>
    </row>
    <row r="2197" spans="1:57" ht="13" x14ac:dyDescent="0.15">
      <c r="A2197">
        <v>1839</v>
      </c>
      <c r="B2197">
        <v>270755311</v>
      </c>
      <c r="C2197" t="s">
        <v>563</v>
      </c>
      <c r="D2197" s="7">
        <v>45252</v>
      </c>
      <c r="E2197" s="7">
        <v>45708</v>
      </c>
      <c r="F2197">
        <v>336453</v>
      </c>
      <c r="G2197" t="s">
        <v>1074</v>
      </c>
      <c r="H2197" t="s">
        <v>27</v>
      </c>
      <c r="I2197" s="7">
        <v>45561</v>
      </c>
      <c r="J2197" s="8">
        <v>0.63115740740740744</v>
      </c>
      <c r="K2197" t="s">
        <v>984</v>
      </c>
      <c r="AQ2197" t="s">
        <v>1042</v>
      </c>
      <c r="AR2197" t="s">
        <v>1076</v>
      </c>
      <c r="BE2197" t="s">
        <v>563</v>
      </c>
    </row>
    <row r="2198" spans="1:57" ht="13" x14ac:dyDescent="0.15">
      <c r="A2198">
        <v>1839</v>
      </c>
      <c r="B2198">
        <v>270755311</v>
      </c>
      <c r="C2198" t="s">
        <v>563</v>
      </c>
      <c r="D2198" s="7">
        <v>45252</v>
      </c>
      <c r="E2198" s="7">
        <v>45708</v>
      </c>
      <c r="F2198">
        <v>336709</v>
      </c>
      <c r="G2198" t="s">
        <v>1074</v>
      </c>
      <c r="H2198" t="s">
        <v>28</v>
      </c>
      <c r="I2198" s="7">
        <v>45561</v>
      </c>
      <c r="J2198" s="8">
        <v>0.63118055555555552</v>
      </c>
      <c r="K2198" t="s">
        <v>984</v>
      </c>
      <c r="AQ2198" t="s">
        <v>1042</v>
      </c>
      <c r="AR2198" t="s">
        <v>1077</v>
      </c>
      <c r="BE2198" t="s">
        <v>563</v>
      </c>
    </row>
    <row r="2199" spans="1:57" ht="13" x14ac:dyDescent="0.15">
      <c r="A2199">
        <v>1839</v>
      </c>
      <c r="B2199">
        <v>271055544</v>
      </c>
      <c r="C2199" t="s">
        <v>564</v>
      </c>
      <c r="D2199" s="7">
        <v>45258</v>
      </c>
      <c r="E2199" s="7">
        <v>45709</v>
      </c>
      <c r="F2199">
        <v>330862</v>
      </c>
      <c r="G2199" t="s">
        <v>983</v>
      </c>
      <c r="H2199" t="s">
        <v>9</v>
      </c>
      <c r="I2199" s="7">
        <v>45682</v>
      </c>
      <c r="J2199" s="8">
        <v>0.58886574074074072</v>
      </c>
      <c r="K2199" t="s">
        <v>984</v>
      </c>
      <c r="AQ2199" t="s">
        <v>992</v>
      </c>
      <c r="AR2199" t="s">
        <v>1414</v>
      </c>
      <c r="AT2199" t="s">
        <v>987</v>
      </c>
      <c r="AZ2199" t="s">
        <v>1016</v>
      </c>
      <c r="BA2199" t="s">
        <v>1017</v>
      </c>
      <c r="BB2199" t="s">
        <v>1018</v>
      </c>
      <c r="BD2199" t="s">
        <v>991</v>
      </c>
      <c r="BE2199" t="s">
        <v>564</v>
      </c>
    </row>
    <row r="2200" spans="1:57" ht="13" x14ac:dyDescent="0.15">
      <c r="A2200">
        <v>1839</v>
      </c>
      <c r="B2200">
        <v>271110070</v>
      </c>
      <c r="C2200" t="s">
        <v>565</v>
      </c>
      <c r="D2200" s="7">
        <v>45260</v>
      </c>
      <c r="E2200" s="7">
        <v>45708</v>
      </c>
      <c r="F2200">
        <v>330862</v>
      </c>
      <c r="G2200" t="s">
        <v>983</v>
      </c>
      <c r="H2200" t="s">
        <v>9</v>
      </c>
      <c r="I2200" s="7">
        <v>45697</v>
      </c>
      <c r="J2200" s="8">
        <v>0.4112615740740741</v>
      </c>
      <c r="K2200" t="s">
        <v>984</v>
      </c>
      <c r="AQ2200" t="s">
        <v>992</v>
      </c>
      <c r="AR2200" t="s">
        <v>1922</v>
      </c>
      <c r="AT2200" t="s">
        <v>987</v>
      </c>
      <c r="AZ2200" t="s">
        <v>1002</v>
      </c>
      <c r="BA2200" t="s">
        <v>1003</v>
      </c>
      <c r="BB2200" t="s">
        <v>1004</v>
      </c>
      <c r="BD2200" t="s">
        <v>1005</v>
      </c>
      <c r="BE2200" t="s">
        <v>565</v>
      </c>
    </row>
    <row r="2201" spans="1:57" ht="13" x14ac:dyDescent="0.15">
      <c r="A2201">
        <v>1839</v>
      </c>
      <c r="B2201">
        <v>271110070</v>
      </c>
      <c r="C2201" t="s">
        <v>565</v>
      </c>
      <c r="D2201" s="7">
        <v>45260</v>
      </c>
      <c r="E2201" s="7">
        <v>45708</v>
      </c>
      <c r="F2201">
        <v>330862</v>
      </c>
      <c r="G2201" t="s">
        <v>983</v>
      </c>
      <c r="H2201" t="s">
        <v>9</v>
      </c>
      <c r="I2201" s="7">
        <v>45626</v>
      </c>
      <c r="J2201" s="8">
        <v>0.64394675925925926</v>
      </c>
      <c r="K2201" t="s">
        <v>984</v>
      </c>
      <c r="AQ2201" t="s">
        <v>992</v>
      </c>
      <c r="AR2201" t="s">
        <v>1923</v>
      </c>
      <c r="AT2201" t="s">
        <v>987</v>
      </c>
      <c r="AZ2201" t="s">
        <v>1182</v>
      </c>
      <c r="BA2201" t="s">
        <v>1185</v>
      </c>
      <c r="BB2201" t="s">
        <v>1026</v>
      </c>
      <c r="BD2201" t="s">
        <v>1022</v>
      </c>
      <c r="BE2201" t="s">
        <v>565</v>
      </c>
    </row>
    <row r="2202" spans="1:57" ht="13" x14ac:dyDescent="0.15">
      <c r="A2202">
        <v>1839</v>
      </c>
      <c r="B2202">
        <v>271110070</v>
      </c>
      <c r="C2202" t="s">
        <v>565</v>
      </c>
      <c r="D2202" s="7">
        <v>45260</v>
      </c>
      <c r="E2202" s="7">
        <v>45708</v>
      </c>
      <c r="F2202">
        <v>330862</v>
      </c>
      <c r="G2202" t="s">
        <v>983</v>
      </c>
      <c r="H2202" t="s">
        <v>9</v>
      </c>
      <c r="I2202" s="7">
        <v>45626</v>
      </c>
      <c r="J2202" s="8">
        <v>0.6334143518518518</v>
      </c>
      <c r="K2202" t="s">
        <v>984</v>
      </c>
      <c r="AQ2202" t="s">
        <v>992</v>
      </c>
      <c r="AR2202" t="s">
        <v>1924</v>
      </c>
      <c r="AT2202" t="s">
        <v>987</v>
      </c>
      <c r="AZ2202" t="s">
        <v>1028</v>
      </c>
      <c r="BA2202" t="s">
        <v>1029</v>
      </c>
      <c r="BB2202" t="s">
        <v>1018</v>
      </c>
      <c r="BD2202" t="s">
        <v>1022</v>
      </c>
      <c r="BE2202" t="s">
        <v>565</v>
      </c>
    </row>
    <row r="2203" spans="1:57" ht="13" x14ac:dyDescent="0.15">
      <c r="A2203">
        <v>1839</v>
      </c>
      <c r="B2203">
        <v>271110070</v>
      </c>
      <c r="C2203" t="s">
        <v>565</v>
      </c>
      <c r="D2203" s="7">
        <v>45260</v>
      </c>
      <c r="E2203" s="7">
        <v>45708</v>
      </c>
      <c r="F2203">
        <v>330862</v>
      </c>
      <c r="G2203" t="s">
        <v>983</v>
      </c>
      <c r="H2203" t="s">
        <v>9</v>
      </c>
      <c r="I2203" s="7">
        <v>45638</v>
      </c>
      <c r="J2203" s="8">
        <v>0.77351851851851849</v>
      </c>
      <c r="K2203" t="s">
        <v>984</v>
      </c>
      <c r="AQ2203" t="s">
        <v>992</v>
      </c>
      <c r="AR2203" t="s">
        <v>1925</v>
      </c>
      <c r="AT2203" t="s">
        <v>987</v>
      </c>
      <c r="AZ2203" t="s">
        <v>1020</v>
      </c>
      <c r="BA2203" t="s">
        <v>1230</v>
      </c>
      <c r="BB2203" t="s">
        <v>1018</v>
      </c>
      <c r="BD2203" t="s">
        <v>1005</v>
      </c>
      <c r="BE2203" t="s">
        <v>565</v>
      </c>
    </row>
    <row r="2204" spans="1:57" ht="13" x14ac:dyDescent="0.15">
      <c r="A2204">
        <v>1839</v>
      </c>
      <c r="B2204">
        <v>271110070</v>
      </c>
      <c r="C2204" t="s">
        <v>565</v>
      </c>
      <c r="D2204" s="7">
        <v>45260</v>
      </c>
      <c r="E2204" s="7">
        <v>45708</v>
      </c>
      <c r="F2204">
        <v>330862</v>
      </c>
      <c r="G2204" t="s">
        <v>983</v>
      </c>
      <c r="H2204" t="s">
        <v>9</v>
      </c>
      <c r="I2204" s="7">
        <v>45697</v>
      </c>
      <c r="J2204" s="8">
        <v>0.48643518518518519</v>
      </c>
      <c r="K2204" t="s">
        <v>984</v>
      </c>
      <c r="AQ2204" t="s">
        <v>992</v>
      </c>
      <c r="AR2204" t="s">
        <v>1926</v>
      </c>
      <c r="AT2204" t="s">
        <v>987</v>
      </c>
      <c r="AZ2204" t="s">
        <v>1028</v>
      </c>
      <c r="BA2204" t="s">
        <v>1029</v>
      </c>
      <c r="BB2204" t="s">
        <v>1018</v>
      </c>
      <c r="BD2204" t="s">
        <v>1022</v>
      </c>
      <c r="BE2204" t="s">
        <v>565</v>
      </c>
    </row>
    <row r="2205" spans="1:57" ht="13" x14ac:dyDescent="0.15">
      <c r="A2205">
        <v>1839</v>
      </c>
      <c r="B2205">
        <v>271110070</v>
      </c>
      <c r="C2205" t="s">
        <v>565</v>
      </c>
      <c r="D2205" s="7">
        <v>45260</v>
      </c>
      <c r="E2205" s="7">
        <v>45708</v>
      </c>
      <c r="F2205">
        <v>330862</v>
      </c>
      <c r="G2205" t="s">
        <v>983</v>
      </c>
      <c r="H2205" t="s">
        <v>9</v>
      </c>
      <c r="I2205" s="7">
        <v>45697</v>
      </c>
      <c r="J2205" s="8">
        <v>0.48042824074074075</v>
      </c>
      <c r="K2205" t="s">
        <v>984</v>
      </c>
      <c r="AQ2205" t="s">
        <v>992</v>
      </c>
      <c r="AR2205" t="s">
        <v>1927</v>
      </c>
      <c r="AT2205" t="s">
        <v>987</v>
      </c>
      <c r="AZ2205" t="s">
        <v>1020</v>
      </c>
      <c r="BA2205" t="s">
        <v>1021</v>
      </c>
      <c r="BB2205" t="s">
        <v>1018</v>
      </c>
      <c r="BD2205" t="s">
        <v>1022</v>
      </c>
      <c r="BE2205" t="s">
        <v>565</v>
      </c>
    </row>
    <row r="2206" spans="1:57" ht="13" x14ac:dyDescent="0.15">
      <c r="A2206">
        <v>1839</v>
      </c>
      <c r="B2206">
        <v>271110070</v>
      </c>
      <c r="C2206" t="s">
        <v>565</v>
      </c>
      <c r="D2206" s="7">
        <v>45260</v>
      </c>
      <c r="E2206" s="7">
        <v>45708</v>
      </c>
      <c r="F2206">
        <v>330862</v>
      </c>
      <c r="G2206" t="s">
        <v>983</v>
      </c>
      <c r="H2206" t="s">
        <v>9</v>
      </c>
      <c r="I2206" s="7">
        <v>45697</v>
      </c>
      <c r="J2206" s="8">
        <v>0.47085648148148146</v>
      </c>
      <c r="K2206" t="s">
        <v>984</v>
      </c>
      <c r="AQ2206" t="s">
        <v>992</v>
      </c>
      <c r="AR2206" t="s">
        <v>1928</v>
      </c>
      <c r="AT2206" t="s">
        <v>987</v>
      </c>
      <c r="AZ2206" t="s">
        <v>1002</v>
      </c>
      <c r="BA2206" t="s">
        <v>1124</v>
      </c>
      <c r="BB2206" t="s">
        <v>1125</v>
      </c>
      <c r="BD2206" t="s">
        <v>1005</v>
      </c>
      <c r="BE2206" t="s">
        <v>565</v>
      </c>
    </row>
    <row r="2207" spans="1:57" ht="13" x14ac:dyDescent="0.15">
      <c r="A2207">
        <v>1839</v>
      </c>
      <c r="B2207">
        <v>271110070</v>
      </c>
      <c r="C2207" t="s">
        <v>565</v>
      </c>
      <c r="D2207" s="7">
        <v>45260</v>
      </c>
      <c r="E2207" s="7">
        <v>45708</v>
      </c>
      <c r="F2207">
        <v>330862</v>
      </c>
      <c r="G2207" t="s">
        <v>983</v>
      </c>
      <c r="H2207" t="s">
        <v>9</v>
      </c>
      <c r="I2207" s="7">
        <v>45697</v>
      </c>
      <c r="J2207" s="8">
        <v>0.46440972222222221</v>
      </c>
      <c r="K2207" t="s">
        <v>984</v>
      </c>
      <c r="AQ2207" t="s">
        <v>992</v>
      </c>
      <c r="AR2207" t="s">
        <v>1929</v>
      </c>
      <c r="AT2207" t="s">
        <v>987</v>
      </c>
      <c r="AZ2207" t="s">
        <v>1174</v>
      </c>
      <c r="BA2207" t="s">
        <v>1242</v>
      </c>
      <c r="BB2207" t="s">
        <v>1026</v>
      </c>
      <c r="BD2207" t="s">
        <v>1005</v>
      </c>
      <c r="BE2207" t="s">
        <v>565</v>
      </c>
    </row>
    <row r="2208" spans="1:57" ht="13" x14ac:dyDescent="0.15">
      <c r="A2208">
        <v>1839</v>
      </c>
      <c r="B2208">
        <v>271110070</v>
      </c>
      <c r="C2208" t="s">
        <v>565</v>
      </c>
      <c r="D2208" s="7">
        <v>45260</v>
      </c>
      <c r="E2208" s="7">
        <v>45708</v>
      </c>
      <c r="F2208">
        <v>330862</v>
      </c>
      <c r="G2208" t="s">
        <v>983</v>
      </c>
      <c r="H2208" t="s">
        <v>9</v>
      </c>
      <c r="I2208" s="7">
        <v>45697</v>
      </c>
      <c r="J2208" s="8">
        <v>0.45895833333333336</v>
      </c>
      <c r="K2208" t="s">
        <v>984</v>
      </c>
      <c r="AQ2208" t="s">
        <v>992</v>
      </c>
      <c r="AR2208" t="s">
        <v>1930</v>
      </c>
      <c r="AT2208" t="s">
        <v>987</v>
      </c>
      <c r="AZ2208" t="s">
        <v>1028</v>
      </c>
      <c r="BA2208" t="s">
        <v>1236</v>
      </c>
      <c r="BB2208" t="s">
        <v>1237</v>
      </c>
      <c r="BD2208" t="s">
        <v>1005</v>
      </c>
      <c r="BE2208" t="s">
        <v>565</v>
      </c>
    </row>
    <row r="2209" spans="1:57" ht="13" x14ac:dyDescent="0.15">
      <c r="A2209">
        <v>1839</v>
      </c>
      <c r="B2209">
        <v>271110070</v>
      </c>
      <c r="C2209" t="s">
        <v>565</v>
      </c>
      <c r="D2209" s="7">
        <v>45260</v>
      </c>
      <c r="E2209" s="7">
        <v>45708</v>
      </c>
      <c r="F2209">
        <v>330862</v>
      </c>
      <c r="G2209" t="s">
        <v>983</v>
      </c>
      <c r="H2209" t="s">
        <v>9</v>
      </c>
      <c r="I2209" s="7">
        <v>45697</v>
      </c>
      <c r="J2209" s="8">
        <v>0.45336805555555554</v>
      </c>
      <c r="K2209" t="s">
        <v>984</v>
      </c>
      <c r="AQ2209" t="s">
        <v>992</v>
      </c>
      <c r="AR2209" t="s">
        <v>1931</v>
      </c>
      <c r="AT2209" t="s">
        <v>987</v>
      </c>
      <c r="AZ2209" t="s">
        <v>1139</v>
      </c>
      <c r="BA2209" t="s">
        <v>1140</v>
      </c>
      <c r="BB2209" t="s">
        <v>1032</v>
      </c>
      <c r="BD2209" t="s">
        <v>1005</v>
      </c>
      <c r="BE2209" t="s">
        <v>565</v>
      </c>
    </row>
    <row r="2210" spans="1:57" ht="13" x14ac:dyDescent="0.15">
      <c r="A2210">
        <v>1839</v>
      </c>
      <c r="B2210">
        <v>271110070</v>
      </c>
      <c r="C2210" t="s">
        <v>565</v>
      </c>
      <c r="D2210" s="7">
        <v>45260</v>
      </c>
      <c r="E2210" s="7">
        <v>45708</v>
      </c>
      <c r="F2210">
        <v>330862</v>
      </c>
      <c r="G2210" t="s">
        <v>983</v>
      </c>
      <c r="H2210" t="s">
        <v>9</v>
      </c>
      <c r="I2210" s="7">
        <v>45697</v>
      </c>
      <c r="J2210" s="8">
        <v>0.44475694444444447</v>
      </c>
      <c r="K2210" t="s">
        <v>984</v>
      </c>
      <c r="AQ2210" t="s">
        <v>992</v>
      </c>
      <c r="AR2210" t="s">
        <v>1932</v>
      </c>
      <c r="AT2210" t="s">
        <v>987</v>
      </c>
      <c r="AZ2210" t="s">
        <v>1020</v>
      </c>
      <c r="BA2210" t="s">
        <v>1230</v>
      </c>
      <c r="BB2210" t="s">
        <v>1018</v>
      </c>
      <c r="BD2210" t="s">
        <v>1005</v>
      </c>
      <c r="BE2210" t="s">
        <v>565</v>
      </c>
    </row>
    <row r="2211" spans="1:57" ht="13" x14ac:dyDescent="0.15">
      <c r="A2211">
        <v>1839</v>
      </c>
      <c r="B2211">
        <v>271110070</v>
      </c>
      <c r="C2211" t="s">
        <v>565</v>
      </c>
      <c r="D2211" s="7">
        <v>45260</v>
      </c>
      <c r="E2211" s="7">
        <v>45708</v>
      </c>
      <c r="F2211">
        <v>330862</v>
      </c>
      <c r="G2211" t="s">
        <v>983</v>
      </c>
      <c r="H2211" t="s">
        <v>9</v>
      </c>
      <c r="I2211" s="7">
        <v>45697</v>
      </c>
      <c r="J2211" s="8">
        <v>0.43913194444444442</v>
      </c>
      <c r="K2211" t="s">
        <v>984</v>
      </c>
      <c r="AQ2211" t="s">
        <v>992</v>
      </c>
      <c r="AR2211" t="s">
        <v>1933</v>
      </c>
      <c r="AT2211" t="s">
        <v>987</v>
      </c>
      <c r="AZ2211" t="s">
        <v>988</v>
      </c>
      <c r="BA2211" t="s">
        <v>1058</v>
      </c>
      <c r="BB2211" t="s">
        <v>1018</v>
      </c>
      <c r="BD2211" t="s">
        <v>1005</v>
      </c>
      <c r="BE2211" t="s">
        <v>565</v>
      </c>
    </row>
    <row r="2212" spans="1:57" ht="13" x14ac:dyDescent="0.15">
      <c r="A2212">
        <v>1839</v>
      </c>
      <c r="B2212">
        <v>271110070</v>
      </c>
      <c r="C2212" t="s">
        <v>565</v>
      </c>
      <c r="D2212" s="7">
        <v>45260</v>
      </c>
      <c r="E2212" s="7">
        <v>45708</v>
      </c>
      <c r="F2212">
        <v>330862</v>
      </c>
      <c r="G2212" t="s">
        <v>983</v>
      </c>
      <c r="H2212" t="s">
        <v>9</v>
      </c>
      <c r="I2212" s="7">
        <v>45697</v>
      </c>
      <c r="J2212" s="8">
        <v>0.49100694444444443</v>
      </c>
      <c r="K2212" t="s">
        <v>984</v>
      </c>
      <c r="AQ2212" t="s">
        <v>992</v>
      </c>
      <c r="AR2212" t="s">
        <v>1934</v>
      </c>
      <c r="AT2212" t="s">
        <v>987</v>
      </c>
      <c r="AZ2212" t="s">
        <v>1182</v>
      </c>
      <c r="BA2212" t="s">
        <v>1185</v>
      </c>
      <c r="BB2212" t="s">
        <v>1026</v>
      </c>
      <c r="BD2212" t="s">
        <v>1022</v>
      </c>
      <c r="BE2212" t="s">
        <v>565</v>
      </c>
    </row>
    <row r="2213" spans="1:57" ht="13" x14ac:dyDescent="0.15">
      <c r="A2213">
        <v>1839</v>
      </c>
      <c r="B2213">
        <v>271110070</v>
      </c>
      <c r="C2213" t="s">
        <v>565</v>
      </c>
      <c r="D2213" s="7">
        <v>45260</v>
      </c>
      <c r="E2213" s="7">
        <v>45708</v>
      </c>
      <c r="F2213">
        <v>330862</v>
      </c>
      <c r="G2213" t="s">
        <v>983</v>
      </c>
      <c r="H2213" t="s">
        <v>9</v>
      </c>
      <c r="I2213" s="7">
        <v>45697</v>
      </c>
      <c r="J2213" s="8">
        <v>0.49638888888888888</v>
      </c>
      <c r="K2213" t="s">
        <v>984</v>
      </c>
      <c r="AQ2213" t="s">
        <v>992</v>
      </c>
      <c r="AR2213" t="s">
        <v>1935</v>
      </c>
      <c r="AT2213" t="s">
        <v>987</v>
      </c>
      <c r="AZ2213" t="s">
        <v>1493</v>
      </c>
      <c r="BA2213" t="s">
        <v>1494</v>
      </c>
      <c r="BB2213" t="s">
        <v>1495</v>
      </c>
      <c r="BD2213" t="s">
        <v>1005</v>
      </c>
      <c r="BE2213" t="s">
        <v>565</v>
      </c>
    </row>
    <row r="2214" spans="1:57" ht="13" x14ac:dyDescent="0.15">
      <c r="A2214">
        <v>1839</v>
      </c>
      <c r="B2214">
        <v>271110070</v>
      </c>
      <c r="C2214" t="s">
        <v>565</v>
      </c>
      <c r="D2214" s="7">
        <v>45260</v>
      </c>
      <c r="E2214" s="7">
        <v>45708</v>
      </c>
      <c r="F2214">
        <v>330862</v>
      </c>
      <c r="G2214" t="s">
        <v>983</v>
      </c>
      <c r="H2214" t="s">
        <v>9</v>
      </c>
      <c r="I2214" s="7">
        <v>45697</v>
      </c>
      <c r="J2214" s="8">
        <v>0.50907407407407412</v>
      </c>
      <c r="K2214" t="s">
        <v>984</v>
      </c>
      <c r="AQ2214" t="s">
        <v>992</v>
      </c>
      <c r="AR2214" t="s">
        <v>1936</v>
      </c>
      <c r="AT2214" t="s">
        <v>987</v>
      </c>
      <c r="AZ2214" t="s">
        <v>1490</v>
      </c>
      <c r="BA2214" t="s">
        <v>1491</v>
      </c>
      <c r="BB2214" t="s">
        <v>1136</v>
      </c>
      <c r="BD2214" t="s">
        <v>1005</v>
      </c>
      <c r="BE2214" t="s">
        <v>565</v>
      </c>
    </row>
    <row r="2215" spans="1:57" ht="13" x14ac:dyDescent="0.15">
      <c r="A2215">
        <v>1839</v>
      </c>
      <c r="B2215">
        <v>271110070</v>
      </c>
      <c r="C2215" t="s">
        <v>565</v>
      </c>
      <c r="D2215" s="7">
        <v>45260</v>
      </c>
      <c r="E2215" s="7">
        <v>45708</v>
      </c>
      <c r="F2215">
        <v>330862</v>
      </c>
      <c r="G2215" t="s">
        <v>983</v>
      </c>
      <c r="H2215" t="s">
        <v>9</v>
      </c>
      <c r="I2215" s="7">
        <v>45696</v>
      </c>
      <c r="J2215" s="8">
        <v>0.27877314814814813</v>
      </c>
      <c r="K2215" t="s">
        <v>984</v>
      </c>
      <c r="AQ2215" t="s">
        <v>992</v>
      </c>
      <c r="AR2215" t="s">
        <v>1937</v>
      </c>
      <c r="AT2215" t="s">
        <v>987</v>
      </c>
      <c r="AZ2215" t="s">
        <v>1182</v>
      </c>
      <c r="BA2215" t="s">
        <v>1183</v>
      </c>
      <c r="BB2215" t="s">
        <v>990</v>
      </c>
      <c r="BD2215" t="s">
        <v>991</v>
      </c>
      <c r="BE2215" t="s">
        <v>565</v>
      </c>
    </row>
    <row r="2216" spans="1:57" ht="13" x14ac:dyDescent="0.15">
      <c r="A2216">
        <v>1839</v>
      </c>
      <c r="B2216">
        <v>271110070</v>
      </c>
      <c r="C2216" t="s">
        <v>565</v>
      </c>
      <c r="D2216" s="7">
        <v>45260</v>
      </c>
      <c r="E2216" s="7">
        <v>45708</v>
      </c>
      <c r="F2216">
        <v>330862</v>
      </c>
      <c r="G2216" t="s">
        <v>983</v>
      </c>
      <c r="H2216" t="s">
        <v>9</v>
      </c>
      <c r="I2216" s="7">
        <v>45696</v>
      </c>
      <c r="J2216" s="8">
        <v>0.28749999999999998</v>
      </c>
      <c r="K2216" t="s">
        <v>984</v>
      </c>
      <c r="AQ2216" t="s">
        <v>992</v>
      </c>
      <c r="AR2216" t="s">
        <v>1938</v>
      </c>
      <c r="AT2216" t="s">
        <v>987</v>
      </c>
      <c r="AZ2216" t="s">
        <v>1220</v>
      </c>
      <c r="BA2216" t="s">
        <v>1221</v>
      </c>
      <c r="BB2216" t="s">
        <v>1082</v>
      </c>
      <c r="BD2216" t="s">
        <v>991</v>
      </c>
      <c r="BE2216" t="s">
        <v>565</v>
      </c>
    </row>
    <row r="2217" spans="1:57" ht="13" x14ac:dyDescent="0.15">
      <c r="A2217">
        <v>1839</v>
      </c>
      <c r="B2217">
        <v>271110070</v>
      </c>
      <c r="C2217" t="s">
        <v>565</v>
      </c>
      <c r="D2217" s="7">
        <v>45260</v>
      </c>
      <c r="E2217" s="7">
        <v>45708</v>
      </c>
      <c r="F2217">
        <v>330862</v>
      </c>
      <c r="G2217" t="s">
        <v>983</v>
      </c>
      <c r="H2217" t="s">
        <v>9</v>
      </c>
      <c r="I2217" s="7">
        <v>45696</v>
      </c>
      <c r="J2217" s="8">
        <v>0.29346064814814815</v>
      </c>
      <c r="K2217" t="s">
        <v>984</v>
      </c>
      <c r="AQ2217" t="s">
        <v>992</v>
      </c>
      <c r="AR2217" t="s">
        <v>1939</v>
      </c>
      <c r="AT2217" t="s">
        <v>987</v>
      </c>
      <c r="AZ2217" t="s">
        <v>1080</v>
      </c>
      <c r="BA2217" t="s">
        <v>1081</v>
      </c>
      <c r="BB2217" t="s">
        <v>1082</v>
      </c>
      <c r="BD2217" t="s">
        <v>991</v>
      </c>
      <c r="BE2217" t="s">
        <v>565</v>
      </c>
    </row>
    <row r="2218" spans="1:57" ht="13" x14ac:dyDescent="0.15">
      <c r="A2218">
        <v>1839</v>
      </c>
      <c r="B2218">
        <v>271110070</v>
      </c>
      <c r="C2218" t="s">
        <v>565</v>
      </c>
      <c r="D2218" s="7">
        <v>45260</v>
      </c>
      <c r="E2218" s="7">
        <v>45708</v>
      </c>
      <c r="F2218">
        <v>330862</v>
      </c>
      <c r="G2218" t="s">
        <v>983</v>
      </c>
      <c r="H2218" t="s">
        <v>9</v>
      </c>
      <c r="I2218" s="7">
        <v>45696</v>
      </c>
      <c r="J2218" s="8">
        <v>0.30075231481481479</v>
      </c>
      <c r="K2218" t="s">
        <v>984</v>
      </c>
      <c r="AQ2218" t="s">
        <v>992</v>
      </c>
      <c r="AR2218" t="s">
        <v>1940</v>
      </c>
      <c r="AT2218" t="s">
        <v>987</v>
      </c>
      <c r="AZ2218" t="s">
        <v>1028</v>
      </c>
      <c r="BA2218" t="s">
        <v>1037</v>
      </c>
      <c r="BB2218" t="s">
        <v>1038</v>
      </c>
      <c r="BD2218" t="s">
        <v>991</v>
      </c>
      <c r="BE2218" t="s">
        <v>565</v>
      </c>
    </row>
    <row r="2219" spans="1:57" ht="13" x14ac:dyDescent="0.15">
      <c r="A2219">
        <v>1839</v>
      </c>
      <c r="B2219">
        <v>271110070</v>
      </c>
      <c r="C2219" t="s">
        <v>565</v>
      </c>
      <c r="D2219" s="7">
        <v>45260</v>
      </c>
      <c r="E2219" s="7">
        <v>45708</v>
      </c>
      <c r="F2219">
        <v>330862</v>
      </c>
      <c r="G2219" t="s">
        <v>983</v>
      </c>
      <c r="H2219" t="s">
        <v>9</v>
      </c>
      <c r="I2219" s="7">
        <v>45696</v>
      </c>
      <c r="J2219" s="8">
        <v>0.30811342592592594</v>
      </c>
      <c r="K2219" t="s">
        <v>984</v>
      </c>
      <c r="AQ2219" t="s">
        <v>992</v>
      </c>
      <c r="AR2219" t="s">
        <v>1941</v>
      </c>
      <c r="AT2219" t="s">
        <v>987</v>
      </c>
      <c r="AZ2219" t="s">
        <v>1002</v>
      </c>
      <c r="BA2219" t="s">
        <v>1040</v>
      </c>
      <c r="BB2219" t="s">
        <v>1041</v>
      </c>
      <c r="BD2219" t="s">
        <v>991</v>
      </c>
      <c r="BE2219" t="s">
        <v>565</v>
      </c>
    </row>
    <row r="2220" spans="1:57" ht="13" x14ac:dyDescent="0.15">
      <c r="A2220">
        <v>1839</v>
      </c>
      <c r="B2220">
        <v>271110070</v>
      </c>
      <c r="C2220" t="s">
        <v>565</v>
      </c>
      <c r="D2220" s="7">
        <v>45260</v>
      </c>
      <c r="E2220" s="7">
        <v>45708</v>
      </c>
      <c r="F2220">
        <v>330862</v>
      </c>
      <c r="G2220" t="s">
        <v>983</v>
      </c>
      <c r="H2220" t="s">
        <v>9</v>
      </c>
      <c r="I2220" s="7">
        <v>45696</v>
      </c>
      <c r="J2220" s="8">
        <v>0.32598379629629631</v>
      </c>
      <c r="K2220" t="s">
        <v>984</v>
      </c>
      <c r="AQ2220" t="s">
        <v>992</v>
      </c>
      <c r="AR2220" t="s">
        <v>1942</v>
      </c>
      <c r="AT2220" t="s">
        <v>987</v>
      </c>
      <c r="AZ2220" t="s">
        <v>1174</v>
      </c>
      <c r="BA2220" t="s">
        <v>1175</v>
      </c>
      <c r="BB2220" t="s">
        <v>990</v>
      </c>
      <c r="BD2220" t="s">
        <v>991</v>
      </c>
      <c r="BE2220" t="s">
        <v>565</v>
      </c>
    </row>
    <row r="2221" spans="1:57" ht="13" x14ac:dyDescent="0.15">
      <c r="A2221">
        <v>1839</v>
      </c>
      <c r="B2221">
        <v>271110070</v>
      </c>
      <c r="C2221" t="s">
        <v>565</v>
      </c>
      <c r="D2221" s="7">
        <v>45260</v>
      </c>
      <c r="E2221" s="7">
        <v>45708</v>
      </c>
      <c r="F2221">
        <v>330862</v>
      </c>
      <c r="G2221" t="s">
        <v>983</v>
      </c>
      <c r="H2221" t="s">
        <v>9</v>
      </c>
      <c r="I2221" s="7">
        <v>45696</v>
      </c>
      <c r="J2221" s="8">
        <v>0.3371527777777778</v>
      </c>
      <c r="K2221" t="s">
        <v>984</v>
      </c>
      <c r="AQ2221" t="s">
        <v>992</v>
      </c>
      <c r="AR2221" t="s">
        <v>1425</v>
      </c>
      <c r="AT2221" t="s">
        <v>987</v>
      </c>
      <c r="AZ2221" t="s">
        <v>1011</v>
      </c>
      <c r="BA2221" t="s">
        <v>1012</v>
      </c>
      <c r="BB2221" t="s">
        <v>1013</v>
      </c>
      <c r="BD2221" t="s">
        <v>1014</v>
      </c>
      <c r="BE2221" t="s">
        <v>565</v>
      </c>
    </row>
    <row r="2222" spans="1:57" ht="13" x14ac:dyDescent="0.15">
      <c r="A2222">
        <v>1839</v>
      </c>
      <c r="B2222">
        <v>271110070</v>
      </c>
      <c r="C2222" t="s">
        <v>565</v>
      </c>
      <c r="D2222" s="7">
        <v>45260</v>
      </c>
      <c r="E2222" s="7">
        <v>45708</v>
      </c>
      <c r="F2222">
        <v>330862</v>
      </c>
      <c r="G2222" t="s">
        <v>983</v>
      </c>
      <c r="H2222" t="s">
        <v>9</v>
      </c>
      <c r="I2222" s="7">
        <v>45696</v>
      </c>
      <c r="J2222" s="8">
        <v>0.34218749999999998</v>
      </c>
      <c r="K2222" t="s">
        <v>984</v>
      </c>
      <c r="AQ2222" t="s">
        <v>992</v>
      </c>
      <c r="AR2222" t="s">
        <v>1943</v>
      </c>
      <c r="AT2222" t="s">
        <v>987</v>
      </c>
      <c r="AZ2222" t="s">
        <v>1016</v>
      </c>
      <c r="BA2222" t="s">
        <v>1017</v>
      </c>
      <c r="BB2222" t="s">
        <v>1018</v>
      </c>
      <c r="BD2222" t="s">
        <v>991</v>
      </c>
      <c r="BE2222" t="s">
        <v>565</v>
      </c>
    </row>
    <row r="2223" spans="1:57" ht="13" x14ac:dyDescent="0.15">
      <c r="A2223">
        <v>1839</v>
      </c>
      <c r="B2223">
        <v>271110070</v>
      </c>
      <c r="C2223" t="s">
        <v>565</v>
      </c>
      <c r="D2223" s="7">
        <v>45260</v>
      </c>
      <c r="E2223" s="7">
        <v>45708</v>
      </c>
      <c r="F2223">
        <v>330862</v>
      </c>
      <c r="G2223" t="s">
        <v>983</v>
      </c>
      <c r="H2223" t="s">
        <v>9</v>
      </c>
      <c r="I2223" s="7">
        <v>45696</v>
      </c>
      <c r="J2223" s="8">
        <v>0.34965277777777776</v>
      </c>
      <c r="K2223" t="s">
        <v>984</v>
      </c>
      <c r="AQ2223" t="s">
        <v>992</v>
      </c>
      <c r="AR2223" t="s">
        <v>1944</v>
      </c>
      <c r="AT2223" t="s">
        <v>987</v>
      </c>
      <c r="AZ2223" t="s">
        <v>988</v>
      </c>
      <c r="BA2223" t="s">
        <v>1035</v>
      </c>
      <c r="BB2223" t="s">
        <v>1026</v>
      </c>
      <c r="BD2223" t="s">
        <v>991</v>
      </c>
      <c r="BE2223" t="s">
        <v>565</v>
      </c>
    </row>
    <row r="2224" spans="1:57" ht="13" x14ac:dyDescent="0.15">
      <c r="A2224">
        <v>1839</v>
      </c>
      <c r="B2224">
        <v>271110070</v>
      </c>
      <c r="C2224" t="s">
        <v>565</v>
      </c>
      <c r="D2224" s="7">
        <v>45260</v>
      </c>
      <c r="E2224" s="7">
        <v>45708</v>
      </c>
      <c r="F2224">
        <v>330862</v>
      </c>
      <c r="G2224" t="s">
        <v>983</v>
      </c>
      <c r="H2224" t="s">
        <v>9</v>
      </c>
      <c r="I2224" s="7">
        <v>45696</v>
      </c>
      <c r="J2224" s="8">
        <v>0.35587962962962966</v>
      </c>
      <c r="K2224" t="s">
        <v>984</v>
      </c>
      <c r="AQ2224" t="s">
        <v>992</v>
      </c>
      <c r="AR2224" t="s">
        <v>1945</v>
      </c>
      <c r="AT2224" t="s">
        <v>987</v>
      </c>
      <c r="AZ2224" t="s">
        <v>1220</v>
      </c>
      <c r="BA2224" t="s">
        <v>1292</v>
      </c>
      <c r="BB2224" t="s">
        <v>1293</v>
      </c>
      <c r="BD2224" t="s">
        <v>991</v>
      </c>
      <c r="BE2224" t="s">
        <v>565</v>
      </c>
    </row>
    <row r="2225" spans="1:57" ht="13" x14ac:dyDescent="0.15">
      <c r="A2225">
        <v>1839</v>
      </c>
      <c r="B2225">
        <v>271110070</v>
      </c>
      <c r="C2225" t="s">
        <v>565</v>
      </c>
      <c r="D2225" s="7">
        <v>45260</v>
      </c>
      <c r="E2225" s="7">
        <v>45708</v>
      </c>
      <c r="F2225">
        <v>330862</v>
      </c>
      <c r="G2225" t="s">
        <v>983</v>
      </c>
      <c r="H2225" t="s">
        <v>9</v>
      </c>
      <c r="I2225" s="7">
        <v>45696</v>
      </c>
      <c r="J2225" s="8">
        <v>0.36133101851851851</v>
      </c>
      <c r="K2225" t="s">
        <v>984</v>
      </c>
      <c r="AQ2225" t="s">
        <v>992</v>
      </c>
      <c r="AR2225" t="s">
        <v>999</v>
      </c>
      <c r="AT2225" t="s">
        <v>987</v>
      </c>
      <c r="AZ2225" t="s">
        <v>988</v>
      </c>
      <c r="BA2225" t="s">
        <v>989</v>
      </c>
      <c r="BB2225" t="s">
        <v>990</v>
      </c>
      <c r="BD2225" t="s">
        <v>991</v>
      </c>
      <c r="BE2225" t="s">
        <v>565</v>
      </c>
    </row>
    <row r="2226" spans="1:57" ht="13" x14ac:dyDescent="0.15">
      <c r="A2226">
        <v>1839</v>
      </c>
      <c r="B2226">
        <v>271110070</v>
      </c>
      <c r="C2226" t="s">
        <v>565</v>
      </c>
      <c r="D2226" s="7">
        <v>45260</v>
      </c>
      <c r="E2226" s="7">
        <v>45708</v>
      </c>
      <c r="F2226">
        <v>330862</v>
      </c>
      <c r="G2226" t="s">
        <v>983</v>
      </c>
      <c r="H2226" t="s">
        <v>9</v>
      </c>
      <c r="I2226" s="7">
        <v>45697</v>
      </c>
      <c r="J2226" s="8">
        <v>0.35973379629629632</v>
      </c>
      <c r="K2226" t="s">
        <v>984</v>
      </c>
      <c r="AQ2226" t="s">
        <v>992</v>
      </c>
      <c r="AR2226" t="s">
        <v>1946</v>
      </c>
      <c r="AT2226" t="s">
        <v>987</v>
      </c>
      <c r="AZ2226" t="s">
        <v>1002</v>
      </c>
      <c r="BA2226" t="s">
        <v>1065</v>
      </c>
      <c r="BB2226" t="s">
        <v>1004</v>
      </c>
      <c r="BD2226" t="s">
        <v>991</v>
      </c>
      <c r="BE2226" t="s">
        <v>565</v>
      </c>
    </row>
    <row r="2227" spans="1:57" ht="13" x14ac:dyDescent="0.15">
      <c r="A2227">
        <v>1839</v>
      </c>
      <c r="B2227">
        <v>271110070</v>
      </c>
      <c r="C2227" t="s">
        <v>565</v>
      </c>
      <c r="D2227" s="7">
        <v>45260</v>
      </c>
      <c r="E2227" s="7">
        <v>45708</v>
      </c>
      <c r="F2227">
        <v>330862</v>
      </c>
      <c r="G2227" t="s">
        <v>983</v>
      </c>
      <c r="H2227" t="s">
        <v>9</v>
      </c>
      <c r="I2227" s="7">
        <v>45697</v>
      </c>
      <c r="J2227" s="8">
        <v>0.37987268518518519</v>
      </c>
      <c r="K2227" t="s">
        <v>984</v>
      </c>
      <c r="AQ2227" t="s">
        <v>992</v>
      </c>
      <c r="AR2227" t="s">
        <v>1947</v>
      </c>
      <c r="AT2227" t="s">
        <v>987</v>
      </c>
      <c r="AZ2227" t="s">
        <v>1071</v>
      </c>
      <c r="BA2227" t="s">
        <v>1135</v>
      </c>
      <c r="BB2227" t="s">
        <v>1136</v>
      </c>
      <c r="BD2227" t="s">
        <v>991</v>
      </c>
      <c r="BE2227" t="s">
        <v>565</v>
      </c>
    </row>
    <row r="2228" spans="1:57" ht="13" x14ac:dyDescent="0.15">
      <c r="A2228">
        <v>1839</v>
      </c>
      <c r="B2228">
        <v>271110070</v>
      </c>
      <c r="C2228" t="s">
        <v>565</v>
      </c>
      <c r="D2228" s="7">
        <v>45260</v>
      </c>
      <c r="E2228" s="7">
        <v>45708</v>
      </c>
      <c r="F2228">
        <v>330862</v>
      </c>
      <c r="G2228" t="s">
        <v>983</v>
      </c>
      <c r="H2228" t="s">
        <v>9</v>
      </c>
      <c r="I2228" s="7">
        <v>45697</v>
      </c>
      <c r="J2228" s="8">
        <v>0.38702546296296297</v>
      </c>
      <c r="K2228" t="s">
        <v>984</v>
      </c>
      <c r="AQ2228" t="s">
        <v>992</v>
      </c>
      <c r="AR2228" t="s">
        <v>1948</v>
      </c>
      <c r="AT2228" t="s">
        <v>987</v>
      </c>
      <c r="AZ2228" t="s">
        <v>1062</v>
      </c>
      <c r="BA2228" t="s">
        <v>1063</v>
      </c>
      <c r="BB2228" t="s">
        <v>1048</v>
      </c>
      <c r="BD2228" t="s">
        <v>991</v>
      </c>
      <c r="BE2228" t="s">
        <v>565</v>
      </c>
    </row>
    <row r="2229" spans="1:57" ht="13" x14ac:dyDescent="0.15">
      <c r="A2229">
        <v>1839</v>
      </c>
      <c r="B2229">
        <v>271110070</v>
      </c>
      <c r="C2229" t="s">
        <v>565</v>
      </c>
      <c r="D2229" s="7">
        <v>45260</v>
      </c>
      <c r="E2229" s="7">
        <v>45708</v>
      </c>
      <c r="F2229">
        <v>330862</v>
      </c>
      <c r="G2229" t="s">
        <v>983</v>
      </c>
      <c r="H2229" t="s">
        <v>9</v>
      </c>
      <c r="I2229" s="7">
        <v>45697</v>
      </c>
      <c r="J2229" s="8">
        <v>0.39436342592592594</v>
      </c>
      <c r="K2229" t="s">
        <v>984</v>
      </c>
      <c r="AQ2229" t="s">
        <v>992</v>
      </c>
      <c r="AR2229" t="s">
        <v>1425</v>
      </c>
      <c r="AT2229" t="s">
        <v>987</v>
      </c>
      <c r="AZ2229" t="s">
        <v>1011</v>
      </c>
      <c r="BA2229" t="s">
        <v>1012</v>
      </c>
      <c r="BB2229" t="s">
        <v>1013</v>
      </c>
      <c r="BD2229" t="s">
        <v>1014</v>
      </c>
      <c r="BE2229" t="s">
        <v>565</v>
      </c>
    </row>
    <row r="2230" spans="1:57" ht="13" x14ac:dyDescent="0.15">
      <c r="A2230">
        <v>1839</v>
      </c>
      <c r="B2230">
        <v>271110070</v>
      </c>
      <c r="C2230" t="s">
        <v>565</v>
      </c>
      <c r="D2230" s="7">
        <v>45260</v>
      </c>
      <c r="E2230" s="7">
        <v>45708</v>
      </c>
      <c r="F2230">
        <v>330862</v>
      </c>
      <c r="G2230" t="s">
        <v>983</v>
      </c>
      <c r="H2230" t="s">
        <v>9</v>
      </c>
      <c r="I2230" s="7">
        <v>45697</v>
      </c>
      <c r="J2230" s="8">
        <v>0.39597222222222223</v>
      </c>
      <c r="K2230" t="s">
        <v>984</v>
      </c>
      <c r="AQ2230" t="s">
        <v>992</v>
      </c>
      <c r="AR2230" t="s">
        <v>1949</v>
      </c>
      <c r="AT2230" t="s">
        <v>987</v>
      </c>
      <c r="AZ2230" t="s">
        <v>1024</v>
      </c>
      <c r="BA2230" t="s">
        <v>1047</v>
      </c>
      <c r="BB2230" t="s">
        <v>1048</v>
      </c>
      <c r="BD2230" t="s">
        <v>1014</v>
      </c>
      <c r="BE2230" t="s">
        <v>565</v>
      </c>
    </row>
    <row r="2231" spans="1:57" ht="13" x14ac:dyDescent="0.15">
      <c r="A2231">
        <v>1839</v>
      </c>
      <c r="B2231">
        <v>271110070</v>
      </c>
      <c r="C2231" t="s">
        <v>565</v>
      </c>
      <c r="D2231" s="7">
        <v>45260</v>
      </c>
      <c r="E2231" s="7">
        <v>45708</v>
      </c>
      <c r="F2231">
        <v>330862</v>
      </c>
      <c r="G2231" t="s">
        <v>983</v>
      </c>
      <c r="H2231" t="s">
        <v>9</v>
      </c>
      <c r="I2231" s="7">
        <v>45697</v>
      </c>
      <c r="J2231" s="8">
        <v>0.40535879629629629</v>
      </c>
      <c r="K2231" t="s">
        <v>984</v>
      </c>
      <c r="AQ2231" t="s">
        <v>992</v>
      </c>
      <c r="AR2231" t="s">
        <v>1426</v>
      </c>
      <c r="AT2231" t="s">
        <v>987</v>
      </c>
      <c r="AZ2231" t="s">
        <v>1044</v>
      </c>
      <c r="BA2231" t="s">
        <v>1045</v>
      </c>
      <c r="BB2231" t="s">
        <v>990</v>
      </c>
      <c r="BD2231" t="s">
        <v>991</v>
      </c>
      <c r="BE2231" t="s">
        <v>565</v>
      </c>
    </row>
    <row r="2232" spans="1:57" ht="13" x14ac:dyDescent="0.15">
      <c r="A2232">
        <v>1839</v>
      </c>
      <c r="B2232">
        <v>271110070</v>
      </c>
      <c r="C2232" t="s">
        <v>565</v>
      </c>
      <c r="D2232" s="7">
        <v>45260</v>
      </c>
      <c r="E2232" s="7">
        <v>45708</v>
      </c>
      <c r="F2232">
        <v>330862</v>
      </c>
      <c r="G2232" t="s">
        <v>983</v>
      </c>
      <c r="H2232" t="s">
        <v>9</v>
      </c>
      <c r="I2232" s="7">
        <v>45626</v>
      </c>
      <c r="J2232" s="8">
        <v>0.65204861111111112</v>
      </c>
      <c r="K2232" t="s">
        <v>984</v>
      </c>
      <c r="AQ2232" t="s">
        <v>992</v>
      </c>
      <c r="AR2232" t="s">
        <v>1950</v>
      </c>
      <c r="AT2232" t="s">
        <v>987</v>
      </c>
      <c r="AZ2232" t="s">
        <v>1055</v>
      </c>
      <c r="BA2232" t="s">
        <v>1056</v>
      </c>
      <c r="BB2232" t="s">
        <v>1013</v>
      </c>
      <c r="BD2232" t="s">
        <v>1022</v>
      </c>
      <c r="BE2232" t="s">
        <v>565</v>
      </c>
    </row>
    <row r="2233" spans="1:57" ht="13" x14ac:dyDescent="0.15">
      <c r="A2233">
        <v>1839</v>
      </c>
      <c r="B2233">
        <v>271110070</v>
      </c>
      <c r="C2233" t="s">
        <v>565</v>
      </c>
      <c r="D2233" s="7">
        <v>45260</v>
      </c>
      <c r="E2233" s="7">
        <v>45708</v>
      </c>
      <c r="F2233">
        <v>330862</v>
      </c>
      <c r="G2233" t="s">
        <v>983</v>
      </c>
      <c r="H2233" t="s">
        <v>9</v>
      </c>
      <c r="I2233" s="7">
        <v>45697</v>
      </c>
      <c r="J2233" s="8">
        <v>0.41928240740740741</v>
      </c>
      <c r="K2233" t="s">
        <v>984</v>
      </c>
      <c r="AQ2233" t="s">
        <v>992</v>
      </c>
      <c r="AR2233" t="s">
        <v>1951</v>
      </c>
      <c r="AT2233" t="s">
        <v>987</v>
      </c>
      <c r="AZ2233" t="s">
        <v>1028</v>
      </c>
      <c r="BA2233" t="s">
        <v>1068</v>
      </c>
      <c r="BB2233" t="s">
        <v>1069</v>
      </c>
      <c r="BD2233" t="s">
        <v>1005</v>
      </c>
      <c r="BE2233" t="s">
        <v>565</v>
      </c>
    </row>
    <row r="2234" spans="1:57" ht="13" x14ac:dyDescent="0.15">
      <c r="A2234">
        <v>1839</v>
      </c>
      <c r="B2234">
        <v>271110070</v>
      </c>
      <c r="C2234" t="s">
        <v>565</v>
      </c>
      <c r="D2234" s="7">
        <v>45260</v>
      </c>
      <c r="E2234" s="7">
        <v>45708</v>
      </c>
      <c r="F2234">
        <v>330862</v>
      </c>
      <c r="G2234" t="s">
        <v>983</v>
      </c>
      <c r="H2234" t="s">
        <v>9</v>
      </c>
      <c r="I2234" s="7">
        <v>45697</v>
      </c>
      <c r="J2234" s="8">
        <v>0.42532407407407408</v>
      </c>
      <c r="K2234" t="s">
        <v>984</v>
      </c>
      <c r="AQ2234" t="s">
        <v>992</v>
      </c>
      <c r="AR2234" t="s">
        <v>1952</v>
      </c>
      <c r="AT2234" t="s">
        <v>987</v>
      </c>
      <c r="AZ2234" t="s">
        <v>1071</v>
      </c>
      <c r="BA2234" t="s">
        <v>1072</v>
      </c>
      <c r="BB2234" t="s">
        <v>1048</v>
      </c>
      <c r="BD2234" t="s">
        <v>1005</v>
      </c>
      <c r="BE2234" t="s">
        <v>565</v>
      </c>
    </row>
    <row r="2235" spans="1:57" ht="13" x14ac:dyDescent="0.15">
      <c r="A2235">
        <v>1839</v>
      </c>
      <c r="B2235">
        <v>271110070</v>
      </c>
      <c r="C2235" t="s">
        <v>565</v>
      </c>
      <c r="D2235" s="7">
        <v>45260</v>
      </c>
      <c r="E2235" s="7">
        <v>45708</v>
      </c>
      <c r="F2235">
        <v>330862</v>
      </c>
      <c r="G2235" t="s">
        <v>983</v>
      </c>
      <c r="H2235" t="s">
        <v>9</v>
      </c>
      <c r="I2235" s="7">
        <v>45697</v>
      </c>
      <c r="J2235" s="8">
        <v>0.43344907407407407</v>
      </c>
      <c r="K2235" t="s">
        <v>984</v>
      </c>
      <c r="AQ2235" t="s">
        <v>992</v>
      </c>
      <c r="AR2235" t="s">
        <v>1953</v>
      </c>
      <c r="AT2235" t="s">
        <v>987</v>
      </c>
      <c r="AZ2235" t="s">
        <v>1007</v>
      </c>
      <c r="BA2235" t="s">
        <v>1008</v>
      </c>
      <c r="BB2235" t="s">
        <v>990</v>
      </c>
      <c r="BD2235" t="s">
        <v>1005</v>
      </c>
      <c r="BE2235" t="s">
        <v>565</v>
      </c>
    </row>
    <row r="2236" spans="1:57" ht="13" x14ac:dyDescent="0.15">
      <c r="A2236">
        <v>1839</v>
      </c>
      <c r="B2236">
        <v>271125362</v>
      </c>
      <c r="C2236" t="s">
        <v>1954</v>
      </c>
      <c r="D2236" s="7">
        <v>45260</v>
      </c>
      <c r="E2236" s="7">
        <v>45642</v>
      </c>
      <c r="F2236">
        <v>336444</v>
      </c>
      <c r="G2236" t="s">
        <v>995</v>
      </c>
      <c r="H2236" t="s">
        <v>12</v>
      </c>
      <c r="I2236" s="7">
        <v>45614</v>
      </c>
      <c r="J2236" s="8">
        <v>0.52430555555555558</v>
      </c>
      <c r="K2236" t="s">
        <v>984</v>
      </c>
      <c r="AQ2236" t="s">
        <v>996</v>
      </c>
      <c r="BE2236" t="s">
        <v>1954</v>
      </c>
    </row>
    <row r="2237" spans="1:57" ht="13" x14ac:dyDescent="0.15">
      <c r="A2237">
        <v>1839</v>
      </c>
      <c r="B2237">
        <v>271157700</v>
      </c>
      <c r="C2237" t="s">
        <v>566</v>
      </c>
      <c r="D2237" s="7">
        <v>45261</v>
      </c>
      <c r="E2237" s="7">
        <v>45698</v>
      </c>
      <c r="F2237">
        <v>330862</v>
      </c>
      <c r="G2237" t="s">
        <v>983</v>
      </c>
      <c r="H2237" t="s">
        <v>9</v>
      </c>
      <c r="I2237" s="7">
        <v>45636</v>
      </c>
      <c r="J2237" s="8">
        <v>0.61145833333333333</v>
      </c>
      <c r="K2237" t="s">
        <v>984</v>
      </c>
      <c r="AQ2237" t="s">
        <v>985</v>
      </c>
      <c r="AR2237" t="s">
        <v>1122</v>
      </c>
      <c r="AT2237" t="s">
        <v>987</v>
      </c>
      <c r="AZ2237" t="s">
        <v>1028</v>
      </c>
      <c r="BA2237" t="s">
        <v>1029</v>
      </c>
      <c r="BB2237" t="s">
        <v>1018</v>
      </c>
      <c r="BD2237" t="s">
        <v>1022</v>
      </c>
      <c r="BE2237" t="s">
        <v>566</v>
      </c>
    </row>
    <row r="2238" spans="1:57" ht="13" x14ac:dyDescent="0.15">
      <c r="A2238">
        <v>1839</v>
      </c>
      <c r="B2238">
        <v>271157700</v>
      </c>
      <c r="C2238" t="s">
        <v>566</v>
      </c>
      <c r="D2238" s="7">
        <v>45261</v>
      </c>
      <c r="E2238" s="7">
        <v>45698</v>
      </c>
      <c r="F2238">
        <v>330862</v>
      </c>
      <c r="G2238" t="s">
        <v>983</v>
      </c>
      <c r="H2238" t="s">
        <v>9</v>
      </c>
      <c r="I2238" s="7">
        <v>45636</v>
      </c>
      <c r="J2238" s="8">
        <v>0.61958333333333337</v>
      </c>
      <c r="K2238" t="s">
        <v>984</v>
      </c>
      <c r="AQ2238" t="s">
        <v>985</v>
      </c>
      <c r="AR2238" t="s">
        <v>1131</v>
      </c>
      <c r="AT2238" t="s">
        <v>987</v>
      </c>
      <c r="AZ2238" t="s">
        <v>1020</v>
      </c>
      <c r="BA2238" t="s">
        <v>1021</v>
      </c>
      <c r="BB2238" t="s">
        <v>1018</v>
      </c>
      <c r="BD2238" t="s">
        <v>1022</v>
      </c>
      <c r="BE2238" t="s">
        <v>566</v>
      </c>
    </row>
    <row r="2239" spans="1:57" ht="13" x14ac:dyDescent="0.15">
      <c r="A2239">
        <v>1839</v>
      </c>
      <c r="B2239">
        <v>271157700</v>
      </c>
      <c r="C2239" t="s">
        <v>566</v>
      </c>
      <c r="D2239" s="7">
        <v>45261</v>
      </c>
      <c r="E2239" s="7">
        <v>45698</v>
      </c>
      <c r="F2239">
        <v>330862</v>
      </c>
      <c r="G2239" t="s">
        <v>983</v>
      </c>
      <c r="H2239" t="s">
        <v>9</v>
      </c>
      <c r="I2239" s="7">
        <v>45636</v>
      </c>
      <c r="J2239" s="8">
        <v>0.60699074074074078</v>
      </c>
      <c r="K2239" t="s">
        <v>984</v>
      </c>
      <c r="AQ2239" t="s">
        <v>985</v>
      </c>
      <c r="AR2239" t="s">
        <v>1208</v>
      </c>
      <c r="AT2239" t="s">
        <v>987</v>
      </c>
      <c r="AZ2239" t="s">
        <v>1011</v>
      </c>
      <c r="BA2239" t="s">
        <v>1031</v>
      </c>
      <c r="BB2239" t="s">
        <v>1032</v>
      </c>
      <c r="BD2239" t="s">
        <v>1005</v>
      </c>
      <c r="BE2239" t="s">
        <v>566</v>
      </c>
    </row>
    <row r="2240" spans="1:57" ht="13" x14ac:dyDescent="0.15">
      <c r="A2240">
        <v>1839</v>
      </c>
      <c r="B2240">
        <v>271157700</v>
      </c>
      <c r="C2240" t="s">
        <v>566</v>
      </c>
      <c r="D2240" s="7">
        <v>45261</v>
      </c>
      <c r="E2240" s="7">
        <v>45698</v>
      </c>
      <c r="F2240">
        <v>330862</v>
      </c>
      <c r="G2240" t="s">
        <v>983</v>
      </c>
      <c r="H2240" t="s">
        <v>9</v>
      </c>
      <c r="I2240" s="7">
        <v>45698</v>
      </c>
      <c r="J2240" s="8">
        <v>0.65032407407407411</v>
      </c>
      <c r="K2240" t="s">
        <v>984</v>
      </c>
      <c r="AQ2240" t="s">
        <v>985</v>
      </c>
      <c r="AR2240" t="s">
        <v>986</v>
      </c>
      <c r="AT2240" t="s">
        <v>987</v>
      </c>
      <c r="AZ2240" t="s">
        <v>988</v>
      </c>
      <c r="BA2240" t="s">
        <v>989</v>
      </c>
      <c r="BB2240" t="s">
        <v>990</v>
      </c>
      <c r="BD2240" t="s">
        <v>991</v>
      </c>
      <c r="BE2240" t="s">
        <v>566</v>
      </c>
    </row>
    <row r="2241" spans="1:57" ht="13" x14ac:dyDescent="0.15">
      <c r="A2241">
        <v>1839</v>
      </c>
      <c r="B2241">
        <v>271157700</v>
      </c>
      <c r="C2241" t="s">
        <v>566</v>
      </c>
      <c r="D2241" s="7">
        <v>45261</v>
      </c>
      <c r="E2241" s="7">
        <v>45698</v>
      </c>
      <c r="F2241">
        <v>330862</v>
      </c>
      <c r="G2241" t="s">
        <v>983</v>
      </c>
      <c r="H2241" t="s">
        <v>9</v>
      </c>
      <c r="I2241" s="7">
        <v>45636</v>
      </c>
      <c r="J2241" s="8">
        <v>0.61526620370370366</v>
      </c>
      <c r="K2241" t="s">
        <v>984</v>
      </c>
      <c r="AQ2241" t="s">
        <v>985</v>
      </c>
      <c r="AR2241" t="s">
        <v>1209</v>
      </c>
      <c r="AT2241" t="s">
        <v>987</v>
      </c>
      <c r="AZ2241" t="s">
        <v>1024</v>
      </c>
      <c r="BA2241" t="s">
        <v>1025</v>
      </c>
      <c r="BB2241" t="s">
        <v>1026</v>
      </c>
      <c r="BD2241" t="s">
        <v>1022</v>
      </c>
      <c r="BE2241" t="s">
        <v>566</v>
      </c>
    </row>
    <row r="2242" spans="1:57" ht="13" x14ac:dyDescent="0.15">
      <c r="A2242">
        <v>1839</v>
      </c>
      <c r="B2242">
        <v>271344927</v>
      </c>
      <c r="C2242" t="s">
        <v>567</v>
      </c>
      <c r="D2242" s="7">
        <v>45264</v>
      </c>
      <c r="E2242" s="7">
        <v>45694</v>
      </c>
      <c r="F2242">
        <v>330862</v>
      </c>
      <c r="G2242" t="s">
        <v>983</v>
      </c>
      <c r="H2242" t="s">
        <v>9</v>
      </c>
      <c r="I2242" s="7">
        <v>45694</v>
      </c>
      <c r="J2242" s="8">
        <v>0.54336805555555556</v>
      </c>
      <c r="K2242" t="s">
        <v>984</v>
      </c>
      <c r="AQ2242" t="s">
        <v>1089</v>
      </c>
      <c r="AR2242" t="s">
        <v>986</v>
      </c>
      <c r="AT2242" t="s">
        <v>987</v>
      </c>
      <c r="AZ2242" t="s">
        <v>988</v>
      </c>
      <c r="BA2242" t="s">
        <v>989</v>
      </c>
      <c r="BB2242" t="s">
        <v>990</v>
      </c>
      <c r="BD2242" t="s">
        <v>991</v>
      </c>
      <c r="BE2242" t="s">
        <v>567</v>
      </c>
    </row>
    <row r="2243" spans="1:57" ht="13" x14ac:dyDescent="0.15">
      <c r="A2243">
        <v>1839</v>
      </c>
      <c r="B2243">
        <v>271494066</v>
      </c>
      <c r="C2243" t="s">
        <v>568</v>
      </c>
      <c r="D2243" s="7">
        <v>45267</v>
      </c>
      <c r="E2243" s="7">
        <v>45686</v>
      </c>
      <c r="F2243">
        <v>330862</v>
      </c>
      <c r="G2243" t="s">
        <v>983</v>
      </c>
      <c r="H2243" t="s">
        <v>9</v>
      </c>
      <c r="I2243" s="7">
        <v>45685</v>
      </c>
      <c r="J2243" s="8">
        <v>0.64759259259259261</v>
      </c>
      <c r="K2243" t="s">
        <v>984</v>
      </c>
      <c r="AQ2243" t="s">
        <v>1113</v>
      </c>
      <c r="AR2243" t="s">
        <v>1955</v>
      </c>
      <c r="AT2243" t="s">
        <v>987</v>
      </c>
      <c r="AZ2243" t="s">
        <v>1016</v>
      </c>
      <c r="BA2243" t="s">
        <v>1017</v>
      </c>
      <c r="BB2243" t="s">
        <v>1018</v>
      </c>
      <c r="BD2243" t="s">
        <v>991</v>
      </c>
      <c r="BE2243" t="s">
        <v>568</v>
      </c>
    </row>
    <row r="2244" spans="1:57" ht="13" x14ac:dyDescent="0.15">
      <c r="A2244">
        <v>1839</v>
      </c>
      <c r="B2244">
        <v>271494116</v>
      </c>
      <c r="C2244" t="s">
        <v>569</v>
      </c>
      <c r="D2244" s="7">
        <v>45267</v>
      </c>
      <c r="E2244" s="7">
        <v>45693</v>
      </c>
      <c r="F2244">
        <v>330862</v>
      </c>
      <c r="G2244" t="s">
        <v>983</v>
      </c>
      <c r="H2244" t="s">
        <v>9</v>
      </c>
      <c r="I2244" s="7">
        <v>45693</v>
      </c>
      <c r="J2244" s="8">
        <v>0.65061342592592597</v>
      </c>
      <c r="K2244" t="s">
        <v>984</v>
      </c>
      <c r="AQ2244" t="s">
        <v>992</v>
      </c>
      <c r="AR2244" t="s">
        <v>1269</v>
      </c>
      <c r="AT2244" t="s">
        <v>987</v>
      </c>
      <c r="AZ2244" t="s">
        <v>1011</v>
      </c>
      <c r="BA2244" t="s">
        <v>1012</v>
      </c>
      <c r="BB2244" t="s">
        <v>1013</v>
      </c>
      <c r="BD2244" t="s">
        <v>1014</v>
      </c>
      <c r="BE2244" t="s">
        <v>569</v>
      </c>
    </row>
    <row r="2245" spans="1:57" ht="13" x14ac:dyDescent="0.15">
      <c r="A2245">
        <v>1839</v>
      </c>
      <c r="B2245">
        <v>271529394</v>
      </c>
      <c r="C2245" t="s">
        <v>570</v>
      </c>
      <c r="D2245" s="7">
        <v>45268</v>
      </c>
      <c r="E2245" s="7">
        <v>45674</v>
      </c>
      <c r="F2245">
        <v>330862</v>
      </c>
      <c r="G2245" t="s">
        <v>983</v>
      </c>
      <c r="H2245" t="s">
        <v>9</v>
      </c>
      <c r="I2245" s="7">
        <v>45673</v>
      </c>
      <c r="J2245" s="8">
        <v>0.95475694444444448</v>
      </c>
      <c r="K2245" t="s">
        <v>984</v>
      </c>
      <c r="AQ2245" t="s">
        <v>998</v>
      </c>
      <c r="AR2245" t="s">
        <v>1956</v>
      </c>
      <c r="AT2245" t="s">
        <v>987</v>
      </c>
      <c r="BE2245" t="s">
        <v>570</v>
      </c>
    </row>
    <row r="2246" spans="1:57" ht="13" x14ac:dyDescent="0.15">
      <c r="A2246">
        <v>1839</v>
      </c>
      <c r="B2246">
        <v>271666438</v>
      </c>
      <c r="C2246" t="s">
        <v>571</v>
      </c>
      <c r="D2246" s="7">
        <v>45272</v>
      </c>
      <c r="E2246" s="7">
        <v>45703</v>
      </c>
      <c r="F2246">
        <v>330862</v>
      </c>
      <c r="G2246" t="s">
        <v>983</v>
      </c>
      <c r="H2246" t="s">
        <v>9</v>
      </c>
      <c r="I2246" s="7">
        <v>45703</v>
      </c>
      <c r="J2246" s="8">
        <v>0.65979166666666667</v>
      </c>
      <c r="K2246" t="s">
        <v>984</v>
      </c>
      <c r="AQ2246" t="s">
        <v>1042</v>
      </c>
      <c r="AR2246" t="s">
        <v>1957</v>
      </c>
      <c r="AT2246" t="s">
        <v>987</v>
      </c>
      <c r="AZ2246" t="s">
        <v>1002</v>
      </c>
      <c r="BA2246" t="s">
        <v>1065</v>
      </c>
      <c r="BB2246" t="s">
        <v>1004</v>
      </c>
      <c r="BD2246" t="s">
        <v>991</v>
      </c>
      <c r="BE2246" t="s">
        <v>571</v>
      </c>
    </row>
    <row r="2247" spans="1:57" ht="13" x14ac:dyDescent="0.15">
      <c r="A2247">
        <v>1839</v>
      </c>
      <c r="B2247">
        <v>271672108</v>
      </c>
      <c r="C2247" t="s">
        <v>1958</v>
      </c>
      <c r="D2247" s="7">
        <v>45272</v>
      </c>
      <c r="E2247" s="7">
        <v>45709</v>
      </c>
      <c r="F2247">
        <v>330862</v>
      </c>
      <c r="G2247" t="s">
        <v>983</v>
      </c>
      <c r="H2247" t="s">
        <v>9</v>
      </c>
      <c r="I2247" s="7">
        <v>45709</v>
      </c>
      <c r="J2247" s="8">
        <v>0.72307870370370375</v>
      </c>
      <c r="K2247" t="s">
        <v>984</v>
      </c>
      <c r="AQ2247" t="s">
        <v>1089</v>
      </c>
      <c r="AR2247" t="s">
        <v>1763</v>
      </c>
      <c r="AT2247" t="s">
        <v>987</v>
      </c>
      <c r="AZ2247" t="s">
        <v>1011</v>
      </c>
      <c r="BA2247" t="s">
        <v>1012</v>
      </c>
      <c r="BB2247" t="s">
        <v>1013</v>
      </c>
      <c r="BD2247" t="s">
        <v>1014</v>
      </c>
      <c r="BE2247" t="s">
        <v>1958</v>
      </c>
    </row>
    <row r="2248" spans="1:57" ht="13" x14ac:dyDescent="0.15">
      <c r="A2248">
        <v>1839</v>
      </c>
      <c r="B2248">
        <v>272212710</v>
      </c>
      <c r="C2248" t="s">
        <v>572</v>
      </c>
      <c r="D2248" s="7">
        <v>45291</v>
      </c>
      <c r="E2248" s="7">
        <v>45695</v>
      </c>
      <c r="F2248">
        <v>330862</v>
      </c>
      <c r="G2248" t="s">
        <v>983</v>
      </c>
      <c r="H2248" t="s">
        <v>9</v>
      </c>
      <c r="I2248" s="7">
        <v>45695</v>
      </c>
      <c r="J2248" s="8">
        <v>0.38603009259259258</v>
      </c>
      <c r="K2248" t="s">
        <v>984</v>
      </c>
      <c r="AQ2248" t="s">
        <v>998</v>
      </c>
      <c r="AR2248" t="s">
        <v>993</v>
      </c>
      <c r="AT2248" t="s">
        <v>987</v>
      </c>
      <c r="AZ2248" t="s">
        <v>988</v>
      </c>
      <c r="BA2248" t="s">
        <v>989</v>
      </c>
      <c r="BB2248" t="s">
        <v>990</v>
      </c>
      <c r="BD2248" t="s">
        <v>991</v>
      </c>
      <c r="BE2248" t="s">
        <v>572</v>
      </c>
    </row>
    <row r="2249" spans="1:57" ht="13" x14ac:dyDescent="0.15">
      <c r="A2249">
        <v>1839</v>
      </c>
      <c r="B2249">
        <v>272324914</v>
      </c>
      <c r="C2249" t="s">
        <v>573</v>
      </c>
      <c r="D2249" s="7">
        <v>45295</v>
      </c>
      <c r="E2249" s="7">
        <v>45709</v>
      </c>
      <c r="F2249">
        <v>330862</v>
      </c>
      <c r="G2249" t="s">
        <v>983</v>
      </c>
      <c r="H2249" t="s">
        <v>9</v>
      </c>
      <c r="I2249" s="7">
        <v>45706</v>
      </c>
      <c r="J2249" s="8">
        <v>0.39787037037037037</v>
      </c>
      <c r="K2249" t="s">
        <v>984</v>
      </c>
      <c r="AQ2249" t="s">
        <v>992</v>
      </c>
      <c r="AR2249" t="s">
        <v>1959</v>
      </c>
      <c r="AT2249" t="s">
        <v>987</v>
      </c>
      <c r="AZ2249" t="s">
        <v>1139</v>
      </c>
      <c r="BA2249" t="s">
        <v>1140</v>
      </c>
      <c r="BB2249" t="s">
        <v>1032</v>
      </c>
      <c r="BD2249" t="s">
        <v>1005</v>
      </c>
      <c r="BE2249" t="s">
        <v>573</v>
      </c>
    </row>
    <row r="2250" spans="1:57" ht="13" x14ac:dyDescent="0.15">
      <c r="A2250">
        <v>1839</v>
      </c>
      <c r="B2250">
        <v>272324914</v>
      </c>
      <c r="C2250" t="s">
        <v>573</v>
      </c>
      <c r="D2250" s="7">
        <v>45295</v>
      </c>
      <c r="E2250" s="7">
        <v>45709</v>
      </c>
      <c r="F2250">
        <v>330862</v>
      </c>
      <c r="G2250" t="s">
        <v>983</v>
      </c>
      <c r="H2250" t="s">
        <v>9</v>
      </c>
      <c r="I2250" s="7">
        <v>45691</v>
      </c>
      <c r="J2250" s="8">
        <v>0.46384259259259258</v>
      </c>
      <c r="K2250" t="s">
        <v>984</v>
      </c>
      <c r="AQ2250" t="s">
        <v>992</v>
      </c>
      <c r="AR2250" t="s">
        <v>1960</v>
      </c>
      <c r="AT2250" t="s">
        <v>987</v>
      </c>
      <c r="AZ2250" t="s">
        <v>1062</v>
      </c>
      <c r="BA2250" t="s">
        <v>1297</v>
      </c>
      <c r="BB2250" t="s">
        <v>1048</v>
      </c>
      <c r="BD2250" t="s">
        <v>991</v>
      </c>
      <c r="BE2250" t="s">
        <v>573</v>
      </c>
    </row>
    <row r="2251" spans="1:57" ht="13" x14ac:dyDescent="0.15">
      <c r="A2251">
        <v>1839</v>
      </c>
      <c r="B2251">
        <v>272324914</v>
      </c>
      <c r="C2251" t="s">
        <v>573</v>
      </c>
      <c r="D2251" s="7">
        <v>45295</v>
      </c>
      <c r="E2251" s="7">
        <v>45709</v>
      </c>
      <c r="F2251">
        <v>330862</v>
      </c>
      <c r="G2251" t="s">
        <v>983</v>
      </c>
      <c r="H2251" t="s">
        <v>9</v>
      </c>
      <c r="I2251" s="7">
        <v>45686</v>
      </c>
      <c r="J2251" s="8">
        <v>0.68087962962962967</v>
      </c>
      <c r="K2251" t="s">
        <v>984</v>
      </c>
      <c r="AQ2251" t="s">
        <v>992</v>
      </c>
      <c r="AR2251" t="s">
        <v>1961</v>
      </c>
      <c r="AT2251" t="s">
        <v>987</v>
      </c>
      <c r="AZ2251" t="s">
        <v>1024</v>
      </c>
      <c r="BA2251" t="s">
        <v>1025</v>
      </c>
      <c r="BB2251" t="s">
        <v>1026</v>
      </c>
      <c r="BD2251" t="s">
        <v>1022</v>
      </c>
      <c r="BE2251" t="s">
        <v>573</v>
      </c>
    </row>
    <row r="2252" spans="1:57" ht="13" x14ac:dyDescent="0.15">
      <c r="A2252">
        <v>1839</v>
      </c>
      <c r="B2252">
        <v>272324914</v>
      </c>
      <c r="C2252" t="s">
        <v>573</v>
      </c>
      <c r="D2252" s="7">
        <v>45295</v>
      </c>
      <c r="E2252" s="7">
        <v>45709</v>
      </c>
      <c r="F2252">
        <v>330862</v>
      </c>
      <c r="G2252" t="s">
        <v>983</v>
      </c>
      <c r="H2252" t="s">
        <v>9</v>
      </c>
      <c r="I2252" s="7">
        <v>45692</v>
      </c>
      <c r="J2252" s="8">
        <v>0.49738425925925928</v>
      </c>
      <c r="K2252" t="s">
        <v>984</v>
      </c>
      <c r="AQ2252" t="s">
        <v>992</v>
      </c>
      <c r="AR2252" t="s">
        <v>1962</v>
      </c>
      <c r="AT2252" t="s">
        <v>987</v>
      </c>
      <c r="BE2252" t="s">
        <v>573</v>
      </c>
    </row>
    <row r="2253" spans="1:57" ht="13" x14ac:dyDescent="0.15">
      <c r="A2253">
        <v>1839</v>
      </c>
      <c r="B2253">
        <v>272324914</v>
      </c>
      <c r="C2253" t="s">
        <v>573</v>
      </c>
      <c r="D2253" s="7">
        <v>45295</v>
      </c>
      <c r="E2253" s="7">
        <v>45709</v>
      </c>
      <c r="F2253">
        <v>330862</v>
      </c>
      <c r="G2253" t="s">
        <v>983</v>
      </c>
      <c r="H2253" t="s">
        <v>9</v>
      </c>
      <c r="I2253" s="7">
        <v>45653</v>
      </c>
      <c r="J2253" s="8">
        <v>0.69409722222222225</v>
      </c>
      <c r="K2253" t="s">
        <v>984</v>
      </c>
      <c r="AQ2253" t="s">
        <v>992</v>
      </c>
      <c r="AR2253" t="s">
        <v>1963</v>
      </c>
      <c r="AT2253" t="s">
        <v>987</v>
      </c>
      <c r="AZ2253" t="s">
        <v>1239</v>
      </c>
      <c r="BA2253" t="s">
        <v>1281</v>
      </c>
      <c r="BB2253" t="s">
        <v>1026</v>
      </c>
      <c r="BD2253" t="s">
        <v>1022</v>
      </c>
      <c r="BE2253" t="s">
        <v>573</v>
      </c>
    </row>
    <row r="2254" spans="1:57" ht="13" x14ac:dyDescent="0.15">
      <c r="A2254">
        <v>1839</v>
      </c>
      <c r="B2254">
        <v>272324914</v>
      </c>
      <c r="C2254" t="s">
        <v>573</v>
      </c>
      <c r="D2254" s="7">
        <v>45295</v>
      </c>
      <c r="E2254" s="7">
        <v>45709</v>
      </c>
      <c r="F2254">
        <v>330862</v>
      </c>
      <c r="G2254" t="s">
        <v>983</v>
      </c>
      <c r="H2254" t="s">
        <v>9</v>
      </c>
      <c r="I2254" s="7">
        <v>45705</v>
      </c>
      <c r="J2254" s="8">
        <v>0.57540509259259254</v>
      </c>
      <c r="K2254" t="s">
        <v>984</v>
      </c>
      <c r="AQ2254" t="s">
        <v>992</v>
      </c>
      <c r="AR2254" t="s">
        <v>1964</v>
      </c>
      <c r="AT2254" t="s">
        <v>987</v>
      </c>
      <c r="AZ2254" t="s">
        <v>1139</v>
      </c>
      <c r="BA2254" t="s">
        <v>1140</v>
      </c>
      <c r="BB2254" t="s">
        <v>1032</v>
      </c>
      <c r="BD2254" t="s">
        <v>1005</v>
      </c>
      <c r="BE2254" t="s">
        <v>573</v>
      </c>
    </row>
    <row r="2255" spans="1:57" ht="13" x14ac:dyDescent="0.15">
      <c r="A2255">
        <v>1839</v>
      </c>
      <c r="B2255">
        <v>272324914</v>
      </c>
      <c r="C2255" t="s">
        <v>573</v>
      </c>
      <c r="D2255" s="7">
        <v>45295</v>
      </c>
      <c r="E2255" s="7">
        <v>45709</v>
      </c>
      <c r="F2255">
        <v>336444</v>
      </c>
      <c r="G2255" t="s">
        <v>995</v>
      </c>
      <c r="H2255" t="s">
        <v>12</v>
      </c>
      <c r="I2255" s="7">
        <v>45699</v>
      </c>
      <c r="J2255" s="8">
        <v>0.41432870370370373</v>
      </c>
      <c r="K2255" t="s">
        <v>984</v>
      </c>
      <c r="AQ2255" t="s">
        <v>996</v>
      </c>
      <c r="BE2255" t="s">
        <v>573</v>
      </c>
    </row>
    <row r="2256" spans="1:57" ht="13" x14ac:dyDescent="0.15">
      <c r="A2256">
        <v>1839</v>
      </c>
      <c r="B2256">
        <v>272729444</v>
      </c>
      <c r="C2256" t="s">
        <v>574</v>
      </c>
      <c r="D2256" s="7">
        <v>45307</v>
      </c>
      <c r="E2256" s="7">
        <v>45705</v>
      </c>
      <c r="F2256">
        <v>330862</v>
      </c>
      <c r="G2256" t="s">
        <v>983</v>
      </c>
      <c r="H2256" t="s">
        <v>9</v>
      </c>
      <c r="I2256" s="7">
        <v>45672</v>
      </c>
      <c r="J2256" s="8">
        <v>0.86987268518518523</v>
      </c>
      <c r="K2256" t="s">
        <v>984</v>
      </c>
      <c r="AQ2256" t="s">
        <v>1090</v>
      </c>
      <c r="AR2256" t="s">
        <v>1274</v>
      </c>
      <c r="AT2256" t="s">
        <v>987</v>
      </c>
      <c r="AZ2256" t="s">
        <v>1016</v>
      </c>
      <c r="BA2256" t="s">
        <v>1017</v>
      </c>
      <c r="BB2256" t="s">
        <v>1018</v>
      </c>
      <c r="BD2256" t="s">
        <v>991</v>
      </c>
      <c r="BE2256" t="s">
        <v>574</v>
      </c>
    </row>
    <row r="2257" spans="1:57" ht="13" x14ac:dyDescent="0.15">
      <c r="A2257">
        <v>1839</v>
      </c>
      <c r="B2257">
        <v>272729482</v>
      </c>
      <c r="C2257" t="s">
        <v>575</v>
      </c>
      <c r="D2257" s="7">
        <v>45307</v>
      </c>
      <c r="E2257" s="7">
        <v>45709</v>
      </c>
      <c r="F2257">
        <v>330862</v>
      </c>
      <c r="G2257" t="s">
        <v>983</v>
      </c>
      <c r="H2257" t="s">
        <v>9</v>
      </c>
      <c r="I2257" s="7">
        <v>45672</v>
      </c>
      <c r="J2257" s="8">
        <v>0.85990740740740745</v>
      </c>
      <c r="K2257" t="s">
        <v>984</v>
      </c>
      <c r="AQ2257" t="s">
        <v>998</v>
      </c>
      <c r="AR2257" t="s">
        <v>1274</v>
      </c>
      <c r="AT2257" t="s">
        <v>987</v>
      </c>
      <c r="AZ2257" t="s">
        <v>1016</v>
      </c>
      <c r="BA2257" t="s">
        <v>1017</v>
      </c>
      <c r="BB2257" t="s">
        <v>1018</v>
      </c>
      <c r="BD2257" t="s">
        <v>991</v>
      </c>
      <c r="BE2257" t="s">
        <v>575</v>
      </c>
    </row>
    <row r="2258" spans="1:57" ht="13" x14ac:dyDescent="0.15">
      <c r="A2258">
        <v>1839</v>
      </c>
      <c r="B2258">
        <v>272976613</v>
      </c>
      <c r="C2258" t="s">
        <v>576</v>
      </c>
      <c r="D2258" s="7">
        <v>45317</v>
      </c>
      <c r="E2258" s="7">
        <v>45704</v>
      </c>
      <c r="F2258">
        <v>330862</v>
      </c>
      <c r="G2258" t="s">
        <v>983</v>
      </c>
      <c r="H2258" t="s">
        <v>9</v>
      </c>
      <c r="I2258" s="7">
        <v>45704</v>
      </c>
      <c r="J2258" s="8">
        <v>0.41377314814814814</v>
      </c>
      <c r="K2258" t="s">
        <v>984</v>
      </c>
      <c r="AQ2258" t="s">
        <v>992</v>
      </c>
      <c r="AR2258" t="s">
        <v>1965</v>
      </c>
      <c r="AT2258" t="s">
        <v>987</v>
      </c>
      <c r="BE2258" t="s">
        <v>576</v>
      </c>
    </row>
    <row r="2259" spans="1:57" ht="13" x14ac:dyDescent="0.15">
      <c r="A2259">
        <v>1839</v>
      </c>
      <c r="B2259">
        <v>273007733</v>
      </c>
      <c r="C2259" t="s">
        <v>577</v>
      </c>
      <c r="D2259" s="7">
        <v>45318</v>
      </c>
      <c r="E2259" s="7">
        <v>45672</v>
      </c>
      <c r="F2259">
        <v>330862</v>
      </c>
      <c r="G2259" t="s">
        <v>983</v>
      </c>
      <c r="H2259" t="s">
        <v>9</v>
      </c>
      <c r="I2259" s="7">
        <v>45672</v>
      </c>
      <c r="J2259" s="8">
        <v>8.2152777777777783E-2</v>
      </c>
      <c r="K2259" t="s">
        <v>984</v>
      </c>
      <c r="AQ2259" t="s">
        <v>985</v>
      </c>
      <c r="AR2259" t="s">
        <v>1966</v>
      </c>
      <c r="AT2259" t="s">
        <v>987</v>
      </c>
      <c r="AZ2259" t="s">
        <v>1016</v>
      </c>
      <c r="BA2259" t="s">
        <v>1017</v>
      </c>
      <c r="BB2259" t="s">
        <v>1018</v>
      </c>
      <c r="BD2259" t="s">
        <v>991</v>
      </c>
      <c r="BE2259" t="s">
        <v>577</v>
      </c>
    </row>
    <row r="2260" spans="1:57" ht="13" x14ac:dyDescent="0.15">
      <c r="A2260">
        <v>1839</v>
      </c>
      <c r="B2260">
        <v>273008441</v>
      </c>
      <c r="C2260" t="s">
        <v>578</v>
      </c>
      <c r="D2260" s="7">
        <v>45318</v>
      </c>
      <c r="E2260" s="7">
        <v>45671</v>
      </c>
      <c r="F2260">
        <v>336444</v>
      </c>
      <c r="G2260" t="s">
        <v>995</v>
      </c>
      <c r="H2260" t="s">
        <v>12</v>
      </c>
      <c r="I2260" s="7">
        <v>45670</v>
      </c>
      <c r="J2260" s="8">
        <v>0.89915509259259263</v>
      </c>
      <c r="K2260" t="s">
        <v>984</v>
      </c>
      <c r="AQ2260" t="s">
        <v>996</v>
      </c>
      <c r="BE2260" t="s">
        <v>578</v>
      </c>
    </row>
    <row r="2261" spans="1:57" ht="13" x14ac:dyDescent="0.15">
      <c r="A2261">
        <v>1839</v>
      </c>
      <c r="B2261">
        <v>273406380</v>
      </c>
      <c r="C2261" t="s">
        <v>579</v>
      </c>
      <c r="D2261" s="7">
        <v>45330</v>
      </c>
      <c r="E2261" s="7">
        <v>45709</v>
      </c>
      <c r="F2261">
        <v>330862</v>
      </c>
      <c r="G2261" t="s">
        <v>983</v>
      </c>
      <c r="H2261" t="s">
        <v>9</v>
      </c>
      <c r="I2261" s="7">
        <v>45691</v>
      </c>
      <c r="J2261" s="8">
        <v>0.85817129629629629</v>
      </c>
      <c r="K2261" t="s">
        <v>984</v>
      </c>
      <c r="AQ2261" t="s">
        <v>1089</v>
      </c>
      <c r="AR2261" t="s">
        <v>1269</v>
      </c>
      <c r="AT2261" t="s">
        <v>987</v>
      </c>
      <c r="AZ2261" t="s">
        <v>1011</v>
      </c>
      <c r="BA2261" t="s">
        <v>1012</v>
      </c>
      <c r="BB2261" t="s">
        <v>1013</v>
      </c>
      <c r="BD2261" t="s">
        <v>1014</v>
      </c>
      <c r="BE2261" t="s">
        <v>579</v>
      </c>
    </row>
    <row r="2262" spans="1:57" ht="13" x14ac:dyDescent="0.15">
      <c r="A2262">
        <v>1839</v>
      </c>
      <c r="B2262">
        <v>273429702</v>
      </c>
      <c r="C2262" t="s">
        <v>580</v>
      </c>
      <c r="D2262" s="7">
        <v>45330</v>
      </c>
      <c r="E2262" s="7">
        <v>45697</v>
      </c>
      <c r="F2262">
        <v>330862</v>
      </c>
      <c r="G2262" t="s">
        <v>983</v>
      </c>
      <c r="H2262" t="s">
        <v>9</v>
      </c>
      <c r="I2262" s="7">
        <v>45697</v>
      </c>
      <c r="J2262" s="8">
        <v>0.58381944444444445</v>
      </c>
      <c r="K2262" t="s">
        <v>984</v>
      </c>
      <c r="AQ2262" t="s">
        <v>1273</v>
      </c>
      <c r="AR2262" t="s">
        <v>986</v>
      </c>
      <c r="AT2262" t="s">
        <v>987</v>
      </c>
      <c r="AZ2262" t="s">
        <v>988</v>
      </c>
      <c r="BA2262" t="s">
        <v>989</v>
      </c>
      <c r="BB2262" t="s">
        <v>990</v>
      </c>
      <c r="BD2262" t="s">
        <v>991</v>
      </c>
      <c r="BE2262" t="s">
        <v>580</v>
      </c>
    </row>
    <row r="2263" spans="1:57" ht="13" x14ac:dyDescent="0.15">
      <c r="A2263">
        <v>1839</v>
      </c>
      <c r="B2263">
        <v>273580132</v>
      </c>
      <c r="C2263" t="s">
        <v>581</v>
      </c>
      <c r="D2263" s="7">
        <v>45336</v>
      </c>
      <c r="E2263" s="7">
        <v>45710</v>
      </c>
      <c r="F2263">
        <v>330862</v>
      </c>
      <c r="G2263" t="s">
        <v>983</v>
      </c>
      <c r="H2263" t="s">
        <v>9</v>
      </c>
      <c r="I2263" s="7">
        <v>45697</v>
      </c>
      <c r="J2263" s="8">
        <v>0.5853356481481482</v>
      </c>
      <c r="K2263" t="s">
        <v>984</v>
      </c>
      <c r="AQ2263" t="s">
        <v>1090</v>
      </c>
      <c r="AR2263" t="s">
        <v>986</v>
      </c>
      <c r="AT2263" t="s">
        <v>987</v>
      </c>
      <c r="AZ2263" t="s">
        <v>988</v>
      </c>
      <c r="BA2263" t="s">
        <v>989</v>
      </c>
      <c r="BB2263" t="s">
        <v>990</v>
      </c>
      <c r="BD2263" t="s">
        <v>991</v>
      </c>
      <c r="BE2263" t="s">
        <v>581</v>
      </c>
    </row>
    <row r="2264" spans="1:57" ht="13" x14ac:dyDescent="0.15">
      <c r="A2264">
        <v>1839</v>
      </c>
      <c r="B2264">
        <v>273644162</v>
      </c>
      <c r="C2264" t="s">
        <v>582</v>
      </c>
      <c r="D2264" s="7">
        <v>45338</v>
      </c>
      <c r="E2264" s="7">
        <v>45705</v>
      </c>
      <c r="F2264">
        <v>330862</v>
      </c>
      <c r="G2264" t="s">
        <v>983</v>
      </c>
      <c r="H2264" t="s">
        <v>9</v>
      </c>
      <c r="I2264" s="7">
        <v>45700</v>
      </c>
      <c r="J2264" s="8">
        <v>0.85320601851851852</v>
      </c>
      <c r="K2264" t="s">
        <v>984</v>
      </c>
      <c r="AQ2264" t="s">
        <v>992</v>
      </c>
      <c r="AR2264" t="s">
        <v>993</v>
      </c>
      <c r="AT2264" t="s">
        <v>987</v>
      </c>
      <c r="AZ2264" t="s">
        <v>988</v>
      </c>
      <c r="BA2264" t="s">
        <v>989</v>
      </c>
      <c r="BB2264" t="s">
        <v>990</v>
      </c>
      <c r="BD2264" t="s">
        <v>991</v>
      </c>
      <c r="BE2264" t="s">
        <v>582</v>
      </c>
    </row>
    <row r="2265" spans="1:57" ht="13" x14ac:dyDescent="0.15">
      <c r="A2265">
        <v>1839</v>
      </c>
      <c r="B2265">
        <v>273644162</v>
      </c>
      <c r="C2265" t="s">
        <v>582</v>
      </c>
      <c r="D2265" s="7">
        <v>45338</v>
      </c>
      <c r="E2265" s="7">
        <v>45705</v>
      </c>
      <c r="F2265">
        <v>336447</v>
      </c>
      <c r="G2265" t="s">
        <v>1074</v>
      </c>
      <c r="H2265" t="s">
        <v>26</v>
      </c>
      <c r="I2265" s="7">
        <v>45679</v>
      </c>
      <c r="J2265" s="8">
        <v>0.73903935185185188</v>
      </c>
      <c r="K2265" t="s">
        <v>984</v>
      </c>
      <c r="AQ2265" t="s">
        <v>1090</v>
      </c>
      <c r="AR2265" t="s">
        <v>1967</v>
      </c>
      <c r="BE2265" t="s">
        <v>582</v>
      </c>
    </row>
    <row r="2266" spans="1:57" ht="13" x14ac:dyDescent="0.15">
      <c r="A2266">
        <v>1839</v>
      </c>
      <c r="B2266">
        <v>273644162</v>
      </c>
      <c r="C2266" t="s">
        <v>582</v>
      </c>
      <c r="D2266" s="7">
        <v>45338</v>
      </c>
      <c r="E2266" s="7">
        <v>45705</v>
      </c>
      <c r="F2266">
        <v>336453</v>
      </c>
      <c r="G2266" t="s">
        <v>1074</v>
      </c>
      <c r="H2266" t="s">
        <v>27</v>
      </c>
      <c r="I2266" s="7">
        <v>45679</v>
      </c>
      <c r="J2266" s="8">
        <v>0.73922453703703705</v>
      </c>
      <c r="K2266" t="s">
        <v>984</v>
      </c>
      <c r="AQ2266" t="s">
        <v>1090</v>
      </c>
      <c r="AR2266" t="s">
        <v>1076</v>
      </c>
      <c r="BE2266" t="s">
        <v>582</v>
      </c>
    </row>
    <row r="2267" spans="1:57" ht="13" x14ac:dyDescent="0.15">
      <c r="A2267">
        <v>1839</v>
      </c>
      <c r="B2267">
        <v>273644162</v>
      </c>
      <c r="C2267" t="s">
        <v>582</v>
      </c>
      <c r="D2267" s="7">
        <v>45338</v>
      </c>
      <c r="E2267" s="7">
        <v>45705</v>
      </c>
      <c r="F2267">
        <v>336709</v>
      </c>
      <c r="G2267" t="s">
        <v>1074</v>
      </c>
      <c r="H2267" t="s">
        <v>28</v>
      </c>
      <c r="I2267" s="7">
        <v>45679</v>
      </c>
      <c r="J2267" s="8">
        <v>0.73944444444444446</v>
      </c>
      <c r="K2267" t="s">
        <v>984</v>
      </c>
      <c r="AQ2267" t="s">
        <v>1090</v>
      </c>
      <c r="AR2267" t="s">
        <v>1077</v>
      </c>
      <c r="BE2267" t="s">
        <v>582</v>
      </c>
    </row>
    <row r="2268" spans="1:57" ht="13" x14ac:dyDescent="0.15">
      <c r="A2268">
        <v>1839</v>
      </c>
      <c r="B2268">
        <v>273720848</v>
      </c>
      <c r="C2268" t="s">
        <v>583</v>
      </c>
      <c r="D2268" s="7">
        <v>45341</v>
      </c>
      <c r="E2268" s="7">
        <v>45712</v>
      </c>
      <c r="F2268">
        <v>330862</v>
      </c>
      <c r="G2268" t="s">
        <v>983</v>
      </c>
      <c r="H2268" t="s">
        <v>9</v>
      </c>
      <c r="I2268" s="7">
        <v>45702</v>
      </c>
      <c r="J2268" s="8">
        <v>0.50898148148148148</v>
      </c>
      <c r="K2268" t="s">
        <v>984</v>
      </c>
      <c r="AQ2268" t="s">
        <v>1466</v>
      </c>
      <c r="AR2268" t="s">
        <v>1207</v>
      </c>
      <c r="AT2268" t="s">
        <v>987</v>
      </c>
      <c r="AZ2268" t="s">
        <v>988</v>
      </c>
      <c r="BA2268" t="s">
        <v>989</v>
      </c>
      <c r="BB2268" t="s">
        <v>990</v>
      </c>
      <c r="BD2268" t="s">
        <v>991</v>
      </c>
      <c r="BE2268" t="s">
        <v>583</v>
      </c>
    </row>
    <row r="2269" spans="1:57" ht="13" x14ac:dyDescent="0.15">
      <c r="A2269">
        <v>1839</v>
      </c>
      <c r="B2269">
        <v>273720848</v>
      </c>
      <c r="C2269" t="s">
        <v>583</v>
      </c>
      <c r="D2269" s="7">
        <v>45341</v>
      </c>
      <c r="E2269" s="7">
        <v>45712</v>
      </c>
      <c r="F2269">
        <v>330862</v>
      </c>
      <c r="G2269" t="s">
        <v>983</v>
      </c>
      <c r="H2269" t="s">
        <v>9</v>
      </c>
      <c r="I2269" s="7">
        <v>45674</v>
      </c>
      <c r="J2269" s="8">
        <v>0.6463888888888889</v>
      </c>
      <c r="K2269" t="s">
        <v>984</v>
      </c>
      <c r="AQ2269" t="s">
        <v>1466</v>
      </c>
      <c r="AR2269" t="s">
        <v>1051</v>
      </c>
      <c r="AT2269" t="s">
        <v>987</v>
      </c>
      <c r="AZ2269" t="s">
        <v>1002</v>
      </c>
      <c r="BA2269" t="s">
        <v>1003</v>
      </c>
      <c r="BB2269" t="s">
        <v>1004</v>
      </c>
      <c r="BD2269" t="s">
        <v>1005</v>
      </c>
      <c r="BE2269" t="s">
        <v>583</v>
      </c>
    </row>
    <row r="2270" spans="1:57" ht="13" x14ac:dyDescent="0.15">
      <c r="A2270">
        <v>1839</v>
      </c>
      <c r="B2270">
        <v>273747046</v>
      </c>
      <c r="C2270" t="s">
        <v>584</v>
      </c>
      <c r="D2270" s="7">
        <v>45342</v>
      </c>
      <c r="E2270" s="7">
        <v>45672</v>
      </c>
      <c r="F2270">
        <v>330862</v>
      </c>
      <c r="G2270" t="s">
        <v>983</v>
      </c>
      <c r="H2270" t="s">
        <v>9</v>
      </c>
      <c r="I2270" s="7">
        <v>45672</v>
      </c>
      <c r="J2270" s="8">
        <v>0.86019675925925931</v>
      </c>
      <c r="K2270" t="s">
        <v>984</v>
      </c>
      <c r="AQ2270" t="s">
        <v>1089</v>
      </c>
      <c r="AR2270" t="s">
        <v>1968</v>
      </c>
      <c r="AT2270" t="s">
        <v>987</v>
      </c>
      <c r="AZ2270" t="s">
        <v>1016</v>
      </c>
      <c r="BA2270" t="s">
        <v>1017</v>
      </c>
      <c r="BB2270" t="s">
        <v>1018</v>
      </c>
      <c r="BD2270" t="s">
        <v>991</v>
      </c>
      <c r="BE2270" t="s">
        <v>584</v>
      </c>
    </row>
    <row r="2271" spans="1:57" ht="13" x14ac:dyDescent="0.15">
      <c r="A2271">
        <v>1839</v>
      </c>
      <c r="B2271">
        <v>273748751</v>
      </c>
      <c r="C2271" t="s">
        <v>585</v>
      </c>
      <c r="D2271" s="7">
        <v>45342</v>
      </c>
      <c r="E2271" s="7">
        <v>45696</v>
      </c>
      <c r="F2271">
        <v>330862</v>
      </c>
      <c r="G2271" t="s">
        <v>983</v>
      </c>
      <c r="H2271" t="s">
        <v>9</v>
      </c>
      <c r="I2271" s="7">
        <v>45675</v>
      </c>
      <c r="J2271" s="8">
        <v>0.40247685185185184</v>
      </c>
      <c r="K2271" t="s">
        <v>984</v>
      </c>
      <c r="AQ2271" t="s">
        <v>1090</v>
      </c>
      <c r="AR2271" t="s">
        <v>1201</v>
      </c>
      <c r="AT2271" t="s">
        <v>987</v>
      </c>
      <c r="AZ2271" t="s">
        <v>1011</v>
      </c>
      <c r="BA2271" t="s">
        <v>1202</v>
      </c>
      <c r="BB2271" t="s">
        <v>1203</v>
      </c>
      <c r="BD2271" t="s">
        <v>991</v>
      </c>
      <c r="BE2271" t="s">
        <v>585</v>
      </c>
    </row>
    <row r="2272" spans="1:57" ht="13" x14ac:dyDescent="0.15">
      <c r="A2272">
        <v>1839</v>
      </c>
      <c r="B2272">
        <v>273881535</v>
      </c>
      <c r="C2272" t="s">
        <v>586</v>
      </c>
      <c r="D2272" s="7">
        <v>45345</v>
      </c>
      <c r="E2272" s="7">
        <v>45700</v>
      </c>
      <c r="F2272">
        <v>330862</v>
      </c>
      <c r="G2272" t="s">
        <v>983</v>
      </c>
      <c r="H2272" t="s">
        <v>9</v>
      </c>
      <c r="I2272" s="7">
        <v>45691</v>
      </c>
      <c r="J2272" s="8">
        <v>0.50954861111111116</v>
      </c>
      <c r="K2272" t="s">
        <v>984</v>
      </c>
      <c r="AQ2272" t="s">
        <v>998</v>
      </c>
      <c r="AR2272" t="s">
        <v>994</v>
      </c>
      <c r="AT2272" t="s">
        <v>987</v>
      </c>
      <c r="AZ2272" t="s">
        <v>1011</v>
      </c>
      <c r="BA2272" t="s">
        <v>1012</v>
      </c>
      <c r="BB2272" t="s">
        <v>1013</v>
      </c>
      <c r="BD2272" t="s">
        <v>1014</v>
      </c>
      <c r="BE2272" t="s">
        <v>586</v>
      </c>
    </row>
    <row r="2273" spans="1:57" ht="13" x14ac:dyDescent="0.15">
      <c r="A2273">
        <v>1839</v>
      </c>
      <c r="B2273">
        <v>273881535</v>
      </c>
      <c r="C2273" t="s">
        <v>586</v>
      </c>
      <c r="D2273" s="7">
        <v>45345</v>
      </c>
      <c r="E2273" s="7">
        <v>45700</v>
      </c>
      <c r="F2273">
        <v>330862</v>
      </c>
      <c r="G2273" t="s">
        <v>983</v>
      </c>
      <c r="H2273" t="s">
        <v>9</v>
      </c>
      <c r="I2273" s="7">
        <v>45700</v>
      </c>
      <c r="J2273" s="8">
        <v>0.33591435185185187</v>
      </c>
      <c r="K2273" t="s">
        <v>984</v>
      </c>
      <c r="AQ2273" t="s">
        <v>998</v>
      </c>
      <c r="AR2273" t="s">
        <v>994</v>
      </c>
      <c r="AT2273" t="s">
        <v>987</v>
      </c>
      <c r="AZ2273" t="s">
        <v>1011</v>
      </c>
      <c r="BA2273" t="s">
        <v>1012</v>
      </c>
      <c r="BB2273" t="s">
        <v>1013</v>
      </c>
      <c r="BD2273" t="s">
        <v>1014</v>
      </c>
      <c r="BE2273" t="s">
        <v>586</v>
      </c>
    </row>
    <row r="2274" spans="1:57" ht="13" x14ac:dyDescent="0.15">
      <c r="A2274">
        <v>1839</v>
      </c>
      <c r="B2274">
        <v>273899709</v>
      </c>
      <c r="C2274" t="s">
        <v>1969</v>
      </c>
      <c r="D2274" s="7">
        <v>45346</v>
      </c>
      <c r="E2274" s="7">
        <v>45701</v>
      </c>
      <c r="F2274">
        <v>330862</v>
      </c>
      <c r="G2274" t="s">
        <v>983</v>
      </c>
      <c r="H2274" t="s">
        <v>9</v>
      </c>
      <c r="I2274" s="7">
        <v>45639</v>
      </c>
      <c r="J2274" s="8">
        <v>0.20702546296296295</v>
      </c>
      <c r="K2274" t="s">
        <v>984</v>
      </c>
      <c r="AQ2274" t="s">
        <v>985</v>
      </c>
      <c r="AR2274" t="s">
        <v>1328</v>
      </c>
      <c r="AT2274" t="s">
        <v>987</v>
      </c>
      <c r="AZ2274" t="s">
        <v>1011</v>
      </c>
      <c r="BA2274" t="s">
        <v>1031</v>
      </c>
      <c r="BB2274" t="s">
        <v>1032</v>
      </c>
      <c r="BD2274" t="s">
        <v>1005</v>
      </c>
      <c r="BE2274" t="s">
        <v>1969</v>
      </c>
    </row>
    <row r="2275" spans="1:57" ht="13" x14ac:dyDescent="0.15">
      <c r="A2275">
        <v>1839</v>
      </c>
      <c r="B2275">
        <v>273899709</v>
      </c>
      <c r="C2275" t="s">
        <v>1969</v>
      </c>
      <c r="D2275" s="7">
        <v>45346</v>
      </c>
      <c r="E2275" s="7">
        <v>45701</v>
      </c>
      <c r="F2275">
        <v>330862</v>
      </c>
      <c r="G2275" t="s">
        <v>983</v>
      </c>
      <c r="H2275" t="s">
        <v>9</v>
      </c>
      <c r="I2275" s="7">
        <v>45639</v>
      </c>
      <c r="J2275" s="8">
        <v>0.21233796296296295</v>
      </c>
      <c r="K2275" t="s">
        <v>984</v>
      </c>
      <c r="AQ2275" t="s">
        <v>985</v>
      </c>
      <c r="AR2275" t="s">
        <v>1027</v>
      </c>
      <c r="AT2275" t="s">
        <v>987</v>
      </c>
      <c r="AZ2275" t="s">
        <v>1028</v>
      </c>
      <c r="BA2275" t="s">
        <v>1029</v>
      </c>
      <c r="BB2275" t="s">
        <v>1018</v>
      </c>
      <c r="BD2275" t="s">
        <v>1022</v>
      </c>
      <c r="BE2275" t="s">
        <v>1969</v>
      </c>
    </row>
    <row r="2276" spans="1:57" ht="13" x14ac:dyDescent="0.15">
      <c r="A2276">
        <v>1839</v>
      </c>
      <c r="B2276">
        <v>273899709</v>
      </c>
      <c r="C2276" t="s">
        <v>1969</v>
      </c>
      <c r="D2276" s="7">
        <v>45346</v>
      </c>
      <c r="E2276" s="7">
        <v>45701</v>
      </c>
      <c r="F2276">
        <v>330862</v>
      </c>
      <c r="G2276" t="s">
        <v>983</v>
      </c>
      <c r="H2276" t="s">
        <v>9</v>
      </c>
      <c r="I2276" s="7">
        <v>45639</v>
      </c>
      <c r="J2276" s="8">
        <v>0.21972222222222224</v>
      </c>
      <c r="K2276" t="s">
        <v>984</v>
      </c>
      <c r="AQ2276" t="s">
        <v>985</v>
      </c>
      <c r="AR2276" t="s">
        <v>1023</v>
      </c>
      <c r="AT2276" t="s">
        <v>987</v>
      </c>
      <c r="AZ2276" t="s">
        <v>1020</v>
      </c>
      <c r="BA2276" t="s">
        <v>1021</v>
      </c>
      <c r="BB2276" t="s">
        <v>1018</v>
      </c>
      <c r="BD2276" t="s">
        <v>1022</v>
      </c>
      <c r="BE2276" t="s">
        <v>1969</v>
      </c>
    </row>
    <row r="2277" spans="1:57" ht="13" x14ac:dyDescent="0.15">
      <c r="A2277">
        <v>1839</v>
      </c>
      <c r="B2277">
        <v>274476222</v>
      </c>
      <c r="C2277" t="s">
        <v>587</v>
      </c>
      <c r="D2277" s="7">
        <v>45359</v>
      </c>
      <c r="E2277" s="7">
        <v>45706</v>
      </c>
      <c r="F2277">
        <v>330862</v>
      </c>
      <c r="G2277" t="s">
        <v>983</v>
      </c>
      <c r="H2277" t="s">
        <v>9</v>
      </c>
      <c r="I2277" s="7">
        <v>45706</v>
      </c>
      <c r="J2277" s="8">
        <v>0.80702546296296296</v>
      </c>
      <c r="K2277" t="s">
        <v>984</v>
      </c>
      <c r="AQ2277" t="s">
        <v>992</v>
      </c>
      <c r="AR2277" t="s">
        <v>1970</v>
      </c>
      <c r="AT2277" t="s">
        <v>987</v>
      </c>
      <c r="AZ2277" t="s">
        <v>1182</v>
      </c>
      <c r="BA2277" t="s">
        <v>1183</v>
      </c>
      <c r="BB2277" t="s">
        <v>990</v>
      </c>
      <c r="BD2277" t="s">
        <v>991</v>
      </c>
      <c r="BE2277" t="s">
        <v>587</v>
      </c>
    </row>
    <row r="2278" spans="1:57" ht="13" x14ac:dyDescent="0.15">
      <c r="A2278">
        <v>1839</v>
      </c>
      <c r="B2278">
        <v>274476222</v>
      </c>
      <c r="C2278" t="s">
        <v>587</v>
      </c>
      <c r="D2278" s="7">
        <v>45359</v>
      </c>
      <c r="E2278" s="7">
        <v>45706</v>
      </c>
      <c r="F2278">
        <v>330862</v>
      </c>
      <c r="G2278" t="s">
        <v>983</v>
      </c>
      <c r="H2278" t="s">
        <v>9</v>
      </c>
      <c r="I2278" s="7">
        <v>45633</v>
      </c>
      <c r="J2278" s="8">
        <v>0.79973379629629626</v>
      </c>
      <c r="K2278" t="s">
        <v>984</v>
      </c>
      <c r="AQ2278" t="s">
        <v>992</v>
      </c>
      <c r="AR2278" t="s">
        <v>1971</v>
      </c>
      <c r="AT2278" t="s">
        <v>987</v>
      </c>
      <c r="AZ2278" t="s">
        <v>1024</v>
      </c>
      <c r="BA2278" t="s">
        <v>1025</v>
      </c>
      <c r="BB2278" t="s">
        <v>1026</v>
      </c>
      <c r="BD2278" t="s">
        <v>1022</v>
      </c>
      <c r="BE2278" t="s">
        <v>587</v>
      </c>
    </row>
    <row r="2279" spans="1:57" ht="13" x14ac:dyDescent="0.15">
      <c r="A2279">
        <v>1839</v>
      </c>
      <c r="B2279">
        <v>274476222</v>
      </c>
      <c r="C2279" t="s">
        <v>587</v>
      </c>
      <c r="D2279" s="7">
        <v>45359</v>
      </c>
      <c r="E2279" s="7">
        <v>45706</v>
      </c>
      <c r="F2279">
        <v>330862</v>
      </c>
      <c r="G2279" t="s">
        <v>983</v>
      </c>
      <c r="H2279" t="s">
        <v>9</v>
      </c>
      <c r="I2279" s="7">
        <v>45702</v>
      </c>
      <c r="J2279" s="8">
        <v>0.89105324074074077</v>
      </c>
      <c r="K2279" t="s">
        <v>984</v>
      </c>
      <c r="AQ2279" t="s">
        <v>992</v>
      </c>
      <c r="AR2279" t="s">
        <v>1972</v>
      </c>
      <c r="AT2279" t="s">
        <v>987</v>
      </c>
      <c r="AZ2279" t="s">
        <v>1220</v>
      </c>
      <c r="BA2279" t="s">
        <v>1221</v>
      </c>
      <c r="BB2279" t="s">
        <v>1082</v>
      </c>
      <c r="BD2279" t="s">
        <v>991</v>
      </c>
      <c r="BE2279" t="s">
        <v>587</v>
      </c>
    </row>
    <row r="2280" spans="1:57" ht="13" x14ac:dyDescent="0.15">
      <c r="A2280">
        <v>1839</v>
      </c>
      <c r="B2280">
        <v>274476222</v>
      </c>
      <c r="C2280" t="s">
        <v>587</v>
      </c>
      <c r="D2280" s="7">
        <v>45359</v>
      </c>
      <c r="E2280" s="7">
        <v>45706</v>
      </c>
      <c r="F2280">
        <v>330862</v>
      </c>
      <c r="G2280" t="s">
        <v>983</v>
      </c>
      <c r="H2280" t="s">
        <v>9</v>
      </c>
      <c r="I2280" s="7">
        <v>45702</v>
      </c>
      <c r="J2280" s="8">
        <v>0.89223379629629629</v>
      </c>
      <c r="K2280" t="s">
        <v>984</v>
      </c>
      <c r="AQ2280" t="s">
        <v>992</v>
      </c>
      <c r="AR2280" t="s">
        <v>1972</v>
      </c>
      <c r="AT2280" t="s">
        <v>987</v>
      </c>
      <c r="AZ2280" t="s">
        <v>1220</v>
      </c>
      <c r="BA2280" t="s">
        <v>1221</v>
      </c>
      <c r="BB2280" t="s">
        <v>1082</v>
      </c>
      <c r="BD2280" t="s">
        <v>991</v>
      </c>
      <c r="BE2280" t="s">
        <v>587</v>
      </c>
    </row>
    <row r="2281" spans="1:57" ht="13" x14ac:dyDescent="0.15">
      <c r="A2281">
        <v>1839</v>
      </c>
      <c r="B2281">
        <v>274476222</v>
      </c>
      <c r="C2281" t="s">
        <v>587</v>
      </c>
      <c r="D2281" s="7">
        <v>45359</v>
      </c>
      <c r="E2281" s="7">
        <v>45706</v>
      </c>
      <c r="F2281">
        <v>330862</v>
      </c>
      <c r="G2281" t="s">
        <v>983</v>
      </c>
      <c r="H2281" t="s">
        <v>9</v>
      </c>
      <c r="I2281" s="7">
        <v>45699</v>
      </c>
      <c r="J2281" s="8">
        <v>0.8427662037037037</v>
      </c>
      <c r="K2281" t="s">
        <v>984</v>
      </c>
      <c r="AQ2281" t="s">
        <v>992</v>
      </c>
      <c r="AR2281" t="s">
        <v>1973</v>
      </c>
      <c r="AT2281" t="s">
        <v>987</v>
      </c>
      <c r="AZ2281" t="s">
        <v>1174</v>
      </c>
      <c r="BA2281" t="s">
        <v>1175</v>
      </c>
      <c r="BB2281" t="s">
        <v>990</v>
      </c>
      <c r="BD2281" t="s">
        <v>991</v>
      </c>
      <c r="BE2281" t="s">
        <v>587</v>
      </c>
    </row>
    <row r="2282" spans="1:57" ht="13" x14ac:dyDescent="0.15">
      <c r="A2282">
        <v>1839</v>
      </c>
      <c r="B2282">
        <v>274476222</v>
      </c>
      <c r="C2282" t="s">
        <v>587</v>
      </c>
      <c r="D2282" s="7">
        <v>45359</v>
      </c>
      <c r="E2282" s="7">
        <v>45706</v>
      </c>
      <c r="F2282">
        <v>330862</v>
      </c>
      <c r="G2282" t="s">
        <v>983</v>
      </c>
      <c r="H2282" t="s">
        <v>9</v>
      </c>
      <c r="I2282" s="7">
        <v>45695</v>
      </c>
      <c r="J2282" s="8">
        <v>0.82351851851851854</v>
      </c>
      <c r="K2282" t="s">
        <v>984</v>
      </c>
      <c r="AQ2282" t="s">
        <v>992</v>
      </c>
      <c r="AR2282" t="s">
        <v>1974</v>
      </c>
      <c r="AT2282" t="s">
        <v>987</v>
      </c>
      <c r="AZ2282" t="s">
        <v>1028</v>
      </c>
      <c r="BA2282" t="s">
        <v>1037</v>
      </c>
      <c r="BB2282" t="s">
        <v>1038</v>
      </c>
      <c r="BD2282" t="s">
        <v>991</v>
      </c>
      <c r="BE2282" t="s">
        <v>587</v>
      </c>
    </row>
    <row r="2283" spans="1:57" ht="13" x14ac:dyDescent="0.15">
      <c r="A2283">
        <v>1839</v>
      </c>
      <c r="B2283">
        <v>274476222</v>
      </c>
      <c r="C2283" t="s">
        <v>587</v>
      </c>
      <c r="D2283" s="7">
        <v>45359</v>
      </c>
      <c r="E2283" s="7">
        <v>45706</v>
      </c>
      <c r="F2283">
        <v>330862</v>
      </c>
      <c r="G2283" t="s">
        <v>983</v>
      </c>
      <c r="H2283" t="s">
        <v>9</v>
      </c>
      <c r="I2283" s="7">
        <v>45694</v>
      </c>
      <c r="J2283" s="8">
        <v>0.83900462962962963</v>
      </c>
      <c r="K2283" t="s">
        <v>984</v>
      </c>
      <c r="AQ2283" t="s">
        <v>992</v>
      </c>
      <c r="AR2283" t="s">
        <v>1975</v>
      </c>
      <c r="AT2283" t="s">
        <v>987</v>
      </c>
      <c r="AZ2283" t="s">
        <v>1002</v>
      </c>
      <c r="BA2283" t="s">
        <v>1040</v>
      </c>
      <c r="BB2283" t="s">
        <v>1041</v>
      </c>
      <c r="BD2283" t="s">
        <v>991</v>
      </c>
      <c r="BE2283" t="s">
        <v>587</v>
      </c>
    </row>
    <row r="2284" spans="1:57" ht="13" x14ac:dyDescent="0.15">
      <c r="A2284">
        <v>1839</v>
      </c>
      <c r="B2284">
        <v>274476222</v>
      </c>
      <c r="C2284" t="s">
        <v>587</v>
      </c>
      <c r="D2284" s="7">
        <v>45359</v>
      </c>
      <c r="E2284" s="7">
        <v>45706</v>
      </c>
      <c r="F2284">
        <v>330862</v>
      </c>
      <c r="G2284" t="s">
        <v>983</v>
      </c>
      <c r="H2284" t="s">
        <v>9</v>
      </c>
      <c r="I2284" s="7">
        <v>45691</v>
      </c>
      <c r="J2284" s="8">
        <v>0.94317129629629626</v>
      </c>
      <c r="K2284" t="s">
        <v>984</v>
      </c>
      <c r="AQ2284" t="s">
        <v>992</v>
      </c>
      <c r="AR2284" t="s">
        <v>1976</v>
      </c>
      <c r="AT2284" t="s">
        <v>987</v>
      </c>
      <c r="AZ2284" t="s">
        <v>1062</v>
      </c>
      <c r="BA2284" t="s">
        <v>1063</v>
      </c>
      <c r="BB2284" t="s">
        <v>1048</v>
      </c>
      <c r="BD2284" t="s">
        <v>991</v>
      </c>
      <c r="BE2284" t="s">
        <v>587</v>
      </c>
    </row>
    <row r="2285" spans="1:57" ht="13" x14ac:dyDescent="0.15">
      <c r="A2285">
        <v>1839</v>
      </c>
      <c r="B2285">
        <v>274476222</v>
      </c>
      <c r="C2285" t="s">
        <v>587</v>
      </c>
      <c r="D2285" s="7">
        <v>45359</v>
      </c>
      <c r="E2285" s="7">
        <v>45706</v>
      </c>
      <c r="F2285">
        <v>330862</v>
      </c>
      <c r="G2285" t="s">
        <v>983</v>
      </c>
      <c r="H2285" t="s">
        <v>9</v>
      </c>
      <c r="I2285" s="7">
        <v>45693</v>
      </c>
      <c r="J2285" s="8">
        <v>0.80309027777777775</v>
      </c>
      <c r="K2285" t="s">
        <v>984</v>
      </c>
      <c r="AQ2285" t="s">
        <v>992</v>
      </c>
      <c r="AR2285" t="s">
        <v>1977</v>
      </c>
      <c r="AT2285" t="s">
        <v>987</v>
      </c>
      <c r="AZ2285" t="s">
        <v>1071</v>
      </c>
      <c r="BA2285" t="s">
        <v>1135</v>
      </c>
      <c r="BB2285" t="s">
        <v>1136</v>
      </c>
      <c r="BD2285" t="s">
        <v>991</v>
      </c>
      <c r="BE2285" t="s">
        <v>587</v>
      </c>
    </row>
    <row r="2286" spans="1:57" ht="13" x14ac:dyDescent="0.15">
      <c r="A2286">
        <v>1839</v>
      </c>
      <c r="B2286">
        <v>274476222</v>
      </c>
      <c r="C2286" t="s">
        <v>587</v>
      </c>
      <c r="D2286" s="7">
        <v>45359</v>
      </c>
      <c r="E2286" s="7">
        <v>45706</v>
      </c>
      <c r="F2286">
        <v>330862</v>
      </c>
      <c r="G2286" t="s">
        <v>983</v>
      </c>
      <c r="H2286" t="s">
        <v>9</v>
      </c>
      <c r="I2286" s="7">
        <v>45674</v>
      </c>
      <c r="J2286" s="8">
        <v>6.5057870370370377E-2</v>
      </c>
      <c r="K2286" t="s">
        <v>984</v>
      </c>
      <c r="AQ2286" t="s">
        <v>992</v>
      </c>
      <c r="AR2286" t="s">
        <v>1978</v>
      </c>
      <c r="AT2286" t="s">
        <v>987</v>
      </c>
      <c r="AZ2286" t="s">
        <v>1011</v>
      </c>
      <c r="BA2286" t="s">
        <v>1202</v>
      </c>
      <c r="BB2286" t="s">
        <v>1203</v>
      </c>
      <c r="BD2286" t="s">
        <v>991</v>
      </c>
      <c r="BE2286" t="s">
        <v>587</v>
      </c>
    </row>
    <row r="2287" spans="1:57" ht="13" x14ac:dyDescent="0.15">
      <c r="A2287">
        <v>1839</v>
      </c>
      <c r="B2287">
        <v>274476222</v>
      </c>
      <c r="C2287" t="s">
        <v>587</v>
      </c>
      <c r="D2287" s="7">
        <v>45359</v>
      </c>
      <c r="E2287" s="7">
        <v>45706</v>
      </c>
      <c r="F2287">
        <v>330862</v>
      </c>
      <c r="G2287" t="s">
        <v>983</v>
      </c>
      <c r="H2287" t="s">
        <v>9</v>
      </c>
      <c r="I2287" s="7">
        <v>45674</v>
      </c>
      <c r="J2287" s="8">
        <v>0.81184027777777779</v>
      </c>
      <c r="K2287" t="s">
        <v>984</v>
      </c>
      <c r="AQ2287" t="s">
        <v>992</v>
      </c>
      <c r="AR2287" t="s">
        <v>1979</v>
      </c>
      <c r="AT2287" t="s">
        <v>987</v>
      </c>
      <c r="AZ2287" t="s">
        <v>1011</v>
      </c>
      <c r="BA2287" t="s">
        <v>1202</v>
      </c>
      <c r="BB2287" t="s">
        <v>1203</v>
      </c>
      <c r="BD2287" t="s">
        <v>991</v>
      </c>
      <c r="BE2287" t="s">
        <v>587</v>
      </c>
    </row>
    <row r="2288" spans="1:57" ht="13" x14ac:dyDescent="0.15">
      <c r="A2288">
        <v>1839</v>
      </c>
      <c r="B2288">
        <v>274476222</v>
      </c>
      <c r="C2288" t="s">
        <v>587</v>
      </c>
      <c r="D2288" s="7">
        <v>45359</v>
      </c>
      <c r="E2288" s="7">
        <v>45706</v>
      </c>
      <c r="F2288">
        <v>330862</v>
      </c>
      <c r="G2288" t="s">
        <v>983</v>
      </c>
      <c r="H2288" t="s">
        <v>9</v>
      </c>
      <c r="I2288" s="7">
        <v>45674</v>
      </c>
      <c r="J2288" s="8">
        <v>0.82207175925925924</v>
      </c>
      <c r="K2288" t="s">
        <v>984</v>
      </c>
      <c r="AQ2288" t="s">
        <v>992</v>
      </c>
      <c r="AR2288" t="s">
        <v>1980</v>
      </c>
      <c r="AT2288" t="s">
        <v>987</v>
      </c>
      <c r="AZ2288" t="s">
        <v>1024</v>
      </c>
      <c r="BA2288" t="s">
        <v>1047</v>
      </c>
      <c r="BB2288" t="s">
        <v>1048</v>
      </c>
      <c r="BD2288" t="s">
        <v>1014</v>
      </c>
      <c r="BE2288" t="s">
        <v>587</v>
      </c>
    </row>
    <row r="2289" spans="1:57" ht="13" x14ac:dyDescent="0.15">
      <c r="A2289">
        <v>1839</v>
      </c>
      <c r="B2289">
        <v>274476222</v>
      </c>
      <c r="C2289" t="s">
        <v>587</v>
      </c>
      <c r="D2289" s="7">
        <v>45359</v>
      </c>
      <c r="E2289" s="7">
        <v>45706</v>
      </c>
      <c r="F2289">
        <v>330862</v>
      </c>
      <c r="G2289" t="s">
        <v>983</v>
      </c>
      <c r="H2289" t="s">
        <v>9</v>
      </c>
      <c r="I2289" s="7">
        <v>45701</v>
      </c>
      <c r="J2289" s="8">
        <v>0.86966435185185187</v>
      </c>
      <c r="K2289" t="s">
        <v>984</v>
      </c>
      <c r="AQ2289" t="s">
        <v>992</v>
      </c>
      <c r="AR2289" t="s">
        <v>1981</v>
      </c>
      <c r="AT2289" t="s">
        <v>987</v>
      </c>
      <c r="AZ2289" t="s">
        <v>1080</v>
      </c>
      <c r="BA2289" t="s">
        <v>1081</v>
      </c>
      <c r="BB2289" t="s">
        <v>1082</v>
      </c>
      <c r="BD2289" t="s">
        <v>991</v>
      </c>
      <c r="BE2289" t="s">
        <v>587</v>
      </c>
    </row>
    <row r="2290" spans="1:57" ht="13" x14ac:dyDescent="0.15">
      <c r="A2290">
        <v>1839</v>
      </c>
      <c r="B2290">
        <v>274476222</v>
      </c>
      <c r="C2290" t="s">
        <v>587</v>
      </c>
      <c r="D2290" s="7">
        <v>45359</v>
      </c>
      <c r="E2290" s="7">
        <v>45706</v>
      </c>
      <c r="F2290">
        <v>330862</v>
      </c>
      <c r="G2290" t="s">
        <v>983</v>
      </c>
      <c r="H2290" t="s">
        <v>9</v>
      </c>
      <c r="I2290" s="7">
        <v>45632</v>
      </c>
      <c r="J2290" s="8">
        <v>0.78693287037037041</v>
      </c>
      <c r="K2290" t="s">
        <v>984</v>
      </c>
      <c r="AQ2290" t="s">
        <v>992</v>
      </c>
      <c r="AR2290" t="s">
        <v>1982</v>
      </c>
      <c r="AT2290" t="s">
        <v>987</v>
      </c>
      <c r="AZ2290" t="s">
        <v>1024</v>
      </c>
      <c r="BA2290" t="s">
        <v>1025</v>
      </c>
      <c r="BB2290" t="s">
        <v>1026</v>
      </c>
      <c r="BD2290" t="s">
        <v>1022</v>
      </c>
      <c r="BE2290" t="s">
        <v>587</v>
      </c>
    </row>
    <row r="2291" spans="1:57" ht="13" x14ac:dyDescent="0.15">
      <c r="A2291">
        <v>1839</v>
      </c>
      <c r="B2291">
        <v>274476222</v>
      </c>
      <c r="C2291" t="s">
        <v>587</v>
      </c>
      <c r="D2291" s="7">
        <v>45359</v>
      </c>
      <c r="E2291" s="7">
        <v>45706</v>
      </c>
      <c r="F2291">
        <v>330862</v>
      </c>
      <c r="G2291" t="s">
        <v>983</v>
      </c>
      <c r="H2291" t="s">
        <v>9</v>
      </c>
      <c r="I2291" s="7">
        <v>45671</v>
      </c>
      <c r="J2291" s="8">
        <v>0.86914351851851857</v>
      </c>
      <c r="K2291" t="s">
        <v>984</v>
      </c>
      <c r="AQ2291" t="s">
        <v>992</v>
      </c>
      <c r="AR2291" t="s">
        <v>1983</v>
      </c>
      <c r="AT2291" t="s">
        <v>987</v>
      </c>
      <c r="AZ2291" t="s">
        <v>1011</v>
      </c>
      <c r="BA2291" t="s">
        <v>1202</v>
      </c>
      <c r="BB2291" t="s">
        <v>1203</v>
      </c>
      <c r="BD2291" t="s">
        <v>991</v>
      </c>
      <c r="BE2291" t="s">
        <v>587</v>
      </c>
    </row>
    <row r="2292" spans="1:57" ht="13" x14ac:dyDescent="0.15">
      <c r="A2292">
        <v>1839</v>
      </c>
      <c r="B2292">
        <v>274476222</v>
      </c>
      <c r="C2292" t="s">
        <v>587</v>
      </c>
      <c r="D2292" s="7">
        <v>45359</v>
      </c>
      <c r="E2292" s="7">
        <v>45706</v>
      </c>
      <c r="F2292">
        <v>330862</v>
      </c>
      <c r="G2292" t="s">
        <v>983</v>
      </c>
      <c r="H2292" t="s">
        <v>9</v>
      </c>
      <c r="I2292" s="7">
        <v>45658</v>
      </c>
      <c r="J2292" s="8">
        <v>0.81123842592592588</v>
      </c>
      <c r="K2292" t="s">
        <v>984</v>
      </c>
      <c r="AQ2292" t="s">
        <v>992</v>
      </c>
      <c r="AR2292" t="s">
        <v>1984</v>
      </c>
      <c r="AT2292" t="s">
        <v>987</v>
      </c>
      <c r="AZ2292" t="s">
        <v>1071</v>
      </c>
      <c r="BA2292" t="s">
        <v>1072</v>
      </c>
      <c r="BB2292" t="s">
        <v>1048</v>
      </c>
      <c r="BD2292" t="s">
        <v>1005</v>
      </c>
      <c r="BE2292" t="s">
        <v>587</v>
      </c>
    </row>
    <row r="2293" spans="1:57" ht="13" x14ac:dyDescent="0.15">
      <c r="A2293">
        <v>1839</v>
      </c>
      <c r="B2293">
        <v>274476222</v>
      </c>
      <c r="C2293" t="s">
        <v>587</v>
      </c>
      <c r="D2293" s="7">
        <v>45359</v>
      </c>
      <c r="E2293" s="7">
        <v>45706</v>
      </c>
      <c r="F2293">
        <v>330862</v>
      </c>
      <c r="G2293" t="s">
        <v>983</v>
      </c>
      <c r="H2293" t="s">
        <v>9</v>
      </c>
      <c r="I2293" s="7">
        <v>45659</v>
      </c>
      <c r="J2293" s="8">
        <v>0.88604166666666662</v>
      </c>
      <c r="K2293" t="s">
        <v>984</v>
      </c>
      <c r="AQ2293" t="s">
        <v>992</v>
      </c>
      <c r="AR2293" t="s">
        <v>1985</v>
      </c>
      <c r="AT2293" t="s">
        <v>987</v>
      </c>
      <c r="AZ2293" t="s">
        <v>1028</v>
      </c>
      <c r="BA2293" t="s">
        <v>1068</v>
      </c>
      <c r="BB2293" t="s">
        <v>1069</v>
      </c>
      <c r="BD2293" t="s">
        <v>1005</v>
      </c>
      <c r="BE2293" t="s">
        <v>587</v>
      </c>
    </row>
    <row r="2294" spans="1:57" ht="13" x14ac:dyDescent="0.15">
      <c r="A2294">
        <v>1839</v>
      </c>
      <c r="B2294">
        <v>274476222</v>
      </c>
      <c r="C2294" t="s">
        <v>587</v>
      </c>
      <c r="D2294" s="7">
        <v>45359</v>
      </c>
      <c r="E2294" s="7">
        <v>45706</v>
      </c>
      <c r="F2294">
        <v>330862</v>
      </c>
      <c r="G2294" t="s">
        <v>983</v>
      </c>
      <c r="H2294" t="s">
        <v>9</v>
      </c>
      <c r="I2294" s="7">
        <v>45663</v>
      </c>
      <c r="J2294" s="8">
        <v>1.9027777777777779E-2</v>
      </c>
      <c r="K2294" t="s">
        <v>984</v>
      </c>
      <c r="AQ2294" t="s">
        <v>1090</v>
      </c>
      <c r="AR2294" t="s">
        <v>1986</v>
      </c>
      <c r="AT2294" t="s">
        <v>987</v>
      </c>
      <c r="AZ2294" t="s">
        <v>1028</v>
      </c>
      <c r="BA2294" t="s">
        <v>1068</v>
      </c>
      <c r="BB2294" t="s">
        <v>1069</v>
      </c>
      <c r="BD2294" t="s">
        <v>1005</v>
      </c>
      <c r="BE2294" t="s">
        <v>587</v>
      </c>
    </row>
    <row r="2295" spans="1:57" ht="13" x14ac:dyDescent="0.15">
      <c r="A2295">
        <v>1839</v>
      </c>
      <c r="B2295">
        <v>274476222</v>
      </c>
      <c r="C2295" t="s">
        <v>587</v>
      </c>
      <c r="D2295" s="7">
        <v>45359</v>
      </c>
      <c r="E2295" s="7">
        <v>45706</v>
      </c>
      <c r="F2295">
        <v>330862</v>
      </c>
      <c r="G2295" t="s">
        <v>983</v>
      </c>
      <c r="H2295" t="s">
        <v>9</v>
      </c>
      <c r="I2295" s="7">
        <v>45663</v>
      </c>
      <c r="J2295" s="8">
        <v>0.81439814814814815</v>
      </c>
      <c r="K2295" t="s">
        <v>984</v>
      </c>
      <c r="AQ2295" t="s">
        <v>992</v>
      </c>
      <c r="AR2295" t="s">
        <v>1987</v>
      </c>
      <c r="AT2295" t="s">
        <v>987</v>
      </c>
      <c r="AZ2295" t="s">
        <v>1028</v>
      </c>
      <c r="BA2295" t="s">
        <v>1068</v>
      </c>
      <c r="BB2295" t="s">
        <v>1069</v>
      </c>
      <c r="BD2295" t="s">
        <v>1005</v>
      </c>
      <c r="BE2295" t="s">
        <v>587</v>
      </c>
    </row>
    <row r="2296" spans="1:57" ht="13" x14ac:dyDescent="0.15">
      <c r="A2296">
        <v>1839</v>
      </c>
      <c r="B2296">
        <v>274476222</v>
      </c>
      <c r="C2296" t="s">
        <v>587</v>
      </c>
      <c r="D2296" s="7">
        <v>45359</v>
      </c>
      <c r="E2296" s="7">
        <v>45706</v>
      </c>
      <c r="F2296">
        <v>330862</v>
      </c>
      <c r="G2296" t="s">
        <v>983</v>
      </c>
      <c r="H2296" t="s">
        <v>9</v>
      </c>
      <c r="I2296" s="7">
        <v>45663</v>
      </c>
      <c r="J2296" s="8">
        <v>0.81703703703703701</v>
      </c>
      <c r="K2296" t="s">
        <v>984</v>
      </c>
      <c r="AQ2296" t="s">
        <v>992</v>
      </c>
      <c r="AR2296" t="s">
        <v>1988</v>
      </c>
      <c r="AT2296" t="s">
        <v>987</v>
      </c>
      <c r="AZ2296" t="s">
        <v>1002</v>
      </c>
      <c r="BA2296" t="s">
        <v>1003</v>
      </c>
      <c r="BB2296" t="s">
        <v>1004</v>
      </c>
      <c r="BD2296" t="s">
        <v>1005</v>
      </c>
      <c r="BE2296" t="s">
        <v>587</v>
      </c>
    </row>
    <row r="2297" spans="1:57" ht="13" x14ac:dyDescent="0.15">
      <c r="A2297">
        <v>1839</v>
      </c>
      <c r="B2297">
        <v>274476222</v>
      </c>
      <c r="C2297" t="s">
        <v>587</v>
      </c>
      <c r="D2297" s="7">
        <v>45359</v>
      </c>
      <c r="E2297" s="7">
        <v>45706</v>
      </c>
      <c r="F2297">
        <v>330862</v>
      </c>
      <c r="G2297" t="s">
        <v>983</v>
      </c>
      <c r="H2297" t="s">
        <v>9</v>
      </c>
      <c r="I2297" s="7">
        <v>45665</v>
      </c>
      <c r="J2297" s="8">
        <v>0.98909722222222218</v>
      </c>
      <c r="K2297" t="s">
        <v>984</v>
      </c>
      <c r="AQ2297" t="s">
        <v>992</v>
      </c>
      <c r="AR2297" t="s">
        <v>1989</v>
      </c>
      <c r="AT2297" t="s">
        <v>987</v>
      </c>
      <c r="AZ2297" t="s">
        <v>1011</v>
      </c>
      <c r="BA2297" t="s">
        <v>1202</v>
      </c>
      <c r="BB2297" t="s">
        <v>1203</v>
      </c>
      <c r="BD2297" t="s">
        <v>991</v>
      </c>
      <c r="BE2297" t="s">
        <v>587</v>
      </c>
    </row>
    <row r="2298" spans="1:57" ht="13" x14ac:dyDescent="0.15">
      <c r="A2298">
        <v>1839</v>
      </c>
      <c r="B2298">
        <v>274476222</v>
      </c>
      <c r="C2298" t="s">
        <v>587</v>
      </c>
      <c r="D2298" s="7">
        <v>45359</v>
      </c>
      <c r="E2298" s="7">
        <v>45706</v>
      </c>
      <c r="F2298">
        <v>330862</v>
      </c>
      <c r="G2298" t="s">
        <v>983</v>
      </c>
      <c r="H2298" t="s">
        <v>9</v>
      </c>
      <c r="I2298" s="7">
        <v>45666</v>
      </c>
      <c r="J2298" s="8">
        <v>0.84531250000000002</v>
      </c>
      <c r="K2298" t="s">
        <v>984</v>
      </c>
      <c r="AQ2298" t="s">
        <v>992</v>
      </c>
      <c r="AR2298" t="s">
        <v>1990</v>
      </c>
      <c r="AT2298" t="s">
        <v>987</v>
      </c>
      <c r="AZ2298" t="s">
        <v>1011</v>
      </c>
      <c r="BA2298" t="s">
        <v>1202</v>
      </c>
      <c r="BB2298" t="s">
        <v>1203</v>
      </c>
      <c r="BD2298" t="s">
        <v>991</v>
      </c>
      <c r="BE2298" t="s">
        <v>587</v>
      </c>
    </row>
    <row r="2299" spans="1:57" ht="13" x14ac:dyDescent="0.15">
      <c r="A2299">
        <v>1839</v>
      </c>
      <c r="B2299">
        <v>274476222</v>
      </c>
      <c r="C2299" t="s">
        <v>587</v>
      </c>
      <c r="D2299" s="7">
        <v>45359</v>
      </c>
      <c r="E2299" s="7">
        <v>45706</v>
      </c>
      <c r="F2299">
        <v>330862</v>
      </c>
      <c r="G2299" t="s">
        <v>983</v>
      </c>
      <c r="H2299" t="s">
        <v>9</v>
      </c>
      <c r="I2299" s="7">
        <v>45650</v>
      </c>
      <c r="J2299" s="8">
        <v>0.8348726851851852</v>
      </c>
      <c r="K2299" t="s">
        <v>984</v>
      </c>
      <c r="AQ2299" t="s">
        <v>992</v>
      </c>
      <c r="AR2299" t="s">
        <v>1991</v>
      </c>
      <c r="AT2299" t="s">
        <v>987</v>
      </c>
      <c r="AZ2299" t="s">
        <v>1139</v>
      </c>
      <c r="BA2299" t="s">
        <v>1140</v>
      </c>
      <c r="BB2299" t="s">
        <v>1032</v>
      </c>
      <c r="BD2299" t="s">
        <v>1005</v>
      </c>
      <c r="BE2299" t="s">
        <v>587</v>
      </c>
    </row>
    <row r="2300" spans="1:57" ht="13" x14ac:dyDescent="0.15">
      <c r="A2300">
        <v>1839</v>
      </c>
      <c r="B2300">
        <v>274476222</v>
      </c>
      <c r="C2300" t="s">
        <v>587</v>
      </c>
      <c r="D2300" s="7">
        <v>45359</v>
      </c>
      <c r="E2300" s="7">
        <v>45706</v>
      </c>
      <c r="F2300">
        <v>330862</v>
      </c>
      <c r="G2300" t="s">
        <v>983</v>
      </c>
      <c r="H2300" t="s">
        <v>9</v>
      </c>
      <c r="I2300" s="7">
        <v>45652</v>
      </c>
      <c r="J2300" s="8">
        <v>0.83379629629629626</v>
      </c>
      <c r="K2300" t="s">
        <v>984</v>
      </c>
      <c r="AQ2300" t="s">
        <v>992</v>
      </c>
      <c r="AR2300" t="s">
        <v>1992</v>
      </c>
      <c r="AT2300" t="s">
        <v>987</v>
      </c>
      <c r="AZ2300" t="s">
        <v>988</v>
      </c>
      <c r="BA2300" t="s">
        <v>1058</v>
      </c>
      <c r="BB2300" t="s">
        <v>1018</v>
      </c>
      <c r="BD2300" t="s">
        <v>1005</v>
      </c>
      <c r="BE2300" t="s">
        <v>587</v>
      </c>
    </row>
    <row r="2301" spans="1:57" ht="13" x14ac:dyDescent="0.15">
      <c r="A2301">
        <v>1839</v>
      </c>
      <c r="B2301">
        <v>274476222</v>
      </c>
      <c r="C2301" t="s">
        <v>587</v>
      </c>
      <c r="D2301" s="7">
        <v>45359</v>
      </c>
      <c r="E2301" s="7">
        <v>45706</v>
      </c>
      <c r="F2301">
        <v>330862</v>
      </c>
      <c r="G2301" t="s">
        <v>983</v>
      </c>
      <c r="H2301" t="s">
        <v>9</v>
      </c>
      <c r="I2301" s="7">
        <v>45654</v>
      </c>
      <c r="J2301" s="8">
        <v>0.78288194444444448</v>
      </c>
      <c r="K2301" t="s">
        <v>984</v>
      </c>
      <c r="AQ2301" t="s">
        <v>992</v>
      </c>
      <c r="AR2301" t="s">
        <v>1993</v>
      </c>
      <c r="AT2301" t="s">
        <v>987</v>
      </c>
      <c r="AZ2301" t="s">
        <v>1007</v>
      </c>
      <c r="BA2301" t="s">
        <v>1008</v>
      </c>
      <c r="BB2301" t="s">
        <v>990</v>
      </c>
      <c r="BD2301" t="s">
        <v>1005</v>
      </c>
      <c r="BE2301" t="s">
        <v>587</v>
      </c>
    </row>
    <row r="2302" spans="1:57" ht="13" x14ac:dyDescent="0.15">
      <c r="A2302">
        <v>1839</v>
      </c>
      <c r="B2302">
        <v>274476222</v>
      </c>
      <c r="C2302" t="s">
        <v>587</v>
      </c>
      <c r="D2302" s="7">
        <v>45359</v>
      </c>
      <c r="E2302" s="7">
        <v>45706</v>
      </c>
      <c r="F2302">
        <v>330862</v>
      </c>
      <c r="G2302" t="s">
        <v>983</v>
      </c>
      <c r="H2302" t="s">
        <v>9</v>
      </c>
      <c r="I2302" s="7">
        <v>45636</v>
      </c>
      <c r="J2302" s="8">
        <v>0.79244212962962968</v>
      </c>
      <c r="K2302" t="s">
        <v>984</v>
      </c>
      <c r="AQ2302" t="s">
        <v>992</v>
      </c>
      <c r="AR2302" t="s">
        <v>1994</v>
      </c>
      <c r="AT2302" t="s">
        <v>987</v>
      </c>
      <c r="AZ2302" t="s">
        <v>1002</v>
      </c>
      <c r="BA2302" t="s">
        <v>1124</v>
      </c>
      <c r="BB2302" t="s">
        <v>1125</v>
      </c>
      <c r="BD2302" t="s">
        <v>1005</v>
      </c>
      <c r="BE2302" t="s">
        <v>587</v>
      </c>
    </row>
    <row r="2303" spans="1:57" ht="13" x14ac:dyDescent="0.15">
      <c r="A2303">
        <v>1839</v>
      </c>
      <c r="B2303">
        <v>274476222</v>
      </c>
      <c r="C2303" t="s">
        <v>587</v>
      </c>
      <c r="D2303" s="7">
        <v>45359</v>
      </c>
      <c r="E2303" s="7">
        <v>45706</v>
      </c>
      <c r="F2303">
        <v>330862</v>
      </c>
      <c r="G2303" t="s">
        <v>983</v>
      </c>
      <c r="H2303" t="s">
        <v>9</v>
      </c>
      <c r="I2303" s="7">
        <v>45623</v>
      </c>
      <c r="J2303" s="8">
        <v>0.99488425925925927</v>
      </c>
      <c r="K2303" t="s">
        <v>984</v>
      </c>
      <c r="AQ2303" t="s">
        <v>992</v>
      </c>
      <c r="AR2303" t="s">
        <v>1995</v>
      </c>
      <c r="AT2303" t="s">
        <v>987</v>
      </c>
      <c r="AZ2303" t="s">
        <v>1055</v>
      </c>
      <c r="BA2303" t="s">
        <v>1056</v>
      </c>
      <c r="BB2303" t="s">
        <v>1013</v>
      </c>
      <c r="BD2303" t="s">
        <v>1022</v>
      </c>
      <c r="BE2303" t="s">
        <v>587</v>
      </c>
    </row>
    <row r="2304" spans="1:57" ht="13" x14ac:dyDescent="0.15">
      <c r="A2304">
        <v>1839</v>
      </c>
      <c r="B2304">
        <v>274476222</v>
      </c>
      <c r="C2304" t="s">
        <v>587</v>
      </c>
      <c r="D2304" s="7">
        <v>45359</v>
      </c>
      <c r="E2304" s="7">
        <v>45706</v>
      </c>
      <c r="F2304">
        <v>330862</v>
      </c>
      <c r="G2304" t="s">
        <v>983</v>
      </c>
      <c r="H2304" t="s">
        <v>9</v>
      </c>
      <c r="I2304" s="7">
        <v>45624</v>
      </c>
      <c r="J2304" s="8">
        <v>0.79167824074074078</v>
      </c>
      <c r="K2304" t="s">
        <v>984</v>
      </c>
      <c r="AQ2304" t="s">
        <v>992</v>
      </c>
      <c r="AR2304" t="s">
        <v>1996</v>
      </c>
      <c r="AT2304" t="s">
        <v>987</v>
      </c>
      <c r="AZ2304" t="s">
        <v>1028</v>
      </c>
      <c r="BA2304" t="s">
        <v>1029</v>
      </c>
      <c r="BB2304" t="s">
        <v>1018</v>
      </c>
      <c r="BD2304" t="s">
        <v>1022</v>
      </c>
      <c r="BE2304" t="s">
        <v>587</v>
      </c>
    </row>
    <row r="2305" spans="1:57" ht="13" x14ac:dyDescent="0.15">
      <c r="A2305">
        <v>1839</v>
      </c>
      <c r="B2305">
        <v>274476222</v>
      </c>
      <c r="C2305" t="s">
        <v>587</v>
      </c>
      <c r="D2305" s="7">
        <v>45359</v>
      </c>
      <c r="E2305" s="7">
        <v>45706</v>
      </c>
      <c r="F2305">
        <v>330862</v>
      </c>
      <c r="G2305" t="s">
        <v>983</v>
      </c>
      <c r="H2305" t="s">
        <v>9</v>
      </c>
      <c r="I2305" s="7">
        <v>45628</v>
      </c>
      <c r="J2305" s="8">
        <v>0.78621527777777778</v>
      </c>
      <c r="K2305" t="s">
        <v>984</v>
      </c>
      <c r="AQ2305" t="s">
        <v>992</v>
      </c>
      <c r="AR2305" t="s">
        <v>1997</v>
      </c>
      <c r="AT2305" t="s">
        <v>987</v>
      </c>
      <c r="AZ2305" t="s">
        <v>1182</v>
      </c>
      <c r="BA2305" t="s">
        <v>1185</v>
      </c>
      <c r="BB2305" t="s">
        <v>1026</v>
      </c>
      <c r="BD2305" t="s">
        <v>1022</v>
      </c>
      <c r="BE2305" t="s">
        <v>587</v>
      </c>
    </row>
    <row r="2306" spans="1:57" ht="13" x14ac:dyDescent="0.15">
      <c r="A2306">
        <v>1839</v>
      </c>
      <c r="B2306">
        <v>274476222</v>
      </c>
      <c r="C2306" t="s">
        <v>587</v>
      </c>
      <c r="D2306" s="7">
        <v>45359</v>
      </c>
      <c r="E2306" s="7">
        <v>45706</v>
      </c>
      <c r="F2306">
        <v>330862</v>
      </c>
      <c r="G2306" t="s">
        <v>983</v>
      </c>
      <c r="H2306" t="s">
        <v>9</v>
      </c>
      <c r="I2306" s="7">
        <v>45631</v>
      </c>
      <c r="J2306" s="8">
        <v>0.79885416666666664</v>
      </c>
      <c r="K2306" t="s">
        <v>984</v>
      </c>
      <c r="AQ2306" t="s">
        <v>992</v>
      </c>
      <c r="AR2306" t="s">
        <v>1998</v>
      </c>
      <c r="AT2306" t="s">
        <v>987</v>
      </c>
      <c r="AZ2306" t="s">
        <v>1239</v>
      </c>
      <c r="BA2306" t="s">
        <v>1281</v>
      </c>
      <c r="BB2306" t="s">
        <v>1026</v>
      </c>
      <c r="BD2306" t="s">
        <v>1022</v>
      </c>
      <c r="BE2306" t="s">
        <v>587</v>
      </c>
    </row>
    <row r="2307" spans="1:57" ht="13" x14ac:dyDescent="0.15">
      <c r="A2307">
        <v>1839</v>
      </c>
      <c r="B2307">
        <v>274534751</v>
      </c>
      <c r="C2307" t="s">
        <v>1999</v>
      </c>
      <c r="D2307" s="7">
        <v>45362</v>
      </c>
      <c r="E2307" s="7">
        <v>45649</v>
      </c>
      <c r="F2307">
        <v>330862</v>
      </c>
      <c r="G2307" t="s">
        <v>983</v>
      </c>
      <c r="H2307" t="s">
        <v>9</v>
      </c>
      <c r="I2307" s="7">
        <v>45647</v>
      </c>
      <c r="J2307" s="8">
        <v>0.2621412037037037</v>
      </c>
      <c r="K2307" t="s">
        <v>984</v>
      </c>
      <c r="AQ2307" t="s">
        <v>992</v>
      </c>
      <c r="AR2307" t="s">
        <v>2000</v>
      </c>
      <c r="AT2307" t="s">
        <v>987</v>
      </c>
      <c r="AZ2307" t="s">
        <v>988</v>
      </c>
      <c r="BA2307" t="s">
        <v>1058</v>
      </c>
      <c r="BB2307" t="s">
        <v>1018</v>
      </c>
      <c r="BD2307" t="s">
        <v>1005</v>
      </c>
      <c r="BE2307" t="s">
        <v>1999</v>
      </c>
    </row>
    <row r="2308" spans="1:57" ht="13" x14ac:dyDescent="0.15">
      <c r="A2308">
        <v>1839</v>
      </c>
      <c r="B2308">
        <v>274545128</v>
      </c>
      <c r="C2308" t="s">
        <v>588</v>
      </c>
      <c r="D2308" s="7">
        <v>45362</v>
      </c>
      <c r="E2308" s="7">
        <v>45672</v>
      </c>
      <c r="F2308">
        <v>330862</v>
      </c>
      <c r="G2308" t="s">
        <v>983</v>
      </c>
      <c r="H2308" t="s">
        <v>9</v>
      </c>
      <c r="I2308" s="7">
        <v>45672</v>
      </c>
      <c r="J2308" s="8">
        <v>0.90744212962962967</v>
      </c>
      <c r="K2308" t="s">
        <v>984</v>
      </c>
      <c r="AQ2308" t="s">
        <v>998</v>
      </c>
      <c r="AR2308" t="s">
        <v>1274</v>
      </c>
      <c r="AT2308" t="s">
        <v>987</v>
      </c>
      <c r="AZ2308" t="s">
        <v>1016</v>
      </c>
      <c r="BA2308" t="s">
        <v>1017</v>
      </c>
      <c r="BB2308" t="s">
        <v>1018</v>
      </c>
      <c r="BD2308" t="s">
        <v>991</v>
      </c>
      <c r="BE2308" t="s">
        <v>588</v>
      </c>
    </row>
    <row r="2309" spans="1:57" ht="13" x14ac:dyDescent="0.15">
      <c r="A2309">
        <v>1839</v>
      </c>
      <c r="B2309">
        <v>275024224</v>
      </c>
      <c r="C2309" t="s">
        <v>589</v>
      </c>
      <c r="D2309" s="7">
        <v>45371</v>
      </c>
      <c r="E2309" s="7">
        <v>45700</v>
      </c>
      <c r="F2309">
        <v>330862</v>
      </c>
      <c r="G2309" t="s">
        <v>983</v>
      </c>
      <c r="H2309" t="s">
        <v>9</v>
      </c>
      <c r="I2309" s="7">
        <v>45700</v>
      </c>
      <c r="J2309" s="8">
        <v>3.8668981481481485E-2</v>
      </c>
      <c r="K2309" t="s">
        <v>984</v>
      </c>
      <c r="AQ2309" t="s">
        <v>1142</v>
      </c>
      <c r="AR2309" t="s">
        <v>1219</v>
      </c>
      <c r="AT2309" t="s">
        <v>987</v>
      </c>
      <c r="AZ2309" t="s">
        <v>1220</v>
      </c>
      <c r="BA2309" t="s">
        <v>1221</v>
      </c>
      <c r="BB2309" t="s">
        <v>1082</v>
      </c>
      <c r="BD2309" t="s">
        <v>991</v>
      </c>
      <c r="BE2309" t="s">
        <v>589</v>
      </c>
    </row>
    <row r="2310" spans="1:57" ht="13" x14ac:dyDescent="0.15">
      <c r="A2310">
        <v>1839</v>
      </c>
      <c r="B2310">
        <v>275092733</v>
      </c>
      <c r="C2310" t="s">
        <v>2001</v>
      </c>
      <c r="D2310" s="7">
        <v>45373</v>
      </c>
      <c r="E2310" s="7">
        <v>45620</v>
      </c>
      <c r="F2310">
        <v>336447</v>
      </c>
      <c r="G2310" t="s">
        <v>1074</v>
      </c>
      <c r="H2310" t="s">
        <v>26</v>
      </c>
      <c r="I2310" s="7">
        <v>45620</v>
      </c>
      <c r="J2310" s="8">
        <v>0.46254629629629629</v>
      </c>
      <c r="K2310" t="s">
        <v>984</v>
      </c>
      <c r="AQ2310" t="s">
        <v>992</v>
      </c>
      <c r="AR2310" t="s">
        <v>2002</v>
      </c>
      <c r="BE2310" t="s">
        <v>2001</v>
      </c>
    </row>
    <row r="2311" spans="1:57" ht="13" x14ac:dyDescent="0.15">
      <c r="A2311">
        <v>1839</v>
      </c>
      <c r="B2311">
        <v>275092733</v>
      </c>
      <c r="C2311" t="s">
        <v>2001</v>
      </c>
      <c r="D2311" s="7">
        <v>45373</v>
      </c>
      <c r="E2311" s="7">
        <v>45620</v>
      </c>
      <c r="F2311">
        <v>336453</v>
      </c>
      <c r="G2311" t="s">
        <v>1074</v>
      </c>
      <c r="H2311" t="s">
        <v>27</v>
      </c>
      <c r="I2311" s="7">
        <v>45620</v>
      </c>
      <c r="J2311" s="8">
        <v>0.46292824074074074</v>
      </c>
      <c r="K2311" t="s">
        <v>984</v>
      </c>
      <c r="AQ2311" t="s">
        <v>992</v>
      </c>
      <c r="AR2311" t="s">
        <v>1076</v>
      </c>
      <c r="BE2311" t="s">
        <v>2001</v>
      </c>
    </row>
    <row r="2312" spans="1:57" ht="13" x14ac:dyDescent="0.15">
      <c r="A2312">
        <v>1839</v>
      </c>
      <c r="B2312">
        <v>275092733</v>
      </c>
      <c r="C2312" t="s">
        <v>2001</v>
      </c>
      <c r="D2312" s="7">
        <v>45373</v>
      </c>
      <c r="E2312" s="7">
        <v>45620</v>
      </c>
      <c r="F2312">
        <v>336709</v>
      </c>
      <c r="G2312" t="s">
        <v>1074</v>
      </c>
      <c r="H2312" t="s">
        <v>28</v>
      </c>
      <c r="I2312" s="7">
        <v>45620</v>
      </c>
      <c r="J2312" s="8">
        <v>0.46346064814814814</v>
      </c>
      <c r="K2312" t="s">
        <v>984</v>
      </c>
      <c r="AQ2312" t="s">
        <v>992</v>
      </c>
      <c r="AR2312" t="s">
        <v>1077</v>
      </c>
      <c r="BE2312" t="s">
        <v>2001</v>
      </c>
    </row>
    <row r="2313" spans="1:57" ht="13" x14ac:dyDescent="0.15">
      <c r="A2313">
        <v>1839</v>
      </c>
      <c r="B2313">
        <v>275118408</v>
      </c>
      <c r="C2313" t="s">
        <v>590</v>
      </c>
      <c r="D2313" s="7">
        <v>45374</v>
      </c>
      <c r="E2313" s="7">
        <v>45674</v>
      </c>
      <c r="F2313">
        <v>330862</v>
      </c>
      <c r="G2313" t="s">
        <v>983</v>
      </c>
      <c r="H2313" t="s">
        <v>9</v>
      </c>
      <c r="I2313" s="7">
        <v>45674</v>
      </c>
      <c r="J2313" s="8">
        <v>0.5957986111111111</v>
      </c>
      <c r="K2313" t="s">
        <v>984</v>
      </c>
      <c r="AQ2313" t="s">
        <v>1090</v>
      </c>
      <c r="AR2313" t="s">
        <v>1598</v>
      </c>
      <c r="AT2313" t="s">
        <v>987</v>
      </c>
      <c r="AZ2313" t="s">
        <v>1016</v>
      </c>
      <c r="BA2313" t="s">
        <v>1017</v>
      </c>
      <c r="BB2313" t="s">
        <v>1018</v>
      </c>
      <c r="BD2313" t="s">
        <v>991</v>
      </c>
      <c r="BE2313" t="s">
        <v>590</v>
      </c>
    </row>
    <row r="2314" spans="1:57" ht="13" x14ac:dyDescent="0.15">
      <c r="A2314">
        <v>1839</v>
      </c>
      <c r="B2314">
        <v>275261344</v>
      </c>
      <c r="C2314" t="s">
        <v>591</v>
      </c>
      <c r="D2314" s="7">
        <v>45379</v>
      </c>
      <c r="E2314" s="7">
        <v>45686</v>
      </c>
      <c r="F2314">
        <v>330862</v>
      </c>
      <c r="G2314" t="s">
        <v>983</v>
      </c>
      <c r="H2314" t="s">
        <v>9</v>
      </c>
      <c r="I2314" s="7">
        <v>45683</v>
      </c>
      <c r="J2314" s="8">
        <v>0.86254629629629631</v>
      </c>
      <c r="K2314" t="s">
        <v>984</v>
      </c>
      <c r="AQ2314" t="s">
        <v>998</v>
      </c>
      <c r="AR2314" t="s">
        <v>1646</v>
      </c>
      <c r="AT2314" t="s">
        <v>987</v>
      </c>
      <c r="AZ2314" t="s">
        <v>1011</v>
      </c>
      <c r="BA2314" t="s">
        <v>1012</v>
      </c>
      <c r="BB2314" t="s">
        <v>1013</v>
      </c>
      <c r="BD2314" t="s">
        <v>1014</v>
      </c>
      <c r="BE2314" t="s">
        <v>591</v>
      </c>
    </row>
    <row r="2315" spans="1:57" ht="13" x14ac:dyDescent="0.15">
      <c r="A2315">
        <v>1839</v>
      </c>
      <c r="B2315">
        <v>275353891</v>
      </c>
      <c r="C2315" t="s">
        <v>592</v>
      </c>
      <c r="D2315" s="7">
        <v>45383</v>
      </c>
      <c r="E2315" s="7">
        <v>45696</v>
      </c>
      <c r="F2315">
        <v>330862</v>
      </c>
      <c r="G2315" t="s">
        <v>983</v>
      </c>
      <c r="H2315" t="s">
        <v>9</v>
      </c>
      <c r="I2315" s="7">
        <v>45677</v>
      </c>
      <c r="J2315" s="8">
        <v>0.68194444444444446</v>
      </c>
      <c r="K2315" t="s">
        <v>984</v>
      </c>
      <c r="AQ2315" t="s">
        <v>985</v>
      </c>
      <c r="AR2315" t="s">
        <v>1083</v>
      </c>
      <c r="AT2315" t="s">
        <v>987</v>
      </c>
      <c r="AZ2315" t="s">
        <v>1011</v>
      </c>
      <c r="BA2315" t="s">
        <v>1012</v>
      </c>
      <c r="BB2315" t="s">
        <v>1013</v>
      </c>
      <c r="BD2315" t="s">
        <v>1014</v>
      </c>
      <c r="BE2315" t="s">
        <v>592</v>
      </c>
    </row>
    <row r="2316" spans="1:57" ht="13" x14ac:dyDescent="0.15">
      <c r="A2316">
        <v>1839</v>
      </c>
      <c r="B2316">
        <v>275408425</v>
      </c>
      <c r="C2316" t="s">
        <v>2003</v>
      </c>
      <c r="D2316" s="7">
        <v>45385</v>
      </c>
      <c r="E2316" s="7">
        <v>45643</v>
      </c>
      <c r="F2316">
        <v>330862</v>
      </c>
      <c r="G2316" t="s">
        <v>983</v>
      </c>
      <c r="H2316" t="s">
        <v>9</v>
      </c>
      <c r="I2316" s="7">
        <v>45620</v>
      </c>
      <c r="J2316" s="8">
        <v>0.50583333333333336</v>
      </c>
      <c r="K2316" t="s">
        <v>984</v>
      </c>
      <c r="AQ2316" t="s">
        <v>998</v>
      </c>
      <c r="AR2316" t="s">
        <v>1195</v>
      </c>
      <c r="AT2316" t="s">
        <v>987</v>
      </c>
      <c r="AZ2316" t="s">
        <v>1055</v>
      </c>
      <c r="BA2316" t="s">
        <v>1056</v>
      </c>
      <c r="BB2316" t="s">
        <v>1013</v>
      </c>
      <c r="BD2316" t="s">
        <v>1022</v>
      </c>
      <c r="BE2316" t="s">
        <v>2003</v>
      </c>
    </row>
    <row r="2317" spans="1:57" ht="13" x14ac:dyDescent="0.15">
      <c r="A2317">
        <v>1839</v>
      </c>
      <c r="B2317">
        <v>275539081</v>
      </c>
      <c r="C2317" t="s">
        <v>593</v>
      </c>
      <c r="D2317" s="7">
        <v>45390</v>
      </c>
      <c r="E2317" s="7">
        <v>45693</v>
      </c>
      <c r="F2317">
        <v>330862</v>
      </c>
      <c r="G2317" t="s">
        <v>983</v>
      </c>
      <c r="H2317" t="s">
        <v>9</v>
      </c>
      <c r="I2317" s="7">
        <v>45691</v>
      </c>
      <c r="J2317" s="8">
        <v>0.71939814814814818</v>
      </c>
      <c r="K2317" t="s">
        <v>984</v>
      </c>
      <c r="AQ2317" t="s">
        <v>998</v>
      </c>
      <c r="AR2317" t="s">
        <v>994</v>
      </c>
      <c r="AT2317" t="s">
        <v>987</v>
      </c>
      <c r="AZ2317" t="s">
        <v>1011</v>
      </c>
      <c r="BA2317" t="s">
        <v>1012</v>
      </c>
      <c r="BB2317" t="s">
        <v>1013</v>
      </c>
      <c r="BD2317" t="s">
        <v>1014</v>
      </c>
      <c r="BE2317" t="s">
        <v>593</v>
      </c>
    </row>
    <row r="2318" spans="1:57" ht="13" x14ac:dyDescent="0.15">
      <c r="A2318">
        <v>1839</v>
      </c>
      <c r="B2318">
        <v>275950473</v>
      </c>
      <c r="C2318" t="s">
        <v>594</v>
      </c>
      <c r="D2318" s="7">
        <v>45405</v>
      </c>
      <c r="E2318" s="7">
        <v>45712</v>
      </c>
      <c r="F2318">
        <v>330862</v>
      </c>
      <c r="G2318" t="s">
        <v>983</v>
      </c>
      <c r="H2318" t="s">
        <v>9</v>
      </c>
      <c r="I2318" s="7">
        <v>45699</v>
      </c>
      <c r="J2318" s="8">
        <v>0.75151620370370376</v>
      </c>
      <c r="K2318" t="s">
        <v>984</v>
      </c>
      <c r="AQ2318" t="s">
        <v>1142</v>
      </c>
      <c r="AR2318" t="s">
        <v>1315</v>
      </c>
      <c r="AT2318" t="s">
        <v>987</v>
      </c>
      <c r="AZ2318" t="s">
        <v>1182</v>
      </c>
      <c r="BA2318" t="s">
        <v>1183</v>
      </c>
      <c r="BB2318" t="s">
        <v>990</v>
      </c>
      <c r="BD2318" t="s">
        <v>991</v>
      </c>
      <c r="BE2318" t="s">
        <v>594</v>
      </c>
    </row>
    <row r="2319" spans="1:57" ht="13" x14ac:dyDescent="0.15">
      <c r="A2319">
        <v>1839</v>
      </c>
      <c r="B2319">
        <v>275950473</v>
      </c>
      <c r="C2319" t="s">
        <v>594</v>
      </c>
      <c r="D2319" s="7">
        <v>45405</v>
      </c>
      <c r="E2319" s="7">
        <v>45712</v>
      </c>
      <c r="F2319">
        <v>330862</v>
      </c>
      <c r="G2319" t="s">
        <v>983</v>
      </c>
      <c r="H2319" t="s">
        <v>9</v>
      </c>
      <c r="I2319" s="7">
        <v>45699</v>
      </c>
      <c r="J2319" s="8">
        <v>0.75041666666666662</v>
      </c>
      <c r="K2319" t="s">
        <v>984</v>
      </c>
      <c r="AQ2319" t="s">
        <v>1142</v>
      </c>
      <c r="AR2319" t="s">
        <v>1315</v>
      </c>
      <c r="AT2319" t="s">
        <v>987</v>
      </c>
      <c r="AZ2319" t="s">
        <v>1182</v>
      </c>
      <c r="BA2319" t="s">
        <v>1183</v>
      </c>
      <c r="BB2319" t="s">
        <v>990</v>
      </c>
      <c r="BD2319" t="s">
        <v>991</v>
      </c>
      <c r="BE2319" t="s">
        <v>594</v>
      </c>
    </row>
    <row r="2320" spans="1:57" ht="13" x14ac:dyDescent="0.15">
      <c r="A2320">
        <v>1839</v>
      </c>
      <c r="B2320">
        <v>275950473</v>
      </c>
      <c r="C2320" t="s">
        <v>594</v>
      </c>
      <c r="D2320" s="7">
        <v>45405</v>
      </c>
      <c r="E2320" s="7">
        <v>45712</v>
      </c>
      <c r="F2320">
        <v>330862</v>
      </c>
      <c r="G2320" t="s">
        <v>983</v>
      </c>
      <c r="H2320" t="s">
        <v>9</v>
      </c>
      <c r="I2320" s="7">
        <v>45699</v>
      </c>
      <c r="J2320" s="8">
        <v>0.7584953703703704</v>
      </c>
      <c r="K2320" t="s">
        <v>984</v>
      </c>
      <c r="AQ2320" t="s">
        <v>1142</v>
      </c>
      <c r="AR2320" t="s">
        <v>1039</v>
      </c>
      <c r="AT2320" t="s">
        <v>987</v>
      </c>
      <c r="AZ2320" t="s">
        <v>1002</v>
      </c>
      <c r="BA2320" t="s">
        <v>1040</v>
      </c>
      <c r="BB2320" t="s">
        <v>1041</v>
      </c>
      <c r="BD2320" t="s">
        <v>991</v>
      </c>
      <c r="BE2320" t="s">
        <v>594</v>
      </c>
    </row>
    <row r="2321" spans="1:57" ht="13" x14ac:dyDescent="0.15">
      <c r="A2321">
        <v>1839</v>
      </c>
      <c r="B2321">
        <v>276005807</v>
      </c>
      <c r="C2321" t="s">
        <v>595</v>
      </c>
      <c r="D2321" s="7">
        <v>45406</v>
      </c>
      <c r="E2321" s="7">
        <v>45701</v>
      </c>
      <c r="F2321">
        <v>330862</v>
      </c>
      <c r="G2321" t="s">
        <v>983</v>
      </c>
      <c r="H2321" t="s">
        <v>9</v>
      </c>
      <c r="I2321" s="7">
        <v>45694</v>
      </c>
      <c r="J2321" s="8">
        <v>0.56070601851851853</v>
      </c>
      <c r="K2321" t="s">
        <v>984</v>
      </c>
      <c r="AQ2321" t="s">
        <v>1090</v>
      </c>
      <c r="AR2321" t="s">
        <v>986</v>
      </c>
      <c r="AT2321" t="s">
        <v>987</v>
      </c>
      <c r="AZ2321" t="s">
        <v>988</v>
      </c>
      <c r="BA2321" t="s">
        <v>989</v>
      </c>
      <c r="BB2321" t="s">
        <v>990</v>
      </c>
      <c r="BD2321" t="s">
        <v>991</v>
      </c>
      <c r="BE2321" t="s">
        <v>595</v>
      </c>
    </row>
    <row r="2322" spans="1:57" ht="13" x14ac:dyDescent="0.15">
      <c r="A2322">
        <v>1839</v>
      </c>
      <c r="B2322">
        <v>276102839</v>
      </c>
      <c r="C2322" t="s">
        <v>596</v>
      </c>
      <c r="D2322" s="7">
        <v>45411</v>
      </c>
      <c r="E2322" s="7">
        <v>45703</v>
      </c>
      <c r="F2322">
        <v>330862</v>
      </c>
      <c r="G2322" t="s">
        <v>983</v>
      </c>
      <c r="H2322" t="s">
        <v>9</v>
      </c>
      <c r="I2322" s="7">
        <v>45680</v>
      </c>
      <c r="J2322" s="8">
        <v>0.47746527777777775</v>
      </c>
      <c r="K2322" t="s">
        <v>984</v>
      </c>
      <c r="AQ2322" t="s">
        <v>1089</v>
      </c>
      <c r="AR2322" t="s">
        <v>1509</v>
      </c>
      <c r="AT2322" t="s">
        <v>987</v>
      </c>
      <c r="BE2322" t="s">
        <v>596</v>
      </c>
    </row>
    <row r="2323" spans="1:57" ht="13" x14ac:dyDescent="0.15">
      <c r="A2323">
        <v>1839</v>
      </c>
      <c r="B2323">
        <v>276102839</v>
      </c>
      <c r="C2323" t="s">
        <v>596</v>
      </c>
      <c r="D2323" s="7">
        <v>45411</v>
      </c>
      <c r="E2323" s="7">
        <v>45703</v>
      </c>
      <c r="F2323">
        <v>336444</v>
      </c>
      <c r="G2323" t="s">
        <v>995</v>
      </c>
      <c r="H2323" t="s">
        <v>12</v>
      </c>
      <c r="I2323" s="7">
        <v>45694</v>
      </c>
      <c r="J2323" s="8">
        <v>0.85217592592592595</v>
      </c>
      <c r="K2323" t="s">
        <v>984</v>
      </c>
      <c r="AQ2323" t="s">
        <v>996</v>
      </c>
      <c r="BE2323" t="s">
        <v>596</v>
      </c>
    </row>
    <row r="2324" spans="1:57" ht="13" x14ac:dyDescent="0.15">
      <c r="A2324">
        <v>1839</v>
      </c>
      <c r="B2324">
        <v>276143544</v>
      </c>
      <c r="C2324" t="s">
        <v>597</v>
      </c>
      <c r="D2324" s="7">
        <v>45413</v>
      </c>
      <c r="E2324" s="7">
        <v>45682</v>
      </c>
      <c r="F2324">
        <v>330862</v>
      </c>
      <c r="G2324" t="s">
        <v>983</v>
      </c>
      <c r="H2324" t="s">
        <v>9</v>
      </c>
      <c r="I2324" s="7">
        <v>45680</v>
      </c>
      <c r="J2324" s="8">
        <v>0.6889467592592593</v>
      </c>
      <c r="K2324" t="s">
        <v>984</v>
      </c>
      <c r="AQ2324" t="s">
        <v>1089</v>
      </c>
      <c r="AR2324" t="s">
        <v>1680</v>
      </c>
      <c r="AT2324" t="s">
        <v>987</v>
      </c>
      <c r="AZ2324" t="s">
        <v>1011</v>
      </c>
      <c r="BA2324" t="s">
        <v>1012</v>
      </c>
      <c r="BB2324" t="s">
        <v>1013</v>
      </c>
      <c r="BD2324" t="s">
        <v>1014</v>
      </c>
      <c r="BE2324" t="s">
        <v>597</v>
      </c>
    </row>
    <row r="2325" spans="1:57" ht="13" x14ac:dyDescent="0.15">
      <c r="A2325">
        <v>1839</v>
      </c>
      <c r="B2325">
        <v>276143544</v>
      </c>
      <c r="C2325" t="s">
        <v>597</v>
      </c>
      <c r="D2325" s="7">
        <v>45413</v>
      </c>
      <c r="E2325" s="7">
        <v>45682</v>
      </c>
      <c r="F2325">
        <v>330862</v>
      </c>
      <c r="G2325" t="s">
        <v>983</v>
      </c>
      <c r="H2325" t="s">
        <v>9</v>
      </c>
      <c r="I2325" s="7">
        <v>45581</v>
      </c>
      <c r="J2325" s="8">
        <v>0.70159722222222221</v>
      </c>
      <c r="K2325" t="s">
        <v>984</v>
      </c>
      <c r="AQ2325" t="s">
        <v>1556</v>
      </c>
      <c r="AR2325" t="s">
        <v>1100</v>
      </c>
      <c r="AT2325" t="s">
        <v>987</v>
      </c>
      <c r="BE2325" t="s">
        <v>597</v>
      </c>
    </row>
    <row r="2326" spans="1:57" ht="13" x14ac:dyDescent="0.15">
      <c r="A2326">
        <v>1839</v>
      </c>
      <c r="B2326">
        <v>276170359</v>
      </c>
      <c r="C2326" t="s">
        <v>598</v>
      </c>
      <c r="D2326" s="7">
        <v>45414</v>
      </c>
      <c r="E2326" s="7">
        <v>45712</v>
      </c>
      <c r="F2326">
        <v>330862</v>
      </c>
      <c r="G2326" t="s">
        <v>983</v>
      </c>
      <c r="H2326" t="s">
        <v>9</v>
      </c>
      <c r="I2326" s="7">
        <v>45696</v>
      </c>
      <c r="J2326" s="8">
        <v>0.94324074074074071</v>
      </c>
      <c r="K2326" t="s">
        <v>984</v>
      </c>
      <c r="AQ2326" t="s">
        <v>1089</v>
      </c>
      <c r="AR2326" t="s">
        <v>1479</v>
      </c>
      <c r="AT2326" t="s">
        <v>987</v>
      </c>
      <c r="AZ2326" t="s">
        <v>1174</v>
      </c>
      <c r="BA2326" t="s">
        <v>1175</v>
      </c>
      <c r="BB2326" t="s">
        <v>990</v>
      </c>
      <c r="BD2326" t="s">
        <v>991</v>
      </c>
      <c r="BE2326" t="s">
        <v>598</v>
      </c>
    </row>
    <row r="2327" spans="1:57" ht="13" x14ac:dyDescent="0.15">
      <c r="A2327">
        <v>1839</v>
      </c>
      <c r="B2327">
        <v>276170359</v>
      </c>
      <c r="C2327" t="s">
        <v>598</v>
      </c>
      <c r="D2327" s="7">
        <v>45414</v>
      </c>
      <c r="E2327" s="7">
        <v>45712</v>
      </c>
      <c r="F2327">
        <v>330862</v>
      </c>
      <c r="G2327" t="s">
        <v>983</v>
      </c>
      <c r="H2327" t="s">
        <v>9</v>
      </c>
      <c r="I2327" s="7">
        <v>45696</v>
      </c>
      <c r="J2327" s="8">
        <v>0.95420138888888884</v>
      </c>
      <c r="K2327" t="s">
        <v>984</v>
      </c>
      <c r="AQ2327" t="s">
        <v>1089</v>
      </c>
      <c r="AR2327" t="s">
        <v>1315</v>
      </c>
      <c r="AT2327" t="s">
        <v>987</v>
      </c>
      <c r="AZ2327" t="s">
        <v>1182</v>
      </c>
      <c r="BA2327" t="s">
        <v>1183</v>
      </c>
      <c r="BB2327" t="s">
        <v>990</v>
      </c>
      <c r="BD2327" t="s">
        <v>991</v>
      </c>
      <c r="BE2327" t="s">
        <v>598</v>
      </c>
    </row>
    <row r="2328" spans="1:57" ht="13" x14ac:dyDescent="0.15">
      <c r="A2328">
        <v>1839</v>
      </c>
      <c r="B2328">
        <v>276170359</v>
      </c>
      <c r="C2328" t="s">
        <v>598</v>
      </c>
      <c r="D2328" s="7">
        <v>45414</v>
      </c>
      <c r="E2328" s="7">
        <v>45712</v>
      </c>
      <c r="F2328">
        <v>330862</v>
      </c>
      <c r="G2328" t="s">
        <v>983</v>
      </c>
      <c r="H2328" t="s">
        <v>9</v>
      </c>
      <c r="I2328" s="7">
        <v>45696</v>
      </c>
      <c r="J2328" s="8">
        <v>0.9561574074074074</v>
      </c>
      <c r="K2328" t="s">
        <v>984</v>
      </c>
      <c r="AQ2328" t="s">
        <v>1089</v>
      </c>
      <c r="AR2328" t="s">
        <v>1219</v>
      </c>
      <c r="AT2328" t="s">
        <v>987</v>
      </c>
      <c r="AZ2328" t="s">
        <v>1220</v>
      </c>
      <c r="BA2328" t="s">
        <v>1221</v>
      </c>
      <c r="BB2328" t="s">
        <v>1082</v>
      </c>
      <c r="BD2328" t="s">
        <v>991</v>
      </c>
      <c r="BE2328" t="s">
        <v>598</v>
      </c>
    </row>
    <row r="2329" spans="1:57" ht="13" x14ac:dyDescent="0.15">
      <c r="A2329">
        <v>1839</v>
      </c>
      <c r="B2329">
        <v>276170359</v>
      </c>
      <c r="C2329" t="s">
        <v>598</v>
      </c>
      <c r="D2329" s="7">
        <v>45414</v>
      </c>
      <c r="E2329" s="7">
        <v>45712</v>
      </c>
      <c r="F2329">
        <v>330862</v>
      </c>
      <c r="G2329" t="s">
        <v>983</v>
      </c>
      <c r="H2329" t="s">
        <v>9</v>
      </c>
      <c r="I2329" s="7">
        <v>45696</v>
      </c>
      <c r="J2329" s="8">
        <v>0.94200231481481478</v>
      </c>
      <c r="K2329" t="s">
        <v>984</v>
      </c>
      <c r="AQ2329" t="s">
        <v>1089</v>
      </c>
      <c r="AR2329" t="s">
        <v>1039</v>
      </c>
      <c r="AT2329" t="s">
        <v>987</v>
      </c>
      <c r="AZ2329" t="s">
        <v>1002</v>
      </c>
      <c r="BA2329" t="s">
        <v>1040</v>
      </c>
      <c r="BB2329" t="s">
        <v>1041</v>
      </c>
      <c r="BD2329" t="s">
        <v>991</v>
      </c>
      <c r="BE2329" t="s">
        <v>598</v>
      </c>
    </row>
    <row r="2330" spans="1:57" ht="13" x14ac:dyDescent="0.15">
      <c r="A2330">
        <v>1839</v>
      </c>
      <c r="B2330">
        <v>276170359</v>
      </c>
      <c r="C2330" t="s">
        <v>598</v>
      </c>
      <c r="D2330" s="7">
        <v>45414</v>
      </c>
      <c r="E2330" s="7">
        <v>45712</v>
      </c>
      <c r="F2330">
        <v>330862</v>
      </c>
      <c r="G2330" t="s">
        <v>983</v>
      </c>
      <c r="H2330" t="s">
        <v>9</v>
      </c>
      <c r="I2330" s="7">
        <v>45696</v>
      </c>
      <c r="J2330" s="8">
        <v>0.94135416666666671</v>
      </c>
      <c r="K2330" t="s">
        <v>984</v>
      </c>
      <c r="AQ2330" t="s">
        <v>1089</v>
      </c>
      <c r="AR2330" t="s">
        <v>1554</v>
      </c>
      <c r="AT2330" t="s">
        <v>987</v>
      </c>
      <c r="AZ2330" t="s">
        <v>1028</v>
      </c>
      <c r="BA2330" t="s">
        <v>1037</v>
      </c>
      <c r="BB2330" t="s">
        <v>1038</v>
      </c>
      <c r="BD2330" t="s">
        <v>991</v>
      </c>
      <c r="BE2330" t="s">
        <v>598</v>
      </c>
    </row>
    <row r="2331" spans="1:57" ht="13" x14ac:dyDescent="0.15">
      <c r="A2331">
        <v>1839</v>
      </c>
      <c r="B2331">
        <v>276170359</v>
      </c>
      <c r="C2331" t="s">
        <v>598</v>
      </c>
      <c r="D2331" s="7">
        <v>45414</v>
      </c>
      <c r="E2331" s="7">
        <v>45712</v>
      </c>
      <c r="F2331">
        <v>330862</v>
      </c>
      <c r="G2331" t="s">
        <v>983</v>
      </c>
      <c r="H2331" t="s">
        <v>9</v>
      </c>
      <c r="I2331" s="7">
        <v>45696</v>
      </c>
      <c r="J2331" s="8">
        <v>0.94002314814814814</v>
      </c>
      <c r="K2331" t="s">
        <v>984</v>
      </c>
      <c r="AQ2331" t="s">
        <v>1089</v>
      </c>
      <c r="AR2331" t="s">
        <v>1517</v>
      </c>
      <c r="AT2331" t="s">
        <v>987</v>
      </c>
      <c r="AZ2331" t="s">
        <v>1080</v>
      </c>
      <c r="BA2331" t="s">
        <v>1081</v>
      </c>
      <c r="BB2331" t="s">
        <v>1082</v>
      </c>
      <c r="BD2331" t="s">
        <v>991</v>
      </c>
      <c r="BE2331" t="s">
        <v>598</v>
      </c>
    </row>
    <row r="2332" spans="1:57" ht="13" x14ac:dyDescent="0.15">
      <c r="A2332">
        <v>1839</v>
      </c>
      <c r="B2332">
        <v>276170359</v>
      </c>
      <c r="C2332" t="s">
        <v>598</v>
      </c>
      <c r="D2332" s="7">
        <v>45414</v>
      </c>
      <c r="E2332" s="7">
        <v>45712</v>
      </c>
      <c r="F2332">
        <v>330862</v>
      </c>
      <c r="G2332" t="s">
        <v>983</v>
      </c>
      <c r="H2332" t="s">
        <v>9</v>
      </c>
      <c r="I2332" s="7">
        <v>45696</v>
      </c>
      <c r="J2332" s="8">
        <v>0.93891203703703707</v>
      </c>
      <c r="K2332" t="s">
        <v>984</v>
      </c>
      <c r="AQ2332" t="s">
        <v>1089</v>
      </c>
      <c r="AR2332" t="s">
        <v>1219</v>
      </c>
      <c r="AT2332" t="s">
        <v>987</v>
      </c>
      <c r="AZ2332" t="s">
        <v>1220</v>
      </c>
      <c r="BA2332" t="s">
        <v>1221</v>
      </c>
      <c r="BB2332" t="s">
        <v>1082</v>
      </c>
      <c r="BD2332" t="s">
        <v>991</v>
      </c>
      <c r="BE2332" t="s">
        <v>598</v>
      </c>
    </row>
    <row r="2333" spans="1:57" ht="13" x14ac:dyDescent="0.15">
      <c r="A2333">
        <v>1839</v>
      </c>
      <c r="B2333">
        <v>276170359</v>
      </c>
      <c r="C2333" t="s">
        <v>598</v>
      </c>
      <c r="D2333" s="7">
        <v>45414</v>
      </c>
      <c r="E2333" s="7">
        <v>45712</v>
      </c>
      <c r="F2333">
        <v>330862</v>
      </c>
      <c r="G2333" t="s">
        <v>983</v>
      </c>
      <c r="H2333" t="s">
        <v>9</v>
      </c>
      <c r="I2333" s="7">
        <v>45712</v>
      </c>
      <c r="J2333" s="8">
        <v>1.5243055555555555E-2</v>
      </c>
      <c r="K2333" t="s">
        <v>984</v>
      </c>
      <c r="AQ2333" t="s">
        <v>1089</v>
      </c>
      <c r="AR2333" t="s">
        <v>1259</v>
      </c>
      <c r="AT2333" t="s">
        <v>987</v>
      </c>
      <c r="AZ2333" t="s">
        <v>1002</v>
      </c>
      <c r="BA2333" t="s">
        <v>1040</v>
      </c>
      <c r="BB2333" t="s">
        <v>1041</v>
      </c>
      <c r="BD2333" t="s">
        <v>991</v>
      </c>
      <c r="BE2333" t="s">
        <v>598</v>
      </c>
    </row>
    <row r="2334" spans="1:57" ht="13" x14ac:dyDescent="0.15">
      <c r="A2334">
        <v>1839</v>
      </c>
      <c r="B2334">
        <v>276170359</v>
      </c>
      <c r="C2334" t="s">
        <v>598</v>
      </c>
      <c r="D2334" s="7">
        <v>45414</v>
      </c>
      <c r="E2334" s="7">
        <v>45712</v>
      </c>
      <c r="F2334">
        <v>330862</v>
      </c>
      <c r="G2334" t="s">
        <v>983</v>
      </c>
      <c r="H2334" t="s">
        <v>9</v>
      </c>
      <c r="I2334" s="7">
        <v>45707</v>
      </c>
      <c r="J2334" s="8">
        <v>0.90990740740740739</v>
      </c>
      <c r="K2334" t="s">
        <v>984</v>
      </c>
      <c r="AQ2334" t="s">
        <v>1089</v>
      </c>
      <c r="AR2334" t="s">
        <v>1698</v>
      </c>
      <c r="AT2334" t="s">
        <v>987</v>
      </c>
      <c r="AZ2334" t="s">
        <v>1080</v>
      </c>
      <c r="BA2334" t="s">
        <v>1081</v>
      </c>
      <c r="BB2334" t="s">
        <v>1082</v>
      </c>
      <c r="BD2334" t="s">
        <v>991</v>
      </c>
      <c r="BE2334" t="s">
        <v>598</v>
      </c>
    </row>
    <row r="2335" spans="1:57" ht="13" x14ac:dyDescent="0.15">
      <c r="A2335">
        <v>1839</v>
      </c>
      <c r="B2335">
        <v>276180131</v>
      </c>
      <c r="C2335" t="s">
        <v>599</v>
      </c>
      <c r="D2335" s="7">
        <v>45414</v>
      </c>
      <c r="E2335" s="7">
        <v>45691</v>
      </c>
      <c r="F2335">
        <v>330862</v>
      </c>
      <c r="G2335" t="s">
        <v>983</v>
      </c>
      <c r="H2335" t="s">
        <v>9</v>
      </c>
      <c r="I2335" s="7">
        <v>45676</v>
      </c>
      <c r="J2335" s="8">
        <v>0.81694444444444447</v>
      </c>
      <c r="K2335" t="s">
        <v>984</v>
      </c>
      <c r="AQ2335" t="s">
        <v>1089</v>
      </c>
      <c r="AR2335" t="s">
        <v>1647</v>
      </c>
      <c r="AT2335" t="s">
        <v>987</v>
      </c>
      <c r="AZ2335" t="s">
        <v>1024</v>
      </c>
      <c r="BA2335" t="s">
        <v>1047</v>
      </c>
      <c r="BB2335" t="s">
        <v>1048</v>
      </c>
      <c r="BD2335" t="s">
        <v>1014</v>
      </c>
      <c r="BE2335" t="s">
        <v>599</v>
      </c>
    </row>
    <row r="2336" spans="1:57" ht="13" x14ac:dyDescent="0.15">
      <c r="A2336">
        <v>1839</v>
      </c>
      <c r="B2336">
        <v>276180131</v>
      </c>
      <c r="C2336" t="s">
        <v>599</v>
      </c>
      <c r="D2336" s="7">
        <v>45414</v>
      </c>
      <c r="E2336" s="7">
        <v>45691</v>
      </c>
      <c r="F2336">
        <v>330862</v>
      </c>
      <c r="G2336" t="s">
        <v>983</v>
      </c>
      <c r="H2336" t="s">
        <v>9</v>
      </c>
      <c r="I2336" s="7">
        <v>45674</v>
      </c>
      <c r="J2336" s="8">
        <v>0.60350694444444442</v>
      </c>
      <c r="K2336" t="s">
        <v>984</v>
      </c>
      <c r="AQ2336" t="s">
        <v>1089</v>
      </c>
      <c r="AR2336" t="s">
        <v>1647</v>
      </c>
      <c r="AT2336" t="s">
        <v>987</v>
      </c>
      <c r="AZ2336" t="s">
        <v>1024</v>
      </c>
      <c r="BA2336" t="s">
        <v>1047</v>
      </c>
      <c r="BB2336" t="s">
        <v>1048</v>
      </c>
      <c r="BD2336" t="s">
        <v>1014</v>
      </c>
      <c r="BE2336" t="s">
        <v>599</v>
      </c>
    </row>
    <row r="2337" spans="1:57" ht="13" x14ac:dyDescent="0.15">
      <c r="A2337">
        <v>1839</v>
      </c>
      <c r="B2337">
        <v>276180131</v>
      </c>
      <c r="C2337" t="s">
        <v>599</v>
      </c>
      <c r="D2337" s="7">
        <v>45414</v>
      </c>
      <c r="E2337" s="7">
        <v>45691</v>
      </c>
      <c r="F2337">
        <v>330862</v>
      </c>
      <c r="G2337" t="s">
        <v>983</v>
      </c>
      <c r="H2337" t="s">
        <v>9</v>
      </c>
      <c r="I2337" s="7">
        <v>45676</v>
      </c>
      <c r="J2337" s="8">
        <v>0.97042824074074074</v>
      </c>
      <c r="K2337" t="s">
        <v>984</v>
      </c>
      <c r="AQ2337" t="s">
        <v>1089</v>
      </c>
      <c r="AR2337" t="s">
        <v>2004</v>
      </c>
      <c r="AT2337" t="s">
        <v>987</v>
      </c>
      <c r="AZ2337" t="s">
        <v>1044</v>
      </c>
      <c r="BA2337" t="s">
        <v>1045</v>
      </c>
      <c r="BB2337" t="s">
        <v>990</v>
      </c>
      <c r="BD2337" t="s">
        <v>991</v>
      </c>
      <c r="BE2337" t="s">
        <v>599</v>
      </c>
    </row>
    <row r="2338" spans="1:57" ht="13" x14ac:dyDescent="0.15">
      <c r="A2338">
        <v>1839</v>
      </c>
      <c r="B2338">
        <v>276180294</v>
      </c>
      <c r="C2338" t="s">
        <v>600</v>
      </c>
      <c r="D2338" s="7">
        <v>45414</v>
      </c>
      <c r="E2338" s="7">
        <v>45693</v>
      </c>
      <c r="F2338">
        <v>330862</v>
      </c>
      <c r="G2338" t="s">
        <v>983</v>
      </c>
      <c r="H2338" t="s">
        <v>9</v>
      </c>
      <c r="I2338" s="7">
        <v>45691</v>
      </c>
      <c r="J2338" s="8">
        <v>0.67521990740740745</v>
      </c>
      <c r="K2338" t="s">
        <v>984</v>
      </c>
      <c r="AQ2338" t="s">
        <v>998</v>
      </c>
      <c r="AR2338" t="s">
        <v>1269</v>
      </c>
      <c r="AT2338" t="s">
        <v>987</v>
      </c>
      <c r="AZ2338" t="s">
        <v>1011</v>
      </c>
      <c r="BA2338" t="s">
        <v>1012</v>
      </c>
      <c r="BB2338" t="s">
        <v>1013</v>
      </c>
      <c r="BD2338" t="s">
        <v>1014</v>
      </c>
      <c r="BE2338" t="s">
        <v>600</v>
      </c>
    </row>
    <row r="2339" spans="1:57" ht="13" x14ac:dyDescent="0.15">
      <c r="A2339">
        <v>1839</v>
      </c>
      <c r="B2339">
        <v>276351131</v>
      </c>
      <c r="C2339" t="s">
        <v>2005</v>
      </c>
      <c r="D2339" s="7">
        <v>45419</v>
      </c>
      <c r="E2339" s="7">
        <v>45692</v>
      </c>
      <c r="F2339">
        <v>330862</v>
      </c>
      <c r="G2339" t="s">
        <v>983</v>
      </c>
      <c r="H2339" t="s">
        <v>9</v>
      </c>
      <c r="I2339" s="7">
        <v>45636</v>
      </c>
      <c r="J2339" s="8">
        <v>0.50589120370370366</v>
      </c>
      <c r="K2339" t="s">
        <v>984</v>
      </c>
      <c r="AQ2339" t="s">
        <v>985</v>
      </c>
      <c r="AR2339" t="s">
        <v>1096</v>
      </c>
      <c r="AT2339" t="s">
        <v>987</v>
      </c>
      <c r="AZ2339" t="s">
        <v>1011</v>
      </c>
      <c r="BA2339" t="s">
        <v>1031</v>
      </c>
      <c r="BB2339" t="s">
        <v>1032</v>
      </c>
      <c r="BD2339" t="s">
        <v>1005</v>
      </c>
      <c r="BE2339" t="s">
        <v>2005</v>
      </c>
    </row>
    <row r="2340" spans="1:57" ht="13" x14ac:dyDescent="0.15">
      <c r="A2340">
        <v>1839</v>
      </c>
      <c r="B2340">
        <v>276713496</v>
      </c>
      <c r="C2340" t="s">
        <v>601</v>
      </c>
      <c r="D2340" s="7">
        <v>45428</v>
      </c>
      <c r="E2340" s="7">
        <v>45709</v>
      </c>
      <c r="F2340">
        <v>330862</v>
      </c>
      <c r="G2340" t="s">
        <v>983</v>
      </c>
      <c r="H2340" t="s">
        <v>9</v>
      </c>
      <c r="I2340" s="7">
        <v>45691</v>
      </c>
      <c r="J2340" s="8">
        <v>0.63509259259259254</v>
      </c>
      <c r="K2340" t="s">
        <v>984</v>
      </c>
      <c r="AQ2340" t="s">
        <v>1089</v>
      </c>
      <c r="AR2340" t="s">
        <v>994</v>
      </c>
      <c r="AT2340" t="s">
        <v>987</v>
      </c>
      <c r="AZ2340" t="s">
        <v>1011</v>
      </c>
      <c r="BA2340" t="s">
        <v>1012</v>
      </c>
      <c r="BB2340" t="s">
        <v>1013</v>
      </c>
      <c r="BD2340" t="s">
        <v>1014</v>
      </c>
      <c r="BE2340" t="s">
        <v>601</v>
      </c>
    </row>
    <row r="2341" spans="1:57" ht="13" x14ac:dyDescent="0.15">
      <c r="A2341">
        <v>1839</v>
      </c>
      <c r="B2341">
        <v>276713496</v>
      </c>
      <c r="C2341" t="s">
        <v>601</v>
      </c>
      <c r="D2341" s="7">
        <v>45428</v>
      </c>
      <c r="E2341" s="7">
        <v>45709</v>
      </c>
      <c r="F2341">
        <v>330862</v>
      </c>
      <c r="G2341" t="s">
        <v>983</v>
      </c>
      <c r="H2341" t="s">
        <v>9</v>
      </c>
      <c r="I2341" s="7">
        <v>45685</v>
      </c>
      <c r="J2341" s="8">
        <v>0.8696990740740741</v>
      </c>
      <c r="K2341" t="s">
        <v>984</v>
      </c>
      <c r="AQ2341" t="s">
        <v>1089</v>
      </c>
      <c r="AR2341" t="s">
        <v>1114</v>
      </c>
      <c r="AT2341" t="s">
        <v>987</v>
      </c>
      <c r="AZ2341" t="s">
        <v>1011</v>
      </c>
      <c r="BA2341" t="s">
        <v>1012</v>
      </c>
      <c r="BB2341" t="s">
        <v>1013</v>
      </c>
      <c r="BD2341" t="s">
        <v>1014</v>
      </c>
      <c r="BE2341" t="s">
        <v>601</v>
      </c>
    </row>
    <row r="2342" spans="1:57" ht="13" x14ac:dyDescent="0.15">
      <c r="A2342">
        <v>1839</v>
      </c>
      <c r="B2342">
        <v>276757412</v>
      </c>
      <c r="C2342" t="s">
        <v>602</v>
      </c>
      <c r="D2342" s="7">
        <v>45430</v>
      </c>
      <c r="E2342" s="7">
        <v>45686</v>
      </c>
      <c r="F2342">
        <v>330862</v>
      </c>
      <c r="G2342" t="s">
        <v>983</v>
      </c>
      <c r="H2342" t="s">
        <v>9</v>
      </c>
      <c r="I2342" s="7">
        <v>45686</v>
      </c>
      <c r="J2342" s="8">
        <v>0.8365393518518518</v>
      </c>
      <c r="K2342" t="s">
        <v>984</v>
      </c>
      <c r="AQ2342" t="s">
        <v>992</v>
      </c>
      <c r="AR2342" t="s">
        <v>2006</v>
      </c>
      <c r="AT2342" t="s">
        <v>987</v>
      </c>
      <c r="AZ2342" t="s">
        <v>1024</v>
      </c>
      <c r="BA2342" t="s">
        <v>1047</v>
      </c>
      <c r="BB2342" t="s">
        <v>1048</v>
      </c>
      <c r="BD2342" t="s">
        <v>1014</v>
      </c>
      <c r="BE2342" t="s">
        <v>602</v>
      </c>
    </row>
    <row r="2343" spans="1:57" ht="13" x14ac:dyDescent="0.15">
      <c r="A2343">
        <v>1839</v>
      </c>
      <c r="B2343">
        <v>276880572</v>
      </c>
      <c r="C2343" t="s">
        <v>603</v>
      </c>
      <c r="D2343" s="7">
        <v>45433</v>
      </c>
      <c r="E2343" s="7">
        <v>45696</v>
      </c>
      <c r="F2343">
        <v>330862</v>
      </c>
      <c r="G2343" t="s">
        <v>983</v>
      </c>
      <c r="H2343" t="s">
        <v>9</v>
      </c>
      <c r="I2343" s="7">
        <v>45694</v>
      </c>
      <c r="J2343" s="8">
        <v>0.96087962962962958</v>
      </c>
      <c r="K2343" t="s">
        <v>984</v>
      </c>
      <c r="AQ2343" t="s">
        <v>1251</v>
      </c>
      <c r="AR2343" t="s">
        <v>1046</v>
      </c>
      <c r="AT2343" t="s">
        <v>987</v>
      </c>
      <c r="AZ2343" t="s">
        <v>1024</v>
      </c>
      <c r="BA2343" t="s">
        <v>1047</v>
      </c>
      <c r="BB2343" t="s">
        <v>1048</v>
      </c>
      <c r="BD2343" t="s">
        <v>1014</v>
      </c>
      <c r="BE2343" t="s">
        <v>603</v>
      </c>
    </row>
    <row r="2344" spans="1:57" ht="13" x14ac:dyDescent="0.15">
      <c r="A2344">
        <v>1839</v>
      </c>
      <c r="B2344">
        <v>276880572</v>
      </c>
      <c r="C2344" t="s">
        <v>603</v>
      </c>
      <c r="D2344" s="7">
        <v>45433</v>
      </c>
      <c r="E2344" s="7">
        <v>45696</v>
      </c>
      <c r="F2344">
        <v>330862</v>
      </c>
      <c r="G2344" t="s">
        <v>983</v>
      </c>
      <c r="H2344" t="s">
        <v>9</v>
      </c>
      <c r="I2344" s="7">
        <v>45694</v>
      </c>
      <c r="J2344" s="8">
        <v>0.95998842592592593</v>
      </c>
      <c r="K2344" t="s">
        <v>984</v>
      </c>
      <c r="AQ2344" t="s">
        <v>1251</v>
      </c>
      <c r="AR2344" t="s">
        <v>1046</v>
      </c>
      <c r="AT2344" t="s">
        <v>987</v>
      </c>
      <c r="AZ2344" t="s">
        <v>1024</v>
      </c>
      <c r="BA2344" t="s">
        <v>1047</v>
      </c>
      <c r="BB2344" t="s">
        <v>1048</v>
      </c>
      <c r="BD2344" t="s">
        <v>1014</v>
      </c>
      <c r="BE2344" t="s">
        <v>603</v>
      </c>
    </row>
    <row r="2345" spans="1:57" ht="13" x14ac:dyDescent="0.15">
      <c r="A2345">
        <v>1839</v>
      </c>
      <c r="B2345">
        <v>276902753</v>
      </c>
      <c r="C2345" t="s">
        <v>604</v>
      </c>
      <c r="D2345" s="7">
        <v>45433</v>
      </c>
      <c r="E2345" s="7">
        <v>45703</v>
      </c>
      <c r="F2345">
        <v>330862</v>
      </c>
      <c r="G2345" t="s">
        <v>983</v>
      </c>
      <c r="H2345" t="s">
        <v>9</v>
      </c>
      <c r="I2345" s="7">
        <v>45673</v>
      </c>
      <c r="J2345" s="8">
        <v>0.39087962962962963</v>
      </c>
      <c r="K2345" t="s">
        <v>984</v>
      </c>
      <c r="AQ2345" t="s">
        <v>998</v>
      </c>
      <c r="AR2345" t="s">
        <v>1275</v>
      </c>
      <c r="AT2345" t="s">
        <v>987</v>
      </c>
      <c r="AZ2345" t="s">
        <v>1016</v>
      </c>
      <c r="BA2345" t="s">
        <v>1017</v>
      </c>
      <c r="BB2345" t="s">
        <v>1018</v>
      </c>
      <c r="BD2345" t="s">
        <v>991</v>
      </c>
      <c r="BE2345" t="s">
        <v>604</v>
      </c>
    </row>
    <row r="2346" spans="1:57" ht="13" x14ac:dyDescent="0.15">
      <c r="A2346">
        <v>1839</v>
      </c>
      <c r="B2346">
        <v>277210957</v>
      </c>
      <c r="C2346" t="s">
        <v>2007</v>
      </c>
      <c r="D2346" s="7">
        <v>45442</v>
      </c>
      <c r="E2346" s="7">
        <v>45713</v>
      </c>
      <c r="F2346">
        <v>330862</v>
      </c>
      <c r="G2346" t="s">
        <v>983</v>
      </c>
      <c r="H2346" t="s">
        <v>9</v>
      </c>
      <c r="I2346" s="7">
        <v>45713</v>
      </c>
      <c r="J2346" s="8">
        <v>0.52569444444444446</v>
      </c>
      <c r="K2346" t="s">
        <v>984</v>
      </c>
      <c r="AQ2346" t="s">
        <v>1089</v>
      </c>
      <c r="AR2346" t="s">
        <v>2008</v>
      </c>
      <c r="AT2346" t="s">
        <v>987</v>
      </c>
      <c r="BE2346" t="s">
        <v>2007</v>
      </c>
    </row>
    <row r="2347" spans="1:57" ht="13" x14ac:dyDescent="0.15">
      <c r="A2347">
        <v>1839</v>
      </c>
      <c r="B2347">
        <v>277210957</v>
      </c>
      <c r="C2347" t="s">
        <v>2007</v>
      </c>
      <c r="D2347" s="7">
        <v>45442</v>
      </c>
      <c r="E2347" s="7">
        <v>45713</v>
      </c>
      <c r="F2347">
        <v>330862</v>
      </c>
      <c r="G2347" t="s">
        <v>983</v>
      </c>
      <c r="H2347" t="s">
        <v>9</v>
      </c>
      <c r="I2347" s="7">
        <v>45497</v>
      </c>
      <c r="J2347" s="8">
        <v>0.30989583333333331</v>
      </c>
      <c r="K2347" t="s">
        <v>984</v>
      </c>
      <c r="AQ2347" t="s">
        <v>1556</v>
      </c>
      <c r="AR2347" t="s">
        <v>1100</v>
      </c>
      <c r="AT2347" t="s">
        <v>987</v>
      </c>
      <c r="BE2347" t="s">
        <v>2007</v>
      </c>
    </row>
    <row r="2348" spans="1:57" ht="13" x14ac:dyDescent="0.15">
      <c r="A2348">
        <v>1839</v>
      </c>
      <c r="B2348">
        <v>277210957</v>
      </c>
      <c r="C2348" t="s">
        <v>2007</v>
      </c>
      <c r="D2348" s="7">
        <v>45442</v>
      </c>
      <c r="E2348" s="7">
        <v>45713</v>
      </c>
      <c r="F2348">
        <v>330862</v>
      </c>
      <c r="G2348" t="s">
        <v>983</v>
      </c>
      <c r="H2348" t="s">
        <v>9</v>
      </c>
      <c r="I2348" s="7">
        <v>45496</v>
      </c>
      <c r="J2348" s="8">
        <v>0.29037037037037039</v>
      </c>
      <c r="K2348" t="s">
        <v>984</v>
      </c>
      <c r="AQ2348" t="s">
        <v>1556</v>
      </c>
      <c r="AR2348" t="s">
        <v>1100</v>
      </c>
      <c r="AT2348" t="s">
        <v>987</v>
      </c>
      <c r="BE2348" t="s">
        <v>2007</v>
      </c>
    </row>
    <row r="2349" spans="1:57" ht="13" x14ac:dyDescent="0.15">
      <c r="A2349">
        <v>1839</v>
      </c>
      <c r="B2349">
        <v>277210957</v>
      </c>
      <c r="C2349" t="s">
        <v>2007</v>
      </c>
      <c r="D2349" s="7">
        <v>45442</v>
      </c>
      <c r="E2349" s="7">
        <v>45713</v>
      </c>
      <c r="F2349">
        <v>330862</v>
      </c>
      <c r="G2349" t="s">
        <v>983</v>
      </c>
      <c r="H2349" t="s">
        <v>9</v>
      </c>
      <c r="I2349" s="7">
        <v>45496</v>
      </c>
      <c r="J2349" s="8">
        <v>0.28865740740740742</v>
      </c>
      <c r="K2349" t="s">
        <v>984</v>
      </c>
      <c r="AQ2349" t="s">
        <v>1556</v>
      </c>
      <c r="AR2349" t="s">
        <v>1100</v>
      </c>
      <c r="AT2349" t="s">
        <v>987</v>
      </c>
      <c r="BE2349" t="s">
        <v>2007</v>
      </c>
    </row>
    <row r="2350" spans="1:57" ht="13" x14ac:dyDescent="0.15">
      <c r="A2350">
        <v>1839</v>
      </c>
      <c r="B2350">
        <v>277210957</v>
      </c>
      <c r="C2350" t="s">
        <v>2007</v>
      </c>
      <c r="D2350" s="7">
        <v>45442</v>
      </c>
      <c r="E2350" s="7">
        <v>45713</v>
      </c>
      <c r="F2350">
        <v>330862</v>
      </c>
      <c r="G2350" t="s">
        <v>983</v>
      </c>
      <c r="H2350" t="s">
        <v>9</v>
      </c>
      <c r="I2350" s="7">
        <v>45495</v>
      </c>
      <c r="J2350" s="8">
        <v>0.43221064814814814</v>
      </c>
      <c r="K2350" t="s">
        <v>984</v>
      </c>
      <c r="AQ2350" t="s">
        <v>1556</v>
      </c>
      <c r="AR2350" t="s">
        <v>1826</v>
      </c>
      <c r="AT2350" t="s">
        <v>987</v>
      </c>
      <c r="BE2350" t="s">
        <v>2007</v>
      </c>
    </row>
    <row r="2351" spans="1:57" ht="13" x14ac:dyDescent="0.15">
      <c r="A2351">
        <v>1839</v>
      </c>
      <c r="B2351">
        <v>277210957</v>
      </c>
      <c r="C2351" t="s">
        <v>2007</v>
      </c>
      <c r="D2351" s="7">
        <v>45442</v>
      </c>
      <c r="E2351" s="7">
        <v>45713</v>
      </c>
      <c r="F2351">
        <v>330862</v>
      </c>
      <c r="G2351" t="s">
        <v>983</v>
      </c>
      <c r="H2351" t="s">
        <v>9</v>
      </c>
      <c r="I2351" s="7">
        <v>45495</v>
      </c>
      <c r="J2351" s="8">
        <v>0.42966435185185187</v>
      </c>
      <c r="K2351" t="s">
        <v>984</v>
      </c>
      <c r="AQ2351" t="s">
        <v>1556</v>
      </c>
      <c r="AR2351" t="s">
        <v>1826</v>
      </c>
      <c r="AT2351" t="s">
        <v>987</v>
      </c>
      <c r="BE2351" t="s">
        <v>2007</v>
      </c>
    </row>
    <row r="2352" spans="1:57" ht="13" x14ac:dyDescent="0.15">
      <c r="A2352">
        <v>1839</v>
      </c>
      <c r="B2352">
        <v>277210957</v>
      </c>
      <c r="C2352" t="s">
        <v>2007</v>
      </c>
      <c r="D2352" s="7">
        <v>45442</v>
      </c>
      <c r="E2352" s="7">
        <v>45713</v>
      </c>
      <c r="F2352">
        <v>330862</v>
      </c>
      <c r="G2352" t="s">
        <v>983</v>
      </c>
      <c r="H2352" t="s">
        <v>9</v>
      </c>
      <c r="I2352" s="7">
        <v>45495</v>
      </c>
      <c r="J2352" s="8">
        <v>0.41916666666666669</v>
      </c>
      <c r="K2352" t="s">
        <v>984</v>
      </c>
      <c r="AQ2352" t="s">
        <v>1556</v>
      </c>
      <c r="AR2352" t="s">
        <v>1826</v>
      </c>
      <c r="AT2352" t="s">
        <v>987</v>
      </c>
      <c r="BE2352" t="s">
        <v>2007</v>
      </c>
    </row>
    <row r="2353" spans="1:57" ht="13" x14ac:dyDescent="0.15">
      <c r="A2353">
        <v>1839</v>
      </c>
      <c r="B2353">
        <v>277210957</v>
      </c>
      <c r="C2353" t="s">
        <v>2007</v>
      </c>
      <c r="D2353" s="7">
        <v>45442</v>
      </c>
      <c r="E2353" s="7">
        <v>45713</v>
      </c>
      <c r="F2353">
        <v>330862</v>
      </c>
      <c r="G2353" t="s">
        <v>983</v>
      </c>
      <c r="H2353" t="s">
        <v>9</v>
      </c>
      <c r="I2353" s="7">
        <v>45491</v>
      </c>
      <c r="J2353" s="8">
        <v>0.55611111111111111</v>
      </c>
      <c r="K2353" t="s">
        <v>984</v>
      </c>
      <c r="AQ2353" t="s">
        <v>1556</v>
      </c>
      <c r="AR2353" t="s">
        <v>2009</v>
      </c>
      <c r="AT2353" t="s">
        <v>987</v>
      </c>
      <c r="BE2353" t="s">
        <v>2007</v>
      </c>
    </row>
    <row r="2354" spans="1:57" ht="13" x14ac:dyDescent="0.15">
      <c r="A2354">
        <v>1839</v>
      </c>
      <c r="B2354">
        <v>277210957</v>
      </c>
      <c r="C2354" t="s">
        <v>2007</v>
      </c>
      <c r="D2354" s="7">
        <v>45442</v>
      </c>
      <c r="E2354" s="7">
        <v>45713</v>
      </c>
      <c r="F2354">
        <v>330862</v>
      </c>
      <c r="G2354" t="s">
        <v>983</v>
      </c>
      <c r="H2354" t="s">
        <v>9</v>
      </c>
      <c r="I2354" s="7">
        <v>45713</v>
      </c>
      <c r="J2354" s="8">
        <v>0.52621527777777777</v>
      </c>
      <c r="K2354" t="s">
        <v>984</v>
      </c>
      <c r="AQ2354" t="s">
        <v>1089</v>
      </c>
      <c r="AR2354" t="s">
        <v>2008</v>
      </c>
      <c r="AT2354" t="s">
        <v>987</v>
      </c>
      <c r="BE2354" t="s">
        <v>2007</v>
      </c>
    </row>
    <row r="2355" spans="1:57" ht="13" x14ac:dyDescent="0.15">
      <c r="A2355">
        <v>1839</v>
      </c>
      <c r="B2355">
        <v>277210957</v>
      </c>
      <c r="C2355" t="s">
        <v>2007</v>
      </c>
      <c r="D2355" s="7">
        <v>45442</v>
      </c>
      <c r="E2355" s="7">
        <v>45713</v>
      </c>
      <c r="F2355">
        <v>330862</v>
      </c>
      <c r="G2355" t="s">
        <v>983</v>
      </c>
      <c r="H2355" t="s">
        <v>9</v>
      </c>
      <c r="I2355" s="7">
        <v>45497</v>
      </c>
      <c r="J2355" s="8">
        <v>0.31061342592592595</v>
      </c>
      <c r="K2355" t="s">
        <v>984</v>
      </c>
      <c r="AQ2355" t="s">
        <v>1556</v>
      </c>
      <c r="AR2355" t="s">
        <v>1100</v>
      </c>
      <c r="AT2355" t="s">
        <v>987</v>
      </c>
      <c r="BE2355" t="s">
        <v>2007</v>
      </c>
    </row>
    <row r="2356" spans="1:57" ht="13" x14ac:dyDescent="0.15">
      <c r="A2356">
        <v>1839</v>
      </c>
      <c r="B2356">
        <v>277501453</v>
      </c>
      <c r="C2356" t="s">
        <v>605</v>
      </c>
      <c r="D2356" s="7">
        <v>45447</v>
      </c>
      <c r="E2356" s="7">
        <v>45710</v>
      </c>
      <c r="F2356">
        <v>330862</v>
      </c>
      <c r="G2356" t="s">
        <v>983</v>
      </c>
      <c r="H2356" t="s">
        <v>9</v>
      </c>
      <c r="I2356" s="7">
        <v>45636</v>
      </c>
      <c r="J2356" s="8">
        <v>0.54952546296296301</v>
      </c>
      <c r="K2356" t="s">
        <v>984</v>
      </c>
      <c r="AQ2356" t="s">
        <v>1090</v>
      </c>
      <c r="AR2356" t="s">
        <v>1208</v>
      </c>
      <c r="AT2356" t="s">
        <v>987</v>
      </c>
      <c r="AZ2356" t="s">
        <v>1011</v>
      </c>
      <c r="BA2356" t="s">
        <v>1031</v>
      </c>
      <c r="BB2356" t="s">
        <v>1032</v>
      </c>
      <c r="BD2356" t="s">
        <v>1005</v>
      </c>
      <c r="BE2356" t="s">
        <v>605</v>
      </c>
    </row>
    <row r="2357" spans="1:57" ht="13" x14ac:dyDescent="0.15">
      <c r="A2357">
        <v>1839</v>
      </c>
      <c r="B2357">
        <v>277501453</v>
      </c>
      <c r="C2357" t="s">
        <v>605</v>
      </c>
      <c r="D2357" s="7">
        <v>45447</v>
      </c>
      <c r="E2357" s="7">
        <v>45710</v>
      </c>
      <c r="F2357">
        <v>330862</v>
      </c>
      <c r="G2357" t="s">
        <v>983</v>
      </c>
      <c r="H2357" t="s">
        <v>9</v>
      </c>
      <c r="I2357" s="7">
        <v>45694</v>
      </c>
      <c r="J2357" s="8">
        <v>0.40685185185185185</v>
      </c>
      <c r="K2357" t="s">
        <v>984</v>
      </c>
      <c r="AQ2357" t="s">
        <v>1090</v>
      </c>
      <c r="AR2357" t="s">
        <v>986</v>
      </c>
      <c r="AT2357" t="s">
        <v>987</v>
      </c>
      <c r="AZ2357" t="s">
        <v>988</v>
      </c>
      <c r="BA2357" t="s">
        <v>989</v>
      </c>
      <c r="BB2357" t="s">
        <v>990</v>
      </c>
      <c r="BD2357" t="s">
        <v>991</v>
      </c>
      <c r="BE2357" t="s">
        <v>605</v>
      </c>
    </row>
    <row r="2358" spans="1:57" ht="13" x14ac:dyDescent="0.15">
      <c r="A2358">
        <v>1839</v>
      </c>
      <c r="B2358">
        <v>277501453</v>
      </c>
      <c r="C2358" t="s">
        <v>605</v>
      </c>
      <c r="D2358" s="7">
        <v>45447</v>
      </c>
      <c r="E2358" s="7">
        <v>45710</v>
      </c>
      <c r="F2358">
        <v>330862</v>
      </c>
      <c r="G2358" t="s">
        <v>983</v>
      </c>
      <c r="H2358" t="s">
        <v>9</v>
      </c>
      <c r="I2358" s="7">
        <v>45694</v>
      </c>
      <c r="J2358" s="8">
        <v>0.40734953703703702</v>
      </c>
      <c r="K2358" t="s">
        <v>984</v>
      </c>
      <c r="AQ2358" t="s">
        <v>1090</v>
      </c>
      <c r="AR2358" t="s">
        <v>986</v>
      </c>
      <c r="AT2358" t="s">
        <v>987</v>
      </c>
      <c r="AZ2358" t="s">
        <v>988</v>
      </c>
      <c r="BA2358" t="s">
        <v>989</v>
      </c>
      <c r="BB2358" t="s">
        <v>990</v>
      </c>
      <c r="BD2358" t="s">
        <v>991</v>
      </c>
      <c r="BE2358" t="s">
        <v>605</v>
      </c>
    </row>
    <row r="2359" spans="1:57" ht="13" x14ac:dyDescent="0.15">
      <c r="A2359">
        <v>1839</v>
      </c>
      <c r="B2359">
        <v>277642282</v>
      </c>
      <c r="C2359" t="s">
        <v>606</v>
      </c>
      <c r="D2359" s="7">
        <v>45452</v>
      </c>
      <c r="E2359" s="7">
        <v>45696</v>
      </c>
      <c r="F2359">
        <v>330862</v>
      </c>
      <c r="G2359" t="s">
        <v>983</v>
      </c>
      <c r="H2359" t="s">
        <v>9</v>
      </c>
      <c r="I2359" s="7">
        <v>45696</v>
      </c>
      <c r="J2359" s="8">
        <v>0.56658564814814816</v>
      </c>
      <c r="K2359" t="s">
        <v>984</v>
      </c>
      <c r="AQ2359" t="s">
        <v>1600</v>
      </c>
      <c r="AR2359" t="s">
        <v>993</v>
      </c>
      <c r="AT2359" t="s">
        <v>987</v>
      </c>
      <c r="AZ2359" t="s">
        <v>988</v>
      </c>
      <c r="BA2359" t="s">
        <v>989</v>
      </c>
      <c r="BB2359" t="s">
        <v>990</v>
      </c>
      <c r="BD2359" t="s">
        <v>991</v>
      </c>
      <c r="BE2359" t="s">
        <v>606</v>
      </c>
    </row>
    <row r="2360" spans="1:57" ht="13" x14ac:dyDescent="0.15">
      <c r="A2360">
        <v>1839</v>
      </c>
      <c r="B2360">
        <v>277642282</v>
      </c>
      <c r="C2360" t="s">
        <v>606</v>
      </c>
      <c r="D2360" s="7">
        <v>45452</v>
      </c>
      <c r="E2360" s="7">
        <v>45696</v>
      </c>
      <c r="F2360">
        <v>330862</v>
      </c>
      <c r="G2360" t="s">
        <v>983</v>
      </c>
      <c r="H2360" t="s">
        <v>9</v>
      </c>
      <c r="I2360" s="7">
        <v>45676</v>
      </c>
      <c r="J2360" s="8">
        <v>0.7333101851851852</v>
      </c>
      <c r="K2360" t="s">
        <v>984</v>
      </c>
      <c r="AQ2360" t="s">
        <v>1600</v>
      </c>
      <c r="AR2360" t="s">
        <v>1095</v>
      </c>
      <c r="AT2360" t="s">
        <v>987</v>
      </c>
      <c r="AZ2360" t="s">
        <v>1002</v>
      </c>
      <c r="BA2360" t="s">
        <v>1003</v>
      </c>
      <c r="BB2360" t="s">
        <v>1004</v>
      </c>
      <c r="BD2360" t="s">
        <v>1005</v>
      </c>
      <c r="BE2360" t="s">
        <v>606</v>
      </c>
    </row>
    <row r="2361" spans="1:57" ht="13" x14ac:dyDescent="0.15">
      <c r="A2361">
        <v>1839</v>
      </c>
      <c r="B2361">
        <v>277642282</v>
      </c>
      <c r="C2361" t="s">
        <v>606</v>
      </c>
      <c r="D2361" s="7">
        <v>45452</v>
      </c>
      <c r="E2361" s="7">
        <v>45696</v>
      </c>
      <c r="F2361">
        <v>330862</v>
      </c>
      <c r="G2361" t="s">
        <v>983</v>
      </c>
      <c r="H2361" t="s">
        <v>9</v>
      </c>
      <c r="I2361" s="7">
        <v>45676</v>
      </c>
      <c r="J2361" s="8">
        <v>0.73737268518518517</v>
      </c>
      <c r="K2361" t="s">
        <v>984</v>
      </c>
      <c r="AQ2361" t="s">
        <v>1600</v>
      </c>
      <c r="AR2361" t="s">
        <v>1105</v>
      </c>
      <c r="AT2361" t="s">
        <v>987</v>
      </c>
      <c r="AZ2361" t="s">
        <v>1044</v>
      </c>
      <c r="BA2361" t="s">
        <v>1045</v>
      </c>
      <c r="BB2361" t="s">
        <v>990</v>
      </c>
      <c r="BD2361" t="s">
        <v>991</v>
      </c>
      <c r="BE2361" t="s">
        <v>606</v>
      </c>
    </row>
    <row r="2362" spans="1:57" ht="13" x14ac:dyDescent="0.15">
      <c r="A2362">
        <v>1839</v>
      </c>
      <c r="B2362">
        <v>277642282</v>
      </c>
      <c r="C2362" t="s">
        <v>606</v>
      </c>
      <c r="D2362" s="7">
        <v>45452</v>
      </c>
      <c r="E2362" s="7">
        <v>45696</v>
      </c>
      <c r="F2362">
        <v>330862</v>
      </c>
      <c r="G2362" t="s">
        <v>983</v>
      </c>
      <c r="H2362" t="s">
        <v>9</v>
      </c>
      <c r="I2362" s="7">
        <v>45676</v>
      </c>
      <c r="J2362" s="8">
        <v>0.73600694444444448</v>
      </c>
      <c r="K2362" t="s">
        <v>984</v>
      </c>
      <c r="AQ2362" t="s">
        <v>1600</v>
      </c>
      <c r="AR2362" t="s">
        <v>1201</v>
      </c>
      <c r="AT2362" t="s">
        <v>987</v>
      </c>
      <c r="AZ2362" t="s">
        <v>1011</v>
      </c>
      <c r="BA2362" t="s">
        <v>1202</v>
      </c>
      <c r="BB2362" t="s">
        <v>1203</v>
      </c>
      <c r="BD2362" t="s">
        <v>991</v>
      </c>
      <c r="BE2362" t="s">
        <v>606</v>
      </c>
    </row>
    <row r="2363" spans="1:57" ht="13" x14ac:dyDescent="0.15">
      <c r="A2363">
        <v>1839</v>
      </c>
      <c r="B2363">
        <v>277717328</v>
      </c>
      <c r="C2363" t="s">
        <v>607</v>
      </c>
      <c r="D2363" s="7">
        <v>45454</v>
      </c>
      <c r="E2363" s="7">
        <v>45695</v>
      </c>
      <c r="F2363">
        <v>330862</v>
      </c>
      <c r="G2363" t="s">
        <v>983</v>
      </c>
      <c r="H2363" t="s">
        <v>9</v>
      </c>
      <c r="I2363" s="7">
        <v>45679</v>
      </c>
      <c r="J2363" s="8">
        <v>3.5324074074074077E-2</v>
      </c>
      <c r="K2363" t="s">
        <v>984</v>
      </c>
      <c r="AQ2363" t="s">
        <v>1089</v>
      </c>
      <c r="AR2363" t="s">
        <v>1083</v>
      </c>
      <c r="AT2363" t="s">
        <v>987</v>
      </c>
      <c r="BE2363" t="s">
        <v>607</v>
      </c>
    </row>
    <row r="2364" spans="1:57" ht="13" x14ac:dyDescent="0.15">
      <c r="A2364">
        <v>1839</v>
      </c>
      <c r="B2364">
        <v>277721360</v>
      </c>
      <c r="C2364" t="s">
        <v>2010</v>
      </c>
      <c r="D2364" s="7">
        <v>45454</v>
      </c>
      <c r="E2364" s="7">
        <v>45713</v>
      </c>
      <c r="F2364">
        <v>330862</v>
      </c>
      <c r="G2364" t="s">
        <v>983</v>
      </c>
      <c r="H2364" t="s">
        <v>9</v>
      </c>
      <c r="I2364" s="7">
        <v>45495</v>
      </c>
      <c r="J2364" s="8">
        <v>0.43167824074074074</v>
      </c>
      <c r="K2364" t="s">
        <v>984</v>
      </c>
      <c r="AQ2364" t="s">
        <v>1556</v>
      </c>
      <c r="AR2364" t="s">
        <v>1826</v>
      </c>
      <c r="AT2364" t="s">
        <v>987</v>
      </c>
      <c r="BE2364" t="s">
        <v>2010</v>
      </c>
    </row>
    <row r="2365" spans="1:57" ht="13" x14ac:dyDescent="0.15">
      <c r="A2365">
        <v>1839</v>
      </c>
      <c r="B2365">
        <v>277721360</v>
      </c>
      <c r="C2365" t="s">
        <v>2010</v>
      </c>
      <c r="D2365" s="7">
        <v>45454</v>
      </c>
      <c r="E2365" s="7">
        <v>45713</v>
      </c>
      <c r="F2365">
        <v>330862</v>
      </c>
      <c r="G2365" t="s">
        <v>983</v>
      </c>
      <c r="H2365" t="s">
        <v>9</v>
      </c>
      <c r="I2365" s="7">
        <v>45713</v>
      </c>
      <c r="J2365" s="8">
        <v>0.52541666666666664</v>
      </c>
      <c r="K2365" t="s">
        <v>984</v>
      </c>
      <c r="AQ2365" t="s">
        <v>1089</v>
      </c>
      <c r="AR2365" t="s">
        <v>2011</v>
      </c>
      <c r="AT2365" t="s">
        <v>987</v>
      </c>
      <c r="BE2365" t="s">
        <v>2010</v>
      </c>
    </row>
    <row r="2366" spans="1:57" ht="13" x14ac:dyDescent="0.15">
      <c r="A2366">
        <v>1839</v>
      </c>
      <c r="B2366">
        <v>277779457</v>
      </c>
      <c r="C2366" t="s">
        <v>608</v>
      </c>
      <c r="D2366" s="7">
        <v>45455</v>
      </c>
      <c r="E2366" s="7">
        <v>45700</v>
      </c>
      <c r="F2366">
        <v>330862</v>
      </c>
      <c r="G2366" t="s">
        <v>983</v>
      </c>
      <c r="H2366" t="s">
        <v>9</v>
      </c>
      <c r="I2366" s="7">
        <v>45700</v>
      </c>
      <c r="J2366" s="8">
        <v>0.95331018518518518</v>
      </c>
      <c r="K2366" t="s">
        <v>984</v>
      </c>
      <c r="AQ2366" t="s">
        <v>998</v>
      </c>
      <c r="AR2366" t="s">
        <v>1269</v>
      </c>
      <c r="AT2366" t="s">
        <v>987</v>
      </c>
      <c r="AZ2366" t="s">
        <v>1011</v>
      </c>
      <c r="BA2366" t="s">
        <v>1012</v>
      </c>
      <c r="BB2366" t="s">
        <v>1013</v>
      </c>
      <c r="BD2366" t="s">
        <v>1014</v>
      </c>
      <c r="BE2366" t="s">
        <v>608</v>
      </c>
    </row>
    <row r="2367" spans="1:57" ht="13" x14ac:dyDescent="0.15">
      <c r="A2367">
        <v>1839</v>
      </c>
      <c r="B2367">
        <v>277856377</v>
      </c>
      <c r="C2367" t="s">
        <v>609</v>
      </c>
      <c r="D2367" s="7">
        <v>45457</v>
      </c>
      <c r="E2367" s="7">
        <v>45702</v>
      </c>
      <c r="F2367">
        <v>330862</v>
      </c>
      <c r="G2367" t="s">
        <v>983</v>
      </c>
      <c r="H2367" t="s">
        <v>9</v>
      </c>
      <c r="I2367" s="7">
        <v>45702</v>
      </c>
      <c r="J2367" s="8">
        <v>0.69223379629629633</v>
      </c>
      <c r="K2367" t="s">
        <v>984</v>
      </c>
      <c r="AQ2367" t="s">
        <v>992</v>
      </c>
      <c r="AR2367" t="s">
        <v>1207</v>
      </c>
      <c r="AT2367" t="s">
        <v>987</v>
      </c>
      <c r="AZ2367" t="s">
        <v>988</v>
      </c>
      <c r="BA2367" t="s">
        <v>989</v>
      </c>
      <c r="BB2367" t="s">
        <v>990</v>
      </c>
      <c r="BD2367" t="s">
        <v>991</v>
      </c>
      <c r="BE2367" t="s">
        <v>609</v>
      </c>
    </row>
    <row r="2368" spans="1:57" ht="13" x14ac:dyDescent="0.15">
      <c r="A2368">
        <v>1839</v>
      </c>
      <c r="B2368">
        <v>277856377</v>
      </c>
      <c r="C2368" t="s">
        <v>609</v>
      </c>
      <c r="D2368" s="7">
        <v>45457</v>
      </c>
      <c r="E2368" s="7">
        <v>45702</v>
      </c>
      <c r="F2368">
        <v>330862</v>
      </c>
      <c r="G2368" t="s">
        <v>983</v>
      </c>
      <c r="H2368" t="s">
        <v>9</v>
      </c>
      <c r="I2368" s="7">
        <v>45695</v>
      </c>
      <c r="J2368" s="8">
        <v>0.54722222222222228</v>
      </c>
      <c r="K2368" t="s">
        <v>984</v>
      </c>
      <c r="AQ2368" t="s">
        <v>992</v>
      </c>
      <c r="AR2368" t="s">
        <v>986</v>
      </c>
      <c r="AT2368" t="s">
        <v>987</v>
      </c>
      <c r="AZ2368" t="s">
        <v>988</v>
      </c>
      <c r="BA2368" t="s">
        <v>989</v>
      </c>
      <c r="BB2368" t="s">
        <v>990</v>
      </c>
      <c r="BD2368" t="s">
        <v>991</v>
      </c>
      <c r="BE2368" t="s">
        <v>609</v>
      </c>
    </row>
    <row r="2369" spans="1:57" ht="13" x14ac:dyDescent="0.15">
      <c r="A2369">
        <v>1839</v>
      </c>
      <c r="B2369">
        <v>278450157</v>
      </c>
      <c r="C2369" t="s">
        <v>610</v>
      </c>
      <c r="D2369" s="7">
        <v>45474</v>
      </c>
      <c r="E2369" s="7">
        <v>45701</v>
      </c>
      <c r="F2369">
        <v>330862</v>
      </c>
      <c r="G2369" t="s">
        <v>983</v>
      </c>
      <c r="H2369" t="s">
        <v>9</v>
      </c>
      <c r="I2369" s="7">
        <v>45701</v>
      </c>
      <c r="J2369" s="8">
        <v>0.75327546296296299</v>
      </c>
      <c r="K2369" t="s">
        <v>984</v>
      </c>
      <c r="AQ2369" t="s">
        <v>1090</v>
      </c>
      <c r="AR2369" t="s">
        <v>1207</v>
      </c>
      <c r="AT2369" t="s">
        <v>987</v>
      </c>
      <c r="AZ2369" t="s">
        <v>988</v>
      </c>
      <c r="BA2369" t="s">
        <v>989</v>
      </c>
      <c r="BB2369" t="s">
        <v>990</v>
      </c>
      <c r="BD2369" t="s">
        <v>991</v>
      </c>
      <c r="BE2369" t="s">
        <v>610</v>
      </c>
    </row>
    <row r="2370" spans="1:57" ht="13" x14ac:dyDescent="0.15">
      <c r="A2370">
        <v>1839</v>
      </c>
      <c r="B2370">
        <v>279024728</v>
      </c>
      <c r="C2370" t="s">
        <v>611</v>
      </c>
      <c r="D2370" s="7">
        <v>45491</v>
      </c>
      <c r="E2370" s="7">
        <v>45697</v>
      </c>
      <c r="F2370">
        <v>330862</v>
      </c>
      <c r="G2370" t="s">
        <v>983</v>
      </c>
      <c r="H2370" t="s">
        <v>9</v>
      </c>
      <c r="I2370" s="7">
        <v>45697</v>
      </c>
      <c r="J2370" s="8">
        <v>0.74550925925925926</v>
      </c>
      <c r="K2370" t="s">
        <v>984</v>
      </c>
      <c r="AQ2370" t="s">
        <v>1089</v>
      </c>
      <c r="AR2370" t="s">
        <v>993</v>
      </c>
      <c r="AT2370" t="s">
        <v>987</v>
      </c>
      <c r="AZ2370" t="s">
        <v>988</v>
      </c>
      <c r="BA2370" t="s">
        <v>989</v>
      </c>
      <c r="BB2370" t="s">
        <v>990</v>
      </c>
      <c r="BD2370" t="s">
        <v>991</v>
      </c>
      <c r="BE2370" t="s">
        <v>611</v>
      </c>
    </row>
    <row r="2371" spans="1:57" ht="13" x14ac:dyDescent="0.15">
      <c r="A2371">
        <v>1839</v>
      </c>
      <c r="B2371">
        <v>279156421</v>
      </c>
      <c r="C2371" t="s">
        <v>2012</v>
      </c>
      <c r="D2371" s="7">
        <v>45496</v>
      </c>
      <c r="E2371" s="7">
        <v>45574</v>
      </c>
      <c r="F2371">
        <v>330862</v>
      </c>
      <c r="G2371" t="s">
        <v>983</v>
      </c>
      <c r="H2371" t="s">
        <v>9</v>
      </c>
      <c r="I2371" s="7">
        <v>45496</v>
      </c>
      <c r="J2371" s="8">
        <v>0.42598379629629629</v>
      </c>
      <c r="K2371" t="s">
        <v>984</v>
      </c>
      <c r="AQ2371" t="s">
        <v>1556</v>
      </c>
      <c r="AR2371" t="s">
        <v>1100</v>
      </c>
      <c r="AT2371" t="s">
        <v>987</v>
      </c>
      <c r="BE2371" t="s">
        <v>2012</v>
      </c>
    </row>
    <row r="2372" spans="1:57" ht="13" x14ac:dyDescent="0.15">
      <c r="A2372">
        <v>1839</v>
      </c>
      <c r="B2372">
        <v>279190366</v>
      </c>
      <c r="C2372" t="s">
        <v>612</v>
      </c>
      <c r="D2372" s="7">
        <v>45497</v>
      </c>
      <c r="E2372" s="7">
        <v>45700</v>
      </c>
      <c r="F2372">
        <v>330862</v>
      </c>
      <c r="G2372" t="s">
        <v>983</v>
      </c>
      <c r="H2372" t="s">
        <v>9</v>
      </c>
      <c r="I2372" s="7">
        <v>45700</v>
      </c>
      <c r="J2372" s="8">
        <v>0.820775462962963</v>
      </c>
      <c r="K2372" t="s">
        <v>984</v>
      </c>
      <c r="AQ2372" t="s">
        <v>992</v>
      </c>
      <c r="AR2372" t="s">
        <v>1343</v>
      </c>
      <c r="AT2372" t="s">
        <v>987</v>
      </c>
      <c r="AZ2372" t="s">
        <v>1016</v>
      </c>
      <c r="BA2372" t="s">
        <v>1017</v>
      </c>
      <c r="BB2372" t="s">
        <v>1018</v>
      </c>
      <c r="BD2372" t="s">
        <v>991</v>
      </c>
      <c r="BE2372" t="s">
        <v>612</v>
      </c>
    </row>
    <row r="2373" spans="1:57" ht="13" x14ac:dyDescent="0.15">
      <c r="A2373">
        <v>1839</v>
      </c>
      <c r="B2373">
        <v>279190366</v>
      </c>
      <c r="C2373" t="s">
        <v>612</v>
      </c>
      <c r="D2373" s="7">
        <v>45497</v>
      </c>
      <c r="E2373" s="7">
        <v>45700</v>
      </c>
      <c r="F2373">
        <v>330862</v>
      </c>
      <c r="G2373" t="s">
        <v>983</v>
      </c>
      <c r="H2373" t="s">
        <v>9</v>
      </c>
      <c r="I2373" s="7">
        <v>45683</v>
      </c>
      <c r="J2373" s="8">
        <v>0.55319444444444443</v>
      </c>
      <c r="K2373" t="s">
        <v>984</v>
      </c>
      <c r="AQ2373" t="s">
        <v>992</v>
      </c>
      <c r="AR2373" t="s">
        <v>1646</v>
      </c>
      <c r="AT2373" t="s">
        <v>987</v>
      </c>
      <c r="AZ2373" t="s">
        <v>1011</v>
      </c>
      <c r="BA2373" t="s">
        <v>1012</v>
      </c>
      <c r="BB2373" t="s">
        <v>1013</v>
      </c>
      <c r="BD2373" t="s">
        <v>1014</v>
      </c>
      <c r="BE2373" t="s">
        <v>612</v>
      </c>
    </row>
    <row r="2374" spans="1:57" ht="13" x14ac:dyDescent="0.15">
      <c r="A2374">
        <v>1839</v>
      </c>
      <c r="B2374">
        <v>279190366</v>
      </c>
      <c r="C2374" t="s">
        <v>612</v>
      </c>
      <c r="D2374" s="7">
        <v>45497</v>
      </c>
      <c r="E2374" s="7">
        <v>45700</v>
      </c>
      <c r="F2374">
        <v>330862</v>
      </c>
      <c r="G2374" t="s">
        <v>983</v>
      </c>
      <c r="H2374" t="s">
        <v>9</v>
      </c>
      <c r="I2374" s="7">
        <v>45683</v>
      </c>
      <c r="J2374" s="8">
        <v>0.55511574074074077</v>
      </c>
      <c r="K2374" t="s">
        <v>984</v>
      </c>
      <c r="AQ2374" t="s">
        <v>992</v>
      </c>
      <c r="AR2374" t="s">
        <v>2013</v>
      </c>
      <c r="AT2374" t="s">
        <v>987</v>
      </c>
      <c r="AZ2374" t="s">
        <v>1016</v>
      </c>
      <c r="BA2374" t="s">
        <v>1017</v>
      </c>
      <c r="BB2374" t="s">
        <v>1018</v>
      </c>
      <c r="BD2374" t="s">
        <v>991</v>
      </c>
      <c r="BE2374" t="s">
        <v>612</v>
      </c>
    </row>
    <row r="2375" spans="1:57" ht="13" x14ac:dyDescent="0.15">
      <c r="A2375">
        <v>1839</v>
      </c>
      <c r="B2375">
        <v>279218940</v>
      </c>
      <c r="C2375" t="s">
        <v>2014</v>
      </c>
      <c r="D2375" s="7">
        <v>45498</v>
      </c>
      <c r="E2375" s="7">
        <v>45695</v>
      </c>
      <c r="F2375">
        <v>336444</v>
      </c>
      <c r="G2375" t="s">
        <v>995</v>
      </c>
      <c r="H2375" t="s">
        <v>12</v>
      </c>
      <c r="I2375" s="7">
        <v>45643</v>
      </c>
      <c r="J2375" s="8">
        <v>0.76773148148148151</v>
      </c>
      <c r="K2375" t="s">
        <v>984</v>
      </c>
      <c r="AQ2375" t="s">
        <v>996</v>
      </c>
      <c r="BE2375" t="s">
        <v>2014</v>
      </c>
    </row>
    <row r="2376" spans="1:57" ht="13" x14ac:dyDescent="0.15">
      <c r="A2376">
        <v>1839</v>
      </c>
      <c r="B2376">
        <v>279256437</v>
      </c>
      <c r="C2376" t="s">
        <v>613</v>
      </c>
      <c r="D2376" s="7">
        <v>45499</v>
      </c>
      <c r="E2376" s="7">
        <v>45696</v>
      </c>
      <c r="F2376">
        <v>330862</v>
      </c>
      <c r="G2376" t="s">
        <v>983</v>
      </c>
      <c r="H2376" t="s">
        <v>9</v>
      </c>
      <c r="I2376" s="7">
        <v>45696</v>
      </c>
      <c r="J2376" s="8">
        <v>0.78195601851851848</v>
      </c>
      <c r="K2376" t="s">
        <v>984</v>
      </c>
      <c r="AQ2376" t="s">
        <v>998</v>
      </c>
      <c r="AR2376" t="s">
        <v>1046</v>
      </c>
      <c r="AT2376" t="s">
        <v>987</v>
      </c>
      <c r="AZ2376" t="s">
        <v>1024</v>
      </c>
      <c r="BA2376" t="s">
        <v>1047</v>
      </c>
      <c r="BB2376" t="s">
        <v>1048</v>
      </c>
      <c r="BD2376" t="s">
        <v>1014</v>
      </c>
      <c r="BE2376" t="s">
        <v>613</v>
      </c>
    </row>
    <row r="2377" spans="1:57" ht="13" x14ac:dyDescent="0.15">
      <c r="A2377">
        <v>1839</v>
      </c>
      <c r="B2377">
        <v>280840488</v>
      </c>
      <c r="C2377" t="s">
        <v>614</v>
      </c>
      <c r="D2377" s="7">
        <v>45502</v>
      </c>
      <c r="E2377" s="7">
        <v>45713</v>
      </c>
      <c r="F2377">
        <v>330862</v>
      </c>
      <c r="G2377" t="s">
        <v>983</v>
      </c>
      <c r="H2377" t="s">
        <v>9</v>
      </c>
      <c r="I2377" s="7">
        <v>45691</v>
      </c>
      <c r="J2377" s="8">
        <v>0.50673611111111116</v>
      </c>
      <c r="K2377" t="s">
        <v>984</v>
      </c>
      <c r="AQ2377" t="s">
        <v>1090</v>
      </c>
      <c r="AR2377" t="s">
        <v>994</v>
      </c>
      <c r="AT2377" t="s">
        <v>987</v>
      </c>
      <c r="AZ2377" t="s">
        <v>1011</v>
      </c>
      <c r="BA2377" t="s">
        <v>1012</v>
      </c>
      <c r="BB2377" t="s">
        <v>1013</v>
      </c>
      <c r="BD2377" t="s">
        <v>1014</v>
      </c>
      <c r="BE2377" t="s">
        <v>614</v>
      </c>
    </row>
    <row r="2378" spans="1:57" ht="13" x14ac:dyDescent="0.15">
      <c r="A2378">
        <v>1839</v>
      </c>
      <c r="B2378">
        <v>280913203</v>
      </c>
      <c r="C2378" t="s">
        <v>615</v>
      </c>
      <c r="D2378" s="7">
        <v>45503</v>
      </c>
      <c r="E2378" s="7">
        <v>45692</v>
      </c>
      <c r="F2378">
        <v>330862</v>
      </c>
      <c r="G2378" t="s">
        <v>983</v>
      </c>
      <c r="H2378" t="s">
        <v>9</v>
      </c>
      <c r="I2378" s="7">
        <v>45680</v>
      </c>
      <c r="J2378" s="8">
        <v>0.96245370370370376</v>
      </c>
      <c r="K2378" t="s">
        <v>984</v>
      </c>
      <c r="AQ2378" t="s">
        <v>998</v>
      </c>
      <c r="AR2378" t="s">
        <v>1680</v>
      </c>
      <c r="AT2378" t="s">
        <v>987</v>
      </c>
      <c r="AZ2378" t="s">
        <v>1011</v>
      </c>
      <c r="BA2378" t="s">
        <v>1012</v>
      </c>
      <c r="BB2378" t="s">
        <v>1013</v>
      </c>
      <c r="BD2378" t="s">
        <v>1014</v>
      </c>
      <c r="BE2378" t="s">
        <v>615</v>
      </c>
    </row>
    <row r="2379" spans="1:57" ht="13" x14ac:dyDescent="0.15">
      <c r="A2379">
        <v>1839</v>
      </c>
      <c r="B2379">
        <v>280964679</v>
      </c>
      <c r="C2379" t="s">
        <v>616</v>
      </c>
      <c r="D2379" s="7">
        <v>45503</v>
      </c>
      <c r="E2379" s="7">
        <v>45710</v>
      </c>
      <c r="F2379">
        <v>330862</v>
      </c>
      <c r="G2379" t="s">
        <v>983</v>
      </c>
      <c r="H2379" t="s">
        <v>9</v>
      </c>
      <c r="I2379" s="7">
        <v>45686</v>
      </c>
      <c r="J2379" s="8">
        <v>0.65406249999999999</v>
      </c>
      <c r="K2379" t="s">
        <v>984</v>
      </c>
      <c r="AQ2379" t="s">
        <v>992</v>
      </c>
      <c r="AR2379" t="s">
        <v>1114</v>
      </c>
      <c r="AT2379" t="s">
        <v>987</v>
      </c>
      <c r="AZ2379" t="s">
        <v>1011</v>
      </c>
      <c r="BA2379" t="s">
        <v>1012</v>
      </c>
      <c r="BB2379" t="s">
        <v>1013</v>
      </c>
      <c r="BD2379" t="s">
        <v>1014</v>
      </c>
      <c r="BE2379" t="s">
        <v>616</v>
      </c>
    </row>
    <row r="2380" spans="1:57" ht="13" x14ac:dyDescent="0.15">
      <c r="A2380">
        <v>1839</v>
      </c>
      <c r="B2380">
        <v>281267381</v>
      </c>
      <c r="C2380" t="s">
        <v>617</v>
      </c>
      <c r="D2380" s="7">
        <v>45509</v>
      </c>
      <c r="E2380" s="7">
        <v>45680</v>
      </c>
      <c r="F2380">
        <v>330862</v>
      </c>
      <c r="G2380" t="s">
        <v>983</v>
      </c>
      <c r="H2380" t="s">
        <v>9</v>
      </c>
      <c r="I2380" s="7">
        <v>45673</v>
      </c>
      <c r="J2380" s="8">
        <v>0.39915509259259258</v>
      </c>
      <c r="K2380" t="s">
        <v>984</v>
      </c>
      <c r="AQ2380" t="s">
        <v>1251</v>
      </c>
      <c r="AR2380" t="s">
        <v>2015</v>
      </c>
      <c r="AT2380" t="s">
        <v>987</v>
      </c>
      <c r="AZ2380" t="s">
        <v>1016</v>
      </c>
      <c r="BA2380" t="s">
        <v>1017</v>
      </c>
      <c r="BB2380" t="s">
        <v>1018</v>
      </c>
      <c r="BD2380" t="s">
        <v>991</v>
      </c>
      <c r="BE2380" t="s">
        <v>617</v>
      </c>
    </row>
    <row r="2381" spans="1:57" ht="13" x14ac:dyDescent="0.15">
      <c r="A2381">
        <v>1839</v>
      </c>
      <c r="B2381">
        <v>281607345</v>
      </c>
      <c r="C2381" t="s">
        <v>618</v>
      </c>
      <c r="D2381" s="7">
        <v>45509</v>
      </c>
      <c r="E2381" s="7">
        <v>45703</v>
      </c>
      <c r="F2381">
        <v>330862</v>
      </c>
      <c r="G2381" t="s">
        <v>983</v>
      </c>
      <c r="H2381" t="s">
        <v>9</v>
      </c>
      <c r="I2381" s="7">
        <v>45694</v>
      </c>
      <c r="J2381" s="8">
        <v>0.43939814814814815</v>
      </c>
      <c r="K2381" t="s">
        <v>984</v>
      </c>
      <c r="AQ2381" t="s">
        <v>1110</v>
      </c>
      <c r="AR2381" t="s">
        <v>986</v>
      </c>
      <c r="AT2381" t="s">
        <v>987</v>
      </c>
      <c r="AZ2381" t="s">
        <v>988</v>
      </c>
      <c r="BA2381" t="s">
        <v>989</v>
      </c>
      <c r="BB2381" t="s">
        <v>990</v>
      </c>
      <c r="BD2381" t="s">
        <v>991</v>
      </c>
      <c r="BE2381" t="s">
        <v>618</v>
      </c>
    </row>
    <row r="2382" spans="1:57" ht="13" x14ac:dyDescent="0.15">
      <c r="A2382">
        <v>1839</v>
      </c>
      <c r="B2382">
        <v>282035070</v>
      </c>
      <c r="C2382" t="s">
        <v>619</v>
      </c>
      <c r="D2382" s="7">
        <v>45520</v>
      </c>
      <c r="E2382" s="7">
        <v>45711</v>
      </c>
      <c r="F2382">
        <v>330862</v>
      </c>
      <c r="G2382" t="s">
        <v>983</v>
      </c>
      <c r="H2382" t="s">
        <v>9</v>
      </c>
      <c r="I2382" s="7">
        <v>45685</v>
      </c>
      <c r="J2382" s="8">
        <v>0.11535879629629629</v>
      </c>
      <c r="K2382" t="s">
        <v>984</v>
      </c>
      <c r="AQ2382" t="s">
        <v>992</v>
      </c>
      <c r="AR2382" t="s">
        <v>2016</v>
      </c>
      <c r="AT2382" t="s">
        <v>987</v>
      </c>
      <c r="AZ2382" t="s">
        <v>1062</v>
      </c>
      <c r="BA2382" t="s">
        <v>1297</v>
      </c>
      <c r="BB2382" t="s">
        <v>1048</v>
      </c>
      <c r="BD2382" t="s">
        <v>991</v>
      </c>
      <c r="BE2382" t="s">
        <v>619</v>
      </c>
    </row>
    <row r="2383" spans="1:57" ht="13" x14ac:dyDescent="0.15">
      <c r="A2383">
        <v>1839</v>
      </c>
      <c r="B2383">
        <v>282035070</v>
      </c>
      <c r="C2383" t="s">
        <v>619</v>
      </c>
      <c r="D2383" s="7">
        <v>45520</v>
      </c>
      <c r="E2383" s="7">
        <v>45711</v>
      </c>
      <c r="F2383">
        <v>330862</v>
      </c>
      <c r="G2383" t="s">
        <v>983</v>
      </c>
      <c r="H2383" t="s">
        <v>9</v>
      </c>
      <c r="I2383" s="7">
        <v>45637</v>
      </c>
      <c r="J2383" s="8">
        <v>0.68587962962962967</v>
      </c>
      <c r="K2383" t="s">
        <v>984</v>
      </c>
      <c r="AQ2383" t="s">
        <v>992</v>
      </c>
      <c r="AR2383" t="s">
        <v>2017</v>
      </c>
      <c r="AT2383" t="s">
        <v>987</v>
      </c>
      <c r="AZ2383" t="s">
        <v>1011</v>
      </c>
      <c r="BA2383" t="s">
        <v>1031</v>
      </c>
      <c r="BB2383" t="s">
        <v>1032</v>
      </c>
      <c r="BD2383" t="s">
        <v>1005</v>
      </c>
      <c r="BE2383" t="s">
        <v>619</v>
      </c>
    </row>
    <row r="2384" spans="1:57" ht="13" x14ac:dyDescent="0.15">
      <c r="A2384">
        <v>1839</v>
      </c>
      <c r="B2384">
        <v>282035070</v>
      </c>
      <c r="C2384" t="s">
        <v>619</v>
      </c>
      <c r="D2384" s="7">
        <v>45520</v>
      </c>
      <c r="E2384" s="7">
        <v>45711</v>
      </c>
      <c r="F2384">
        <v>330862</v>
      </c>
      <c r="G2384" t="s">
        <v>983</v>
      </c>
      <c r="H2384" t="s">
        <v>9</v>
      </c>
      <c r="I2384" s="7">
        <v>45663</v>
      </c>
      <c r="J2384" s="8">
        <v>0.23575231481481482</v>
      </c>
      <c r="K2384" t="s">
        <v>984</v>
      </c>
      <c r="AQ2384" t="s">
        <v>992</v>
      </c>
      <c r="AR2384" t="s">
        <v>2018</v>
      </c>
      <c r="AT2384" t="s">
        <v>987</v>
      </c>
      <c r="AZ2384" t="s">
        <v>1002</v>
      </c>
      <c r="BA2384" t="s">
        <v>1003</v>
      </c>
      <c r="BB2384" t="s">
        <v>1004</v>
      </c>
      <c r="BD2384" t="s">
        <v>1005</v>
      </c>
      <c r="BE2384" t="s">
        <v>619</v>
      </c>
    </row>
    <row r="2385" spans="1:57" ht="13" x14ac:dyDescent="0.15">
      <c r="A2385">
        <v>1839</v>
      </c>
      <c r="B2385">
        <v>282035070</v>
      </c>
      <c r="C2385" t="s">
        <v>619</v>
      </c>
      <c r="D2385" s="7">
        <v>45520</v>
      </c>
      <c r="E2385" s="7">
        <v>45711</v>
      </c>
      <c r="F2385">
        <v>330862</v>
      </c>
      <c r="G2385" t="s">
        <v>983</v>
      </c>
      <c r="H2385" t="s">
        <v>9</v>
      </c>
      <c r="I2385" s="7">
        <v>45663</v>
      </c>
      <c r="J2385" s="8">
        <v>0.23290509259259259</v>
      </c>
      <c r="K2385" t="s">
        <v>984</v>
      </c>
      <c r="AQ2385" t="s">
        <v>992</v>
      </c>
      <c r="AR2385" t="s">
        <v>2019</v>
      </c>
      <c r="AT2385" t="s">
        <v>987</v>
      </c>
      <c r="AZ2385" t="s">
        <v>1028</v>
      </c>
      <c r="BA2385" t="s">
        <v>1068</v>
      </c>
      <c r="BB2385" t="s">
        <v>1069</v>
      </c>
      <c r="BD2385" t="s">
        <v>1005</v>
      </c>
      <c r="BE2385" t="s">
        <v>619</v>
      </c>
    </row>
    <row r="2386" spans="1:57" ht="13" x14ac:dyDescent="0.15">
      <c r="A2386">
        <v>1839</v>
      </c>
      <c r="B2386">
        <v>282035070</v>
      </c>
      <c r="C2386" t="s">
        <v>619</v>
      </c>
      <c r="D2386" s="7">
        <v>45520</v>
      </c>
      <c r="E2386" s="7">
        <v>45711</v>
      </c>
      <c r="F2386">
        <v>330862</v>
      </c>
      <c r="G2386" t="s">
        <v>983</v>
      </c>
      <c r="H2386" t="s">
        <v>9</v>
      </c>
      <c r="I2386" s="7">
        <v>45663</v>
      </c>
      <c r="J2386" s="8">
        <v>0.22916666666666666</v>
      </c>
      <c r="K2386" t="s">
        <v>984</v>
      </c>
      <c r="AQ2386" t="s">
        <v>992</v>
      </c>
      <c r="AR2386" t="s">
        <v>2020</v>
      </c>
      <c r="AT2386" t="s">
        <v>987</v>
      </c>
      <c r="AZ2386" t="s">
        <v>1071</v>
      </c>
      <c r="BA2386" t="s">
        <v>1072</v>
      </c>
      <c r="BB2386" t="s">
        <v>1048</v>
      </c>
      <c r="BD2386" t="s">
        <v>1005</v>
      </c>
      <c r="BE2386" t="s">
        <v>619</v>
      </c>
    </row>
    <row r="2387" spans="1:57" ht="13" x14ac:dyDescent="0.15">
      <c r="A2387">
        <v>1839</v>
      </c>
      <c r="B2387">
        <v>282035070</v>
      </c>
      <c r="C2387" t="s">
        <v>619</v>
      </c>
      <c r="D2387" s="7">
        <v>45520</v>
      </c>
      <c r="E2387" s="7">
        <v>45711</v>
      </c>
      <c r="F2387">
        <v>330862</v>
      </c>
      <c r="G2387" t="s">
        <v>983</v>
      </c>
      <c r="H2387" t="s">
        <v>9</v>
      </c>
      <c r="I2387" s="7">
        <v>45663</v>
      </c>
      <c r="J2387" s="8">
        <v>0.2242824074074074</v>
      </c>
      <c r="K2387" t="s">
        <v>984</v>
      </c>
      <c r="AQ2387" t="s">
        <v>992</v>
      </c>
      <c r="AR2387" t="s">
        <v>2021</v>
      </c>
      <c r="AT2387" t="s">
        <v>987</v>
      </c>
      <c r="AZ2387" t="s">
        <v>1007</v>
      </c>
      <c r="BA2387" t="s">
        <v>1008</v>
      </c>
      <c r="BB2387" t="s">
        <v>990</v>
      </c>
      <c r="BD2387" t="s">
        <v>1005</v>
      </c>
      <c r="BE2387" t="s">
        <v>619</v>
      </c>
    </row>
    <row r="2388" spans="1:57" ht="13" x14ac:dyDescent="0.15">
      <c r="A2388">
        <v>1839</v>
      </c>
      <c r="B2388">
        <v>282035070</v>
      </c>
      <c r="C2388" t="s">
        <v>619</v>
      </c>
      <c r="D2388" s="7">
        <v>45520</v>
      </c>
      <c r="E2388" s="7">
        <v>45711</v>
      </c>
      <c r="F2388">
        <v>330862</v>
      </c>
      <c r="G2388" t="s">
        <v>983</v>
      </c>
      <c r="H2388" t="s">
        <v>9</v>
      </c>
      <c r="I2388" s="7">
        <v>45663</v>
      </c>
      <c r="J2388" s="8">
        <v>0.18722222222222223</v>
      </c>
      <c r="K2388" t="s">
        <v>984</v>
      </c>
      <c r="AQ2388" t="s">
        <v>992</v>
      </c>
      <c r="AR2388" t="s">
        <v>2022</v>
      </c>
      <c r="AT2388" t="s">
        <v>987</v>
      </c>
      <c r="AZ2388" t="s">
        <v>988</v>
      </c>
      <c r="BA2388" t="s">
        <v>1058</v>
      </c>
      <c r="BB2388" t="s">
        <v>1018</v>
      </c>
      <c r="BD2388" t="s">
        <v>1005</v>
      </c>
      <c r="BE2388" t="s">
        <v>619</v>
      </c>
    </row>
    <row r="2389" spans="1:57" ht="13" x14ac:dyDescent="0.15">
      <c r="A2389">
        <v>1839</v>
      </c>
      <c r="B2389">
        <v>282035070</v>
      </c>
      <c r="C2389" t="s">
        <v>619</v>
      </c>
      <c r="D2389" s="7">
        <v>45520</v>
      </c>
      <c r="E2389" s="7">
        <v>45711</v>
      </c>
      <c r="F2389">
        <v>330862</v>
      </c>
      <c r="G2389" t="s">
        <v>983</v>
      </c>
      <c r="H2389" t="s">
        <v>9</v>
      </c>
      <c r="I2389" s="7">
        <v>45663</v>
      </c>
      <c r="J2389" s="8">
        <v>0.18315972222222221</v>
      </c>
      <c r="K2389" t="s">
        <v>984</v>
      </c>
      <c r="AQ2389" t="s">
        <v>992</v>
      </c>
      <c r="AR2389" t="s">
        <v>2023</v>
      </c>
      <c r="AT2389" t="s">
        <v>987</v>
      </c>
      <c r="AZ2389" t="s">
        <v>1020</v>
      </c>
      <c r="BA2389" t="s">
        <v>1230</v>
      </c>
      <c r="BB2389" t="s">
        <v>1018</v>
      </c>
      <c r="BD2389" t="s">
        <v>1005</v>
      </c>
      <c r="BE2389" t="s">
        <v>619</v>
      </c>
    </row>
    <row r="2390" spans="1:57" ht="13" x14ac:dyDescent="0.15">
      <c r="A2390">
        <v>1839</v>
      </c>
      <c r="B2390">
        <v>282035070</v>
      </c>
      <c r="C2390" t="s">
        <v>619</v>
      </c>
      <c r="D2390" s="7">
        <v>45520</v>
      </c>
      <c r="E2390" s="7">
        <v>45711</v>
      </c>
      <c r="F2390">
        <v>330862</v>
      </c>
      <c r="G2390" t="s">
        <v>983</v>
      </c>
      <c r="H2390" t="s">
        <v>9</v>
      </c>
      <c r="I2390" s="7">
        <v>45663</v>
      </c>
      <c r="J2390" s="8">
        <v>0.18121527777777777</v>
      </c>
      <c r="K2390" t="s">
        <v>984</v>
      </c>
      <c r="AQ2390" t="s">
        <v>992</v>
      </c>
      <c r="AR2390" t="s">
        <v>2023</v>
      </c>
      <c r="AT2390" t="s">
        <v>987</v>
      </c>
      <c r="AZ2390" t="s">
        <v>1020</v>
      </c>
      <c r="BA2390" t="s">
        <v>1230</v>
      </c>
      <c r="BB2390" t="s">
        <v>1018</v>
      </c>
      <c r="BD2390" t="s">
        <v>1005</v>
      </c>
      <c r="BE2390" t="s">
        <v>619</v>
      </c>
    </row>
    <row r="2391" spans="1:57" ht="13" x14ac:dyDescent="0.15">
      <c r="A2391">
        <v>1839</v>
      </c>
      <c r="B2391">
        <v>282035070</v>
      </c>
      <c r="C2391" t="s">
        <v>619</v>
      </c>
      <c r="D2391" s="7">
        <v>45520</v>
      </c>
      <c r="E2391" s="7">
        <v>45711</v>
      </c>
      <c r="F2391">
        <v>330862</v>
      </c>
      <c r="G2391" t="s">
        <v>983</v>
      </c>
      <c r="H2391" t="s">
        <v>9</v>
      </c>
      <c r="I2391" s="7">
        <v>45672</v>
      </c>
      <c r="J2391" s="8">
        <v>0.28711805555555553</v>
      </c>
      <c r="K2391" t="s">
        <v>984</v>
      </c>
      <c r="AQ2391" t="s">
        <v>992</v>
      </c>
      <c r="AR2391" t="s">
        <v>2024</v>
      </c>
      <c r="AT2391" t="s">
        <v>987</v>
      </c>
      <c r="AZ2391" t="s">
        <v>1016</v>
      </c>
      <c r="BA2391" t="s">
        <v>1017</v>
      </c>
      <c r="BB2391" t="s">
        <v>1018</v>
      </c>
      <c r="BD2391" t="s">
        <v>991</v>
      </c>
      <c r="BE2391" t="s">
        <v>619</v>
      </c>
    </row>
    <row r="2392" spans="1:57" ht="13" x14ac:dyDescent="0.15">
      <c r="A2392">
        <v>1839</v>
      </c>
      <c r="B2392">
        <v>282035070</v>
      </c>
      <c r="C2392" t="s">
        <v>619</v>
      </c>
      <c r="D2392" s="7">
        <v>45520</v>
      </c>
      <c r="E2392" s="7">
        <v>45711</v>
      </c>
      <c r="F2392">
        <v>330862</v>
      </c>
      <c r="G2392" t="s">
        <v>983</v>
      </c>
      <c r="H2392" t="s">
        <v>9</v>
      </c>
      <c r="I2392" s="7">
        <v>45698</v>
      </c>
      <c r="J2392" s="8">
        <v>0.11673611111111111</v>
      </c>
      <c r="K2392" t="s">
        <v>984</v>
      </c>
      <c r="AQ2392" t="s">
        <v>992</v>
      </c>
      <c r="AR2392" t="s">
        <v>2025</v>
      </c>
      <c r="AT2392" t="s">
        <v>987</v>
      </c>
      <c r="AZ2392" t="s">
        <v>1028</v>
      </c>
      <c r="BA2392" t="s">
        <v>1037</v>
      </c>
      <c r="BB2392" t="s">
        <v>1038</v>
      </c>
      <c r="BD2392" t="s">
        <v>991</v>
      </c>
      <c r="BE2392" t="s">
        <v>619</v>
      </c>
    </row>
    <row r="2393" spans="1:57" ht="13" x14ac:dyDescent="0.15">
      <c r="A2393">
        <v>1839</v>
      </c>
      <c r="B2393">
        <v>282035070</v>
      </c>
      <c r="C2393" t="s">
        <v>619</v>
      </c>
      <c r="D2393" s="7">
        <v>45520</v>
      </c>
      <c r="E2393" s="7">
        <v>45711</v>
      </c>
      <c r="F2393">
        <v>330862</v>
      </c>
      <c r="G2393" t="s">
        <v>983</v>
      </c>
      <c r="H2393" t="s">
        <v>9</v>
      </c>
      <c r="I2393" s="7">
        <v>45698</v>
      </c>
      <c r="J2393" s="8">
        <v>0.12109953703703703</v>
      </c>
      <c r="K2393" t="s">
        <v>984</v>
      </c>
      <c r="AQ2393" t="s">
        <v>992</v>
      </c>
      <c r="AR2393" t="s">
        <v>2026</v>
      </c>
      <c r="AT2393" t="s">
        <v>987</v>
      </c>
      <c r="AZ2393" t="s">
        <v>1080</v>
      </c>
      <c r="BA2393" t="s">
        <v>1081</v>
      </c>
      <c r="BB2393" t="s">
        <v>1082</v>
      </c>
      <c r="BD2393" t="s">
        <v>991</v>
      </c>
      <c r="BE2393" t="s">
        <v>619</v>
      </c>
    </row>
    <row r="2394" spans="1:57" ht="13" x14ac:dyDescent="0.15">
      <c r="A2394">
        <v>1839</v>
      </c>
      <c r="B2394">
        <v>282035070</v>
      </c>
      <c r="C2394" t="s">
        <v>619</v>
      </c>
      <c r="D2394" s="7">
        <v>45520</v>
      </c>
      <c r="E2394" s="7">
        <v>45711</v>
      </c>
      <c r="F2394">
        <v>330862</v>
      </c>
      <c r="G2394" t="s">
        <v>983</v>
      </c>
      <c r="H2394" t="s">
        <v>9</v>
      </c>
      <c r="I2394" s="7">
        <v>45698</v>
      </c>
      <c r="J2394" s="8">
        <v>0.12546296296296297</v>
      </c>
      <c r="K2394" t="s">
        <v>984</v>
      </c>
      <c r="AQ2394" t="s">
        <v>992</v>
      </c>
      <c r="AR2394" t="s">
        <v>2027</v>
      </c>
      <c r="AT2394" t="s">
        <v>987</v>
      </c>
      <c r="AZ2394" t="s">
        <v>1220</v>
      </c>
      <c r="BA2394" t="s">
        <v>1221</v>
      </c>
      <c r="BB2394" t="s">
        <v>1082</v>
      </c>
      <c r="BD2394" t="s">
        <v>991</v>
      </c>
      <c r="BE2394" t="s">
        <v>619</v>
      </c>
    </row>
    <row r="2395" spans="1:57" ht="13" x14ac:dyDescent="0.15">
      <c r="A2395">
        <v>1839</v>
      </c>
      <c r="B2395">
        <v>282035070</v>
      </c>
      <c r="C2395" t="s">
        <v>619</v>
      </c>
      <c r="D2395" s="7">
        <v>45520</v>
      </c>
      <c r="E2395" s="7">
        <v>45711</v>
      </c>
      <c r="F2395">
        <v>330862</v>
      </c>
      <c r="G2395" t="s">
        <v>983</v>
      </c>
      <c r="H2395" t="s">
        <v>9</v>
      </c>
      <c r="I2395" s="7">
        <v>45698</v>
      </c>
      <c r="J2395" s="8">
        <v>0.12714120370370371</v>
      </c>
      <c r="K2395" t="s">
        <v>984</v>
      </c>
      <c r="AQ2395" t="s">
        <v>992</v>
      </c>
      <c r="AR2395" t="s">
        <v>2028</v>
      </c>
      <c r="AT2395" t="s">
        <v>987</v>
      </c>
      <c r="AZ2395" t="s">
        <v>1182</v>
      </c>
      <c r="BA2395" t="s">
        <v>1183</v>
      </c>
      <c r="BB2395" t="s">
        <v>990</v>
      </c>
      <c r="BD2395" t="s">
        <v>991</v>
      </c>
      <c r="BE2395" t="s">
        <v>619</v>
      </c>
    </row>
    <row r="2396" spans="1:57" ht="13" x14ac:dyDescent="0.15">
      <c r="A2396">
        <v>1839</v>
      </c>
      <c r="B2396">
        <v>282035070</v>
      </c>
      <c r="C2396" t="s">
        <v>619</v>
      </c>
      <c r="D2396" s="7">
        <v>45520</v>
      </c>
      <c r="E2396" s="7">
        <v>45711</v>
      </c>
      <c r="F2396">
        <v>330862</v>
      </c>
      <c r="G2396" t="s">
        <v>983</v>
      </c>
      <c r="H2396" t="s">
        <v>9</v>
      </c>
      <c r="I2396" s="7">
        <v>45692</v>
      </c>
      <c r="J2396" s="8">
        <v>0.19924768518518518</v>
      </c>
      <c r="K2396" t="s">
        <v>984</v>
      </c>
      <c r="AQ2396" t="s">
        <v>992</v>
      </c>
      <c r="AR2396" t="s">
        <v>2029</v>
      </c>
      <c r="AT2396" t="s">
        <v>987</v>
      </c>
      <c r="AZ2396" t="s">
        <v>1062</v>
      </c>
      <c r="BA2396" t="s">
        <v>1063</v>
      </c>
      <c r="BB2396" t="s">
        <v>1048</v>
      </c>
      <c r="BD2396" t="s">
        <v>991</v>
      </c>
      <c r="BE2396" t="s">
        <v>619</v>
      </c>
    </row>
    <row r="2397" spans="1:57" ht="13" x14ac:dyDescent="0.15">
      <c r="A2397">
        <v>1839</v>
      </c>
      <c r="B2397">
        <v>282035070</v>
      </c>
      <c r="C2397" t="s">
        <v>619</v>
      </c>
      <c r="D2397" s="7">
        <v>45520</v>
      </c>
      <c r="E2397" s="7">
        <v>45711</v>
      </c>
      <c r="F2397">
        <v>330862</v>
      </c>
      <c r="G2397" t="s">
        <v>983</v>
      </c>
      <c r="H2397" t="s">
        <v>9</v>
      </c>
      <c r="I2397" s="7">
        <v>45692</v>
      </c>
      <c r="J2397" s="8">
        <v>0.20326388888888888</v>
      </c>
      <c r="K2397" t="s">
        <v>984</v>
      </c>
      <c r="AQ2397" t="s">
        <v>992</v>
      </c>
      <c r="AR2397" t="s">
        <v>2030</v>
      </c>
      <c r="AT2397" t="s">
        <v>987</v>
      </c>
      <c r="AZ2397" t="s">
        <v>1071</v>
      </c>
      <c r="BA2397" t="s">
        <v>1135</v>
      </c>
      <c r="BB2397" t="s">
        <v>1136</v>
      </c>
      <c r="BD2397" t="s">
        <v>991</v>
      </c>
      <c r="BE2397" t="s">
        <v>619</v>
      </c>
    </row>
    <row r="2398" spans="1:57" ht="13" x14ac:dyDescent="0.15">
      <c r="A2398">
        <v>1839</v>
      </c>
      <c r="B2398">
        <v>282035070</v>
      </c>
      <c r="C2398" t="s">
        <v>619</v>
      </c>
      <c r="D2398" s="7">
        <v>45520</v>
      </c>
      <c r="E2398" s="7">
        <v>45711</v>
      </c>
      <c r="F2398">
        <v>330862</v>
      </c>
      <c r="G2398" t="s">
        <v>983</v>
      </c>
      <c r="H2398" t="s">
        <v>9</v>
      </c>
      <c r="I2398" s="7">
        <v>45692</v>
      </c>
      <c r="J2398" s="8">
        <v>0.20688657407407407</v>
      </c>
      <c r="K2398" t="s">
        <v>984</v>
      </c>
      <c r="AQ2398" t="s">
        <v>992</v>
      </c>
      <c r="AR2398" t="s">
        <v>2031</v>
      </c>
      <c r="AT2398" t="s">
        <v>987</v>
      </c>
      <c r="AZ2398" t="s">
        <v>1002</v>
      </c>
      <c r="BA2398" t="s">
        <v>1065</v>
      </c>
      <c r="BB2398" t="s">
        <v>1004</v>
      </c>
      <c r="BD2398" t="s">
        <v>991</v>
      </c>
      <c r="BE2398" t="s">
        <v>619</v>
      </c>
    </row>
    <row r="2399" spans="1:57" ht="13" x14ac:dyDescent="0.15">
      <c r="A2399">
        <v>1839</v>
      </c>
      <c r="B2399">
        <v>282035070</v>
      </c>
      <c r="C2399" t="s">
        <v>619</v>
      </c>
      <c r="D2399" s="7">
        <v>45520</v>
      </c>
      <c r="E2399" s="7">
        <v>45711</v>
      </c>
      <c r="F2399">
        <v>330862</v>
      </c>
      <c r="G2399" t="s">
        <v>983</v>
      </c>
      <c r="H2399" t="s">
        <v>9</v>
      </c>
      <c r="I2399" s="7">
        <v>45692</v>
      </c>
      <c r="J2399" s="8">
        <v>0.21466435185185184</v>
      </c>
      <c r="K2399" t="s">
        <v>984</v>
      </c>
      <c r="AQ2399" t="s">
        <v>992</v>
      </c>
      <c r="AR2399" t="s">
        <v>1284</v>
      </c>
      <c r="AT2399" t="s">
        <v>987</v>
      </c>
      <c r="AZ2399" t="s">
        <v>988</v>
      </c>
      <c r="BA2399" t="s">
        <v>989</v>
      </c>
      <c r="BB2399" t="s">
        <v>990</v>
      </c>
      <c r="BD2399" t="s">
        <v>991</v>
      </c>
      <c r="BE2399" t="s">
        <v>619</v>
      </c>
    </row>
    <row r="2400" spans="1:57" ht="13" x14ac:dyDescent="0.15">
      <c r="A2400">
        <v>1839</v>
      </c>
      <c r="B2400">
        <v>282035070</v>
      </c>
      <c r="C2400" t="s">
        <v>619</v>
      </c>
      <c r="D2400" s="7">
        <v>45520</v>
      </c>
      <c r="E2400" s="7">
        <v>45711</v>
      </c>
      <c r="F2400">
        <v>330862</v>
      </c>
      <c r="G2400" t="s">
        <v>983</v>
      </c>
      <c r="H2400" t="s">
        <v>9</v>
      </c>
      <c r="I2400" s="7">
        <v>45694</v>
      </c>
      <c r="J2400" s="8">
        <v>0.10107638888888888</v>
      </c>
      <c r="K2400" t="s">
        <v>984</v>
      </c>
      <c r="AQ2400" t="s">
        <v>992</v>
      </c>
      <c r="AR2400" t="s">
        <v>2032</v>
      </c>
      <c r="AT2400" t="s">
        <v>987</v>
      </c>
      <c r="AZ2400" t="s">
        <v>988</v>
      </c>
      <c r="BA2400" t="s">
        <v>1035</v>
      </c>
      <c r="BB2400" t="s">
        <v>1026</v>
      </c>
      <c r="BD2400" t="s">
        <v>991</v>
      </c>
      <c r="BE2400" t="s">
        <v>619</v>
      </c>
    </row>
    <row r="2401" spans="1:57" ht="13" x14ac:dyDescent="0.15">
      <c r="A2401">
        <v>1839</v>
      </c>
      <c r="B2401">
        <v>282035070</v>
      </c>
      <c r="C2401" t="s">
        <v>619</v>
      </c>
      <c r="D2401" s="7">
        <v>45520</v>
      </c>
      <c r="E2401" s="7">
        <v>45711</v>
      </c>
      <c r="F2401">
        <v>330862</v>
      </c>
      <c r="G2401" t="s">
        <v>983</v>
      </c>
      <c r="H2401" t="s">
        <v>9</v>
      </c>
      <c r="I2401" s="7">
        <v>45694</v>
      </c>
      <c r="J2401" s="8">
        <v>0.10528935185185186</v>
      </c>
      <c r="K2401" t="s">
        <v>984</v>
      </c>
      <c r="AQ2401" t="s">
        <v>992</v>
      </c>
      <c r="AR2401" t="s">
        <v>2033</v>
      </c>
      <c r="AT2401" t="s">
        <v>987</v>
      </c>
      <c r="AZ2401" t="s">
        <v>1174</v>
      </c>
      <c r="BA2401" t="s">
        <v>1175</v>
      </c>
      <c r="BB2401" t="s">
        <v>990</v>
      </c>
      <c r="BD2401" t="s">
        <v>991</v>
      </c>
      <c r="BE2401" t="s">
        <v>619</v>
      </c>
    </row>
    <row r="2402" spans="1:57" ht="13" x14ac:dyDescent="0.15">
      <c r="A2402">
        <v>1839</v>
      </c>
      <c r="B2402">
        <v>282035070</v>
      </c>
      <c r="C2402" t="s">
        <v>619</v>
      </c>
      <c r="D2402" s="7">
        <v>45520</v>
      </c>
      <c r="E2402" s="7">
        <v>45711</v>
      </c>
      <c r="F2402">
        <v>330862</v>
      </c>
      <c r="G2402" t="s">
        <v>983</v>
      </c>
      <c r="H2402" t="s">
        <v>9</v>
      </c>
      <c r="I2402" s="7">
        <v>45694</v>
      </c>
      <c r="J2402" s="8">
        <v>0.10819444444444444</v>
      </c>
      <c r="K2402" t="s">
        <v>984</v>
      </c>
      <c r="AQ2402" t="s">
        <v>992</v>
      </c>
      <c r="AR2402" t="s">
        <v>2034</v>
      </c>
      <c r="AT2402" t="s">
        <v>987</v>
      </c>
      <c r="AZ2402" t="s">
        <v>1002</v>
      </c>
      <c r="BA2402" t="s">
        <v>1040</v>
      </c>
      <c r="BB2402" t="s">
        <v>1041</v>
      </c>
      <c r="BD2402" t="s">
        <v>991</v>
      </c>
      <c r="BE2402" t="s">
        <v>619</v>
      </c>
    </row>
    <row r="2403" spans="1:57" ht="13" x14ac:dyDescent="0.15">
      <c r="A2403">
        <v>1839</v>
      </c>
      <c r="B2403">
        <v>282035070</v>
      </c>
      <c r="C2403" t="s">
        <v>619</v>
      </c>
      <c r="D2403" s="7">
        <v>45520</v>
      </c>
      <c r="E2403" s="7">
        <v>45711</v>
      </c>
      <c r="F2403">
        <v>330862</v>
      </c>
      <c r="G2403" t="s">
        <v>983</v>
      </c>
      <c r="H2403" t="s">
        <v>9</v>
      </c>
      <c r="I2403" s="7">
        <v>45685</v>
      </c>
      <c r="J2403" s="8">
        <v>0.10663194444444445</v>
      </c>
      <c r="K2403" t="s">
        <v>984</v>
      </c>
      <c r="AQ2403" t="s">
        <v>992</v>
      </c>
      <c r="AR2403" t="s">
        <v>2035</v>
      </c>
      <c r="AT2403" t="s">
        <v>987</v>
      </c>
      <c r="AZ2403" t="s">
        <v>1062</v>
      </c>
      <c r="BA2403" t="s">
        <v>1063</v>
      </c>
      <c r="BB2403" t="s">
        <v>1048</v>
      </c>
      <c r="BD2403" t="s">
        <v>991</v>
      </c>
      <c r="BE2403" t="s">
        <v>619</v>
      </c>
    </row>
    <row r="2404" spans="1:57" ht="13" x14ac:dyDescent="0.15">
      <c r="A2404">
        <v>1839</v>
      </c>
      <c r="B2404">
        <v>282035070</v>
      </c>
      <c r="C2404" t="s">
        <v>619</v>
      </c>
      <c r="D2404" s="7">
        <v>45520</v>
      </c>
      <c r="E2404" s="7">
        <v>45711</v>
      </c>
      <c r="F2404">
        <v>330862</v>
      </c>
      <c r="G2404" t="s">
        <v>983</v>
      </c>
      <c r="H2404" t="s">
        <v>9</v>
      </c>
      <c r="I2404" s="7">
        <v>45637</v>
      </c>
      <c r="J2404" s="8">
        <v>0.69217592592592592</v>
      </c>
      <c r="K2404" t="s">
        <v>984</v>
      </c>
      <c r="AQ2404" t="s">
        <v>992</v>
      </c>
      <c r="AR2404" t="s">
        <v>2036</v>
      </c>
      <c r="AT2404" t="s">
        <v>987</v>
      </c>
      <c r="AZ2404" t="s">
        <v>1028</v>
      </c>
      <c r="BA2404" t="s">
        <v>1029</v>
      </c>
      <c r="BB2404" t="s">
        <v>1018</v>
      </c>
      <c r="BD2404" t="s">
        <v>1022</v>
      </c>
      <c r="BE2404" t="s">
        <v>619</v>
      </c>
    </row>
    <row r="2405" spans="1:57" ht="13" x14ac:dyDescent="0.15">
      <c r="A2405">
        <v>1839</v>
      </c>
      <c r="B2405">
        <v>282035070</v>
      </c>
      <c r="C2405" t="s">
        <v>619</v>
      </c>
      <c r="D2405" s="7">
        <v>45520</v>
      </c>
      <c r="E2405" s="7">
        <v>45711</v>
      </c>
      <c r="F2405">
        <v>330862</v>
      </c>
      <c r="G2405" t="s">
        <v>983</v>
      </c>
      <c r="H2405" t="s">
        <v>9</v>
      </c>
      <c r="I2405" s="7">
        <v>45685</v>
      </c>
      <c r="J2405" s="8">
        <v>0.1203125</v>
      </c>
      <c r="K2405" t="s">
        <v>984</v>
      </c>
      <c r="AQ2405" t="s">
        <v>992</v>
      </c>
      <c r="AR2405" t="s">
        <v>2037</v>
      </c>
      <c r="AT2405" t="s">
        <v>987</v>
      </c>
      <c r="AZ2405" t="s">
        <v>1071</v>
      </c>
      <c r="BA2405" t="s">
        <v>1135</v>
      </c>
      <c r="BB2405" t="s">
        <v>1136</v>
      </c>
      <c r="BD2405" t="s">
        <v>991</v>
      </c>
      <c r="BE2405" t="s">
        <v>619</v>
      </c>
    </row>
    <row r="2406" spans="1:57" ht="13" x14ac:dyDescent="0.15">
      <c r="A2406">
        <v>1839</v>
      </c>
      <c r="B2406">
        <v>282035070</v>
      </c>
      <c r="C2406" t="s">
        <v>619</v>
      </c>
      <c r="D2406" s="7">
        <v>45520</v>
      </c>
      <c r="E2406" s="7">
        <v>45711</v>
      </c>
      <c r="F2406">
        <v>330862</v>
      </c>
      <c r="G2406" t="s">
        <v>983</v>
      </c>
      <c r="H2406" t="s">
        <v>9</v>
      </c>
      <c r="I2406" s="7">
        <v>45671</v>
      </c>
      <c r="J2406" s="8">
        <v>0.23343749999999999</v>
      </c>
      <c r="K2406" t="s">
        <v>984</v>
      </c>
      <c r="AQ2406" t="s">
        <v>992</v>
      </c>
      <c r="AR2406" t="s">
        <v>2038</v>
      </c>
      <c r="AT2406" t="s">
        <v>987</v>
      </c>
      <c r="AZ2406" t="s">
        <v>1071</v>
      </c>
      <c r="BA2406" t="s">
        <v>1072</v>
      </c>
      <c r="BB2406" t="s">
        <v>1048</v>
      </c>
      <c r="BD2406" t="s">
        <v>1005</v>
      </c>
      <c r="BE2406" t="s">
        <v>619</v>
      </c>
    </row>
    <row r="2407" spans="1:57" ht="13" x14ac:dyDescent="0.15">
      <c r="A2407">
        <v>1839</v>
      </c>
      <c r="B2407">
        <v>282035070</v>
      </c>
      <c r="C2407" t="s">
        <v>619</v>
      </c>
      <c r="D2407" s="7">
        <v>45520</v>
      </c>
      <c r="E2407" s="7">
        <v>45711</v>
      </c>
      <c r="F2407">
        <v>330862</v>
      </c>
      <c r="G2407" t="s">
        <v>983</v>
      </c>
      <c r="H2407" t="s">
        <v>9</v>
      </c>
      <c r="I2407" s="7">
        <v>45671</v>
      </c>
      <c r="J2407" s="8">
        <v>0.23749999999999999</v>
      </c>
      <c r="K2407" t="s">
        <v>984</v>
      </c>
      <c r="AQ2407" t="s">
        <v>992</v>
      </c>
      <c r="AR2407" t="s">
        <v>2039</v>
      </c>
      <c r="AT2407" t="s">
        <v>987</v>
      </c>
      <c r="AZ2407" t="s">
        <v>1028</v>
      </c>
      <c r="BA2407" t="s">
        <v>1068</v>
      </c>
      <c r="BB2407" t="s">
        <v>1069</v>
      </c>
      <c r="BD2407" t="s">
        <v>1005</v>
      </c>
      <c r="BE2407" t="s">
        <v>619</v>
      </c>
    </row>
    <row r="2408" spans="1:57" ht="13" x14ac:dyDescent="0.15">
      <c r="A2408">
        <v>1839</v>
      </c>
      <c r="B2408">
        <v>282035070</v>
      </c>
      <c r="C2408" t="s">
        <v>619</v>
      </c>
      <c r="D2408" s="7">
        <v>45520</v>
      </c>
      <c r="E2408" s="7">
        <v>45711</v>
      </c>
      <c r="F2408">
        <v>330862</v>
      </c>
      <c r="G2408" t="s">
        <v>983</v>
      </c>
      <c r="H2408" t="s">
        <v>9</v>
      </c>
      <c r="I2408" s="7">
        <v>45671</v>
      </c>
      <c r="J2408" s="8">
        <v>0.24229166666666666</v>
      </c>
      <c r="K2408" t="s">
        <v>984</v>
      </c>
      <c r="AQ2408" t="s">
        <v>992</v>
      </c>
      <c r="AR2408" t="s">
        <v>2040</v>
      </c>
      <c r="AT2408" t="s">
        <v>987</v>
      </c>
      <c r="AZ2408" t="s">
        <v>1002</v>
      </c>
      <c r="BA2408" t="s">
        <v>1003</v>
      </c>
      <c r="BB2408" t="s">
        <v>1004</v>
      </c>
      <c r="BD2408" t="s">
        <v>1005</v>
      </c>
      <c r="BE2408" t="s">
        <v>619</v>
      </c>
    </row>
    <row r="2409" spans="1:57" ht="13" x14ac:dyDescent="0.15">
      <c r="A2409">
        <v>1839</v>
      </c>
      <c r="B2409">
        <v>282035070</v>
      </c>
      <c r="C2409" t="s">
        <v>619</v>
      </c>
      <c r="D2409" s="7">
        <v>45520</v>
      </c>
      <c r="E2409" s="7">
        <v>45711</v>
      </c>
      <c r="F2409">
        <v>330862</v>
      </c>
      <c r="G2409" t="s">
        <v>983</v>
      </c>
      <c r="H2409" t="s">
        <v>9</v>
      </c>
      <c r="I2409" s="7">
        <v>45671</v>
      </c>
      <c r="J2409" s="8">
        <v>0.24599537037037036</v>
      </c>
      <c r="K2409" t="s">
        <v>984</v>
      </c>
      <c r="AQ2409" t="s">
        <v>992</v>
      </c>
      <c r="AR2409" t="s">
        <v>2041</v>
      </c>
      <c r="AT2409" t="s">
        <v>987</v>
      </c>
      <c r="AZ2409" t="s">
        <v>1044</v>
      </c>
      <c r="BA2409" t="s">
        <v>1045</v>
      </c>
      <c r="BB2409" t="s">
        <v>990</v>
      </c>
      <c r="BD2409" t="s">
        <v>991</v>
      </c>
      <c r="BE2409" t="s">
        <v>619</v>
      </c>
    </row>
    <row r="2410" spans="1:57" ht="13" x14ac:dyDescent="0.15">
      <c r="A2410">
        <v>1839</v>
      </c>
      <c r="B2410">
        <v>282035070</v>
      </c>
      <c r="C2410" t="s">
        <v>619</v>
      </c>
      <c r="D2410" s="7">
        <v>45520</v>
      </c>
      <c r="E2410" s="7">
        <v>45711</v>
      </c>
      <c r="F2410">
        <v>330862</v>
      </c>
      <c r="G2410" t="s">
        <v>983</v>
      </c>
      <c r="H2410" t="s">
        <v>9</v>
      </c>
      <c r="I2410" s="7">
        <v>45671</v>
      </c>
      <c r="J2410" s="8">
        <v>0.2472337962962963</v>
      </c>
      <c r="K2410" t="s">
        <v>984</v>
      </c>
      <c r="AQ2410" t="s">
        <v>992</v>
      </c>
      <c r="AR2410" t="s">
        <v>2041</v>
      </c>
      <c r="AT2410" t="s">
        <v>987</v>
      </c>
      <c r="AZ2410" t="s">
        <v>1044</v>
      </c>
      <c r="BA2410" t="s">
        <v>1045</v>
      </c>
      <c r="BB2410" t="s">
        <v>990</v>
      </c>
      <c r="BD2410" t="s">
        <v>991</v>
      </c>
      <c r="BE2410" t="s">
        <v>619</v>
      </c>
    </row>
    <row r="2411" spans="1:57" ht="13" x14ac:dyDescent="0.15">
      <c r="A2411">
        <v>1839</v>
      </c>
      <c r="B2411">
        <v>282035070</v>
      </c>
      <c r="C2411" t="s">
        <v>619</v>
      </c>
      <c r="D2411" s="7">
        <v>45520</v>
      </c>
      <c r="E2411" s="7">
        <v>45711</v>
      </c>
      <c r="F2411">
        <v>336444</v>
      </c>
      <c r="G2411" t="s">
        <v>995</v>
      </c>
      <c r="H2411" t="s">
        <v>12</v>
      </c>
      <c r="I2411" s="7">
        <v>45709</v>
      </c>
      <c r="J2411" s="8">
        <v>0.11430555555555555</v>
      </c>
      <c r="K2411" t="s">
        <v>984</v>
      </c>
      <c r="AQ2411" t="s">
        <v>996</v>
      </c>
      <c r="BE2411" t="s">
        <v>619</v>
      </c>
    </row>
    <row r="2412" spans="1:57" ht="13" x14ac:dyDescent="0.15">
      <c r="A2412">
        <v>1839</v>
      </c>
      <c r="B2412">
        <v>282035070</v>
      </c>
      <c r="C2412" t="s">
        <v>619</v>
      </c>
      <c r="D2412" s="7">
        <v>45520</v>
      </c>
      <c r="E2412" s="7">
        <v>45711</v>
      </c>
      <c r="F2412">
        <v>336447</v>
      </c>
      <c r="G2412" t="s">
        <v>1074</v>
      </c>
      <c r="H2412" t="s">
        <v>26</v>
      </c>
      <c r="I2412" s="7">
        <v>45709</v>
      </c>
      <c r="J2412" s="8">
        <v>0.11136574074074074</v>
      </c>
      <c r="K2412" t="s">
        <v>984</v>
      </c>
      <c r="AQ2412" t="s">
        <v>992</v>
      </c>
      <c r="AR2412" t="s">
        <v>2042</v>
      </c>
      <c r="BE2412" t="s">
        <v>619</v>
      </c>
    </row>
    <row r="2413" spans="1:57" ht="13" x14ac:dyDescent="0.15">
      <c r="A2413">
        <v>1839</v>
      </c>
      <c r="B2413">
        <v>282035070</v>
      </c>
      <c r="C2413" t="s">
        <v>619</v>
      </c>
      <c r="D2413" s="7">
        <v>45520</v>
      </c>
      <c r="E2413" s="7">
        <v>45711</v>
      </c>
      <c r="F2413">
        <v>336447</v>
      </c>
      <c r="G2413" t="s">
        <v>1074</v>
      </c>
      <c r="H2413" t="s">
        <v>26</v>
      </c>
      <c r="I2413" s="7">
        <v>45709</v>
      </c>
      <c r="J2413" s="8">
        <v>0.11260416666666667</v>
      </c>
      <c r="K2413" t="s">
        <v>984</v>
      </c>
      <c r="AQ2413" t="s">
        <v>992</v>
      </c>
      <c r="AR2413" t="s">
        <v>2043</v>
      </c>
      <c r="BE2413" t="s">
        <v>619</v>
      </c>
    </row>
    <row r="2414" spans="1:57" ht="13" x14ac:dyDescent="0.15">
      <c r="A2414">
        <v>1839</v>
      </c>
      <c r="B2414">
        <v>282035070</v>
      </c>
      <c r="C2414" t="s">
        <v>619</v>
      </c>
      <c r="D2414" s="7">
        <v>45520</v>
      </c>
      <c r="E2414" s="7">
        <v>45711</v>
      </c>
      <c r="F2414">
        <v>336453</v>
      </c>
      <c r="G2414" t="s">
        <v>1074</v>
      </c>
      <c r="H2414" t="s">
        <v>27</v>
      </c>
      <c r="I2414" s="7">
        <v>45709</v>
      </c>
      <c r="J2414" s="8">
        <v>0.11282407407407408</v>
      </c>
      <c r="K2414" t="s">
        <v>984</v>
      </c>
      <c r="AQ2414" t="s">
        <v>992</v>
      </c>
      <c r="AR2414" t="s">
        <v>1076</v>
      </c>
      <c r="BE2414" t="s">
        <v>619</v>
      </c>
    </row>
    <row r="2415" spans="1:57" ht="13" x14ac:dyDescent="0.15">
      <c r="A2415">
        <v>1839</v>
      </c>
      <c r="B2415">
        <v>282035070</v>
      </c>
      <c r="C2415" t="s">
        <v>619</v>
      </c>
      <c r="D2415" s="7">
        <v>45520</v>
      </c>
      <c r="E2415" s="7">
        <v>45711</v>
      </c>
      <c r="F2415">
        <v>336453</v>
      </c>
      <c r="G2415" t="s">
        <v>1074</v>
      </c>
      <c r="H2415" t="s">
        <v>27</v>
      </c>
      <c r="I2415" s="7">
        <v>45709</v>
      </c>
      <c r="J2415" s="8">
        <v>0.11185185185185186</v>
      </c>
      <c r="K2415" t="s">
        <v>984</v>
      </c>
      <c r="AQ2415" t="s">
        <v>992</v>
      </c>
      <c r="AR2415" t="s">
        <v>1076</v>
      </c>
      <c r="BE2415" t="s">
        <v>619</v>
      </c>
    </row>
    <row r="2416" spans="1:57" ht="13" x14ac:dyDescent="0.15">
      <c r="A2416">
        <v>1839</v>
      </c>
      <c r="B2416">
        <v>282035070</v>
      </c>
      <c r="C2416" t="s">
        <v>619</v>
      </c>
      <c r="D2416" s="7">
        <v>45520</v>
      </c>
      <c r="E2416" s="7">
        <v>45711</v>
      </c>
      <c r="F2416">
        <v>336709</v>
      </c>
      <c r="G2416" t="s">
        <v>1074</v>
      </c>
      <c r="H2416" t="s">
        <v>28</v>
      </c>
      <c r="I2416" s="7">
        <v>45709</v>
      </c>
      <c r="J2416" s="8">
        <v>0.11332175925925926</v>
      </c>
      <c r="K2416" t="s">
        <v>984</v>
      </c>
      <c r="AQ2416" t="s">
        <v>992</v>
      </c>
      <c r="AR2416" t="s">
        <v>1077</v>
      </c>
      <c r="BE2416" t="s">
        <v>619</v>
      </c>
    </row>
    <row r="2417" spans="1:57" ht="13" x14ac:dyDescent="0.15">
      <c r="A2417">
        <v>1839</v>
      </c>
      <c r="B2417">
        <v>282035070</v>
      </c>
      <c r="C2417" t="s">
        <v>619</v>
      </c>
      <c r="D2417" s="7">
        <v>45520</v>
      </c>
      <c r="E2417" s="7">
        <v>45711</v>
      </c>
      <c r="F2417">
        <v>336709</v>
      </c>
      <c r="G2417" t="s">
        <v>1074</v>
      </c>
      <c r="H2417" t="s">
        <v>28</v>
      </c>
      <c r="I2417" s="7">
        <v>45709</v>
      </c>
      <c r="J2417" s="8">
        <v>0.11204861111111111</v>
      </c>
      <c r="K2417" t="s">
        <v>984</v>
      </c>
      <c r="AQ2417" t="s">
        <v>992</v>
      </c>
      <c r="AR2417" t="s">
        <v>1077</v>
      </c>
      <c r="BE2417" t="s">
        <v>619</v>
      </c>
    </row>
    <row r="2418" spans="1:57" ht="13" x14ac:dyDescent="0.15">
      <c r="A2418">
        <v>1839</v>
      </c>
      <c r="B2418">
        <v>282434602</v>
      </c>
      <c r="C2418" t="s">
        <v>620</v>
      </c>
      <c r="D2418" s="7">
        <v>45532</v>
      </c>
      <c r="E2418" s="7">
        <v>45680</v>
      </c>
      <c r="F2418">
        <v>330862</v>
      </c>
      <c r="G2418" t="s">
        <v>983</v>
      </c>
      <c r="H2418" t="s">
        <v>9</v>
      </c>
      <c r="I2418" s="7">
        <v>45673</v>
      </c>
      <c r="J2418" s="8">
        <v>0.35718749999999999</v>
      </c>
      <c r="K2418" t="s">
        <v>984</v>
      </c>
      <c r="AQ2418" t="s">
        <v>998</v>
      </c>
      <c r="AR2418" t="s">
        <v>1663</v>
      </c>
      <c r="AT2418" t="s">
        <v>987</v>
      </c>
      <c r="AZ2418" t="s">
        <v>1016</v>
      </c>
      <c r="BA2418" t="s">
        <v>1017</v>
      </c>
      <c r="BB2418" t="s">
        <v>1018</v>
      </c>
      <c r="BD2418" t="s">
        <v>991</v>
      </c>
      <c r="BE2418" t="s">
        <v>620</v>
      </c>
    </row>
    <row r="2419" spans="1:57" ht="13" x14ac:dyDescent="0.15">
      <c r="A2419">
        <v>1839</v>
      </c>
      <c r="B2419">
        <v>282509387</v>
      </c>
      <c r="C2419" t="s">
        <v>621</v>
      </c>
      <c r="D2419" s="7">
        <v>45533</v>
      </c>
      <c r="E2419" s="7">
        <v>45713</v>
      </c>
      <c r="F2419">
        <v>330862</v>
      </c>
      <c r="G2419" t="s">
        <v>983</v>
      </c>
      <c r="H2419" t="s">
        <v>9</v>
      </c>
      <c r="I2419" s="7">
        <v>45680</v>
      </c>
      <c r="J2419" s="8">
        <v>0.72177083333333336</v>
      </c>
      <c r="K2419" t="s">
        <v>984</v>
      </c>
      <c r="AQ2419" t="s">
        <v>1090</v>
      </c>
      <c r="AR2419" t="s">
        <v>1680</v>
      </c>
      <c r="AT2419" t="s">
        <v>987</v>
      </c>
      <c r="AZ2419" t="s">
        <v>1011</v>
      </c>
      <c r="BA2419" t="s">
        <v>1012</v>
      </c>
      <c r="BB2419" t="s">
        <v>1013</v>
      </c>
      <c r="BD2419" t="s">
        <v>1014</v>
      </c>
      <c r="BE2419" t="s">
        <v>621</v>
      </c>
    </row>
    <row r="2420" spans="1:57" ht="13" x14ac:dyDescent="0.15">
      <c r="A2420">
        <v>1839</v>
      </c>
      <c r="B2420">
        <v>282718957</v>
      </c>
      <c r="C2420" t="s">
        <v>622</v>
      </c>
      <c r="D2420" s="7">
        <v>45540</v>
      </c>
      <c r="E2420" s="7">
        <v>45678</v>
      </c>
      <c r="F2420">
        <v>330862</v>
      </c>
      <c r="G2420" t="s">
        <v>983</v>
      </c>
      <c r="H2420" t="s">
        <v>9</v>
      </c>
      <c r="I2420" s="7">
        <v>45678</v>
      </c>
      <c r="J2420" s="8">
        <v>0.71538194444444447</v>
      </c>
      <c r="K2420" t="s">
        <v>984</v>
      </c>
      <c r="AQ2420" t="s">
        <v>992</v>
      </c>
      <c r="AR2420" t="s">
        <v>2044</v>
      </c>
      <c r="AT2420" t="s">
        <v>987</v>
      </c>
      <c r="AZ2420" t="s">
        <v>1002</v>
      </c>
      <c r="BA2420" t="s">
        <v>1003</v>
      </c>
      <c r="BB2420" t="s">
        <v>1004</v>
      </c>
      <c r="BD2420" t="s">
        <v>1005</v>
      </c>
      <c r="BE2420" t="s">
        <v>622</v>
      </c>
    </row>
    <row r="2421" spans="1:57" ht="13" x14ac:dyDescent="0.15">
      <c r="A2421">
        <v>1839</v>
      </c>
      <c r="B2421">
        <v>283125007</v>
      </c>
      <c r="C2421" t="s">
        <v>623</v>
      </c>
      <c r="D2421" s="7">
        <v>45552</v>
      </c>
      <c r="E2421" s="7">
        <v>45692</v>
      </c>
      <c r="F2421">
        <v>330862</v>
      </c>
      <c r="G2421" t="s">
        <v>983</v>
      </c>
      <c r="H2421" t="s">
        <v>9</v>
      </c>
      <c r="I2421" s="7">
        <v>45665</v>
      </c>
      <c r="J2421" s="8">
        <v>0.77641203703703698</v>
      </c>
      <c r="K2421" t="s">
        <v>984</v>
      </c>
      <c r="AQ2421" t="s">
        <v>998</v>
      </c>
      <c r="AR2421" t="s">
        <v>1749</v>
      </c>
      <c r="AT2421" t="s">
        <v>987</v>
      </c>
      <c r="AZ2421" t="s">
        <v>1020</v>
      </c>
      <c r="BA2421" t="s">
        <v>1230</v>
      </c>
      <c r="BB2421" t="s">
        <v>1018</v>
      </c>
      <c r="BD2421" t="s">
        <v>1005</v>
      </c>
      <c r="BE2421" t="s">
        <v>623</v>
      </c>
    </row>
    <row r="2422" spans="1:57" ht="13" x14ac:dyDescent="0.15">
      <c r="A2422">
        <v>1839</v>
      </c>
      <c r="B2422">
        <v>283183623</v>
      </c>
      <c r="C2422" t="s">
        <v>624</v>
      </c>
      <c r="D2422" s="7">
        <v>45552</v>
      </c>
      <c r="E2422" s="7">
        <v>45671</v>
      </c>
      <c r="F2422">
        <v>330862</v>
      </c>
      <c r="G2422" t="s">
        <v>983</v>
      </c>
      <c r="H2422" t="s">
        <v>9</v>
      </c>
      <c r="I2422" s="7">
        <v>45671</v>
      </c>
      <c r="J2422" s="8">
        <v>0.73767361111111107</v>
      </c>
      <c r="K2422" t="s">
        <v>984</v>
      </c>
      <c r="AQ2422" t="s">
        <v>992</v>
      </c>
      <c r="AR2422" t="s">
        <v>1274</v>
      </c>
      <c r="AT2422" t="s">
        <v>987</v>
      </c>
      <c r="AZ2422" t="s">
        <v>1016</v>
      </c>
      <c r="BA2422" t="s">
        <v>1017</v>
      </c>
      <c r="BB2422" t="s">
        <v>1018</v>
      </c>
      <c r="BD2422" t="s">
        <v>991</v>
      </c>
      <c r="BE2422" t="s">
        <v>624</v>
      </c>
    </row>
    <row r="2423" spans="1:57" ht="13" x14ac:dyDescent="0.15">
      <c r="A2423">
        <v>1839</v>
      </c>
      <c r="B2423">
        <v>283238167</v>
      </c>
      <c r="C2423" t="s">
        <v>2045</v>
      </c>
      <c r="D2423" s="7">
        <v>45554</v>
      </c>
      <c r="E2423" s="7">
        <v>45681</v>
      </c>
      <c r="F2423">
        <v>330862</v>
      </c>
      <c r="G2423" t="s">
        <v>983</v>
      </c>
      <c r="H2423" t="s">
        <v>9</v>
      </c>
      <c r="I2423" s="7">
        <v>45616</v>
      </c>
      <c r="J2423" s="8">
        <v>0.61391203703703701</v>
      </c>
      <c r="K2423" t="s">
        <v>984</v>
      </c>
      <c r="AQ2423" t="s">
        <v>985</v>
      </c>
      <c r="AR2423" t="s">
        <v>1268</v>
      </c>
      <c r="AT2423" t="s">
        <v>987</v>
      </c>
      <c r="AZ2423" t="s">
        <v>1055</v>
      </c>
      <c r="BA2423" t="s">
        <v>1056</v>
      </c>
      <c r="BB2423" t="s">
        <v>1013</v>
      </c>
      <c r="BD2423" t="s">
        <v>1022</v>
      </c>
      <c r="BE2423" t="s">
        <v>2045</v>
      </c>
    </row>
    <row r="2424" spans="1:57" ht="13" x14ac:dyDescent="0.15">
      <c r="A2424">
        <v>1839</v>
      </c>
      <c r="B2424">
        <v>283238167</v>
      </c>
      <c r="C2424" t="s">
        <v>2045</v>
      </c>
      <c r="D2424" s="7">
        <v>45554</v>
      </c>
      <c r="E2424" s="7">
        <v>45681</v>
      </c>
      <c r="F2424">
        <v>330862</v>
      </c>
      <c r="G2424" t="s">
        <v>983</v>
      </c>
      <c r="H2424" t="s">
        <v>9</v>
      </c>
      <c r="I2424" s="7">
        <v>45616</v>
      </c>
      <c r="J2424" s="8">
        <v>0.6127893518518519</v>
      </c>
      <c r="K2424" t="s">
        <v>984</v>
      </c>
      <c r="AQ2424" t="s">
        <v>985</v>
      </c>
      <c r="AR2424" t="s">
        <v>1287</v>
      </c>
      <c r="AT2424" t="s">
        <v>987</v>
      </c>
      <c r="AZ2424" t="s">
        <v>1011</v>
      </c>
      <c r="BA2424" t="s">
        <v>1103</v>
      </c>
      <c r="BB2424" t="s">
        <v>1032</v>
      </c>
      <c r="BD2424" t="s">
        <v>1005</v>
      </c>
      <c r="BE2424" t="s">
        <v>2045</v>
      </c>
    </row>
    <row r="2425" spans="1:57" ht="13" x14ac:dyDescent="0.15">
      <c r="A2425">
        <v>1839</v>
      </c>
      <c r="B2425">
        <v>283238167</v>
      </c>
      <c r="C2425" t="s">
        <v>2045</v>
      </c>
      <c r="D2425" s="7">
        <v>45554</v>
      </c>
      <c r="E2425" s="7">
        <v>45681</v>
      </c>
      <c r="F2425">
        <v>330862</v>
      </c>
      <c r="G2425" t="s">
        <v>983</v>
      </c>
      <c r="H2425" t="s">
        <v>9</v>
      </c>
      <c r="I2425" s="7">
        <v>45636</v>
      </c>
      <c r="J2425" s="8">
        <v>0.62630787037037039</v>
      </c>
      <c r="K2425" t="s">
        <v>984</v>
      </c>
      <c r="AQ2425" t="s">
        <v>985</v>
      </c>
      <c r="AR2425" t="s">
        <v>1131</v>
      </c>
      <c r="AT2425" t="s">
        <v>987</v>
      </c>
      <c r="AZ2425" t="s">
        <v>1020</v>
      </c>
      <c r="BA2425" t="s">
        <v>1021</v>
      </c>
      <c r="BB2425" t="s">
        <v>1018</v>
      </c>
      <c r="BD2425" t="s">
        <v>1022</v>
      </c>
      <c r="BE2425" t="s">
        <v>2045</v>
      </c>
    </row>
    <row r="2426" spans="1:57" ht="13" x14ac:dyDescent="0.15">
      <c r="A2426">
        <v>1839</v>
      </c>
      <c r="B2426">
        <v>283238167</v>
      </c>
      <c r="C2426" t="s">
        <v>2045</v>
      </c>
      <c r="D2426" s="7">
        <v>45554</v>
      </c>
      <c r="E2426" s="7">
        <v>45681</v>
      </c>
      <c r="F2426">
        <v>330862</v>
      </c>
      <c r="G2426" t="s">
        <v>983</v>
      </c>
      <c r="H2426" t="s">
        <v>9</v>
      </c>
      <c r="I2426" s="7">
        <v>45636</v>
      </c>
      <c r="J2426" s="8">
        <v>0.62547453703703704</v>
      </c>
      <c r="K2426" t="s">
        <v>984</v>
      </c>
      <c r="AQ2426" t="s">
        <v>985</v>
      </c>
      <c r="AR2426" t="s">
        <v>1209</v>
      </c>
      <c r="AT2426" t="s">
        <v>987</v>
      </c>
      <c r="AZ2426" t="s">
        <v>1024</v>
      </c>
      <c r="BA2426" t="s">
        <v>1025</v>
      </c>
      <c r="BB2426" t="s">
        <v>1026</v>
      </c>
      <c r="BD2426" t="s">
        <v>1022</v>
      </c>
      <c r="BE2426" t="s">
        <v>2045</v>
      </c>
    </row>
    <row r="2427" spans="1:57" ht="13" x14ac:dyDescent="0.15">
      <c r="A2427">
        <v>1839</v>
      </c>
      <c r="B2427">
        <v>283238167</v>
      </c>
      <c r="C2427" t="s">
        <v>2045</v>
      </c>
      <c r="D2427" s="7">
        <v>45554</v>
      </c>
      <c r="E2427" s="7">
        <v>45681</v>
      </c>
      <c r="F2427">
        <v>330862</v>
      </c>
      <c r="G2427" t="s">
        <v>983</v>
      </c>
      <c r="H2427" t="s">
        <v>9</v>
      </c>
      <c r="I2427" s="7">
        <v>45636</v>
      </c>
      <c r="J2427" s="8">
        <v>0.62366898148148153</v>
      </c>
      <c r="K2427" t="s">
        <v>984</v>
      </c>
      <c r="AQ2427" t="s">
        <v>985</v>
      </c>
      <c r="AR2427" t="s">
        <v>1122</v>
      </c>
      <c r="AT2427" t="s">
        <v>987</v>
      </c>
      <c r="AZ2427" t="s">
        <v>1028</v>
      </c>
      <c r="BA2427" t="s">
        <v>1029</v>
      </c>
      <c r="BB2427" t="s">
        <v>1018</v>
      </c>
      <c r="BD2427" t="s">
        <v>1022</v>
      </c>
      <c r="BE2427" t="s">
        <v>2045</v>
      </c>
    </row>
    <row r="2428" spans="1:57" ht="13" x14ac:dyDescent="0.15">
      <c r="A2428">
        <v>1839</v>
      </c>
      <c r="B2428">
        <v>283238167</v>
      </c>
      <c r="C2428" t="s">
        <v>2045</v>
      </c>
      <c r="D2428" s="7">
        <v>45554</v>
      </c>
      <c r="E2428" s="7">
        <v>45681</v>
      </c>
      <c r="F2428">
        <v>330862</v>
      </c>
      <c r="G2428" t="s">
        <v>983</v>
      </c>
      <c r="H2428" t="s">
        <v>9</v>
      </c>
      <c r="I2428" s="7">
        <v>45636</v>
      </c>
      <c r="J2428" s="8">
        <v>0.52736111111111106</v>
      </c>
      <c r="K2428" t="s">
        <v>984</v>
      </c>
      <c r="AQ2428" t="s">
        <v>985</v>
      </c>
      <c r="AR2428" t="s">
        <v>1096</v>
      </c>
      <c r="AT2428" t="s">
        <v>987</v>
      </c>
      <c r="AZ2428" t="s">
        <v>1011</v>
      </c>
      <c r="BA2428" t="s">
        <v>1031</v>
      </c>
      <c r="BB2428" t="s">
        <v>1032</v>
      </c>
      <c r="BD2428" t="s">
        <v>1005</v>
      </c>
      <c r="BE2428" t="s">
        <v>2045</v>
      </c>
    </row>
    <row r="2429" spans="1:57" ht="13" x14ac:dyDescent="0.15">
      <c r="A2429">
        <v>1839</v>
      </c>
      <c r="B2429">
        <v>283484324</v>
      </c>
      <c r="C2429" t="s">
        <v>625</v>
      </c>
      <c r="D2429" s="7">
        <v>45556</v>
      </c>
      <c r="E2429" s="7">
        <v>45706</v>
      </c>
      <c r="F2429">
        <v>330862</v>
      </c>
      <c r="G2429" t="s">
        <v>983</v>
      </c>
      <c r="H2429" t="s">
        <v>9</v>
      </c>
      <c r="I2429" s="7">
        <v>45642</v>
      </c>
      <c r="J2429" s="8">
        <v>0.64026620370370368</v>
      </c>
      <c r="K2429" t="s">
        <v>984</v>
      </c>
      <c r="AQ2429" t="s">
        <v>1273</v>
      </c>
      <c r="AR2429" t="s">
        <v>1106</v>
      </c>
      <c r="AT2429" t="s">
        <v>987</v>
      </c>
      <c r="AZ2429" t="s">
        <v>1020</v>
      </c>
      <c r="BA2429" t="s">
        <v>1021</v>
      </c>
      <c r="BB2429" t="s">
        <v>1018</v>
      </c>
      <c r="BD2429" t="s">
        <v>1022</v>
      </c>
      <c r="BE2429" t="s">
        <v>625</v>
      </c>
    </row>
    <row r="2430" spans="1:57" ht="13" x14ac:dyDescent="0.15">
      <c r="A2430">
        <v>1839</v>
      </c>
      <c r="B2430">
        <v>283484324</v>
      </c>
      <c r="C2430" t="s">
        <v>625</v>
      </c>
      <c r="D2430" s="7">
        <v>45556</v>
      </c>
      <c r="E2430" s="7">
        <v>45706</v>
      </c>
      <c r="F2430">
        <v>330862</v>
      </c>
      <c r="G2430" t="s">
        <v>983</v>
      </c>
      <c r="H2430" t="s">
        <v>9</v>
      </c>
      <c r="I2430" s="7">
        <v>45706</v>
      </c>
      <c r="J2430" s="8">
        <v>0.67891203703703706</v>
      </c>
      <c r="K2430" t="s">
        <v>984</v>
      </c>
      <c r="AQ2430" t="s">
        <v>1273</v>
      </c>
      <c r="AR2430" t="s">
        <v>1536</v>
      </c>
      <c r="AT2430" t="s">
        <v>987</v>
      </c>
      <c r="AZ2430" t="s">
        <v>1174</v>
      </c>
      <c r="BA2430" t="s">
        <v>1175</v>
      </c>
      <c r="BB2430" t="s">
        <v>990</v>
      </c>
      <c r="BD2430" t="s">
        <v>991</v>
      </c>
      <c r="BE2430" t="s">
        <v>625</v>
      </c>
    </row>
    <row r="2431" spans="1:57" ht="13" x14ac:dyDescent="0.15">
      <c r="A2431">
        <v>1839</v>
      </c>
      <c r="B2431">
        <v>283484324</v>
      </c>
      <c r="C2431" t="s">
        <v>625</v>
      </c>
      <c r="D2431" s="7">
        <v>45556</v>
      </c>
      <c r="E2431" s="7">
        <v>45706</v>
      </c>
      <c r="F2431">
        <v>330862</v>
      </c>
      <c r="G2431" t="s">
        <v>983</v>
      </c>
      <c r="H2431" t="s">
        <v>9</v>
      </c>
      <c r="I2431" s="7">
        <v>45699</v>
      </c>
      <c r="J2431" s="8">
        <v>0.57999999999999996</v>
      </c>
      <c r="K2431" t="s">
        <v>984</v>
      </c>
      <c r="AQ2431" t="s">
        <v>1273</v>
      </c>
      <c r="AR2431" t="s">
        <v>1066</v>
      </c>
      <c r="AT2431" t="s">
        <v>987</v>
      </c>
      <c r="AZ2431" t="s">
        <v>988</v>
      </c>
      <c r="BA2431" t="s">
        <v>989</v>
      </c>
      <c r="BB2431" t="s">
        <v>990</v>
      </c>
      <c r="BD2431" t="s">
        <v>991</v>
      </c>
      <c r="BE2431" t="s">
        <v>625</v>
      </c>
    </row>
    <row r="2432" spans="1:57" ht="13" x14ac:dyDescent="0.15">
      <c r="A2432">
        <v>1839</v>
      </c>
      <c r="B2432">
        <v>283484324</v>
      </c>
      <c r="C2432" t="s">
        <v>625</v>
      </c>
      <c r="D2432" s="7">
        <v>45556</v>
      </c>
      <c r="E2432" s="7">
        <v>45706</v>
      </c>
      <c r="F2432">
        <v>330862</v>
      </c>
      <c r="G2432" t="s">
        <v>983</v>
      </c>
      <c r="H2432" t="s">
        <v>9</v>
      </c>
      <c r="I2432" s="7">
        <v>45691</v>
      </c>
      <c r="J2432" s="8">
        <v>0.58008101851851857</v>
      </c>
      <c r="K2432" t="s">
        <v>984</v>
      </c>
      <c r="AQ2432" t="s">
        <v>1273</v>
      </c>
      <c r="AR2432" t="s">
        <v>1296</v>
      </c>
      <c r="AT2432" t="s">
        <v>987</v>
      </c>
      <c r="AZ2432" t="s">
        <v>1062</v>
      </c>
      <c r="BA2432" t="s">
        <v>1297</v>
      </c>
      <c r="BB2432" t="s">
        <v>1048</v>
      </c>
      <c r="BD2432" t="s">
        <v>991</v>
      </c>
      <c r="BE2432" t="s">
        <v>625</v>
      </c>
    </row>
    <row r="2433" spans="1:57" ht="13" x14ac:dyDescent="0.15">
      <c r="A2433">
        <v>1839</v>
      </c>
      <c r="B2433">
        <v>283484324</v>
      </c>
      <c r="C2433" t="s">
        <v>625</v>
      </c>
      <c r="D2433" s="7">
        <v>45556</v>
      </c>
      <c r="E2433" s="7">
        <v>45706</v>
      </c>
      <c r="F2433">
        <v>330862</v>
      </c>
      <c r="G2433" t="s">
        <v>983</v>
      </c>
      <c r="H2433" t="s">
        <v>9</v>
      </c>
      <c r="I2433" s="7">
        <v>45678</v>
      </c>
      <c r="J2433" s="8">
        <v>0.54679398148148151</v>
      </c>
      <c r="K2433" t="s">
        <v>984</v>
      </c>
      <c r="AQ2433" t="s">
        <v>1273</v>
      </c>
      <c r="AR2433" t="s">
        <v>1538</v>
      </c>
      <c r="AT2433" t="s">
        <v>987</v>
      </c>
      <c r="AZ2433" t="s">
        <v>1024</v>
      </c>
      <c r="BA2433" t="s">
        <v>1047</v>
      </c>
      <c r="BB2433" t="s">
        <v>1048</v>
      </c>
      <c r="BD2433" t="s">
        <v>1014</v>
      </c>
      <c r="BE2433" t="s">
        <v>625</v>
      </c>
    </row>
    <row r="2434" spans="1:57" ht="13" x14ac:dyDescent="0.15">
      <c r="A2434">
        <v>1839</v>
      </c>
      <c r="B2434">
        <v>283484324</v>
      </c>
      <c r="C2434" t="s">
        <v>625</v>
      </c>
      <c r="D2434" s="7">
        <v>45556</v>
      </c>
      <c r="E2434" s="7">
        <v>45706</v>
      </c>
      <c r="F2434">
        <v>330862</v>
      </c>
      <c r="G2434" t="s">
        <v>983</v>
      </c>
      <c r="H2434" t="s">
        <v>9</v>
      </c>
      <c r="I2434" s="7">
        <v>45615</v>
      </c>
      <c r="J2434" s="8">
        <v>0.6268055555555555</v>
      </c>
      <c r="K2434" t="s">
        <v>984</v>
      </c>
      <c r="AQ2434" t="s">
        <v>1337</v>
      </c>
      <c r="AR2434" t="s">
        <v>1539</v>
      </c>
      <c r="AT2434" t="s">
        <v>987</v>
      </c>
      <c r="BE2434" t="s">
        <v>625</v>
      </c>
    </row>
    <row r="2435" spans="1:57" ht="13" x14ac:dyDescent="0.15">
      <c r="A2435">
        <v>1839</v>
      </c>
      <c r="B2435">
        <v>283484324</v>
      </c>
      <c r="C2435" t="s">
        <v>625</v>
      </c>
      <c r="D2435" s="7">
        <v>45556</v>
      </c>
      <c r="E2435" s="7">
        <v>45706</v>
      </c>
      <c r="F2435">
        <v>330862</v>
      </c>
      <c r="G2435" t="s">
        <v>983</v>
      </c>
      <c r="H2435" t="s">
        <v>9</v>
      </c>
      <c r="I2435" s="7">
        <v>45706</v>
      </c>
      <c r="J2435" s="8">
        <v>0.6661111111111111</v>
      </c>
      <c r="K2435" t="s">
        <v>984</v>
      </c>
      <c r="AQ2435" t="s">
        <v>1273</v>
      </c>
      <c r="AR2435" t="s">
        <v>1624</v>
      </c>
      <c r="AT2435" t="s">
        <v>987</v>
      </c>
      <c r="AZ2435" t="s">
        <v>1220</v>
      </c>
      <c r="BA2435" t="s">
        <v>1221</v>
      </c>
      <c r="BB2435" t="s">
        <v>1082</v>
      </c>
      <c r="BD2435" t="s">
        <v>991</v>
      </c>
      <c r="BE2435" t="s">
        <v>625</v>
      </c>
    </row>
    <row r="2436" spans="1:57" ht="13" x14ac:dyDescent="0.15">
      <c r="A2436">
        <v>1839</v>
      </c>
      <c r="B2436">
        <v>283484324</v>
      </c>
      <c r="C2436" t="s">
        <v>625</v>
      </c>
      <c r="D2436" s="7">
        <v>45556</v>
      </c>
      <c r="E2436" s="7">
        <v>45706</v>
      </c>
      <c r="F2436">
        <v>330862</v>
      </c>
      <c r="G2436" t="s">
        <v>983</v>
      </c>
      <c r="H2436" t="s">
        <v>9</v>
      </c>
      <c r="I2436" s="7">
        <v>45671</v>
      </c>
      <c r="J2436" s="8">
        <v>0.90251157407407412</v>
      </c>
      <c r="K2436" t="s">
        <v>984</v>
      </c>
      <c r="AQ2436" t="s">
        <v>1273</v>
      </c>
      <c r="AR2436" t="s">
        <v>1477</v>
      </c>
      <c r="AT2436" t="s">
        <v>987</v>
      </c>
      <c r="AZ2436" t="s">
        <v>1016</v>
      </c>
      <c r="BA2436" t="s">
        <v>1017</v>
      </c>
      <c r="BB2436" t="s">
        <v>1018</v>
      </c>
      <c r="BD2436" t="s">
        <v>991</v>
      </c>
      <c r="BE2436" t="s">
        <v>625</v>
      </c>
    </row>
    <row r="2437" spans="1:57" ht="13" x14ac:dyDescent="0.15">
      <c r="A2437">
        <v>1839</v>
      </c>
      <c r="B2437">
        <v>283484324</v>
      </c>
      <c r="C2437" t="s">
        <v>625</v>
      </c>
      <c r="D2437" s="7">
        <v>45556</v>
      </c>
      <c r="E2437" s="7">
        <v>45706</v>
      </c>
      <c r="F2437">
        <v>330862</v>
      </c>
      <c r="G2437" t="s">
        <v>983</v>
      </c>
      <c r="H2437" t="s">
        <v>9</v>
      </c>
      <c r="I2437" s="7">
        <v>45663</v>
      </c>
      <c r="J2437" s="8">
        <v>0.61664351851851851</v>
      </c>
      <c r="K2437" t="s">
        <v>984</v>
      </c>
      <c r="AQ2437" t="s">
        <v>1273</v>
      </c>
      <c r="AR2437" t="s">
        <v>1511</v>
      </c>
      <c r="AT2437" t="s">
        <v>987</v>
      </c>
      <c r="AZ2437" t="s">
        <v>1028</v>
      </c>
      <c r="BA2437" t="s">
        <v>1068</v>
      </c>
      <c r="BB2437" t="s">
        <v>1069</v>
      </c>
      <c r="BD2437" t="s">
        <v>1005</v>
      </c>
      <c r="BE2437" t="s">
        <v>625</v>
      </c>
    </row>
    <row r="2438" spans="1:57" ht="13" x14ac:dyDescent="0.15">
      <c r="A2438">
        <v>1839</v>
      </c>
      <c r="B2438">
        <v>283484324</v>
      </c>
      <c r="C2438" t="s">
        <v>625</v>
      </c>
      <c r="D2438" s="7">
        <v>45556</v>
      </c>
      <c r="E2438" s="7">
        <v>45706</v>
      </c>
      <c r="F2438">
        <v>330862</v>
      </c>
      <c r="G2438" t="s">
        <v>983</v>
      </c>
      <c r="H2438" t="s">
        <v>9</v>
      </c>
      <c r="I2438" s="7">
        <v>45706</v>
      </c>
      <c r="J2438" s="8">
        <v>0.67381944444444442</v>
      </c>
      <c r="K2438" t="s">
        <v>984</v>
      </c>
      <c r="AQ2438" t="s">
        <v>1273</v>
      </c>
      <c r="AR2438" t="s">
        <v>2046</v>
      </c>
      <c r="AT2438" t="s">
        <v>987</v>
      </c>
      <c r="AZ2438" t="s">
        <v>1011</v>
      </c>
      <c r="BA2438" t="s">
        <v>1012</v>
      </c>
      <c r="BB2438" t="s">
        <v>1013</v>
      </c>
      <c r="BD2438" t="s">
        <v>1014</v>
      </c>
      <c r="BE2438" t="s">
        <v>625</v>
      </c>
    </row>
    <row r="2439" spans="1:57" ht="13" x14ac:dyDescent="0.15">
      <c r="A2439">
        <v>1839</v>
      </c>
      <c r="B2439">
        <v>283520340</v>
      </c>
      <c r="C2439" t="s">
        <v>626</v>
      </c>
      <c r="D2439" s="7">
        <v>45557</v>
      </c>
      <c r="E2439" s="7">
        <v>45693</v>
      </c>
      <c r="F2439">
        <v>330862</v>
      </c>
      <c r="G2439" t="s">
        <v>983</v>
      </c>
      <c r="H2439" t="s">
        <v>9</v>
      </c>
      <c r="I2439" s="7">
        <v>45673</v>
      </c>
      <c r="J2439" s="8">
        <v>0.28001157407407407</v>
      </c>
      <c r="K2439" t="s">
        <v>984</v>
      </c>
      <c r="AQ2439" t="s">
        <v>998</v>
      </c>
      <c r="AR2439" t="s">
        <v>1663</v>
      </c>
      <c r="AT2439" t="s">
        <v>987</v>
      </c>
      <c r="AZ2439" t="s">
        <v>1016</v>
      </c>
      <c r="BA2439" t="s">
        <v>1017</v>
      </c>
      <c r="BB2439" t="s">
        <v>1018</v>
      </c>
      <c r="BD2439" t="s">
        <v>991</v>
      </c>
      <c r="BE2439" t="s">
        <v>626</v>
      </c>
    </row>
    <row r="2440" spans="1:57" ht="13" x14ac:dyDescent="0.15">
      <c r="A2440">
        <v>1839</v>
      </c>
      <c r="B2440">
        <v>283595323</v>
      </c>
      <c r="C2440" t="s">
        <v>627</v>
      </c>
      <c r="D2440" s="7">
        <v>45559</v>
      </c>
      <c r="E2440" s="7">
        <v>45673</v>
      </c>
      <c r="F2440">
        <v>330862</v>
      </c>
      <c r="G2440" t="s">
        <v>983</v>
      </c>
      <c r="H2440" t="s">
        <v>9</v>
      </c>
      <c r="I2440" s="7">
        <v>45673</v>
      </c>
      <c r="J2440" s="8">
        <v>0.3629398148148148</v>
      </c>
      <c r="K2440" t="s">
        <v>984</v>
      </c>
      <c r="AQ2440" t="s">
        <v>998</v>
      </c>
      <c r="AR2440" t="s">
        <v>1663</v>
      </c>
      <c r="AT2440" t="s">
        <v>987</v>
      </c>
      <c r="AZ2440" t="s">
        <v>1016</v>
      </c>
      <c r="BA2440" t="s">
        <v>1017</v>
      </c>
      <c r="BB2440" t="s">
        <v>1018</v>
      </c>
      <c r="BD2440" t="s">
        <v>991</v>
      </c>
      <c r="BE2440" t="s">
        <v>627</v>
      </c>
    </row>
    <row r="2441" spans="1:57" ht="13" x14ac:dyDescent="0.15">
      <c r="A2441">
        <v>1839</v>
      </c>
      <c r="B2441">
        <v>283602933</v>
      </c>
      <c r="C2441" t="s">
        <v>628</v>
      </c>
      <c r="D2441" s="7">
        <v>45559</v>
      </c>
      <c r="E2441" s="7">
        <v>45692</v>
      </c>
      <c r="F2441">
        <v>330862</v>
      </c>
      <c r="G2441" t="s">
        <v>983</v>
      </c>
      <c r="H2441" t="s">
        <v>9</v>
      </c>
      <c r="I2441" s="7">
        <v>45678</v>
      </c>
      <c r="J2441" s="8">
        <v>0.59895833333333337</v>
      </c>
      <c r="K2441" t="s">
        <v>984</v>
      </c>
      <c r="AQ2441" t="s">
        <v>998</v>
      </c>
      <c r="AR2441" t="s">
        <v>2047</v>
      </c>
      <c r="AT2441" t="s">
        <v>987</v>
      </c>
      <c r="AZ2441" t="s">
        <v>1044</v>
      </c>
      <c r="BA2441" t="s">
        <v>1045</v>
      </c>
      <c r="BB2441" t="s">
        <v>990</v>
      </c>
      <c r="BD2441" t="s">
        <v>991</v>
      </c>
      <c r="BE2441" t="s">
        <v>628</v>
      </c>
    </row>
    <row r="2442" spans="1:57" ht="13" x14ac:dyDescent="0.15">
      <c r="A2442">
        <v>1839</v>
      </c>
      <c r="B2442">
        <v>283639340</v>
      </c>
      <c r="C2442" t="s">
        <v>2048</v>
      </c>
      <c r="D2442" s="7">
        <v>45560</v>
      </c>
      <c r="E2442" s="7">
        <v>45574</v>
      </c>
      <c r="F2442">
        <v>336447</v>
      </c>
      <c r="G2442" t="s">
        <v>1074</v>
      </c>
      <c r="H2442" t="s">
        <v>26</v>
      </c>
      <c r="I2442" s="7">
        <v>45560</v>
      </c>
      <c r="J2442" s="8">
        <v>0.60486111111111107</v>
      </c>
      <c r="K2442" t="s">
        <v>984</v>
      </c>
      <c r="AQ2442" t="s">
        <v>1092</v>
      </c>
      <c r="AR2442" t="s">
        <v>1828</v>
      </c>
      <c r="BE2442" t="s">
        <v>2048</v>
      </c>
    </row>
    <row r="2443" spans="1:57" ht="13" x14ac:dyDescent="0.15">
      <c r="A2443">
        <v>1839</v>
      </c>
      <c r="B2443">
        <v>283824079</v>
      </c>
      <c r="C2443" t="s">
        <v>629</v>
      </c>
      <c r="D2443" s="7">
        <v>45565</v>
      </c>
      <c r="E2443" s="7">
        <v>45711</v>
      </c>
      <c r="F2443">
        <v>330862</v>
      </c>
      <c r="G2443" t="s">
        <v>983</v>
      </c>
      <c r="H2443" t="s">
        <v>9</v>
      </c>
      <c r="I2443" s="7">
        <v>45694</v>
      </c>
      <c r="J2443" s="8">
        <v>0.39894675925925926</v>
      </c>
      <c r="K2443" t="s">
        <v>984</v>
      </c>
      <c r="AQ2443" t="s">
        <v>1090</v>
      </c>
      <c r="AR2443" t="s">
        <v>1269</v>
      </c>
      <c r="AT2443" t="s">
        <v>987</v>
      </c>
      <c r="AZ2443" t="s">
        <v>1011</v>
      </c>
      <c r="BA2443" t="s">
        <v>1012</v>
      </c>
      <c r="BB2443" t="s">
        <v>1013</v>
      </c>
      <c r="BD2443" t="s">
        <v>1014</v>
      </c>
      <c r="BE2443" t="s">
        <v>629</v>
      </c>
    </row>
    <row r="2444" spans="1:57" ht="13" x14ac:dyDescent="0.15">
      <c r="A2444">
        <v>1839</v>
      </c>
      <c r="B2444">
        <v>283834572</v>
      </c>
      <c r="C2444" t="s">
        <v>2049</v>
      </c>
      <c r="D2444" s="7">
        <v>45565</v>
      </c>
      <c r="E2444" s="7">
        <v>45576</v>
      </c>
      <c r="F2444">
        <v>330862</v>
      </c>
      <c r="G2444" t="s">
        <v>983</v>
      </c>
      <c r="H2444" t="s">
        <v>9</v>
      </c>
      <c r="I2444" s="7">
        <v>45565</v>
      </c>
      <c r="J2444" s="8">
        <v>0.51982638888888888</v>
      </c>
      <c r="K2444" t="s">
        <v>984</v>
      </c>
      <c r="AQ2444" t="s">
        <v>1092</v>
      </c>
      <c r="AR2444" t="s">
        <v>1162</v>
      </c>
      <c r="AT2444" t="s">
        <v>987</v>
      </c>
      <c r="BE2444" t="s">
        <v>2049</v>
      </c>
    </row>
    <row r="2445" spans="1:57" ht="13" x14ac:dyDescent="0.15">
      <c r="A2445">
        <v>1839</v>
      </c>
      <c r="B2445">
        <v>284041268</v>
      </c>
      <c r="C2445" t="s">
        <v>630</v>
      </c>
      <c r="D2445" s="7">
        <v>45568</v>
      </c>
      <c r="E2445" s="7">
        <v>45700</v>
      </c>
      <c r="F2445">
        <v>330862</v>
      </c>
      <c r="G2445" t="s">
        <v>983</v>
      </c>
      <c r="H2445" t="s">
        <v>9</v>
      </c>
      <c r="I2445" s="7">
        <v>45700</v>
      </c>
      <c r="J2445" s="8">
        <v>0.8901041666666667</v>
      </c>
      <c r="K2445" t="s">
        <v>984</v>
      </c>
      <c r="AQ2445" t="s">
        <v>1089</v>
      </c>
      <c r="AR2445" t="s">
        <v>994</v>
      </c>
      <c r="AT2445" t="s">
        <v>987</v>
      </c>
      <c r="AZ2445" t="s">
        <v>1011</v>
      </c>
      <c r="BA2445" t="s">
        <v>1012</v>
      </c>
      <c r="BB2445" t="s">
        <v>1013</v>
      </c>
      <c r="BD2445" t="s">
        <v>1014</v>
      </c>
      <c r="BE2445" t="s">
        <v>630</v>
      </c>
    </row>
    <row r="2446" spans="1:57" ht="13" x14ac:dyDescent="0.15">
      <c r="A2446">
        <v>1839</v>
      </c>
      <c r="B2446">
        <v>284076252</v>
      </c>
      <c r="C2446" t="s">
        <v>2050</v>
      </c>
      <c r="D2446" s="7">
        <v>45570</v>
      </c>
      <c r="E2446" s="7">
        <v>45647</v>
      </c>
      <c r="F2446">
        <v>336444</v>
      </c>
      <c r="G2446" t="s">
        <v>995</v>
      </c>
      <c r="H2446" t="s">
        <v>12</v>
      </c>
      <c r="I2446" s="7">
        <v>45646</v>
      </c>
      <c r="J2446" s="8">
        <v>0.60890046296296296</v>
      </c>
      <c r="K2446" t="s">
        <v>984</v>
      </c>
      <c r="AQ2446" t="s">
        <v>996</v>
      </c>
      <c r="BE2446" t="s">
        <v>2050</v>
      </c>
    </row>
    <row r="2447" spans="1:57" ht="13" x14ac:dyDescent="0.15">
      <c r="A2447">
        <v>1839</v>
      </c>
      <c r="B2447">
        <v>284155605</v>
      </c>
      <c r="C2447" t="s">
        <v>631</v>
      </c>
      <c r="D2447" s="7">
        <v>45573</v>
      </c>
      <c r="E2447" s="7">
        <v>45693</v>
      </c>
      <c r="F2447">
        <v>336447</v>
      </c>
      <c r="G2447" t="s">
        <v>1074</v>
      </c>
      <c r="H2447" t="s">
        <v>26</v>
      </c>
      <c r="I2447" s="7">
        <v>45693</v>
      </c>
      <c r="J2447" s="8">
        <v>0.19378472222222223</v>
      </c>
      <c r="K2447" t="s">
        <v>984</v>
      </c>
      <c r="AQ2447" t="s">
        <v>1089</v>
      </c>
      <c r="AR2447" t="s">
        <v>2051</v>
      </c>
      <c r="BE2447" t="s">
        <v>631</v>
      </c>
    </row>
    <row r="2448" spans="1:57" ht="13" x14ac:dyDescent="0.15">
      <c r="A2448">
        <v>1839</v>
      </c>
      <c r="B2448">
        <v>284230552</v>
      </c>
      <c r="C2448" t="s">
        <v>632</v>
      </c>
      <c r="D2448" s="7">
        <v>45575</v>
      </c>
      <c r="E2448" s="7">
        <v>45692</v>
      </c>
      <c r="F2448">
        <v>330862</v>
      </c>
      <c r="G2448" t="s">
        <v>983</v>
      </c>
      <c r="H2448" t="s">
        <v>9</v>
      </c>
      <c r="I2448" s="7">
        <v>45672</v>
      </c>
      <c r="J2448" s="8">
        <v>0.2192824074074074</v>
      </c>
      <c r="K2448" t="s">
        <v>984</v>
      </c>
      <c r="AQ2448" t="s">
        <v>1089</v>
      </c>
      <c r="AR2448" t="s">
        <v>2052</v>
      </c>
      <c r="AT2448" t="s">
        <v>987</v>
      </c>
      <c r="AZ2448" t="s">
        <v>1016</v>
      </c>
      <c r="BA2448" t="s">
        <v>1017</v>
      </c>
      <c r="BB2448" t="s">
        <v>1018</v>
      </c>
      <c r="BD2448" t="s">
        <v>991</v>
      </c>
      <c r="BE2448" t="s">
        <v>632</v>
      </c>
    </row>
    <row r="2449" spans="1:57" ht="13" x14ac:dyDescent="0.15">
      <c r="A2449">
        <v>1839</v>
      </c>
      <c r="B2449">
        <v>284271655</v>
      </c>
      <c r="C2449" t="s">
        <v>633</v>
      </c>
      <c r="D2449" s="7">
        <v>45576</v>
      </c>
      <c r="E2449" s="7">
        <v>45672</v>
      </c>
      <c r="F2449">
        <v>330862</v>
      </c>
      <c r="G2449" t="s">
        <v>983</v>
      </c>
      <c r="H2449" t="s">
        <v>9</v>
      </c>
      <c r="I2449" s="7">
        <v>45672</v>
      </c>
      <c r="J2449" s="8">
        <v>1.9293981481481481E-2</v>
      </c>
      <c r="K2449" t="s">
        <v>984</v>
      </c>
      <c r="AQ2449" t="s">
        <v>992</v>
      </c>
      <c r="AR2449" t="s">
        <v>2053</v>
      </c>
      <c r="AT2449" t="s">
        <v>987</v>
      </c>
      <c r="AZ2449" t="s">
        <v>1016</v>
      </c>
      <c r="BA2449" t="s">
        <v>1017</v>
      </c>
      <c r="BB2449" t="s">
        <v>1018</v>
      </c>
      <c r="BD2449" t="s">
        <v>991</v>
      </c>
      <c r="BE2449" t="s">
        <v>633</v>
      </c>
    </row>
    <row r="2450" spans="1:57" ht="13" x14ac:dyDescent="0.15">
      <c r="A2450">
        <v>1839</v>
      </c>
      <c r="B2450">
        <v>284284630</v>
      </c>
      <c r="C2450" t="s">
        <v>634</v>
      </c>
      <c r="D2450" s="7">
        <v>45577</v>
      </c>
      <c r="E2450" s="7">
        <v>45710</v>
      </c>
      <c r="F2450">
        <v>330862</v>
      </c>
      <c r="G2450" t="s">
        <v>983</v>
      </c>
      <c r="H2450" t="s">
        <v>9</v>
      </c>
      <c r="I2450" s="7">
        <v>45689</v>
      </c>
      <c r="J2450" s="8">
        <v>0.38027777777777777</v>
      </c>
      <c r="K2450" t="s">
        <v>984</v>
      </c>
      <c r="AQ2450" t="s">
        <v>2054</v>
      </c>
      <c r="AR2450" t="s">
        <v>2055</v>
      </c>
      <c r="AT2450" t="s">
        <v>987</v>
      </c>
      <c r="AZ2450" t="s">
        <v>1016</v>
      </c>
      <c r="BA2450" t="s">
        <v>1017</v>
      </c>
      <c r="BB2450" t="s">
        <v>1018</v>
      </c>
      <c r="BD2450" t="s">
        <v>991</v>
      </c>
      <c r="BE2450" t="s">
        <v>634</v>
      </c>
    </row>
    <row r="2451" spans="1:57" ht="13" x14ac:dyDescent="0.15">
      <c r="A2451">
        <v>1839</v>
      </c>
      <c r="B2451">
        <v>284317624</v>
      </c>
      <c r="C2451" t="s">
        <v>635</v>
      </c>
      <c r="D2451" s="7">
        <v>45578</v>
      </c>
      <c r="E2451" s="7">
        <v>45694</v>
      </c>
      <c r="F2451">
        <v>330862</v>
      </c>
      <c r="G2451" t="s">
        <v>983</v>
      </c>
      <c r="H2451" t="s">
        <v>9</v>
      </c>
      <c r="I2451" s="7">
        <v>45694</v>
      </c>
      <c r="J2451" s="8">
        <v>0.93803240740740745</v>
      </c>
      <c r="K2451" t="s">
        <v>984</v>
      </c>
      <c r="AQ2451" t="s">
        <v>1042</v>
      </c>
      <c r="AR2451" t="s">
        <v>986</v>
      </c>
      <c r="AT2451" t="s">
        <v>987</v>
      </c>
      <c r="AZ2451" t="s">
        <v>988</v>
      </c>
      <c r="BA2451" t="s">
        <v>989</v>
      </c>
      <c r="BB2451" t="s">
        <v>990</v>
      </c>
      <c r="BD2451" t="s">
        <v>991</v>
      </c>
      <c r="BE2451" t="s">
        <v>635</v>
      </c>
    </row>
    <row r="2452" spans="1:57" ht="13" x14ac:dyDescent="0.15">
      <c r="A2452">
        <v>1839</v>
      </c>
      <c r="B2452">
        <v>284480741</v>
      </c>
      <c r="C2452" t="s">
        <v>2056</v>
      </c>
      <c r="D2452" s="7">
        <v>45583</v>
      </c>
      <c r="E2452" s="7">
        <v>45620</v>
      </c>
      <c r="F2452">
        <v>330862</v>
      </c>
      <c r="G2452" t="s">
        <v>983</v>
      </c>
      <c r="H2452" t="s">
        <v>9</v>
      </c>
      <c r="I2452" s="7">
        <v>45617</v>
      </c>
      <c r="J2452" s="8">
        <v>0.23432870370370371</v>
      </c>
      <c r="K2452" t="s">
        <v>984</v>
      </c>
      <c r="AQ2452" t="s">
        <v>992</v>
      </c>
      <c r="AR2452" t="s">
        <v>2057</v>
      </c>
      <c r="AT2452" t="s">
        <v>987</v>
      </c>
      <c r="AZ2452" t="s">
        <v>1055</v>
      </c>
      <c r="BA2452" t="s">
        <v>1056</v>
      </c>
      <c r="BB2452" t="s">
        <v>1013</v>
      </c>
      <c r="BD2452" t="s">
        <v>1022</v>
      </c>
      <c r="BE2452" t="s">
        <v>2056</v>
      </c>
    </row>
    <row r="2453" spans="1:57" ht="13" x14ac:dyDescent="0.15">
      <c r="A2453">
        <v>1839</v>
      </c>
      <c r="B2453">
        <v>284480995</v>
      </c>
      <c r="C2453" t="s">
        <v>636</v>
      </c>
      <c r="D2453" s="7">
        <v>45583</v>
      </c>
      <c r="E2453" s="7">
        <v>45700</v>
      </c>
      <c r="F2453">
        <v>330862</v>
      </c>
      <c r="G2453" t="s">
        <v>983</v>
      </c>
      <c r="H2453" t="s">
        <v>9</v>
      </c>
      <c r="I2453" s="7">
        <v>45697</v>
      </c>
      <c r="J2453" s="8">
        <v>0.48944444444444446</v>
      </c>
      <c r="K2453" t="s">
        <v>984</v>
      </c>
      <c r="AQ2453" t="s">
        <v>985</v>
      </c>
      <c r="AR2453" t="s">
        <v>1285</v>
      </c>
      <c r="AT2453" t="s">
        <v>987</v>
      </c>
      <c r="AZ2453" t="s">
        <v>988</v>
      </c>
      <c r="BA2453" t="s">
        <v>989</v>
      </c>
      <c r="BB2453" t="s">
        <v>990</v>
      </c>
      <c r="BD2453" t="s">
        <v>991</v>
      </c>
      <c r="BE2453" t="s">
        <v>636</v>
      </c>
    </row>
    <row r="2454" spans="1:57" ht="13" x14ac:dyDescent="0.15">
      <c r="A2454">
        <v>1839</v>
      </c>
      <c r="B2454">
        <v>284481051</v>
      </c>
      <c r="C2454" t="s">
        <v>637</v>
      </c>
      <c r="D2454" s="7">
        <v>45583</v>
      </c>
      <c r="E2454" s="7">
        <v>45705</v>
      </c>
      <c r="F2454">
        <v>330862</v>
      </c>
      <c r="G2454" t="s">
        <v>983</v>
      </c>
      <c r="H2454" t="s">
        <v>9</v>
      </c>
      <c r="I2454" s="7">
        <v>45701</v>
      </c>
      <c r="J2454" s="8">
        <v>7.8645833333333331E-2</v>
      </c>
      <c r="K2454" t="s">
        <v>984</v>
      </c>
      <c r="AQ2454" t="s">
        <v>1261</v>
      </c>
      <c r="AR2454" t="s">
        <v>2058</v>
      </c>
      <c r="AT2454" t="s">
        <v>987</v>
      </c>
      <c r="AZ2454" t="s">
        <v>988</v>
      </c>
      <c r="BA2454" t="s">
        <v>989</v>
      </c>
      <c r="BB2454" t="s">
        <v>990</v>
      </c>
      <c r="BD2454" t="s">
        <v>991</v>
      </c>
      <c r="BE2454" t="s">
        <v>637</v>
      </c>
    </row>
    <row r="2455" spans="1:57" ht="13" x14ac:dyDescent="0.15">
      <c r="A2455">
        <v>1839</v>
      </c>
      <c r="B2455">
        <v>284481166</v>
      </c>
      <c r="C2455" t="s">
        <v>2059</v>
      </c>
      <c r="D2455" s="7">
        <v>45583</v>
      </c>
      <c r="E2455" s="7">
        <v>45708</v>
      </c>
      <c r="F2455">
        <v>330862</v>
      </c>
      <c r="G2455" t="s">
        <v>983</v>
      </c>
      <c r="H2455" t="s">
        <v>9</v>
      </c>
      <c r="I2455" s="7">
        <v>45616</v>
      </c>
      <c r="J2455" s="8">
        <v>0.71734953703703708</v>
      </c>
      <c r="K2455" t="s">
        <v>984</v>
      </c>
      <c r="AQ2455" t="s">
        <v>1092</v>
      </c>
      <c r="AR2455" t="s">
        <v>2060</v>
      </c>
      <c r="AT2455" t="s">
        <v>987</v>
      </c>
      <c r="AZ2455" t="s">
        <v>1055</v>
      </c>
      <c r="BA2455" t="s">
        <v>1056</v>
      </c>
      <c r="BB2455" t="s">
        <v>1013</v>
      </c>
      <c r="BD2455" t="s">
        <v>1022</v>
      </c>
      <c r="BE2455" t="s">
        <v>2059</v>
      </c>
    </row>
    <row r="2456" spans="1:57" ht="13" x14ac:dyDescent="0.15">
      <c r="A2456">
        <v>1839</v>
      </c>
      <c r="B2456">
        <v>284481387</v>
      </c>
      <c r="C2456" t="s">
        <v>2061</v>
      </c>
      <c r="D2456" s="7">
        <v>45583</v>
      </c>
      <c r="E2456" s="7">
        <v>45679</v>
      </c>
      <c r="F2456">
        <v>330862</v>
      </c>
      <c r="G2456" t="s">
        <v>983</v>
      </c>
      <c r="H2456" t="s">
        <v>9</v>
      </c>
      <c r="I2456" s="7">
        <v>45637</v>
      </c>
      <c r="J2456" s="8">
        <v>0.47435185185185186</v>
      </c>
      <c r="K2456" t="s">
        <v>984</v>
      </c>
      <c r="AQ2456" t="s">
        <v>1113</v>
      </c>
      <c r="AR2456" t="s">
        <v>2062</v>
      </c>
      <c r="AT2456" t="s">
        <v>987</v>
      </c>
      <c r="AZ2456" t="s">
        <v>1011</v>
      </c>
      <c r="BA2456" t="s">
        <v>1031</v>
      </c>
      <c r="BB2456" t="s">
        <v>1032</v>
      </c>
      <c r="BD2456" t="s">
        <v>1005</v>
      </c>
      <c r="BE2456" t="s">
        <v>2061</v>
      </c>
    </row>
    <row r="2457" spans="1:57" ht="13" x14ac:dyDescent="0.15">
      <c r="A2457">
        <v>1839</v>
      </c>
      <c r="B2457">
        <v>284481637</v>
      </c>
      <c r="C2457" t="s">
        <v>2063</v>
      </c>
      <c r="D2457" s="7">
        <v>45583</v>
      </c>
      <c r="E2457" s="7">
        <v>45619</v>
      </c>
      <c r="F2457">
        <v>330862</v>
      </c>
      <c r="G2457" t="s">
        <v>983</v>
      </c>
      <c r="H2457" t="s">
        <v>9</v>
      </c>
      <c r="I2457" s="7">
        <v>45617</v>
      </c>
      <c r="J2457" s="8">
        <v>0.43616898148148148</v>
      </c>
      <c r="K2457" t="s">
        <v>984</v>
      </c>
      <c r="AQ2457" t="s">
        <v>992</v>
      </c>
      <c r="AR2457" t="s">
        <v>2057</v>
      </c>
      <c r="AT2457" t="s">
        <v>987</v>
      </c>
      <c r="AZ2457" t="s">
        <v>1055</v>
      </c>
      <c r="BA2457" t="s">
        <v>1056</v>
      </c>
      <c r="BB2457" t="s">
        <v>1013</v>
      </c>
      <c r="BD2457" t="s">
        <v>1022</v>
      </c>
      <c r="BE2457" t="s">
        <v>2063</v>
      </c>
    </row>
    <row r="2458" spans="1:57" ht="13" x14ac:dyDescent="0.15">
      <c r="A2458">
        <v>1839</v>
      </c>
      <c r="B2458">
        <v>284482502</v>
      </c>
      <c r="C2458" t="s">
        <v>638</v>
      </c>
      <c r="D2458" s="7">
        <v>45583</v>
      </c>
      <c r="E2458" s="7">
        <v>45678</v>
      </c>
      <c r="F2458">
        <v>330862</v>
      </c>
      <c r="G2458" t="s">
        <v>983</v>
      </c>
      <c r="H2458" t="s">
        <v>9</v>
      </c>
      <c r="I2458" s="7">
        <v>45674</v>
      </c>
      <c r="J2458" s="8">
        <v>0.64459490740740744</v>
      </c>
      <c r="K2458" t="s">
        <v>984</v>
      </c>
      <c r="AQ2458" t="s">
        <v>998</v>
      </c>
      <c r="AR2458" t="s">
        <v>1752</v>
      </c>
      <c r="AT2458" t="s">
        <v>987</v>
      </c>
      <c r="AZ2458" t="s">
        <v>1007</v>
      </c>
      <c r="BA2458" t="s">
        <v>1008</v>
      </c>
      <c r="BB2458" t="s">
        <v>990</v>
      </c>
      <c r="BD2458" t="s">
        <v>1005</v>
      </c>
      <c r="BE2458" t="s">
        <v>638</v>
      </c>
    </row>
    <row r="2459" spans="1:57" ht="13" x14ac:dyDescent="0.15">
      <c r="A2459">
        <v>1839</v>
      </c>
      <c r="B2459">
        <v>284482502</v>
      </c>
      <c r="C2459" t="s">
        <v>638</v>
      </c>
      <c r="D2459" s="7">
        <v>45583</v>
      </c>
      <c r="E2459" s="7">
        <v>45678</v>
      </c>
      <c r="F2459">
        <v>330862</v>
      </c>
      <c r="G2459" t="s">
        <v>983</v>
      </c>
      <c r="H2459" t="s">
        <v>9</v>
      </c>
      <c r="I2459" s="7">
        <v>45674</v>
      </c>
      <c r="J2459" s="8">
        <v>0.64391203703703703</v>
      </c>
      <c r="K2459" t="s">
        <v>984</v>
      </c>
      <c r="AQ2459" t="s">
        <v>998</v>
      </c>
      <c r="AR2459" t="s">
        <v>1751</v>
      </c>
      <c r="AT2459" t="s">
        <v>987</v>
      </c>
      <c r="AZ2459" t="s">
        <v>1002</v>
      </c>
      <c r="BA2459" t="s">
        <v>1003</v>
      </c>
      <c r="BB2459" t="s">
        <v>1004</v>
      </c>
      <c r="BD2459" t="s">
        <v>1005</v>
      </c>
      <c r="BE2459" t="s">
        <v>638</v>
      </c>
    </row>
    <row r="2460" spans="1:57" ht="13" x14ac:dyDescent="0.15">
      <c r="A2460">
        <v>1839</v>
      </c>
      <c r="B2460">
        <v>284482682</v>
      </c>
      <c r="C2460" t="s">
        <v>639</v>
      </c>
      <c r="D2460" s="7">
        <v>45583</v>
      </c>
      <c r="E2460" s="7">
        <v>45708</v>
      </c>
      <c r="F2460">
        <v>330862</v>
      </c>
      <c r="G2460" t="s">
        <v>983</v>
      </c>
      <c r="H2460" t="s">
        <v>9</v>
      </c>
      <c r="I2460" s="7">
        <v>45694</v>
      </c>
      <c r="J2460" s="8">
        <v>0.37744212962962964</v>
      </c>
      <c r="K2460" t="s">
        <v>984</v>
      </c>
      <c r="AQ2460" t="s">
        <v>992</v>
      </c>
      <c r="AR2460" t="s">
        <v>993</v>
      </c>
      <c r="AT2460" t="s">
        <v>987</v>
      </c>
      <c r="AZ2460" t="s">
        <v>988</v>
      </c>
      <c r="BA2460" t="s">
        <v>989</v>
      </c>
      <c r="BB2460" t="s">
        <v>990</v>
      </c>
      <c r="BD2460" t="s">
        <v>991</v>
      </c>
      <c r="BE2460" t="s">
        <v>639</v>
      </c>
    </row>
    <row r="2461" spans="1:57" ht="13" x14ac:dyDescent="0.15">
      <c r="A2461">
        <v>1839</v>
      </c>
      <c r="B2461">
        <v>284483247</v>
      </c>
      <c r="C2461" t="s">
        <v>2064</v>
      </c>
      <c r="D2461" s="7">
        <v>45583</v>
      </c>
      <c r="E2461" s="7">
        <v>45624</v>
      </c>
      <c r="F2461">
        <v>330862</v>
      </c>
      <c r="G2461" t="s">
        <v>983</v>
      </c>
      <c r="H2461" t="s">
        <v>9</v>
      </c>
      <c r="I2461" s="7">
        <v>45621</v>
      </c>
      <c r="J2461" s="8">
        <v>0.50623842592592594</v>
      </c>
      <c r="K2461" t="s">
        <v>984</v>
      </c>
      <c r="AQ2461" t="s">
        <v>1092</v>
      </c>
      <c r="AR2461" t="s">
        <v>2065</v>
      </c>
      <c r="AT2461" t="s">
        <v>987</v>
      </c>
      <c r="AZ2461" t="s">
        <v>1182</v>
      </c>
      <c r="BA2461" t="s">
        <v>1185</v>
      </c>
      <c r="BB2461" t="s">
        <v>1026</v>
      </c>
      <c r="BD2461" t="s">
        <v>1022</v>
      </c>
      <c r="BE2461" t="s">
        <v>2064</v>
      </c>
    </row>
    <row r="2462" spans="1:57" ht="13" x14ac:dyDescent="0.15">
      <c r="A2462">
        <v>1839</v>
      </c>
      <c r="B2462">
        <v>284531924</v>
      </c>
      <c r="C2462" t="s">
        <v>640</v>
      </c>
      <c r="D2462" s="7">
        <v>45585</v>
      </c>
      <c r="E2462" s="7">
        <v>45692</v>
      </c>
      <c r="F2462">
        <v>330862</v>
      </c>
      <c r="G2462" t="s">
        <v>983</v>
      </c>
      <c r="H2462" t="s">
        <v>9</v>
      </c>
      <c r="I2462" s="7">
        <v>45692</v>
      </c>
      <c r="J2462" s="8">
        <v>0.85775462962962967</v>
      </c>
      <c r="K2462" t="s">
        <v>984</v>
      </c>
      <c r="AQ2462" t="s">
        <v>992</v>
      </c>
      <c r="AR2462" t="s">
        <v>1060</v>
      </c>
      <c r="AT2462" t="s">
        <v>987</v>
      </c>
      <c r="AZ2462" t="s">
        <v>1016</v>
      </c>
      <c r="BA2462" t="s">
        <v>1017</v>
      </c>
      <c r="BB2462" t="s">
        <v>1018</v>
      </c>
      <c r="BD2462" t="s">
        <v>991</v>
      </c>
      <c r="BE2462" t="s">
        <v>640</v>
      </c>
    </row>
    <row r="2463" spans="1:57" ht="13" x14ac:dyDescent="0.15">
      <c r="A2463">
        <v>1839</v>
      </c>
      <c r="B2463">
        <v>284533329</v>
      </c>
      <c r="C2463" t="s">
        <v>641</v>
      </c>
      <c r="D2463" s="7">
        <v>45585</v>
      </c>
      <c r="E2463" s="7">
        <v>45672</v>
      </c>
      <c r="F2463">
        <v>330862</v>
      </c>
      <c r="G2463" t="s">
        <v>983</v>
      </c>
      <c r="H2463" t="s">
        <v>9</v>
      </c>
      <c r="I2463" s="7">
        <v>45672</v>
      </c>
      <c r="J2463" s="8">
        <v>0.91019675925925925</v>
      </c>
      <c r="K2463" t="s">
        <v>984</v>
      </c>
      <c r="AQ2463" t="s">
        <v>1090</v>
      </c>
      <c r="AR2463" t="s">
        <v>1274</v>
      </c>
      <c r="AT2463" t="s">
        <v>987</v>
      </c>
      <c r="AZ2463" t="s">
        <v>1016</v>
      </c>
      <c r="BA2463" t="s">
        <v>1017</v>
      </c>
      <c r="BB2463" t="s">
        <v>1018</v>
      </c>
      <c r="BD2463" t="s">
        <v>991</v>
      </c>
      <c r="BE2463" t="s">
        <v>641</v>
      </c>
    </row>
    <row r="2464" spans="1:57" ht="13" x14ac:dyDescent="0.15">
      <c r="A2464">
        <v>1839</v>
      </c>
      <c r="B2464">
        <v>284551516</v>
      </c>
      <c r="C2464" t="s">
        <v>2066</v>
      </c>
      <c r="D2464" s="7">
        <v>45586</v>
      </c>
      <c r="E2464" s="7">
        <v>45682</v>
      </c>
      <c r="F2464">
        <v>330862</v>
      </c>
      <c r="G2464" t="s">
        <v>983</v>
      </c>
      <c r="H2464" t="s">
        <v>9</v>
      </c>
      <c r="I2464" s="7">
        <v>45586</v>
      </c>
      <c r="J2464" s="8">
        <v>0.43442129629629628</v>
      </c>
      <c r="K2464" t="s">
        <v>984</v>
      </c>
      <c r="AQ2464" t="s">
        <v>1089</v>
      </c>
      <c r="AR2464" t="s">
        <v>1100</v>
      </c>
      <c r="AT2464" t="s">
        <v>987</v>
      </c>
      <c r="BE2464" t="s">
        <v>2066</v>
      </c>
    </row>
    <row r="2465" spans="1:57" ht="13" x14ac:dyDescent="0.15">
      <c r="A2465">
        <v>1839</v>
      </c>
      <c r="B2465">
        <v>284983498</v>
      </c>
      <c r="C2465" t="s">
        <v>2067</v>
      </c>
      <c r="D2465" s="7">
        <v>45600</v>
      </c>
      <c r="E2465" s="7">
        <v>45712</v>
      </c>
      <c r="F2465">
        <v>330862</v>
      </c>
      <c r="G2465" t="s">
        <v>983</v>
      </c>
      <c r="H2465" t="s">
        <v>9</v>
      </c>
      <c r="I2465" s="7">
        <v>45712</v>
      </c>
      <c r="J2465" s="8">
        <v>0.4931712962962963</v>
      </c>
      <c r="K2465" t="s">
        <v>984</v>
      </c>
      <c r="AQ2465" t="s">
        <v>992</v>
      </c>
      <c r="AR2465" t="s">
        <v>1763</v>
      </c>
      <c r="AT2465" t="s">
        <v>987</v>
      </c>
      <c r="AZ2465" t="s">
        <v>1011</v>
      </c>
      <c r="BA2465" t="s">
        <v>1012</v>
      </c>
      <c r="BB2465" t="s">
        <v>1013</v>
      </c>
      <c r="BD2465" t="s">
        <v>1014</v>
      </c>
      <c r="BE2465" t="s">
        <v>2067</v>
      </c>
    </row>
    <row r="2466" spans="1:57" ht="13" x14ac:dyDescent="0.15">
      <c r="A2466">
        <v>1839</v>
      </c>
      <c r="B2466">
        <v>284983498</v>
      </c>
      <c r="C2466" t="s">
        <v>2067</v>
      </c>
      <c r="D2466" s="7">
        <v>45600</v>
      </c>
      <c r="E2466" s="7">
        <v>45712</v>
      </c>
      <c r="F2466">
        <v>330862</v>
      </c>
      <c r="G2466" t="s">
        <v>983</v>
      </c>
      <c r="H2466" t="s">
        <v>9</v>
      </c>
      <c r="I2466" s="7">
        <v>45712</v>
      </c>
      <c r="J2466" s="8">
        <v>0.49494212962962963</v>
      </c>
      <c r="K2466" t="s">
        <v>984</v>
      </c>
      <c r="AQ2466" t="s">
        <v>992</v>
      </c>
      <c r="AR2466" t="s">
        <v>1228</v>
      </c>
      <c r="AT2466" t="s">
        <v>987</v>
      </c>
      <c r="AZ2466" t="s">
        <v>1220</v>
      </c>
      <c r="BA2466" t="s">
        <v>1221</v>
      </c>
      <c r="BB2466" t="s">
        <v>1082</v>
      </c>
      <c r="BD2466" t="s">
        <v>991</v>
      </c>
      <c r="BE2466" t="s">
        <v>2067</v>
      </c>
    </row>
    <row r="2467" spans="1:57" ht="13" x14ac:dyDescent="0.15">
      <c r="A2467">
        <v>1839</v>
      </c>
      <c r="B2467">
        <v>284983498</v>
      </c>
      <c r="C2467" t="s">
        <v>2067</v>
      </c>
      <c r="D2467" s="7">
        <v>45600</v>
      </c>
      <c r="E2467" s="7">
        <v>45712</v>
      </c>
      <c r="F2467">
        <v>330862</v>
      </c>
      <c r="G2467" t="s">
        <v>983</v>
      </c>
      <c r="H2467" t="s">
        <v>9</v>
      </c>
      <c r="I2467" s="7">
        <v>45712</v>
      </c>
      <c r="J2467" s="8">
        <v>0.48961805555555554</v>
      </c>
      <c r="K2467" t="s">
        <v>984</v>
      </c>
      <c r="AQ2467" t="s">
        <v>992</v>
      </c>
      <c r="AR2467" t="s">
        <v>2068</v>
      </c>
      <c r="AT2467" t="s">
        <v>987</v>
      </c>
      <c r="AZ2467" t="s">
        <v>1016</v>
      </c>
      <c r="BA2467" t="s">
        <v>1017</v>
      </c>
      <c r="BB2467" t="s">
        <v>1018</v>
      </c>
      <c r="BD2467" t="s">
        <v>991</v>
      </c>
      <c r="BE2467" t="s">
        <v>2067</v>
      </c>
    </row>
    <row r="2468" spans="1:57" ht="13" x14ac:dyDescent="0.15">
      <c r="A2468">
        <v>1839</v>
      </c>
      <c r="B2468">
        <v>285509458</v>
      </c>
      <c r="C2468" t="s">
        <v>642</v>
      </c>
      <c r="D2468" s="7">
        <v>45613</v>
      </c>
      <c r="E2468" s="7">
        <v>45709</v>
      </c>
      <c r="F2468">
        <v>330862</v>
      </c>
      <c r="G2468" t="s">
        <v>983</v>
      </c>
      <c r="H2468" t="s">
        <v>9</v>
      </c>
      <c r="I2468" s="7">
        <v>45617</v>
      </c>
      <c r="J2468" s="8">
        <v>0.14302083333333335</v>
      </c>
      <c r="K2468" t="s">
        <v>984</v>
      </c>
      <c r="AQ2468" t="s">
        <v>1113</v>
      </c>
      <c r="AR2468" t="s">
        <v>1447</v>
      </c>
      <c r="AT2468" t="s">
        <v>987</v>
      </c>
      <c r="BE2468" t="s">
        <v>642</v>
      </c>
    </row>
    <row r="2469" spans="1:57" ht="13" x14ac:dyDescent="0.15">
      <c r="A2469">
        <v>1839</v>
      </c>
      <c r="B2469">
        <v>285509458</v>
      </c>
      <c r="C2469" t="s">
        <v>642</v>
      </c>
      <c r="D2469" s="7">
        <v>45613</v>
      </c>
      <c r="E2469" s="7">
        <v>45709</v>
      </c>
      <c r="F2469">
        <v>330862</v>
      </c>
      <c r="G2469" t="s">
        <v>983</v>
      </c>
      <c r="H2469" t="s">
        <v>9</v>
      </c>
      <c r="I2469" s="7">
        <v>45699</v>
      </c>
      <c r="J2469" s="8">
        <v>0.27917824074074077</v>
      </c>
      <c r="K2469" t="s">
        <v>984</v>
      </c>
      <c r="AQ2469" t="s">
        <v>992</v>
      </c>
      <c r="AR2469" t="s">
        <v>994</v>
      </c>
      <c r="AT2469" t="s">
        <v>987</v>
      </c>
      <c r="BE2469" t="s">
        <v>642</v>
      </c>
    </row>
    <row r="2470" spans="1:57" ht="13" x14ac:dyDescent="0.15">
      <c r="A2470">
        <v>1839</v>
      </c>
      <c r="B2470">
        <v>285509458</v>
      </c>
      <c r="C2470" t="s">
        <v>642</v>
      </c>
      <c r="D2470" s="7">
        <v>45613</v>
      </c>
      <c r="E2470" s="7">
        <v>45709</v>
      </c>
      <c r="F2470">
        <v>330862</v>
      </c>
      <c r="G2470" t="s">
        <v>983</v>
      </c>
      <c r="H2470" t="s">
        <v>9</v>
      </c>
      <c r="I2470" s="7">
        <v>45702</v>
      </c>
      <c r="J2470" s="8">
        <v>0.31848379629629631</v>
      </c>
      <c r="K2470" t="s">
        <v>984</v>
      </c>
      <c r="AQ2470" t="s">
        <v>992</v>
      </c>
      <c r="AR2470" t="s">
        <v>1272</v>
      </c>
      <c r="AT2470" t="s">
        <v>987</v>
      </c>
      <c r="AZ2470" t="s">
        <v>1174</v>
      </c>
      <c r="BA2470" t="s">
        <v>1175</v>
      </c>
      <c r="BB2470" t="s">
        <v>990</v>
      </c>
      <c r="BD2470" t="s">
        <v>991</v>
      </c>
      <c r="BE2470" t="s">
        <v>642</v>
      </c>
    </row>
    <row r="2471" spans="1:57" ht="13" x14ac:dyDescent="0.15">
      <c r="A2471">
        <v>1839</v>
      </c>
      <c r="B2471">
        <v>285509458</v>
      </c>
      <c r="C2471" t="s">
        <v>642</v>
      </c>
      <c r="D2471" s="7">
        <v>45613</v>
      </c>
      <c r="E2471" s="7">
        <v>45709</v>
      </c>
      <c r="F2471">
        <v>330862</v>
      </c>
      <c r="G2471" t="s">
        <v>983</v>
      </c>
      <c r="H2471" t="s">
        <v>9</v>
      </c>
      <c r="I2471" s="7">
        <v>45702</v>
      </c>
      <c r="J2471" s="8">
        <v>0.31366898148148148</v>
      </c>
      <c r="K2471" t="s">
        <v>984</v>
      </c>
      <c r="AQ2471" t="s">
        <v>992</v>
      </c>
      <c r="AR2471" t="s">
        <v>1173</v>
      </c>
      <c r="AT2471" t="s">
        <v>987</v>
      </c>
      <c r="AZ2471" t="s">
        <v>1174</v>
      </c>
      <c r="BA2471" t="s">
        <v>1175</v>
      </c>
      <c r="BB2471" t="s">
        <v>990</v>
      </c>
      <c r="BD2471" t="s">
        <v>991</v>
      </c>
      <c r="BE2471" t="s">
        <v>642</v>
      </c>
    </row>
    <row r="2472" spans="1:57" ht="13" x14ac:dyDescent="0.15">
      <c r="A2472">
        <v>1839</v>
      </c>
      <c r="B2472">
        <v>285509458</v>
      </c>
      <c r="C2472" t="s">
        <v>642</v>
      </c>
      <c r="D2472" s="7">
        <v>45613</v>
      </c>
      <c r="E2472" s="7">
        <v>45709</v>
      </c>
      <c r="F2472">
        <v>330862</v>
      </c>
      <c r="G2472" t="s">
        <v>983</v>
      </c>
      <c r="H2472" t="s">
        <v>9</v>
      </c>
      <c r="I2472" s="7">
        <v>45702</v>
      </c>
      <c r="J2472" s="8">
        <v>0.30460648148148151</v>
      </c>
      <c r="K2472" t="s">
        <v>984</v>
      </c>
      <c r="AQ2472" t="s">
        <v>992</v>
      </c>
      <c r="AR2472" t="s">
        <v>1480</v>
      </c>
      <c r="AT2472" t="s">
        <v>987</v>
      </c>
      <c r="AZ2472" t="s">
        <v>1028</v>
      </c>
      <c r="BA2472" t="s">
        <v>1037</v>
      </c>
      <c r="BB2472" t="s">
        <v>1038</v>
      </c>
      <c r="BD2472" t="s">
        <v>991</v>
      </c>
      <c r="BE2472" t="s">
        <v>642</v>
      </c>
    </row>
    <row r="2473" spans="1:57" ht="13" x14ac:dyDescent="0.15">
      <c r="A2473">
        <v>1839</v>
      </c>
      <c r="B2473">
        <v>285509458</v>
      </c>
      <c r="C2473" t="s">
        <v>642</v>
      </c>
      <c r="D2473" s="7">
        <v>45613</v>
      </c>
      <c r="E2473" s="7">
        <v>45709</v>
      </c>
      <c r="F2473">
        <v>330862</v>
      </c>
      <c r="G2473" t="s">
        <v>983</v>
      </c>
      <c r="H2473" t="s">
        <v>9</v>
      </c>
      <c r="I2473" s="7">
        <v>45702</v>
      </c>
      <c r="J2473" s="8">
        <v>0.3037037037037037</v>
      </c>
      <c r="K2473" t="s">
        <v>984</v>
      </c>
      <c r="AQ2473" t="s">
        <v>992</v>
      </c>
      <c r="AR2473" t="s">
        <v>1079</v>
      </c>
      <c r="AT2473" t="s">
        <v>987</v>
      </c>
      <c r="AZ2473" t="s">
        <v>1080</v>
      </c>
      <c r="BA2473" t="s">
        <v>1081</v>
      </c>
      <c r="BB2473" t="s">
        <v>1082</v>
      </c>
      <c r="BD2473" t="s">
        <v>991</v>
      </c>
      <c r="BE2473" t="s">
        <v>642</v>
      </c>
    </row>
    <row r="2474" spans="1:57" ht="13" x14ac:dyDescent="0.15">
      <c r="A2474">
        <v>1839</v>
      </c>
      <c r="B2474">
        <v>285509458</v>
      </c>
      <c r="C2474" t="s">
        <v>642</v>
      </c>
      <c r="D2474" s="7">
        <v>45613</v>
      </c>
      <c r="E2474" s="7">
        <v>45709</v>
      </c>
      <c r="F2474">
        <v>330862</v>
      </c>
      <c r="G2474" t="s">
        <v>983</v>
      </c>
      <c r="H2474" t="s">
        <v>9</v>
      </c>
      <c r="I2474" s="7">
        <v>45702</v>
      </c>
      <c r="J2474" s="8">
        <v>0.30288194444444444</v>
      </c>
      <c r="K2474" t="s">
        <v>984</v>
      </c>
      <c r="AQ2474" t="s">
        <v>992</v>
      </c>
      <c r="AR2474" t="s">
        <v>2069</v>
      </c>
      <c r="AT2474" t="s">
        <v>987</v>
      </c>
      <c r="AZ2474" t="s">
        <v>1220</v>
      </c>
      <c r="BA2474" t="s">
        <v>1221</v>
      </c>
      <c r="BB2474" t="s">
        <v>1082</v>
      </c>
      <c r="BD2474" t="s">
        <v>991</v>
      </c>
      <c r="BE2474" t="s">
        <v>642</v>
      </c>
    </row>
    <row r="2475" spans="1:57" ht="13" x14ac:dyDescent="0.15">
      <c r="A2475">
        <v>1839</v>
      </c>
      <c r="B2475">
        <v>285509458</v>
      </c>
      <c r="C2475" t="s">
        <v>642</v>
      </c>
      <c r="D2475" s="7">
        <v>45613</v>
      </c>
      <c r="E2475" s="7">
        <v>45709</v>
      </c>
      <c r="F2475">
        <v>330862</v>
      </c>
      <c r="G2475" t="s">
        <v>983</v>
      </c>
      <c r="H2475" t="s">
        <v>9</v>
      </c>
      <c r="I2475" s="7">
        <v>45702</v>
      </c>
      <c r="J2475" s="8">
        <v>0.28817129629629629</v>
      </c>
      <c r="K2475" t="s">
        <v>984</v>
      </c>
      <c r="AQ2475" t="s">
        <v>992</v>
      </c>
      <c r="AR2475" t="s">
        <v>1697</v>
      </c>
      <c r="AT2475" t="s">
        <v>987</v>
      </c>
      <c r="AZ2475" t="s">
        <v>1182</v>
      </c>
      <c r="BA2475" t="s">
        <v>1183</v>
      </c>
      <c r="BB2475" t="s">
        <v>990</v>
      </c>
      <c r="BD2475" t="s">
        <v>991</v>
      </c>
      <c r="BE2475" t="s">
        <v>642</v>
      </c>
    </row>
    <row r="2476" spans="1:57" ht="13" x14ac:dyDescent="0.15">
      <c r="A2476">
        <v>1839</v>
      </c>
      <c r="B2476">
        <v>285509458</v>
      </c>
      <c r="C2476" t="s">
        <v>642</v>
      </c>
      <c r="D2476" s="7">
        <v>45613</v>
      </c>
      <c r="E2476" s="7">
        <v>45709</v>
      </c>
      <c r="F2476">
        <v>330862</v>
      </c>
      <c r="G2476" t="s">
        <v>983</v>
      </c>
      <c r="H2476" t="s">
        <v>9</v>
      </c>
      <c r="I2476" s="7">
        <v>45709</v>
      </c>
      <c r="J2476" s="8">
        <v>0.15837962962962962</v>
      </c>
      <c r="K2476" t="s">
        <v>984</v>
      </c>
      <c r="AQ2476" t="s">
        <v>992</v>
      </c>
      <c r="AR2476" t="s">
        <v>2070</v>
      </c>
      <c r="AT2476" t="s">
        <v>987</v>
      </c>
      <c r="AZ2476" t="s">
        <v>1182</v>
      </c>
      <c r="BA2476" t="s">
        <v>1185</v>
      </c>
      <c r="BB2476" t="s">
        <v>1026</v>
      </c>
      <c r="BD2476" t="s">
        <v>1022</v>
      </c>
      <c r="BE2476" t="s">
        <v>642</v>
      </c>
    </row>
    <row r="2477" spans="1:57" ht="13" x14ac:dyDescent="0.15">
      <c r="A2477">
        <v>1839</v>
      </c>
      <c r="B2477">
        <v>285509458</v>
      </c>
      <c r="C2477" t="s">
        <v>642</v>
      </c>
      <c r="D2477" s="7">
        <v>45613</v>
      </c>
      <c r="E2477" s="7">
        <v>45709</v>
      </c>
      <c r="F2477">
        <v>330862</v>
      </c>
      <c r="G2477" t="s">
        <v>983</v>
      </c>
      <c r="H2477" t="s">
        <v>9</v>
      </c>
      <c r="I2477" s="7">
        <v>45709</v>
      </c>
      <c r="J2477" s="8">
        <v>0.15410879629629629</v>
      </c>
      <c r="K2477" t="s">
        <v>984</v>
      </c>
      <c r="AQ2477" t="s">
        <v>992</v>
      </c>
      <c r="AR2477" t="s">
        <v>2071</v>
      </c>
      <c r="AT2477" t="s">
        <v>987</v>
      </c>
      <c r="AZ2477" t="s">
        <v>1174</v>
      </c>
      <c r="BA2477" t="s">
        <v>1242</v>
      </c>
      <c r="BB2477" t="s">
        <v>1026</v>
      </c>
      <c r="BD2477" t="s">
        <v>1005</v>
      </c>
      <c r="BE2477" t="s">
        <v>642</v>
      </c>
    </row>
    <row r="2478" spans="1:57" ht="13" x14ac:dyDescent="0.15">
      <c r="A2478">
        <v>1839</v>
      </c>
      <c r="B2478">
        <v>285509458</v>
      </c>
      <c r="C2478" t="s">
        <v>642</v>
      </c>
      <c r="D2478" s="7">
        <v>45613</v>
      </c>
      <c r="E2478" s="7">
        <v>45709</v>
      </c>
      <c r="F2478">
        <v>330862</v>
      </c>
      <c r="G2478" t="s">
        <v>983</v>
      </c>
      <c r="H2478" t="s">
        <v>9</v>
      </c>
      <c r="I2478" s="7">
        <v>45709</v>
      </c>
      <c r="J2478" s="8">
        <v>0.15107638888888889</v>
      </c>
      <c r="K2478" t="s">
        <v>984</v>
      </c>
      <c r="AQ2478" t="s">
        <v>992</v>
      </c>
      <c r="AR2478" t="s">
        <v>2072</v>
      </c>
      <c r="AT2478" t="s">
        <v>987</v>
      </c>
      <c r="AZ2478" t="s">
        <v>1028</v>
      </c>
      <c r="BA2478" t="s">
        <v>1236</v>
      </c>
      <c r="BB2478" t="s">
        <v>1237</v>
      </c>
      <c r="BD2478" t="s">
        <v>1005</v>
      </c>
      <c r="BE2478" t="s">
        <v>642</v>
      </c>
    </row>
    <row r="2479" spans="1:57" ht="13" x14ac:dyDescent="0.15">
      <c r="A2479">
        <v>1839</v>
      </c>
      <c r="B2479">
        <v>285509458</v>
      </c>
      <c r="C2479" t="s">
        <v>642</v>
      </c>
      <c r="D2479" s="7">
        <v>45613</v>
      </c>
      <c r="E2479" s="7">
        <v>45709</v>
      </c>
      <c r="F2479">
        <v>330862</v>
      </c>
      <c r="G2479" t="s">
        <v>983</v>
      </c>
      <c r="H2479" t="s">
        <v>9</v>
      </c>
      <c r="I2479" s="7">
        <v>45709</v>
      </c>
      <c r="J2479" s="8">
        <v>0.14349537037037038</v>
      </c>
      <c r="K2479" t="s">
        <v>984</v>
      </c>
      <c r="AQ2479" t="s">
        <v>992</v>
      </c>
      <c r="AR2479" t="s">
        <v>2073</v>
      </c>
      <c r="AT2479" t="s">
        <v>987</v>
      </c>
      <c r="AZ2479" t="s">
        <v>1139</v>
      </c>
      <c r="BA2479" t="s">
        <v>1140</v>
      </c>
      <c r="BB2479" t="s">
        <v>1032</v>
      </c>
      <c r="BD2479" t="s">
        <v>1005</v>
      </c>
      <c r="BE2479" t="s">
        <v>642</v>
      </c>
    </row>
    <row r="2480" spans="1:57" ht="13" x14ac:dyDescent="0.15">
      <c r="A2480">
        <v>1839</v>
      </c>
      <c r="B2480">
        <v>285509458</v>
      </c>
      <c r="C2480" t="s">
        <v>642</v>
      </c>
      <c r="D2480" s="7">
        <v>45613</v>
      </c>
      <c r="E2480" s="7">
        <v>45709</v>
      </c>
      <c r="F2480">
        <v>330862</v>
      </c>
      <c r="G2480" t="s">
        <v>983</v>
      </c>
      <c r="H2480" t="s">
        <v>9</v>
      </c>
      <c r="I2480" s="7">
        <v>45709</v>
      </c>
      <c r="J2480" s="8">
        <v>0.13159722222222223</v>
      </c>
      <c r="K2480" t="s">
        <v>984</v>
      </c>
      <c r="AQ2480" t="s">
        <v>992</v>
      </c>
      <c r="AR2480" t="s">
        <v>1181</v>
      </c>
      <c r="AT2480" t="s">
        <v>987</v>
      </c>
      <c r="AZ2480" t="s">
        <v>1182</v>
      </c>
      <c r="BA2480" t="s">
        <v>1183</v>
      </c>
      <c r="BB2480" t="s">
        <v>990</v>
      </c>
      <c r="BD2480" t="s">
        <v>991</v>
      </c>
      <c r="BE2480" t="s">
        <v>642</v>
      </c>
    </row>
    <row r="2481" spans="1:57" ht="13" x14ac:dyDescent="0.15">
      <c r="A2481">
        <v>1839</v>
      </c>
      <c r="B2481">
        <v>285509458</v>
      </c>
      <c r="C2481" t="s">
        <v>642</v>
      </c>
      <c r="D2481" s="7">
        <v>45613</v>
      </c>
      <c r="E2481" s="7">
        <v>45709</v>
      </c>
      <c r="F2481">
        <v>330862</v>
      </c>
      <c r="G2481" t="s">
        <v>983</v>
      </c>
      <c r="H2481" t="s">
        <v>9</v>
      </c>
      <c r="I2481" s="7">
        <v>45708</v>
      </c>
      <c r="J2481" s="8">
        <v>0.2865509259259259</v>
      </c>
      <c r="K2481" t="s">
        <v>984</v>
      </c>
      <c r="AQ2481" t="s">
        <v>992</v>
      </c>
      <c r="AR2481" t="s">
        <v>2074</v>
      </c>
      <c r="AT2481" t="s">
        <v>987</v>
      </c>
      <c r="AZ2481" t="s">
        <v>1493</v>
      </c>
      <c r="BA2481" t="s">
        <v>1494</v>
      </c>
      <c r="BB2481" t="s">
        <v>1495</v>
      </c>
      <c r="BD2481" t="s">
        <v>1005</v>
      </c>
      <c r="BE2481" t="s">
        <v>642</v>
      </c>
    </row>
    <row r="2482" spans="1:57" ht="13" x14ac:dyDescent="0.15">
      <c r="A2482">
        <v>1839</v>
      </c>
      <c r="B2482">
        <v>285509458</v>
      </c>
      <c r="C2482" t="s">
        <v>642</v>
      </c>
      <c r="D2482" s="7">
        <v>45613</v>
      </c>
      <c r="E2482" s="7">
        <v>45709</v>
      </c>
      <c r="F2482">
        <v>330862</v>
      </c>
      <c r="G2482" t="s">
        <v>983</v>
      </c>
      <c r="H2482" t="s">
        <v>9</v>
      </c>
      <c r="I2482" s="7">
        <v>45708</v>
      </c>
      <c r="J2482" s="8">
        <v>0.27318287037037037</v>
      </c>
      <c r="K2482" t="s">
        <v>984</v>
      </c>
      <c r="AQ2482" t="s">
        <v>992</v>
      </c>
      <c r="AR2482" t="s">
        <v>1735</v>
      </c>
      <c r="AT2482" t="s">
        <v>987</v>
      </c>
      <c r="AZ2482" t="s">
        <v>1182</v>
      </c>
      <c r="BA2482" t="s">
        <v>1183</v>
      </c>
      <c r="BB2482" t="s">
        <v>990</v>
      </c>
      <c r="BD2482" t="s">
        <v>991</v>
      </c>
      <c r="BE2482" t="s">
        <v>642</v>
      </c>
    </row>
    <row r="2483" spans="1:57" ht="13" x14ac:dyDescent="0.15">
      <c r="A2483">
        <v>1839</v>
      </c>
      <c r="B2483">
        <v>285509458</v>
      </c>
      <c r="C2483" t="s">
        <v>642</v>
      </c>
      <c r="D2483" s="7">
        <v>45613</v>
      </c>
      <c r="E2483" s="7">
        <v>45709</v>
      </c>
      <c r="F2483">
        <v>330862</v>
      </c>
      <c r="G2483" t="s">
        <v>983</v>
      </c>
      <c r="H2483" t="s">
        <v>9</v>
      </c>
      <c r="I2483" s="7">
        <v>45706</v>
      </c>
      <c r="J2483" s="8">
        <v>0.30978009259259259</v>
      </c>
      <c r="K2483" t="s">
        <v>984</v>
      </c>
      <c r="AQ2483" t="s">
        <v>992</v>
      </c>
      <c r="AR2483" t="s">
        <v>2075</v>
      </c>
      <c r="AT2483" t="s">
        <v>987</v>
      </c>
      <c r="AZ2483" t="s">
        <v>1028</v>
      </c>
      <c r="BA2483" t="s">
        <v>1068</v>
      </c>
      <c r="BB2483" t="s">
        <v>1069</v>
      </c>
      <c r="BD2483" t="s">
        <v>1005</v>
      </c>
      <c r="BE2483" t="s">
        <v>642</v>
      </c>
    </row>
    <row r="2484" spans="1:57" ht="13" x14ac:dyDescent="0.15">
      <c r="A2484">
        <v>1839</v>
      </c>
      <c r="B2484">
        <v>285509458</v>
      </c>
      <c r="C2484" t="s">
        <v>642</v>
      </c>
      <c r="D2484" s="7">
        <v>45613</v>
      </c>
      <c r="E2484" s="7">
        <v>45709</v>
      </c>
      <c r="F2484">
        <v>330862</v>
      </c>
      <c r="G2484" t="s">
        <v>983</v>
      </c>
      <c r="H2484" t="s">
        <v>9</v>
      </c>
      <c r="I2484" s="7">
        <v>45706</v>
      </c>
      <c r="J2484" s="8">
        <v>0.30872685185185184</v>
      </c>
      <c r="K2484" t="s">
        <v>984</v>
      </c>
      <c r="AQ2484" t="s">
        <v>992</v>
      </c>
      <c r="AR2484" t="s">
        <v>1841</v>
      </c>
      <c r="AT2484" t="s">
        <v>987</v>
      </c>
      <c r="AZ2484" t="s">
        <v>1002</v>
      </c>
      <c r="BA2484" t="s">
        <v>1003</v>
      </c>
      <c r="BB2484" t="s">
        <v>1004</v>
      </c>
      <c r="BD2484" t="s">
        <v>1005</v>
      </c>
      <c r="BE2484" t="s">
        <v>642</v>
      </c>
    </row>
    <row r="2485" spans="1:57" ht="13" x14ac:dyDescent="0.15">
      <c r="A2485">
        <v>1839</v>
      </c>
      <c r="B2485">
        <v>285509458</v>
      </c>
      <c r="C2485" t="s">
        <v>642</v>
      </c>
      <c r="D2485" s="7">
        <v>45613</v>
      </c>
      <c r="E2485" s="7">
        <v>45709</v>
      </c>
      <c r="F2485">
        <v>330862</v>
      </c>
      <c r="G2485" t="s">
        <v>983</v>
      </c>
      <c r="H2485" t="s">
        <v>9</v>
      </c>
      <c r="I2485" s="7">
        <v>45706</v>
      </c>
      <c r="J2485" s="8">
        <v>0.28910879629629632</v>
      </c>
      <c r="K2485" t="s">
        <v>984</v>
      </c>
      <c r="AQ2485" t="s">
        <v>992</v>
      </c>
      <c r="AR2485" t="s">
        <v>1720</v>
      </c>
      <c r="AT2485" t="s">
        <v>987</v>
      </c>
      <c r="AZ2485" t="s">
        <v>988</v>
      </c>
      <c r="BA2485" t="s">
        <v>989</v>
      </c>
      <c r="BB2485" t="s">
        <v>990</v>
      </c>
      <c r="BD2485" t="s">
        <v>991</v>
      </c>
      <c r="BE2485" t="s">
        <v>642</v>
      </c>
    </row>
    <row r="2486" spans="1:57" ht="13" x14ac:dyDescent="0.15">
      <c r="A2486">
        <v>1839</v>
      </c>
      <c r="B2486">
        <v>285509458</v>
      </c>
      <c r="C2486" t="s">
        <v>642</v>
      </c>
      <c r="D2486" s="7">
        <v>45613</v>
      </c>
      <c r="E2486" s="7">
        <v>45709</v>
      </c>
      <c r="F2486">
        <v>330862</v>
      </c>
      <c r="G2486" t="s">
        <v>983</v>
      </c>
      <c r="H2486" t="s">
        <v>9</v>
      </c>
      <c r="I2486" s="7">
        <v>45706</v>
      </c>
      <c r="J2486" s="8">
        <v>0.29467592592592595</v>
      </c>
      <c r="K2486" t="s">
        <v>984</v>
      </c>
      <c r="AQ2486" t="s">
        <v>992</v>
      </c>
      <c r="AR2486" t="s">
        <v>1176</v>
      </c>
      <c r="AT2486" t="s">
        <v>987</v>
      </c>
      <c r="AZ2486" t="s">
        <v>1011</v>
      </c>
      <c r="BA2486" t="s">
        <v>1012</v>
      </c>
      <c r="BB2486" t="s">
        <v>1013</v>
      </c>
      <c r="BD2486" t="s">
        <v>1014</v>
      </c>
      <c r="BE2486" t="s">
        <v>642</v>
      </c>
    </row>
    <row r="2487" spans="1:57" ht="13" x14ac:dyDescent="0.15">
      <c r="A2487">
        <v>1839</v>
      </c>
      <c r="B2487">
        <v>285509458</v>
      </c>
      <c r="C2487" t="s">
        <v>642</v>
      </c>
      <c r="D2487" s="7">
        <v>45613</v>
      </c>
      <c r="E2487" s="7">
        <v>45709</v>
      </c>
      <c r="F2487">
        <v>330862</v>
      </c>
      <c r="G2487" t="s">
        <v>983</v>
      </c>
      <c r="H2487" t="s">
        <v>9</v>
      </c>
      <c r="I2487" s="7">
        <v>45706</v>
      </c>
      <c r="J2487" s="8">
        <v>0.29738425925925926</v>
      </c>
      <c r="K2487" t="s">
        <v>984</v>
      </c>
      <c r="AQ2487" t="s">
        <v>992</v>
      </c>
      <c r="AR2487" t="s">
        <v>997</v>
      </c>
      <c r="AT2487" t="s">
        <v>987</v>
      </c>
      <c r="AZ2487" t="s">
        <v>1071</v>
      </c>
      <c r="BA2487" t="s">
        <v>1135</v>
      </c>
      <c r="BB2487" t="s">
        <v>1136</v>
      </c>
      <c r="BD2487" t="s">
        <v>991</v>
      </c>
      <c r="BE2487" t="s">
        <v>642</v>
      </c>
    </row>
    <row r="2488" spans="1:57" ht="13" x14ac:dyDescent="0.15">
      <c r="A2488">
        <v>1839</v>
      </c>
      <c r="B2488">
        <v>285509458</v>
      </c>
      <c r="C2488" t="s">
        <v>642</v>
      </c>
      <c r="D2488" s="7">
        <v>45613</v>
      </c>
      <c r="E2488" s="7">
        <v>45709</v>
      </c>
      <c r="F2488">
        <v>330862</v>
      </c>
      <c r="G2488" t="s">
        <v>983</v>
      </c>
      <c r="H2488" t="s">
        <v>9</v>
      </c>
      <c r="I2488" s="7">
        <v>45706</v>
      </c>
      <c r="J2488" s="8">
        <v>0.30609953703703702</v>
      </c>
      <c r="K2488" t="s">
        <v>984</v>
      </c>
      <c r="AQ2488" t="s">
        <v>992</v>
      </c>
      <c r="AR2488" t="s">
        <v>2076</v>
      </c>
      <c r="AT2488" t="s">
        <v>987</v>
      </c>
      <c r="AZ2488" t="s">
        <v>1044</v>
      </c>
      <c r="BA2488" t="s">
        <v>1045</v>
      </c>
      <c r="BB2488" t="s">
        <v>990</v>
      </c>
      <c r="BD2488" t="s">
        <v>991</v>
      </c>
      <c r="BE2488" t="s">
        <v>642</v>
      </c>
    </row>
    <row r="2489" spans="1:57" ht="13" x14ac:dyDescent="0.15">
      <c r="A2489">
        <v>1839</v>
      </c>
      <c r="B2489">
        <v>285532559</v>
      </c>
      <c r="C2489" t="s">
        <v>643</v>
      </c>
      <c r="D2489" s="7">
        <v>45614</v>
      </c>
      <c r="E2489" s="7">
        <v>45692</v>
      </c>
      <c r="F2489">
        <v>330862</v>
      </c>
      <c r="G2489" t="s">
        <v>983</v>
      </c>
      <c r="H2489" t="s">
        <v>9</v>
      </c>
      <c r="I2489" s="7">
        <v>45678</v>
      </c>
      <c r="J2489" s="8">
        <v>0.34403935185185186</v>
      </c>
      <c r="K2489" t="s">
        <v>984</v>
      </c>
      <c r="AQ2489" t="s">
        <v>1089</v>
      </c>
      <c r="AR2489" t="s">
        <v>2077</v>
      </c>
      <c r="AT2489" t="s">
        <v>987</v>
      </c>
      <c r="AZ2489" t="s">
        <v>1011</v>
      </c>
      <c r="BA2489" t="s">
        <v>1012</v>
      </c>
      <c r="BB2489" t="s">
        <v>1013</v>
      </c>
      <c r="BD2489" t="s">
        <v>1014</v>
      </c>
      <c r="BE2489" t="s">
        <v>643</v>
      </c>
    </row>
    <row r="2490" spans="1:57" ht="13" x14ac:dyDescent="0.15">
      <c r="A2490">
        <v>1839</v>
      </c>
      <c r="B2490">
        <v>285532559</v>
      </c>
      <c r="C2490" t="s">
        <v>643</v>
      </c>
      <c r="D2490" s="7">
        <v>45614</v>
      </c>
      <c r="E2490" s="7">
        <v>45692</v>
      </c>
      <c r="F2490">
        <v>330862</v>
      </c>
      <c r="G2490" t="s">
        <v>983</v>
      </c>
      <c r="H2490" t="s">
        <v>9</v>
      </c>
      <c r="I2490" s="7">
        <v>45678</v>
      </c>
      <c r="J2490" s="8">
        <v>0.3102314814814815</v>
      </c>
      <c r="K2490" t="s">
        <v>984</v>
      </c>
      <c r="AQ2490" t="s">
        <v>1089</v>
      </c>
      <c r="AR2490" t="s">
        <v>2078</v>
      </c>
      <c r="AT2490" t="s">
        <v>987</v>
      </c>
      <c r="AZ2490" t="s">
        <v>1016</v>
      </c>
      <c r="BA2490" t="s">
        <v>1017</v>
      </c>
      <c r="BB2490" t="s">
        <v>1018</v>
      </c>
      <c r="BD2490" t="s">
        <v>991</v>
      </c>
      <c r="BE2490" t="s">
        <v>643</v>
      </c>
    </row>
    <row r="2491" spans="1:57" ht="13" x14ac:dyDescent="0.15">
      <c r="A2491">
        <v>1839</v>
      </c>
      <c r="B2491">
        <v>285532559</v>
      </c>
      <c r="C2491" t="s">
        <v>643</v>
      </c>
      <c r="D2491" s="7">
        <v>45614</v>
      </c>
      <c r="E2491" s="7">
        <v>45692</v>
      </c>
      <c r="F2491">
        <v>330862</v>
      </c>
      <c r="G2491" t="s">
        <v>983</v>
      </c>
      <c r="H2491" t="s">
        <v>9</v>
      </c>
      <c r="I2491" s="7">
        <v>45677</v>
      </c>
      <c r="J2491" s="8">
        <v>0.52952546296296299</v>
      </c>
      <c r="K2491" t="s">
        <v>984</v>
      </c>
      <c r="AQ2491" t="s">
        <v>1089</v>
      </c>
      <c r="AR2491" t="s">
        <v>2079</v>
      </c>
      <c r="AT2491" t="s">
        <v>987</v>
      </c>
      <c r="AZ2491" t="s">
        <v>1011</v>
      </c>
      <c r="BA2491" t="s">
        <v>1012</v>
      </c>
      <c r="BB2491" t="s">
        <v>1013</v>
      </c>
      <c r="BD2491" t="s">
        <v>1014</v>
      </c>
      <c r="BE2491" t="s">
        <v>643</v>
      </c>
    </row>
    <row r="2492" spans="1:57" ht="13" x14ac:dyDescent="0.15">
      <c r="A2492">
        <v>1839</v>
      </c>
      <c r="B2492">
        <v>285532559</v>
      </c>
      <c r="C2492" t="s">
        <v>643</v>
      </c>
      <c r="D2492" s="7">
        <v>45614</v>
      </c>
      <c r="E2492" s="7">
        <v>45692</v>
      </c>
      <c r="F2492">
        <v>336444</v>
      </c>
      <c r="G2492" t="s">
        <v>995</v>
      </c>
      <c r="H2492" t="s">
        <v>12</v>
      </c>
      <c r="I2492" s="7">
        <v>45614</v>
      </c>
      <c r="J2492" s="8">
        <v>0.2515162037037037</v>
      </c>
      <c r="K2492" t="s">
        <v>984</v>
      </c>
      <c r="AQ2492" t="s">
        <v>996</v>
      </c>
      <c r="BE2492" t="s">
        <v>643</v>
      </c>
    </row>
    <row r="2493" spans="1:57" ht="13" x14ac:dyDescent="0.15">
      <c r="A2493">
        <v>1839</v>
      </c>
      <c r="B2493">
        <v>285603762</v>
      </c>
      <c r="C2493" t="s">
        <v>2080</v>
      </c>
      <c r="D2493" s="7">
        <v>45614</v>
      </c>
      <c r="E2493" s="7">
        <v>45692</v>
      </c>
      <c r="F2493">
        <v>330862</v>
      </c>
      <c r="G2493" t="s">
        <v>983</v>
      </c>
      <c r="H2493" t="s">
        <v>9</v>
      </c>
      <c r="I2493" s="7">
        <v>45614</v>
      </c>
      <c r="J2493" s="8">
        <v>0.69135416666666671</v>
      </c>
      <c r="K2493" t="s">
        <v>984</v>
      </c>
      <c r="AQ2493" t="s">
        <v>1042</v>
      </c>
      <c r="AR2493" t="s">
        <v>1568</v>
      </c>
      <c r="AT2493" t="s">
        <v>987</v>
      </c>
      <c r="BE2493" t="s">
        <v>2080</v>
      </c>
    </row>
    <row r="2494" spans="1:57" ht="13" x14ac:dyDescent="0.15">
      <c r="A2494">
        <v>1839</v>
      </c>
      <c r="B2494">
        <v>285606116</v>
      </c>
      <c r="C2494" t="s">
        <v>2081</v>
      </c>
      <c r="D2494" s="7">
        <v>45614</v>
      </c>
      <c r="E2494" s="7">
        <v>45692</v>
      </c>
      <c r="F2494">
        <v>330862</v>
      </c>
      <c r="G2494" t="s">
        <v>983</v>
      </c>
      <c r="H2494" t="s">
        <v>9</v>
      </c>
      <c r="I2494" s="7">
        <v>45614</v>
      </c>
      <c r="J2494" s="8">
        <v>0.73373842592592597</v>
      </c>
      <c r="K2494" t="s">
        <v>984</v>
      </c>
      <c r="AQ2494" t="s">
        <v>1090</v>
      </c>
      <c r="AR2494" t="s">
        <v>1568</v>
      </c>
      <c r="AT2494" t="s">
        <v>987</v>
      </c>
      <c r="BE2494" t="s">
        <v>2081</v>
      </c>
    </row>
    <row r="2495" spans="1:57" ht="13" x14ac:dyDescent="0.15">
      <c r="A2495">
        <v>1839</v>
      </c>
      <c r="B2495">
        <v>285609761</v>
      </c>
      <c r="C2495" t="s">
        <v>2082</v>
      </c>
      <c r="D2495" s="7">
        <v>45614</v>
      </c>
      <c r="E2495" s="7">
        <v>45616</v>
      </c>
      <c r="F2495">
        <v>330862</v>
      </c>
      <c r="G2495" t="s">
        <v>983</v>
      </c>
      <c r="H2495" t="s">
        <v>9</v>
      </c>
      <c r="I2495" s="7">
        <v>45614</v>
      </c>
      <c r="J2495" s="8">
        <v>0.84604166666666669</v>
      </c>
      <c r="K2495" t="s">
        <v>984</v>
      </c>
      <c r="AQ2495" t="s">
        <v>1090</v>
      </c>
      <c r="AR2495" t="s">
        <v>1568</v>
      </c>
      <c r="AT2495" t="s">
        <v>987</v>
      </c>
      <c r="BE2495" t="s">
        <v>2082</v>
      </c>
    </row>
    <row r="2496" spans="1:57" ht="13" x14ac:dyDescent="0.15">
      <c r="A2496">
        <v>1839</v>
      </c>
      <c r="B2496">
        <v>285616298</v>
      </c>
      <c r="C2496" t="s">
        <v>2083</v>
      </c>
      <c r="D2496" s="7">
        <v>45615</v>
      </c>
      <c r="E2496" s="7">
        <v>45617</v>
      </c>
      <c r="F2496">
        <v>330862</v>
      </c>
      <c r="G2496" t="s">
        <v>983</v>
      </c>
      <c r="H2496" t="s">
        <v>9</v>
      </c>
      <c r="I2496" s="7">
        <v>45615</v>
      </c>
      <c r="J2496" s="8">
        <v>0.1129050925925926</v>
      </c>
      <c r="K2496" t="s">
        <v>984</v>
      </c>
      <c r="AQ2496" t="s">
        <v>1090</v>
      </c>
      <c r="AR2496" t="s">
        <v>2084</v>
      </c>
      <c r="AS2496" t="s">
        <v>1516</v>
      </c>
      <c r="AT2496" t="s">
        <v>987</v>
      </c>
      <c r="BE2496" t="s">
        <v>2083</v>
      </c>
    </row>
    <row r="2497" spans="1:57" ht="13" x14ac:dyDescent="0.15">
      <c r="A2497">
        <v>1839</v>
      </c>
      <c r="B2497">
        <v>285638713</v>
      </c>
      <c r="C2497" t="s">
        <v>644</v>
      </c>
      <c r="D2497" s="7">
        <v>45615</v>
      </c>
      <c r="E2497" s="7">
        <v>45712</v>
      </c>
      <c r="F2497">
        <v>330862</v>
      </c>
      <c r="G2497" t="s">
        <v>983</v>
      </c>
      <c r="H2497" t="s">
        <v>9</v>
      </c>
      <c r="I2497" s="7">
        <v>45706</v>
      </c>
      <c r="J2497" s="8">
        <v>0.31415509259259261</v>
      </c>
      <c r="K2497" t="s">
        <v>984</v>
      </c>
      <c r="AQ2497" t="s">
        <v>1089</v>
      </c>
      <c r="AR2497" t="s">
        <v>1721</v>
      </c>
      <c r="AT2497" t="s">
        <v>987</v>
      </c>
      <c r="AZ2497" t="s">
        <v>1220</v>
      </c>
      <c r="BA2497" t="s">
        <v>1292</v>
      </c>
      <c r="BB2497" t="s">
        <v>1293</v>
      </c>
      <c r="BD2497" t="s">
        <v>991</v>
      </c>
      <c r="BE2497" t="s">
        <v>644</v>
      </c>
    </row>
    <row r="2498" spans="1:57" ht="13" x14ac:dyDescent="0.15">
      <c r="A2498">
        <v>1839</v>
      </c>
      <c r="B2498">
        <v>285638713</v>
      </c>
      <c r="C2498" t="s">
        <v>644</v>
      </c>
      <c r="D2498" s="7">
        <v>45615</v>
      </c>
      <c r="E2498" s="7">
        <v>45712</v>
      </c>
      <c r="F2498">
        <v>330862</v>
      </c>
      <c r="G2498" t="s">
        <v>983</v>
      </c>
      <c r="H2498" t="s">
        <v>9</v>
      </c>
      <c r="I2498" s="7">
        <v>45615</v>
      </c>
      <c r="J2498" s="8">
        <v>0.35590277777777779</v>
      </c>
      <c r="K2498" t="s">
        <v>984</v>
      </c>
      <c r="AQ2498" t="s">
        <v>992</v>
      </c>
      <c r="AR2498" t="s">
        <v>1539</v>
      </c>
      <c r="AT2498" t="s">
        <v>987</v>
      </c>
      <c r="BE2498" t="s">
        <v>644</v>
      </c>
    </row>
    <row r="2499" spans="1:57" ht="13" x14ac:dyDescent="0.15">
      <c r="A2499">
        <v>1839</v>
      </c>
      <c r="B2499">
        <v>285650023</v>
      </c>
      <c r="C2499" t="s">
        <v>2085</v>
      </c>
      <c r="D2499" s="7">
        <v>45615</v>
      </c>
      <c r="E2499" s="7">
        <v>45617</v>
      </c>
      <c r="F2499">
        <v>330862</v>
      </c>
      <c r="G2499" t="s">
        <v>983</v>
      </c>
      <c r="H2499" t="s">
        <v>9</v>
      </c>
      <c r="I2499" s="7">
        <v>45615</v>
      </c>
      <c r="J2499" s="8">
        <v>0.55681712962962959</v>
      </c>
      <c r="K2499" t="s">
        <v>984</v>
      </c>
      <c r="AQ2499" t="s">
        <v>992</v>
      </c>
      <c r="AR2499" t="s">
        <v>2086</v>
      </c>
      <c r="AT2499" t="s">
        <v>987</v>
      </c>
      <c r="BE2499" t="s">
        <v>2085</v>
      </c>
    </row>
    <row r="2500" spans="1:57" ht="13" x14ac:dyDescent="0.15">
      <c r="A2500">
        <v>1839</v>
      </c>
      <c r="B2500">
        <v>285661888</v>
      </c>
      <c r="C2500" t="s">
        <v>2087</v>
      </c>
      <c r="D2500" s="7">
        <v>45615</v>
      </c>
      <c r="E2500" s="7">
        <v>45617</v>
      </c>
      <c r="F2500">
        <v>330862</v>
      </c>
      <c r="G2500" t="s">
        <v>983</v>
      </c>
      <c r="H2500" t="s">
        <v>9</v>
      </c>
      <c r="I2500" s="7">
        <v>45615</v>
      </c>
      <c r="J2500" s="8">
        <v>0.76749999999999996</v>
      </c>
      <c r="K2500" t="s">
        <v>984</v>
      </c>
      <c r="AQ2500" t="s">
        <v>1142</v>
      </c>
      <c r="AR2500" t="s">
        <v>1539</v>
      </c>
      <c r="AT2500" t="s">
        <v>987</v>
      </c>
      <c r="BE2500" t="s">
        <v>2087</v>
      </c>
    </row>
    <row r="2501" spans="1:57" ht="13" x14ac:dyDescent="0.15">
      <c r="A2501">
        <v>1839</v>
      </c>
      <c r="B2501">
        <v>285675964</v>
      </c>
      <c r="C2501" t="s">
        <v>2088</v>
      </c>
      <c r="D2501" s="7">
        <v>45616</v>
      </c>
      <c r="E2501" s="7">
        <v>45618</v>
      </c>
      <c r="F2501">
        <v>330862</v>
      </c>
      <c r="G2501" t="s">
        <v>983</v>
      </c>
      <c r="H2501" t="s">
        <v>9</v>
      </c>
      <c r="I2501" s="7">
        <v>45616</v>
      </c>
      <c r="J2501" s="8">
        <v>0.27196759259259257</v>
      </c>
      <c r="K2501" t="s">
        <v>984</v>
      </c>
      <c r="AQ2501" t="s">
        <v>1092</v>
      </c>
      <c r="AR2501" t="s">
        <v>2089</v>
      </c>
      <c r="AT2501" t="s">
        <v>987</v>
      </c>
      <c r="BE2501" t="s">
        <v>2088</v>
      </c>
    </row>
    <row r="2502" spans="1:57" ht="13" x14ac:dyDescent="0.15">
      <c r="A2502">
        <v>1839</v>
      </c>
      <c r="B2502">
        <v>285686940</v>
      </c>
      <c r="C2502" t="s">
        <v>2090</v>
      </c>
      <c r="D2502" s="7">
        <v>45616</v>
      </c>
      <c r="E2502" s="7">
        <v>45618</v>
      </c>
      <c r="F2502">
        <v>330862</v>
      </c>
      <c r="G2502" t="s">
        <v>983</v>
      </c>
      <c r="H2502" t="s">
        <v>9</v>
      </c>
      <c r="I2502" s="7">
        <v>45616</v>
      </c>
      <c r="J2502" s="8">
        <v>0.50972222222222219</v>
      </c>
      <c r="K2502" t="s">
        <v>984</v>
      </c>
      <c r="AQ2502" t="s">
        <v>1089</v>
      </c>
      <c r="AR2502" t="s">
        <v>1104</v>
      </c>
      <c r="AT2502" t="s">
        <v>987</v>
      </c>
      <c r="AZ2502" t="s">
        <v>1055</v>
      </c>
      <c r="BA2502" t="s">
        <v>1056</v>
      </c>
      <c r="BB2502" t="s">
        <v>1013</v>
      </c>
      <c r="BD2502" t="s">
        <v>1022</v>
      </c>
      <c r="BE2502" t="s">
        <v>2090</v>
      </c>
    </row>
    <row r="2503" spans="1:57" ht="13" x14ac:dyDescent="0.15">
      <c r="A2503">
        <v>1839</v>
      </c>
      <c r="B2503">
        <v>285689763</v>
      </c>
      <c r="C2503" t="s">
        <v>2091</v>
      </c>
      <c r="D2503" s="7">
        <v>45616</v>
      </c>
      <c r="E2503" s="7">
        <v>45638</v>
      </c>
      <c r="F2503">
        <v>330862</v>
      </c>
      <c r="G2503" t="s">
        <v>983</v>
      </c>
      <c r="H2503" t="s">
        <v>9</v>
      </c>
      <c r="I2503" s="7">
        <v>45616</v>
      </c>
      <c r="J2503" s="8">
        <v>0.56601851851851848</v>
      </c>
      <c r="K2503" t="s">
        <v>984</v>
      </c>
      <c r="AQ2503" t="s">
        <v>998</v>
      </c>
      <c r="AR2503" t="s">
        <v>1287</v>
      </c>
      <c r="AT2503" t="s">
        <v>987</v>
      </c>
      <c r="AZ2503" t="s">
        <v>1011</v>
      </c>
      <c r="BA2503" t="s">
        <v>1103</v>
      </c>
      <c r="BB2503" t="s">
        <v>1032</v>
      </c>
      <c r="BD2503" t="s">
        <v>1005</v>
      </c>
      <c r="BE2503" t="s">
        <v>2091</v>
      </c>
    </row>
    <row r="2504" spans="1:57" ht="13" x14ac:dyDescent="0.15">
      <c r="A2504">
        <v>1839</v>
      </c>
      <c r="B2504">
        <v>285697960</v>
      </c>
      <c r="C2504" t="s">
        <v>2092</v>
      </c>
      <c r="D2504" s="7">
        <v>45616</v>
      </c>
      <c r="E2504" s="7">
        <v>45618</v>
      </c>
      <c r="F2504">
        <v>330862</v>
      </c>
      <c r="G2504" t="s">
        <v>983</v>
      </c>
      <c r="H2504" t="s">
        <v>9</v>
      </c>
      <c r="I2504" s="7">
        <v>45616</v>
      </c>
      <c r="J2504" s="8">
        <v>0.78206018518518516</v>
      </c>
      <c r="K2504" t="s">
        <v>984</v>
      </c>
      <c r="AQ2504" t="s">
        <v>992</v>
      </c>
      <c r="AR2504" t="s">
        <v>1378</v>
      </c>
      <c r="AT2504" t="s">
        <v>987</v>
      </c>
      <c r="AZ2504" t="s">
        <v>1011</v>
      </c>
      <c r="BA2504" t="s">
        <v>1103</v>
      </c>
      <c r="BB2504" t="s">
        <v>1032</v>
      </c>
      <c r="BD2504" t="s">
        <v>1005</v>
      </c>
      <c r="BE2504" t="s">
        <v>2092</v>
      </c>
    </row>
    <row r="2505" spans="1:57" ht="13" x14ac:dyDescent="0.15">
      <c r="A2505">
        <v>1839</v>
      </c>
      <c r="B2505">
        <v>285697960</v>
      </c>
      <c r="C2505" t="s">
        <v>2092</v>
      </c>
      <c r="D2505" s="7">
        <v>45616</v>
      </c>
      <c r="E2505" s="7">
        <v>45618</v>
      </c>
      <c r="F2505">
        <v>330862</v>
      </c>
      <c r="G2505" t="s">
        <v>983</v>
      </c>
      <c r="H2505" t="s">
        <v>9</v>
      </c>
      <c r="I2505" s="7">
        <v>45616</v>
      </c>
      <c r="J2505" s="8">
        <v>0.78418981481481487</v>
      </c>
      <c r="K2505" t="s">
        <v>984</v>
      </c>
      <c r="AQ2505" t="s">
        <v>992</v>
      </c>
      <c r="AR2505" t="s">
        <v>1268</v>
      </c>
      <c r="AT2505" t="s">
        <v>987</v>
      </c>
      <c r="AZ2505" t="s">
        <v>1055</v>
      </c>
      <c r="BA2505" t="s">
        <v>1056</v>
      </c>
      <c r="BB2505" t="s">
        <v>1013</v>
      </c>
      <c r="BD2505" t="s">
        <v>1022</v>
      </c>
      <c r="BE2505" t="s">
        <v>2092</v>
      </c>
    </row>
    <row r="2506" spans="1:57" ht="13" x14ac:dyDescent="0.15">
      <c r="A2506">
        <v>1839</v>
      </c>
      <c r="B2506">
        <v>285727986</v>
      </c>
      <c r="C2506" t="s">
        <v>2093</v>
      </c>
      <c r="D2506" s="7">
        <v>45617</v>
      </c>
      <c r="E2506" s="7">
        <v>45619</v>
      </c>
      <c r="F2506">
        <v>330862</v>
      </c>
      <c r="G2506" t="s">
        <v>983</v>
      </c>
      <c r="H2506" t="s">
        <v>9</v>
      </c>
      <c r="I2506" s="7">
        <v>45617</v>
      </c>
      <c r="J2506" s="8">
        <v>0.7432523148148148</v>
      </c>
      <c r="K2506" t="s">
        <v>984</v>
      </c>
      <c r="AQ2506" t="s">
        <v>992</v>
      </c>
      <c r="AR2506" t="s">
        <v>2094</v>
      </c>
      <c r="AT2506" t="s">
        <v>987</v>
      </c>
      <c r="AZ2506" t="s">
        <v>1011</v>
      </c>
      <c r="BA2506" t="s">
        <v>1103</v>
      </c>
      <c r="BB2506" t="s">
        <v>1032</v>
      </c>
      <c r="BD2506" t="s">
        <v>1005</v>
      </c>
      <c r="BE2506" t="s">
        <v>2093</v>
      </c>
    </row>
    <row r="2507" spans="1:57" ht="13" x14ac:dyDescent="0.15">
      <c r="A2507">
        <v>1839</v>
      </c>
      <c r="B2507">
        <v>285733043</v>
      </c>
      <c r="C2507" t="s">
        <v>2095</v>
      </c>
      <c r="D2507" s="7">
        <v>45617</v>
      </c>
      <c r="E2507" s="7">
        <v>45619</v>
      </c>
      <c r="F2507">
        <v>330862</v>
      </c>
      <c r="G2507" t="s">
        <v>983</v>
      </c>
      <c r="H2507" t="s">
        <v>9</v>
      </c>
      <c r="I2507" s="7">
        <v>45617</v>
      </c>
      <c r="J2507" s="8">
        <v>0.96868055555555554</v>
      </c>
      <c r="K2507" t="s">
        <v>984</v>
      </c>
      <c r="AQ2507" t="s">
        <v>1089</v>
      </c>
      <c r="AR2507" t="s">
        <v>1370</v>
      </c>
      <c r="AT2507" t="s">
        <v>987</v>
      </c>
      <c r="AZ2507" t="s">
        <v>1055</v>
      </c>
      <c r="BA2507" t="s">
        <v>1056</v>
      </c>
      <c r="BB2507" t="s">
        <v>1013</v>
      </c>
      <c r="BD2507" t="s">
        <v>1022</v>
      </c>
      <c r="BE2507" t="s">
        <v>2095</v>
      </c>
    </row>
    <row r="2508" spans="1:57" ht="13" x14ac:dyDescent="0.15">
      <c r="A2508">
        <v>1839</v>
      </c>
      <c r="B2508">
        <v>285845523</v>
      </c>
      <c r="C2508" t="s">
        <v>2096</v>
      </c>
      <c r="D2508" s="7">
        <v>45622</v>
      </c>
      <c r="E2508" s="7">
        <v>45624</v>
      </c>
      <c r="F2508">
        <v>330862</v>
      </c>
      <c r="G2508" t="s">
        <v>983</v>
      </c>
      <c r="H2508" t="s">
        <v>9</v>
      </c>
      <c r="I2508" s="7">
        <v>45622</v>
      </c>
      <c r="J2508" s="8">
        <v>0.24212962962962964</v>
      </c>
      <c r="K2508" t="s">
        <v>984</v>
      </c>
      <c r="AQ2508" t="s">
        <v>1090</v>
      </c>
      <c r="AR2508" t="s">
        <v>2097</v>
      </c>
      <c r="AT2508" t="s">
        <v>987</v>
      </c>
      <c r="AZ2508" t="s">
        <v>1182</v>
      </c>
      <c r="BA2508" t="s">
        <v>1185</v>
      </c>
      <c r="BB2508" t="s">
        <v>1026</v>
      </c>
      <c r="BD2508" t="s">
        <v>1022</v>
      </c>
      <c r="BE2508" t="s">
        <v>2096</v>
      </c>
    </row>
    <row r="2509" spans="1:57" ht="13" x14ac:dyDescent="0.15">
      <c r="A2509">
        <v>1839</v>
      </c>
      <c r="B2509">
        <v>285883933</v>
      </c>
      <c r="C2509" t="s">
        <v>2098</v>
      </c>
      <c r="D2509" s="7">
        <v>45623</v>
      </c>
      <c r="E2509" s="7">
        <v>45625</v>
      </c>
      <c r="F2509">
        <v>330862</v>
      </c>
      <c r="G2509" t="s">
        <v>983</v>
      </c>
      <c r="H2509" t="s">
        <v>9</v>
      </c>
      <c r="I2509" s="7">
        <v>45623</v>
      </c>
      <c r="J2509" s="8">
        <v>0.51275462962962959</v>
      </c>
      <c r="K2509" t="s">
        <v>984</v>
      </c>
      <c r="AQ2509" t="s">
        <v>992</v>
      </c>
      <c r="AR2509" t="s">
        <v>2099</v>
      </c>
      <c r="AT2509" t="s">
        <v>987</v>
      </c>
      <c r="AZ2509" t="s">
        <v>1055</v>
      </c>
      <c r="BA2509" t="s">
        <v>1056</v>
      </c>
      <c r="BB2509" t="s">
        <v>1013</v>
      </c>
      <c r="BD2509" t="s">
        <v>1022</v>
      </c>
      <c r="BE2509" t="s">
        <v>2098</v>
      </c>
    </row>
    <row r="2510" spans="1:57" ht="13" x14ac:dyDescent="0.15">
      <c r="A2510">
        <v>1839</v>
      </c>
      <c r="B2510">
        <v>285902820</v>
      </c>
      <c r="C2510" t="s">
        <v>645</v>
      </c>
      <c r="D2510" s="7">
        <v>45624</v>
      </c>
      <c r="E2510" s="7">
        <v>45692</v>
      </c>
      <c r="F2510">
        <v>330862</v>
      </c>
      <c r="G2510" t="s">
        <v>983</v>
      </c>
      <c r="H2510" t="s">
        <v>9</v>
      </c>
      <c r="I2510" s="7">
        <v>45672</v>
      </c>
      <c r="J2510" s="8">
        <v>0.90238425925925925</v>
      </c>
      <c r="K2510" t="s">
        <v>984</v>
      </c>
      <c r="AQ2510" t="s">
        <v>998</v>
      </c>
      <c r="AR2510" t="s">
        <v>1274</v>
      </c>
      <c r="AT2510" t="s">
        <v>987</v>
      </c>
      <c r="AZ2510" t="s">
        <v>1016</v>
      </c>
      <c r="BA2510" t="s">
        <v>1017</v>
      </c>
      <c r="BB2510" t="s">
        <v>1018</v>
      </c>
      <c r="BD2510" t="s">
        <v>991</v>
      </c>
      <c r="BE2510" t="s">
        <v>645</v>
      </c>
    </row>
    <row r="2511" spans="1:57" ht="13" x14ac:dyDescent="0.15">
      <c r="A2511">
        <v>1839</v>
      </c>
      <c r="B2511">
        <v>285918347</v>
      </c>
      <c r="C2511" t="s">
        <v>2100</v>
      </c>
      <c r="D2511" s="7">
        <v>45625</v>
      </c>
      <c r="E2511" s="7">
        <v>45627</v>
      </c>
      <c r="F2511">
        <v>330862</v>
      </c>
      <c r="G2511" t="s">
        <v>983</v>
      </c>
      <c r="H2511" t="s">
        <v>9</v>
      </c>
      <c r="I2511" s="7">
        <v>45625</v>
      </c>
      <c r="J2511" s="8">
        <v>6.4722222222222223E-2</v>
      </c>
      <c r="K2511" t="s">
        <v>984</v>
      </c>
      <c r="AQ2511" t="s">
        <v>1142</v>
      </c>
      <c r="AR2511" t="s">
        <v>1053</v>
      </c>
      <c r="AT2511" t="s">
        <v>987</v>
      </c>
      <c r="AZ2511" t="s">
        <v>1055</v>
      </c>
      <c r="BA2511" t="s">
        <v>1056</v>
      </c>
      <c r="BB2511" t="s">
        <v>1013</v>
      </c>
      <c r="BD2511" t="s">
        <v>1022</v>
      </c>
      <c r="BE2511" t="s">
        <v>2100</v>
      </c>
    </row>
    <row r="2512" spans="1:57" ht="13" x14ac:dyDescent="0.15">
      <c r="A2512">
        <v>1839</v>
      </c>
      <c r="B2512">
        <v>285918347</v>
      </c>
      <c r="C2512" t="s">
        <v>2100</v>
      </c>
      <c r="D2512" s="7">
        <v>45625</v>
      </c>
      <c r="E2512" s="7">
        <v>45627</v>
      </c>
      <c r="F2512">
        <v>330862</v>
      </c>
      <c r="G2512" t="s">
        <v>983</v>
      </c>
      <c r="H2512" t="s">
        <v>9</v>
      </c>
      <c r="I2512" s="7">
        <v>45625</v>
      </c>
      <c r="J2512" s="8">
        <v>6.3599537037037038E-2</v>
      </c>
      <c r="K2512" t="s">
        <v>984</v>
      </c>
      <c r="AQ2512" t="s">
        <v>1142</v>
      </c>
      <c r="AR2512" t="s">
        <v>1053</v>
      </c>
      <c r="AT2512" t="s">
        <v>987</v>
      </c>
      <c r="AZ2512" t="s">
        <v>1055</v>
      </c>
      <c r="BA2512" t="s">
        <v>1056</v>
      </c>
      <c r="BB2512" t="s">
        <v>1013</v>
      </c>
      <c r="BD2512" t="s">
        <v>1022</v>
      </c>
      <c r="BE2512" t="s">
        <v>2100</v>
      </c>
    </row>
    <row r="2513" spans="1:57" ht="13" x14ac:dyDescent="0.15">
      <c r="A2513">
        <v>1839</v>
      </c>
      <c r="B2513">
        <v>285964476</v>
      </c>
      <c r="C2513" t="s">
        <v>646</v>
      </c>
      <c r="D2513" s="7">
        <v>45626</v>
      </c>
      <c r="E2513" s="7">
        <v>45692</v>
      </c>
      <c r="F2513">
        <v>330862</v>
      </c>
      <c r="G2513" t="s">
        <v>983</v>
      </c>
      <c r="H2513" t="s">
        <v>9</v>
      </c>
      <c r="I2513" s="7">
        <v>45672</v>
      </c>
      <c r="J2513" s="8">
        <v>0.92296296296296299</v>
      </c>
      <c r="K2513" t="s">
        <v>984</v>
      </c>
      <c r="AQ2513" t="s">
        <v>998</v>
      </c>
      <c r="AR2513" t="s">
        <v>1274</v>
      </c>
      <c r="AT2513" t="s">
        <v>987</v>
      </c>
      <c r="AZ2513" t="s">
        <v>1016</v>
      </c>
      <c r="BA2513" t="s">
        <v>1017</v>
      </c>
      <c r="BB2513" t="s">
        <v>1018</v>
      </c>
      <c r="BD2513" t="s">
        <v>991</v>
      </c>
      <c r="BE2513" t="s">
        <v>646</v>
      </c>
    </row>
    <row r="2514" spans="1:57" ht="13" x14ac:dyDescent="0.15">
      <c r="A2514">
        <v>1839</v>
      </c>
      <c r="B2514">
        <v>285989990</v>
      </c>
      <c r="C2514" t="s">
        <v>647</v>
      </c>
      <c r="D2514" s="7">
        <v>45628</v>
      </c>
      <c r="E2514" s="7">
        <v>45713</v>
      </c>
      <c r="F2514">
        <v>330862</v>
      </c>
      <c r="G2514" t="s">
        <v>983</v>
      </c>
      <c r="H2514" t="s">
        <v>9</v>
      </c>
      <c r="I2514" s="7">
        <v>45675</v>
      </c>
      <c r="J2514" s="8">
        <v>0.29204861111111113</v>
      </c>
      <c r="K2514" t="s">
        <v>984</v>
      </c>
      <c r="AQ2514" t="s">
        <v>1090</v>
      </c>
      <c r="AR2514" t="s">
        <v>2101</v>
      </c>
      <c r="AT2514" t="s">
        <v>987</v>
      </c>
      <c r="AZ2514" t="s">
        <v>1011</v>
      </c>
      <c r="BA2514" t="s">
        <v>1202</v>
      </c>
      <c r="BB2514" t="s">
        <v>1203</v>
      </c>
      <c r="BD2514" t="s">
        <v>991</v>
      </c>
      <c r="BE2514" t="s">
        <v>647</v>
      </c>
    </row>
    <row r="2515" spans="1:57" ht="13" x14ac:dyDescent="0.15">
      <c r="A2515">
        <v>1839</v>
      </c>
      <c r="B2515">
        <v>285989990</v>
      </c>
      <c r="C2515" t="s">
        <v>647</v>
      </c>
      <c r="D2515" s="7">
        <v>45628</v>
      </c>
      <c r="E2515" s="7">
        <v>45713</v>
      </c>
      <c r="F2515">
        <v>330862</v>
      </c>
      <c r="G2515" t="s">
        <v>983</v>
      </c>
      <c r="H2515" t="s">
        <v>9</v>
      </c>
      <c r="I2515" s="7">
        <v>45675</v>
      </c>
      <c r="J2515" s="8">
        <v>0.30289351851851853</v>
      </c>
      <c r="K2515" t="s">
        <v>984</v>
      </c>
      <c r="AQ2515" t="s">
        <v>1090</v>
      </c>
      <c r="AR2515" t="s">
        <v>1335</v>
      </c>
      <c r="AT2515" t="s">
        <v>987</v>
      </c>
      <c r="AZ2515" t="s">
        <v>1024</v>
      </c>
      <c r="BA2515" t="s">
        <v>1047</v>
      </c>
      <c r="BB2515" t="s">
        <v>1048</v>
      </c>
      <c r="BD2515" t="s">
        <v>1014</v>
      </c>
      <c r="BE2515" t="s">
        <v>647</v>
      </c>
    </row>
    <row r="2516" spans="1:57" ht="13" x14ac:dyDescent="0.15">
      <c r="A2516">
        <v>1839</v>
      </c>
      <c r="B2516">
        <v>285989990</v>
      </c>
      <c r="C2516" t="s">
        <v>647</v>
      </c>
      <c r="D2516" s="7">
        <v>45628</v>
      </c>
      <c r="E2516" s="7">
        <v>45713</v>
      </c>
      <c r="F2516">
        <v>336444</v>
      </c>
      <c r="G2516" t="s">
        <v>995</v>
      </c>
      <c r="H2516" t="s">
        <v>12</v>
      </c>
      <c r="I2516" s="7">
        <v>45675</v>
      </c>
      <c r="J2516" s="8">
        <v>0.29743055555555553</v>
      </c>
      <c r="K2516" t="s">
        <v>984</v>
      </c>
      <c r="AQ2516" t="s">
        <v>996</v>
      </c>
      <c r="BE2516" t="s">
        <v>647</v>
      </c>
    </row>
    <row r="2517" spans="1:57" ht="13" x14ac:dyDescent="0.15">
      <c r="A2517">
        <v>1839</v>
      </c>
      <c r="B2517">
        <v>285989990</v>
      </c>
      <c r="C2517" t="s">
        <v>647</v>
      </c>
      <c r="D2517" s="7">
        <v>45628</v>
      </c>
      <c r="E2517" s="7">
        <v>45713</v>
      </c>
      <c r="F2517">
        <v>336444</v>
      </c>
      <c r="G2517" t="s">
        <v>995</v>
      </c>
      <c r="H2517" t="s">
        <v>12</v>
      </c>
      <c r="I2517" s="7">
        <v>45647</v>
      </c>
      <c r="J2517" s="8">
        <v>0.59922453703703704</v>
      </c>
      <c r="K2517" t="s">
        <v>984</v>
      </c>
      <c r="AQ2517" t="s">
        <v>996</v>
      </c>
      <c r="BE2517" t="s">
        <v>647</v>
      </c>
    </row>
    <row r="2518" spans="1:57" ht="13" x14ac:dyDescent="0.15">
      <c r="A2518">
        <v>1839</v>
      </c>
      <c r="B2518">
        <v>286030236</v>
      </c>
      <c r="C2518" t="s">
        <v>2102</v>
      </c>
      <c r="D2518" s="7">
        <v>45629</v>
      </c>
      <c r="E2518" s="7">
        <v>45631</v>
      </c>
      <c r="F2518">
        <v>336444</v>
      </c>
      <c r="G2518" t="s">
        <v>995</v>
      </c>
      <c r="H2518" t="s">
        <v>12</v>
      </c>
      <c r="I2518" s="7">
        <v>45629</v>
      </c>
      <c r="J2518" s="8">
        <v>0.43752314814814813</v>
      </c>
      <c r="K2518" t="s">
        <v>984</v>
      </c>
      <c r="AQ2518" t="s">
        <v>996</v>
      </c>
      <c r="BE2518" t="s">
        <v>2102</v>
      </c>
    </row>
    <row r="2519" spans="1:57" ht="13" x14ac:dyDescent="0.15">
      <c r="A2519">
        <v>1839</v>
      </c>
      <c r="B2519">
        <v>286070851</v>
      </c>
      <c r="C2519" t="s">
        <v>2103</v>
      </c>
      <c r="D2519" s="7">
        <v>45630</v>
      </c>
      <c r="E2519" s="7">
        <v>45632</v>
      </c>
      <c r="F2519">
        <v>330862</v>
      </c>
      <c r="G2519" t="s">
        <v>983</v>
      </c>
      <c r="H2519" t="s">
        <v>9</v>
      </c>
      <c r="I2519" s="7">
        <v>45630</v>
      </c>
      <c r="J2519" s="8">
        <v>0.63506944444444446</v>
      </c>
      <c r="K2519" t="s">
        <v>984</v>
      </c>
      <c r="AQ2519" t="s">
        <v>992</v>
      </c>
      <c r="AR2519" t="s">
        <v>2104</v>
      </c>
      <c r="AT2519" t="s">
        <v>987</v>
      </c>
      <c r="AZ2519" t="s">
        <v>1239</v>
      </c>
      <c r="BA2519" t="s">
        <v>1281</v>
      </c>
      <c r="BB2519" t="s">
        <v>1026</v>
      </c>
      <c r="BD2519" t="s">
        <v>1022</v>
      </c>
      <c r="BE2519" t="s">
        <v>2103</v>
      </c>
    </row>
    <row r="2520" spans="1:57" ht="13" x14ac:dyDescent="0.15">
      <c r="A2520">
        <v>1839</v>
      </c>
      <c r="B2520">
        <v>286088675</v>
      </c>
      <c r="C2520" t="s">
        <v>648</v>
      </c>
      <c r="D2520" s="7">
        <v>45631</v>
      </c>
      <c r="E2520" s="7">
        <v>45673</v>
      </c>
      <c r="F2520">
        <v>330862</v>
      </c>
      <c r="G2520" t="s">
        <v>983</v>
      </c>
      <c r="H2520" t="s">
        <v>9</v>
      </c>
      <c r="I2520" s="7">
        <v>45671</v>
      </c>
      <c r="J2520" s="8">
        <v>0.65372685185185186</v>
      </c>
      <c r="K2520" t="s">
        <v>984</v>
      </c>
      <c r="AQ2520" t="s">
        <v>992</v>
      </c>
      <c r="AR2520" t="s">
        <v>1301</v>
      </c>
      <c r="AT2520" t="s">
        <v>987</v>
      </c>
      <c r="AZ2520" t="s">
        <v>1044</v>
      </c>
      <c r="BA2520" t="s">
        <v>1045</v>
      </c>
      <c r="BB2520" t="s">
        <v>990</v>
      </c>
      <c r="BD2520" t="s">
        <v>991</v>
      </c>
      <c r="BE2520" t="s">
        <v>648</v>
      </c>
    </row>
    <row r="2521" spans="1:57" ht="13" x14ac:dyDescent="0.15">
      <c r="A2521">
        <v>1839</v>
      </c>
      <c r="B2521">
        <v>286088802</v>
      </c>
      <c r="C2521" t="s">
        <v>649</v>
      </c>
      <c r="D2521" s="7">
        <v>45631</v>
      </c>
      <c r="E2521" s="7">
        <v>45665</v>
      </c>
      <c r="F2521">
        <v>330862</v>
      </c>
      <c r="G2521" t="s">
        <v>983</v>
      </c>
      <c r="H2521" t="s">
        <v>9</v>
      </c>
      <c r="I2521" s="7">
        <v>45663</v>
      </c>
      <c r="J2521" s="8">
        <v>0.24233796296296295</v>
      </c>
      <c r="K2521" t="s">
        <v>984</v>
      </c>
      <c r="AQ2521" t="s">
        <v>1744</v>
      </c>
      <c r="AR2521" t="s">
        <v>2105</v>
      </c>
      <c r="AT2521" t="s">
        <v>987</v>
      </c>
      <c r="AZ2521" t="s">
        <v>1007</v>
      </c>
      <c r="BA2521" t="s">
        <v>1008</v>
      </c>
      <c r="BB2521" t="s">
        <v>990</v>
      </c>
      <c r="BD2521" t="s">
        <v>1005</v>
      </c>
      <c r="BE2521" t="s">
        <v>649</v>
      </c>
    </row>
    <row r="2522" spans="1:57" ht="13" x14ac:dyDescent="0.15">
      <c r="A2522">
        <v>1839</v>
      </c>
      <c r="B2522">
        <v>286112808</v>
      </c>
      <c r="C2522" t="s">
        <v>2106</v>
      </c>
      <c r="D2522" s="7">
        <v>45631</v>
      </c>
      <c r="E2522" s="7">
        <v>45633</v>
      </c>
      <c r="F2522">
        <v>330862</v>
      </c>
      <c r="G2522" t="s">
        <v>983</v>
      </c>
      <c r="H2522" t="s">
        <v>9</v>
      </c>
      <c r="I2522" s="7">
        <v>45631</v>
      </c>
      <c r="J2522" s="8">
        <v>0.56259259259259264</v>
      </c>
      <c r="K2522" t="s">
        <v>984</v>
      </c>
      <c r="AQ2522" t="s">
        <v>998</v>
      </c>
      <c r="AR2522" t="s">
        <v>1311</v>
      </c>
      <c r="AT2522" t="s">
        <v>987</v>
      </c>
      <c r="AZ2522" t="s">
        <v>1020</v>
      </c>
      <c r="BA2522" t="s">
        <v>1021</v>
      </c>
      <c r="BB2522" t="s">
        <v>1018</v>
      </c>
      <c r="BD2522" t="s">
        <v>1022</v>
      </c>
      <c r="BE2522" t="s">
        <v>2106</v>
      </c>
    </row>
    <row r="2523" spans="1:57" ht="13" x14ac:dyDescent="0.15">
      <c r="A2523">
        <v>1839</v>
      </c>
      <c r="B2523">
        <v>286135841</v>
      </c>
      <c r="C2523" t="s">
        <v>650</v>
      </c>
      <c r="D2523" s="7">
        <v>45631</v>
      </c>
      <c r="E2523" s="7">
        <v>45693</v>
      </c>
      <c r="F2523">
        <v>330862</v>
      </c>
      <c r="G2523" t="s">
        <v>983</v>
      </c>
      <c r="H2523" t="s">
        <v>9</v>
      </c>
      <c r="I2523" s="7">
        <v>45685</v>
      </c>
      <c r="J2523" s="8">
        <v>0.90278935185185183</v>
      </c>
      <c r="K2523" t="s">
        <v>984</v>
      </c>
      <c r="AQ2523" t="s">
        <v>1042</v>
      </c>
      <c r="AR2523" t="s">
        <v>1114</v>
      </c>
      <c r="AT2523" t="s">
        <v>987</v>
      </c>
      <c r="AZ2523" t="s">
        <v>1011</v>
      </c>
      <c r="BA2523" t="s">
        <v>1012</v>
      </c>
      <c r="BB2523" t="s">
        <v>1013</v>
      </c>
      <c r="BD2523" t="s">
        <v>1014</v>
      </c>
      <c r="BE2523" t="s">
        <v>650</v>
      </c>
    </row>
    <row r="2524" spans="1:57" ht="13" x14ac:dyDescent="0.15">
      <c r="A2524">
        <v>1839</v>
      </c>
      <c r="B2524">
        <v>286157489</v>
      </c>
      <c r="C2524" t="s">
        <v>2107</v>
      </c>
      <c r="D2524" s="7">
        <v>45632</v>
      </c>
      <c r="E2524" s="7">
        <v>45634</v>
      </c>
      <c r="F2524">
        <v>330862</v>
      </c>
      <c r="G2524" t="s">
        <v>983</v>
      </c>
      <c r="H2524" t="s">
        <v>9</v>
      </c>
      <c r="I2524" s="7">
        <v>45632</v>
      </c>
      <c r="J2524" s="8">
        <v>0.96526620370370375</v>
      </c>
      <c r="K2524" t="s">
        <v>984</v>
      </c>
      <c r="AQ2524" t="s">
        <v>985</v>
      </c>
      <c r="AR2524" t="s">
        <v>2108</v>
      </c>
      <c r="AT2524" t="s">
        <v>987</v>
      </c>
      <c r="AZ2524" t="s">
        <v>1182</v>
      </c>
      <c r="BA2524" t="s">
        <v>1185</v>
      </c>
      <c r="BB2524" t="s">
        <v>1026</v>
      </c>
      <c r="BD2524" t="s">
        <v>1022</v>
      </c>
      <c r="BE2524" t="s">
        <v>2107</v>
      </c>
    </row>
    <row r="2525" spans="1:57" ht="13" x14ac:dyDescent="0.15">
      <c r="A2525">
        <v>1839</v>
      </c>
      <c r="B2525">
        <v>286161014</v>
      </c>
      <c r="C2525" t="s">
        <v>651</v>
      </c>
      <c r="D2525" s="7">
        <v>45633</v>
      </c>
      <c r="E2525" s="7">
        <v>45707</v>
      </c>
      <c r="F2525">
        <v>330862</v>
      </c>
      <c r="G2525" t="s">
        <v>983</v>
      </c>
      <c r="H2525" t="s">
        <v>9</v>
      </c>
      <c r="I2525" s="7">
        <v>45696</v>
      </c>
      <c r="J2525" s="8">
        <v>0.71643518518518523</v>
      </c>
      <c r="K2525" t="s">
        <v>984</v>
      </c>
      <c r="AQ2525" t="s">
        <v>1089</v>
      </c>
      <c r="AR2525" t="s">
        <v>1269</v>
      </c>
      <c r="AT2525" t="s">
        <v>987</v>
      </c>
      <c r="AZ2525" t="s">
        <v>1011</v>
      </c>
      <c r="BA2525" t="s">
        <v>1012</v>
      </c>
      <c r="BB2525" t="s">
        <v>1013</v>
      </c>
      <c r="BD2525" t="s">
        <v>1014</v>
      </c>
      <c r="BE2525" t="s">
        <v>651</v>
      </c>
    </row>
    <row r="2526" spans="1:57" ht="13" x14ac:dyDescent="0.15">
      <c r="A2526">
        <v>1839</v>
      </c>
      <c r="B2526">
        <v>286199864</v>
      </c>
      <c r="C2526" t="s">
        <v>652</v>
      </c>
      <c r="D2526" s="7">
        <v>45635</v>
      </c>
      <c r="E2526" s="7">
        <v>45700</v>
      </c>
      <c r="F2526">
        <v>330862</v>
      </c>
      <c r="G2526" t="s">
        <v>983</v>
      </c>
      <c r="H2526" t="s">
        <v>9</v>
      </c>
      <c r="I2526" s="7">
        <v>45694</v>
      </c>
      <c r="J2526" s="8">
        <v>0.47082175925925923</v>
      </c>
      <c r="K2526" t="s">
        <v>984</v>
      </c>
      <c r="AQ2526" t="s">
        <v>1090</v>
      </c>
      <c r="AR2526" t="s">
        <v>986</v>
      </c>
      <c r="AT2526" t="s">
        <v>987</v>
      </c>
      <c r="AZ2526" t="s">
        <v>988</v>
      </c>
      <c r="BA2526" t="s">
        <v>989</v>
      </c>
      <c r="BB2526" t="s">
        <v>990</v>
      </c>
      <c r="BD2526" t="s">
        <v>991</v>
      </c>
      <c r="BE2526" t="s">
        <v>652</v>
      </c>
    </row>
    <row r="2527" spans="1:57" ht="13" x14ac:dyDescent="0.15">
      <c r="A2527">
        <v>1839</v>
      </c>
      <c r="B2527">
        <v>286209181</v>
      </c>
      <c r="C2527" t="s">
        <v>653</v>
      </c>
      <c r="D2527" s="7">
        <v>45635</v>
      </c>
      <c r="E2527" s="7">
        <v>45695</v>
      </c>
      <c r="F2527">
        <v>330862</v>
      </c>
      <c r="G2527" t="s">
        <v>983</v>
      </c>
      <c r="H2527" t="s">
        <v>9</v>
      </c>
      <c r="I2527" s="7">
        <v>45695</v>
      </c>
      <c r="J2527" s="8">
        <v>9.5439814814814811E-2</v>
      </c>
      <c r="K2527" t="s">
        <v>984</v>
      </c>
      <c r="AQ2527" t="s">
        <v>998</v>
      </c>
      <c r="AR2527" t="s">
        <v>2109</v>
      </c>
      <c r="AT2527" t="s">
        <v>987</v>
      </c>
      <c r="AZ2527" t="s">
        <v>1002</v>
      </c>
      <c r="BA2527" t="s">
        <v>1040</v>
      </c>
      <c r="BB2527" t="s">
        <v>1041</v>
      </c>
      <c r="BD2527" t="s">
        <v>991</v>
      </c>
      <c r="BE2527" t="s">
        <v>653</v>
      </c>
    </row>
    <row r="2528" spans="1:57" ht="13" x14ac:dyDescent="0.15">
      <c r="A2528">
        <v>1839</v>
      </c>
      <c r="B2528">
        <v>286216484</v>
      </c>
      <c r="C2528" t="s">
        <v>2110</v>
      </c>
      <c r="D2528" s="7">
        <v>45635</v>
      </c>
      <c r="E2528" s="7">
        <v>45643</v>
      </c>
      <c r="F2528">
        <v>330862</v>
      </c>
      <c r="G2528" t="s">
        <v>983</v>
      </c>
      <c r="H2528" t="s">
        <v>9</v>
      </c>
      <c r="I2528" s="7">
        <v>45635</v>
      </c>
      <c r="J2528" s="8">
        <v>0.8208333333333333</v>
      </c>
      <c r="K2528" t="s">
        <v>984</v>
      </c>
      <c r="AQ2528" t="s">
        <v>1090</v>
      </c>
      <c r="AR2528" t="s">
        <v>1277</v>
      </c>
      <c r="AT2528" t="s">
        <v>987</v>
      </c>
      <c r="AZ2528" t="s">
        <v>1011</v>
      </c>
      <c r="BA2528" t="s">
        <v>1031</v>
      </c>
      <c r="BB2528" t="s">
        <v>1032</v>
      </c>
      <c r="BD2528" t="s">
        <v>1005</v>
      </c>
      <c r="BE2528" t="s">
        <v>2110</v>
      </c>
    </row>
    <row r="2529" spans="1:57" ht="13" x14ac:dyDescent="0.15">
      <c r="A2529">
        <v>1839</v>
      </c>
      <c r="B2529">
        <v>286234021</v>
      </c>
      <c r="C2529" t="s">
        <v>2111</v>
      </c>
      <c r="D2529" s="7">
        <v>45636</v>
      </c>
      <c r="E2529" s="7">
        <v>45638</v>
      </c>
      <c r="F2529">
        <v>330862</v>
      </c>
      <c r="G2529" t="s">
        <v>983</v>
      </c>
      <c r="H2529" t="s">
        <v>9</v>
      </c>
      <c r="I2529" s="7">
        <v>45636</v>
      </c>
      <c r="J2529" s="8">
        <v>0.42255787037037035</v>
      </c>
      <c r="K2529" t="s">
        <v>984</v>
      </c>
      <c r="AQ2529" t="s">
        <v>1273</v>
      </c>
      <c r="AR2529" t="s">
        <v>1280</v>
      </c>
      <c r="AT2529" t="s">
        <v>987</v>
      </c>
      <c r="AZ2529" t="s">
        <v>1239</v>
      </c>
      <c r="BA2529" t="s">
        <v>1281</v>
      </c>
      <c r="BB2529" t="s">
        <v>1026</v>
      </c>
      <c r="BD2529" t="s">
        <v>1022</v>
      </c>
      <c r="BE2529" t="s">
        <v>2111</v>
      </c>
    </row>
    <row r="2530" spans="1:57" ht="13" x14ac:dyDescent="0.15">
      <c r="A2530">
        <v>1839</v>
      </c>
      <c r="B2530">
        <v>286236106</v>
      </c>
      <c r="C2530" t="s">
        <v>2112</v>
      </c>
      <c r="D2530" s="7">
        <v>45636</v>
      </c>
      <c r="E2530" s="7">
        <v>45638</v>
      </c>
      <c r="F2530">
        <v>330862</v>
      </c>
      <c r="G2530" t="s">
        <v>983</v>
      </c>
      <c r="H2530" t="s">
        <v>9</v>
      </c>
      <c r="I2530" s="7">
        <v>45636</v>
      </c>
      <c r="J2530" s="8">
        <v>0.49288194444444444</v>
      </c>
      <c r="K2530" t="s">
        <v>984</v>
      </c>
      <c r="AQ2530" t="s">
        <v>998</v>
      </c>
      <c r="AR2530" t="s">
        <v>2113</v>
      </c>
      <c r="AT2530" t="s">
        <v>987</v>
      </c>
      <c r="AU2530" t="s">
        <v>1440</v>
      </c>
      <c r="AV2530" t="s">
        <v>1441</v>
      </c>
      <c r="AZ2530" t="s">
        <v>1011</v>
      </c>
      <c r="BA2530" t="s">
        <v>1031</v>
      </c>
      <c r="BB2530" t="s">
        <v>1032</v>
      </c>
      <c r="BD2530" t="s">
        <v>1005</v>
      </c>
      <c r="BE2530" t="s">
        <v>2112</v>
      </c>
    </row>
    <row r="2531" spans="1:57" ht="13" x14ac:dyDescent="0.15">
      <c r="A2531">
        <v>1839</v>
      </c>
      <c r="B2531">
        <v>286237451</v>
      </c>
      <c r="C2531" t="s">
        <v>2114</v>
      </c>
      <c r="D2531" s="7">
        <v>45636</v>
      </c>
      <c r="E2531" s="7">
        <v>45638</v>
      </c>
      <c r="F2531">
        <v>336444</v>
      </c>
      <c r="G2531" t="s">
        <v>995</v>
      </c>
      <c r="H2531" t="s">
        <v>12</v>
      </c>
      <c r="I2531" s="7">
        <v>45636</v>
      </c>
      <c r="J2531" s="8">
        <v>0.53287037037037033</v>
      </c>
      <c r="K2531" t="s">
        <v>984</v>
      </c>
      <c r="AQ2531" t="s">
        <v>996</v>
      </c>
      <c r="BE2531" t="s">
        <v>2114</v>
      </c>
    </row>
    <row r="2532" spans="1:57" ht="13" x14ac:dyDescent="0.15">
      <c r="A2532">
        <v>1839</v>
      </c>
      <c r="B2532">
        <v>286237952</v>
      </c>
      <c r="C2532" t="s">
        <v>2115</v>
      </c>
      <c r="D2532" s="7">
        <v>45636</v>
      </c>
      <c r="E2532" s="7">
        <v>45638</v>
      </c>
      <c r="F2532">
        <v>330862</v>
      </c>
      <c r="G2532" t="s">
        <v>983</v>
      </c>
      <c r="H2532" t="s">
        <v>9</v>
      </c>
      <c r="I2532" s="7">
        <v>45636</v>
      </c>
      <c r="J2532" s="8">
        <v>0.55024305555555553</v>
      </c>
      <c r="K2532" t="s">
        <v>984</v>
      </c>
      <c r="AQ2532" t="s">
        <v>1320</v>
      </c>
      <c r="AR2532" t="s">
        <v>1096</v>
      </c>
      <c r="AT2532" t="s">
        <v>987</v>
      </c>
      <c r="AZ2532" t="s">
        <v>1011</v>
      </c>
      <c r="BA2532" t="s">
        <v>1031</v>
      </c>
      <c r="BB2532" t="s">
        <v>1032</v>
      </c>
      <c r="BD2532" t="s">
        <v>1005</v>
      </c>
      <c r="BE2532" t="s">
        <v>2115</v>
      </c>
    </row>
    <row r="2533" spans="1:57" ht="13" x14ac:dyDescent="0.15">
      <c r="A2533">
        <v>1839</v>
      </c>
      <c r="B2533">
        <v>286241321</v>
      </c>
      <c r="C2533" t="s">
        <v>654</v>
      </c>
      <c r="D2533" s="7">
        <v>45636</v>
      </c>
      <c r="E2533" s="7">
        <v>45696</v>
      </c>
      <c r="F2533">
        <v>330862</v>
      </c>
      <c r="G2533" t="s">
        <v>983</v>
      </c>
      <c r="H2533" t="s">
        <v>9</v>
      </c>
      <c r="I2533" s="7">
        <v>45694</v>
      </c>
      <c r="J2533" s="8">
        <v>0.43335648148148148</v>
      </c>
      <c r="K2533" t="s">
        <v>984</v>
      </c>
      <c r="AQ2533" t="s">
        <v>998</v>
      </c>
      <c r="AR2533" t="s">
        <v>993</v>
      </c>
      <c r="AT2533" t="s">
        <v>987</v>
      </c>
      <c r="AZ2533" t="s">
        <v>988</v>
      </c>
      <c r="BA2533" t="s">
        <v>989</v>
      </c>
      <c r="BB2533" t="s">
        <v>990</v>
      </c>
      <c r="BD2533" t="s">
        <v>991</v>
      </c>
      <c r="BE2533" t="s">
        <v>654</v>
      </c>
    </row>
    <row r="2534" spans="1:57" ht="13" x14ac:dyDescent="0.15">
      <c r="A2534">
        <v>1839</v>
      </c>
      <c r="B2534">
        <v>286244761</v>
      </c>
      <c r="C2534" t="s">
        <v>2116</v>
      </c>
      <c r="D2534" s="7">
        <v>45636</v>
      </c>
      <c r="E2534" s="7">
        <v>45638</v>
      </c>
      <c r="F2534">
        <v>336447</v>
      </c>
      <c r="G2534" t="s">
        <v>1074</v>
      </c>
      <c r="H2534" t="s">
        <v>26</v>
      </c>
      <c r="I2534" s="7">
        <v>45636</v>
      </c>
      <c r="J2534" s="8">
        <v>0.72600694444444447</v>
      </c>
      <c r="K2534" t="s">
        <v>984</v>
      </c>
      <c r="AQ2534" t="s">
        <v>998</v>
      </c>
      <c r="AR2534" t="s">
        <v>2117</v>
      </c>
      <c r="BE2534" t="s">
        <v>2116</v>
      </c>
    </row>
    <row r="2535" spans="1:57" ht="13" x14ac:dyDescent="0.15">
      <c r="A2535">
        <v>1839</v>
      </c>
      <c r="B2535">
        <v>286244761</v>
      </c>
      <c r="C2535" t="s">
        <v>2116</v>
      </c>
      <c r="D2535" s="7">
        <v>45636</v>
      </c>
      <c r="E2535" s="7">
        <v>45638</v>
      </c>
      <c r="F2535">
        <v>336453</v>
      </c>
      <c r="G2535" t="s">
        <v>1074</v>
      </c>
      <c r="H2535" t="s">
        <v>27</v>
      </c>
      <c r="I2535" s="7">
        <v>45636</v>
      </c>
      <c r="J2535" s="8">
        <v>0.72606481481481477</v>
      </c>
      <c r="K2535" t="s">
        <v>984</v>
      </c>
      <c r="AQ2535" t="s">
        <v>998</v>
      </c>
      <c r="AR2535" t="s">
        <v>1076</v>
      </c>
      <c r="BE2535" t="s">
        <v>2116</v>
      </c>
    </row>
    <row r="2536" spans="1:57" ht="13" x14ac:dyDescent="0.15">
      <c r="A2536">
        <v>1839</v>
      </c>
      <c r="B2536">
        <v>286244761</v>
      </c>
      <c r="C2536" t="s">
        <v>2116</v>
      </c>
      <c r="D2536" s="7">
        <v>45636</v>
      </c>
      <c r="E2536" s="7">
        <v>45638</v>
      </c>
      <c r="F2536">
        <v>336709</v>
      </c>
      <c r="G2536" t="s">
        <v>1074</v>
      </c>
      <c r="H2536" t="s">
        <v>28</v>
      </c>
      <c r="I2536" s="7">
        <v>45636</v>
      </c>
      <c r="J2536" s="8">
        <v>0.72611111111111115</v>
      </c>
      <c r="K2536" t="s">
        <v>984</v>
      </c>
      <c r="AQ2536" t="s">
        <v>998</v>
      </c>
      <c r="AR2536" t="s">
        <v>1077</v>
      </c>
      <c r="BE2536" t="s">
        <v>2116</v>
      </c>
    </row>
    <row r="2537" spans="1:57" ht="13" x14ac:dyDescent="0.15">
      <c r="A2537">
        <v>1839</v>
      </c>
      <c r="B2537">
        <v>286247086</v>
      </c>
      <c r="C2537" t="s">
        <v>2118</v>
      </c>
      <c r="D2537" s="7">
        <v>45636</v>
      </c>
      <c r="E2537" s="7">
        <v>45638</v>
      </c>
      <c r="F2537">
        <v>330862</v>
      </c>
      <c r="G2537" t="s">
        <v>983</v>
      </c>
      <c r="H2537" t="s">
        <v>9</v>
      </c>
      <c r="I2537" s="7">
        <v>45636</v>
      </c>
      <c r="J2537" s="8">
        <v>0.85976851851851854</v>
      </c>
      <c r="K2537" t="s">
        <v>984</v>
      </c>
      <c r="AQ2537" t="s">
        <v>992</v>
      </c>
      <c r="AR2537" t="s">
        <v>1122</v>
      </c>
      <c r="AT2537" t="s">
        <v>987</v>
      </c>
      <c r="AZ2537" t="s">
        <v>1028</v>
      </c>
      <c r="BA2537" t="s">
        <v>1029</v>
      </c>
      <c r="BB2537" t="s">
        <v>1018</v>
      </c>
      <c r="BD2537" t="s">
        <v>1022</v>
      </c>
      <c r="BE2537" t="s">
        <v>2118</v>
      </c>
    </row>
    <row r="2538" spans="1:57" ht="13" x14ac:dyDescent="0.15">
      <c r="A2538">
        <v>1839</v>
      </c>
      <c r="B2538">
        <v>286248956</v>
      </c>
      <c r="C2538" t="s">
        <v>2119</v>
      </c>
      <c r="D2538" s="7">
        <v>45636</v>
      </c>
      <c r="E2538" s="7">
        <v>45638</v>
      </c>
      <c r="F2538">
        <v>330862</v>
      </c>
      <c r="G2538" t="s">
        <v>983</v>
      </c>
      <c r="H2538" t="s">
        <v>9</v>
      </c>
      <c r="I2538" s="7">
        <v>45636</v>
      </c>
      <c r="J2538" s="8">
        <v>0.93298611111111107</v>
      </c>
      <c r="K2538" t="s">
        <v>984</v>
      </c>
      <c r="AQ2538" t="s">
        <v>1206</v>
      </c>
      <c r="AR2538" t="s">
        <v>1098</v>
      </c>
      <c r="AT2538" t="s">
        <v>987</v>
      </c>
      <c r="AZ2538" t="s">
        <v>1020</v>
      </c>
      <c r="BA2538" t="s">
        <v>1021</v>
      </c>
      <c r="BB2538" t="s">
        <v>1018</v>
      </c>
      <c r="BD2538" t="s">
        <v>1022</v>
      </c>
      <c r="BE2538" t="s">
        <v>2119</v>
      </c>
    </row>
    <row r="2539" spans="1:57" ht="13" x14ac:dyDescent="0.15">
      <c r="A2539">
        <v>1839</v>
      </c>
      <c r="B2539">
        <v>286279658</v>
      </c>
      <c r="C2539" t="s">
        <v>2120</v>
      </c>
      <c r="D2539" s="7">
        <v>45638</v>
      </c>
      <c r="E2539" s="7">
        <v>45640</v>
      </c>
      <c r="F2539">
        <v>330862</v>
      </c>
      <c r="G2539" t="s">
        <v>983</v>
      </c>
      <c r="H2539" t="s">
        <v>9</v>
      </c>
      <c r="I2539" s="7">
        <v>45638</v>
      </c>
      <c r="J2539" s="8">
        <v>0.27033564814814814</v>
      </c>
      <c r="K2539" t="s">
        <v>984</v>
      </c>
      <c r="AQ2539" t="s">
        <v>992</v>
      </c>
      <c r="AR2539" t="s">
        <v>2121</v>
      </c>
      <c r="AT2539" t="s">
        <v>987</v>
      </c>
      <c r="AZ2539" t="s">
        <v>1024</v>
      </c>
      <c r="BA2539" t="s">
        <v>1025</v>
      </c>
      <c r="BB2539" t="s">
        <v>1026</v>
      </c>
      <c r="BD2539" t="s">
        <v>1022</v>
      </c>
      <c r="BE2539" t="s">
        <v>2120</v>
      </c>
    </row>
    <row r="2540" spans="1:57" ht="13" x14ac:dyDescent="0.15">
      <c r="A2540">
        <v>1839</v>
      </c>
      <c r="B2540">
        <v>286300811</v>
      </c>
      <c r="C2540" t="s">
        <v>2122</v>
      </c>
      <c r="D2540" s="7">
        <v>45638</v>
      </c>
      <c r="E2540" s="7">
        <v>45640</v>
      </c>
      <c r="F2540">
        <v>336447</v>
      </c>
      <c r="G2540" t="s">
        <v>1074</v>
      </c>
      <c r="H2540" t="s">
        <v>26</v>
      </c>
      <c r="I2540" s="7">
        <v>45638</v>
      </c>
      <c r="J2540" s="8">
        <v>0.51312500000000005</v>
      </c>
      <c r="K2540" t="s">
        <v>984</v>
      </c>
      <c r="AQ2540" t="s">
        <v>992</v>
      </c>
      <c r="AR2540" t="s">
        <v>2123</v>
      </c>
      <c r="BE2540" t="s">
        <v>2122</v>
      </c>
    </row>
    <row r="2541" spans="1:57" ht="13" x14ac:dyDescent="0.15">
      <c r="A2541">
        <v>1839</v>
      </c>
      <c r="B2541">
        <v>286300811</v>
      </c>
      <c r="C2541" t="s">
        <v>2122</v>
      </c>
      <c r="D2541" s="7">
        <v>45638</v>
      </c>
      <c r="E2541" s="7">
        <v>45640</v>
      </c>
      <c r="F2541">
        <v>336453</v>
      </c>
      <c r="G2541" t="s">
        <v>1074</v>
      </c>
      <c r="H2541" t="s">
        <v>27</v>
      </c>
      <c r="I2541" s="7">
        <v>45638</v>
      </c>
      <c r="J2541" s="8">
        <v>0.51318287037037036</v>
      </c>
      <c r="K2541" t="s">
        <v>984</v>
      </c>
      <c r="AQ2541" t="s">
        <v>992</v>
      </c>
      <c r="AR2541" t="s">
        <v>1076</v>
      </c>
      <c r="BE2541" t="s">
        <v>2122</v>
      </c>
    </row>
    <row r="2542" spans="1:57" ht="13" x14ac:dyDescent="0.15">
      <c r="A2542">
        <v>1839</v>
      </c>
      <c r="B2542">
        <v>286300811</v>
      </c>
      <c r="C2542" t="s">
        <v>2122</v>
      </c>
      <c r="D2542" s="7">
        <v>45638</v>
      </c>
      <c r="E2542" s="7">
        <v>45640</v>
      </c>
      <c r="F2542">
        <v>336709</v>
      </c>
      <c r="G2542" t="s">
        <v>1074</v>
      </c>
      <c r="H2542" t="s">
        <v>28</v>
      </c>
      <c r="I2542" s="7">
        <v>45638</v>
      </c>
      <c r="J2542" s="8">
        <v>0.51328703703703704</v>
      </c>
      <c r="K2542" t="s">
        <v>984</v>
      </c>
      <c r="AQ2542" t="s">
        <v>992</v>
      </c>
      <c r="AR2542" t="s">
        <v>1077</v>
      </c>
      <c r="BE2542" t="s">
        <v>2122</v>
      </c>
    </row>
    <row r="2543" spans="1:57" ht="13" x14ac:dyDescent="0.15">
      <c r="A2543">
        <v>1839</v>
      </c>
      <c r="B2543">
        <v>286305117</v>
      </c>
      <c r="C2543" t="s">
        <v>2124</v>
      </c>
      <c r="D2543" s="7">
        <v>45638</v>
      </c>
      <c r="E2543" s="7">
        <v>45676</v>
      </c>
      <c r="F2543">
        <v>330862</v>
      </c>
      <c r="G2543" t="s">
        <v>983</v>
      </c>
      <c r="H2543" t="s">
        <v>9</v>
      </c>
      <c r="I2543" s="7">
        <v>45638</v>
      </c>
      <c r="J2543" s="8">
        <v>0.65798611111111116</v>
      </c>
      <c r="K2543" t="s">
        <v>984</v>
      </c>
      <c r="AQ2543" t="s">
        <v>1110</v>
      </c>
      <c r="AR2543" t="s">
        <v>1085</v>
      </c>
      <c r="AT2543" t="s">
        <v>987</v>
      </c>
      <c r="AZ2543" t="s">
        <v>1011</v>
      </c>
      <c r="BA2543" t="s">
        <v>1031</v>
      </c>
      <c r="BB2543" t="s">
        <v>1032</v>
      </c>
      <c r="BD2543" t="s">
        <v>1005</v>
      </c>
      <c r="BE2543" t="s">
        <v>2124</v>
      </c>
    </row>
    <row r="2544" spans="1:57" ht="13" x14ac:dyDescent="0.15">
      <c r="A2544">
        <v>1839</v>
      </c>
      <c r="B2544">
        <v>286305282</v>
      </c>
      <c r="C2544" t="s">
        <v>2125</v>
      </c>
      <c r="D2544" s="7">
        <v>45638</v>
      </c>
      <c r="E2544" s="7">
        <v>45648</v>
      </c>
      <c r="F2544">
        <v>336444</v>
      </c>
      <c r="G2544" t="s">
        <v>995</v>
      </c>
      <c r="H2544" t="s">
        <v>12</v>
      </c>
      <c r="I2544" s="7">
        <v>45638</v>
      </c>
      <c r="J2544" s="8">
        <v>0.66421296296296295</v>
      </c>
      <c r="K2544" t="s">
        <v>984</v>
      </c>
      <c r="AQ2544" t="s">
        <v>996</v>
      </c>
      <c r="BE2544" t="s">
        <v>2125</v>
      </c>
    </row>
    <row r="2545" spans="1:57" ht="13" x14ac:dyDescent="0.15">
      <c r="A2545">
        <v>1839</v>
      </c>
      <c r="B2545">
        <v>286349764</v>
      </c>
      <c r="C2545" t="s">
        <v>2126</v>
      </c>
      <c r="D2545" s="7">
        <v>45639</v>
      </c>
      <c r="E2545" s="7">
        <v>45674</v>
      </c>
      <c r="F2545">
        <v>330862</v>
      </c>
      <c r="G2545" t="s">
        <v>983</v>
      </c>
      <c r="H2545" t="s">
        <v>9</v>
      </c>
      <c r="I2545" s="7">
        <v>45639</v>
      </c>
      <c r="J2545" s="8">
        <v>0.57822916666666668</v>
      </c>
      <c r="K2545" t="s">
        <v>984</v>
      </c>
      <c r="AQ2545" t="s">
        <v>992</v>
      </c>
      <c r="AR2545" t="s">
        <v>1832</v>
      </c>
      <c r="AT2545" t="s">
        <v>987</v>
      </c>
      <c r="AZ2545" t="s">
        <v>1020</v>
      </c>
      <c r="BA2545" t="s">
        <v>1230</v>
      </c>
      <c r="BB2545" t="s">
        <v>1018</v>
      </c>
      <c r="BD2545" t="s">
        <v>1005</v>
      </c>
      <c r="BE2545" t="s">
        <v>2126</v>
      </c>
    </row>
    <row r="2546" spans="1:57" ht="13" x14ac:dyDescent="0.15">
      <c r="A2546">
        <v>1839</v>
      </c>
      <c r="B2546">
        <v>286352508</v>
      </c>
      <c r="C2546" t="s">
        <v>2127</v>
      </c>
      <c r="D2546" s="7">
        <v>45639</v>
      </c>
      <c r="E2546" s="7">
        <v>45665</v>
      </c>
      <c r="F2546">
        <v>330862</v>
      </c>
      <c r="G2546" t="s">
        <v>983</v>
      </c>
      <c r="H2546" t="s">
        <v>9</v>
      </c>
      <c r="I2546" s="7">
        <v>45651</v>
      </c>
      <c r="J2546" s="8">
        <v>0.56038194444444445</v>
      </c>
      <c r="K2546" t="s">
        <v>984</v>
      </c>
      <c r="AQ2546" t="s">
        <v>992</v>
      </c>
      <c r="AR2546" t="s">
        <v>2128</v>
      </c>
      <c r="AT2546" t="s">
        <v>987</v>
      </c>
      <c r="AZ2546" t="s">
        <v>1028</v>
      </c>
      <c r="BA2546" t="s">
        <v>1029</v>
      </c>
      <c r="BB2546" t="s">
        <v>1018</v>
      </c>
      <c r="BD2546" t="s">
        <v>1022</v>
      </c>
      <c r="BE2546" t="s">
        <v>2127</v>
      </c>
    </row>
    <row r="2547" spans="1:57" ht="13" x14ac:dyDescent="0.15">
      <c r="A2547">
        <v>1839</v>
      </c>
      <c r="B2547">
        <v>286364112</v>
      </c>
      <c r="C2547" t="s">
        <v>2129</v>
      </c>
      <c r="D2547" s="7">
        <v>45640</v>
      </c>
      <c r="E2547" s="7">
        <v>45692</v>
      </c>
      <c r="F2547">
        <v>336444</v>
      </c>
      <c r="G2547" t="s">
        <v>995</v>
      </c>
      <c r="H2547" t="s">
        <v>12</v>
      </c>
      <c r="I2547" s="7">
        <v>45640</v>
      </c>
      <c r="J2547" s="8">
        <v>0.22469907407407408</v>
      </c>
      <c r="K2547" t="s">
        <v>984</v>
      </c>
      <c r="AQ2547" t="s">
        <v>996</v>
      </c>
      <c r="BE2547" t="s">
        <v>2129</v>
      </c>
    </row>
    <row r="2548" spans="1:57" ht="13" x14ac:dyDescent="0.15">
      <c r="A2548">
        <v>1839</v>
      </c>
      <c r="B2548">
        <v>286373377</v>
      </c>
      <c r="C2548" t="s">
        <v>2130</v>
      </c>
      <c r="D2548" s="7">
        <v>45640</v>
      </c>
      <c r="E2548" s="7">
        <v>45696</v>
      </c>
      <c r="F2548">
        <v>330862</v>
      </c>
      <c r="G2548" t="s">
        <v>983</v>
      </c>
      <c r="H2548" t="s">
        <v>9</v>
      </c>
      <c r="I2548" s="7">
        <v>45640</v>
      </c>
      <c r="J2548" s="8">
        <v>0.56577546296296299</v>
      </c>
      <c r="K2548" t="s">
        <v>984</v>
      </c>
      <c r="AQ2548" t="s">
        <v>992</v>
      </c>
      <c r="AR2548" t="s">
        <v>1085</v>
      </c>
      <c r="AT2548" t="s">
        <v>987</v>
      </c>
      <c r="AZ2548" t="s">
        <v>1011</v>
      </c>
      <c r="BA2548" t="s">
        <v>1031</v>
      </c>
      <c r="BB2548" t="s">
        <v>1032</v>
      </c>
      <c r="BD2548" t="s">
        <v>1005</v>
      </c>
      <c r="BE2548" t="s">
        <v>2130</v>
      </c>
    </row>
    <row r="2549" spans="1:57" ht="13" x14ac:dyDescent="0.15">
      <c r="A2549">
        <v>1839</v>
      </c>
      <c r="B2549">
        <v>286387278</v>
      </c>
      <c r="C2549" t="s">
        <v>2131</v>
      </c>
      <c r="D2549" s="7">
        <v>45641</v>
      </c>
      <c r="E2549" s="7">
        <v>45676</v>
      </c>
      <c r="F2549">
        <v>330862</v>
      </c>
      <c r="G2549" t="s">
        <v>983</v>
      </c>
      <c r="H2549" t="s">
        <v>9</v>
      </c>
      <c r="I2549" s="7">
        <v>45641</v>
      </c>
      <c r="J2549" s="8">
        <v>0.35037037037037039</v>
      </c>
      <c r="K2549" t="s">
        <v>984</v>
      </c>
      <c r="AQ2549" t="s">
        <v>998</v>
      </c>
      <c r="AR2549" t="s">
        <v>2132</v>
      </c>
      <c r="AT2549" t="s">
        <v>987</v>
      </c>
      <c r="AZ2549" t="s">
        <v>1215</v>
      </c>
      <c r="BA2549" t="s">
        <v>1216</v>
      </c>
      <c r="BB2549" t="s">
        <v>1217</v>
      </c>
      <c r="BD2549" t="s">
        <v>1022</v>
      </c>
      <c r="BE2549" t="s">
        <v>2131</v>
      </c>
    </row>
    <row r="2550" spans="1:57" ht="13" x14ac:dyDescent="0.15">
      <c r="A2550">
        <v>1839</v>
      </c>
      <c r="B2550">
        <v>286398206</v>
      </c>
      <c r="C2550" t="s">
        <v>2133</v>
      </c>
      <c r="D2550" s="7">
        <v>45641</v>
      </c>
      <c r="E2550" s="7">
        <v>45643</v>
      </c>
      <c r="F2550">
        <v>330862</v>
      </c>
      <c r="G2550" t="s">
        <v>983</v>
      </c>
      <c r="H2550" t="s">
        <v>9</v>
      </c>
      <c r="I2550" s="7">
        <v>45641</v>
      </c>
      <c r="J2550" s="8">
        <v>0.79202546296296295</v>
      </c>
      <c r="K2550" t="s">
        <v>984</v>
      </c>
      <c r="AQ2550" t="s">
        <v>992</v>
      </c>
      <c r="AR2550" t="s">
        <v>1094</v>
      </c>
      <c r="AT2550" t="s">
        <v>987</v>
      </c>
      <c r="AZ2550" t="s">
        <v>1024</v>
      </c>
      <c r="BA2550" t="s">
        <v>1025</v>
      </c>
      <c r="BB2550" t="s">
        <v>1026</v>
      </c>
      <c r="BD2550" t="s">
        <v>1022</v>
      </c>
      <c r="BE2550" t="s">
        <v>2133</v>
      </c>
    </row>
    <row r="2551" spans="1:57" ht="13" x14ac:dyDescent="0.15">
      <c r="A2551">
        <v>1839</v>
      </c>
      <c r="B2551">
        <v>286402974</v>
      </c>
      <c r="C2551" t="s">
        <v>655</v>
      </c>
      <c r="D2551" s="7">
        <v>45642</v>
      </c>
      <c r="E2551" s="7">
        <v>45709</v>
      </c>
      <c r="F2551">
        <v>330862</v>
      </c>
      <c r="G2551" t="s">
        <v>983</v>
      </c>
      <c r="H2551" t="s">
        <v>9</v>
      </c>
      <c r="I2551" s="7">
        <v>45642</v>
      </c>
      <c r="J2551" s="8">
        <v>5.4976851851851853E-2</v>
      </c>
      <c r="K2551" t="s">
        <v>984</v>
      </c>
      <c r="AQ2551" t="s">
        <v>1090</v>
      </c>
      <c r="AR2551" t="s">
        <v>2134</v>
      </c>
      <c r="AT2551" t="s">
        <v>987</v>
      </c>
      <c r="AZ2551" t="s">
        <v>1002</v>
      </c>
      <c r="BA2551" t="s">
        <v>1124</v>
      </c>
      <c r="BB2551" t="s">
        <v>1125</v>
      </c>
      <c r="BD2551" t="s">
        <v>1005</v>
      </c>
      <c r="BE2551" t="s">
        <v>655</v>
      </c>
    </row>
    <row r="2552" spans="1:57" ht="13" x14ac:dyDescent="0.15">
      <c r="A2552">
        <v>1839</v>
      </c>
      <c r="B2552">
        <v>286402974</v>
      </c>
      <c r="C2552" t="s">
        <v>655</v>
      </c>
      <c r="D2552" s="7">
        <v>45642</v>
      </c>
      <c r="E2552" s="7">
        <v>45709</v>
      </c>
      <c r="F2552">
        <v>330862</v>
      </c>
      <c r="G2552" t="s">
        <v>983</v>
      </c>
      <c r="H2552" t="s">
        <v>9</v>
      </c>
      <c r="I2552" s="7">
        <v>45655</v>
      </c>
      <c r="J2552" s="8">
        <v>0.64708333333333334</v>
      </c>
      <c r="K2552" t="s">
        <v>984</v>
      </c>
      <c r="AQ2552" t="s">
        <v>1090</v>
      </c>
      <c r="AR2552" t="s">
        <v>2135</v>
      </c>
      <c r="AT2552" t="s">
        <v>987</v>
      </c>
      <c r="AZ2552" t="s">
        <v>1002</v>
      </c>
      <c r="BA2552" t="s">
        <v>1003</v>
      </c>
      <c r="BB2552" t="s">
        <v>1004</v>
      </c>
      <c r="BD2552" t="s">
        <v>1005</v>
      </c>
      <c r="BE2552" t="s">
        <v>655</v>
      </c>
    </row>
    <row r="2553" spans="1:57" ht="13" x14ac:dyDescent="0.15">
      <c r="A2553">
        <v>1839</v>
      </c>
      <c r="B2553">
        <v>286402974</v>
      </c>
      <c r="C2553" t="s">
        <v>655</v>
      </c>
      <c r="D2553" s="7">
        <v>45642</v>
      </c>
      <c r="E2553" s="7">
        <v>45709</v>
      </c>
      <c r="F2553">
        <v>330862</v>
      </c>
      <c r="G2553" t="s">
        <v>983</v>
      </c>
      <c r="H2553" t="s">
        <v>9</v>
      </c>
      <c r="I2553" s="7">
        <v>45679</v>
      </c>
      <c r="J2553" s="8">
        <v>0.27181712962962962</v>
      </c>
      <c r="K2553" t="s">
        <v>984</v>
      </c>
      <c r="AQ2553" t="s">
        <v>1090</v>
      </c>
      <c r="AR2553" t="s">
        <v>2136</v>
      </c>
      <c r="AT2553" t="s">
        <v>987</v>
      </c>
      <c r="AZ2553" t="s">
        <v>1139</v>
      </c>
      <c r="BA2553" t="s">
        <v>1140</v>
      </c>
      <c r="BB2553" t="s">
        <v>1032</v>
      </c>
      <c r="BD2553" t="s">
        <v>1005</v>
      </c>
      <c r="BE2553" t="s">
        <v>655</v>
      </c>
    </row>
    <row r="2554" spans="1:57" ht="13" x14ac:dyDescent="0.15">
      <c r="A2554">
        <v>1839</v>
      </c>
      <c r="B2554">
        <v>286402974</v>
      </c>
      <c r="C2554" t="s">
        <v>655</v>
      </c>
      <c r="D2554" s="7">
        <v>45642</v>
      </c>
      <c r="E2554" s="7">
        <v>45709</v>
      </c>
      <c r="F2554">
        <v>330862</v>
      </c>
      <c r="G2554" t="s">
        <v>983</v>
      </c>
      <c r="H2554" t="s">
        <v>9</v>
      </c>
      <c r="I2554" s="7">
        <v>45679</v>
      </c>
      <c r="J2554" s="8">
        <v>0.17755787037037038</v>
      </c>
      <c r="K2554" t="s">
        <v>984</v>
      </c>
      <c r="AQ2554" t="s">
        <v>1090</v>
      </c>
      <c r="AR2554" t="s">
        <v>2137</v>
      </c>
      <c r="AT2554" t="s">
        <v>987</v>
      </c>
      <c r="BE2554" t="s">
        <v>655</v>
      </c>
    </row>
    <row r="2555" spans="1:57" ht="13" x14ac:dyDescent="0.15">
      <c r="A2555">
        <v>1839</v>
      </c>
      <c r="B2555">
        <v>286402974</v>
      </c>
      <c r="C2555" t="s">
        <v>655</v>
      </c>
      <c r="D2555" s="7">
        <v>45642</v>
      </c>
      <c r="E2555" s="7">
        <v>45709</v>
      </c>
      <c r="F2555">
        <v>330862</v>
      </c>
      <c r="G2555" t="s">
        <v>983</v>
      </c>
      <c r="H2555" t="s">
        <v>9</v>
      </c>
      <c r="I2555" s="7">
        <v>45684</v>
      </c>
      <c r="J2555" s="8">
        <v>0.62069444444444444</v>
      </c>
      <c r="K2555" t="s">
        <v>984</v>
      </c>
      <c r="AQ2555" t="s">
        <v>1090</v>
      </c>
      <c r="AR2555" t="s">
        <v>2138</v>
      </c>
      <c r="AT2555" t="s">
        <v>987</v>
      </c>
      <c r="BE2555" t="s">
        <v>655</v>
      </c>
    </row>
    <row r="2556" spans="1:57" ht="13" x14ac:dyDescent="0.15">
      <c r="A2556">
        <v>1839</v>
      </c>
      <c r="B2556">
        <v>286402974</v>
      </c>
      <c r="C2556" t="s">
        <v>655</v>
      </c>
      <c r="D2556" s="7">
        <v>45642</v>
      </c>
      <c r="E2556" s="7">
        <v>45709</v>
      </c>
      <c r="F2556">
        <v>330862</v>
      </c>
      <c r="G2556" t="s">
        <v>983</v>
      </c>
      <c r="H2556" t="s">
        <v>9</v>
      </c>
      <c r="I2556" s="7">
        <v>45695</v>
      </c>
      <c r="J2556" s="8">
        <v>0.77916666666666667</v>
      </c>
      <c r="K2556" t="s">
        <v>984</v>
      </c>
      <c r="AQ2556" t="s">
        <v>1090</v>
      </c>
      <c r="AR2556" t="s">
        <v>1941</v>
      </c>
      <c r="AT2556" t="s">
        <v>987</v>
      </c>
      <c r="AZ2556" t="s">
        <v>1002</v>
      </c>
      <c r="BA2556" t="s">
        <v>1040</v>
      </c>
      <c r="BB2556" t="s">
        <v>1041</v>
      </c>
      <c r="BD2556" t="s">
        <v>991</v>
      </c>
      <c r="BE2556" t="s">
        <v>655</v>
      </c>
    </row>
    <row r="2557" spans="1:57" ht="13" x14ac:dyDescent="0.15">
      <c r="A2557">
        <v>1839</v>
      </c>
      <c r="B2557">
        <v>286402974</v>
      </c>
      <c r="C2557" t="s">
        <v>655</v>
      </c>
      <c r="D2557" s="7">
        <v>45642</v>
      </c>
      <c r="E2557" s="7">
        <v>45709</v>
      </c>
      <c r="F2557">
        <v>330862</v>
      </c>
      <c r="G2557" t="s">
        <v>983</v>
      </c>
      <c r="H2557" t="s">
        <v>9</v>
      </c>
      <c r="I2557" s="7">
        <v>45694</v>
      </c>
      <c r="J2557" s="8">
        <v>0.90362268518518518</v>
      </c>
      <c r="K2557" t="s">
        <v>984</v>
      </c>
      <c r="AQ2557" t="s">
        <v>992</v>
      </c>
      <c r="AR2557" t="s">
        <v>1945</v>
      </c>
      <c r="AT2557" t="s">
        <v>987</v>
      </c>
      <c r="AZ2557" t="s">
        <v>1220</v>
      </c>
      <c r="BA2557" t="s">
        <v>1292</v>
      </c>
      <c r="BB2557" t="s">
        <v>1293</v>
      </c>
      <c r="BD2557" t="s">
        <v>991</v>
      </c>
      <c r="BE2557" t="s">
        <v>655</v>
      </c>
    </row>
    <row r="2558" spans="1:57" ht="13" x14ac:dyDescent="0.15">
      <c r="A2558">
        <v>1839</v>
      </c>
      <c r="B2558">
        <v>286402974</v>
      </c>
      <c r="C2558" t="s">
        <v>655</v>
      </c>
      <c r="D2558" s="7">
        <v>45642</v>
      </c>
      <c r="E2558" s="7">
        <v>45709</v>
      </c>
      <c r="F2558">
        <v>330862</v>
      </c>
      <c r="G2558" t="s">
        <v>983</v>
      </c>
      <c r="H2558" t="s">
        <v>9</v>
      </c>
      <c r="I2558" s="7">
        <v>45703</v>
      </c>
      <c r="J2558" s="8">
        <v>0.37702546296296297</v>
      </c>
      <c r="K2558" t="s">
        <v>984</v>
      </c>
      <c r="AQ2558" t="s">
        <v>992</v>
      </c>
      <c r="AR2558" t="s">
        <v>2139</v>
      </c>
      <c r="AT2558" t="s">
        <v>987</v>
      </c>
      <c r="AZ2558" t="s">
        <v>1220</v>
      </c>
      <c r="BA2558" t="s">
        <v>1221</v>
      </c>
      <c r="BB2558" t="s">
        <v>1082</v>
      </c>
      <c r="BD2558" t="s">
        <v>991</v>
      </c>
      <c r="BE2558" t="s">
        <v>655</v>
      </c>
    </row>
    <row r="2559" spans="1:57" ht="13" x14ac:dyDescent="0.15">
      <c r="A2559">
        <v>1839</v>
      </c>
      <c r="B2559">
        <v>286402974</v>
      </c>
      <c r="C2559" t="s">
        <v>655</v>
      </c>
      <c r="D2559" s="7">
        <v>45642</v>
      </c>
      <c r="E2559" s="7">
        <v>45709</v>
      </c>
      <c r="F2559">
        <v>330862</v>
      </c>
      <c r="G2559" t="s">
        <v>983</v>
      </c>
      <c r="H2559" t="s">
        <v>9</v>
      </c>
      <c r="I2559" s="7">
        <v>45703</v>
      </c>
      <c r="J2559" s="8">
        <v>0.34542824074074074</v>
      </c>
      <c r="K2559" t="s">
        <v>984</v>
      </c>
      <c r="AQ2559" t="s">
        <v>992</v>
      </c>
      <c r="AR2559" t="s">
        <v>2140</v>
      </c>
      <c r="AT2559" t="s">
        <v>987</v>
      </c>
      <c r="AZ2559" t="s">
        <v>1002</v>
      </c>
      <c r="BA2559" t="s">
        <v>1065</v>
      </c>
      <c r="BB2559" t="s">
        <v>1004</v>
      </c>
      <c r="BD2559" t="s">
        <v>991</v>
      </c>
      <c r="BE2559" t="s">
        <v>655</v>
      </c>
    </row>
    <row r="2560" spans="1:57" ht="13" x14ac:dyDescent="0.15">
      <c r="A2560">
        <v>1839</v>
      </c>
      <c r="B2560">
        <v>286402974</v>
      </c>
      <c r="C2560" t="s">
        <v>655</v>
      </c>
      <c r="D2560" s="7">
        <v>45642</v>
      </c>
      <c r="E2560" s="7">
        <v>45709</v>
      </c>
      <c r="F2560">
        <v>330862</v>
      </c>
      <c r="G2560" t="s">
        <v>983</v>
      </c>
      <c r="H2560" t="s">
        <v>9</v>
      </c>
      <c r="I2560" s="7">
        <v>45709</v>
      </c>
      <c r="J2560" s="8">
        <v>0.51937500000000003</v>
      </c>
      <c r="K2560" t="s">
        <v>984</v>
      </c>
      <c r="AQ2560" t="s">
        <v>1090</v>
      </c>
      <c r="AR2560" t="s">
        <v>2141</v>
      </c>
      <c r="AT2560" t="s">
        <v>987</v>
      </c>
      <c r="AZ2560" t="s">
        <v>1220</v>
      </c>
      <c r="BA2560" t="s">
        <v>1221</v>
      </c>
      <c r="BB2560" t="s">
        <v>1082</v>
      </c>
      <c r="BD2560" t="s">
        <v>991</v>
      </c>
      <c r="BE2560" t="s">
        <v>655</v>
      </c>
    </row>
    <row r="2561" spans="1:57" ht="13" x14ac:dyDescent="0.15">
      <c r="A2561">
        <v>1839</v>
      </c>
      <c r="B2561">
        <v>286402974</v>
      </c>
      <c r="C2561" t="s">
        <v>655</v>
      </c>
      <c r="D2561" s="7">
        <v>45642</v>
      </c>
      <c r="E2561" s="7">
        <v>45709</v>
      </c>
      <c r="F2561">
        <v>330862</v>
      </c>
      <c r="G2561" t="s">
        <v>983</v>
      </c>
      <c r="H2561" t="s">
        <v>9</v>
      </c>
      <c r="I2561" s="7">
        <v>45642</v>
      </c>
      <c r="J2561" s="8">
        <v>5.8333333333333334E-2</v>
      </c>
      <c r="K2561" t="s">
        <v>984</v>
      </c>
      <c r="AQ2561" t="s">
        <v>992</v>
      </c>
      <c r="AR2561" t="s">
        <v>2134</v>
      </c>
      <c r="AT2561" t="s">
        <v>987</v>
      </c>
      <c r="AZ2561" t="s">
        <v>1002</v>
      </c>
      <c r="BA2561" t="s">
        <v>1124</v>
      </c>
      <c r="BB2561" t="s">
        <v>1125</v>
      </c>
      <c r="BD2561" t="s">
        <v>1005</v>
      </c>
      <c r="BE2561" t="s">
        <v>655</v>
      </c>
    </row>
    <row r="2562" spans="1:57" ht="13" x14ac:dyDescent="0.15">
      <c r="A2562">
        <v>1839</v>
      </c>
      <c r="B2562">
        <v>286554886</v>
      </c>
      <c r="C2562" t="s">
        <v>656</v>
      </c>
      <c r="D2562" s="7">
        <v>45643</v>
      </c>
      <c r="E2562" s="7">
        <v>45692</v>
      </c>
      <c r="F2562">
        <v>330862</v>
      </c>
      <c r="G2562" t="s">
        <v>983</v>
      </c>
      <c r="H2562" t="s">
        <v>9</v>
      </c>
      <c r="I2562" s="7">
        <v>45674</v>
      </c>
      <c r="J2562" s="8">
        <v>0.31445601851851851</v>
      </c>
      <c r="K2562" t="s">
        <v>984</v>
      </c>
      <c r="AQ2562" t="s">
        <v>998</v>
      </c>
      <c r="AR2562" t="s">
        <v>1557</v>
      </c>
      <c r="AT2562" t="s">
        <v>987</v>
      </c>
      <c r="AZ2562" t="s">
        <v>1016</v>
      </c>
      <c r="BA2562" t="s">
        <v>1017</v>
      </c>
      <c r="BB2562" t="s">
        <v>1018</v>
      </c>
      <c r="BD2562" t="s">
        <v>991</v>
      </c>
      <c r="BE2562" t="s">
        <v>656</v>
      </c>
    </row>
    <row r="2563" spans="1:57" ht="13" x14ac:dyDescent="0.15">
      <c r="A2563">
        <v>1839</v>
      </c>
      <c r="B2563">
        <v>286560951</v>
      </c>
      <c r="C2563" t="s">
        <v>657</v>
      </c>
      <c r="D2563" s="7">
        <v>45643</v>
      </c>
      <c r="E2563" s="7">
        <v>45698</v>
      </c>
      <c r="F2563">
        <v>330862</v>
      </c>
      <c r="G2563" t="s">
        <v>983</v>
      </c>
      <c r="H2563" t="s">
        <v>9</v>
      </c>
      <c r="I2563" s="7">
        <v>45655</v>
      </c>
      <c r="J2563" s="8">
        <v>0.66733796296296299</v>
      </c>
      <c r="K2563" t="s">
        <v>984</v>
      </c>
      <c r="AQ2563" t="s">
        <v>1090</v>
      </c>
      <c r="AR2563" t="s">
        <v>1638</v>
      </c>
      <c r="AT2563" t="s">
        <v>987</v>
      </c>
      <c r="AZ2563" t="s">
        <v>1007</v>
      </c>
      <c r="BA2563" t="s">
        <v>1008</v>
      </c>
      <c r="BB2563" t="s">
        <v>990</v>
      </c>
      <c r="BD2563" t="s">
        <v>1005</v>
      </c>
      <c r="BE2563" t="s">
        <v>657</v>
      </c>
    </row>
    <row r="2564" spans="1:57" ht="13" x14ac:dyDescent="0.15">
      <c r="A2564">
        <v>1839</v>
      </c>
      <c r="B2564">
        <v>286560951</v>
      </c>
      <c r="C2564" t="s">
        <v>657</v>
      </c>
      <c r="D2564" s="7">
        <v>45643</v>
      </c>
      <c r="E2564" s="7">
        <v>45698</v>
      </c>
      <c r="F2564">
        <v>330862</v>
      </c>
      <c r="G2564" t="s">
        <v>983</v>
      </c>
      <c r="H2564" t="s">
        <v>9</v>
      </c>
      <c r="I2564" s="7">
        <v>45694</v>
      </c>
      <c r="J2564" s="8">
        <v>0.41924768518518518</v>
      </c>
      <c r="K2564" t="s">
        <v>984</v>
      </c>
      <c r="AQ2564" t="s">
        <v>1090</v>
      </c>
      <c r="AR2564" t="s">
        <v>1269</v>
      </c>
      <c r="AT2564" t="s">
        <v>987</v>
      </c>
      <c r="AZ2564" t="s">
        <v>1011</v>
      </c>
      <c r="BA2564" t="s">
        <v>1012</v>
      </c>
      <c r="BB2564" t="s">
        <v>1013</v>
      </c>
      <c r="BD2564" t="s">
        <v>1014</v>
      </c>
      <c r="BE2564" t="s">
        <v>657</v>
      </c>
    </row>
    <row r="2565" spans="1:57" ht="13" x14ac:dyDescent="0.15">
      <c r="A2565">
        <v>1839</v>
      </c>
      <c r="B2565">
        <v>286560951</v>
      </c>
      <c r="C2565" t="s">
        <v>657</v>
      </c>
      <c r="D2565" s="7">
        <v>45643</v>
      </c>
      <c r="E2565" s="7">
        <v>45698</v>
      </c>
      <c r="F2565">
        <v>330862</v>
      </c>
      <c r="G2565" t="s">
        <v>983</v>
      </c>
      <c r="H2565" t="s">
        <v>9</v>
      </c>
      <c r="I2565" s="7">
        <v>45688</v>
      </c>
      <c r="J2565" s="8">
        <v>0.66696759259259264</v>
      </c>
      <c r="K2565" t="s">
        <v>984</v>
      </c>
      <c r="AQ2565" t="s">
        <v>1090</v>
      </c>
      <c r="AR2565" t="s">
        <v>1269</v>
      </c>
      <c r="AT2565" t="s">
        <v>987</v>
      </c>
      <c r="AZ2565" t="s">
        <v>1011</v>
      </c>
      <c r="BA2565" t="s">
        <v>1012</v>
      </c>
      <c r="BB2565" t="s">
        <v>1013</v>
      </c>
      <c r="BD2565" t="s">
        <v>1014</v>
      </c>
      <c r="BE2565" t="s">
        <v>657</v>
      </c>
    </row>
    <row r="2566" spans="1:57" ht="13" x14ac:dyDescent="0.15">
      <c r="A2566">
        <v>1839</v>
      </c>
      <c r="B2566">
        <v>286560951</v>
      </c>
      <c r="C2566" t="s">
        <v>657</v>
      </c>
      <c r="D2566" s="7">
        <v>45643</v>
      </c>
      <c r="E2566" s="7">
        <v>45698</v>
      </c>
      <c r="F2566">
        <v>330862</v>
      </c>
      <c r="G2566" t="s">
        <v>983</v>
      </c>
      <c r="H2566" t="s">
        <v>9</v>
      </c>
      <c r="I2566" s="7">
        <v>45685</v>
      </c>
      <c r="J2566" s="8">
        <v>0.84903935185185186</v>
      </c>
      <c r="K2566" t="s">
        <v>984</v>
      </c>
      <c r="AQ2566" t="s">
        <v>1261</v>
      </c>
      <c r="AR2566" t="s">
        <v>2006</v>
      </c>
      <c r="AT2566" t="s">
        <v>987</v>
      </c>
      <c r="AZ2566" t="s">
        <v>1024</v>
      </c>
      <c r="BA2566" t="s">
        <v>1047</v>
      </c>
      <c r="BB2566" t="s">
        <v>1048</v>
      </c>
      <c r="BD2566" t="s">
        <v>1014</v>
      </c>
      <c r="BE2566" t="s">
        <v>657</v>
      </c>
    </row>
    <row r="2567" spans="1:57" ht="13" x14ac:dyDescent="0.15">
      <c r="A2567">
        <v>1839</v>
      </c>
      <c r="B2567">
        <v>286560951</v>
      </c>
      <c r="C2567" t="s">
        <v>657</v>
      </c>
      <c r="D2567" s="7">
        <v>45643</v>
      </c>
      <c r="E2567" s="7">
        <v>45698</v>
      </c>
      <c r="F2567">
        <v>330862</v>
      </c>
      <c r="G2567" t="s">
        <v>983</v>
      </c>
      <c r="H2567" t="s">
        <v>9</v>
      </c>
      <c r="I2567" s="7">
        <v>45655</v>
      </c>
      <c r="J2567" s="8">
        <v>0.66817129629629635</v>
      </c>
      <c r="K2567" t="s">
        <v>984</v>
      </c>
      <c r="AQ2567" t="s">
        <v>1090</v>
      </c>
      <c r="AR2567" t="s">
        <v>2142</v>
      </c>
      <c r="AT2567" t="s">
        <v>987</v>
      </c>
      <c r="AZ2567" t="s">
        <v>1002</v>
      </c>
      <c r="BA2567" t="s">
        <v>1003</v>
      </c>
      <c r="BB2567" t="s">
        <v>1004</v>
      </c>
      <c r="BD2567" t="s">
        <v>1005</v>
      </c>
      <c r="BE2567" t="s">
        <v>657</v>
      </c>
    </row>
    <row r="2568" spans="1:57" ht="13" x14ac:dyDescent="0.15">
      <c r="A2568">
        <v>1839</v>
      </c>
      <c r="B2568">
        <v>286560951</v>
      </c>
      <c r="C2568" t="s">
        <v>657</v>
      </c>
      <c r="D2568" s="7">
        <v>45643</v>
      </c>
      <c r="E2568" s="7">
        <v>45698</v>
      </c>
      <c r="F2568">
        <v>330862</v>
      </c>
      <c r="G2568" t="s">
        <v>983</v>
      </c>
      <c r="H2568" t="s">
        <v>9</v>
      </c>
      <c r="I2568" s="7">
        <v>45643</v>
      </c>
      <c r="J2568" s="8">
        <v>0.54265046296296293</v>
      </c>
      <c r="K2568" t="s">
        <v>984</v>
      </c>
      <c r="AQ2568" t="s">
        <v>1090</v>
      </c>
      <c r="AR2568" t="s">
        <v>1350</v>
      </c>
      <c r="AT2568" t="s">
        <v>987</v>
      </c>
      <c r="AZ2568" t="s">
        <v>1020</v>
      </c>
      <c r="BA2568" t="s">
        <v>1230</v>
      </c>
      <c r="BB2568" t="s">
        <v>1018</v>
      </c>
      <c r="BD2568" t="s">
        <v>1005</v>
      </c>
      <c r="BE2568" t="s">
        <v>657</v>
      </c>
    </row>
    <row r="2569" spans="1:57" ht="13" x14ac:dyDescent="0.15">
      <c r="A2569">
        <v>1839</v>
      </c>
      <c r="B2569">
        <v>286561946</v>
      </c>
      <c r="C2569" t="s">
        <v>2143</v>
      </c>
      <c r="D2569" s="7">
        <v>45643</v>
      </c>
      <c r="E2569" s="7">
        <v>45645</v>
      </c>
      <c r="F2569">
        <v>330862</v>
      </c>
      <c r="G2569" t="s">
        <v>983</v>
      </c>
      <c r="H2569" t="s">
        <v>9</v>
      </c>
      <c r="I2569" s="7">
        <v>45643</v>
      </c>
      <c r="J2569" s="8">
        <v>0.57730324074074069</v>
      </c>
      <c r="K2569" t="s">
        <v>984</v>
      </c>
      <c r="AQ2569" t="s">
        <v>1042</v>
      </c>
      <c r="AR2569" t="s">
        <v>2144</v>
      </c>
      <c r="AT2569" t="s">
        <v>987</v>
      </c>
      <c r="AZ2569" t="s">
        <v>1055</v>
      </c>
      <c r="BA2569" t="s">
        <v>1056</v>
      </c>
      <c r="BB2569" t="s">
        <v>1013</v>
      </c>
      <c r="BD2569" t="s">
        <v>1022</v>
      </c>
      <c r="BE2569" t="s">
        <v>2143</v>
      </c>
    </row>
    <row r="2570" spans="1:57" ht="13" x14ac:dyDescent="0.15">
      <c r="A2570">
        <v>1839</v>
      </c>
      <c r="B2570">
        <v>286570395</v>
      </c>
      <c r="C2570" t="s">
        <v>2145</v>
      </c>
      <c r="D2570" s="7">
        <v>45643</v>
      </c>
      <c r="E2570" s="7">
        <v>45645</v>
      </c>
      <c r="F2570">
        <v>336447</v>
      </c>
      <c r="G2570" t="s">
        <v>1074</v>
      </c>
      <c r="H2570" t="s">
        <v>26</v>
      </c>
      <c r="I2570" s="7">
        <v>45643</v>
      </c>
      <c r="J2570" s="8">
        <v>0.87875000000000003</v>
      </c>
      <c r="K2570" t="s">
        <v>984</v>
      </c>
      <c r="AQ2570" t="s">
        <v>1042</v>
      </c>
      <c r="AR2570" t="s">
        <v>2146</v>
      </c>
      <c r="BE2570" t="s">
        <v>2145</v>
      </c>
    </row>
    <row r="2571" spans="1:57" ht="13" x14ac:dyDescent="0.15">
      <c r="A2571">
        <v>1839</v>
      </c>
      <c r="B2571">
        <v>286570395</v>
      </c>
      <c r="C2571" t="s">
        <v>2145</v>
      </c>
      <c r="D2571" s="7">
        <v>45643</v>
      </c>
      <c r="E2571" s="7">
        <v>45645</v>
      </c>
      <c r="F2571">
        <v>336453</v>
      </c>
      <c r="G2571" t="s">
        <v>1074</v>
      </c>
      <c r="H2571" t="s">
        <v>27</v>
      </c>
      <c r="I2571" s="7">
        <v>45643</v>
      </c>
      <c r="J2571" s="8">
        <v>0.87886574074074075</v>
      </c>
      <c r="K2571" t="s">
        <v>984</v>
      </c>
      <c r="AQ2571" t="s">
        <v>1042</v>
      </c>
      <c r="AR2571" t="s">
        <v>1076</v>
      </c>
      <c r="BE2571" t="s">
        <v>2145</v>
      </c>
    </row>
    <row r="2572" spans="1:57" ht="13" x14ac:dyDescent="0.15">
      <c r="A2572">
        <v>1839</v>
      </c>
      <c r="B2572">
        <v>286570395</v>
      </c>
      <c r="C2572" t="s">
        <v>2145</v>
      </c>
      <c r="D2572" s="7">
        <v>45643</v>
      </c>
      <c r="E2572" s="7">
        <v>45645</v>
      </c>
      <c r="F2572">
        <v>336709</v>
      </c>
      <c r="G2572" t="s">
        <v>1074</v>
      </c>
      <c r="H2572" t="s">
        <v>28</v>
      </c>
      <c r="I2572" s="7">
        <v>45643</v>
      </c>
      <c r="J2572" s="8">
        <v>0.87895833333333329</v>
      </c>
      <c r="K2572" t="s">
        <v>984</v>
      </c>
      <c r="AQ2572" t="s">
        <v>1042</v>
      </c>
      <c r="AR2572" t="s">
        <v>1077</v>
      </c>
      <c r="BE2572" t="s">
        <v>2145</v>
      </c>
    </row>
    <row r="2573" spans="1:57" ht="13" x14ac:dyDescent="0.15">
      <c r="A2573">
        <v>1839</v>
      </c>
      <c r="B2573">
        <v>286577082</v>
      </c>
      <c r="C2573" t="s">
        <v>658</v>
      </c>
      <c r="D2573" s="7">
        <v>45644</v>
      </c>
      <c r="E2573" s="7">
        <v>45700</v>
      </c>
      <c r="F2573">
        <v>330862</v>
      </c>
      <c r="G2573" t="s">
        <v>983</v>
      </c>
      <c r="H2573" t="s">
        <v>9</v>
      </c>
      <c r="I2573" s="7">
        <v>45698</v>
      </c>
      <c r="J2573" s="8">
        <v>0.55081018518518521</v>
      </c>
      <c r="K2573" t="s">
        <v>984</v>
      </c>
      <c r="AQ2573" t="s">
        <v>1273</v>
      </c>
      <c r="AR2573" t="s">
        <v>1433</v>
      </c>
      <c r="AT2573" t="s">
        <v>987</v>
      </c>
      <c r="AZ2573" t="s">
        <v>1220</v>
      </c>
      <c r="BA2573" t="s">
        <v>1221</v>
      </c>
      <c r="BB2573" t="s">
        <v>1082</v>
      </c>
      <c r="BD2573" t="s">
        <v>991</v>
      </c>
      <c r="BE2573" t="s">
        <v>658</v>
      </c>
    </row>
    <row r="2574" spans="1:57" ht="13" x14ac:dyDescent="0.15">
      <c r="A2574">
        <v>1839</v>
      </c>
      <c r="B2574">
        <v>286577174</v>
      </c>
      <c r="C2574" t="s">
        <v>659</v>
      </c>
      <c r="D2574" s="7">
        <v>45644</v>
      </c>
      <c r="E2574" s="7">
        <v>45696</v>
      </c>
      <c r="F2574">
        <v>330862</v>
      </c>
      <c r="G2574" t="s">
        <v>983</v>
      </c>
      <c r="H2574" t="s">
        <v>9</v>
      </c>
      <c r="I2574" s="7">
        <v>45694</v>
      </c>
      <c r="J2574" s="8">
        <v>0.64591435185185186</v>
      </c>
      <c r="K2574" t="s">
        <v>984</v>
      </c>
      <c r="AQ2574" t="s">
        <v>992</v>
      </c>
      <c r="AR2574" t="s">
        <v>2147</v>
      </c>
      <c r="AT2574" t="s">
        <v>987</v>
      </c>
      <c r="AZ2574" t="s">
        <v>1002</v>
      </c>
      <c r="BA2574" t="s">
        <v>1040</v>
      </c>
      <c r="BB2574" t="s">
        <v>1041</v>
      </c>
      <c r="BD2574" t="s">
        <v>991</v>
      </c>
      <c r="BE2574" t="s">
        <v>659</v>
      </c>
    </row>
    <row r="2575" spans="1:57" ht="13" x14ac:dyDescent="0.15">
      <c r="A2575">
        <v>1839</v>
      </c>
      <c r="B2575">
        <v>286636723</v>
      </c>
      <c r="C2575" t="s">
        <v>2148</v>
      </c>
      <c r="D2575" s="7">
        <v>45646</v>
      </c>
      <c r="E2575" s="7">
        <v>45648</v>
      </c>
      <c r="F2575">
        <v>330862</v>
      </c>
      <c r="G2575" t="s">
        <v>983</v>
      </c>
      <c r="H2575" t="s">
        <v>9</v>
      </c>
      <c r="I2575" s="7">
        <v>45646</v>
      </c>
      <c r="J2575" s="8">
        <v>0.45784722222222224</v>
      </c>
      <c r="K2575" t="s">
        <v>984</v>
      </c>
      <c r="AQ2575" t="s">
        <v>992</v>
      </c>
      <c r="AR2575" t="s">
        <v>2149</v>
      </c>
      <c r="AT2575" t="s">
        <v>987</v>
      </c>
      <c r="AZ2575" t="s">
        <v>1490</v>
      </c>
      <c r="BA2575" t="s">
        <v>1491</v>
      </c>
      <c r="BB2575" t="s">
        <v>1136</v>
      </c>
      <c r="BD2575" t="s">
        <v>1005</v>
      </c>
      <c r="BE2575" t="s">
        <v>2148</v>
      </c>
    </row>
    <row r="2576" spans="1:57" ht="13" x14ac:dyDescent="0.15">
      <c r="A2576">
        <v>1839</v>
      </c>
      <c r="B2576">
        <v>286737312</v>
      </c>
      <c r="C2576" t="s">
        <v>660</v>
      </c>
      <c r="D2576" s="7">
        <v>45647</v>
      </c>
      <c r="E2576" s="7">
        <v>45692</v>
      </c>
      <c r="F2576">
        <v>330862</v>
      </c>
      <c r="G2576" t="s">
        <v>983</v>
      </c>
      <c r="H2576" t="s">
        <v>9</v>
      </c>
      <c r="I2576" s="7">
        <v>45678</v>
      </c>
      <c r="J2576" s="8">
        <v>0.67754629629629626</v>
      </c>
      <c r="K2576" t="s">
        <v>984</v>
      </c>
      <c r="AQ2576" t="s">
        <v>998</v>
      </c>
      <c r="AR2576" t="s">
        <v>1050</v>
      </c>
      <c r="AT2576" t="s">
        <v>987</v>
      </c>
      <c r="AZ2576" t="s">
        <v>1011</v>
      </c>
      <c r="BA2576" t="s">
        <v>1012</v>
      </c>
      <c r="BB2576" t="s">
        <v>1013</v>
      </c>
      <c r="BD2576" t="s">
        <v>1014</v>
      </c>
      <c r="BE2576" t="s">
        <v>660</v>
      </c>
    </row>
    <row r="2577" spans="1:57" ht="13" x14ac:dyDescent="0.15">
      <c r="A2577">
        <v>1839</v>
      </c>
      <c r="B2577">
        <v>286737650</v>
      </c>
      <c r="C2577" t="s">
        <v>661</v>
      </c>
      <c r="D2577" s="7">
        <v>45647</v>
      </c>
      <c r="E2577" s="7">
        <v>45691</v>
      </c>
      <c r="F2577">
        <v>330862</v>
      </c>
      <c r="G2577" t="s">
        <v>983</v>
      </c>
      <c r="H2577" t="s">
        <v>9</v>
      </c>
      <c r="I2577" s="7">
        <v>45690</v>
      </c>
      <c r="J2577" s="8">
        <v>0.66083333333333338</v>
      </c>
      <c r="K2577" t="s">
        <v>984</v>
      </c>
      <c r="AQ2577" t="s">
        <v>1090</v>
      </c>
      <c r="AR2577" t="s">
        <v>2150</v>
      </c>
      <c r="AT2577" t="s">
        <v>987</v>
      </c>
      <c r="AZ2577" t="s">
        <v>1016</v>
      </c>
      <c r="BA2577" t="s">
        <v>1017</v>
      </c>
      <c r="BB2577" t="s">
        <v>1018</v>
      </c>
      <c r="BD2577" t="s">
        <v>991</v>
      </c>
      <c r="BE2577" t="s">
        <v>661</v>
      </c>
    </row>
    <row r="2578" spans="1:57" ht="13" x14ac:dyDescent="0.15">
      <c r="A2578">
        <v>1839</v>
      </c>
      <c r="B2578">
        <v>286767136</v>
      </c>
      <c r="C2578" t="s">
        <v>2151</v>
      </c>
      <c r="D2578" s="7">
        <v>45648</v>
      </c>
      <c r="E2578" s="7">
        <v>45650</v>
      </c>
      <c r="F2578">
        <v>330862</v>
      </c>
      <c r="G2578" t="s">
        <v>983</v>
      </c>
      <c r="H2578" t="s">
        <v>9</v>
      </c>
      <c r="I2578" s="7">
        <v>45648</v>
      </c>
      <c r="J2578" s="8">
        <v>0.75943287037037033</v>
      </c>
      <c r="K2578" t="s">
        <v>984</v>
      </c>
      <c r="AQ2578" t="s">
        <v>985</v>
      </c>
      <c r="AR2578" t="s">
        <v>2152</v>
      </c>
      <c r="AT2578" t="s">
        <v>987</v>
      </c>
      <c r="AZ2578" t="s">
        <v>1028</v>
      </c>
      <c r="BA2578" t="s">
        <v>1068</v>
      </c>
      <c r="BB2578" t="s">
        <v>1069</v>
      </c>
      <c r="BD2578" t="s">
        <v>1005</v>
      </c>
      <c r="BE2578" t="s">
        <v>2151</v>
      </c>
    </row>
    <row r="2579" spans="1:57" ht="13" x14ac:dyDescent="0.15">
      <c r="A2579">
        <v>1839</v>
      </c>
      <c r="B2579">
        <v>286767136</v>
      </c>
      <c r="C2579" t="s">
        <v>2151</v>
      </c>
      <c r="D2579" s="7">
        <v>45648</v>
      </c>
      <c r="E2579" s="7">
        <v>45650</v>
      </c>
      <c r="F2579">
        <v>330862</v>
      </c>
      <c r="G2579" t="s">
        <v>983</v>
      </c>
      <c r="H2579" t="s">
        <v>9</v>
      </c>
      <c r="I2579" s="7">
        <v>45648</v>
      </c>
      <c r="J2579" s="8">
        <v>0.77376157407407409</v>
      </c>
      <c r="K2579" t="s">
        <v>984</v>
      </c>
      <c r="AQ2579" t="s">
        <v>985</v>
      </c>
      <c r="AR2579" t="s">
        <v>2153</v>
      </c>
      <c r="AT2579" t="s">
        <v>987</v>
      </c>
      <c r="AZ2579" t="s">
        <v>1007</v>
      </c>
      <c r="BA2579" t="s">
        <v>1008</v>
      </c>
      <c r="BB2579" t="s">
        <v>990</v>
      </c>
      <c r="BD2579" t="s">
        <v>1005</v>
      </c>
      <c r="BE2579" t="s">
        <v>2151</v>
      </c>
    </row>
    <row r="2580" spans="1:57" ht="13" x14ac:dyDescent="0.15">
      <c r="A2580">
        <v>1839</v>
      </c>
      <c r="B2580">
        <v>286869748</v>
      </c>
      <c r="C2580" t="s">
        <v>2154</v>
      </c>
      <c r="D2580" s="7">
        <v>45651</v>
      </c>
      <c r="E2580" s="7">
        <v>45653</v>
      </c>
      <c r="F2580">
        <v>330862</v>
      </c>
      <c r="G2580" t="s">
        <v>983</v>
      </c>
      <c r="H2580" t="s">
        <v>9</v>
      </c>
      <c r="I2580" s="7">
        <v>45651</v>
      </c>
      <c r="J2580" s="8">
        <v>0.38193287037037038</v>
      </c>
      <c r="K2580" t="s">
        <v>984</v>
      </c>
      <c r="AQ2580" t="s">
        <v>998</v>
      </c>
      <c r="AR2580" t="s">
        <v>2155</v>
      </c>
      <c r="AT2580" t="s">
        <v>987</v>
      </c>
      <c r="AZ2580" t="s">
        <v>1007</v>
      </c>
      <c r="BA2580" t="s">
        <v>1008</v>
      </c>
      <c r="BB2580" t="s">
        <v>990</v>
      </c>
      <c r="BD2580" t="s">
        <v>1005</v>
      </c>
      <c r="BE2580" t="s">
        <v>2154</v>
      </c>
    </row>
    <row r="2581" spans="1:57" ht="13" x14ac:dyDescent="0.15">
      <c r="A2581">
        <v>1839</v>
      </c>
      <c r="B2581">
        <v>286890592</v>
      </c>
      <c r="C2581" t="s">
        <v>662</v>
      </c>
      <c r="D2581" s="7">
        <v>45652</v>
      </c>
      <c r="E2581" s="7">
        <v>45713</v>
      </c>
      <c r="F2581">
        <v>330862</v>
      </c>
      <c r="G2581" t="s">
        <v>983</v>
      </c>
      <c r="H2581" t="s">
        <v>9</v>
      </c>
      <c r="I2581" s="7">
        <v>45694</v>
      </c>
      <c r="J2581" s="8">
        <v>0.55026620370370372</v>
      </c>
      <c r="K2581" t="s">
        <v>984</v>
      </c>
      <c r="AQ2581" t="s">
        <v>1142</v>
      </c>
      <c r="AR2581" t="s">
        <v>986</v>
      </c>
      <c r="AT2581" t="s">
        <v>987</v>
      </c>
      <c r="AZ2581" t="s">
        <v>988</v>
      </c>
      <c r="BA2581" t="s">
        <v>989</v>
      </c>
      <c r="BB2581" t="s">
        <v>990</v>
      </c>
      <c r="BD2581" t="s">
        <v>991</v>
      </c>
      <c r="BE2581" t="s">
        <v>662</v>
      </c>
    </row>
    <row r="2582" spans="1:57" ht="13" x14ac:dyDescent="0.15">
      <c r="A2582">
        <v>1839</v>
      </c>
      <c r="B2582">
        <v>286890592</v>
      </c>
      <c r="C2582" t="s">
        <v>662</v>
      </c>
      <c r="D2582" s="7">
        <v>45652</v>
      </c>
      <c r="E2582" s="7">
        <v>45713</v>
      </c>
      <c r="F2582">
        <v>330862</v>
      </c>
      <c r="G2582" t="s">
        <v>983</v>
      </c>
      <c r="H2582" t="s">
        <v>9</v>
      </c>
      <c r="I2582" s="7">
        <v>45694</v>
      </c>
      <c r="J2582" s="8">
        <v>0.35995370370370372</v>
      </c>
      <c r="K2582" t="s">
        <v>984</v>
      </c>
      <c r="AQ2582" t="s">
        <v>1142</v>
      </c>
      <c r="AR2582" t="s">
        <v>986</v>
      </c>
      <c r="AT2582" t="s">
        <v>987</v>
      </c>
      <c r="AZ2582" t="s">
        <v>988</v>
      </c>
      <c r="BA2582" t="s">
        <v>989</v>
      </c>
      <c r="BB2582" t="s">
        <v>990</v>
      </c>
      <c r="BD2582" t="s">
        <v>991</v>
      </c>
      <c r="BE2582" t="s">
        <v>662</v>
      </c>
    </row>
    <row r="2583" spans="1:57" ht="13" x14ac:dyDescent="0.15">
      <c r="A2583">
        <v>1839</v>
      </c>
      <c r="B2583">
        <v>286893516</v>
      </c>
      <c r="C2583" t="s">
        <v>2156</v>
      </c>
      <c r="D2583" s="7">
        <v>45652</v>
      </c>
      <c r="E2583" s="7">
        <v>45654</v>
      </c>
      <c r="F2583">
        <v>330862</v>
      </c>
      <c r="G2583" t="s">
        <v>983</v>
      </c>
      <c r="H2583" t="s">
        <v>9</v>
      </c>
      <c r="I2583" s="7">
        <v>45652</v>
      </c>
      <c r="J2583" s="8">
        <v>0.61329861111111106</v>
      </c>
      <c r="K2583" t="s">
        <v>984</v>
      </c>
      <c r="AQ2583" t="s">
        <v>1090</v>
      </c>
      <c r="AR2583" t="s">
        <v>2157</v>
      </c>
      <c r="AT2583" t="s">
        <v>987</v>
      </c>
      <c r="AZ2583" t="s">
        <v>988</v>
      </c>
      <c r="BA2583" t="s">
        <v>1058</v>
      </c>
      <c r="BB2583" t="s">
        <v>1018</v>
      </c>
      <c r="BD2583" t="s">
        <v>1005</v>
      </c>
      <c r="BE2583" t="s">
        <v>2156</v>
      </c>
    </row>
    <row r="2584" spans="1:57" ht="13" x14ac:dyDescent="0.15">
      <c r="A2584">
        <v>1839</v>
      </c>
      <c r="B2584">
        <v>286915103</v>
      </c>
      <c r="C2584" t="s">
        <v>2158</v>
      </c>
      <c r="D2584" s="7">
        <v>45653</v>
      </c>
      <c r="E2584" s="7">
        <v>45655</v>
      </c>
      <c r="F2584">
        <v>336447</v>
      </c>
      <c r="G2584" t="s">
        <v>1074</v>
      </c>
      <c r="H2584" t="s">
        <v>26</v>
      </c>
      <c r="I2584" s="7">
        <v>45654</v>
      </c>
      <c r="J2584" s="8">
        <v>1.238425925925926E-3</v>
      </c>
      <c r="K2584" t="s">
        <v>984</v>
      </c>
      <c r="AQ2584" t="s">
        <v>1273</v>
      </c>
      <c r="AR2584" t="s">
        <v>2159</v>
      </c>
      <c r="BE2584" t="s">
        <v>2158</v>
      </c>
    </row>
    <row r="2585" spans="1:57" ht="13" x14ac:dyDescent="0.15">
      <c r="A2585">
        <v>1839</v>
      </c>
      <c r="B2585">
        <v>286915103</v>
      </c>
      <c r="C2585" t="s">
        <v>2158</v>
      </c>
      <c r="D2585" s="7">
        <v>45653</v>
      </c>
      <c r="E2585" s="7">
        <v>45655</v>
      </c>
      <c r="F2585">
        <v>336453</v>
      </c>
      <c r="G2585" t="s">
        <v>1074</v>
      </c>
      <c r="H2585" t="s">
        <v>27</v>
      </c>
      <c r="I2585" s="7">
        <v>45654</v>
      </c>
      <c r="J2585" s="8">
        <v>1.2847222222222223E-3</v>
      </c>
      <c r="K2585" t="s">
        <v>984</v>
      </c>
      <c r="AQ2585" t="s">
        <v>1273</v>
      </c>
      <c r="AR2585" t="s">
        <v>1076</v>
      </c>
      <c r="BE2585" t="s">
        <v>2158</v>
      </c>
    </row>
    <row r="2586" spans="1:57" ht="13" x14ac:dyDescent="0.15">
      <c r="A2586">
        <v>1839</v>
      </c>
      <c r="B2586">
        <v>286915103</v>
      </c>
      <c r="C2586" t="s">
        <v>2158</v>
      </c>
      <c r="D2586" s="7">
        <v>45653</v>
      </c>
      <c r="E2586" s="7">
        <v>45655</v>
      </c>
      <c r="F2586">
        <v>336709</v>
      </c>
      <c r="G2586" t="s">
        <v>1074</v>
      </c>
      <c r="H2586" t="s">
        <v>28</v>
      </c>
      <c r="I2586" s="7">
        <v>45654</v>
      </c>
      <c r="J2586" s="8">
        <v>1.3657407407407407E-3</v>
      </c>
      <c r="K2586" t="s">
        <v>984</v>
      </c>
      <c r="AQ2586" t="s">
        <v>1273</v>
      </c>
      <c r="AR2586" t="s">
        <v>1077</v>
      </c>
      <c r="BE2586" t="s">
        <v>2158</v>
      </c>
    </row>
    <row r="2587" spans="1:57" ht="13" x14ac:dyDescent="0.15">
      <c r="A2587">
        <v>1839</v>
      </c>
      <c r="B2587">
        <v>286920889</v>
      </c>
      <c r="C2587" t="s">
        <v>663</v>
      </c>
      <c r="D2587" s="7">
        <v>45654</v>
      </c>
      <c r="E2587" s="7">
        <v>45712</v>
      </c>
      <c r="F2587">
        <v>330862</v>
      </c>
      <c r="G2587" t="s">
        <v>983</v>
      </c>
      <c r="H2587" t="s">
        <v>9</v>
      </c>
      <c r="I2587" s="7">
        <v>45680</v>
      </c>
      <c r="J2587" s="8">
        <v>0.47094907407407405</v>
      </c>
      <c r="K2587" t="s">
        <v>984</v>
      </c>
      <c r="AQ2587" t="s">
        <v>992</v>
      </c>
      <c r="AR2587" t="s">
        <v>1538</v>
      </c>
      <c r="AT2587" t="s">
        <v>987</v>
      </c>
      <c r="AZ2587" t="s">
        <v>1024</v>
      </c>
      <c r="BA2587" t="s">
        <v>1047</v>
      </c>
      <c r="BB2587" t="s">
        <v>1048</v>
      </c>
      <c r="BD2587" t="s">
        <v>1014</v>
      </c>
      <c r="BE2587" t="s">
        <v>663</v>
      </c>
    </row>
    <row r="2588" spans="1:57" ht="13" x14ac:dyDescent="0.15">
      <c r="A2588">
        <v>1839</v>
      </c>
      <c r="B2588">
        <v>286920889</v>
      </c>
      <c r="C2588" t="s">
        <v>663</v>
      </c>
      <c r="D2588" s="7">
        <v>45654</v>
      </c>
      <c r="E2588" s="7">
        <v>45712</v>
      </c>
      <c r="F2588">
        <v>330862</v>
      </c>
      <c r="G2588" t="s">
        <v>983</v>
      </c>
      <c r="H2588" t="s">
        <v>9</v>
      </c>
      <c r="I2588" s="7">
        <v>45654</v>
      </c>
      <c r="J2588" s="8">
        <v>0.41646990740740741</v>
      </c>
      <c r="K2588" t="s">
        <v>984</v>
      </c>
      <c r="AQ2588" t="s">
        <v>992</v>
      </c>
      <c r="AR2588" t="s">
        <v>1067</v>
      </c>
      <c r="AT2588" t="s">
        <v>987</v>
      </c>
      <c r="AZ2588" t="s">
        <v>1028</v>
      </c>
      <c r="BA2588" t="s">
        <v>1068</v>
      </c>
      <c r="BB2588" t="s">
        <v>1069</v>
      </c>
      <c r="BD2588" t="s">
        <v>1005</v>
      </c>
      <c r="BE2588" t="s">
        <v>663</v>
      </c>
    </row>
    <row r="2589" spans="1:57" ht="13" x14ac:dyDescent="0.15">
      <c r="A2589">
        <v>1839</v>
      </c>
      <c r="B2589">
        <v>286920889</v>
      </c>
      <c r="C2589" t="s">
        <v>663</v>
      </c>
      <c r="D2589" s="7">
        <v>45654</v>
      </c>
      <c r="E2589" s="7">
        <v>45712</v>
      </c>
      <c r="F2589">
        <v>330862</v>
      </c>
      <c r="G2589" t="s">
        <v>983</v>
      </c>
      <c r="H2589" t="s">
        <v>9</v>
      </c>
      <c r="I2589" s="7">
        <v>45709</v>
      </c>
      <c r="J2589" s="8">
        <v>0.41976851851851854</v>
      </c>
      <c r="K2589" t="s">
        <v>984</v>
      </c>
      <c r="AQ2589" t="s">
        <v>992</v>
      </c>
      <c r="AR2589" t="s">
        <v>1181</v>
      </c>
      <c r="AT2589" t="s">
        <v>987</v>
      </c>
      <c r="AZ2589" t="s">
        <v>1182</v>
      </c>
      <c r="BA2589" t="s">
        <v>1183</v>
      </c>
      <c r="BB2589" t="s">
        <v>990</v>
      </c>
      <c r="BD2589" t="s">
        <v>991</v>
      </c>
      <c r="BE2589" t="s">
        <v>663</v>
      </c>
    </row>
    <row r="2590" spans="1:57" ht="13" x14ac:dyDescent="0.15">
      <c r="A2590">
        <v>1839</v>
      </c>
      <c r="B2590">
        <v>286928091</v>
      </c>
      <c r="C2590" t="s">
        <v>2160</v>
      </c>
      <c r="D2590" s="7">
        <v>45654</v>
      </c>
      <c r="E2590" s="7">
        <v>45656</v>
      </c>
      <c r="F2590">
        <v>336447</v>
      </c>
      <c r="G2590" t="s">
        <v>1074</v>
      </c>
      <c r="H2590" t="s">
        <v>26</v>
      </c>
      <c r="I2590" s="7">
        <v>45654</v>
      </c>
      <c r="J2590" s="8">
        <v>0.68332175925925931</v>
      </c>
      <c r="K2590" t="s">
        <v>984</v>
      </c>
      <c r="AQ2590" t="s">
        <v>992</v>
      </c>
      <c r="AR2590" t="s">
        <v>1828</v>
      </c>
      <c r="BE2590" t="s">
        <v>2160</v>
      </c>
    </row>
    <row r="2591" spans="1:57" ht="13" x14ac:dyDescent="0.15">
      <c r="A2591">
        <v>1839</v>
      </c>
      <c r="B2591">
        <v>286928091</v>
      </c>
      <c r="C2591" t="s">
        <v>2160</v>
      </c>
      <c r="D2591" s="7">
        <v>45654</v>
      </c>
      <c r="E2591" s="7">
        <v>45656</v>
      </c>
      <c r="F2591">
        <v>336453</v>
      </c>
      <c r="G2591" t="s">
        <v>1074</v>
      </c>
      <c r="H2591" t="s">
        <v>27</v>
      </c>
      <c r="I2591" s="7">
        <v>45654</v>
      </c>
      <c r="J2591" s="8">
        <v>0.68354166666666671</v>
      </c>
      <c r="K2591" t="s">
        <v>984</v>
      </c>
      <c r="AQ2591" t="s">
        <v>992</v>
      </c>
      <c r="AR2591" t="s">
        <v>1076</v>
      </c>
      <c r="BE2591" t="s">
        <v>2160</v>
      </c>
    </row>
    <row r="2592" spans="1:57" ht="13" x14ac:dyDescent="0.15">
      <c r="A2592">
        <v>1839</v>
      </c>
      <c r="B2592">
        <v>286928091</v>
      </c>
      <c r="C2592" t="s">
        <v>2160</v>
      </c>
      <c r="D2592" s="7">
        <v>45654</v>
      </c>
      <c r="E2592" s="7">
        <v>45656</v>
      </c>
      <c r="F2592">
        <v>336709</v>
      </c>
      <c r="G2592" t="s">
        <v>1074</v>
      </c>
      <c r="H2592" t="s">
        <v>28</v>
      </c>
      <c r="I2592" s="7">
        <v>45654</v>
      </c>
      <c r="J2592" s="8">
        <v>0.68478009259259254</v>
      </c>
      <c r="K2592" t="s">
        <v>984</v>
      </c>
      <c r="AQ2592" t="s">
        <v>992</v>
      </c>
      <c r="AR2592" t="s">
        <v>1077</v>
      </c>
      <c r="BE2592" t="s">
        <v>2160</v>
      </c>
    </row>
    <row r="2593" spans="1:57" ht="13" x14ac:dyDescent="0.15">
      <c r="A2593">
        <v>1839</v>
      </c>
      <c r="B2593">
        <v>286928091</v>
      </c>
      <c r="C2593" t="s">
        <v>2160</v>
      </c>
      <c r="D2593" s="7">
        <v>45654</v>
      </c>
      <c r="E2593" s="7">
        <v>45656</v>
      </c>
      <c r="F2593">
        <v>336709</v>
      </c>
      <c r="G2593" t="s">
        <v>1074</v>
      </c>
      <c r="H2593" t="s">
        <v>28</v>
      </c>
      <c r="I2593" s="7">
        <v>45654</v>
      </c>
      <c r="J2593" s="8">
        <v>0.68396990740740737</v>
      </c>
      <c r="K2593" t="s">
        <v>984</v>
      </c>
      <c r="AQ2593" t="s">
        <v>992</v>
      </c>
      <c r="AR2593" t="s">
        <v>1077</v>
      </c>
      <c r="BE2593" t="s">
        <v>2160</v>
      </c>
    </row>
    <row r="2594" spans="1:57" ht="13" x14ac:dyDescent="0.15">
      <c r="A2594">
        <v>1839</v>
      </c>
      <c r="B2594">
        <v>286978010</v>
      </c>
      <c r="C2594" t="s">
        <v>664</v>
      </c>
      <c r="D2594" s="7">
        <v>45656</v>
      </c>
      <c r="E2594" s="7">
        <v>45696</v>
      </c>
      <c r="F2594">
        <v>330862</v>
      </c>
      <c r="G2594" t="s">
        <v>983</v>
      </c>
      <c r="H2594" t="s">
        <v>9</v>
      </c>
      <c r="I2594" s="7">
        <v>45694</v>
      </c>
      <c r="J2594" s="8">
        <v>0.48708333333333331</v>
      </c>
      <c r="K2594" t="s">
        <v>984</v>
      </c>
      <c r="AQ2594" t="s">
        <v>1042</v>
      </c>
      <c r="AR2594" t="s">
        <v>986</v>
      </c>
      <c r="AT2594" t="s">
        <v>987</v>
      </c>
      <c r="AZ2594" t="s">
        <v>988</v>
      </c>
      <c r="BA2594" t="s">
        <v>989</v>
      </c>
      <c r="BB2594" t="s">
        <v>990</v>
      </c>
      <c r="BD2594" t="s">
        <v>991</v>
      </c>
      <c r="BE2594" t="s">
        <v>664</v>
      </c>
    </row>
    <row r="2595" spans="1:57" ht="13" x14ac:dyDescent="0.15">
      <c r="A2595">
        <v>1839</v>
      </c>
      <c r="B2595">
        <v>286978010</v>
      </c>
      <c r="C2595" t="s">
        <v>664</v>
      </c>
      <c r="D2595" s="7">
        <v>45656</v>
      </c>
      <c r="E2595" s="7">
        <v>45696</v>
      </c>
      <c r="F2595">
        <v>330862</v>
      </c>
      <c r="G2595" t="s">
        <v>983</v>
      </c>
      <c r="H2595" t="s">
        <v>9</v>
      </c>
      <c r="I2595" s="7">
        <v>45694</v>
      </c>
      <c r="J2595" s="8">
        <v>0.48849537037037039</v>
      </c>
      <c r="K2595" t="s">
        <v>984</v>
      </c>
      <c r="AQ2595" t="s">
        <v>1042</v>
      </c>
      <c r="AR2595" t="s">
        <v>986</v>
      </c>
      <c r="AT2595" t="s">
        <v>987</v>
      </c>
      <c r="AZ2595" t="s">
        <v>988</v>
      </c>
      <c r="BA2595" t="s">
        <v>989</v>
      </c>
      <c r="BB2595" t="s">
        <v>990</v>
      </c>
      <c r="BD2595" t="s">
        <v>991</v>
      </c>
      <c r="BE2595" t="s">
        <v>664</v>
      </c>
    </row>
    <row r="2596" spans="1:57" ht="13" x14ac:dyDescent="0.15">
      <c r="A2596">
        <v>1839</v>
      </c>
      <c r="B2596">
        <v>287050098</v>
      </c>
      <c r="C2596" t="s">
        <v>665</v>
      </c>
      <c r="D2596" s="7">
        <v>45659</v>
      </c>
      <c r="E2596" s="7">
        <v>45713</v>
      </c>
      <c r="F2596">
        <v>330862</v>
      </c>
      <c r="G2596" t="s">
        <v>983</v>
      </c>
      <c r="H2596" t="s">
        <v>9</v>
      </c>
      <c r="I2596" s="7">
        <v>45659</v>
      </c>
      <c r="J2596" s="8">
        <v>0.62429398148148152</v>
      </c>
      <c r="K2596" t="s">
        <v>984</v>
      </c>
      <c r="AQ2596" t="s">
        <v>1089</v>
      </c>
      <c r="AR2596" t="s">
        <v>1307</v>
      </c>
      <c r="AT2596" t="s">
        <v>987</v>
      </c>
      <c r="AZ2596" t="s">
        <v>1002</v>
      </c>
      <c r="BA2596" t="s">
        <v>1003</v>
      </c>
      <c r="BB2596" t="s">
        <v>1004</v>
      </c>
      <c r="BD2596" t="s">
        <v>1005</v>
      </c>
      <c r="BE2596" t="s">
        <v>665</v>
      </c>
    </row>
    <row r="2597" spans="1:57" ht="13" x14ac:dyDescent="0.15">
      <c r="A2597">
        <v>1839</v>
      </c>
      <c r="B2597">
        <v>287096340</v>
      </c>
      <c r="C2597" t="s">
        <v>666</v>
      </c>
      <c r="D2597" s="7">
        <v>45662</v>
      </c>
      <c r="E2597" s="7">
        <v>45674</v>
      </c>
      <c r="F2597">
        <v>336444</v>
      </c>
      <c r="G2597" t="s">
        <v>995</v>
      </c>
      <c r="H2597" t="s">
        <v>12</v>
      </c>
      <c r="I2597" s="7">
        <v>45662</v>
      </c>
      <c r="J2597" s="8">
        <v>0.77028935185185188</v>
      </c>
      <c r="K2597" t="s">
        <v>984</v>
      </c>
      <c r="AQ2597" t="s">
        <v>996</v>
      </c>
      <c r="BE2597" t="s">
        <v>666</v>
      </c>
    </row>
    <row r="2598" spans="1:57" ht="13" x14ac:dyDescent="0.15">
      <c r="A2598">
        <v>1839</v>
      </c>
      <c r="B2598">
        <v>287106956</v>
      </c>
      <c r="C2598" t="s">
        <v>667</v>
      </c>
      <c r="D2598" s="7">
        <v>45663</v>
      </c>
      <c r="E2598" s="7">
        <v>45676</v>
      </c>
      <c r="F2598">
        <v>336444</v>
      </c>
      <c r="G2598" t="s">
        <v>995</v>
      </c>
      <c r="H2598" t="s">
        <v>12</v>
      </c>
      <c r="I2598" s="7">
        <v>45663</v>
      </c>
      <c r="J2598" s="8">
        <v>0.55445601851851856</v>
      </c>
      <c r="K2598" t="s">
        <v>984</v>
      </c>
      <c r="AQ2598" t="s">
        <v>996</v>
      </c>
      <c r="BE2598" t="s">
        <v>667</v>
      </c>
    </row>
    <row r="2599" spans="1:57" ht="13" x14ac:dyDescent="0.15">
      <c r="A2599">
        <v>1839</v>
      </c>
      <c r="B2599">
        <v>287197851</v>
      </c>
      <c r="C2599" t="s">
        <v>2161</v>
      </c>
      <c r="D2599" s="7">
        <v>45666</v>
      </c>
      <c r="E2599" s="7">
        <v>45713</v>
      </c>
      <c r="F2599">
        <v>336444</v>
      </c>
      <c r="G2599" t="s">
        <v>995</v>
      </c>
      <c r="H2599" t="s">
        <v>12</v>
      </c>
      <c r="I2599" s="7">
        <v>45713</v>
      </c>
      <c r="J2599" s="8">
        <v>0.52126157407407403</v>
      </c>
      <c r="K2599" t="s">
        <v>984</v>
      </c>
      <c r="AQ2599" t="s">
        <v>996</v>
      </c>
      <c r="BE2599" t="s">
        <v>2161</v>
      </c>
    </row>
    <row r="2600" spans="1:57" ht="13" x14ac:dyDescent="0.15">
      <c r="A2600">
        <v>1839</v>
      </c>
      <c r="B2600">
        <v>287231334</v>
      </c>
      <c r="C2600" t="s">
        <v>668</v>
      </c>
      <c r="D2600" s="7">
        <v>45666</v>
      </c>
      <c r="E2600" s="7">
        <v>45707</v>
      </c>
      <c r="F2600">
        <v>330862</v>
      </c>
      <c r="G2600" t="s">
        <v>983</v>
      </c>
      <c r="H2600" t="s">
        <v>9</v>
      </c>
      <c r="I2600" s="7">
        <v>45686</v>
      </c>
      <c r="J2600" s="8">
        <v>0.48953703703703705</v>
      </c>
      <c r="K2600" t="s">
        <v>984</v>
      </c>
      <c r="AQ2600" t="s">
        <v>992</v>
      </c>
      <c r="AR2600" t="s">
        <v>1955</v>
      </c>
      <c r="AT2600" t="s">
        <v>987</v>
      </c>
      <c r="AZ2600" t="s">
        <v>1016</v>
      </c>
      <c r="BA2600" t="s">
        <v>1017</v>
      </c>
      <c r="BB2600" t="s">
        <v>1018</v>
      </c>
      <c r="BD2600" t="s">
        <v>991</v>
      </c>
      <c r="BE2600" t="s">
        <v>668</v>
      </c>
    </row>
    <row r="2601" spans="1:57" ht="13" x14ac:dyDescent="0.15">
      <c r="A2601">
        <v>1839</v>
      </c>
      <c r="B2601">
        <v>287291465</v>
      </c>
      <c r="C2601" t="s">
        <v>669</v>
      </c>
      <c r="D2601" s="7">
        <v>45667</v>
      </c>
      <c r="E2601" s="7">
        <v>45671</v>
      </c>
      <c r="F2601">
        <v>336444</v>
      </c>
      <c r="G2601" t="s">
        <v>995</v>
      </c>
      <c r="H2601" t="s">
        <v>12</v>
      </c>
      <c r="I2601" s="7">
        <v>45667</v>
      </c>
      <c r="J2601" s="8">
        <v>0.49560185185185185</v>
      </c>
      <c r="K2601" t="s">
        <v>984</v>
      </c>
      <c r="AQ2601" t="s">
        <v>996</v>
      </c>
      <c r="BE2601" t="s">
        <v>669</v>
      </c>
    </row>
    <row r="2602" spans="1:57" ht="13" x14ac:dyDescent="0.15">
      <c r="A2602">
        <v>1839</v>
      </c>
      <c r="B2602">
        <v>287299767</v>
      </c>
      <c r="C2602" t="s">
        <v>670</v>
      </c>
      <c r="D2602" s="7">
        <v>45668</v>
      </c>
      <c r="E2602" s="7">
        <v>45672</v>
      </c>
      <c r="F2602">
        <v>336444</v>
      </c>
      <c r="G2602" t="s">
        <v>995</v>
      </c>
      <c r="H2602" t="s">
        <v>12</v>
      </c>
      <c r="I2602" s="7">
        <v>45668</v>
      </c>
      <c r="J2602" s="8">
        <v>4.1435185185185186E-3</v>
      </c>
      <c r="K2602" t="s">
        <v>984</v>
      </c>
      <c r="AQ2602" t="s">
        <v>996</v>
      </c>
      <c r="BE2602" t="s">
        <v>670</v>
      </c>
    </row>
    <row r="2603" spans="1:57" ht="13" x14ac:dyDescent="0.15">
      <c r="A2603">
        <v>1839</v>
      </c>
      <c r="B2603">
        <v>287299771</v>
      </c>
      <c r="C2603" t="s">
        <v>671</v>
      </c>
      <c r="D2603" s="7">
        <v>45668</v>
      </c>
      <c r="E2603" s="7">
        <v>45685</v>
      </c>
      <c r="F2603">
        <v>330862</v>
      </c>
      <c r="G2603" t="s">
        <v>983</v>
      </c>
      <c r="H2603" t="s">
        <v>9</v>
      </c>
      <c r="I2603" s="7">
        <v>45685</v>
      </c>
      <c r="J2603" s="8">
        <v>1.3078703703703703E-3</v>
      </c>
      <c r="K2603" t="s">
        <v>984</v>
      </c>
      <c r="AQ2603" t="s">
        <v>1090</v>
      </c>
      <c r="AR2603" t="s">
        <v>1601</v>
      </c>
      <c r="AT2603" t="s">
        <v>987</v>
      </c>
      <c r="AZ2603" t="s">
        <v>1011</v>
      </c>
      <c r="BA2603" t="s">
        <v>1012</v>
      </c>
      <c r="BB2603" t="s">
        <v>1013</v>
      </c>
      <c r="BD2603" t="s">
        <v>1014</v>
      </c>
      <c r="BE2603" t="s">
        <v>671</v>
      </c>
    </row>
    <row r="2604" spans="1:57" ht="13" x14ac:dyDescent="0.15">
      <c r="A2604">
        <v>1839</v>
      </c>
      <c r="B2604">
        <v>287299771</v>
      </c>
      <c r="C2604" t="s">
        <v>671</v>
      </c>
      <c r="D2604" s="7">
        <v>45668</v>
      </c>
      <c r="E2604" s="7">
        <v>45685</v>
      </c>
      <c r="F2604">
        <v>330862</v>
      </c>
      <c r="G2604" t="s">
        <v>983</v>
      </c>
      <c r="H2604" t="s">
        <v>9</v>
      </c>
      <c r="I2604" s="7">
        <v>45670</v>
      </c>
      <c r="J2604" s="8">
        <v>0.88465277777777773</v>
      </c>
      <c r="K2604" t="s">
        <v>984</v>
      </c>
      <c r="AQ2604" t="s">
        <v>1273</v>
      </c>
      <c r="AR2604" t="s">
        <v>2162</v>
      </c>
      <c r="AT2604" t="s">
        <v>987</v>
      </c>
      <c r="AZ2604" t="s">
        <v>1002</v>
      </c>
      <c r="BA2604" t="s">
        <v>1003</v>
      </c>
      <c r="BB2604" t="s">
        <v>1004</v>
      </c>
      <c r="BD2604" t="s">
        <v>1005</v>
      </c>
      <c r="BE2604" t="s">
        <v>671</v>
      </c>
    </row>
    <row r="2605" spans="1:57" ht="13" x14ac:dyDescent="0.15">
      <c r="A2605">
        <v>1839</v>
      </c>
      <c r="B2605">
        <v>287299771</v>
      </c>
      <c r="C2605" t="s">
        <v>671</v>
      </c>
      <c r="D2605" s="7">
        <v>45668</v>
      </c>
      <c r="E2605" s="7">
        <v>45685</v>
      </c>
      <c r="F2605">
        <v>336444</v>
      </c>
      <c r="G2605" t="s">
        <v>995</v>
      </c>
      <c r="H2605" t="s">
        <v>12</v>
      </c>
      <c r="I2605" s="7">
        <v>45668</v>
      </c>
      <c r="J2605" s="8">
        <v>4.4675925925925924E-3</v>
      </c>
      <c r="K2605" t="s">
        <v>984</v>
      </c>
      <c r="AQ2605" t="s">
        <v>996</v>
      </c>
      <c r="BE2605" t="s">
        <v>671</v>
      </c>
    </row>
    <row r="2606" spans="1:57" ht="13" x14ac:dyDescent="0.15">
      <c r="A2606">
        <v>1839</v>
      </c>
      <c r="B2606">
        <v>287337759</v>
      </c>
      <c r="C2606" t="s">
        <v>672</v>
      </c>
      <c r="D2606" s="7">
        <v>45670</v>
      </c>
      <c r="E2606" s="7">
        <v>45672</v>
      </c>
      <c r="F2606">
        <v>330862</v>
      </c>
      <c r="G2606" t="s">
        <v>983</v>
      </c>
      <c r="H2606" t="s">
        <v>9</v>
      </c>
      <c r="I2606" s="7">
        <v>45670</v>
      </c>
      <c r="J2606" s="8">
        <v>0.30252314814814812</v>
      </c>
      <c r="K2606" t="s">
        <v>984</v>
      </c>
      <c r="AQ2606" t="s">
        <v>992</v>
      </c>
      <c r="AR2606" t="s">
        <v>2163</v>
      </c>
      <c r="AT2606" t="s">
        <v>987</v>
      </c>
      <c r="AZ2606" t="s">
        <v>1139</v>
      </c>
      <c r="BA2606" t="s">
        <v>1140</v>
      </c>
      <c r="BB2606" t="s">
        <v>1032</v>
      </c>
      <c r="BD2606" t="s">
        <v>1005</v>
      </c>
      <c r="BE2606" t="s">
        <v>672</v>
      </c>
    </row>
    <row r="2607" spans="1:57" ht="13" x14ac:dyDescent="0.15">
      <c r="A2607">
        <v>1839</v>
      </c>
      <c r="B2607">
        <v>287337759</v>
      </c>
      <c r="C2607" t="s">
        <v>672</v>
      </c>
      <c r="D2607" s="7">
        <v>45670</v>
      </c>
      <c r="E2607" s="7">
        <v>45672</v>
      </c>
      <c r="F2607">
        <v>330862</v>
      </c>
      <c r="G2607" t="s">
        <v>983</v>
      </c>
      <c r="H2607" t="s">
        <v>9</v>
      </c>
      <c r="I2607" s="7">
        <v>45670</v>
      </c>
      <c r="J2607" s="8">
        <v>0.31534722222222222</v>
      </c>
      <c r="K2607" t="s">
        <v>984</v>
      </c>
      <c r="AQ2607" t="s">
        <v>992</v>
      </c>
      <c r="AR2607" t="s">
        <v>2164</v>
      </c>
      <c r="AT2607" t="s">
        <v>987</v>
      </c>
      <c r="AZ2607" t="s">
        <v>1002</v>
      </c>
      <c r="BA2607" t="s">
        <v>1124</v>
      </c>
      <c r="BB2607" t="s">
        <v>1125</v>
      </c>
      <c r="BD2607" t="s">
        <v>1005</v>
      </c>
      <c r="BE2607" t="s">
        <v>672</v>
      </c>
    </row>
    <row r="2608" spans="1:57" ht="13" x14ac:dyDescent="0.15">
      <c r="A2608">
        <v>1839</v>
      </c>
      <c r="B2608">
        <v>287337759</v>
      </c>
      <c r="C2608" t="s">
        <v>672</v>
      </c>
      <c r="D2608" s="7">
        <v>45670</v>
      </c>
      <c r="E2608" s="7">
        <v>45672</v>
      </c>
      <c r="F2608">
        <v>330862</v>
      </c>
      <c r="G2608" t="s">
        <v>983</v>
      </c>
      <c r="H2608" t="s">
        <v>9</v>
      </c>
      <c r="I2608" s="7">
        <v>45670</v>
      </c>
      <c r="J2608" s="8">
        <v>0.30503472222222222</v>
      </c>
      <c r="K2608" t="s">
        <v>984</v>
      </c>
      <c r="AQ2608" t="s">
        <v>992</v>
      </c>
      <c r="AR2608" t="s">
        <v>2163</v>
      </c>
      <c r="AT2608" t="s">
        <v>987</v>
      </c>
      <c r="AZ2608" t="s">
        <v>1139</v>
      </c>
      <c r="BA2608" t="s">
        <v>1140</v>
      </c>
      <c r="BB2608" t="s">
        <v>1032</v>
      </c>
      <c r="BD2608" t="s">
        <v>1005</v>
      </c>
      <c r="BE2608" t="s">
        <v>672</v>
      </c>
    </row>
    <row r="2609" spans="1:57" ht="13" x14ac:dyDescent="0.15">
      <c r="A2609">
        <v>1839</v>
      </c>
      <c r="B2609">
        <v>287342614</v>
      </c>
      <c r="C2609" t="s">
        <v>673</v>
      </c>
      <c r="D2609" s="7">
        <v>45670</v>
      </c>
      <c r="E2609" s="7">
        <v>45696</v>
      </c>
      <c r="F2609">
        <v>330862</v>
      </c>
      <c r="G2609" t="s">
        <v>983</v>
      </c>
      <c r="H2609" t="s">
        <v>9</v>
      </c>
      <c r="I2609" s="7">
        <v>45694</v>
      </c>
      <c r="J2609" s="8">
        <v>0.53643518518518518</v>
      </c>
      <c r="K2609" t="s">
        <v>984</v>
      </c>
      <c r="AQ2609" t="s">
        <v>992</v>
      </c>
      <c r="AR2609" t="s">
        <v>993</v>
      </c>
      <c r="AT2609" t="s">
        <v>987</v>
      </c>
      <c r="AZ2609" t="s">
        <v>988</v>
      </c>
      <c r="BA2609" t="s">
        <v>989</v>
      </c>
      <c r="BB2609" t="s">
        <v>990</v>
      </c>
      <c r="BD2609" t="s">
        <v>991</v>
      </c>
      <c r="BE2609" t="s">
        <v>673</v>
      </c>
    </row>
    <row r="2610" spans="1:57" ht="13" x14ac:dyDescent="0.15">
      <c r="A2610">
        <v>1839</v>
      </c>
      <c r="B2610">
        <v>287342614</v>
      </c>
      <c r="C2610" t="s">
        <v>673</v>
      </c>
      <c r="D2610" s="7">
        <v>45670</v>
      </c>
      <c r="E2610" s="7">
        <v>45696</v>
      </c>
      <c r="F2610">
        <v>330862</v>
      </c>
      <c r="G2610" t="s">
        <v>983</v>
      </c>
      <c r="H2610" t="s">
        <v>9</v>
      </c>
      <c r="I2610" s="7">
        <v>45689</v>
      </c>
      <c r="J2610" s="8">
        <v>0.60196759259259258</v>
      </c>
      <c r="K2610" t="s">
        <v>984</v>
      </c>
      <c r="AQ2610" t="s">
        <v>992</v>
      </c>
      <c r="AR2610" t="s">
        <v>994</v>
      </c>
      <c r="AT2610" t="s">
        <v>987</v>
      </c>
      <c r="BE2610" t="s">
        <v>673</v>
      </c>
    </row>
    <row r="2611" spans="1:57" ht="13" x14ac:dyDescent="0.15">
      <c r="A2611">
        <v>1839</v>
      </c>
      <c r="B2611">
        <v>287342614</v>
      </c>
      <c r="C2611" t="s">
        <v>673</v>
      </c>
      <c r="D2611" s="7">
        <v>45670</v>
      </c>
      <c r="E2611" s="7">
        <v>45696</v>
      </c>
      <c r="F2611">
        <v>336444</v>
      </c>
      <c r="G2611" t="s">
        <v>995</v>
      </c>
      <c r="H2611" t="s">
        <v>12</v>
      </c>
      <c r="I2611" s="7">
        <v>45684</v>
      </c>
      <c r="J2611" s="8">
        <v>0.52629629629629626</v>
      </c>
      <c r="K2611" t="s">
        <v>984</v>
      </c>
      <c r="AQ2611" t="s">
        <v>996</v>
      </c>
      <c r="BE2611" t="s">
        <v>673</v>
      </c>
    </row>
    <row r="2612" spans="1:57" ht="13" x14ac:dyDescent="0.15">
      <c r="A2612">
        <v>1839</v>
      </c>
      <c r="B2612">
        <v>287342614</v>
      </c>
      <c r="C2612" t="s">
        <v>673</v>
      </c>
      <c r="D2612" s="7">
        <v>45670</v>
      </c>
      <c r="E2612" s="7">
        <v>45696</v>
      </c>
      <c r="F2612">
        <v>336444</v>
      </c>
      <c r="G2612" t="s">
        <v>995</v>
      </c>
      <c r="H2612" t="s">
        <v>12</v>
      </c>
      <c r="I2612" s="7">
        <v>45694</v>
      </c>
      <c r="J2612" s="8">
        <v>0.54982638888888891</v>
      </c>
      <c r="K2612" t="s">
        <v>984</v>
      </c>
      <c r="AQ2612" t="s">
        <v>996</v>
      </c>
      <c r="BE2612" t="s">
        <v>673</v>
      </c>
    </row>
    <row r="2613" spans="1:57" ht="13" x14ac:dyDescent="0.15">
      <c r="A2613">
        <v>1839</v>
      </c>
      <c r="B2613">
        <v>287363158</v>
      </c>
      <c r="C2613" t="s">
        <v>674</v>
      </c>
      <c r="D2613" s="7">
        <v>45671</v>
      </c>
      <c r="E2613" s="7">
        <v>45673</v>
      </c>
      <c r="F2613">
        <v>336444</v>
      </c>
      <c r="G2613" t="s">
        <v>995</v>
      </c>
      <c r="H2613" t="s">
        <v>12</v>
      </c>
      <c r="I2613" s="7">
        <v>45671</v>
      </c>
      <c r="J2613" s="8">
        <v>0.52473379629629635</v>
      </c>
      <c r="K2613" t="s">
        <v>984</v>
      </c>
      <c r="AQ2613" t="s">
        <v>996</v>
      </c>
      <c r="BE2613" t="s">
        <v>674</v>
      </c>
    </row>
    <row r="2614" spans="1:57" ht="13" x14ac:dyDescent="0.15">
      <c r="A2614">
        <v>1839</v>
      </c>
      <c r="B2614">
        <v>287368356</v>
      </c>
      <c r="C2614" t="s">
        <v>675</v>
      </c>
      <c r="D2614" s="7">
        <v>45671</v>
      </c>
      <c r="E2614" s="7">
        <v>45673</v>
      </c>
      <c r="F2614">
        <v>330862</v>
      </c>
      <c r="G2614" t="s">
        <v>983</v>
      </c>
      <c r="H2614" t="s">
        <v>9</v>
      </c>
      <c r="I2614" s="7">
        <v>45671</v>
      </c>
      <c r="J2614" s="8">
        <v>0.76885416666666662</v>
      </c>
      <c r="K2614" t="s">
        <v>984</v>
      </c>
      <c r="AQ2614" t="s">
        <v>1090</v>
      </c>
      <c r="AR2614" t="s">
        <v>2052</v>
      </c>
      <c r="AT2614" t="s">
        <v>987</v>
      </c>
      <c r="AZ2614" t="s">
        <v>1016</v>
      </c>
      <c r="BA2614" t="s">
        <v>1017</v>
      </c>
      <c r="BB2614" t="s">
        <v>1018</v>
      </c>
      <c r="BD2614" t="s">
        <v>991</v>
      </c>
      <c r="BE2614" t="s">
        <v>675</v>
      </c>
    </row>
    <row r="2615" spans="1:57" ht="13" x14ac:dyDescent="0.15">
      <c r="A2615">
        <v>1839</v>
      </c>
      <c r="B2615">
        <v>287372158</v>
      </c>
      <c r="C2615" t="s">
        <v>676</v>
      </c>
      <c r="D2615" s="7">
        <v>45672</v>
      </c>
      <c r="E2615" s="7">
        <v>45698</v>
      </c>
      <c r="F2615">
        <v>330862</v>
      </c>
      <c r="G2615" t="s">
        <v>983</v>
      </c>
      <c r="H2615" t="s">
        <v>9</v>
      </c>
      <c r="I2615" s="7">
        <v>45672</v>
      </c>
      <c r="J2615" s="8">
        <v>3.3865740740740738E-2</v>
      </c>
      <c r="K2615" t="s">
        <v>984</v>
      </c>
      <c r="AQ2615" t="s">
        <v>2054</v>
      </c>
      <c r="AR2615" t="s">
        <v>2165</v>
      </c>
      <c r="AT2615" t="s">
        <v>987</v>
      </c>
      <c r="AZ2615" t="s">
        <v>1016</v>
      </c>
      <c r="BA2615" t="s">
        <v>1017</v>
      </c>
      <c r="BB2615" t="s">
        <v>1018</v>
      </c>
      <c r="BD2615" t="s">
        <v>991</v>
      </c>
      <c r="BE2615" t="s">
        <v>676</v>
      </c>
    </row>
    <row r="2616" spans="1:57" ht="13" x14ac:dyDescent="0.15">
      <c r="A2616">
        <v>1839</v>
      </c>
      <c r="B2616">
        <v>287372158</v>
      </c>
      <c r="C2616" t="s">
        <v>676</v>
      </c>
      <c r="D2616" s="7">
        <v>45672</v>
      </c>
      <c r="E2616" s="7">
        <v>45698</v>
      </c>
      <c r="F2616">
        <v>330862</v>
      </c>
      <c r="G2616" t="s">
        <v>983</v>
      </c>
      <c r="H2616" t="s">
        <v>9</v>
      </c>
      <c r="I2616" s="7">
        <v>45694</v>
      </c>
      <c r="J2616" s="8">
        <v>0.83084490740740746</v>
      </c>
      <c r="K2616" t="s">
        <v>984</v>
      </c>
      <c r="AQ2616" t="s">
        <v>1446</v>
      </c>
      <c r="AR2616" t="s">
        <v>2166</v>
      </c>
      <c r="AT2616" t="s">
        <v>987</v>
      </c>
      <c r="AZ2616" t="s">
        <v>988</v>
      </c>
      <c r="BA2616" t="s">
        <v>989</v>
      </c>
      <c r="BB2616" t="s">
        <v>990</v>
      </c>
      <c r="BD2616" t="s">
        <v>991</v>
      </c>
      <c r="BE2616" t="s">
        <v>676</v>
      </c>
    </row>
    <row r="2617" spans="1:57" ht="13" x14ac:dyDescent="0.15">
      <c r="A2617">
        <v>1839</v>
      </c>
      <c r="B2617">
        <v>287372229</v>
      </c>
      <c r="C2617" t="s">
        <v>677</v>
      </c>
      <c r="D2617" s="7">
        <v>45672</v>
      </c>
      <c r="E2617" s="7">
        <v>45674</v>
      </c>
      <c r="F2617">
        <v>330862</v>
      </c>
      <c r="G2617" t="s">
        <v>983</v>
      </c>
      <c r="H2617" t="s">
        <v>9</v>
      </c>
      <c r="I2617" s="7">
        <v>45672</v>
      </c>
      <c r="J2617" s="8">
        <v>4.1724537037037039E-2</v>
      </c>
      <c r="K2617" t="s">
        <v>984</v>
      </c>
      <c r="AQ2617" t="s">
        <v>1251</v>
      </c>
      <c r="AR2617" t="s">
        <v>2167</v>
      </c>
      <c r="AT2617" t="s">
        <v>987</v>
      </c>
      <c r="AZ2617" t="s">
        <v>1016</v>
      </c>
      <c r="BA2617" t="s">
        <v>1017</v>
      </c>
      <c r="BB2617" t="s">
        <v>1018</v>
      </c>
      <c r="BD2617" t="s">
        <v>991</v>
      </c>
      <c r="BE2617" t="s">
        <v>677</v>
      </c>
    </row>
    <row r="2618" spans="1:57" ht="13" x14ac:dyDescent="0.15">
      <c r="A2618">
        <v>1839</v>
      </c>
      <c r="B2618">
        <v>287372244</v>
      </c>
      <c r="C2618" t="s">
        <v>678</v>
      </c>
      <c r="D2618" s="7">
        <v>45672</v>
      </c>
      <c r="E2618" s="7">
        <v>45692</v>
      </c>
      <c r="F2618">
        <v>330862</v>
      </c>
      <c r="G2618" t="s">
        <v>983</v>
      </c>
      <c r="H2618" t="s">
        <v>9</v>
      </c>
      <c r="I2618" s="7">
        <v>45672</v>
      </c>
      <c r="J2618" s="8">
        <v>4.3263888888888886E-2</v>
      </c>
      <c r="K2618" t="s">
        <v>984</v>
      </c>
      <c r="AQ2618" t="s">
        <v>1090</v>
      </c>
      <c r="AR2618" t="s">
        <v>2168</v>
      </c>
      <c r="AT2618" t="s">
        <v>987</v>
      </c>
      <c r="AZ2618" t="s">
        <v>1016</v>
      </c>
      <c r="BA2618" t="s">
        <v>1017</v>
      </c>
      <c r="BB2618" t="s">
        <v>1018</v>
      </c>
      <c r="BD2618" t="s">
        <v>991</v>
      </c>
      <c r="BE2618" t="s">
        <v>678</v>
      </c>
    </row>
    <row r="2619" spans="1:57" ht="13" x14ac:dyDescent="0.15">
      <c r="A2619">
        <v>1839</v>
      </c>
      <c r="B2619">
        <v>287372776</v>
      </c>
      <c r="C2619" t="s">
        <v>679</v>
      </c>
      <c r="D2619" s="7">
        <v>45672</v>
      </c>
      <c r="E2619" s="7">
        <v>45674</v>
      </c>
      <c r="F2619">
        <v>330862</v>
      </c>
      <c r="G2619" t="s">
        <v>983</v>
      </c>
      <c r="H2619" t="s">
        <v>9</v>
      </c>
      <c r="I2619" s="7">
        <v>45672</v>
      </c>
      <c r="J2619" s="8">
        <v>9.660879629629629E-2</v>
      </c>
      <c r="K2619" t="s">
        <v>984</v>
      </c>
      <c r="AQ2619" t="s">
        <v>985</v>
      </c>
      <c r="AR2619" t="s">
        <v>2169</v>
      </c>
      <c r="AT2619" t="s">
        <v>987</v>
      </c>
      <c r="AZ2619" t="s">
        <v>1016</v>
      </c>
      <c r="BA2619" t="s">
        <v>1017</v>
      </c>
      <c r="BB2619" t="s">
        <v>1018</v>
      </c>
      <c r="BD2619" t="s">
        <v>991</v>
      </c>
      <c r="BE2619" t="s">
        <v>679</v>
      </c>
    </row>
    <row r="2620" spans="1:57" ht="13" x14ac:dyDescent="0.15">
      <c r="A2620">
        <v>1839</v>
      </c>
      <c r="B2620">
        <v>287372805</v>
      </c>
      <c r="C2620" t="s">
        <v>680</v>
      </c>
      <c r="D2620" s="7">
        <v>45672</v>
      </c>
      <c r="E2620" s="7">
        <v>45674</v>
      </c>
      <c r="F2620">
        <v>330862</v>
      </c>
      <c r="G2620" t="s">
        <v>983</v>
      </c>
      <c r="H2620" t="s">
        <v>9</v>
      </c>
      <c r="I2620" s="7">
        <v>45672</v>
      </c>
      <c r="J2620" s="8">
        <v>9.8541666666666666E-2</v>
      </c>
      <c r="K2620" t="s">
        <v>984</v>
      </c>
      <c r="AQ2620" t="s">
        <v>1251</v>
      </c>
      <c r="AR2620" t="s">
        <v>2170</v>
      </c>
      <c r="AT2620" t="s">
        <v>987</v>
      </c>
      <c r="AZ2620" t="s">
        <v>1016</v>
      </c>
      <c r="BA2620" t="s">
        <v>1017</v>
      </c>
      <c r="BB2620" t="s">
        <v>1018</v>
      </c>
      <c r="BD2620" t="s">
        <v>991</v>
      </c>
      <c r="BE2620" t="s">
        <v>680</v>
      </c>
    </row>
    <row r="2621" spans="1:57" ht="13" x14ac:dyDescent="0.15">
      <c r="A2621">
        <v>1839</v>
      </c>
      <c r="B2621">
        <v>287373577</v>
      </c>
      <c r="C2621" t="s">
        <v>681</v>
      </c>
      <c r="D2621" s="7">
        <v>45672</v>
      </c>
      <c r="E2621" s="7">
        <v>45674</v>
      </c>
      <c r="F2621">
        <v>330862</v>
      </c>
      <c r="G2621" t="s">
        <v>983</v>
      </c>
      <c r="H2621" t="s">
        <v>9</v>
      </c>
      <c r="I2621" s="7">
        <v>45672</v>
      </c>
      <c r="J2621" s="8">
        <v>0.16134259259259259</v>
      </c>
      <c r="K2621" t="s">
        <v>984</v>
      </c>
      <c r="AQ2621" t="s">
        <v>1251</v>
      </c>
      <c r="AR2621" t="s">
        <v>2171</v>
      </c>
      <c r="AT2621" t="s">
        <v>987</v>
      </c>
      <c r="AZ2621" t="s">
        <v>1016</v>
      </c>
      <c r="BA2621" t="s">
        <v>1017</v>
      </c>
      <c r="BB2621" t="s">
        <v>1018</v>
      </c>
      <c r="BD2621" t="s">
        <v>991</v>
      </c>
      <c r="BE2621" t="s">
        <v>681</v>
      </c>
    </row>
    <row r="2622" spans="1:57" ht="13" x14ac:dyDescent="0.15">
      <c r="A2622">
        <v>1839</v>
      </c>
      <c r="B2622">
        <v>287373899</v>
      </c>
      <c r="C2622" t="s">
        <v>682</v>
      </c>
      <c r="D2622" s="7">
        <v>45672</v>
      </c>
      <c r="E2622" s="7">
        <v>45674</v>
      </c>
      <c r="F2622">
        <v>330862</v>
      </c>
      <c r="G2622" t="s">
        <v>983</v>
      </c>
      <c r="H2622" t="s">
        <v>9</v>
      </c>
      <c r="I2622" s="7">
        <v>45672</v>
      </c>
      <c r="J2622" s="8">
        <v>0.18817129629629631</v>
      </c>
      <c r="K2622" t="s">
        <v>984</v>
      </c>
      <c r="AQ2622" t="s">
        <v>1090</v>
      </c>
      <c r="AR2622" t="s">
        <v>2172</v>
      </c>
      <c r="AT2622" t="s">
        <v>987</v>
      </c>
      <c r="AZ2622" t="s">
        <v>1016</v>
      </c>
      <c r="BA2622" t="s">
        <v>1017</v>
      </c>
      <c r="BB2622" t="s">
        <v>1018</v>
      </c>
      <c r="BD2622" t="s">
        <v>991</v>
      </c>
      <c r="BE2622" t="s">
        <v>682</v>
      </c>
    </row>
    <row r="2623" spans="1:57" ht="13" x14ac:dyDescent="0.15">
      <c r="A2623">
        <v>1839</v>
      </c>
      <c r="B2623">
        <v>287374037</v>
      </c>
      <c r="C2623" t="s">
        <v>683</v>
      </c>
      <c r="D2623" s="7">
        <v>45672</v>
      </c>
      <c r="E2623" s="7">
        <v>45674</v>
      </c>
      <c r="F2623">
        <v>330862</v>
      </c>
      <c r="G2623" t="s">
        <v>983</v>
      </c>
      <c r="H2623" t="s">
        <v>9</v>
      </c>
      <c r="I2623" s="7">
        <v>45672</v>
      </c>
      <c r="J2623" s="8">
        <v>0.19525462962962964</v>
      </c>
      <c r="K2623" t="s">
        <v>984</v>
      </c>
      <c r="AQ2623" t="s">
        <v>1042</v>
      </c>
      <c r="AR2623" t="s">
        <v>2173</v>
      </c>
      <c r="AT2623" t="s">
        <v>987</v>
      </c>
      <c r="AZ2623" t="s">
        <v>1016</v>
      </c>
      <c r="BA2623" t="s">
        <v>1017</v>
      </c>
      <c r="BB2623" t="s">
        <v>1018</v>
      </c>
      <c r="BD2623" t="s">
        <v>991</v>
      </c>
      <c r="BE2623" t="s">
        <v>683</v>
      </c>
    </row>
    <row r="2624" spans="1:57" ht="13" x14ac:dyDescent="0.15">
      <c r="A2624">
        <v>1839</v>
      </c>
      <c r="B2624">
        <v>287374099</v>
      </c>
      <c r="C2624" t="s">
        <v>684</v>
      </c>
      <c r="D2624" s="7">
        <v>45672</v>
      </c>
      <c r="E2624" s="7">
        <v>45674</v>
      </c>
      <c r="F2624">
        <v>330862</v>
      </c>
      <c r="G2624" t="s">
        <v>983</v>
      </c>
      <c r="H2624" t="s">
        <v>9</v>
      </c>
      <c r="I2624" s="7">
        <v>45672</v>
      </c>
      <c r="J2624" s="8">
        <v>0.19908564814814814</v>
      </c>
      <c r="K2624" t="s">
        <v>984</v>
      </c>
      <c r="AQ2624" t="s">
        <v>998</v>
      </c>
      <c r="AR2624" t="s">
        <v>2052</v>
      </c>
      <c r="AT2624" t="s">
        <v>987</v>
      </c>
      <c r="AZ2624" t="s">
        <v>1016</v>
      </c>
      <c r="BA2624" t="s">
        <v>1017</v>
      </c>
      <c r="BB2624" t="s">
        <v>1018</v>
      </c>
      <c r="BD2624" t="s">
        <v>991</v>
      </c>
      <c r="BE2624" t="s">
        <v>684</v>
      </c>
    </row>
    <row r="2625" spans="1:57" ht="13" x14ac:dyDescent="0.15">
      <c r="A2625">
        <v>1839</v>
      </c>
      <c r="B2625">
        <v>287374868</v>
      </c>
      <c r="C2625" t="s">
        <v>685</v>
      </c>
      <c r="D2625" s="7">
        <v>45672</v>
      </c>
      <c r="E2625" s="7">
        <v>45674</v>
      </c>
      <c r="F2625">
        <v>330862</v>
      </c>
      <c r="G2625" t="s">
        <v>983</v>
      </c>
      <c r="H2625" t="s">
        <v>9</v>
      </c>
      <c r="I2625" s="7">
        <v>45672</v>
      </c>
      <c r="J2625" s="8">
        <v>0.22679398148148147</v>
      </c>
      <c r="K2625" t="s">
        <v>984</v>
      </c>
      <c r="AQ2625" t="s">
        <v>1090</v>
      </c>
      <c r="AR2625" t="s">
        <v>2174</v>
      </c>
      <c r="AT2625" t="s">
        <v>987</v>
      </c>
      <c r="AZ2625" t="s">
        <v>1016</v>
      </c>
      <c r="BA2625" t="s">
        <v>1017</v>
      </c>
      <c r="BB2625" t="s">
        <v>1018</v>
      </c>
      <c r="BD2625" t="s">
        <v>991</v>
      </c>
      <c r="BE2625" t="s">
        <v>685</v>
      </c>
    </row>
    <row r="2626" spans="1:57" ht="13" x14ac:dyDescent="0.15">
      <c r="A2626">
        <v>1839</v>
      </c>
      <c r="B2626">
        <v>287375755</v>
      </c>
      <c r="C2626" t="s">
        <v>686</v>
      </c>
      <c r="D2626" s="7">
        <v>45672</v>
      </c>
      <c r="E2626" s="7">
        <v>45674</v>
      </c>
      <c r="F2626">
        <v>330862</v>
      </c>
      <c r="G2626" t="s">
        <v>983</v>
      </c>
      <c r="H2626" t="s">
        <v>9</v>
      </c>
      <c r="I2626" s="7">
        <v>45672</v>
      </c>
      <c r="J2626" s="8">
        <v>0.24538194444444444</v>
      </c>
      <c r="K2626" t="s">
        <v>984</v>
      </c>
      <c r="AQ2626" t="s">
        <v>1089</v>
      </c>
      <c r="AR2626" t="s">
        <v>2175</v>
      </c>
      <c r="AT2626" t="s">
        <v>987</v>
      </c>
      <c r="AZ2626" t="s">
        <v>1016</v>
      </c>
      <c r="BA2626" t="s">
        <v>1017</v>
      </c>
      <c r="BB2626" t="s">
        <v>1018</v>
      </c>
      <c r="BD2626" t="s">
        <v>991</v>
      </c>
      <c r="BE2626" t="s">
        <v>686</v>
      </c>
    </row>
    <row r="2627" spans="1:57" ht="13" x14ac:dyDescent="0.15">
      <c r="A2627">
        <v>1839</v>
      </c>
      <c r="B2627">
        <v>287377037</v>
      </c>
      <c r="C2627" t="s">
        <v>687</v>
      </c>
      <c r="D2627" s="7">
        <v>45672</v>
      </c>
      <c r="E2627" s="7">
        <v>45674</v>
      </c>
      <c r="F2627">
        <v>330862</v>
      </c>
      <c r="G2627" t="s">
        <v>983</v>
      </c>
      <c r="H2627" t="s">
        <v>9</v>
      </c>
      <c r="I2627" s="7">
        <v>45672</v>
      </c>
      <c r="J2627" s="8">
        <v>0.27888888888888891</v>
      </c>
      <c r="K2627" t="s">
        <v>984</v>
      </c>
      <c r="AQ2627" t="s">
        <v>1092</v>
      </c>
      <c r="AR2627" t="s">
        <v>2176</v>
      </c>
      <c r="AT2627" t="s">
        <v>987</v>
      </c>
      <c r="AZ2627" t="s">
        <v>1016</v>
      </c>
      <c r="BA2627" t="s">
        <v>1017</v>
      </c>
      <c r="BB2627" t="s">
        <v>1018</v>
      </c>
      <c r="BD2627" t="s">
        <v>991</v>
      </c>
      <c r="BE2627" t="s">
        <v>687</v>
      </c>
    </row>
    <row r="2628" spans="1:57" ht="13" x14ac:dyDescent="0.15">
      <c r="A2628">
        <v>1839</v>
      </c>
      <c r="B2628">
        <v>287377391</v>
      </c>
      <c r="C2628" t="s">
        <v>688</v>
      </c>
      <c r="D2628" s="7">
        <v>45672</v>
      </c>
      <c r="E2628" s="7">
        <v>45674</v>
      </c>
      <c r="F2628">
        <v>330862</v>
      </c>
      <c r="G2628" t="s">
        <v>983</v>
      </c>
      <c r="H2628" t="s">
        <v>9</v>
      </c>
      <c r="I2628" s="7">
        <v>45672</v>
      </c>
      <c r="J2628" s="8">
        <v>0.28542824074074075</v>
      </c>
      <c r="K2628" t="s">
        <v>984</v>
      </c>
      <c r="AQ2628" t="s">
        <v>985</v>
      </c>
      <c r="AR2628" t="s">
        <v>2177</v>
      </c>
      <c r="AT2628" t="s">
        <v>987</v>
      </c>
      <c r="AZ2628" t="s">
        <v>1016</v>
      </c>
      <c r="BA2628" t="s">
        <v>1017</v>
      </c>
      <c r="BB2628" t="s">
        <v>1018</v>
      </c>
      <c r="BD2628" t="s">
        <v>991</v>
      </c>
      <c r="BE2628" t="s">
        <v>688</v>
      </c>
    </row>
    <row r="2629" spans="1:57" ht="13" x14ac:dyDescent="0.15">
      <c r="A2629">
        <v>1839</v>
      </c>
      <c r="B2629">
        <v>287380456</v>
      </c>
      <c r="C2629" t="s">
        <v>689</v>
      </c>
      <c r="D2629" s="7">
        <v>45672</v>
      </c>
      <c r="E2629" s="7">
        <v>45674</v>
      </c>
      <c r="F2629">
        <v>330862</v>
      </c>
      <c r="G2629" t="s">
        <v>983</v>
      </c>
      <c r="H2629" t="s">
        <v>9</v>
      </c>
      <c r="I2629" s="7">
        <v>45672</v>
      </c>
      <c r="J2629" s="8">
        <v>0.35449074074074072</v>
      </c>
      <c r="K2629" t="s">
        <v>984</v>
      </c>
      <c r="AQ2629" t="s">
        <v>1251</v>
      </c>
      <c r="AR2629" t="s">
        <v>2178</v>
      </c>
      <c r="AT2629" t="s">
        <v>987</v>
      </c>
      <c r="AZ2629" t="s">
        <v>1016</v>
      </c>
      <c r="BA2629" t="s">
        <v>1017</v>
      </c>
      <c r="BB2629" t="s">
        <v>1018</v>
      </c>
      <c r="BD2629" t="s">
        <v>991</v>
      </c>
      <c r="BE2629" t="s">
        <v>689</v>
      </c>
    </row>
    <row r="2630" spans="1:57" ht="13" x14ac:dyDescent="0.15">
      <c r="A2630">
        <v>1839</v>
      </c>
      <c r="B2630">
        <v>287380686</v>
      </c>
      <c r="C2630" t="s">
        <v>690</v>
      </c>
      <c r="D2630" s="7">
        <v>45672</v>
      </c>
      <c r="E2630" s="7">
        <v>45674</v>
      </c>
      <c r="F2630">
        <v>330862</v>
      </c>
      <c r="G2630" t="s">
        <v>983</v>
      </c>
      <c r="H2630" t="s">
        <v>9</v>
      </c>
      <c r="I2630" s="7">
        <v>45672</v>
      </c>
      <c r="J2630" s="8">
        <v>0.36601851851851852</v>
      </c>
      <c r="K2630" t="s">
        <v>984</v>
      </c>
      <c r="AQ2630" t="s">
        <v>998</v>
      </c>
      <c r="AR2630" t="s">
        <v>1553</v>
      </c>
      <c r="AT2630" t="s">
        <v>987</v>
      </c>
      <c r="AZ2630" t="s">
        <v>1011</v>
      </c>
      <c r="BA2630" t="s">
        <v>1202</v>
      </c>
      <c r="BB2630" t="s">
        <v>1203</v>
      </c>
      <c r="BD2630" t="s">
        <v>991</v>
      </c>
      <c r="BE2630" t="s">
        <v>690</v>
      </c>
    </row>
    <row r="2631" spans="1:57" ht="13" x14ac:dyDescent="0.15">
      <c r="A2631">
        <v>1839</v>
      </c>
      <c r="B2631">
        <v>287381002</v>
      </c>
      <c r="C2631" t="s">
        <v>691</v>
      </c>
      <c r="D2631" s="7">
        <v>45672</v>
      </c>
      <c r="E2631" s="7">
        <v>45676</v>
      </c>
      <c r="F2631">
        <v>330862</v>
      </c>
      <c r="G2631" t="s">
        <v>983</v>
      </c>
      <c r="H2631" t="s">
        <v>9</v>
      </c>
      <c r="I2631" s="7">
        <v>45672</v>
      </c>
      <c r="J2631" s="8">
        <v>0.38052083333333331</v>
      </c>
      <c r="K2631" t="s">
        <v>984</v>
      </c>
      <c r="AQ2631" t="s">
        <v>1090</v>
      </c>
      <c r="AR2631" t="s">
        <v>2179</v>
      </c>
      <c r="AT2631" t="s">
        <v>987</v>
      </c>
      <c r="AZ2631" t="s">
        <v>1016</v>
      </c>
      <c r="BA2631" t="s">
        <v>1017</v>
      </c>
      <c r="BB2631" t="s">
        <v>1018</v>
      </c>
      <c r="BD2631" t="s">
        <v>991</v>
      </c>
      <c r="BE2631" t="s">
        <v>691</v>
      </c>
    </row>
    <row r="2632" spans="1:57" ht="13" x14ac:dyDescent="0.15">
      <c r="A2632">
        <v>1839</v>
      </c>
      <c r="B2632">
        <v>287381171</v>
      </c>
      <c r="C2632" t="s">
        <v>692</v>
      </c>
      <c r="D2632" s="7">
        <v>45672</v>
      </c>
      <c r="E2632" s="7">
        <v>45674</v>
      </c>
      <c r="F2632">
        <v>330862</v>
      </c>
      <c r="G2632" t="s">
        <v>983</v>
      </c>
      <c r="H2632" t="s">
        <v>9</v>
      </c>
      <c r="I2632" s="7">
        <v>45672</v>
      </c>
      <c r="J2632" s="8">
        <v>0.38912037037037039</v>
      </c>
      <c r="K2632" t="s">
        <v>984</v>
      </c>
      <c r="AQ2632" t="s">
        <v>998</v>
      </c>
      <c r="AR2632" t="s">
        <v>1477</v>
      </c>
      <c r="AT2632" t="s">
        <v>987</v>
      </c>
      <c r="AZ2632" t="s">
        <v>1016</v>
      </c>
      <c r="BA2632" t="s">
        <v>1017</v>
      </c>
      <c r="BB2632" t="s">
        <v>1018</v>
      </c>
      <c r="BD2632" t="s">
        <v>991</v>
      </c>
      <c r="BE2632" t="s">
        <v>692</v>
      </c>
    </row>
    <row r="2633" spans="1:57" ht="13" x14ac:dyDescent="0.15">
      <c r="A2633">
        <v>1839</v>
      </c>
      <c r="B2633">
        <v>287381222</v>
      </c>
      <c r="C2633" t="s">
        <v>693</v>
      </c>
      <c r="D2633" s="7">
        <v>45672</v>
      </c>
      <c r="E2633" s="7">
        <v>45674</v>
      </c>
      <c r="F2633">
        <v>330862</v>
      </c>
      <c r="G2633" t="s">
        <v>983</v>
      </c>
      <c r="H2633" t="s">
        <v>9</v>
      </c>
      <c r="I2633" s="7">
        <v>45672</v>
      </c>
      <c r="J2633" s="8">
        <v>0.38996527777777779</v>
      </c>
      <c r="K2633" t="s">
        <v>984</v>
      </c>
      <c r="AQ2633" t="s">
        <v>1092</v>
      </c>
      <c r="AR2633" t="s">
        <v>2052</v>
      </c>
      <c r="AT2633" t="s">
        <v>987</v>
      </c>
      <c r="AZ2633" t="s">
        <v>1016</v>
      </c>
      <c r="BA2633" t="s">
        <v>1017</v>
      </c>
      <c r="BB2633" t="s">
        <v>1018</v>
      </c>
      <c r="BD2633" t="s">
        <v>991</v>
      </c>
      <c r="BE2633" t="s">
        <v>693</v>
      </c>
    </row>
    <row r="2634" spans="1:57" ht="13" x14ac:dyDescent="0.15">
      <c r="A2634">
        <v>1839</v>
      </c>
      <c r="B2634">
        <v>287381889</v>
      </c>
      <c r="C2634" t="s">
        <v>694</v>
      </c>
      <c r="D2634" s="7">
        <v>45672</v>
      </c>
      <c r="E2634" s="7">
        <v>45698</v>
      </c>
      <c r="F2634">
        <v>330862</v>
      </c>
      <c r="G2634" t="s">
        <v>983</v>
      </c>
      <c r="H2634" t="s">
        <v>9</v>
      </c>
      <c r="I2634" s="7">
        <v>45672</v>
      </c>
      <c r="J2634" s="8">
        <v>0.42037037037037039</v>
      </c>
      <c r="K2634" t="s">
        <v>984</v>
      </c>
      <c r="AQ2634" t="s">
        <v>985</v>
      </c>
      <c r="AR2634" t="s">
        <v>2180</v>
      </c>
      <c r="AT2634" t="s">
        <v>987</v>
      </c>
      <c r="AZ2634" t="s">
        <v>1016</v>
      </c>
      <c r="BA2634" t="s">
        <v>1017</v>
      </c>
      <c r="BB2634" t="s">
        <v>1018</v>
      </c>
      <c r="BD2634" t="s">
        <v>991</v>
      </c>
      <c r="BE2634" t="s">
        <v>694</v>
      </c>
    </row>
    <row r="2635" spans="1:57" ht="13" x14ac:dyDescent="0.15">
      <c r="A2635">
        <v>1839</v>
      </c>
      <c r="B2635">
        <v>287381889</v>
      </c>
      <c r="C2635" t="s">
        <v>694</v>
      </c>
      <c r="D2635" s="7">
        <v>45672</v>
      </c>
      <c r="E2635" s="7">
        <v>45698</v>
      </c>
      <c r="F2635">
        <v>330862</v>
      </c>
      <c r="G2635" t="s">
        <v>983</v>
      </c>
      <c r="H2635" t="s">
        <v>9</v>
      </c>
      <c r="I2635" s="7">
        <v>45694</v>
      </c>
      <c r="J2635" s="8">
        <v>0.81542824074074072</v>
      </c>
      <c r="K2635" t="s">
        <v>984</v>
      </c>
      <c r="AQ2635" t="s">
        <v>985</v>
      </c>
      <c r="AR2635" t="s">
        <v>993</v>
      </c>
      <c r="AT2635" t="s">
        <v>987</v>
      </c>
      <c r="AZ2635" t="s">
        <v>988</v>
      </c>
      <c r="BA2635" t="s">
        <v>989</v>
      </c>
      <c r="BB2635" t="s">
        <v>990</v>
      </c>
      <c r="BD2635" t="s">
        <v>991</v>
      </c>
      <c r="BE2635" t="s">
        <v>694</v>
      </c>
    </row>
    <row r="2636" spans="1:57" ht="13" x14ac:dyDescent="0.15">
      <c r="A2636">
        <v>1839</v>
      </c>
      <c r="B2636">
        <v>287382361</v>
      </c>
      <c r="C2636" t="s">
        <v>695</v>
      </c>
      <c r="D2636" s="7">
        <v>45672</v>
      </c>
      <c r="E2636" s="7">
        <v>45674</v>
      </c>
      <c r="F2636">
        <v>330862</v>
      </c>
      <c r="G2636" t="s">
        <v>983</v>
      </c>
      <c r="H2636" t="s">
        <v>9</v>
      </c>
      <c r="I2636" s="7">
        <v>45672</v>
      </c>
      <c r="J2636" s="8">
        <v>0.43086805555555557</v>
      </c>
      <c r="K2636" t="s">
        <v>984</v>
      </c>
      <c r="AQ2636" t="s">
        <v>1251</v>
      </c>
      <c r="AR2636" t="s">
        <v>2181</v>
      </c>
      <c r="AT2636" t="s">
        <v>987</v>
      </c>
      <c r="AZ2636" t="s">
        <v>1016</v>
      </c>
      <c r="BA2636" t="s">
        <v>1017</v>
      </c>
      <c r="BB2636" t="s">
        <v>1018</v>
      </c>
      <c r="BD2636" t="s">
        <v>991</v>
      </c>
      <c r="BE2636" t="s">
        <v>695</v>
      </c>
    </row>
    <row r="2637" spans="1:57" ht="13" x14ac:dyDescent="0.15">
      <c r="A2637">
        <v>1839</v>
      </c>
      <c r="B2637">
        <v>287384410</v>
      </c>
      <c r="C2637" t="s">
        <v>696</v>
      </c>
      <c r="D2637" s="7">
        <v>45672</v>
      </c>
      <c r="E2637" s="7">
        <v>45677</v>
      </c>
      <c r="F2637">
        <v>330862</v>
      </c>
      <c r="G2637" t="s">
        <v>983</v>
      </c>
      <c r="H2637" t="s">
        <v>9</v>
      </c>
      <c r="I2637" s="7">
        <v>45672</v>
      </c>
      <c r="J2637" s="8">
        <v>0.44298611111111114</v>
      </c>
      <c r="K2637" t="s">
        <v>984</v>
      </c>
      <c r="AQ2637" t="s">
        <v>2054</v>
      </c>
      <c r="AR2637" t="s">
        <v>2182</v>
      </c>
      <c r="AT2637" t="s">
        <v>987</v>
      </c>
      <c r="AZ2637" t="s">
        <v>1016</v>
      </c>
      <c r="BA2637" t="s">
        <v>1017</v>
      </c>
      <c r="BB2637" t="s">
        <v>1018</v>
      </c>
      <c r="BD2637" t="s">
        <v>991</v>
      </c>
      <c r="BE2637" t="s">
        <v>696</v>
      </c>
    </row>
    <row r="2638" spans="1:57" ht="13" x14ac:dyDescent="0.15">
      <c r="A2638">
        <v>1839</v>
      </c>
      <c r="B2638">
        <v>287384881</v>
      </c>
      <c r="C2638" t="s">
        <v>697</v>
      </c>
      <c r="D2638" s="7">
        <v>45672</v>
      </c>
      <c r="E2638" s="7">
        <v>45696</v>
      </c>
      <c r="F2638">
        <v>330862</v>
      </c>
      <c r="G2638" t="s">
        <v>983</v>
      </c>
      <c r="H2638" t="s">
        <v>9</v>
      </c>
      <c r="I2638" s="7">
        <v>45693</v>
      </c>
      <c r="J2638" s="8">
        <v>0.64292824074074073</v>
      </c>
      <c r="K2638" t="s">
        <v>984</v>
      </c>
      <c r="AQ2638" t="s">
        <v>985</v>
      </c>
      <c r="AR2638" t="s">
        <v>994</v>
      </c>
      <c r="AT2638" t="s">
        <v>987</v>
      </c>
      <c r="AZ2638" t="s">
        <v>1011</v>
      </c>
      <c r="BA2638" t="s">
        <v>1012</v>
      </c>
      <c r="BB2638" t="s">
        <v>1013</v>
      </c>
      <c r="BD2638" t="s">
        <v>1014</v>
      </c>
      <c r="BE2638" t="s">
        <v>697</v>
      </c>
    </row>
    <row r="2639" spans="1:57" ht="13" x14ac:dyDescent="0.15">
      <c r="A2639">
        <v>1839</v>
      </c>
      <c r="B2639">
        <v>287386448</v>
      </c>
      <c r="C2639" t="s">
        <v>698</v>
      </c>
      <c r="D2639" s="7">
        <v>45672</v>
      </c>
      <c r="E2639" s="7">
        <v>45674</v>
      </c>
      <c r="F2639">
        <v>330862</v>
      </c>
      <c r="G2639" t="s">
        <v>983</v>
      </c>
      <c r="H2639" t="s">
        <v>9</v>
      </c>
      <c r="I2639" s="7">
        <v>45672</v>
      </c>
      <c r="J2639" s="8">
        <v>0.44937500000000002</v>
      </c>
      <c r="K2639" t="s">
        <v>984</v>
      </c>
      <c r="AQ2639" t="s">
        <v>992</v>
      </c>
      <c r="AR2639" t="s">
        <v>1274</v>
      </c>
      <c r="AT2639" t="s">
        <v>987</v>
      </c>
      <c r="AZ2639" t="s">
        <v>1016</v>
      </c>
      <c r="BA2639" t="s">
        <v>1017</v>
      </c>
      <c r="BB2639" t="s">
        <v>1018</v>
      </c>
      <c r="BD2639" t="s">
        <v>991</v>
      </c>
      <c r="BE2639" t="s">
        <v>698</v>
      </c>
    </row>
    <row r="2640" spans="1:57" ht="13" x14ac:dyDescent="0.15">
      <c r="A2640">
        <v>1839</v>
      </c>
      <c r="B2640">
        <v>287389904</v>
      </c>
      <c r="C2640" t="s">
        <v>699</v>
      </c>
      <c r="D2640" s="7">
        <v>45672</v>
      </c>
      <c r="E2640" s="7">
        <v>45674</v>
      </c>
      <c r="F2640">
        <v>330862</v>
      </c>
      <c r="G2640" t="s">
        <v>983</v>
      </c>
      <c r="H2640" t="s">
        <v>9</v>
      </c>
      <c r="I2640" s="7">
        <v>45672</v>
      </c>
      <c r="J2640" s="8">
        <v>0.51340277777777776</v>
      </c>
      <c r="K2640" t="s">
        <v>984</v>
      </c>
      <c r="AQ2640" t="s">
        <v>1092</v>
      </c>
      <c r="AR2640" t="s">
        <v>2183</v>
      </c>
      <c r="AT2640" t="s">
        <v>987</v>
      </c>
      <c r="AZ2640" t="s">
        <v>1016</v>
      </c>
      <c r="BA2640" t="s">
        <v>1017</v>
      </c>
      <c r="BB2640" t="s">
        <v>1018</v>
      </c>
      <c r="BD2640" t="s">
        <v>991</v>
      </c>
      <c r="BE2640" t="s">
        <v>699</v>
      </c>
    </row>
    <row r="2641" spans="1:57" ht="13" x14ac:dyDescent="0.15">
      <c r="A2641">
        <v>1839</v>
      </c>
      <c r="B2641">
        <v>287394583</v>
      </c>
      <c r="C2641" t="s">
        <v>700</v>
      </c>
      <c r="D2641" s="7">
        <v>45672</v>
      </c>
      <c r="E2641" s="7">
        <v>45674</v>
      </c>
      <c r="F2641">
        <v>330862</v>
      </c>
      <c r="G2641" t="s">
        <v>983</v>
      </c>
      <c r="H2641" t="s">
        <v>9</v>
      </c>
      <c r="I2641" s="7">
        <v>45672</v>
      </c>
      <c r="J2641" s="8">
        <v>0.57793981481481482</v>
      </c>
      <c r="K2641" t="s">
        <v>984</v>
      </c>
      <c r="AQ2641" t="s">
        <v>1090</v>
      </c>
      <c r="AR2641" t="s">
        <v>2184</v>
      </c>
      <c r="AT2641" t="s">
        <v>987</v>
      </c>
      <c r="AZ2641" t="s">
        <v>1016</v>
      </c>
      <c r="BA2641" t="s">
        <v>1017</v>
      </c>
      <c r="BB2641" t="s">
        <v>1018</v>
      </c>
      <c r="BD2641" t="s">
        <v>991</v>
      </c>
      <c r="BE2641" t="s">
        <v>700</v>
      </c>
    </row>
    <row r="2642" spans="1:57" ht="13" x14ac:dyDescent="0.15">
      <c r="A2642">
        <v>1839</v>
      </c>
      <c r="B2642">
        <v>287395667</v>
      </c>
      <c r="C2642" t="s">
        <v>701</v>
      </c>
      <c r="D2642" s="7">
        <v>45672</v>
      </c>
      <c r="E2642" s="7">
        <v>45674</v>
      </c>
      <c r="F2642">
        <v>330862</v>
      </c>
      <c r="G2642" t="s">
        <v>983</v>
      </c>
      <c r="H2642" t="s">
        <v>9</v>
      </c>
      <c r="I2642" s="7">
        <v>45672</v>
      </c>
      <c r="J2642" s="8">
        <v>0.61319444444444449</v>
      </c>
      <c r="K2642" t="s">
        <v>984</v>
      </c>
      <c r="AQ2642" t="s">
        <v>1089</v>
      </c>
      <c r="AR2642" t="s">
        <v>1529</v>
      </c>
      <c r="AT2642" t="s">
        <v>987</v>
      </c>
      <c r="AZ2642" t="s">
        <v>1016</v>
      </c>
      <c r="BA2642" t="s">
        <v>1017</v>
      </c>
      <c r="BB2642" t="s">
        <v>1018</v>
      </c>
      <c r="BD2642" t="s">
        <v>991</v>
      </c>
      <c r="BE2642" t="s">
        <v>701</v>
      </c>
    </row>
    <row r="2643" spans="1:57" ht="13" x14ac:dyDescent="0.15">
      <c r="A2643">
        <v>1839</v>
      </c>
      <c r="B2643">
        <v>287395815</v>
      </c>
      <c r="C2643" t="s">
        <v>702</v>
      </c>
      <c r="D2643" s="7">
        <v>45672</v>
      </c>
      <c r="E2643" s="7">
        <v>45678</v>
      </c>
      <c r="F2643">
        <v>330862</v>
      </c>
      <c r="G2643" t="s">
        <v>983</v>
      </c>
      <c r="H2643" t="s">
        <v>9</v>
      </c>
      <c r="I2643" s="7">
        <v>45672</v>
      </c>
      <c r="J2643" s="8">
        <v>0.61752314814814813</v>
      </c>
      <c r="K2643" t="s">
        <v>984</v>
      </c>
      <c r="AQ2643" t="s">
        <v>1090</v>
      </c>
      <c r="AR2643" t="s">
        <v>2185</v>
      </c>
      <c r="AT2643" t="s">
        <v>987</v>
      </c>
      <c r="AZ2643" t="s">
        <v>1016</v>
      </c>
      <c r="BA2643" t="s">
        <v>1017</v>
      </c>
      <c r="BB2643" t="s">
        <v>1018</v>
      </c>
      <c r="BD2643" t="s">
        <v>991</v>
      </c>
      <c r="BE2643" t="s">
        <v>702</v>
      </c>
    </row>
    <row r="2644" spans="1:57" ht="13" x14ac:dyDescent="0.15">
      <c r="A2644">
        <v>1839</v>
      </c>
      <c r="B2644">
        <v>287396541</v>
      </c>
      <c r="C2644" t="s">
        <v>703</v>
      </c>
      <c r="D2644" s="7">
        <v>45672</v>
      </c>
      <c r="E2644" s="7">
        <v>45674</v>
      </c>
      <c r="F2644">
        <v>330862</v>
      </c>
      <c r="G2644" t="s">
        <v>983</v>
      </c>
      <c r="H2644" t="s">
        <v>9</v>
      </c>
      <c r="I2644" s="7">
        <v>45672</v>
      </c>
      <c r="J2644" s="8">
        <v>0.64300925925925922</v>
      </c>
      <c r="K2644" t="s">
        <v>984</v>
      </c>
      <c r="AQ2644" t="s">
        <v>1261</v>
      </c>
      <c r="AR2644" t="s">
        <v>1529</v>
      </c>
      <c r="AT2644" t="s">
        <v>987</v>
      </c>
      <c r="AZ2644" t="s">
        <v>1016</v>
      </c>
      <c r="BA2644" t="s">
        <v>1017</v>
      </c>
      <c r="BB2644" t="s">
        <v>1018</v>
      </c>
      <c r="BD2644" t="s">
        <v>991</v>
      </c>
      <c r="BE2644" t="s">
        <v>703</v>
      </c>
    </row>
    <row r="2645" spans="1:57" ht="13" x14ac:dyDescent="0.15">
      <c r="A2645">
        <v>1839</v>
      </c>
      <c r="B2645">
        <v>287396541</v>
      </c>
      <c r="C2645" t="s">
        <v>703</v>
      </c>
      <c r="D2645" s="7">
        <v>45672</v>
      </c>
      <c r="E2645" s="7">
        <v>45674</v>
      </c>
      <c r="F2645">
        <v>330862</v>
      </c>
      <c r="G2645" t="s">
        <v>983</v>
      </c>
      <c r="H2645" t="s">
        <v>9</v>
      </c>
      <c r="I2645" s="7">
        <v>45672</v>
      </c>
      <c r="J2645" s="8">
        <v>0.6713541666666667</v>
      </c>
      <c r="K2645" t="s">
        <v>984</v>
      </c>
      <c r="AQ2645" t="s">
        <v>1261</v>
      </c>
      <c r="AR2645" t="s">
        <v>1529</v>
      </c>
      <c r="AT2645" t="s">
        <v>987</v>
      </c>
      <c r="AZ2645" t="s">
        <v>1016</v>
      </c>
      <c r="BA2645" t="s">
        <v>1017</v>
      </c>
      <c r="BB2645" t="s">
        <v>1018</v>
      </c>
      <c r="BD2645" t="s">
        <v>991</v>
      </c>
      <c r="BE2645" t="s">
        <v>703</v>
      </c>
    </row>
    <row r="2646" spans="1:57" ht="13" x14ac:dyDescent="0.15">
      <c r="A2646">
        <v>1839</v>
      </c>
      <c r="B2646">
        <v>287396541</v>
      </c>
      <c r="C2646" t="s">
        <v>703</v>
      </c>
      <c r="D2646" s="7">
        <v>45672</v>
      </c>
      <c r="E2646" s="7">
        <v>45674</v>
      </c>
      <c r="F2646">
        <v>330862</v>
      </c>
      <c r="G2646" t="s">
        <v>983</v>
      </c>
      <c r="H2646" t="s">
        <v>9</v>
      </c>
      <c r="I2646" s="7">
        <v>45672</v>
      </c>
      <c r="J2646" s="8">
        <v>0.71064814814814814</v>
      </c>
      <c r="K2646" t="s">
        <v>984</v>
      </c>
      <c r="AQ2646" t="s">
        <v>1261</v>
      </c>
      <c r="AR2646" t="s">
        <v>1529</v>
      </c>
      <c r="AT2646" t="s">
        <v>987</v>
      </c>
      <c r="AZ2646" t="s">
        <v>1016</v>
      </c>
      <c r="BA2646" t="s">
        <v>1017</v>
      </c>
      <c r="BB2646" t="s">
        <v>1018</v>
      </c>
      <c r="BD2646" t="s">
        <v>991</v>
      </c>
      <c r="BE2646" t="s">
        <v>703</v>
      </c>
    </row>
    <row r="2647" spans="1:57" ht="13" x14ac:dyDescent="0.15">
      <c r="A2647">
        <v>1839</v>
      </c>
      <c r="B2647">
        <v>287396541</v>
      </c>
      <c r="C2647" t="s">
        <v>703</v>
      </c>
      <c r="D2647" s="7">
        <v>45672</v>
      </c>
      <c r="E2647" s="7">
        <v>45674</v>
      </c>
      <c r="F2647">
        <v>330862</v>
      </c>
      <c r="G2647" t="s">
        <v>983</v>
      </c>
      <c r="H2647" t="s">
        <v>9</v>
      </c>
      <c r="I2647" s="7">
        <v>45672</v>
      </c>
      <c r="J2647" s="8">
        <v>0.67543981481481485</v>
      </c>
      <c r="K2647" t="s">
        <v>984</v>
      </c>
      <c r="AQ2647" t="s">
        <v>1261</v>
      </c>
      <c r="AR2647" t="s">
        <v>1529</v>
      </c>
      <c r="AT2647" t="s">
        <v>987</v>
      </c>
      <c r="AZ2647" t="s">
        <v>1016</v>
      </c>
      <c r="BA2647" t="s">
        <v>1017</v>
      </c>
      <c r="BB2647" t="s">
        <v>1018</v>
      </c>
      <c r="BD2647" t="s">
        <v>991</v>
      </c>
      <c r="BE2647" t="s">
        <v>703</v>
      </c>
    </row>
    <row r="2648" spans="1:57" ht="13" x14ac:dyDescent="0.15">
      <c r="A2648">
        <v>1839</v>
      </c>
      <c r="B2648">
        <v>287396541</v>
      </c>
      <c r="C2648" t="s">
        <v>703</v>
      </c>
      <c r="D2648" s="7">
        <v>45672</v>
      </c>
      <c r="E2648" s="7">
        <v>45674</v>
      </c>
      <c r="F2648">
        <v>330862</v>
      </c>
      <c r="G2648" t="s">
        <v>983</v>
      </c>
      <c r="H2648" t="s">
        <v>9</v>
      </c>
      <c r="I2648" s="7">
        <v>45672</v>
      </c>
      <c r="J2648" s="8">
        <v>0.67160879629629633</v>
      </c>
      <c r="K2648" t="s">
        <v>984</v>
      </c>
      <c r="AQ2648" t="s">
        <v>1261</v>
      </c>
      <c r="AR2648" t="s">
        <v>1529</v>
      </c>
      <c r="AT2648" t="s">
        <v>987</v>
      </c>
      <c r="AZ2648" t="s">
        <v>1016</v>
      </c>
      <c r="BA2648" t="s">
        <v>1017</v>
      </c>
      <c r="BB2648" t="s">
        <v>1018</v>
      </c>
      <c r="BD2648" t="s">
        <v>991</v>
      </c>
      <c r="BE2648" t="s">
        <v>703</v>
      </c>
    </row>
    <row r="2649" spans="1:57" ht="13" x14ac:dyDescent="0.15">
      <c r="A2649">
        <v>1839</v>
      </c>
      <c r="B2649">
        <v>287396541</v>
      </c>
      <c r="C2649" t="s">
        <v>703</v>
      </c>
      <c r="D2649" s="7">
        <v>45672</v>
      </c>
      <c r="E2649" s="7">
        <v>45674</v>
      </c>
      <c r="F2649">
        <v>330862</v>
      </c>
      <c r="G2649" t="s">
        <v>983</v>
      </c>
      <c r="H2649" t="s">
        <v>9</v>
      </c>
      <c r="I2649" s="7">
        <v>45672</v>
      </c>
      <c r="J2649" s="8">
        <v>0.65590277777777772</v>
      </c>
      <c r="K2649" t="s">
        <v>984</v>
      </c>
      <c r="AQ2649" t="s">
        <v>1261</v>
      </c>
      <c r="AR2649" t="s">
        <v>1529</v>
      </c>
      <c r="AT2649" t="s">
        <v>987</v>
      </c>
      <c r="AZ2649" t="s">
        <v>1016</v>
      </c>
      <c r="BA2649" t="s">
        <v>1017</v>
      </c>
      <c r="BB2649" t="s">
        <v>1018</v>
      </c>
      <c r="BD2649" t="s">
        <v>991</v>
      </c>
      <c r="BE2649" t="s">
        <v>703</v>
      </c>
    </row>
    <row r="2650" spans="1:57" ht="13" x14ac:dyDescent="0.15">
      <c r="A2650">
        <v>1839</v>
      </c>
      <c r="B2650">
        <v>287396541</v>
      </c>
      <c r="C2650" t="s">
        <v>703</v>
      </c>
      <c r="D2650" s="7">
        <v>45672</v>
      </c>
      <c r="E2650" s="7">
        <v>45674</v>
      </c>
      <c r="F2650">
        <v>330862</v>
      </c>
      <c r="G2650" t="s">
        <v>983</v>
      </c>
      <c r="H2650" t="s">
        <v>9</v>
      </c>
      <c r="I2650" s="7">
        <v>45672</v>
      </c>
      <c r="J2650" s="8">
        <v>0.65304398148148146</v>
      </c>
      <c r="K2650" t="s">
        <v>984</v>
      </c>
      <c r="AQ2650" t="s">
        <v>1261</v>
      </c>
      <c r="AR2650" t="s">
        <v>1529</v>
      </c>
      <c r="AT2650" t="s">
        <v>987</v>
      </c>
      <c r="AZ2650" t="s">
        <v>1016</v>
      </c>
      <c r="BA2650" t="s">
        <v>1017</v>
      </c>
      <c r="BB2650" t="s">
        <v>1018</v>
      </c>
      <c r="BD2650" t="s">
        <v>991</v>
      </c>
      <c r="BE2650" t="s">
        <v>703</v>
      </c>
    </row>
    <row r="2651" spans="1:57" ht="13" x14ac:dyDescent="0.15">
      <c r="A2651">
        <v>1839</v>
      </c>
      <c r="B2651">
        <v>287396668</v>
      </c>
      <c r="C2651" t="s">
        <v>704</v>
      </c>
      <c r="D2651" s="7">
        <v>45672</v>
      </c>
      <c r="E2651" s="7">
        <v>45674</v>
      </c>
      <c r="F2651">
        <v>330862</v>
      </c>
      <c r="G2651" t="s">
        <v>983</v>
      </c>
      <c r="H2651" t="s">
        <v>9</v>
      </c>
      <c r="I2651" s="7">
        <v>45672</v>
      </c>
      <c r="J2651" s="8">
        <v>0.64811342592592591</v>
      </c>
      <c r="K2651" t="s">
        <v>984</v>
      </c>
      <c r="AQ2651" t="s">
        <v>1261</v>
      </c>
      <c r="AR2651" t="s">
        <v>1529</v>
      </c>
      <c r="AT2651" t="s">
        <v>987</v>
      </c>
      <c r="AZ2651" t="s">
        <v>1016</v>
      </c>
      <c r="BA2651" t="s">
        <v>1017</v>
      </c>
      <c r="BB2651" t="s">
        <v>1018</v>
      </c>
      <c r="BD2651" t="s">
        <v>991</v>
      </c>
      <c r="BE2651" t="s">
        <v>704</v>
      </c>
    </row>
    <row r="2652" spans="1:57" ht="13" x14ac:dyDescent="0.15">
      <c r="A2652">
        <v>1839</v>
      </c>
      <c r="B2652">
        <v>287398176</v>
      </c>
      <c r="C2652" t="s">
        <v>705</v>
      </c>
      <c r="D2652" s="7">
        <v>45672</v>
      </c>
      <c r="E2652" s="7">
        <v>45674</v>
      </c>
      <c r="F2652">
        <v>330862</v>
      </c>
      <c r="G2652" t="s">
        <v>983</v>
      </c>
      <c r="H2652" t="s">
        <v>9</v>
      </c>
      <c r="I2652" s="7">
        <v>45672</v>
      </c>
      <c r="J2652" s="8">
        <v>0.70806712962962959</v>
      </c>
      <c r="K2652" t="s">
        <v>984</v>
      </c>
      <c r="AQ2652" t="s">
        <v>1251</v>
      </c>
      <c r="AR2652" t="s">
        <v>2186</v>
      </c>
      <c r="AT2652" t="s">
        <v>987</v>
      </c>
      <c r="AZ2652" t="s">
        <v>1016</v>
      </c>
      <c r="BA2652" t="s">
        <v>1017</v>
      </c>
      <c r="BB2652" t="s">
        <v>1018</v>
      </c>
      <c r="BD2652" t="s">
        <v>991</v>
      </c>
      <c r="BE2652" t="s">
        <v>705</v>
      </c>
    </row>
    <row r="2653" spans="1:57" ht="13" x14ac:dyDescent="0.15">
      <c r="A2653">
        <v>1839</v>
      </c>
      <c r="B2653">
        <v>287398785</v>
      </c>
      <c r="C2653" t="s">
        <v>706</v>
      </c>
      <c r="D2653" s="7">
        <v>45672</v>
      </c>
      <c r="E2653" s="7">
        <v>45674</v>
      </c>
      <c r="F2653">
        <v>330862</v>
      </c>
      <c r="G2653" t="s">
        <v>983</v>
      </c>
      <c r="H2653" t="s">
        <v>9</v>
      </c>
      <c r="I2653" s="7">
        <v>45672</v>
      </c>
      <c r="J2653" s="8">
        <v>0.73561342592592593</v>
      </c>
      <c r="K2653" t="s">
        <v>984</v>
      </c>
      <c r="AQ2653" t="s">
        <v>2187</v>
      </c>
      <c r="AR2653" t="s">
        <v>2188</v>
      </c>
      <c r="AT2653" t="s">
        <v>987</v>
      </c>
      <c r="AZ2653" t="s">
        <v>1016</v>
      </c>
      <c r="BA2653" t="s">
        <v>1017</v>
      </c>
      <c r="BB2653" t="s">
        <v>1018</v>
      </c>
      <c r="BD2653" t="s">
        <v>991</v>
      </c>
      <c r="BE2653" t="s">
        <v>706</v>
      </c>
    </row>
    <row r="2654" spans="1:57" ht="13" x14ac:dyDescent="0.15">
      <c r="A2654">
        <v>1839</v>
      </c>
      <c r="B2654">
        <v>287399041</v>
      </c>
      <c r="C2654" t="s">
        <v>707</v>
      </c>
      <c r="D2654" s="7">
        <v>45672</v>
      </c>
      <c r="E2654" s="7">
        <v>45674</v>
      </c>
      <c r="F2654">
        <v>330862</v>
      </c>
      <c r="G2654" t="s">
        <v>983</v>
      </c>
      <c r="H2654" t="s">
        <v>9</v>
      </c>
      <c r="I2654" s="7">
        <v>45672</v>
      </c>
      <c r="J2654" s="8">
        <v>0.74633101851851846</v>
      </c>
      <c r="K2654" t="s">
        <v>984</v>
      </c>
      <c r="AQ2654" t="s">
        <v>1090</v>
      </c>
      <c r="AR2654" t="s">
        <v>2189</v>
      </c>
      <c r="AT2654" t="s">
        <v>987</v>
      </c>
      <c r="AZ2654" t="s">
        <v>1016</v>
      </c>
      <c r="BA2654" t="s">
        <v>1017</v>
      </c>
      <c r="BB2654" t="s">
        <v>1018</v>
      </c>
      <c r="BD2654" t="s">
        <v>991</v>
      </c>
      <c r="BE2654" t="s">
        <v>707</v>
      </c>
    </row>
    <row r="2655" spans="1:57" ht="13" x14ac:dyDescent="0.15">
      <c r="A2655">
        <v>1839</v>
      </c>
      <c r="B2655">
        <v>287399238</v>
      </c>
      <c r="C2655" t="s">
        <v>708</v>
      </c>
      <c r="D2655" s="7">
        <v>45672</v>
      </c>
      <c r="E2655" s="7">
        <v>45692</v>
      </c>
      <c r="F2655">
        <v>330862</v>
      </c>
      <c r="G2655" t="s">
        <v>983</v>
      </c>
      <c r="H2655" t="s">
        <v>9</v>
      </c>
      <c r="I2655" s="7">
        <v>45672</v>
      </c>
      <c r="J2655" s="8">
        <v>0.75585648148148143</v>
      </c>
      <c r="K2655" t="s">
        <v>984</v>
      </c>
      <c r="AQ2655" t="s">
        <v>1273</v>
      </c>
      <c r="AR2655" t="s">
        <v>2190</v>
      </c>
      <c r="AT2655" t="s">
        <v>987</v>
      </c>
      <c r="AZ2655" t="s">
        <v>1016</v>
      </c>
      <c r="BA2655" t="s">
        <v>1017</v>
      </c>
      <c r="BB2655" t="s">
        <v>1018</v>
      </c>
      <c r="BD2655" t="s">
        <v>991</v>
      </c>
      <c r="BE2655" t="s">
        <v>708</v>
      </c>
    </row>
    <row r="2656" spans="1:57" ht="13" x14ac:dyDescent="0.15">
      <c r="A2656">
        <v>1839</v>
      </c>
      <c r="B2656">
        <v>287401106</v>
      </c>
      <c r="C2656" t="s">
        <v>709</v>
      </c>
      <c r="D2656" s="7">
        <v>45672</v>
      </c>
      <c r="E2656" s="7">
        <v>45674</v>
      </c>
      <c r="F2656">
        <v>330862</v>
      </c>
      <c r="G2656" t="s">
        <v>983</v>
      </c>
      <c r="H2656" t="s">
        <v>9</v>
      </c>
      <c r="I2656" s="7">
        <v>45672</v>
      </c>
      <c r="J2656" s="8">
        <v>0.80986111111111114</v>
      </c>
      <c r="K2656" t="s">
        <v>984</v>
      </c>
      <c r="AQ2656" t="s">
        <v>1251</v>
      </c>
      <c r="AR2656" t="s">
        <v>2191</v>
      </c>
      <c r="AT2656" t="s">
        <v>987</v>
      </c>
      <c r="AZ2656" t="s">
        <v>1016</v>
      </c>
      <c r="BA2656" t="s">
        <v>1017</v>
      </c>
      <c r="BB2656" t="s">
        <v>1018</v>
      </c>
      <c r="BD2656" t="s">
        <v>991</v>
      </c>
      <c r="BE2656" t="s">
        <v>709</v>
      </c>
    </row>
    <row r="2657" spans="1:57" ht="13" x14ac:dyDescent="0.15">
      <c r="A2657">
        <v>1839</v>
      </c>
      <c r="B2657">
        <v>287401365</v>
      </c>
      <c r="C2657" t="s">
        <v>710</v>
      </c>
      <c r="D2657" s="7">
        <v>45672</v>
      </c>
      <c r="E2657" s="7">
        <v>45674</v>
      </c>
      <c r="F2657">
        <v>330862</v>
      </c>
      <c r="G2657" t="s">
        <v>983</v>
      </c>
      <c r="H2657" t="s">
        <v>9</v>
      </c>
      <c r="I2657" s="7">
        <v>45672</v>
      </c>
      <c r="J2657" s="8">
        <v>0.82385416666666667</v>
      </c>
      <c r="K2657" t="s">
        <v>984</v>
      </c>
      <c r="AQ2657" t="s">
        <v>1251</v>
      </c>
      <c r="AR2657" t="s">
        <v>2192</v>
      </c>
      <c r="AT2657" t="s">
        <v>987</v>
      </c>
      <c r="AZ2657" t="s">
        <v>1016</v>
      </c>
      <c r="BA2657" t="s">
        <v>1017</v>
      </c>
      <c r="BB2657" t="s">
        <v>1018</v>
      </c>
      <c r="BD2657" t="s">
        <v>991</v>
      </c>
      <c r="BE2657" t="s">
        <v>710</v>
      </c>
    </row>
    <row r="2658" spans="1:57" ht="13" x14ac:dyDescent="0.15">
      <c r="A2658">
        <v>1839</v>
      </c>
      <c r="B2658">
        <v>287401951</v>
      </c>
      <c r="C2658" t="s">
        <v>711</v>
      </c>
      <c r="D2658" s="7">
        <v>45672</v>
      </c>
      <c r="E2658" s="7">
        <v>45674</v>
      </c>
      <c r="F2658">
        <v>330862</v>
      </c>
      <c r="G2658" t="s">
        <v>983</v>
      </c>
      <c r="H2658" t="s">
        <v>9</v>
      </c>
      <c r="I2658" s="7">
        <v>45672</v>
      </c>
      <c r="J2658" s="8">
        <v>0.85805555555555557</v>
      </c>
      <c r="K2658" t="s">
        <v>984</v>
      </c>
      <c r="AQ2658" t="s">
        <v>998</v>
      </c>
      <c r="AR2658" t="s">
        <v>1274</v>
      </c>
      <c r="AT2658" t="s">
        <v>987</v>
      </c>
      <c r="AZ2658" t="s">
        <v>1016</v>
      </c>
      <c r="BA2658" t="s">
        <v>1017</v>
      </c>
      <c r="BB2658" t="s">
        <v>1018</v>
      </c>
      <c r="BD2658" t="s">
        <v>991</v>
      </c>
      <c r="BE2658" t="s">
        <v>711</v>
      </c>
    </row>
    <row r="2659" spans="1:57" ht="13" x14ac:dyDescent="0.15">
      <c r="A2659">
        <v>1839</v>
      </c>
      <c r="B2659">
        <v>287402033</v>
      </c>
      <c r="C2659" t="s">
        <v>712</v>
      </c>
      <c r="D2659" s="7">
        <v>45672</v>
      </c>
      <c r="E2659" s="7">
        <v>45674</v>
      </c>
      <c r="F2659">
        <v>330862</v>
      </c>
      <c r="G2659" t="s">
        <v>983</v>
      </c>
      <c r="H2659" t="s">
        <v>9</v>
      </c>
      <c r="I2659" s="7">
        <v>45672</v>
      </c>
      <c r="J2659" s="8">
        <v>0.86342592592592593</v>
      </c>
      <c r="K2659" t="s">
        <v>984</v>
      </c>
      <c r="AQ2659" t="s">
        <v>998</v>
      </c>
      <c r="AR2659" t="s">
        <v>1274</v>
      </c>
      <c r="AT2659" t="s">
        <v>987</v>
      </c>
      <c r="AZ2659" t="s">
        <v>1016</v>
      </c>
      <c r="BA2659" t="s">
        <v>1017</v>
      </c>
      <c r="BB2659" t="s">
        <v>1018</v>
      </c>
      <c r="BD2659" t="s">
        <v>991</v>
      </c>
      <c r="BE2659" t="s">
        <v>712</v>
      </c>
    </row>
    <row r="2660" spans="1:57" ht="13" x14ac:dyDescent="0.15">
      <c r="A2660">
        <v>1839</v>
      </c>
      <c r="B2660">
        <v>287402258</v>
      </c>
      <c r="C2660" t="s">
        <v>713</v>
      </c>
      <c r="D2660" s="7">
        <v>45672</v>
      </c>
      <c r="E2660" s="7">
        <v>45677</v>
      </c>
      <c r="F2660">
        <v>330862</v>
      </c>
      <c r="G2660" t="s">
        <v>983</v>
      </c>
      <c r="H2660" t="s">
        <v>9</v>
      </c>
      <c r="I2660" s="7">
        <v>45672</v>
      </c>
      <c r="J2660" s="8">
        <v>0.87671296296296297</v>
      </c>
      <c r="K2660" t="s">
        <v>984</v>
      </c>
      <c r="AQ2660" t="s">
        <v>998</v>
      </c>
      <c r="AR2660" t="s">
        <v>1603</v>
      </c>
      <c r="AT2660" t="s">
        <v>987</v>
      </c>
      <c r="AZ2660" t="s">
        <v>1016</v>
      </c>
      <c r="BA2660" t="s">
        <v>1017</v>
      </c>
      <c r="BB2660" t="s">
        <v>1018</v>
      </c>
      <c r="BD2660" t="s">
        <v>991</v>
      </c>
      <c r="BE2660" t="s">
        <v>713</v>
      </c>
    </row>
    <row r="2661" spans="1:57" ht="13" x14ac:dyDescent="0.15">
      <c r="A2661">
        <v>1839</v>
      </c>
      <c r="B2661">
        <v>287402258</v>
      </c>
      <c r="C2661" t="s">
        <v>713</v>
      </c>
      <c r="D2661" s="7">
        <v>45672</v>
      </c>
      <c r="E2661" s="7">
        <v>45677</v>
      </c>
      <c r="F2661">
        <v>330862</v>
      </c>
      <c r="G2661" t="s">
        <v>983</v>
      </c>
      <c r="H2661" t="s">
        <v>9</v>
      </c>
      <c r="I2661" s="7">
        <v>45673</v>
      </c>
      <c r="J2661" s="8">
        <v>0.10567129629629629</v>
      </c>
      <c r="K2661" t="s">
        <v>984</v>
      </c>
      <c r="AQ2661" t="s">
        <v>998</v>
      </c>
      <c r="AR2661" t="s">
        <v>1274</v>
      </c>
      <c r="AT2661" t="s">
        <v>987</v>
      </c>
      <c r="AZ2661" t="s">
        <v>1016</v>
      </c>
      <c r="BA2661" t="s">
        <v>1017</v>
      </c>
      <c r="BB2661" t="s">
        <v>1018</v>
      </c>
      <c r="BD2661" t="s">
        <v>991</v>
      </c>
      <c r="BE2661" t="s">
        <v>713</v>
      </c>
    </row>
    <row r="2662" spans="1:57" ht="13" x14ac:dyDescent="0.15">
      <c r="A2662">
        <v>1839</v>
      </c>
      <c r="B2662">
        <v>287402416</v>
      </c>
      <c r="C2662" t="s">
        <v>714</v>
      </c>
      <c r="D2662" s="7">
        <v>45672</v>
      </c>
      <c r="E2662" s="7">
        <v>45674</v>
      </c>
      <c r="F2662">
        <v>330862</v>
      </c>
      <c r="G2662" t="s">
        <v>983</v>
      </c>
      <c r="H2662" t="s">
        <v>9</v>
      </c>
      <c r="I2662" s="7">
        <v>45672</v>
      </c>
      <c r="J2662" s="8">
        <v>0.88293981481481476</v>
      </c>
      <c r="K2662" t="s">
        <v>984</v>
      </c>
      <c r="AQ2662" t="s">
        <v>1089</v>
      </c>
      <c r="AR2662" t="s">
        <v>1603</v>
      </c>
      <c r="AT2662" t="s">
        <v>987</v>
      </c>
      <c r="AZ2662" t="s">
        <v>1016</v>
      </c>
      <c r="BA2662" t="s">
        <v>1017</v>
      </c>
      <c r="BB2662" t="s">
        <v>1018</v>
      </c>
      <c r="BD2662" t="s">
        <v>991</v>
      </c>
      <c r="BE2662" t="s">
        <v>714</v>
      </c>
    </row>
    <row r="2663" spans="1:57" ht="13" x14ac:dyDescent="0.15">
      <c r="A2663">
        <v>1839</v>
      </c>
      <c r="B2663">
        <v>287402863</v>
      </c>
      <c r="C2663" t="s">
        <v>715</v>
      </c>
      <c r="D2663" s="7">
        <v>45672</v>
      </c>
      <c r="E2663" s="7">
        <v>45674</v>
      </c>
      <c r="F2663">
        <v>330862</v>
      </c>
      <c r="G2663" t="s">
        <v>983</v>
      </c>
      <c r="H2663" t="s">
        <v>9</v>
      </c>
      <c r="I2663" s="7">
        <v>45672</v>
      </c>
      <c r="J2663" s="8">
        <v>0.91078703703703701</v>
      </c>
      <c r="K2663" t="s">
        <v>984</v>
      </c>
      <c r="AQ2663" t="s">
        <v>998</v>
      </c>
      <c r="AR2663" t="s">
        <v>1603</v>
      </c>
      <c r="AT2663" t="s">
        <v>987</v>
      </c>
      <c r="AZ2663" t="s">
        <v>1016</v>
      </c>
      <c r="BA2663" t="s">
        <v>1017</v>
      </c>
      <c r="BB2663" t="s">
        <v>1018</v>
      </c>
      <c r="BD2663" t="s">
        <v>991</v>
      </c>
      <c r="BE2663" t="s">
        <v>715</v>
      </c>
    </row>
    <row r="2664" spans="1:57" ht="13" x14ac:dyDescent="0.15">
      <c r="A2664">
        <v>1839</v>
      </c>
      <c r="B2664">
        <v>287402995</v>
      </c>
      <c r="C2664" t="s">
        <v>716</v>
      </c>
      <c r="D2664" s="7">
        <v>45672</v>
      </c>
      <c r="E2664" s="7">
        <v>45674</v>
      </c>
      <c r="F2664">
        <v>330862</v>
      </c>
      <c r="G2664" t="s">
        <v>983</v>
      </c>
      <c r="H2664" t="s">
        <v>9</v>
      </c>
      <c r="I2664" s="7">
        <v>45672</v>
      </c>
      <c r="J2664" s="8">
        <v>0.9194444444444444</v>
      </c>
      <c r="K2664" t="s">
        <v>984</v>
      </c>
      <c r="AQ2664" t="s">
        <v>1251</v>
      </c>
      <c r="AR2664" t="s">
        <v>2193</v>
      </c>
      <c r="AT2664" t="s">
        <v>987</v>
      </c>
      <c r="AZ2664" t="s">
        <v>1016</v>
      </c>
      <c r="BA2664" t="s">
        <v>1017</v>
      </c>
      <c r="BB2664" t="s">
        <v>1018</v>
      </c>
      <c r="BD2664" t="s">
        <v>991</v>
      </c>
      <c r="BE2664" t="s">
        <v>716</v>
      </c>
    </row>
    <row r="2665" spans="1:57" ht="13" x14ac:dyDescent="0.15">
      <c r="A2665">
        <v>1839</v>
      </c>
      <c r="B2665">
        <v>287404083</v>
      </c>
      <c r="C2665" t="s">
        <v>717</v>
      </c>
      <c r="D2665" s="7">
        <v>45673</v>
      </c>
      <c r="E2665" s="7">
        <v>45693</v>
      </c>
      <c r="F2665">
        <v>330862</v>
      </c>
      <c r="G2665" t="s">
        <v>983</v>
      </c>
      <c r="H2665" t="s">
        <v>9</v>
      </c>
      <c r="I2665" s="7">
        <v>45673</v>
      </c>
      <c r="J2665" s="8">
        <v>5.9027777777777776E-3</v>
      </c>
      <c r="K2665" t="s">
        <v>984</v>
      </c>
      <c r="AQ2665" t="s">
        <v>2054</v>
      </c>
      <c r="AR2665" t="s">
        <v>1274</v>
      </c>
      <c r="AT2665" t="s">
        <v>987</v>
      </c>
      <c r="AZ2665" t="s">
        <v>1016</v>
      </c>
      <c r="BA2665" t="s">
        <v>1017</v>
      </c>
      <c r="BB2665" t="s">
        <v>1018</v>
      </c>
      <c r="BD2665" t="s">
        <v>991</v>
      </c>
      <c r="BE2665" t="s">
        <v>717</v>
      </c>
    </row>
    <row r="2666" spans="1:57" ht="13" x14ac:dyDescent="0.15">
      <c r="A2666">
        <v>1839</v>
      </c>
      <c r="B2666">
        <v>287404235</v>
      </c>
      <c r="C2666" t="s">
        <v>718</v>
      </c>
      <c r="D2666" s="7">
        <v>45673</v>
      </c>
      <c r="E2666" s="7">
        <v>45675</v>
      </c>
      <c r="F2666">
        <v>330862</v>
      </c>
      <c r="G2666" t="s">
        <v>983</v>
      </c>
      <c r="H2666" t="s">
        <v>9</v>
      </c>
      <c r="I2666" s="7">
        <v>45673</v>
      </c>
      <c r="J2666" s="8">
        <v>2.3206018518518518E-2</v>
      </c>
      <c r="K2666" t="s">
        <v>984</v>
      </c>
      <c r="AQ2666" t="s">
        <v>998</v>
      </c>
      <c r="AR2666" t="s">
        <v>1603</v>
      </c>
      <c r="AT2666" t="s">
        <v>987</v>
      </c>
      <c r="AZ2666" t="s">
        <v>1016</v>
      </c>
      <c r="BA2666" t="s">
        <v>1017</v>
      </c>
      <c r="BB2666" t="s">
        <v>1018</v>
      </c>
      <c r="BD2666" t="s">
        <v>991</v>
      </c>
      <c r="BE2666" t="s">
        <v>718</v>
      </c>
    </row>
    <row r="2667" spans="1:57" ht="13" x14ac:dyDescent="0.15">
      <c r="A2667">
        <v>1839</v>
      </c>
      <c r="B2667">
        <v>287404293</v>
      </c>
      <c r="C2667" t="s">
        <v>719</v>
      </c>
      <c r="D2667" s="7">
        <v>45673</v>
      </c>
      <c r="E2667" s="7">
        <v>45675</v>
      </c>
      <c r="F2667">
        <v>330862</v>
      </c>
      <c r="G2667" t="s">
        <v>983</v>
      </c>
      <c r="H2667" t="s">
        <v>9</v>
      </c>
      <c r="I2667" s="7">
        <v>45673</v>
      </c>
      <c r="J2667" s="8">
        <v>2.8726851851851851E-2</v>
      </c>
      <c r="K2667" t="s">
        <v>984</v>
      </c>
      <c r="AQ2667" t="s">
        <v>1090</v>
      </c>
      <c r="AR2667" t="s">
        <v>2194</v>
      </c>
      <c r="AT2667" t="s">
        <v>987</v>
      </c>
      <c r="AZ2667" t="s">
        <v>1016</v>
      </c>
      <c r="BA2667" t="s">
        <v>1017</v>
      </c>
      <c r="BB2667" t="s">
        <v>1018</v>
      </c>
      <c r="BD2667" t="s">
        <v>991</v>
      </c>
      <c r="BE2667" t="s">
        <v>719</v>
      </c>
    </row>
    <row r="2668" spans="1:57" ht="13" x14ac:dyDescent="0.15">
      <c r="A2668">
        <v>1839</v>
      </c>
      <c r="B2668">
        <v>287404507</v>
      </c>
      <c r="C2668" t="s">
        <v>720</v>
      </c>
      <c r="D2668" s="7">
        <v>45673</v>
      </c>
      <c r="E2668" s="7">
        <v>45692</v>
      </c>
      <c r="F2668">
        <v>330862</v>
      </c>
      <c r="G2668" t="s">
        <v>983</v>
      </c>
      <c r="H2668" t="s">
        <v>9</v>
      </c>
      <c r="I2668" s="7">
        <v>45673</v>
      </c>
      <c r="J2668" s="8">
        <v>5.1574074074074071E-2</v>
      </c>
      <c r="K2668" t="s">
        <v>984</v>
      </c>
      <c r="AQ2668" t="s">
        <v>998</v>
      </c>
      <c r="AR2668" t="s">
        <v>1531</v>
      </c>
      <c r="AT2668" t="s">
        <v>987</v>
      </c>
      <c r="AZ2668" t="s">
        <v>1016</v>
      </c>
      <c r="BA2668" t="s">
        <v>1017</v>
      </c>
      <c r="BB2668" t="s">
        <v>1018</v>
      </c>
      <c r="BD2668" t="s">
        <v>991</v>
      </c>
      <c r="BE2668" t="s">
        <v>720</v>
      </c>
    </row>
    <row r="2669" spans="1:57" ht="13" x14ac:dyDescent="0.15">
      <c r="A2669">
        <v>1839</v>
      </c>
      <c r="B2669">
        <v>287404846</v>
      </c>
      <c r="C2669" t="s">
        <v>721</v>
      </c>
      <c r="D2669" s="7">
        <v>45673</v>
      </c>
      <c r="E2669" s="7">
        <v>45692</v>
      </c>
      <c r="F2669">
        <v>330862</v>
      </c>
      <c r="G2669" t="s">
        <v>983</v>
      </c>
      <c r="H2669" t="s">
        <v>9</v>
      </c>
      <c r="I2669" s="7">
        <v>45673</v>
      </c>
      <c r="J2669" s="8">
        <v>8.6400462962962957E-2</v>
      </c>
      <c r="K2669" t="s">
        <v>984</v>
      </c>
      <c r="AQ2669" t="s">
        <v>998</v>
      </c>
      <c r="AR2669" t="s">
        <v>1529</v>
      </c>
      <c r="AT2669" t="s">
        <v>987</v>
      </c>
      <c r="AZ2669" t="s">
        <v>1016</v>
      </c>
      <c r="BA2669" t="s">
        <v>1017</v>
      </c>
      <c r="BB2669" t="s">
        <v>1018</v>
      </c>
      <c r="BD2669" t="s">
        <v>991</v>
      </c>
      <c r="BE2669" t="s">
        <v>721</v>
      </c>
    </row>
    <row r="2670" spans="1:57" ht="13" x14ac:dyDescent="0.15">
      <c r="A2670">
        <v>1839</v>
      </c>
      <c r="B2670">
        <v>287405915</v>
      </c>
      <c r="C2670" t="s">
        <v>722</v>
      </c>
      <c r="D2670" s="7">
        <v>45673</v>
      </c>
      <c r="E2670" s="7">
        <v>45675</v>
      </c>
      <c r="F2670">
        <v>330862</v>
      </c>
      <c r="G2670" t="s">
        <v>983</v>
      </c>
      <c r="H2670" t="s">
        <v>9</v>
      </c>
      <c r="I2670" s="7">
        <v>45673</v>
      </c>
      <c r="J2670" s="8">
        <v>0.17247685185185185</v>
      </c>
      <c r="K2670" t="s">
        <v>984</v>
      </c>
      <c r="AQ2670" t="s">
        <v>1092</v>
      </c>
      <c r="AR2670" t="s">
        <v>2195</v>
      </c>
      <c r="AT2670" t="s">
        <v>987</v>
      </c>
      <c r="AZ2670" t="s">
        <v>1016</v>
      </c>
      <c r="BA2670" t="s">
        <v>1017</v>
      </c>
      <c r="BB2670" t="s">
        <v>1018</v>
      </c>
      <c r="BD2670" t="s">
        <v>991</v>
      </c>
      <c r="BE2670" t="s">
        <v>722</v>
      </c>
    </row>
    <row r="2671" spans="1:57" ht="13" x14ac:dyDescent="0.15">
      <c r="A2671">
        <v>1839</v>
      </c>
      <c r="B2671">
        <v>287405947</v>
      </c>
      <c r="C2671" t="s">
        <v>723</v>
      </c>
      <c r="D2671" s="7">
        <v>45673</v>
      </c>
      <c r="E2671" s="7">
        <v>45675</v>
      </c>
      <c r="F2671">
        <v>330862</v>
      </c>
      <c r="G2671" t="s">
        <v>983</v>
      </c>
      <c r="H2671" t="s">
        <v>9</v>
      </c>
      <c r="I2671" s="7">
        <v>45673</v>
      </c>
      <c r="J2671" s="8">
        <v>0.17501157407407408</v>
      </c>
      <c r="K2671" t="s">
        <v>984</v>
      </c>
      <c r="AQ2671" t="s">
        <v>998</v>
      </c>
      <c r="AR2671" t="s">
        <v>1663</v>
      </c>
      <c r="AT2671" t="s">
        <v>987</v>
      </c>
      <c r="AZ2671" t="s">
        <v>1016</v>
      </c>
      <c r="BA2671" t="s">
        <v>1017</v>
      </c>
      <c r="BB2671" t="s">
        <v>1018</v>
      </c>
      <c r="BD2671" t="s">
        <v>991</v>
      </c>
      <c r="BE2671" t="s">
        <v>723</v>
      </c>
    </row>
    <row r="2672" spans="1:57" ht="13" x14ac:dyDescent="0.15">
      <c r="A2672">
        <v>1839</v>
      </c>
      <c r="B2672">
        <v>287406924</v>
      </c>
      <c r="C2672" t="s">
        <v>724</v>
      </c>
      <c r="D2672" s="7">
        <v>45673</v>
      </c>
      <c r="E2672" s="7">
        <v>45675</v>
      </c>
      <c r="F2672">
        <v>330862</v>
      </c>
      <c r="G2672" t="s">
        <v>983</v>
      </c>
      <c r="H2672" t="s">
        <v>9</v>
      </c>
      <c r="I2672" s="7">
        <v>45673</v>
      </c>
      <c r="J2672" s="8">
        <v>0.22284722222222222</v>
      </c>
      <c r="K2672" t="s">
        <v>984</v>
      </c>
      <c r="AQ2672" t="s">
        <v>985</v>
      </c>
      <c r="AR2672" t="s">
        <v>2196</v>
      </c>
      <c r="AT2672" t="s">
        <v>987</v>
      </c>
      <c r="AZ2672" t="s">
        <v>1016</v>
      </c>
      <c r="BA2672" t="s">
        <v>1017</v>
      </c>
      <c r="BB2672" t="s">
        <v>1018</v>
      </c>
      <c r="BD2672" t="s">
        <v>991</v>
      </c>
      <c r="BE2672" t="s">
        <v>724</v>
      </c>
    </row>
    <row r="2673" spans="1:57" ht="13" x14ac:dyDescent="0.15">
      <c r="A2673">
        <v>1839</v>
      </c>
      <c r="B2673">
        <v>287407486</v>
      </c>
      <c r="C2673" t="s">
        <v>725</v>
      </c>
      <c r="D2673" s="7">
        <v>45673</v>
      </c>
      <c r="E2673" s="7">
        <v>45675</v>
      </c>
      <c r="F2673">
        <v>330862</v>
      </c>
      <c r="G2673" t="s">
        <v>983</v>
      </c>
      <c r="H2673" t="s">
        <v>9</v>
      </c>
      <c r="I2673" s="7">
        <v>45673</v>
      </c>
      <c r="J2673" s="8">
        <v>0.24648148148148147</v>
      </c>
      <c r="K2673" t="s">
        <v>984</v>
      </c>
      <c r="AQ2673" t="s">
        <v>1142</v>
      </c>
      <c r="AR2673" t="s">
        <v>1663</v>
      </c>
      <c r="AT2673" t="s">
        <v>987</v>
      </c>
      <c r="AZ2673" t="s">
        <v>1016</v>
      </c>
      <c r="BA2673" t="s">
        <v>1017</v>
      </c>
      <c r="BB2673" t="s">
        <v>1018</v>
      </c>
      <c r="BD2673" t="s">
        <v>991</v>
      </c>
      <c r="BE2673" t="s">
        <v>725</v>
      </c>
    </row>
    <row r="2674" spans="1:57" ht="13" x14ac:dyDescent="0.15">
      <c r="A2674">
        <v>1839</v>
      </c>
      <c r="B2674">
        <v>287408072</v>
      </c>
      <c r="C2674" t="s">
        <v>726</v>
      </c>
      <c r="D2674" s="7">
        <v>45673</v>
      </c>
      <c r="E2674" s="7">
        <v>45708</v>
      </c>
      <c r="F2674">
        <v>330862</v>
      </c>
      <c r="G2674" t="s">
        <v>983</v>
      </c>
      <c r="H2674" t="s">
        <v>9</v>
      </c>
      <c r="I2674" s="7">
        <v>45693</v>
      </c>
      <c r="J2674" s="8">
        <v>6.8171296296296299E-2</v>
      </c>
      <c r="K2674" t="s">
        <v>984</v>
      </c>
      <c r="AQ2674" t="s">
        <v>1090</v>
      </c>
      <c r="AR2674" t="s">
        <v>994</v>
      </c>
      <c r="AT2674" t="s">
        <v>987</v>
      </c>
      <c r="AZ2674" t="s">
        <v>1011</v>
      </c>
      <c r="BA2674" t="s">
        <v>1012</v>
      </c>
      <c r="BB2674" t="s">
        <v>1013</v>
      </c>
      <c r="BD2674" t="s">
        <v>1014</v>
      </c>
      <c r="BE2674" t="s">
        <v>726</v>
      </c>
    </row>
    <row r="2675" spans="1:57" ht="13" x14ac:dyDescent="0.15">
      <c r="A2675">
        <v>1839</v>
      </c>
      <c r="B2675">
        <v>287409424</v>
      </c>
      <c r="C2675" t="s">
        <v>727</v>
      </c>
      <c r="D2675" s="7">
        <v>45673</v>
      </c>
      <c r="E2675" s="7">
        <v>45675</v>
      </c>
      <c r="F2675">
        <v>330862</v>
      </c>
      <c r="G2675" t="s">
        <v>983</v>
      </c>
      <c r="H2675" t="s">
        <v>9</v>
      </c>
      <c r="I2675" s="7">
        <v>45673</v>
      </c>
      <c r="J2675" s="8">
        <v>0.34053240740740742</v>
      </c>
      <c r="K2675" t="s">
        <v>984</v>
      </c>
      <c r="AQ2675" t="s">
        <v>998</v>
      </c>
      <c r="AR2675" t="s">
        <v>1663</v>
      </c>
      <c r="AT2675" t="s">
        <v>987</v>
      </c>
      <c r="AZ2675" t="s">
        <v>1016</v>
      </c>
      <c r="BA2675" t="s">
        <v>1017</v>
      </c>
      <c r="BB2675" t="s">
        <v>1018</v>
      </c>
      <c r="BD2675" t="s">
        <v>991</v>
      </c>
      <c r="BE2675" t="s">
        <v>727</v>
      </c>
    </row>
    <row r="2676" spans="1:57" ht="13" x14ac:dyDescent="0.15">
      <c r="A2676">
        <v>1839</v>
      </c>
      <c r="B2676">
        <v>287409567</v>
      </c>
      <c r="C2676" t="s">
        <v>728</v>
      </c>
      <c r="D2676" s="7">
        <v>45673</v>
      </c>
      <c r="E2676" s="7">
        <v>45675</v>
      </c>
      <c r="F2676">
        <v>330862</v>
      </c>
      <c r="G2676" t="s">
        <v>983</v>
      </c>
      <c r="H2676" t="s">
        <v>9</v>
      </c>
      <c r="I2676" s="7">
        <v>45673</v>
      </c>
      <c r="J2676" s="8">
        <v>0.34341435185185187</v>
      </c>
      <c r="K2676" t="s">
        <v>984</v>
      </c>
      <c r="AQ2676" t="s">
        <v>998</v>
      </c>
      <c r="AR2676" t="s">
        <v>1663</v>
      </c>
      <c r="AT2676" t="s">
        <v>987</v>
      </c>
      <c r="AZ2676" t="s">
        <v>1016</v>
      </c>
      <c r="BA2676" t="s">
        <v>1017</v>
      </c>
      <c r="BB2676" t="s">
        <v>1018</v>
      </c>
      <c r="BD2676" t="s">
        <v>991</v>
      </c>
      <c r="BE2676" t="s">
        <v>728</v>
      </c>
    </row>
    <row r="2677" spans="1:57" ht="13" x14ac:dyDescent="0.15">
      <c r="A2677">
        <v>1839</v>
      </c>
      <c r="B2677">
        <v>287412372</v>
      </c>
      <c r="C2677" t="s">
        <v>729</v>
      </c>
      <c r="D2677" s="7">
        <v>45673</v>
      </c>
      <c r="E2677" s="7">
        <v>45675</v>
      </c>
      <c r="F2677">
        <v>330862</v>
      </c>
      <c r="G2677" t="s">
        <v>983</v>
      </c>
      <c r="H2677" t="s">
        <v>9</v>
      </c>
      <c r="I2677" s="7">
        <v>45673</v>
      </c>
      <c r="J2677" s="8">
        <v>0.42784722222222221</v>
      </c>
      <c r="K2677" t="s">
        <v>984</v>
      </c>
      <c r="AQ2677" t="s">
        <v>1592</v>
      </c>
      <c r="AR2677" t="s">
        <v>1663</v>
      </c>
      <c r="AT2677" t="s">
        <v>987</v>
      </c>
      <c r="AZ2677" t="s">
        <v>1016</v>
      </c>
      <c r="BA2677" t="s">
        <v>1017</v>
      </c>
      <c r="BB2677" t="s">
        <v>1018</v>
      </c>
      <c r="BD2677" t="s">
        <v>991</v>
      </c>
      <c r="BE2677" t="s">
        <v>729</v>
      </c>
    </row>
    <row r="2678" spans="1:57" ht="13" x14ac:dyDescent="0.15">
      <c r="A2678">
        <v>1839</v>
      </c>
      <c r="B2678">
        <v>287412995</v>
      </c>
      <c r="C2678" t="s">
        <v>730</v>
      </c>
      <c r="D2678" s="7">
        <v>45673</v>
      </c>
      <c r="E2678" s="7">
        <v>45675</v>
      </c>
      <c r="F2678">
        <v>330862</v>
      </c>
      <c r="G2678" t="s">
        <v>983</v>
      </c>
      <c r="H2678" t="s">
        <v>9</v>
      </c>
      <c r="I2678" s="7">
        <v>45673</v>
      </c>
      <c r="J2678" s="8">
        <v>0.45202546296296298</v>
      </c>
      <c r="K2678" t="s">
        <v>984</v>
      </c>
      <c r="AQ2678" t="s">
        <v>1251</v>
      </c>
      <c r="AR2678" t="s">
        <v>2197</v>
      </c>
      <c r="AT2678" t="s">
        <v>987</v>
      </c>
      <c r="AZ2678" t="s">
        <v>1016</v>
      </c>
      <c r="BA2678" t="s">
        <v>1017</v>
      </c>
      <c r="BB2678" t="s">
        <v>1018</v>
      </c>
      <c r="BD2678" t="s">
        <v>991</v>
      </c>
      <c r="BE2678" t="s">
        <v>730</v>
      </c>
    </row>
    <row r="2679" spans="1:57" ht="13" x14ac:dyDescent="0.15">
      <c r="A2679">
        <v>1839</v>
      </c>
      <c r="B2679">
        <v>287413139</v>
      </c>
      <c r="C2679" t="s">
        <v>731</v>
      </c>
      <c r="D2679" s="7">
        <v>45673</v>
      </c>
      <c r="E2679" s="7">
        <v>45675</v>
      </c>
      <c r="F2679">
        <v>330862</v>
      </c>
      <c r="G2679" t="s">
        <v>983</v>
      </c>
      <c r="H2679" t="s">
        <v>9</v>
      </c>
      <c r="I2679" s="7">
        <v>45673</v>
      </c>
      <c r="J2679" s="8">
        <v>0.45795138888888887</v>
      </c>
      <c r="K2679" t="s">
        <v>984</v>
      </c>
      <c r="AQ2679" t="s">
        <v>1089</v>
      </c>
      <c r="AR2679" t="s">
        <v>2198</v>
      </c>
      <c r="AT2679" t="s">
        <v>987</v>
      </c>
      <c r="AZ2679" t="s">
        <v>1016</v>
      </c>
      <c r="BA2679" t="s">
        <v>1017</v>
      </c>
      <c r="BB2679" t="s">
        <v>1018</v>
      </c>
      <c r="BD2679" t="s">
        <v>991</v>
      </c>
      <c r="BE2679" t="s">
        <v>731</v>
      </c>
    </row>
    <row r="2680" spans="1:57" ht="13" x14ac:dyDescent="0.15">
      <c r="A2680">
        <v>1839</v>
      </c>
      <c r="B2680">
        <v>287413457</v>
      </c>
      <c r="C2680" t="s">
        <v>732</v>
      </c>
      <c r="D2680" s="7">
        <v>45673</v>
      </c>
      <c r="E2680" s="7">
        <v>45675</v>
      </c>
      <c r="F2680">
        <v>330862</v>
      </c>
      <c r="G2680" t="s">
        <v>983</v>
      </c>
      <c r="H2680" t="s">
        <v>9</v>
      </c>
      <c r="I2680" s="7">
        <v>45673</v>
      </c>
      <c r="J2680" s="8">
        <v>0.47136574074074072</v>
      </c>
      <c r="K2680" t="s">
        <v>984</v>
      </c>
      <c r="AQ2680" t="s">
        <v>998</v>
      </c>
      <c r="AR2680" t="s">
        <v>1663</v>
      </c>
      <c r="AT2680" t="s">
        <v>987</v>
      </c>
      <c r="AZ2680" t="s">
        <v>1016</v>
      </c>
      <c r="BA2680" t="s">
        <v>1017</v>
      </c>
      <c r="BB2680" t="s">
        <v>1018</v>
      </c>
      <c r="BD2680" t="s">
        <v>991</v>
      </c>
      <c r="BE2680" t="s">
        <v>732</v>
      </c>
    </row>
    <row r="2681" spans="1:57" ht="13" x14ac:dyDescent="0.15">
      <c r="A2681">
        <v>1839</v>
      </c>
      <c r="B2681">
        <v>287413627</v>
      </c>
      <c r="C2681" t="s">
        <v>733</v>
      </c>
      <c r="D2681" s="7">
        <v>45673</v>
      </c>
      <c r="E2681" s="7">
        <v>45692</v>
      </c>
      <c r="F2681">
        <v>330862</v>
      </c>
      <c r="G2681" t="s">
        <v>983</v>
      </c>
      <c r="H2681" t="s">
        <v>9</v>
      </c>
      <c r="I2681" s="7">
        <v>45673</v>
      </c>
      <c r="J2681" s="8">
        <v>0.47834490740740743</v>
      </c>
      <c r="K2681" t="s">
        <v>984</v>
      </c>
      <c r="AQ2681" t="s">
        <v>1251</v>
      </c>
      <c r="AR2681" t="s">
        <v>2199</v>
      </c>
      <c r="AT2681" t="s">
        <v>987</v>
      </c>
      <c r="AZ2681" t="s">
        <v>1016</v>
      </c>
      <c r="BA2681" t="s">
        <v>1017</v>
      </c>
      <c r="BB2681" t="s">
        <v>1018</v>
      </c>
      <c r="BD2681" t="s">
        <v>991</v>
      </c>
      <c r="BE2681" t="s">
        <v>733</v>
      </c>
    </row>
    <row r="2682" spans="1:57" ht="13" x14ac:dyDescent="0.15">
      <c r="A2682">
        <v>1839</v>
      </c>
      <c r="B2682">
        <v>287414102</v>
      </c>
      <c r="C2682" t="s">
        <v>734</v>
      </c>
      <c r="D2682" s="7">
        <v>45673</v>
      </c>
      <c r="E2682" s="7">
        <v>45675</v>
      </c>
      <c r="F2682">
        <v>330862</v>
      </c>
      <c r="G2682" t="s">
        <v>983</v>
      </c>
      <c r="H2682" t="s">
        <v>9</v>
      </c>
      <c r="I2682" s="7">
        <v>45673</v>
      </c>
      <c r="J2682" s="8">
        <v>0.49319444444444444</v>
      </c>
      <c r="K2682" t="s">
        <v>984</v>
      </c>
      <c r="AQ2682" t="s">
        <v>992</v>
      </c>
      <c r="AR2682" t="s">
        <v>2200</v>
      </c>
      <c r="AT2682" t="s">
        <v>987</v>
      </c>
      <c r="AZ2682" t="s">
        <v>1016</v>
      </c>
      <c r="BA2682" t="s">
        <v>1017</v>
      </c>
      <c r="BB2682" t="s">
        <v>1018</v>
      </c>
      <c r="BD2682" t="s">
        <v>991</v>
      </c>
      <c r="BE2682" t="s">
        <v>734</v>
      </c>
    </row>
    <row r="2683" spans="1:57" ht="13" x14ac:dyDescent="0.15">
      <c r="A2683">
        <v>1839</v>
      </c>
      <c r="B2683">
        <v>287414102</v>
      </c>
      <c r="C2683" t="s">
        <v>734</v>
      </c>
      <c r="D2683" s="7">
        <v>45673</v>
      </c>
      <c r="E2683" s="7">
        <v>45675</v>
      </c>
      <c r="F2683">
        <v>330862</v>
      </c>
      <c r="G2683" t="s">
        <v>983</v>
      </c>
      <c r="H2683" t="s">
        <v>9</v>
      </c>
      <c r="I2683" s="7">
        <v>45673</v>
      </c>
      <c r="J2683" s="8">
        <v>0.61219907407407403</v>
      </c>
      <c r="K2683" t="s">
        <v>984</v>
      </c>
      <c r="AQ2683" t="s">
        <v>1090</v>
      </c>
      <c r="AR2683" t="s">
        <v>2201</v>
      </c>
      <c r="AT2683" t="s">
        <v>987</v>
      </c>
      <c r="AZ2683" t="s">
        <v>1016</v>
      </c>
      <c r="BA2683" t="s">
        <v>1017</v>
      </c>
      <c r="BB2683" t="s">
        <v>1018</v>
      </c>
      <c r="BD2683" t="s">
        <v>991</v>
      </c>
      <c r="BE2683" t="s">
        <v>734</v>
      </c>
    </row>
    <row r="2684" spans="1:57" ht="13" x14ac:dyDescent="0.15">
      <c r="A2684">
        <v>1839</v>
      </c>
      <c r="B2684">
        <v>287414262</v>
      </c>
      <c r="C2684" t="s">
        <v>735</v>
      </c>
      <c r="D2684" s="7">
        <v>45673</v>
      </c>
      <c r="E2684" s="7">
        <v>45675</v>
      </c>
      <c r="F2684">
        <v>330862</v>
      </c>
      <c r="G2684" t="s">
        <v>983</v>
      </c>
      <c r="H2684" t="s">
        <v>9</v>
      </c>
      <c r="I2684" s="7">
        <v>45673</v>
      </c>
      <c r="J2684" s="8">
        <v>0.49938657407407405</v>
      </c>
      <c r="K2684" t="s">
        <v>984</v>
      </c>
      <c r="AQ2684" t="s">
        <v>992</v>
      </c>
      <c r="AR2684" t="s">
        <v>2202</v>
      </c>
      <c r="AT2684" t="s">
        <v>987</v>
      </c>
      <c r="AZ2684" t="s">
        <v>1016</v>
      </c>
      <c r="BA2684" t="s">
        <v>1017</v>
      </c>
      <c r="BB2684" t="s">
        <v>1018</v>
      </c>
      <c r="BD2684" t="s">
        <v>991</v>
      </c>
      <c r="BE2684" t="s">
        <v>735</v>
      </c>
    </row>
    <row r="2685" spans="1:57" ht="13" x14ac:dyDescent="0.15">
      <c r="A2685">
        <v>1839</v>
      </c>
      <c r="B2685">
        <v>287418247</v>
      </c>
      <c r="C2685" t="s">
        <v>736</v>
      </c>
      <c r="D2685" s="7">
        <v>45673</v>
      </c>
      <c r="E2685" s="7">
        <v>45693</v>
      </c>
      <c r="F2685">
        <v>330862</v>
      </c>
      <c r="G2685" t="s">
        <v>983</v>
      </c>
      <c r="H2685" t="s">
        <v>9</v>
      </c>
      <c r="I2685" s="7">
        <v>45673</v>
      </c>
      <c r="J2685" s="8">
        <v>0.63019675925925922</v>
      </c>
      <c r="K2685" t="s">
        <v>984</v>
      </c>
      <c r="AQ2685" t="s">
        <v>998</v>
      </c>
      <c r="AR2685" t="s">
        <v>2203</v>
      </c>
      <c r="AT2685" t="s">
        <v>987</v>
      </c>
      <c r="AZ2685" t="s">
        <v>1016</v>
      </c>
      <c r="BA2685" t="s">
        <v>1017</v>
      </c>
      <c r="BB2685" t="s">
        <v>1018</v>
      </c>
      <c r="BD2685" t="s">
        <v>991</v>
      </c>
      <c r="BE2685" t="s">
        <v>736</v>
      </c>
    </row>
    <row r="2686" spans="1:57" ht="13" x14ac:dyDescent="0.15">
      <c r="A2686">
        <v>1839</v>
      </c>
      <c r="B2686">
        <v>287421211</v>
      </c>
      <c r="C2686" t="s">
        <v>737</v>
      </c>
      <c r="D2686" s="7">
        <v>45673</v>
      </c>
      <c r="E2686" s="7">
        <v>45693</v>
      </c>
      <c r="F2686">
        <v>330862</v>
      </c>
      <c r="G2686" t="s">
        <v>983</v>
      </c>
      <c r="H2686" t="s">
        <v>9</v>
      </c>
      <c r="I2686" s="7">
        <v>45673</v>
      </c>
      <c r="J2686" s="8">
        <v>0.72810185185185183</v>
      </c>
      <c r="K2686" t="s">
        <v>984</v>
      </c>
      <c r="AQ2686" t="s">
        <v>1090</v>
      </c>
      <c r="AR2686" t="s">
        <v>1015</v>
      </c>
      <c r="AT2686" t="s">
        <v>987</v>
      </c>
      <c r="AZ2686" t="s">
        <v>1016</v>
      </c>
      <c r="BA2686" t="s">
        <v>1017</v>
      </c>
      <c r="BB2686" t="s">
        <v>1018</v>
      </c>
      <c r="BD2686" t="s">
        <v>991</v>
      </c>
      <c r="BE2686" t="s">
        <v>737</v>
      </c>
    </row>
    <row r="2687" spans="1:57" ht="13" x14ac:dyDescent="0.15">
      <c r="A2687">
        <v>1839</v>
      </c>
      <c r="B2687">
        <v>287424256</v>
      </c>
      <c r="C2687" t="s">
        <v>738</v>
      </c>
      <c r="D2687" s="7">
        <v>45673</v>
      </c>
      <c r="E2687" s="7">
        <v>45692</v>
      </c>
      <c r="F2687">
        <v>330862</v>
      </c>
      <c r="G2687" t="s">
        <v>983</v>
      </c>
      <c r="H2687" t="s">
        <v>9</v>
      </c>
      <c r="I2687" s="7">
        <v>45673</v>
      </c>
      <c r="J2687" s="8">
        <v>0.86936342592592597</v>
      </c>
      <c r="K2687" t="s">
        <v>984</v>
      </c>
      <c r="AQ2687" t="s">
        <v>998</v>
      </c>
      <c r="AR2687" t="s">
        <v>2204</v>
      </c>
      <c r="AT2687" t="s">
        <v>987</v>
      </c>
      <c r="AZ2687" t="s">
        <v>1016</v>
      </c>
      <c r="BA2687" t="s">
        <v>1017</v>
      </c>
      <c r="BB2687" t="s">
        <v>1018</v>
      </c>
      <c r="BD2687" t="s">
        <v>991</v>
      </c>
      <c r="BE2687" t="s">
        <v>738</v>
      </c>
    </row>
    <row r="2688" spans="1:57" ht="13" x14ac:dyDescent="0.15">
      <c r="A2688">
        <v>1839</v>
      </c>
      <c r="B2688">
        <v>287427322</v>
      </c>
      <c r="C2688" t="s">
        <v>739</v>
      </c>
      <c r="D2688" s="7">
        <v>45674</v>
      </c>
      <c r="E2688" s="7">
        <v>45676</v>
      </c>
      <c r="F2688">
        <v>330862</v>
      </c>
      <c r="G2688" t="s">
        <v>983</v>
      </c>
      <c r="H2688" t="s">
        <v>9</v>
      </c>
      <c r="I2688" s="7">
        <v>45674</v>
      </c>
      <c r="J2688" s="8">
        <v>0.14260416666666667</v>
      </c>
      <c r="K2688" t="s">
        <v>984</v>
      </c>
      <c r="AQ2688" t="s">
        <v>998</v>
      </c>
      <c r="AR2688" t="s">
        <v>2205</v>
      </c>
      <c r="AT2688" t="s">
        <v>987</v>
      </c>
      <c r="AZ2688" t="s">
        <v>1016</v>
      </c>
      <c r="BA2688" t="s">
        <v>1017</v>
      </c>
      <c r="BB2688" t="s">
        <v>1018</v>
      </c>
      <c r="BD2688" t="s">
        <v>991</v>
      </c>
      <c r="BE2688" t="s">
        <v>739</v>
      </c>
    </row>
    <row r="2689" spans="1:57" ht="13" x14ac:dyDescent="0.15">
      <c r="A2689">
        <v>1839</v>
      </c>
      <c r="B2689">
        <v>287429944</v>
      </c>
      <c r="C2689" t="s">
        <v>740</v>
      </c>
      <c r="D2689" s="7">
        <v>45674</v>
      </c>
      <c r="E2689" s="7">
        <v>45676</v>
      </c>
      <c r="F2689">
        <v>330862</v>
      </c>
      <c r="G2689" t="s">
        <v>983</v>
      </c>
      <c r="H2689" t="s">
        <v>9</v>
      </c>
      <c r="I2689" s="7">
        <v>45674</v>
      </c>
      <c r="J2689" s="8">
        <v>0.29023148148148148</v>
      </c>
      <c r="K2689" t="s">
        <v>984</v>
      </c>
      <c r="AQ2689" t="s">
        <v>1251</v>
      </c>
      <c r="AR2689" t="s">
        <v>2205</v>
      </c>
      <c r="AT2689" t="s">
        <v>987</v>
      </c>
      <c r="AZ2689" t="s">
        <v>1016</v>
      </c>
      <c r="BA2689" t="s">
        <v>1017</v>
      </c>
      <c r="BB2689" t="s">
        <v>1018</v>
      </c>
      <c r="BD2689" t="s">
        <v>991</v>
      </c>
      <c r="BE2689" t="s">
        <v>740</v>
      </c>
    </row>
    <row r="2690" spans="1:57" ht="13" x14ac:dyDescent="0.15">
      <c r="A2690">
        <v>1839</v>
      </c>
      <c r="B2690">
        <v>287437210</v>
      </c>
      <c r="C2690" t="s">
        <v>741</v>
      </c>
      <c r="D2690" s="7">
        <v>45674</v>
      </c>
      <c r="E2690" s="7">
        <v>45677</v>
      </c>
      <c r="F2690">
        <v>336447</v>
      </c>
      <c r="G2690" t="s">
        <v>1074</v>
      </c>
      <c r="H2690" t="s">
        <v>26</v>
      </c>
      <c r="I2690" s="7">
        <v>45674</v>
      </c>
      <c r="J2690" s="8">
        <v>0.49642361111111111</v>
      </c>
      <c r="K2690" t="s">
        <v>984</v>
      </c>
      <c r="AQ2690" t="s">
        <v>1090</v>
      </c>
      <c r="AR2690" t="s">
        <v>2206</v>
      </c>
      <c r="BE2690" t="s">
        <v>741</v>
      </c>
    </row>
    <row r="2691" spans="1:57" ht="13" x14ac:dyDescent="0.15">
      <c r="A2691">
        <v>1839</v>
      </c>
      <c r="B2691">
        <v>287437210</v>
      </c>
      <c r="C2691" t="s">
        <v>741</v>
      </c>
      <c r="D2691" s="7">
        <v>45674</v>
      </c>
      <c r="E2691" s="7">
        <v>45677</v>
      </c>
      <c r="F2691">
        <v>336453</v>
      </c>
      <c r="G2691" t="s">
        <v>1074</v>
      </c>
      <c r="H2691" t="s">
        <v>27</v>
      </c>
      <c r="I2691" s="7">
        <v>45674</v>
      </c>
      <c r="J2691" s="8">
        <v>0.49659722222222225</v>
      </c>
      <c r="K2691" t="s">
        <v>984</v>
      </c>
      <c r="AQ2691" t="s">
        <v>1090</v>
      </c>
      <c r="AR2691" t="s">
        <v>1076</v>
      </c>
      <c r="BE2691" t="s">
        <v>741</v>
      </c>
    </row>
    <row r="2692" spans="1:57" ht="13" x14ac:dyDescent="0.15">
      <c r="A2692">
        <v>1839</v>
      </c>
      <c r="B2692">
        <v>287437210</v>
      </c>
      <c r="C2692" t="s">
        <v>741</v>
      </c>
      <c r="D2692" s="7">
        <v>45674</v>
      </c>
      <c r="E2692" s="7">
        <v>45677</v>
      </c>
      <c r="F2692">
        <v>336709</v>
      </c>
      <c r="G2692" t="s">
        <v>1074</v>
      </c>
      <c r="H2692" t="s">
        <v>28</v>
      </c>
      <c r="I2692" s="7">
        <v>45674</v>
      </c>
      <c r="J2692" s="8">
        <v>0.49675925925925923</v>
      </c>
      <c r="K2692" t="s">
        <v>984</v>
      </c>
      <c r="AQ2692" t="s">
        <v>1090</v>
      </c>
      <c r="AR2692" t="s">
        <v>1077</v>
      </c>
      <c r="BE2692" t="s">
        <v>741</v>
      </c>
    </row>
    <row r="2693" spans="1:57" ht="13" x14ac:dyDescent="0.15">
      <c r="A2693">
        <v>1839</v>
      </c>
      <c r="B2693">
        <v>287438386</v>
      </c>
      <c r="C2693" t="s">
        <v>742</v>
      </c>
      <c r="D2693" s="7">
        <v>45674</v>
      </c>
      <c r="E2693" s="7">
        <v>45676</v>
      </c>
      <c r="F2693">
        <v>330862</v>
      </c>
      <c r="G2693" t="s">
        <v>983</v>
      </c>
      <c r="H2693" t="s">
        <v>9</v>
      </c>
      <c r="I2693" s="7">
        <v>45674</v>
      </c>
      <c r="J2693" s="8">
        <v>0.54230324074074077</v>
      </c>
      <c r="K2693" t="s">
        <v>984</v>
      </c>
      <c r="AQ2693" t="s">
        <v>1092</v>
      </c>
      <c r="AR2693" t="s">
        <v>1598</v>
      </c>
      <c r="AT2693" t="s">
        <v>987</v>
      </c>
      <c r="AZ2693" t="s">
        <v>1016</v>
      </c>
      <c r="BA2693" t="s">
        <v>1017</v>
      </c>
      <c r="BB2693" t="s">
        <v>1018</v>
      </c>
      <c r="BD2693" t="s">
        <v>991</v>
      </c>
      <c r="BE2693" t="s">
        <v>742</v>
      </c>
    </row>
    <row r="2694" spans="1:57" ht="13" x14ac:dyDescent="0.15">
      <c r="A2694">
        <v>1839</v>
      </c>
      <c r="B2694">
        <v>287447139</v>
      </c>
      <c r="C2694" t="s">
        <v>743</v>
      </c>
      <c r="D2694" s="7">
        <v>45675</v>
      </c>
      <c r="E2694" s="7">
        <v>45677</v>
      </c>
      <c r="F2694">
        <v>330862</v>
      </c>
      <c r="G2694" t="s">
        <v>983</v>
      </c>
      <c r="H2694" t="s">
        <v>9</v>
      </c>
      <c r="I2694" s="7">
        <v>45675</v>
      </c>
      <c r="J2694" s="8">
        <v>0.13400462962962964</v>
      </c>
      <c r="K2694" t="s">
        <v>984</v>
      </c>
      <c r="AQ2694" t="s">
        <v>1092</v>
      </c>
      <c r="AR2694" t="s">
        <v>1051</v>
      </c>
      <c r="AT2694" t="s">
        <v>987</v>
      </c>
      <c r="AZ2694" t="s">
        <v>1002</v>
      </c>
      <c r="BA2694" t="s">
        <v>1003</v>
      </c>
      <c r="BB2694" t="s">
        <v>1004</v>
      </c>
      <c r="BD2694" t="s">
        <v>1005</v>
      </c>
      <c r="BE2694" t="s">
        <v>743</v>
      </c>
    </row>
    <row r="2695" spans="1:57" ht="13" x14ac:dyDescent="0.15">
      <c r="A2695">
        <v>1839</v>
      </c>
      <c r="B2695">
        <v>287447139</v>
      </c>
      <c r="C2695" t="s">
        <v>743</v>
      </c>
      <c r="D2695" s="7">
        <v>45675</v>
      </c>
      <c r="E2695" s="7">
        <v>45677</v>
      </c>
      <c r="F2695">
        <v>330862</v>
      </c>
      <c r="G2695" t="s">
        <v>983</v>
      </c>
      <c r="H2695" t="s">
        <v>9</v>
      </c>
      <c r="I2695" s="7">
        <v>45675</v>
      </c>
      <c r="J2695" s="8">
        <v>0.13212962962962962</v>
      </c>
      <c r="K2695" t="s">
        <v>984</v>
      </c>
      <c r="AQ2695" t="s">
        <v>1092</v>
      </c>
      <c r="AR2695" t="s">
        <v>1505</v>
      </c>
      <c r="AT2695" t="s">
        <v>987</v>
      </c>
      <c r="AZ2695" t="s">
        <v>1044</v>
      </c>
      <c r="BA2695" t="s">
        <v>1045</v>
      </c>
      <c r="BB2695" t="s">
        <v>990</v>
      </c>
      <c r="BD2695" t="s">
        <v>991</v>
      </c>
      <c r="BE2695" t="s">
        <v>743</v>
      </c>
    </row>
    <row r="2696" spans="1:57" ht="13" x14ac:dyDescent="0.15">
      <c r="A2696">
        <v>1839</v>
      </c>
      <c r="B2696">
        <v>287452560</v>
      </c>
      <c r="C2696" t="s">
        <v>744</v>
      </c>
      <c r="D2696" s="7">
        <v>45675</v>
      </c>
      <c r="E2696" s="7">
        <v>45703</v>
      </c>
      <c r="F2696">
        <v>330862</v>
      </c>
      <c r="G2696" t="s">
        <v>983</v>
      </c>
      <c r="H2696" t="s">
        <v>9</v>
      </c>
      <c r="I2696" s="7">
        <v>45675</v>
      </c>
      <c r="J2696" s="8">
        <v>0.3699884259259259</v>
      </c>
      <c r="K2696" t="s">
        <v>984</v>
      </c>
      <c r="AQ2696" t="s">
        <v>992</v>
      </c>
      <c r="AR2696" t="s">
        <v>1143</v>
      </c>
      <c r="AT2696" t="s">
        <v>987</v>
      </c>
      <c r="AZ2696" t="s">
        <v>1020</v>
      </c>
      <c r="BA2696" t="s">
        <v>1021</v>
      </c>
      <c r="BB2696" t="s">
        <v>1018</v>
      </c>
      <c r="BD2696" t="s">
        <v>1022</v>
      </c>
      <c r="BE2696" t="s">
        <v>744</v>
      </c>
    </row>
    <row r="2697" spans="1:57" ht="13" x14ac:dyDescent="0.15">
      <c r="A2697">
        <v>1839</v>
      </c>
      <c r="B2697">
        <v>287452560</v>
      </c>
      <c r="C2697" t="s">
        <v>744</v>
      </c>
      <c r="D2697" s="7">
        <v>45675</v>
      </c>
      <c r="E2697" s="7">
        <v>45703</v>
      </c>
      <c r="F2697">
        <v>330862</v>
      </c>
      <c r="G2697" t="s">
        <v>983</v>
      </c>
      <c r="H2697" t="s">
        <v>9</v>
      </c>
      <c r="I2697" s="7">
        <v>45675</v>
      </c>
      <c r="J2697" s="8">
        <v>0.37244212962962964</v>
      </c>
      <c r="K2697" t="s">
        <v>984</v>
      </c>
      <c r="AQ2697" t="s">
        <v>992</v>
      </c>
      <c r="AR2697" t="s">
        <v>1143</v>
      </c>
      <c r="AT2697" t="s">
        <v>987</v>
      </c>
      <c r="AZ2697" t="s">
        <v>1024</v>
      </c>
      <c r="BA2697" t="s">
        <v>1047</v>
      </c>
      <c r="BB2697" t="s">
        <v>1048</v>
      </c>
      <c r="BD2697" t="s">
        <v>1014</v>
      </c>
      <c r="BE2697" t="s">
        <v>744</v>
      </c>
    </row>
    <row r="2698" spans="1:57" ht="13" x14ac:dyDescent="0.15">
      <c r="A2698">
        <v>1839</v>
      </c>
      <c r="B2698">
        <v>287452560</v>
      </c>
      <c r="C2698" t="s">
        <v>744</v>
      </c>
      <c r="D2698" s="7">
        <v>45675</v>
      </c>
      <c r="E2698" s="7">
        <v>45703</v>
      </c>
      <c r="F2698">
        <v>330862</v>
      </c>
      <c r="G2698" t="s">
        <v>983</v>
      </c>
      <c r="H2698" t="s">
        <v>9</v>
      </c>
      <c r="I2698" s="7">
        <v>45675</v>
      </c>
      <c r="J2698" s="8">
        <v>0.37450231481481483</v>
      </c>
      <c r="K2698" t="s">
        <v>984</v>
      </c>
      <c r="AQ2698" t="s">
        <v>992</v>
      </c>
      <c r="AR2698" t="s">
        <v>1143</v>
      </c>
      <c r="AT2698" t="s">
        <v>987</v>
      </c>
      <c r="AZ2698" t="s">
        <v>1024</v>
      </c>
      <c r="BA2698" t="s">
        <v>1025</v>
      </c>
      <c r="BB2698" t="s">
        <v>1026</v>
      </c>
      <c r="BD2698" t="s">
        <v>1022</v>
      </c>
      <c r="BE2698" t="s">
        <v>744</v>
      </c>
    </row>
    <row r="2699" spans="1:57" ht="13" x14ac:dyDescent="0.15">
      <c r="A2699">
        <v>1839</v>
      </c>
      <c r="B2699">
        <v>287452560</v>
      </c>
      <c r="C2699" t="s">
        <v>744</v>
      </c>
      <c r="D2699" s="7">
        <v>45675</v>
      </c>
      <c r="E2699" s="7">
        <v>45703</v>
      </c>
      <c r="F2699">
        <v>330862</v>
      </c>
      <c r="G2699" t="s">
        <v>983</v>
      </c>
      <c r="H2699" t="s">
        <v>9</v>
      </c>
      <c r="I2699" s="7">
        <v>45675</v>
      </c>
      <c r="J2699" s="8">
        <v>0.37646990740740743</v>
      </c>
      <c r="K2699" t="s">
        <v>984</v>
      </c>
      <c r="AQ2699" t="s">
        <v>992</v>
      </c>
      <c r="AR2699" t="s">
        <v>1143</v>
      </c>
      <c r="AT2699" t="s">
        <v>987</v>
      </c>
      <c r="AZ2699" t="s">
        <v>1020</v>
      </c>
      <c r="BA2699" t="s">
        <v>1021</v>
      </c>
      <c r="BB2699" t="s">
        <v>1018</v>
      </c>
      <c r="BD2699" t="s">
        <v>1022</v>
      </c>
      <c r="BE2699" t="s">
        <v>744</v>
      </c>
    </row>
    <row r="2700" spans="1:57" ht="13" x14ac:dyDescent="0.15">
      <c r="A2700">
        <v>1839</v>
      </c>
      <c r="B2700">
        <v>287452560</v>
      </c>
      <c r="C2700" t="s">
        <v>744</v>
      </c>
      <c r="D2700" s="7">
        <v>45675</v>
      </c>
      <c r="E2700" s="7">
        <v>45703</v>
      </c>
      <c r="F2700">
        <v>330862</v>
      </c>
      <c r="G2700" t="s">
        <v>983</v>
      </c>
      <c r="H2700" t="s">
        <v>9</v>
      </c>
      <c r="I2700" s="7">
        <v>45675</v>
      </c>
      <c r="J2700" s="8">
        <v>0.39452546296296298</v>
      </c>
      <c r="K2700" t="s">
        <v>984</v>
      </c>
      <c r="AQ2700" t="s">
        <v>992</v>
      </c>
      <c r="AR2700" t="s">
        <v>1143</v>
      </c>
      <c r="AT2700" t="s">
        <v>987</v>
      </c>
      <c r="AZ2700" t="s">
        <v>1044</v>
      </c>
      <c r="BA2700" t="s">
        <v>1045</v>
      </c>
      <c r="BB2700" t="s">
        <v>990</v>
      </c>
      <c r="BD2700" t="s">
        <v>991</v>
      </c>
      <c r="BE2700" t="s">
        <v>744</v>
      </c>
    </row>
    <row r="2701" spans="1:57" ht="13" x14ac:dyDescent="0.15">
      <c r="A2701">
        <v>1839</v>
      </c>
      <c r="B2701">
        <v>287452560</v>
      </c>
      <c r="C2701" t="s">
        <v>744</v>
      </c>
      <c r="D2701" s="7">
        <v>45675</v>
      </c>
      <c r="E2701" s="7">
        <v>45703</v>
      </c>
      <c r="F2701">
        <v>330862</v>
      </c>
      <c r="G2701" t="s">
        <v>983</v>
      </c>
      <c r="H2701" t="s">
        <v>9</v>
      </c>
      <c r="I2701" s="7">
        <v>45675</v>
      </c>
      <c r="J2701" s="8">
        <v>0.39623842592592595</v>
      </c>
      <c r="K2701" t="s">
        <v>984</v>
      </c>
      <c r="AQ2701" t="s">
        <v>992</v>
      </c>
      <c r="AR2701" t="s">
        <v>1143</v>
      </c>
      <c r="AT2701" t="s">
        <v>987</v>
      </c>
      <c r="AZ2701" t="s">
        <v>1002</v>
      </c>
      <c r="BA2701" t="s">
        <v>1003</v>
      </c>
      <c r="BB2701" t="s">
        <v>1004</v>
      </c>
      <c r="BD2701" t="s">
        <v>1005</v>
      </c>
      <c r="BE2701" t="s">
        <v>744</v>
      </c>
    </row>
    <row r="2702" spans="1:57" ht="13" x14ac:dyDescent="0.15">
      <c r="A2702">
        <v>1839</v>
      </c>
      <c r="B2702">
        <v>287452560</v>
      </c>
      <c r="C2702" t="s">
        <v>744</v>
      </c>
      <c r="D2702" s="7">
        <v>45675</v>
      </c>
      <c r="E2702" s="7">
        <v>45703</v>
      </c>
      <c r="F2702">
        <v>330862</v>
      </c>
      <c r="G2702" t="s">
        <v>983</v>
      </c>
      <c r="H2702" t="s">
        <v>9</v>
      </c>
      <c r="I2702" s="7">
        <v>45694</v>
      </c>
      <c r="J2702" s="8">
        <v>0.34996527777777775</v>
      </c>
      <c r="K2702" t="s">
        <v>984</v>
      </c>
      <c r="AQ2702" t="s">
        <v>992</v>
      </c>
      <c r="AR2702" t="s">
        <v>1143</v>
      </c>
      <c r="AT2702" t="s">
        <v>987</v>
      </c>
      <c r="AZ2702" t="s">
        <v>1011</v>
      </c>
      <c r="BA2702" t="s">
        <v>1012</v>
      </c>
      <c r="BB2702" t="s">
        <v>1013</v>
      </c>
      <c r="BD2702" t="s">
        <v>1014</v>
      </c>
      <c r="BE2702" t="s">
        <v>744</v>
      </c>
    </row>
    <row r="2703" spans="1:57" ht="13" x14ac:dyDescent="0.15">
      <c r="A2703">
        <v>1839</v>
      </c>
      <c r="B2703">
        <v>287452560</v>
      </c>
      <c r="C2703" t="s">
        <v>744</v>
      </c>
      <c r="D2703" s="7">
        <v>45675</v>
      </c>
      <c r="E2703" s="7">
        <v>45703</v>
      </c>
      <c r="F2703">
        <v>330862</v>
      </c>
      <c r="G2703" t="s">
        <v>983</v>
      </c>
      <c r="H2703" t="s">
        <v>9</v>
      </c>
      <c r="I2703" s="7">
        <v>45675</v>
      </c>
      <c r="J2703" s="8">
        <v>0.40026620370370369</v>
      </c>
      <c r="K2703" t="s">
        <v>984</v>
      </c>
      <c r="AQ2703" t="s">
        <v>992</v>
      </c>
      <c r="AR2703" t="s">
        <v>1143</v>
      </c>
      <c r="AT2703" t="s">
        <v>987</v>
      </c>
      <c r="AZ2703" t="s">
        <v>1007</v>
      </c>
      <c r="BA2703" t="s">
        <v>1008</v>
      </c>
      <c r="BB2703" t="s">
        <v>990</v>
      </c>
      <c r="BD2703" t="s">
        <v>1005</v>
      </c>
      <c r="BE2703" t="s">
        <v>744</v>
      </c>
    </row>
    <row r="2704" spans="1:57" ht="13" x14ac:dyDescent="0.15">
      <c r="A2704">
        <v>1839</v>
      </c>
      <c r="B2704">
        <v>287452560</v>
      </c>
      <c r="C2704" t="s">
        <v>744</v>
      </c>
      <c r="D2704" s="7">
        <v>45675</v>
      </c>
      <c r="E2704" s="7">
        <v>45703</v>
      </c>
      <c r="F2704">
        <v>330862</v>
      </c>
      <c r="G2704" t="s">
        <v>983</v>
      </c>
      <c r="H2704" t="s">
        <v>9</v>
      </c>
      <c r="I2704" s="7">
        <v>45675</v>
      </c>
      <c r="J2704" s="8">
        <v>0.39795138888888887</v>
      </c>
      <c r="K2704" t="s">
        <v>984</v>
      </c>
      <c r="AQ2704" t="s">
        <v>992</v>
      </c>
      <c r="AR2704" t="s">
        <v>1143</v>
      </c>
      <c r="AT2704" t="s">
        <v>987</v>
      </c>
      <c r="AZ2704" t="s">
        <v>1071</v>
      </c>
      <c r="BA2704" t="s">
        <v>1072</v>
      </c>
      <c r="BB2704" t="s">
        <v>1048</v>
      </c>
      <c r="BD2704" t="s">
        <v>1005</v>
      </c>
      <c r="BE2704" t="s">
        <v>744</v>
      </c>
    </row>
    <row r="2705" spans="1:57" ht="13" x14ac:dyDescent="0.15">
      <c r="A2705">
        <v>1839</v>
      </c>
      <c r="B2705">
        <v>287453934</v>
      </c>
      <c r="C2705" t="s">
        <v>745</v>
      </c>
      <c r="D2705" s="7">
        <v>45675</v>
      </c>
      <c r="E2705" s="7">
        <v>45677</v>
      </c>
      <c r="F2705">
        <v>330862</v>
      </c>
      <c r="G2705" t="s">
        <v>983</v>
      </c>
      <c r="H2705" t="s">
        <v>9</v>
      </c>
      <c r="I2705" s="7">
        <v>45675</v>
      </c>
      <c r="J2705" s="8">
        <v>0.45789351851851851</v>
      </c>
      <c r="K2705" t="s">
        <v>984</v>
      </c>
      <c r="AQ2705" t="s">
        <v>992</v>
      </c>
      <c r="AR2705" t="s">
        <v>1505</v>
      </c>
      <c r="AT2705" t="s">
        <v>987</v>
      </c>
      <c r="AZ2705" t="s">
        <v>1044</v>
      </c>
      <c r="BA2705" t="s">
        <v>1045</v>
      </c>
      <c r="BB2705" t="s">
        <v>990</v>
      </c>
      <c r="BD2705" t="s">
        <v>991</v>
      </c>
      <c r="BE2705" t="s">
        <v>745</v>
      </c>
    </row>
    <row r="2706" spans="1:57" ht="13" x14ac:dyDescent="0.15">
      <c r="A2706">
        <v>1839</v>
      </c>
      <c r="B2706">
        <v>287454170</v>
      </c>
      <c r="C2706" t="s">
        <v>746</v>
      </c>
      <c r="D2706" s="7">
        <v>45675</v>
      </c>
      <c r="E2706" s="7">
        <v>45680</v>
      </c>
      <c r="F2706">
        <v>330862</v>
      </c>
      <c r="G2706" t="s">
        <v>983</v>
      </c>
      <c r="H2706" t="s">
        <v>9</v>
      </c>
      <c r="I2706" s="7">
        <v>45680</v>
      </c>
      <c r="J2706" s="8">
        <v>0.49366898148148147</v>
      </c>
      <c r="K2706" t="s">
        <v>984</v>
      </c>
      <c r="AQ2706" t="s">
        <v>998</v>
      </c>
      <c r="AR2706" t="s">
        <v>1050</v>
      </c>
      <c r="AT2706" t="s">
        <v>987</v>
      </c>
      <c r="AZ2706" t="s">
        <v>1011</v>
      </c>
      <c r="BA2706" t="s">
        <v>1012</v>
      </c>
      <c r="BB2706" t="s">
        <v>1013</v>
      </c>
      <c r="BD2706" t="s">
        <v>1014</v>
      </c>
      <c r="BE2706" t="s">
        <v>746</v>
      </c>
    </row>
    <row r="2707" spans="1:57" ht="13" x14ac:dyDescent="0.15">
      <c r="A2707">
        <v>1839</v>
      </c>
      <c r="B2707">
        <v>287456644</v>
      </c>
      <c r="C2707" t="s">
        <v>747</v>
      </c>
      <c r="D2707" s="7">
        <v>45675</v>
      </c>
      <c r="E2707" s="7">
        <v>45677</v>
      </c>
      <c r="F2707">
        <v>330862</v>
      </c>
      <c r="G2707" t="s">
        <v>983</v>
      </c>
      <c r="H2707" t="s">
        <v>9</v>
      </c>
      <c r="I2707" s="7">
        <v>45675</v>
      </c>
      <c r="J2707" s="8">
        <v>0.62030092592592589</v>
      </c>
      <c r="K2707" t="s">
        <v>984</v>
      </c>
      <c r="AQ2707" t="s">
        <v>998</v>
      </c>
      <c r="AR2707" t="s">
        <v>1201</v>
      </c>
      <c r="AT2707" t="s">
        <v>987</v>
      </c>
      <c r="AZ2707" t="s">
        <v>1011</v>
      </c>
      <c r="BA2707" t="s">
        <v>1202</v>
      </c>
      <c r="BB2707" t="s">
        <v>1203</v>
      </c>
      <c r="BD2707" t="s">
        <v>991</v>
      </c>
      <c r="BE2707" t="s">
        <v>747</v>
      </c>
    </row>
    <row r="2708" spans="1:57" ht="13" x14ac:dyDescent="0.15">
      <c r="A2708">
        <v>1839</v>
      </c>
      <c r="B2708">
        <v>287502358</v>
      </c>
      <c r="C2708" t="s">
        <v>748</v>
      </c>
      <c r="D2708" s="7">
        <v>45676</v>
      </c>
      <c r="E2708" s="7">
        <v>45678</v>
      </c>
      <c r="F2708">
        <v>336447</v>
      </c>
      <c r="G2708" t="s">
        <v>1074</v>
      </c>
      <c r="H2708" t="s">
        <v>26</v>
      </c>
      <c r="I2708" s="7">
        <v>45676</v>
      </c>
      <c r="J2708" s="8">
        <v>0.41016203703703702</v>
      </c>
      <c r="K2708" t="s">
        <v>984</v>
      </c>
      <c r="AQ2708" t="s">
        <v>1089</v>
      </c>
      <c r="AR2708" t="s">
        <v>2207</v>
      </c>
      <c r="BE2708" t="s">
        <v>748</v>
      </c>
    </row>
    <row r="2709" spans="1:57" ht="13" x14ac:dyDescent="0.15">
      <c r="A2709">
        <v>1839</v>
      </c>
      <c r="B2709">
        <v>287502358</v>
      </c>
      <c r="C2709" t="s">
        <v>748</v>
      </c>
      <c r="D2709" s="7">
        <v>45676</v>
      </c>
      <c r="E2709" s="7">
        <v>45678</v>
      </c>
      <c r="F2709">
        <v>336453</v>
      </c>
      <c r="G2709" t="s">
        <v>1074</v>
      </c>
      <c r="H2709" t="s">
        <v>27</v>
      </c>
      <c r="I2709" s="7">
        <v>45676</v>
      </c>
      <c r="J2709" s="8">
        <v>0.4102662037037037</v>
      </c>
      <c r="K2709" t="s">
        <v>984</v>
      </c>
      <c r="AQ2709" t="s">
        <v>1089</v>
      </c>
      <c r="AR2709" t="s">
        <v>1076</v>
      </c>
      <c r="BE2709" t="s">
        <v>748</v>
      </c>
    </row>
    <row r="2710" spans="1:57" ht="13" x14ac:dyDescent="0.15">
      <c r="A2710">
        <v>1839</v>
      </c>
      <c r="B2710">
        <v>287502358</v>
      </c>
      <c r="C2710" t="s">
        <v>748</v>
      </c>
      <c r="D2710" s="7">
        <v>45676</v>
      </c>
      <c r="E2710" s="7">
        <v>45678</v>
      </c>
      <c r="F2710">
        <v>336709</v>
      </c>
      <c r="G2710" t="s">
        <v>1074</v>
      </c>
      <c r="H2710" t="s">
        <v>28</v>
      </c>
      <c r="I2710" s="7">
        <v>45676</v>
      </c>
      <c r="J2710" s="8">
        <v>0.41033564814814816</v>
      </c>
      <c r="K2710" t="s">
        <v>984</v>
      </c>
      <c r="AQ2710" t="s">
        <v>1089</v>
      </c>
      <c r="AR2710" t="s">
        <v>1077</v>
      </c>
      <c r="BE2710" t="s">
        <v>748</v>
      </c>
    </row>
    <row r="2711" spans="1:57" ht="13" x14ac:dyDescent="0.15">
      <c r="A2711">
        <v>1839</v>
      </c>
      <c r="B2711">
        <v>287516414</v>
      </c>
      <c r="C2711" t="s">
        <v>749</v>
      </c>
      <c r="D2711" s="7">
        <v>45676</v>
      </c>
      <c r="E2711" s="7">
        <v>45678</v>
      </c>
      <c r="F2711">
        <v>330862</v>
      </c>
      <c r="G2711" t="s">
        <v>983</v>
      </c>
      <c r="H2711" t="s">
        <v>9</v>
      </c>
      <c r="I2711" s="7">
        <v>45676</v>
      </c>
      <c r="J2711" s="8">
        <v>0.8601388888888889</v>
      </c>
      <c r="K2711" t="s">
        <v>984</v>
      </c>
      <c r="AQ2711" t="s">
        <v>992</v>
      </c>
      <c r="AR2711" t="s">
        <v>2208</v>
      </c>
      <c r="AT2711" t="s">
        <v>987</v>
      </c>
      <c r="AZ2711" t="s">
        <v>1028</v>
      </c>
      <c r="BA2711" t="s">
        <v>1068</v>
      </c>
      <c r="BB2711" t="s">
        <v>1069</v>
      </c>
      <c r="BD2711" t="s">
        <v>1005</v>
      </c>
      <c r="BE2711" t="s">
        <v>749</v>
      </c>
    </row>
    <row r="2712" spans="1:57" ht="13" x14ac:dyDescent="0.15">
      <c r="A2712">
        <v>1839</v>
      </c>
      <c r="B2712">
        <v>287532846</v>
      </c>
      <c r="C2712" t="s">
        <v>750</v>
      </c>
      <c r="D2712" s="7">
        <v>45677</v>
      </c>
      <c r="E2712" s="7">
        <v>45679</v>
      </c>
      <c r="F2712">
        <v>330862</v>
      </c>
      <c r="G2712" t="s">
        <v>983</v>
      </c>
      <c r="H2712" t="s">
        <v>9</v>
      </c>
      <c r="I2712" s="7">
        <v>45677</v>
      </c>
      <c r="J2712" s="8">
        <v>0.67184027777777777</v>
      </c>
      <c r="K2712" t="s">
        <v>984</v>
      </c>
      <c r="AQ2712" t="s">
        <v>1089</v>
      </c>
      <c r="AR2712" t="s">
        <v>2209</v>
      </c>
      <c r="AT2712" t="s">
        <v>987</v>
      </c>
      <c r="AZ2712" t="s">
        <v>1024</v>
      </c>
      <c r="BA2712" t="s">
        <v>1047</v>
      </c>
      <c r="BB2712" t="s">
        <v>1048</v>
      </c>
      <c r="BD2712" t="s">
        <v>1014</v>
      </c>
      <c r="BE2712" t="s">
        <v>750</v>
      </c>
    </row>
    <row r="2713" spans="1:57" ht="13" x14ac:dyDescent="0.15">
      <c r="A2713">
        <v>1839</v>
      </c>
      <c r="B2713">
        <v>287532846</v>
      </c>
      <c r="C2713" t="s">
        <v>750</v>
      </c>
      <c r="D2713" s="7">
        <v>45677</v>
      </c>
      <c r="E2713" s="7">
        <v>45679</v>
      </c>
      <c r="F2713">
        <v>330862</v>
      </c>
      <c r="G2713" t="s">
        <v>983</v>
      </c>
      <c r="H2713" t="s">
        <v>9</v>
      </c>
      <c r="I2713" s="7">
        <v>45677</v>
      </c>
      <c r="J2713" s="8">
        <v>0.67957175925925928</v>
      </c>
      <c r="K2713" t="s">
        <v>984</v>
      </c>
      <c r="AQ2713" t="s">
        <v>1089</v>
      </c>
      <c r="AR2713" t="s">
        <v>2210</v>
      </c>
      <c r="AT2713" t="s">
        <v>987</v>
      </c>
      <c r="AZ2713" t="s">
        <v>1011</v>
      </c>
      <c r="BA2713" t="s">
        <v>1012</v>
      </c>
      <c r="BB2713" t="s">
        <v>1013</v>
      </c>
      <c r="BD2713" t="s">
        <v>1014</v>
      </c>
      <c r="BE2713" t="s">
        <v>750</v>
      </c>
    </row>
    <row r="2714" spans="1:57" ht="13" x14ac:dyDescent="0.15">
      <c r="A2714">
        <v>1839</v>
      </c>
      <c r="B2714">
        <v>287535440</v>
      </c>
      <c r="C2714" t="s">
        <v>751</v>
      </c>
      <c r="D2714" s="7">
        <v>45677</v>
      </c>
      <c r="E2714" s="7">
        <v>45692</v>
      </c>
      <c r="F2714">
        <v>330862</v>
      </c>
      <c r="G2714" t="s">
        <v>983</v>
      </c>
      <c r="H2714" t="s">
        <v>9</v>
      </c>
      <c r="I2714" s="7">
        <v>45677</v>
      </c>
      <c r="J2714" s="8">
        <v>0.82780092592592591</v>
      </c>
      <c r="K2714" t="s">
        <v>984</v>
      </c>
      <c r="AQ2714" t="s">
        <v>992</v>
      </c>
      <c r="AR2714" t="s">
        <v>1083</v>
      </c>
      <c r="AT2714" t="s">
        <v>987</v>
      </c>
      <c r="BE2714" t="s">
        <v>751</v>
      </c>
    </row>
    <row r="2715" spans="1:57" ht="13" x14ac:dyDescent="0.15">
      <c r="A2715">
        <v>1839</v>
      </c>
      <c r="B2715">
        <v>287535440</v>
      </c>
      <c r="C2715" t="s">
        <v>751</v>
      </c>
      <c r="D2715" s="7">
        <v>45677</v>
      </c>
      <c r="E2715" s="7">
        <v>45692</v>
      </c>
      <c r="F2715">
        <v>330862</v>
      </c>
      <c r="G2715" t="s">
        <v>983</v>
      </c>
      <c r="H2715" t="s">
        <v>9</v>
      </c>
      <c r="I2715" s="7">
        <v>45682</v>
      </c>
      <c r="J2715" s="8">
        <v>0.68556712962962962</v>
      </c>
      <c r="K2715" t="s">
        <v>984</v>
      </c>
      <c r="AQ2715" t="s">
        <v>992</v>
      </c>
      <c r="AR2715" t="s">
        <v>1627</v>
      </c>
      <c r="AT2715" t="s">
        <v>987</v>
      </c>
      <c r="AZ2715" t="s">
        <v>1011</v>
      </c>
      <c r="BA2715" t="s">
        <v>1012</v>
      </c>
      <c r="BB2715" t="s">
        <v>1013</v>
      </c>
      <c r="BD2715" t="s">
        <v>1014</v>
      </c>
      <c r="BE2715" t="s">
        <v>751</v>
      </c>
    </row>
    <row r="2716" spans="1:57" ht="13" x14ac:dyDescent="0.15">
      <c r="A2716">
        <v>1839</v>
      </c>
      <c r="B2716">
        <v>287535440</v>
      </c>
      <c r="C2716" t="s">
        <v>751</v>
      </c>
      <c r="D2716" s="7">
        <v>45677</v>
      </c>
      <c r="E2716" s="7">
        <v>45692</v>
      </c>
      <c r="F2716">
        <v>330862</v>
      </c>
      <c r="G2716" t="s">
        <v>983</v>
      </c>
      <c r="H2716" t="s">
        <v>9</v>
      </c>
      <c r="I2716" s="7">
        <v>45681</v>
      </c>
      <c r="J2716" s="8">
        <v>0.37313657407407408</v>
      </c>
      <c r="K2716" t="s">
        <v>984</v>
      </c>
      <c r="AQ2716" t="s">
        <v>992</v>
      </c>
      <c r="AR2716" t="s">
        <v>1680</v>
      </c>
      <c r="AT2716" t="s">
        <v>987</v>
      </c>
      <c r="AZ2716" t="s">
        <v>1011</v>
      </c>
      <c r="BA2716" t="s">
        <v>1012</v>
      </c>
      <c r="BB2716" t="s">
        <v>1013</v>
      </c>
      <c r="BD2716" t="s">
        <v>1014</v>
      </c>
      <c r="BE2716" t="s">
        <v>751</v>
      </c>
    </row>
    <row r="2717" spans="1:57" ht="13" x14ac:dyDescent="0.15">
      <c r="A2717">
        <v>1839</v>
      </c>
      <c r="B2717">
        <v>287535757</v>
      </c>
      <c r="C2717" t="s">
        <v>752</v>
      </c>
      <c r="D2717" s="7">
        <v>45677</v>
      </c>
      <c r="E2717" s="7">
        <v>45707</v>
      </c>
      <c r="F2717">
        <v>330862</v>
      </c>
      <c r="G2717" t="s">
        <v>983</v>
      </c>
      <c r="H2717" t="s">
        <v>9</v>
      </c>
      <c r="I2717" s="7">
        <v>45693</v>
      </c>
      <c r="J2717" s="8">
        <v>0.523900462962963</v>
      </c>
      <c r="K2717" t="s">
        <v>984</v>
      </c>
      <c r="AQ2717" t="s">
        <v>1042</v>
      </c>
      <c r="AR2717" t="s">
        <v>1061</v>
      </c>
      <c r="AT2717" t="s">
        <v>987</v>
      </c>
      <c r="AZ2717" t="s">
        <v>1062</v>
      </c>
      <c r="BA2717" t="s">
        <v>1063</v>
      </c>
      <c r="BB2717" t="s">
        <v>1048</v>
      </c>
      <c r="BD2717" t="s">
        <v>991</v>
      </c>
      <c r="BE2717" t="s">
        <v>752</v>
      </c>
    </row>
    <row r="2718" spans="1:57" ht="13" x14ac:dyDescent="0.15">
      <c r="A2718">
        <v>1839</v>
      </c>
      <c r="B2718">
        <v>287535757</v>
      </c>
      <c r="C2718" t="s">
        <v>752</v>
      </c>
      <c r="D2718" s="7">
        <v>45677</v>
      </c>
      <c r="E2718" s="7">
        <v>45707</v>
      </c>
      <c r="F2718">
        <v>336444</v>
      </c>
      <c r="G2718" t="s">
        <v>995</v>
      </c>
      <c r="H2718" t="s">
        <v>12</v>
      </c>
      <c r="I2718" s="7">
        <v>45693</v>
      </c>
      <c r="J2718" s="8">
        <v>0.52318287037037037</v>
      </c>
      <c r="K2718" t="s">
        <v>984</v>
      </c>
      <c r="AQ2718" t="s">
        <v>996</v>
      </c>
      <c r="BE2718" t="s">
        <v>752</v>
      </c>
    </row>
    <row r="2719" spans="1:57" ht="13" x14ac:dyDescent="0.15">
      <c r="A2719">
        <v>1839</v>
      </c>
      <c r="B2719">
        <v>287537353</v>
      </c>
      <c r="C2719" t="s">
        <v>753</v>
      </c>
      <c r="D2719" s="7">
        <v>45677</v>
      </c>
      <c r="E2719" s="7">
        <v>45693</v>
      </c>
      <c r="F2719">
        <v>336447</v>
      </c>
      <c r="G2719" t="s">
        <v>1074</v>
      </c>
      <c r="H2719" t="s">
        <v>26</v>
      </c>
      <c r="I2719" s="7">
        <v>45677</v>
      </c>
      <c r="J2719" s="8">
        <v>0.99247685185185186</v>
      </c>
      <c r="K2719" t="s">
        <v>984</v>
      </c>
      <c r="AQ2719" t="s">
        <v>998</v>
      </c>
      <c r="AR2719" t="s">
        <v>2211</v>
      </c>
      <c r="BE2719" t="s">
        <v>753</v>
      </c>
    </row>
    <row r="2720" spans="1:57" ht="13" x14ac:dyDescent="0.15">
      <c r="A2720">
        <v>1839</v>
      </c>
      <c r="B2720">
        <v>287537353</v>
      </c>
      <c r="C2720" t="s">
        <v>753</v>
      </c>
      <c r="D2720" s="7">
        <v>45677</v>
      </c>
      <c r="E2720" s="7">
        <v>45693</v>
      </c>
      <c r="F2720">
        <v>336453</v>
      </c>
      <c r="G2720" t="s">
        <v>1074</v>
      </c>
      <c r="H2720" t="s">
        <v>27</v>
      </c>
      <c r="I2720" s="7">
        <v>45677</v>
      </c>
      <c r="J2720" s="8">
        <v>0.99261574074074077</v>
      </c>
      <c r="K2720" t="s">
        <v>984</v>
      </c>
      <c r="AQ2720" t="s">
        <v>998</v>
      </c>
      <c r="AR2720" t="s">
        <v>1076</v>
      </c>
      <c r="BE2720" t="s">
        <v>753</v>
      </c>
    </row>
    <row r="2721" spans="1:57" ht="13" x14ac:dyDescent="0.15">
      <c r="A2721">
        <v>1839</v>
      </c>
      <c r="B2721">
        <v>287537353</v>
      </c>
      <c r="C2721" t="s">
        <v>753</v>
      </c>
      <c r="D2721" s="7">
        <v>45677</v>
      </c>
      <c r="E2721" s="7">
        <v>45693</v>
      </c>
      <c r="F2721">
        <v>336709</v>
      </c>
      <c r="G2721" t="s">
        <v>1074</v>
      </c>
      <c r="H2721" t="s">
        <v>28</v>
      </c>
      <c r="I2721" s="7">
        <v>45677</v>
      </c>
      <c r="J2721" s="8">
        <v>0.99274305555555553</v>
      </c>
      <c r="K2721" t="s">
        <v>984</v>
      </c>
      <c r="AQ2721" t="s">
        <v>998</v>
      </c>
      <c r="AR2721" t="s">
        <v>1077</v>
      </c>
      <c r="BE2721" t="s">
        <v>753</v>
      </c>
    </row>
    <row r="2722" spans="1:57" ht="13" x14ac:dyDescent="0.15">
      <c r="A2722">
        <v>1839</v>
      </c>
      <c r="B2722">
        <v>287552333</v>
      </c>
      <c r="C2722" t="s">
        <v>754</v>
      </c>
      <c r="D2722" s="7">
        <v>45678</v>
      </c>
      <c r="E2722" s="7">
        <v>45680</v>
      </c>
      <c r="F2722">
        <v>330862</v>
      </c>
      <c r="G2722" t="s">
        <v>983</v>
      </c>
      <c r="H2722" t="s">
        <v>9</v>
      </c>
      <c r="I2722" s="7">
        <v>45678</v>
      </c>
      <c r="J2722" s="8">
        <v>0.54658564814814814</v>
      </c>
      <c r="K2722" t="s">
        <v>984</v>
      </c>
      <c r="AQ2722" t="s">
        <v>992</v>
      </c>
      <c r="AR2722" t="s">
        <v>2212</v>
      </c>
      <c r="AT2722" t="s">
        <v>987</v>
      </c>
      <c r="AZ2722" t="s">
        <v>1011</v>
      </c>
      <c r="BA2722" t="s">
        <v>1012</v>
      </c>
      <c r="BB2722" t="s">
        <v>1013</v>
      </c>
      <c r="BD2722" t="s">
        <v>1014</v>
      </c>
      <c r="BE2722" t="s">
        <v>754</v>
      </c>
    </row>
    <row r="2723" spans="1:57" ht="13" x14ac:dyDescent="0.15">
      <c r="A2723">
        <v>1839</v>
      </c>
      <c r="B2723">
        <v>287563319</v>
      </c>
      <c r="C2723" t="s">
        <v>755</v>
      </c>
      <c r="D2723" s="7">
        <v>45678</v>
      </c>
      <c r="E2723" s="7">
        <v>45692</v>
      </c>
      <c r="F2723">
        <v>330862</v>
      </c>
      <c r="G2723" t="s">
        <v>983</v>
      </c>
      <c r="H2723" t="s">
        <v>9</v>
      </c>
      <c r="I2723" s="7">
        <v>45678</v>
      </c>
      <c r="J2723" s="8">
        <v>0.9264930555555555</v>
      </c>
      <c r="K2723" t="s">
        <v>984</v>
      </c>
      <c r="AQ2723" t="s">
        <v>1089</v>
      </c>
      <c r="AR2723" t="s">
        <v>2213</v>
      </c>
      <c r="AT2723" t="s">
        <v>987</v>
      </c>
      <c r="AZ2723" t="s">
        <v>1016</v>
      </c>
      <c r="BA2723" t="s">
        <v>1017</v>
      </c>
      <c r="BB2723" t="s">
        <v>1018</v>
      </c>
      <c r="BD2723" t="s">
        <v>991</v>
      </c>
      <c r="BE2723" t="s">
        <v>755</v>
      </c>
    </row>
    <row r="2724" spans="1:57" ht="13" x14ac:dyDescent="0.15">
      <c r="A2724">
        <v>1839</v>
      </c>
      <c r="B2724">
        <v>287563721</v>
      </c>
      <c r="C2724" t="s">
        <v>756</v>
      </c>
      <c r="D2724" s="7">
        <v>45678</v>
      </c>
      <c r="E2724" s="7">
        <v>45683</v>
      </c>
      <c r="F2724">
        <v>330862</v>
      </c>
      <c r="G2724" t="s">
        <v>983</v>
      </c>
      <c r="H2724" t="s">
        <v>9</v>
      </c>
      <c r="I2724" s="7">
        <v>45678</v>
      </c>
      <c r="J2724" s="8">
        <v>0.96725694444444443</v>
      </c>
      <c r="K2724" t="s">
        <v>984</v>
      </c>
      <c r="AQ2724" t="s">
        <v>1530</v>
      </c>
      <c r="AR2724" t="s">
        <v>1361</v>
      </c>
      <c r="AT2724" t="s">
        <v>987</v>
      </c>
      <c r="AZ2724" t="s">
        <v>1044</v>
      </c>
      <c r="BA2724" t="s">
        <v>1045</v>
      </c>
      <c r="BB2724" t="s">
        <v>990</v>
      </c>
      <c r="BD2724" t="s">
        <v>991</v>
      </c>
      <c r="BE2724" t="s">
        <v>756</v>
      </c>
    </row>
    <row r="2725" spans="1:57" ht="13" x14ac:dyDescent="0.15">
      <c r="A2725">
        <v>1839</v>
      </c>
      <c r="B2725">
        <v>287590138</v>
      </c>
      <c r="C2725" t="s">
        <v>757</v>
      </c>
      <c r="D2725" s="7">
        <v>45680</v>
      </c>
      <c r="E2725" s="7">
        <v>45702</v>
      </c>
      <c r="F2725">
        <v>330862</v>
      </c>
      <c r="G2725" t="s">
        <v>983</v>
      </c>
      <c r="H2725" t="s">
        <v>9</v>
      </c>
      <c r="I2725" s="7">
        <v>45680</v>
      </c>
      <c r="J2725" s="8">
        <v>0.40944444444444444</v>
      </c>
      <c r="K2725" t="s">
        <v>984</v>
      </c>
      <c r="AQ2725" t="s">
        <v>998</v>
      </c>
      <c r="AR2725" t="s">
        <v>1050</v>
      </c>
      <c r="AT2725" t="s">
        <v>987</v>
      </c>
      <c r="AZ2725" t="s">
        <v>1011</v>
      </c>
      <c r="BA2725" t="s">
        <v>1012</v>
      </c>
      <c r="BB2725" t="s">
        <v>1013</v>
      </c>
      <c r="BD2725" t="s">
        <v>1014</v>
      </c>
      <c r="BE2725" t="s">
        <v>757</v>
      </c>
    </row>
    <row r="2726" spans="1:57" ht="13" x14ac:dyDescent="0.15">
      <c r="A2726">
        <v>1839</v>
      </c>
      <c r="B2726">
        <v>287602904</v>
      </c>
      <c r="C2726" t="s">
        <v>758</v>
      </c>
      <c r="D2726" s="7">
        <v>45680</v>
      </c>
      <c r="E2726" s="7">
        <v>45682</v>
      </c>
      <c r="F2726">
        <v>330862</v>
      </c>
      <c r="G2726" t="s">
        <v>983</v>
      </c>
      <c r="H2726" t="s">
        <v>9</v>
      </c>
      <c r="I2726" s="7">
        <v>45680</v>
      </c>
      <c r="J2726" s="8">
        <v>0.57582175925925927</v>
      </c>
      <c r="K2726" t="s">
        <v>984</v>
      </c>
      <c r="AQ2726" t="s">
        <v>1089</v>
      </c>
      <c r="AR2726" t="s">
        <v>1681</v>
      </c>
      <c r="AT2726" t="s">
        <v>987</v>
      </c>
      <c r="AZ2726" t="s">
        <v>1044</v>
      </c>
      <c r="BA2726" t="s">
        <v>1045</v>
      </c>
      <c r="BB2726" t="s">
        <v>990</v>
      </c>
      <c r="BD2726" t="s">
        <v>991</v>
      </c>
      <c r="BE2726" t="s">
        <v>758</v>
      </c>
    </row>
    <row r="2727" spans="1:57" ht="13" x14ac:dyDescent="0.15">
      <c r="A2727">
        <v>1839</v>
      </c>
      <c r="B2727">
        <v>287623413</v>
      </c>
      <c r="C2727" t="s">
        <v>759</v>
      </c>
      <c r="D2727" s="7">
        <v>45681</v>
      </c>
      <c r="E2727" s="7">
        <v>45686</v>
      </c>
      <c r="F2727">
        <v>330862</v>
      </c>
      <c r="G2727" t="s">
        <v>983</v>
      </c>
      <c r="H2727" t="s">
        <v>9</v>
      </c>
      <c r="I2727" s="7">
        <v>45683</v>
      </c>
      <c r="J2727" s="8">
        <v>0.60785879629629624</v>
      </c>
      <c r="K2727" t="s">
        <v>984</v>
      </c>
      <c r="AQ2727" t="s">
        <v>998</v>
      </c>
      <c r="AR2727" t="s">
        <v>1646</v>
      </c>
      <c r="AT2727" t="s">
        <v>987</v>
      </c>
      <c r="AZ2727" t="s">
        <v>1011</v>
      </c>
      <c r="BA2727" t="s">
        <v>1012</v>
      </c>
      <c r="BB2727" t="s">
        <v>1013</v>
      </c>
      <c r="BD2727" t="s">
        <v>1014</v>
      </c>
      <c r="BE2727" t="s">
        <v>759</v>
      </c>
    </row>
    <row r="2728" spans="1:57" ht="13" x14ac:dyDescent="0.15">
      <c r="A2728">
        <v>1839</v>
      </c>
      <c r="B2728">
        <v>287623670</v>
      </c>
      <c r="C2728" t="s">
        <v>760</v>
      </c>
      <c r="D2728" s="7">
        <v>45681</v>
      </c>
      <c r="E2728" s="7">
        <v>45696</v>
      </c>
      <c r="F2728">
        <v>330862</v>
      </c>
      <c r="G2728" t="s">
        <v>983</v>
      </c>
      <c r="H2728" t="s">
        <v>9</v>
      </c>
      <c r="I2728" s="7">
        <v>45683</v>
      </c>
      <c r="J2728" s="8">
        <v>0.48091435185185183</v>
      </c>
      <c r="K2728" t="s">
        <v>984</v>
      </c>
      <c r="AQ2728" t="s">
        <v>998</v>
      </c>
      <c r="AR2728" t="s">
        <v>1627</v>
      </c>
      <c r="AT2728" t="s">
        <v>987</v>
      </c>
      <c r="AZ2728" t="s">
        <v>1011</v>
      </c>
      <c r="BA2728" t="s">
        <v>1012</v>
      </c>
      <c r="BB2728" t="s">
        <v>1013</v>
      </c>
      <c r="BD2728" t="s">
        <v>1014</v>
      </c>
      <c r="BE2728" t="s">
        <v>760</v>
      </c>
    </row>
    <row r="2729" spans="1:57" ht="13" x14ac:dyDescent="0.15">
      <c r="A2729">
        <v>1839</v>
      </c>
      <c r="B2729">
        <v>287628311</v>
      </c>
      <c r="C2729" t="s">
        <v>761</v>
      </c>
      <c r="D2729" s="7">
        <v>45681</v>
      </c>
      <c r="E2729" s="7">
        <v>45712</v>
      </c>
      <c r="F2729">
        <v>330862</v>
      </c>
      <c r="G2729" t="s">
        <v>983</v>
      </c>
      <c r="H2729" t="s">
        <v>9</v>
      </c>
      <c r="I2729" s="7">
        <v>45694</v>
      </c>
      <c r="J2729" s="8">
        <v>0.36120370370370369</v>
      </c>
      <c r="K2729" t="s">
        <v>984</v>
      </c>
      <c r="AQ2729" t="s">
        <v>1090</v>
      </c>
      <c r="AR2729" t="s">
        <v>993</v>
      </c>
      <c r="AT2729" t="s">
        <v>987</v>
      </c>
      <c r="AZ2729" t="s">
        <v>988</v>
      </c>
      <c r="BA2729" t="s">
        <v>989</v>
      </c>
      <c r="BB2729" t="s">
        <v>990</v>
      </c>
      <c r="BD2729" t="s">
        <v>991</v>
      </c>
      <c r="BE2729" t="s">
        <v>761</v>
      </c>
    </row>
    <row r="2730" spans="1:57" ht="13" x14ac:dyDescent="0.15">
      <c r="A2730">
        <v>1839</v>
      </c>
      <c r="B2730">
        <v>287628311</v>
      </c>
      <c r="C2730" t="s">
        <v>761</v>
      </c>
      <c r="D2730" s="7">
        <v>45681</v>
      </c>
      <c r="E2730" s="7">
        <v>45712</v>
      </c>
      <c r="F2730">
        <v>330862</v>
      </c>
      <c r="G2730" t="s">
        <v>983</v>
      </c>
      <c r="H2730" t="s">
        <v>9</v>
      </c>
      <c r="I2730" s="7">
        <v>45681</v>
      </c>
      <c r="J2730" s="8">
        <v>0.56468750000000001</v>
      </c>
      <c r="K2730" t="s">
        <v>984</v>
      </c>
      <c r="AQ2730" t="s">
        <v>1090</v>
      </c>
      <c r="AR2730" t="s">
        <v>1680</v>
      </c>
      <c r="AT2730" t="s">
        <v>987</v>
      </c>
      <c r="AZ2730" t="s">
        <v>1011</v>
      </c>
      <c r="BA2730" t="s">
        <v>1012</v>
      </c>
      <c r="BB2730" t="s">
        <v>1013</v>
      </c>
      <c r="BD2730" t="s">
        <v>1014</v>
      </c>
      <c r="BE2730" t="s">
        <v>761</v>
      </c>
    </row>
    <row r="2731" spans="1:57" ht="13" x14ac:dyDescent="0.15">
      <c r="A2731">
        <v>1839</v>
      </c>
      <c r="B2731">
        <v>287628311</v>
      </c>
      <c r="C2731" t="s">
        <v>761</v>
      </c>
      <c r="D2731" s="7">
        <v>45681</v>
      </c>
      <c r="E2731" s="7">
        <v>45712</v>
      </c>
      <c r="F2731">
        <v>330862</v>
      </c>
      <c r="G2731" t="s">
        <v>983</v>
      </c>
      <c r="H2731" t="s">
        <v>9</v>
      </c>
      <c r="I2731" s="7">
        <v>45694</v>
      </c>
      <c r="J2731" s="8">
        <v>0.49755787037037036</v>
      </c>
      <c r="K2731" t="s">
        <v>984</v>
      </c>
      <c r="AQ2731" t="s">
        <v>992</v>
      </c>
      <c r="AR2731" t="s">
        <v>993</v>
      </c>
      <c r="AT2731" t="s">
        <v>987</v>
      </c>
      <c r="AZ2731" t="s">
        <v>988</v>
      </c>
      <c r="BA2731" t="s">
        <v>989</v>
      </c>
      <c r="BB2731" t="s">
        <v>990</v>
      </c>
      <c r="BD2731" t="s">
        <v>991</v>
      </c>
      <c r="BE2731" t="s">
        <v>761</v>
      </c>
    </row>
    <row r="2732" spans="1:57" ht="13" x14ac:dyDescent="0.15">
      <c r="A2732">
        <v>1839</v>
      </c>
      <c r="B2732">
        <v>287631644</v>
      </c>
      <c r="C2732" t="s">
        <v>762</v>
      </c>
      <c r="D2732" s="7">
        <v>45681</v>
      </c>
      <c r="E2732" s="7">
        <v>45684</v>
      </c>
      <c r="F2732">
        <v>330862</v>
      </c>
      <c r="G2732" t="s">
        <v>983</v>
      </c>
      <c r="H2732" t="s">
        <v>9</v>
      </c>
      <c r="I2732" s="7">
        <v>45681</v>
      </c>
      <c r="J2732" s="8">
        <v>0.65506944444444448</v>
      </c>
      <c r="K2732" t="s">
        <v>984</v>
      </c>
      <c r="AQ2732" t="s">
        <v>1273</v>
      </c>
      <c r="AR2732" t="s">
        <v>1010</v>
      </c>
      <c r="AT2732" t="s">
        <v>987</v>
      </c>
      <c r="AZ2732" t="s">
        <v>1011</v>
      </c>
      <c r="BA2732" t="s">
        <v>1012</v>
      </c>
      <c r="BB2732" t="s">
        <v>1013</v>
      </c>
      <c r="BD2732" t="s">
        <v>1014</v>
      </c>
      <c r="BE2732" t="s">
        <v>762</v>
      </c>
    </row>
    <row r="2733" spans="1:57" ht="13" x14ac:dyDescent="0.15">
      <c r="A2733">
        <v>1839</v>
      </c>
      <c r="B2733">
        <v>287631644</v>
      </c>
      <c r="C2733" t="s">
        <v>762</v>
      </c>
      <c r="D2733" s="7">
        <v>45681</v>
      </c>
      <c r="E2733" s="7">
        <v>45684</v>
      </c>
      <c r="F2733">
        <v>330862</v>
      </c>
      <c r="G2733" t="s">
        <v>983</v>
      </c>
      <c r="H2733" t="s">
        <v>9</v>
      </c>
      <c r="I2733" s="7">
        <v>45681</v>
      </c>
      <c r="J2733" s="8">
        <v>0.65383101851851855</v>
      </c>
      <c r="K2733" t="s">
        <v>984</v>
      </c>
      <c r="AQ2733" t="s">
        <v>1273</v>
      </c>
      <c r="AR2733" t="s">
        <v>1010</v>
      </c>
      <c r="AT2733" t="s">
        <v>987</v>
      </c>
      <c r="AZ2733" t="s">
        <v>1011</v>
      </c>
      <c r="BA2733" t="s">
        <v>1012</v>
      </c>
      <c r="BB2733" t="s">
        <v>1013</v>
      </c>
      <c r="BD2733" t="s">
        <v>1014</v>
      </c>
      <c r="BE2733" t="s">
        <v>762</v>
      </c>
    </row>
    <row r="2734" spans="1:57" ht="13" x14ac:dyDescent="0.15">
      <c r="A2734">
        <v>1839</v>
      </c>
      <c r="B2734">
        <v>287694837</v>
      </c>
      <c r="C2734" t="s">
        <v>763</v>
      </c>
      <c r="D2734" s="7">
        <v>45684</v>
      </c>
      <c r="E2734" s="7">
        <v>45696</v>
      </c>
      <c r="F2734">
        <v>330862</v>
      </c>
      <c r="G2734" t="s">
        <v>983</v>
      </c>
      <c r="H2734" t="s">
        <v>9</v>
      </c>
      <c r="I2734" s="7">
        <v>45684</v>
      </c>
      <c r="J2734" s="8">
        <v>0.57900462962962962</v>
      </c>
      <c r="K2734" t="s">
        <v>984</v>
      </c>
      <c r="AQ2734" t="s">
        <v>1092</v>
      </c>
      <c r="AR2734" t="s">
        <v>2214</v>
      </c>
      <c r="AT2734" t="s">
        <v>987</v>
      </c>
      <c r="AZ2734" t="s">
        <v>1011</v>
      </c>
      <c r="BA2734" t="s">
        <v>1012</v>
      </c>
      <c r="BB2734" t="s">
        <v>1013</v>
      </c>
      <c r="BD2734" t="s">
        <v>1014</v>
      </c>
      <c r="BE2734" t="s">
        <v>763</v>
      </c>
    </row>
    <row r="2735" spans="1:57" ht="13" x14ac:dyDescent="0.15">
      <c r="A2735">
        <v>1839</v>
      </c>
      <c r="B2735">
        <v>287710952</v>
      </c>
      <c r="C2735" t="s">
        <v>764</v>
      </c>
      <c r="D2735" s="7">
        <v>45685</v>
      </c>
      <c r="E2735" s="7">
        <v>45687</v>
      </c>
      <c r="F2735">
        <v>336444</v>
      </c>
      <c r="G2735" t="s">
        <v>995</v>
      </c>
      <c r="H2735" t="s">
        <v>12</v>
      </c>
      <c r="I2735" s="7">
        <v>45685</v>
      </c>
      <c r="J2735" s="8">
        <v>0.11900462962962963</v>
      </c>
      <c r="K2735" t="s">
        <v>984</v>
      </c>
      <c r="AQ2735" t="s">
        <v>996</v>
      </c>
      <c r="BE2735" t="s">
        <v>764</v>
      </c>
    </row>
    <row r="2736" spans="1:57" ht="13" x14ac:dyDescent="0.15">
      <c r="A2736">
        <v>1839</v>
      </c>
      <c r="B2736">
        <v>287723042</v>
      </c>
      <c r="C2736" t="s">
        <v>765</v>
      </c>
      <c r="D2736" s="7">
        <v>45685</v>
      </c>
      <c r="E2736" s="7">
        <v>45687</v>
      </c>
      <c r="F2736">
        <v>330862</v>
      </c>
      <c r="G2736" t="s">
        <v>983</v>
      </c>
      <c r="H2736" t="s">
        <v>9</v>
      </c>
      <c r="I2736" s="7">
        <v>45685</v>
      </c>
      <c r="J2736" s="8">
        <v>0.35715277777777776</v>
      </c>
      <c r="K2736" t="s">
        <v>984</v>
      </c>
      <c r="AQ2736" t="s">
        <v>1042</v>
      </c>
      <c r="AR2736" t="s">
        <v>2215</v>
      </c>
      <c r="AT2736" t="s">
        <v>987</v>
      </c>
      <c r="AZ2736" t="s">
        <v>1062</v>
      </c>
      <c r="BA2736" t="s">
        <v>1297</v>
      </c>
      <c r="BB2736" t="s">
        <v>1048</v>
      </c>
      <c r="BD2736" t="s">
        <v>991</v>
      </c>
      <c r="BE2736" t="s">
        <v>765</v>
      </c>
    </row>
    <row r="2737" spans="1:57" ht="13" x14ac:dyDescent="0.15">
      <c r="A2737">
        <v>1839</v>
      </c>
      <c r="B2737">
        <v>287728356</v>
      </c>
      <c r="C2737" t="s">
        <v>766</v>
      </c>
      <c r="D2737" s="7">
        <v>45685</v>
      </c>
      <c r="E2737" s="7">
        <v>45687</v>
      </c>
      <c r="F2737">
        <v>330862</v>
      </c>
      <c r="G2737" t="s">
        <v>983</v>
      </c>
      <c r="H2737" t="s">
        <v>9</v>
      </c>
      <c r="I2737" s="7">
        <v>45685</v>
      </c>
      <c r="J2737" s="8">
        <v>0.43863425925925925</v>
      </c>
      <c r="K2737" t="s">
        <v>984</v>
      </c>
      <c r="AQ2737" t="s">
        <v>992</v>
      </c>
      <c r="AR2737" t="s">
        <v>1218</v>
      </c>
      <c r="AT2737" t="s">
        <v>987</v>
      </c>
      <c r="AZ2737" t="s">
        <v>1011</v>
      </c>
      <c r="BA2737" t="s">
        <v>1012</v>
      </c>
      <c r="BB2737" t="s">
        <v>1013</v>
      </c>
      <c r="BD2737" t="s">
        <v>1014</v>
      </c>
      <c r="BE2737" t="s">
        <v>766</v>
      </c>
    </row>
    <row r="2738" spans="1:57" ht="13" x14ac:dyDescent="0.15">
      <c r="A2738">
        <v>1839</v>
      </c>
      <c r="B2738">
        <v>287729649</v>
      </c>
      <c r="C2738" t="s">
        <v>767</v>
      </c>
      <c r="D2738" s="7">
        <v>45685</v>
      </c>
      <c r="E2738" s="7">
        <v>45707</v>
      </c>
      <c r="F2738">
        <v>330862</v>
      </c>
      <c r="G2738" t="s">
        <v>983</v>
      </c>
      <c r="H2738" t="s">
        <v>9</v>
      </c>
      <c r="I2738" s="7">
        <v>45685</v>
      </c>
      <c r="J2738" s="8">
        <v>0.48656250000000001</v>
      </c>
      <c r="K2738" t="s">
        <v>984</v>
      </c>
      <c r="AQ2738" t="s">
        <v>1089</v>
      </c>
      <c r="AR2738" t="s">
        <v>2216</v>
      </c>
      <c r="AT2738" t="s">
        <v>987</v>
      </c>
      <c r="AZ2738" t="s">
        <v>1011</v>
      </c>
      <c r="BA2738" t="s">
        <v>1012</v>
      </c>
      <c r="BB2738" t="s">
        <v>1013</v>
      </c>
      <c r="BD2738" t="s">
        <v>1014</v>
      </c>
      <c r="BE2738" t="s">
        <v>767</v>
      </c>
    </row>
    <row r="2739" spans="1:57" ht="13" x14ac:dyDescent="0.15">
      <c r="A2739">
        <v>1839</v>
      </c>
      <c r="B2739">
        <v>287764710</v>
      </c>
      <c r="C2739" t="s">
        <v>768</v>
      </c>
      <c r="D2739" s="7">
        <v>45685</v>
      </c>
      <c r="E2739" s="7">
        <v>45688</v>
      </c>
      <c r="F2739">
        <v>330862</v>
      </c>
      <c r="G2739" t="s">
        <v>983</v>
      </c>
      <c r="H2739" t="s">
        <v>9</v>
      </c>
      <c r="I2739" s="7">
        <v>45685</v>
      </c>
      <c r="J2739" s="8">
        <v>0.89606481481481481</v>
      </c>
      <c r="K2739" t="s">
        <v>984</v>
      </c>
      <c r="AQ2739" t="s">
        <v>1090</v>
      </c>
      <c r="AR2739" t="s">
        <v>1700</v>
      </c>
      <c r="AT2739" t="s">
        <v>987</v>
      </c>
      <c r="AZ2739" t="s">
        <v>1011</v>
      </c>
      <c r="BA2739" t="s">
        <v>1012</v>
      </c>
      <c r="BB2739" t="s">
        <v>1013</v>
      </c>
      <c r="BD2739" t="s">
        <v>1014</v>
      </c>
      <c r="BE2739" t="s">
        <v>768</v>
      </c>
    </row>
    <row r="2740" spans="1:57" ht="13" x14ac:dyDescent="0.15">
      <c r="A2740">
        <v>1839</v>
      </c>
      <c r="B2740">
        <v>287783169</v>
      </c>
      <c r="C2740" t="s">
        <v>769</v>
      </c>
      <c r="D2740" s="7">
        <v>45686</v>
      </c>
      <c r="E2740" s="7">
        <v>45688</v>
      </c>
      <c r="F2740">
        <v>330862</v>
      </c>
      <c r="G2740" t="s">
        <v>983</v>
      </c>
      <c r="H2740" t="s">
        <v>9</v>
      </c>
      <c r="I2740" s="7">
        <v>45686</v>
      </c>
      <c r="J2740" s="8">
        <v>0.48318287037037039</v>
      </c>
      <c r="K2740" t="s">
        <v>984</v>
      </c>
      <c r="AQ2740" t="s">
        <v>985</v>
      </c>
      <c r="AR2740" t="s">
        <v>1114</v>
      </c>
      <c r="AT2740" t="s">
        <v>987</v>
      </c>
      <c r="AZ2740" t="s">
        <v>1011</v>
      </c>
      <c r="BA2740" t="s">
        <v>1012</v>
      </c>
      <c r="BB2740" t="s">
        <v>1013</v>
      </c>
      <c r="BD2740" t="s">
        <v>1014</v>
      </c>
      <c r="BE2740" t="s">
        <v>769</v>
      </c>
    </row>
    <row r="2741" spans="1:57" ht="13" x14ac:dyDescent="0.15">
      <c r="A2741">
        <v>1839</v>
      </c>
      <c r="B2741">
        <v>287794623</v>
      </c>
      <c r="C2741" t="s">
        <v>770</v>
      </c>
      <c r="D2741" s="7">
        <v>45686</v>
      </c>
      <c r="E2741" s="7">
        <v>45708</v>
      </c>
      <c r="F2741">
        <v>330862</v>
      </c>
      <c r="G2741" t="s">
        <v>983</v>
      </c>
      <c r="H2741" t="s">
        <v>9</v>
      </c>
      <c r="I2741" s="7">
        <v>45686</v>
      </c>
      <c r="J2741" s="8">
        <v>0.8359375</v>
      </c>
      <c r="K2741" t="s">
        <v>984</v>
      </c>
      <c r="AQ2741" t="s">
        <v>998</v>
      </c>
      <c r="AR2741" t="s">
        <v>1114</v>
      </c>
      <c r="AT2741" t="s">
        <v>987</v>
      </c>
      <c r="AZ2741" t="s">
        <v>1011</v>
      </c>
      <c r="BA2741" t="s">
        <v>1012</v>
      </c>
      <c r="BB2741" t="s">
        <v>1013</v>
      </c>
      <c r="BD2741" t="s">
        <v>1014</v>
      </c>
      <c r="BE2741" t="s">
        <v>770</v>
      </c>
    </row>
    <row r="2742" spans="1:57" ht="13" x14ac:dyDescent="0.15">
      <c r="A2742">
        <v>1839</v>
      </c>
      <c r="B2742">
        <v>287833543</v>
      </c>
      <c r="C2742" t="s">
        <v>771</v>
      </c>
      <c r="D2742" s="7">
        <v>45687</v>
      </c>
      <c r="E2742" s="7">
        <v>45689</v>
      </c>
      <c r="F2742">
        <v>330862</v>
      </c>
      <c r="G2742" t="s">
        <v>983</v>
      </c>
      <c r="H2742" t="s">
        <v>9</v>
      </c>
      <c r="I2742" s="7">
        <v>45687</v>
      </c>
      <c r="J2742" s="8">
        <v>0.31024305555555554</v>
      </c>
      <c r="K2742" t="s">
        <v>984</v>
      </c>
      <c r="AQ2742" t="s">
        <v>1092</v>
      </c>
      <c r="AR2742" t="s">
        <v>1114</v>
      </c>
      <c r="AT2742" t="s">
        <v>987</v>
      </c>
      <c r="AZ2742" t="s">
        <v>1011</v>
      </c>
      <c r="BA2742" t="s">
        <v>1012</v>
      </c>
      <c r="BB2742" t="s">
        <v>1013</v>
      </c>
      <c r="BD2742" t="s">
        <v>1014</v>
      </c>
      <c r="BE2742" t="s">
        <v>771</v>
      </c>
    </row>
    <row r="2743" spans="1:57" ht="13" x14ac:dyDescent="0.15">
      <c r="A2743">
        <v>1839</v>
      </c>
      <c r="B2743">
        <v>287836355</v>
      </c>
      <c r="C2743" t="s">
        <v>772</v>
      </c>
      <c r="D2743" s="7">
        <v>45687</v>
      </c>
      <c r="E2743" s="7">
        <v>45696</v>
      </c>
      <c r="F2743">
        <v>330862</v>
      </c>
      <c r="G2743" t="s">
        <v>983</v>
      </c>
      <c r="H2743" t="s">
        <v>9</v>
      </c>
      <c r="I2743" s="7">
        <v>45687</v>
      </c>
      <c r="J2743" s="8">
        <v>0.41476851851851854</v>
      </c>
      <c r="K2743" t="s">
        <v>984</v>
      </c>
      <c r="AQ2743" t="s">
        <v>1090</v>
      </c>
      <c r="AR2743" t="s">
        <v>1114</v>
      </c>
      <c r="AT2743" t="s">
        <v>987</v>
      </c>
      <c r="AZ2743" t="s">
        <v>1011</v>
      </c>
      <c r="BA2743" t="s">
        <v>1012</v>
      </c>
      <c r="BB2743" t="s">
        <v>1013</v>
      </c>
      <c r="BD2743" t="s">
        <v>1014</v>
      </c>
      <c r="BE2743" t="s">
        <v>772</v>
      </c>
    </row>
    <row r="2744" spans="1:57" ht="13" x14ac:dyDescent="0.15">
      <c r="A2744">
        <v>1839</v>
      </c>
      <c r="B2744">
        <v>287841414</v>
      </c>
      <c r="C2744" t="s">
        <v>773</v>
      </c>
      <c r="D2744" s="7">
        <v>45687</v>
      </c>
      <c r="E2744" s="7">
        <v>45690</v>
      </c>
      <c r="F2744">
        <v>330862</v>
      </c>
      <c r="G2744" t="s">
        <v>983</v>
      </c>
      <c r="H2744" t="s">
        <v>9</v>
      </c>
      <c r="I2744" s="7">
        <v>45687</v>
      </c>
      <c r="J2744" s="8">
        <v>0.49608796296296298</v>
      </c>
      <c r="K2744" t="s">
        <v>984</v>
      </c>
      <c r="AQ2744" t="s">
        <v>992</v>
      </c>
      <c r="AR2744" t="s">
        <v>994</v>
      </c>
      <c r="AT2744" t="s">
        <v>987</v>
      </c>
      <c r="AZ2744" t="s">
        <v>1011</v>
      </c>
      <c r="BA2744" t="s">
        <v>1012</v>
      </c>
      <c r="BB2744" t="s">
        <v>1013</v>
      </c>
      <c r="BD2744" t="s">
        <v>1014</v>
      </c>
      <c r="BE2744" t="s">
        <v>773</v>
      </c>
    </row>
    <row r="2745" spans="1:57" ht="13" x14ac:dyDescent="0.15">
      <c r="A2745">
        <v>1839</v>
      </c>
      <c r="B2745">
        <v>287841664</v>
      </c>
      <c r="C2745" t="s">
        <v>774</v>
      </c>
      <c r="D2745" s="7">
        <v>45687</v>
      </c>
      <c r="E2745" s="7">
        <v>45689</v>
      </c>
      <c r="F2745">
        <v>330862</v>
      </c>
      <c r="G2745" t="s">
        <v>983</v>
      </c>
      <c r="H2745" t="s">
        <v>9</v>
      </c>
      <c r="I2745" s="7">
        <v>45687</v>
      </c>
      <c r="J2745" s="8">
        <v>0.50283564814814818</v>
      </c>
      <c r="K2745" t="s">
        <v>984</v>
      </c>
      <c r="AQ2745" t="s">
        <v>998</v>
      </c>
      <c r="AR2745" t="s">
        <v>994</v>
      </c>
      <c r="AT2745" t="s">
        <v>987</v>
      </c>
      <c r="AZ2745" t="s">
        <v>1011</v>
      </c>
      <c r="BA2745" t="s">
        <v>1012</v>
      </c>
      <c r="BB2745" t="s">
        <v>1013</v>
      </c>
      <c r="BD2745" t="s">
        <v>1014</v>
      </c>
      <c r="BE2745" t="s">
        <v>774</v>
      </c>
    </row>
    <row r="2746" spans="1:57" ht="13" x14ac:dyDescent="0.15">
      <c r="A2746">
        <v>1839</v>
      </c>
      <c r="B2746">
        <v>287842406</v>
      </c>
      <c r="C2746" t="s">
        <v>775</v>
      </c>
      <c r="D2746" s="7">
        <v>45687</v>
      </c>
      <c r="E2746" s="7">
        <v>45705</v>
      </c>
      <c r="F2746">
        <v>330862</v>
      </c>
      <c r="G2746" t="s">
        <v>983</v>
      </c>
      <c r="H2746" t="s">
        <v>9</v>
      </c>
      <c r="I2746" s="7">
        <v>45701</v>
      </c>
      <c r="J2746" s="8">
        <v>0.56202546296296296</v>
      </c>
      <c r="K2746" t="s">
        <v>984</v>
      </c>
      <c r="AQ2746" t="s">
        <v>1273</v>
      </c>
      <c r="AR2746" t="s">
        <v>1480</v>
      </c>
      <c r="AT2746" t="s">
        <v>987</v>
      </c>
      <c r="AZ2746" t="s">
        <v>1028</v>
      </c>
      <c r="BA2746" t="s">
        <v>1037</v>
      </c>
      <c r="BB2746" t="s">
        <v>1038</v>
      </c>
      <c r="BD2746" t="s">
        <v>991</v>
      </c>
      <c r="BE2746" t="s">
        <v>775</v>
      </c>
    </row>
    <row r="2747" spans="1:57" ht="13" x14ac:dyDescent="0.15">
      <c r="A2747">
        <v>1839</v>
      </c>
      <c r="B2747">
        <v>287842406</v>
      </c>
      <c r="C2747" t="s">
        <v>775</v>
      </c>
      <c r="D2747" s="7">
        <v>45687</v>
      </c>
      <c r="E2747" s="7">
        <v>45705</v>
      </c>
      <c r="F2747">
        <v>330862</v>
      </c>
      <c r="G2747" t="s">
        <v>983</v>
      </c>
      <c r="H2747" t="s">
        <v>9</v>
      </c>
      <c r="I2747" s="7">
        <v>45687</v>
      </c>
      <c r="J2747" s="8">
        <v>0.52815972222222218</v>
      </c>
      <c r="K2747" t="s">
        <v>984</v>
      </c>
      <c r="AQ2747" t="s">
        <v>1273</v>
      </c>
      <c r="AR2747" t="s">
        <v>994</v>
      </c>
      <c r="AT2747" t="s">
        <v>987</v>
      </c>
      <c r="AZ2747" t="s">
        <v>1011</v>
      </c>
      <c r="BA2747" t="s">
        <v>1012</v>
      </c>
      <c r="BB2747" t="s">
        <v>1013</v>
      </c>
      <c r="BD2747" t="s">
        <v>1014</v>
      </c>
      <c r="BE2747" t="s">
        <v>775</v>
      </c>
    </row>
    <row r="2748" spans="1:57" ht="13" x14ac:dyDescent="0.15">
      <c r="A2748">
        <v>1839</v>
      </c>
      <c r="B2748">
        <v>287843899</v>
      </c>
      <c r="C2748" t="s">
        <v>776</v>
      </c>
      <c r="D2748" s="7">
        <v>45687</v>
      </c>
      <c r="E2748" s="7">
        <v>45689</v>
      </c>
      <c r="F2748">
        <v>330862</v>
      </c>
      <c r="G2748" t="s">
        <v>983</v>
      </c>
      <c r="H2748" t="s">
        <v>9</v>
      </c>
      <c r="I2748" s="7">
        <v>45687</v>
      </c>
      <c r="J2748" s="8">
        <v>0.58175925925925931</v>
      </c>
      <c r="K2748" t="s">
        <v>984</v>
      </c>
      <c r="AQ2748" t="s">
        <v>985</v>
      </c>
      <c r="AR2748" t="s">
        <v>1269</v>
      </c>
      <c r="AT2748" t="s">
        <v>987</v>
      </c>
      <c r="AZ2748" t="s">
        <v>1011</v>
      </c>
      <c r="BA2748" t="s">
        <v>1012</v>
      </c>
      <c r="BB2748" t="s">
        <v>1013</v>
      </c>
      <c r="BD2748" t="s">
        <v>1014</v>
      </c>
      <c r="BE2748" t="s">
        <v>776</v>
      </c>
    </row>
    <row r="2749" spans="1:57" ht="13" x14ac:dyDescent="0.15">
      <c r="A2749">
        <v>1839</v>
      </c>
      <c r="B2749">
        <v>287917298</v>
      </c>
      <c r="C2749" t="s">
        <v>777</v>
      </c>
      <c r="D2749" s="7">
        <v>45688</v>
      </c>
      <c r="E2749" s="7">
        <v>45702</v>
      </c>
      <c r="F2749">
        <v>330862</v>
      </c>
      <c r="G2749" t="s">
        <v>983</v>
      </c>
      <c r="H2749" t="s">
        <v>9</v>
      </c>
      <c r="I2749" s="7">
        <v>45698</v>
      </c>
      <c r="J2749" s="8">
        <v>0.73841435185185189</v>
      </c>
      <c r="K2749" t="s">
        <v>984</v>
      </c>
      <c r="AQ2749" t="s">
        <v>1090</v>
      </c>
      <c r="AR2749" t="s">
        <v>994</v>
      </c>
      <c r="AT2749" t="s">
        <v>987</v>
      </c>
      <c r="AZ2749" t="s">
        <v>1011</v>
      </c>
      <c r="BA2749" t="s">
        <v>1012</v>
      </c>
      <c r="BB2749" t="s">
        <v>1013</v>
      </c>
      <c r="BD2749" t="s">
        <v>1014</v>
      </c>
      <c r="BE2749" t="s">
        <v>777</v>
      </c>
    </row>
    <row r="2750" spans="1:57" ht="13" x14ac:dyDescent="0.15">
      <c r="A2750">
        <v>1839</v>
      </c>
      <c r="B2750">
        <v>287921091</v>
      </c>
      <c r="C2750" t="s">
        <v>778</v>
      </c>
      <c r="D2750" s="7">
        <v>45688</v>
      </c>
      <c r="E2750" s="7">
        <v>45690</v>
      </c>
      <c r="F2750">
        <v>330862</v>
      </c>
      <c r="G2750" t="s">
        <v>983</v>
      </c>
      <c r="H2750" t="s">
        <v>9</v>
      </c>
      <c r="I2750" s="7">
        <v>45688</v>
      </c>
      <c r="J2750" s="8">
        <v>0.83243055555555556</v>
      </c>
      <c r="K2750" t="s">
        <v>984</v>
      </c>
      <c r="AQ2750" t="s">
        <v>1251</v>
      </c>
      <c r="AR2750" t="s">
        <v>1269</v>
      </c>
      <c r="AT2750" t="s">
        <v>987</v>
      </c>
      <c r="AZ2750" t="s">
        <v>1011</v>
      </c>
      <c r="BA2750" t="s">
        <v>1012</v>
      </c>
      <c r="BB2750" t="s">
        <v>1013</v>
      </c>
      <c r="BD2750" t="s">
        <v>1014</v>
      </c>
      <c r="BE2750" t="s">
        <v>778</v>
      </c>
    </row>
    <row r="2751" spans="1:57" ht="13" x14ac:dyDescent="0.15">
      <c r="A2751">
        <v>1839</v>
      </c>
      <c r="B2751">
        <v>287933586</v>
      </c>
      <c r="C2751" t="s">
        <v>779</v>
      </c>
      <c r="D2751" s="7">
        <v>45689</v>
      </c>
      <c r="E2751" s="7">
        <v>45709</v>
      </c>
      <c r="F2751">
        <v>330862</v>
      </c>
      <c r="G2751" t="s">
        <v>983</v>
      </c>
      <c r="H2751" t="s">
        <v>9</v>
      </c>
      <c r="I2751" s="7">
        <v>45689</v>
      </c>
      <c r="J2751" s="8">
        <v>0.49907407407407406</v>
      </c>
      <c r="K2751" t="s">
        <v>984</v>
      </c>
      <c r="AQ2751" t="s">
        <v>985</v>
      </c>
      <c r="AR2751" t="s">
        <v>994</v>
      </c>
      <c r="AT2751" t="s">
        <v>987</v>
      </c>
      <c r="AZ2751" t="s">
        <v>1011</v>
      </c>
      <c r="BA2751" t="s">
        <v>1012</v>
      </c>
      <c r="BB2751" t="s">
        <v>1013</v>
      </c>
      <c r="BD2751" t="s">
        <v>1014</v>
      </c>
      <c r="BE2751" t="s">
        <v>779</v>
      </c>
    </row>
    <row r="2752" spans="1:57" ht="13" x14ac:dyDescent="0.15">
      <c r="A2752">
        <v>1839</v>
      </c>
      <c r="B2752">
        <v>287934770</v>
      </c>
      <c r="C2752" t="s">
        <v>780</v>
      </c>
      <c r="D2752" s="7">
        <v>45689</v>
      </c>
      <c r="E2752" s="7">
        <v>45691</v>
      </c>
      <c r="F2752">
        <v>330862</v>
      </c>
      <c r="G2752" t="s">
        <v>983</v>
      </c>
      <c r="H2752" t="s">
        <v>9</v>
      </c>
      <c r="I2752" s="7">
        <v>45689</v>
      </c>
      <c r="J2752" s="8">
        <v>0.5479398148148148</v>
      </c>
      <c r="K2752" t="s">
        <v>984</v>
      </c>
      <c r="AQ2752" t="s">
        <v>1320</v>
      </c>
      <c r="AR2752" t="s">
        <v>1269</v>
      </c>
      <c r="AT2752" t="s">
        <v>987</v>
      </c>
      <c r="AZ2752" t="s">
        <v>1011</v>
      </c>
      <c r="BA2752" t="s">
        <v>1012</v>
      </c>
      <c r="BB2752" t="s">
        <v>1013</v>
      </c>
      <c r="BD2752" t="s">
        <v>1014</v>
      </c>
      <c r="BE2752" t="s">
        <v>780</v>
      </c>
    </row>
    <row r="2753" spans="1:57" ht="13" x14ac:dyDescent="0.15">
      <c r="A2753">
        <v>1839</v>
      </c>
      <c r="B2753">
        <v>287936075</v>
      </c>
      <c r="C2753" t="s">
        <v>781</v>
      </c>
      <c r="D2753" s="7">
        <v>45689</v>
      </c>
      <c r="E2753" s="7">
        <v>45693</v>
      </c>
      <c r="F2753">
        <v>330862</v>
      </c>
      <c r="G2753" t="s">
        <v>983</v>
      </c>
      <c r="H2753" t="s">
        <v>9</v>
      </c>
      <c r="I2753" s="7">
        <v>45689</v>
      </c>
      <c r="J2753" s="8">
        <v>0.59612268518518519</v>
      </c>
      <c r="K2753" t="s">
        <v>984</v>
      </c>
      <c r="AQ2753" t="s">
        <v>992</v>
      </c>
      <c r="AR2753" t="s">
        <v>994</v>
      </c>
      <c r="AT2753" t="s">
        <v>987</v>
      </c>
      <c r="AZ2753" t="s">
        <v>1011</v>
      </c>
      <c r="BA2753" t="s">
        <v>1012</v>
      </c>
      <c r="BB2753" t="s">
        <v>1013</v>
      </c>
      <c r="BD2753" t="s">
        <v>1014</v>
      </c>
      <c r="BE2753" t="s">
        <v>781</v>
      </c>
    </row>
    <row r="2754" spans="1:57" ht="13" x14ac:dyDescent="0.15">
      <c r="A2754">
        <v>1839</v>
      </c>
      <c r="B2754">
        <v>287948258</v>
      </c>
      <c r="C2754" t="s">
        <v>782</v>
      </c>
      <c r="D2754" s="7">
        <v>45690</v>
      </c>
      <c r="E2754" s="7">
        <v>45694</v>
      </c>
      <c r="F2754">
        <v>330862</v>
      </c>
      <c r="G2754" t="s">
        <v>983</v>
      </c>
      <c r="H2754" t="s">
        <v>9</v>
      </c>
      <c r="I2754" s="7">
        <v>45694</v>
      </c>
      <c r="J2754" s="8">
        <v>0.61934027777777778</v>
      </c>
      <c r="K2754" t="s">
        <v>984</v>
      </c>
      <c r="AQ2754" t="s">
        <v>1090</v>
      </c>
      <c r="AR2754" t="s">
        <v>1269</v>
      </c>
      <c r="AT2754" t="s">
        <v>987</v>
      </c>
      <c r="AZ2754" t="s">
        <v>1011</v>
      </c>
      <c r="BA2754" t="s">
        <v>1012</v>
      </c>
      <c r="BB2754" t="s">
        <v>1013</v>
      </c>
      <c r="BD2754" t="s">
        <v>1014</v>
      </c>
      <c r="BE2754" t="s">
        <v>782</v>
      </c>
    </row>
    <row r="2755" spans="1:57" ht="13" x14ac:dyDescent="0.15">
      <c r="A2755">
        <v>1839</v>
      </c>
      <c r="B2755">
        <v>287949657</v>
      </c>
      <c r="C2755" t="s">
        <v>783</v>
      </c>
      <c r="D2755" s="7">
        <v>45690</v>
      </c>
      <c r="E2755" s="7">
        <v>45692</v>
      </c>
      <c r="F2755">
        <v>330862</v>
      </c>
      <c r="G2755" t="s">
        <v>983</v>
      </c>
      <c r="H2755" t="s">
        <v>9</v>
      </c>
      <c r="I2755" s="7">
        <v>45692</v>
      </c>
      <c r="J2755" s="8">
        <v>0.4855902777777778</v>
      </c>
      <c r="K2755" t="s">
        <v>984</v>
      </c>
      <c r="AQ2755" t="s">
        <v>998</v>
      </c>
      <c r="AR2755" t="s">
        <v>994</v>
      </c>
      <c r="AT2755" t="s">
        <v>987</v>
      </c>
      <c r="AZ2755" t="s">
        <v>1011</v>
      </c>
      <c r="BA2755" t="s">
        <v>1012</v>
      </c>
      <c r="BB2755" t="s">
        <v>1013</v>
      </c>
      <c r="BD2755" t="s">
        <v>1014</v>
      </c>
      <c r="BE2755" t="s">
        <v>783</v>
      </c>
    </row>
    <row r="2756" spans="1:57" ht="13" x14ac:dyDescent="0.15">
      <c r="A2756">
        <v>1839</v>
      </c>
      <c r="B2756">
        <v>287958036</v>
      </c>
      <c r="C2756" t="s">
        <v>784</v>
      </c>
      <c r="D2756" s="7">
        <v>45690</v>
      </c>
      <c r="E2756" s="7">
        <v>45692</v>
      </c>
      <c r="F2756">
        <v>330862</v>
      </c>
      <c r="G2756" t="s">
        <v>983</v>
      </c>
      <c r="H2756" t="s">
        <v>9</v>
      </c>
      <c r="I2756" s="7">
        <v>45690</v>
      </c>
      <c r="J2756" s="8">
        <v>0.79503472222222227</v>
      </c>
      <c r="K2756" t="s">
        <v>984</v>
      </c>
      <c r="AQ2756" t="s">
        <v>985</v>
      </c>
      <c r="AR2756" t="s">
        <v>994</v>
      </c>
      <c r="AT2756" t="s">
        <v>987</v>
      </c>
      <c r="AZ2756" t="s">
        <v>1011</v>
      </c>
      <c r="BA2756" t="s">
        <v>1012</v>
      </c>
      <c r="BB2756" t="s">
        <v>1013</v>
      </c>
      <c r="BD2756" t="s">
        <v>1014</v>
      </c>
      <c r="BE2756" t="s">
        <v>784</v>
      </c>
    </row>
    <row r="2757" spans="1:57" ht="13" x14ac:dyDescent="0.15">
      <c r="A2757">
        <v>1839</v>
      </c>
      <c r="B2757">
        <v>287959593</v>
      </c>
      <c r="C2757" t="s">
        <v>785</v>
      </c>
      <c r="D2757" s="7">
        <v>45690</v>
      </c>
      <c r="E2757" s="7">
        <v>45692</v>
      </c>
      <c r="F2757">
        <v>336444</v>
      </c>
      <c r="G2757" t="s">
        <v>995</v>
      </c>
      <c r="H2757" t="s">
        <v>12</v>
      </c>
      <c r="I2757" s="7">
        <v>45690</v>
      </c>
      <c r="J2757" s="8">
        <v>0.92031249999999998</v>
      </c>
      <c r="K2757" t="s">
        <v>984</v>
      </c>
      <c r="AQ2757" t="s">
        <v>996</v>
      </c>
      <c r="BE2757" t="s">
        <v>785</v>
      </c>
    </row>
    <row r="2758" spans="1:57" ht="13" x14ac:dyDescent="0.15">
      <c r="A2758">
        <v>1839</v>
      </c>
      <c r="B2758">
        <v>287987038</v>
      </c>
      <c r="C2758" t="s">
        <v>786</v>
      </c>
      <c r="D2758" s="7">
        <v>45691</v>
      </c>
      <c r="E2758" s="7">
        <v>45693</v>
      </c>
      <c r="F2758">
        <v>330862</v>
      </c>
      <c r="G2758" t="s">
        <v>983</v>
      </c>
      <c r="H2758" t="s">
        <v>9</v>
      </c>
      <c r="I2758" s="7">
        <v>45691</v>
      </c>
      <c r="J2758" s="8">
        <v>0.99108796296296298</v>
      </c>
      <c r="K2758" t="s">
        <v>984</v>
      </c>
      <c r="AQ2758" t="s">
        <v>998</v>
      </c>
      <c r="AR2758" t="s">
        <v>1269</v>
      </c>
      <c r="AT2758" t="s">
        <v>987</v>
      </c>
      <c r="AZ2758" t="s">
        <v>1011</v>
      </c>
      <c r="BA2758" t="s">
        <v>1012</v>
      </c>
      <c r="BB2758" t="s">
        <v>1013</v>
      </c>
      <c r="BD2758" t="s">
        <v>1014</v>
      </c>
      <c r="BE2758" t="s">
        <v>786</v>
      </c>
    </row>
    <row r="2759" spans="1:57" ht="13" x14ac:dyDescent="0.15">
      <c r="A2759">
        <v>1839</v>
      </c>
      <c r="B2759">
        <v>288001521</v>
      </c>
      <c r="C2759" t="s">
        <v>787</v>
      </c>
      <c r="D2759" s="7">
        <v>45692</v>
      </c>
      <c r="E2759" s="7">
        <v>45694</v>
      </c>
      <c r="F2759">
        <v>330862</v>
      </c>
      <c r="G2759" t="s">
        <v>983</v>
      </c>
      <c r="H2759" t="s">
        <v>9</v>
      </c>
      <c r="I2759" s="7">
        <v>45692</v>
      </c>
      <c r="J2759" s="8">
        <v>0.4786111111111111</v>
      </c>
      <c r="K2759" t="s">
        <v>984</v>
      </c>
      <c r="AQ2759" t="s">
        <v>992</v>
      </c>
      <c r="AR2759" t="s">
        <v>994</v>
      </c>
      <c r="AT2759" t="s">
        <v>987</v>
      </c>
      <c r="AZ2759" t="s">
        <v>1011</v>
      </c>
      <c r="BA2759" t="s">
        <v>1012</v>
      </c>
      <c r="BB2759" t="s">
        <v>1013</v>
      </c>
      <c r="BD2759" t="s">
        <v>1014</v>
      </c>
      <c r="BE2759" t="s">
        <v>787</v>
      </c>
    </row>
    <row r="2760" spans="1:57" ht="13" x14ac:dyDescent="0.15">
      <c r="A2760">
        <v>1839</v>
      </c>
      <c r="B2760">
        <v>288005801</v>
      </c>
      <c r="C2760" t="s">
        <v>788</v>
      </c>
      <c r="D2760" s="7">
        <v>45692</v>
      </c>
      <c r="E2760" s="7">
        <v>45694</v>
      </c>
      <c r="F2760">
        <v>330862</v>
      </c>
      <c r="G2760" t="s">
        <v>983</v>
      </c>
      <c r="H2760" t="s">
        <v>9</v>
      </c>
      <c r="I2760" s="7">
        <v>45692</v>
      </c>
      <c r="J2760" s="8">
        <v>0.59256944444444448</v>
      </c>
      <c r="K2760" t="s">
        <v>984</v>
      </c>
      <c r="AQ2760" t="s">
        <v>1142</v>
      </c>
      <c r="AR2760" t="s">
        <v>994</v>
      </c>
      <c r="AT2760" t="s">
        <v>987</v>
      </c>
      <c r="AZ2760" t="s">
        <v>1011</v>
      </c>
      <c r="BA2760" t="s">
        <v>1012</v>
      </c>
      <c r="BB2760" t="s">
        <v>1013</v>
      </c>
      <c r="BD2760" t="s">
        <v>1014</v>
      </c>
      <c r="BE2760" t="s">
        <v>788</v>
      </c>
    </row>
    <row r="2761" spans="1:57" ht="13" x14ac:dyDescent="0.15">
      <c r="A2761">
        <v>1839</v>
      </c>
      <c r="B2761">
        <v>288012983</v>
      </c>
      <c r="C2761" t="s">
        <v>789</v>
      </c>
      <c r="D2761" s="7">
        <v>45692</v>
      </c>
      <c r="E2761" s="7">
        <v>45694</v>
      </c>
      <c r="F2761">
        <v>330862</v>
      </c>
      <c r="G2761" t="s">
        <v>983</v>
      </c>
      <c r="H2761" t="s">
        <v>9</v>
      </c>
      <c r="I2761" s="7">
        <v>45692</v>
      </c>
      <c r="J2761" s="8">
        <v>0.92623842592592598</v>
      </c>
      <c r="K2761" t="s">
        <v>984</v>
      </c>
      <c r="AQ2761" t="s">
        <v>992</v>
      </c>
      <c r="AR2761" t="s">
        <v>1269</v>
      </c>
      <c r="AT2761" t="s">
        <v>987</v>
      </c>
      <c r="AZ2761" t="s">
        <v>1011</v>
      </c>
      <c r="BA2761" t="s">
        <v>1012</v>
      </c>
      <c r="BB2761" t="s">
        <v>1013</v>
      </c>
      <c r="BD2761" t="s">
        <v>1014</v>
      </c>
      <c r="BE2761" t="s">
        <v>789</v>
      </c>
    </row>
    <row r="2762" spans="1:57" ht="13" x14ac:dyDescent="0.15">
      <c r="A2762">
        <v>1839</v>
      </c>
      <c r="B2762">
        <v>288018266</v>
      </c>
      <c r="C2762" t="s">
        <v>790</v>
      </c>
      <c r="D2762" s="7">
        <v>45693</v>
      </c>
      <c r="E2762" s="7">
        <v>45705</v>
      </c>
      <c r="F2762">
        <v>330862</v>
      </c>
      <c r="G2762" t="s">
        <v>983</v>
      </c>
      <c r="H2762" t="s">
        <v>9</v>
      </c>
      <c r="I2762" s="7">
        <v>45693</v>
      </c>
      <c r="J2762" s="8">
        <v>0.19261574074074075</v>
      </c>
      <c r="K2762" t="s">
        <v>984</v>
      </c>
      <c r="AQ2762" t="s">
        <v>1089</v>
      </c>
      <c r="AR2762" t="s">
        <v>2217</v>
      </c>
      <c r="AT2762" t="s">
        <v>987</v>
      </c>
      <c r="AZ2762" t="s">
        <v>1011</v>
      </c>
      <c r="BA2762" t="s">
        <v>1012</v>
      </c>
      <c r="BB2762" t="s">
        <v>1013</v>
      </c>
      <c r="BD2762" t="s">
        <v>1014</v>
      </c>
      <c r="BE2762" t="s">
        <v>790</v>
      </c>
    </row>
    <row r="2763" spans="1:57" ht="13" x14ac:dyDescent="0.15">
      <c r="A2763">
        <v>1839</v>
      </c>
      <c r="B2763">
        <v>288018266</v>
      </c>
      <c r="C2763" t="s">
        <v>790</v>
      </c>
      <c r="D2763" s="7">
        <v>45693</v>
      </c>
      <c r="E2763" s="7">
        <v>45705</v>
      </c>
      <c r="F2763">
        <v>330862</v>
      </c>
      <c r="G2763" t="s">
        <v>983</v>
      </c>
      <c r="H2763" t="s">
        <v>9</v>
      </c>
      <c r="I2763" s="7">
        <v>45701</v>
      </c>
      <c r="J2763" s="8">
        <v>0.29531249999999998</v>
      </c>
      <c r="K2763" t="s">
        <v>984</v>
      </c>
      <c r="AQ2763" t="s">
        <v>1090</v>
      </c>
      <c r="AR2763" t="s">
        <v>2218</v>
      </c>
      <c r="AT2763" t="s">
        <v>987</v>
      </c>
      <c r="AZ2763" t="s">
        <v>1016</v>
      </c>
      <c r="BA2763" t="s">
        <v>1017</v>
      </c>
      <c r="BB2763" t="s">
        <v>1018</v>
      </c>
      <c r="BD2763" t="s">
        <v>991</v>
      </c>
      <c r="BE2763" t="s">
        <v>790</v>
      </c>
    </row>
    <row r="2764" spans="1:57" ht="13" x14ac:dyDescent="0.15">
      <c r="A2764">
        <v>1839</v>
      </c>
      <c r="B2764">
        <v>288032964</v>
      </c>
      <c r="C2764" t="s">
        <v>791</v>
      </c>
      <c r="D2764" s="7">
        <v>45693</v>
      </c>
      <c r="E2764" s="7">
        <v>45695</v>
      </c>
      <c r="F2764">
        <v>330862</v>
      </c>
      <c r="G2764" t="s">
        <v>983</v>
      </c>
      <c r="H2764" t="s">
        <v>9</v>
      </c>
      <c r="I2764" s="7">
        <v>45693</v>
      </c>
      <c r="J2764" s="8">
        <v>0.59185185185185185</v>
      </c>
      <c r="K2764" t="s">
        <v>984</v>
      </c>
      <c r="AQ2764" t="s">
        <v>1556</v>
      </c>
      <c r="AR2764" t="s">
        <v>1043</v>
      </c>
      <c r="AT2764" t="s">
        <v>987</v>
      </c>
      <c r="AZ2764" t="s">
        <v>1044</v>
      </c>
      <c r="BA2764" t="s">
        <v>1045</v>
      </c>
      <c r="BB2764" t="s">
        <v>990</v>
      </c>
      <c r="BD2764" t="s">
        <v>991</v>
      </c>
      <c r="BE2764" t="s">
        <v>791</v>
      </c>
    </row>
    <row r="2765" spans="1:57" ht="13" x14ac:dyDescent="0.15">
      <c r="A2765">
        <v>1839</v>
      </c>
      <c r="B2765">
        <v>288034018</v>
      </c>
      <c r="C2765" t="s">
        <v>792</v>
      </c>
      <c r="D2765" s="7">
        <v>45693</v>
      </c>
      <c r="E2765" s="7">
        <v>45697</v>
      </c>
      <c r="F2765">
        <v>330862</v>
      </c>
      <c r="G2765" t="s">
        <v>983</v>
      </c>
      <c r="H2765" t="s">
        <v>9</v>
      </c>
      <c r="I2765" s="7">
        <v>45693</v>
      </c>
      <c r="J2765" s="8">
        <v>0.6038310185185185</v>
      </c>
      <c r="K2765" t="s">
        <v>984</v>
      </c>
      <c r="AQ2765" t="s">
        <v>998</v>
      </c>
      <c r="AR2765" t="s">
        <v>1043</v>
      </c>
      <c r="AT2765" t="s">
        <v>987</v>
      </c>
      <c r="AZ2765" t="s">
        <v>1044</v>
      </c>
      <c r="BA2765" t="s">
        <v>1045</v>
      </c>
      <c r="BB2765" t="s">
        <v>990</v>
      </c>
      <c r="BD2765" t="s">
        <v>991</v>
      </c>
      <c r="BE2765" t="s">
        <v>792</v>
      </c>
    </row>
    <row r="2766" spans="1:57" ht="13" x14ac:dyDescent="0.15">
      <c r="A2766">
        <v>1839</v>
      </c>
      <c r="B2766">
        <v>288035498</v>
      </c>
      <c r="C2766" t="s">
        <v>793</v>
      </c>
      <c r="D2766" s="7">
        <v>45693</v>
      </c>
      <c r="E2766" s="7">
        <v>45695</v>
      </c>
      <c r="F2766">
        <v>330862</v>
      </c>
      <c r="G2766" t="s">
        <v>983</v>
      </c>
      <c r="H2766" t="s">
        <v>9</v>
      </c>
      <c r="I2766" s="7">
        <v>45693</v>
      </c>
      <c r="J2766" s="8">
        <v>0.63548611111111108</v>
      </c>
      <c r="K2766" t="s">
        <v>984</v>
      </c>
      <c r="AQ2766" t="s">
        <v>1090</v>
      </c>
      <c r="AR2766" t="s">
        <v>1269</v>
      </c>
      <c r="AT2766" t="s">
        <v>987</v>
      </c>
      <c r="AZ2766" t="s">
        <v>1011</v>
      </c>
      <c r="BA2766" t="s">
        <v>1012</v>
      </c>
      <c r="BB2766" t="s">
        <v>1013</v>
      </c>
      <c r="BD2766" t="s">
        <v>1014</v>
      </c>
      <c r="BE2766" t="s">
        <v>793</v>
      </c>
    </row>
    <row r="2767" spans="1:57" ht="13" x14ac:dyDescent="0.15">
      <c r="A2767">
        <v>1839</v>
      </c>
      <c r="B2767">
        <v>288052398</v>
      </c>
      <c r="C2767" t="s">
        <v>794</v>
      </c>
      <c r="D2767" s="7">
        <v>45694</v>
      </c>
      <c r="E2767" s="7">
        <v>45698</v>
      </c>
      <c r="F2767">
        <v>330862</v>
      </c>
      <c r="G2767" t="s">
        <v>983</v>
      </c>
      <c r="H2767" t="s">
        <v>9</v>
      </c>
      <c r="I2767" s="7">
        <v>45694</v>
      </c>
      <c r="J2767" s="8">
        <v>0.36658564814814815</v>
      </c>
      <c r="K2767" t="s">
        <v>984</v>
      </c>
      <c r="AQ2767" t="s">
        <v>985</v>
      </c>
      <c r="AR2767" t="s">
        <v>993</v>
      </c>
      <c r="AT2767" t="s">
        <v>987</v>
      </c>
      <c r="AZ2767" t="s">
        <v>988</v>
      </c>
      <c r="BA2767" t="s">
        <v>989</v>
      </c>
      <c r="BB2767" t="s">
        <v>990</v>
      </c>
      <c r="BD2767" t="s">
        <v>991</v>
      </c>
      <c r="BE2767" t="s">
        <v>794</v>
      </c>
    </row>
    <row r="2768" spans="1:57" ht="13" x14ac:dyDescent="0.15">
      <c r="A2768">
        <v>1839</v>
      </c>
      <c r="B2768">
        <v>288053737</v>
      </c>
      <c r="C2768" t="s">
        <v>795</v>
      </c>
      <c r="D2768" s="7">
        <v>45694</v>
      </c>
      <c r="E2768" s="7">
        <v>45696</v>
      </c>
      <c r="F2768">
        <v>330862</v>
      </c>
      <c r="G2768" t="s">
        <v>983</v>
      </c>
      <c r="H2768" t="s">
        <v>9</v>
      </c>
      <c r="I2768" s="7">
        <v>45694</v>
      </c>
      <c r="J2768" s="8">
        <v>0.41946759259259259</v>
      </c>
      <c r="K2768" t="s">
        <v>984</v>
      </c>
      <c r="AQ2768" t="s">
        <v>1090</v>
      </c>
      <c r="AR2768" t="s">
        <v>1269</v>
      </c>
      <c r="AT2768" t="s">
        <v>987</v>
      </c>
      <c r="AZ2768" t="s">
        <v>1011</v>
      </c>
      <c r="BA2768" t="s">
        <v>1012</v>
      </c>
      <c r="BB2768" t="s">
        <v>1013</v>
      </c>
      <c r="BD2768" t="s">
        <v>1014</v>
      </c>
      <c r="BE2768" t="s">
        <v>795</v>
      </c>
    </row>
    <row r="2769" spans="1:57" ht="13" x14ac:dyDescent="0.15">
      <c r="A2769">
        <v>1839</v>
      </c>
      <c r="B2769">
        <v>288053839</v>
      </c>
      <c r="C2769" t="s">
        <v>796</v>
      </c>
      <c r="D2769" s="7">
        <v>45694</v>
      </c>
      <c r="E2769" s="7">
        <v>45696</v>
      </c>
      <c r="F2769">
        <v>330862</v>
      </c>
      <c r="G2769" t="s">
        <v>983</v>
      </c>
      <c r="H2769" t="s">
        <v>9</v>
      </c>
      <c r="I2769" s="7">
        <v>45694</v>
      </c>
      <c r="J2769" s="8">
        <v>0.42373842592592592</v>
      </c>
      <c r="K2769" t="s">
        <v>984</v>
      </c>
      <c r="AQ2769" t="s">
        <v>985</v>
      </c>
      <c r="AR2769" t="s">
        <v>993</v>
      </c>
      <c r="AT2769" t="s">
        <v>987</v>
      </c>
      <c r="AZ2769" t="s">
        <v>988</v>
      </c>
      <c r="BA2769" t="s">
        <v>989</v>
      </c>
      <c r="BB2769" t="s">
        <v>990</v>
      </c>
      <c r="BD2769" t="s">
        <v>991</v>
      </c>
      <c r="BE2769" t="s">
        <v>796</v>
      </c>
    </row>
    <row r="2770" spans="1:57" ht="13" x14ac:dyDescent="0.15">
      <c r="A2770">
        <v>1839</v>
      </c>
      <c r="B2770">
        <v>288054315</v>
      </c>
      <c r="C2770" t="s">
        <v>797</v>
      </c>
      <c r="D2770" s="7">
        <v>45694</v>
      </c>
      <c r="E2770" s="7">
        <v>45696</v>
      </c>
      <c r="F2770">
        <v>330862</v>
      </c>
      <c r="G2770" t="s">
        <v>983</v>
      </c>
      <c r="H2770" t="s">
        <v>9</v>
      </c>
      <c r="I2770" s="7">
        <v>45694</v>
      </c>
      <c r="J2770" s="8">
        <v>0.43932870370370369</v>
      </c>
      <c r="K2770" t="s">
        <v>984</v>
      </c>
      <c r="AQ2770" t="s">
        <v>985</v>
      </c>
      <c r="AR2770" t="s">
        <v>993</v>
      </c>
      <c r="AT2770" t="s">
        <v>987</v>
      </c>
      <c r="AZ2770" t="s">
        <v>988</v>
      </c>
      <c r="BA2770" t="s">
        <v>989</v>
      </c>
      <c r="BB2770" t="s">
        <v>990</v>
      </c>
      <c r="BD2770" t="s">
        <v>991</v>
      </c>
      <c r="BE2770" t="s">
        <v>797</v>
      </c>
    </row>
    <row r="2771" spans="1:57" ht="13" x14ac:dyDescent="0.15">
      <c r="A2771">
        <v>1839</v>
      </c>
      <c r="B2771">
        <v>288054608</v>
      </c>
      <c r="C2771" t="s">
        <v>798</v>
      </c>
      <c r="D2771" s="7">
        <v>45694</v>
      </c>
      <c r="E2771" s="7">
        <v>45696</v>
      </c>
      <c r="F2771">
        <v>330862</v>
      </c>
      <c r="G2771" t="s">
        <v>983</v>
      </c>
      <c r="H2771" t="s">
        <v>9</v>
      </c>
      <c r="I2771" s="7">
        <v>45694</v>
      </c>
      <c r="J2771" s="8">
        <v>0.45320601851851849</v>
      </c>
      <c r="K2771" t="s">
        <v>984</v>
      </c>
      <c r="AQ2771" t="s">
        <v>985</v>
      </c>
      <c r="AR2771" t="s">
        <v>993</v>
      </c>
      <c r="AT2771" t="s">
        <v>987</v>
      </c>
      <c r="AZ2771" t="s">
        <v>988</v>
      </c>
      <c r="BA2771" t="s">
        <v>989</v>
      </c>
      <c r="BB2771" t="s">
        <v>990</v>
      </c>
      <c r="BD2771" t="s">
        <v>991</v>
      </c>
      <c r="BE2771" t="s">
        <v>798</v>
      </c>
    </row>
    <row r="2772" spans="1:57" ht="13" x14ac:dyDescent="0.15">
      <c r="A2772">
        <v>1839</v>
      </c>
      <c r="B2772">
        <v>288055481</v>
      </c>
      <c r="C2772" t="s">
        <v>799</v>
      </c>
      <c r="D2772" s="7">
        <v>45694</v>
      </c>
      <c r="E2772" s="7">
        <v>45698</v>
      </c>
      <c r="F2772">
        <v>330862</v>
      </c>
      <c r="G2772" t="s">
        <v>983</v>
      </c>
      <c r="H2772" t="s">
        <v>9</v>
      </c>
      <c r="I2772" s="7">
        <v>45694</v>
      </c>
      <c r="J2772" s="8">
        <v>0.48989583333333331</v>
      </c>
      <c r="K2772" t="s">
        <v>984</v>
      </c>
      <c r="AQ2772" t="s">
        <v>985</v>
      </c>
      <c r="AR2772" t="s">
        <v>993</v>
      </c>
      <c r="AT2772" t="s">
        <v>987</v>
      </c>
      <c r="AZ2772" t="s">
        <v>988</v>
      </c>
      <c r="BA2772" t="s">
        <v>989</v>
      </c>
      <c r="BB2772" t="s">
        <v>990</v>
      </c>
      <c r="BD2772" t="s">
        <v>991</v>
      </c>
      <c r="BE2772" t="s">
        <v>799</v>
      </c>
    </row>
    <row r="2773" spans="1:57" ht="13" x14ac:dyDescent="0.15">
      <c r="A2773">
        <v>1839</v>
      </c>
      <c r="B2773">
        <v>288055632</v>
      </c>
      <c r="C2773" t="s">
        <v>800</v>
      </c>
      <c r="D2773" s="7">
        <v>45694</v>
      </c>
      <c r="E2773" s="7">
        <v>45696</v>
      </c>
      <c r="F2773">
        <v>330862</v>
      </c>
      <c r="G2773" t="s">
        <v>983</v>
      </c>
      <c r="H2773" t="s">
        <v>9</v>
      </c>
      <c r="I2773" s="7">
        <v>45694</v>
      </c>
      <c r="J2773" s="8">
        <v>0.49587962962962961</v>
      </c>
      <c r="K2773" t="s">
        <v>984</v>
      </c>
      <c r="AQ2773" t="s">
        <v>992</v>
      </c>
      <c r="AR2773" t="s">
        <v>986</v>
      </c>
      <c r="AT2773" t="s">
        <v>987</v>
      </c>
      <c r="AZ2773" t="s">
        <v>988</v>
      </c>
      <c r="BA2773" t="s">
        <v>989</v>
      </c>
      <c r="BB2773" t="s">
        <v>990</v>
      </c>
      <c r="BD2773" t="s">
        <v>991</v>
      </c>
      <c r="BE2773" t="s">
        <v>800</v>
      </c>
    </row>
    <row r="2774" spans="1:57" ht="13" x14ac:dyDescent="0.15">
      <c r="A2774">
        <v>1839</v>
      </c>
      <c r="B2774">
        <v>288055919</v>
      </c>
      <c r="C2774" t="s">
        <v>801</v>
      </c>
      <c r="D2774" s="7">
        <v>45694</v>
      </c>
      <c r="E2774" s="7">
        <v>45696</v>
      </c>
      <c r="F2774">
        <v>330862</v>
      </c>
      <c r="G2774" t="s">
        <v>983</v>
      </c>
      <c r="H2774" t="s">
        <v>9</v>
      </c>
      <c r="I2774" s="7">
        <v>45694</v>
      </c>
      <c r="J2774" s="8">
        <v>0.50776620370370373</v>
      </c>
      <c r="K2774" t="s">
        <v>984</v>
      </c>
      <c r="AQ2774" t="s">
        <v>992</v>
      </c>
      <c r="AR2774" t="s">
        <v>1269</v>
      </c>
      <c r="AT2774" t="s">
        <v>987</v>
      </c>
      <c r="AZ2774" t="s">
        <v>1011</v>
      </c>
      <c r="BA2774" t="s">
        <v>1012</v>
      </c>
      <c r="BB2774" t="s">
        <v>1013</v>
      </c>
      <c r="BD2774" t="s">
        <v>1014</v>
      </c>
      <c r="BE2774" t="s">
        <v>801</v>
      </c>
    </row>
    <row r="2775" spans="1:57" ht="13" x14ac:dyDescent="0.15">
      <c r="A2775">
        <v>1839</v>
      </c>
      <c r="B2775">
        <v>288058055</v>
      </c>
      <c r="C2775" t="s">
        <v>802</v>
      </c>
      <c r="D2775" s="7">
        <v>45694</v>
      </c>
      <c r="E2775" s="7">
        <v>45698</v>
      </c>
      <c r="F2775">
        <v>330862</v>
      </c>
      <c r="G2775" t="s">
        <v>983</v>
      </c>
      <c r="H2775" t="s">
        <v>9</v>
      </c>
      <c r="I2775" s="7">
        <v>45694</v>
      </c>
      <c r="J2775" s="8">
        <v>0.57501157407407411</v>
      </c>
      <c r="K2775" t="s">
        <v>984</v>
      </c>
      <c r="AQ2775" t="s">
        <v>1206</v>
      </c>
      <c r="AR2775" t="s">
        <v>993</v>
      </c>
      <c r="AT2775" t="s">
        <v>987</v>
      </c>
      <c r="AZ2775" t="s">
        <v>988</v>
      </c>
      <c r="BA2775" t="s">
        <v>989</v>
      </c>
      <c r="BB2775" t="s">
        <v>990</v>
      </c>
      <c r="BD2775" t="s">
        <v>991</v>
      </c>
      <c r="BE2775" t="s">
        <v>802</v>
      </c>
    </row>
    <row r="2776" spans="1:57" ht="13" x14ac:dyDescent="0.15">
      <c r="A2776">
        <v>1839</v>
      </c>
      <c r="B2776">
        <v>288058947</v>
      </c>
      <c r="C2776" t="s">
        <v>803</v>
      </c>
      <c r="D2776" s="7">
        <v>45694</v>
      </c>
      <c r="E2776" s="7">
        <v>45696</v>
      </c>
      <c r="F2776">
        <v>336447</v>
      </c>
      <c r="G2776" t="s">
        <v>1074</v>
      </c>
      <c r="H2776" t="s">
        <v>26</v>
      </c>
      <c r="I2776" s="7">
        <v>45694</v>
      </c>
      <c r="J2776" s="8">
        <v>0.60291666666666666</v>
      </c>
      <c r="K2776" t="s">
        <v>984</v>
      </c>
      <c r="AQ2776" t="s">
        <v>1556</v>
      </c>
      <c r="AR2776" t="s">
        <v>2219</v>
      </c>
      <c r="BE2776" t="s">
        <v>803</v>
      </c>
    </row>
    <row r="2777" spans="1:57" ht="13" x14ac:dyDescent="0.15">
      <c r="A2777">
        <v>1839</v>
      </c>
      <c r="B2777">
        <v>288061591</v>
      </c>
      <c r="C2777" t="s">
        <v>804</v>
      </c>
      <c r="D2777" s="7">
        <v>45694</v>
      </c>
      <c r="E2777" s="7">
        <v>45696</v>
      </c>
      <c r="F2777">
        <v>330862</v>
      </c>
      <c r="G2777" t="s">
        <v>983</v>
      </c>
      <c r="H2777" t="s">
        <v>9</v>
      </c>
      <c r="I2777" s="7">
        <v>45694</v>
      </c>
      <c r="J2777" s="8">
        <v>0.67517361111111107</v>
      </c>
      <c r="K2777" t="s">
        <v>984</v>
      </c>
      <c r="AQ2777" t="s">
        <v>992</v>
      </c>
      <c r="AR2777" t="s">
        <v>2220</v>
      </c>
      <c r="AT2777" t="s">
        <v>987</v>
      </c>
      <c r="AZ2777" t="s">
        <v>1028</v>
      </c>
      <c r="BA2777" t="s">
        <v>1068</v>
      </c>
      <c r="BB2777" t="s">
        <v>1069</v>
      </c>
      <c r="BD2777" t="s">
        <v>1005</v>
      </c>
      <c r="BE2777" t="s">
        <v>804</v>
      </c>
    </row>
    <row r="2778" spans="1:57" ht="13" x14ac:dyDescent="0.15">
      <c r="A2778">
        <v>1839</v>
      </c>
      <c r="B2778">
        <v>288062179</v>
      </c>
      <c r="C2778" t="s">
        <v>805</v>
      </c>
      <c r="D2778" s="7">
        <v>45694</v>
      </c>
      <c r="E2778" s="7">
        <v>45698</v>
      </c>
      <c r="F2778">
        <v>330862</v>
      </c>
      <c r="G2778" t="s">
        <v>983</v>
      </c>
      <c r="H2778" t="s">
        <v>9</v>
      </c>
      <c r="I2778" s="7">
        <v>45694</v>
      </c>
      <c r="J2778" s="8">
        <v>0.69795138888888886</v>
      </c>
      <c r="K2778" t="s">
        <v>984</v>
      </c>
      <c r="AQ2778" t="s">
        <v>1142</v>
      </c>
      <c r="AR2778" t="s">
        <v>986</v>
      </c>
      <c r="AT2778" t="s">
        <v>987</v>
      </c>
      <c r="AZ2778" t="s">
        <v>988</v>
      </c>
      <c r="BA2778" t="s">
        <v>989</v>
      </c>
      <c r="BB2778" t="s">
        <v>990</v>
      </c>
      <c r="BD2778" t="s">
        <v>991</v>
      </c>
      <c r="BE2778" t="s">
        <v>805</v>
      </c>
    </row>
    <row r="2779" spans="1:57" ht="13" x14ac:dyDescent="0.15">
      <c r="A2779">
        <v>1839</v>
      </c>
      <c r="B2779">
        <v>288062455</v>
      </c>
      <c r="C2779" t="s">
        <v>806</v>
      </c>
      <c r="D2779" s="7">
        <v>45694</v>
      </c>
      <c r="E2779" s="7">
        <v>45696</v>
      </c>
      <c r="F2779">
        <v>330862</v>
      </c>
      <c r="G2779" t="s">
        <v>983</v>
      </c>
      <c r="H2779" t="s">
        <v>9</v>
      </c>
      <c r="I2779" s="7">
        <v>45694</v>
      </c>
      <c r="J2779" s="8">
        <v>0.70437499999999997</v>
      </c>
      <c r="K2779" t="s">
        <v>984</v>
      </c>
      <c r="AQ2779" t="s">
        <v>998</v>
      </c>
      <c r="AR2779" t="s">
        <v>986</v>
      </c>
      <c r="AT2779" t="s">
        <v>987</v>
      </c>
      <c r="AZ2779" t="s">
        <v>988</v>
      </c>
      <c r="BA2779" t="s">
        <v>989</v>
      </c>
      <c r="BB2779" t="s">
        <v>990</v>
      </c>
      <c r="BD2779" t="s">
        <v>991</v>
      </c>
      <c r="BE2779" t="s">
        <v>806</v>
      </c>
    </row>
    <row r="2780" spans="1:57" ht="13" x14ac:dyDescent="0.15">
      <c r="A2780">
        <v>1839</v>
      </c>
      <c r="B2780">
        <v>288064905</v>
      </c>
      <c r="C2780" t="s">
        <v>807</v>
      </c>
      <c r="D2780" s="7">
        <v>45694</v>
      </c>
      <c r="E2780" s="7">
        <v>45696</v>
      </c>
      <c r="F2780">
        <v>330862</v>
      </c>
      <c r="G2780" t="s">
        <v>983</v>
      </c>
      <c r="H2780" t="s">
        <v>9</v>
      </c>
      <c r="I2780" s="7">
        <v>45694</v>
      </c>
      <c r="J2780" s="8">
        <v>0.83442129629629624</v>
      </c>
      <c r="K2780" t="s">
        <v>984</v>
      </c>
      <c r="AQ2780" t="s">
        <v>998</v>
      </c>
      <c r="AR2780" t="s">
        <v>993</v>
      </c>
      <c r="AT2780" t="s">
        <v>987</v>
      </c>
      <c r="AZ2780" t="s">
        <v>988</v>
      </c>
      <c r="BA2780" t="s">
        <v>989</v>
      </c>
      <c r="BB2780" t="s">
        <v>990</v>
      </c>
      <c r="BD2780" t="s">
        <v>991</v>
      </c>
      <c r="BE2780" t="s">
        <v>807</v>
      </c>
    </row>
    <row r="2781" spans="1:57" ht="13" x14ac:dyDescent="0.15">
      <c r="A2781">
        <v>1839</v>
      </c>
      <c r="B2781">
        <v>288065568</v>
      </c>
      <c r="C2781" t="s">
        <v>808</v>
      </c>
      <c r="D2781" s="7">
        <v>45694</v>
      </c>
      <c r="E2781" s="7">
        <v>45696</v>
      </c>
      <c r="F2781">
        <v>330862</v>
      </c>
      <c r="G2781" t="s">
        <v>983</v>
      </c>
      <c r="H2781" t="s">
        <v>9</v>
      </c>
      <c r="I2781" s="7">
        <v>45694</v>
      </c>
      <c r="J2781" s="8">
        <v>0.89222222222222225</v>
      </c>
      <c r="K2781" t="s">
        <v>984</v>
      </c>
      <c r="AQ2781" t="s">
        <v>1089</v>
      </c>
      <c r="AR2781" t="s">
        <v>1269</v>
      </c>
      <c r="AT2781" t="s">
        <v>987</v>
      </c>
      <c r="AZ2781" t="s">
        <v>1011</v>
      </c>
      <c r="BA2781" t="s">
        <v>1012</v>
      </c>
      <c r="BB2781" t="s">
        <v>1013</v>
      </c>
      <c r="BD2781" t="s">
        <v>1014</v>
      </c>
      <c r="BE2781" t="s">
        <v>808</v>
      </c>
    </row>
    <row r="2782" spans="1:57" ht="13" x14ac:dyDescent="0.15">
      <c r="A2782">
        <v>1839</v>
      </c>
      <c r="B2782">
        <v>288073094</v>
      </c>
      <c r="C2782" t="s">
        <v>809</v>
      </c>
      <c r="D2782" s="7">
        <v>45695</v>
      </c>
      <c r="E2782" s="7">
        <v>45697</v>
      </c>
      <c r="F2782">
        <v>330862</v>
      </c>
      <c r="G2782" t="s">
        <v>983</v>
      </c>
      <c r="H2782" t="s">
        <v>9</v>
      </c>
      <c r="I2782" s="7">
        <v>45695</v>
      </c>
      <c r="J2782" s="8">
        <v>0.31430555555555556</v>
      </c>
      <c r="K2782" t="s">
        <v>984</v>
      </c>
      <c r="AQ2782" t="s">
        <v>1261</v>
      </c>
      <c r="AR2782" t="s">
        <v>994</v>
      </c>
      <c r="AT2782" t="s">
        <v>987</v>
      </c>
      <c r="AZ2782" t="s">
        <v>1011</v>
      </c>
      <c r="BA2782" t="s">
        <v>1012</v>
      </c>
      <c r="BB2782" t="s">
        <v>1013</v>
      </c>
      <c r="BD2782" t="s">
        <v>1014</v>
      </c>
      <c r="BE2782" t="s">
        <v>809</v>
      </c>
    </row>
    <row r="2783" spans="1:57" ht="13" x14ac:dyDescent="0.15">
      <c r="A2783">
        <v>1839</v>
      </c>
      <c r="B2783">
        <v>288076762</v>
      </c>
      <c r="C2783" t="s">
        <v>810</v>
      </c>
      <c r="D2783" s="7">
        <v>45695</v>
      </c>
      <c r="E2783" s="7">
        <v>45697</v>
      </c>
      <c r="F2783">
        <v>330862</v>
      </c>
      <c r="G2783" t="s">
        <v>983</v>
      </c>
      <c r="H2783" t="s">
        <v>9</v>
      </c>
      <c r="I2783" s="7">
        <v>45695</v>
      </c>
      <c r="J2783" s="8">
        <v>0.47865740740740742</v>
      </c>
      <c r="K2783" t="s">
        <v>984</v>
      </c>
      <c r="AQ2783" t="s">
        <v>992</v>
      </c>
      <c r="AR2783" t="s">
        <v>1039</v>
      </c>
      <c r="AT2783" t="s">
        <v>987</v>
      </c>
      <c r="AZ2783" t="s">
        <v>1002</v>
      </c>
      <c r="BA2783" t="s">
        <v>1040</v>
      </c>
      <c r="BB2783" t="s">
        <v>1041</v>
      </c>
      <c r="BD2783" t="s">
        <v>991</v>
      </c>
      <c r="BE2783" t="s">
        <v>810</v>
      </c>
    </row>
    <row r="2784" spans="1:57" ht="13" x14ac:dyDescent="0.15">
      <c r="A2784">
        <v>1839</v>
      </c>
      <c r="B2784">
        <v>288076762</v>
      </c>
      <c r="C2784" t="s">
        <v>810</v>
      </c>
      <c r="D2784" s="7">
        <v>45695</v>
      </c>
      <c r="E2784" s="7">
        <v>45697</v>
      </c>
      <c r="F2784">
        <v>330862</v>
      </c>
      <c r="G2784" t="s">
        <v>983</v>
      </c>
      <c r="H2784" t="s">
        <v>9</v>
      </c>
      <c r="I2784" s="7">
        <v>45695</v>
      </c>
      <c r="J2784" s="8">
        <v>0.47576388888888888</v>
      </c>
      <c r="K2784" t="s">
        <v>984</v>
      </c>
      <c r="AQ2784" t="s">
        <v>992</v>
      </c>
      <c r="AR2784" t="s">
        <v>1554</v>
      </c>
      <c r="AT2784" t="s">
        <v>987</v>
      </c>
      <c r="AZ2784" t="s">
        <v>1028</v>
      </c>
      <c r="BA2784" t="s">
        <v>1037</v>
      </c>
      <c r="BB2784" t="s">
        <v>1038</v>
      </c>
      <c r="BD2784" t="s">
        <v>991</v>
      </c>
      <c r="BE2784" t="s">
        <v>810</v>
      </c>
    </row>
    <row r="2785" spans="1:57" ht="13" x14ac:dyDescent="0.15">
      <c r="A2785">
        <v>1839</v>
      </c>
      <c r="B2785">
        <v>288076771</v>
      </c>
      <c r="C2785" t="s">
        <v>811</v>
      </c>
      <c r="D2785" s="7">
        <v>45695</v>
      </c>
      <c r="E2785" s="7">
        <v>45697</v>
      </c>
      <c r="F2785">
        <v>330862</v>
      </c>
      <c r="G2785" t="s">
        <v>983</v>
      </c>
      <c r="H2785" t="s">
        <v>9</v>
      </c>
      <c r="I2785" s="7">
        <v>45695</v>
      </c>
      <c r="J2785" s="8">
        <v>0.4763425925925926</v>
      </c>
      <c r="K2785" t="s">
        <v>984</v>
      </c>
      <c r="AQ2785" t="s">
        <v>992</v>
      </c>
      <c r="AR2785" t="s">
        <v>1554</v>
      </c>
      <c r="AT2785" t="s">
        <v>987</v>
      </c>
      <c r="AZ2785" t="s">
        <v>1028</v>
      </c>
      <c r="BA2785" t="s">
        <v>1037</v>
      </c>
      <c r="BB2785" t="s">
        <v>1038</v>
      </c>
      <c r="BD2785" t="s">
        <v>991</v>
      </c>
      <c r="BE2785" t="s">
        <v>811</v>
      </c>
    </row>
    <row r="2786" spans="1:57" ht="13" x14ac:dyDescent="0.15">
      <c r="A2786">
        <v>1839</v>
      </c>
      <c r="B2786">
        <v>288076771</v>
      </c>
      <c r="C2786" t="s">
        <v>811</v>
      </c>
      <c r="D2786" s="7">
        <v>45695</v>
      </c>
      <c r="E2786" s="7">
        <v>45697</v>
      </c>
      <c r="F2786">
        <v>330862</v>
      </c>
      <c r="G2786" t="s">
        <v>983</v>
      </c>
      <c r="H2786" t="s">
        <v>9</v>
      </c>
      <c r="I2786" s="7">
        <v>45695</v>
      </c>
      <c r="J2786" s="8">
        <v>0.48024305555555558</v>
      </c>
      <c r="K2786" t="s">
        <v>984</v>
      </c>
      <c r="AQ2786" t="s">
        <v>992</v>
      </c>
      <c r="AR2786" t="s">
        <v>1039</v>
      </c>
      <c r="AT2786" t="s">
        <v>987</v>
      </c>
      <c r="AZ2786" t="s">
        <v>1002</v>
      </c>
      <c r="BA2786" t="s">
        <v>1040</v>
      </c>
      <c r="BB2786" t="s">
        <v>1041</v>
      </c>
      <c r="BD2786" t="s">
        <v>991</v>
      </c>
      <c r="BE2786" t="s">
        <v>811</v>
      </c>
    </row>
    <row r="2787" spans="1:57" ht="13" x14ac:dyDescent="0.15">
      <c r="A2787">
        <v>1839</v>
      </c>
      <c r="B2787">
        <v>288076772</v>
      </c>
      <c r="C2787" t="s">
        <v>812</v>
      </c>
      <c r="D2787" s="7">
        <v>45695</v>
      </c>
      <c r="E2787" s="7">
        <v>45697</v>
      </c>
      <c r="F2787">
        <v>330862</v>
      </c>
      <c r="G2787" t="s">
        <v>983</v>
      </c>
      <c r="H2787" t="s">
        <v>9</v>
      </c>
      <c r="I2787" s="7">
        <v>45695</v>
      </c>
      <c r="J2787" s="8">
        <v>0.47640046296296296</v>
      </c>
      <c r="K2787" t="s">
        <v>984</v>
      </c>
      <c r="AQ2787" t="s">
        <v>992</v>
      </c>
      <c r="AR2787" t="s">
        <v>1554</v>
      </c>
      <c r="AT2787" t="s">
        <v>987</v>
      </c>
      <c r="AZ2787" t="s">
        <v>1028</v>
      </c>
      <c r="BA2787" t="s">
        <v>1037</v>
      </c>
      <c r="BB2787" t="s">
        <v>1038</v>
      </c>
      <c r="BD2787" t="s">
        <v>991</v>
      </c>
      <c r="BE2787" t="s">
        <v>812</v>
      </c>
    </row>
    <row r="2788" spans="1:57" ht="13" x14ac:dyDescent="0.15">
      <c r="A2788">
        <v>1839</v>
      </c>
      <c r="B2788">
        <v>288076772</v>
      </c>
      <c r="C2788" t="s">
        <v>812</v>
      </c>
      <c r="D2788" s="7">
        <v>45695</v>
      </c>
      <c r="E2788" s="7">
        <v>45697</v>
      </c>
      <c r="F2788">
        <v>330862</v>
      </c>
      <c r="G2788" t="s">
        <v>983</v>
      </c>
      <c r="H2788" t="s">
        <v>9</v>
      </c>
      <c r="I2788" s="7">
        <v>45695</v>
      </c>
      <c r="J2788" s="8">
        <v>0.47908564814814814</v>
      </c>
      <c r="K2788" t="s">
        <v>984</v>
      </c>
      <c r="AQ2788" t="s">
        <v>992</v>
      </c>
      <c r="AR2788" t="s">
        <v>1039</v>
      </c>
      <c r="AT2788" t="s">
        <v>987</v>
      </c>
      <c r="AZ2788" t="s">
        <v>1002</v>
      </c>
      <c r="BA2788" t="s">
        <v>1040</v>
      </c>
      <c r="BB2788" t="s">
        <v>1041</v>
      </c>
      <c r="BD2788" t="s">
        <v>991</v>
      </c>
      <c r="BE2788" t="s">
        <v>812</v>
      </c>
    </row>
    <row r="2789" spans="1:57" ht="13" x14ac:dyDescent="0.15">
      <c r="A2789">
        <v>1839</v>
      </c>
      <c r="B2789">
        <v>288076801</v>
      </c>
      <c r="C2789" t="s">
        <v>813</v>
      </c>
      <c r="D2789" s="7">
        <v>45695</v>
      </c>
      <c r="E2789" s="7">
        <v>45697</v>
      </c>
      <c r="F2789">
        <v>330862</v>
      </c>
      <c r="G2789" t="s">
        <v>983</v>
      </c>
      <c r="H2789" t="s">
        <v>9</v>
      </c>
      <c r="I2789" s="7">
        <v>45695</v>
      </c>
      <c r="J2789" s="8">
        <v>0.47718749999999999</v>
      </c>
      <c r="K2789" t="s">
        <v>984</v>
      </c>
      <c r="AQ2789" t="s">
        <v>992</v>
      </c>
      <c r="AR2789" t="s">
        <v>1554</v>
      </c>
      <c r="AT2789" t="s">
        <v>987</v>
      </c>
      <c r="AZ2789" t="s">
        <v>1028</v>
      </c>
      <c r="BA2789" t="s">
        <v>1037</v>
      </c>
      <c r="BB2789" t="s">
        <v>1038</v>
      </c>
      <c r="BD2789" t="s">
        <v>991</v>
      </c>
      <c r="BE2789" t="s">
        <v>813</v>
      </c>
    </row>
    <row r="2790" spans="1:57" ht="13" x14ac:dyDescent="0.15">
      <c r="A2790">
        <v>1839</v>
      </c>
      <c r="B2790">
        <v>288076801</v>
      </c>
      <c r="C2790" t="s">
        <v>813</v>
      </c>
      <c r="D2790" s="7">
        <v>45695</v>
      </c>
      <c r="E2790" s="7">
        <v>45697</v>
      </c>
      <c r="F2790">
        <v>330862</v>
      </c>
      <c r="G2790" t="s">
        <v>983</v>
      </c>
      <c r="H2790" t="s">
        <v>9</v>
      </c>
      <c r="I2790" s="7">
        <v>45695</v>
      </c>
      <c r="J2790" s="8">
        <v>0.48121527777777778</v>
      </c>
      <c r="K2790" t="s">
        <v>984</v>
      </c>
      <c r="AQ2790" t="s">
        <v>992</v>
      </c>
      <c r="AR2790" t="s">
        <v>1039</v>
      </c>
      <c r="AT2790" t="s">
        <v>987</v>
      </c>
      <c r="AZ2790" t="s">
        <v>1002</v>
      </c>
      <c r="BA2790" t="s">
        <v>1040</v>
      </c>
      <c r="BB2790" t="s">
        <v>1041</v>
      </c>
      <c r="BD2790" t="s">
        <v>991</v>
      </c>
      <c r="BE2790" t="s">
        <v>813</v>
      </c>
    </row>
    <row r="2791" spans="1:57" ht="13" x14ac:dyDescent="0.15">
      <c r="A2791">
        <v>1839</v>
      </c>
      <c r="B2791">
        <v>288076824</v>
      </c>
      <c r="C2791" t="s">
        <v>814</v>
      </c>
      <c r="D2791" s="7">
        <v>45695</v>
      </c>
      <c r="E2791" s="7">
        <v>45697</v>
      </c>
      <c r="F2791">
        <v>330862</v>
      </c>
      <c r="G2791" t="s">
        <v>983</v>
      </c>
      <c r="H2791" t="s">
        <v>9</v>
      </c>
      <c r="I2791" s="7">
        <v>45695</v>
      </c>
      <c r="J2791" s="8">
        <v>0.47788194444444443</v>
      </c>
      <c r="K2791" t="s">
        <v>984</v>
      </c>
      <c r="AQ2791" t="s">
        <v>992</v>
      </c>
      <c r="AR2791" t="s">
        <v>1554</v>
      </c>
      <c r="AT2791" t="s">
        <v>987</v>
      </c>
      <c r="AZ2791" t="s">
        <v>1028</v>
      </c>
      <c r="BA2791" t="s">
        <v>1037</v>
      </c>
      <c r="BB2791" t="s">
        <v>1038</v>
      </c>
      <c r="BD2791" t="s">
        <v>991</v>
      </c>
      <c r="BE2791" t="s">
        <v>814</v>
      </c>
    </row>
    <row r="2792" spans="1:57" ht="13" x14ac:dyDescent="0.15">
      <c r="A2792">
        <v>1839</v>
      </c>
      <c r="B2792">
        <v>288077655</v>
      </c>
      <c r="C2792" t="s">
        <v>815</v>
      </c>
      <c r="D2792" s="7">
        <v>45695</v>
      </c>
      <c r="E2792" s="7">
        <v>45698</v>
      </c>
      <c r="F2792">
        <v>330862</v>
      </c>
      <c r="G2792" t="s">
        <v>983</v>
      </c>
      <c r="H2792" t="s">
        <v>9</v>
      </c>
      <c r="I2792" s="7">
        <v>45695</v>
      </c>
      <c r="J2792" s="8">
        <v>0.51472222222222219</v>
      </c>
      <c r="K2792" t="s">
        <v>984</v>
      </c>
      <c r="AQ2792" t="s">
        <v>992</v>
      </c>
      <c r="AR2792" t="s">
        <v>1285</v>
      </c>
      <c r="AT2792" t="s">
        <v>987</v>
      </c>
      <c r="AZ2792" t="s">
        <v>988</v>
      </c>
      <c r="BA2792" t="s">
        <v>989</v>
      </c>
      <c r="BB2792" t="s">
        <v>990</v>
      </c>
      <c r="BD2792" t="s">
        <v>991</v>
      </c>
      <c r="BE2792" t="s">
        <v>815</v>
      </c>
    </row>
    <row r="2793" spans="1:57" ht="13" x14ac:dyDescent="0.15">
      <c r="A2793">
        <v>1839</v>
      </c>
      <c r="B2793">
        <v>288081870</v>
      </c>
      <c r="C2793" t="s">
        <v>816</v>
      </c>
      <c r="D2793" s="7">
        <v>45695</v>
      </c>
      <c r="E2793" s="7">
        <v>45699</v>
      </c>
      <c r="F2793">
        <v>330862</v>
      </c>
      <c r="G2793" t="s">
        <v>983</v>
      </c>
      <c r="H2793" t="s">
        <v>9</v>
      </c>
      <c r="I2793" s="7">
        <v>45695</v>
      </c>
      <c r="J2793" s="8">
        <v>0.67976851851851849</v>
      </c>
      <c r="K2793" t="s">
        <v>984</v>
      </c>
      <c r="AQ2793" t="s">
        <v>1469</v>
      </c>
      <c r="AR2793" t="s">
        <v>986</v>
      </c>
      <c r="AT2793" t="s">
        <v>987</v>
      </c>
      <c r="AZ2793" t="s">
        <v>988</v>
      </c>
      <c r="BA2793" t="s">
        <v>989</v>
      </c>
      <c r="BB2793" t="s">
        <v>990</v>
      </c>
      <c r="BD2793" t="s">
        <v>991</v>
      </c>
      <c r="BE2793" t="s">
        <v>816</v>
      </c>
    </row>
    <row r="2794" spans="1:57" ht="13" x14ac:dyDescent="0.15">
      <c r="A2794">
        <v>1839</v>
      </c>
      <c r="B2794">
        <v>288082662</v>
      </c>
      <c r="C2794" t="s">
        <v>817</v>
      </c>
      <c r="D2794" s="7">
        <v>45695</v>
      </c>
      <c r="E2794" s="7">
        <v>45697</v>
      </c>
      <c r="F2794">
        <v>330862</v>
      </c>
      <c r="G2794" t="s">
        <v>983</v>
      </c>
      <c r="H2794" t="s">
        <v>9</v>
      </c>
      <c r="I2794" s="7">
        <v>45695</v>
      </c>
      <c r="J2794" s="8">
        <v>0.72223379629629625</v>
      </c>
      <c r="K2794" t="s">
        <v>984</v>
      </c>
      <c r="AQ2794" t="s">
        <v>1113</v>
      </c>
      <c r="AR2794" t="s">
        <v>1039</v>
      </c>
      <c r="AT2794" t="s">
        <v>987</v>
      </c>
      <c r="AZ2794" t="s">
        <v>1002</v>
      </c>
      <c r="BA2794" t="s">
        <v>1040</v>
      </c>
      <c r="BB2794" t="s">
        <v>1041</v>
      </c>
      <c r="BD2794" t="s">
        <v>991</v>
      </c>
      <c r="BE2794" t="s">
        <v>817</v>
      </c>
    </row>
    <row r="2795" spans="1:57" ht="13" x14ac:dyDescent="0.15">
      <c r="A2795">
        <v>1839</v>
      </c>
      <c r="B2795">
        <v>288085581</v>
      </c>
      <c r="C2795" t="s">
        <v>818</v>
      </c>
      <c r="D2795" s="7">
        <v>45695</v>
      </c>
      <c r="E2795" s="7">
        <v>45698</v>
      </c>
      <c r="F2795">
        <v>330862</v>
      </c>
      <c r="G2795" t="s">
        <v>983</v>
      </c>
      <c r="H2795" t="s">
        <v>9</v>
      </c>
      <c r="I2795" s="7">
        <v>45695</v>
      </c>
      <c r="J2795" s="8">
        <v>0.97906249999999995</v>
      </c>
      <c r="K2795" t="s">
        <v>984</v>
      </c>
      <c r="AQ2795" t="s">
        <v>992</v>
      </c>
      <c r="AR2795" t="s">
        <v>1269</v>
      </c>
      <c r="AT2795" t="s">
        <v>987</v>
      </c>
      <c r="AZ2795" t="s">
        <v>1011</v>
      </c>
      <c r="BA2795" t="s">
        <v>1012</v>
      </c>
      <c r="BB2795" t="s">
        <v>1013</v>
      </c>
      <c r="BD2795" t="s">
        <v>1014</v>
      </c>
      <c r="BE2795" t="s">
        <v>818</v>
      </c>
    </row>
    <row r="2796" spans="1:57" ht="13" x14ac:dyDescent="0.15">
      <c r="A2796">
        <v>1839</v>
      </c>
      <c r="B2796">
        <v>288089832</v>
      </c>
      <c r="C2796" t="s">
        <v>819</v>
      </c>
      <c r="D2796" s="7">
        <v>45696</v>
      </c>
      <c r="E2796" s="7">
        <v>45709</v>
      </c>
      <c r="F2796">
        <v>330862</v>
      </c>
      <c r="G2796" t="s">
        <v>983</v>
      </c>
      <c r="H2796" t="s">
        <v>9</v>
      </c>
      <c r="I2796" s="7">
        <v>45705</v>
      </c>
      <c r="J2796" s="8">
        <v>0.83364583333333331</v>
      </c>
      <c r="K2796" t="s">
        <v>984</v>
      </c>
      <c r="AQ2796" t="s">
        <v>1089</v>
      </c>
      <c r="AR2796" t="s">
        <v>2221</v>
      </c>
      <c r="AT2796" t="s">
        <v>987</v>
      </c>
      <c r="AZ2796" t="s">
        <v>988</v>
      </c>
      <c r="BA2796" t="s">
        <v>1058</v>
      </c>
      <c r="BB2796" t="s">
        <v>1018</v>
      </c>
      <c r="BD2796" t="s">
        <v>1005</v>
      </c>
      <c r="BE2796" t="s">
        <v>819</v>
      </c>
    </row>
    <row r="2797" spans="1:57" ht="13" x14ac:dyDescent="0.15">
      <c r="A2797">
        <v>1839</v>
      </c>
      <c r="B2797">
        <v>288089832</v>
      </c>
      <c r="C2797" t="s">
        <v>819</v>
      </c>
      <c r="D2797" s="7">
        <v>45696</v>
      </c>
      <c r="E2797" s="7">
        <v>45709</v>
      </c>
      <c r="F2797">
        <v>330862</v>
      </c>
      <c r="G2797" t="s">
        <v>983</v>
      </c>
      <c r="H2797" t="s">
        <v>9</v>
      </c>
      <c r="I2797" s="7">
        <v>45705</v>
      </c>
      <c r="J2797" s="8">
        <v>0.83791666666666664</v>
      </c>
      <c r="K2797" t="s">
        <v>984</v>
      </c>
      <c r="AQ2797" t="s">
        <v>1089</v>
      </c>
      <c r="AR2797" t="s">
        <v>2222</v>
      </c>
      <c r="AT2797" t="s">
        <v>987</v>
      </c>
      <c r="AZ2797" t="s">
        <v>1139</v>
      </c>
      <c r="BA2797" t="s">
        <v>1140</v>
      </c>
      <c r="BB2797" t="s">
        <v>1032</v>
      </c>
      <c r="BD2797" t="s">
        <v>1005</v>
      </c>
      <c r="BE2797" t="s">
        <v>819</v>
      </c>
    </row>
    <row r="2798" spans="1:57" ht="13" x14ac:dyDescent="0.15">
      <c r="A2798">
        <v>1839</v>
      </c>
      <c r="B2798">
        <v>288089832</v>
      </c>
      <c r="C2798" t="s">
        <v>819</v>
      </c>
      <c r="D2798" s="7">
        <v>45696</v>
      </c>
      <c r="E2798" s="7">
        <v>45709</v>
      </c>
      <c r="F2798">
        <v>330862</v>
      </c>
      <c r="G2798" t="s">
        <v>983</v>
      </c>
      <c r="H2798" t="s">
        <v>9</v>
      </c>
      <c r="I2798" s="7">
        <v>45705</v>
      </c>
      <c r="J2798" s="8">
        <v>0.84164351851851849</v>
      </c>
      <c r="K2798" t="s">
        <v>984</v>
      </c>
      <c r="AQ2798" t="s">
        <v>1089</v>
      </c>
      <c r="AR2798" t="s">
        <v>2223</v>
      </c>
      <c r="AT2798" t="s">
        <v>987</v>
      </c>
      <c r="AZ2798" t="s">
        <v>1028</v>
      </c>
      <c r="BA2798" t="s">
        <v>1236</v>
      </c>
      <c r="BB2798" t="s">
        <v>1237</v>
      </c>
      <c r="BD2798" t="s">
        <v>1005</v>
      </c>
      <c r="BE2798" t="s">
        <v>819</v>
      </c>
    </row>
    <row r="2799" spans="1:57" ht="13" x14ac:dyDescent="0.15">
      <c r="A2799">
        <v>1839</v>
      </c>
      <c r="B2799">
        <v>288114604</v>
      </c>
      <c r="C2799" t="s">
        <v>820</v>
      </c>
      <c r="D2799" s="7">
        <v>45697</v>
      </c>
      <c r="E2799" s="7">
        <v>45700</v>
      </c>
      <c r="F2799">
        <v>330862</v>
      </c>
      <c r="G2799" t="s">
        <v>983</v>
      </c>
      <c r="H2799" t="s">
        <v>9</v>
      </c>
      <c r="I2799" s="7">
        <v>45697</v>
      </c>
      <c r="J2799" s="8">
        <v>3.4432870370370371E-2</v>
      </c>
      <c r="K2799" t="s">
        <v>984</v>
      </c>
      <c r="AQ2799" t="s">
        <v>992</v>
      </c>
      <c r="AR2799" t="s">
        <v>994</v>
      </c>
      <c r="AT2799" t="s">
        <v>987</v>
      </c>
      <c r="BE2799" t="s">
        <v>820</v>
      </c>
    </row>
    <row r="2800" spans="1:57" ht="13" x14ac:dyDescent="0.15">
      <c r="A2800">
        <v>1839</v>
      </c>
      <c r="B2800">
        <v>288127455</v>
      </c>
      <c r="C2800" t="s">
        <v>821</v>
      </c>
      <c r="D2800" s="7">
        <v>45697</v>
      </c>
      <c r="E2800" s="7">
        <v>45699</v>
      </c>
      <c r="F2800">
        <v>330862</v>
      </c>
      <c r="G2800" t="s">
        <v>983</v>
      </c>
      <c r="H2800" t="s">
        <v>9</v>
      </c>
      <c r="I2800" s="7">
        <v>45697</v>
      </c>
      <c r="J2800" s="8">
        <v>0.80636574074074074</v>
      </c>
      <c r="K2800" t="s">
        <v>984</v>
      </c>
      <c r="AQ2800" t="s">
        <v>998</v>
      </c>
      <c r="AR2800" t="s">
        <v>994</v>
      </c>
      <c r="AT2800" t="s">
        <v>987</v>
      </c>
      <c r="AZ2800" t="s">
        <v>1011</v>
      </c>
      <c r="BA2800" t="s">
        <v>1012</v>
      </c>
      <c r="BB2800" t="s">
        <v>1013</v>
      </c>
      <c r="BD2800" t="s">
        <v>1014</v>
      </c>
      <c r="BE2800" t="s">
        <v>821</v>
      </c>
    </row>
    <row r="2801" spans="1:57" ht="13" x14ac:dyDescent="0.15">
      <c r="A2801">
        <v>1839</v>
      </c>
      <c r="B2801">
        <v>288141136</v>
      </c>
      <c r="C2801" t="s">
        <v>822</v>
      </c>
      <c r="D2801" s="7">
        <v>45698</v>
      </c>
      <c r="E2801" s="7">
        <v>45705</v>
      </c>
      <c r="F2801">
        <v>330862</v>
      </c>
      <c r="G2801" t="s">
        <v>983</v>
      </c>
      <c r="H2801" t="s">
        <v>9</v>
      </c>
      <c r="I2801" s="7">
        <v>45698</v>
      </c>
      <c r="J2801" s="8">
        <v>0.44399305555555557</v>
      </c>
      <c r="K2801" t="s">
        <v>984</v>
      </c>
      <c r="AQ2801" t="s">
        <v>998</v>
      </c>
      <c r="AR2801" t="s">
        <v>994</v>
      </c>
      <c r="AT2801" t="s">
        <v>987</v>
      </c>
      <c r="AZ2801" t="s">
        <v>1011</v>
      </c>
      <c r="BA2801" t="s">
        <v>1012</v>
      </c>
      <c r="BB2801" t="s">
        <v>1013</v>
      </c>
      <c r="BD2801" t="s">
        <v>1014</v>
      </c>
      <c r="BE2801" t="s">
        <v>822</v>
      </c>
    </row>
    <row r="2802" spans="1:57" ht="13" x14ac:dyDescent="0.15">
      <c r="A2802">
        <v>1839</v>
      </c>
      <c r="B2802">
        <v>288141720</v>
      </c>
      <c r="C2802" t="s">
        <v>823</v>
      </c>
      <c r="D2802" s="7">
        <v>45698</v>
      </c>
      <c r="E2802" s="7">
        <v>45702</v>
      </c>
      <c r="F2802">
        <v>336444</v>
      </c>
      <c r="G2802" t="s">
        <v>995</v>
      </c>
      <c r="H2802" t="s">
        <v>12</v>
      </c>
      <c r="I2802" s="7">
        <v>45698</v>
      </c>
      <c r="J2802" s="8">
        <v>0.45633101851851854</v>
      </c>
      <c r="K2802" t="s">
        <v>984</v>
      </c>
      <c r="AQ2802" t="s">
        <v>996</v>
      </c>
      <c r="BE2802" t="s">
        <v>823</v>
      </c>
    </row>
    <row r="2803" spans="1:57" ht="13" x14ac:dyDescent="0.15">
      <c r="A2803">
        <v>1839</v>
      </c>
      <c r="B2803">
        <v>288142696</v>
      </c>
      <c r="C2803" t="s">
        <v>824</v>
      </c>
      <c r="D2803" s="7">
        <v>45698</v>
      </c>
      <c r="E2803" s="7">
        <v>45700</v>
      </c>
      <c r="F2803">
        <v>330862</v>
      </c>
      <c r="G2803" t="s">
        <v>983</v>
      </c>
      <c r="H2803" t="s">
        <v>9</v>
      </c>
      <c r="I2803" s="7">
        <v>45698</v>
      </c>
      <c r="J2803" s="8">
        <v>0.48261574074074076</v>
      </c>
      <c r="K2803" t="s">
        <v>984</v>
      </c>
      <c r="AQ2803" t="s">
        <v>1273</v>
      </c>
      <c r="AR2803" t="s">
        <v>1269</v>
      </c>
      <c r="AT2803" t="s">
        <v>987</v>
      </c>
      <c r="AZ2803" t="s">
        <v>1011</v>
      </c>
      <c r="BA2803" t="s">
        <v>1012</v>
      </c>
      <c r="BB2803" t="s">
        <v>1013</v>
      </c>
      <c r="BD2803" t="s">
        <v>1014</v>
      </c>
      <c r="BE2803" t="s">
        <v>824</v>
      </c>
    </row>
    <row r="2804" spans="1:57" ht="13" x14ac:dyDescent="0.15">
      <c r="A2804">
        <v>1839</v>
      </c>
      <c r="B2804">
        <v>288143660</v>
      </c>
      <c r="C2804" t="s">
        <v>825</v>
      </c>
      <c r="D2804" s="7">
        <v>45698</v>
      </c>
      <c r="E2804" s="7">
        <v>45700</v>
      </c>
      <c r="F2804">
        <v>330862</v>
      </c>
      <c r="G2804" t="s">
        <v>983</v>
      </c>
      <c r="H2804" t="s">
        <v>9</v>
      </c>
      <c r="I2804" s="7">
        <v>45698</v>
      </c>
      <c r="J2804" s="8">
        <v>0.52295138888888892</v>
      </c>
      <c r="K2804" t="s">
        <v>984</v>
      </c>
      <c r="AQ2804" t="s">
        <v>992</v>
      </c>
      <c r="AR2804" t="s">
        <v>2224</v>
      </c>
      <c r="AT2804" t="s">
        <v>987</v>
      </c>
      <c r="AZ2804" t="s">
        <v>1220</v>
      </c>
      <c r="BA2804" t="s">
        <v>1221</v>
      </c>
      <c r="BB2804" t="s">
        <v>1082</v>
      </c>
      <c r="BD2804" t="s">
        <v>991</v>
      </c>
      <c r="BE2804" t="s">
        <v>825</v>
      </c>
    </row>
    <row r="2805" spans="1:57" ht="13" x14ac:dyDescent="0.15">
      <c r="A2805">
        <v>1839</v>
      </c>
      <c r="B2805">
        <v>288145379</v>
      </c>
      <c r="C2805" t="s">
        <v>826</v>
      </c>
      <c r="D2805" s="7">
        <v>45698</v>
      </c>
      <c r="E2805" s="7">
        <v>45700</v>
      </c>
      <c r="F2805">
        <v>330862</v>
      </c>
      <c r="G2805" t="s">
        <v>983</v>
      </c>
      <c r="H2805" t="s">
        <v>9</v>
      </c>
      <c r="I2805" s="7">
        <v>45698</v>
      </c>
      <c r="J2805" s="8">
        <v>0.56582175925925926</v>
      </c>
      <c r="K2805" t="s">
        <v>984</v>
      </c>
      <c r="AQ2805" t="s">
        <v>992</v>
      </c>
      <c r="AR2805" t="s">
        <v>994</v>
      </c>
      <c r="AT2805" t="s">
        <v>987</v>
      </c>
      <c r="AZ2805" t="s">
        <v>1011</v>
      </c>
      <c r="BA2805" t="s">
        <v>1012</v>
      </c>
      <c r="BB2805" t="s">
        <v>1013</v>
      </c>
      <c r="BD2805" t="s">
        <v>1014</v>
      </c>
      <c r="BE2805" t="s">
        <v>826</v>
      </c>
    </row>
    <row r="2806" spans="1:57" ht="13" x14ac:dyDescent="0.15">
      <c r="A2806">
        <v>1839</v>
      </c>
      <c r="B2806">
        <v>288145385</v>
      </c>
      <c r="C2806" t="s">
        <v>827</v>
      </c>
      <c r="D2806" s="7">
        <v>45698</v>
      </c>
      <c r="E2806" s="7">
        <v>45700</v>
      </c>
      <c r="F2806">
        <v>330862</v>
      </c>
      <c r="G2806" t="s">
        <v>983</v>
      </c>
      <c r="H2806" t="s">
        <v>9</v>
      </c>
      <c r="I2806" s="7">
        <v>45698</v>
      </c>
      <c r="J2806" s="8">
        <v>0.56604166666666667</v>
      </c>
      <c r="K2806" t="s">
        <v>984</v>
      </c>
      <c r="AQ2806" t="s">
        <v>1089</v>
      </c>
      <c r="AR2806" t="s">
        <v>1269</v>
      </c>
      <c r="AT2806" t="s">
        <v>987</v>
      </c>
      <c r="AZ2806" t="s">
        <v>1011</v>
      </c>
      <c r="BA2806" t="s">
        <v>1012</v>
      </c>
      <c r="BB2806" t="s">
        <v>1013</v>
      </c>
      <c r="BD2806" t="s">
        <v>1014</v>
      </c>
      <c r="BE2806" t="s">
        <v>827</v>
      </c>
    </row>
    <row r="2807" spans="1:57" ht="13" x14ac:dyDescent="0.15">
      <c r="A2807">
        <v>1839</v>
      </c>
      <c r="B2807">
        <v>288150586</v>
      </c>
      <c r="C2807" t="s">
        <v>828</v>
      </c>
      <c r="D2807" s="7">
        <v>45698</v>
      </c>
      <c r="E2807" s="7">
        <v>45712</v>
      </c>
      <c r="F2807">
        <v>330862</v>
      </c>
      <c r="G2807" t="s">
        <v>983</v>
      </c>
      <c r="H2807" t="s">
        <v>9</v>
      </c>
      <c r="I2807" s="7">
        <v>45698</v>
      </c>
      <c r="J2807" s="8">
        <v>0.81732638888888887</v>
      </c>
      <c r="K2807" t="s">
        <v>984</v>
      </c>
      <c r="AQ2807" t="s">
        <v>992</v>
      </c>
      <c r="AR2807" t="s">
        <v>2225</v>
      </c>
      <c r="AT2807" t="s">
        <v>987</v>
      </c>
      <c r="AZ2807" t="s">
        <v>1011</v>
      </c>
      <c r="BA2807" t="s">
        <v>1012</v>
      </c>
      <c r="BB2807" t="s">
        <v>1013</v>
      </c>
      <c r="BD2807" t="s">
        <v>1014</v>
      </c>
      <c r="BE2807" t="s">
        <v>828</v>
      </c>
    </row>
    <row r="2808" spans="1:57" ht="13" x14ac:dyDescent="0.15">
      <c r="A2808">
        <v>1839</v>
      </c>
      <c r="B2808">
        <v>288150586</v>
      </c>
      <c r="C2808" t="s">
        <v>828</v>
      </c>
      <c r="D2808" s="7">
        <v>45698</v>
      </c>
      <c r="E2808" s="7">
        <v>45712</v>
      </c>
      <c r="F2808">
        <v>330862</v>
      </c>
      <c r="G2808" t="s">
        <v>983</v>
      </c>
      <c r="H2808" t="s">
        <v>9</v>
      </c>
      <c r="I2808" s="7">
        <v>45705</v>
      </c>
      <c r="J2808" s="8">
        <v>0.84641203703703705</v>
      </c>
      <c r="K2808" t="s">
        <v>984</v>
      </c>
      <c r="AQ2808" t="s">
        <v>992</v>
      </c>
      <c r="AR2808" t="s">
        <v>2226</v>
      </c>
      <c r="AT2808" t="s">
        <v>987</v>
      </c>
      <c r="AZ2808" t="s">
        <v>1493</v>
      </c>
      <c r="BA2808" t="s">
        <v>1494</v>
      </c>
      <c r="BB2808" t="s">
        <v>1495</v>
      </c>
      <c r="BD2808" t="s">
        <v>1005</v>
      </c>
      <c r="BE2808" t="s">
        <v>828</v>
      </c>
    </row>
    <row r="2809" spans="1:57" ht="13" x14ac:dyDescent="0.15">
      <c r="A2809">
        <v>1839</v>
      </c>
      <c r="B2809">
        <v>288153052</v>
      </c>
      <c r="C2809" t="s">
        <v>829</v>
      </c>
      <c r="D2809" s="7">
        <v>45699</v>
      </c>
      <c r="E2809" s="7">
        <v>45701</v>
      </c>
      <c r="F2809">
        <v>330862</v>
      </c>
      <c r="G2809" t="s">
        <v>983</v>
      </c>
      <c r="H2809" t="s">
        <v>9</v>
      </c>
      <c r="I2809" s="7">
        <v>45699</v>
      </c>
      <c r="J2809" s="8">
        <v>4.8321759259259259E-2</v>
      </c>
      <c r="K2809" t="s">
        <v>984</v>
      </c>
      <c r="AQ2809" t="s">
        <v>1251</v>
      </c>
      <c r="AR2809" t="s">
        <v>994</v>
      </c>
      <c r="AT2809" t="s">
        <v>987</v>
      </c>
      <c r="AZ2809" t="s">
        <v>1011</v>
      </c>
      <c r="BA2809" t="s">
        <v>1012</v>
      </c>
      <c r="BB2809" t="s">
        <v>1013</v>
      </c>
      <c r="BD2809" t="s">
        <v>1014</v>
      </c>
      <c r="BE2809" t="s">
        <v>829</v>
      </c>
    </row>
    <row r="2810" spans="1:57" ht="13" x14ac:dyDescent="0.15">
      <c r="A2810">
        <v>1839</v>
      </c>
      <c r="B2810">
        <v>288177562</v>
      </c>
      <c r="C2810" t="s">
        <v>830</v>
      </c>
      <c r="D2810" s="7">
        <v>45700</v>
      </c>
      <c r="E2810" s="7">
        <v>45702</v>
      </c>
      <c r="F2810">
        <v>330862</v>
      </c>
      <c r="G2810" t="s">
        <v>983</v>
      </c>
      <c r="H2810" t="s">
        <v>9</v>
      </c>
      <c r="I2810" s="7">
        <v>45700</v>
      </c>
      <c r="J2810" s="8">
        <v>4.5891203703703705E-2</v>
      </c>
      <c r="K2810" t="s">
        <v>984</v>
      </c>
      <c r="AQ2810" t="s">
        <v>1092</v>
      </c>
      <c r="AR2810" t="s">
        <v>1264</v>
      </c>
      <c r="AT2810" t="s">
        <v>987</v>
      </c>
      <c r="AZ2810" t="s">
        <v>1080</v>
      </c>
      <c r="BA2810" t="s">
        <v>1081</v>
      </c>
      <c r="BB2810" t="s">
        <v>1082</v>
      </c>
      <c r="BD2810" t="s">
        <v>991</v>
      </c>
      <c r="BE2810" t="s">
        <v>830</v>
      </c>
    </row>
    <row r="2811" spans="1:57" ht="13" x14ac:dyDescent="0.15">
      <c r="A2811">
        <v>1839</v>
      </c>
      <c r="B2811">
        <v>288194017</v>
      </c>
      <c r="C2811" t="s">
        <v>831</v>
      </c>
      <c r="D2811" s="7">
        <v>45700</v>
      </c>
      <c r="E2811" s="7">
        <v>45704</v>
      </c>
      <c r="F2811">
        <v>330862</v>
      </c>
      <c r="G2811" t="s">
        <v>983</v>
      </c>
      <c r="H2811" t="s">
        <v>9</v>
      </c>
      <c r="I2811" s="7">
        <v>45702</v>
      </c>
      <c r="J2811" s="8">
        <v>0.52964120370370371</v>
      </c>
      <c r="K2811" t="s">
        <v>984</v>
      </c>
      <c r="AQ2811" t="s">
        <v>1090</v>
      </c>
      <c r="AR2811" t="s">
        <v>1176</v>
      </c>
      <c r="AT2811" t="s">
        <v>987</v>
      </c>
      <c r="AZ2811" t="s">
        <v>1011</v>
      </c>
      <c r="BA2811" t="s">
        <v>1012</v>
      </c>
      <c r="BB2811" t="s">
        <v>1013</v>
      </c>
      <c r="BD2811" t="s">
        <v>1014</v>
      </c>
      <c r="BE2811" t="s">
        <v>831</v>
      </c>
    </row>
    <row r="2812" spans="1:57" ht="13" x14ac:dyDescent="0.15">
      <c r="A2812">
        <v>1839</v>
      </c>
      <c r="B2812">
        <v>288196425</v>
      </c>
      <c r="C2812" t="s">
        <v>832</v>
      </c>
      <c r="D2812" s="7">
        <v>45700</v>
      </c>
      <c r="E2812" s="7">
        <v>45704</v>
      </c>
      <c r="F2812">
        <v>330862</v>
      </c>
      <c r="G2812" t="s">
        <v>983</v>
      </c>
      <c r="H2812" t="s">
        <v>9</v>
      </c>
      <c r="I2812" s="7">
        <v>45700</v>
      </c>
      <c r="J2812" s="8">
        <v>0.58861111111111108</v>
      </c>
      <c r="K2812" t="s">
        <v>984</v>
      </c>
      <c r="AQ2812" t="s">
        <v>992</v>
      </c>
      <c r="AR2812" t="s">
        <v>2227</v>
      </c>
      <c r="AT2812" t="s">
        <v>987</v>
      </c>
      <c r="AZ2812" t="s">
        <v>1002</v>
      </c>
      <c r="BA2812" t="s">
        <v>1124</v>
      </c>
      <c r="BB2812" t="s">
        <v>1125</v>
      </c>
      <c r="BD2812" t="s">
        <v>1005</v>
      </c>
      <c r="BE2812" t="s">
        <v>832</v>
      </c>
    </row>
    <row r="2813" spans="1:57" ht="13" x14ac:dyDescent="0.15">
      <c r="A2813">
        <v>1839</v>
      </c>
      <c r="B2813">
        <v>288226565</v>
      </c>
      <c r="C2813" t="s">
        <v>833</v>
      </c>
      <c r="D2813" s="7">
        <v>45701</v>
      </c>
      <c r="E2813" s="7">
        <v>45703</v>
      </c>
      <c r="F2813">
        <v>330862</v>
      </c>
      <c r="G2813" t="s">
        <v>983</v>
      </c>
      <c r="H2813" t="s">
        <v>9</v>
      </c>
      <c r="I2813" s="7">
        <v>45701</v>
      </c>
      <c r="J2813" s="8">
        <v>0.66275462962962961</v>
      </c>
      <c r="K2813" t="s">
        <v>984</v>
      </c>
      <c r="AQ2813" t="s">
        <v>1090</v>
      </c>
      <c r="AR2813" t="s">
        <v>2228</v>
      </c>
      <c r="AT2813" t="s">
        <v>987</v>
      </c>
      <c r="AZ2813" t="s">
        <v>1174</v>
      </c>
      <c r="BA2813" t="s">
        <v>1175</v>
      </c>
      <c r="BB2813" t="s">
        <v>990</v>
      </c>
      <c r="BD2813" t="s">
        <v>991</v>
      </c>
      <c r="BE2813" t="s">
        <v>833</v>
      </c>
    </row>
    <row r="2814" spans="1:57" ht="13" x14ac:dyDescent="0.15">
      <c r="A2814">
        <v>1839</v>
      </c>
      <c r="B2814">
        <v>288265891</v>
      </c>
      <c r="C2814" t="s">
        <v>834</v>
      </c>
      <c r="D2814" s="7">
        <v>45703</v>
      </c>
      <c r="E2814" s="7">
        <v>45707</v>
      </c>
      <c r="F2814">
        <v>330862</v>
      </c>
      <c r="G2814" t="s">
        <v>983</v>
      </c>
      <c r="H2814" t="s">
        <v>9</v>
      </c>
      <c r="I2814" s="7">
        <v>45703</v>
      </c>
      <c r="J2814" s="8">
        <v>0.53607638888888887</v>
      </c>
      <c r="K2814" t="s">
        <v>984</v>
      </c>
      <c r="AQ2814" t="s">
        <v>985</v>
      </c>
      <c r="AR2814" t="s">
        <v>2229</v>
      </c>
      <c r="AT2814" t="s">
        <v>987</v>
      </c>
      <c r="AZ2814" t="s">
        <v>1002</v>
      </c>
      <c r="BA2814" t="s">
        <v>1040</v>
      </c>
      <c r="BB2814" t="s">
        <v>1041</v>
      </c>
      <c r="BD2814" t="s">
        <v>991</v>
      </c>
      <c r="BE2814" t="s">
        <v>834</v>
      </c>
    </row>
    <row r="2815" spans="1:57" ht="13" x14ac:dyDescent="0.15">
      <c r="A2815">
        <v>1839</v>
      </c>
      <c r="B2815">
        <v>288303929</v>
      </c>
      <c r="C2815" t="s">
        <v>835</v>
      </c>
      <c r="D2815" s="7">
        <v>45705</v>
      </c>
      <c r="E2815" s="7">
        <v>45712</v>
      </c>
      <c r="F2815">
        <v>330862</v>
      </c>
      <c r="G2815" t="s">
        <v>983</v>
      </c>
      <c r="H2815" t="s">
        <v>9</v>
      </c>
      <c r="I2815" s="7">
        <v>45705</v>
      </c>
      <c r="J2815" s="8">
        <v>0.61572916666666666</v>
      </c>
      <c r="K2815" t="s">
        <v>984</v>
      </c>
      <c r="AQ2815" t="s">
        <v>985</v>
      </c>
      <c r="AR2815" t="s">
        <v>1482</v>
      </c>
      <c r="AT2815" t="s">
        <v>987</v>
      </c>
      <c r="AZ2815" t="s">
        <v>1220</v>
      </c>
      <c r="BA2815" t="s">
        <v>1221</v>
      </c>
      <c r="BB2815" t="s">
        <v>1082</v>
      </c>
      <c r="BD2815" t="s">
        <v>991</v>
      </c>
      <c r="BE2815" t="s">
        <v>835</v>
      </c>
    </row>
    <row r="2816" spans="1:57" ht="13" x14ac:dyDescent="0.15">
      <c r="A2816">
        <v>1839</v>
      </c>
      <c r="B2816">
        <v>288303929</v>
      </c>
      <c r="C2816" t="s">
        <v>835</v>
      </c>
      <c r="D2816" s="7">
        <v>45705</v>
      </c>
      <c r="E2816" s="7">
        <v>45712</v>
      </c>
      <c r="F2816">
        <v>330862</v>
      </c>
      <c r="G2816" t="s">
        <v>983</v>
      </c>
      <c r="H2816" t="s">
        <v>9</v>
      </c>
      <c r="I2816" s="7">
        <v>45705</v>
      </c>
      <c r="J2816" s="8">
        <v>0.62093750000000003</v>
      </c>
      <c r="K2816" t="s">
        <v>984</v>
      </c>
      <c r="AQ2816" t="s">
        <v>985</v>
      </c>
      <c r="AR2816" t="s">
        <v>1079</v>
      </c>
      <c r="AT2816" t="s">
        <v>987</v>
      </c>
      <c r="AZ2816" t="s">
        <v>1080</v>
      </c>
      <c r="BA2816" t="s">
        <v>1081</v>
      </c>
      <c r="BB2816" t="s">
        <v>1082</v>
      </c>
      <c r="BD2816" t="s">
        <v>991</v>
      </c>
      <c r="BE2816" t="s">
        <v>835</v>
      </c>
    </row>
    <row r="2817" spans="1:57" ht="13" x14ac:dyDescent="0.15">
      <c r="A2817">
        <v>1839</v>
      </c>
      <c r="B2817">
        <v>288303974</v>
      </c>
      <c r="C2817" t="s">
        <v>836</v>
      </c>
      <c r="D2817" s="7">
        <v>45705</v>
      </c>
      <c r="E2817" s="7">
        <v>45707</v>
      </c>
      <c r="F2817">
        <v>330862</v>
      </c>
      <c r="G2817" t="s">
        <v>983</v>
      </c>
      <c r="H2817" t="s">
        <v>9</v>
      </c>
      <c r="I2817" s="7">
        <v>45705</v>
      </c>
      <c r="J2817" s="8">
        <v>0.61898148148148147</v>
      </c>
      <c r="K2817" t="s">
        <v>984</v>
      </c>
      <c r="AQ2817" t="s">
        <v>992</v>
      </c>
      <c r="AR2817" t="s">
        <v>1482</v>
      </c>
      <c r="AT2817" t="s">
        <v>987</v>
      </c>
      <c r="AZ2817" t="s">
        <v>1220</v>
      </c>
      <c r="BA2817" t="s">
        <v>1221</v>
      </c>
      <c r="BB2817" t="s">
        <v>1082</v>
      </c>
      <c r="BD2817" t="s">
        <v>991</v>
      </c>
      <c r="BE2817" t="s">
        <v>836</v>
      </c>
    </row>
    <row r="2818" spans="1:57" ht="13" x14ac:dyDescent="0.15">
      <c r="A2818">
        <v>1839</v>
      </c>
      <c r="B2818">
        <v>288313883</v>
      </c>
      <c r="C2818" t="s">
        <v>837</v>
      </c>
      <c r="D2818" s="7">
        <v>45706</v>
      </c>
      <c r="E2818" s="7">
        <v>45708</v>
      </c>
      <c r="F2818">
        <v>330862</v>
      </c>
      <c r="G2818" t="s">
        <v>983</v>
      </c>
      <c r="H2818" t="s">
        <v>9</v>
      </c>
      <c r="I2818" s="7">
        <v>45706</v>
      </c>
      <c r="J2818" s="8">
        <v>0.32063657407407409</v>
      </c>
      <c r="K2818" t="s">
        <v>984</v>
      </c>
      <c r="AQ2818" t="s">
        <v>992</v>
      </c>
      <c r="AR2818" t="s">
        <v>1480</v>
      </c>
      <c r="AT2818" t="s">
        <v>987</v>
      </c>
      <c r="AZ2818" t="s">
        <v>1028</v>
      </c>
      <c r="BA2818" t="s">
        <v>1037</v>
      </c>
      <c r="BB2818" t="s">
        <v>1038</v>
      </c>
      <c r="BD2818" t="s">
        <v>991</v>
      </c>
      <c r="BE2818" t="s">
        <v>837</v>
      </c>
    </row>
    <row r="2819" spans="1:57" ht="13" x14ac:dyDescent="0.15">
      <c r="A2819">
        <v>1839</v>
      </c>
      <c r="B2819">
        <v>288313883</v>
      </c>
      <c r="C2819" t="s">
        <v>837</v>
      </c>
      <c r="D2819" s="7">
        <v>45706</v>
      </c>
      <c r="E2819" s="7">
        <v>45708</v>
      </c>
      <c r="F2819">
        <v>330862</v>
      </c>
      <c r="G2819" t="s">
        <v>983</v>
      </c>
      <c r="H2819" t="s">
        <v>9</v>
      </c>
      <c r="I2819" s="7">
        <v>45706</v>
      </c>
      <c r="J2819" s="8">
        <v>0.31979166666666664</v>
      </c>
      <c r="K2819" t="s">
        <v>984</v>
      </c>
      <c r="AQ2819" t="s">
        <v>992</v>
      </c>
      <c r="AR2819" t="s">
        <v>1482</v>
      </c>
      <c r="AT2819" t="s">
        <v>987</v>
      </c>
      <c r="AZ2819" t="s">
        <v>1220</v>
      </c>
      <c r="BA2819" t="s">
        <v>1221</v>
      </c>
      <c r="BB2819" t="s">
        <v>1082</v>
      </c>
      <c r="BD2819" t="s">
        <v>991</v>
      </c>
      <c r="BE2819" t="s">
        <v>837</v>
      </c>
    </row>
    <row r="2820" spans="1:57" ht="13" x14ac:dyDescent="0.15">
      <c r="A2820">
        <v>1839</v>
      </c>
      <c r="B2820">
        <v>288322539</v>
      </c>
      <c r="C2820" t="s">
        <v>838</v>
      </c>
      <c r="D2820" s="7">
        <v>45706</v>
      </c>
      <c r="E2820" s="7">
        <v>45708</v>
      </c>
      <c r="F2820">
        <v>330862</v>
      </c>
      <c r="G2820" t="s">
        <v>983</v>
      </c>
      <c r="H2820" t="s">
        <v>9</v>
      </c>
      <c r="I2820" s="7">
        <v>45706</v>
      </c>
      <c r="J2820" s="8">
        <v>0.59903935185185186</v>
      </c>
      <c r="K2820" t="s">
        <v>984</v>
      </c>
      <c r="AQ2820" t="s">
        <v>998</v>
      </c>
      <c r="AR2820" t="s">
        <v>1780</v>
      </c>
      <c r="AT2820" t="s">
        <v>987</v>
      </c>
      <c r="AZ2820" t="s">
        <v>1080</v>
      </c>
      <c r="BA2820" t="s">
        <v>1081</v>
      </c>
      <c r="BB2820" t="s">
        <v>1082</v>
      </c>
      <c r="BD2820" t="s">
        <v>991</v>
      </c>
      <c r="BE2820" t="s">
        <v>838</v>
      </c>
    </row>
    <row r="2821" spans="1:57" ht="13" x14ac:dyDescent="0.15">
      <c r="A2821">
        <v>1839</v>
      </c>
      <c r="B2821">
        <v>288417615</v>
      </c>
      <c r="C2821" t="s">
        <v>839</v>
      </c>
      <c r="D2821" s="7">
        <v>45706</v>
      </c>
      <c r="E2821" s="7">
        <v>45708</v>
      </c>
      <c r="F2821">
        <v>330862</v>
      </c>
      <c r="G2821" t="s">
        <v>983</v>
      </c>
      <c r="H2821" t="s">
        <v>9</v>
      </c>
      <c r="I2821" s="7">
        <v>45706</v>
      </c>
      <c r="J2821" s="8">
        <v>0.85277777777777775</v>
      </c>
      <c r="K2821" t="s">
        <v>984</v>
      </c>
      <c r="AQ2821" t="s">
        <v>998</v>
      </c>
      <c r="AR2821" t="s">
        <v>2046</v>
      </c>
      <c r="AT2821" t="s">
        <v>987</v>
      </c>
      <c r="AZ2821" t="s">
        <v>1011</v>
      </c>
      <c r="BA2821" t="s">
        <v>1012</v>
      </c>
      <c r="BB2821" t="s">
        <v>1013</v>
      </c>
      <c r="BD2821" t="s">
        <v>1014</v>
      </c>
      <c r="BE2821" t="s">
        <v>839</v>
      </c>
    </row>
    <row r="2822" spans="1:57" ht="13" x14ac:dyDescent="0.15">
      <c r="A2822">
        <v>1839</v>
      </c>
      <c r="B2822">
        <v>288418652</v>
      </c>
      <c r="C2822" t="s">
        <v>840</v>
      </c>
      <c r="D2822" s="7">
        <v>45706</v>
      </c>
      <c r="E2822" s="7">
        <v>45708</v>
      </c>
      <c r="F2822">
        <v>330862</v>
      </c>
      <c r="G2822" t="s">
        <v>983</v>
      </c>
      <c r="H2822" t="s">
        <v>9</v>
      </c>
      <c r="I2822" s="7">
        <v>45706</v>
      </c>
      <c r="J2822" s="8">
        <v>0.96105324074074072</v>
      </c>
      <c r="K2822" t="s">
        <v>984</v>
      </c>
      <c r="AQ2822" t="s">
        <v>1090</v>
      </c>
      <c r="AR2822" t="s">
        <v>1912</v>
      </c>
      <c r="AT2822" t="s">
        <v>987</v>
      </c>
      <c r="AZ2822" t="s">
        <v>1011</v>
      </c>
      <c r="BA2822" t="s">
        <v>1012</v>
      </c>
      <c r="BB2822" t="s">
        <v>1013</v>
      </c>
      <c r="BD2822" t="s">
        <v>1014</v>
      </c>
      <c r="BE2822" t="s">
        <v>840</v>
      </c>
    </row>
    <row r="2823" spans="1:57" ht="13" x14ac:dyDescent="0.15">
      <c r="A2823">
        <v>1839</v>
      </c>
      <c r="B2823">
        <v>288443490</v>
      </c>
      <c r="C2823" t="s">
        <v>841</v>
      </c>
      <c r="D2823" s="7">
        <v>45707</v>
      </c>
      <c r="E2823" s="7">
        <v>45709</v>
      </c>
      <c r="F2823">
        <v>330862</v>
      </c>
      <c r="G2823" t="s">
        <v>983</v>
      </c>
      <c r="H2823" t="s">
        <v>9</v>
      </c>
      <c r="I2823" s="7">
        <v>45707</v>
      </c>
      <c r="J2823" s="8">
        <v>0.48645833333333333</v>
      </c>
      <c r="K2823" t="s">
        <v>984</v>
      </c>
      <c r="AQ2823" t="s">
        <v>992</v>
      </c>
      <c r="AR2823" t="s">
        <v>2230</v>
      </c>
      <c r="AT2823" t="s">
        <v>987</v>
      </c>
      <c r="AZ2823" t="s">
        <v>988</v>
      </c>
      <c r="BA2823" t="s">
        <v>1058</v>
      </c>
      <c r="BB2823" t="s">
        <v>1018</v>
      </c>
      <c r="BD2823" t="s">
        <v>1005</v>
      </c>
      <c r="BE2823" t="s">
        <v>841</v>
      </c>
    </row>
    <row r="2824" spans="1:57" ht="13" x14ac:dyDescent="0.15">
      <c r="A2824">
        <v>1839</v>
      </c>
      <c r="B2824">
        <v>288448061</v>
      </c>
      <c r="C2824" t="s">
        <v>842</v>
      </c>
      <c r="D2824" s="7">
        <v>45707</v>
      </c>
      <c r="E2824" s="7">
        <v>45709</v>
      </c>
      <c r="F2824">
        <v>330862</v>
      </c>
      <c r="G2824" t="s">
        <v>983</v>
      </c>
      <c r="H2824" t="s">
        <v>9</v>
      </c>
      <c r="I2824" s="7">
        <v>45707</v>
      </c>
      <c r="J2824" s="8">
        <v>0.64254629629629634</v>
      </c>
      <c r="K2824" t="s">
        <v>984</v>
      </c>
      <c r="AQ2824" t="s">
        <v>1273</v>
      </c>
      <c r="AR2824" t="s">
        <v>1691</v>
      </c>
      <c r="AT2824" t="s">
        <v>987</v>
      </c>
      <c r="AZ2824" t="s">
        <v>1011</v>
      </c>
      <c r="BA2824" t="s">
        <v>1012</v>
      </c>
      <c r="BB2824" t="s">
        <v>1013</v>
      </c>
      <c r="BD2824" t="s">
        <v>1014</v>
      </c>
      <c r="BE2824" t="s">
        <v>842</v>
      </c>
    </row>
    <row r="2825" spans="1:57" ht="13" x14ac:dyDescent="0.15">
      <c r="A2825">
        <v>1839</v>
      </c>
      <c r="B2825">
        <v>288448085</v>
      </c>
      <c r="C2825" t="s">
        <v>843</v>
      </c>
      <c r="D2825" s="7">
        <v>45707</v>
      </c>
      <c r="E2825" s="7">
        <v>45709</v>
      </c>
      <c r="F2825">
        <v>330862</v>
      </c>
      <c r="G2825" t="s">
        <v>983</v>
      </c>
      <c r="H2825" t="s">
        <v>9</v>
      </c>
      <c r="I2825" s="7">
        <v>45707</v>
      </c>
      <c r="J2825" s="8">
        <v>0.64333333333333331</v>
      </c>
      <c r="K2825" t="s">
        <v>984</v>
      </c>
      <c r="AQ2825" t="s">
        <v>1273</v>
      </c>
      <c r="AR2825" t="s">
        <v>1691</v>
      </c>
      <c r="AT2825" t="s">
        <v>987</v>
      </c>
      <c r="AZ2825" t="s">
        <v>1011</v>
      </c>
      <c r="BA2825" t="s">
        <v>1012</v>
      </c>
      <c r="BB2825" t="s">
        <v>1013</v>
      </c>
      <c r="BD2825" t="s">
        <v>1014</v>
      </c>
      <c r="BE2825" t="s">
        <v>843</v>
      </c>
    </row>
    <row r="2826" spans="1:57" ht="13" x14ac:dyDescent="0.15">
      <c r="A2826">
        <v>1839</v>
      </c>
      <c r="B2826">
        <v>288454055</v>
      </c>
      <c r="C2826" t="s">
        <v>844</v>
      </c>
      <c r="D2826" s="7">
        <v>45708</v>
      </c>
      <c r="E2826" s="7">
        <v>45710</v>
      </c>
      <c r="F2826">
        <v>330862</v>
      </c>
      <c r="G2826" t="s">
        <v>983</v>
      </c>
      <c r="H2826" t="s">
        <v>9</v>
      </c>
      <c r="I2826" s="7">
        <v>45708</v>
      </c>
      <c r="J2826" s="8">
        <v>3.7743055555555557E-2</v>
      </c>
      <c r="K2826" t="s">
        <v>984</v>
      </c>
      <c r="AQ2826" t="s">
        <v>998</v>
      </c>
      <c r="AR2826" t="s">
        <v>2231</v>
      </c>
      <c r="AT2826" t="s">
        <v>987</v>
      </c>
      <c r="AZ2826" t="s">
        <v>1028</v>
      </c>
      <c r="BA2826" t="s">
        <v>1037</v>
      </c>
      <c r="BB2826" t="s">
        <v>1038</v>
      </c>
      <c r="BD2826" t="s">
        <v>991</v>
      </c>
      <c r="BE2826" t="s">
        <v>844</v>
      </c>
    </row>
    <row r="2827" spans="1:57" ht="13" x14ac:dyDescent="0.15">
      <c r="A2827">
        <v>1839</v>
      </c>
      <c r="B2827">
        <v>288454055</v>
      </c>
      <c r="C2827" t="s">
        <v>844</v>
      </c>
      <c r="D2827" s="7">
        <v>45708</v>
      </c>
      <c r="E2827" s="7">
        <v>45710</v>
      </c>
      <c r="F2827">
        <v>330862</v>
      </c>
      <c r="G2827" t="s">
        <v>983</v>
      </c>
      <c r="H2827" t="s">
        <v>9</v>
      </c>
      <c r="I2827" s="7">
        <v>45708</v>
      </c>
      <c r="J2827" s="8">
        <v>3.8113425925925926E-2</v>
      </c>
      <c r="K2827" t="s">
        <v>984</v>
      </c>
      <c r="AQ2827" t="s">
        <v>998</v>
      </c>
      <c r="AR2827" t="s">
        <v>2231</v>
      </c>
      <c r="AT2827" t="s">
        <v>987</v>
      </c>
      <c r="AZ2827" t="s">
        <v>1028</v>
      </c>
      <c r="BA2827" t="s">
        <v>1037</v>
      </c>
      <c r="BB2827" t="s">
        <v>1038</v>
      </c>
      <c r="BD2827" t="s">
        <v>991</v>
      </c>
      <c r="BE2827" t="s">
        <v>844</v>
      </c>
    </row>
    <row r="2828" spans="1:57" ht="13" x14ac:dyDescent="0.15">
      <c r="A2828">
        <v>1839</v>
      </c>
      <c r="B2828">
        <v>288521681</v>
      </c>
      <c r="C2828" t="s">
        <v>2232</v>
      </c>
      <c r="D2828" s="7">
        <v>45708</v>
      </c>
      <c r="E2828" s="7">
        <v>45710</v>
      </c>
      <c r="F2828">
        <v>330862</v>
      </c>
      <c r="G2828" t="s">
        <v>983</v>
      </c>
      <c r="H2828" t="s">
        <v>9</v>
      </c>
      <c r="I2828" s="7">
        <v>45708</v>
      </c>
      <c r="J2828" s="8">
        <v>0.81618055555555558</v>
      </c>
      <c r="K2828" t="s">
        <v>984</v>
      </c>
      <c r="AQ2828" t="s">
        <v>1090</v>
      </c>
      <c r="AR2828" t="s">
        <v>1763</v>
      </c>
      <c r="AT2828" t="s">
        <v>987</v>
      </c>
      <c r="AZ2828" t="s">
        <v>1011</v>
      </c>
      <c r="BA2828" t="s">
        <v>1012</v>
      </c>
      <c r="BB2828" t="s">
        <v>1013</v>
      </c>
      <c r="BD2828" t="s">
        <v>1014</v>
      </c>
      <c r="BE2828" t="s">
        <v>2232</v>
      </c>
    </row>
    <row r="2829" spans="1:57" ht="13" x14ac:dyDescent="0.15">
      <c r="A2829">
        <v>1839</v>
      </c>
      <c r="B2829">
        <v>288559651</v>
      </c>
      <c r="C2829" t="s">
        <v>2233</v>
      </c>
      <c r="D2829" s="7">
        <v>45710</v>
      </c>
      <c r="E2829" s="7">
        <v>45712</v>
      </c>
      <c r="F2829">
        <v>330862</v>
      </c>
      <c r="G2829" t="s">
        <v>983</v>
      </c>
      <c r="H2829" t="s">
        <v>9</v>
      </c>
      <c r="I2829" s="7">
        <v>45710</v>
      </c>
      <c r="J2829" s="8">
        <v>0.45663194444444444</v>
      </c>
      <c r="K2829" t="s">
        <v>984</v>
      </c>
      <c r="AQ2829" t="s">
        <v>1092</v>
      </c>
      <c r="AR2829" t="s">
        <v>1763</v>
      </c>
      <c r="AT2829" t="s">
        <v>987</v>
      </c>
      <c r="AZ2829" t="s">
        <v>1011</v>
      </c>
      <c r="BA2829" t="s">
        <v>1012</v>
      </c>
      <c r="BB2829" t="s">
        <v>1013</v>
      </c>
      <c r="BD2829" t="s">
        <v>1014</v>
      </c>
      <c r="BE2829" t="s">
        <v>2233</v>
      </c>
    </row>
    <row r="2830" spans="1:57" ht="13" x14ac:dyDescent="0.15">
      <c r="A2830">
        <v>1839</v>
      </c>
      <c r="B2830">
        <v>288567320</v>
      </c>
      <c r="C2830" t="s">
        <v>2234</v>
      </c>
      <c r="D2830" s="7">
        <v>45710</v>
      </c>
      <c r="E2830" s="7">
        <v>45712</v>
      </c>
      <c r="F2830">
        <v>330862</v>
      </c>
      <c r="G2830" t="s">
        <v>983</v>
      </c>
      <c r="H2830" t="s">
        <v>9</v>
      </c>
      <c r="I2830" s="7">
        <v>45710</v>
      </c>
      <c r="J2830" s="8">
        <v>0.95834490740740741</v>
      </c>
      <c r="K2830" t="s">
        <v>984</v>
      </c>
      <c r="AQ2830" t="s">
        <v>992</v>
      </c>
      <c r="AR2830" t="s">
        <v>1193</v>
      </c>
      <c r="AT2830" t="s">
        <v>987</v>
      </c>
      <c r="AZ2830" t="s">
        <v>1028</v>
      </c>
      <c r="BA2830" t="s">
        <v>1037</v>
      </c>
      <c r="BB2830" t="s">
        <v>1038</v>
      </c>
      <c r="BD2830" t="s">
        <v>991</v>
      </c>
      <c r="BE2830" t="s">
        <v>2234</v>
      </c>
    </row>
    <row r="2831" spans="1:57" ht="13" x14ac:dyDescent="0.15">
      <c r="A2831">
        <v>1839</v>
      </c>
      <c r="B2831">
        <v>288567320</v>
      </c>
      <c r="C2831" t="s">
        <v>2234</v>
      </c>
      <c r="D2831" s="7">
        <v>45710</v>
      </c>
      <c r="E2831" s="7">
        <v>45712</v>
      </c>
      <c r="F2831">
        <v>330862</v>
      </c>
      <c r="G2831" t="s">
        <v>983</v>
      </c>
      <c r="H2831" t="s">
        <v>9</v>
      </c>
      <c r="I2831" s="7">
        <v>45710</v>
      </c>
      <c r="J2831" s="8">
        <v>0.96144675925925926</v>
      </c>
      <c r="K2831" t="s">
        <v>984</v>
      </c>
      <c r="AQ2831" t="s">
        <v>992</v>
      </c>
      <c r="AR2831" t="s">
        <v>1192</v>
      </c>
      <c r="AT2831" t="s">
        <v>987</v>
      </c>
      <c r="AZ2831" t="s">
        <v>1174</v>
      </c>
      <c r="BA2831" t="s">
        <v>1175</v>
      </c>
      <c r="BB2831" t="s">
        <v>990</v>
      </c>
      <c r="BD2831" t="s">
        <v>991</v>
      </c>
      <c r="BE2831" t="s">
        <v>2234</v>
      </c>
    </row>
    <row r="2832" spans="1:57" ht="13" x14ac:dyDescent="0.15">
      <c r="A2832">
        <v>1839</v>
      </c>
      <c r="B2832">
        <v>288567320</v>
      </c>
      <c r="C2832" t="s">
        <v>2234</v>
      </c>
      <c r="D2832" s="7">
        <v>45710</v>
      </c>
      <c r="E2832" s="7">
        <v>45712</v>
      </c>
      <c r="F2832">
        <v>330862</v>
      </c>
      <c r="G2832" t="s">
        <v>983</v>
      </c>
      <c r="H2832" t="s">
        <v>9</v>
      </c>
      <c r="I2832" s="7">
        <v>45710</v>
      </c>
      <c r="J2832" s="8">
        <v>0.95456018518518515</v>
      </c>
      <c r="K2832" t="s">
        <v>984</v>
      </c>
      <c r="AQ2832" t="s">
        <v>992</v>
      </c>
      <c r="AR2832" t="s">
        <v>1194</v>
      </c>
      <c r="AT2832" t="s">
        <v>987</v>
      </c>
      <c r="AZ2832" t="s">
        <v>1080</v>
      </c>
      <c r="BA2832" t="s">
        <v>1081</v>
      </c>
      <c r="BB2832" t="s">
        <v>1082</v>
      </c>
      <c r="BD2832" t="s">
        <v>991</v>
      </c>
      <c r="BE2832" t="s">
        <v>2234</v>
      </c>
    </row>
    <row r="2833" spans="1:57" ht="13" x14ac:dyDescent="0.15">
      <c r="A2833">
        <v>1839</v>
      </c>
      <c r="B2833">
        <v>288567320</v>
      </c>
      <c r="C2833" t="s">
        <v>2234</v>
      </c>
      <c r="D2833" s="7">
        <v>45710</v>
      </c>
      <c r="E2833" s="7">
        <v>45712</v>
      </c>
      <c r="F2833">
        <v>330862</v>
      </c>
      <c r="G2833" t="s">
        <v>983</v>
      </c>
      <c r="H2833" t="s">
        <v>9</v>
      </c>
      <c r="I2833" s="7">
        <v>45710</v>
      </c>
      <c r="J2833" s="8">
        <v>0.95607638888888891</v>
      </c>
      <c r="K2833" t="s">
        <v>984</v>
      </c>
      <c r="AQ2833" t="s">
        <v>992</v>
      </c>
      <c r="AR2833" t="s">
        <v>1228</v>
      </c>
      <c r="AT2833" t="s">
        <v>987</v>
      </c>
      <c r="AZ2833" t="s">
        <v>1220</v>
      </c>
      <c r="BA2833" t="s">
        <v>1221</v>
      </c>
      <c r="BB2833" t="s">
        <v>1082</v>
      </c>
      <c r="BD2833" t="s">
        <v>991</v>
      </c>
      <c r="BE2833" t="s">
        <v>2234</v>
      </c>
    </row>
    <row r="2834" spans="1:57" ht="13" x14ac:dyDescent="0.15">
      <c r="A2834">
        <v>1839</v>
      </c>
      <c r="B2834">
        <v>288582294</v>
      </c>
      <c r="C2834" t="s">
        <v>2235</v>
      </c>
      <c r="D2834" s="7">
        <v>45712</v>
      </c>
      <c r="E2834" s="7">
        <v>45713</v>
      </c>
      <c r="F2834">
        <v>330862</v>
      </c>
      <c r="G2834" t="s">
        <v>983</v>
      </c>
      <c r="H2834" t="s">
        <v>9</v>
      </c>
      <c r="I2834" s="7">
        <v>45712</v>
      </c>
      <c r="J2834" s="8">
        <v>8.6921296296296295E-3</v>
      </c>
      <c r="K2834" t="s">
        <v>984</v>
      </c>
      <c r="AQ2834" t="s">
        <v>998</v>
      </c>
      <c r="AR2834" t="s">
        <v>2236</v>
      </c>
      <c r="AT2834" t="s">
        <v>987</v>
      </c>
      <c r="AZ2834" t="s">
        <v>1016</v>
      </c>
      <c r="BA2834" t="s">
        <v>1017</v>
      </c>
      <c r="BB2834" t="s">
        <v>1018</v>
      </c>
      <c r="BD2834" t="s">
        <v>991</v>
      </c>
      <c r="BE2834" t="s">
        <v>2235</v>
      </c>
    </row>
    <row r="2835" spans="1:57" ht="13" x14ac:dyDescent="0.15">
      <c r="A2835">
        <v>1839</v>
      </c>
      <c r="B2835">
        <v>288583251</v>
      </c>
      <c r="C2835" t="s">
        <v>2237</v>
      </c>
      <c r="D2835" s="7">
        <v>45712</v>
      </c>
      <c r="E2835" s="7">
        <v>45713</v>
      </c>
      <c r="F2835">
        <v>330862</v>
      </c>
      <c r="G2835" t="s">
        <v>983</v>
      </c>
      <c r="H2835" t="s">
        <v>9</v>
      </c>
      <c r="I2835" s="7">
        <v>45712</v>
      </c>
      <c r="J2835" s="8">
        <v>9.2511574074074079E-2</v>
      </c>
      <c r="K2835" t="s">
        <v>984</v>
      </c>
      <c r="AQ2835" t="s">
        <v>992</v>
      </c>
      <c r="AR2835" t="s">
        <v>2238</v>
      </c>
      <c r="AT2835" t="s">
        <v>987</v>
      </c>
      <c r="AZ2835" t="s">
        <v>1044</v>
      </c>
      <c r="BA2835" t="s">
        <v>1045</v>
      </c>
      <c r="BB2835" t="s">
        <v>990</v>
      </c>
      <c r="BD2835" t="s">
        <v>991</v>
      </c>
      <c r="BE2835" t="s">
        <v>2237</v>
      </c>
    </row>
    <row r="2836" spans="1:57" ht="13" x14ac:dyDescent="0.15">
      <c r="A2836">
        <v>1839</v>
      </c>
      <c r="B2836">
        <v>288583892</v>
      </c>
      <c r="C2836" t="s">
        <v>2239</v>
      </c>
      <c r="D2836" s="7">
        <v>45712</v>
      </c>
      <c r="E2836" s="7">
        <v>45713</v>
      </c>
      <c r="F2836">
        <v>330862</v>
      </c>
      <c r="G2836" t="s">
        <v>983</v>
      </c>
      <c r="H2836" t="s">
        <v>9</v>
      </c>
      <c r="I2836" s="7">
        <v>45712</v>
      </c>
      <c r="J2836" s="8">
        <v>0.14993055555555557</v>
      </c>
      <c r="K2836" t="s">
        <v>984</v>
      </c>
      <c r="AQ2836" t="s">
        <v>1251</v>
      </c>
      <c r="AR2836" t="s">
        <v>2240</v>
      </c>
      <c r="AT2836" t="s">
        <v>987</v>
      </c>
      <c r="AZ2836" t="s">
        <v>1016</v>
      </c>
      <c r="BA2836" t="s">
        <v>1017</v>
      </c>
      <c r="BB2836" t="s">
        <v>1018</v>
      </c>
      <c r="BD2836" t="s">
        <v>991</v>
      </c>
      <c r="BE2836" t="s">
        <v>2239</v>
      </c>
    </row>
    <row r="2837" spans="1:57" ht="13" x14ac:dyDescent="0.15">
      <c r="A2837">
        <v>1839</v>
      </c>
      <c r="B2837">
        <v>288598245</v>
      </c>
      <c r="C2837" t="s">
        <v>2241</v>
      </c>
      <c r="D2837" s="7">
        <v>45712</v>
      </c>
      <c r="F2837">
        <v>330862</v>
      </c>
      <c r="G2837" t="s">
        <v>983</v>
      </c>
      <c r="H2837" t="s">
        <v>9</v>
      </c>
      <c r="I2837" s="7">
        <v>45712</v>
      </c>
      <c r="J2837" s="8">
        <v>0.73003472222222221</v>
      </c>
      <c r="K2837" t="s">
        <v>984</v>
      </c>
      <c r="AQ2837" t="s">
        <v>992</v>
      </c>
      <c r="AR2837" t="s">
        <v>1763</v>
      </c>
      <c r="AT2837" t="s">
        <v>987</v>
      </c>
      <c r="AZ2837" t="s">
        <v>1011</v>
      </c>
      <c r="BA2837" t="s">
        <v>1012</v>
      </c>
      <c r="BB2837" t="s">
        <v>1013</v>
      </c>
      <c r="BD2837" t="s">
        <v>1014</v>
      </c>
      <c r="BE2837" t="s">
        <v>2241</v>
      </c>
    </row>
    <row r="2838" spans="1:57" ht="13" x14ac:dyDescent="0.15">
      <c r="A2838">
        <v>1839</v>
      </c>
      <c r="B2838">
        <v>288601860</v>
      </c>
      <c r="C2838" t="s">
        <v>2242</v>
      </c>
      <c r="D2838" s="7">
        <v>45713</v>
      </c>
      <c r="F2838">
        <v>330862</v>
      </c>
      <c r="G2838" t="s">
        <v>983</v>
      </c>
      <c r="H2838" t="s">
        <v>9</v>
      </c>
      <c r="I2838" s="7">
        <v>45713</v>
      </c>
      <c r="J2838" s="8">
        <v>3.0578703703703705E-2</v>
      </c>
      <c r="K2838" t="s">
        <v>984</v>
      </c>
      <c r="AQ2838" t="s">
        <v>992</v>
      </c>
      <c r="AR2838" t="s">
        <v>2243</v>
      </c>
      <c r="AT2838" t="s">
        <v>987</v>
      </c>
      <c r="AZ2838" t="s">
        <v>1016</v>
      </c>
      <c r="BA2838" t="s">
        <v>1017</v>
      </c>
      <c r="BB2838" t="s">
        <v>1018</v>
      </c>
      <c r="BD2838" t="s">
        <v>991</v>
      </c>
      <c r="BE2838" t="s">
        <v>2242</v>
      </c>
    </row>
    <row r="2839" spans="1:57" ht="13" x14ac:dyDescent="0.15">
      <c r="A2839">
        <v>1839</v>
      </c>
      <c r="B2839">
        <v>288607043</v>
      </c>
      <c r="C2839" t="s">
        <v>2244</v>
      </c>
      <c r="D2839" s="7">
        <v>45713</v>
      </c>
      <c r="F2839">
        <v>330862</v>
      </c>
      <c r="G2839" t="s">
        <v>983</v>
      </c>
      <c r="H2839" t="s">
        <v>9</v>
      </c>
      <c r="I2839" s="7">
        <v>45713</v>
      </c>
      <c r="J2839" s="8">
        <v>0.30903935185185183</v>
      </c>
      <c r="K2839" t="s">
        <v>984</v>
      </c>
      <c r="AQ2839" t="s">
        <v>1142</v>
      </c>
      <c r="AR2839" t="s">
        <v>2245</v>
      </c>
      <c r="AT2839" t="s">
        <v>987</v>
      </c>
      <c r="AZ2839" t="s">
        <v>1016</v>
      </c>
      <c r="BA2839" t="s">
        <v>1017</v>
      </c>
      <c r="BB2839" t="s">
        <v>1018</v>
      </c>
      <c r="BD2839" t="s">
        <v>991</v>
      </c>
      <c r="BE2839" t="s">
        <v>2244</v>
      </c>
    </row>
  </sheetData>
  <autoFilter ref="A1:MG2751" xr:uid="{00000000-0009-0000-0000-000001000000}"/>
  <hyperlinks>
    <hyperlink ref="AR25" r:id="rId1" display="https://act.amnestyusa.org/page/153818/petition/1?submit_btn_text=Get+the+sample+letter&amp;page_title=PROMINENT+JOURNALIST+ARBITRARILY+DETAINED+%5BTunisia+8.25%5D&amp;page_url_params=utm_source%3Dutm_source%253Dtest_source%2526utm_medium%253Dads&amp;Campaign+Date=02%2F12%2F25&amp;Campaign+Time=12%3A27%3A27&amp;en_txn6=Country%3A+Tunisia&amp;en_txn7=CaseNumber%3A+8.25+Tunisia&amp;en_txn8=Topic%3A+Freedom+of+Expression&amp;en_txn10=YearType%3A+2025%2C+Email&amp;color=%23f26722&amp;height=422" xr:uid="{44588404-FB50-8F4F-AE2D-E7F6738629E6}"/>
  </hyperlinks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J3249"/>
  <sheetViews>
    <sheetView topLeftCell="B1" workbookViewId="0">
      <selection activeCell="B7" sqref="B7"/>
    </sheetView>
  </sheetViews>
  <sheetFormatPr baseColWidth="10" defaultColWidth="12.6640625" defaultRowHeight="15.75" customHeight="1" x14ac:dyDescent="0.15"/>
  <cols>
    <col min="1" max="1" width="13.6640625" customWidth="1"/>
    <col min="2" max="2" width="31.1640625" customWidth="1"/>
    <col min="3" max="3" width="47.83203125" customWidth="1"/>
    <col min="4" max="4" width="15.6640625" customWidth="1"/>
    <col min="5" max="5" width="15.6640625" style="2" customWidth="1"/>
    <col min="6" max="7" width="32.1640625" customWidth="1"/>
    <col min="8" max="8" width="56.5" customWidth="1"/>
    <col min="9" max="9" width="26" customWidth="1"/>
    <col min="10" max="10" width="26.1640625" customWidth="1"/>
  </cols>
  <sheetData>
    <row r="1" spans="1:10" ht="15.75" customHeight="1" x14ac:dyDescent="0.15">
      <c r="A1" s="2" t="s">
        <v>0</v>
      </c>
      <c r="B1" s="3" t="s">
        <v>1</v>
      </c>
      <c r="C1" s="2" t="s">
        <v>2</v>
      </c>
      <c r="D1" s="2" t="s">
        <v>3</v>
      </c>
      <c r="E1" s="2" t="str">
        <f ca="1">IFERROR(__xludf.DUMMYFUNCTION("FILTER(INDEX(export!A2:MD3249, , MATCH(""Campaign Data 33"", export!A1:MD1, 0)), INDEX(export!A2:MD3249, , MATCH(""Campaign Data 33"", export!A1:MD1, 0))&lt;&gt;"""")"),"")</f>
        <v/>
      </c>
      <c r="F1" s="3" t="s">
        <v>845</v>
      </c>
      <c r="G1" s="3" t="s">
        <v>846</v>
      </c>
      <c r="H1" s="3" t="s">
        <v>847</v>
      </c>
      <c r="I1" s="3" t="s">
        <v>848</v>
      </c>
      <c r="J1" s="3" t="s">
        <v>849</v>
      </c>
    </row>
    <row r="2" spans="1:10" ht="15.75" customHeight="1" x14ac:dyDescent="0.15">
      <c r="A2" s="4">
        <f ca="1">IFERROR(__xludf.DUMMYFUNCTION("FILTER(INDEX(export!A2:MD3249, , MATCH(""Supporter ID"", export!A1:MD1, 0)), INDEX(export!A2:MD3249, , MATCH(""Supporter ID"", export!A1:MD1, 0))&lt;&gt;"""")"),27279631)</f>
        <v>27279631</v>
      </c>
      <c r="B2" s="1" t="str">
        <f ca="1">IFERROR(__xludf.DUMMYFUNCTION("FILTER(INDEX(export!A2:MD3249, , MATCH(""Supporter Email"", export!A1:MD1, 0)), INDEX(export!A2:MD3249, , MATCH(""Supporter Email"", export!A1:MD1, 0))&lt;&gt;"""")"),"lisafrucci@att.net")</f>
        <v>lisafrucci@att.net</v>
      </c>
      <c r="C2" s="4" t="str">
        <f ca="1">IFERROR(__xludf.DUMMYFUNCTION("FILTER(INDEX(export!A2:MD3249, , MATCH(""Campaign ID"", export!A1:MD1, 0)), INDEX(export!A2:MD3249, , MATCH(""Campaign ID"", export!A1:MD1, 0))&lt;&gt;"""")"),"EVERGREEN - UAN Gated Content - Embedded Petition")</f>
        <v>EVERGREEN - UAN Gated Content - Embedded Petition</v>
      </c>
      <c r="D2" s="5">
        <f ca="1">IFERROR(__xludf.DUMMYFUNCTION("FILTER(INDEX(export!B2:ME3249, , MATCH(""Campaign Date"", export!B1:ME1, 0)), INDEX(export!B2:ME3249, , MATCH(""Campaign Date"", export!B1:ME1, 0))&lt;&gt;"""")"),45698)</f>
        <v>45698</v>
      </c>
      <c r="E2" s="2" t="str">
        <f ca="1">IFERROR(__xludf.DUMMYFUNCTION("FILTER(INDEX(export!A2:MD3249, , MATCH(""Campaign Data 33"", export!A1:MD1, 0)), INDEX(export!A2:MD3249, , MATCH(""Campaign Data 33"", export!A1:MD1, 0))&lt;&gt;"""")"),"")</f>
        <v/>
      </c>
      <c r="F2" s="1" t="str">
        <f ca="1">IFERROR(__xludf.DUMMYFUNCTION("FILTER(SUBSTITUTE(INDEX(export!B2:ME3249, , MATCH(""External Reference 6"", export!B1:ME1, 0)), ""Country: "", """"), INDEX(export!B2:ME3249, , MATCH(""External Reference 6"", export!B1:ME1, 0))&lt;&gt;"""")"),"Tunisia")</f>
        <v>Tunisia</v>
      </c>
      <c r="G2" s="1" t="str">
        <f ca="1">IFERROR(__xludf.DUMMYFUNCTION("FILTER(SUBSTITUTE(INDEX(export!C2:MF3249, , MATCH(""External Reference 7"", export!C1:MF1, 0)), ""CaseNumber: "", """"), INDEX(export!C2:MF3249, , MATCH(""External Reference 7"", export!C1:MF1, 0))&lt;&gt;"""")"),"Second 76.24 Tunisia")</f>
        <v>Second 76.24 Tunisia</v>
      </c>
      <c r="H2" s="1" t="str">
        <f ca="1">IFERROR(__xludf.DUMMYFUNCTION("FILTER(SUBSTITUTE(INDEX(export!D2:MG3249, , MATCH(""External Reference 8"", export!D1:MG1, 0)), ""Topic: "", """"), INDEX(export!D2:MG3249, , MATCH(""External Reference 8"", export!D1:MG1, 0))&lt;&gt;"""")"),"Freedom of Expression, Human Rights Defenders")</f>
        <v>Freedom of Expression, Human Rights Defenders</v>
      </c>
      <c r="I2" s="1" t="str">
        <f ca="1">IFERROR(__xludf.DUMMYFUNCTION("FILTER(IF(REGEXMATCH(INDEX(export!E2:MH3249, , MATCH(""External Reference 10"", export!E1:MH1, 0)), ""\b\d{4}\b""), REGEXEXTRACT(INDEX(export!E2:MH3249, , MATCH(""External Reference 10"", export!E1:MH1, 0)), ""\b\d{4}\b""), """"), INDEX(export!E2:MH3249, "&amp;", MATCH(""External Reference 10"", export!E1:MH1, 0))&lt;&gt;"""")"),"2025")</f>
        <v>2025</v>
      </c>
      <c r="J2" s="1" t="str">
        <f ca="1">IFERROR(__xludf.DUMMYFUNCTION("FILTER(TRIM(SUBSTITUTE(SUBSTITUTE(SUBSTITUTE(INDEX(export!E2:MH3249, , MATCH(""External Reference 10"", export!E1:MH1, 0)), ""YearType: "", """"), REGEXEXTRACT(INDEX(export!E2:MH3249, , MATCH(""External Reference 10"", export!E1:MH1, 0)), ""\b\d{4}\b""), "&amp;"""""), "", "", """")), INDEX(export!E2:MH3249, , MATCH(""External Reference 10"", export!E1:MH1, 0))&lt;&gt;"""")"),"Email")</f>
        <v>Email</v>
      </c>
    </row>
    <row r="3" spans="1:10" ht="15.75" customHeight="1" x14ac:dyDescent="0.15">
      <c r="A3" s="4">
        <f ca="1">IFERROR(__xludf.DUMMYFUNCTION("""COMPUTED_VALUE"""),27279678)</f>
        <v>27279678</v>
      </c>
      <c r="B3" s="1" t="str">
        <f ca="1">IFERROR(__xludf.DUMMYFUNCTION("""COMPUTED_VALUE"""),"nsosnove@nexusmarine.com")</f>
        <v>nsosnove@nexusmarine.com</v>
      </c>
      <c r="C3" s="4" t="str">
        <f ca="1">IFERROR(__xludf.DUMMYFUNCTION("""COMPUTED_VALUE"""),"EVERGREEN - UAN Gated Content - Embedded Petition")</f>
        <v>EVERGREEN - UAN Gated Content - Embedded Petition</v>
      </c>
      <c r="D3" s="5">
        <f ca="1">IFERROR(__xludf.DUMMYFUNCTION("""COMPUTED_VALUE"""),45694)</f>
        <v>45694</v>
      </c>
      <c r="E3" s="2" t="str">
        <f ca="1">IFERROR(__xludf.DUMMYFUNCTION("FILTER(INDEX(export!A2:MD3249, , MATCH(""Campaign Data 33"", export!A1:MD1, 0)), INDEX(export!A2:MD3249, , MATCH(""Campaign Data 33"", export!A1:MD1, 0))&lt;&gt;"""")"),"")</f>
        <v/>
      </c>
      <c r="F3" s="1" t="str">
        <f ca="1">IFERROR(__xludf.DUMMYFUNCTION("""COMPUTED_VALUE"""),"Tunisia")</f>
        <v>Tunisia</v>
      </c>
      <c r="G3" s="1" t="str">
        <f ca="1">IFERROR(__xludf.DUMMYFUNCTION("""COMPUTED_VALUE"""),"Second 76.24 Tunisia")</f>
        <v>Second 76.24 Tunisia</v>
      </c>
      <c r="H3" s="1" t="str">
        <f ca="1">IFERROR(__xludf.DUMMYFUNCTION("""COMPUTED_VALUE"""),"Freedom of Expression, Human Rights Defenders")</f>
        <v>Freedom of Expression, Human Rights Defenders</v>
      </c>
      <c r="I3" s="1" t="str">
        <f ca="1">IFERROR(__xludf.DUMMYFUNCTION("""COMPUTED_VALUE"""),"2025")</f>
        <v>2025</v>
      </c>
      <c r="J3" s="1" t="str">
        <f ca="1">IFERROR(__xludf.DUMMYFUNCTION("""COMPUTED_VALUE"""),"Email")</f>
        <v>Email</v>
      </c>
    </row>
    <row r="4" spans="1:10" ht="15.75" customHeight="1" x14ac:dyDescent="0.15">
      <c r="A4" s="4">
        <f ca="1">IFERROR(__xludf.DUMMYFUNCTION("""COMPUTED_VALUE"""),27280298)</f>
        <v>27280298</v>
      </c>
      <c r="B4" s="1" t="str">
        <f ca="1">IFERROR(__xludf.DUMMYFUNCTION("""COMPUTED_VALUE"""),"lettiecatalfamo@gmail.com")</f>
        <v>lettiecatalfamo@gmail.com</v>
      </c>
      <c r="C4" s="4" t="str">
        <f ca="1">IFERROR(__xludf.DUMMYFUNCTION("""COMPUTED_VALUE"""),"EVERGREEN - UAN Gated Content - Embedded Petition")</f>
        <v>EVERGREEN - UAN Gated Content - Embedded Petition</v>
      </c>
      <c r="D4" s="5">
        <f ca="1">IFERROR(__xludf.DUMMYFUNCTION("""COMPUTED_VALUE"""),45694)</f>
        <v>45694</v>
      </c>
      <c r="E4" s="2" t="str">
        <f ca="1">IFERROR(__xludf.DUMMYFUNCTION("FILTER(INDEX(export!A2:MD3249, , MATCH(""Campaign Data 33"", export!A1:MD1, 0)), INDEX(export!A2:MD3249, , MATCH(""Campaign Data 33"", export!A1:MD1, 0))&lt;&gt;"""")"),"")</f>
        <v/>
      </c>
      <c r="F4" s="1" t="str">
        <f ca="1">IFERROR(__xludf.DUMMYFUNCTION("""COMPUTED_VALUE"""),"Tunisia")</f>
        <v>Tunisia</v>
      </c>
      <c r="G4" s="1" t="str">
        <f ca="1">IFERROR(__xludf.DUMMYFUNCTION("""COMPUTED_VALUE"""),"Second 76.24 Tunisia")</f>
        <v>Second 76.24 Tunisia</v>
      </c>
      <c r="H4" s="1" t="str">
        <f ca="1">IFERROR(__xludf.DUMMYFUNCTION("""COMPUTED_VALUE"""),"Freedom of Expression, Human Rights Defenders")</f>
        <v>Freedom of Expression, Human Rights Defenders</v>
      </c>
      <c r="I4" s="1" t="str">
        <f ca="1">IFERROR(__xludf.DUMMYFUNCTION("""COMPUTED_VALUE"""),"2025")</f>
        <v>2025</v>
      </c>
      <c r="J4" s="1" t="str">
        <f ca="1">IFERROR(__xludf.DUMMYFUNCTION("""COMPUTED_VALUE"""),"Email")</f>
        <v>Email</v>
      </c>
    </row>
    <row r="5" spans="1:10" ht="15.75" customHeight="1" x14ac:dyDescent="0.15">
      <c r="A5" s="4">
        <f ca="1">IFERROR(__xludf.DUMMYFUNCTION("""COMPUTED_VALUE"""),27280298)</f>
        <v>27280298</v>
      </c>
      <c r="B5" s="1" t="str">
        <f ca="1">IFERROR(__xludf.DUMMYFUNCTION("""COMPUTED_VALUE"""),"lettiecatalfamo@gmail.com")</f>
        <v>lettiecatalfamo@gmail.com</v>
      </c>
      <c r="C5" s="4" t="str">
        <f ca="1">IFERROR(__xludf.DUMMYFUNCTION("""COMPUTED_VALUE"""),"EVERGREEN - UAN Gated Content - Embedded Petition")</f>
        <v>EVERGREEN - UAN Gated Content - Embedded Petition</v>
      </c>
      <c r="D5" s="5">
        <f ca="1">IFERROR(__xludf.DUMMYFUNCTION("""COMPUTED_VALUE"""),45691)</f>
        <v>45691</v>
      </c>
      <c r="E5" s="2" t="str">
        <f ca="1">IFERROR(__xludf.DUMMYFUNCTION("FILTER(INDEX(export!A2:MD3249, , MATCH(""Campaign Data 33"", export!A1:MD1, 0)), INDEX(export!A2:MD3249, , MATCH(""Campaign Data 33"", export!A1:MD1, 0))&lt;&gt;"""")"),"")</f>
        <v/>
      </c>
      <c r="F5" s="1" t="str">
        <f ca="1">IFERROR(__xludf.DUMMYFUNCTION("""COMPUTED_VALUE"""),"Tunisia")</f>
        <v>Tunisia</v>
      </c>
      <c r="G5" s="1" t="str">
        <f ca="1">IFERROR(__xludf.DUMMYFUNCTION("""COMPUTED_VALUE"""),"Second 76.24 Tunisia")</f>
        <v>Second 76.24 Tunisia</v>
      </c>
      <c r="H5" s="1" t="str">
        <f ca="1">IFERROR(__xludf.DUMMYFUNCTION("""COMPUTED_VALUE"""),"Freedom of Expression, Human Rights Defenders")</f>
        <v>Freedom of Expression, Human Rights Defenders</v>
      </c>
      <c r="I5" s="1" t="str">
        <f ca="1">IFERROR(__xludf.DUMMYFUNCTION("""COMPUTED_VALUE"""),"2025")</f>
        <v>2025</v>
      </c>
      <c r="J5" s="1" t="str">
        <f ca="1">IFERROR(__xludf.DUMMYFUNCTION("""COMPUTED_VALUE"""),"Email")</f>
        <v>Email</v>
      </c>
    </row>
    <row r="6" spans="1:10" ht="15.75" customHeight="1" x14ac:dyDescent="0.15">
      <c r="A6" s="4">
        <f ca="1">IFERROR(__xludf.DUMMYFUNCTION("""COMPUTED_VALUE"""),27280298)</f>
        <v>27280298</v>
      </c>
      <c r="B6" s="1" t="str">
        <f ca="1">IFERROR(__xludf.DUMMYFUNCTION("""COMPUTED_VALUE"""),"lettiecatalfamo@gmail.com")</f>
        <v>lettiecatalfamo@gmail.com</v>
      </c>
      <c r="C6" s="4" t="str">
        <f ca="1">IFERROR(__xludf.DUMMYFUNCTION("""COMPUTED_VALUE"""),"EVERGREEN - UAN Gated Content - Embedded Petition")</f>
        <v>EVERGREEN - UAN Gated Content - Embedded Petition</v>
      </c>
      <c r="D6" s="5">
        <f ca="1">IFERROR(__xludf.DUMMYFUNCTION("""COMPUTED_VALUE"""),45694)</f>
        <v>45694</v>
      </c>
      <c r="E6" s="2" t="str">
        <f ca="1">IFERROR(__xludf.DUMMYFUNCTION("FILTER(INDEX(export!A2:MD3249, , MATCH(""Campaign Data 33"", export!A1:MD1, 0)), INDEX(export!A2:MD3249, , MATCH(""Campaign Data 33"", export!A1:MD1, 0))&lt;&gt;"""")"),"")</f>
        <v/>
      </c>
      <c r="F6" s="1" t="str">
        <f ca="1">IFERROR(__xludf.DUMMYFUNCTION("""COMPUTED_VALUE"""),"Tunisia")</f>
        <v>Tunisia</v>
      </c>
      <c r="G6" s="1" t="str">
        <f ca="1">IFERROR(__xludf.DUMMYFUNCTION("""COMPUTED_VALUE"""),"Second 76.24 Tunisia")</f>
        <v>Second 76.24 Tunisia</v>
      </c>
      <c r="H6" s="1" t="str">
        <f ca="1">IFERROR(__xludf.DUMMYFUNCTION("""COMPUTED_VALUE"""),"Freedom of Expression, Human Rights Defenders")</f>
        <v>Freedom of Expression, Human Rights Defenders</v>
      </c>
      <c r="I6" s="1" t="str">
        <f ca="1">IFERROR(__xludf.DUMMYFUNCTION("""COMPUTED_VALUE"""),"2025")</f>
        <v>2025</v>
      </c>
      <c r="J6" s="1" t="str">
        <f ca="1">IFERROR(__xludf.DUMMYFUNCTION("""COMPUTED_VALUE"""),"Email")</f>
        <v>Email</v>
      </c>
    </row>
    <row r="7" spans="1:10" ht="15.75" customHeight="1" x14ac:dyDescent="0.15">
      <c r="A7" s="4">
        <f ca="1">IFERROR(__xludf.DUMMYFUNCTION("""COMPUTED_VALUE"""),27280298)</f>
        <v>27280298</v>
      </c>
      <c r="B7" s="1" t="str">
        <f ca="1">IFERROR(__xludf.DUMMYFUNCTION("""COMPUTED_VALUE"""),"lettiecatalfamo@gmail.com")</f>
        <v>lettiecatalfamo@gmail.com</v>
      </c>
      <c r="C7" s="4" t="str">
        <f ca="1">IFERROR(__xludf.DUMMYFUNCTION("""COMPUTED_VALUE"""),"EVERGREEN - Website Email Capture Form - UAN Pre-Footer")</f>
        <v>EVERGREEN - Website Email Capture Form - UAN Pre-Footer</v>
      </c>
      <c r="D7" s="5">
        <f ca="1">IFERROR(__xludf.DUMMYFUNCTION("""COMPUTED_VALUE"""),45694)</f>
        <v>45694</v>
      </c>
      <c r="E7" s="2" t="str">
        <f ca="1">IFERROR(__xludf.DUMMYFUNCTION("FILTER(INDEX(export!A2:MD3249, , MATCH(""Campaign Data 33"", export!A1:MD1, 0)), INDEX(export!A2:MD3249, , MATCH(""Campaign Data 33"", export!A1:MD1, 0))&lt;&gt;"""")"),"")</f>
        <v/>
      </c>
      <c r="F7" s="1" t="str">
        <f ca="1">IFERROR(__xludf.DUMMYFUNCTION("""COMPUTED_VALUE"""),"Tunisia")</f>
        <v>Tunisia</v>
      </c>
      <c r="G7" s="1" t="str">
        <f ca="1">IFERROR(__xludf.DUMMYFUNCTION("""COMPUTED_VALUE"""),"Second 76.24 Tunisia")</f>
        <v>Second 76.24 Tunisia</v>
      </c>
      <c r="H7" s="1" t="str">
        <f ca="1">IFERROR(__xludf.DUMMYFUNCTION("""COMPUTED_VALUE"""),"Freedom of Expression, Human Rights Defenders")</f>
        <v>Freedom of Expression, Human Rights Defenders</v>
      </c>
      <c r="I7" s="1" t="str">
        <f ca="1">IFERROR(__xludf.DUMMYFUNCTION("""COMPUTED_VALUE"""),"2025")</f>
        <v>2025</v>
      </c>
      <c r="J7" s="1" t="str">
        <f ca="1">IFERROR(__xludf.DUMMYFUNCTION("""COMPUTED_VALUE"""),"Email")</f>
        <v>Email</v>
      </c>
    </row>
    <row r="8" spans="1:10" ht="15.75" customHeight="1" x14ac:dyDescent="0.15">
      <c r="A8" s="4">
        <f ca="1">IFERROR(__xludf.DUMMYFUNCTION("""COMPUTED_VALUE"""),28905247)</f>
        <v>28905247</v>
      </c>
      <c r="B8" s="1" t="str">
        <f ca="1">IFERROR(__xludf.DUMMYFUNCTION("""COMPUTED_VALUE"""),"mssenn29@gmail.com")</f>
        <v>mssenn29@gmail.com</v>
      </c>
      <c r="C8" s="4" t="str">
        <f ca="1">IFERROR(__xludf.DUMMYFUNCTION("""COMPUTED_VALUE"""),"EVERGREEN - UAN Gated Content - Embedded Petition")</f>
        <v>EVERGREEN - UAN Gated Content - Embedded Petition</v>
      </c>
      <c r="D8" s="5">
        <f ca="1">IFERROR(__xludf.DUMMYFUNCTION("""COMPUTED_VALUE"""),45705)</f>
        <v>45705</v>
      </c>
      <c r="E8" s="2" t="str">
        <f ca="1">IFERROR(__xludf.DUMMYFUNCTION("FILTER(INDEX(export!A2:MD3249, , MATCH(""Campaign Data 33"", export!A1:MD1, 0)), INDEX(export!A2:MD3249, , MATCH(""Campaign Data 33"", export!A1:MD1, 0))&lt;&gt;"""")"),"")</f>
        <v/>
      </c>
      <c r="F8" s="1" t="str">
        <f ca="1">IFERROR(__xludf.DUMMYFUNCTION("""COMPUTED_VALUE"""),"Iran")</f>
        <v>Iran</v>
      </c>
      <c r="G8" s="1" t="str">
        <f ca="1">IFERROR(__xludf.DUMMYFUNCTION("""COMPUTED_VALUE"""),"Seventh 103.22 Iran")</f>
        <v>Seventh 103.22 Iran</v>
      </c>
      <c r="H8" s="1" t="str">
        <f ca="1">IFERROR(__xludf.DUMMYFUNCTION("""COMPUTED_VALUE"""),"Death Penalty, Freedom of Expression, Individuals At Risk")</f>
        <v>Death Penalty, Freedom of Expression, Individuals At Risk</v>
      </c>
      <c r="I8" s="1" t="str">
        <f ca="1">IFERROR(__xludf.DUMMYFUNCTION("""COMPUTED_VALUE"""),"2024")</f>
        <v>2024</v>
      </c>
      <c r="J8" s="1" t="str">
        <f ca="1">IFERROR(__xludf.DUMMYFUNCTION("""COMPUTED_VALUE"""),"Email")</f>
        <v>Email</v>
      </c>
    </row>
    <row r="9" spans="1:10" ht="15.75" customHeight="1" x14ac:dyDescent="0.15">
      <c r="A9" s="4">
        <f ca="1">IFERROR(__xludf.DUMMYFUNCTION("""COMPUTED_VALUE"""),28908236)</f>
        <v>28908236</v>
      </c>
      <c r="B9" s="1" t="str">
        <f ca="1">IFERROR(__xludf.DUMMYFUNCTION("""COMPUTED_VALUE"""),"patrizialopreno@bluewin.ch")</f>
        <v>patrizialopreno@bluewin.ch</v>
      </c>
      <c r="C9" s="4" t="str">
        <f ca="1">IFERROR(__xludf.DUMMYFUNCTION("""COMPUTED_VALUE"""),"EVERGREEN - UAN Gated Content - Embedded Petition")</f>
        <v>EVERGREEN - UAN Gated Content - Embedded Petition</v>
      </c>
      <c r="D9" s="5">
        <f ca="1">IFERROR(__xludf.DUMMYFUNCTION("""COMPUTED_VALUE"""),45694)</f>
        <v>45694</v>
      </c>
      <c r="E9" s="2" t="str">
        <f ca="1">IFERROR(__xludf.DUMMYFUNCTION("FILTER(INDEX(export!A2:MD3249, , MATCH(""Campaign Data 33"", export!A1:MD1, 0)), INDEX(export!A2:MD3249, , MATCH(""Campaign Data 33"", export!A1:MD1, 0))&lt;&gt;"""")"),"")</f>
        <v/>
      </c>
      <c r="F9" s="1" t="str">
        <f ca="1">IFERROR(__xludf.DUMMYFUNCTION("""COMPUTED_VALUE"""),"Niger")</f>
        <v>Niger</v>
      </c>
      <c r="G9" s="1" t="str">
        <f ca="1">IFERROR(__xludf.DUMMYFUNCTION("""COMPUTED_VALUE"""),"103.24 Niger")</f>
        <v>103.24 Niger</v>
      </c>
      <c r="H9" s="1" t="str">
        <f ca="1">IFERROR(__xludf.DUMMYFUNCTION("""COMPUTED_VALUE"""),"Freedom of Expression, Human Rights Defenders")</f>
        <v>Freedom of Expression, Human Rights Defenders</v>
      </c>
      <c r="I9" s="1" t="str">
        <f ca="1">IFERROR(__xludf.DUMMYFUNCTION("""COMPUTED_VALUE"""),"2024")</f>
        <v>2024</v>
      </c>
      <c r="J9" s="1" t="str">
        <f ca="1">IFERROR(__xludf.DUMMYFUNCTION("""COMPUTED_VALUE"""),"Email")</f>
        <v>Email</v>
      </c>
    </row>
    <row r="10" spans="1:10" ht="15.75" customHeight="1" x14ac:dyDescent="0.15">
      <c r="A10" s="4">
        <f ca="1">IFERROR(__xludf.DUMMYFUNCTION("""COMPUTED_VALUE"""),28908436)</f>
        <v>28908436</v>
      </c>
      <c r="B10" s="1" t="str">
        <f ca="1">IFERROR(__xludf.DUMMYFUNCTION("""COMPUTED_VALUE"""),"s_innes99@hotmail.com")</f>
        <v>s_innes99@hotmail.com</v>
      </c>
      <c r="C10" s="4" t="str">
        <f ca="1">IFERROR(__xludf.DUMMYFUNCTION("""COMPUTED_VALUE"""),"EVERGREEN - UAN Gated Content - Embedded Petition")</f>
        <v>EVERGREEN - UAN Gated Content - Embedded Petition</v>
      </c>
      <c r="D10" s="5">
        <f ca="1">IFERROR(__xludf.DUMMYFUNCTION("""COMPUTED_VALUE"""),45682)</f>
        <v>45682</v>
      </c>
      <c r="E10" s="2" t="str">
        <f ca="1">IFERROR(__xludf.DUMMYFUNCTION("FILTER(INDEX(export!A2:MD3249, , MATCH(""Campaign Data 33"", export!A1:MD1, 0)), INDEX(export!A2:MD3249, , MATCH(""Campaign Data 33"", export!A1:MD1, 0))&lt;&gt;"""")"),"")</f>
        <v/>
      </c>
      <c r="F10" s="1" t="str">
        <f ca="1">IFERROR(__xludf.DUMMYFUNCTION("""COMPUTED_VALUE"""),"Tunisia")</f>
        <v>Tunisia</v>
      </c>
      <c r="G10" s="1" t="str">
        <f ca="1">IFERROR(__xludf.DUMMYFUNCTION("""COMPUTED_VALUE"""),"Second 76.24 Tunisia")</f>
        <v>Second 76.24 Tunisia</v>
      </c>
      <c r="H10" s="1" t="str">
        <f ca="1">IFERROR(__xludf.DUMMYFUNCTION("""COMPUTED_VALUE"""),"Freedom of Expression, Human Rights Defenders")</f>
        <v>Freedom of Expression, Human Rights Defenders</v>
      </c>
      <c r="I10" s="1" t="str">
        <f ca="1">IFERROR(__xludf.DUMMYFUNCTION("""COMPUTED_VALUE"""),"2025")</f>
        <v>2025</v>
      </c>
      <c r="J10" s="1" t="str">
        <f ca="1">IFERROR(__xludf.DUMMYFUNCTION("""COMPUTED_VALUE"""),"Email")</f>
        <v>Email</v>
      </c>
    </row>
    <row r="11" spans="1:10" ht="15.75" customHeight="1" x14ac:dyDescent="0.15">
      <c r="A11" s="4">
        <f ca="1">IFERROR(__xludf.DUMMYFUNCTION("""COMPUTED_VALUE"""),28908436)</f>
        <v>28908436</v>
      </c>
      <c r="B11" s="1" t="str">
        <f ca="1">IFERROR(__xludf.DUMMYFUNCTION("""COMPUTED_VALUE"""),"s_innes99@hotmail.com")</f>
        <v>s_innes99@hotmail.com</v>
      </c>
      <c r="C11" s="4" t="str">
        <f ca="1">IFERROR(__xludf.DUMMYFUNCTION("""COMPUTED_VALUE"""),"EVERGREEN - UAN Gated Content - Embedded Petition")</f>
        <v>EVERGREEN - UAN Gated Content - Embedded Petition</v>
      </c>
      <c r="D11" s="5">
        <f ca="1">IFERROR(__xludf.DUMMYFUNCTION("""COMPUTED_VALUE"""),45681)</f>
        <v>45681</v>
      </c>
      <c r="E11" s="2" t="str">
        <f ca="1">IFERROR(__xludf.DUMMYFUNCTION("FILTER(INDEX(export!A2:MD3249, , MATCH(""Campaign Data 33"", export!A1:MD1, 0)), INDEX(export!A2:MD3249, , MATCH(""Campaign Data 33"", export!A1:MD1, 0))&lt;&gt;"""")"),"")</f>
        <v/>
      </c>
      <c r="F11" s="1" t="str">
        <f ca="1">IFERROR(__xludf.DUMMYFUNCTION("""COMPUTED_VALUE"""),"Tunisia")</f>
        <v>Tunisia</v>
      </c>
      <c r="G11" s="1" t="str">
        <f ca="1">IFERROR(__xludf.DUMMYFUNCTION("""COMPUTED_VALUE"""),"Second 76.24 Tunisia")</f>
        <v>Second 76.24 Tunisia</v>
      </c>
      <c r="H11" s="1" t="str">
        <f ca="1">IFERROR(__xludf.DUMMYFUNCTION("""COMPUTED_VALUE"""),"Freedom of Expression, Human Rights Defenders")</f>
        <v>Freedom of Expression, Human Rights Defenders</v>
      </c>
      <c r="I11" s="1" t="str">
        <f ca="1">IFERROR(__xludf.DUMMYFUNCTION("""COMPUTED_VALUE"""),"2025")</f>
        <v>2025</v>
      </c>
      <c r="J11" s="1" t="str">
        <f ca="1">IFERROR(__xludf.DUMMYFUNCTION("""COMPUTED_VALUE"""),"Email")</f>
        <v>Email</v>
      </c>
    </row>
    <row r="12" spans="1:10" ht="15.75" customHeight="1" x14ac:dyDescent="0.15">
      <c r="A12" s="4">
        <f ca="1">IFERROR(__xludf.DUMMYFUNCTION("""COMPUTED_VALUE"""),28908436)</f>
        <v>28908436</v>
      </c>
      <c r="B12" s="1" t="str">
        <f ca="1">IFERROR(__xludf.DUMMYFUNCTION("""COMPUTED_VALUE"""),"s_innes99@hotmail.com")</f>
        <v>s_innes99@hotmail.com</v>
      </c>
      <c r="C12" s="4" t="str">
        <f ca="1">IFERROR(__xludf.DUMMYFUNCTION("""COMPUTED_VALUE"""),"EVERGREEN - UAN Gated Content - Embedded Petition")</f>
        <v>EVERGREEN - UAN Gated Content - Embedded Petition</v>
      </c>
      <c r="D12" s="5">
        <f ca="1">IFERROR(__xludf.DUMMYFUNCTION("""COMPUTED_VALUE"""),45694)</f>
        <v>45694</v>
      </c>
      <c r="E12" s="2" t="str">
        <f ca="1">IFERROR(__xludf.DUMMYFUNCTION("FILTER(INDEX(export!A2:MD3249, , MATCH(""Campaign Data 33"", export!A1:MD1, 0)), INDEX(export!A2:MD3249, , MATCH(""Campaign Data 33"", export!A1:MD1, 0))&lt;&gt;"""")"),"")</f>
        <v/>
      </c>
      <c r="F12" s="1" t="str">
        <f ca="1">IFERROR(__xludf.DUMMYFUNCTION("""COMPUTED_VALUE"""),"Israel and Occupied Palestinian Territories")</f>
        <v>Israel and Occupied Palestinian Territories</v>
      </c>
      <c r="G12" s="1" t="str">
        <f ca="1">IFERROR(__xludf.DUMMYFUNCTION("""COMPUTED_VALUE"""),"3.25 IOPT")</f>
        <v>3.25 IOPT</v>
      </c>
      <c r="H12" s="1" t="str">
        <f ca="1">IFERROR(__xludf.DUMMYFUNCTION("""COMPUTED_VALUE"""),"Freedom of Expression, Individuals At Risk")</f>
        <v>Freedom of Expression, Individuals At Risk</v>
      </c>
      <c r="I12" s="1" t="str">
        <f ca="1">IFERROR(__xludf.DUMMYFUNCTION("""COMPUTED_VALUE"""),"2025")</f>
        <v>2025</v>
      </c>
      <c r="J12" s="1" t="str">
        <f ca="1">IFERROR(__xludf.DUMMYFUNCTION("""COMPUTED_VALUE"""),"Email")</f>
        <v>Email</v>
      </c>
    </row>
    <row r="13" spans="1:10" ht="15.75" customHeight="1" x14ac:dyDescent="0.15">
      <c r="A13" s="4">
        <f ca="1">IFERROR(__xludf.DUMMYFUNCTION("""COMPUTED_VALUE"""),28926613)</f>
        <v>28926613</v>
      </c>
      <c r="B13" s="1" t="str">
        <f ca="1">IFERROR(__xludf.DUMMYFUNCTION("""COMPUTED_VALUE"""),"bongoboycd@sbcglobal.net")</f>
        <v>bongoboycd@sbcglobal.net</v>
      </c>
      <c r="C13" s="4" t="str">
        <f ca="1">IFERROR(__xludf.DUMMYFUNCTION("""COMPUTED_VALUE"""),"EVERGREEN - UAN Gated Content - Embedded Petition")</f>
        <v>EVERGREEN - UAN Gated Content - Embedded Petition</v>
      </c>
      <c r="D13" s="5">
        <f ca="1">IFERROR(__xludf.DUMMYFUNCTION("""COMPUTED_VALUE"""),45694)</f>
        <v>45694</v>
      </c>
      <c r="E13" s="2" t="str">
        <f ca="1">IFERROR(__xludf.DUMMYFUNCTION("FILTER(INDEX(export!A2:MD3249, , MATCH(""Campaign Data 33"", export!A1:MD1, 0)), INDEX(export!A2:MD3249, , MATCH(""Campaign Data 33"", export!A1:MD1, 0))&lt;&gt;"""")"),"")</f>
        <v/>
      </c>
      <c r="F13" s="1" t="str">
        <f ca="1">IFERROR(__xludf.DUMMYFUNCTION("""COMPUTED_VALUE"""),"USA")</f>
        <v>USA</v>
      </c>
      <c r="G13" s="1" t="str">
        <f ca="1">IFERROR(__xludf.DUMMYFUNCTION("""COMPUTED_VALUE"""),"4.25 USA")</f>
        <v>4.25 USA</v>
      </c>
      <c r="H13" s="1" t="str">
        <f ca="1">IFERROR(__xludf.DUMMYFUNCTION("""COMPUTED_VALUE"""),"Individuals At Risk, Refugee and Migrant Rights")</f>
        <v>Individuals At Risk, Refugee and Migrant Rights</v>
      </c>
      <c r="I13" s="1" t="str">
        <f ca="1">IFERROR(__xludf.DUMMYFUNCTION("""COMPUTED_VALUE"""),"2025")</f>
        <v>2025</v>
      </c>
      <c r="J13" s="1" t="str">
        <f ca="1">IFERROR(__xludf.DUMMYFUNCTION("""COMPUTED_VALUE"""),"Letter")</f>
        <v>Letter</v>
      </c>
    </row>
    <row r="14" spans="1:10" ht="15.75" customHeight="1" x14ac:dyDescent="0.15">
      <c r="A14" s="4">
        <f ca="1">IFERROR(__xludf.DUMMYFUNCTION("""COMPUTED_VALUE"""),28933368)</f>
        <v>28933368</v>
      </c>
      <c r="B14" s="1" t="str">
        <f ca="1">IFERROR(__xludf.DUMMYFUNCTION("""COMPUTED_VALUE"""),"davidbmitchell42@hotmail.com")</f>
        <v>davidbmitchell42@hotmail.com</v>
      </c>
      <c r="C14" s="4" t="str">
        <f ca="1">IFERROR(__xludf.DUMMYFUNCTION("""COMPUTED_VALUE"""),"EVERGREEN - UAN Gated Content - Embedded Petition")</f>
        <v>EVERGREEN - UAN Gated Content - Embedded Petition</v>
      </c>
      <c r="D14" s="5">
        <f ca="1">IFERROR(__xludf.DUMMYFUNCTION("""COMPUTED_VALUE"""),45673)</f>
        <v>45673</v>
      </c>
      <c r="E14" s="2" t="str">
        <f ca="1">IFERROR(__xludf.DUMMYFUNCTION("FILTER(INDEX(export!A2:MD3249, , MATCH(""Campaign Data 33"", export!A1:MD1, 0)), INDEX(export!A2:MD3249, , MATCH(""Campaign Data 33"", export!A1:MD1, 0))&lt;&gt;"""")"),"")</f>
        <v/>
      </c>
      <c r="F14" s="1" t="str">
        <f ca="1">IFERROR(__xludf.DUMMYFUNCTION("""COMPUTED_VALUE"""),"Tunisia")</f>
        <v>Tunisia</v>
      </c>
      <c r="G14" s="1" t="str">
        <f ca="1">IFERROR(__xludf.DUMMYFUNCTION("""COMPUTED_VALUE"""),"Second 76.24 Tunisia")</f>
        <v>Second 76.24 Tunisia</v>
      </c>
      <c r="H14" s="1" t="str">
        <f ca="1">IFERROR(__xludf.DUMMYFUNCTION("""COMPUTED_VALUE"""),"Freedom of Expression, Human Rights Defenders")</f>
        <v>Freedom of Expression, Human Rights Defenders</v>
      </c>
      <c r="I14" s="1" t="str">
        <f ca="1">IFERROR(__xludf.DUMMYFUNCTION("""COMPUTED_VALUE"""),"2025")</f>
        <v>2025</v>
      </c>
      <c r="J14" s="1" t="str">
        <f ca="1">IFERROR(__xludf.DUMMYFUNCTION("""COMPUTED_VALUE"""),"Email")</f>
        <v>Email</v>
      </c>
    </row>
    <row r="15" spans="1:10" ht="15.75" customHeight="1" x14ac:dyDescent="0.15">
      <c r="A15" s="4">
        <f ca="1">IFERROR(__xludf.DUMMYFUNCTION("""COMPUTED_VALUE"""),28933368)</f>
        <v>28933368</v>
      </c>
      <c r="B15" s="1" t="str">
        <f ca="1">IFERROR(__xludf.DUMMYFUNCTION("""COMPUTED_VALUE"""),"davidbmitchell42@hotmail.com")</f>
        <v>davidbmitchell42@hotmail.com</v>
      </c>
      <c r="C15" s="4" t="str">
        <f ca="1">IFERROR(__xludf.DUMMYFUNCTION("""COMPUTED_VALUE"""),"EVERGREEN - UAN Gated Content - Embedded Petition")</f>
        <v>EVERGREEN - UAN Gated Content - Embedded Petition</v>
      </c>
      <c r="D15" s="5">
        <f ca="1">IFERROR(__xludf.DUMMYFUNCTION("""COMPUTED_VALUE"""),45681)</f>
        <v>45681</v>
      </c>
      <c r="E15" s="2" t="str">
        <f ca="1">IFERROR(__xludf.DUMMYFUNCTION("FILTER(INDEX(export!A2:MD3249, , MATCH(""Campaign Data 33"", export!A1:MD1, 0)), INDEX(export!A2:MD3249, , MATCH(""Campaign Data 33"", export!A1:MD1, 0))&lt;&gt;"""")"),"")</f>
        <v/>
      </c>
      <c r="F15" s="1" t="str">
        <f ca="1">IFERROR(__xludf.DUMMYFUNCTION("""COMPUTED_VALUE"""),"Tunisia")</f>
        <v>Tunisia</v>
      </c>
      <c r="G15" s="1" t="str">
        <f ca="1">IFERROR(__xludf.DUMMYFUNCTION("""COMPUTED_VALUE"""),"Second 76.24 Tunisia")</f>
        <v>Second 76.24 Tunisia</v>
      </c>
      <c r="H15" s="1" t="str">
        <f ca="1">IFERROR(__xludf.DUMMYFUNCTION("""COMPUTED_VALUE"""),"Freedom of Expression, Human Rights Defenders")</f>
        <v>Freedom of Expression, Human Rights Defenders</v>
      </c>
      <c r="I15" s="1" t="str">
        <f ca="1">IFERROR(__xludf.DUMMYFUNCTION("""COMPUTED_VALUE"""),"2025")</f>
        <v>2025</v>
      </c>
      <c r="J15" s="1" t="str">
        <f ca="1">IFERROR(__xludf.DUMMYFUNCTION("""COMPUTED_VALUE"""),"Email")</f>
        <v>Email</v>
      </c>
    </row>
    <row r="16" spans="1:10" ht="15.75" customHeight="1" x14ac:dyDescent="0.15">
      <c r="A16" s="4">
        <f ca="1">IFERROR(__xludf.DUMMYFUNCTION("""COMPUTED_VALUE"""),28933368)</f>
        <v>28933368</v>
      </c>
      <c r="B16" s="1" t="str">
        <f ca="1">IFERROR(__xludf.DUMMYFUNCTION("""COMPUTED_VALUE"""),"davidbmitchell42@hotmail.com")</f>
        <v>davidbmitchell42@hotmail.com</v>
      </c>
      <c r="C16" s="4" t="str">
        <f ca="1">IFERROR(__xludf.DUMMYFUNCTION("""COMPUTED_VALUE"""),"EVERGREEN - UAN Gated Content - Embedded Petition")</f>
        <v>EVERGREEN - UAN Gated Content - Embedded Petition</v>
      </c>
      <c r="D16" s="5">
        <f ca="1">IFERROR(__xludf.DUMMYFUNCTION("""COMPUTED_VALUE"""),45694)</f>
        <v>45694</v>
      </c>
      <c r="E16" s="2" t="str">
        <f ca="1">IFERROR(__xludf.DUMMYFUNCTION("FILTER(INDEX(export!A2:MD3249, , MATCH(""Campaign Data 33"", export!A1:MD1, 0)), INDEX(export!A2:MD3249, , MATCH(""Campaign Data 33"", export!A1:MD1, 0))&lt;&gt;"""")"),"")</f>
        <v/>
      </c>
      <c r="F16" s="1" t="str">
        <f ca="1">IFERROR(__xludf.DUMMYFUNCTION("""COMPUTED_VALUE"""),"Venezuela")</f>
        <v>Venezuela</v>
      </c>
      <c r="G16" s="1" t="str">
        <f ca="1">IFERROR(__xludf.DUMMYFUNCTION("""COMPUTED_VALUE"""),"97.24 Venezuela")</f>
        <v>97.24 Venezuela</v>
      </c>
      <c r="H16" s="1" t="str">
        <f ca="1">IFERROR(__xludf.DUMMYFUNCTION("""COMPUTED_VALUE"""),"Freedom of Expression")</f>
        <v>Freedom of Expression</v>
      </c>
      <c r="I16" s="1" t="str">
        <f ca="1">IFERROR(__xludf.DUMMYFUNCTION("""COMPUTED_VALUE"""),"2024")</f>
        <v>2024</v>
      </c>
      <c r="J16" s="1" t="str">
        <f ca="1">IFERROR(__xludf.DUMMYFUNCTION("""COMPUTED_VALUE"""),"Letter")</f>
        <v>Letter</v>
      </c>
    </row>
    <row r="17" spans="1:10" ht="15.75" customHeight="1" x14ac:dyDescent="0.15">
      <c r="A17" s="4">
        <f ca="1">IFERROR(__xludf.DUMMYFUNCTION("""COMPUTED_VALUE"""),28963554)</f>
        <v>28963554</v>
      </c>
      <c r="B17" s="1" t="str">
        <f ca="1">IFERROR(__xludf.DUMMYFUNCTION("""COMPUTED_VALUE"""),"vickilkerr@gmail.com")</f>
        <v>vickilkerr@gmail.com</v>
      </c>
      <c r="C17" s="4" t="str">
        <f ca="1">IFERROR(__xludf.DUMMYFUNCTION("""COMPUTED_VALUE"""),"EVERGREEN - UAN Gated Content - Embedded Petition")</f>
        <v>EVERGREEN - UAN Gated Content - Embedded Petition</v>
      </c>
      <c r="D17" s="5">
        <f ca="1">IFERROR(__xludf.DUMMYFUNCTION("""COMPUTED_VALUE"""),45694)</f>
        <v>45694</v>
      </c>
      <c r="E17" s="2" t="str">
        <f ca="1">IFERROR(__xludf.DUMMYFUNCTION("FILTER(INDEX(export!A2:MD3249, , MATCH(""Campaign Data 33"", export!A1:MD1, 0)), INDEX(export!A2:MD3249, , MATCH(""Campaign Data 33"", export!A1:MD1, 0))&lt;&gt;"""")"),"")</f>
        <v/>
      </c>
      <c r="F17" s="1" t="str">
        <f ca="1">IFERROR(__xludf.DUMMYFUNCTION("""COMPUTED_VALUE"""),"Egypt")</f>
        <v>Egypt</v>
      </c>
      <c r="G17" s="1" t="str">
        <f ca="1">IFERROR(__xludf.DUMMYFUNCTION("""COMPUTED_VALUE"""),"Ninth 190.18 Egypt")</f>
        <v>Ninth 190.18 Egypt</v>
      </c>
      <c r="H17" s="1" t="str">
        <f ca="1">IFERROR(__xludf.DUMMYFUNCTION("""COMPUTED_VALUE"""),"Freedom of Expression, Individuals At Risk")</f>
        <v>Freedom of Expression, Individuals At Risk</v>
      </c>
      <c r="I17" s="1" t="str">
        <f ca="1">IFERROR(__xludf.DUMMYFUNCTION("""COMPUTED_VALUE"""),"2024")</f>
        <v>2024</v>
      </c>
      <c r="J17" s="1" t="str">
        <f ca="1">IFERROR(__xludf.DUMMYFUNCTION("""COMPUTED_VALUE"""),"Letter")</f>
        <v>Letter</v>
      </c>
    </row>
    <row r="18" spans="1:10" ht="15.75" customHeight="1" x14ac:dyDescent="0.15">
      <c r="A18" s="4">
        <f ca="1">IFERROR(__xludf.DUMMYFUNCTION("""COMPUTED_VALUE"""),28963554)</f>
        <v>28963554</v>
      </c>
      <c r="B18" s="1" t="str">
        <f ca="1">IFERROR(__xludf.DUMMYFUNCTION("""COMPUTED_VALUE"""),"vickilkerr@gmail.com")</f>
        <v>vickilkerr@gmail.com</v>
      </c>
      <c r="C18" s="4" t="str">
        <f ca="1">IFERROR(__xludf.DUMMYFUNCTION("""COMPUTED_VALUE"""),"EVERGREEN - UAN Gated Content - Embedded Petition")</f>
        <v>EVERGREEN - UAN Gated Content - Embedded Petition</v>
      </c>
      <c r="D18" s="5">
        <f ca="1">IFERROR(__xludf.DUMMYFUNCTION("""COMPUTED_VALUE"""),45638)</f>
        <v>45638</v>
      </c>
      <c r="E18" s="2" t="str">
        <f ca="1">IFERROR(__xludf.DUMMYFUNCTION("FILTER(INDEX(export!A2:MD3249, , MATCH(""Campaign Data 33"", export!A1:MD1, 0)), INDEX(export!A2:MD3249, , MATCH(""Campaign Data 33"", export!A1:MD1, 0))&lt;&gt;"""")"),"")</f>
        <v/>
      </c>
      <c r="F18" s="1" t="str">
        <f ca="1">IFERROR(__xludf.DUMMYFUNCTION("""COMPUTED_VALUE"""),"USA")</f>
        <v>USA</v>
      </c>
      <c r="G18" s="1" t="str">
        <f ca="1">IFERROR(__xludf.DUMMYFUNCTION("""COMPUTED_VALUE"""),"105.24 USA")</f>
        <v>105.24 USA</v>
      </c>
      <c r="H18" s="1" t="str">
        <f ca="1">IFERROR(__xludf.DUMMYFUNCTION("""COMPUTED_VALUE"""),"Death Penalty")</f>
        <v>Death Penalty</v>
      </c>
      <c r="I18" s="1" t="str">
        <f ca="1">IFERROR(__xludf.DUMMYFUNCTION("""COMPUTED_VALUE"""),"2024")</f>
        <v>2024</v>
      </c>
      <c r="J18" s="1" t="str">
        <f ca="1">IFERROR(__xludf.DUMMYFUNCTION("""COMPUTED_VALUE"""),"Email")</f>
        <v>Email</v>
      </c>
    </row>
    <row r="19" spans="1:10" ht="15.75" customHeight="1" x14ac:dyDescent="0.15">
      <c r="A19" s="4">
        <f ca="1">IFERROR(__xludf.DUMMYFUNCTION("""COMPUTED_VALUE"""),28963554)</f>
        <v>28963554</v>
      </c>
      <c r="B19" s="1" t="str">
        <f ca="1">IFERROR(__xludf.DUMMYFUNCTION("""COMPUTED_VALUE"""),"vickilkerr@gmail.com")</f>
        <v>vickilkerr@gmail.com</v>
      </c>
      <c r="C19" s="4" t="str">
        <f ca="1">IFERROR(__xludf.DUMMYFUNCTION("""COMPUTED_VALUE"""),"EVERGREEN - UAN Gated Content - Embedded Petition")</f>
        <v>EVERGREEN - UAN Gated Content - Embedded Petition</v>
      </c>
      <c r="D19" s="5">
        <f ca="1">IFERROR(__xludf.DUMMYFUNCTION("""COMPUTED_VALUE"""),45638)</f>
        <v>45638</v>
      </c>
      <c r="E19" s="2" t="str">
        <f ca="1">IFERROR(__xludf.DUMMYFUNCTION("FILTER(INDEX(export!A2:MD3249, , MATCH(""Campaign Data 33"", export!A1:MD1, 0)), INDEX(export!A2:MD3249, , MATCH(""Campaign Data 33"", export!A1:MD1, 0))&lt;&gt;"""")"),"")</f>
        <v/>
      </c>
      <c r="F19" s="1" t="str">
        <f ca="1">IFERROR(__xludf.DUMMYFUNCTION("""COMPUTED_VALUE"""),"Egypt")</f>
        <v>Egypt</v>
      </c>
      <c r="G19" s="1" t="str">
        <f ca="1">IFERROR(__xludf.DUMMYFUNCTION("""COMPUTED_VALUE"""),"Ninth 190.18 Egypt")</f>
        <v>Ninth 190.18 Egypt</v>
      </c>
      <c r="H19" s="1" t="str">
        <f ca="1">IFERROR(__xludf.DUMMYFUNCTION("""COMPUTED_VALUE"""),"Freedom of Expression, Individuals At Risk")</f>
        <v>Freedom of Expression, Individuals At Risk</v>
      </c>
      <c r="I19" s="1" t="str">
        <f ca="1">IFERROR(__xludf.DUMMYFUNCTION("""COMPUTED_VALUE"""),"2024")</f>
        <v>2024</v>
      </c>
      <c r="J19" s="1" t="str">
        <f ca="1">IFERROR(__xludf.DUMMYFUNCTION("""COMPUTED_VALUE"""),"Letter")</f>
        <v>Letter</v>
      </c>
    </row>
    <row r="20" spans="1:10" ht="15.75" customHeight="1" x14ac:dyDescent="0.15">
      <c r="A20" s="4">
        <f ca="1">IFERROR(__xludf.DUMMYFUNCTION("""COMPUTED_VALUE"""),28963554)</f>
        <v>28963554</v>
      </c>
      <c r="B20" s="1" t="str">
        <f ca="1">IFERROR(__xludf.DUMMYFUNCTION("""COMPUTED_VALUE"""),"vickilkerr@gmail.com")</f>
        <v>vickilkerr@gmail.com</v>
      </c>
      <c r="C20" s="4" t="str">
        <f ca="1">IFERROR(__xludf.DUMMYFUNCTION("""COMPUTED_VALUE"""),"EVERGREEN - UAN Gated Content - Embedded Petition")</f>
        <v>EVERGREEN - UAN Gated Content - Embedded Petition</v>
      </c>
      <c r="D20" s="5">
        <f ca="1">IFERROR(__xludf.DUMMYFUNCTION("""COMPUTED_VALUE"""),45638)</f>
        <v>45638</v>
      </c>
      <c r="E20" s="2" t="str">
        <f ca="1">IFERROR(__xludf.DUMMYFUNCTION("FILTER(INDEX(export!A2:MD3249, , MATCH(""Campaign Data 33"", export!A1:MD1, 0)), INDEX(export!A2:MD3249, , MATCH(""Campaign Data 33"", export!A1:MD1, 0))&lt;&gt;"""")"),"")</f>
        <v/>
      </c>
      <c r="F20" s="1" t="str">
        <f ca="1">IFERROR(__xludf.DUMMYFUNCTION("""COMPUTED_VALUE"""),"USA")</f>
        <v>USA</v>
      </c>
      <c r="G20" s="1" t="str">
        <f ca="1">IFERROR(__xludf.DUMMYFUNCTION("""COMPUTED_VALUE"""),"105.24 USA")</f>
        <v>105.24 USA</v>
      </c>
      <c r="H20" s="1" t="str">
        <f ca="1">IFERROR(__xludf.DUMMYFUNCTION("""COMPUTED_VALUE"""),"Death Penalty")</f>
        <v>Death Penalty</v>
      </c>
      <c r="I20" s="1" t="str">
        <f ca="1">IFERROR(__xludf.DUMMYFUNCTION("""COMPUTED_VALUE"""),"2024")</f>
        <v>2024</v>
      </c>
      <c r="J20" s="1" t="str">
        <f ca="1">IFERROR(__xludf.DUMMYFUNCTION("""COMPUTED_VALUE"""),"Email")</f>
        <v>Email</v>
      </c>
    </row>
    <row r="21" spans="1:10" ht="15.75" customHeight="1" x14ac:dyDescent="0.15">
      <c r="A21" s="4">
        <f ca="1">IFERROR(__xludf.DUMMYFUNCTION("""COMPUTED_VALUE"""),28963554)</f>
        <v>28963554</v>
      </c>
      <c r="B21" s="1" t="str">
        <f ca="1">IFERROR(__xludf.DUMMYFUNCTION("""COMPUTED_VALUE"""),"vickilkerr@gmail.com")</f>
        <v>vickilkerr@gmail.com</v>
      </c>
      <c r="C21" s="4" t="str">
        <f ca="1">IFERROR(__xludf.DUMMYFUNCTION("""COMPUTED_VALUE"""),"EVERGREEN - UAN Gated Content - Embedded Petition")</f>
        <v>EVERGREEN - UAN Gated Content - Embedded Petition</v>
      </c>
      <c r="D21" s="5">
        <f ca="1">IFERROR(__xludf.DUMMYFUNCTION("""COMPUTED_VALUE"""),45638)</f>
        <v>45638</v>
      </c>
      <c r="E21" s="2" t="str">
        <f ca="1">IFERROR(__xludf.DUMMYFUNCTION("FILTER(INDEX(export!A2:MD3249, , MATCH(""Campaign Data 33"", export!A1:MD1, 0)), INDEX(export!A2:MD3249, , MATCH(""Campaign Data 33"", export!A1:MD1, 0))&lt;&gt;"""")"),"")</f>
        <v/>
      </c>
      <c r="F21" s="1" t="str">
        <f ca="1">IFERROR(__xludf.DUMMYFUNCTION("""COMPUTED_VALUE"""),"China")</f>
        <v>China</v>
      </c>
      <c r="G21" s="1" t="str">
        <f ca="1">IFERROR(__xludf.DUMMYFUNCTION("""COMPUTED_VALUE"""),"98.24 China")</f>
        <v>98.24 China</v>
      </c>
      <c r="H21" s="1" t="str">
        <f ca="1">IFERROR(__xludf.DUMMYFUNCTION("""COMPUTED_VALUE"""),"Freedom of Expression, Individuals At Risk")</f>
        <v>Freedom of Expression, Individuals At Risk</v>
      </c>
      <c r="I21" s="1" t="str">
        <f ca="1">IFERROR(__xludf.DUMMYFUNCTION("""COMPUTED_VALUE"""),"2024")</f>
        <v>2024</v>
      </c>
      <c r="J21" s="1" t="str">
        <f ca="1">IFERROR(__xludf.DUMMYFUNCTION("""COMPUTED_VALUE"""),"Letter")</f>
        <v>Letter</v>
      </c>
    </row>
    <row r="22" spans="1:10" ht="15.75" customHeight="1" x14ac:dyDescent="0.15">
      <c r="A22" s="4">
        <f ca="1">IFERROR(__xludf.DUMMYFUNCTION("""COMPUTED_VALUE"""),28963554)</f>
        <v>28963554</v>
      </c>
      <c r="B22" s="1" t="str">
        <f ca="1">IFERROR(__xludf.DUMMYFUNCTION("""COMPUTED_VALUE"""),"vickilkerr@gmail.com")</f>
        <v>vickilkerr@gmail.com</v>
      </c>
      <c r="C22" s="4" t="str">
        <f ca="1">IFERROR(__xludf.DUMMYFUNCTION("""COMPUTED_VALUE"""),"EVERGREEN - UAN Gated Content - Embedded Petition")</f>
        <v>EVERGREEN - UAN Gated Content - Embedded Petition</v>
      </c>
      <c r="D22" s="5">
        <f ca="1">IFERROR(__xludf.DUMMYFUNCTION("""COMPUTED_VALUE"""),45638)</f>
        <v>45638</v>
      </c>
      <c r="E22" s="2" t="str">
        <f ca="1">IFERROR(__xludf.DUMMYFUNCTION("FILTER(INDEX(export!A2:MD3249, , MATCH(""Campaign Data 33"", export!A1:MD1, 0)), INDEX(export!A2:MD3249, , MATCH(""Campaign Data 33"", export!A1:MD1, 0))&lt;&gt;"""")"),"")</f>
        <v/>
      </c>
      <c r="F22" s="1" t="str">
        <f ca="1">IFERROR(__xludf.DUMMYFUNCTION("""COMPUTED_VALUE"""),"Tunisia")</f>
        <v>Tunisia</v>
      </c>
      <c r="G22" s="1" t="str">
        <f ca="1">IFERROR(__xludf.DUMMYFUNCTION("""COMPUTED_VALUE"""),"8.25 Tunisia")</f>
        <v>8.25 Tunisia</v>
      </c>
      <c r="H22" s="1" t="str">
        <f ca="1">IFERROR(__xludf.DUMMYFUNCTION("""COMPUTED_VALUE"""),"Freedom of Expression")</f>
        <v>Freedom of Expression</v>
      </c>
      <c r="I22" s="1" t="str">
        <f ca="1">IFERROR(__xludf.DUMMYFUNCTION("""COMPUTED_VALUE"""),"2025")</f>
        <v>2025</v>
      </c>
      <c r="J22" s="1" t="str">
        <f ca="1">IFERROR(__xludf.DUMMYFUNCTION("""COMPUTED_VALUE"""),"Email")</f>
        <v>Email</v>
      </c>
    </row>
    <row r="23" spans="1:10" ht="15.75" customHeight="1" x14ac:dyDescent="0.15">
      <c r="A23" s="4">
        <f ca="1">IFERROR(__xludf.DUMMYFUNCTION("""COMPUTED_VALUE"""),28963554)</f>
        <v>28963554</v>
      </c>
      <c r="B23" s="1" t="str">
        <f ca="1">IFERROR(__xludf.DUMMYFUNCTION("""COMPUTED_VALUE"""),"vickilkerr@gmail.com")</f>
        <v>vickilkerr@gmail.com</v>
      </c>
      <c r="C23" s="4" t="str">
        <f ca="1">IFERROR(__xludf.DUMMYFUNCTION("""COMPUTED_VALUE"""),"EVERGREEN - UAN Gated Content - Embedded Petition")</f>
        <v>EVERGREEN - UAN Gated Content - Embedded Petition</v>
      </c>
      <c r="D23" s="5">
        <f ca="1">IFERROR(__xludf.DUMMYFUNCTION("""COMPUTED_VALUE"""),45638)</f>
        <v>45638</v>
      </c>
      <c r="E23" s="2" t="str">
        <f ca="1">IFERROR(__xludf.DUMMYFUNCTION("FILTER(INDEX(export!A2:MD3249, , MATCH(""Campaign Data 33"", export!A1:MD1, 0)), INDEX(export!A2:MD3249, , MATCH(""Campaign Data 33"", export!A1:MD1, 0))&lt;&gt;"""")"),"")</f>
        <v/>
      </c>
      <c r="F23" s="1" t="str">
        <f ca="1">IFERROR(__xludf.DUMMYFUNCTION("""COMPUTED_VALUE"""),"Egypt")</f>
        <v>Egypt</v>
      </c>
      <c r="G23" s="1" t="str">
        <f ca="1">IFERROR(__xludf.DUMMYFUNCTION("""COMPUTED_VALUE"""),"Second 80.23 Egypt")</f>
        <v>Second 80.23 Egypt</v>
      </c>
      <c r="H23" s="1" t="str">
        <f ca="1">IFERROR(__xludf.DUMMYFUNCTION("""COMPUTED_VALUE"""),"Health, Individuals At Risk")</f>
        <v>Health, Individuals At Risk</v>
      </c>
      <c r="I23" s="1" t="str">
        <f ca="1">IFERROR(__xludf.DUMMYFUNCTION("""COMPUTED_VALUE"""),"2025")</f>
        <v>2025</v>
      </c>
      <c r="J23" s="1" t="str">
        <f ca="1">IFERROR(__xludf.DUMMYFUNCTION("""COMPUTED_VALUE"""),"Email")</f>
        <v>Email</v>
      </c>
    </row>
    <row r="24" spans="1:10" ht="15.75" customHeight="1" x14ac:dyDescent="0.15">
      <c r="A24" s="4">
        <f ca="1">IFERROR(__xludf.DUMMYFUNCTION("""COMPUTED_VALUE"""),28985034)</f>
        <v>28985034</v>
      </c>
      <c r="B24" s="1" t="str">
        <f ca="1">IFERROR(__xludf.DUMMYFUNCTION("""COMPUTED_VALUE"""),"kpettitdc@yahoo.com")</f>
        <v>kpettitdc@yahoo.com</v>
      </c>
      <c r="C24" s="4" t="str">
        <f ca="1">IFERROR(__xludf.DUMMYFUNCTION("""COMPUTED_VALUE"""),"EVERGREEN - UAN Gated Content - Embedded Petition")</f>
        <v>EVERGREEN - UAN Gated Content - Embedded Petition</v>
      </c>
      <c r="D24" s="5">
        <f ca="1">IFERROR(__xludf.DUMMYFUNCTION("""COMPUTED_VALUE"""),45700)</f>
        <v>45700</v>
      </c>
      <c r="E24" s="2" t="str">
        <f ca="1">IFERROR(__xludf.DUMMYFUNCTION("FILTER(INDEX(export!A2:MD3249, , MATCH(""Campaign Data 33"", export!A1:MD1, 0)), INDEX(export!A2:MD3249, , MATCH(""Campaign Data 33"", export!A1:MD1, 0))&lt;&gt;"""")"),"")</f>
        <v/>
      </c>
      <c r="F24" s="1" t="str">
        <f ca="1">IFERROR(__xludf.DUMMYFUNCTION("""COMPUTED_VALUE"""),"Iran")</f>
        <v>Iran</v>
      </c>
      <c r="G24" s="1" t="str">
        <f ca="1">IFERROR(__xludf.DUMMYFUNCTION("""COMPUTED_VALUE"""),"10.25 Iran")</f>
        <v>10.25 Iran</v>
      </c>
      <c r="H24" s="1" t="str">
        <f ca="1">IFERROR(__xludf.DUMMYFUNCTION("""COMPUTED_VALUE"""),"Death Penalty, Individuals At Risk")</f>
        <v>Death Penalty, Individuals At Risk</v>
      </c>
      <c r="I24" s="1" t="str">
        <f ca="1">IFERROR(__xludf.DUMMYFUNCTION("""COMPUTED_VALUE"""),"2025")</f>
        <v>2025</v>
      </c>
      <c r="J24" s="1" t="str">
        <f ca="1">IFERROR(__xludf.DUMMYFUNCTION("""COMPUTED_VALUE"""),"Email")</f>
        <v>Email</v>
      </c>
    </row>
    <row r="25" spans="1:10" ht="15.75" customHeight="1" x14ac:dyDescent="0.15">
      <c r="A25" s="4">
        <f ca="1">IFERROR(__xludf.DUMMYFUNCTION("""COMPUTED_VALUE"""),28985034)</f>
        <v>28985034</v>
      </c>
      <c r="B25" s="1" t="str">
        <f ca="1">IFERROR(__xludf.DUMMYFUNCTION("""COMPUTED_VALUE"""),"kpettitdc@yahoo.com")</f>
        <v>kpettitdc@yahoo.com</v>
      </c>
      <c r="C25" s="4" t="str">
        <f ca="1">IFERROR(__xludf.DUMMYFUNCTION("""COMPUTED_VALUE"""),"EVERGREEN - UAN Gated Content - Embedded Petition")</f>
        <v>EVERGREEN - UAN Gated Content - Embedded Petition</v>
      </c>
      <c r="D25" s="5">
        <f ca="1">IFERROR(__xludf.DUMMYFUNCTION("""COMPUTED_VALUE"""),45700)</f>
        <v>45700</v>
      </c>
      <c r="E25" s="2" t="str">
        <f ca="1">IFERROR(__xludf.DUMMYFUNCTION("FILTER(INDEX(export!A2:MD3249, , MATCH(""Campaign Data 33"", export!A1:MD1, 0)), INDEX(export!A2:MD3249, , MATCH(""Campaign Data 33"", export!A1:MD1, 0))&lt;&gt;"""")"),"")</f>
        <v/>
      </c>
      <c r="F25" s="1" t="str">
        <f ca="1">IFERROR(__xludf.DUMMYFUNCTION("""COMPUTED_VALUE"""),"Niger")</f>
        <v>Niger</v>
      </c>
      <c r="G25" s="1" t="str">
        <f ca="1">IFERROR(__xludf.DUMMYFUNCTION("""COMPUTED_VALUE"""),"103.24 Niger")</f>
        <v>103.24 Niger</v>
      </c>
      <c r="H25" s="1" t="str">
        <f ca="1">IFERROR(__xludf.DUMMYFUNCTION("""COMPUTED_VALUE"""),"Freedom of Expression, Human Rights Defenders")</f>
        <v>Freedom of Expression, Human Rights Defenders</v>
      </c>
      <c r="I25" s="1" t="str">
        <f ca="1">IFERROR(__xludf.DUMMYFUNCTION("""COMPUTED_VALUE"""),"2024")</f>
        <v>2024</v>
      </c>
      <c r="J25" s="1" t="str">
        <f ca="1">IFERROR(__xludf.DUMMYFUNCTION("""COMPUTED_VALUE"""),"Email")</f>
        <v>Email</v>
      </c>
    </row>
    <row r="26" spans="1:10" ht="15.75" customHeight="1" x14ac:dyDescent="0.15">
      <c r="A26" s="4">
        <f ca="1">IFERROR(__xludf.DUMMYFUNCTION("""COMPUTED_VALUE"""),28985034)</f>
        <v>28985034</v>
      </c>
      <c r="B26" s="1" t="str">
        <f ca="1">IFERROR(__xludf.DUMMYFUNCTION("""COMPUTED_VALUE"""),"kpettitdc@yahoo.com")</f>
        <v>kpettitdc@yahoo.com</v>
      </c>
      <c r="C26" s="4" t="str">
        <f ca="1">IFERROR(__xludf.DUMMYFUNCTION("""COMPUTED_VALUE"""),"EVERGREEN - UAN Gated Content - Embedded Petition")</f>
        <v>EVERGREEN - UAN Gated Content - Embedded Petition</v>
      </c>
      <c r="D26" s="5">
        <f ca="1">IFERROR(__xludf.DUMMYFUNCTION("""COMPUTED_VALUE"""),45700)</f>
        <v>45700</v>
      </c>
      <c r="E26" s="2" t="str">
        <f ca="1">IFERROR(__xludf.DUMMYFUNCTION("FILTER(INDEX(export!A2:MD3249, , MATCH(""Campaign Data 33"", export!A1:MD1, 0)), INDEX(export!A2:MD3249, , MATCH(""Campaign Data 33"", export!A1:MD1, 0))&lt;&gt;"""")"),"")</f>
        <v/>
      </c>
      <c r="F26" s="1" t="str">
        <f ca="1">IFERROR(__xludf.DUMMYFUNCTION("""COMPUTED_VALUE"""),"Tunisia")</f>
        <v>Tunisia</v>
      </c>
      <c r="G26" s="1" t="str">
        <f ca="1">IFERROR(__xludf.DUMMYFUNCTION("""COMPUTED_VALUE"""),"Second 76.24 Tunisia")</f>
        <v>Second 76.24 Tunisia</v>
      </c>
      <c r="H26" s="1" t="str">
        <f ca="1">IFERROR(__xludf.DUMMYFUNCTION("""COMPUTED_VALUE"""),"Freedom of Expression, Human Rights Defenders")</f>
        <v>Freedom of Expression, Human Rights Defenders</v>
      </c>
      <c r="I26" s="1" t="str">
        <f ca="1">IFERROR(__xludf.DUMMYFUNCTION("""COMPUTED_VALUE"""),"2025")</f>
        <v>2025</v>
      </c>
      <c r="J26" s="1" t="str">
        <f ca="1">IFERROR(__xludf.DUMMYFUNCTION("""COMPUTED_VALUE"""),"Email")</f>
        <v>Email</v>
      </c>
    </row>
    <row r="27" spans="1:10" ht="15.75" customHeight="1" x14ac:dyDescent="0.15">
      <c r="A27" s="4">
        <f ca="1">IFERROR(__xludf.DUMMYFUNCTION("""COMPUTED_VALUE"""),28985034)</f>
        <v>28985034</v>
      </c>
      <c r="B27" s="1" t="str">
        <f ca="1">IFERROR(__xludf.DUMMYFUNCTION("""COMPUTED_VALUE"""),"kpettitdc@yahoo.com")</f>
        <v>kpettitdc@yahoo.com</v>
      </c>
      <c r="C27" s="4" t="str">
        <f ca="1">IFERROR(__xludf.DUMMYFUNCTION("""COMPUTED_VALUE"""),"EVERGREEN - UAN Gated Content - Embedded Petition")</f>
        <v>EVERGREEN - UAN Gated Content - Embedded Petition</v>
      </c>
      <c r="D27" s="5">
        <f ca="1">IFERROR(__xludf.DUMMYFUNCTION("""COMPUTED_VALUE"""),45700)</f>
        <v>45700</v>
      </c>
      <c r="E27" s="2" t="str">
        <f ca="1">IFERROR(__xludf.DUMMYFUNCTION("FILTER(INDEX(export!A2:MD3249, , MATCH(""Campaign Data 33"", export!A1:MD1, 0)), INDEX(export!A2:MD3249, , MATCH(""Campaign Data 33"", export!A1:MD1, 0))&lt;&gt;"""")"),"")</f>
        <v/>
      </c>
      <c r="F27" s="1" t="str">
        <f ca="1">IFERROR(__xludf.DUMMYFUNCTION("""COMPUTED_VALUE"""),"Tunisia")</f>
        <v>Tunisia</v>
      </c>
      <c r="G27" s="1" t="str">
        <f ca="1">IFERROR(__xludf.DUMMYFUNCTION("""COMPUTED_VALUE"""),"Second 76.24 Tunisia")</f>
        <v>Second 76.24 Tunisia</v>
      </c>
      <c r="H27" s="1" t="str">
        <f ca="1">IFERROR(__xludf.DUMMYFUNCTION("""COMPUTED_VALUE"""),"Freedom of Expression, Human Rights Defenders")</f>
        <v>Freedom of Expression, Human Rights Defenders</v>
      </c>
      <c r="I27" s="1" t="str">
        <f ca="1">IFERROR(__xludf.DUMMYFUNCTION("""COMPUTED_VALUE"""),"2025")</f>
        <v>2025</v>
      </c>
      <c r="J27" s="1" t="str">
        <f ca="1">IFERROR(__xludf.DUMMYFUNCTION("""COMPUTED_VALUE"""),"Email")</f>
        <v>Email</v>
      </c>
    </row>
    <row r="28" spans="1:10" ht="15.75" customHeight="1" x14ac:dyDescent="0.15">
      <c r="A28" s="4">
        <f ca="1">IFERROR(__xludf.DUMMYFUNCTION("""COMPUTED_VALUE"""),28989864)</f>
        <v>28989864</v>
      </c>
      <c r="B28" s="1" t="str">
        <f ca="1">IFERROR(__xludf.DUMMYFUNCTION("""COMPUTED_VALUE"""),"tompyrek@hotmail.com")</f>
        <v>tompyrek@hotmail.com</v>
      </c>
      <c r="C28" s="4" t="str">
        <f ca="1">IFERROR(__xludf.DUMMYFUNCTION("""COMPUTED_VALUE"""),"EVERGREEN - UAN Gated Content - Embedded Petition")</f>
        <v>EVERGREEN - UAN Gated Content - Embedded Petition</v>
      </c>
      <c r="D28" s="5">
        <f ca="1">IFERROR(__xludf.DUMMYFUNCTION("""COMPUTED_VALUE"""),45704)</f>
        <v>45704</v>
      </c>
      <c r="E28" s="2" t="str">
        <f ca="1">IFERROR(__xludf.DUMMYFUNCTION("FILTER(INDEX(export!A2:MD3249, , MATCH(""Campaign Data 33"", export!A1:MD1, 0)), INDEX(export!A2:MD3249, , MATCH(""Campaign Data 33"", export!A1:MD1, 0))&lt;&gt;"""")"),"")</f>
        <v/>
      </c>
      <c r="F28" s="1" t="str">
        <f ca="1">IFERROR(__xludf.DUMMYFUNCTION("""COMPUTED_VALUE"""),"Azerbaijan")</f>
        <v>Azerbaijan</v>
      </c>
      <c r="G28" s="1" t="str">
        <f ca="1">IFERROR(__xludf.DUMMYFUNCTION("""COMPUTED_VALUE"""),"2.25 Azerbaijan")</f>
        <v>2.25 Azerbaijan</v>
      </c>
      <c r="H28" s="1" t="str">
        <f ca="1">IFERROR(__xludf.DUMMYFUNCTION("""COMPUTED_VALUE"""),"Freedom of Expression, Human Rights Defenders")</f>
        <v>Freedom of Expression, Human Rights Defenders</v>
      </c>
      <c r="I28" s="1" t="str">
        <f ca="1">IFERROR(__xludf.DUMMYFUNCTION("""COMPUTED_VALUE"""),"2025")</f>
        <v>2025</v>
      </c>
      <c r="J28" s="1" t="str">
        <f ca="1">IFERROR(__xludf.DUMMYFUNCTION("""COMPUTED_VALUE"""),"Email")</f>
        <v>Email</v>
      </c>
    </row>
    <row r="29" spans="1:10" ht="15.75" customHeight="1" x14ac:dyDescent="0.15">
      <c r="A29" s="4">
        <f ca="1">IFERROR(__xludf.DUMMYFUNCTION("""COMPUTED_VALUE"""),28989864)</f>
        <v>28989864</v>
      </c>
      <c r="B29" s="1" t="str">
        <f ca="1">IFERROR(__xludf.DUMMYFUNCTION("""COMPUTED_VALUE"""),"tompyrek@hotmail.com")</f>
        <v>tompyrek@hotmail.com</v>
      </c>
      <c r="C29" s="4" t="str">
        <f ca="1">IFERROR(__xludf.DUMMYFUNCTION("""COMPUTED_VALUE"""),"EVERGREEN - UAN Gated Content - Embedded Petition")</f>
        <v>EVERGREEN - UAN Gated Content - Embedded Petition</v>
      </c>
      <c r="D29" s="5">
        <f ca="1">IFERROR(__xludf.DUMMYFUNCTION("""COMPUTED_VALUE"""),45694)</f>
        <v>45694</v>
      </c>
      <c r="E29" s="2" t="str">
        <f ca="1">IFERROR(__xludf.DUMMYFUNCTION("FILTER(INDEX(export!A2:MD3249, , MATCH(""Campaign Data 33"", export!A1:MD1, 0)), INDEX(export!A2:MD3249, , MATCH(""Campaign Data 33"", export!A1:MD1, 0))&lt;&gt;"""")"),"")</f>
        <v/>
      </c>
      <c r="F29" s="1" t="str">
        <f ca="1">IFERROR(__xludf.DUMMYFUNCTION("""COMPUTED_VALUE"""),"Venezuela")</f>
        <v>Venezuela</v>
      </c>
      <c r="G29" s="1" t="str">
        <f ca="1">IFERROR(__xludf.DUMMYFUNCTION("""COMPUTED_VALUE"""),"1.25 Venezuela")</f>
        <v>1.25 Venezuela</v>
      </c>
      <c r="H29" s="1" t="str">
        <f ca="1">IFERROR(__xludf.DUMMYFUNCTION("""COMPUTED_VALUE"""),"Human Rights Defenders, Individuals At Risk")</f>
        <v>Human Rights Defenders, Individuals At Risk</v>
      </c>
      <c r="I29" s="1" t="str">
        <f ca="1">IFERROR(__xludf.DUMMYFUNCTION("""COMPUTED_VALUE"""),"2025")</f>
        <v>2025</v>
      </c>
      <c r="J29" s="1" t="str">
        <f ca="1">IFERROR(__xludf.DUMMYFUNCTION("""COMPUTED_VALUE"""),"Letter")</f>
        <v>Letter</v>
      </c>
    </row>
    <row r="30" spans="1:10" ht="15.75" customHeight="1" x14ac:dyDescent="0.15">
      <c r="A30" s="4">
        <f ca="1">IFERROR(__xludf.DUMMYFUNCTION("""COMPUTED_VALUE"""),29001552)</f>
        <v>29001552</v>
      </c>
      <c r="B30" s="1" t="str">
        <f ca="1">IFERROR(__xludf.DUMMYFUNCTION("""COMPUTED_VALUE"""),"alessandra@alessandracolfi.com")</f>
        <v>alessandra@alessandracolfi.com</v>
      </c>
      <c r="C30" s="4" t="str">
        <f ca="1">IFERROR(__xludf.DUMMYFUNCTION("""COMPUTED_VALUE"""),"EVERGREEN - UAN Gated Content - Embedded Petition")</f>
        <v>EVERGREEN - UAN Gated Content - Embedded Petition</v>
      </c>
      <c r="D30" s="5">
        <f ca="1">IFERROR(__xludf.DUMMYFUNCTION("""COMPUTED_VALUE"""),45693)</f>
        <v>45693</v>
      </c>
      <c r="E30" s="2" t="str">
        <f ca="1">IFERROR(__xludf.DUMMYFUNCTION("FILTER(INDEX(export!A2:MD3249, , MATCH(""Campaign Data 33"", export!A1:MD1, 0)), INDEX(export!A2:MD3249, , MATCH(""Campaign Data 33"", export!A1:MD1, 0))&lt;&gt;"""")"),"")</f>
        <v/>
      </c>
      <c r="F30" s="1" t="str">
        <f ca="1">IFERROR(__xludf.DUMMYFUNCTION("""COMPUTED_VALUE"""),"Israel and Occupied Palestinian Territories")</f>
        <v>Israel and Occupied Palestinian Territories</v>
      </c>
      <c r="G30" s="1" t="str">
        <f ca="1">IFERROR(__xludf.DUMMYFUNCTION("""COMPUTED_VALUE"""),"3.25 IOPT")</f>
        <v>3.25 IOPT</v>
      </c>
      <c r="H30" s="1" t="str">
        <f ca="1">IFERROR(__xludf.DUMMYFUNCTION("""COMPUTED_VALUE"""),"Freedom of Expression, Individuals At Risk")</f>
        <v>Freedom of Expression, Individuals At Risk</v>
      </c>
      <c r="I30" s="1" t="str">
        <f ca="1">IFERROR(__xludf.DUMMYFUNCTION("""COMPUTED_VALUE"""),"2025")</f>
        <v>2025</v>
      </c>
      <c r="J30" s="1" t="str">
        <f ca="1">IFERROR(__xludf.DUMMYFUNCTION("""COMPUTED_VALUE"""),"Email")</f>
        <v>Email</v>
      </c>
    </row>
    <row r="31" spans="1:10" ht="15.75" customHeight="1" x14ac:dyDescent="0.15">
      <c r="A31" s="4">
        <f ca="1">IFERROR(__xludf.DUMMYFUNCTION("""COMPUTED_VALUE"""),29001552)</f>
        <v>29001552</v>
      </c>
      <c r="B31" s="1" t="str">
        <f ca="1">IFERROR(__xludf.DUMMYFUNCTION("""COMPUTED_VALUE"""),"alessandra@alessandracolfi.com")</f>
        <v>alessandra@alessandracolfi.com</v>
      </c>
      <c r="C31" s="4" t="str">
        <f ca="1">IFERROR(__xludf.DUMMYFUNCTION("""COMPUTED_VALUE"""),"EVERGREEN - UAN Gated Content - Embedded Petition")</f>
        <v>EVERGREEN - UAN Gated Content - Embedded Petition</v>
      </c>
      <c r="D31" s="5">
        <f ca="1">IFERROR(__xludf.DUMMYFUNCTION("""COMPUTED_VALUE"""),45693)</f>
        <v>45693</v>
      </c>
      <c r="E31" s="2" t="str">
        <f ca="1">IFERROR(__xludf.DUMMYFUNCTION("FILTER(INDEX(export!A2:MD3249, , MATCH(""Campaign Data 33"", export!A1:MD1, 0)), INDEX(export!A2:MD3249, , MATCH(""Campaign Data 33"", export!A1:MD1, 0))&lt;&gt;"""")"),"")</f>
        <v/>
      </c>
      <c r="F31" s="1" t="str">
        <f ca="1">IFERROR(__xludf.DUMMYFUNCTION("""COMPUTED_VALUE"""),"USA")</f>
        <v>USA</v>
      </c>
      <c r="G31" s="1" t="str">
        <f ca="1">IFERROR(__xludf.DUMMYFUNCTION("""COMPUTED_VALUE"""),"4.25 USA")</f>
        <v>4.25 USA</v>
      </c>
      <c r="H31" s="1" t="str">
        <f ca="1">IFERROR(__xludf.DUMMYFUNCTION("""COMPUTED_VALUE"""),"Individuals At Risk, Refugee and Migrant Rights")</f>
        <v>Individuals At Risk, Refugee and Migrant Rights</v>
      </c>
      <c r="I31" s="1" t="str">
        <f ca="1">IFERROR(__xludf.DUMMYFUNCTION("""COMPUTED_VALUE"""),"2025")</f>
        <v>2025</v>
      </c>
      <c r="J31" s="1" t="str">
        <f ca="1">IFERROR(__xludf.DUMMYFUNCTION("""COMPUTED_VALUE"""),"Letter")</f>
        <v>Letter</v>
      </c>
    </row>
    <row r="32" spans="1:10" ht="15.75" customHeight="1" x14ac:dyDescent="0.15">
      <c r="A32" s="4">
        <f ca="1">IFERROR(__xludf.DUMMYFUNCTION("""COMPUTED_VALUE"""),29001552)</f>
        <v>29001552</v>
      </c>
      <c r="B32" s="1" t="str">
        <f ca="1">IFERROR(__xludf.DUMMYFUNCTION("""COMPUTED_VALUE"""),"alessandra@alessandracolfi.com")</f>
        <v>alessandra@alessandracolfi.com</v>
      </c>
      <c r="C32" s="4" t="str">
        <f ca="1">IFERROR(__xludf.DUMMYFUNCTION("""COMPUTED_VALUE"""),"EVERGREEN - UAN Gated Content - Embedded Petition")</f>
        <v>EVERGREEN - UAN Gated Content - Embedded Petition</v>
      </c>
      <c r="D32" s="5">
        <f ca="1">IFERROR(__xludf.DUMMYFUNCTION("""COMPUTED_VALUE"""),45680)</f>
        <v>45680</v>
      </c>
      <c r="E32" s="2" t="str">
        <f ca="1">IFERROR(__xludf.DUMMYFUNCTION("FILTER(INDEX(export!A2:MD3249, , MATCH(""Campaign Data 33"", export!A1:MD1, 0)), INDEX(export!A2:MD3249, , MATCH(""Campaign Data 33"", export!A1:MD1, 0))&lt;&gt;"""")"),"")</f>
        <v/>
      </c>
      <c r="F32" s="1" t="str">
        <f ca="1">IFERROR(__xludf.DUMMYFUNCTION("""COMPUTED_VALUE"""),"Tunisia")</f>
        <v>Tunisia</v>
      </c>
      <c r="G32" s="1" t="str">
        <f ca="1">IFERROR(__xludf.DUMMYFUNCTION("""COMPUTED_VALUE"""),"Second 76.24 Tunisia")</f>
        <v>Second 76.24 Tunisia</v>
      </c>
      <c r="H32" s="1" t="str">
        <f ca="1">IFERROR(__xludf.DUMMYFUNCTION("""COMPUTED_VALUE"""),"Freedom of Expression, Human Rights Defenders")</f>
        <v>Freedom of Expression, Human Rights Defenders</v>
      </c>
      <c r="I32" s="1" t="str">
        <f ca="1">IFERROR(__xludf.DUMMYFUNCTION("""COMPUTED_VALUE"""),"2025")</f>
        <v>2025</v>
      </c>
      <c r="J32" s="1" t="str">
        <f ca="1">IFERROR(__xludf.DUMMYFUNCTION("""COMPUTED_VALUE"""),"Email")</f>
        <v>Email</v>
      </c>
    </row>
    <row r="33" spans="1:10" ht="15.75" customHeight="1" x14ac:dyDescent="0.15">
      <c r="A33" s="4">
        <f ca="1">IFERROR(__xludf.DUMMYFUNCTION("""COMPUTED_VALUE"""),29001552)</f>
        <v>29001552</v>
      </c>
      <c r="B33" s="1" t="str">
        <f ca="1">IFERROR(__xludf.DUMMYFUNCTION("""COMPUTED_VALUE"""),"alessandra@alessandracolfi.com")</f>
        <v>alessandra@alessandracolfi.com</v>
      </c>
      <c r="C33" s="4" t="str">
        <f ca="1">IFERROR(__xludf.DUMMYFUNCTION("""COMPUTED_VALUE"""),"EVERGREEN - UAN Gated Content - Embedded Petition")</f>
        <v>EVERGREEN - UAN Gated Content - Embedded Petition</v>
      </c>
      <c r="D33" s="5">
        <f ca="1">IFERROR(__xludf.DUMMYFUNCTION("""COMPUTED_VALUE"""),45677)</f>
        <v>45677</v>
      </c>
      <c r="E33" s="2" t="str">
        <f ca="1">IFERROR(__xludf.DUMMYFUNCTION("FILTER(INDEX(export!A2:MD3249, , MATCH(""Campaign Data 33"", export!A1:MD1, 0)), INDEX(export!A2:MD3249, , MATCH(""Campaign Data 33"", export!A1:MD1, 0))&lt;&gt;"""")"),"")</f>
        <v/>
      </c>
      <c r="F33" s="1" t="str">
        <f ca="1">IFERROR(__xludf.DUMMYFUNCTION("""COMPUTED_VALUE"""),"USA")</f>
        <v>USA</v>
      </c>
      <c r="G33" s="1" t="str">
        <f ca="1">IFERROR(__xludf.DUMMYFUNCTION("""COMPUTED_VALUE"""),"4.25 USA")</f>
        <v>4.25 USA</v>
      </c>
      <c r="H33" s="1" t="str">
        <f ca="1">IFERROR(__xludf.DUMMYFUNCTION("""COMPUTED_VALUE"""),"Individuals At Risk, Refugee and Migrant Rights")</f>
        <v>Individuals At Risk, Refugee and Migrant Rights</v>
      </c>
      <c r="I33" s="1" t="str">
        <f ca="1">IFERROR(__xludf.DUMMYFUNCTION("""COMPUTED_VALUE"""),"2025")</f>
        <v>2025</v>
      </c>
      <c r="J33" s="1" t="str">
        <f ca="1">IFERROR(__xludf.DUMMYFUNCTION("""COMPUTED_VALUE"""),"Letter")</f>
        <v>Letter</v>
      </c>
    </row>
    <row r="34" spans="1:10" ht="15.75" customHeight="1" x14ac:dyDescent="0.15">
      <c r="A34" s="4">
        <f ca="1">IFERROR(__xludf.DUMMYFUNCTION("""COMPUTED_VALUE"""),29002720)</f>
        <v>29002720</v>
      </c>
      <c r="B34" s="1" t="str">
        <f ca="1">IFERROR(__xludf.DUMMYFUNCTION("""COMPUTED_VALUE"""),"marnah@mindspring.com")</f>
        <v>marnah@mindspring.com</v>
      </c>
      <c r="C34" s="4" t="str">
        <f ca="1">IFERROR(__xludf.DUMMYFUNCTION("""COMPUTED_VALUE"""),"EVERGREEN - UAN Gated Content - Embedded Petition")</f>
        <v>EVERGREEN - UAN Gated Content - Embedded Petition</v>
      </c>
      <c r="D34" s="5">
        <f ca="1">IFERROR(__xludf.DUMMYFUNCTION("""COMPUTED_VALUE"""),45694)</f>
        <v>45694</v>
      </c>
      <c r="E34" s="2" t="str">
        <f ca="1">IFERROR(__xludf.DUMMYFUNCTION("FILTER(INDEX(export!A2:MD3249, , MATCH(""Campaign Data 33"", export!A1:MD1, 0)), INDEX(export!A2:MD3249, , MATCH(""Campaign Data 33"", export!A1:MD1, 0))&lt;&gt;"""")"),"")</f>
        <v/>
      </c>
      <c r="F34" s="1" t="str">
        <f ca="1">IFERROR(__xludf.DUMMYFUNCTION("""COMPUTED_VALUE"""),"Iran")</f>
        <v>Iran</v>
      </c>
      <c r="G34" s="1" t="str">
        <f ca="1">IFERROR(__xludf.DUMMYFUNCTION("""COMPUTED_VALUE"""),"Seventh 103.22 Iran")</f>
        <v>Seventh 103.22 Iran</v>
      </c>
      <c r="H34" s="1" t="str">
        <f ca="1">IFERROR(__xludf.DUMMYFUNCTION("""COMPUTED_VALUE"""),"Death Penalty, Freedom of Expression, Individuals At Risk")</f>
        <v>Death Penalty, Freedom of Expression, Individuals At Risk</v>
      </c>
      <c r="I34" s="1" t="str">
        <f ca="1">IFERROR(__xludf.DUMMYFUNCTION("""COMPUTED_VALUE"""),"2024")</f>
        <v>2024</v>
      </c>
      <c r="J34" s="1" t="str">
        <f ca="1">IFERROR(__xludf.DUMMYFUNCTION("""COMPUTED_VALUE"""),"Email")</f>
        <v>Email</v>
      </c>
    </row>
    <row r="35" spans="1:10" ht="15.75" customHeight="1" x14ac:dyDescent="0.15">
      <c r="A35" s="4">
        <f ca="1">IFERROR(__xludf.DUMMYFUNCTION("""COMPUTED_VALUE"""),29013507)</f>
        <v>29013507</v>
      </c>
      <c r="B35" s="1" t="str">
        <f ca="1">IFERROR(__xludf.DUMMYFUNCTION("""COMPUTED_VALUE"""),"almower@earthlink.net")</f>
        <v>almower@earthlink.net</v>
      </c>
      <c r="C35" s="4" t="str">
        <f ca="1">IFERROR(__xludf.DUMMYFUNCTION("""COMPUTED_VALUE"""),"EVERGREEN - UAN Gated Content - Embedded Petition")</f>
        <v>EVERGREEN - UAN Gated Content - Embedded Petition</v>
      </c>
      <c r="D35" s="5">
        <f ca="1">IFERROR(__xludf.DUMMYFUNCTION("""COMPUTED_VALUE"""),45678)</f>
        <v>45678</v>
      </c>
      <c r="E35" s="2" t="str">
        <f ca="1">IFERROR(__xludf.DUMMYFUNCTION("FILTER(INDEX(export!A2:MD3249, , MATCH(""Campaign Data 33"", export!A1:MD1, 0)), INDEX(export!A2:MD3249, , MATCH(""Campaign Data 33"", export!A1:MD1, 0))&lt;&gt;"""")"),"")</f>
        <v/>
      </c>
      <c r="F35" s="1" t="str">
        <f ca="1">IFERROR(__xludf.DUMMYFUNCTION("""COMPUTED_VALUE"""),"Egypt")</f>
        <v>Egypt</v>
      </c>
      <c r="G35" s="1" t="str">
        <f ca="1">IFERROR(__xludf.DUMMYFUNCTION("""COMPUTED_VALUE"""),"Third 73.23 Egypt")</f>
        <v>Third 73.23 Egypt</v>
      </c>
      <c r="H35" s="1" t="str">
        <f ca="1">IFERROR(__xludf.DUMMYFUNCTION("""COMPUTED_VALUE"""),"Individuals At Risk")</f>
        <v>Individuals At Risk</v>
      </c>
      <c r="I35" s="1" t="str">
        <f ca="1">IFERROR(__xludf.DUMMYFUNCTION("""COMPUTED_VALUE"""),"2024")</f>
        <v>2024</v>
      </c>
      <c r="J35" s="1" t="str">
        <f ca="1">IFERROR(__xludf.DUMMYFUNCTION("""COMPUTED_VALUE"""),"Email")</f>
        <v>Email</v>
      </c>
    </row>
    <row r="36" spans="1:10" ht="15.75" customHeight="1" x14ac:dyDescent="0.15">
      <c r="A36" s="4">
        <f ca="1">IFERROR(__xludf.DUMMYFUNCTION("""COMPUTED_VALUE"""),29013507)</f>
        <v>29013507</v>
      </c>
      <c r="B36" s="1" t="str">
        <f ca="1">IFERROR(__xludf.DUMMYFUNCTION("""COMPUTED_VALUE"""),"almower@earthlink.net")</f>
        <v>almower@earthlink.net</v>
      </c>
      <c r="C36" s="4" t="str">
        <f ca="1">IFERROR(__xludf.DUMMYFUNCTION("""COMPUTED_VALUE"""),"EVERGREEN - UAN Gated Content - Embedded Petition")</f>
        <v>EVERGREEN - UAN Gated Content - Embedded Petition</v>
      </c>
      <c r="D36" s="5">
        <f ca="1">IFERROR(__xludf.DUMMYFUNCTION("""COMPUTED_VALUE"""),45674)</f>
        <v>45674</v>
      </c>
      <c r="E36" s="2" t="str">
        <f ca="1">IFERROR(__xludf.DUMMYFUNCTION("FILTER(INDEX(export!A2:MD3249, , MATCH(""Campaign Data 33"", export!A1:MD1, 0)), INDEX(export!A2:MD3249, , MATCH(""Campaign Data 33"", export!A1:MD1, 0))&lt;&gt;"""")"),"")</f>
        <v/>
      </c>
      <c r="F36" s="1" t="str">
        <f ca="1">IFERROR(__xludf.DUMMYFUNCTION("""COMPUTED_VALUE"""),"Niger")</f>
        <v>Niger</v>
      </c>
      <c r="G36" s="1" t="str">
        <f ca="1">IFERROR(__xludf.DUMMYFUNCTION("""COMPUTED_VALUE"""),"103.24 Niger")</f>
        <v>103.24 Niger</v>
      </c>
      <c r="H36" s="1" t="str">
        <f ca="1">IFERROR(__xludf.DUMMYFUNCTION("""COMPUTED_VALUE"""),"Freedom of Expression, Human Rights Defenders")</f>
        <v>Freedom of Expression, Human Rights Defenders</v>
      </c>
      <c r="I36" s="1" t="str">
        <f ca="1">IFERROR(__xludf.DUMMYFUNCTION("""COMPUTED_VALUE"""),"2024")</f>
        <v>2024</v>
      </c>
      <c r="J36" s="1" t="str">
        <f ca="1">IFERROR(__xludf.DUMMYFUNCTION("""COMPUTED_VALUE"""),"Email")</f>
        <v>Email</v>
      </c>
    </row>
    <row r="37" spans="1:10" ht="15.75" customHeight="1" x14ac:dyDescent="0.15">
      <c r="A37" s="4">
        <f ca="1">IFERROR(__xludf.DUMMYFUNCTION("""COMPUTED_VALUE"""),29022130)</f>
        <v>29022130</v>
      </c>
      <c r="B37" s="1" t="str">
        <f ca="1">IFERROR(__xludf.DUMMYFUNCTION("""COMPUTED_VALUE"""),"meliflaw@gmail.com")</f>
        <v>meliflaw@gmail.com</v>
      </c>
      <c r="C37" s="4" t="str">
        <f ca="1">IFERROR(__xludf.DUMMYFUNCTION("""COMPUTED_VALUE"""),"EVERGREEN - Website Email Capture Form - UAN Pre-Footer")</f>
        <v>EVERGREEN - Website Email Capture Form - UAN Pre-Footer</v>
      </c>
      <c r="D37" s="5">
        <f ca="1">IFERROR(__xludf.DUMMYFUNCTION("""COMPUTED_VALUE"""),45704)</f>
        <v>45704</v>
      </c>
      <c r="E37" s="2" t="str">
        <f ca="1">IFERROR(__xludf.DUMMYFUNCTION("FILTER(INDEX(export!A2:MD3249, , MATCH(""Campaign Data 33"", export!A1:MD1, 0)), INDEX(export!A2:MD3249, , MATCH(""Campaign Data 33"", export!A1:MD1, 0))&lt;&gt;"""")"),"")</f>
        <v/>
      </c>
      <c r="F37" s="1" t="str">
        <f ca="1">IFERROR(__xludf.DUMMYFUNCTION("""COMPUTED_VALUE"""),"Tunisia")</f>
        <v>Tunisia</v>
      </c>
      <c r="G37" s="1" t="str">
        <f ca="1">IFERROR(__xludf.DUMMYFUNCTION("""COMPUTED_VALUE"""),"Second 43.24 Tunisia")</f>
        <v>Second 43.24 Tunisia</v>
      </c>
      <c r="H37" s="1" t="str">
        <f ca="1">IFERROR(__xludf.DUMMYFUNCTION("""COMPUTED_VALUE"""),"Freedom of Expression, Individuals At Risk")</f>
        <v>Freedom of Expression, Individuals At Risk</v>
      </c>
      <c r="I37" s="1" t="str">
        <f ca="1">IFERROR(__xludf.DUMMYFUNCTION("""COMPUTED_VALUE"""),"2024")</f>
        <v>2024</v>
      </c>
      <c r="J37" s="1" t="str">
        <f ca="1">IFERROR(__xludf.DUMMYFUNCTION("""COMPUTED_VALUE"""),"Email")</f>
        <v>Email</v>
      </c>
    </row>
    <row r="38" spans="1:10" ht="15.75" customHeight="1" x14ac:dyDescent="0.15">
      <c r="A38" s="4">
        <f ca="1">IFERROR(__xludf.DUMMYFUNCTION("""COMPUTED_VALUE"""),29024381)</f>
        <v>29024381</v>
      </c>
      <c r="B38" s="1" t="str">
        <f ca="1">IFERROR(__xludf.DUMMYFUNCTION("""COMPUTED_VALUE"""),"llynchhome@gmail.com")</f>
        <v>llynchhome@gmail.com</v>
      </c>
      <c r="C38" s="4" t="str">
        <f ca="1">IFERROR(__xludf.DUMMYFUNCTION("""COMPUTED_VALUE"""),"EVERGREEN - UAN Gated Content - Embedded Petition")</f>
        <v>EVERGREEN - UAN Gated Content - Embedded Petition</v>
      </c>
      <c r="D38" s="5">
        <f ca="1">IFERROR(__xludf.DUMMYFUNCTION("""COMPUTED_VALUE"""),45653)</f>
        <v>45653</v>
      </c>
      <c r="E38" s="2" t="str">
        <f ca="1">IFERROR(__xludf.DUMMYFUNCTION("FILTER(INDEX(export!A2:MD3249, , MATCH(""Campaign Data 33"", export!A1:MD1, 0)), INDEX(export!A2:MD3249, , MATCH(""Campaign Data 33"", export!A1:MD1, 0))&lt;&gt;"""")"),"")</f>
        <v/>
      </c>
      <c r="F38" s="1" t="str">
        <f ca="1">IFERROR(__xludf.DUMMYFUNCTION("""COMPUTED_VALUE"""),"Turkiye")</f>
        <v>Turkiye</v>
      </c>
      <c r="G38" s="1" t="str">
        <f ca="1">IFERROR(__xludf.DUMMYFUNCTION("""COMPUTED_VALUE"""),"109.24 Türkiye")</f>
        <v>109.24 Türkiye</v>
      </c>
      <c r="H38" s="1" t="str">
        <f ca="1">IFERROR(__xludf.DUMMYFUNCTION("""COMPUTED_VALUE"""),"Human Rights Defenders, Individuals At Risk")</f>
        <v>Human Rights Defenders, Individuals At Risk</v>
      </c>
      <c r="I38" s="1" t="str">
        <f ca="1">IFERROR(__xludf.DUMMYFUNCTION("""COMPUTED_VALUE"""),"2024")</f>
        <v>2024</v>
      </c>
      <c r="J38" s="1" t="str">
        <f ca="1">IFERROR(__xludf.DUMMYFUNCTION("""COMPUTED_VALUE"""),"Email")</f>
        <v>Email</v>
      </c>
    </row>
    <row r="39" spans="1:10" ht="15.75" customHeight="1" x14ac:dyDescent="0.15">
      <c r="A39" s="4">
        <f ca="1">IFERROR(__xludf.DUMMYFUNCTION("""COMPUTED_VALUE"""),29024381)</f>
        <v>29024381</v>
      </c>
      <c r="B39" s="1" t="str">
        <f ca="1">IFERROR(__xludf.DUMMYFUNCTION("""COMPUTED_VALUE"""),"llynchhome@gmail.com")</f>
        <v>llynchhome@gmail.com</v>
      </c>
      <c r="C39" s="4" t="str">
        <f ca="1">IFERROR(__xludf.DUMMYFUNCTION("""COMPUTED_VALUE"""),"EVERGREEN - UAN Gated Content - Embedded Petition")</f>
        <v>EVERGREEN - UAN Gated Content - Embedded Petition</v>
      </c>
      <c r="D39" s="5">
        <f ca="1">IFERROR(__xludf.DUMMYFUNCTION("""COMPUTED_VALUE"""),45653)</f>
        <v>45653</v>
      </c>
      <c r="E39" s="2" t="str">
        <f ca="1">IFERROR(__xludf.DUMMYFUNCTION("FILTER(INDEX(export!A2:MD3249, , MATCH(""Campaign Data 33"", export!A1:MD1, 0)), INDEX(export!A2:MD3249, , MATCH(""Campaign Data 33"", export!A1:MD1, 0))&lt;&gt;"""")"),"")</f>
        <v/>
      </c>
      <c r="F39" s="1" t="str">
        <f ca="1">IFERROR(__xludf.DUMMYFUNCTION("""COMPUTED_VALUE"""),"Egypt")</f>
        <v>Egypt</v>
      </c>
      <c r="G39" s="1" t="str">
        <f ca="1">IFERROR(__xludf.DUMMYFUNCTION("""COMPUTED_VALUE"""),"Third 73.23 Egypt")</f>
        <v>Third 73.23 Egypt</v>
      </c>
      <c r="H39" s="1" t="str">
        <f ca="1">IFERROR(__xludf.DUMMYFUNCTION("""COMPUTED_VALUE"""),"Individuals At Risk")</f>
        <v>Individuals At Risk</v>
      </c>
      <c r="I39" s="1" t="str">
        <f ca="1">IFERROR(__xludf.DUMMYFUNCTION("""COMPUTED_VALUE"""),"2024")</f>
        <v>2024</v>
      </c>
      <c r="J39" s="1" t="str">
        <f ca="1">IFERROR(__xludf.DUMMYFUNCTION("""COMPUTED_VALUE"""),"Email")</f>
        <v>Email</v>
      </c>
    </row>
    <row r="40" spans="1:10" ht="15.75" customHeight="1" x14ac:dyDescent="0.15">
      <c r="A40" s="4">
        <f ca="1">IFERROR(__xludf.DUMMYFUNCTION("""COMPUTED_VALUE"""),29024381)</f>
        <v>29024381</v>
      </c>
      <c r="B40" s="1" t="str">
        <f ca="1">IFERROR(__xludf.DUMMYFUNCTION("""COMPUTED_VALUE"""),"llynchhome@gmail.com")</f>
        <v>llynchhome@gmail.com</v>
      </c>
      <c r="C40" s="4" t="str">
        <f ca="1">IFERROR(__xludf.DUMMYFUNCTION("""COMPUTED_VALUE"""),"EVERGREEN - UAN Gated Content - Embedded Petition")</f>
        <v>EVERGREEN - UAN Gated Content - Embedded Petition</v>
      </c>
      <c r="D40" s="5">
        <f ca="1">IFERROR(__xludf.DUMMYFUNCTION("""COMPUTED_VALUE"""),45653)</f>
        <v>45653</v>
      </c>
      <c r="E40" s="2" t="str">
        <f ca="1">IFERROR(__xludf.DUMMYFUNCTION("FILTER(INDEX(export!A2:MD3249, , MATCH(""Campaign Data 33"", export!A1:MD1, 0)), INDEX(export!A2:MD3249, , MATCH(""Campaign Data 33"", export!A1:MD1, 0))&lt;&gt;"""")"),"")</f>
        <v/>
      </c>
      <c r="F40" s="1" t="str">
        <f ca="1">IFERROR(__xludf.DUMMYFUNCTION("""COMPUTED_VALUE"""),"Dominican Republic")</f>
        <v>Dominican Republic</v>
      </c>
      <c r="G40" s="1" t="str">
        <f ca="1">IFERROR(__xludf.DUMMYFUNCTION("""COMPUTED_VALUE"""),"88.24 Dominican Republic")</f>
        <v>88.24 Dominican Republic</v>
      </c>
      <c r="H40" s="1" t="str">
        <f ca="1">IFERROR(__xludf.DUMMYFUNCTION("""COMPUTED_VALUE"""),"Individuals At Risk, Refugee and Migrant Rights")</f>
        <v>Individuals At Risk, Refugee and Migrant Rights</v>
      </c>
      <c r="I40" s="1" t="str">
        <f ca="1">IFERROR(__xludf.DUMMYFUNCTION("""COMPUTED_VALUE"""),"2024")</f>
        <v>2024</v>
      </c>
      <c r="J40" s="1" t="str">
        <f ca="1">IFERROR(__xludf.DUMMYFUNCTION("""COMPUTED_VALUE"""),"Letter")</f>
        <v>Letter</v>
      </c>
    </row>
    <row r="41" spans="1:10" ht="15.75" customHeight="1" x14ac:dyDescent="0.15">
      <c r="A41" s="4">
        <f ca="1">IFERROR(__xludf.DUMMYFUNCTION("""COMPUTED_VALUE"""),29024381)</f>
        <v>29024381</v>
      </c>
      <c r="B41" s="1" t="str">
        <f ca="1">IFERROR(__xludf.DUMMYFUNCTION("""COMPUTED_VALUE"""),"llynchhome@gmail.com")</f>
        <v>llynchhome@gmail.com</v>
      </c>
      <c r="C41" s="4" t="str">
        <f ca="1">IFERROR(__xludf.DUMMYFUNCTION("""COMPUTED_VALUE"""),"EVERGREEN - UAN Gated Content - Embedded Petition")</f>
        <v>EVERGREEN - UAN Gated Content - Embedded Petition</v>
      </c>
      <c r="D41" s="5">
        <f ca="1">IFERROR(__xludf.DUMMYFUNCTION("""COMPUTED_VALUE"""),45653)</f>
        <v>45653</v>
      </c>
      <c r="F41" s="1" t="str">
        <f ca="1">IFERROR(__xludf.DUMMYFUNCTION("""COMPUTED_VALUE"""),"Egypt")</f>
        <v>Egypt</v>
      </c>
      <c r="G41" s="1" t="str">
        <f ca="1">IFERROR(__xludf.DUMMYFUNCTION("""COMPUTED_VALUE"""),"Ninth 190.18 Egypt")</f>
        <v>Ninth 190.18 Egypt</v>
      </c>
      <c r="H41" s="1" t="str">
        <f ca="1">IFERROR(__xludf.DUMMYFUNCTION("""COMPUTED_VALUE"""),"Freedom of Expression, Individuals At Risk")</f>
        <v>Freedom of Expression, Individuals At Risk</v>
      </c>
      <c r="I41" s="1" t="str">
        <f ca="1">IFERROR(__xludf.DUMMYFUNCTION("""COMPUTED_VALUE"""),"2024")</f>
        <v>2024</v>
      </c>
      <c r="J41" s="1" t="str">
        <f ca="1">IFERROR(__xludf.DUMMYFUNCTION("""COMPUTED_VALUE"""),"Letter")</f>
        <v>Letter</v>
      </c>
    </row>
    <row r="42" spans="1:10" ht="15.75" customHeight="1" x14ac:dyDescent="0.15">
      <c r="A42" s="4">
        <f ca="1">IFERROR(__xludf.DUMMYFUNCTION("""COMPUTED_VALUE"""),29024381)</f>
        <v>29024381</v>
      </c>
      <c r="B42" s="1" t="str">
        <f ca="1">IFERROR(__xludf.DUMMYFUNCTION("""COMPUTED_VALUE"""),"llynchhome@gmail.com")</f>
        <v>llynchhome@gmail.com</v>
      </c>
      <c r="C42" s="4" t="str">
        <f ca="1">IFERROR(__xludf.DUMMYFUNCTION("""COMPUTED_VALUE"""),"EVERGREEN - UAN Gated Content - Embedded Petition")</f>
        <v>EVERGREEN - UAN Gated Content - Embedded Petition</v>
      </c>
      <c r="D42" s="5">
        <f ca="1">IFERROR(__xludf.DUMMYFUNCTION("""COMPUTED_VALUE"""),45653)</f>
        <v>45653</v>
      </c>
      <c r="F42" s="1" t="str">
        <f ca="1">IFERROR(__xludf.DUMMYFUNCTION("""COMPUTED_VALUE"""),"Azerbaijan")</f>
        <v>Azerbaijan</v>
      </c>
      <c r="G42" s="1" t="str">
        <f ca="1">IFERROR(__xludf.DUMMYFUNCTION("""COMPUTED_VALUE"""),"2.25 Azerbaijan")</f>
        <v>2.25 Azerbaijan</v>
      </c>
      <c r="H42" s="1" t="str">
        <f ca="1">IFERROR(__xludf.DUMMYFUNCTION("""COMPUTED_VALUE"""),"Freedom of Expression, Human Rights Defenders")</f>
        <v>Freedom of Expression, Human Rights Defenders</v>
      </c>
      <c r="I42" s="1" t="str">
        <f ca="1">IFERROR(__xludf.DUMMYFUNCTION("""COMPUTED_VALUE"""),"2025")</f>
        <v>2025</v>
      </c>
      <c r="J42" s="1" t="str">
        <f ca="1">IFERROR(__xludf.DUMMYFUNCTION("""COMPUTED_VALUE"""),"Email")</f>
        <v>Email</v>
      </c>
    </row>
    <row r="43" spans="1:10" ht="15.75" customHeight="1" x14ac:dyDescent="0.15">
      <c r="A43" s="4">
        <f ca="1">IFERROR(__xludf.DUMMYFUNCTION("""COMPUTED_VALUE"""),29024381)</f>
        <v>29024381</v>
      </c>
      <c r="B43" s="1" t="str">
        <f ca="1">IFERROR(__xludf.DUMMYFUNCTION("""COMPUTED_VALUE"""),"llynchhome@gmail.com")</f>
        <v>llynchhome@gmail.com</v>
      </c>
      <c r="C43" s="4" t="str">
        <f ca="1">IFERROR(__xludf.DUMMYFUNCTION("""COMPUTED_VALUE"""),"EVERGREEN - UAN Gated Content - Embedded Petition")</f>
        <v>EVERGREEN - UAN Gated Content - Embedded Petition</v>
      </c>
      <c r="D43" s="5">
        <f ca="1">IFERROR(__xludf.DUMMYFUNCTION("""COMPUTED_VALUE"""),45624)</f>
        <v>45624</v>
      </c>
      <c r="F43" s="1" t="str">
        <f ca="1">IFERROR(__xludf.DUMMYFUNCTION("""COMPUTED_VALUE"""),"Tunisia")</f>
        <v>Tunisia</v>
      </c>
      <c r="G43" s="1" t="str">
        <f ca="1">IFERROR(__xludf.DUMMYFUNCTION("""COMPUTED_VALUE"""),"Second 76.24 Tunisia")</f>
        <v>Second 76.24 Tunisia</v>
      </c>
      <c r="H43" s="1" t="str">
        <f ca="1">IFERROR(__xludf.DUMMYFUNCTION("""COMPUTED_VALUE"""),"Freedom of Expression, Human Rights Defenders")</f>
        <v>Freedom of Expression, Human Rights Defenders</v>
      </c>
      <c r="I43" s="1" t="str">
        <f ca="1">IFERROR(__xludf.DUMMYFUNCTION("""COMPUTED_VALUE"""),"2025")</f>
        <v>2025</v>
      </c>
      <c r="J43" s="1" t="str">
        <f ca="1">IFERROR(__xludf.DUMMYFUNCTION("""COMPUTED_VALUE"""),"Email")</f>
        <v>Email</v>
      </c>
    </row>
    <row r="44" spans="1:10" ht="15.75" customHeight="1" x14ac:dyDescent="0.15">
      <c r="A44" s="4">
        <f ca="1">IFERROR(__xludf.DUMMYFUNCTION("""COMPUTED_VALUE"""),29024381)</f>
        <v>29024381</v>
      </c>
      <c r="B44" s="1" t="str">
        <f ca="1">IFERROR(__xludf.DUMMYFUNCTION("""COMPUTED_VALUE"""),"llynchhome@gmail.com")</f>
        <v>llynchhome@gmail.com</v>
      </c>
      <c r="C44" s="4" t="str">
        <f ca="1">IFERROR(__xludf.DUMMYFUNCTION("""COMPUTED_VALUE"""),"EVERGREEN - UAN Gated Content - Embedded Petition")</f>
        <v>EVERGREEN - UAN Gated Content - Embedded Petition</v>
      </c>
      <c r="D44" s="5">
        <f ca="1">IFERROR(__xludf.DUMMYFUNCTION("""COMPUTED_VALUE"""),45624)</f>
        <v>45624</v>
      </c>
      <c r="F44" s="1" t="str">
        <f ca="1">IFERROR(__xludf.DUMMYFUNCTION("""COMPUTED_VALUE"""),"Iran")</f>
        <v>Iran</v>
      </c>
      <c r="G44" s="1" t="str">
        <f ca="1">IFERROR(__xludf.DUMMYFUNCTION("""COMPUTED_VALUE"""),"6.25 Iran")</f>
        <v>6.25 Iran</v>
      </c>
      <c r="H44" s="1" t="str">
        <f ca="1">IFERROR(__xludf.DUMMYFUNCTION("""COMPUTED_VALUE"""),"Death Penalty, Freedom of Expression, Individuals At Risk")</f>
        <v>Death Penalty, Freedom of Expression, Individuals At Risk</v>
      </c>
      <c r="I44" s="1" t="str">
        <f ca="1">IFERROR(__xludf.DUMMYFUNCTION("""COMPUTED_VALUE"""),"2025")</f>
        <v>2025</v>
      </c>
      <c r="J44" s="1" t="str">
        <f ca="1">IFERROR(__xludf.DUMMYFUNCTION("""COMPUTED_VALUE"""),"Email")</f>
        <v>Email</v>
      </c>
    </row>
    <row r="45" spans="1:10" ht="15.75" customHeight="1" x14ac:dyDescent="0.15">
      <c r="A45" s="4">
        <f ca="1">IFERROR(__xludf.DUMMYFUNCTION("""COMPUTED_VALUE"""),29024381)</f>
        <v>29024381</v>
      </c>
      <c r="B45" s="1" t="str">
        <f ca="1">IFERROR(__xludf.DUMMYFUNCTION("""COMPUTED_VALUE"""),"llynchhome@gmail.com")</f>
        <v>llynchhome@gmail.com</v>
      </c>
      <c r="C45" s="4" t="str">
        <f ca="1">IFERROR(__xludf.DUMMYFUNCTION("""COMPUTED_VALUE"""),"EVERGREEN - UAN Gated Content - Embedded Petition")</f>
        <v>EVERGREEN - UAN Gated Content - Embedded Petition</v>
      </c>
      <c r="D45" s="5">
        <f ca="1">IFERROR(__xludf.DUMMYFUNCTION("""COMPUTED_VALUE"""),45690)</f>
        <v>45690</v>
      </c>
      <c r="F45" s="1" t="str">
        <f ca="1">IFERROR(__xludf.DUMMYFUNCTION("""COMPUTED_VALUE"""),"Colombia")</f>
        <v>Colombia</v>
      </c>
      <c r="G45" s="1" t="str">
        <f ca="1">IFERROR(__xludf.DUMMYFUNCTION("""COMPUTED_VALUE"""),"Third 12.24 Colombia")</f>
        <v>Third 12.24 Colombia</v>
      </c>
      <c r="H45" s="1" t="str">
        <f ca="1">IFERROR(__xludf.DUMMYFUNCTION("""COMPUTED_VALUE"""),"Human Rights Defenders, Individuals At Risk")</f>
        <v>Human Rights Defenders, Individuals At Risk</v>
      </c>
      <c r="I45" s="1" t="str">
        <f ca="1">IFERROR(__xludf.DUMMYFUNCTION("""COMPUTED_VALUE"""),"2025")</f>
        <v>2025</v>
      </c>
      <c r="J45" s="1" t="str">
        <f ca="1">IFERROR(__xludf.DUMMYFUNCTION("""COMPUTED_VALUE"""),"Email")</f>
        <v>Email</v>
      </c>
    </row>
    <row r="46" spans="1:10" ht="15.75" customHeight="1" x14ac:dyDescent="0.15">
      <c r="A46" s="4">
        <f ca="1">IFERROR(__xludf.DUMMYFUNCTION("""COMPUTED_VALUE"""),29024381)</f>
        <v>29024381</v>
      </c>
      <c r="B46" s="1" t="str">
        <f ca="1">IFERROR(__xludf.DUMMYFUNCTION("""COMPUTED_VALUE"""),"llynchhome@gmail.com")</f>
        <v>llynchhome@gmail.com</v>
      </c>
      <c r="C46" s="4" t="str">
        <f ca="1">IFERROR(__xludf.DUMMYFUNCTION("""COMPUTED_VALUE"""),"EVERGREEN - UAN Gated Content - Embedded Petition")</f>
        <v>EVERGREEN - UAN Gated Content - Embedded Petition</v>
      </c>
      <c r="D46" s="5">
        <f ca="1">IFERROR(__xludf.DUMMYFUNCTION("""COMPUTED_VALUE"""),45624)</f>
        <v>45624</v>
      </c>
      <c r="F46" s="1" t="str">
        <f ca="1">IFERROR(__xludf.DUMMYFUNCTION("""COMPUTED_VALUE"""),"Israel and Occupied Palestinian Territories")</f>
        <v>Israel and Occupied Palestinian Territories</v>
      </c>
      <c r="G46" s="1" t="str">
        <f ca="1">IFERROR(__xludf.DUMMYFUNCTION("""COMPUTED_VALUE"""),"3.25 IOPT")</f>
        <v>3.25 IOPT</v>
      </c>
      <c r="H46" s="1" t="str">
        <f ca="1">IFERROR(__xludf.DUMMYFUNCTION("""COMPUTED_VALUE"""),"Freedom of Expression, Individuals At Risk")</f>
        <v>Freedom of Expression, Individuals At Risk</v>
      </c>
      <c r="I46" s="1" t="str">
        <f ca="1">IFERROR(__xludf.DUMMYFUNCTION("""COMPUTED_VALUE"""),"2025")</f>
        <v>2025</v>
      </c>
      <c r="J46" s="1" t="str">
        <f ca="1">IFERROR(__xludf.DUMMYFUNCTION("""COMPUTED_VALUE"""),"Email")</f>
        <v>Email</v>
      </c>
    </row>
    <row r="47" spans="1:10" ht="15.75" customHeight="1" x14ac:dyDescent="0.15">
      <c r="A47" s="4">
        <f ca="1">IFERROR(__xludf.DUMMYFUNCTION("""COMPUTED_VALUE"""),29024381)</f>
        <v>29024381</v>
      </c>
      <c r="B47" s="1" t="str">
        <f ca="1">IFERROR(__xludf.DUMMYFUNCTION("""COMPUTED_VALUE"""),"llynchhome@gmail.com")</f>
        <v>llynchhome@gmail.com</v>
      </c>
      <c r="C47" s="4" t="str">
        <f ca="1">IFERROR(__xludf.DUMMYFUNCTION("""COMPUTED_VALUE"""),"EVERGREEN - UAN Gated Content - Embedded Petition")</f>
        <v>EVERGREEN - UAN Gated Content - Embedded Petition</v>
      </c>
      <c r="D47" s="5">
        <f ca="1">IFERROR(__xludf.DUMMYFUNCTION("""COMPUTED_VALUE"""),45690)</f>
        <v>45690</v>
      </c>
      <c r="F47" s="1" t="str">
        <f ca="1">IFERROR(__xludf.DUMMYFUNCTION("""COMPUTED_VALUE"""),"Egypt")</f>
        <v>Egypt</v>
      </c>
      <c r="G47" s="1" t="str">
        <f ca="1">IFERROR(__xludf.DUMMYFUNCTION("""COMPUTED_VALUE"""),"Third 73.23 Egypt")</f>
        <v>Third 73.23 Egypt</v>
      </c>
      <c r="H47" s="1" t="str">
        <f ca="1">IFERROR(__xludf.DUMMYFUNCTION("""COMPUTED_VALUE"""),"Individuals At Risk")</f>
        <v>Individuals At Risk</v>
      </c>
      <c r="I47" s="1" t="str">
        <f ca="1">IFERROR(__xludf.DUMMYFUNCTION("""COMPUTED_VALUE"""),"2024")</f>
        <v>2024</v>
      </c>
      <c r="J47" s="1" t="str">
        <f ca="1">IFERROR(__xludf.DUMMYFUNCTION("""COMPUTED_VALUE"""),"Email")</f>
        <v>Email</v>
      </c>
    </row>
    <row r="48" spans="1:10" ht="15.75" customHeight="1" x14ac:dyDescent="0.15">
      <c r="A48" s="4">
        <f ca="1">IFERROR(__xludf.DUMMYFUNCTION("""COMPUTED_VALUE"""),29024381)</f>
        <v>29024381</v>
      </c>
      <c r="B48" s="1" t="str">
        <f ca="1">IFERROR(__xludf.DUMMYFUNCTION("""COMPUTED_VALUE"""),"llynchhome@gmail.com")</f>
        <v>llynchhome@gmail.com</v>
      </c>
      <c r="C48" s="4" t="str">
        <f ca="1">IFERROR(__xludf.DUMMYFUNCTION("""COMPUTED_VALUE"""),"EVERGREEN - UAN Gated Content - Embedded Petition")</f>
        <v>EVERGREEN - UAN Gated Content - Embedded Petition</v>
      </c>
      <c r="D48" s="5">
        <f ca="1">IFERROR(__xludf.DUMMYFUNCTION("""COMPUTED_VALUE"""),45690)</f>
        <v>45690</v>
      </c>
      <c r="F48" s="1" t="str">
        <f ca="1">IFERROR(__xludf.DUMMYFUNCTION("""COMPUTED_VALUE"""),"Libya")</f>
        <v>Libya</v>
      </c>
      <c r="G48" s="1" t="str">
        <f ca="1">IFERROR(__xludf.DUMMYFUNCTION("""COMPUTED_VALUE"""),"12.25 Libya")</f>
        <v>12.25 Libya</v>
      </c>
      <c r="H48" s="1" t="str">
        <f ca="1">IFERROR(__xludf.DUMMYFUNCTION("""COMPUTED_VALUE"""),"Freedom of Expression, Health, Individuals At Risk")</f>
        <v>Freedom of Expression, Health, Individuals At Risk</v>
      </c>
      <c r="I48" s="1" t="str">
        <f ca="1">IFERROR(__xludf.DUMMYFUNCTION("""COMPUTED_VALUE"""),"2025")</f>
        <v>2025</v>
      </c>
      <c r="J48" s="1" t="str">
        <f ca="1">IFERROR(__xludf.DUMMYFUNCTION("""COMPUTED_VALUE"""),"Email")</f>
        <v>Email</v>
      </c>
    </row>
    <row r="49" spans="1:10" ht="15.75" customHeight="1" x14ac:dyDescent="0.15">
      <c r="A49" s="4">
        <f ca="1">IFERROR(__xludf.DUMMYFUNCTION("""COMPUTED_VALUE"""),29024381)</f>
        <v>29024381</v>
      </c>
      <c r="B49" s="1" t="str">
        <f ca="1">IFERROR(__xludf.DUMMYFUNCTION("""COMPUTED_VALUE"""),"llynchhome@gmail.com")</f>
        <v>llynchhome@gmail.com</v>
      </c>
      <c r="C49" s="4" t="str">
        <f ca="1">IFERROR(__xludf.DUMMYFUNCTION("""COMPUTED_VALUE"""),"EVERGREEN - UAN Gated Content - Embedded Petition")</f>
        <v>EVERGREEN - UAN Gated Content - Embedded Petition</v>
      </c>
      <c r="D49" s="5">
        <f ca="1">IFERROR(__xludf.DUMMYFUNCTION("""COMPUTED_VALUE"""),45690)</f>
        <v>45690</v>
      </c>
      <c r="F49" s="1" t="str">
        <f ca="1">IFERROR(__xludf.DUMMYFUNCTION("""COMPUTED_VALUE"""),"USA")</f>
        <v>USA</v>
      </c>
      <c r="G49" s="1" t="str">
        <f ca="1">IFERROR(__xludf.DUMMYFUNCTION("""COMPUTED_VALUE"""),"4.25 USA")</f>
        <v>4.25 USA</v>
      </c>
      <c r="H49" s="1" t="str">
        <f ca="1">IFERROR(__xludf.DUMMYFUNCTION("""COMPUTED_VALUE"""),"Individuals At Risk, Refugee and Migrant Rights")</f>
        <v>Individuals At Risk, Refugee and Migrant Rights</v>
      </c>
      <c r="I49" s="1" t="str">
        <f ca="1">IFERROR(__xludf.DUMMYFUNCTION("""COMPUTED_VALUE"""),"2025")</f>
        <v>2025</v>
      </c>
      <c r="J49" s="1" t="str">
        <f ca="1">IFERROR(__xludf.DUMMYFUNCTION("""COMPUTED_VALUE"""),"Letter")</f>
        <v>Letter</v>
      </c>
    </row>
    <row r="50" spans="1:10" ht="15.75" customHeight="1" x14ac:dyDescent="0.15">
      <c r="A50" s="4">
        <f ca="1">IFERROR(__xludf.DUMMYFUNCTION("""COMPUTED_VALUE"""),29024381)</f>
        <v>29024381</v>
      </c>
      <c r="B50" s="1" t="str">
        <f ca="1">IFERROR(__xludf.DUMMYFUNCTION("""COMPUTED_VALUE"""),"llynchhome@gmail.com")</f>
        <v>llynchhome@gmail.com</v>
      </c>
      <c r="C50" s="4" t="str">
        <f ca="1">IFERROR(__xludf.DUMMYFUNCTION("""COMPUTED_VALUE"""),"EVERGREEN - UAN Gated Content - Embedded Petition")</f>
        <v>EVERGREEN - UAN Gated Content - Embedded Petition</v>
      </c>
      <c r="D50" s="5">
        <f ca="1">IFERROR(__xludf.DUMMYFUNCTION("""COMPUTED_VALUE"""),45690)</f>
        <v>45690</v>
      </c>
      <c r="F50" s="1" t="str">
        <f ca="1">IFERROR(__xludf.DUMMYFUNCTION("""COMPUTED_VALUE"""),"Tunisia")</f>
        <v>Tunisia</v>
      </c>
      <c r="G50" s="1" t="str">
        <f ca="1">IFERROR(__xludf.DUMMYFUNCTION("""COMPUTED_VALUE"""),"Second 76.24 Tunisia")</f>
        <v>Second 76.24 Tunisia</v>
      </c>
      <c r="H50" s="1" t="str">
        <f ca="1">IFERROR(__xludf.DUMMYFUNCTION("""COMPUTED_VALUE"""),"Freedom of Expression, Human Rights Defenders")</f>
        <v>Freedom of Expression, Human Rights Defenders</v>
      </c>
      <c r="I50" s="1" t="str">
        <f ca="1">IFERROR(__xludf.DUMMYFUNCTION("""COMPUTED_VALUE"""),"2025")</f>
        <v>2025</v>
      </c>
      <c r="J50" s="1" t="str">
        <f ca="1">IFERROR(__xludf.DUMMYFUNCTION("""COMPUTED_VALUE"""),"Email")</f>
        <v>Email</v>
      </c>
    </row>
    <row r="51" spans="1:10" ht="15.75" customHeight="1" x14ac:dyDescent="0.15">
      <c r="A51" s="4">
        <f ca="1">IFERROR(__xludf.DUMMYFUNCTION("""COMPUTED_VALUE"""),29024381)</f>
        <v>29024381</v>
      </c>
      <c r="B51" s="1" t="str">
        <f ca="1">IFERROR(__xludf.DUMMYFUNCTION("""COMPUTED_VALUE"""),"llynchhome@gmail.com")</f>
        <v>llynchhome@gmail.com</v>
      </c>
      <c r="C51" s="4" t="str">
        <f ca="1">IFERROR(__xludf.DUMMYFUNCTION("""COMPUTED_VALUE"""),"EVERGREEN - Website Email Capture Form - UAN Pre-Footer")</f>
        <v>EVERGREEN - Website Email Capture Form - UAN Pre-Footer</v>
      </c>
      <c r="D51" s="5">
        <f ca="1">IFERROR(__xludf.DUMMYFUNCTION("""COMPUTED_VALUE"""),45653)</f>
        <v>45653</v>
      </c>
      <c r="F51" s="1" t="str">
        <f ca="1">IFERROR(__xludf.DUMMYFUNCTION("""COMPUTED_VALUE"""),"Egypt")</f>
        <v>Egypt</v>
      </c>
      <c r="G51" s="1" t="str">
        <f ca="1">IFERROR(__xludf.DUMMYFUNCTION("""COMPUTED_VALUE"""),"Ninth 190.18 Egypt")</f>
        <v>Ninth 190.18 Egypt</v>
      </c>
      <c r="H51" s="1" t="str">
        <f ca="1">IFERROR(__xludf.DUMMYFUNCTION("""COMPUTED_VALUE"""),"Freedom of Expression, Individuals At Risk")</f>
        <v>Freedom of Expression, Individuals At Risk</v>
      </c>
      <c r="I51" s="1" t="str">
        <f ca="1">IFERROR(__xludf.DUMMYFUNCTION("""COMPUTED_VALUE"""),"2024")</f>
        <v>2024</v>
      </c>
      <c r="J51" s="1" t="str">
        <f ca="1">IFERROR(__xludf.DUMMYFUNCTION("""COMPUTED_VALUE"""),"Letter")</f>
        <v>Letter</v>
      </c>
    </row>
    <row r="52" spans="1:10" ht="15.75" customHeight="1" x14ac:dyDescent="0.15">
      <c r="A52" s="4">
        <f ca="1">IFERROR(__xludf.DUMMYFUNCTION("""COMPUTED_VALUE"""),29024381)</f>
        <v>29024381</v>
      </c>
      <c r="B52" s="1" t="str">
        <f ca="1">IFERROR(__xludf.DUMMYFUNCTION("""COMPUTED_VALUE"""),"llynchhome@gmail.com")</f>
        <v>llynchhome@gmail.com</v>
      </c>
      <c r="C52" s="4" t="str">
        <f ca="1">IFERROR(__xludf.DUMMYFUNCTION("""COMPUTED_VALUE"""),"UAN mid-page Lightbox - Step 1 of 4 - Landing Page")</f>
        <v>UAN mid-page Lightbox - Step 1 of 4 - Landing Page</v>
      </c>
      <c r="D52" s="5">
        <f ca="1">IFERROR(__xludf.DUMMYFUNCTION("""COMPUTED_VALUE"""),45624)</f>
        <v>45624</v>
      </c>
      <c r="F52" s="1" t="str">
        <f ca="1">IFERROR(__xludf.DUMMYFUNCTION("""COMPUTED_VALUE"""),"USA")</f>
        <v>USA</v>
      </c>
      <c r="G52" s="1" t="str">
        <f ca="1">IFERROR(__xludf.DUMMYFUNCTION("""COMPUTED_VALUE"""),"105.24 USA")</f>
        <v>105.24 USA</v>
      </c>
      <c r="H52" s="1" t="str">
        <f ca="1">IFERROR(__xludf.DUMMYFUNCTION("""COMPUTED_VALUE"""),"Death Penalty")</f>
        <v>Death Penalty</v>
      </c>
      <c r="I52" s="1" t="str">
        <f ca="1">IFERROR(__xludf.DUMMYFUNCTION("""COMPUTED_VALUE"""),"2024")</f>
        <v>2024</v>
      </c>
      <c r="J52" s="1" t="str">
        <f ca="1">IFERROR(__xludf.DUMMYFUNCTION("""COMPUTED_VALUE"""),"Email")</f>
        <v>Email</v>
      </c>
    </row>
    <row r="53" spans="1:10" ht="15.75" customHeight="1" x14ac:dyDescent="0.15">
      <c r="A53" s="4">
        <f ca="1">IFERROR(__xludf.DUMMYFUNCTION("""COMPUTED_VALUE"""),29024381)</f>
        <v>29024381</v>
      </c>
      <c r="B53" s="1" t="str">
        <f ca="1">IFERROR(__xludf.DUMMYFUNCTION("""COMPUTED_VALUE"""),"llynchhome@gmail.com")</f>
        <v>llynchhome@gmail.com</v>
      </c>
      <c r="C53" s="4" t="str">
        <f ca="1">IFERROR(__xludf.DUMMYFUNCTION("""COMPUTED_VALUE"""),"UAN mid-page Lightbox - Step 2 of 4 - More personal info fields")</f>
        <v>UAN mid-page Lightbox - Step 2 of 4 - More personal info fields</v>
      </c>
      <c r="D53" s="5">
        <f ca="1">IFERROR(__xludf.DUMMYFUNCTION("""COMPUTED_VALUE"""),45624)</f>
        <v>45624</v>
      </c>
      <c r="F53" s="1" t="str">
        <f ca="1">IFERROR(__xludf.DUMMYFUNCTION("""COMPUTED_VALUE"""),"Egypt")</f>
        <v>Egypt</v>
      </c>
      <c r="G53" s="1" t="str">
        <f ca="1">IFERROR(__xludf.DUMMYFUNCTION("""COMPUTED_VALUE"""),"Ninth 190.18 Egypt")</f>
        <v>Ninth 190.18 Egypt</v>
      </c>
      <c r="H53" s="1" t="str">
        <f ca="1">IFERROR(__xludf.DUMMYFUNCTION("""COMPUTED_VALUE"""),"Freedom of Expression, Individuals At Risk")</f>
        <v>Freedom of Expression, Individuals At Risk</v>
      </c>
      <c r="I53" s="1" t="str">
        <f ca="1">IFERROR(__xludf.DUMMYFUNCTION("""COMPUTED_VALUE"""),"2024")</f>
        <v>2024</v>
      </c>
      <c r="J53" s="1" t="str">
        <f ca="1">IFERROR(__xludf.DUMMYFUNCTION("""COMPUTED_VALUE"""),"Letter")</f>
        <v>Letter</v>
      </c>
    </row>
    <row r="54" spans="1:10" ht="15.75" customHeight="1" x14ac:dyDescent="0.15">
      <c r="A54" s="4">
        <f ca="1">IFERROR(__xludf.DUMMYFUNCTION("""COMPUTED_VALUE"""),29024381)</f>
        <v>29024381</v>
      </c>
      <c r="B54" s="1" t="str">
        <f ca="1">IFERROR(__xludf.DUMMYFUNCTION("""COMPUTED_VALUE"""),"llynchhome@gmail.com")</f>
        <v>llynchhome@gmail.com</v>
      </c>
      <c r="C54" s="4" t="str">
        <f ca="1">IFERROR(__xludf.DUMMYFUNCTION("""COMPUTED_VALUE"""),"UAN mid-page Lightbox - Step 3 of 4 - More opt-ins")</f>
        <v>UAN mid-page Lightbox - Step 3 of 4 - More opt-ins</v>
      </c>
      <c r="D54" s="5">
        <f ca="1">IFERROR(__xludf.DUMMYFUNCTION("""COMPUTED_VALUE"""),45624)</f>
        <v>45624</v>
      </c>
      <c r="F54" s="1" t="str">
        <f ca="1">IFERROR(__xludf.DUMMYFUNCTION("""COMPUTED_VALUE"""),"Tunisia")</f>
        <v>Tunisia</v>
      </c>
      <c r="G54" s="1" t="str">
        <f ca="1">IFERROR(__xludf.DUMMYFUNCTION("""COMPUTED_VALUE"""),"Second 76.24 Tunisia")</f>
        <v>Second 76.24 Tunisia</v>
      </c>
      <c r="H54" s="1" t="str">
        <f ca="1">IFERROR(__xludf.DUMMYFUNCTION("""COMPUTED_VALUE"""),"Freedom of Expression, Human Rights Defenders")</f>
        <v>Freedom of Expression, Human Rights Defenders</v>
      </c>
      <c r="I54" s="1" t="str">
        <f ca="1">IFERROR(__xludf.DUMMYFUNCTION("""COMPUTED_VALUE"""),"2025")</f>
        <v>2025</v>
      </c>
      <c r="J54" s="1" t="str">
        <f ca="1">IFERROR(__xludf.DUMMYFUNCTION("""COMPUTED_VALUE"""),"Email")</f>
        <v>Email</v>
      </c>
    </row>
    <row r="55" spans="1:10" ht="15.75" customHeight="1" x14ac:dyDescent="0.15">
      <c r="A55" s="4">
        <f ca="1">IFERROR(__xludf.DUMMYFUNCTION("""COMPUTED_VALUE"""),29029887)</f>
        <v>29029887</v>
      </c>
      <c r="B55" s="1" t="str">
        <f ca="1">IFERROR(__xludf.DUMMYFUNCTION("""COMPUTED_VALUE"""),"lizharrow@gmail.com")</f>
        <v>lizharrow@gmail.com</v>
      </c>
      <c r="C55" s="4" t="str">
        <f ca="1">IFERROR(__xludf.DUMMYFUNCTION("""COMPUTED_VALUE"""),"EVERGREEN - UAN Gated Content - Embedded Petition")</f>
        <v>EVERGREEN - UAN Gated Content - Embedded Petition</v>
      </c>
      <c r="D55" s="5">
        <f ca="1">IFERROR(__xludf.DUMMYFUNCTION("""COMPUTED_VALUE"""),45669)</f>
        <v>45669</v>
      </c>
      <c r="F55" s="1" t="str">
        <f ca="1">IFERROR(__xludf.DUMMYFUNCTION("""COMPUTED_VALUE"""),"Tunisia")</f>
        <v>Tunisia</v>
      </c>
      <c r="G55" s="1" t="str">
        <f ca="1">IFERROR(__xludf.DUMMYFUNCTION("""COMPUTED_VALUE"""),"Second 76.24 Tunisia")</f>
        <v>Second 76.24 Tunisia</v>
      </c>
      <c r="H55" s="1" t="str">
        <f ca="1">IFERROR(__xludf.DUMMYFUNCTION("""COMPUTED_VALUE"""),"Freedom of Expression, Human Rights Defenders")</f>
        <v>Freedom of Expression, Human Rights Defenders</v>
      </c>
      <c r="I55" s="1" t="str">
        <f ca="1">IFERROR(__xludf.DUMMYFUNCTION("""COMPUTED_VALUE"""),"2025")</f>
        <v>2025</v>
      </c>
      <c r="J55" s="1" t="str">
        <f ca="1">IFERROR(__xludf.DUMMYFUNCTION("""COMPUTED_VALUE"""),"Email")</f>
        <v>Email</v>
      </c>
    </row>
    <row r="56" spans="1:10" ht="13" x14ac:dyDescent="0.15">
      <c r="A56" s="4">
        <f ca="1">IFERROR(__xludf.DUMMYFUNCTION("""COMPUTED_VALUE"""),29029887)</f>
        <v>29029887</v>
      </c>
      <c r="B56" s="1" t="str">
        <f ca="1">IFERROR(__xludf.DUMMYFUNCTION("""COMPUTED_VALUE"""),"lizharrow@gmail.com")</f>
        <v>lizharrow@gmail.com</v>
      </c>
      <c r="C56" s="4" t="str">
        <f ca="1">IFERROR(__xludf.DUMMYFUNCTION("""COMPUTED_VALUE"""),"EVERGREEN - UAN Gated Content - Embedded Petition")</f>
        <v>EVERGREEN - UAN Gated Content - Embedded Petition</v>
      </c>
      <c r="D56" s="5">
        <f ca="1">IFERROR(__xludf.DUMMYFUNCTION("""COMPUTED_VALUE"""),45704)</f>
        <v>45704</v>
      </c>
      <c r="F56" s="1" t="str">
        <f ca="1">IFERROR(__xludf.DUMMYFUNCTION("""COMPUTED_VALUE"""),"Tunisia")</f>
        <v>Tunisia</v>
      </c>
      <c r="G56" s="1" t="str">
        <f ca="1">IFERROR(__xludf.DUMMYFUNCTION("""COMPUTED_VALUE"""),"Second 76.24 Tunisia")</f>
        <v>Second 76.24 Tunisia</v>
      </c>
      <c r="H56" s="1" t="str">
        <f ca="1">IFERROR(__xludf.DUMMYFUNCTION("""COMPUTED_VALUE"""),"Freedom of Expression, Human Rights Defenders")</f>
        <v>Freedom of Expression, Human Rights Defenders</v>
      </c>
      <c r="I56" s="1" t="str">
        <f ca="1">IFERROR(__xludf.DUMMYFUNCTION("""COMPUTED_VALUE"""),"2025")</f>
        <v>2025</v>
      </c>
      <c r="J56" s="1" t="str">
        <f ca="1">IFERROR(__xludf.DUMMYFUNCTION("""COMPUTED_VALUE"""),"Email")</f>
        <v>Email</v>
      </c>
    </row>
    <row r="57" spans="1:10" ht="13" x14ac:dyDescent="0.15">
      <c r="A57" s="4">
        <f ca="1">IFERROR(__xludf.DUMMYFUNCTION("""COMPUTED_VALUE"""),29109980)</f>
        <v>29109980</v>
      </c>
      <c r="B57" s="1" t="str">
        <f ca="1">IFERROR(__xludf.DUMMYFUNCTION("""COMPUTED_VALUE"""),"cliqueofone@mac.com")</f>
        <v>cliqueofone@mac.com</v>
      </c>
      <c r="C57" s="4" t="str">
        <f ca="1">IFERROR(__xludf.DUMMYFUNCTION("""COMPUTED_VALUE"""),"EVERGREEN - UAN Gated Content - Embedded Petition")</f>
        <v>EVERGREEN - UAN Gated Content - Embedded Petition</v>
      </c>
      <c r="D57" s="5">
        <f ca="1">IFERROR(__xludf.DUMMYFUNCTION("""COMPUTED_VALUE"""),45677)</f>
        <v>45677</v>
      </c>
      <c r="F57" s="1" t="str">
        <f ca="1">IFERROR(__xludf.DUMMYFUNCTION("""COMPUTED_VALUE"""),"Venezuela")</f>
        <v>Venezuela</v>
      </c>
      <c r="G57" s="1" t="str">
        <f ca="1">IFERROR(__xludf.DUMMYFUNCTION("""COMPUTED_VALUE"""),"97.24 Venezuela")</f>
        <v>97.24 Venezuela</v>
      </c>
      <c r="H57" s="1" t="str">
        <f ca="1">IFERROR(__xludf.DUMMYFUNCTION("""COMPUTED_VALUE"""),"Freedom of Expression")</f>
        <v>Freedom of Expression</v>
      </c>
      <c r="I57" s="1" t="str">
        <f ca="1">IFERROR(__xludf.DUMMYFUNCTION("""COMPUTED_VALUE"""),"2024")</f>
        <v>2024</v>
      </c>
      <c r="J57" s="1" t="str">
        <f ca="1">IFERROR(__xludf.DUMMYFUNCTION("""COMPUTED_VALUE"""),"Letter")</f>
        <v>Letter</v>
      </c>
    </row>
    <row r="58" spans="1:10" ht="13" x14ac:dyDescent="0.15">
      <c r="A58" s="4">
        <f ca="1">IFERROR(__xludf.DUMMYFUNCTION("""COMPUTED_VALUE"""),29129871)</f>
        <v>29129871</v>
      </c>
      <c r="B58" s="1" t="str">
        <f ca="1">IFERROR(__xludf.DUMMYFUNCTION("""COMPUTED_VALUE"""),"susan_huebert@yahoo.ca")</f>
        <v>susan_huebert@yahoo.ca</v>
      </c>
      <c r="C58" s="4" t="str">
        <f ca="1">IFERROR(__xludf.DUMMYFUNCTION("""COMPUTED_VALUE"""),"EVERGREEN - UAN Gated Content - Embedded Petition")</f>
        <v>EVERGREEN - UAN Gated Content - Embedded Petition</v>
      </c>
      <c r="D58" s="5">
        <f ca="1">IFERROR(__xludf.DUMMYFUNCTION("""COMPUTED_VALUE"""),45694)</f>
        <v>45694</v>
      </c>
      <c r="F58" s="1" t="str">
        <f ca="1">IFERROR(__xludf.DUMMYFUNCTION("""COMPUTED_VALUE"""),"Iran")</f>
        <v>Iran</v>
      </c>
      <c r="G58" s="1" t="str">
        <f ca="1">IFERROR(__xludf.DUMMYFUNCTION("""COMPUTED_VALUE"""),"Seventh 103.22 Iran")</f>
        <v>Seventh 103.22 Iran</v>
      </c>
      <c r="H58" s="1" t="str">
        <f ca="1">IFERROR(__xludf.DUMMYFUNCTION("""COMPUTED_VALUE"""),"Death Penalty, Freedom of Expression, Individuals At Risk")</f>
        <v>Death Penalty, Freedom of Expression, Individuals At Risk</v>
      </c>
      <c r="I58" s="1" t="str">
        <f ca="1">IFERROR(__xludf.DUMMYFUNCTION("""COMPUTED_VALUE"""),"2024")</f>
        <v>2024</v>
      </c>
      <c r="J58" s="1" t="str">
        <f ca="1">IFERROR(__xludf.DUMMYFUNCTION("""COMPUTED_VALUE"""),"Email")</f>
        <v>Email</v>
      </c>
    </row>
    <row r="59" spans="1:10" ht="13" x14ac:dyDescent="0.15">
      <c r="A59" s="4">
        <f ca="1">IFERROR(__xludf.DUMMYFUNCTION("""COMPUTED_VALUE"""),29148269)</f>
        <v>29148269</v>
      </c>
      <c r="B59" s="1" t="str">
        <f ca="1">IFERROR(__xludf.DUMMYFUNCTION("""COMPUTED_VALUE"""),"cjtraveler@msn.com")</f>
        <v>cjtraveler@msn.com</v>
      </c>
      <c r="C59" s="4" t="str">
        <f ca="1">IFERROR(__xludf.DUMMYFUNCTION("""COMPUTED_VALUE"""),"EVERGREEN - UAN Gated Content - Embedded Petition")</f>
        <v>EVERGREEN - UAN Gated Content - Embedded Petition</v>
      </c>
      <c r="D59" s="5">
        <f ca="1">IFERROR(__xludf.DUMMYFUNCTION("""COMPUTED_VALUE"""),45640)</f>
        <v>45640</v>
      </c>
      <c r="F59" s="1" t="str">
        <f ca="1">IFERROR(__xludf.DUMMYFUNCTION("""COMPUTED_VALUE"""),"Venezuela")</f>
        <v>Venezuela</v>
      </c>
      <c r="G59" s="1" t="str">
        <f ca="1">IFERROR(__xludf.DUMMYFUNCTION("""COMPUTED_VALUE"""),"97.24 Venezuela")</f>
        <v>97.24 Venezuela</v>
      </c>
      <c r="H59" s="1" t="str">
        <f ca="1">IFERROR(__xludf.DUMMYFUNCTION("""COMPUTED_VALUE"""),"Freedom of Expression")</f>
        <v>Freedom of Expression</v>
      </c>
      <c r="I59" s="1" t="str">
        <f ca="1">IFERROR(__xludf.DUMMYFUNCTION("""COMPUTED_VALUE"""),"2024")</f>
        <v>2024</v>
      </c>
      <c r="J59" s="1" t="str">
        <f ca="1">IFERROR(__xludf.DUMMYFUNCTION("""COMPUTED_VALUE"""),"Letter")</f>
        <v>Letter</v>
      </c>
    </row>
    <row r="60" spans="1:10" ht="13" x14ac:dyDescent="0.15">
      <c r="A60" s="4">
        <f ca="1">IFERROR(__xludf.DUMMYFUNCTION("""COMPUTED_VALUE"""),29148269)</f>
        <v>29148269</v>
      </c>
      <c r="B60" s="1" t="str">
        <f ca="1">IFERROR(__xludf.DUMMYFUNCTION("""COMPUTED_VALUE"""),"cjtraveler@msn.com")</f>
        <v>cjtraveler@msn.com</v>
      </c>
      <c r="C60" s="4" t="str">
        <f ca="1">IFERROR(__xludf.DUMMYFUNCTION("""COMPUTED_VALUE"""),"EVERGREEN - UAN Gated Content - Embedded Petition")</f>
        <v>EVERGREEN - UAN Gated Content - Embedded Petition</v>
      </c>
      <c r="D60" s="5">
        <f ca="1">IFERROR(__xludf.DUMMYFUNCTION("""COMPUTED_VALUE"""),45640)</f>
        <v>45640</v>
      </c>
      <c r="F60" s="1" t="str">
        <f ca="1">IFERROR(__xludf.DUMMYFUNCTION("""COMPUTED_VALUE"""),"China")</f>
        <v>China</v>
      </c>
      <c r="G60" s="1" t="str">
        <f ca="1">IFERROR(__xludf.DUMMYFUNCTION("""COMPUTED_VALUE"""),"98.24 China")</f>
        <v>98.24 China</v>
      </c>
      <c r="H60" s="1" t="str">
        <f ca="1">IFERROR(__xludf.DUMMYFUNCTION("""COMPUTED_VALUE"""),"Freedom of Expression, Individuals At Risk")</f>
        <v>Freedom of Expression, Individuals At Risk</v>
      </c>
      <c r="I60" s="1" t="str">
        <f ca="1">IFERROR(__xludf.DUMMYFUNCTION("""COMPUTED_VALUE"""),"2024")</f>
        <v>2024</v>
      </c>
      <c r="J60" s="1" t="str">
        <f ca="1">IFERROR(__xludf.DUMMYFUNCTION("""COMPUTED_VALUE"""),"Letter")</f>
        <v>Letter</v>
      </c>
    </row>
    <row r="61" spans="1:10" ht="13" x14ac:dyDescent="0.15">
      <c r="A61" s="4">
        <f ca="1">IFERROR(__xludf.DUMMYFUNCTION("""COMPUTED_VALUE"""),29148269)</f>
        <v>29148269</v>
      </c>
      <c r="B61" s="1" t="str">
        <f ca="1">IFERROR(__xludf.DUMMYFUNCTION("""COMPUTED_VALUE"""),"cjtraveler@msn.com")</f>
        <v>cjtraveler@msn.com</v>
      </c>
      <c r="C61" s="4" t="str">
        <f ca="1">IFERROR(__xludf.DUMMYFUNCTION("""COMPUTED_VALUE"""),"EVERGREEN - UAN Gated Content - Embedded Petition")</f>
        <v>EVERGREEN - UAN Gated Content - Embedded Petition</v>
      </c>
      <c r="D61" s="5">
        <f ca="1">IFERROR(__xludf.DUMMYFUNCTION("""COMPUTED_VALUE"""),45640)</f>
        <v>45640</v>
      </c>
      <c r="F61" s="1" t="str">
        <f ca="1">IFERROR(__xludf.DUMMYFUNCTION("""COMPUTED_VALUE"""),"Tunisia")</f>
        <v>Tunisia</v>
      </c>
      <c r="G61" s="1" t="str">
        <f ca="1">IFERROR(__xludf.DUMMYFUNCTION("""COMPUTED_VALUE"""),"Second 76.24 Tunisia")</f>
        <v>Second 76.24 Tunisia</v>
      </c>
      <c r="H61" s="1" t="str">
        <f ca="1">IFERROR(__xludf.DUMMYFUNCTION("""COMPUTED_VALUE"""),"Freedom of Expression, Human Rights Defenders")</f>
        <v>Freedom of Expression, Human Rights Defenders</v>
      </c>
      <c r="I61" s="1" t="str">
        <f ca="1">IFERROR(__xludf.DUMMYFUNCTION("""COMPUTED_VALUE"""),"2025")</f>
        <v>2025</v>
      </c>
      <c r="J61" s="1" t="str">
        <f ca="1">IFERROR(__xludf.DUMMYFUNCTION("""COMPUTED_VALUE"""),"Email")</f>
        <v>Email</v>
      </c>
    </row>
    <row r="62" spans="1:10" ht="13" x14ac:dyDescent="0.15">
      <c r="A62" s="4">
        <f ca="1">IFERROR(__xludf.DUMMYFUNCTION("""COMPUTED_VALUE"""),29150877)</f>
        <v>29150877</v>
      </c>
      <c r="B62" s="1" t="str">
        <f ca="1">IFERROR(__xludf.DUMMYFUNCTION("""COMPUTED_VALUE"""),"tena.hoke@gmail.com")</f>
        <v>tena.hoke@gmail.com</v>
      </c>
      <c r="C62" s="4" t="str">
        <f ca="1">IFERROR(__xludf.DUMMYFUNCTION("""COMPUTED_VALUE"""),"EVERGREEN - Website Email Capture Form - UAN Pre-Footer")</f>
        <v>EVERGREEN - Website Email Capture Form - UAN Pre-Footer</v>
      </c>
      <c r="D62" s="5">
        <f ca="1">IFERROR(__xludf.DUMMYFUNCTION("""COMPUTED_VALUE"""),45619)</f>
        <v>45619</v>
      </c>
      <c r="F62" s="1" t="str">
        <f ca="1">IFERROR(__xludf.DUMMYFUNCTION("""COMPUTED_VALUE"""),"USA")</f>
        <v>USA</v>
      </c>
      <c r="G62" s="1" t="str">
        <f ca="1">IFERROR(__xludf.DUMMYFUNCTION("""COMPUTED_VALUE"""),"105.24 USA")</f>
        <v>105.24 USA</v>
      </c>
      <c r="H62" s="1" t="str">
        <f ca="1">IFERROR(__xludf.DUMMYFUNCTION("""COMPUTED_VALUE"""),"Death Penalty")</f>
        <v>Death Penalty</v>
      </c>
      <c r="I62" s="1" t="str">
        <f ca="1">IFERROR(__xludf.DUMMYFUNCTION("""COMPUTED_VALUE"""),"2024")</f>
        <v>2024</v>
      </c>
      <c r="J62" s="1" t="str">
        <f ca="1">IFERROR(__xludf.DUMMYFUNCTION("""COMPUTED_VALUE"""),"Email")</f>
        <v>Email</v>
      </c>
    </row>
    <row r="63" spans="1:10" ht="13" x14ac:dyDescent="0.15">
      <c r="A63" s="4">
        <f ca="1">IFERROR(__xludf.DUMMYFUNCTION("""COMPUTED_VALUE"""),29150877)</f>
        <v>29150877</v>
      </c>
      <c r="B63" s="1" t="str">
        <f ca="1">IFERROR(__xludf.DUMMYFUNCTION("""COMPUTED_VALUE"""),"tena.hoke@gmail.com")</f>
        <v>tena.hoke@gmail.com</v>
      </c>
      <c r="C63" s="4" t="str">
        <f ca="1">IFERROR(__xludf.DUMMYFUNCTION("""COMPUTED_VALUE"""),"UAN mid-page Lightbox - Step 1 of 4 - Landing Page")</f>
        <v>UAN mid-page Lightbox - Step 1 of 4 - Landing Page</v>
      </c>
      <c r="D63" s="5">
        <f ca="1">IFERROR(__xludf.DUMMYFUNCTION("""COMPUTED_VALUE"""),45680)</f>
        <v>45680</v>
      </c>
      <c r="F63" s="1" t="str">
        <f ca="1">IFERROR(__xludf.DUMMYFUNCTION("""COMPUTED_VALUE"""),"USA")</f>
        <v>USA</v>
      </c>
      <c r="G63" s="1" t="str">
        <f ca="1">IFERROR(__xludf.DUMMYFUNCTION("""COMPUTED_VALUE"""),"96.24 USA")</f>
        <v>96.24 USA</v>
      </c>
      <c r="H63" s="1" t="str">
        <f ca="1">IFERROR(__xludf.DUMMYFUNCTION("""COMPUTED_VALUE"""),"Death Penalty")</f>
        <v>Death Penalty</v>
      </c>
      <c r="I63" s="1" t="str">
        <f ca="1">IFERROR(__xludf.DUMMYFUNCTION("""COMPUTED_VALUE"""),"2024")</f>
        <v>2024</v>
      </c>
      <c r="J63" s="1" t="str">
        <f ca="1">IFERROR(__xludf.DUMMYFUNCTION("""COMPUTED_VALUE"""),"Email")</f>
        <v>Email</v>
      </c>
    </row>
    <row r="64" spans="1:10" ht="13" x14ac:dyDescent="0.15">
      <c r="A64" s="4">
        <f ca="1">IFERROR(__xludf.DUMMYFUNCTION("""COMPUTED_VALUE"""),29150877)</f>
        <v>29150877</v>
      </c>
      <c r="B64" s="1" t="str">
        <f ca="1">IFERROR(__xludf.DUMMYFUNCTION("""COMPUTED_VALUE"""),"tena.hoke@gmail.com")</f>
        <v>tena.hoke@gmail.com</v>
      </c>
      <c r="C64" s="4" t="str">
        <f ca="1">IFERROR(__xludf.DUMMYFUNCTION("""COMPUTED_VALUE"""),"UAN mid-page Lightbox - Step 2 of 4 - More personal info fields")</f>
        <v>UAN mid-page Lightbox - Step 2 of 4 - More personal info fields</v>
      </c>
      <c r="D64" s="5">
        <f ca="1">IFERROR(__xludf.DUMMYFUNCTION("""COMPUTED_VALUE"""),45680)</f>
        <v>45680</v>
      </c>
      <c r="F64" s="1" t="str">
        <f ca="1">IFERROR(__xludf.DUMMYFUNCTION("""COMPUTED_VALUE"""),"Iran")</f>
        <v>Iran</v>
      </c>
      <c r="G64" s="1" t="str">
        <f ca="1">IFERROR(__xludf.DUMMYFUNCTION("""COMPUTED_VALUE"""),"Seventh 103.22 Iran")</f>
        <v>Seventh 103.22 Iran</v>
      </c>
      <c r="H64" s="1" t="str">
        <f ca="1">IFERROR(__xludf.DUMMYFUNCTION("""COMPUTED_VALUE"""),"Death Penalty, Freedom of Expression, Individuals At Risk")</f>
        <v>Death Penalty, Freedom of Expression, Individuals At Risk</v>
      </c>
      <c r="I64" s="1" t="str">
        <f ca="1">IFERROR(__xludf.DUMMYFUNCTION("""COMPUTED_VALUE"""),"2024")</f>
        <v>2024</v>
      </c>
      <c r="J64" s="1" t="str">
        <f ca="1">IFERROR(__xludf.DUMMYFUNCTION("""COMPUTED_VALUE"""),"Email")</f>
        <v>Email</v>
      </c>
    </row>
    <row r="65" spans="1:10" ht="13" x14ac:dyDescent="0.15">
      <c r="A65" s="4">
        <f ca="1">IFERROR(__xludf.DUMMYFUNCTION("""COMPUTED_VALUE"""),29150877)</f>
        <v>29150877</v>
      </c>
      <c r="B65" s="1" t="str">
        <f ca="1">IFERROR(__xludf.DUMMYFUNCTION("""COMPUTED_VALUE"""),"tena.hoke@gmail.com")</f>
        <v>tena.hoke@gmail.com</v>
      </c>
      <c r="C65" s="4" t="str">
        <f ca="1">IFERROR(__xludf.DUMMYFUNCTION("""COMPUTED_VALUE"""),"UAN mid-page Lightbox - Step 3 of 4 - More opt-ins")</f>
        <v>UAN mid-page Lightbox - Step 3 of 4 - More opt-ins</v>
      </c>
      <c r="D65" s="5">
        <f ca="1">IFERROR(__xludf.DUMMYFUNCTION("""COMPUTED_VALUE"""),45680)</f>
        <v>45680</v>
      </c>
      <c r="F65" s="1" t="str">
        <f ca="1">IFERROR(__xludf.DUMMYFUNCTION("""COMPUTED_VALUE"""),"USA")</f>
        <v>USA</v>
      </c>
      <c r="G65" s="1" t="str">
        <f ca="1">IFERROR(__xludf.DUMMYFUNCTION("""COMPUTED_VALUE"""),"96.24 USA")</f>
        <v>96.24 USA</v>
      </c>
      <c r="H65" s="1" t="str">
        <f ca="1">IFERROR(__xludf.DUMMYFUNCTION("""COMPUTED_VALUE"""),"Death Penalty")</f>
        <v>Death Penalty</v>
      </c>
      <c r="I65" s="1" t="str">
        <f ca="1">IFERROR(__xludf.DUMMYFUNCTION("""COMPUTED_VALUE"""),"2024")</f>
        <v>2024</v>
      </c>
      <c r="J65" s="1" t="str">
        <f ca="1">IFERROR(__xludf.DUMMYFUNCTION("""COMPUTED_VALUE"""),"Email")</f>
        <v>Email</v>
      </c>
    </row>
    <row r="66" spans="1:10" ht="13" x14ac:dyDescent="0.15">
      <c r="A66" s="4">
        <f ca="1">IFERROR(__xludf.DUMMYFUNCTION("""COMPUTED_VALUE"""),29153617)</f>
        <v>29153617</v>
      </c>
      <c r="B66" s="1" t="str">
        <f ca="1">IFERROR(__xludf.DUMMYFUNCTION("""COMPUTED_VALUE"""),"zorgon@frontiernet.net")</f>
        <v>zorgon@frontiernet.net</v>
      </c>
      <c r="C66" s="4" t="str">
        <f ca="1">IFERROR(__xludf.DUMMYFUNCTION("""COMPUTED_VALUE"""),"EVERGREEN - UAN Gated Content - Embedded Petition")</f>
        <v>EVERGREEN - UAN Gated Content - Embedded Petition</v>
      </c>
      <c r="D66" s="5">
        <f ca="1">IFERROR(__xludf.DUMMYFUNCTION("""COMPUTED_VALUE"""),45694)</f>
        <v>45694</v>
      </c>
      <c r="F66" s="1" t="str">
        <f ca="1">IFERROR(__xludf.DUMMYFUNCTION("""COMPUTED_VALUE"""),"Tunisia")</f>
        <v>Tunisia</v>
      </c>
      <c r="G66" s="1" t="str">
        <f ca="1">IFERROR(__xludf.DUMMYFUNCTION("""COMPUTED_VALUE"""),"Second 76.24 Tunisia")</f>
        <v>Second 76.24 Tunisia</v>
      </c>
      <c r="H66" s="1" t="str">
        <f ca="1">IFERROR(__xludf.DUMMYFUNCTION("""COMPUTED_VALUE"""),"Freedom of Expression, Human Rights Defenders")</f>
        <v>Freedom of Expression, Human Rights Defenders</v>
      </c>
      <c r="I66" s="1" t="str">
        <f ca="1">IFERROR(__xludf.DUMMYFUNCTION("""COMPUTED_VALUE"""),"2025")</f>
        <v>2025</v>
      </c>
      <c r="J66" s="1" t="str">
        <f ca="1">IFERROR(__xludf.DUMMYFUNCTION("""COMPUTED_VALUE"""),"Email")</f>
        <v>Email</v>
      </c>
    </row>
    <row r="67" spans="1:10" ht="13" x14ac:dyDescent="0.15">
      <c r="A67" s="4">
        <f ca="1">IFERROR(__xludf.DUMMYFUNCTION("""COMPUTED_VALUE"""),29167220)</f>
        <v>29167220</v>
      </c>
      <c r="B67" s="1" t="str">
        <f ca="1">IFERROR(__xludf.DUMMYFUNCTION("""COMPUTED_VALUE"""),"beirutmoores@gmail.com")</f>
        <v>beirutmoores@gmail.com</v>
      </c>
      <c r="C67" s="4" t="str">
        <f ca="1">IFERROR(__xludf.DUMMYFUNCTION("""COMPUTED_VALUE"""),"EVERGREEN - UAN Gated Content - Embedded Petition")</f>
        <v>EVERGREEN - UAN Gated Content - Embedded Petition</v>
      </c>
      <c r="D67" s="5">
        <f ca="1">IFERROR(__xludf.DUMMYFUNCTION("""COMPUTED_VALUE"""),45694)</f>
        <v>45694</v>
      </c>
      <c r="F67" s="1" t="str">
        <f ca="1">IFERROR(__xludf.DUMMYFUNCTION("""COMPUTED_VALUE"""),"Dominican Republic")</f>
        <v>Dominican Republic</v>
      </c>
      <c r="G67" s="1" t="str">
        <f ca="1">IFERROR(__xludf.DUMMYFUNCTION("""COMPUTED_VALUE"""),"88.24 Dominican Republic")</f>
        <v>88.24 Dominican Republic</v>
      </c>
      <c r="H67" s="1" t="str">
        <f ca="1">IFERROR(__xludf.DUMMYFUNCTION("""COMPUTED_VALUE"""),"Individuals At Risk, Refugee and Migrant Rights")</f>
        <v>Individuals At Risk, Refugee and Migrant Rights</v>
      </c>
      <c r="I67" s="1" t="str">
        <f ca="1">IFERROR(__xludf.DUMMYFUNCTION("""COMPUTED_VALUE"""),"2024")</f>
        <v>2024</v>
      </c>
      <c r="J67" s="1" t="str">
        <f ca="1">IFERROR(__xludf.DUMMYFUNCTION("""COMPUTED_VALUE"""),"Letter")</f>
        <v>Letter</v>
      </c>
    </row>
    <row r="68" spans="1:10" ht="13" x14ac:dyDescent="0.15">
      <c r="A68" s="4">
        <f ca="1">IFERROR(__xludf.DUMMYFUNCTION("""COMPUTED_VALUE"""),29208194)</f>
        <v>29208194</v>
      </c>
      <c r="B68" s="1" t="str">
        <f ca="1">IFERROR(__xludf.DUMMYFUNCTION("""COMPUTED_VALUE"""),"orion4643@hotmail.com")</f>
        <v>orion4643@hotmail.com</v>
      </c>
      <c r="C68" s="4" t="str">
        <f ca="1">IFERROR(__xludf.DUMMYFUNCTION("""COMPUTED_VALUE"""),"EVERGREEN - UAN Gated Content - Embedded Petition")</f>
        <v>EVERGREEN - UAN Gated Content - Embedded Petition</v>
      </c>
      <c r="D68" s="5">
        <f ca="1">IFERROR(__xludf.DUMMYFUNCTION("""COMPUTED_VALUE"""),45695)</f>
        <v>45695</v>
      </c>
      <c r="F68" s="1" t="str">
        <f ca="1">IFERROR(__xludf.DUMMYFUNCTION("""COMPUTED_VALUE"""),"Azerbaijan")</f>
        <v>Azerbaijan</v>
      </c>
      <c r="G68" s="1" t="str">
        <f ca="1">IFERROR(__xludf.DUMMYFUNCTION("""COMPUTED_VALUE"""),"2.25 Azerbaijan")</f>
        <v>2.25 Azerbaijan</v>
      </c>
      <c r="H68" s="1" t="str">
        <f ca="1">IFERROR(__xludf.DUMMYFUNCTION("""COMPUTED_VALUE"""),"Freedom of Expression, Human Rights Defenders")</f>
        <v>Freedom of Expression, Human Rights Defenders</v>
      </c>
      <c r="I68" s="1" t="str">
        <f ca="1">IFERROR(__xludf.DUMMYFUNCTION("""COMPUTED_VALUE"""),"2025")</f>
        <v>2025</v>
      </c>
      <c r="J68" s="1" t="str">
        <f ca="1">IFERROR(__xludf.DUMMYFUNCTION("""COMPUTED_VALUE"""),"Email")</f>
        <v>Email</v>
      </c>
    </row>
    <row r="69" spans="1:10" ht="13" x14ac:dyDescent="0.15">
      <c r="A69" s="4">
        <f ca="1">IFERROR(__xludf.DUMMYFUNCTION("""COMPUTED_VALUE"""),29237015)</f>
        <v>29237015</v>
      </c>
      <c r="B69" s="1" t="str">
        <f ca="1">IFERROR(__xludf.DUMMYFUNCTION("""COMPUTED_VALUE"""),"knowltonew@earthlink.net")</f>
        <v>knowltonew@earthlink.net</v>
      </c>
      <c r="C69" s="4" t="str">
        <f ca="1">IFERROR(__xludf.DUMMYFUNCTION("""COMPUTED_VALUE"""),"EVERGREEN - UAN Gated Content - Embedded Petition")</f>
        <v>EVERGREEN - UAN Gated Content - Embedded Petition</v>
      </c>
      <c r="D69" s="5">
        <f ca="1">IFERROR(__xludf.DUMMYFUNCTION("""COMPUTED_VALUE"""),45644)</f>
        <v>45644</v>
      </c>
      <c r="F69" s="1" t="str">
        <f ca="1">IFERROR(__xludf.DUMMYFUNCTION("""COMPUTED_VALUE"""),"Niger")</f>
        <v>Niger</v>
      </c>
      <c r="G69" s="1" t="str">
        <f ca="1">IFERROR(__xludf.DUMMYFUNCTION("""COMPUTED_VALUE"""),"103.24 Niger")</f>
        <v>103.24 Niger</v>
      </c>
      <c r="H69" s="1" t="str">
        <f ca="1">IFERROR(__xludf.DUMMYFUNCTION("""COMPUTED_VALUE"""),"Freedom of Expression, Human Rights Defenders")</f>
        <v>Freedom of Expression, Human Rights Defenders</v>
      </c>
      <c r="I69" s="1" t="str">
        <f ca="1">IFERROR(__xludf.DUMMYFUNCTION("""COMPUTED_VALUE"""),"2024")</f>
        <v>2024</v>
      </c>
      <c r="J69" s="1" t="str">
        <f ca="1">IFERROR(__xludf.DUMMYFUNCTION("""COMPUTED_VALUE"""),"Email")</f>
        <v>Email</v>
      </c>
    </row>
    <row r="70" spans="1:10" ht="13" x14ac:dyDescent="0.15">
      <c r="A70" s="4">
        <f ca="1">IFERROR(__xludf.DUMMYFUNCTION("""COMPUTED_VALUE"""),29423346)</f>
        <v>29423346</v>
      </c>
      <c r="B70" s="1" t="str">
        <f ca="1">IFERROR(__xludf.DUMMYFUNCTION("""COMPUTED_VALUE"""),"krsnan11@yahoo.com")</f>
        <v>krsnan11@yahoo.com</v>
      </c>
      <c r="C70" s="4" t="str">
        <f ca="1">IFERROR(__xludf.DUMMYFUNCTION("""COMPUTED_VALUE"""),"EVERGREEN - UAN Gated Content - Embedded Petition")</f>
        <v>EVERGREEN - UAN Gated Content - Embedded Petition</v>
      </c>
      <c r="D70" s="5">
        <f ca="1">IFERROR(__xludf.DUMMYFUNCTION("""COMPUTED_VALUE"""),45674)</f>
        <v>45674</v>
      </c>
      <c r="F70" s="1" t="str">
        <f ca="1">IFERROR(__xludf.DUMMYFUNCTION("""COMPUTED_VALUE"""),"China")</f>
        <v>China</v>
      </c>
      <c r="G70" s="1" t="str">
        <f ca="1">IFERROR(__xludf.DUMMYFUNCTION("""COMPUTED_VALUE"""),"98.24 China")</f>
        <v>98.24 China</v>
      </c>
      <c r="H70" s="1" t="str">
        <f ca="1">IFERROR(__xludf.DUMMYFUNCTION("""COMPUTED_VALUE"""),"Freedom of Expression, Individuals At Risk")</f>
        <v>Freedom of Expression, Individuals At Risk</v>
      </c>
      <c r="I70" s="1" t="str">
        <f ca="1">IFERROR(__xludf.DUMMYFUNCTION("""COMPUTED_VALUE"""),"2024")</f>
        <v>2024</v>
      </c>
      <c r="J70" s="1" t="str">
        <f ca="1">IFERROR(__xludf.DUMMYFUNCTION("""COMPUTED_VALUE"""),"Letter")</f>
        <v>Letter</v>
      </c>
    </row>
    <row r="71" spans="1:10" ht="13" x14ac:dyDescent="0.15">
      <c r="A71" s="4">
        <f ca="1">IFERROR(__xludf.DUMMYFUNCTION("""COMPUTED_VALUE"""),29423346)</f>
        <v>29423346</v>
      </c>
      <c r="B71" s="1" t="str">
        <f ca="1">IFERROR(__xludf.DUMMYFUNCTION("""COMPUTED_VALUE"""),"krsnan11@yahoo.com")</f>
        <v>krsnan11@yahoo.com</v>
      </c>
      <c r="C71" s="4" t="str">
        <f ca="1">IFERROR(__xludf.DUMMYFUNCTION("""COMPUTED_VALUE"""),"EVERGREEN - UAN Gated Content - Embedded Petition")</f>
        <v>EVERGREEN - UAN Gated Content - Embedded Petition</v>
      </c>
      <c r="D71" s="5">
        <f ca="1">IFERROR(__xludf.DUMMYFUNCTION("""COMPUTED_VALUE"""),45636)</f>
        <v>45636</v>
      </c>
      <c r="F71" s="1" t="str">
        <f ca="1">IFERROR(__xludf.DUMMYFUNCTION("""COMPUTED_VALUE"""),"USA")</f>
        <v>USA</v>
      </c>
      <c r="G71" s="1" t="str">
        <f ca="1">IFERROR(__xludf.DUMMYFUNCTION("""COMPUTED_VALUE"""),"105.24 USA")</f>
        <v>105.24 USA</v>
      </c>
      <c r="H71" s="1" t="str">
        <f ca="1">IFERROR(__xludf.DUMMYFUNCTION("""COMPUTED_VALUE"""),"Death Penalty")</f>
        <v>Death Penalty</v>
      </c>
      <c r="I71" s="1" t="str">
        <f ca="1">IFERROR(__xludf.DUMMYFUNCTION("""COMPUTED_VALUE"""),"2024")</f>
        <v>2024</v>
      </c>
      <c r="J71" s="1" t="str">
        <f ca="1">IFERROR(__xludf.DUMMYFUNCTION("""COMPUTED_VALUE"""),"Email")</f>
        <v>Email</v>
      </c>
    </row>
    <row r="72" spans="1:10" ht="13" x14ac:dyDescent="0.15">
      <c r="A72" s="4">
        <f ca="1">IFERROR(__xludf.DUMMYFUNCTION("""COMPUTED_VALUE"""),29423346)</f>
        <v>29423346</v>
      </c>
      <c r="B72" s="1" t="str">
        <f ca="1">IFERROR(__xludf.DUMMYFUNCTION("""COMPUTED_VALUE"""),"krsnan11@yahoo.com")</f>
        <v>krsnan11@yahoo.com</v>
      </c>
      <c r="C72" s="4" t="str">
        <f ca="1">IFERROR(__xludf.DUMMYFUNCTION("""COMPUTED_VALUE"""),"EVERGREEN - UAN Gated Content - Embedded Petition")</f>
        <v>EVERGREEN - UAN Gated Content - Embedded Petition</v>
      </c>
      <c r="D72" s="5">
        <f ca="1">IFERROR(__xludf.DUMMYFUNCTION("""COMPUTED_VALUE"""),45636)</f>
        <v>45636</v>
      </c>
      <c r="F72" s="1" t="str">
        <f ca="1">IFERROR(__xludf.DUMMYFUNCTION("""COMPUTED_VALUE"""),"Tunisia")</f>
        <v>Tunisia</v>
      </c>
      <c r="G72" s="1" t="str">
        <f ca="1">IFERROR(__xludf.DUMMYFUNCTION("""COMPUTED_VALUE"""),"Second 76.24 Tunisia")</f>
        <v>Second 76.24 Tunisia</v>
      </c>
      <c r="H72" s="1" t="str">
        <f ca="1">IFERROR(__xludf.DUMMYFUNCTION("""COMPUTED_VALUE"""),"Freedom of Expression, Human Rights Defenders")</f>
        <v>Freedom of Expression, Human Rights Defenders</v>
      </c>
      <c r="I72" s="1" t="str">
        <f ca="1">IFERROR(__xludf.DUMMYFUNCTION("""COMPUTED_VALUE"""),"2025")</f>
        <v>2025</v>
      </c>
      <c r="J72" s="1" t="str">
        <f ca="1">IFERROR(__xludf.DUMMYFUNCTION("""COMPUTED_VALUE"""),"Email")</f>
        <v>Email</v>
      </c>
    </row>
    <row r="73" spans="1:10" ht="13" x14ac:dyDescent="0.15">
      <c r="A73" s="4">
        <f ca="1">IFERROR(__xludf.DUMMYFUNCTION("""COMPUTED_VALUE"""),29423346)</f>
        <v>29423346</v>
      </c>
      <c r="B73" s="1" t="str">
        <f ca="1">IFERROR(__xludf.DUMMYFUNCTION("""COMPUTED_VALUE"""),"krsnan11@yahoo.com")</f>
        <v>krsnan11@yahoo.com</v>
      </c>
      <c r="C73" s="4" t="str">
        <f ca="1">IFERROR(__xludf.DUMMYFUNCTION("""COMPUTED_VALUE"""),"EVERGREEN - UAN Gated Content - Embedded Petition")</f>
        <v>EVERGREEN - UAN Gated Content - Embedded Petition</v>
      </c>
      <c r="D73" s="5">
        <f ca="1">IFERROR(__xludf.DUMMYFUNCTION("""COMPUTED_VALUE"""),45694)</f>
        <v>45694</v>
      </c>
      <c r="F73" s="1" t="str">
        <f ca="1">IFERROR(__xludf.DUMMYFUNCTION("""COMPUTED_VALUE"""),"Tunisia")</f>
        <v>Tunisia</v>
      </c>
      <c r="G73" s="1" t="str">
        <f ca="1">IFERROR(__xludf.DUMMYFUNCTION("""COMPUTED_VALUE"""),"Second 76.24 Tunisia")</f>
        <v>Second 76.24 Tunisia</v>
      </c>
      <c r="H73" s="1" t="str">
        <f ca="1">IFERROR(__xludf.DUMMYFUNCTION("""COMPUTED_VALUE"""),"Freedom of Expression, Human Rights Defenders")</f>
        <v>Freedom of Expression, Human Rights Defenders</v>
      </c>
      <c r="I73" s="1" t="str">
        <f ca="1">IFERROR(__xludf.DUMMYFUNCTION("""COMPUTED_VALUE"""),"2025")</f>
        <v>2025</v>
      </c>
      <c r="J73" s="1" t="str">
        <f ca="1">IFERROR(__xludf.DUMMYFUNCTION("""COMPUTED_VALUE"""),"Email")</f>
        <v>Email</v>
      </c>
    </row>
    <row r="74" spans="1:10" ht="13" x14ac:dyDescent="0.15">
      <c r="A74" s="4">
        <f ca="1">IFERROR(__xludf.DUMMYFUNCTION("""COMPUTED_VALUE"""),29423346)</f>
        <v>29423346</v>
      </c>
      <c r="B74" s="1" t="str">
        <f ca="1">IFERROR(__xludf.DUMMYFUNCTION("""COMPUTED_VALUE"""),"krsnan11@yahoo.com")</f>
        <v>krsnan11@yahoo.com</v>
      </c>
      <c r="C74" s="4" t="str">
        <f ca="1">IFERROR(__xludf.DUMMYFUNCTION("""COMPUTED_VALUE"""),"EVERGREEN - UAN Gated Content - Embedded Petition")</f>
        <v>EVERGREEN - UAN Gated Content - Embedded Petition</v>
      </c>
      <c r="D74" s="5">
        <f ca="1">IFERROR(__xludf.DUMMYFUNCTION("""COMPUTED_VALUE"""),45636)</f>
        <v>45636</v>
      </c>
      <c r="F74" s="1" t="str">
        <f ca="1">IFERROR(__xludf.DUMMYFUNCTION("""COMPUTED_VALUE"""),"USA")</f>
        <v>USA</v>
      </c>
      <c r="G74" s="1" t="str">
        <f ca="1">IFERROR(__xludf.DUMMYFUNCTION("""COMPUTED_VALUE"""),"4.25 USA")</f>
        <v>4.25 USA</v>
      </c>
      <c r="H74" s="1" t="str">
        <f ca="1">IFERROR(__xludf.DUMMYFUNCTION("""COMPUTED_VALUE"""),"Individuals At Risk, Refugee and Migrant Rights")</f>
        <v>Individuals At Risk, Refugee and Migrant Rights</v>
      </c>
      <c r="I74" s="1" t="str">
        <f ca="1">IFERROR(__xludf.DUMMYFUNCTION("""COMPUTED_VALUE"""),"2025")</f>
        <v>2025</v>
      </c>
      <c r="J74" s="1" t="str">
        <f ca="1">IFERROR(__xludf.DUMMYFUNCTION("""COMPUTED_VALUE"""),"Letter")</f>
        <v>Letter</v>
      </c>
    </row>
    <row r="75" spans="1:10" ht="13" x14ac:dyDescent="0.15">
      <c r="A75" s="4">
        <f ca="1">IFERROR(__xludf.DUMMYFUNCTION("""COMPUTED_VALUE"""),29470311)</f>
        <v>29470311</v>
      </c>
      <c r="B75" s="1" t="str">
        <f ca="1">IFERROR(__xludf.DUMMYFUNCTION("""COMPUTED_VALUE"""),"test@test.com")</f>
        <v>test@test.com</v>
      </c>
      <c r="C75" s="4" t="str">
        <f ca="1">IFERROR(__xludf.DUMMYFUNCTION("""COMPUTED_VALUE"""),"EVERGREEN - UAN Gated Content - Embedded Petition")</f>
        <v>EVERGREEN - UAN Gated Content - Embedded Petition</v>
      </c>
      <c r="D75" s="5">
        <f ca="1">IFERROR(__xludf.DUMMYFUNCTION("""COMPUTED_VALUE"""),45552)</f>
        <v>45552</v>
      </c>
      <c r="F75" s="1" t="str">
        <f ca="1">IFERROR(__xludf.DUMMYFUNCTION("""COMPUTED_VALUE"""),"Tunisia")</f>
        <v>Tunisia</v>
      </c>
      <c r="G75" s="1" t="str">
        <f ca="1">IFERROR(__xludf.DUMMYFUNCTION("""COMPUTED_VALUE"""),"Second 76.24 Tunisia")</f>
        <v>Second 76.24 Tunisia</v>
      </c>
      <c r="H75" s="1" t="str">
        <f ca="1">IFERROR(__xludf.DUMMYFUNCTION("""COMPUTED_VALUE"""),"Freedom of Expression, Human Rights Defenders")</f>
        <v>Freedom of Expression, Human Rights Defenders</v>
      </c>
      <c r="I75" s="1" t="str">
        <f ca="1">IFERROR(__xludf.DUMMYFUNCTION("""COMPUTED_VALUE"""),"2025")</f>
        <v>2025</v>
      </c>
      <c r="J75" s="1" t="str">
        <f ca="1">IFERROR(__xludf.DUMMYFUNCTION("""COMPUTED_VALUE"""),"Email")</f>
        <v>Email</v>
      </c>
    </row>
    <row r="76" spans="1:10" ht="13" x14ac:dyDescent="0.15">
      <c r="A76" s="4">
        <f ca="1">IFERROR(__xludf.DUMMYFUNCTION("""COMPUTED_VALUE"""),29572986)</f>
        <v>29572986</v>
      </c>
      <c r="B76" s="1" t="str">
        <f ca="1">IFERROR(__xludf.DUMMYFUNCTION("""COMPUTED_VALUE"""),"bevphilpott@gmail.com")</f>
        <v>bevphilpott@gmail.com</v>
      </c>
      <c r="C76" s="4" t="str">
        <f ca="1">IFERROR(__xludf.DUMMYFUNCTION("""COMPUTED_VALUE"""),"EVERGREEN - UAN Gated Content - Embedded Petition")</f>
        <v>EVERGREEN - UAN Gated Content - Embedded Petition</v>
      </c>
      <c r="D76" s="5">
        <f ca="1">IFERROR(__xludf.DUMMYFUNCTION("""COMPUTED_VALUE"""),45616)</f>
        <v>45616</v>
      </c>
      <c r="F76" s="1" t="str">
        <f ca="1">IFERROR(__xludf.DUMMYFUNCTION("""COMPUTED_VALUE"""),"Tunisia")</f>
        <v>Tunisia</v>
      </c>
      <c r="G76" s="1" t="str">
        <f ca="1">IFERROR(__xludf.DUMMYFUNCTION("""COMPUTED_VALUE"""),"Second 76.24 Tunisia")</f>
        <v>Second 76.24 Tunisia</v>
      </c>
      <c r="H76" s="1" t="str">
        <f ca="1">IFERROR(__xludf.DUMMYFUNCTION("""COMPUTED_VALUE"""),"Freedom of Expression, Human Rights Defenders")</f>
        <v>Freedom of Expression, Human Rights Defenders</v>
      </c>
      <c r="I76" s="1" t="str">
        <f ca="1">IFERROR(__xludf.DUMMYFUNCTION("""COMPUTED_VALUE"""),"2025")</f>
        <v>2025</v>
      </c>
      <c r="J76" s="1" t="str">
        <f ca="1">IFERROR(__xludf.DUMMYFUNCTION("""COMPUTED_VALUE"""),"Email")</f>
        <v>Email</v>
      </c>
    </row>
    <row r="77" spans="1:10" ht="13" x14ac:dyDescent="0.15">
      <c r="A77" s="4">
        <f ca="1">IFERROR(__xludf.DUMMYFUNCTION("""COMPUTED_VALUE"""),29648947)</f>
        <v>29648947</v>
      </c>
      <c r="B77" s="1" t="str">
        <f ca="1">IFERROR(__xludf.DUMMYFUNCTION("""COMPUTED_VALUE"""),"den14smi@hotmail.com")</f>
        <v>den14smi@hotmail.com</v>
      </c>
      <c r="C77" s="4" t="str">
        <f ca="1">IFERROR(__xludf.DUMMYFUNCTION("""COMPUTED_VALUE"""),"EVERGREEN - UAN Gated Content - Embedded Petition")</f>
        <v>EVERGREEN - UAN Gated Content - Embedded Petition</v>
      </c>
      <c r="D77" s="5">
        <f ca="1">IFERROR(__xludf.DUMMYFUNCTION("""COMPUTED_VALUE"""),45674)</f>
        <v>45674</v>
      </c>
      <c r="F77" s="1" t="str">
        <f ca="1">IFERROR(__xludf.DUMMYFUNCTION("""COMPUTED_VALUE"""),"Tunisia")</f>
        <v>Tunisia</v>
      </c>
      <c r="G77" s="1" t="str">
        <f ca="1">IFERROR(__xludf.DUMMYFUNCTION("""COMPUTED_VALUE"""),"Second 76.24 Tunisia")</f>
        <v>Second 76.24 Tunisia</v>
      </c>
      <c r="H77" s="1" t="str">
        <f ca="1">IFERROR(__xludf.DUMMYFUNCTION("""COMPUTED_VALUE"""),"Freedom of Expression, Human Rights Defenders")</f>
        <v>Freedom of Expression, Human Rights Defenders</v>
      </c>
      <c r="I77" s="1" t="str">
        <f ca="1">IFERROR(__xludf.DUMMYFUNCTION("""COMPUTED_VALUE"""),"2025")</f>
        <v>2025</v>
      </c>
      <c r="J77" s="1" t="str">
        <f ca="1">IFERROR(__xludf.DUMMYFUNCTION("""COMPUTED_VALUE"""),"Email")</f>
        <v>Email</v>
      </c>
    </row>
    <row r="78" spans="1:10" ht="13" x14ac:dyDescent="0.15">
      <c r="A78" s="4">
        <f ca="1">IFERROR(__xludf.DUMMYFUNCTION("""COMPUTED_VALUE"""),29648947)</f>
        <v>29648947</v>
      </c>
      <c r="B78" s="1" t="str">
        <f ca="1">IFERROR(__xludf.DUMMYFUNCTION("""COMPUTED_VALUE"""),"den14smi@hotmail.com")</f>
        <v>den14smi@hotmail.com</v>
      </c>
      <c r="C78" s="4" t="str">
        <f ca="1">IFERROR(__xludf.DUMMYFUNCTION("""COMPUTED_VALUE"""),"EVERGREEN - UAN Gated Content - Embedded Petition")</f>
        <v>EVERGREEN - UAN Gated Content - Embedded Petition</v>
      </c>
      <c r="D78" s="5">
        <f ca="1">IFERROR(__xludf.DUMMYFUNCTION("""COMPUTED_VALUE"""),45616)</f>
        <v>45616</v>
      </c>
      <c r="F78" s="1" t="str">
        <f ca="1">IFERROR(__xludf.DUMMYFUNCTION("""COMPUTED_VALUE"""),"Azerbaijan")</f>
        <v>Azerbaijan</v>
      </c>
      <c r="G78" s="1" t="str">
        <f ca="1">IFERROR(__xludf.DUMMYFUNCTION("""COMPUTED_VALUE"""),"2.25 Azerbaijan")</f>
        <v>2.25 Azerbaijan</v>
      </c>
      <c r="H78" s="1" t="str">
        <f ca="1">IFERROR(__xludf.DUMMYFUNCTION("""COMPUTED_VALUE"""),"Freedom of Expression, Human Rights Defenders")</f>
        <v>Freedom of Expression, Human Rights Defenders</v>
      </c>
      <c r="I78" s="1" t="str">
        <f ca="1">IFERROR(__xludf.DUMMYFUNCTION("""COMPUTED_VALUE"""),"2025")</f>
        <v>2025</v>
      </c>
      <c r="J78" s="1" t="str">
        <f ca="1">IFERROR(__xludf.DUMMYFUNCTION("""COMPUTED_VALUE"""),"Email")</f>
        <v>Email</v>
      </c>
    </row>
    <row r="79" spans="1:10" ht="13" x14ac:dyDescent="0.15">
      <c r="A79" s="4">
        <f ca="1">IFERROR(__xludf.DUMMYFUNCTION("""COMPUTED_VALUE"""),29648947)</f>
        <v>29648947</v>
      </c>
      <c r="B79" s="1" t="str">
        <f ca="1">IFERROR(__xludf.DUMMYFUNCTION("""COMPUTED_VALUE"""),"den14smi@hotmail.com")</f>
        <v>den14smi@hotmail.com</v>
      </c>
      <c r="C79" s="4" t="str">
        <f ca="1">IFERROR(__xludf.DUMMYFUNCTION("""COMPUTED_VALUE"""),"EVERGREEN - UAN Gated Content - Embedded Petition")</f>
        <v>EVERGREEN - UAN Gated Content - Embedded Petition</v>
      </c>
      <c r="D79" s="5">
        <f ca="1">IFERROR(__xludf.DUMMYFUNCTION("""COMPUTED_VALUE"""),45694)</f>
        <v>45694</v>
      </c>
      <c r="F79" s="1" t="str">
        <f ca="1">IFERROR(__xludf.DUMMYFUNCTION("""COMPUTED_VALUE"""),"USA")</f>
        <v>USA</v>
      </c>
      <c r="G79" s="1" t="str">
        <f ca="1">IFERROR(__xludf.DUMMYFUNCTION("""COMPUTED_VALUE"""),"4.25 USA")</f>
        <v>4.25 USA</v>
      </c>
      <c r="H79" s="1" t="str">
        <f ca="1">IFERROR(__xludf.DUMMYFUNCTION("""COMPUTED_VALUE"""),"Individuals At Risk, Refugee and Migrant Rights")</f>
        <v>Individuals At Risk, Refugee and Migrant Rights</v>
      </c>
      <c r="I79" s="1" t="str">
        <f ca="1">IFERROR(__xludf.DUMMYFUNCTION("""COMPUTED_VALUE"""),"2025")</f>
        <v>2025</v>
      </c>
      <c r="J79" s="1" t="str">
        <f ca="1">IFERROR(__xludf.DUMMYFUNCTION("""COMPUTED_VALUE"""),"Letter")</f>
        <v>Letter</v>
      </c>
    </row>
    <row r="80" spans="1:10" ht="13" x14ac:dyDescent="0.15">
      <c r="A80" s="4">
        <f ca="1">IFERROR(__xludf.DUMMYFUNCTION("""COMPUTED_VALUE"""),29648947)</f>
        <v>29648947</v>
      </c>
      <c r="B80" s="1" t="str">
        <f ca="1">IFERROR(__xludf.DUMMYFUNCTION("""COMPUTED_VALUE"""),"den14smi@hotmail.com")</f>
        <v>den14smi@hotmail.com</v>
      </c>
      <c r="C80" s="4" t="str">
        <f ca="1">IFERROR(__xludf.DUMMYFUNCTION("""COMPUTED_VALUE"""),"EVERGREEN - UAN Gated Content - Embedded Petition")</f>
        <v>EVERGREEN - UAN Gated Content - Embedded Petition</v>
      </c>
      <c r="D80" s="5">
        <f ca="1">IFERROR(__xludf.DUMMYFUNCTION("""COMPUTED_VALUE"""),45616)</f>
        <v>45616</v>
      </c>
      <c r="F80" s="1" t="str">
        <f ca="1">IFERROR(__xludf.DUMMYFUNCTION("""COMPUTED_VALUE"""),"Tunisia")</f>
        <v>Tunisia</v>
      </c>
      <c r="G80" s="1" t="str">
        <f ca="1">IFERROR(__xludf.DUMMYFUNCTION("""COMPUTED_VALUE"""),"Second 76.24 Tunisia")</f>
        <v>Second 76.24 Tunisia</v>
      </c>
      <c r="H80" s="1" t="str">
        <f ca="1">IFERROR(__xludf.DUMMYFUNCTION("""COMPUTED_VALUE"""),"Freedom of Expression, Human Rights Defenders")</f>
        <v>Freedom of Expression, Human Rights Defenders</v>
      </c>
      <c r="I80" s="1" t="str">
        <f ca="1">IFERROR(__xludf.DUMMYFUNCTION("""COMPUTED_VALUE"""),"2025")</f>
        <v>2025</v>
      </c>
      <c r="J80" s="1" t="str">
        <f ca="1">IFERROR(__xludf.DUMMYFUNCTION("""COMPUTED_VALUE"""),"Email")</f>
        <v>Email</v>
      </c>
    </row>
    <row r="81" spans="1:10" ht="13" x14ac:dyDescent="0.15">
      <c r="A81" s="4">
        <f ca="1">IFERROR(__xludf.DUMMYFUNCTION("""COMPUTED_VALUE"""),29664907)</f>
        <v>29664907</v>
      </c>
      <c r="B81" s="1" t="str">
        <f ca="1">IFERROR(__xludf.DUMMYFUNCTION("""COMPUTED_VALUE"""),"garagekey1947@yahoo.com")</f>
        <v>garagekey1947@yahoo.com</v>
      </c>
      <c r="C81" s="4" t="str">
        <f ca="1">IFERROR(__xludf.DUMMYFUNCTION("""COMPUTED_VALUE"""),"EVERGREEN - UAN Gated Content - Embedded Petition")</f>
        <v>EVERGREEN - UAN Gated Content - Embedded Petition</v>
      </c>
      <c r="D81" s="5">
        <f ca="1">IFERROR(__xludf.DUMMYFUNCTION("""COMPUTED_VALUE"""),45675)</f>
        <v>45675</v>
      </c>
      <c r="F81" s="1" t="str">
        <f ca="1">IFERROR(__xludf.DUMMYFUNCTION("""COMPUTED_VALUE"""),"USA")</f>
        <v>USA</v>
      </c>
      <c r="G81" s="1" t="str">
        <f ca="1">IFERROR(__xludf.DUMMYFUNCTION("""COMPUTED_VALUE"""),"105.24 USA")</f>
        <v>105.24 USA</v>
      </c>
      <c r="H81" s="1" t="str">
        <f ca="1">IFERROR(__xludf.DUMMYFUNCTION("""COMPUTED_VALUE"""),"Death Penalty")</f>
        <v>Death Penalty</v>
      </c>
      <c r="I81" s="1" t="str">
        <f ca="1">IFERROR(__xludf.DUMMYFUNCTION("""COMPUTED_VALUE"""),"2024")</f>
        <v>2024</v>
      </c>
      <c r="J81" s="1" t="str">
        <f ca="1">IFERROR(__xludf.DUMMYFUNCTION("""COMPUTED_VALUE"""),"Email")</f>
        <v>Email</v>
      </c>
    </row>
    <row r="82" spans="1:10" ht="13" x14ac:dyDescent="0.15">
      <c r="A82" s="4">
        <f ca="1">IFERROR(__xludf.DUMMYFUNCTION("""COMPUTED_VALUE"""),29668979)</f>
        <v>29668979</v>
      </c>
      <c r="B82" s="1" t="str">
        <f ca="1">IFERROR(__xludf.DUMMYFUNCTION("""COMPUTED_VALUE"""),"nhenry72@gmail.com")</f>
        <v>nhenry72@gmail.com</v>
      </c>
      <c r="C82" s="4" t="str">
        <f ca="1">IFERROR(__xludf.DUMMYFUNCTION("""COMPUTED_VALUE"""),"EVERGREEN - UAN Gated Content - Embedded Petition")</f>
        <v>EVERGREEN - UAN Gated Content - Embedded Petition</v>
      </c>
      <c r="D82" s="5">
        <f ca="1">IFERROR(__xludf.DUMMYFUNCTION("""COMPUTED_VALUE"""),45675)</f>
        <v>45675</v>
      </c>
      <c r="F82" s="1" t="str">
        <f ca="1">IFERROR(__xludf.DUMMYFUNCTION("""COMPUTED_VALUE"""),"USA")</f>
        <v>USA</v>
      </c>
      <c r="G82" s="1" t="str">
        <f ca="1">IFERROR(__xludf.DUMMYFUNCTION("""COMPUTED_VALUE"""),"96.24 USA")</f>
        <v>96.24 USA</v>
      </c>
      <c r="H82" s="1" t="str">
        <f ca="1">IFERROR(__xludf.DUMMYFUNCTION("""COMPUTED_VALUE"""),"Death Penalty")</f>
        <v>Death Penalty</v>
      </c>
      <c r="I82" s="1" t="str">
        <f ca="1">IFERROR(__xludf.DUMMYFUNCTION("""COMPUTED_VALUE"""),"2024")</f>
        <v>2024</v>
      </c>
      <c r="J82" s="1" t="str">
        <f ca="1">IFERROR(__xludf.DUMMYFUNCTION("""COMPUTED_VALUE"""),"Email")</f>
        <v>Email</v>
      </c>
    </row>
    <row r="83" spans="1:10" ht="13" x14ac:dyDescent="0.15">
      <c r="A83" s="4">
        <f ca="1">IFERROR(__xludf.DUMMYFUNCTION("""COMPUTED_VALUE"""),29668979)</f>
        <v>29668979</v>
      </c>
      <c r="B83" s="1" t="str">
        <f ca="1">IFERROR(__xludf.DUMMYFUNCTION("""COMPUTED_VALUE"""),"nhenry72@gmail.com")</f>
        <v>nhenry72@gmail.com</v>
      </c>
      <c r="C83" s="4" t="str">
        <f ca="1">IFERROR(__xludf.DUMMYFUNCTION("""COMPUTED_VALUE"""),"EVERGREEN - UAN Gated Content - Embedded Petition")</f>
        <v>EVERGREEN - UAN Gated Content - Embedded Petition</v>
      </c>
      <c r="D83" s="5">
        <f ca="1">IFERROR(__xludf.DUMMYFUNCTION("""COMPUTED_VALUE"""),45638)</f>
        <v>45638</v>
      </c>
      <c r="F83" s="1" t="str">
        <f ca="1">IFERROR(__xludf.DUMMYFUNCTION("""COMPUTED_VALUE"""),"Tunisia")</f>
        <v>Tunisia</v>
      </c>
      <c r="G83" s="1" t="str">
        <f ca="1">IFERROR(__xludf.DUMMYFUNCTION("""COMPUTED_VALUE"""),"Second 76.24 Tunisia")</f>
        <v>Second 76.24 Tunisia</v>
      </c>
      <c r="H83" s="1" t="str">
        <f ca="1">IFERROR(__xludf.DUMMYFUNCTION("""COMPUTED_VALUE"""),"Freedom of Expression, Human Rights Defenders")</f>
        <v>Freedom of Expression, Human Rights Defenders</v>
      </c>
      <c r="I83" s="1" t="str">
        <f ca="1">IFERROR(__xludf.DUMMYFUNCTION("""COMPUTED_VALUE"""),"2025")</f>
        <v>2025</v>
      </c>
      <c r="J83" s="1" t="str">
        <f ca="1">IFERROR(__xludf.DUMMYFUNCTION("""COMPUTED_VALUE"""),"Email")</f>
        <v>Email</v>
      </c>
    </row>
    <row r="84" spans="1:10" ht="13" x14ac:dyDescent="0.15">
      <c r="A84" s="4">
        <f ca="1">IFERROR(__xludf.DUMMYFUNCTION("""COMPUTED_VALUE"""),29668979)</f>
        <v>29668979</v>
      </c>
      <c r="B84" s="1" t="str">
        <f ca="1">IFERROR(__xludf.DUMMYFUNCTION("""COMPUTED_VALUE"""),"nhenry72@gmail.com")</f>
        <v>nhenry72@gmail.com</v>
      </c>
      <c r="C84" s="4" t="str">
        <f ca="1">IFERROR(__xludf.DUMMYFUNCTION("""COMPUTED_VALUE"""),"EVERGREEN - UAN Gated Content - Embedded Petition")</f>
        <v>EVERGREEN - UAN Gated Content - Embedded Petition</v>
      </c>
      <c r="D84" s="5">
        <f ca="1">IFERROR(__xludf.DUMMYFUNCTION("""COMPUTED_VALUE"""),45637)</f>
        <v>45637</v>
      </c>
      <c r="F84" s="1" t="str">
        <f ca="1">IFERROR(__xludf.DUMMYFUNCTION("""COMPUTED_VALUE"""),"Israel and Occupied Palestinian Territories")</f>
        <v>Israel and Occupied Palestinian Territories</v>
      </c>
      <c r="G84" s="1" t="str">
        <f ca="1">IFERROR(__xludf.DUMMYFUNCTION("""COMPUTED_VALUE"""),"3.25 IOPT")</f>
        <v>3.25 IOPT</v>
      </c>
      <c r="H84" s="1" t="str">
        <f ca="1">IFERROR(__xludf.DUMMYFUNCTION("""COMPUTED_VALUE"""),"Freedom of Expression, Individuals At Risk")</f>
        <v>Freedom of Expression, Individuals At Risk</v>
      </c>
      <c r="I84" s="1" t="str">
        <f ca="1">IFERROR(__xludf.DUMMYFUNCTION("""COMPUTED_VALUE"""),"2025")</f>
        <v>2025</v>
      </c>
      <c r="J84" s="1" t="str">
        <f ca="1">IFERROR(__xludf.DUMMYFUNCTION("""COMPUTED_VALUE"""),"Email")</f>
        <v>Email</v>
      </c>
    </row>
    <row r="85" spans="1:10" ht="13" x14ac:dyDescent="0.15">
      <c r="A85" s="4">
        <f ca="1">IFERROR(__xludf.DUMMYFUNCTION("""COMPUTED_VALUE"""),30230413)</f>
        <v>30230413</v>
      </c>
      <c r="B85" s="1" t="str">
        <f ca="1">IFERROR(__xludf.DUMMYFUNCTION("""COMPUTED_VALUE"""),"elisacovar@gmail.com")</f>
        <v>elisacovar@gmail.com</v>
      </c>
      <c r="C85" s="4" t="str">
        <f ca="1">IFERROR(__xludf.DUMMYFUNCTION("""COMPUTED_VALUE"""),"EVERGREEN - UAN Gated Content - Embedded Petition")</f>
        <v>EVERGREEN - UAN Gated Content - Embedded Petition</v>
      </c>
      <c r="D85" s="5">
        <f ca="1">IFERROR(__xludf.DUMMYFUNCTION("""COMPUTED_VALUE"""),45694)</f>
        <v>45694</v>
      </c>
      <c r="F85" s="1" t="str">
        <f ca="1">IFERROR(__xludf.DUMMYFUNCTION("""COMPUTED_VALUE"""),"Tunisia")</f>
        <v>Tunisia</v>
      </c>
      <c r="G85" s="1" t="str">
        <f ca="1">IFERROR(__xludf.DUMMYFUNCTION("""COMPUTED_VALUE"""),"Second 76.24 Tunisia")</f>
        <v>Second 76.24 Tunisia</v>
      </c>
      <c r="H85" s="1" t="str">
        <f ca="1">IFERROR(__xludf.DUMMYFUNCTION("""COMPUTED_VALUE"""),"Freedom of Expression, Human Rights Defenders")</f>
        <v>Freedom of Expression, Human Rights Defenders</v>
      </c>
      <c r="I85" s="1" t="str">
        <f ca="1">IFERROR(__xludf.DUMMYFUNCTION("""COMPUTED_VALUE"""),"2025")</f>
        <v>2025</v>
      </c>
      <c r="J85" s="1" t="str">
        <f ca="1">IFERROR(__xludf.DUMMYFUNCTION("""COMPUTED_VALUE"""),"Email")</f>
        <v>Email</v>
      </c>
    </row>
    <row r="86" spans="1:10" ht="13" x14ac:dyDescent="0.15">
      <c r="A86" s="4">
        <f ca="1">IFERROR(__xludf.DUMMYFUNCTION("""COMPUTED_VALUE"""),30232575)</f>
        <v>30232575</v>
      </c>
      <c r="B86" s="1" t="str">
        <f ca="1">IFERROR(__xludf.DUMMYFUNCTION("""COMPUTED_VALUE"""),"kilianailik@gmail.com")</f>
        <v>kilianailik@gmail.com</v>
      </c>
      <c r="C86" s="4" t="str">
        <f ca="1">IFERROR(__xludf.DUMMYFUNCTION("""COMPUTED_VALUE"""),"EVERGREEN - UAN Gated Content - Embedded Petition")</f>
        <v>EVERGREEN - UAN Gated Content - Embedded Petition</v>
      </c>
      <c r="D86" s="5">
        <f ca="1">IFERROR(__xludf.DUMMYFUNCTION("""COMPUTED_VALUE"""),45694)</f>
        <v>45694</v>
      </c>
      <c r="F86" s="1" t="str">
        <f ca="1">IFERROR(__xludf.DUMMYFUNCTION("""COMPUTED_VALUE"""),"USA")</f>
        <v>USA</v>
      </c>
      <c r="G86" s="1" t="str">
        <f ca="1">IFERROR(__xludf.DUMMYFUNCTION("""COMPUTED_VALUE"""),"4.25 USA")</f>
        <v>4.25 USA</v>
      </c>
      <c r="H86" s="1" t="str">
        <f ca="1">IFERROR(__xludf.DUMMYFUNCTION("""COMPUTED_VALUE"""),"Individuals At Risk, Refugee and Migrant Rights")</f>
        <v>Individuals At Risk, Refugee and Migrant Rights</v>
      </c>
      <c r="I86" s="1" t="str">
        <f ca="1">IFERROR(__xludf.DUMMYFUNCTION("""COMPUTED_VALUE"""),"2025")</f>
        <v>2025</v>
      </c>
      <c r="J86" s="1" t="str">
        <f ca="1">IFERROR(__xludf.DUMMYFUNCTION("""COMPUTED_VALUE"""),"Letter")</f>
        <v>Letter</v>
      </c>
    </row>
    <row r="87" spans="1:10" ht="13" x14ac:dyDescent="0.15">
      <c r="A87" s="4">
        <f ca="1">IFERROR(__xludf.DUMMYFUNCTION("""COMPUTED_VALUE"""),30232575)</f>
        <v>30232575</v>
      </c>
      <c r="B87" s="1" t="str">
        <f ca="1">IFERROR(__xludf.DUMMYFUNCTION("""COMPUTED_VALUE"""),"kilianailik@gmail.com")</f>
        <v>kilianailik@gmail.com</v>
      </c>
      <c r="C87" s="4" t="str">
        <f ca="1">IFERROR(__xludf.DUMMYFUNCTION("""COMPUTED_VALUE"""),"EVERGREEN - UAN Gated Content - Embedded Petition")</f>
        <v>EVERGREEN - UAN Gated Content - Embedded Petition</v>
      </c>
      <c r="D87" s="5">
        <f ca="1">IFERROR(__xludf.DUMMYFUNCTION("""COMPUTED_VALUE"""),45679)</f>
        <v>45679</v>
      </c>
      <c r="F87" s="1" t="str">
        <f ca="1">IFERROR(__xludf.DUMMYFUNCTION("""COMPUTED_VALUE"""),"USA")</f>
        <v>USA</v>
      </c>
      <c r="G87" s="1" t="str">
        <f ca="1">IFERROR(__xludf.DUMMYFUNCTION("""COMPUTED_VALUE"""),"96.24 USA")</f>
        <v>96.24 USA</v>
      </c>
      <c r="H87" s="1" t="str">
        <f ca="1">IFERROR(__xludf.DUMMYFUNCTION("""COMPUTED_VALUE"""),"Death Penalty")</f>
        <v>Death Penalty</v>
      </c>
      <c r="I87" s="1" t="str">
        <f ca="1">IFERROR(__xludf.DUMMYFUNCTION("""COMPUTED_VALUE"""),"2024")</f>
        <v>2024</v>
      </c>
      <c r="J87" s="1" t="str">
        <f ca="1">IFERROR(__xludf.DUMMYFUNCTION("""COMPUTED_VALUE"""),"Email")</f>
        <v>Email</v>
      </c>
    </row>
    <row r="88" spans="1:10" ht="13" x14ac:dyDescent="0.15">
      <c r="A88" s="4">
        <f ca="1">IFERROR(__xludf.DUMMYFUNCTION("""COMPUTED_VALUE"""),30236247)</f>
        <v>30236247</v>
      </c>
      <c r="B88" s="1" t="str">
        <f ca="1">IFERROR(__xludf.DUMMYFUNCTION("""COMPUTED_VALUE"""),"judibabcock@gmail.com")</f>
        <v>judibabcock@gmail.com</v>
      </c>
      <c r="C88" s="4" t="str">
        <f ca="1">IFERROR(__xludf.DUMMYFUNCTION("""COMPUTED_VALUE"""),"EVERGREEN - UAN Gated Content - Embedded Petition")</f>
        <v>EVERGREEN - UAN Gated Content - Embedded Petition</v>
      </c>
      <c r="D88" s="5">
        <f ca="1">IFERROR(__xludf.DUMMYFUNCTION("""COMPUTED_VALUE"""),45694)</f>
        <v>45694</v>
      </c>
      <c r="F88" s="1" t="str">
        <f ca="1">IFERROR(__xludf.DUMMYFUNCTION("""COMPUTED_VALUE"""),"Tunisia")</f>
        <v>Tunisia</v>
      </c>
      <c r="G88" s="1" t="str">
        <f ca="1">IFERROR(__xludf.DUMMYFUNCTION("""COMPUTED_VALUE"""),"Second 76.24 Tunisia")</f>
        <v>Second 76.24 Tunisia</v>
      </c>
      <c r="H88" s="1" t="str">
        <f ca="1">IFERROR(__xludf.DUMMYFUNCTION("""COMPUTED_VALUE"""),"Freedom of Expression, Human Rights Defenders")</f>
        <v>Freedom of Expression, Human Rights Defenders</v>
      </c>
      <c r="I88" s="1" t="str">
        <f ca="1">IFERROR(__xludf.DUMMYFUNCTION("""COMPUTED_VALUE"""),"2025")</f>
        <v>2025</v>
      </c>
      <c r="J88" s="1" t="str">
        <f ca="1">IFERROR(__xludf.DUMMYFUNCTION("""COMPUTED_VALUE"""),"Email")</f>
        <v>Email</v>
      </c>
    </row>
    <row r="89" spans="1:10" ht="13" x14ac:dyDescent="0.15">
      <c r="A89" s="4">
        <f ca="1">IFERROR(__xludf.DUMMYFUNCTION("""COMPUTED_VALUE"""),30236381)</f>
        <v>30236381</v>
      </c>
      <c r="B89" s="1" t="str">
        <f ca="1">IFERROR(__xludf.DUMMYFUNCTION("""COMPUTED_VALUE"""),"cathy.nieman@gmail.com")</f>
        <v>cathy.nieman@gmail.com</v>
      </c>
      <c r="C89" s="4" t="str">
        <f ca="1">IFERROR(__xludf.DUMMYFUNCTION("""COMPUTED_VALUE"""),"EVERGREEN - UAN Gated Content - Embedded Petition")</f>
        <v>EVERGREEN - UAN Gated Content - Embedded Petition</v>
      </c>
      <c r="D89" s="5">
        <f ca="1">IFERROR(__xludf.DUMMYFUNCTION("""COMPUTED_VALUE"""),45694)</f>
        <v>45694</v>
      </c>
      <c r="F89" s="1" t="str">
        <f ca="1">IFERROR(__xludf.DUMMYFUNCTION("""COMPUTED_VALUE"""),"Azerbaijan")</f>
        <v>Azerbaijan</v>
      </c>
      <c r="G89" s="1" t="str">
        <f ca="1">IFERROR(__xludf.DUMMYFUNCTION("""COMPUTED_VALUE"""),"2.25 Azerbaijan")</f>
        <v>2.25 Azerbaijan</v>
      </c>
      <c r="H89" s="1" t="str">
        <f ca="1">IFERROR(__xludf.DUMMYFUNCTION("""COMPUTED_VALUE"""),"Freedom of Expression, Human Rights Defenders")</f>
        <v>Freedom of Expression, Human Rights Defenders</v>
      </c>
      <c r="I89" s="1" t="str">
        <f ca="1">IFERROR(__xludf.DUMMYFUNCTION("""COMPUTED_VALUE"""),"2025")</f>
        <v>2025</v>
      </c>
      <c r="J89" s="1" t="str">
        <f ca="1">IFERROR(__xludf.DUMMYFUNCTION("""COMPUTED_VALUE"""),"Email")</f>
        <v>Email</v>
      </c>
    </row>
    <row r="90" spans="1:10" ht="13" x14ac:dyDescent="0.15">
      <c r="A90" s="4">
        <f ca="1">IFERROR(__xludf.DUMMYFUNCTION("""COMPUTED_VALUE"""),30243874)</f>
        <v>30243874</v>
      </c>
      <c r="B90" s="1" t="str">
        <f ca="1">IFERROR(__xludf.DUMMYFUNCTION("""COMPUTED_VALUE"""),"tjfitzgibbons@gmail.com")</f>
        <v>tjfitzgibbons@gmail.com</v>
      </c>
      <c r="C90" s="4" t="str">
        <f ca="1">IFERROR(__xludf.DUMMYFUNCTION("""COMPUTED_VALUE"""),"EVERGREEN - UAN Gated Content - Embedded Petition")</f>
        <v>EVERGREEN - UAN Gated Content - Embedded Petition</v>
      </c>
      <c r="D90" s="5">
        <f ca="1">IFERROR(__xludf.DUMMYFUNCTION("""COMPUTED_VALUE"""),45696)</f>
        <v>45696</v>
      </c>
      <c r="F90" s="1" t="str">
        <f ca="1">IFERROR(__xludf.DUMMYFUNCTION("""COMPUTED_VALUE"""),"Iran")</f>
        <v>Iran</v>
      </c>
      <c r="G90" s="1" t="str">
        <f ca="1">IFERROR(__xludf.DUMMYFUNCTION("""COMPUTED_VALUE"""),"Seventh 103.22 Iran")</f>
        <v>Seventh 103.22 Iran</v>
      </c>
      <c r="H90" s="1" t="str">
        <f ca="1">IFERROR(__xludf.DUMMYFUNCTION("""COMPUTED_VALUE"""),"Death Penalty, Freedom of Expression, Individuals At Risk")</f>
        <v>Death Penalty, Freedom of Expression, Individuals At Risk</v>
      </c>
      <c r="I90" s="1" t="str">
        <f ca="1">IFERROR(__xludf.DUMMYFUNCTION("""COMPUTED_VALUE"""),"2024")</f>
        <v>2024</v>
      </c>
      <c r="J90" s="1" t="str">
        <f ca="1">IFERROR(__xludf.DUMMYFUNCTION("""COMPUTED_VALUE"""),"Email")</f>
        <v>Email</v>
      </c>
    </row>
    <row r="91" spans="1:10" ht="13" x14ac:dyDescent="0.15">
      <c r="A91" s="4">
        <f ca="1">IFERROR(__xludf.DUMMYFUNCTION("""COMPUTED_VALUE"""),30246297)</f>
        <v>30246297</v>
      </c>
      <c r="B91" s="1" t="str">
        <f ca="1">IFERROR(__xludf.DUMMYFUNCTION("""COMPUTED_VALUE"""),"rjbalzer.1@gmail.com")</f>
        <v>rjbalzer.1@gmail.com</v>
      </c>
      <c r="C91" s="4" t="str">
        <f ca="1">IFERROR(__xludf.DUMMYFUNCTION("""COMPUTED_VALUE"""),"EVERGREEN - UAN Gated Content - Embedded Petition")</f>
        <v>EVERGREEN - UAN Gated Content - Embedded Petition</v>
      </c>
      <c r="D91" s="5">
        <f ca="1">IFERROR(__xludf.DUMMYFUNCTION("""COMPUTED_VALUE"""),45685)</f>
        <v>45685</v>
      </c>
      <c r="F91" s="1" t="str">
        <f ca="1">IFERROR(__xludf.DUMMYFUNCTION("""COMPUTED_VALUE"""),"Tunisia")</f>
        <v>Tunisia</v>
      </c>
      <c r="G91" s="1" t="str">
        <f ca="1">IFERROR(__xludf.DUMMYFUNCTION("""COMPUTED_VALUE"""),"Second 76.24 Tunisia")</f>
        <v>Second 76.24 Tunisia</v>
      </c>
      <c r="H91" s="1" t="str">
        <f ca="1">IFERROR(__xludf.DUMMYFUNCTION("""COMPUTED_VALUE"""),"Freedom of Expression, Human Rights Defenders")</f>
        <v>Freedom of Expression, Human Rights Defenders</v>
      </c>
      <c r="I91" s="1" t="str">
        <f ca="1">IFERROR(__xludf.DUMMYFUNCTION("""COMPUTED_VALUE"""),"2025")</f>
        <v>2025</v>
      </c>
      <c r="J91" s="1" t="str">
        <f ca="1">IFERROR(__xludf.DUMMYFUNCTION("""COMPUTED_VALUE"""),"Email")</f>
        <v>Email</v>
      </c>
    </row>
    <row r="92" spans="1:10" ht="13" x14ac:dyDescent="0.15">
      <c r="A92" s="4">
        <f ca="1">IFERROR(__xludf.DUMMYFUNCTION("""COMPUTED_VALUE"""),30259226)</f>
        <v>30259226</v>
      </c>
      <c r="B92" s="1" t="str">
        <f ca="1">IFERROR(__xludf.DUMMYFUNCTION("""COMPUTED_VALUE"""),"sessions21@hotmail.com")</f>
        <v>sessions21@hotmail.com</v>
      </c>
      <c r="C92" s="4" t="str">
        <f ca="1">IFERROR(__xludf.DUMMYFUNCTION("""COMPUTED_VALUE"""),"EVERGREEN - UAN Gated Content - Embedded Petition")</f>
        <v>EVERGREEN - UAN Gated Content - Embedded Petition</v>
      </c>
      <c r="D92" s="5">
        <f ca="1">IFERROR(__xludf.DUMMYFUNCTION("""COMPUTED_VALUE"""),45685)</f>
        <v>45685</v>
      </c>
      <c r="F92" s="1" t="str">
        <f ca="1">IFERROR(__xludf.DUMMYFUNCTION("""COMPUTED_VALUE"""),"USA")</f>
        <v>USA</v>
      </c>
      <c r="G92" s="1" t="str">
        <f ca="1">IFERROR(__xludf.DUMMYFUNCTION("""COMPUTED_VALUE"""),"105.24 USA")</f>
        <v>105.24 USA</v>
      </c>
      <c r="H92" s="1" t="str">
        <f ca="1">IFERROR(__xludf.DUMMYFUNCTION("""COMPUTED_VALUE"""),"Death Penalty")</f>
        <v>Death Penalty</v>
      </c>
      <c r="I92" s="1" t="str">
        <f ca="1">IFERROR(__xludf.DUMMYFUNCTION("""COMPUTED_VALUE"""),"2024")</f>
        <v>2024</v>
      </c>
      <c r="J92" s="1" t="str">
        <f ca="1">IFERROR(__xludf.DUMMYFUNCTION("""COMPUTED_VALUE"""),"Email")</f>
        <v>Email</v>
      </c>
    </row>
    <row r="93" spans="1:10" ht="13" x14ac:dyDescent="0.15">
      <c r="A93" s="4">
        <f ca="1">IFERROR(__xludf.DUMMYFUNCTION("""COMPUTED_VALUE"""),30260574)</f>
        <v>30260574</v>
      </c>
      <c r="B93" s="1" t="str">
        <f ca="1">IFERROR(__xludf.DUMMYFUNCTION("""COMPUTED_VALUE"""),"susanforste@gmail.com")</f>
        <v>susanforste@gmail.com</v>
      </c>
      <c r="C93" s="4" t="str">
        <f ca="1">IFERROR(__xludf.DUMMYFUNCTION("""COMPUTED_VALUE"""),"EVERGREEN - UAN Gated Content - Embedded Petition")</f>
        <v>EVERGREEN - UAN Gated Content - Embedded Petition</v>
      </c>
      <c r="D93" s="5">
        <f ca="1">IFERROR(__xludf.DUMMYFUNCTION("""COMPUTED_VALUE"""),45694)</f>
        <v>45694</v>
      </c>
      <c r="F93" s="1" t="str">
        <f ca="1">IFERROR(__xludf.DUMMYFUNCTION("""COMPUTED_VALUE"""),"Venezuela")</f>
        <v>Venezuela</v>
      </c>
      <c r="G93" s="1" t="str">
        <f ca="1">IFERROR(__xludf.DUMMYFUNCTION("""COMPUTED_VALUE"""),"97.24 Venezuela")</f>
        <v>97.24 Venezuela</v>
      </c>
      <c r="H93" s="1" t="str">
        <f ca="1">IFERROR(__xludf.DUMMYFUNCTION("""COMPUTED_VALUE"""),"Freedom of Expression")</f>
        <v>Freedom of Expression</v>
      </c>
      <c r="I93" s="1" t="str">
        <f ca="1">IFERROR(__xludf.DUMMYFUNCTION("""COMPUTED_VALUE"""),"2024")</f>
        <v>2024</v>
      </c>
      <c r="J93" s="1" t="str">
        <f ca="1">IFERROR(__xludf.DUMMYFUNCTION("""COMPUTED_VALUE"""),"Letter")</f>
        <v>Letter</v>
      </c>
    </row>
    <row r="94" spans="1:10" ht="13" x14ac:dyDescent="0.15">
      <c r="A94" s="4">
        <f ca="1">IFERROR(__xludf.DUMMYFUNCTION("""COMPUTED_VALUE"""),30269691)</f>
        <v>30269691</v>
      </c>
      <c r="B94" s="1" t="str">
        <f ca="1">IFERROR(__xludf.DUMMYFUNCTION("""COMPUTED_VALUE"""),"rsaulnier@hotmail.com")</f>
        <v>rsaulnier@hotmail.com</v>
      </c>
      <c r="C94" s="4" t="str">
        <f ca="1">IFERROR(__xludf.DUMMYFUNCTION("""COMPUTED_VALUE"""),"EVERGREEN - UAN Gated Content - Embedded Petition")</f>
        <v>EVERGREEN - UAN Gated Content - Embedded Petition</v>
      </c>
      <c r="D94" s="5">
        <f ca="1">IFERROR(__xludf.DUMMYFUNCTION("""COMPUTED_VALUE"""),45639)</f>
        <v>45639</v>
      </c>
      <c r="F94" s="1" t="str">
        <f ca="1">IFERROR(__xludf.DUMMYFUNCTION("""COMPUTED_VALUE"""),"China")</f>
        <v>China</v>
      </c>
      <c r="G94" s="1" t="str">
        <f ca="1">IFERROR(__xludf.DUMMYFUNCTION("""COMPUTED_VALUE"""),"98.24 China")</f>
        <v>98.24 China</v>
      </c>
      <c r="H94" s="1" t="str">
        <f ca="1">IFERROR(__xludf.DUMMYFUNCTION("""COMPUTED_VALUE"""),"Freedom of Expression, Individuals At Risk")</f>
        <v>Freedom of Expression, Individuals At Risk</v>
      </c>
      <c r="I94" s="1" t="str">
        <f ca="1">IFERROR(__xludf.DUMMYFUNCTION("""COMPUTED_VALUE"""),"2024")</f>
        <v>2024</v>
      </c>
      <c r="J94" s="1" t="str">
        <f ca="1">IFERROR(__xludf.DUMMYFUNCTION("""COMPUTED_VALUE"""),"Letter")</f>
        <v>Letter</v>
      </c>
    </row>
    <row r="95" spans="1:10" ht="13" x14ac:dyDescent="0.15">
      <c r="A95" s="4">
        <f ca="1">IFERROR(__xludf.DUMMYFUNCTION("""COMPUTED_VALUE"""),30270634)</f>
        <v>30270634</v>
      </c>
      <c r="B95" s="1" t="str">
        <f ca="1">IFERROR(__xludf.DUMMYFUNCTION("""COMPUTED_VALUE"""),"isis1567@aol.com")</f>
        <v>isis1567@aol.com</v>
      </c>
      <c r="C95" s="4" t="str">
        <f ca="1">IFERROR(__xludf.DUMMYFUNCTION("""COMPUTED_VALUE"""),"EVERGREEN - UAN Gated Content - Embedded Petition")</f>
        <v>EVERGREEN - UAN Gated Content - Embedded Petition</v>
      </c>
      <c r="D95" s="5">
        <f ca="1">IFERROR(__xludf.DUMMYFUNCTION("""COMPUTED_VALUE"""),45616)</f>
        <v>45616</v>
      </c>
      <c r="F95" s="1" t="str">
        <f ca="1">IFERROR(__xludf.DUMMYFUNCTION("""COMPUTED_VALUE"""),"Egypt")</f>
        <v>Egypt</v>
      </c>
      <c r="G95" s="1" t="str">
        <f ca="1">IFERROR(__xludf.DUMMYFUNCTION("""COMPUTED_VALUE"""),"Ninth 190.18 Egypt")</f>
        <v>Ninth 190.18 Egypt</v>
      </c>
      <c r="H95" s="1" t="str">
        <f ca="1">IFERROR(__xludf.DUMMYFUNCTION("""COMPUTED_VALUE"""),"Freedom of Expression, Individuals At Risk")</f>
        <v>Freedom of Expression, Individuals At Risk</v>
      </c>
      <c r="I95" s="1" t="str">
        <f ca="1">IFERROR(__xludf.DUMMYFUNCTION("""COMPUTED_VALUE"""),"2024")</f>
        <v>2024</v>
      </c>
      <c r="J95" s="1" t="str">
        <f ca="1">IFERROR(__xludf.DUMMYFUNCTION("""COMPUTED_VALUE"""),"Letter")</f>
        <v>Letter</v>
      </c>
    </row>
    <row r="96" spans="1:10" ht="13" x14ac:dyDescent="0.15">
      <c r="A96" s="4">
        <f ca="1">IFERROR(__xludf.DUMMYFUNCTION("""COMPUTED_VALUE"""),30272782)</f>
        <v>30272782</v>
      </c>
      <c r="B96" s="1" t="str">
        <f ca="1">IFERROR(__xludf.DUMMYFUNCTION("""COMPUTED_VALUE"""),"lwestkeyes@gmail.com")</f>
        <v>lwestkeyes@gmail.com</v>
      </c>
      <c r="C96" s="4" t="str">
        <f ca="1">IFERROR(__xludf.DUMMYFUNCTION("""COMPUTED_VALUE"""),"EVERGREEN - UAN Gated Content - Embedded Petition")</f>
        <v>EVERGREEN - UAN Gated Content - Embedded Petition</v>
      </c>
      <c r="D96" s="5">
        <f ca="1">IFERROR(__xludf.DUMMYFUNCTION("""COMPUTED_VALUE"""),45694)</f>
        <v>45694</v>
      </c>
      <c r="F96" s="1" t="str">
        <f ca="1">IFERROR(__xludf.DUMMYFUNCTION("""COMPUTED_VALUE"""),"Tunisia")</f>
        <v>Tunisia</v>
      </c>
      <c r="G96" s="1" t="str">
        <f ca="1">IFERROR(__xludf.DUMMYFUNCTION("""COMPUTED_VALUE"""),"Second 76.24 Tunisia")</f>
        <v>Second 76.24 Tunisia</v>
      </c>
      <c r="H96" s="1" t="str">
        <f ca="1">IFERROR(__xludf.DUMMYFUNCTION("""COMPUTED_VALUE"""),"Freedom of Expression, Human Rights Defenders")</f>
        <v>Freedom of Expression, Human Rights Defenders</v>
      </c>
      <c r="I96" s="1" t="str">
        <f ca="1">IFERROR(__xludf.DUMMYFUNCTION("""COMPUTED_VALUE"""),"2025")</f>
        <v>2025</v>
      </c>
      <c r="J96" s="1" t="str">
        <f ca="1">IFERROR(__xludf.DUMMYFUNCTION("""COMPUTED_VALUE"""),"Email")</f>
        <v>Email</v>
      </c>
    </row>
    <row r="97" spans="1:10" ht="13" x14ac:dyDescent="0.15">
      <c r="A97" s="4">
        <f ca="1">IFERROR(__xludf.DUMMYFUNCTION("""COMPUTED_VALUE"""),30284991)</f>
        <v>30284991</v>
      </c>
      <c r="B97" s="1" t="str">
        <f ca="1">IFERROR(__xludf.DUMMYFUNCTION("""COMPUTED_VALUE"""),"joheb@aol.com")</f>
        <v>joheb@aol.com</v>
      </c>
      <c r="C97" s="4" t="str">
        <f ca="1">IFERROR(__xludf.DUMMYFUNCTION("""COMPUTED_VALUE"""),"EVERGREEN - UAN Gated Content - Embedded Petition")</f>
        <v>EVERGREEN - UAN Gated Content - Embedded Petition</v>
      </c>
      <c r="D97" s="5">
        <f ca="1">IFERROR(__xludf.DUMMYFUNCTION("""COMPUTED_VALUE"""),45673)</f>
        <v>45673</v>
      </c>
      <c r="F97" s="1" t="str">
        <f ca="1">IFERROR(__xludf.DUMMYFUNCTION("""COMPUTED_VALUE"""),"Iran")</f>
        <v>Iran</v>
      </c>
      <c r="G97" s="1" t="str">
        <f ca="1">IFERROR(__xludf.DUMMYFUNCTION("""COMPUTED_VALUE"""),"Seventh 103.22 Iran")</f>
        <v>Seventh 103.22 Iran</v>
      </c>
      <c r="H97" s="1" t="str">
        <f ca="1">IFERROR(__xludf.DUMMYFUNCTION("""COMPUTED_VALUE"""),"Death Penalty, Freedom of Expression, Individuals At Risk")</f>
        <v>Death Penalty, Freedom of Expression, Individuals At Risk</v>
      </c>
      <c r="I97" s="1" t="str">
        <f ca="1">IFERROR(__xludf.DUMMYFUNCTION("""COMPUTED_VALUE"""),"2024")</f>
        <v>2024</v>
      </c>
      <c r="J97" s="1" t="str">
        <f ca="1">IFERROR(__xludf.DUMMYFUNCTION("""COMPUTED_VALUE"""),"Email")</f>
        <v>Email</v>
      </c>
    </row>
    <row r="98" spans="1:10" ht="13" x14ac:dyDescent="0.15">
      <c r="A98" s="4">
        <f ca="1">IFERROR(__xludf.DUMMYFUNCTION("""COMPUTED_VALUE"""),30284991)</f>
        <v>30284991</v>
      </c>
      <c r="B98" s="1" t="str">
        <f ca="1">IFERROR(__xludf.DUMMYFUNCTION("""COMPUTED_VALUE"""),"joheb@aol.com")</f>
        <v>joheb@aol.com</v>
      </c>
      <c r="C98" s="4" t="str">
        <f ca="1">IFERROR(__xludf.DUMMYFUNCTION("""COMPUTED_VALUE"""),"EVERGREEN - UAN Gated Content - Embedded Petition")</f>
        <v>EVERGREEN - UAN Gated Content - Embedded Petition</v>
      </c>
      <c r="D98" s="5">
        <f ca="1">IFERROR(__xludf.DUMMYFUNCTION("""COMPUTED_VALUE"""),45694)</f>
        <v>45694</v>
      </c>
      <c r="F98" s="1" t="str">
        <f ca="1">IFERROR(__xludf.DUMMYFUNCTION("""COMPUTED_VALUE"""),"Iran")</f>
        <v>Iran</v>
      </c>
      <c r="G98" s="1" t="str">
        <f ca="1">IFERROR(__xludf.DUMMYFUNCTION("""COMPUTED_VALUE"""),"Seventh 103.22 Iran")</f>
        <v>Seventh 103.22 Iran</v>
      </c>
      <c r="H98" s="1" t="str">
        <f ca="1">IFERROR(__xludf.DUMMYFUNCTION("""COMPUTED_VALUE"""),"Death Penalty, Freedom of Expression, Individuals At Risk")</f>
        <v>Death Penalty, Freedom of Expression, Individuals At Risk</v>
      </c>
      <c r="I98" s="1" t="str">
        <f ca="1">IFERROR(__xludf.DUMMYFUNCTION("""COMPUTED_VALUE"""),"2024")</f>
        <v>2024</v>
      </c>
      <c r="J98" s="1" t="str">
        <f ca="1">IFERROR(__xludf.DUMMYFUNCTION("""COMPUTED_VALUE"""),"Email")</f>
        <v>Email</v>
      </c>
    </row>
    <row r="99" spans="1:10" ht="13" x14ac:dyDescent="0.15">
      <c r="A99" s="4">
        <f ca="1">IFERROR(__xludf.DUMMYFUNCTION("""COMPUTED_VALUE"""),30284991)</f>
        <v>30284991</v>
      </c>
      <c r="B99" s="1" t="str">
        <f ca="1">IFERROR(__xludf.DUMMYFUNCTION("""COMPUTED_VALUE"""),"joheb@aol.com")</f>
        <v>joheb@aol.com</v>
      </c>
      <c r="C99" s="4" t="str">
        <f ca="1">IFERROR(__xludf.DUMMYFUNCTION("""COMPUTED_VALUE"""),"EVERGREEN - UAN Gated Content - Embedded Petition")</f>
        <v>EVERGREEN - UAN Gated Content - Embedded Petition</v>
      </c>
      <c r="D99" s="5">
        <f ca="1">IFERROR(__xludf.DUMMYFUNCTION("""COMPUTED_VALUE"""),45677)</f>
        <v>45677</v>
      </c>
      <c r="F99" s="1" t="str">
        <f ca="1">IFERROR(__xludf.DUMMYFUNCTION("""COMPUTED_VALUE"""),"Niger")</f>
        <v>Niger</v>
      </c>
      <c r="G99" s="1" t="str">
        <f ca="1">IFERROR(__xludf.DUMMYFUNCTION("""COMPUTED_VALUE"""),"103.24 Niger")</f>
        <v>103.24 Niger</v>
      </c>
      <c r="H99" s="1" t="str">
        <f ca="1">IFERROR(__xludf.DUMMYFUNCTION("""COMPUTED_VALUE"""),"Freedom of Expression, Human Rights Defenders")</f>
        <v>Freedom of Expression, Human Rights Defenders</v>
      </c>
      <c r="I99" s="1" t="str">
        <f ca="1">IFERROR(__xludf.DUMMYFUNCTION("""COMPUTED_VALUE"""),"2024")</f>
        <v>2024</v>
      </c>
      <c r="J99" s="1" t="str">
        <f ca="1">IFERROR(__xludf.DUMMYFUNCTION("""COMPUTED_VALUE"""),"Email")</f>
        <v>Email</v>
      </c>
    </row>
    <row r="100" spans="1:10" ht="13" x14ac:dyDescent="0.15">
      <c r="A100" s="4">
        <f ca="1">IFERROR(__xludf.DUMMYFUNCTION("""COMPUTED_VALUE"""),30288116)</f>
        <v>30288116</v>
      </c>
      <c r="B100" s="1" t="str">
        <f ca="1">IFERROR(__xludf.DUMMYFUNCTION("""COMPUTED_VALUE"""),"marsha.brofkaberends@gmail.com")</f>
        <v>marsha.brofkaberends@gmail.com</v>
      </c>
      <c r="C100" s="4" t="str">
        <f ca="1">IFERROR(__xludf.DUMMYFUNCTION("""COMPUTED_VALUE"""),"UAN mid-page Lightbox - Step 1 of 4 - Landing Page")</f>
        <v>UAN mid-page Lightbox - Step 1 of 4 - Landing Page</v>
      </c>
      <c r="D100" s="5">
        <f ca="1">IFERROR(__xludf.DUMMYFUNCTION("""COMPUTED_VALUE"""),45674)</f>
        <v>45674</v>
      </c>
      <c r="F100" s="1" t="str">
        <f ca="1">IFERROR(__xludf.DUMMYFUNCTION("""COMPUTED_VALUE"""),"USA")</f>
        <v>USA</v>
      </c>
      <c r="G100" s="1" t="str">
        <f ca="1">IFERROR(__xludf.DUMMYFUNCTION("""COMPUTED_VALUE"""),"4.25 USA")</f>
        <v>4.25 USA</v>
      </c>
      <c r="H100" s="1" t="str">
        <f ca="1">IFERROR(__xludf.DUMMYFUNCTION("""COMPUTED_VALUE"""),"Individuals At Risk, Refugee and Migrant Rights")</f>
        <v>Individuals At Risk, Refugee and Migrant Rights</v>
      </c>
      <c r="I100" s="1" t="str">
        <f ca="1">IFERROR(__xludf.DUMMYFUNCTION("""COMPUTED_VALUE"""),"2025")</f>
        <v>2025</v>
      </c>
      <c r="J100" s="1" t="str">
        <f ca="1">IFERROR(__xludf.DUMMYFUNCTION("""COMPUTED_VALUE"""),"Letter")</f>
        <v>Letter</v>
      </c>
    </row>
    <row r="101" spans="1:10" ht="13" x14ac:dyDescent="0.15">
      <c r="A101" s="4">
        <f ca="1">IFERROR(__xludf.DUMMYFUNCTION("""COMPUTED_VALUE"""),30294983)</f>
        <v>30294983</v>
      </c>
      <c r="B101" s="1" t="str">
        <f ca="1">IFERROR(__xludf.DUMMYFUNCTION("""COMPUTED_VALUE"""),"karencoulterperkins@gmail.com")</f>
        <v>karencoulterperkins@gmail.com</v>
      </c>
      <c r="C101" s="4" t="str">
        <f ca="1">IFERROR(__xludf.DUMMYFUNCTION("""COMPUTED_VALUE"""),"EVERGREEN - UAN Gated Content - Embedded Petition")</f>
        <v>EVERGREEN - UAN Gated Content - Embedded Petition</v>
      </c>
      <c r="D101" s="5">
        <f ca="1">IFERROR(__xludf.DUMMYFUNCTION("""COMPUTED_VALUE"""),45616)</f>
        <v>45616</v>
      </c>
      <c r="F101" s="1" t="str">
        <f ca="1">IFERROR(__xludf.DUMMYFUNCTION("""COMPUTED_VALUE"""),"Iran")</f>
        <v>Iran</v>
      </c>
      <c r="G101" s="1" t="str">
        <f ca="1">IFERROR(__xludf.DUMMYFUNCTION("""COMPUTED_VALUE"""),"101.24 Iran")</f>
        <v>101.24 Iran</v>
      </c>
      <c r="H101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101" s="1" t="str">
        <f ca="1">IFERROR(__xludf.DUMMYFUNCTION("""COMPUTED_VALUE"""),"2024")</f>
        <v>2024</v>
      </c>
      <c r="J101" s="1" t="str">
        <f ca="1">IFERROR(__xludf.DUMMYFUNCTION("""COMPUTED_VALUE"""),"Email")</f>
        <v>Email</v>
      </c>
    </row>
    <row r="102" spans="1:10" ht="13" x14ac:dyDescent="0.15">
      <c r="A102" s="4">
        <f ca="1">IFERROR(__xludf.DUMMYFUNCTION("""COMPUTED_VALUE"""),30297913)</f>
        <v>30297913</v>
      </c>
      <c r="B102" s="1" t="str">
        <f ca="1">IFERROR(__xludf.DUMMYFUNCTION("""COMPUTED_VALUE"""),"stoneguard@sprynet.com")</f>
        <v>stoneguard@sprynet.com</v>
      </c>
      <c r="C102" s="4" t="str">
        <f ca="1">IFERROR(__xludf.DUMMYFUNCTION("""COMPUTED_VALUE"""),"EVERGREEN - UAN Gated Content - Embedded Petition")</f>
        <v>EVERGREEN - UAN Gated Content - Embedded Petition</v>
      </c>
      <c r="D102" s="5">
        <f ca="1">IFERROR(__xludf.DUMMYFUNCTION("""COMPUTED_VALUE"""),45694)</f>
        <v>45694</v>
      </c>
      <c r="F102" s="1" t="str">
        <f ca="1">IFERROR(__xludf.DUMMYFUNCTION("""COMPUTED_VALUE"""),"Israel and Occupied Palestinian Territories")</f>
        <v>Israel and Occupied Palestinian Territories</v>
      </c>
      <c r="G102" s="1" t="str">
        <f ca="1">IFERROR(__xludf.DUMMYFUNCTION("""COMPUTED_VALUE"""),"3.25 IOPT")</f>
        <v>3.25 IOPT</v>
      </c>
      <c r="H102" s="1" t="str">
        <f ca="1">IFERROR(__xludf.DUMMYFUNCTION("""COMPUTED_VALUE"""),"Freedom of Expression, Individuals At Risk")</f>
        <v>Freedom of Expression, Individuals At Risk</v>
      </c>
      <c r="I102" s="1" t="str">
        <f ca="1">IFERROR(__xludf.DUMMYFUNCTION("""COMPUTED_VALUE"""),"2025")</f>
        <v>2025</v>
      </c>
      <c r="J102" s="1" t="str">
        <f ca="1">IFERROR(__xludf.DUMMYFUNCTION("""COMPUTED_VALUE"""),"Email")</f>
        <v>Email</v>
      </c>
    </row>
    <row r="103" spans="1:10" ht="13" x14ac:dyDescent="0.15">
      <c r="A103" s="4">
        <f ca="1">IFERROR(__xludf.DUMMYFUNCTION("""COMPUTED_VALUE"""),30297913)</f>
        <v>30297913</v>
      </c>
      <c r="B103" s="1" t="str">
        <f ca="1">IFERROR(__xludf.DUMMYFUNCTION("""COMPUTED_VALUE"""),"stoneguard@sprynet.com")</f>
        <v>stoneguard@sprynet.com</v>
      </c>
      <c r="C103" s="4" t="str">
        <f ca="1">IFERROR(__xludf.DUMMYFUNCTION("""COMPUTED_VALUE"""),"EVERGREEN - UAN Gated Content - Embedded Petition")</f>
        <v>EVERGREEN - UAN Gated Content - Embedded Petition</v>
      </c>
      <c r="D103" s="5">
        <f ca="1">IFERROR(__xludf.DUMMYFUNCTION("""COMPUTED_VALUE"""),45675)</f>
        <v>45675</v>
      </c>
      <c r="F103" s="1" t="str">
        <f ca="1">IFERROR(__xludf.DUMMYFUNCTION("""COMPUTED_VALUE"""),"Tunisia")</f>
        <v>Tunisia</v>
      </c>
      <c r="G103" s="1" t="str">
        <f ca="1">IFERROR(__xludf.DUMMYFUNCTION("""COMPUTED_VALUE"""),"Second 76.24 Tunisia")</f>
        <v>Second 76.24 Tunisia</v>
      </c>
      <c r="H103" s="1" t="str">
        <f ca="1">IFERROR(__xludf.DUMMYFUNCTION("""COMPUTED_VALUE"""),"Freedom of Expression, Human Rights Defenders")</f>
        <v>Freedom of Expression, Human Rights Defenders</v>
      </c>
      <c r="I103" s="1" t="str">
        <f ca="1">IFERROR(__xludf.DUMMYFUNCTION("""COMPUTED_VALUE"""),"2025")</f>
        <v>2025</v>
      </c>
      <c r="J103" s="1" t="str">
        <f ca="1">IFERROR(__xludf.DUMMYFUNCTION("""COMPUTED_VALUE"""),"Email")</f>
        <v>Email</v>
      </c>
    </row>
    <row r="104" spans="1:10" ht="13" x14ac:dyDescent="0.15">
      <c r="A104" s="4">
        <f ca="1">IFERROR(__xludf.DUMMYFUNCTION("""COMPUTED_VALUE"""),30299373)</f>
        <v>30299373</v>
      </c>
      <c r="B104" s="1" t="str">
        <f ca="1">IFERROR(__xludf.DUMMYFUNCTION("""COMPUTED_VALUE"""),"magic@ecentral.com")</f>
        <v>magic@ecentral.com</v>
      </c>
      <c r="C104" s="4" t="str">
        <f ca="1">IFERROR(__xludf.DUMMYFUNCTION("""COMPUTED_VALUE"""),"EVERGREEN - UAN Gated Content - Embedded Petition")</f>
        <v>EVERGREEN - UAN Gated Content - Embedded Petition</v>
      </c>
      <c r="D104" s="5">
        <f ca="1">IFERROR(__xludf.DUMMYFUNCTION("""COMPUTED_VALUE"""),45674)</f>
        <v>45674</v>
      </c>
      <c r="F104" s="1" t="str">
        <f ca="1">IFERROR(__xludf.DUMMYFUNCTION("""COMPUTED_VALUE"""),"USA")</f>
        <v>USA</v>
      </c>
      <c r="G104" s="1" t="str">
        <f ca="1">IFERROR(__xludf.DUMMYFUNCTION("""COMPUTED_VALUE"""),"4.25 USA")</f>
        <v>4.25 USA</v>
      </c>
      <c r="H104" s="1" t="str">
        <f ca="1">IFERROR(__xludf.DUMMYFUNCTION("""COMPUTED_VALUE"""),"Individuals At Risk, Refugee and Migrant Rights")</f>
        <v>Individuals At Risk, Refugee and Migrant Rights</v>
      </c>
      <c r="I104" s="1" t="str">
        <f ca="1">IFERROR(__xludf.DUMMYFUNCTION("""COMPUTED_VALUE"""),"2025")</f>
        <v>2025</v>
      </c>
      <c r="J104" s="1" t="str">
        <f ca="1">IFERROR(__xludf.DUMMYFUNCTION("""COMPUTED_VALUE"""),"Letter")</f>
        <v>Letter</v>
      </c>
    </row>
    <row r="105" spans="1:10" ht="13" x14ac:dyDescent="0.15">
      <c r="A105" s="4">
        <f ca="1">IFERROR(__xludf.DUMMYFUNCTION("""COMPUTED_VALUE"""),30303449)</f>
        <v>30303449</v>
      </c>
      <c r="B105" s="1" t="str">
        <f ca="1">IFERROR(__xludf.DUMMYFUNCTION("""COMPUTED_VALUE"""),"azadta@gmail.com")</f>
        <v>azadta@gmail.com</v>
      </c>
      <c r="C105" s="4" t="str">
        <f ca="1">IFERROR(__xludf.DUMMYFUNCTION("""COMPUTED_VALUE"""),"EVERGREEN - UAN Gated Content - Embedded Petition")</f>
        <v>EVERGREEN - UAN Gated Content - Embedded Petition</v>
      </c>
      <c r="D105" s="5">
        <f ca="1">IFERROR(__xludf.DUMMYFUNCTION("""COMPUTED_VALUE"""),45694)</f>
        <v>45694</v>
      </c>
      <c r="F105" s="1" t="str">
        <f ca="1">IFERROR(__xludf.DUMMYFUNCTION("""COMPUTED_VALUE"""),"USA")</f>
        <v>USA</v>
      </c>
      <c r="G105" s="1" t="str">
        <f ca="1">IFERROR(__xludf.DUMMYFUNCTION("""COMPUTED_VALUE"""),"96.24 USA")</f>
        <v>96.24 USA</v>
      </c>
      <c r="H105" s="1" t="str">
        <f ca="1">IFERROR(__xludf.DUMMYFUNCTION("""COMPUTED_VALUE"""),"Death Penalty")</f>
        <v>Death Penalty</v>
      </c>
      <c r="I105" s="1" t="str">
        <f ca="1">IFERROR(__xludf.DUMMYFUNCTION("""COMPUTED_VALUE"""),"2024")</f>
        <v>2024</v>
      </c>
      <c r="J105" s="1" t="str">
        <f ca="1">IFERROR(__xludf.DUMMYFUNCTION("""COMPUTED_VALUE"""),"Email")</f>
        <v>Email</v>
      </c>
    </row>
    <row r="106" spans="1:10" ht="13" x14ac:dyDescent="0.15">
      <c r="A106" s="4">
        <f ca="1">IFERROR(__xludf.DUMMYFUNCTION("""COMPUTED_VALUE"""),30304792)</f>
        <v>30304792</v>
      </c>
      <c r="B106" s="1" t="str">
        <f ca="1">IFERROR(__xludf.DUMMYFUNCTION("""COMPUTED_VALUE"""),"brummie2004@yahoo.com")</f>
        <v>brummie2004@yahoo.com</v>
      </c>
      <c r="C106" s="4" t="str">
        <f ca="1">IFERROR(__xludf.DUMMYFUNCTION("""COMPUTED_VALUE"""),"EVERGREEN - UAN Gated Content - Embedded Petition")</f>
        <v>EVERGREEN - UAN Gated Content - Embedded Petition</v>
      </c>
      <c r="D106" s="5">
        <f ca="1">IFERROR(__xludf.DUMMYFUNCTION("""COMPUTED_VALUE"""),45637)</f>
        <v>45637</v>
      </c>
      <c r="F106" s="1" t="str">
        <f ca="1">IFERROR(__xludf.DUMMYFUNCTION("""COMPUTED_VALUE"""),"Tunisia")</f>
        <v>Tunisia</v>
      </c>
      <c r="G106" s="1" t="str">
        <f ca="1">IFERROR(__xludf.DUMMYFUNCTION("""COMPUTED_VALUE"""),"8.25 Tunisia")</f>
        <v>8.25 Tunisia</v>
      </c>
      <c r="H106" s="1" t="str">
        <f ca="1">IFERROR(__xludf.DUMMYFUNCTION("""COMPUTED_VALUE"""),"Freedom of Expression")</f>
        <v>Freedom of Expression</v>
      </c>
      <c r="I106" s="1" t="str">
        <f ca="1">IFERROR(__xludf.DUMMYFUNCTION("""COMPUTED_VALUE"""),"2025")</f>
        <v>2025</v>
      </c>
      <c r="J106" s="1" t="str">
        <f ca="1">IFERROR(__xludf.DUMMYFUNCTION("""COMPUTED_VALUE"""),"Email")</f>
        <v>Email</v>
      </c>
    </row>
    <row r="107" spans="1:10" ht="13" x14ac:dyDescent="0.15">
      <c r="A107" s="4">
        <f ca="1">IFERROR(__xludf.DUMMYFUNCTION("""COMPUTED_VALUE"""),30318278)</f>
        <v>30318278</v>
      </c>
      <c r="B107" s="1" t="str">
        <f ca="1">IFERROR(__xludf.DUMMYFUNCTION("""COMPUTED_VALUE"""),"csicher@msn.com")</f>
        <v>csicher@msn.com</v>
      </c>
      <c r="C107" s="4" t="str">
        <f ca="1">IFERROR(__xludf.DUMMYFUNCTION("""COMPUTED_VALUE"""),"EVERGREEN - UAN Gated Content - Embedded Petition")</f>
        <v>EVERGREEN - UAN Gated Content - Embedded Petition</v>
      </c>
      <c r="D107" s="5">
        <f ca="1">IFERROR(__xludf.DUMMYFUNCTION("""COMPUTED_VALUE"""),45638)</f>
        <v>45638</v>
      </c>
      <c r="F107" s="1" t="str">
        <f ca="1">IFERROR(__xludf.DUMMYFUNCTION("""COMPUTED_VALUE"""),"USA")</f>
        <v>USA</v>
      </c>
      <c r="G107" s="1" t="str">
        <f ca="1">IFERROR(__xludf.DUMMYFUNCTION("""COMPUTED_VALUE"""),"105.24 USA")</f>
        <v>105.24 USA</v>
      </c>
      <c r="H107" s="1" t="str">
        <f ca="1">IFERROR(__xludf.DUMMYFUNCTION("""COMPUTED_VALUE"""),"Death Penalty")</f>
        <v>Death Penalty</v>
      </c>
      <c r="I107" s="1" t="str">
        <f ca="1">IFERROR(__xludf.DUMMYFUNCTION("""COMPUTED_VALUE"""),"2024")</f>
        <v>2024</v>
      </c>
      <c r="J107" s="1" t="str">
        <f ca="1">IFERROR(__xludf.DUMMYFUNCTION("""COMPUTED_VALUE"""),"Email")</f>
        <v>Email</v>
      </c>
    </row>
    <row r="108" spans="1:10" ht="13" x14ac:dyDescent="0.15">
      <c r="A108" s="4">
        <f ca="1">IFERROR(__xludf.DUMMYFUNCTION("""COMPUTED_VALUE"""),30318278)</f>
        <v>30318278</v>
      </c>
      <c r="B108" s="1" t="str">
        <f ca="1">IFERROR(__xludf.DUMMYFUNCTION("""COMPUTED_VALUE"""),"csicher@msn.com")</f>
        <v>csicher@msn.com</v>
      </c>
      <c r="C108" s="4" t="str">
        <f ca="1">IFERROR(__xludf.DUMMYFUNCTION("""COMPUTED_VALUE"""),"EVERGREEN - UAN Gated Content - Embedded Petition")</f>
        <v>EVERGREEN - UAN Gated Content - Embedded Petition</v>
      </c>
      <c r="D108" s="5">
        <f ca="1">IFERROR(__xludf.DUMMYFUNCTION("""COMPUTED_VALUE"""),45638)</f>
        <v>45638</v>
      </c>
      <c r="F108" s="1" t="str">
        <f ca="1">IFERROR(__xludf.DUMMYFUNCTION("""COMPUTED_VALUE"""),"Iran")</f>
        <v>Iran</v>
      </c>
      <c r="G108" s="1" t="str">
        <f ca="1">IFERROR(__xludf.DUMMYFUNCTION("""COMPUTED_VALUE"""),"101.24 Iran")</f>
        <v>101.24 Iran</v>
      </c>
      <c r="H108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108" s="1" t="str">
        <f ca="1">IFERROR(__xludf.DUMMYFUNCTION("""COMPUTED_VALUE"""),"2024")</f>
        <v>2024</v>
      </c>
      <c r="J108" s="1" t="str">
        <f ca="1">IFERROR(__xludf.DUMMYFUNCTION("""COMPUTED_VALUE"""),"Email")</f>
        <v>Email</v>
      </c>
    </row>
    <row r="109" spans="1:10" ht="13" x14ac:dyDescent="0.15">
      <c r="A109" s="4">
        <f ca="1">IFERROR(__xludf.DUMMYFUNCTION("""COMPUTED_VALUE"""),30318278)</f>
        <v>30318278</v>
      </c>
      <c r="B109" s="1" t="str">
        <f ca="1">IFERROR(__xludf.DUMMYFUNCTION("""COMPUTED_VALUE"""),"csicher@msn.com")</f>
        <v>csicher@msn.com</v>
      </c>
      <c r="C109" s="4" t="str">
        <f ca="1">IFERROR(__xludf.DUMMYFUNCTION("""COMPUTED_VALUE"""),"EVERGREEN - UAN Gated Content - Embedded Petition")</f>
        <v>EVERGREEN - UAN Gated Content - Embedded Petition</v>
      </c>
      <c r="D109" s="5">
        <f ca="1">IFERROR(__xludf.DUMMYFUNCTION("""COMPUTED_VALUE"""),45636)</f>
        <v>45636</v>
      </c>
      <c r="F109" s="1" t="str">
        <f ca="1">IFERROR(__xludf.DUMMYFUNCTION("""COMPUTED_VALUE"""),"Dominican Republic")</f>
        <v>Dominican Republic</v>
      </c>
      <c r="G109" s="1" t="str">
        <f ca="1">IFERROR(__xludf.DUMMYFUNCTION("""COMPUTED_VALUE"""),"88.24 Dominican Republic")</f>
        <v>88.24 Dominican Republic</v>
      </c>
      <c r="H109" s="1" t="str">
        <f ca="1">IFERROR(__xludf.DUMMYFUNCTION("""COMPUTED_VALUE"""),"Individuals At Risk, Refugee and Migrant Rights")</f>
        <v>Individuals At Risk, Refugee and Migrant Rights</v>
      </c>
      <c r="I109" s="1" t="str">
        <f ca="1">IFERROR(__xludf.DUMMYFUNCTION("""COMPUTED_VALUE"""),"2024")</f>
        <v>2024</v>
      </c>
      <c r="J109" s="1" t="str">
        <f ca="1">IFERROR(__xludf.DUMMYFUNCTION("""COMPUTED_VALUE"""),"Letter")</f>
        <v>Letter</v>
      </c>
    </row>
    <row r="110" spans="1:10" ht="13" x14ac:dyDescent="0.15">
      <c r="A110" s="4">
        <f ca="1">IFERROR(__xludf.DUMMYFUNCTION("""COMPUTED_VALUE"""),30318278)</f>
        <v>30318278</v>
      </c>
      <c r="B110" s="1" t="str">
        <f ca="1">IFERROR(__xludf.DUMMYFUNCTION("""COMPUTED_VALUE"""),"csicher@msn.com")</f>
        <v>csicher@msn.com</v>
      </c>
      <c r="C110" s="4" t="str">
        <f ca="1">IFERROR(__xludf.DUMMYFUNCTION("""COMPUTED_VALUE"""),"EVERGREEN - UAN Gated Content - Embedded Petition")</f>
        <v>EVERGREEN - UAN Gated Content - Embedded Petition</v>
      </c>
      <c r="D110" s="5">
        <f ca="1">IFERROR(__xludf.DUMMYFUNCTION("""COMPUTED_VALUE"""),45694)</f>
        <v>45694</v>
      </c>
      <c r="F110" s="1" t="str">
        <f ca="1">IFERROR(__xludf.DUMMYFUNCTION("""COMPUTED_VALUE"""),"Azerbaijan")</f>
        <v>Azerbaijan</v>
      </c>
      <c r="G110" s="1" t="str">
        <f ca="1">IFERROR(__xludf.DUMMYFUNCTION("""COMPUTED_VALUE"""),"2.25 Azerbaijan")</f>
        <v>2.25 Azerbaijan</v>
      </c>
      <c r="H110" s="1" t="str">
        <f ca="1">IFERROR(__xludf.DUMMYFUNCTION("""COMPUTED_VALUE"""),"Freedom of Expression, Human Rights Defenders")</f>
        <v>Freedom of Expression, Human Rights Defenders</v>
      </c>
      <c r="I110" s="1" t="str">
        <f ca="1">IFERROR(__xludf.DUMMYFUNCTION("""COMPUTED_VALUE"""),"2025")</f>
        <v>2025</v>
      </c>
      <c r="J110" s="1" t="str">
        <f ca="1">IFERROR(__xludf.DUMMYFUNCTION("""COMPUTED_VALUE"""),"Email")</f>
        <v>Email</v>
      </c>
    </row>
    <row r="111" spans="1:10" ht="13" x14ac:dyDescent="0.15">
      <c r="A111" s="4">
        <f ca="1">IFERROR(__xludf.DUMMYFUNCTION("""COMPUTED_VALUE"""),30318278)</f>
        <v>30318278</v>
      </c>
      <c r="B111" s="1" t="str">
        <f ca="1">IFERROR(__xludf.DUMMYFUNCTION("""COMPUTED_VALUE"""),"csicher@msn.com")</f>
        <v>csicher@msn.com</v>
      </c>
      <c r="C111" s="4" t="str">
        <f ca="1">IFERROR(__xludf.DUMMYFUNCTION("""COMPUTED_VALUE"""),"EVERGREEN - UAN Gated Content - Embedded Petition")</f>
        <v>EVERGREEN - UAN Gated Content - Embedded Petition</v>
      </c>
      <c r="D111" s="5">
        <f ca="1">IFERROR(__xludf.DUMMYFUNCTION("""COMPUTED_VALUE"""),45674)</f>
        <v>45674</v>
      </c>
      <c r="F111" s="1" t="str">
        <f ca="1">IFERROR(__xludf.DUMMYFUNCTION("""COMPUTED_VALUE"""),"Iran")</f>
        <v>Iran</v>
      </c>
      <c r="G111" s="1" t="str">
        <f ca="1">IFERROR(__xludf.DUMMYFUNCTION("""COMPUTED_VALUE"""),"101.24 Iran")</f>
        <v>101.24 Iran</v>
      </c>
      <c r="H111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111" s="1" t="str">
        <f ca="1">IFERROR(__xludf.DUMMYFUNCTION("""COMPUTED_VALUE"""),"2024")</f>
        <v>2024</v>
      </c>
      <c r="J111" s="1" t="str">
        <f ca="1">IFERROR(__xludf.DUMMYFUNCTION("""COMPUTED_VALUE"""),"Email")</f>
        <v>Email</v>
      </c>
    </row>
    <row r="112" spans="1:10" ht="13" x14ac:dyDescent="0.15">
      <c r="A112" s="4">
        <f ca="1">IFERROR(__xludf.DUMMYFUNCTION("""COMPUTED_VALUE"""),30318278)</f>
        <v>30318278</v>
      </c>
      <c r="B112" s="1" t="str">
        <f ca="1">IFERROR(__xludf.DUMMYFUNCTION("""COMPUTED_VALUE"""),"csicher@msn.com")</f>
        <v>csicher@msn.com</v>
      </c>
      <c r="C112" s="4" t="str">
        <f ca="1">IFERROR(__xludf.DUMMYFUNCTION("""COMPUTED_VALUE"""),"EVERGREEN - UAN Gated Content - Embedded Petition")</f>
        <v>EVERGREEN - UAN Gated Content - Embedded Petition</v>
      </c>
      <c r="D112" s="5">
        <f ca="1">IFERROR(__xludf.DUMMYFUNCTION("""COMPUTED_VALUE"""),45674)</f>
        <v>45674</v>
      </c>
      <c r="F112" s="1" t="str">
        <f ca="1">IFERROR(__xludf.DUMMYFUNCTION("""COMPUTED_VALUE"""),"Singapore")</f>
        <v>Singapore</v>
      </c>
      <c r="G112" s="1" t="str">
        <f ca="1">IFERROR(__xludf.DUMMYFUNCTION("""COMPUTED_VALUE"""),"107.24 Singapore")</f>
        <v>107.24 Singapore</v>
      </c>
      <c r="H112" s="1" t="str">
        <f ca="1">IFERROR(__xludf.DUMMYFUNCTION("""COMPUTED_VALUE"""),"Death Penalty")</f>
        <v>Death Penalty</v>
      </c>
      <c r="I112" s="1" t="str">
        <f ca="1">IFERROR(__xludf.DUMMYFUNCTION("""COMPUTED_VALUE"""),"2024")</f>
        <v>2024</v>
      </c>
      <c r="J112" s="1" t="str">
        <f ca="1">IFERROR(__xludf.DUMMYFUNCTION("""COMPUTED_VALUE"""),"Email")</f>
        <v>Email</v>
      </c>
    </row>
    <row r="113" spans="1:10" ht="13" x14ac:dyDescent="0.15">
      <c r="A113" s="4">
        <f ca="1">IFERROR(__xludf.DUMMYFUNCTION("""COMPUTED_VALUE"""),30318278)</f>
        <v>30318278</v>
      </c>
      <c r="B113" s="1" t="str">
        <f ca="1">IFERROR(__xludf.DUMMYFUNCTION("""COMPUTED_VALUE"""),"csicher@msn.com")</f>
        <v>csicher@msn.com</v>
      </c>
      <c r="C113" s="4" t="str">
        <f ca="1">IFERROR(__xludf.DUMMYFUNCTION("""COMPUTED_VALUE"""),"EVERGREEN - UAN Gated Content - Embedded Petition")</f>
        <v>EVERGREEN - UAN Gated Content - Embedded Petition</v>
      </c>
      <c r="D113" s="5">
        <f ca="1">IFERROR(__xludf.DUMMYFUNCTION("""COMPUTED_VALUE"""),45674)</f>
        <v>45674</v>
      </c>
      <c r="F113" s="1" t="str">
        <f ca="1">IFERROR(__xludf.DUMMYFUNCTION("""COMPUTED_VALUE"""),"Iran")</f>
        <v>Iran</v>
      </c>
      <c r="G113" s="1" t="str">
        <f ca="1">IFERROR(__xludf.DUMMYFUNCTION("""COMPUTED_VALUE"""),"101.24 Iran")</f>
        <v>101.24 Iran</v>
      </c>
      <c r="H113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113" s="1" t="str">
        <f ca="1">IFERROR(__xludf.DUMMYFUNCTION("""COMPUTED_VALUE"""),"2024")</f>
        <v>2024</v>
      </c>
      <c r="J113" s="1" t="str">
        <f ca="1">IFERROR(__xludf.DUMMYFUNCTION("""COMPUTED_VALUE"""),"Email")</f>
        <v>Email</v>
      </c>
    </row>
    <row r="114" spans="1:10" ht="13" x14ac:dyDescent="0.15">
      <c r="A114" s="4">
        <f ca="1">IFERROR(__xludf.DUMMYFUNCTION("""COMPUTED_VALUE"""),30318278)</f>
        <v>30318278</v>
      </c>
      <c r="B114" s="1" t="str">
        <f ca="1">IFERROR(__xludf.DUMMYFUNCTION("""COMPUTED_VALUE"""),"csicher@msn.com")</f>
        <v>csicher@msn.com</v>
      </c>
      <c r="C114" s="4" t="str">
        <f ca="1">IFERROR(__xludf.DUMMYFUNCTION("""COMPUTED_VALUE"""),"EVERGREEN - UAN Gated Content - Embedded Petition")</f>
        <v>EVERGREEN - UAN Gated Content - Embedded Petition</v>
      </c>
      <c r="D114" s="5">
        <f ca="1">IFERROR(__xludf.DUMMYFUNCTION("""COMPUTED_VALUE"""),45677)</f>
        <v>45677</v>
      </c>
      <c r="F114" s="1" t="str">
        <f ca="1">IFERROR(__xludf.DUMMYFUNCTION("""COMPUTED_VALUE"""),"Colombia")</f>
        <v>Colombia</v>
      </c>
      <c r="G114" s="1" t="str">
        <f ca="1">IFERROR(__xludf.DUMMYFUNCTION("""COMPUTED_VALUE"""),"Third 12.24 Colombia")</f>
        <v>Third 12.24 Colombia</v>
      </c>
      <c r="H114" s="1" t="str">
        <f ca="1">IFERROR(__xludf.DUMMYFUNCTION("""COMPUTED_VALUE"""),"Human Rights Defenders, Individuals At Risk")</f>
        <v>Human Rights Defenders, Individuals At Risk</v>
      </c>
      <c r="I114" s="1" t="str">
        <f ca="1">IFERROR(__xludf.DUMMYFUNCTION("""COMPUTED_VALUE"""),"2025")</f>
        <v>2025</v>
      </c>
      <c r="J114" s="1" t="str">
        <f ca="1">IFERROR(__xludf.DUMMYFUNCTION("""COMPUTED_VALUE"""),"Email")</f>
        <v>Email</v>
      </c>
    </row>
    <row r="115" spans="1:10" ht="13" x14ac:dyDescent="0.15">
      <c r="A115" s="4">
        <f ca="1">IFERROR(__xludf.DUMMYFUNCTION("""COMPUTED_VALUE"""),30328219)</f>
        <v>30328219</v>
      </c>
      <c r="B115" s="1" t="str">
        <f ca="1">IFERROR(__xludf.DUMMYFUNCTION("""COMPUTED_VALUE"""),"priscillad@roadrunner.com")</f>
        <v>priscillad@roadrunner.com</v>
      </c>
      <c r="C115" s="4" t="str">
        <f ca="1">IFERROR(__xludf.DUMMYFUNCTION("""COMPUTED_VALUE"""),"EVERGREEN - UAN Gated Content - Embedded Petition")</f>
        <v>EVERGREEN - UAN Gated Content - Embedded Petition</v>
      </c>
      <c r="D115" s="5">
        <f ca="1">IFERROR(__xludf.DUMMYFUNCTION("""COMPUTED_VALUE"""),45691)</f>
        <v>45691</v>
      </c>
      <c r="F115" s="1" t="str">
        <f ca="1">IFERROR(__xludf.DUMMYFUNCTION("""COMPUTED_VALUE"""),"Turkiye")</f>
        <v>Turkiye</v>
      </c>
      <c r="G115" s="1" t="str">
        <f ca="1">IFERROR(__xludf.DUMMYFUNCTION("""COMPUTED_VALUE"""),"Second 109.24 Türkiye")</f>
        <v>Second 109.24 Türkiye</v>
      </c>
      <c r="H115" s="1" t="str">
        <f ca="1">IFERROR(__xludf.DUMMYFUNCTION("""COMPUTED_VALUE"""),"Human Rights Defenders")</f>
        <v>Human Rights Defenders</v>
      </c>
      <c r="I115" s="1" t="str">
        <f ca="1">IFERROR(__xludf.DUMMYFUNCTION("""COMPUTED_VALUE"""),"2025")</f>
        <v>2025</v>
      </c>
      <c r="J115" s="1" t="str">
        <f ca="1">IFERROR(__xludf.DUMMYFUNCTION("""COMPUTED_VALUE"""),"Email")</f>
        <v>Email</v>
      </c>
    </row>
    <row r="116" spans="1:10" ht="13" x14ac:dyDescent="0.15">
      <c r="A116" s="4">
        <f ca="1">IFERROR(__xludf.DUMMYFUNCTION("""COMPUTED_VALUE"""),30333900)</f>
        <v>30333900</v>
      </c>
      <c r="B116" s="1" t="str">
        <f ca="1">IFERROR(__xludf.DUMMYFUNCTION("""COMPUTED_VALUE"""),"sdawnpwood@yahoo.co.uk")</f>
        <v>sdawnpwood@yahoo.co.uk</v>
      </c>
      <c r="C116" s="4" t="str">
        <f ca="1">IFERROR(__xludf.DUMMYFUNCTION("""COMPUTED_VALUE"""),"EVERGREEN - UAN Gated Content - Embedded Petition")</f>
        <v>EVERGREEN - UAN Gated Content - Embedded Petition</v>
      </c>
      <c r="D116" s="5">
        <f ca="1">IFERROR(__xludf.DUMMYFUNCTION("""COMPUTED_VALUE"""),45672)</f>
        <v>45672</v>
      </c>
      <c r="F116" s="1" t="str">
        <f ca="1">IFERROR(__xludf.DUMMYFUNCTION("""COMPUTED_VALUE"""),"Iran")</f>
        <v>Iran</v>
      </c>
      <c r="G116" s="1" t="str">
        <f ca="1">IFERROR(__xludf.DUMMYFUNCTION("""COMPUTED_VALUE"""),"6.25 Iran")</f>
        <v>6.25 Iran</v>
      </c>
      <c r="H116" s="1" t="str">
        <f ca="1">IFERROR(__xludf.DUMMYFUNCTION("""COMPUTED_VALUE"""),"Death Penalty, Freedom of Expression, Individuals At Risk")</f>
        <v>Death Penalty, Freedom of Expression, Individuals At Risk</v>
      </c>
      <c r="I116" s="1" t="str">
        <f ca="1">IFERROR(__xludf.DUMMYFUNCTION("""COMPUTED_VALUE"""),"2025")</f>
        <v>2025</v>
      </c>
      <c r="J116" s="1" t="str">
        <f ca="1">IFERROR(__xludf.DUMMYFUNCTION("""COMPUTED_VALUE"""),"Email")</f>
        <v>Email</v>
      </c>
    </row>
    <row r="117" spans="1:10" ht="13" x14ac:dyDescent="0.15">
      <c r="A117" s="4">
        <f ca="1">IFERROR(__xludf.DUMMYFUNCTION("""COMPUTED_VALUE"""),30333900)</f>
        <v>30333900</v>
      </c>
      <c r="B117" s="1" t="str">
        <f ca="1">IFERROR(__xludf.DUMMYFUNCTION("""COMPUTED_VALUE"""),"sdawnpwood@yahoo.co.uk")</f>
        <v>sdawnpwood@yahoo.co.uk</v>
      </c>
      <c r="C117" s="4" t="str">
        <f ca="1">IFERROR(__xludf.DUMMYFUNCTION("""COMPUTED_VALUE"""),"EVERGREEN - UAN Gated Content - Embedded Petition")</f>
        <v>EVERGREEN - UAN Gated Content - Embedded Petition</v>
      </c>
      <c r="D117" s="5">
        <f ca="1">IFERROR(__xludf.DUMMYFUNCTION("""COMPUTED_VALUE"""),45695)</f>
        <v>45695</v>
      </c>
      <c r="F117" s="1" t="str">
        <f ca="1">IFERROR(__xludf.DUMMYFUNCTION("""COMPUTED_VALUE"""),"Tunisia")</f>
        <v>Tunisia</v>
      </c>
      <c r="G117" s="1" t="str">
        <f ca="1">IFERROR(__xludf.DUMMYFUNCTION("""COMPUTED_VALUE"""),"Second 76.24 Tunisia")</f>
        <v>Second 76.24 Tunisia</v>
      </c>
      <c r="H117" s="1" t="str">
        <f ca="1">IFERROR(__xludf.DUMMYFUNCTION("""COMPUTED_VALUE"""),"Freedom of Expression, Human Rights Defenders")</f>
        <v>Freedom of Expression, Human Rights Defenders</v>
      </c>
      <c r="I117" s="1" t="str">
        <f ca="1">IFERROR(__xludf.DUMMYFUNCTION("""COMPUTED_VALUE"""),"2025")</f>
        <v>2025</v>
      </c>
      <c r="J117" s="1" t="str">
        <f ca="1">IFERROR(__xludf.DUMMYFUNCTION("""COMPUTED_VALUE"""),"Email")</f>
        <v>Email</v>
      </c>
    </row>
    <row r="118" spans="1:10" ht="13" x14ac:dyDescent="0.15">
      <c r="A118" s="4">
        <f ca="1">IFERROR(__xludf.DUMMYFUNCTION("""COMPUTED_VALUE"""),30333900)</f>
        <v>30333900</v>
      </c>
      <c r="B118" s="1" t="str">
        <f ca="1">IFERROR(__xludf.DUMMYFUNCTION("""COMPUTED_VALUE"""),"sdawnpwood@yahoo.co.uk")</f>
        <v>sdawnpwood@yahoo.co.uk</v>
      </c>
      <c r="C118" s="4" t="str">
        <f ca="1">IFERROR(__xludf.DUMMYFUNCTION("""COMPUTED_VALUE"""),"EVERGREEN - UAN Gated Content - Embedded Petition")</f>
        <v>EVERGREEN - UAN Gated Content - Embedded Petition</v>
      </c>
      <c r="D118" s="5">
        <f ca="1">IFERROR(__xludf.DUMMYFUNCTION("""COMPUTED_VALUE"""),45677)</f>
        <v>45677</v>
      </c>
      <c r="F118" s="1" t="str">
        <f ca="1">IFERROR(__xludf.DUMMYFUNCTION("""COMPUTED_VALUE"""),"Iran")</f>
        <v>Iran</v>
      </c>
      <c r="G118" s="1" t="str">
        <f ca="1">IFERROR(__xludf.DUMMYFUNCTION("""COMPUTED_VALUE"""),"101.24 Iran")</f>
        <v>101.24 Iran</v>
      </c>
      <c r="H118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118" s="1" t="str">
        <f ca="1">IFERROR(__xludf.DUMMYFUNCTION("""COMPUTED_VALUE"""),"2024")</f>
        <v>2024</v>
      </c>
      <c r="J118" s="1" t="str">
        <f ca="1">IFERROR(__xludf.DUMMYFUNCTION("""COMPUTED_VALUE"""),"Email")</f>
        <v>Email</v>
      </c>
    </row>
    <row r="119" spans="1:10" ht="13" x14ac:dyDescent="0.15">
      <c r="A119" s="4">
        <f ca="1">IFERROR(__xludf.DUMMYFUNCTION("""COMPUTED_VALUE"""),30336858)</f>
        <v>30336858</v>
      </c>
      <c r="B119" s="1" t="str">
        <f ca="1">IFERROR(__xludf.DUMMYFUNCTION("""COMPUTED_VALUE"""),"scorpioncastle20002000@yahoo.com")</f>
        <v>scorpioncastle20002000@yahoo.com</v>
      </c>
      <c r="C119" s="4" t="str">
        <f ca="1">IFERROR(__xludf.DUMMYFUNCTION("""COMPUTED_VALUE"""),"EVERGREEN - UAN Gated Content - Embedded Petition")</f>
        <v>EVERGREEN - UAN Gated Content - Embedded Petition</v>
      </c>
      <c r="D119" s="5">
        <f ca="1">IFERROR(__xludf.DUMMYFUNCTION("""COMPUTED_VALUE"""),45616)</f>
        <v>45616</v>
      </c>
      <c r="F119" s="1" t="str">
        <f ca="1">IFERROR(__xludf.DUMMYFUNCTION("""COMPUTED_VALUE"""),"China")</f>
        <v>China</v>
      </c>
      <c r="G119" s="1" t="str">
        <f ca="1">IFERROR(__xludf.DUMMYFUNCTION("""COMPUTED_VALUE"""),"98.24 China")</f>
        <v>98.24 China</v>
      </c>
      <c r="H119" s="1" t="str">
        <f ca="1">IFERROR(__xludf.DUMMYFUNCTION("""COMPUTED_VALUE"""),"Freedom of Expression, Individuals At Risk")</f>
        <v>Freedom of Expression, Individuals At Risk</v>
      </c>
      <c r="I119" s="1" t="str">
        <f ca="1">IFERROR(__xludf.DUMMYFUNCTION("""COMPUTED_VALUE"""),"2024")</f>
        <v>2024</v>
      </c>
      <c r="J119" s="1" t="str">
        <f ca="1">IFERROR(__xludf.DUMMYFUNCTION("""COMPUTED_VALUE"""),"Letter")</f>
        <v>Letter</v>
      </c>
    </row>
    <row r="120" spans="1:10" ht="13" x14ac:dyDescent="0.15">
      <c r="A120" s="4">
        <f ca="1">IFERROR(__xludf.DUMMYFUNCTION("""COMPUTED_VALUE"""),30336858)</f>
        <v>30336858</v>
      </c>
      <c r="B120" s="1" t="str">
        <f ca="1">IFERROR(__xludf.DUMMYFUNCTION("""COMPUTED_VALUE"""),"scorpioncastle20002000@yahoo.com")</f>
        <v>scorpioncastle20002000@yahoo.com</v>
      </c>
      <c r="C120" s="4" t="str">
        <f ca="1">IFERROR(__xludf.DUMMYFUNCTION("""COMPUTED_VALUE"""),"EVERGREEN - Website Email Capture Form - UAN Pre-Footer")</f>
        <v>EVERGREEN - Website Email Capture Form - UAN Pre-Footer</v>
      </c>
      <c r="D120" s="5">
        <f ca="1">IFERROR(__xludf.DUMMYFUNCTION("""COMPUTED_VALUE"""),45616)</f>
        <v>45616</v>
      </c>
      <c r="F120" s="1" t="str">
        <f ca="1">IFERROR(__xludf.DUMMYFUNCTION("""COMPUTED_VALUE"""),"Iran")</f>
        <v>Iran</v>
      </c>
      <c r="G120" s="1" t="str">
        <f ca="1">IFERROR(__xludf.DUMMYFUNCTION("""COMPUTED_VALUE"""),"101.24 Iran")</f>
        <v>101.24 Iran</v>
      </c>
      <c r="H120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120" s="1" t="str">
        <f ca="1">IFERROR(__xludf.DUMMYFUNCTION("""COMPUTED_VALUE"""),"2024")</f>
        <v>2024</v>
      </c>
      <c r="J120" s="1" t="str">
        <f ca="1">IFERROR(__xludf.DUMMYFUNCTION("""COMPUTED_VALUE"""),"Email")</f>
        <v>Email</v>
      </c>
    </row>
    <row r="121" spans="1:10" ht="13" x14ac:dyDescent="0.15">
      <c r="A121" s="4">
        <f ca="1">IFERROR(__xludf.DUMMYFUNCTION("""COMPUTED_VALUE"""),30347930)</f>
        <v>30347930</v>
      </c>
      <c r="B121" s="1" t="str">
        <f ca="1">IFERROR(__xludf.DUMMYFUNCTION("""COMPUTED_VALUE"""),"paulmarsh@comcast.net")</f>
        <v>paulmarsh@comcast.net</v>
      </c>
      <c r="C121" s="4" t="str">
        <f ca="1">IFERROR(__xludf.DUMMYFUNCTION("""COMPUTED_VALUE"""),"EVERGREEN - UAN Gated Content - Embedded Petition")</f>
        <v>EVERGREEN - UAN Gated Content - Embedded Petition</v>
      </c>
      <c r="D121" s="5">
        <f ca="1">IFERROR(__xludf.DUMMYFUNCTION("""COMPUTED_VALUE"""),45698)</f>
        <v>45698</v>
      </c>
      <c r="F121" s="1" t="str">
        <f ca="1">IFERROR(__xludf.DUMMYFUNCTION("""COMPUTED_VALUE"""),"Iran")</f>
        <v>Iran</v>
      </c>
      <c r="G121" s="1" t="str">
        <f ca="1">IFERROR(__xludf.DUMMYFUNCTION("""COMPUTED_VALUE"""),"Seventh 103.22 Iran")</f>
        <v>Seventh 103.22 Iran</v>
      </c>
      <c r="H121" s="1" t="str">
        <f ca="1">IFERROR(__xludf.DUMMYFUNCTION("""COMPUTED_VALUE"""),"Death Penalty, Freedom of Expression, Individuals At Risk")</f>
        <v>Death Penalty, Freedom of Expression, Individuals At Risk</v>
      </c>
      <c r="I121" s="1" t="str">
        <f ca="1">IFERROR(__xludf.DUMMYFUNCTION("""COMPUTED_VALUE"""),"2024")</f>
        <v>2024</v>
      </c>
      <c r="J121" s="1" t="str">
        <f ca="1">IFERROR(__xludf.DUMMYFUNCTION("""COMPUTED_VALUE"""),"Email")</f>
        <v>Email</v>
      </c>
    </row>
    <row r="122" spans="1:10" ht="13" x14ac:dyDescent="0.15">
      <c r="A122" s="4">
        <f ca="1">IFERROR(__xludf.DUMMYFUNCTION("""COMPUTED_VALUE"""),30350943)</f>
        <v>30350943</v>
      </c>
      <c r="B122" s="1" t="str">
        <f ca="1">IFERROR(__xludf.DUMMYFUNCTION("""COMPUTED_VALUE"""),"aiusa@aol.com")</f>
        <v>aiusa@aol.com</v>
      </c>
      <c r="C122" s="4" t="str">
        <f ca="1">IFERROR(__xludf.DUMMYFUNCTION("""COMPUTED_VALUE"""),"EVERGREEN - UAN Gated Content - Embedded Petition")</f>
        <v>EVERGREEN - UAN Gated Content - Embedded Petition</v>
      </c>
      <c r="D122" s="5">
        <f ca="1">IFERROR(__xludf.DUMMYFUNCTION("""COMPUTED_VALUE"""),45634)</f>
        <v>45634</v>
      </c>
      <c r="F122" s="1" t="str">
        <f ca="1">IFERROR(__xludf.DUMMYFUNCTION("""COMPUTED_VALUE"""),"Tunisia")</f>
        <v>Tunisia</v>
      </c>
      <c r="G122" s="1" t="str">
        <f ca="1">IFERROR(__xludf.DUMMYFUNCTION("""COMPUTED_VALUE"""),"Second 76.24 Tunisia")</f>
        <v>Second 76.24 Tunisia</v>
      </c>
      <c r="H122" s="1" t="str">
        <f ca="1">IFERROR(__xludf.DUMMYFUNCTION("""COMPUTED_VALUE"""),"Freedom of Expression, Human Rights Defenders")</f>
        <v>Freedom of Expression, Human Rights Defenders</v>
      </c>
      <c r="I122" s="1" t="str">
        <f ca="1">IFERROR(__xludf.DUMMYFUNCTION("""COMPUTED_VALUE"""),"2025")</f>
        <v>2025</v>
      </c>
      <c r="J122" s="1" t="str">
        <f ca="1">IFERROR(__xludf.DUMMYFUNCTION("""COMPUTED_VALUE"""),"Email")</f>
        <v>Email</v>
      </c>
    </row>
    <row r="123" spans="1:10" ht="13" x14ac:dyDescent="0.15">
      <c r="A123" s="4">
        <f ca="1">IFERROR(__xludf.DUMMYFUNCTION("""COMPUTED_VALUE"""),30350943)</f>
        <v>30350943</v>
      </c>
      <c r="B123" s="1" t="str">
        <f ca="1">IFERROR(__xludf.DUMMYFUNCTION("""COMPUTED_VALUE"""),"aiusa@aol.com")</f>
        <v>aiusa@aol.com</v>
      </c>
      <c r="C123" s="4" t="str">
        <f ca="1">IFERROR(__xludf.DUMMYFUNCTION("""COMPUTED_VALUE"""),"EVERGREEN - UAN Gated Content - Embedded Petition")</f>
        <v>EVERGREEN - UAN Gated Content - Embedded Petition</v>
      </c>
      <c r="D123" s="5">
        <f ca="1">IFERROR(__xludf.DUMMYFUNCTION("""COMPUTED_VALUE"""),45636)</f>
        <v>45636</v>
      </c>
      <c r="F123" s="1" t="str">
        <f ca="1">IFERROR(__xludf.DUMMYFUNCTION("""COMPUTED_VALUE"""),"Tunisia")</f>
        <v>Tunisia</v>
      </c>
      <c r="G123" s="1" t="str">
        <f ca="1">IFERROR(__xludf.DUMMYFUNCTION("""COMPUTED_VALUE"""),"Second 76.24 Tunisia")</f>
        <v>Second 76.24 Tunisia</v>
      </c>
      <c r="H123" s="1" t="str">
        <f ca="1">IFERROR(__xludf.DUMMYFUNCTION("""COMPUTED_VALUE"""),"Freedom of Expression, Human Rights Defenders")</f>
        <v>Freedom of Expression, Human Rights Defenders</v>
      </c>
      <c r="I123" s="1" t="str">
        <f ca="1">IFERROR(__xludf.DUMMYFUNCTION("""COMPUTED_VALUE"""),"2025")</f>
        <v>2025</v>
      </c>
      <c r="J123" s="1" t="str">
        <f ca="1">IFERROR(__xludf.DUMMYFUNCTION("""COMPUTED_VALUE"""),"Email")</f>
        <v>Email</v>
      </c>
    </row>
    <row r="124" spans="1:10" ht="13" x14ac:dyDescent="0.15">
      <c r="A124" s="4">
        <f ca="1">IFERROR(__xludf.DUMMYFUNCTION("""COMPUTED_VALUE"""),30350943)</f>
        <v>30350943</v>
      </c>
      <c r="B124" s="1" t="str">
        <f ca="1">IFERROR(__xludf.DUMMYFUNCTION("""COMPUTED_VALUE"""),"aiusa@aol.com")</f>
        <v>aiusa@aol.com</v>
      </c>
      <c r="C124" s="4" t="str">
        <f ca="1">IFERROR(__xludf.DUMMYFUNCTION("""COMPUTED_VALUE"""),"EVERGREEN - UAN Gated Content - Embedded Petition")</f>
        <v>EVERGREEN - UAN Gated Content - Embedded Petition</v>
      </c>
      <c r="D124" s="5">
        <f ca="1">IFERROR(__xludf.DUMMYFUNCTION("""COMPUTED_VALUE"""),45636)</f>
        <v>45636</v>
      </c>
      <c r="F124" s="1" t="str">
        <f ca="1">IFERROR(__xludf.DUMMYFUNCTION("""COMPUTED_VALUE"""),"Tunisia")</f>
        <v>Tunisia</v>
      </c>
      <c r="G124" s="1" t="str">
        <f ca="1">IFERROR(__xludf.DUMMYFUNCTION("""COMPUTED_VALUE"""),"Second 76.24 Tunisia")</f>
        <v>Second 76.24 Tunisia</v>
      </c>
      <c r="H124" s="1" t="str">
        <f ca="1">IFERROR(__xludf.DUMMYFUNCTION("""COMPUTED_VALUE"""),"Freedom of Expression, Human Rights Defenders")</f>
        <v>Freedom of Expression, Human Rights Defenders</v>
      </c>
      <c r="I124" s="1" t="str">
        <f ca="1">IFERROR(__xludf.DUMMYFUNCTION("""COMPUTED_VALUE"""),"2025")</f>
        <v>2025</v>
      </c>
      <c r="J124" s="1" t="str">
        <f ca="1">IFERROR(__xludf.DUMMYFUNCTION("""COMPUTED_VALUE"""),"Email")</f>
        <v>Email</v>
      </c>
    </row>
    <row r="125" spans="1:10" ht="13" x14ac:dyDescent="0.15">
      <c r="A125" s="4">
        <f ca="1">IFERROR(__xludf.DUMMYFUNCTION("""COMPUTED_VALUE"""),30350943)</f>
        <v>30350943</v>
      </c>
      <c r="B125" s="1" t="str">
        <f ca="1">IFERROR(__xludf.DUMMYFUNCTION("""COMPUTED_VALUE"""),"aiusa@aol.com")</f>
        <v>aiusa@aol.com</v>
      </c>
      <c r="C125" s="4" t="str">
        <f ca="1">IFERROR(__xludf.DUMMYFUNCTION("""COMPUTED_VALUE"""),"EVERGREEN - UAN Gated Content - Embedded Petition")</f>
        <v>EVERGREEN - UAN Gated Content - Embedded Petition</v>
      </c>
      <c r="D125" s="5">
        <f ca="1">IFERROR(__xludf.DUMMYFUNCTION("""COMPUTED_VALUE"""),45699)</f>
        <v>45699</v>
      </c>
      <c r="F125" s="1" t="str">
        <f ca="1">IFERROR(__xludf.DUMMYFUNCTION("""COMPUTED_VALUE"""),"Libya")</f>
        <v>Libya</v>
      </c>
      <c r="G125" s="1" t="str">
        <f ca="1">IFERROR(__xludf.DUMMYFUNCTION("""COMPUTED_VALUE"""),"12.25 Libya")</f>
        <v>12.25 Libya</v>
      </c>
      <c r="H125" s="1" t="str">
        <f ca="1">IFERROR(__xludf.DUMMYFUNCTION("""COMPUTED_VALUE"""),"Freedom of Expression, Health, Individuals At Risk")</f>
        <v>Freedom of Expression, Health, Individuals At Risk</v>
      </c>
      <c r="I125" s="1" t="str">
        <f ca="1">IFERROR(__xludf.DUMMYFUNCTION("""COMPUTED_VALUE"""),"2025")</f>
        <v>2025</v>
      </c>
      <c r="J125" s="1" t="str">
        <f ca="1">IFERROR(__xludf.DUMMYFUNCTION("""COMPUTED_VALUE"""),"Email")</f>
        <v>Email</v>
      </c>
    </row>
    <row r="126" spans="1:10" ht="13" x14ac:dyDescent="0.15">
      <c r="A126" s="4">
        <f ca="1">IFERROR(__xludf.DUMMYFUNCTION("""COMPUTED_VALUE"""),30350943)</f>
        <v>30350943</v>
      </c>
      <c r="B126" s="1" t="str">
        <f ca="1">IFERROR(__xludf.DUMMYFUNCTION("""COMPUTED_VALUE"""),"aiusa@aol.com")</f>
        <v>aiusa@aol.com</v>
      </c>
      <c r="C126" s="4" t="str">
        <f ca="1">IFERROR(__xludf.DUMMYFUNCTION("""COMPUTED_VALUE"""),"EVERGREEN - UAN Gated Content - Embedded Petition")</f>
        <v>EVERGREEN - UAN Gated Content - Embedded Petition</v>
      </c>
      <c r="D126" s="5">
        <f ca="1">IFERROR(__xludf.DUMMYFUNCTION("""COMPUTED_VALUE"""),45635)</f>
        <v>45635</v>
      </c>
      <c r="F126" s="1" t="str">
        <f ca="1">IFERROR(__xludf.DUMMYFUNCTION("""COMPUTED_VALUE"""),"USA")</f>
        <v>USA</v>
      </c>
      <c r="G126" s="1" t="str">
        <f ca="1">IFERROR(__xludf.DUMMYFUNCTION("""COMPUTED_VALUE"""),"4.25 USA")</f>
        <v>4.25 USA</v>
      </c>
      <c r="H126" s="1" t="str">
        <f ca="1">IFERROR(__xludf.DUMMYFUNCTION("""COMPUTED_VALUE"""),"Individuals At Risk, Refugee and Migrant Rights")</f>
        <v>Individuals At Risk, Refugee and Migrant Rights</v>
      </c>
      <c r="I126" s="1" t="str">
        <f ca="1">IFERROR(__xludf.DUMMYFUNCTION("""COMPUTED_VALUE"""),"2025")</f>
        <v>2025</v>
      </c>
      <c r="J126" s="1" t="str">
        <f ca="1">IFERROR(__xludf.DUMMYFUNCTION("""COMPUTED_VALUE"""),"Letter")</f>
        <v>Letter</v>
      </c>
    </row>
    <row r="127" spans="1:10" ht="13" x14ac:dyDescent="0.15">
      <c r="A127" s="4">
        <f ca="1">IFERROR(__xludf.DUMMYFUNCTION("""COMPUTED_VALUE"""),30350943)</f>
        <v>30350943</v>
      </c>
      <c r="B127" s="1" t="str">
        <f ca="1">IFERROR(__xludf.DUMMYFUNCTION("""COMPUTED_VALUE"""),"aiusa@aol.com")</f>
        <v>aiusa@aol.com</v>
      </c>
      <c r="C127" s="4" t="str">
        <f ca="1">IFERROR(__xludf.DUMMYFUNCTION("""COMPUTED_VALUE"""),"EVERGREEN - UAN Gated Content - Embedded Petition")</f>
        <v>EVERGREEN - UAN Gated Content - Embedded Petition</v>
      </c>
      <c r="D127" s="5">
        <f ca="1">IFERROR(__xludf.DUMMYFUNCTION("""COMPUTED_VALUE"""),45699)</f>
        <v>45699</v>
      </c>
      <c r="F127" s="1" t="str">
        <f ca="1">IFERROR(__xludf.DUMMYFUNCTION("""COMPUTED_VALUE"""),"USA")</f>
        <v>USA</v>
      </c>
      <c r="G127" s="1" t="str">
        <f ca="1">IFERROR(__xludf.DUMMYFUNCTION("""COMPUTED_VALUE"""),"4.25 USA")</f>
        <v>4.25 USA</v>
      </c>
      <c r="H127" s="1" t="str">
        <f ca="1">IFERROR(__xludf.DUMMYFUNCTION("""COMPUTED_VALUE"""),"Individuals At Risk, Refugee and Migrant Rights")</f>
        <v>Individuals At Risk, Refugee and Migrant Rights</v>
      </c>
      <c r="I127" s="1" t="str">
        <f ca="1">IFERROR(__xludf.DUMMYFUNCTION("""COMPUTED_VALUE"""),"2025")</f>
        <v>2025</v>
      </c>
      <c r="J127" s="1" t="str">
        <f ca="1">IFERROR(__xludf.DUMMYFUNCTION("""COMPUTED_VALUE"""),"Letter")</f>
        <v>Letter</v>
      </c>
    </row>
    <row r="128" spans="1:10" ht="13" x14ac:dyDescent="0.15">
      <c r="A128" s="4">
        <f ca="1">IFERROR(__xludf.DUMMYFUNCTION("""COMPUTED_VALUE"""),30350943)</f>
        <v>30350943</v>
      </c>
      <c r="B128" s="1" t="str">
        <f ca="1">IFERROR(__xludf.DUMMYFUNCTION("""COMPUTED_VALUE"""),"aiusa@aol.com")</f>
        <v>aiusa@aol.com</v>
      </c>
      <c r="C128" s="4" t="str">
        <f ca="1">IFERROR(__xludf.DUMMYFUNCTION("""COMPUTED_VALUE"""),"EVERGREEN - UAN Gated Content - Embedded Petition")</f>
        <v>EVERGREEN - UAN Gated Content - Embedded Petition</v>
      </c>
      <c r="D128" s="5">
        <f ca="1">IFERROR(__xludf.DUMMYFUNCTION("""COMPUTED_VALUE"""),45636)</f>
        <v>45636</v>
      </c>
      <c r="F128" s="1" t="str">
        <f ca="1">IFERROR(__xludf.DUMMYFUNCTION("""COMPUTED_VALUE"""),"Israel and Occupied Palestinian Territories")</f>
        <v>Israel and Occupied Palestinian Territories</v>
      </c>
      <c r="G128" s="1" t="str">
        <f ca="1">IFERROR(__xludf.DUMMYFUNCTION("""COMPUTED_VALUE"""),"3.25 IOPT")</f>
        <v>3.25 IOPT</v>
      </c>
      <c r="H128" s="1" t="str">
        <f ca="1">IFERROR(__xludf.DUMMYFUNCTION("""COMPUTED_VALUE"""),"Freedom of Expression, Individuals At Risk")</f>
        <v>Freedom of Expression, Individuals At Risk</v>
      </c>
      <c r="I128" s="1" t="str">
        <f ca="1">IFERROR(__xludf.DUMMYFUNCTION("""COMPUTED_VALUE"""),"2025")</f>
        <v>2025</v>
      </c>
      <c r="J128" s="1" t="str">
        <f ca="1">IFERROR(__xludf.DUMMYFUNCTION("""COMPUTED_VALUE"""),"Email")</f>
        <v>Email</v>
      </c>
    </row>
    <row r="129" spans="1:10" ht="13" x14ac:dyDescent="0.15">
      <c r="A129" s="4">
        <f ca="1">IFERROR(__xludf.DUMMYFUNCTION("""COMPUTED_VALUE"""),30350943)</f>
        <v>30350943</v>
      </c>
      <c r="B129" s="1" t="str">
        <f ca="1">IFERROR(__xludf.DUMMYFUNCTION("""COMPUTED_VALUE"""),"aiusa@aol.com")</f>
        <v>aiusa@aol.com</v>
      </c>
      <c r="C129" s="4" t="str">
        <f ca="1">IFERROR(__xludf.DUMMYFUNCTION("""COMPUTED_VALUE"""),"EVERGREEN - UAN Gated Content - Embedded Petition")</f>
        <v>EVERGREEN - UAN Gated Content - Embedded Petition</v>
      </c>
      <c r="D129" s="5">
        <f ca="1">IFERROR(__xludf.DUMMYFUNCTION("""COMPUTED_VALUE"""),45690)</f>
        <v>45690</v>
      </c>
      <c r="F129" s="1" t="str">
        <f ca="1">IFERROR(__xludf.DUMMYFUNCTION("""COMPUTED_VALUE"""),"Israel and Occupied Palestinian Territories")</f>
        <v>Israel and Occupied Palestinian Territories</v>
      </c>
      <c r="G129" s="1" t="str">
        <f ca="1">IFERROR(__xludf.DUMMYFUNCTION("""COMPUTED_VALUE"""),"3.25 IOPT")</f>
        <v>3.25 IOPT</v>
      </c>
      <c r="H129" s="1" t="str">
        <f ca="1">IFERROR(__xludf.DUMMYFUNCTION("""COMPUTED_VALUE"""),"Freedom of Expression, Individuals At Risk")</f>
        <v>Freedom of Expression, Individuals At Risk</v>
      </c>
      <c r="I129" s="1" t="str">
        <f ca="1">IFERROR(__xludf.DUMMYFUNCTION("""COMPUTED_VALUE"""),"2025")</f>
        <v>2025</v>
      </c>
      <c r="J129" s="1" t="str">
        <f ca="1">IFERROR(__xludf.DUMMYFUNCTION("""COMPUTED_VALUE"""),"Email")</f>
        <v>Email</v>
      </c>
    </row>
    <row r="130" spans="1:10" ht="13" x14ac:dyDescent="0.15">
      <c r="A130" s="4">
        <f ca="1">IFERROR(__xludf.DUMMYFUNCTION("""COMPUTED_VALUE"""),30350943)</f>
        <v>30350943</v>
      </c>
      <c r="B130" s="1" t="str">
        <f ca="1">IFERROR(__xludf.DUMMYFUNCTION("""COMPUTED_VALUE"""),"aiusa@aol.com")</f>
        <v>aiusa@aol.com</v>
      </c>
      <c r="C130" s="4" t="str">
        <f ca="1">IFERROR(__xludf.DUMMYFUNCTION("""COMPUTED_VALUE"""),"EVERGREEN - UAN Gated Content - Embedded Petition")</f>
        <v>EVERGREEN - UAN Gated Content - Embedded Petition</v>
      </c>
      <c r="D130" s="5">
        <f ca="1">IFERROR(__xludf.DUMMYFUNCTION("""COMPUTED_VALUE"""),45690)</f>
        <v>45690</v>
      </c>
      <c r="F130" s="1" t="str">
        <f ca="1">IFERROR(__xludf.DUMMYFUNCTION("""COMPUTED_VALUE"""),"Israel and Occupied Palestinian Territories")</f>
        <v>Israel and Occupied Palestinian Territories</v>
      </c>
      <c r="G130" s="1" t="str">
        <f ca="1">IFERROR(__xludf.DUMMYFUNCTION("""COMPUTED_VALUE"""),"3.25 IOPT")</f>
        <v>3.25 IOPT</v>
      </c>
      <c r="H130" s="1" t="str">
        <f ca="1">IFERROR(__xludf.DUMMYFUNCTION("""COMPUTED_VALUE"""),"Freedom of Expression, Individuals At Risk")</f>
        <v>Freedom of Expression, Individuals At Risk</v>
      </c>
      <c r="I130" s="1" t="str">
        <f ca="1">IFERROR(__xludf.DUMMYFUNCTION("""COMPUTED_VALUE"""),"2025")</f>
        <v>2025</v>
      </c>
      <c r="J130" s="1" t="str">
        <f ca="1">IFERROR(__xludf.DUMMYFUNCTION("""COMPUTED_VALUE"""),"Email")</f>
        <v>Email</v>
      </c>
    </row>
    <row r="131" spans="1:10" ht="13" x14ac:dyDescent="0.15">
      <c r="A131" s="4">
        <f ca="1">IFERROR(__xludf.DUMMYFUNCTION("""COMPUTED_VALUE"""),30350943)</f>
        <v>30350943</v>
      </c>
      <c r="B131" s="1" t="str">
        <f ca="1">IFERROR(__xludf.DUMMYFUNCTION("""COMPUTED_VALUE"""),"aiusa@aol.com")</f>
        <v>aiusa@aol.com</v>
      </c>
      <c r="C131" s="4" t="str">
        <f ca="1">IFERROR(__xludf.DUMMYFUNCTION("""COMPUTED_VALUE"""),"EVERGREEN - UAN Gated Content - Embedded Petition")</f>
        <v>EVERGREEN - UAN Gated Content - Embedded Petition</v>
      </c>
      <c r="D131" s="5">
        <f ca="1">IFERROR(__xludf.DUMMYFUNCTION("""COMPUTED_VALUE"""),45690)</f>
        <v>45690</v>
      </c>
      <c r="F131" s="1" t="str">
        <f ca="1">IFERROR(__xludf.DUMMYFUNCTION("""COMPUTED_VALUE"""),"Israel and Occupied Palestinian Territories")</f>
        <v>Israel and Occupied Palestinian Territories</v>
      </c>
      <c r="G131" s="1" t="str">
        <f ca="1">IFERROR(__xludf.DUMMYFUNCTION("""COMPUTED_VALUE"""),"3.25 IOPT")</f>
        <v>3.25 IOPT</v>
      </c>
      <c r="H131" s="1" t="str">
        <f ca="1">IFERROR(__xludf.DUMMYFUNCTION("""COMPUTED_VALUE"""),"Freedom of Expression, Individuals At Risk")</f>
        <v>Freedom of Expression, Individuals At Risk</v>
      </c>
      <c r="I131" s="1" t="str">
        <f ca="1">IFERROR(__xludf.DUMMYFUNCTION("""COMPUTED_VALUE"""),"2025")</f>
        <v>2025</v>
      </c>
      <c r="J131" s="1" t="str">
        <f ca="1">IFERROR(__xludf.DUMMYFUNCTION("""COMPUTED_VALUE"""),"Email")</f>
        <v>Email</v>
      </c>
    </row>
    <row r="132" spans="1:10" ht="13" x14ac:dyDescent="0.15">
      <c r="A132" s="4">
        <f ca="1">IFERROR(__xludf.DUMMYFUNCTION("""COMPUTED_VALUE"""),30350943)</f>
        <v>30350943</v>
      </c>
      <c r="B132" s="1" t="str">
        <f ca="1">IFERROR(__xludf.DUMMYFUNCTION("""COMPUTED_VALUE"""),"aiusa@aol.com")</f>
        <v>aiusa@aol.com</v>
      </c>
      <c r="C132" s="4" t="str">
        <f ca="1">IFERROR(__xludf.DUMMYFUNCTION("""COMPUTED_VALUE"""),"EVERGREEN - UAN Gated Content - Embedded Petition")</f>
        <v>EVERGREEN - UAN Gated Content - Embedded Petition</v>
      </c>
      <c r="D132" s="5">
        <f ca="1">IFERROR(__xludf.DUMMYFUNCTION("""COMPUTED_VALUE"""),45690)</f>
        <v>45690</v>
      </c>
      <c r="F132" s="1" t="str">
        <f ca="1">IFERROR(__xludf.DUMMYFUNCTION("""COMPUTED_VALUE"""),"Israel and Occupied Palestinian Territories")</f>
        <v>Israel and Occupied Palestinian Territories</v>
      </c>
      <c r="G132" s="1" t="str">
        <f ca="1">IFERROR(__xludf.DUMMYFUNCTION("""COMPUTED_VALUE"""),"3.25 IOPT")</f>
        <v>3.25 IOPT</v>
      </c>
      <c r="H132" s="1" t="str">
        <f ca="1">IFERROR(__xludf.DUMMYFUNCTION("""COMPUTED_VALUE"""),"Freedom of Expression, Individuals At Risk")</f>
        <v>Freedom of Expression, Individuals At Risk</v>
      </c>
      <c r="I132" s="1" t="str">
        <f ca="1">IFERROR(__xludf.DUMMYFUNCTION("""COMPUTED_VALUE"""),"2025")</f>
        <v>2025</v>
      </c>
      <c r="J132" s="1" t="str">
        <f ca="1">IFERROR(__xludf.DUMMYFUNCTION("""COMPUTED_VALUE"""),"Email")</f>
        <v>Email</v>
      </c>
    </row>
    <row r="133" spans="1:10" ht="13" x14ac:dyDescent="0.15">
      <c r="A133" s="4">
        <f ca="1">IFERROR(__xludf.DUMMYFUNCTION("""COMPUTED_VALUE"""),30350943)</f>
        <v>30350943</v>
      </c>
      <c r="B133" s="1" t="str">
        <f ca="1">IFERROR(__xludf.DUMMYFUNCTION("""COMPUTED_VALUE"""),"aiusa@aol.com")</f>
        <v>aiusa@aol.com</v>
      </c>
      <c r="C133" s="4" t="str">
        <f ca="1">IFERROR(__xludf.DUMMYFUNCTION("""COMPUTED_VALUE"""),"EVERGREEN - UAN Gated Content - Embedded Petition")</f>
        <v>EVERGREEN - UAN Gated Content - Embedded Petition</v>
      </c>
      <c r="D133" s="5">
        <f ca="1">IFERROR(__xludf.DUMMYFUNCTION("""COMPUTED_VALUE"""),45635)</f>
        <v>45635</v>
      </c>
      <c r="F133" s="1" t="str">
        <f ca="1">IFERROR(__xludf.DUMMYFUNCTION("""COMPUTED_VALUE"""),"USA")</f>
        <v>USA</v>
      </c>
      <c r="G133" s="1" t="str">
        <f ca="1">IFERROR(__xludf.DUMMYFUNCTION("""COMPUTED_VALUE"""),"4.25 USA")</f>
        <v>4.25 USA</v>
      </c>
      <c r="H133" s="1" t="str">
        <f ca="1">IFERROR(__xludf.DUMMYFUNCTION("""COMPUTED_VALUE"""),"Individuals At Risk, Refugee and Migrant Rights")</f>
        <v>Individuals At Risk, Refugee and Migrant Rights</v>
      </c>
      <c r="I133" s="1" t="str">
        <f ca="1">IFERROR(__xludf.DUMMYFUNCTION("""COMPUTED_VALUE"""),"2025")</f>
        <v>2025</v>
      </c>
      <c r="J133" s="1" t="str">
        <f ca="1">IFERROR(__xludf.DUMMYFUNCTION("""COMPUTED_VALUE"""),"Letter")</f>
        <v>Letter</v>
      </c>
    </row>
    <row r="134" spans="1:10" ht="13" x14ac:dyDescent="0.15">
      <c r="A134" s="4">
        <f ca="1">IFERROR(__xludf.DUMMYFUNCTION("""COMPUTED_VALUE"""),30350943)</f>
        <v>30350943</v>
      </c>
      <c r="B134" s="1" t="str">
        <f ca="1">IFERROR(__xludf.DUMMYFUNCTION("""COMPUTED_VALUE"""),"aiusa@aol.com")</f>
        <v>aiusa@aol.com</v>
      </c>
      <c r="C134" s="4" t="str">
        <f ca="1">IFERROR(__xludf.DUMMYFUNCTION("""COMPUTED_VALUE"""),"EVERGREEN - UAN Gated Content - Embedded Petition")</f>
        <v>EVERGREEN - UAN Gated Content - Embedded Petition</v>
      </c>
      <c r="D134" s="5">
        <f ca="1">IFERROR(__xludf.DUMMYFUNCTION("""COMPUTED_VALUE"""),45635)</f>
        <v>45635</v>
      </c>
      <c r="F134" s="1" t="str">
        <f ca="1">IFERROR(__xludf.DUMMYFUNCTION("""COMPUTED_VALUE"""),"USA")</f>
        <v>USA</v>
      </c>
      <c r="G134" s="1" t="str">
        <f ca="1">IFERROR(__xludf.DUMMYFUNCTION("""COMPUTED_VALUE"""),"4.25 USA")</f>
        <v>4.25 USA</v>
      </c>
      <c r="H134" s="1" t="str">
        <f ca="1">IFERROR(__xludf.DUMMYFUNCTION("""COMPUTED_VALUE"""),"Individuals At Risk, Refugee and Migrant Rights")</f>
        <v>Individuals At Risk, Refugee and Migrant Rights</v>
      </c>
      <c r="I134" s="1" t="str">
        <f ca="1">IFERROR(__xludf.DUMMYFUNCTION("""COMPUTED_VALUE"""),"2025")</f>
        <v>2025</v>
      </c>
      <c r="J134" s="1" t="str">
        <f ca="1">IFERROR(__xludf.DUMMYFUNCTION("""COMPUTED_VALUE"""),"Letter")</f>
        <v>Letter</v>
      </c>
    </row>
    <row r="135" spans="1:10" ht="13" x14ac:dyDescent="0.15">
      <c r="A135" s="4">
        <f ca="1">IFERROR(__xludf.DUMMYFUNCTION("""COMPUTED_VALUE"""),30350943)</f>
        <v>30350943</v>
      </c>
      <c r="B135" s="1" t="str">
        <f ca="1">IFERROR(__xludf.DUMMYFUNCTION("""COMPUTED_VALUE"""),"aiusa@aol.com")</f>
        <v>aiusa@aol.com</v>
      </c>
      <c r="C135" s="4" t="str">
        <f ca="1">IFERROR(__xludf.DUMMYFUNCTION("""COMPUTED_VALUE"""),"EVERGREEN - UAN Gated Content - Embedded Petition")</f>
        <v>EVERGREEN - UAN Gated Content - Embedded Petition</v>
      </c>
      <c r="D135" s="5">
        <f ca="1">IFERROR(__xludf.DUMMYFUNCTION("""COMPUTED_VALUE"""),45635)</f>
        <v>45635</v>
      </c>
      <c r="F135" s="1" t="str">
        <f ca="1">IFERROR(__xludf.DUMMYFUNCTION("""COMPUTED_VALUE"""),"USA")</f>
        <v>USA</v>
      </c>
      <c r="G135" s="1" t="str">
        <f ca="1">IFERROR(__xludf.DUMMYFUNCTION("""COMPUTED_VALUE"""),"4.25 USA")</f>
        <v>4.25 USA</v>
      </c>
      <c r="H135" s="1" t="str">
        <f ca="1">IFERROR(__xludf.DUMMYFUNCTION("""COMPUTED_VALUE"""),"Individuals At Risk, Refugee and Migrant Rights")</f>
        <v>Individuals At Risk, Refugee and Migrant Rights</v>
      </c>
      <c r="I135" s="1" t="str">
        <f ca="1">IFERROR(__xludf.DUMMYFUNCTION("""COMPUTED_VALUE"""),"2025")</f>
        <v>2025</v>
      </c>
      <c r="J135" s="1" t="str">
        <f ca="1">IFERROR(__xludf.DUMMYFUNCTION("""COMPUTED_VALUE"""),"Letter")</f>
        <v>Letter</v>
      </c>
    </row>
    <row r="136" spans="1:10" ht="13" x14ac:dyDescent="0.15">
      <c r="A136" s="4">
        <f ca="1">IFERROR(__xludf.DUMMYFUNCTION("""COMPUTED_VALUE"""),30351065)</f>
        <v>30351065</v>
      </c>
      <c r="B136" s="1" t="str">
        <f ca="1">IFERROR(__xludf.DUMMYFUNCTION("""COMPUTED_VALUE"""),"angus@well.com")</f>
        <v>angus@well.com</v>
      </c>
      <c r="C136" s="4" t="str">
        <f ca="1">IFERROR(__xludf.DUMMYFUNCTION("""COMPUTED_VALUE"""),"EVERGREEN - UAN Gated Content - Embedded Petition")</f>
        <v>EVERGREEN - UAN Gated Content - Embedded Petition</v>
      </c>
      <c r="D136" s="5">
        <f ca="1">IFERROR(__xludf.DUMMYFUNCTION("""COMPUTED_VALUE"""),45674)</f>
        <v>45674</v>
      </c>
      <c r="F136" s="1" t="str">
        <f ca="1">IFERROR(__xludf.DUMMYFUNCTION("""COMPUTED_VALUE"""),"USA")</f>
        <v>USA</v>
      </c>
      <c r="G136" s="1" t="str">
        <f ca="1">IFERROR(__xludf.DUMMYFUNCTION("""COMPUTED_VALUE"""),"4.25 USA")</f>
        <v>4.25 USA</v>
      </c>
      <c r="H136" s="1" t="str">
        <f ca="1">IFERROR(__xludf.DUMMYFUNCTION("""COMPUTED_VALUE"""),"Individuals At Risk, Refugee and Migrant Rights")</f>
        <v>Individuals At Risk, Refugee and Migrant Rights</v>
      </c>
      <c r="I136" s="1" t="str">
        <f ca="1">IFERROR(__xludf.DUMMYFUNCTION("""COMPUTED_VALUE"""),"2025")</f>
        <v>2025</v>
      </c>
      <c r="J136" s="1" t="str">
        <f ca="1">IFERROR(__xludf.DUMMYFUNCTION("""COMPUTED_VALUE"""),"Letter")</f>
        <v>Letter</v>
      </c>
    </row>
    <row r="137" spans="1:10" ht="13" x14ac:dyDescent="0.15">
      <c r="A137" s="4">
        <f ca="1">IFERROR(__xludf.DUMMYFUNCTION("""COMPUTED_VALUE"""),30351065)</f>
        <v>30351065</v>
      </c>
      <c r="B137" s="1" t="str">
        <f ca="1">IFERROR(__xludf.DUMMYFUNCTION("""COMPUTED_VALUE"""),"angus@well.com")</f>
        <v>angus@well.com</v>
      </c>
      <c r="C137" s="4" t="str">
        <f ca="1">IFERROR(__xludf.DUMMYFUNCTION("""COMPUTED_VALUE"""),"EVERGREEN - UAN Gated Content - Embedded Petition")</f>
        <v>EVERGREEN - UAN Gated Content - Embedded Petition</v>
      </c>
      <c r="D137" s="5">
        <f ca="1">IFERROR(__xludf.DUMMYFUNCTION("""COMPUTED_VALUE"""),45694)</f>
        <v>45694</v>
      </c>
      <c r="F137" s="1" t="str">
        <f ca="1">IFERROR(__xludf.DUMMYFUNCTION("""COMPUTED_VALUE"""),"USA")</f>
        <v>USA</v>
      </c>
      <c r="G137" s="1" t="str">
        <f ca="1">IFERROR(__xludf.DUMMYFUNCTION("""COMPUTED_VALUE"""),"4.25 USA")</f>
        <v>4.25 USA</v>
      </c>
      <c r="H137" s="1" t="str">
        <f ca="1">IFERROR(__xludf.DUMMYFUNCTION("""COMPUTED_VALUE"""),"Individuals At Risk, Refugee and Migrant Rights")</f>
        <v>Individuals At Risk, Refugee and Migrant Rights</v>
      </c>
      <c r="I137" s="1" t="str">
        <f ca="1">IFERROR(__xludf.DUMMYFUNCTION("""COMPUTED_VALUE"""),"2025")</f>
        <v>2025</v>
      </c>
      <c r="J137" s="1" t="str">
        <f ca="1">IFERROR(__xludf.DUMMYFUNCTION("""COMPUTED_VALUE"""),"Letter")</f>
        <v>Letter</v>
      </c>
    </row>
    <row r="138" spans="1:10" ht="13" x14ac:dyDescent="0.15">
      <c r="A138" s="4">
        <f ca="1">IFERROR(__xludf.DUMMYFUNCTION("""COMPUTED_VALUE"""),30353594)</f>
        <v>30353594</v>
      </c>
      <c r="B138" s="1" t="str">
        <f ca="1">IFERROR(__xludf.DUMMYFUNCTION("""COMPUTED_VALUE"""),"clementi33@aol.com")</f>
        <v>clementi33@aol.com</v>
      </c>
      <c r="C138" s="4" t="str">
        <f ca="1">IFERROR(__xludf.DUMMYFUNCTION("""COMPUTED_VALUE"""),"EVERGREEN - UAN Gated Content - Embedded Petition")</f>
        <v>EVERGREEN - UAN Gated Content - Embedded Petition</v>
      </c>
      <c r="D138" s="5">
        <f ca="1">IFERROR(__xludf.DUMMYFUNCTION("""COMPUTED_VALUE"""),45694)</f>
        <v>45694</v>
      </c>
      <c r="F138" s="1" t="str">
        <f ca="1">IFERROR(__xludf.DUMMYFUNCTION("""COMPUTED_VALUE"""),"USA")</f>
        <v>USA</v>
      </c>
      <c r="G138" s="1" t="str">
        <f ca="1">IFERROR(__xludf.DUMMYFUNCTION("""COMPUTED_VALUE"""),"4.25 USA")</f>
        <v>4.25 USA</v>
      </c>
      <c r="H138" s="1" t="str">
        <f ca="1">IFERROR(__xludf.DUMMYFUNCTION("""COMPUTED_VALUE"""),"Individuals At Risk, Refugee and Migrant Rights")</f>
        <v>Individuals At Risk, Refugee and Migrant Rights</v>
      </c>
      <c r="I138" s="1" t="str">
        <f ca="1">IFERROR(__xludf.DUMMYFUNCTION("""COMPUTED_VALUE"""),"2025")</f>
        <v>2025</v>
      </c>
      <c r="J138" s="1" t="str">
        <f ca="1">IFERROR(__xludf.DUMMYFUNCTION("""COMPUTED_VALUE"""),"Letter")</f>
        <v>Letter</v>
      </c>
    </row>
    <row r="139" spans="1:10" ht="13" x14ac:dyDescent="0.15">
      <c r="A139" s="4">
        <f ca="1">IFERROR(__xludf.DUMMYFUNCTION("""COMPUTED_VALUE"""),30353594)</f>
        <v>30353594</v>
      </c>
      <c r="B139" s="1" t="str">
        <f ca="1">IFERROR(__xludf.DUMMYFUNCTION("""COMPUTED_VALUE"""),"clementi33@aol.com")</f>
        <v>clementi33@aol.com</v>
      </c>
      <c r="C139" s="4" t="str">
        <f ca="1">IFERROR(__xludf.DUMMYFUNCTION("""COMPUTED_VALUE"""),"EVERGREEN - UAN Gated Content - Embedded Petition")</f>
        <v>EVERGREEN - UAN Gated Content - Embedded Petition</v>
      </c>
      <c r="D139" s="5">
        <f ca="1">IFERROR(__xludf.DUMMYFUNCTION("""COMPUTED_VALUE"""),45694)</f>
        <v>45694</v>
      </c>
      <c r="F139" s="1" t="str">
        <f ca="1">IFERROR(__xludf.DUMMYFUNCTION("""COMPUTED_VALUE"""),"USA")</f>
        <v>USA</v>
      </c>
      <c r="G139" s="1" t="str">
        <f ca="1">IFERROR(__xludf.DUMMYFUNCTION("""COMPUTED_VALUE"""),"4.25 USA")</f>
        <v>4.25 USA</v>
      </c>
      <c r="H139" s="1" t="str">
        <f ca="1">IFERROR(__xludf.DUMMYFUNCTION("""COMPUTED_VALUE"""),"Individuals At Risk, Refugee and Migrant Rights")</f>
        <v>Individuals At Risk, Refugee and Migrant Rights</v>
      </c>
      <c r="I139" s="1" t="str">
        <f ca="1">IFERROR(__xludf.DUMMYFUNCTION("""COMPUTED_VALUE"""),"2025")</f>
        <v>2025</v>
      </c>
      <c r="J139" s="1" t="str">
        <f ca="1">IFERROR(__xludf.DUMMYFUNCTION("""COMPUTED_VALUE"""),"Letter")</f>
        <v>Letter</v>
      </c>
    </row>
    <row r="140" spans="1:10" ht="13" x14ac:dyDescent="0.15">
      <c r="A140" s="4">
        <f ca="1">IFERROR(__xludf.DUMMYFUNCTION("""COMPUTED_VALUE"""),30353932)</f>
        <v>30353932</v>
      </c>
      <c r="B140" s="1" t="str">
        <f ca="1">IFERROR(__xludf.DUMMYFUNCTION("""COMPUTED_VALUE"""),"msand@isunet.net")</f>
        <v>msand@isunet.net</v>
      </c>
      <c r="C140" s="4" t="str">
        <f ca="1">IFERROR(__xludf.DUMMYFUNCTION("""COMPUTED_VALUE"""),"EVERGREEN - UAN Gated Content - Embedded Petition")</f>
        <v>EVERGREEN - UAN Gated Content - Embedded Petition</v>
      </c>
      <c r="D140" s="5">
        <f ca="1">IFERROR(__xludf.DUMMYFUNCTION("""COMPUTED_VALUE"""),45697)</f>
        <v>45697</v>
      </c>
      <c r="F140" s="1" t="str">
        <f ca="1">IFERROR(__xludf.DUMMYFUNCTION("""COMPUTED_VALUE"""),"USA")</f>
        <v>USA</v>
      </c>
      <c r="G140" s="1" t="str">
        <f ca="1">IFERROR(__xludf.DUMMYFUNCTION("""COMPUTED_VALUE"""),"4.25 USA")</f>
        <v>4.25 USA</v>
      </c>
      <c r="H140" s="1" t="str">
        <f ca="1">IFERROR(__xludf.DUMMYFUNCTION("""COMPUTED_VALUE"""),"Individuals At Risk, Refugee and Migrant Rights")</f>
        <v>Individuals At Risk, Refugee and Migrant Rights</v>
      </c>
      <c r="I140" s="1" t="str">
        <f ca="1">IFERROR(__xludf.DUMMYFUNCTION("""COMPUTED_VALUE"""),"2025")</f>
        <v>2025</v>
      </c>
      <c r="J140" s="1" t="str">
        <f ca="1">IFERROR(__xludf.DUMMYFUNCTION("""COMPUTED_VALUE"""),"Letter")</f>
        <v>Letter</v>
      </c>
    </row>
    <row r="141" spans="1:10" ht="13" x14ac:dyDescent="0.15">
      <c r="A141" s="4">
        <f ca="1">IFERROR(__xludf.DUMMYFUNCTION("""COMPUTED_VALUE"""),30354096)</f>
        <v>30354096</v>
      </c>
      <c r="B141" s="1" t="str">
        <f ca="1">IFERROR(__xludf.DUMMYFUNCTION("""COMPUTED_VALUE"""),"cgabriel@aiusa.org")</f>
        <v>cgabriel@aiusa.org</v>
      </c>
      <c r="C141" s="4" t="str">
        <f ca="1">IFERROR(__xludf.DUMMYFUNCTION("""COMPUTED_VALUE"""),"EVERGREEN - UAN Gated Content - Embedded Petition")</f>
        <v>EVERGREEN - UAN Gated Content - Embedded Petition</v>
      </c>
      <c r="D141" s="5">
        <f ca="1">IFERROR(__xludf.DUMMYFUNCTION("""COMPUTED_VALUE"""),45677)</f>
        <v>45677</v>
      </c>
      <c r="F141" s="1" t="str">
        <f ca="1">IFERROR(__xludf.DUMMYFUNCTION("""COMPUTED_VALUE"""),"USA")</f>
        <v>USA</v>
      </c>
      <c r="G141" s="1" t="str">
        <f ca="1">IFERROR(__xludf.DUMMYFUNCTION("""COMPUTED_VALUE"""),"4.25 USA")</f>
        <v>4.25 USA</v>
      </c>
      <c r="H141" s="1" t="str">
        <f ca="1">IFERROR(__xludf.DUMMYFUNCTION("""COMPUTED_VALUE"""),"Individuals At Risk, Refugee and Migrant Rights")</f>
        <v>Individuals At Risk, Refugee and Migrant Rights</v>
      </c>
      <c r="I141" s="1" t="str">
        <f ca="1">IFERROR(__xludf.DUMMYFUNCTION("""COMPUTED_VALUE"""),"2025")</f>
        <v>2025</v>
      </c>
      <c r="J141" s="1" t="str">
        <f ca="1">IFERROR(__xludf.DUMMYFUNCTION("""COMPUTED_VALUE"""),"Letter")</f>
        <v>Letter</v>
      </c>
    </row>
    <row r="142" spans="1:10" ht="13" x14ac:dyDescent="0.15">
      <c r="A142" s="4">
        <f ca="1">IFERROR(__xludf.DUMMYFUNCTION("""COMPUTED_VALUE"""),30354096)</f>
        <v>30354096</v>
      </c>
      <c r="B142" s="1" t="str">
        <f ca="1">IFERROR(__xludf.DUMMYFUNCTION("""COMPUTED_VALUE"""),"cgabriel@aiusa.org")</f>
        <v>cgabriel@aiusa.org</v>
      </c>
      <c r="C142" s="4" t="str">
        <f ca="1">IFERROR(__xludf.DUMMYFUNCTION("""COMPUTED_VALUE"""),"EVERGREEN - UAN Gated Content - Embedded Petition")</f>
        <v>EVERGREEN - UAN Gated Content - Embedded Petition</v>
      </c>
      <c r="D142" s="5">
        <f ca="1">IFERROR(__xludf.DUMMYFUNCTION("""COMPUTED_VALUE"""),45677)</f>
        <v>45677</v>
      </c>
      <c r="F142" s="1" t="str">
        <f ca="1">IFERROR(__xludf.DUMMYFUNCTION("""COMPUTED_VALUE"""),"USA")</f>
        <v>USA</v>
      </c>
      <c r="G142" s="1" t="str">
        <f ca="1">IFERROR(__xludf.DUMMYFUNCTION("""COMPUTED_VALUE"""),"4.25 USA")</f>
        <v>4.25 USA</v>
      </c>
      <c r="H142" s="1" t="str">
        <f ca="1">IFERROR(__xludf.DUMMYFUNCTION("""COMPUTED_VALUE"""),"Individuals At Risk, Refugee and Migrant Rights")</f>
        <v>Individuals At Risk, Refugee and Migrant Rights</v>
      </c>
      <c r="I142" s="1" t="str">
        <f ca="1">IFERROR(__xludf.DUMMYFUNCTION("""COMPUTED_VALUE"""),"2025")</f>
        <v>2025</v>
      </c>
      <c r="J142" s="1" t="str">
        <f ca="1">IFERROR(__xludf.DUMMYFUNCTION("""COMPUTED_VALUE"""),"Letter")</f>
        <v>Letter</v>
      </c>
    </row>
    <row r="143" spans="1:10" ht="13" x14ac:dyDescent="0.15">
      <c r="A143" s="4">
        <f ca="1">IFERROR(__xludf.DUMMYFUNCTION("""COMPUTED_VALUE"""),30354096)</f>
        <v>30354096</v>
      </c>
      <c r="B143" s="1" t="str">
        <f ca="1">IFERROR(__xludf.DUMMYFUNCTION("""COMPUTED_VALUE"""),"cgabriel@aiusa.org")</f>
        <v>cgabriel@aiusa.org</v>
      </c>
      <c r="C143" s="4" t="str">
        <f ca="1">IFERROR(__xludf.DUMMYFUNCTION("""COMPUTED_VALUE"""),"EVERGREEN - UAN Gated Content - Embedded Petition")</f>
        <v>EVERGREEN - UAN Gated Content - Embedded Petition</v>
      </c>
      <c r="D143" s="5">
        <f ca="1">IFERROR(__xludf.DUMMYFUNCTION("""COMPUTED_VALUE"""),45674)</f>
        <v>45674</v>
      </c>
      <c r="F143" s="1" t="str">
        <f ca="1">IFERROR(__xludf.DUMMYFUNCTION("""COMPUTED_VALUE"""),"Singapore")</f>
        <v>Singapore</v>
      </c>
      <c r="G143" s="1" t="str">
        <f ca="1">IFERROR(__xludf.DUMMYFUNCTION("""COMPUTED_VALUE"""),"107.24 Singapore")</f>
        <v>107.24 Singapore</v>
      </c>
      <c r="H143" s="1" t="str">
        <f ca="1">IFERROR(__xludf.DUMMYFUNCTION("""COMPUTED_VALUE"""),"Death Penalty")</f>
        <v>Death Penalty</v>
      </c>
      <c r="I143" s="1" t="str">
        <f ca="1">IFERROR(__xludf.DUMMYFUNCTION("""COMPUTED_VALUE"""),"2024")</f>
        <v>2024</v>
      </c>
      <c r="J143" s="1" t="str">
        <f ca="1">IFERROR(__xludf.DUMMYFUNCTION("""COMPUTED_VALUE"""),"Email")</f>
        <v>Email</v>
      </c>
    </row>
    <row r="144" spans="1:10" ht="13" x14ac:dyDescent="0.15">
      <c r="A144" s="4">
        <f ca="1">IFERROR(__xludf.DUMMYFUNCTION("""COMPUTED_VALUE"""),30354096)</f>
        <v>30354096</v>
      </c>
      <c r="B144" s="1" t="str">
        <f ca="1">IFERROR(__xludf.DUMMYFUNCTION("""COMPUTED_VALUE"""),"cgabriel@aiusa.org")</f>
        <v>cgabriel@aiusa.org</v>
      </c>
      <c r="C144" s="4" t="str">
        <f ca="1">IFERROR(__xludf.DUMMYFUNCTION("""COMPUTED_VALUE"""),"EVERGREEN - UAN Gated Content - Embedded Petition")</f>
        <v>EVERGREEN - UAN Gated Content - Embedded Petition</v>
      </c>
      <c r="D144" s="5">
        <f ca="1">IFERROR(__xludf.DUMMYFUNCTION("""COMPUTED_VALUE"""),45671)</f>
        <v>45671</v>
      </c>
      <c r="F144" s="1" t="str">
        <f ca="1">IFERROR(__xludf.DUMMYFUNCTION("""COMPUTED_VALUE"""),"Israel and Occupied Palestinian Territories")</f>
        <v>Israel and Occupied Palestinian Territories</v>
      </c>
      <c r="G144" s="1" t="str">
        <f ca="1">IFERROR(__xludf.DUMMYFUNCTION("""COMPUTED_VALUE"""),"3.25 IOPT")</f>
        <v>3.25 IOPT</v>
      </c>
      <c r="H144" s="1" t="str">
        <f ca="1">IFERROR(__xludf.DUMMYFUNCTION("""COMPUTED_VALUE"""),"Freedom of Expression, Individuals At Risk")</f>
        <v>Freedom of Expression, Individuals At Risk</v>
      </c>
      <c r="I144" s="1" t="str">
        <f ca="1">IFERROR(__xludf.DUMMYFUNCTION("""COMPUTED_VALUE"""),"2025")</f>
        <v>2025</v>
      </c>
      <c r="J144" s="1" t="str">
        <f ca="1">IFERROR(__xludf.DUMMYFUNCTION("""COMPUTED_VALUE"""),"Email")</f>
        <v>Email</v>
      </c>
    </row>
    <row r="145" spans="1:10" ht="13" x14ac:dyDescent="0.15">
      <c r="A145" s="4">
        <f ca="1">IFERROR(__xludf.DUMMYFUNCTION("""COMPUTED_VALUE"""),30354096)</f>
        <v>30354096</v>
      </c>
      <c r="B145" s="1" t="str">
        <f ca="1">IFERROR(__xludf.DUMMYFUNCTION("""COMPUTED_VALUE"""),"cgabriel@aiusa.org")</f>
        <v>cgabriel@aiusa.org</v>
      </c>
      <c r="C145" s="4" t="str">
        <f ca="1">IFERROR(__xludf.DUMMYFUNCTION("""COMPUTED_VALUE"""),"EVERGREEN - UAN Gated Content - Embedded Petition")</f>
        <v>EVERGREEN - UAN Gated Content - Embedded Petition</v>
      </c>
      <c r="D145" s="5">
        <f ca="1">IFERROR(__xludf.DUMMYFUNCTION("""COMPUTED_VALUE"""),45672)</f>
        <v>45672</v>
      </c>
      <c r="F145" s="1" t="str">
        <f ca="1">IFERROR(__xludf.DUMMYFUNCTION("""COMPUTED_VALUE"""),"Israel and Occupied Palestinian Territories")</f>
        <v>Israel and Occupied Palestinian Territories</v>
      </c>
      <c r="G145" s="1" t="str">
        <f ca="1">IFERROR(__xludf.DUMMYFUNCTION("""COMPUTED_VALUE"""),"3.25 IOPT")</f>
        <v>3.25 IOPT</v>
      </c>
      <c r="H145" s="1" t="str">
        <f ca="1">IFERROR(__xludf.DUMMYFUNCTION("""COMPUTED_VALUE"""),"Freedom of Expression, Individuals At Risk")</f>
        <v>Freedom of Expression, Individuals At Risk</v>
      </c>
      <c r="I145" s="1" t="str">
        <f ca="1">IFERROR(__xludf.DUMMYFUNCTION("""COMPUTED_VALUE"""),"2025")</f>
        <v>2025</v>
      </c>
      <c r="J145" s="1" t="str">
        <f ca="1">IFERROR(__xludf.DUMMYFUNCTION("""COMPUTED_VALUE"""),"Email")</f>
        <v>Email</v>
      </c>
    </row>
    <row r="146" spans="1:10" ht="13" x14ac:dyDescent="0.15">
      <c r="A146" s="4">
        <f ca="1">IFERROR(__xludf.DUMMYFUNCTION("""COMPUTED_VALUE"""),30354096)</f>
        <v>30354096</v>
      </c>
      <c r="B146" s="1" t="str">
        <f ca="1">IFERROR(__xludf.DUMMYFUNCTION("""COMPUTED_VALUE"""),"cgabriel@aiusa.org")</f>
        <v>cgabriel@aiusa.org</v>
      </c>
      <c r="C146" s="4" t="str">
        <f ca="1">IFERROR(__xludf.DUMMYFUNCTION("""COMPUTED_VALUE"""),"EVERGREEN - UAN Gated Content - Embedded Petition")</f>
        <v>EVERGREEN - UAN Gated Content - Embedded Petition</v>
      </c>
      <c r="D146" s="5">
        <f ca="1">IFERROR(__xludf.DUMMYFUNCTION("""COMPUTED_VALUE"""),45673)</f>
        <v>45673</v>
      </c>
      <c r="F146" s="1" t="str">
        <f ca="1">IFERROR(__xludf.DUMMYFUNCTION("""COMPUTED_VALUE"""),"USA")</f>
        <v>USA</v>
      </c>
      <c r="G146" s="1" t="str">
        <f ca="1">IFERROR(__xludf.DUMMYFUNCTION("""COMPUTED_VALUE"""),"96.24 USA")</f>
        <v>96.24 USA</v>
      </c>
      <c r="H146" s="1" t="str">
        <f ca="1">IFERROR(__xludf.DUMMYFUNCTION("""COMPUTED_VALUE"""),"Death Penalty")</f>
        <v>Death Penalty</v>
      </c>
      <c r="I146" s="1" t="str">
        <f ca="1">IFERROR(__xludf.DUMMYFUNCTION("""COMPUTED_VALUE"""),"2024")</f>
        <v>2024</v>
      </c>
      <c r="J146" s="1" t="str">
        <f ca="1">IFERROR(__xludf.DUMMYFUNCTION("""COMPUTED_VALUE"""),"Email")</f>
        <v>Email</v>
      </c>
    </row>
    <row r="147" spans="1:10" ht="13" x14ac:dyDescent="0.15">
      <c r="A147" s="4">
        <f ca="1">IFERROR(__xludf.DUMMYFUNCTION("""COMPUTED_VALUE"""),30354096)</f>
        <v>30354096</v>
      </c>
      <c r="B147" s="1" t="str">
        <f ca="1">IFERROR(__xludf.DUMMYFUNCTION("""COMPUTED_VALUE"""),"cgabriel@aiusa.org")</f>
        <v>cgabriel@aiusa.org</v>
      </c>
      <c r="C147" s="4" t="str">
        <f ca="1">IFERROR(__xludf.DUMMYFUNCTION("""COMPUTED_VALUE"""),"EVERGREEN - UAN Gated Content - Embedded Petition")</f>
        <v>EVERGREEN - UAN Gated Content - Embedded Petition</v>
      </c>
      <c r="D147" s="5">
        <f ca="1">IFERROR(__xludf.DUMMYFUNCTION("""COMPUTED_VALUE"""),45677)</f>
        <v>45677</v>
      </c>
      <c r="F147" s="1" t="str">
        <f ca="1">IFERROR(__xludf.DUMMYFUNCTION("""COMPUTED_VALUE"""),"USA")</f>
        <v>USA</v>
      </c>
      <c r="G147" s="1" t="str">
        <f ca="1">IFERROR(__xludf.DUMMYFUNCTION("""COMPUTED_VALUE"""),"105.24 USA")</f>
        <v>105.24 USA</v>
      </c>
      <c r="H147" s="1" t="str">
        <f ca="1">IFERROR(__xludf.DUMMYFUNCTION("""COMPUTED_VALUE"""),"Death Penalty")</f>
        <v>Death Penalty</v>
      </c>
      <c r="I147" s="1" t="str">
        <f ca="1">IFERROR(__xludf.DUMMYFUNCTION("""COMPUTED_VALUE"""),"2024")</f>
        <v>2024</v>
      </c>
      <c r="J147" s="1" t="str">
        <f ca="1">IFERROR(__xludf.DUMMYFUNCTION("""COMPUTED_VALUE"""),"Email")</f>
        <v>Email</v>
      </c>
    </row>
    <row r="148" spans="1:10" ht="13" x14ac:dyDescent="0.15">
      <c r="A148" s="4">
        <f ca="1">IFERROR(__xludf.DUMMYFUNCTION("""COMPUTED_VALUE"""),30354096)</f>
        <v>30354096</v>
      </c>
      <c r="B148" s="1" t="str">
        <f ca="1">IFERROR(__xludf.DUMMYFUNCTION("""COMPUTED_VALUE"""),"cgabriel@aiusa.org")</f>
        <v>cgabriel@aiusa.org</v>
      </c>
      <c r="C148" s="4" t="str">
        <f ca="1">IFERROR(__xludf.DUMMYFUNCTION("""COMPUTED_VALUE"""),"EVERGREEN - UAN Gated Content - Embedded Petition")</f>
        <v>EVERGREEN - UAN Gated Content - Embedded Petition</v>
      </c>
      <c r="D148" s="5">
        <f ca="1">IFERROR(__xludf.DUMMYFUNCTION("""COMPUTED_VALUE"""),45677)</f>
        <v>45677</v>
      </c>
      <c r="F148" s="1" t="str">
        <f ca="1">IFERROR(__xludf.DUMMYFUNCTION("""COMPUTED_VALUE"""),"Egypt")</f>
        <v>Egypt</v>
      </c>
      <c r="G148" s="1" t="str">
        <f ca="1">IFERROR(__xludf.DUMMYFUNCTION("""COMPUTED_VALUE"""),"Ninth 190.18 Egypt")</f>
        <v>Ninth 190.18 Egypt</v>
      </c>
      <c r="H148" s="1" t="str">
        <f ca="1">IFERROR(__xludf.DUMMYFUNCTION("""COMPUTED_VALUE"""),"Freedom of Expression, Individuals At Risk")</f>
        <v>Freedom of Expression, Individuals At Risk</v>
      </c>
      <c r="I148" s="1" t="str">
        <f ca="1">IFERROR(__xludf.DUMMYFUNCTION("""COMPUTED_VALUE"""),"2024")</f>
        <v>2024</v>
      </c>
      <c r="J148" s="1" t="str">
        <f ca="1">IFERROR(__xludf.DUMMYFUNCTION("""COMPUTED_VALUE"""),"Letter")</f>
        <v>Letter</v>
      </c>
    </row>
    <row r="149" spans="1:10" ht="13" x14ac:dyDescent="0.15">
      <c r="A149" s="4">
        <f ca="1">IFERROR(__xludf.DUMMYFUNCTION("""COMPUTED_VALUE"""),30354096)</f>
        <v>30354096</v>
      </c>
      <c r="B149" s="1" t="str">
        <f ca="1">IFERROR(__xludf.DUMMYFUNCTION("""COMPUTED_VALUE"""),"cgabriel@aiusa.org")</f>
        <v>cgabriel@aiusa.org</v>
      </c>
      <c r="C149" s="4" t="str">
        <f ca="1">IFERROR(__xludf.DUMMYFUNCTION("""COMPUTED_VALUE"""),"EVERGREEN - UAN Gated Content - Embedded Petition")</f>
        <v>EVERGREEN - UAN Gated Content - Embedded Petition</v>
      </c>
      <c r="D149" s="5">
        <f ca="1">IFERROR(__xludf.DUMMYFUNCTION("""COMPUTED_VALUE"""),45677)</f>
        <v>45677</v>
      </c>
      <c r="F149" s="1" t="str">
        <f ca="1">IFERROR(__xludf.DUMMYFUNCTION("""COMPUTED_VALUE"""),"Dominican Republic")</f>
        <v>Dominican Republic</v>
      </c>
      <c r="G149" s="1" t="str">
        <f ca="1">IFERROR(__xludf.DUMMYFUNCTION("""COMPUTED_VALUE"""),"88.24 Dominican Republic")</f>
        <v>88.24 Dominican Republic</v>
      </c>
      <c r="H149" s="1" t="str">
        <f ca="1">IFERROR(__xludf.DUMMYFUNCTION("""COMPUTED_VALUE"""),"Individuals At Risk, Refugee and Migrant Rights")</f>
        <v>Individuals At Risk, Refugee and Migrant Rights</v>
      </c>
      <c r="I149" s="1" t="str">
        <f ca="1">IFERROR(__xludf.DUMMYFUNCTION("""COMPUTED_VALUE"""),"2024")</f>
        <v>2024</v>
      </c>
      <c r="J149" s="1" t="str">
        <f ca="1">IFERROR(__xludf.DUMMYFUNCTION("""COMPUTED_VALUE"""),"Letter")</f>
        <v>Letter</v>
      </c>
    </row>
    <row r="150" spans="1:10" ht="13" x14ac:dyDescent="0.15">
      <c r="A150" s="4">
        <f ca="1">IFERROR(__xludf.DUMMYFUNCTION("""COMPUTED_VALUE"""),30354096)</f>
        <v>30354096</v>
      </c>
      <c r="B150" s="1" t="str">
        <f ca="1">IFERROR(__xludf.DUMMYFUNCTION("""COMPUTED_VALUE"""),"cgabriel@aiusa.org")</f>
        <v>cgabriel@aiusa.org</v>
      </c>
      <c r="C150" s="4" t="str">
        <f ca="1">IFERROR(__xludf.DUMMYFUNCTION("""COMPUTED_VALUE"""),"EVERGREEN - UAN Gated Content - Embedded Petition")</f>
        <v>EVERGREEN - UAN Gated Content - Embedded Petition</v>
      </c>
      <c r="D150" s="5">
        <f ca="1">IFERROR(__xludf.DUMMYFUNCTION("""COMPUTED_VALUE"""),45677)</f>
        <v>45677</v>
      </c>
      <c r="F150" s="1" t="str">
        <f ca="1">IFERROR(__xludf.DUMMYFUNCTION("""COMPUTED_VALUE"""),"USA")</f>
        <v>USA</v>
      </c>
      <c r="G150" s="1" t="str">
        <f ca="1">IFERROR(__xludf.DUMMYFUNCTION("""COMPUTED_VALUE"""),"4.25 USA")</f>
        <v>4.25 USA</v>
      </c>
      <c r="H150" s="1" t="str">
        <f ca="1">IFERROR(__xludf.DUMMYFUNCTION("""COMPUTED_VALUE"""),"Individuals At Risk, Refugee and Migrant Rights")</f>
        <v>Individuals At Risk, Refugee and Migrant Rights</v>
      </c>
      <c r="I150" s="1" t="str">
        <f ca="1">IFERROR(__xludf.DUMMYFUNCTION("""COMPUTED_VALUE"""),"2025")</f>
        <v>2025</v>
      </c>
      <c r="J150" s="1" t="str">
        <f ca="1">IFERROR(__xludf.DUMMYFUNCTION("""COMPUTED_VALUE"""),"Letter")</f>
        <v>Letter</v>
      </c>
    </row>
    <row r="151" spans="1:10" ht="13" x14ac:dyDescent="0.15">
      <c r="A151" s="4">
        <f ca="1">IFERROR(__xludf.DUMMYFUNCTION("""COMPUTED_VALUE"""),30354096)</f>
        <v>30354096</v>
      </c>
      <c r="B151" s="1" t="str">
        <f ca="1">IFERROR(__xludf.DUMMYFUNCTION("""COMPUTED_VALUE"""),"cgabriel@aiusa.org")</f>
        <v>cgabriel@aiusa.org</v>
      </c>
      <c r="C151" s="4" t="str">
        <f ca="1">IFERROR(__xludf.DUMMYFUNCTION("""COMPUTED_VALUE"""),"EVERGREEN - UAN Gated Content - Embedded Petition")</f>
        <v>EVERGREEN - UAN Gated Content - Embedded Petition</v>
      </c>
      <c r="D151" s="5">
        <f ca="1">IFERROR(__xludf.DUMMYFUNCTION("""COMPUTED_VALUE"""),45678)</f>
        <v>45678</v>
      </c>
      <c r="F151" s="1" t="str">
        <f ca="1">IFERROR(__xludf.DUMMYFUNCTION("""COMPUTED_VALUE"""),"Uganda")</f>
        <v>Uganda</v>
      </c>
      <c r="G151" s="1" t="str">
        <f ca="1">IFERROR(__xludf.DUMMYFUNCTION("""COMPUTED_VALUE"""),"9.25 Uganda")</f>
        <v>9.25 Uganda</v>
      </c>
      <c r="H151" s="1" t="str">
        <f ca="1">IFERROR(__xludf.DUMMYFUNCTION("""COMPUTED_VALUE"""),"Freedom of Expression, Human Rights Defenders")</f>
        <v>Freedom of Expression, Human Rights Defenders</v>
      </c>
      <c r="I151" s="1" t="str">
        <f ca="1">IFERROR(__xludf.DUMMYFUNCTION("""COMPUTED_VALUE"""),"2025")</f>
        <v>2025</v>
      </c>
      <c r="J151" s="1" t="str">
        <f ca="1">IFERROR(__xludf.DUMMYFUNCTION("""COMPUTED_VALUE"""),"Email")</f>
        <v>Email</v>
      </c>
    </row>
    <row r="152" spans="1:10" ht="13" x14ac:dyDescent="0.15">
      <c r="A152" s="4">
        <f ca="1">IFERROR(__xludf.DUMMYFUNCTION("""COMPUTED_VALUE"""),30354096)</f>
        <v>30354096</v>
      </c>
      <c r="B152" s="1" t="str">
        <f ca="1">IFERROR(__xludf.DUMMYFUNCTION("""COMPUTED_VALUE"""),"cgabriel@aiusa.org")</f>
        <v>cgabriel@aiusa.org</v>
      </c>
      <c r="C152" s="4" t="str">
        <f ca="1">IFERROR(__xludf.DUMMYFUNCTION("""COMPUTED_VALUE"""),"EVERGREEN - UAN Gated Content - Embedded Petition")</f>
        <v>EVERGREEN - UAN Gated Content - Embedded Petition</v>
      </c>
      <c r="D152" s="5">
        <f ca="1">IFERROR(__xludf.DUMMYFUNCTION("""COMPUTED_VALUE"""),45677)</f>
        <v>45677</v>
      </c>
      <c r="F152" s="1" t="str">
        <f ca="1">IFERROR(__xludf.DUMMYFUNCTION("""COMPUTED_VALUE"""),"China")</f>
        <v>China</v>
      </c>
      <c r="G152" s="1" t="str">
        <f ca="1">IFERROR(__xludf.DUMMYFUNCTION("""COMPUTED_VALUE"""),"98.24 China")</f>
        <v>98.24 China</v>
      </c>
      <c r="H152" s="1" t="str">
        <f ca="1">IFERROR(__xludf.DUMMYFUNCTION("""COMPUTED_VALUE"""),"Freedom of Expression, Individuals At Risk")</f>
        <v>Freedom of Expression, Individuals At Risk</v>
      </c>
      <c r="I152" s="1" t="str">
        <f ca="1">IFERROR(__xludf.DUMMYFUNCTION("""COMPUTED_VALUE"""),"2024")</f>
        <v>2024</v>
      </c>
      <c r="J152" s="1" t="str">
        <f ca="1">IFERROR(__xludf.DUMMYFUNCTION("""COMPUTED_VALUE"""),"Letter")</f>
        <v>Letter</v>
      </c>
    </row>
    <row r="153" spans="1:10" ht="13" x14ac:dyDescent="0.15">
      <c r="A153" s="4">
        <f ca="1">IFERROR(__xludf.DUMMYFUNCTION("""COMPUTED_VALUE"""),30354096)</f>
        <v>30354096</v>
      </c>
      <c r="B153" s="1" t="str">
        <f ca="1">IFERROR(__xludf.DUMMYFUNCTION("""COMPUTED_VALUE"""),"cgabriel@aiusa.org")</f>
        <v>cgabriel@aiusa.org</v>
      </c>
      <c r="C153" s="4" t="str">
        <f ca="1">IFERROR(__xludf.DUMMYFUNCTION("""COMPUTED_VALUE"""),"EVERGREEN - UAN Gated Content - Embedded Petition")</f>
        <v>EVERGREEN - UAN Gated Content - Embedded Petition</v>
      </c>
      <c r="D153" s="5">
        <f ca="1">IFERROR(__xludf.DUMMYFUNCTION("""COMPUTED_VALUE"""),45677)</f>
        <v>45677</v>
      </c>
      <c r="F153" s="1" t="str">
        <f ca="1">IFERROR(__xludf.DUMMYFUNCTION("""COMPUTED_VALUE"""),"China")</f>
        <v>China</v>
      </c>
      <c r="G153" s="1" t="str">
        <f ca="1">IFERROR(__xludf.DUMMYFUNCTION("""COMPUTED_VALUE"""),"98.24 China")</f>
        <v>98.24 China</v>
      </c>
      <c r="H153" s="1" t="str">
        <f ca="1">IFERROR(__xludf.DUMMYFUNCTION("""COMPUTED_VALUE"""),"Freedom of Expression, Individuals At Risk")</f>
        <v>Freedom of Expression, Individuals At Risk</v>
      </c>
      <c r="I153" s="1" t="str">
        <f ca="1">IFERROR(__xludf.DUMMYFUNCTION("""COMPUTED_VALUE"""),"2024")</f>
        <v>2024</v>
      </c>
      <c r="J153" s="1" t="str">
        <f ca="1">IFERROR(__xludf.DUMMYFUNCTION("""COMPUTED_VALUE"""),"Letter")</f>
        <v>Letter</v>
      </c>
    </row>
    <row r="154" spans="1:10" ht="13" x14ac:dyDescent="0.15">
      <c r="A154" s="4">
        <f ca="1">IFERROR(__xludf.DUMMYFUNCTION("""COMPUTED_VALUE"""),30354096)</f>
        <v>30354096</v>
      </c>
      <c r="B154" s="1" t="str">
        <f ca="1">IFERROR(__xludf.DUMMYFUNCTION("""COMPUTED_VALUE"""),"cgabriel@aiusa.org")</f>
        <v>cgabriel@aiusa.org</v>
      </c>
      <c r="C154" s="4" t="str">
        <f ca="1">IFERROR(__xludf.DUMMYFUNCTION("""COMPUTED_VALUE"""),"EVERGREEN - UAN Gated Content - Embedded Petition")</f>
        <v>EVERGREEN - UAN Gated Content - Embedded Petition</v>
      </c>
      <c r="D154" s="5">
        <f ca="1">IFERROR(__xludf.DUMMYFUNCTION("""COMPUTED_VALUE"""),45677)</f>
        <v>45677</v>
      </c>
      <c r="F154" s="1" t="str">
        <f ca="1">IFERROR(__xludf.DUMMYFUNCTION("""COMPUTED_VALUE"""),"Saudi Arabia")</f>
        <v>Saudi Arabia</v>
      </c>
      <c r="G154" s="1" t="str">
        <f ca="1">IFERROR(__xludf.DUMMYFUNCTION("""COMPUTED_VALUE"""),"104.24 Saudi Arabia")</f>
        <v>104.24 Saudi Arabia</v>
      </c>
      <c r="H154" s="1" t="str">
        <f ca="1">IFERROR(__xludf.DUMMYFUNCTION("""COMPUTED_VALUE"""),"Individuals At Risk, Refugee and Migrant Rights")</f>
        <v>Individuals At Risk, Refugee and Migrant Rights</v>
      </c>
      <c r="I154" s="1" t="str">
        <f ca="1">IFERROR(__xludf.DUMMYFUNCTION("""COMPUTED_VALUE"""),"2024")</f>
        <v>2024</v>
      </c>
      <c r="J154" s="1" t="str">
        <f ca="1">IFERROR(__xludf.DUMMYFUNCTION("""COMPUTED_VALUE"""),"Email")</f>
        <v>Email</v>
      </c>
    </row>
    <row r="155" spans="1:10" ht="13" x14ac:dyDescent="0.15">
      <c r="A155" s="4">
        <f ca="1">IFERROR(__xludf.DUMMYFUNCTION("""COMPUTED_VALUE"""),30354096)</f>
        <v>30354096</v>
      </c>
      <c r="B155" s="1" t="str">
        <f ca="1">IFERROR(__xludf.DUMMYFUNCTION("""COMPUTED_VALUE"""),"cgabriel@aiusa.org")</f>
        <v>cgabriel@aiusa.org</v>
      </c>
      <c r="C155" s="4" t="str">
        <f ca="1">IFERROR(__xludf.DUMMYFUNCTION("""COMPUTED_VALUE"""),"EVERGREEN - UAN Gated Content - Embedded Petition")</f>
        <v>EVERGREEN - UAN Gated Content - Embedded Petition</v>
      </c>
      <c r="D155" s="5">
        <f ca="1">IFERROR(__xludf.DUMMYFUNCTION("""COMPUTED_VALUE"""),45677)</f>
        <v>45677</v>
      </c>
      <c r="F155" s="1" t="str">
        <f ca="1">IFERROR(__xludf.DUMMYFUNCTION("""COMPUTED_VALUE"""),"Egypt")</f>
        <v>Egypt</v>
      </c>
      <c r="G155" s="1" t="str">
        <f ca="1">IFERROR(__xludf.DUMMYFUNCTION("""COMPUTED_VALUE"""),"Ninth 190.18 Egypt")</f>
        <v>Ninth 190.18 Egypt</v>
      </c>
      <c r="H155" s="1" t="str">
        <f ca="1">IFERROR(__xludf.DUMMYFUNCTION("""COMPUTED_VALUE"""),"Freedom of Expression, Individuals At Risk")</f>
        <v>Freedom of Expression, Individuals At Risk</v>
      </c>
      <c r="I155" s="1" t="str">
        <f ca="1">IFERROR(__xludf.DUMMYFUNCTION("""COMPUTED_VALUE"""),"2024")</f>
        <v>2024</v>
      </c>
      <c r="J155" s="1" t="str">
        <f ca="1">IFERROR(__xludf.DUMMYFUNCTION("""COMPUTED_VALUE"""),"Letter")</f>
        <v>Letter</v>
      </c>
    </row>
    <row r="156" spans="1:10" ht="13" x14ac:dyDescent="0.15">
      <c r="A156" s="4">
        <f ca="1">IFERROR(__xludf.DUMMYFUNCTION("""COMPUTED_VALUE"""),30354096)</f>
        <v>30354096</v>
      </c>
      <c r="B156" s="1" t="str">
        <f ca="1">IFERROR(__xludf.DUMMYFUNCTION("""COMPUTED_VALUE"""),"cgabriel@aiusa.org")</f>
        <v>cgabriel@aiusa.org</v>
      </c>
      <c r="C156" s="4" t="str">
        <f ca="1">IFERROR(__xludf.DUMMYFUNCTION("""COMPUTED_VALUE"""),"EVERGREEN - UAN Gated Content - Embedded Petition")</f>
        <v>EVERGREEN - UAN Gated Content - Embedded Petition</v>
      </c>
      <c r="D156" s="5">
        <f ca="1">IFERROR(__xludf.DUMMYFUNCTION("""COMPUTED_VALUE"""),45677)</f>
        <v>45677</v>
      </c>
      <c r="F156" s="1" t="str">
        <f ca="1">IFERROR(__xludf.DUMMYFUNCTION("""COMPUTED_VALUE"""),"Saudi Arabia")</f>
        <v>Saudi Arabia</v>
      </c>
      <c r="G156" s="1" t="str">
        <f ca="1">IFERROR(__xludf.DUMMYFUNCTION("""COMPUTED_VALUE"""),"Second 85.23 Saudi Arabia")</f>
        <v>Second 85.23 Saudi Arabia</v>
      </c>
      <c r="H156" s="1" t="str">
        <f ca="1">IFERROR(__xludf.DUMMYFUNCTION("""COMPUTED_VALUE"""),"Freedom of Expression")</f>
        <v>Freedom of Expression</v>
      </c>
      <c r="I156" s="1" t="str">
        <f ca="1">IFERROR(__xludf.DUMMYFUNCTION("""COMPUTED_VALUE"""),"2024")</f>
        <v>2024</v>
      </c>
      <c r="J156" s="1" t="str">
        <f ca="1">IFERROR(__xludf.DUMMYFUNCTION("""COMPUTED_VALUE"""),"Letter")</f>
        <v>Letter</v>
      </c>
    </row>
    <row r="157" spans="1:10" ht="13" x14ac:dyDescent="0.15">
      <c r="A157" s="4">
        <f ca="1">IFERROR(__xludf.DUMMYFUNCTION("""COMPUTED_VALUE"""),30354096)</f>
        <v>30354096</v>
      </c>
      <c r="B157" s="1" t="str">
        <f ca="1">IFERROR(__xludf.DUMMYFUNCTION("""COMPUTED_VALUE"""),"cgabriel@aiusa.org")</f>
        <v>cgabriel@aiusa.org</v>
      </c>
      <c r="C157" s="4" t="str">
        <f ca="1">IFERROR(__xludf.DUMMYFUNCTION("""COMPUTED_VALUE"""),"EVERGREEN - UAN Gated Content - Embedded Petition")</f>
        <v>EVERGREEN - UAN Gated Content - Embedded Petition</v>
      </c>
      <c r="D157" s="5">
        <f ca="1">IFERROR(__xludf.DUMMYFUNCTION("""COMPUTED_VALUE"""),45677)</f>
        <v>45677</v>
      </c>
      <c r="F157" s="1" t="str">
        <f ca="1">IFERROR(__xludf.DUMMYFUNCTION("""COMPUTED_VALUE"""),"Dominican Republic")</f>
        <v>Dominican Republic</v>
      </c>
      <c r="G157" s="1" t="str">
        <f ca="1">IFERROR(__xludf.DUMMYFUNCTION("""COMPUTED_VALUE"""),"88.24 Dominican Republic")</f>
        <v>88.24 Dominican Republic</v>
      </c>
      <c r="H157" s="1" t="str">
        <f ca="1">IFERROR(__xludf.DUMMYFUNCTION("""COMPUTED_VALUE"""),"Individuals At Risk, Refugee and Migrant Rights")</f>
        <v>Individuals At Risk, Refugee and Migrant Rights</v>
      </c>
      <c r="I157" s="1" t="str">
        <f ca="1">IFERROR(__xludf.DUMMYFUNCTION("""COMPUTED_VALUE"""),"2024")</f>
        <v>2024</v>
      </c>
      <c r="J157" s="1" t="str">
        <f ca="1">IFERROR(__xludf.DUMMYFUNCTION("""COMPUTED_VALUE"""),"Letter")</f>
        <v>Letter</v>
      </c>
    </row>
    <row r="158" spans="1:10" ht="13" x14ac:dyDescent="0.15">
      <c r="A158" s="4">
        <f ca="1">IFERROR(__xludf.DUMMYFUNCTION("""COMPUTED_VALUE"""),30354096)</f>
        <v>30354096</v>
      </c>
      <c r="B158" s="1" t="str">
        <f ca="1">IFERROR(__xludf.DUMMYFUNCTION("""COMPUTED_VALUE"""),"cgabriel@aiusa.org")</f>
        <v>cgabriel@aiusa.org</v>
      </c>
      <c r="C158" s="4" t="str">
        <f ca="1">IFERROR(__xludf.DUMMYFUNCTION("""COMPUTED_VALUE"""),"EVERGREEN - UAN Gated Content - Embedded Petition")</f>
        <v>EVERGREEN - UAN Gated Content - Embedded Petition</v>
      </c>
      <c r="D158" s="5">
        <f ca="1">IFERROR(__xludf.DUMMYFUNCTION("""COMPUTED_VALUE"""),45677)</f>
        <v>45677</v>
      </c>
      <c r="F158" s="1" t="str">
        <f ca="1">IFERROR(__xludf.DUMMYFUNCTION("""COMPUTED_VALUE"""),"Egypt")</f>
        <v>Egypt</v>
      </c>
      <c r="G158" s="1" t="str">
        <f ca="1">IFERROR(__xludf.DUMMYFUNCTION("""COMPUTED_VALUE"""),"Third 73.23 Egypt")</f>
        <v>Third 73.23 Egypt</v>
      </c>
      <c r="H158" s="1" t="str">
        <f ca="1">IFERROR(__xludf.DUMMYFUNCTION("""COMPUTED_VALUE"""),"Individuals At Risk")</f>
        <v>Individuals At Risk</v>
      </c>
      <c r="I158" s="1" t="str">
        <f ca="1">IFERROR(__xludf.DUMMYFUNCTION("""COMPUTED_VALUE"""),"2024")</f>
        <v>2024</v>
      </c>
      <c r="J158" s="1" t="str">
        <f ca="1">IFERROR(__xludf.DUMMYFUNCTION("""COMPUTED_VALUE"""),"Email")</f>
        <v>Email</v>
      </c>
    </row>
    <row r="159" spans="1:10" ht="13" x14ac:dyDescent="0.15">
      <c r="A159" s="4">
        <f ca="1">IFERROR(__xludf.DUMMYFUNCTION("""COMPUTED_VALUE"""),30354096)</f>
        <v>30354096</v>
      </c>
      <c r="B159" s="1" t="str">
        <f ca="1">IFERROR(__xludf.DUMMYFUNCTION("""COMPUTED_VALUE"""),"cgabriel@aiusa.org")</f>
        <v>cgabriel@aiusa.org</v>
      </c>
      <c r="C159" s="4" t="str">
        <f ca="1">IFERROR(__xludf.DUMMYFUNCTION("""COMPUTED_VALUE"""),"EVERGREEN - UAN Gated Content - Embedded Petition")</f>
        <v>EVERGREEN - UAN Gated Content - Embedded Petition</v>
      </c>
      <c r="D159" s="5">
        <f ca="1">IFERROR(__xludf.DUMMYFUNCTION("""COMPUTED_VALUE"""),45645)</f>
        <v>45645</v>
      </c>
      <c r="F159" s="1" t="str">
        <f ca="1">IFERROR(__xludf.DUMMYFUNCTION("""COMPUTED_VALUE"""),"Niger")</f>
        <v>Niger</v>
      </c>
      <c r="G159" s="1" t="str">
        <f ca="1">IFERROR(__xludf.DUMMYFUNCTION("""COMPUTED_VALUE"""),"103.24 Niger")</f>
        <v>103.24 Niger</v>
      </c>
      <c r="H159" s="1" t="str">
        <f ca="1">IFERROR(__xludf.DUMMYFUNCTION("""COMPUTED_VALUE"""),"Freedom of Expression, Human Rights Defenders")</f>
        <v>Freedom of Expression, Human Rights Defenders</v>
      </c>
      <c r="I159" s="1" t="str">
        <f ca="1">IFERROR(__xludf.DUMMYFUNCTION("""COMPUTED_VALUE"""),"2024")</f>
        <v>2024</v>
      </c>
      <c r="J159" s="1" t="str">
        <f ca="1">IFERROR(__xludf.DUMMYFUNCTION("""COMPUTED_VALUE"""),"Email")</f>
        <v>Email</v>
      </c>
    </row>
    <row r="160" spans="1:10" ht="13" x14ac:dyDescent="0.15">
      <c r="A160" s="4">
        <f ca="1">IFERROR(__xludf.DUMMYFUNCTION("""COMPUTED_VALUE"""),30354096)</f>
        <v>30354096</v>
      </c>
      <c r="B160" s="1" t="str">
        <f ca="1">IFERROR(__xludf.DUMMYFUNCTION("""COMPUTED_VALUE"""),"cgabriel@aiusa.org")</f>
        <v>cgabriel@aiusa.org</v>
      </c>
      <c r="C160" s="4" t="str">
        <f ca="1">IFERROR(__xludf.DUMMYFUNCTION("""COMPUTED_VALUE"""),"EVERGREEN - UAN Gated Content - Embedded Petition")</f>
        <v>EVERGREEN - UAN Gated Content - Embedded Petition</v>
      </c>
      <c r="D160" s="5">
        <f ca="1">IFERROR(__xludf.DUMMYFUNCTION("""COMPUTED_VALUE"""),45674)</f>
        <v>45674</v>
      </c>
      <c r="F160" s="1" t="str">
        <f ca="1">IFERROR(__xludf.DUMMYFUNCTION("""COMPUTED_VALUE"""),"Singapore")</f>
        <v>Singapore</v>
      </c>
      <c r="G160" s="1" t="str">
        <f ca="1">IFERROR(__xludf.DUMMYFUNCTION("""COMPUTED_VALUE"""),"107.24 Singapore")</f>
        <v>107.24 Singapore</v>
      </c>
      <c r="H160" s="1" t="str">
        <f ca="1">IFERROR(__xludf.DUMMYFUNCTION("""COMPUTED_VALUE"""),"Death Penalty")</f>
        <v>Death Penalty</v>
      </c>
      <c r="I160" s="1" t="str">
        <f ca="1">IFERROR(__xludf.DUMMYFUNCTION("""COMPUTED_VALUE"""),"2024")</f>
        <v>2024</v>
      </c>
      <c r="J160" s="1" t="str">
        <f ca="1">IFERROR(__xludf.DUMMYFUNCTION("""COMPUTED_VALUE"""),"Email")</f>
        <v>Email</v>
      </c>
    </row>
    <row r="161" spans="1:10" ht="13" x14ac:dyDescent="0.15">
      <c r="A161" s="4">
        <f ca="1">IFERROR(__xludf.DUMMYFUNCTION("""COMPUTED_VALUE"""),30354096)</f>
        <v>30354096</v>
      </c>
      <c r="B161" s="1" t="str">
        <f ca="1">IFERROR(__xludf.DUMMYFUNCTION("""COMPUTED_VALUE"""),"cgabriel@aiusa.org")</f>
        <v>cgabriel@aiusa.org</v>
      </c>
      <c r="C161" s="4" t="str">
        <f ca="1">IFERROR(__xludf.DUMMYFUNCTION("""COMPUTED_VALUE"""),"EVERGREEN - UAN Gated Content - Embedded Petition")</f>
        <v>EVERGREEN - UAN Gated Content - Embedded Petition</v>
      </c>
      <c r="D161" s="5">
        <f ca="1">IFERROR(__xludf.DUMMYFUNCTION("""COMPUTED_VALUE"""),45673)</f>
        <v>45673</v>
      </c>
      <c r="F161" s="1" t="str">
        <f ca="1">IFERROR(__xludf.DUMMYFUNCTION("""COMPUTED_VALUE"""),"Venezuela")</f>
        <v>Venezuela</v>
      </c>
      <c r="G161" s="1" t="str">
        <f ca="1">IFERROR(__xludf.DUMMYFUNCTION("""COMPUTED_VALUE"""),"97.24 Venezuela")</f>
        <v>97.24 Venezuela</v>
      </c>
      <c r="H161" s="1" t="str">
        <f ca="1">IFERROR(__xludf.DUMMYFUNCTION("""COMPUTED_VALUE"""),"Freedom of Expression")</f>
        <v>Freedom of Expression</v>
      </c>
      <c r="I161" s="1" t="str">
        <f ca="1">IFERROR(__xludf.DUMMYFUNCTION("""COMPUTED_VALUE"""),"2024")</f>
        <v>2024</v>
      </c>
      <c r="J161" s="1" t="str">
        <f ca="1">IFERROR(__xludf.DUMMYFUNCTION("""COMPUTED_VALUE"""),"Letter")</f>
        <v>Letter</v>
      </c>
    </row>
    <row r="162" spans="1:10" ht="13" x14ac:dyDescent="0.15">
      <c r="A162" s="4">
        <f ca="1">IFERROR(__xludf.DUMMYFUNCTION("""COMPUTED_VALUE"""),30354096)</f>
        <v>30354096</v>
      </c>
      <c r="B162" s="1" t="str">
        <f ca="1">IFERROR(__xludf.DUMMYFUNCTION("""COMPUTED_VALUE"""),"cgabriel@aiusa.org")</f>
        <v>cgabriel@aiusa.org</v>
      </c>
      <c r="C162" s="4" t="str">
        <f ca="1">IFERROR(__xludf.DUMMYFUNCTION("""COMPUTED_VALUE"""),"EVERGREEN - UAN Gated Content - Embedded Petition")</f>
        <v>EVERGREEN - UAN Gated Content - Embedded Petition</v>
      </c>
      <c r="D162" s="5">
        <f ca="1">IFERROR(__xludf.DUMMYFUNCTION("""COMPUTED_VALUE"""),45616)</f>
        <v>45616</v>
      </c>
      <c r="F162" s="1" t="str">
        <f ca="1">IFERROR(__xludf.DUMMYFUNCTION("""COMPUTED_VALUE"""),"Egypt")</f>
        <v>Egypt</v>
      </c>
      <c r="G162" s="1" t="str">
        <f ca="1">IFERROR(__xludf.DUMMYFUNCTION("""COMPUTED_VALUE"""),"Ninth 190.18 Egypt")</f>
        <v>Ninth 190.18 Egypt</v>
      </c>
      <c r="H162" s="1" t="str">
        <f ca="1">IFERROR(__xludf.DUMMYFUNCTION("""COMPUTED_VALUE"""),"Freedom of Expression, Individuals At Risk")</f>
        <v>Freedom of Expression, Individuals At Risk</v>
      </c>
      <c r="I162" s="1" t="str">
        <f ca="1">IFERROR(__xludf.DUMMYFUNCTION("""COMPUTED_VALUE"""),"2024")</f>
        <v>2024</v>
      </c>
      <c r="J162" s="1" t="str">
        <f ca="1">IFERROR(__xludf.DUMMYFUNCTION("""COMPUTED_VALUE"""),"Letter")</f>
        <v>Letter</v>
      </c>
    </row>
    <row r="163" spans="1:10" ht="13" x14ac:dyDescent="0.15">
      <c r="A163" s="4">
        <f ca="1">IFERROR(__xludf.DUMMYFUNCTION("""COMPUTED_VALUE"""),30354096)</f>
        <v>30354096</v>
      </c>
      <c r="B163" s="1" t="str">
        <f ca="1">IFERROR(__xludf.DUMMYFUNCTION("""COMPUTED_VALUE"""),"cgabriel@aiusa.org")</f>
        <v>cgabriel@aiusa.org</v>
      </c>
      <c r="C163" s="4" t="str">
        <f ca="1">IFERROR(__xludf.DUMMYFUNCTION("""COMPUTED_VALUE"""),"EVERGREEN - UAN Gated Content - Embedded Petition")</f>
        <v>EVERGREEN - UAN Gated Content - Embedded Petition</v>
      </c>
      <c r="D163" s="5">
        <f ca="1">IFERROR(__xludf.DUMMYFUNCTION("""COMPUTED_VALUE"""),45611)</f>
        <v>45611</v>
      </c>
      <c r="F163" s="1" t="str">
        <f ca="1">IFERROR(__xludf.DUMMYFUNCTION("""COMPUTED_VALUE"""),"Dominican Republic")</f>
        <v>Dominican Republic</v>
      </c>
      <c r="G163" s="1" t="str">
        <f ca="1">IFERROR(__xludf.DUMMYFUNCTION("""COMPUTED_VALUE"""),"88.24 Dominican Republic")</f>
        <v>88.24 Dominican Republic</v>
      </c>
      <c r="H163" s="1" t="str">
        <f ca="1">IFERROR(__xludf.DUMMYFUNCTION("""COMPUTED_VALUE"""),"Individuals At Risk, Refugee and Migrant Rights")</f>
        <v>Individuals At Risk, Refugee and Migrant Rights</v>
      </c>
      <c r="I163" s="1" t="str">
        <f ca="1">IFERROR(__xludf.DUMMYFUNCTION("""COMPUTED_VALUE"""),"2024")</f>
        <v>2024</v>
      </c>
      <c r="J163" s="1" t="str">
        <f ca="1">IFERROR(__xludf.DUMMYFUNCTION("""COMPUTED_VALUE"""),"Letter")</f>
        <v>Letter</v>
      </c>
    </row>
    <row r="164" spans="1:10" ht="13" x14ac:dyDescent="0.15">
      <c r="A164" s="4">
        <f ca="1">IFERROR(__xludf.DUMMYFUNCTION("""COMPUTED_VALUE"""),30354096)</f>
        <v>30354096</v>
      </c>
      <c r="B164" s="1" t="str">
        <f ca="1">IFERROR(__xludf.DUMMYFUNCTION("""COMPUTED_VALUE"""),"cgabriel@aiusa.org")</f>
        <v>cgabriel@aiusa.org</v>
      </c>
      <c r="C164" s="4" t="str">
        <f ca="1">IFERROR(__xludf.DUMMYFUNCTION("""COMPUTED_VALUE"""),"EVERGREEN - UAN Gated Content - Embedded Petition")</f>
        <v>EVERGREEN - UAN Gated Content - Embedded Petition</v>
      </c>
      <c r="D164" s="5">
        <f ca="1">IFERROR(__xludf.DUMMYFUNCTION("""COMPUTED_VALUE"""),45611)</f>
        <v>45611</v>
      </c>
      <c r="F164" s="1" t="str">
        <f ca="1">IFERROR(__xludf.DUMMYFUNCTION("""COMPUTED_VALUE"""),"China")</f>
        <v>China</v>
      </c>
      <c r="G164" s="1" t="str">
        <f ca="1">IFERROR(__xludf.DUMMYFUNCTION("""COMPUTED_VALUE"""),"98.24 China")</f>
        <v>98.24 China</v>
      </c>
      <c r="H164" s="1" t="str">
        <f ca="1">IFERROR(__xludf.DUMMYFUNCTION("""COMPUTED_VALUE"""),"Freedom of Expression, Individuals At Risk")</f>
        <v>Freedom of Expression, Individuals At Risk</v>
      </c>
      <c r="I164" s="1" t="str">
        <f ca="1">IFERROR(__xludf.DUMMYFUNCTION("""COMPUTED_VALUE"""),"2024")</f>
        <v>2024</v>
      </c>
      <c r="J164" s="1" t="str">
        <f ca="1">IFERROR(__xludf.DUMMYFUNCTION("""COMPUTED_VALUE"""),"Letter")</f>
        <v>Letter</v>
      </c>
    </row>
    <row r="165" spans="1:10" ht="13" x14ac:dyDescent="0.15">
      <c r="A165" s="4">
        <f ca="1">IFERROR(__xludf.DUMMYFUNCTION("""COMPUTED_VALUE"""),30354096)</f>
        <v>30354096</v>
      </c>
      <c r="B165" s="1" t="str">
        <f ca="1">IFERROR(__xludf.DUMMYFUNCTION("""COMPUTED_VALUE"""),"cgabriel@aiusa.org")</f>
        <v>cgabriel@aiusa.org</v>
      </c>
      <c r="C165" s="4" t="str">
        <f ca="1">IFERROR(__xludf.DUMMYFUNCTION("""COMPUTED_VALUE"""),"EVERGREEN - UAN Gated Content - Embedded Petition")</f>
        <v>EVERGREEN - UAN Gated Content - Embedded Petition</v>
      </c>
      <c r="D165" s="5">
        <f ca="1">IFERROR(__xludf.DUMMYFUNCTION("""COMPUTED_VALUE"""),45611)</f>
        <v>45611</v>
      </c>
      <c r="F165" s="1" t="str">
        <f ca="1">IFERROR(__xludf.DUMMYFUNCTION("""COMPUTED_VALUE"""),"China")</f>
        <v>China</v>
      </c>
      <c r="G165" s="1" t="str">
        <f ca="1">IFERROR(__xludf.DUMMYFUNCTION("""COMPUTED_VALUE"""),"98.24 China")</f>
        <v>98.24 China</v>
      </c>
      <c r="H165" s="1" t="str">
        <f ca="1">IFERROR(__xludf.DUMMYFUNCTION("""COMPUTED_VALUE"""),"Freedom of Expression, Individuals At Risk")</f>
        <v>Freedom of Expression, Individuals At Risk</v>
      </c>
      <c r="I165" s="1" t="str">
        <f ca="1">IFERROR(__xludf.DUMMYFUNCTION("""COMPUTED_VALUE"""),"2024")</f>
        <v>2024</v>
      </c>
      <c r="J165" s="1" t="str">
        <f ca="1">IFERROR(__xludf.DUMMYFUNCTION("""COMPUTED_VALUE"""),"Letter")</f>
        <v>Letter</v>
      </c>
    </row>
    <row r="166" spans="1:10" ht="13" x14ac:dyDescent="0.15">
      <c r="A166" s="4">
        <f ca="1">IFERROR(__xludf.DUMMYFUNCTION("""COMPUTED_VALUE"""),30354096)</f>
        <v>30354096</v>
      </c>
      <c r="B166" s="1" t="str">
        <f ca="1">IFERROR(__xludf.DUMMYFUNCTION("""COMPUTED_VALUE"""),"cgabriel@aiusa.org")</f>
        <v>cgabriel@aiusa.org</v>
      </c>
      <c r="C166" s="4" t="str">
        <f ca="1">IFERROR(__xludf.DUMMYFUNCTION("""COMPUTED_VALUE"""),"EVERGREEN - UAN Gated Content - Embedded Petition")</f>
        <v>EVERGREEN - UAN Gated Content - Embedded Petition</v>
      </c>
      <c r="D166" s="5">
        <f ca="1">IFERROR(__xludf.DUMMYFUNCTION("""COMPUTED_VALUE"""),45611)</f>
        <v>45611</v>
      </c>
      <c r="F166" s="1" t="str">
        <f ca="1">IFERROR(__xludf.DUMMYFUNCTION("""COMPUTED_VALUE"""),"Venezuela")</f>
        <v>Venezuela</v>
      </c>
      <c r="G166" s="1" t="str">
        <f ca="1">IFERROR(__xludf.DUMMYFUNCTION("""COMPUTED_VALUE"""),"97.24 Venezuela")</f>
        <v>97.24 Venezuela</v>
      </c>
      <c r="H166" s="1" t="str">
        <f ca="1">IFERROR(__xludf.DUMMYFUNCTION("""COMPUTED_VALUE"""),"Freedom of Expression")</f>
        <v>Freedom of Expression</v>
      </c>
      <c r="I166" s="1" t="str">
        <f ca="1">IFERROR(__xludf.DUMMYFUNCTION("""COMPUTED_VALUE"""),"2024")</f>
        <v>2024</v>
      </c>
      <c r="J166" s="1" t="str">
        <f ca="1">IFERROR(__xludf.DUMMYFUNCTION("""COMPUTED_VALUE"""),"Letter")</f>
        <v>Letter</v>
      </c>
    </row>
    <row r="167" spans="1:10" ht="13" x14ac:dyDescent="0.15">
      <c r="A167" s="4">
        <f ca="1">IFERROR(__xludf.DUMMYFUNCTION("""COMPUTED_VALUE"""),30354096)</f>
        <v>30354096</v>
      </c>
      <c r="B167" s="1" t="str">
        <f ca="1">IFERROR(__xludf.DUMMYFUNCTION("""COMPUTED_VALUE"""),"cgabriel@aiusa.org")</f>
        <v>cgabriel@aiusa.org</v>
      </c>
      <c r="C167" s="4" t="str">
        <f ca="1">IFERROR(__xludf.DUMMYFUNCTION("""COMPUTED_VALUE"""),"EVERGREEN - UAN Gated Content - Embedded Petition")</f>
        <v>EVERGREEN - UAN Gated Content - Embedded Petition</v>
      </c>
      <c r="D167" s="5">
        <f ca="1">IFERROR(__xludf.DUMMYFUNCTION("""COMPUTED_VALUE"""),45632)</f>
        <v>45632</v>
      </c>
      <c r="F167" s="1" t="str">
        <f ca="1">IFERROR(__xludf.DUMMYFUNCTION("""COMPUTED_VALUE"""),"Egypt")</f>
        <v>Egypt</v>
      </c>
      <c r="G167" s="1" t="str">
        <f ca="1">IFERROR(__xludf.DUMMYFUNCTION("""COMPUTED_VALUE"""),"Ninth 190.18 Egypt")</f>
        <v>Ninth 190.18 Egypt</v>
      </c>
      <c r="H167" s="1" t="str">
        <f ca="1">IFERROR(__xludf.DUMMYFUNCTION("""COMPUTED_VALUE"""),"Freedom of Expression, Individuals At Risk")</f>
        <v>Freedom of Expression, Individuals At Risk</v>
      </c>
      <c r="I167" s="1" t="str">
        <f ca="1">IFERROR(__xludf.DUMMYFUNCTION("""COMPUTED_VALUE"""),"2024")</f>
        <v>2024</v>
      </c>
      <c r="J167" s="1" t="str">
        <f ca="1">IFERROR(__xludf.DUMMYFUNCTION("""COMPUTED_VALUE"""),"Letter")</f>
        <v>Letter</v>
      </c>
    </row>
    <row r="168" spans="1:10" ht="13" x14ac:dyDescent="0.15">
      <c r="A168" s="4">
        <f ca="1">IFERROR(__xludf.DUMMYFUNCTION("""COMPUTED_VALUE"""),30354096)</f>
        <v>30354096</v>
      </c>
      <c r="B168" s="1" t="str">
        <f ca="1">IFERROR(__xludf.DUMMYFUNCTION("""COMPUTED_VALUE"""),"cgabriel@aiusa.org")</f>
        <v>cgabriel@aiusa.org</v>
      </c>
      <c r="C168" s="4" t="str">
        <f ca="1">IFERROR(__xludf.DUMMYFUNCTION("""COMPUTED_VALUE"""),"EVERGREEN - UAN Gated Content - Embedded Petition")</f>
        <v>EVERGREEN - UAN Gated Content - Embedded Petition</v>
      </c>
      <c r="D168" s="5">
        <f ca="1">IFERROR(__xludf.DUMMYFUNCTION("""COMPUTED_VALUE"""),45617)</f>
        <v>45617</v>
      </c>
      <c r="F168" s="1" t="str">
        <f ca="1">IFERROR(__xludf.DUMMYFUNCTION("""COMPUTED_VALUE"""),"Iran")</f>
        <v>Iran</v>
      </c>
      <c r="G168" s="1" t="str">
        <f ca="1">IFERROR(__xludf.DUMMYFUNCTION("""COMPUTED_VALUE"""),"Seventh 103.22 Iran")</f>
        <v>Seventh 103.22 Iran</v>
      </c>
      <c r="H168" s="1" t="str">
        <f ca="1">IFERROR(__xludf.DUMMYFUNCTION("""COMPUTED_VALUE"""),"Death Penalty, Freedom of Expression, Individuals At Risk")</f>
        <v>Death Penalty, Freedom of Expression, Individuals At Risk</v>
      </c>
      <c r="I168" s="1" t="str">
        <f ca="1">IFERROR(__xludf.DUMMYFUNCTION("""COMPUTED_VALUE"""),"2024")</f>
        <v>2024</v>
      </c>
      <c r="J168" s="1" t="str">
        <f ca="1">IFERROR(__xludf.DUMMYFUNCTION("""COMPUTED_VALUE"""),"Email")</f>
        <v>Email</v>
      </c>
    </row>
    <row r="169" spans="1:10" ht="13" x14ac:dyDescent="0.15">
      <c r="A169" s="4">
        <f ca="1">IFERROR(__xludf.DUMMYFUNCTION("""COMPUTED_VALUE"""),30354096)</f>
        <v>30354096</v>
      </c>
      <c r="B169" s="1" t="str">
        <f ca="1">IFERROR(__xludf.DUMMYFUNCTION("""COMPUTED_VALUE"""),"cgabriel@aiusa.org")</f>
        <v>cgabriel@aiusa.org</v>
      </c>
      <c r="C169" s="4" t="str">
        <f ca="1">IFERROR(__xludf.DUMMYFUNCTION("""COMPUTED_VALUE"""),"EVERGREEN - UAN Gated Content - Embedded Petition")</f>
        <v>EVERGREEN - UAN Gated Content - Embedded Petition</v>
      </c>
      <c r="D169" s="5">
        <f ca="1">IFERROR(__xludf.DUMMYFUNCTION("""COMPUTED_VALUE"""),45617)</f>
        <v>45617</v>
      </c>
      <c r="F169" s="1" t="str">
        <f ca="1">IFERROR(__xludf.DUMMYFUNCTION("""COMPUTED_VALUE"""),"Azerbaijan")</f>
        <v>Azerbaijan</v>
      </c>
      <c r="G169" s="1" t="str">
        <f ca="1">IFERROR(__xludf.DUMMYFUNCTION("""COMPUTED_VALUE"""),"2.25 Azerbaijan")</f>
        <v>2.25 Azerbaijan</v>
      </c>
      <c r="H169" s="1" t="str">
        <f ca="1">IFERROR(__xludf.DUMMYFUNCTION("""COMPUTED_VALUE"""),"Freedom of Expression, Human Rights Defenders")</f>
        <v>Freedom of Expression, Human Rights Defenders</v>
      </c>
      <c r="I169" s="1" t="str">
        <f ca="1">IFERROR(__xludf.DUMMYFUNCTION("""COMPUTED_VALUE"""),"2025")</f>
        <v>2025</v>
      </c>
      <c r="J169" s="1" t="str">
        <f ca="1">IFERROR(__xludf.DUMMYFUNCTION("""COMPUTED_VALUE"""),"Email")</f>
        <v>Email</v>
      </c>
    </row>
    <row r="170" spans="1:10" ht="13" x14ac:dyDescent="0.15">
      <c r="A170" s="4">
        <f ca="1">IFERROR(__xludf.DUMMYFUNCTION("""COMPUTED_VALUE"""),30354096)</f>
        <v>30354096</v>
      </c>
      <c r="B170" s="1" t="str">
        <f ca="1">IFERROR(__xludf.DUMMYFUNCTION("""COMPUTED_VALUE"""),"cgabriel@aiusa.org")</f>
        <v>cgabriel@aiusa.org</v>
      </c>
      <c r="C170" s="4" t="str">
        <f ca="1">IFERROR(__xludf.DUMMYFUNCTION("""COMPUTED_VALUE"""),"EVERGREEN - UAN Gated Content - Embedded Petition")</f>
        <v>EVERGREEN - UAN Gated Content - Embedded Petition</v>
      </c>
      <c r="D170" s="5">
        <f ca="1">IFERROR(__xludf.DUMMYFUNCTION("""COMPUTED_VALUE"""),45705)</f>
        <v>45705</v>
      </c>
      <c r="F170" s="1" t="str">
        <f ca="1">IFERROR(__xludf.DUMMYFUNCTION("""COMPUTED_VALUE"""),"USA")</f>
        <v>USA</v>
      </c>
      <c r="G170" s="1" t="str">
        <f ca="1">IFERROR(__xludf.DUMMYFUNCTION("""COMPUTED_VALUE"""),"Fourth 55.24 USA")</f>
        <v>Fourth 55.24 USA</v>
      </c>
      <c r="H170" s="1" t="str">
        <f ca="1">IFERROR(__xludf.DUMMYFUNCTION("""COMPUTED_VALUE"""),"Climate Justice, Individuals At Risk")</f>
        <v>Climate Justice, Individuals At Risk</v>
      </c>
      <c r="I170" s="1" t="str">
        <f ca="1">IFERROR(__xludf.DUMMYFUNCTION("""COMPUTED_VALUE"""),"2025")</f>
        <v>2025</v>
      </c>
      <c r="J170" s="1" t="str">
        <f ca="1">IFERROR(__xludf.DUMMYFUNCTION("""COMPUTED_VALUE"""),"Email")</f>
        <v>Email</v>
      </c>
    </row>
    <row r="171" spans="1:10" ht="13" x14ac:dyDescent="0.15">
      <c r="A171" s="4">
        <f ca="1">IFERROR(__xludf.DUMMYFUNCTION("""COMPUTED_VALUE"""),30354096)</f>
        <v>30354096</v>
      </c>
      <c r="B171" s="1" t="str">
        <f ca="1">IFERROR(__xludf.DUMMYFUNCTION("""COMPUTED_VALUE"""),"cgabriel@aiusa.org")</f>
        <v>cgabriel@aiusa.org</v>
      </c>
      <c r="C171" s="4" t="str">
        <f ca="1">IFERROR(__xludf.DUMMYFUNCTION("""COMPUTED_VALUE"""),"EVERGREEN - UAN Gated Content - Embedded Petition")</f>
        <v>EVERGREEN - UAN Gated Content - Embedded Petition</v>
      </c>
      <c r="D171" s="5">
        <f ca="1">IFERROR(__xludf.DUMMYFUNCTION("""COMPUTED_VALUE"""),45701)</f>
        <v>45701</v>
      </c>
      <c r="F171" s="1" t="str">
        <f ca="1">IFERROR(__xludf.DUMMYFUNCTION("""COMPUTED_VALUE"""),"Egypt")</f>
        <v>Egypt</v>
      </c>
      <c r="G171" s="1" t="str">
        <f ca="1">IFERROR(__xludf.DUMMYFUNCTION("""COMPUTED_VALUE"""),"Third 73.23 Egypt")</f>
        <v>Third 73.23 Egypt</v>
      </c>
      <c r="H171" s="1" t="str">
        <f ca="1">IFERROR(__xludf.DUMMYFUNCTION("""COMPUTED_VALUE"""),"Individuals At Risk")</f>
        <v>Individuals At Risk</v>
      </c>
      <c r="I171" s="1" t="str">
        <f ca="1">IFERROR(__xludf.DUMMYFUNCTION("""COMPUTED_VALUE"""),"2024")</f>
        <v>2024</v>
      </c>
      <c r="J171" s="1" t="str">
        <f ca="1">IFERROR(__xludf.DUMMYFUNCTION("""COMPUTED_VALUE"""),"Email")</f>
        <v>Email</v>
      </c>
    </row>
    <row r="172" spans="1:10" ht="13" x14ac:dyDescent="0.15">
      <c r="A172" s="4">
        <f ca="1">IFERROR(__xludf.DUMMYFUNCTION("""COMPUTED_VALUE"""),30354096)</f>
        <v>30354096</v>
      </c>
      <c r="B172" s="1" t="str">
        <f ca="1">IFERROR(__xludf.DUMMYFUNCTION("""COMPUTED_VALUE"""),"cgabriel@aiusa.org")</f>
        <v>cgabriel@aiusa.org</v>
      </c>
      <c r="C172" s="4" t="str">
        <f ca="1">IFERROR(__xludf.DUMMYFUNCTION("""COMPUTED_VALUE"""),"UAN mid-page Lightbox - Step 1 of 4 - Landing Page")</f>
        <v>UAN mid-page Lightbox - Step 1 of 4 - Landing Page</v>
      </c>
      <c r="D172" s="5">
        <f ca="1">IFERROR(__xludf.DUMMYFUNCTION("""COMPUTED_VALUE"""),45611)</f>
        <v>45611</v>
      </c>
      <c r="F172" s="1" t="str">
        <f ca="1">IFERROR(__xludf.DUMMYFUNCTION("""COMPUTED_VALUE"""),"Venezuela")</f>
        <v>Venezuela</v>
      </c>
      <c r="G172" s="1" t="str">
        <f ca="1">IFERROR(__xludf.DUMMYFUNCTION("""COMPUTED_VALUE"""),"1.25 Venezuela")</f>
        <v>1.25 Venezuela</v>
      </c>
      <c r="H172" s="1" t="str">
        <f ca="1">IFERROR(__xludf.DUMMYFUNCTION("""COMPUTED_VALUE"""),"Human Rights Defenders, Individuals At Risk")</f>
        <v>Human Rights Defenders, Individuals At Risk</v>
      </c>
      <c r="I172" s="1" t="str">
        <f ca="1">IFERROR(__xludf.DUMMYFUNCTION("""COMPUTED_VALUE"""),"2025")</f>
        <v>2025</v>
      </c>
      <c r="J172" s="1" t="str">
        <f ca="1">IFERROR(__xludf.DUMMYFUNCTION("""COMPUTED_VALUE"""),"Letter")</f>
        <v>Letter</v>
      </c>
    </row>
    <row r="173" spans="1:10" ht="13" x14ac:dyDescent="0.15">
      <c r="A173" s="4">
        <f ca="1">IFERROR(__xludf.DUMMYFUNCTION("""COMPUTED_VALUE"""),30354096)</f>
        <v>30354096</v>
      </c>
      <c r="B173" s="1" t="str">
        <f ca="1">IFERROR(__xludf.DUMMYFUNCTION("""COMPUTED_VALUE"""),"cgabriel@aiusa.org")</f>
        <v>cgabriel@aiusa.org</v>
      </c>
      <c r="C173" s="4" t="str">
        <f ca="1">IFERROR(__xludf.DUMMYFUNCTION("""COMPUTED_VALUE"""),"UAN mid-page Lightbox - Step 2 of 4 - More personal info fields")</f>
        <v>UAN mid-page Lightbox - Step 2 of 4 - More personal info fields</v>
      </c>
      <c r="D173" s="5">
        <f ca="1">IFERROR(__xludf.DUMMYFUNCTION("""COMPUTED_VALUE"""),45611)</f>
        <v>45611</v>
      </c>
      <c r="F173" s="1" t="str">
        <f ca="1">IFERROR(__xludf.DUMMYFUNCTION("""COMPUTED_VALUE"""),"USA")</f>
        <v>USA</v>
      </c>
      <c r="G173" s="1" t="str">
        <f ca="1">IFERROR(__xludf.DUMMYFUNCTION("""COMPUTED_VALUE"""),"Fourth 55.24 USA")</f>
        <v>Fourth 55.24 USA</v>
      </c>
      <c r="H173" s="1" t="str">
        <f ca="1">IFERROR(__xludf.DUMMYFUNCTION("""COMPUTED_VALUE"""),"Climate Justice, Individuals At Risk")</f>
        <v>Climate Justice, Individuals At Risk</v>
      </c>
      <c r="I173" s="1" t="str">
        <f ca="1">IFERROR(__xludf.DUMMYFUNCTION("""COMPUTED_VALUE"""),"2025")</f>
        <v>2025</v>
      </c>
      <c r="J173" s="1" t="str">
        <f ca="1">IFERROR(__xludf.DUMMYFUNCTION("""COMPUTED_VALUE"""),"Email")</f>
        <v>Email</v>
      </c>
    </row>
    <row r="174" spans="1:10" ht="13" x14ac:dyDescent="0.15">
      <c r="A174" s="4">
        <f ca="1">IFERROR(__xludf.DUMMYFUNCTION("""COMPUTED_VALUE"""),30354096)</f>
        <v>30354096</v>
      </c>
      <c r="B174" s="1" t="str">
        <f ca="1">IFERROR(__xludf.DUMMYFUNCTION("""COMPUTED_VALUE"""),"cgabriel@aiusa.org")</f>
        <v>cgabriel@aiusa.org</v>
      </c>
      <c r="C174" s="4" t="str">
        <f ca="1">IFERROR(__xludf.DUMMYFUNCTION("""COMPUTED_VALUE"""),"UAN mid-page Lightbox - Step 3 of 4 - More opt-ins")</f>
        <v>UAN mid-page Lightbox - Step 3 of 4 - More opt-ins</v>
      </c>
      <c r="D174" s="5">
        <f ca="1">IFERROR(__xludf.DUMMYFUNCTION("""COMPUTED_VALUE"""),45611)</f>
        <v>45611</v>
      </c>
      <c r="F174" s="1" t="str">
        <f ca="1">IFERROR(__xludf.DUMMYFUNCTION("""COMPUTED_VALUE"""),"Tunisia")</f>
        <v>Tunisia</v>
      </c>
      <c r="G174" s="1" t="str">
        <f ca="1">IFERROR(__xludf.DUMMYFUNCTION("""COMPUTED_VALUE"""),"Second 76.24 Tunisia")</f>
        <v>Second 76.24 Tunisia</v>
      </c>
      <c r="H174" s="1" t="str">
        <f ca="1">IFERROR(__xludf.DUMMYFUNCTION("""COMPUTED_VALUE"""),"Freedom of Expression, Human Rights Defenders")</f>
        <v>Freedom of Expression, Human Rights Defenders</v>
      </c>
      <c r="I174" s="1" t="str">
        <f ca="1">IFERROR(__xludf.DUMMYFUNCTION("""COMPUTED_VALUE"""),"2025")</f>
        <v>2025</v>
      </c>
      <c r="J174" s="1" t="str">
        <f ca="1">IFERROR(__xludf.DUMMYFUNCTION("""COMPUTED_VALUE"""),"Email")</f>
        <v>Email</v>
      </c>
    </row>
    <row r="175" spans="1:10" ht="13" x14ac:dyDescent="0.15">
      <c r="A175" s="4">
        <f ca="1">IFERROR(__xludf.DUMMYFUNCTION("""COMPUTED_VALUE"""),30354241)</f>
        <v>30354241</v>
      </c>
      <c r="B175" s="1" t="str">
        <f ca="1">IFERROR(__xludf.DUMMYFUNCTION("""COMPUTED_VALUE"""),"suzannewright1715@gmail.com")</f>
        <v>suzannewright1715@gmail.com</v>
      </c>
      <c r="C175" s="4" t="str">
        <f ca="1">IFERROR(__xludf.DUMMYFUNCTION("""COMPUTED_VALUE"""),"EVERGREEN - UAN Gated Content - Embedded Petition")</f>
        <v>EVERGREEN - UAN Gated Content - Embedded Petition</v>
      </c>
      <c r="D175" s="5">
        <f ca="1">IFERROR(__xludf.DUMMYFUNCTION("""COMPUTED_VALUE"""),45637)</f>
        <v>45637</v>
      </c>
      <c r="F175" s="1" t="str">
        <f ca="1">IFERROR(__xludf.DUMMYFUNCTION("""COMPUTED_VALUE"""),"Dominican Republic")</f>
        <v>Dominican Republic</v>
      </c>
      <c r="G175" s="1" t="str">
        <f ca="1">IFERROR(__xludf.DUMMYFUNCTION("""COMPUTED_VALUE"""),"88.24 Dominican Republic")</f>
        <v>88.24 Dominican Republic</v>
      </c>
      <c r="H175" s="1" t="str">
        <f ca="1">IFERROR(__xludf.DUMMYFUNCTION("""COMPUTED_VALUE"""),"Individuals At Risk, Refugee and Migrant Rights")</f>
        <v>Individuals At Risk, Refugee and Migrant Rights</v>
      </c>
      <c r="I175" s="1" t="str">
        <f ca="1">IFERROR(__xludf.DUMMYFUNCTION("""COMPUTED_VALUE"""),"2024")</f>
        <v>2024</v>
      </c>
      <c r="J175" s="1" t="str">
        <f ca="1">IFERROR(__xludf.DUMMYFUNCTION("""COMPUTED_VALUE"""),"Letter")</f>
        <v>Letter</v>
      </c>
    </row>
    <row r="176" spans="1:10" ht="13" x14ac:dyDescent="0.15">
      <c r="A176" s="4">
        <f ca="1">IFERROR(__xludf.DUMMYFUNCTION("""COMPUTED_VALUE"""),30354241)</f>
        <v>30354241</v>
      </c>
      <c r="B176" s="1" t="str">
        <f ca="1">IFERROR(__xludf.DUMMYFUNCTION("""COMPUTED_VALUE"""),"suzannewright1715@gmail.com")</f>
        <v>suzannewright1715@gmail.com</v>
      </c>
      <c r="C176" s="4" t="str">
        <f ca="1">IFERROR(__xludf.DUMMYFUNCTION("""COMPUTED_VALUE"""),"EVERGREEN - UAN Gated Content - Embedded Petition")</f>
        <v>EVERGREEN - UAN Gated Content - Embedded Petition</v>
      </c>
      <c r="D176" s="5">
        <f ca="1">IFERROR(__xludf.DUMMYFUNCTION("""COMPUTED_VALUE"""),45636)</f>
        <v>45636</v>
      </c>
      <c r="F176" s="1" t="str">
        <f ca="1">IFERROR(__xludf.DUMMYFUNCTION("""COMPUTED_VALUE"""),"Venezuela")</f>
        <v>Venezuela</v>
      </c>
      <c r="G176" s="1" t="str">
        <f ca="1">IFERROR(__xludf.DUMMYFUNCTION("""COMPUTED_VALUE"""),"97.24 Venezuela")</f>
        <v>97.24 Venezuela</v>
      </c>
      <c r="H176" s="1" t="str">
        <f ca="1">IFERROR(__xludf.DUMMYFUNCTION("""COMPUTED_VALUE"""),"Freedom of Expression")</f>
        <v>Freedom of Expression</v>
      </c>
      <c r="I176" s="1" t="str">
        <f ca="1">IFERROR(__xludf.DUMMYFUNCTION("""COMPUTED_VALUE"""),"2024")</f>
        <v>2024</v>
      </c>
      <c r="J176" s="1" t="str">
        <f ca="1">IFERROR(__xludf.DUMMYFUNCTION("""COMPUTED_VALUE"""),"Letter")</f>
        <v>Letter</v>
      </c>
    </row>
    <row r="177" spans="1:10" ht="13" x14ac:dyDescent="0.15">
      <c r="A177" s="4">
        <f ca="1">IFERROR(__xludf.DUMMYFUNCTION("""COMPUTED_VALUE"""),30361441)</f>
        <v>30361441</v>
      </c>
      <c r="B177" s="1" t="str">
        <f ca="1">IFERROR(__xludf.DUMMYFUNCTION("""COMPUTED_VALUE"""),"brianarnett1@gmail.com")</f>
        <v>brianarnett1@gmail.com</v>
      </c>
      <c r="C177" s="4" t="str">
        <f ca="1">IFERROR(__xludf.DUMMYFUNCTION("""COMPUTED_VALUE"""),"EVERGREEN - UAN Gated Content - Embedded Petition")</f>
        <v>EVERGREEN - UAN Gated Content - Embedded Petition</v>
      </c>
      <c r="D177" s="5">
        <f ca="1">IFERROR(__xludf.DUMMYFUNCTION("""COMPUTED_VALUE"""),45650)</f>
        <v>45650</v>
      </c>
      <c r="F177" s="1" t="str">
        <f ca="1">IFERROR(__xludf.DUMMYFUNCTION("""COMPUTED_VALUE"""),"Tunisia")</f>
        <v>Tunisia</v>
      </c>
      <c r="G177" s="1" t="str">
        <f ca="1">IFERROR(__xludf.DUMMYFUNCTION("""COMPUTED_VALUE"""),"Second 76.24 Tunisia")</f>
        <v>Second 76.24 Tunisia</v>
      </c>
      <c r="H177" s="1" t="str">
        <f ca="1">IFERROR(__xludf.DUMMYFUNCTION("""COMPUTED_VALUE"""),"Freedom of Expression, Human Rights Defenders")</f>
        <v>Freedom of Expression, Human Rights Defenders</v>
      </c>
      <c r="I177" s="1" t="str">
        <f ca="1">IFERROR(__xludf.DUMMYFUNCTION("""COMPUTED_VALUE"""),"2025")</f>
        <v>2025</v>
      </c>
      <c r="J177" s="1" t="str">
        <f ca="1">IFERROR(__xludf.DUMMYFUNCTION("""COMPUTED_VALUE"""),"Email")</f>
        <v>Email</v>
      </c>
    </row>
    <row r="178" spans="1:10" ht="13" x14ac:dyDescent="0.15">
      <c r="A178" s="4">
        <f ca="1">IFERROR(__xludf.DUMMYFUNCTION("""COMPUTED_VALUE"""),30361441)</f>
        <v>30361441</v>
      </c>
      <c r="B178" s="1" t="str">
        <f ca="1">IFERROR(__xludf.DUMMYFUNCTION("""COMPUTED_VALUE"""),"brianarnett1@gmail.com")</f>
        <v>brianarnett1@gmail.com</v>
      </c>
      <c r="C178" s="4" t="str">
        <f ca="1">IFERROR(__xludf.DUMMYFUNCTION("""COMPUTED_VALUE"""),"EVERGREEN - UAN Gated Content - Embedded Petition")</f>
        <v>EVERGREEN - UAN Gated Content - Embedded Petition</v>
      </c>
      <c r="D178" s="5">
        <f ca="1">IFERROR(__xludf.DUMMYFUNCTION("""COMPUTED_VALUE"""),45620)</f>
        <v>45620</v>
      </c>
      <c r="F178" s="1" t="str">
        <f ca="1">IFERROR(__xludf.DUMMYFUNCTION("""COMPUTED_VALUE"""),"China")</f>
        <v>China</v>
      </c>
      <c r="G178" s="1" t="str">
        <f ca="1">IFERROR(__xludf.DUMMYFUNCTION("""COMPUTED_VALUE"""),"98.24 China")</f>
        <v>98.24 China</v>
      </c>
      <c r="H178" s="1" t="str">
        <f ca="1">IFERROR(__xludf.DUMMYFUNCTION("""COMPUTED_VALUE"""),"Freedom of Expression, Individuals At Risk")</f>
        <v>Freedom of Expression, Individuals At Risk</v>
      </c>
      <c r="I178" s="1" t="str">
        <f ca="1">IFERROR(__xludf.DUMMYFUNCTION("""COMPUTED_VALUE"""),"2024")</f>
        <v>2024</v>
      </c>
      <c r="J178" s="1" t="str">
        <f ca="1">IFERROR(__xludf.DUMMYFUNCTION("""COMPUTED_VALUE"""),"Letter")</f>
        <v>Letter</v>
      </c>
    </row>
    <row r="179" spans="1:10" ht="13" x14ac:dyDescent="0.15">
      <c r="A179" s="4">
        <f ca="1">IFERROR(__xludf.DUMMYFUNCTION("""COMPUTED_VALUE"""),30361441)</f>
        <v>30361441</v>
      </c>
      <c r="B179" s="1" t="str">
        <f ca="1">IFERROR(__xludf.DUMMYFUNCTION("""COMPUTED_VALUE"""),"brianarnett1@gmail.com")</f>
        <v>brianarnett1@gmail.com</v>
      </c>
      <c r="C179" s="4" t="str">
        <f ca="1">IFERROR(__xludf.DUMMYFUNCTION("""COMPUTED_VALUE"""),"EVERGREEN - UAN Gated Content - Embedded Petition")</f>
        <v>EVERGREEN - UAN Gated Content - Embedded Petition</v>
      </c>
      <c r="D179" s="5">
        <f ca="1">IFERROR(__xludf.DUMMYFUNCTION("""COMPUTED_VALUE"""),45620)</f>
        <v>45620</v>
      </c>
      <c r="F179" s="1" t="str">
        <f ca="1">IFERROR(__xludf.DUMMYFUNCTION("""COMPUTED_VALUE"""),"USA")</f>
        <v>USA</v>
      </c>
      <c r="G179" s="1" t="str">
        <f ca="1">IFERROR(__xludf.DUMMYFUNCTION("""COMPUTED_VALUE"""),"105.24 USA")</f>
        <v>105.24 USA</v>
      </c>
      <c r="H179" s="1" t="str">
        <f ca="1">IFERROR(__xludf.DUMMYFUNCTION("""COMPUTED_VALUE"""),"Death Penalty")</f>
        <v>Death Penalty</v>
      </c>
      <c r="I179" s="1" t="str">
        <f ca="1">IFERROR(__xludf.DUMMYFUNCTION("""COMPUTED_VALUE"""),"2024")</f>
        <v>2024</v>
      </c>
      <c r="J179" s="1" t="str">
        <f ca="1">IFERROR(__xludf.DUMMYFUNCTION("""COMPUTED_VALUE"""),"Email")</f>
        <v>Email</v>
      </c>
    </row>
    <row r="180" spans="1:10" ht="13" x14ac:dyDescent="0.15">
      <c r="A180" s="4">
        <f ca="1">IFERROR(__xludf.DUMMYFUNCTION("""COMPUTED_VALUE"""),30361441)</f>
        <v>30361441</v>
      </c>
      <c r="B180" s="1" t="str">
        <f ca="1">IFERROR(__xludf.DUMMYFUNCTION("""COMPUTED_VALUE"""),"brianarnett1@gmail.com")</f>
        <v>brianarnett1@gmail.com</v>
      </c>
      <c r="C180" s="4" t="str">
        <f ca="1">IFERROR(__xludf.DUMMYFUNCTION("""COMPUTED_VALUE"""),"EVERGREEN - UAN Gated Content - Embedded Petition")</f>
        <v>EVERGREEN - UAN Gated Content - Embedded Petition</v>
      </c>
      <c r="D180" s="5">
        <f ca="1">IFERROR(__xludf.DUMMYFUNCTION("""COMPUTED_VALUE"""),45620)</f>
        <v>45620</v>
      </c>
      <c r="F180" s="1" t="str">
        <f ca="1">IFERROR(__xludf.DUMMYFUNCTION("""COMPUTED_VALUE"""),"Afghanistan")</f>
        <v>Afghanistan</v>
      </c>
      <c r="G180" s="1" t="str">
        <f ca="1">IFERROR(__xludf.DUMMYFUNCTION("""COMPUTED_VALUE"""),"11.25 Afghanistan")</f>
        <v>11.25 Afghanistan</v>
      </c>
      <c r="H180" s="1" t="str">
        <f ca="1">IFERROR(__xludf.DUMMYFUNCTION("""COMPUTED_VALUE"""),"Freedom of Expression, Health, Individuals At Risk")</f>
        <v>Freedom of Expression, Health, Individuals At Risk</v>
      </c>
      <c r="I180" s="1" t="str">
        <f ca="1">IFERROR(__xludf.DUMMYFUNCTION("""COMPUTED_VALUE"""),"2025")</f>
        <v>2025</v>
      </c>
      <c r="J180" s="1" t="str">
        <f ca="1">IFERROR(__xludf.DUMMYFUNCTION("""COMPUTED_VALUE"""),"Email")</f>
        <v>Email</v>
      </c>
    </row>
    <row r="181" spans="1:10" ht="13" x14ac:dyDescent="0.15">
      <c r="A181" s="4">
        <f ca="1">IFERROR(__xludf.DUMMYFUNCTION("""COMPUTED_VALUE"""),30361441)</f>
        <v>30361441</v>
      </c>
      <c r="B181" s="1" t="str">
        <f ca="1">IFERROR(__xludf.DUMMYFUNCTION("""COMPUTED_VALUE"""),"brianarnett1@gmail.com")</f>
        <v>brianarnett1@gmail.com</v>
      </c>
      <c r="C181" s="4" t="str">
        <f ca="1">IFERROR(__xludf.DUMMYFUNCTION("""COMPUTED_VALUE"""),"EVERGREEN - UAN Gated Content - Embedded Petition")</f>
        <v>EVERGREEN - UAN Gated Content - Embedded Petition</v>
      </c>
      <c r="D181" s="5">
        <f ca="1">IFERROR(__xludf.DUMMYFUNCTION("""COMPUTED_VALUE"""),45650)</f>
        <v>45650</v>
      </c>
      <c r="F181" s="1" t="str">
        <f ca="1">IFERROR(__xludf.DUMMYFUNCTION("""COMPUTED_VALUE"""),"USA")</f>
        <v>USA</v>
      </c>
      <c r="G181" s="1" t="str">
        <f ca="1">IFERROR(__xludf.DUMMYFUNCTION("""COMPUTED_VALUE"""),"4.25 USA")</f>
        <v>4.25 USA</v>
      </c>
      <c r="H181" s="1" t="str">
        <f ca="1">IFERROR(__xludf.DUMMYFUNCTION("""COMPUTED_VALUE"""),"Individuals At Risk, Refugee and Migrant Rights")</f>
        <v>Individuals At Risk, Refugee and Migrant Rights</v>
      </c>
      <c r="I181" s="1" t="str">
        <f ca="1">IFERROR(__xludf.DUMMYFUNCTION("""COMPUTED_VALUE"""),"2025")</f>
        <v>2025</v>
      </c>
      <c r="J181" s="1" t="str">
        <f ca="1">IFERROR(__xludf.DUMMYFUNCTION("""COMPUTED_VALUE"""),"Letter")</f>
        <v>Letter</v>
      </c>
    </row>
    <row r="182" spans="1:10" ht="13" x14ac:dyDescent="0.15">
      <c r="A182" s="4">
        <f ca="1">IFERROR(__xludf.DUMMYFUNCTION("""COMPUTED_VALUE"""),30361441)</f>
        <v>30361441</v>
      </c>
      <c r="B182" s="1" t="str">
        <f ca="1">IFERROR(__xludf.DUMMYFUNCTION("""COMPUTED_VALUE"""),"brianarnett1@gmail.com")</f>
        <v>brianarnett1@gmail.com</v>
      </c>
      <c r="C182" s="4" t="str">
        <f ca="1">IFERROR(__xludf.DUMMYFUNCTION("""COMPUTED_VALUE"""),"EVERGREEN - UAN Gated Content - Embedded Petition")</f>
        <v>EVERGREEN - UAN Gated Content - Embedded Petition</v>
      </c>
      <c r="D182" s="5">
        <f ca="1">IFERROR(__xludf.DUMMYFUNCTION("""COMPUTED_VALUE"""),45650)</f>
        <v>45650</v>
      </c>
      <c r="F182" s="1" t="str">
        <f ca="1">IFERROR(__xludf.DUMMYFUNCTION("""COMPUTED_VALUE"""),"Tunisia")</f>
        <v>Tunisia</v>
      </c>
      <c r="G182" s="1" t="str">
        <f ca="1">IFERROR(__xludf.DUMMYFUNCTION("""COMPUTED_VALUE"""),"Second 76.24 Tunisia")</f>
        <v>Second 76.24 Tunisia</v>
      </c>
      <c r="H182" s="1" t="str">
        <f ca="1">IFERROR(__xludf.DUMMYFUNCTION("""COMPUTED_VALUE"""),"Freedom of Expression, Human Rights Defenders")</f>
        <v>Freedom of Expression, Human Rights Defenders</v>
      </c>
      <c r="I182" s="1" t="str">
        <f ca="1">IFERROR(__xludf.DUMMYFUNCTION("""COMPUTED_VALUE"""),"2025")</f>
        <v>2025</v>
      </c>
      <c r="J182" s="1" t="str">
        <f ca="1">IFERROR(__xludf.DUMMYFUNCTION("""COMPUTED_VALUE"""),"Email")</f>
        <v>Email</v>
      </c>
    </row>
    <row r="183" spans="1:10" ht="13" x14ac:dyDescent="0.15">
      <c r="A183" s="4">
        <f ca="1">IFERROR(__xludf.DUMMYFUNCTION("""COMPUTED_VALUE"""),30361441)</f>
        <v>30361441</v>
      </c>
      <c r="B183" s="1" t="str">
        <f ca="1">IFERROR(__xludf.DUMMYFUNCTION("""COMPUTED_VALUE"""),"brianarnett1@gmail.com")</f>
        <v>brianarnett1@gmail.com</v>
      </c>
      <c r="C183" s="4" t="str">
        <f ca="1">IFERROR(__xludf.DUMMYFUNCTION("""COMPUTED_VALUE"""),"EVERGREEN - UAN Gated Content - Embedded Petition")</f>
        <v>EVERGREEN - UAN Gated Content - Embedded Petition</v>
      </c>
      <c r="D183" s="5">
        <f ca="1">IFERROR(__xludf.DUMMYFUNCTION("""COMPUTED_VALUE"""),45650)</f>
        <v>45650</v>
      </c>
      <c r="F183" s="1" t="str">
        <f ca="1">IFERROR(__xludf.DUMMYFUNCTION("""COMPUTED_VALUE"""),"Venezuela")</f>
        <v>Venezuela</v>
      </c>
      <c r="G183" s="1" t="str">
        <f ca="1">IFERROR(__xludf.DUMMYFUNCTION("""COMPUTED_VALUE"""),"1.25 Venezuela")</f>
        <v>1.25 Venezuela</v>
      </c>
      <c r="H183" s="1" t="str">
        <f ca="1">IFERROR(__xludf.DUMMYFUNCTION("""COMPUTED_VALUE"""),"Human Rights Defenders, Individuals At Risk")</f>
        <v>Human Rights Defenders, Individuals At Risk</v>
      </c>
      <c r="I183" s="1" t="str">
        <f ca="1">IFERROR(__xludf.DUMMYFUNCTION("""COMPUTED_VALUE"""),"2025")</f>
        <v>2025</v>
      </c>
      <c r="J183" s="1" t="str">
        <f ca="1">IFERROR(__xludf.DUMMYFUNCTION("""COMPUTED_VALUE"""),"Letter")</f>
        <v>Letter</v>
      </c>
    </row>
    <row r="184" spans="1:10" ht="13" x14ac:dyDescent="0.15">
      <c r="A184" s="4">
        <f ca="1">IFERROR(__xludf.DUMMYFUNCTION("""COMPUTED_VALUE"""),30361441)</f>
        <v>30361441</v>
      </c>
      <c r="B184" s="1" t="str">
        <f ca="1">IFERROR(__xludf.DUMMYFUNCTION("""COMPUTED_VALUE"""),"brianarnett1@gmail.com")</f>
        <v>brianarnett1@gmail.com</v>
      </c>
      <c r="C184" s="4" t="str">
        <f ca="1">IFERROR(__xludf.DUMMYFUNCTION("""COMPUTED_VALUE"""),"EVERGREEN - Website Email Capture Form - UAN Pre-Footer")</f>
        <v>EVERGREEN - Website Email Capture Form - UAN Pre-Footer</v>
      </c>
      <c r="D184" s="5">
        <f ca="1">IFERROR(__xludf.DUMMYFUNCTION("""COMPUTED_VALUE"""),45650)</f>
        <v>45650</v>
      </c>
      <c r="F184" s="1" t="str">
        <f ca="1">IFERROR(__xludf.DUMMYFUNCTION("""COMPUTED_VALUE"""),"Egypt")</f>
        <v>Egypt</v>
      </c>
      <c r="G184" s="1" t="str">
        <f ca="1">IFERROR(__xludf.DUMMYFUNCTION("""COMPUTED_VALUE"""),"Ninth 190.18 Egypt")</f>
        <v>Ninth 190.18 Egypt</v>
      </c>
      <c r="H184" s="1" t="str">
        <f ca="1">IFERROR(__xludf.DUMMYFUNCTION("""COMPUTED_VALUE"""),"Freedom of Expression, Individuals At Risk")</f>
        <v>Freedom of Expression, Individuals At Risk</v>
      </c>
      <c r="I184" s="1" t="str">
        <f ca="1">IFERROR(__xludf.DUMMYFUNCTION("""COMPUTED_VALUE"""),"2024")</f>
        <v>2024</v>
      </c>
      <c r="J184" s="1" t="str">
        <f ca="1">IFERROR(__xludf.DUMMYFUNCTION("""COMPUTED_VALUE"""),"Letter")</f>
        <v>Letter</v>
      </c>
    </row>
    <row r="185" spans="1:10" ht="13" x14ac:dyDescent="0.15">
      <c r="A185" s="4">
        <f ca="1">IFERROR(__xludf.DUMMYFUNCTION("""COMPUTED_VALUE"""),30362373)</f>
        <v>30362373</v>
      </c>
      <c r="B185" s="1" t="str">
        <f ca="1">IFERROR(__xludf.DUMMYFUNCTION("""COMPUTED_VALUE"""),"rlsingerman@gmail.com")</f>
        <v>rlsingerman@gmail.com</v>
      </c>
      <c r="C185" s="4" t="str">
        <f ca="1">IFERROR(__xludf.DUMMYFUNCTION("""COMPUTED_VALUE"""),"EVERGREEN - UAN Gated Content - Embedded Petition")</f>
        <v>EVERGREEN - UAN Gated Content - Embedded Petition</v>
      </c>
      <c r="D185" s="5">
        <f ca="1">IFERROR(__xludf.DUMMYFUNCTION("""COMPUTED_VALUE"""),45655)</f>
        <v>45655</v>
      </c>
      <c r="F185" s="1" t="str">
        <f ca="1">IFERROR(__xludf.DUMMYFUNCTION("""COMPUTED_VALUE"""),"Canada")</f>
        <v>Canada</v>
      </c>
      <c r="G185" s="1" t="str">
        <f ca="1">IFERROR(__xludf.DUMMYFUNCTION("""COMPUTED_VALUE"""),"99.24 Canada")</f>
        <v>99.24 Canada</v>
      </c>
      <c r="H185" s="1" t="str">
        <f ca="1">IFERROR(__xludf.DUMMYFUNCTION("""COMPUTED_VALUE"""),"Climate Justice, Indigenous Rights, Right to Protest")</f>
        <v>Climate Justice, Indigenous Rights, Right to Protest</v>
      </c>
      <c r="I185" s="1" t="str">
        <f ca="1">IFERROR(__xludf.DUMMYFUNCTION("""COMPUTED_VALUE"""),"2024")</f>
        <v>2024</v>
      </c>
      <c r="J185" s="1" t="str">
        <f ca="1">IFERROR(__xludf.DUMMYFUNCTION("""COMPUTED_VALUE"""),"Letter")</f>
        <v>Letter</v>
      </c>
    </row>
    <row r="186" spans="1:10" ht="13" x14ac:dyDescent="0.15">
      <c r="A186" s="4">
        <f ca="1">IFERROR(__xludf.DUMMYFUNCTION("""COMPUTED_VALUE"""),30362373)</f>
        <v>30362373</v>
      </c>
      <c r="B186" s="1" t="str">
        <f ca="1">IFERROR(__xludf.DUMMYFUNCTION("""COMPUTED_VALUE"""),"rlsingerman@gmail.com")</f>
        <v>rlsingerman@gmail.com</v>
      </c>
      <c r="C186" s="4" t="str">
        <f ca="1">IFERROR(__xludf.DUMMYFUNCTION("""COMPUTED_VALUE"""),"EVERGREEN - UAN Gated Content - Embedded Petition")</f>
        <v>EVERGREEN - UAN Gated Content - Embedded Petition</v>
      </c>
      <c r="D186" s="5">
        <f ca="1">IFERROR(__xludf.DUMMYFUNCTION("""COMPUTED_VALUE"""),45655)</f>
        <v>45655</v>
      </c>
      <c r="F186" s="1" t="str">
        <f ca="1">IFERROR(__xludf.DUMMYFUNCTION("""COMPUTED_VALUE"""),"China")</f>
        <v>China</v>
      </c>
      <c r="G186" s="1" t="str">
        <f ca="1">IFERROR(__xludf.DUMMYFUNCTION("""COMPUTED_VALUE"""),"98.24 China")</f>
        <v>98.24 China</v>
      </c>
      <c r="H186" s="1" t="str">
        <f ca="1">IFERROR(__xludf.DUMMYFUNCTION("""COMPUTED_VALUE"""),"Freedom of Expression, Individuals At Risk")</f>
        <v>Freedom of Expression, Individuals At Risk</v>
      </c>
      <c r="I186" s="1" t="str">
        <f ca="1">IFERROR(__xludf.DUMMYFUNCTION("""COMPUTED_VALUE"""),"2024")</f>
        <v>2024</v>
      </c>
      <c r="J186" s="1" t="str">
        <f ca="1">IFERROR(__xludf.DUMMYFUNCTION("""COMPUTED_VALUE"""),"Letter")</f>
        <v>Letter</v>
      </c>
    </row>
    <row r="187" spans="1:10" ht="13" x14ac:dyDescent="0.15">
      <c r="A187" s="4">
        <f ca="1">IFERROR(__xludf.DUMMYFUNCTION("""COMPUTED_VALUE"""),30362373)</f>
        <v>30362373</v>
      </c>
      <c r="B187" s="1" t="str">
        <f ca="1">IFERROR(__xludf.DUMMYFUNCTION("""COMPUTED_VALUE"""),"rlsingerman@gmail.com")</f>
        <v>rlsingerman@gmail.com</v>
      </c>
      <c r="C187" s="4" t="str">
        <f ca="1">IFERROR(__xludf.DUMMYFUNCTION("""COMPUTED_VALUE"""),"EVERGREEN - UAN Gated Content - Embedded Petition")</f>
        <v>EVERGREEN - UAN Gated Content - Embedded Petition</v>
      </c>
      <c r="D187" s="5">
        <f ca="1">IFERROR(__xludf.DUMMYFUNCTION("""COMPUTED_VALUE"""),45616)</f>
        <v>45616</v>
      </c>
      <c r="F187" s="1" t="str">
        <f ca="1">IFERROR(__xludf.DUMMYFUNCTION("""COMPUTED_VALUE"""),"Tunisia")</f>
        <v>Tunisia</v>
      </c>
      <c r="G187" s="1" t="str">
        <f ca="1">IFERROR(__xludf.DUMMYFUNCTION("""COMPUTED_VALUE"""),"Second 76.24 Tunisia")</f>
        <v>Second 76.24 Tunisia</v>
      </c>
      <c r="H187" s="1" t="str">
        <f ca="1">IFERROR(__xludf.DUMMYFUNCTION("""COMPUTED_VALUE"""),"Freedom of Expression, Human Rights Defenders")</f>
        <v>Freedom of Expression, Human Rights Defenders</v>
      </c>
      <c r="I187" s="1" t="str">
        <f ca="1">IFERROR(__xludf.DUMMYFUNCTION("""COMPUTED_VALUE"""),"2025")</f>
        <v>2025</v>
      </c>
      <c r="J187" s="1" t="str">
        <f ca="1">IFERROR(__xludf.DUMMYFUNCTION("""COMPUTED_VALUE"""),"Email")</f>
        <v>Email</v>
      </c>
    </row>
    <row r="188" spans="1:10" ht="13" x14ac:dyDescent="0.15">
      <c r="A188" s="4">
        <f ca="1">IFERROR(__xludf.DUMMYFUNCTION("""COMPUTED_VALUE"""),30362373)</f>
        <v>30362373</v>
      </c>
      <c r="B188" s="1" t="str">
        <f ca="1">IFERROR(__xludf.DUMMYFUNCTION("""COMPUTED_VALUE"""),"rlsingerman@gmail.com")</f>
        <v>rlsingerman@gmail.com</v>
      </c>
      <c r="C188" s="4" t="str">
        <f ca="1">IFERROR(__xludf.DUMMYFUNCTION("""COMPUTED_VALUE"""),"EVERGREEN - UAN Gated Content - Embedded Petition")</f>
        <v>EVERGREEN - UAN Gated Content - Embedded Petition</v>
      </c>
      <c r="D188" s="5">
        <f ca="1">IFERROR(__xludf.DUMMYFUNCTION("""COMPUTED_VALUE"""),45655)</f>
        <v>45655</v>
      </c>
      <c r="F188" s="1" t="str">
        <f ca="1">IFERROR(__xludf.DUMMYFUNCTION("""COMPUTED_VALUE"""),"Dominican Republic")</f>
        <v>Dominican Republic</v>
      </c>
      <c r="G188" s="1" t="str">
        <f ca="1">IFERROR(__xludf.DUMMYFUNCTION("""COMPUTED_VALUE"""),"88.24 Dominican Republic")</f>
        <v>88.24 Dominican Republic</v>
      </c>
      <c r="H188" s="1" t="str">
        <f ca="1">IFERROR(__xludf.DUMMYFUNCTION("""COMPUTED_VALUE"""),"Individuals At Risk, Refugee and Migrant Rights")</f>
        <v>Individuals At Risk, Refugee and Migrant Rights</v>
      </c>
      <c r="I188" s="1" t="str">
        <f ca="1">IFERROR(__xludf.DUMMYFUNCTION("""COMPUTED_VALUE"""),"2024")</f>
        <v>2024</v>
      </c>
      <c r="J188" s="1" t="str">
        <f ca="1">IFERROR(__xludf.DUMMYFUNCTION("""COMPUTED_VALUE"""),"Letter")</f>
        <v>Letter</v>
      </c>
    </row>
    <row r="189" spans="1:10" ht="13" x14ac:dyDescent="0.15">
      <c r="A189" s="4">
        <f ca="1">IFERROR(__xludf.DUMMYFUNCTION("""COMPUTED_VALUE"""),30367414)</f>
        <v>30367414</v>
      </c>
      <c r="B189" s="1" t="str">
        <f ca="1">IFERROR(__xludf.DUMMYFUNCTION("""COMPUTED_VALUE"""),"dowling_mike_j@yahoo.com")</f>
        <v>dowling_mike_j@yahoo.com</v>
      </c>
      <c r="C189" s="4" t="str">
        <f ca="1">IFERROR(__xludf.DUMMYFUNCTION("""COMPUTED_VALUE"""),"EVERGREEN - UAN Gated Content - Embedded Petition")</f>
        <v>EVERGREEN - UAN Gated Content - Embedded Petition</v>
      </c>
      <c r="D189" s="5">
        <f ca="1">IFERROR(__xludf.DUMMYFUNCTION("""COMPUTED_VALUE"""),45640)</f>
        <v>45640</v>
      </c>
      <c r="F189" s="1" t="str">
        <f ca="1">IFERROR(__xludf.DUMMYFUNCTION("""COMPUTED_VALUE"""),"Tunisia")</f>
        <v>Tunisia</v>
      </c>
      <c r="G189" s="1" t="str">
        <f ca="1">IFERROR(__xludf.DUMMYFUNCTION("""COMPUTED_VALUE"""),"Second 76.24 Tunisia")</f>
        <v>Second 76.24 Tunisia</v>
      </c>
      <c r="H189" s="1" t="str">
        <f ca="1">IFERROR(__xludf.DUMMYFUNCTION("""COMPUTED_VALUE"""),"Freedom of Expression, Human Rights Defenders")</f>
        <v>Freedom of Expression, Human Rights Defenders</v>
      </c>
      <c r="I189" s="1" t="str">
        <f ca="1">IFERROR(__xludf.DUMMYFUNCTION("""COMPUTED_VALUE"""),"2025")</f>
        <v>2025</v>
      </c>
      <c r="J189" s="1" t="str">
        <f ca="1">IFERROR(__xludf.DUMMYFUNCTION("""COMPUTED_VALUE"""),"Email")</f>
        <v>Email</v>
      </c>
    </row>
    <row r="190" spans="1:10" ht="13" x14ac:dyDescent="0.15">
      <c r="A190" s="4">
        <f ca="1">IFERROR(__xludf.DUMMYFUNCTION("""COMPUTED_VALUE"""),30367414)</f>
        <v>30367414</v>
      </c>
      <c r="B190" s="1" t="str">
        <f ca="1">IFERROR(__xludf.DUMMYFUNCTION("""COMPUTED_VALUE"""),"dowling_mike_j@yahoo.com")</f>
        <v>dowling_mike_j@yahoo.com</v>
      </c>
      <c r="C190" s="4" t="str">
        <f ca="1">IFERROR(__xludf.DUMMYFUNCTION("""COMPUTED_VALUE"""),"EVERGREEN - UAN Gated Content - Embedded Petition")</f>
        <v>EVERGREEN - UAN Gated Content - Embedded Petition</v>
      </c>
      <c r="D190" s="5">
        <f ca="1">IFERROR(__xludf.DUMMYFUNCTION("""COMPUTED_VALUE"""),45640)</f>
        <v>45640</v>
      </c>
      <c r="F190" s="1" t="str">
        <f ca="1">IFERROR(__xludf.DUMMYFUNCTION("""COMPUTED_VALUE"""),"Tunisia")</f>
        <v>Tunisia</v>
      </c>
      <c r="G190" s="1" t="str">
        <f ca="1">IFERROR(__xludf.DUMMYFUNCTION("""COMPUTED_VALUE"""),"Second 76.24 Tunisia")</f>
        <v>Second 76.24 Tunisia</v>
      </c>
      <c r="H190" s="1" t="str">
        <f ca="1">IFERROR(__xludf.DUMMYFUNCTION("""COMPUTED_VALUE"""),"Freedom of Expression, Human Rights Defenders")</f>
        <v>Freedom of Expression, Human Rights Defenders</v>
      </c>
      <c r="I190" s="1" t="str">
        <f ca="1">IFERROR(__xludf.DUMMYFUNCTION("""COMPUTED_VALUE"""),"2025")</f>
        <v>2025</v>
      </c>
      <c r="J190" s="1" t="str">
        <f ca="1">IFERROR(__xludf.DUMMYFUNCTION("""COMPUTED_VALUE"""),"Email")</f>
        <v>Email</v>
      </c>
    </row>
    <row r="191" spans="1:10" ht="13" x14ac:dyDescent="0.15">
      <c r="A191" s="4">
        <f ca="1">IFERROR(__xludf.DUMMYFUNCTION("""COMPUTED_VALUE"""),30367414)</f>
        <v>30367414</v>
      </c>
      <c r="B191" s="1" t="str">
        <f ca="1">IFERROR(__xludf.DUMMYFUNCTION("""COMPUTED_VALUE"""),"dowling_mike_j@yahoo.com")</f>
        <v>dowling_mike_j@yahoo.com</v>
      </c>
      <c r="C191" s="4" t="str">
        <f ca="1">IFERROR(__xludf.DUMMYFUNCTION("""COMPUTED_VALUE"""),"EVERGREEN - UAN Gated Content - Embedded Petition")</f>
        <v>EVERGREEN - UAN Gated Content - Embedded Petition</v>
      </c>
      <c r="D191" s="5">
        <f ca="1">IFERROR(__xludf.DUMMYFUNCTION("""COMPUTED_VALUE"""),45640)</f>
        <v>45640</v>
      </c>
      <c r="F191" s="1" t="str">
        <f ca="1">IFERROR(__xludf.DUMMYFUNCTION("""COMPUTED_VALUE"""),"USA")</f>
        <v>USA</v>
      </c>
      <c r="G191" s="1" t="str">
        <f ca="1">IFERROR(__xludf.DUMMYFUNCTION("""COMPUTED_VALUE"""),"105.24 USA")</f>
        <v>105.24 USA</v>
      </c>
      <c r="H191" s="1" t="str">
        <f ca="1">IFERROR(__xludf.DUMMYFUNCTION("""COMPUTED_VALUE"""),"Death Penalty")</f>
        <v>Death Penalty</v>
      </c>
      <c r="I191" s="1" t="str">
        <f ca="1">IFERROR(__xludf.DUMMYFUNCTION("""COMPUTED_VALUE"""),"2024")</f>
        <v>2024</v>
      </c>
      <c r="J191" s="1" t="str">
        <f ca="1">IFERROR(__xludf.DUMMYFUNCTION("""COMPUTED_VALUE"""),"Email")</f>
        <v>Email</v>
      </c>
    </row>
    <row r="192" spans="1:10" ht="13" x14ac:dyDescent="0.15">
      <c r="A192" s="4">
        <f ca="1">IFERROR(__xludf.DUMMYFUNCTION("""COMPUTED_VALUE"""),30367414)</f>
        <v>30367414</v>
      </c>
      <c r="B192" s="1" t="str">
        <f ca="1">IFERROR(__xludf.DUMMYFUNCTION("""COMPUTED_VALUE"""),"dowling_mike_j@yahoo.com")</f>
        <v>dowling_mike_j@yahoo.com</v>
      </c>
      <c r="C192" s="4" t="str">
        <f ca="1">IFERROR(__xludf.DUMMYFUNCTION("""COMPUTED_VALUE"""),"EVERGREEN - UAN Gated Content - Embedded Petition")</f>
        <v>EVERGREEN - UAN Gated Content - Embedded Petition</v>
      </c>
      <c r="D192" s="5">
        <f ca="1">IFERROR(__xludf.DUMMYFUNCTION("""COMPUTED_VALUE"""),45675)</f>
        <v>45675</v>
      </c>
      <c r="F192" s="1" t="str">
        <f ca="1">IFERROR(__xludf.DUMMYFUNCTION("""COMPUTED_VALUE"""),"Iran")</f>
        <v>Iran</v>
      </c>
      <c r="G192" s="1" t="str">
        <f ca="1">IFERROR(__xludf.DUMMYFUNCTION("""COMPUTED_VALUE"""),"Seventh 103.22 Iran")</f>
        <v>Seventh 103.22 Iran</v>
      </c>
      <c r="H192" s="1" t="str">
        <f ca="1">IFERROR(__xludf.DUMMYFUNCTION("""COMPUTED_VALUE"""),"Death Penalty, Freedom of Expression, Individuals At Risk")</f>
        <v>Death Penalty, Freedom of Expression, Individuals At Risk</v>
      </c>
      <c r="I192" s="1" t="str">
        <f ca="1">IFERROR(__xludf.DUMMYFUNCTION("""COMPUTED_VALUE"""),"2024")</f>
        <v>2024</v>
      </c>
      <c r="J192" s="1" t="str">
        <f ca="1">IFERROR(__xludf.DUMMYFUNCTION("""COMPUTED_VALUE"""),"Email")</f>
        <v>Email</v>
      </c>
    </row>
    <row r="193" spans="1:10" ht="13" x14ac:dyDescent="0.15">
      <c r="A193" s="4">
        <f ca="1">IFERROR(__xludf.DUMMYFUNCTION("""COMPUTED_VALUE"""),30367414)</f>
        <v>30367414</v>
      </c>
      <c r="B193" s="1" t="str">
        <f ca="1">IFERROR(__xludf.DUMMYFUNCTION("""COMPUTED_VALUE"""),"dowling_mike_j@yahoo.com")</f>
        <v>dowling_mike_j@yahoo.com</v>
      </c>
      <c r="C193" s="4" t="str">
        <f ca="1">IFERROR(__xludf.DUMMYFUNCTION("""COMPUTED_VALUE"""),"EVERGREEN - UAN Gated Content - Embedded Petition")</f>
        <v>EVERGREEN - UAN Gated Content - Embedded Petition</v>
      </c>
      <c r="D193" s="5">
        <f ca="1">IFERROR(__xludf.DUMMYFUNCTION("""COMPUTED_VALUE"""),45675)</f>
        <v>45675</v>
      </c>
      <c r="F193" s="1" t="str">
        <f ca="1">IFERROR(__xludf.DUMMYFUNCTION("""COMPUTED_VALUE"""),"Tunisia")</f>
        <v>Tunisia</v>
      </c>
      <c r="G193" s="1" t="str">
        <f ca="1">IFERROR(__xludf.DUMMYFUNCTION("""COMPUTED_VALUE"""),"Second 76.24 Tunisia")</f>
        <v>Second 76.24 Tunisia</v>
      </c>
      <c r="H193" s="1" t="str">
        <f ca="1">IFERROR(__xludf.DUMMYFUNCTION("""COMPUTED_VALUE"""),"Freedom of Expression, Human Rights Defenders")</f>
        <v>Freedom of Expression, Human Rights Defenders</v>
      </c>
      <c r="I193" s="1" t="str">
        <f ca="1">IFERROR(__xludf.DUMMYFUNCTION("""COMPUTED_VALUE"""),"2025")</f>
        <v>2025</v>
      </c>
      <c r="J193" s="1" t="str">
        <f ca="1">IFERROR(__xludf.DUMMYFUNCTION("""COMPUTED_VALUE"""),"Email")</f>
        <v>Email</v>
      </c>
    </row>
    <row r="194" spans="1:10" ht="13" x14ac:dyDescent="0.15">
      <c r="A194" s="4">
        <f ca="1">IFERROR(__xludf.DUMMYFUNCTION("""COMPUTED_VALUE"""),30367414)</f>
        <v>30367414</v>
      </c>
      <c r="B194" s="1" t="str">
        <f ca="1">IFERROR(__xludf.DUMMYFUNCTION("""COMPUTED_VALUE"""),"dowling_mike_j@yahoo.com")</f>
        <v>dowling_mike_j@yahoo.com</v>
      </c>
      <c r="C194" s="4" t="str">
        <f ca="1">IFERROR(__xludf.DUMMYFUNCTION("""COMPUTED_VALUE"""),"EVERGREEN - UAN Gated Content - Embedded Petition")</f>
        <v>EVERGREEN - UAN Gated Content - Embedded Petition</v>
      </c>
      <c r="D194" s="5">
        <f ca="1">IFERROR(__xludf.DUMMYFUNCTION("""COMPUTED_VALUE"""),45675)</f>
        <v>45675</v>
      </c>
      <c r="F194" s="1" t="str">
        <f ca="1">IFERROR(__xludf.DUMMYFUNCTION("""COMPUTED_VALUE"""),"Venezuela")</f>
        <v>Venezuela</v>
      </c>
      <c r="G194" s="1" t="str">
        <f ca="1">IFERROR(__xludf.DUMMYFUNCTION("""COMPUTED_VALUE"""),"97.24 Venezuela")</f>
        <v>97.24 Venezuela</v>
      </c>
      <c r="H194" s="1" t="str">
        <f ca="1">IFERROR(__xludf.DUMMYFUNCTION("""COMPUTED_VALUE"""),"Freedom of Expression")</f>
        <v>Freedom of Expression</v>
      </c>
      <c r="I194" s="1" t="str">
        <f ca="1">IFERROR(__xludf.DUMMYFUNCTION("""COMPUTED_VALUE"""),"2024")</f>
        <v>2024</v>
      </c>
      <c r="J194" s="1" t="str">
        <f ca="1">IFERROR(__xludf.DUMMYFUNCTION("""COMPUTED_VALUE"""),"Letter")</f>
        <v>Letter</v>
      </c>
    </row>
    <row r="195" spans="1:10" ht="13" x14ac:dyDescent="0.15">
      <c r="A195" s="4">
        <f ca="1">IFERROR(__xludf.DUMMYFUNCTION("""COMPUTED_VALUE"""),30367414)</f>
        <v>30367414</v>
      </c>
      <c r="B195" s="1" t="str">
        <f ca="1">IFERROR(__xludf.DUMMYFUNCTION("""COMPUTED_VALUE"""),"dowling_mike_j@yahoo.com")</f>
        <v>dowling_mike_j@yahoo.com</v>
      </c>
      <c r="C195" s="4" t="str">
        <f ca="1">IFERROR(__xludf.DUMMYFUNCTION("""COMPUTED_VALUE"""),"EVERGREEN - UAN Gated Content - Embedded Petition")</f>
        <v>EVERGREEN - UAN Gated Content - Embedded Petition</v>
      </c>
      <c r="D195" s="5">
        <f ca="1">IFERROR(__xludf.DUMMYFUNCTION("""COMPUTED_VALUE"""),45675)</f>
        <v>45675</v>
      </c>
      <c r="F195" s="1" t="str">
        <f ca="1">IFERROR(__xludf.DUMMYFUNCTION("""COMPUTED_VALUE"""),"Egypt")</f>
        <v>Egypt</v>
      </c>
      <c r="G195" s="1" t="str">
        <f ca="1">IFERROR(__xludf.DUMMYFUNCTION("""COMPUTED_VALUE"""),"Ninth 190.18 Egypt")</f>
        <v>Ninth 190.18 Egypt</v>
      </c>
      <c r="H195" s="1" t="str">
        <f ca="1">IFERROR(__xludf.DUMMYFUNCTION("""COMPUTED_VALUE"""),"Freedom of Expression, Individuals At Risk")</f>
        <v>Freedom of Expression, Individuals At Risk</v>
      </c>
      <c r="I195" s="1" t="str">
        <f ca="1">IFERROR(__xludf.DUMMYFUNCTION("""COMPUTED_VALUE"""),"2024")</f>
        <v>2024</v>
      </c>
      <c r="J195" s="1" t="str">
        <f ca="1">IFERROR(__xludf.DUMMYFUNCTION("""COMPUTED_VALUE"""),"Letter")</f>
        <v>Letter</v>
      </c>
    </row>
    <row r="196" spans="1:10" ht="13" x14ac:dyDescent="0.15">
      <c r="A196" s="4">
        <f ca="1">IFERROR(__xludf.DUMMYFUNCTION("""COMPUTED_VALUE"""),30367414)</f>
        <v>30367414</v>
      </c>
      <c r="B196" s="1" t="str">
        <f ca="1">IFERROR(__xludf.DUMMYFUNCTION("""COMPUTED_VALUE"""),"dowling_mike_j@yahoo.com")</f>
        <v>dowling_mike_j@yahoo.com</v>
      </c>
      <c r="C196" s="4" t="str">
        <f ca="1">IFERROR(__xludf.DUMMYFUNCTION("""COMPUTED_VALUE"""),"EVERGREEN - UAN Gated Content - Embedded Petition")</f>
        <v>EVERGREEN - UAN Gated Content - Embedded Petition</v>
      </c>
      <c r="D196" s="5">
        <f ca="1">IFERROR(__xludf.DUMMYFUNCTION("""COMPUTED_VALUE"""),45675)</f>
        <v>45675</v>
      </c>
      <c r="F196" s="1" t="str">
        <f ca="1">IFERROR(__xludf.DUMMYFUNCTION("""COMPUTED_VALUE"""),"USA")</f>
        <v>USA</v>
      </c>
      <c r="G196" s="1" t="str">
        <f ca="1">IFERROR(__xludf.DUMMYFUNCTION("""COMPUTED_VALUE"""),"105.24 USA")</f>
        <v>105.24 USA</v>
      </c>
      <c r="H196" s="1" t="str">
        <f ca="1">IFERROR(__xludf.DUMMYFUNCTION("""COMPUTED_VALUE"""),"Death Penalty")</f>
        <v>Death Penalty</v>
      </c>
      <c r="I196" s="1" t="str">
        <f ca="1">IFERROR(__xludf.DUMMYFUNCTION("""COMPUTED_VALUE"""),"2024")</f>
        <v>2024</v>
      </c>
      <c r="J196" s="1" t="str">
        <f ca="1">IFERROR(__xludf.DUMMYFUNCTION("""COMPUTED_VALUE"""),"Email")</f>
        <v>Email</v>
      </c>
    </row>
    <row r="197" spans="1:10" ht="13" x14ac:dyDescent="0.15">
      <c r="A197" s="4">
        <f ca="1">IFERROR(__xludf.DUMMYFUNCTION("""COMPUTED_VALUE"""),30367414)</f>
        <v>30367414</v>
      </c>
      <c r="B197" s="1" t="str">
        <f ca="1">IFERROR(__xludf.DUMMYFUNCTION("""COMPUTED_VALUE"""),"dowling_mike_j@yahoo.com")</f>
        <v>dowling_mike_j@yahoo.com</v>
      </c>
      <c r="C197" s="4" t="str">
        <f ca="1">IFERROR(__xludf.DUMMYFUNCTION("""COMPUTED_VALUE"""),"EVERGREEN - UAN Gated Content - Embedded Petition")</f>
        <v>EVERGREEN - UAN Gated Content - Embedded Petition</v>
      </c>
      <c r="D197" s="5">
        <f ca="1">IFERROR(__xludf.DUMMYFUNCTION("""COMPUTED_VALUE"""),45675)</f>
        <v>45675</v>
      </c>
      <c r="F197" s="1" t="str">
        <f ca="1">IFERROR(__xludf.DUMMYFUNCTION("""COMPUTED_VALUE"""),"China")</f>
        <v>China</v>
      </c>
      <c r="G197" s="1" t="str">
        <f ca="1">IFERROR(__xludf.DUMMYFUNCTION("""COMPUTED_VALUE"""),"98.24 China")</f>
        <v>98.24 China</v>
      </c>
      <c r="H197" s="1" t="str">
        <f ca="1">IFERROR(__xludf.DUMMYFUNCTION("""COMPUTED_VALUE"""),"Freedom of Expression, Individuals At Risk")</f>
        <v>Freedom of Expression, Individuals At Risk</v>
      </c>
      <c r="I197" s="1" t="str">
        <f ca="1">IFERROR(__xludf.DUMMYFUNCTION("""COMPUTED_VALUE"""),"2024")</f>
        <v>2024</v>
      </c>
      <c r="J197" s="1" t="str">
        <f ca="1">IFERROR(__xludf.DUMMYFUNCTION("""COMPUTED_VALUE"""),"Letter")</f>
        <v>Letter</v>
      </c>
    </row>
    <row r="198" spans="1:10" ht="13" x14ac:dyDescent="0.15">
      <c r="A198" s="4">
        <f ca="1">IFERROR(__xludf.DUMMYFUNCTION("""COMPUTED_VALUE"""),30367414)</f>
        <v>30367414</v>
      </c>
      <c r="B198" s="1" t="str">
        <f ca="1">IFERROR(__xludf.DUMMYFUNCTION("""COMPUTED_VALUE"""),"dowling_mike_j@yahoo.com")</f>
        <v>dowling_mike_j@yahoo.com</v>
      </c>
      <c r="C198" s="4" t="str">
        <f ca="1">IFERROR(__xludf.DUMMYFUNCTION("""COMPUTED_VALUE"""),"EVERGREEN - UAN Gated Content - Embedded Petition")</f>
        <v>EVERGREEN - UAN Gated Content - Embedded Petition</v>
      </c>
      <c r="D198" s="5">
        <f ca="1">IFERROR(__xludf.DUMMYFUNCTION("""COMPUTED_VALUE"""),45703)</f>
        <v>45703</v>
      </c>
      <c r="F198" s="1" t="str">
        <f ca="1">IFERROR(__xludf.DUMMYFUNCTION("""COMPUTED_VALUE"""),"Tunisia")</f>
        <v>Tunisia</v>
      </c>
      <c r="G198" s="1" t="str">
        <f ca="1">IFERROR(__xludf.DUMMYFUNCTION("""COMPUTED_VALUE"""),"Second 76.24 Tunisia")</f>
        <v>Second 76.24 Tunisia</v>
      </c>
      <c r="H198" s="1" t="str">
        <f ca="1">IFERROR(__xludf.DUMMYFUNCTION("""COMPUTED_VALUE"""),"Freedom of Expression, Human Rights Defenders")</f>
        <v>Freedom of Expression, Human Rights Defenders</v>
      </c>
      <c r="I198" s="1" t="str">
        <f ca="1">IFERROR(__xludf.DUMMYFUNCTION("""COMPUTED_VALUE"""),"2025")</f>
        <v>2025</v>
      </c>
      <c r="J198" s="1" t="str">
        <f ca="1">IFERROR(__xludf.DUMMYFUNCTION("""COMPUTED_VALUE"""),"Email")</f>
        <v>Email</v>
      </c>
    </row>
    <row r="199" spans="1:10" ht="13" x14ac:dyDescent="0.15">
      <c r="A199" s="4">
        <f ca="1">IFERROR(__xludf.DUMMYFUNCTION("""COMPUTED_VALUE"""),30368454)</f>
        <v>30368454</v>
      </c>
      <c r="B199" s="1" t="str">
        <f ca="1">IFERROR(__xludf.DUMMYFUNCTION("""COMPUTED_VALUE"""),"lawinters@optonline.net")</f>
        <v>lawinters@optonline.net</v>
      </c>
      <c r="C199" s="4" t="str">
        <f ca="1">IFERROR(__xludf.DUMMYFUNCTION("""COMPUTED_VALUE"""),"EVERGREEN - UAN Gated Content - Embedded Petition")</f>
        <v>EVERGREEN - UAN Gated Content - Embedded Petition</v>
      </c>
      <c r="D199" s="5">
        <f ca="1">IFERROR(__xludf.DUMMYFUNCTION("""COMPUTED_VALUE"""),45616)</f>
        <v>45616</v>
      </c>
      <c r="F199" s="1" t="str">
        <f ca="1">IFERROR(__xludf.DUMMYFUNCTION("""COMPUTED_VALUE"""),"Tunisia")</f>
        <v>Tunisia</v>
      </c>
      <c r="G199" s="1" t="str">
        <f ca="1">IFERROR(__xludf.DUMMYFUNCTION("""COMPUTED_VALUE"""),"Second 76.24 Tunisia")</f>
        <v>Second 76.24 Tunisia</v>
      </c>
      <c r="H199" s="1" t="str">
        <f ca="1">IFERROR(__xludf.DUMMYFUNCTION("""COMPUTED_VALUE"""),"Freedom of Expression, Human Rights Defenders")</f>
        <v>Freedom of Expression, Human Rights Defenders</v>
      </c>
      <c r="I199" s="1" t="str">
        <f ca="1">IFERROR(__xludf.DUMMYFUNCTION("""COMPUTED_VALUE"""),"2025")</f>
        <v>2025</v>
      </c>
      <c r="J199" s="1" t="str">
        <f ca="1">IFERROR(__xludf.DUMMYFUNCTION("""COMPUTED_VALUE"""),"Email")</f>
        <v>Email</v>
      </c>
    </row>
    <row r="200" spans="1:10" ht="13" x14ac:dyDescent="0.15">
      <c r="A200" s="4">
        <f ca="1">IFERROR(__xludf.DUMMYFUNCTION("""COMPUTED_VALUE"""),30372739)</f>
        <v>30372739</v>
      </c>
      <c r="B200" s="1" t="str">
        <f ca="1">IFERROR(__xludf.DUMMYFUNCTION("""COMPUTED_VALUE"""),"caryn@lmi.net")</f>
        <v>caryn@lmi.net</v>
      </c>
      <c r="C200" s="4" t="str">
        <f ca="1">IFERROR(__xludf.DUMMYFUNCTION("""COMPUTED_VALUE"""),"EVERGREEN - UAN Gated Content - Embedded Petition")</f>
        <v>EVERGREEN - UAN Gated Content - Embedded Petition</v>
      </c>
      <c r="D200" s="5">
        <f ca="1">IFERROR(__xludf.DUMMYFUNCTION("""COMPUTED_VALUE"""),45636)</f>
        <v>45636</v>
      </c>
      <c r="F200" s="1" t="str">
        <f ca="1">IFERROR(__xludf.DUMMYFUNCTION("""COMPUTED_VALUE"""),"Venezuela")</f>
        <v>Venezuela</v>
      </c>
      <c r="G200" s="1" t="str">
        <f ca="1">IFERROR(__xludf.DUMMYFUNCTION("""COMPUTED_VALUE"""),"97.24 Venezuela")</f>
        <v>97.24 Venezuela</v>
      </c>
      <c r="H200" s="1" t="str">
        <f ca="1">IFERROR(__xludf.DUMMYFUNCTION("""COMPUTED_VALUE"""),"Freedom of Expression")</f>
        <v>Freedom of Expression</v>
      </c>
      <c r="I200" s="1" t="str">
        <f ca="1">IFERROR(__xludf.DUMMYFUNCTION("""COMPUTED_VALUE"""),"2024")</f>
        <v>2024</v>
      </c>
      <c r="J200" s="1" t="str">
        <f ca="1">IFERROR(__xludf.DUMMYFUNCTION("""COMPUTED_VALUE"""),"Letter")</f>
        <v>Letter</v>
      </c>
    </row>
    <row r="201" spans="1:10" ht="13" x14ac:dyDescent="0.15">
      <c r="A201" s="4">
        <f ca="1">IFERROR(__xludf.DUMMYFUNCTION("""COMPUTED_VALUE"""),30372739)</f>
        <v>30372739</v>
      </c>
      <c r="B201" s="1" t="str">
        <f ca="1">IFERROR(__xludf.DUMMYFUNCTION("""COMPUTED_VALUE"""),"caryn@lmi.net")</f>
        <v>caryn@lmi.net</v>
      </c>
      <c r="C201" s="4" t="str">
        <f ca="1">IFERROR(__xludf.DUMMYFUNCTION("""COMPUTED_VALUE"""),"EVERGREEN - UAN Gated Content - Embedded Petition")</f>
        <v>EVERGREEN - UAN Gated Content - Embedded Petition</v>
      </c>
      <c r="D201" s="5">
        <f ca="1">IFERROR(__xludf.DUMMYFUNCTION("""COMPUTED_VALUE"""),45702)</f>
        <v>45702</v>
      </c>
      <c r="F201" s="1" t="str">
        <f ca="1">IFERROR(__xludf.DUMMYFUNCTION("""COMPUTED_VALUE"""),"Iran")</f>
        <v>Iran</v>
      </c>
      <c r="G201" s="1" t="str">
        <f ca="1">IFERROR(__xludf.DUMMYFUNCTION("""COMPUTED_VALUE"""),"101.24 Iran")</f>
        <v>101.24 Iran</v>
      </c>
      <c r="H201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201" s="1" t="str">
        <f ca="1">IFERROR(__xludf.DUMMYFUNCTION("""COMPUTED_VALUE"""),"2024")</f>
        <v>2024</v>
      </c>
      <c r="J201" s="1" t="str">
        <f ca="1">IFERROR(__xludf.DUMMYFUNCTION("""COMPUTED_VALUE"""),"Email")</f>
        <v>Email</v>
      </c>
    </row>
    <row r="202" spans="1:10" ht="13" x14ac:dyDescent="0.15">
      <c r="A202" s="4">
        <f ca="1">IFERROR(__xludf.DUMMYFUNCTION("""COMPUTED_VALUE"""),30372739)</f>
        <v>30372739</v>
      </c>
      <c r="B202" s="1" t="str">
        <f ca="1">IFERROR(__xludf.DUMMYFUNCTION("""COMPUTED_VALUE"""),"caryn@lmi.net")</f>
        <v>caryn@lmi.net</v>
      </c>
      <c r="C202" s="4" t="str">
        <f ca="1">IFERROR(__xludf.DUMMYFUNCTION("""COMPUTED_VALUE"""),"EVERGREEN - UAN Gated Content - Embedded Petition")</f>
        <v>EVERGREEN - UAN Gated Content - Embedded Petition</v>
      </c>
      <c r="D202" s="5">
        <f ca="1">IFERROR(__xludf.DUMMYFUNCTION("""COMPUTED_VALUE"""),45636)</f>
        <v>45636</v>
      </c>
      <c r="F202" s="1" t="str">
        <f ca="1">IFERROR(__xludf.DUMMYFUNCTION("""COMPUTED_VALUE"""),"Uganda")</f>
        <v>Uganda</v>
      </c>
      <c r="G202" s="1" t="str">
        <f ca="1">IFERROR(__xludf.DUMMYFUNCTION("""COMPUTED_VALUE"""),"100.24 Uganda")</f>
        <v>100.24 Uganda</v>
      </c>
      <c r="H202" s="1" t="str">
        <f ca="1">IFERROR(__xludf.DUMMYFUNCTION("""COMPUTED_VALUE"""),"Freedom of Expression")</f>
        <v>Freedom of Expression</v>
      </c>
      <c r="I202" s="1" t="str">
        <f ca="1">IFERROR(__xludf.DUMMYFUNCTION("""COMPUTED_VALUE"""),"2024")</f>
        <v>2024</v>
      </c>
      <c r="J202" s="1" t="str">
        <f ca="1">IFERROR(__xludf.DUMMYFUNCTION("""COMPUTED_VALUE"""),"Email")</f>
        <v>Email</v>
      </c>
    </row>
    <row r="203" spans="1:10" ht="13" x14ac:dyDescent="0.15">
      <c r="A203" s="4">
        <f ca="1">IFERROR(__xludf.DUMMYFUNCTION("""COMPUTED_VALUE"""),30372739)</f>
        <v>30372739</v>
      </c>
      <c r="B203" s="1" t="str">
        <f ca="1">IFERROR(__xludf.DUMMYFUNCTION("""COMPUTED_VALUE"""),"caryn@lmi.net")</f>
        <v>caryn@lmi.net</v>
      </c>
      <c r="C203" s="4" t="str">
        <f ca="1">IFERROR(__xludf.DUMMYFUNCTION("""COMPUTED_VALUE"""),"EVERGREEN - UAN Gated Content - Embedded Petition")</f>
        <v>EVERGREEN - UAN Gated Content - Embedded Petition</v>
      </c>
      <c r="D203" s="5">
        <f ca="1">IFERROR(__xludf.DUMMYFUNCTION("""COMPUTED_VALUE"""),45636)</f>
        <v>45636</v>
      </c>
      <c r="F203" s="1" t="str">
        <f ca="1">IFERROR(__xludf.DUMMYFUNCTION("""COMPUTED_VALUE"""),"Russian Federation")</f>
        <v>Russian Federation</v>
      </c>
      <c r="G203" s="1" t="str">
        <f ca="1">IFERROR(__xludf.DUMMYFUNCTION("""COMPUTED_VALUE"""),"102.24 Russia")</f>
        <v>102.24 Russia</v>
      </c>
      <c r="H203" s="1" t="str">
        <f ca="1">IFERROR(__xludf.DUMMYFUNCTION("""COMPUTED_VALUE"""),"Freedom of Expression, Individuals At Risk, Right to Protest")</f>
        <v>Freedom of Expression, Individuals At Risk, Right to Protest</v>
      </c>
      <c r="I203" s="1" t="str">
        <f ca="1">IFERROR(__xludf.DUMMYFUNCTION("""COMPUTED_VALUE"""),"2024")</f>
        <v>2024</v>
      </c>
      <c r="J203" s="1" t="str">
        <f ca="1">IFERROR(__xludf.DUMMYFUNCTION("""COMPUTED_VALUE"""),"Email")</f>
        <v>Email</v>
      </c>
    </row>
    <row r="204" spans="1:10" ht="13" x14ac:dyDescent="0.15">
      <c r="A204" s="4">
        <f ca="1">IFERROR(__xludf.DUMMYFUNCTION("""COMPUTED_VALUE"""),30372739)</f>
        <v>30372739</v>
      </c>
      <c r="B204" s="1" t="str">
        <f ca="1">IFERROR(__xludf.DUMMYFUNCTION("""COMPUTED_VALUE"""),"caryn@lmi.net")</f>
        <v>caryn@lmi.net</v>
      </c>
      <c r="C204" s="4" t="str">
        <f ca="1">IFERROR(__xludf.DUMMYFUNCTION("""COMPUTED_VALUE"""),"EVERGREEN - UAN Gated Content - Embedded Petition")</f>
        <v>EVERGREEN - UAN Gated Content - Embedded Petition</v>
      </c>
      <c r="D204" s="5">
        <f ca="1">IFERROR(__xludf.DUMMYFUNCTION("""COMPUTED_VALUE"""),45636)</f>
        <v>45636</v>
      </c>
      <c r="F204" s="1" t="str">
        <f ca="1">IFERROR(__xludf.DUMMYFUNCTION("""COMPUTED_VALUE"""),"Egypt")</f>
        <v>Egypt</v>
      </c>
      <c r="G204" s="1" t="str">
        <f ca="1">IFERROR(__xludf.DUMMYFUNCTION("""COMPUTED_VALUE"""),"Fourth 29.23 Egypt")</f>
        <v>Fourth 29.23 Egypt</v>
      </c>
      <c r="H204" s="1" t="str">
        <f ca="1">IFERROR(__xludf.DUMMYFUNCTION("""COMPUTED_VALUE"""),"Freedom of Expression, Individuals At Risk, Right to Protest")</f>
        <v>Freedom of Expression, Individuals At Risk, Right to Protest</v>
      </c>
      <c r="I204" s="1" t="str">
        <f ca="1">IFERROR(__xludf.DUMMYFUNCTION("""COMPUTED_VALUE"""),"2024")</f>
        <v>2024</v>
      </c>
      <c r="J204" s="1" t="str">
        <f ca="1">IFERROR(__xludf.DUMMYFUNCTION("""COMPUTED_VALUE"""),"Email")</f>
        <v>Email</v>
      </c>
    </row>
    <row r="205" spans="1:10" ht="13" x14ac:dyDescent="0.15">
      <c r="A205" s="4">
        <f ca="1">IFERROR(__xludf.DUMMYFUNCTION("""COMPUTED_VALUE"""),30375955)</f>
        <v>30375955</v>
      </c>
      <c r="B205" s="1" t="str">
        <f ca="1">IFERROR(__xludf.DUMMYFUNCTION("""COMPUTED_VALUE"""),"jmihevc@barrington220.org")</f>
        <v>jmihevc@barrington220.org</v>
      </c>
      <c r="C205" s="4" t="str">
        <f ca="1">IFERROR(__xludf.DUMMYFUNCTION("""COMPUTED_VALUE"""),"EVERGREEN - UAN Gated Content - Embedded Petition")</f>
        <v>EVERGREEN - UAN Gated Content - Embedded Petition</v>
      </c>
      <c r="D205" s="5">
        <f ca="1">IFERROR(__xludf.DUMMYFUNCTION("""COMPUTED_VALUE"""),45698)</f>
        <v>45698</v>
      </c>
      <c r="F205" s="1" t="str">
        <f ca="1">IFERROR(__xludf.DUMMYFUNCTION("""COMPUTED_VALUE"""),"Dominican Republic")</f>
        <v>Dominican Republic</v>
      </c>
      <c r="G205" s="1" t="str">
        <f ca="1">IFERROR(__xludf.DUMMYFUNCTION("""COMPUTED_VALUE"""),"88.24 Dominican Republic")</f>
        <v>88.24 Dominican Republic</v>
      </c>
      <c r="H205" s="1" t="str">
        <f ca="1">IFERROR(__xludf.DUMMYFUNCTION("""COMPUTED_VALUE"""),"Individuals At Risk, Refugee and Migrant Rights")</f>
        <v>Individuals At Risk, Refugee and Migrant Rights</v>
      </c>
      <c r="I205" s="1" t="str">
        <f ca="1">IFERROR(__xludf.DUMMYFUNCTION("""COMPUTED_VALUE"""),"2024")</f>
        <v>2024</v>
      </c>
      <c r="J205" s="1" t="str">
        <f ca="1">IFERROR(__xludf.DUMMYFUNCTION("""COMPUTED_VALUE"""),"Letter")</f>
        <v>Letter</v>
      </c>
    </row>
    <row r="206" spans="1:10" ht="13" x14ac:dyDescent="0.15">
      <c r="A206" s="4">
        <f ca="1">IFERROR(__xludf.DUMMYFUNCTION("""COMPUTED_VALUE"""),30375955)</f>
        <v>30375955</v>
      </c>
      <c r="B206" s="1" t="str">
        <f ca="1">IFERROR(__xludf.DUMMYFUNCTION("""COMPUTED_VALUE"""),"jmihevc@barrington220.org")</f>
        <v>jmihevc@barrington220.org</v>
      </c>
      <c r="C206" s="4" t="str">
        <f ca="1">IFERROR(__xludf.DUMMYFUNCTION("""COMPUTED_VALUE"""),"EVERGREEN - UAN Gated Content - Embedded Petition")</f>
        <v>EVERGREEN - UAN Gated Content - Embedded Petition</v>
      </c>
      <c r="D206" s="5">
        <f ca="1">IFERROR(__xludf.DUMMYFUNCTION("""COMPUTED_VALUE"""),45684)</f>
        <v>45684</v>
      </c>
      <c r="F206" s="1" t="str">
        <f ca="1">IFERROR(__xludf.DUMMYFUNCTION("""COMPUTED_VALUE"""),"Saudi Arabia")</f>
        <v>Saudi Arabia</v>
      </c>
      <c r="G206" s="1" t="str">
        <f ca="1">IFERROR(__xludf.DUMMYFUNCTION("""COMPUTED_VALUE"""),"Second 85.23 Saudi Arabia")</f>
        <v>Second 85.23 Saudi Arabia</v>
      </c>
      <c r="H206" s="1" t="str">
        <f ca="1">IFERROR(__xludf.DUMMYFUNCTION("""COMPUTED_VALUE"""),"Freedom of Expression")</f>
        <v>Freedom of Expression</v>
      </c>
      <c r="I206" s="1" t="str">
        <f ca="1">IFERROR(__xludf.DUMMYFUNCTION("""COMPUTED_VALUE"""),"2024")</f>
        <v>2024</v>
      </c>
      <c r="J206" s="1" t="str">
        <f ca="1">IFERROR(__xludf.DUMMYFUNCTION("""COMPUTED_VALUE"""),"Letter")</f>
        <v>Letter</v>
      </c>
    </row>
    <row r="207" spans="1:10" ht="13" x14ac:dyDescent="0.15">
      <c r="A207" s="4">
        <f ca="1">IFERROR(__xludf.DUMMYFUNCTION("""COMPUTED_VALUE"""),30375955)</f>
        <v>30375955</v>
      </c>
      <c r="B207" s="1" t="str">
        <f ca="1">IFERROR(__xludf.DUMMYFUNCTION("""COMPUTED_VALUE"""),"jmihevc@barrington220.org")</f>
        <v>jmihevc@barrington220.org</v>
      </c>
      <c r="C207" s="4" t="str">
        <f ca="1">IFERROR(__xludf.DUMMYFUNCTION("""COMPUTED_VALUE"""),"EVERGREEN - UAN Gated Content - Embedded Petition")</f>
        <v>EVERGREEN - UAN Gated Content - Embedded Petition</v>
      </c>
      <c r="D207" s="5">
        <f ca="1">IFERROR(__xludf.DUMMYFUNCTION("""COMPUTED_VALUE"""),45691)</f>
        <v>45691</v>
      </c>
      <c r="F207" s="1" t="str">
        <f ca="1">IFERROR(__xludf.DUMMYFUNCTION("""COMPUTED_VALUE"""),"Singapore")</f>
        <v>Singapore</v>
      </c>
      <c r="G207" s="1" t="str">
        <f ca="1">IFERROR(__xludf.DUMMYFUNCTION("""COMPUTED_VALUE"""),"107.24 Singapore")</f>
        <v>107.24 Singapore</v>
      </c>
      <c r="H207" s="1" t="str">
        <f ca="1">IFERROR(__xludf.DUMMYFUNCTION("""COMPUTED_VALUE"""),"Death Penalty")</f>
        <v>Death Penalty</v>
      </c>
      <c r="I207" s="1" t="str">
        <f ca="1">IFERROR(__xludf.DUMMYFUNCTION("""COMPUTED_VALUE"""),"2024")</f>
        <v>2024</v>
      </c>
      <c r="J207" s="1" t="str">
        <f ca="1">IFERROR(__xludf.DUMMYFUNCTION("""COMPUTED_VALUE"""),"Email")</f>
        <v>Email</v>
      </c>
    </row>
    <row r="208" spans="1:10" ht="13" x14ac:dyDescent="0.15">
      <c r="A208" s="4">
        <f ca="1">IFERROR(__xludf.DUMMYFUNCTION("""COMPUTED_VALUE"""),30375955)</f>
        <v>30375955</v>
      </c>
      <c r="B208" s="1" t="str">
        <f ca="1">IFERROR(__xludf.DUMMYFUNCTION("""COMPUTED_VALUE"""),"jmihevc@barrington220.org")</f>
        <v>jmihevc@barrington220.org</v>
      </c>
      <c r="C208" s="4" t="str">
        <f ca="1">IFERROR(__xludf.DUMMYFUNCTION("""COMPUTED_VALUE"""),"EVERGREEN - UAN Gated Content - Embedded Petition")</f>
        <v>EVERGREEN - UAN Gated Content - Embedded Petition</v>
      </c>
      <c r="D208" s="5">
        <f ca="1">IFERROR(__xludf.DUMMYFUNCTION("""COMPUTED_VALUE"""),45670)</f>
        <v>45670</v>
      </c>
      <c r="F208" s="1" t="str">
        <f ca="1">IFERROR(__xludf.DUMMYFUNCTION("""COMPUTED_VALUE"""),"Saudi Arabia")</f>
        <v>Saudi Arabia</v>
      </c>
      <c r="G208" s="1" t="str">
        <f ca="1">IFERROR(__xludf.DUMMYFUNCTION("""COMPUTED_VALUE"""),"104.24 Saudi Arabia")</f>
        <v>104.24 Saudi Arabia</v>
      </c>
      <c r="H208" s="1" t="str">
        <f ca="1">IFERROR(__xludf.DUMMYFUNCTION("""COMPUTED_VALUE"""),"Individuals At Risk, Refugee and Migrant Rights")</f>
        <v>Individuals At Risk, Refugee and Migrant Rights</v>
      </c>
      <c r="I208" s="1" t="str">
        <f ca="1">IFERROR(__xludf.DUMMYFUNCTION("""COMPUTED_VALUE"""),"2024")</f>
        <v>2024</v>
      </c>
      <c r="J208" s="1" t="str">
        <f ca="1">IFERROR(__xludf.DUMMYFUNCTION("""COMPUTED_VALUE"""),"Email")</f>
        <v>Email</v>
      </c>
    </row>
    <row r="209" spans="1:10" ht="13" x14ac:dyDescent="0.15">
      <c r="A209" s="4">
        <f ca="1">IFERROR(__xludf.DUMMYFUNCTION("""COMPUTED_VALUE"""),30375955)</f>
        <v>30375955</v>
      </c>
      <c r="B209" s="1" t="str">
        <f ca="1">IFERROR(__xludf.DUMMYFUNCTION("""COMPUTED_VALUE"""),"jmihevc@barrington220.org")</f>
        <v>jmihevc@barrington220.org</v>
      </c>
      <c r="C209" s="4" t="str">
        <f ca="1">IFERROR(__xludf.DUMMYFUNCTION("""COMPUTED_VALUE"""),"EVERGREEN - UAN Gated Content - Embedded Petition")</f>
        <v>EVERGREEN - UAN Gated Content - Embedded Petition</v>
      </c>
      <c r="D209" s="5">
        <f ca="1">IFERROR(__xludf.DUMMYFUNCTION("""COMPUTED_VALUE"""),45628)</f>
        <v>45628</v>
      </c>
      <c r="F209" s="1" t="str">
        <f ca="1">IFERROR(__xludf.DUMMYFUNCTION("""COMPUTED_VALUE"""),"Venezuela")</f>
        <v>Venezuela</v>
      </c>
      <c r="G209" s="1" t="str">
        <f ca="1">IFERROR(__xludf.DUMMYFUNCTION("""COMPUTED_VALUE"""),"1.25 Venezuela")</f>
        <v>1.25 Venezuela</v>
      </c>
      <c r="H209" s="1" t="str">
        <f ca="1">IFERROR(__xludf.DUMMYFUNCTION("""COMPUTED_VALUE"""),"Human Rights Defenders, Individuals At Risk")</f>
        <v>Human Rights Defenders, Individuals At Risk</v>
      </c>
      <c r="I209" s="1" t="str">
        <f ca="1">IFERROR(__xludf.DUMMYFUNCTION("""COMPUTED_VALUE"""),"2025")</f>
        <v>2025</v>
      </c>
      <c r="J209" s="1" t="str">
        <f ca="1">IFERROR(__xludf.DUMMYFUNCTION("""COMPUTED_VALUE"""),"Letter")</f>
        <v>Letter</v>
      </c>
    </row>
    <row r="210" spans="1:10" ht="13" x14ac:dyDescent="0.15">
      <c r="A210" s="4">
        <f ca="1">IFERROR(__xludf.DUMMYFUNCTION("""COMPUTED_VALUE"""),30375955)</f>
        <v>30375955</v>
      </c>
      <c r="B210" s="1" t="str">
        <f ca="1">IFERROR(__xludf.DUMMYFUNCTION("""COMPUTED_VALUE"""),"jmihevc@barrington220.org")</f>
        <v>jmihevc@barrington220.org</v>
      </c>
      <c r="C210" s="4" t="str">
        <f ca="1">IFERROR(__xludf.DUMMYFUNCTION("""COMPUTED_VALUE"""),"EVERGREEN - UAN Gated Content - Embedded Petition")</f>
        <v>EVERGREEN - UAN Gated Content - Embedded Petition</v>
      </c>
      <c r="D210" s="5">
        <f ca="1">IFERROR(__xludf.DUMMYFUNCTION("""COMPUTED_VALUE"""),45621)</f>
        <v>45621</v>
      </c>
      <c r="F210" s="1" t="str">
        <f ca="1">IFERROR(__xludf.DUMMYFUNCTION("""COMPUTED_VALUE"""),"Azerbaijan")</f>
        <v>Azerbaijan</v>
      </c>
      <c r="G210" s="1" t="str">
        <f ca="1">IFERROR(__xludf.DUMMYFUNCTION("""COMPUTED_VALUE"""),"2.25 Azerbaijan")</f>
        <v>2.25 Azerbaijan</v>
      </c>
      <c r="H210" s="1" t="str">
        <f ca="1">IFERROR(__xludf.DUMMYFUNCTION("""COMPUTED_VALUE"""),"Freedom of Expression, Human Rights Defenders")</f>
        <v>Freedom of Expression, Human Rights Defenders</v>
      </c>
      <c r="I210" s="1" t="str">
        <f ca="1">IFERROR(__xludf.DUMMYFUNCTION("""COMPUTED_VALUE"""),"2025")</f>
        <v>2025</v>
      </c>
      <c r="J210" s="1" t="str">
        <f ca="1">IFERROR(__xludf.DUMMYFUNCTION("""COMPUTED_VALUE"""),"Email")</f>
        <v>Email</v>
      </c>
    </row>
    <row r="211" spans="1:10" ht="13" x14ac:dyDescent="0.15">
      <c r="A211" s="4">
        <f ca="1">IFERROR(__xludf.DUMMYFUNCTION("""COMPUTED_VALUE"""),30375955)</f>
        <v>30375955</v>
      </c>
      <c r="B211" s="1" t="str">
        <f ca="1">IFERROR(__xludf.DUMMYFUNCTION("""COMPUTED_VALUE"""),"jmihevc@barrington220.org")</f>
        <v>jmihevc@barrington220.org</v>
      </c>
      <c r="C211" s="4" t="str">
        <f ca="1">IFERROR(__xludf.DUMMYFUNCTION("""COMPUTED_VALUE"""),"EVERGREEN - UAN Gated Content - Embedded Petition")</f>
        <v>EVERGREEN - UAN Gated Content - Embedded Petition</v>
      </c>
      <c r="D211" s="5">
        <f ca="1">IFERROR(__xludf.DUMMYFUNCTION("""COMPUTED_VALUE"""),45635)</f>
        <v>45635</v>
      </c>
      <c r="F211" s="1" t="str">
        <f ca="1">IFERROR(__xludf.DUMMYFUNCTION("""COMPUTED_VALUE"""),"Iran")</f>
        <v>Iran</v>
      </c>
      <c r="G211" s="1" t="str">
        <f ca="1">IFERROR(__xludf.DUMMYFUNCTION("""COMPUTED_VALUE"""),"Seventh 103.22 Iran")</f>
        <v>Seventh 103.22 Iran</v>
      </c>
      <c r="H211" s="1" t="str">
        <f ca="1">IFERROR(__xludf.DUMMYFUNCTION("""COMPUTED_VALUE"""),"Death Penalty, Freedom of Expression, Individuals At Risk")</f>
        <v>Death Penalty, Freedom of Expression, Individuals At Risk</v>
      </c>
      <c r="I211" s="1" t="str">
        <f ca="1">IFERROR(__xludf.DUMMYFUNCTION("""COMPUTED_VALUE"""),"2024")</f>
        <v>2024</v>
      </c>
      <c r="J211" s="1" t="str">
        <f ca="1">IFERROR(__xludf.DUMMYFUNCTION("""COMPUTED_VALUE"""),"Email")</f>
        <v>Email</v>
      </c>
    </row>
    <row r="212" spans="1:10" ht="13" x14ac:dyDescent="0.15">
      <c r="A212" s="4">
        <f ca="1">IFERROR(__xludf.DUMMYFUNCTION("""COMPUTED_VALUE"""),30516885)</f>
        <v>30516885</v>
      </c>
      <c r="B212" s="1" t="str">
        <f ca="1">IFERROR(__xludf.DUMMYFUNCTION("""COMPUTED_VALUE"""),"jgintzler@hotmail.com")</f>
        <v>jgintzler@hotmail.com</v>
      </c>
      <c r="C212" s="4" t="str">
        <f ca="1">IFERROR(__xludf.DUMMYFUNCTION("""COMPUTED_VALUE"""),"EVERGREEN - UAN Gated Content - Embedded Petition")</f>
        <v>EVERGREEN - UAN Gated Content - Embedded Petition</v>
      </c>
      <c r="D212" s="5">
        <f ca="1">IFERROR(__xludf.DUMMYFUNCTION("""COMPUTED_VALUE"""),45695)</f>
        <v>45695</v>
      </c>
      <c r="F212" s="1" t="str">
        <f ca="1">IFERROR(__xludf.DUMMYFUNCTION("""COMPUTED_VALUE"""),"Niger")</f>
        <v>Niger</v>
      </c>
      <c r="G212" s="1" t="str">
        <f ca="1">IFERROR(__xludf.DUMMYFUNCTION("""COMPUTED_VALUE"""),"103.24 Niger")</f>
        <v>103.24 Niger</v>
      </c>
      <c r="H212" s="1" t="str">
        <f ca="1">IFERROR(__xludf.DUMMYFUNCTION("""COMPUTED_VALUE"""),"Freedom of Expression, Human Rights Defenders")</f>
        <v>Freedom of Expression, Human Rights Defenders</v>
      </c>
      <c r="I212" s="1" t="str">
        <f ca="1">IFERROR(__xludf.DUMMYFUNCTION("""COMPUTED_VALUE"""),"2024")</f>
        <v>2024</v>
      </c>
      <c r="J212" s="1" t="str">
        <f ca="1">IFERROR(__xludf.DUMMYFUNCTION("""COMPUTED_VALUE"""),"Email")</f>
        <v>Email</v>
      </c>
    </row>
    <row r="213" spans="1:10" ht="13" x14ac:dyDescent="0.15">
      <c r="A213" s="4">
        <f ca="1">IFERROR(__xludf.DUMMYFUNCTION("""COMPUTED_VALUE"""),30516885)</f>
        <v>30516885</v>
      </c>
      <c r="B213" s="1" t="str">
        <f ca="1">IFERROR(__xludf.DUMMYFUNCTION("""COMPUTED_VALUE"""),"jgintzler@hotmail.com")</f>
        <v>jgintzler@hotmail.com</v>
      </c>
      <c r="C213" s="4" t="str">
        <f ca="1">IFERROR(__xludf.DUMMYFUNCTION("""COMPUTED_VALUE"""),"EVERGREEN - UAN Gated Content - Embedded Petition")</f>
        <v>EVERGREEN - UAN Gated Content - Embedded Petition</v>
      </c>
      <c r="D213" s="5">
        <f ca="1">IFERROR(__xludf.DUMMYFUNCTION("""COMPUTED_VALUE"""),45616)</f>
        <v>45616</v>
      </c>
      <c r="F213" s="1" t="str">
        <f ca="1">IFERROR(__xludf.DUMMYFUNCTION("""COMPUTED_VALUE"""),"Egypt")</f>
        <v>Egypt</v>
      </c>
      <c r="G213" s="1" t="str">
        <f ca="1">IFERROR(__xludf.DUMMYFUNCTION("""COMPUTED_VALUE"""),"Third 73.23 Egypt")</f>
        <v>Third 73.23 Egypt</v>
      </c>
      <c r="H213" s="1" t="str">
        <f ca="1">IFERROR(__xludf.DUMMYFUNCTION("""COMPUTED_VALUE"""),"Individuals At Risk")</f>
        <v>Individuals At Risk</v>
      </c>
      <c r="I213" s="1" t="str">
        <f ca="1">IFERROR(__xludf.DUMMYFUNCTION("""COMPUTED_VALUE"""),"2024")</f>
        <v>2024</v>
      </c>
      <c r="J213" s="1" t="str">
        <f ca="1">IFERROR(__xludf.DUMMYFUNCTION("""COMPUTED_VALUE"""),"Email")</f>
        <v>Email</v>
      </c>
    </row>
    <row r="214" spans="1:10" ht="13" x14ac:dyDescent="0.15">
      <c r="A214" s="4">
        <f ca="1">IFERROR(__xludf.DUMMYFUNCTION("""COMPUTED_VALUE"""),30520444)</f>
        <v>30520444</v>
      </c>
      <c r="B214" s="1" t="str">
        <f ca="1">IFERROR(__xludf.DUMMYFUNCTION("""COMPUTED_VALUE"""),"elfyalfreda803@gmail.com")</f>
        <v>elfyalfreda803@gmail.com</v>
      </c>
      <c r="C214" s="4" t="str">
        <f ca="1">IFERROR(__xludf.DUMMYFUNCTION("""COMPUTED_VALUE"""),"EVERGREEN - UAN Gated Content - Embedded Petition")</f>
        <v>EVERGREEN - UAN Gated Content - Embedded Petition</v>
      </c>
      <c r="D214" s="5">
        <f ca="1">IFERROR(__xludf.DUMMYFUNCTION("""COMPUTED_VALUE"""),45694)</f>
        <v>45694</v>
      </c>
      <c r="F214" s="1" t="str">
        <f ca="1">IFERROR(__xludf.DUMMYFUNCTION("""COMPUTED_VALUE"""),"Turkiye")</f>
        <v>Turkiye</v>
      </c>
      <c r="G214" s="1" t="str">
        <f ca="1">IFERROR(__xludf.DUMMYFUNCTION("""COMPUTED_VALUE"""),"109.24 Türkiye")</f>
        <v>109.24 Türkiye</v>
      </c>
      <c r="H214" s="1" t="str">
        <f ca="1">IFERROR(__xludf.DUMMYFUNCTION("""COMPUTED_VALUE"""),"Human Rights Defenders, Individuals At Risk")</f>
        <v>Human Rights Defenders, Individuals At Risk</v>
      </c>
      <c r="I214" s="1" t="str">
        <f ca="1">IFERROR(__xludf.DUMMYFUNCTION("""COMPUTED_VALUE"""),"2024")</f>
        <v>2024</v>
      </c>
      <c r="J214" s="1" t="str">
        <f ca="1">IFERROR(__xludf.DUMMYFUNCTION("""COMPUTED_VALUE"""),"Email")</f>
        <v>Email</v>
      </c>
    </row>
    <row r="215" spans="1:10" ht="13" x14ac:dyDescent="0.15">
      <c r="A215" s="4">
        <f ca="1">IFERROR(__xludf.DUMMYFUNCTION("""COMPUTED_VALUE"""),30521340)</f>
        <v>30521340</v>
      </c>
      <c r="B215" s="1" t="str">
        <f ca="1">IFERROR(__xludf.DUMMYFUNCTION("""COMPUTED_VALUE"""),"cadzubak@gmail.com")</f>
        <v>cadzubak@gmail.com</v>
      </c>
      <c r="C215" s="4" t="str">
        <f ca="1">IFERROR(__xludf.DUMMYFUNCTION("""COMPUTED_VALUE"""),"EVERGREEN - UAN Gated Content - Embedded Petition")</f>
        <v>EVERGREEN - UAN Gated Content - Embedded Petition</v>
      </c>
      <c r="D215" s="5">
        <f ca="1">IFERROR(__xludf.DUMMYFUNCTION("""COMPUTED_VALUE"""),45694)</f>
        <v>45694</v>
      </c>
      <c r="F215" s="1" t="str">
        <f ca="1">IFERROR(__xludf.DUMMYFUNCTION("""COMPUTED_VALUE"""),"Niger")</f>
        <v>Niger</v>
      </c>
      <c r="G215" s="1" t="str">
        <f ca="1">IFERROR(__xludf.DUMMYFUNCTION("""COMPUTED_VALUE"""),"103.24 Niger")</f>
        <v>103.24 Niger</v>
      </c>
      <c r="H215" s="1" t="str">
        <f ca="1">IFERROR(__xludf.DUMMYFUNCTION("""COMPUTED_VALUE"""),"Freedom of Expression, Human Rights Defenders")</f>
        <v>Freedom of Expression, Human Rights Defenders</v>
      </c>
      <c r="I215" s="1" t="str">
        <f ca="1">IFERROR(__xludf.DUMMYFUNCTION("""COMPUTED_VALUE"""),"2024")</f>
        <v>2024</v>
      </c>
      <c r="J215" s="1" t="str">
        <f ca="1">IFERROR(__xludf.DUMMYFUNCTION("""COMPUTED_VALUE"""),"Email")</f>
        <v>Email</v>
      </c>
    </row>
    <row r="216" spans="1:10" ht="13" x14ac:dyDescent="0.15">
      <c r="A216" s="4">
        <f ca="1">IFERROR(__xludf.DUMMYFUNCTION("""COMPUTED_VALUE"""),30521340)</f>
        <v>30521340</v>
      </c>
      <c r="B216" s="1" t="str">
        <f ca="1">IFERROR(__xludf.DUMMYFUNCTION("""COMPUTED_VALUE"""),"cadzubak@gmail.com")</f>
        <v>cadzubak@gmail.com</v>
      </c>
      <c r="C216" s="4" t="str">
        <f ca="1">IFERROR(__xludf.DUMMYFUNCTION("""COMPUTED_VALUE"""),"EVERGREEN - UAN Gated Content - Embedded Petition")</f>
        <v>EVERGREEN - UAN Gated Content - Embedded Petition</v>
      </c>
      <c r="D216" s="5">
        <f ca="1">IFERROR(__xludf.DUMMYFUNCTION("""COMPUTED_VALUE"""),45636)</f>
        <v>45636</v>
      </c>
      <c r="F216" s="1" t="str">
        <f ca="1">IFERROR(__xludf.DUMMYFUNCTION("""COMPUTED_VALUE"""),"Niger")</f>
        <v>Niger</v>
      </c>
      <c r="G216" s="1" t="str">
        <f ca="1">IFERROR(__xludf.DUMMYFUNCTION("""COMPUTED_VALUE"""),"103.24 Niger")</f>
        <v>103.24 Niger</v>
      </c>
      <c r="H216" s="1" t="str">
        <f ca="1">IFERROR(__xludf.DUMMYFUNCTION("""COMPUTED_VALUE"""),"Freedom of Expression, Human Rights Defenders")</f>
        <v>Freedom of Expression, Human Rights Defenders</v>
      </c>
      <c r="I216" s="1" t="str">
        <f ca="1">IFERROR(__xludf.DUMMYFUNCTION("""COMPUTED_VALUE"""),"2024")</f>
        <v>2024</v>
      </c>
      <c r="J216" s="1" t="str">
        <f ca="1">IFERROR(__xludf.DUMMYFUNCTION("""COMPUTED_VALUE"""),"Email")</f>
        <v>Email</v>
      </c>
    </row>
    <row r="217" spans="1:10" ht="13" x14ac:dyDescent="0.15">
      <c r="A217" s="4">
        <f ca="1">IFERROR(__xludf.DUMMYFUNCTION("""COMPUTED_VALUE"""),30524924)</f>
        <v>30524924</v>
      </c>
      <c r="B217" s="1" t="str">
        <f ca="1">IFERROR(__xludf.DUMMYFUNCTION("""COMPUTED_VALUE"""),"ursulacohrs@gmail.com")</f>
        <v>ursulacohrs@gmail.com</v>
      </c>
      <c r="C217" s="4" t="str">
        <f ca="1">IFERROR(__xludf.DUMMYFUNCTION("""COMPUTED_VALUE"""),"EVERGREEN - UAN Gated Content - Embedded Petition")</f>
        <v>EVERGREEN - UAN Gated Content - Embedded Petition</v>
      </c>
      <c r="D217" s="5">
        <f ca="1">IFERROR(__xludf.DUMMYFUNCTION("""COMPUTED_VALUE"""),45675)</f>
        <v>45675</v>
      </c>
      <c r="F217" s="1" t="str">
        <f ca="1">IFERROR(__xludf.DUMMYFUNCTION("""COMPUTED_VALUE"""),"Tunisia")</f>
        <v>Tunisia</v>
      </c>
      <c r="G217" s="1" t="str">
        <f ca="1">IFERROR(__xludf.DUMMYFUNCTION("""COMPUTED_VALUE"""),"Second 43.24 Tunisia")</f>
        <v>Second 43.24 Tunisia</v>
      </c>
      <c r="H217" s="1" t="str">
        <f ca="1">IFERROR(__xludf.DUMMYFUNCTION("""COMPUTED_VALUE"""),"Freedom of Expression, Individuals At Risk")</f>
        <v>Freedom of Expression, Individuals At Risk</v>
      </c>
      <c r="I217" s="1" t="str">
        <f ca="1">IFERROR(__xludf.DUMMYFUNCTION("""COMPUTED_VALUE"""),"2024")</f>
        <v>2024</v>
      </c>
      <c r="J217" s="1" t="str">
        <f ca="1">IFERROR(__xludf.DUMMYFUNCTION("""COMPUTED_VALUE"""),"Email")</f>
        <v>Email</v>
      </c>
    </row>
    <row r="218" spans="1:10" ht="13" x14ac:dyDescent="0.15">
      <c r="A218" s="4">
        <f ca="1">IFERROR(__xludf.DUMMYFUNCTION("""COMPUTED_VALUE"""),30524924)</f>
        <v>30524924</v>
      </c>
      <c r="B218" s="1" t="str">
        <f ca="1">IFERROR(__xludf.DUMMYFUNCTION("""COMPUTED_VALUE"""),"ursulacohrs@gmail.com")</f>
        <v>ursulacohrs@gmail.com</v>
      </c>
      <c r="C218" s="4" t="str">
        <f ca="1">IFERROR(__xludf.DUMMYFUNCTION("""COMPUTED_VALUE"""),"EVERGREEN - UAN Gated Content - Embedded Petition")</f>
        <v>EVERGREEN - UAN Gated Content - Embedded Petition</v>
      </c>
      <c r="D218" s="5">
        <f ca="1">IFERROR(__xludf.DUMMYFUNCTION("""COMPUTED_VALUE"""),45695)</f>
        <v>45695</v>
      </c>
      <c r="F218" s="1" t="str">
        <f ca="1">IFERROR(__xludf.DUMMYFUNCTION("""COMPUTED_VALUE"""),"China")</f>
        <v>China</v>
      </c>
      <c r="G218" s="1" t="str">
        <f ca="1">IFERROR(__xludf.DUMMYFUNCTION("""COMPUTED_VALUE"""),"106.24 China")</f>
        <v>106.24 China</v>
      </c>
      <c r="H218" s="1" t="str">
        <f ca="1">IFERROR(__xludf.DUMMYFUNCTION("""COMPUTED_VALUE"""),"Freedom of Expression, Individuals At Risk")</f>
        <v>Freedom of Expression, Individuals At Risk</v>
      </c>
      <c r="I218" s="1" t="str">
        <f ca="1">IFERROR(__xludf.DUMMYFUNCTION("""COMPUTED_VALUE"""),"2024")</f>
        <v>2024</v>
      </c>
      <c r="J218" s="1" t="str">
        <f ca="1">IFERROR(__xludf.DUMMYFUNCTION("""COMPUTED_VALUE"""),"Email")</f>
        <v>Email</v>
      </c>
    </row>
    <row r="219" spans="1:10" ht="13" x14ac:dyDescent="0.15">
      <c r="A219" s="4">
        <f ca="1">IFERROR(__xludf.DUMMYFUNCTION("""COMPUTED_VALUE"""),30524924)</f>
        <v>30524924</v>
      </c>
      <c r="B219" s="1" t="str">
        <f ca="1">IFERROR(__xludf.DUMMYFUNCTION("""COMPUTED_VALUE"""),"ursulacohrs@gmail.com")</f>
        <v>ursulacohrs@gmail.com</v>
      </c>
      <c r="C219" s="4" t="str">
        <f ca="1">IFERROR(__xludf.DUMMYFUNCTION("""COMPUTED_VALUE"""),"EVERGREEN - UAN Gated Content - Embedded Petition")</f>
        <v>EVERGREEN - UAN Gated Content - Embedded Petition</v>
      </c>
      <c r="D219" s="5">
        <f ca="1">IFERROR(__xludf.DUMMYFUNCTION("""COMPUTED_VALUE"""),45637)</f>
        <v>45637</v>
      </c>
      <c r="F219" s="1" t="str">
        <f ca="1">IFERROR(__xludf.DUMMYFUNCTION("""COMPUTED_VALUE"""),"Egypt")</f>
        <v>Egypt</v>
      </c>
      <c r="G219" s="1" t="str">
        <f ca="1">IFERROR(__xludf.DUMMYFUNCTION("""COMPUTED_VALUE"""),"Ninth 190.18 Egypt")</f>
        <v>Ninth 190.18 Egypt</v>
      </c>
      <c r="H219" s="1" t="str">
        <f ca="1">IFERROR(__xludf.DUMMYFUNCTION("""COMPUTED_VALUE"""),"Freedom of Expression, Individuals At Risk")</f>
        <v>Freedom of Expression, Individuals At Risk</v>
      </c>
      <c r="I219" s="1" t="str">
        <f ca="1">IFERROR(__xludf.DUMMYFUNCTION("""COMPUTED_VALUE"""),"2024")</f>
        <v>2024</v>
      </c>
      <c r="J219" s="1" t="str">
        <f ca="1">IFERROR(__xludf.DUMMYFUNCTION("""COMPUTED_VALUE"""),"Letter")</f>
        <v>Letter</v>
      </c>
    </row>
    <row r="220" spans="1:10" ht="13" x14ac:dyDescent="0.15">
      <c r="A220" s="4">
        <f ca="1">IFERROR(__xludf.DUMMYFUNCTION("""COMPUTED_VALUE"""),30524924)</f>
        <v>30524924</v>
      </c>
      <c r="B220" s="1" t="str">
        <f ca="1">IFERROR(__xludf.DUMMYFUNCTION("""COMPUTED_VALUE"""),"ursulacohrs@gmail.com")</f>
        <v>ursulacohrs@gmail.com</v>
      </c>
      <c r="C220" s="4" t="str">
        <f ca="1">IFERROR(__xludf.DUMMYFUNCTION("""COMPUTED_VALUE"""),"EVERGREEN - UAN Gated Content - Embedded Petition")</f>
        <v>EVERGREEN - UAN Gated Content - Embedded Petition</v>
      </c>
      <c r="D220" s="5">
        <f ca="1">IFERROR(__xludf.DUMMYFUNCTION("""COMPUTED_VALUE"""),45637)</f>
        <v>45637</v>
      </c>
      <c r="F220" s="1" t="str">
        <f ca="1">IFERROR(__xludf.DUMMYFUNCTION("""COMPUTED_VALUE"""),"China")</f>
        <v>China</v>
      </c>
      <c r="G220" s="1" t="str">
        <f ca="1">IFERROR(__xludf.DUMMYFUNCTION("""COMPUTED_VALUE"""),"98.24 China")</f>
        <v>98.24 China</v>
      </c>
      <c r="H220" s="1" t="str">
        <f ca="1">IFERROR(__xludf.DUMMYFUNCTION("""COMPUTED_VALUE"""),"Freedom of Expression, Individuals At Risk")</f>
        <v>Freedom of Expression, Individuals At Risk</v>
      </c>
      <c r="I220" s="1" t="str">
        <f ca="1">IFERROR(__xludf.DUMMYFUNCTION("""COMPUTED_VALUE"""),"2024")</f>
        <v>2024</v>
      </c>
      <c r="J220" s="1" t="str">
        <f ca="1">IFERROR(__xludf.DUMMYFUNCTION("""COMPUTED_VALUE"""),"Letter")</f>
        <v>Letter</v>
      </c>
    </row>
    <row r="221" spans="1:10" ht="13" x14ac:dyDescent="0.15">
      <c r="A221" s="4">
        <f ca="1">IFERROR(__xludf.DUMMYFUNCTION("""COMPUTED_VALUE"""),30524924)</f>
        <v>30524924</v>
      </c>
      <c r="B221" s="1" t="str">
        <f ca="1">IFERROR(__xludf.DUMMYFUNCTION("""COMPUTED_VALUE"""),"ursulacohrs@gmail.com")</f>
        <v>ursulacohrs@gmail.com</v>
      </c>
      <c r="C221" s="4" t="str">
        <f ca="1">IFERROR(__xludf.DUMMYFUNCTION("""COMPUTED_VALUE"""),"EVERGREEN - UAN Gated Content - Embedded Petition")</f>
        <v>EVERGREEN - UAN Gated Content - Embedded Petition</v>
      </c>
      <c r="D221" s="5">
        <f ca="1">IFERROR(__xludf.DUMMYFUNCTION("""COMPUTED_VALUE"""),45637)</f>
        <v>45637</v>
      </c>
      <c r="F221" s="1" t="str">
        <f ca="1">IFERROR(__xludf.DUMMYFUNCTION("""COMPUTED_VALUE"""),"China")</f>
        <v>China</v>
      </c>
      <c r="G221" s="1" t="str">
        <f ca="1">IFERROR(__xludf.DUMMYFUNCTION("""COMPUTED_VALUE"""),"98.24 China")</f>
        <v>98.24 China</v>
      </c>
      <c r="H221" s="1" t="str">
        <f ca="1">IFERROR(__xludf.DUMMYFUNCTION("""COMPUTED_VALUE"""),"Freedom of Expression, Individuals At Risk")</f>
        <v>Freedom of Expression, Individuals At Risk</v>
      </c>
      <c r="I221" s="1" t="str">
        <f ca="1">IFERROR(__xludf.DUMMYFUNCTION("""COMPUTED_VALUE"""),"2024")</f>
        <v>2024</v>
      </c>
      <c r="J221" s="1" t="str">
        <f ca="1">IFERROR(__xludf.DUMMYFUNCTION("""COMPUTED_VALUE"""),"Letter")</f>
        <v>Letter</v>
      </c>
    </row>
    <row r="222" spans="1:10" ht="13" x14ac:dyDescent="0.15">
      <c r="A222" s="4">
        <f ca="1">IFERROR(__xludf.DUMMYFUNCTION("""COMPUTED_VALUE"""),30524924)</f>
        <v>30524924</v>
      </c>
      <c r="B222" s="1" t="str">
        <f ca="1">IFERROR(__xludf.DUMMYFUNCTION("""COMPUTED_VALUE"""),"ursulacohrs@gmail.com")</f>
        <v>ursulacohrs@gmail.com</v>
      </c>
      <c r="C222" s="4" t="str">
        <f ca="1">IFERROR(__xludf.DUMMYFUNCTION("""COMPUTED_VALUE"""),"EVERGREEN - UAN Gated Content - Embedded Petition")</f>
        <v>EVERGREEN - UAN Gated Content - Embedded Petition</v>
      </c>
      <c r="D222" s="5">
        <f ca="1">IFERROR(__xludf.DUMMYFUNCTION("""COMPUTED_VALUE"""),45637)</f>
        <v>45637</v>
      </c>
      <c r="F222" s="1" t="str">
        <f ca="1">IFERROR(__xludf.DUMMYFUNCTION("""COMPUTED_VALUE"""),"Venezuela")</f>
        <v>Venezuela</v>
      </c>
      <c r="G222" s="1" t="str">
        <f ca="1">IFERROR(__xludf.DUMMYFUNCTION("""COMPUTED_VALUE"""),"97.24 Venezuela")</f>
        <v>97.24 Venezuela</v>
      </c>
      <c r="H222" s="1" t="str">
        <f ca="1">IFERROR(__xludf.DUMMYFUNCTION("""COMPUTED_VALUE"""),"Freedom of Expression")</f>
        <v>Freedom of Expression</v>
      </c>
      <c r="I222" s="1" t="str">
        <f ca="1">IFERROR(__xludf.DUMMYFUNCTION("""COMPUTED_VALUE"""),"2024")</f>
        <v>2024</v>
      </c>
      <c r="J222" s="1" t="str">
        <f ca="1">IFERROR(__xludf.DUMMYFUNCTION("""COMPUTED_VALUE"""),"Letter")</f>
        <v>Letter</v>
      </c>
    </row>
    <row r="223" spans="1:10" ht="13" x14ac:dyDescent="0.15">
      <c r="A223" s="4">
        <f ca="1">IFERROR(__xludf.DUMMYFUNCTION("""COMPUTED_VALUE"""),30528291)</f>
        <v>30528291</v>
      </c>
      <c r="B223" s="1" t="str">
        <f ca="1">IFERROR(__xludf.DUMMYFUNCTION("""COMPUTED_VALUE"""),"ffranck1@yahoo.com")</f>
        <v>ffranck1@yahoo.com</v>
      </c>
      <c r="C223" s="4" t="str">
        <f ca="1">IFERROR(__xludf.DUMMYFUNCTION("""COMPUTED_VALUE"""),"EVERGREEN - UAN Gated Content - Embedded Petition")</f>
        <v>EVERGREEN - UAN Gated Content - Embedded Petition</v>
      </c>
      <c r="D223" s="5">
        <f ca="1">IFERROR(__xludf.DUMMYFUNCTION("""COMPUTED_VALUE"""),45694)</f>
        <v>45694</v>
      </c>
      <c r="F223" s="1" t="str">
        <f ca="1">IFERROR(__xludf.DUMMYFUNCTION("""COMPUTED_VALUE"""),"Egypt")</f>
        <v>Egypt</v>
      </c>
      <c r="G223" s="1" t="str">
        <f ca="1">IFERROR(__xludf.DUMMYFUNCTION("""COMPUTED_VALUE"""),"Ninth 190.18 Egypt")</f>
        <v>Ninth 190.18 Egypt</v>
      </c>
      <c r="H223" s="1" t="str">
        <f ca="1">IFERROR(__xludf.DUMMYFUNCTION("""COMPUTED_VALUE"""),"Freedom of Expression, Individuals At Risk")</f>
        <v>Freedom of Expression, Individuals At Risk</v>
      </c>
      <c r="I223" s="1" t="str">
        <f ca="1">IFERROR(__xludf.DUMMYFUNCTION("""COMPUTED_VALUE"""),"2024")</f>
        <v>2024</v>
      </c>
      <c r="J223" s="1" t="str">
        <f ca="1">IFERROR(__xludf.DUMMYFUNCTION("""COMPUTED_VALUE"""),"Letter")</f>
        <v>Letter</v>
      </c>
    </row>
    <row r="224" spans="1:10" ht="13" x14ac:dyDescent="0.15">
      <c r="A224" s="4">
        <f ca="1">IFERROR(__xludf.DUMMYFUNCTION("""COMPUTED_VALUE"""),30531435)</f>
        <v>30531435</v>
      </c>
      <c r="B224" s="1" t="str">
        <f ca="1">IFERROR(__xludf.DUMMYFUNCTION("""COMPUTED_VALUE"""),"leahdgoldman@gmail.com")</f>
        <v>leahdgoldman@gmail.com</v>
      </c>
      <c r="C224" s="4" t="str">
        <f ca="1">IFERROR(__xludf.DUMMYFUNCTION("""COMPUTED_VALUE"""),"EVERGREEN - UAN Gated Content - Embedded Petition")</f>
        <v>EVERGREEN - UAN Gated Content - Embedded Petition</v>
      </c>
      <c r="D224" s="5">
        <f ca="1">IFERROR(__xludf.DUMMYFUNCTION("""COMPUTED_VALUE"""),45694)</f>
        <v>45694</v>
      </c>
      <c r="F224" s="1" t="str">
        <f ca="1">IFERROR(__xludf.DUMMYFUNCTION("""COMPUTED_VALUE"""),"USA")</f>
        <v>USA</v>
      </c>
      <c r="G224" s="1" t="str">
        <f ca="1">IFERROR(__xludf.DUMMYFUNCTION("""COMPUTED_VALUE"""),"105.24 USA")</f>
        <v>105.24 USA</v>
      </c>
      <c r="H224" s="1" t="str">
        <f ca="1">IFERROR(__xludf.DUMMYFUNCTION("""COMPUTED_VALUE"""),"Death Penalty")</f>
        <v>Death Penalty</v>
      </c>
      <c r="I224" s="1" t="str">
        <f ca="1">IFERROR(__xludf.DUMMYFUNCTION("""COMPUTED_VALUE"""),"2024")</f>
        <v>2024</v>
      </c>
      <c r="J224" s="1" t="str">
        <f ca="1">IFERROR(__xludf.DUMMYFUNCTION("""COMPUTED_VALUE"""),"Email")</f>
        <v>Email</v>
      </c>
    </row>
    <row r="225" spans="1:10" ht="13" x14ac:dyDescent="0.15">
      <c r="A225" s="4">
        <f ca="1">IFERROR(__xludf.DUMMYFUNCTION("""COMPUTED_VALUE"""),30535203)</f>
        <v>30535203</v>
      </c>
      <c r="B225" s="1" t="str">
        <f ca="1">IFERROR(__xludf.DUMMYFUNCTION("""COMPUTED_VALUE"""),"socjusticeadvocate@verizon.net")</f>
        <v>socjusticeadvocate@verizon.net</v>
      </c>
      <c r="C225" s="4" t="str">
        <f ca="1">IFERROR(__xludf.DUMMYFUNCTION("""COMPUTED_VALUE"""),"EVERGREEN - UAN Gated Content - Embedded Petition")</f>
        <v>EVERGREEN - UAN Gated Content - Embedded Petition</v>
      </c>
      <c r="D225" s="5">
        <f ca="1">IFERROR(__xludf.DUMMYFUNCTION("""COMPUTED_VALUE"""),45682)</f>
        <v>45682</v>
      </c>
      <c r="F225" s="1" t="str">
        <f ca="1">IFERROR(__xludf.DUMMYFUNCTION("""COMPUTED_VALUE"""),"China")</f>
        <v>China</v>
      </c>
      <c r="G225" s="1" t="str">
        <f ca="1">IFERROR(__xludf.DUMMYFUNCTION("""COMPUTED_VALUE"""),"98.24 China")</f>
        <v>98.24 China</v>
      </c>
      <c r="H225" s="1" t="str">
        <f ca="1">IFERROR(__xludf.DUMMYFUNCTION("""COMPUTED_VALUE"""),"Freedom of Expression, Individuals At Risk")</f>
        <v>Freedom of Expression, Individuals At Risk</v>
      </c>
      <c r="I225" s="1" t="str">
        <f ca="1">IFERROR(__xludf.DUMMYFUNCTION("""COMPUTED_VALUE"""),"2024")</f>
        <v>2024</v>
      </c>
      <c r="J225" s="1" t="str">
        <f ca="1">IFERROR(__xludf.DUMMYFUNCTION("""COMPUTED_VALUE"""),"Letter")</f>
        <v>Letter</v>
      </c>
    </row>
    <row r="226" spans="1:10" ht="13" x14ac:dyDescent="0.15">
      <c r="A226" s="4">
        <f ca="1">IFERROR(__xludf.DUMMYFUNCTION("""COMPUTED_VALUE"""),30535203)</f>
        <v>30535203</v>
      </c>
      <c r="B226" s="1" t="str">
        <f ca="1">IFERROR(__xludf.DUMMYFUNCTION("""COMPUTED_VALUE"""),"socjusticeadvocate@verizon.net")</f>
        <v>socjusticeadvocate@verizon.net</v>
      </c>
      <c r="C226" s="4" t="str">
        <f ca="1">IFERROR(__xludf.DUMMYFUNCTION("""COMPUTED_VALUE"""),"EVERGREEN - UAN Gated Content - Embedded Petition")</f>
        <v>EVERGREEN - UAN Gated Content - Embedded Petition</v>
      </c>
      <c r="D226" s="5">
        <f ca="1">IFERROR(__xludf.DUMMYFUNCTION("""COMPUTED_VALUE"""),45682)</f>
        <v>45682</v>
      </c>
      <c r="F226" s="1" t="str">
        <f ca="1">IFERROR(__xludf.DUMMYFUNCTION("""COMPUTED_VALUE"""),"Venezuela")</f>
        <v>Venezuela</v>
      </c>
      <c r="G226" s="1" t="str">
        <f ca="1">IFERROR(__xludf.DUMMYFUNCTION("""COMPUTED_VALUE"""),"97.24 Venezuela")</f>
        <v>97.24 Venezuela</v>
      </c>
      <c r="H226" s="1" t="str">
        <f ca="1">IFERROR(__xludf.DUMMYFUNCTION("""COMPUTED_VALUE"""),"Freedom of Expression")</f>
        <v>Freedom of Expression</v>
      </c>
      <c r="I226" s="1" t="str">
        <f ca="1">IFERROR(__xludf.DUMMYFUNCTION("""COMPUTED_VALUE"""),"2024")</f>
        <v>2024</v>
      </c>
      <c r="J226" s="1" t="str">
        <f ca="1">IFERROR(__xludf.DUMMYFUNCTION("""COMPUTED_VALUE"""),"Letter")</f>
        <v>Letter</v>
      </c>
    </row>
    <row r="227" spans="1:10" ht="13" x14ac:dyDescent="0.15">
      <c r="A227" s="4">
        <f ca="1">IFERROR(__xludf.DUMMYFUNCTION("""COMPUTED_VALUE"""),30535203)</f>
        <v>30535203</v>
      </c>
      <c r="B227" s="1" t="str">
        <f ca="1">IFERROR(__xludf.DUMMYFUNCTION("""COMPUTED_VALUE"""),"socjusticeadvocate@verizon.net")</f>
        <v>socjusticeadvocate@verizon.net</v>
      </c>
      <c r="C227" s="4" t="str">
        <f ca="1">IFERROR(__xludf.DUMMYFUNCTION("""COMPUTED_VALUE"""),"EVERGREEN - UAN Gated Content - Embedded Petition")</f>
        <v>EVERGREEN - UAN Gated Content - Embedded Petition</v>
      </c>
      <c r="D227" s="5">
        <f ca="1">IFERROR(__xludf.DUMMYFUNCTION("""COMPUTED_VALUE"""),45678)</f>
        <v>45678</v>
      </c>
      <c r="F227" s="1" t="str">
        <f ca="1">IFERROR(__xludf.DUMMYFUNCTION("""COMPUTED_VALUE"""),"USA")</f>
        <v>USA</v>
      </c>
      <c r="G227" s="1" t="str">
        <f ca="1">IFERROR(__xludf.DUMMYFUNCTION("""COMPUTED_VALUE"""),"105.24 USA")</f>
        <v>105.24 USA</v>
      </c>
      <c r="H227" s="1" t="str">
        <f ca="1">IFERROR(__xludf.DUMMYFUNCTION("""COMPUTED_VALUE"""),"Death Penalty")</f>
        <v>Death Penalty</v>
      </c>
      <c r="I227" s="1" t="str">
        <f ca="1">IFERROR(__xludf.DUMMYFUNCTION("""COMPUTED_VALUE"""),"2024")</f>
        <v>2024</v>
      </c>
      <c r="J227" s="1" t="str">
        <f ca="1">IFERROR(__xludf.DUMMYFUNCTION("""COMPUTED_VALUE"""),"Email")</f>
        <v>Email</v>
      </c>
    </row>
    <row r="228" spans="1:10" ht="13" x14ac:dyDescent="0.15">
      <c r="A228" s="4">
        <f ca="1">IFERROR(__xludf.DUMMYFUNCTION("""COMPUTED_VALUE"""),30535203)</f>
        <v>30535203</v>
      </c>
      <c r="B228" s="1" t="str">
        <f ca="1">IFERROR(__xludf.DUMMYFUNCTION("""COMPUTED_VALUE"""),"socjusticeadvocate@verizon.net")</f>
        <v>socjusticeadvocate@verizon.net</v>
      </c>
      <c r="C228" s="4" t="str">
        <f ca="1">IFERROR(__xludf.DUMMYFUNCTION("""COMPUTED_VALUE"""),"EVERGREEN - UAN Gated Content - Embedded Petition")</f>
        <v>EVERGREEN - UAN Gated Content - Embedded Petition</v>
      </c>
      <c r="D228" s="5">
        <f ca="1">IFERROR(__xludf.DUMMYFUNCTION("""COMPUTED_VALUE"""),45678)</f>
        <v>45678</v>
      </c>
      <c r="F228" s="1" t="str">
        <f ca="1">IFERROR(__xludf.DUMMYFUNCTION("""COMPUTED_VALUE"""),"Egypt")</f>
        <v>Egypt</v>
      </c>
      <c r="G228" s="1" t="str">
        <f ca="1">IFERROR(__xludf.DUMMYFUNCTION("""COMPUTED_VALUE"""),"Ninth 190.18 Egypt")</f>
        <v>Ninth 190.18 Egypt</v>
      </c>
      <c r="H228" s="1" t="str">
        <f ca="1">IFERROR(__xludf.DUMMYFUNCTION("""COMPUTED_VALUE"""),"Freedom of Expression, Individuals At Risk")</f>
        <v>Freedom of Expression, Individuals At Risk</v>
      </c>
      <c r="I228" s="1" t="str">
        <f ca="1">IFERROR(__xludf.DUMMYFUNCTION("""COMPUTED_VALUE"""),"2024")</f>
        <v>2024</v>
      </c>
      <c r="J228" s="1" t="str">
        <f ca="1">IFERROR(__xludf.DUMMYFUNCTION("""COMPUTED_VALUE"""),"Letter")</f>
        <v>Letter</v>
      </c>
    </row>
    <row r="229" spans="1:10" ht="13" x14ac:dyDescent="0.15">
      <c r="A229" s="4">
        <f ca="1">IFERROR(__xludf.DUMMYFUNCTION("""COMPUTED_VALUE"""),30535203)</f>
        <v>30535203</v>
      </c>
      <c r="B229" s="1" t="str">
        <f ca="1">IFERROR(__xludf.DUMMYFUNCTION("""COMPUTED_VALUE"""),"socjusticeadvocate@verizon.net")</f>
        <v>socjusticeadvocate@verizon.net</v>
      </c>
      <c r="C229" s="4" t="str">
        <f ca="1">IFERROR(__xludf.DUMMYFUNCTION("""COMPUTED_VALUE"""),"EVERGREEN - UAN Gated Content - Embedded Petition")</f>
        <v>EVERGREEN - UAN Gated Content - Embedded Petition</v>
      </c>
      <c r="D229" s="5">
        <f ca="1">IFERROR(__xludf.DUMMYFUNCTION("""COMPUTED_VALUE"""),45678)</f>
        <v>45678</v>
      </c>
      <c r="F229" s="1" t="str">
        <f ca="1">IFERROR(__xludf.DUMMYFUNCTION("""COMPUTED_VALUE"""),"Tunisia")</f>
        <v>Tunisia</v>
      </c>
      <c r="G229" s="1" t="str">
        <f ca="1">IFERROR(__xludf.DUMMYFUNCTION("""COMPUTED_VALUE"""),"Second 76.24 Tunisia")</f>
        <v>Second 76.24 Tunisia</v>
      </c>
      <c r="H229" s="1" t="str">
        <f ca="1">IFERROR(__xludf.DUMMYFUNCTION("""COMPUTED_VALUE"""),"Freedom of Expression, Human Rights Defenders")</f>
        <v>Freedom of Expression, Human Rights Defenders</v>
      </c>
      <c r="I229" s="1" t="str">
        <f ca="1">IFERROR(__xludf.DUMMYFUNCTION("""COMPUTED_VALUE"""),"2025")</f>
        <v>2025</v>
      </c>
      <c r="J229" s="1" t="str">
        <f ca="1">IFERROR(__xludf.DUMMYFUNCTION("""COMPUTED_VALUE"""),"Email")</f>
        <v>Email</v>
      </c>
    </row>
    <row r="230" spans="1:10" ht="13" x14ac:dyDescent="0.15">
      <c r="A230" s="4">
        <f ca="1">IFERROR(__xludf.DUMMYFUNCTION("""COMPUTED_VALUE"""),30535203)</f>
        <v>30535203</v>
      </c>
      <c r="B230" s="1" t="str">
        <f ca="1">IFERROR(__xludf.DUMMYFUNCTION("""COMPUTED_VALUE"""),"socjusticeadvocate@verizon.net")</f>
        <v>socjusticeadvocate@verizon.net</v>
      </c>
      <c r="C230" s="4" t="str">
        <f ca="1">IFERROR(__xludf.DUMMYFUNCTION("""COMPUTED_VALUE"""),"EVERGREEN - UAN Gated Content - Embedded Petition")</f>
        <v>EVERGREEN - UAN Gated Content - Embedded Petition</v>
      </c>
      <c r="D230" s="5">
        <f ca="1">IFERROR(__xludf.DUMMYFUNCTION("""COMPUTED_VALUE"""),45682)</f>
        <v>45682</v>
      </c>
      <c r="F230" s="1" t="str">
        <f ca="1">IFERROR(__xludf.DUMMYFUNCTION("""COMPUTED_VALUE"""),"Tunisia")</f>
        <v>Tunisia</v>
      </c>
      <c r="G230" s="1" t="str">
        <f ca="1">IFERROR(__xludf.DUMMYFUNCTION("""COMPUTED_VALUE"""),"Second 76.24 Tunisia")</f>
        <v>Second 76.24 Tunisia</v>
      </c>
      <c r="H230" s="1" t="str">
        <f ca="1">IFERROR(__xludf.DUMMYFUNCTION("""COMPUTED_VALUE"""),"Freedom of Expression, Human Rights Defenders")</f>
        <v>Freedom of Expression, Human Rights Defenders</v>
      </c>
      <c r="I230" s="1" t="str">
        <f ca="1">IFERROR(__xludf.DUMMYFUNCTION("""COMPUTED_VALUE"""),"2025")</f>
        <v>2025</v>
      </c>
      <c r="J230" s="1" t="str">
        <f ca="1">IFERROR(__xludf.DUMMYFUNCTION("""COMPUTED_VALUE"""),"Email")</f>
        <v>Email</v>
      </c>
    </row>
    <row r="231" spans="1:10" ht="13" x14ac:dyDescent="0.15">
      <c r="A231" s="4">
        <f ca="1">IFERROR(__xludf.DUMMYFUNCTION("""COMPUTED_VALUE"""),30535203)</f>
        <v>30535203</v>
      </c>
      <c r="B231" s="1" t="str">
        <f ca="1">IFERROR(__xludf.DUMMYFUNCTION("""COMPUTED_VALUE"""),"socjusticeadvocate@verizon.net")</f>
        <v>socjusticeadvocate@verizon.net</v>
      </c>
      <c r="C231" s="4" t="str">
        <f ca="1">IFERROR(__xludf.DUMMYFUNCTION("""COMPUTED_VALUE"""),"EVERGREEN - UAN Gated Content - Embedded Petition")</f>
        <v>EVERGREEN - UAN Gated Content - Embedded Petition</v>
      </c>
      <c r="D231" s="5">
        <f ca="1">IFERROR(__xludf.DUMMYFUNCTION("""COMPUTED_VALUE"""),45682)</f>
        <v>45682</v>
      </c>
      <c r="F231" s="1" t="str">
        <f ca="1">IFERROR(__xludf.DUMMYFUNCTION("""COMPUTED_VALUE"""),"Egypt")</f>
        <v>Egypt</v>
      </c>
      <c r="G231" s="1" t="str">
        <f ca="1">IFERROR(__xludf.DUMMYFUNCTION("""COMPUTED_VALUE"""),"Ninth 190.18 Egypt")</f>
        <v>Ninth 190.18 Egypt</v>
      </c>
      <c r="H231" s="1" t="str">
        <f ca="1">IFERROR(__xludf.DUMMYFUNCTION("""COMPUTED_VALUE"""),"Freedom of Expression, Individuals At Risk")</f>
        <v>Freedom of Expression, Individuals At Risk</v>
      </c>
      <c r="I231" s="1" t="str">
        <f ca="1">IFERROR(__xludf.DUMMYFUNCTION("""COMPUTED_VALUE"""),"2024")</f>
        <v>2024</v>
      </c>
      <c r="J231" s="1" t="str">
        <f ca="1">IFERROR(__xludf.DUMMYFUNCTION("""COMPUTED_VALUE"""),"Letter")</f>
        <v>Letter</v>
      </c>
    </row>
    <row r="232" spans="1:10" ht="13" x14ac:dyDescent="0.15">
      <c r="A232" s="4">
        <f ca="1">IFERROR(__xludf.DUMMYFUNCTION("""COMPUTED_VALUE"""),30535203)</f>
        <v>30535203</v>
      </c>
      <c r="B232" s="1" t="str">
        <f ca="1">IFERROR(__xludf.DUMMYFUNCTION("""COMPUTED_VALUE"""),"socjusticeadvocate@verizon.net")</f>
        <v>socjusticeadvocate@verizon.net</v>
      </c>
      <c r="C232" s="4" t="str">
        <f ca="1">IFERROR(__xludf.DUMMYFUNCTION("""COMPUTED_VALUE"""),"EVERGREEN - UAN Gated Content - Embedded Petition")</f>
        <v>EVERGREEN - UAN Gated Content - Embedded Petition</v>
      </c>
      <c r="D232" s="5">
        <f ca="1">IFERROR(__xludf.DUMMYFUNCTION("""COMPUTED_VALUE"""),45677)</f>
        <v>45677</v>
      </c>
      <c r="F232" s="1" t="str">
        <f ca="1">IFERROR(__xludf.DUMMYFUNCTION("""COMPUTED_VALUE"""),"Iran")</f>
        <v>Iran</v>
      </c>
      <c r="G232" s="1" t="str">
        <f ca="1">IFERROR(__xludf.DUMMYFUNCTION("""COMPUTED_VALUE"""),"Seventh 103.22 Iran")</f>
        <v>Seventh 103.22 Iran</v>
      </c>
      <c r="H232" s="1" t="str">
        <f ca="1">IFERROR(__xludf.DUMMYFUNCTION("""COMPUTED_VALUE"""),"Death Penalty, Freedom of Expression, Individuals At Risk")</f>
        <v>Death Penalty, Freedom of Expression, Individuals At Risk</v>
      </c>
      <c r="I232" s="1" t="str">
        <f ca="1">IFERROR(__xludf.DUMMYFUNCTION("""COMPUTED_VALUE"""),"2024")</f>
        <v>2024</v>
      </c>
      <c r="J232" s="1" t="str">
        <f ca="1">IFERROR(__xludf.DUMMYFUNCTION("""COMPUTED_VALUE"""),"Email")</f>
        <v>Email</v>
      </c>
    </row>
    <row r="233" spans="1:10" ht="13" x14ac:dyDescent="0.15">
      <c r="A233" s="4">
        <f ca="1">IFERROR(__xludf.DUMMYFUNCTION("""COMPUTED_VALUE"""),30535203)</f>
        <v>30535203</v>
      </c>
      <c r="B233" s="1" t="str">
        <f ca="1">IFERROR(__xludf.DUMMYFUNCTION("""COMPUTED_VALUE"""),"socjusticeadvocate@verizon.net")</f>
        <v>socjusticeadvocate@verizon.net</v>
      </c>
      <c r="C233" s="4" t="str">
        <f ca="1">IFERROR(__xludf.DUMMYFUNCTION("""COMPUTED_VALUE"""),"EVERGREEN - UAN Gated Content - Embedded Petition")</f>
        <v>EVERGREEN - UAN Gated Content - Embedded Petition</v>
      </c>
      <c r="D233" s="5">
        <f ca="1">IFERROR(__xludf.DUMMYFUNCTION("""COMPUTED_VALUE"""),45677)</f>
        <v>45677</v>
      </c>
      <c r="F233" s="1" t="str">
        <f ca="1">IFERROR(__xludf.DUMMYFUNCTION("""COMPUTED_VALUE"""),"Tunisia")</f>
        <v>Tunisia</v>
      </c>
      <c r="G233" s="1" t="str">
        <f ca="1">IFERROR(__xludf.DUMMYFUNCTION("""COMPUTED_VALUE"""),"Second 76.24 Tunisia")</f>
        <v>Second 76.24 Tunisia</v>
      </c>
      <c r="H233" s="1" t="str">
        <f ca="1">IFERROR(__xludf.DUMMYFUNCTION("""COMPUTED_VALUE"""),"Freedom of Expression, Human Rights Defenders")</f>
        <v>Freedom of Expression, Human Rights Defenders</v>
      </c>
      <c r="I233" s="1" t="str">
        <f ca="1">IFERROR(__xludf.DUMMYFUNCTION("""COMPUTED_VALUE"""),"2025")</f>
        <v>2025</v>
      </c>
      <c r="J233" s="1" t="str">
        <f ca="1">IFERROR(__xludf.DUMMYFUNCTION("""COMPUTED_VALUE"""),"Email")</f>
        <v>Email</v>
      </c>
    </row>
    <row r="234" spans="1:10" ht="13" x14ac:dyDescent="0.15">
      <c r="A234" s="4">
        <f ca="1">IFERROR(__xludf.DUMMYFUNCTION("""COMPUTED_VALUE"""),30535203)</f>
        <v>30535203</v>
      </c>
      <c r="B234" s="1" t="str">
        <f ca="1">IFERROR(__xludf.DUMMYFUNCTION("""COMPUTED_VALUE"""),"socjusticeadvocate@verizon.net")</f>
        <v>socjusticeadvocate@verizon.net</v>
      </c>
      <c r="C234" s="4" t="str">
        <f ca="1">IFERROR(__xludf.DUMMYFUNCTION("""COMPUTED_VALUE"""),"EVERGREEN - UAN Gated Content - Embedded Petition")</f>
        <v>EVERGREEN - UAN Gated Content - Embedded Petition</v>
      </c>
      <c r="D234" s="5">
        <f ca="1">IFERROR(__xludf.DUMMYFUNCTION("""COMPUTED_VALUE"""),45674)</f>
        <v>45674</v>
      </c>
      <c r="F234" s="1" t="str">
        <f ca="1">IFERROR(__xludf.DUMMYFUNCTION("""COMPUTED_VALUE"""),"Iran")</f>
        <v>Iran</v>
      </c>
      <c r="G234" s="1" t="str">
        <f ca="1">IFERROR(__xludf.DUMMYFUNCTION("""COMPUTED_VALUE"""),"10.25 Iran")</f>
        <v>10.25 Iran</v>
      </c>
      <c r="H234" s="1" t="str">
        <f ca="1">IFERROR(__xludf.DUMMYFUNCTION("""COMPUTED_VALUE"""),"Death Penalty, Individuals At Risk")</f>
        <v>Death Penalty, Individuals At Risk</v>
      </c>
      <c r="I234" s="1" t="str">
        <f ca="1">IFERROR(__xludf.DUMMYFUNCTION("""COMPUTED_VALUE"""),"2025")</f>
        <v>2025</v>
      </c>
      <c r="J234" s="1" t="str">
        <f ca="1">IFERROR(__xludf.DUMMYFUNCTION("""COMPUTED_VALUE"""),"Email")</f>
        <v>Email</v>
      </c>
    </row>
    <row r="235" spans="1:10" ht="13" x14ac:dyDescent="0.15">
      <c r="A235" s="4">
        <f ca="1">IFERROR(__xludf.DUMMYFUNCTION("""COMPUTED_VALUE"""),30535203)</f>
        <v>30535203</v>
      </c>
      <c r="B235" s="1" t="str">
        <f ca="1">IFERROR(__xludf.DUMMYFUNCTION("""COMPUTED_VALUE"""),"socjusticeadvocate@verizon.net")</f>
        <v>socjusticeadvocate@verizon.net</v>
      </c>
      <c r="C235" s="4" t="str">
        <f ca="1">IFERROR(__xludf.DUMMYFUNCTION("""COMPUTED_VALUE"""),"EVERGREEN - UAN Gated Content - Embedded Petition")</f>
        <v>EVERGREEN - UAN Gated Content - Embedded Petition</v>
      </c>
      <c r="D235" s="5">
        <f ca="1">IFERROR(__xludf.DUMMYFUNCTION("""COMPUTED_VALUE"""),45674)</f>
        <v>45674</v>
      </c>
      <c r="F235" s="1" t="str">
        <f ca="1">IFERROR(__xludf.DUMMYFUNCTION("""COMPUTED_VALUE"""),"Tunisia")</f>
        <v>Tunisia</v>
      </c>
      <c r="G235" s="1" t="str">
        <f ca="1">IFERROR(__xludf.DUMMYFUNCTION("""COMPUTED_VALUE"""),"Second 76.24 Tunisia")</f>
        <v>Second 76.24 Tunisia</v>
      </c>
      <c r="H235" s="1" t="str">
        <f ca="1">IFERROR(__xludf.DUMMYFUNCTION("""COMPUTED_VALUE"""),"Freedom of Expression, Human Rights Defenders")</f>
        <v>Freedom of Expression, Human Rights Defenders</v>
      </c>
      <c r="I235" s="1" t="str">
        <f ca="1">IFERROR(__xludf.DUMMYFUNCTION("""COMPUTED_VALUE"""),"2025")</f>
        <v>2025</v>
      </c>
      <c r="J235" s="1" t="str">
        <f ca="1">IFERROR(__xludf.DUMMYFUNCTION("""COMPUTED_VALUE"""),"Email")</f>
        <v>Email</v>
      </c>
    </row>
    <row r="236" spans="1:10" ht="13" x14ac:dyDescent="0.15">
      <c r="A236" s="4">
        <f ca="1">IFERROR(__xludf.DUMMYFUNCTION("""COMPUTED_VALUE"""),30535203)</f>
        <v>30535203</v>
      </c>
      <c r="B236" s="1" t="str">
        <f ca="1">IFERROR(__xludf.DUMMYFUNCTION("""COMPUTED_VALUE"""),"socjusticeadvocate@verizon.net")</f>
        <v>socjusticeadvocate@verizon.net</v>
      </c>
      <c r="C236" s="4" t="str">
        <f ca="1">IFERROR(__xludf.DUMMYFUNCTION("""COMPUTED_VALUE"""),"EVERGREEN - UAN Gated Content - Embedded Petition")</f>
        <v>EVERGREEN - UAN Gated Content - Embedded Petition</v>
      </c>
      <c r="D236" s="5">
        <f ca="1">IFERROR(__xludf.DUMMYFUNCTION("""COMPUTED_VALUE"""),45674)</f>
        <v>45674</v>
      </c>
      <c r="F236" s="1" t="str">
        <f ca="1">IFERROR(__xludf.DUMMYFUNCTION("""COMPUTED_VALUE"""),"Israel and Occupied Palestinian Territories")</f>
        <v>Israel and Occupied Palestinian Territories</v>
      </c>
      <c r="G236" s="1" t="str">
        <f ca="1">IFERROR(__xludf.DUMMYFUNCTION("""COMPUTED_VALUE"""),"3.25 IOPT")</f>
        <v>3.25 IOPT</v>
      </c>
      <c r="H236" s="1" t="str">
        <f ca="1">IFERROR(__xludf.DUMMYFUNCTION("""COMPUTED_VALUE"""),"Freedom of Expression, Individuals At Risk")</f>
        <v>Freedom of Expression, Individuals At Risk</v>
      </c>
      <c r="I236" s="1" t="str">
        <f ca="1">IFERROR(__xludf.DUMMYFUNCTION("""COMPUTED_VALUE"""),"2025")</f>
        <v>2025</v>
      </c>
      <c r="J236" s="1" t="str">
        <f ca="1">IFERROR(__xludf.DUMMYFUNCTION("""COMPUTED_VALUE"""),"Email")</f>
        <v>Email</v>
      </c>
    </row>
    <row r="237" spans="1:10" ht="13" x14ac:dyDescent="0.15">
      <c r="A237" s="4">
        <f ca="1">IFERROR(__xludf.DUMMYFUNCTION("""COMPUTED_VALUE"""),30535203)</f>
        <v>30535203</v>
      </c>
      <c r="B237" s="1" t="str">
        <f ca="1">IFERROR(__xludf.DUMMYFUNCTION("""COMPUTED_VALUE"""),"socjusticeadvocate@verizon.net")</f>
        <v>socjusticeadvocate@verizon.net</v>
      </c>
      <c r="C237" s="4" t="str">
        <f ca="1">IFERROR(__xludf.DUMMYFUNCTION("""COMPUTED_VALUE"""),"EVERGREEN - UAN Gated Content - Embedded Petition")</f>
        <v>EVERGREEN - UAN Gated Content - Embedded Petition</v>
      </c>
      <c r="D237" s="5">
        <f ca="1">IFERROR(__xludf.DUMMYFUNCTION("""COMPUTED_VALUE"""),45674)</f>
        <v>45674</v>
      </c>
      <c r="F237" s="1" t="str">
        <f ca="1">IFERROR(__xludf.DUMMYFUNCTION("""COMPUTED_VALUE"""),"Israel and Occupied Palestinian Territories")</f>
        <v>Israel and Occupied Palestinian Territories</v>
      </c>
      <c r="G237" s="1" t="str">
        <f ca="1">IFERROR(__xludf.DUMMYFUNCTION("""COMPUTED_VALUE"""),"3.25 IOPT")</f>
        <v>3.25 IOPT</v>
      </c>
      <c r="H237" s="1" t="str">
        <f ca="1">IFERROR(__xludf.DUMMYFUNCTION("""COMPUTED_VALUE"""),"Freedom of Expression, Individuals At Risk")</f>
        <v>Freedom of Expression, Individuals At Risk</v>
      </c>
      <c r="I237" s="1" t="str">
        <f ca="1">IFERROR(__xludf.DUMMYFUNCTION("""COMPUTED_VALUE"""),"2025")</f>
        <v>2025</v>
      </c>
      <c r="J237" s="1" t="str">
        <f ca="1">IFERROR(__xludf.DUMMYFUNCTION("""COMPUTED_VALUE"""),"Email")</f>
        <v>Email</v>
      </c>
    </row>
    <row r="238" spans="1:10" ht="13" x14ac:dyDescent="0.15">
      <c r="A238" s="4">
        <f ca="1">IFERROR(__xludf.DUMMYFUNCTION("""COMPUTED_VALUE"""),30535203)</f>
        <v>30535203</v>
      </c>
      <c r="B238" s="1" t="str">
        <f ca="1">IFERROR(__xludf.DUMMYFUNCTION("""COMPUTED_VALUE"""),"socjusticeadvocate@verizon.net")</f>
        <v>socjusticeadvocate@verizon.net</v>
      </c>
      <c r="C238" s="4" t="str">
        <f ca="1">IFERROR(__xludf.DUMMYFUNCTION("""COMPUTED_VALUE"""),"EVERGREEN - UAN Gated Content - Embedded Petition")</f>
        <v>EVERGREEN - UAN Gated Content - Embedded Petition</v>
      </c>
      <c r="D238" s="5">
        <f ca="1">IFERROR(__xludf.DUMMYFUNCTION("""COMPUTED_VALUE"""),45674)</f>
        <v>45674</v>
      </c>
      <c r="F238" s="1" t="str">
        <f ca="1">IFERROR(__xludf.DUMMYFUNCTION("""COMPUTED_VALUE"""),"USA")</f>
        <v>USA</v>
      </c>
      <c r="G238" s="1" t="str">
        <f ca="1">IFERROR(__xludf.DUMMYFUNCTION("""COMPUTED_VALUE"""),"4.25 USA")</f>
        <v>4.25 USA</v>
      </c>
      <c r="H238" s="1" t="str">
        <f ca="1">IFERROR(__xludf.DUMMYFUNCTION("""COMPUTED_VALUE"""),"Individuals At Risk, Refugee and Migrant Rights")</f>
        <v>Individuals At Risk, Refugee and Migrant Rights</v>
      </c>
      <c r="I238" s="1" t="str">
        <f ca="1">IFERROR(__xludf.DUMMYFUNCTION("""COMPUTED_VALUE"""),"2025")</f>
        <v>2025</v>
      </c>
      <c r="J238" s="1" t="str">
        <f ca="1">IFERROR(__xludf.DUMMYFUNCTION("""COMPUTED_VALUE"""),"Letter")</f>
        <v>Letter</v>
      </c>
    </row>
    <row r="239" spans="1:10" ht="13" x14ac:dyDescent="0.15">
      <c r="A239" s="4">
        <f ca="1">IFERROR(__xludf.DUMMYFUNCTION("""COMPUTED_VALUE"""),30535203)</f>
        <v>30535203</v>
      </c>
      <c r="B239" s="1" t="str">
        <f ca="1">IFERROR(__xludf.DUMMYFUNCTION("""COMPUTED_VALUE"""),"socjusticeadvocate@verizon.net")</f>
        <v>socjusticeadvocate@verizon.net</v>
      </c>
      <c r="C239" s="4" t="str">
        <f ca="1">IFERROR(__xludf.DUMMYFUNCTION("""COMPUTED_VALUE"""),"EVERGREEN - UAN Gated Content - Embedded Petition")</f>
        <v>EVERGREEN - UAN Gated Content - Embedded Petition</v>
      </c>
      <c r="D239" s="5">
        <f ca="1">IFERROR(__xludf.DUMMYFUNCTION("""COMPUTED_VALUE"""),45674)</f>
        <v>45674</v>
      </c>
      <c r="F239" s="1" t="str">
        <f ca="1">IFERROR(__xludf.DUMMYFUNCTION("""COMPUTED_VALUE"""),"USA")</f>
        <v>USA</v>
      </c>
      <c r="G239" s="1" t="str">
        <f ca="1">IFERROR(__xludf.DUMMYFUNCTION("""COMPUTED_VALUE"""),"105.24 USA")</f>
        <v>105.24 USA</v>
      </c>
      <c r="H239" s="1" t="str">
        <f ca="1">IFERROR(__xludf.DUMMYFUNCTION("""COMPUTED_VALUE"""),"Death Penalty")</f>
        <v>Death Penalty</v>
      </c>
      <c r="I239" s="1" t="str">
        <f ca="1">IFERROR(__xludf.DUMMYFUNCTION("""COMPUTED_VALUE"""),"2024")</f>
        <v>2024</v>
      </c>
      <c r="J239" s="1" t="str">
        <f ca="1">IFERROR(__xludf.DUMMYFUNCTION("""COMPUTED_VALUE"""),"Email")</f>
        <v>Email</v>
      </c>
    </row>
    <row r="240" spans="1:10" ht="13" x14ac:dyDescent="0.15">
      <c r="A240" s="4">
        <f ca="1">IFERROR(__xludf.DUMMYFUNCTION("""COMPUTED_VALUE"""),30535203)</f>
        <v>30535203</v>
      </c>
      <c r="B240" s="1" t="str">
        <f ca="1">IFERROR(__xludf.DUMMYFUNCTION("""COMPUTED_VALUE"""),"socjusticeadvocate@verizon.net")</f>
        <v>socjusticeadvocate@verizon.net</v>
      </c>
      <c r="C240" s="4" t="str">
        <f ca="1">IFERROR(__xludf.DUMMYFUNCTION("""COMPUTED_VALUE"""),"EVERGREEN - UAN Gated Content - Embedded Petition")</f>
        <v>EVERGREEN - UAN Gated Content - Embedded Petition</v>
      </c>
      <c r="D240" s="5">
        <f ca="1">IFERROR(__xludf.DUMMYFUNCTION("""COMPUTED_VALUE"""),45674)</f>
        <v>45674</v>
      </c>
      <c r="F240" s="1" t="str">
        <f ca="1">IFERROR(__xludf.DUMMYFUNCTION("""COMPUTED_VALUE"""),"Venezuela")</f>
        <v>Venezuela</v>
      </c>
      <c r="G240" s="1" t="str">
        <f ca="1">IFERROR(__xludf.DUMMYFUNCTION("""COMPUTED_VALUE"""),"1.25 Venezuela")</f>
        <v>1.25 Venezuela</v>
      </c>
      <c r="H240" s="1" t="str">
        <f ca="1">IFERROR(__xludf.DUMMYFUNCTION("""COMPUTED_VALUE"""),"Human Rights Defenders, Individuals At Risk")</f>
        <v>Human Rights Defenders, Individuals At Risk</v>
      </c>
      <c r="I240" s="1" t="str">
        <f ca="1">IFERROR(__xludf.DUMMYFUNCTION("""COMPUTED_VALUE"""),"2025")</f>
        <v>2025</v>
      </c>
      <c r="J240" s="1" t="str">
        <f ca="1">IFERROR(__xludf.DUMMYFUNCTION("""COMPUTED_VALUE"""),"Letter")</f>
        <v>Letter</v>
      </c>
    </row>
    <row r="241" spans="1:10" ht="13" x14ac:dyDescent="0.15">
      <c r="A241" s="4">
        <f ca="1">IFERROR(__xludf.DUMMYFUNCTION("""COMPUTED_VALUE"""),30535203)</f>
        <v>30535203</v>
      </c>
      <c r="B241" s="1" t="str">
        <f ca="1">IFERROR(__xludf.DUMMYFUNCTION("""COMPUTED_VALUE"""),"socjusticeadvocate@verizon.net")</f>
        <v>socjusticeadvocate@verizon.net</v>
      </c>
      <c r="C241" s="4" t="str">
        <f ca="1">IFERROR(__xludf.DUMMYFUNCTION("""COMPUTED_VALUE"""),"EVERGREEN - UAN Gated Content - Embedded Petition")</f>
        <v>EVERGREEN - UAN Gated Content - Embedded Petition</v>
      </c>
      <c r="D241" s="5">
        <f ca="1">IFERROR(__xludf.DUMMYFUNCTION("""COMPUTED_VALUE"""),45676)</f>
        <v>45676</v>
      </c>
      <c r="F241" s="1" t="str">
        <f ca="1">IFERROR(__xludf.DUMMYFUNCTION("""COMPUTED_VALUE"""),"Tunisia")</f>
        <v>Tunisia</v>
      </c>
      <c r="G241" s="1" t="str">
        <f ca="1">IFERROR(__xludf.DUMMYFUNCTION("""COMPUTED_VALUE"""),"Second 76.24 Tunisia")</f>
        <v>Second 76.24 Tunisia</v>
      </c>
      <c r="H241" s="1" t="str">
        <f ca="1">IFERROR(__xludf.DUMMYFUNCTION("""COMPUTED_VALUE"""),"Freedom of Expression, Human Rights Defenders")</f>
        <v>Freedom of Expression, Human Rights Defenders</v>
      </c>
      <c r="I241" s="1" t="str">
        <f ca="1">IFERROR(__xludf.DUMMYFUNCTION("""COMPUTED_VALUE"""),"2025")</f>
        <v>2025</v>
      </c>
      <c r="J241" s="1" t="str">
        <f ca="1">IFERROR(__xludf.DUMMYFUNCTION("""COMPUTED_VALUE"""),"Email")</f>
        <v>Email</v>
      </c>
    </row>
    <row r="242" spans="1:10" ht="13" x14ac:dyDescent="0.15">
      <c r="A242" s="4">
        <f ca="1">IFERROR(__xludf.DUMMYFUNCTION("""COMPUTED_VALUE"""),30535203)</f>
        <v>30535203</v>
      </c>
      <c r="B242" s="1" t="str">
        <f ca="1">IFERROR(__xludf.DUMMYFUNCTION("""COMPUTED_VALUE"""),"socjusticeadvocate@verizon.net")</f>
        <v>socjusticeadvocate@verizon.net</v>
      </c>
      <c r="C242" s="4" t="str">
        <f ca="1">IFERROR(__xludf.DUMMYFUNCTION("""COMPUTED_VALUE"""),"EVERGREEN - UAN Gated Content - Embedded Petition")</f>
        <v>EVERGREEN - UAN Gated Content - Embedded Petition</v>
      </c>
      <c r="D242" s="5">
        <f ca="1">IFERROR(__xludf.DUMMYFUNCTION("""COMPUTED_VALUE"""),45676)</f>
        <v>45676</v>
      </c>
      <c r="F242" s="1" t="str">
        <f ca="1">IFERROR(__xludf.DUMMYFUNCTION("""COMPUTED_VALUE"""),"Dominican Republic")</f>
        <v>Dominican Republic</v>
      </c>
      <c r="G242" s="1" t="str">
        <f ca="1">IFERROR(__xludf.DUMMYFUNCTION("""COMPUTED_VALUE"""),"88.24 Dominican Republic")</f>
        <v>88.24 Dominican Republic</v>
      </c>
      <c r="H242" s="1" t="str">
        <f ca="1">IFERROR(__xludf.DUMMYFUNCTION("""COMPUTED_VALUE"""),"Individuals At Risk, Refugee and Migrant Rights")</f>
        <v>Individuals At Risk, Refugee and Migrant Rights</v>
      </c>
      <c r="I242" s="1" t="str">
        <f ca="1">IFERROR(__xludf.DUMMYFUNCTION("""COMPUTED_VALUE"""),"2024")</f>
        <v>2024</v>
      </c>
      <c r="J242" s="1" t="str">
        <f ca="1">IFERROR(__xludf.DUMMYFUNCTION("""COMPUTED_VALUE"""),"Letter")</f>
        <v>Letter</v>
      </c>
    </row>
    <row r="243" spans="1:10" ht="13" x14ac:dyDescent="0.15">
      <c r="A243" s="4">
        <f ca="1">IFERROR(__xludf.DUMMYFUNCTION("""COMPUTED_VALUE"""),30535203)</f>
        <v>30535203</v>
      </c>
      <c r="B243" s="1" t="str">
        <f ca="1">IFERROR(__xludf.DUMMYFUNCTION("""COMPUTED_VALUE"""),"socjusticeadvocate@verizon.net")</f>
        <v>socjusticeadvocate@verizon.net</v>
      </c>
      <c r="C243" s="4" t="str">
        <f ca="1">IFERROR(__xludf.DUMMYFUNCTION("""COMPUTED_VALUE"""),"EVERGREEN - UAN Gated Content - Embedded Petition")</f>
        <v>EVERGREEN - UAN Gated Content - Embedded Petition</v>
      </c>
      <c r="D243" s="5">
        <f ca="1">IFERROR(__xludf.DUMMYFUNCTION("""COMPUTED_VALUE"""),45676)</f>
        <v>45676</v>
      </c>
      <c r="F243" s="1" t="str">
        <f ca="1">IFERROR(__xludf.DUMMYFUNCTION("""COMPUTED_VALUE"""),"Egypt")</f>
        <v>Egypt</v>
      </c>
      <c r="G243" s="1" t="str">
        <f ca="1">IFERROR(__xludf.DUMMYFUNCTION("""COMPUTED_VALUE"""),"Ninth 190.18 Egypt")</f>
        <v>Ninth 190.18 Egypt</v>
      </c>
      <c r="H243" s="1" t="str">
        <f ca="1">IFERROR(__xludf.DUMMYFUNCTION("""COMPUTED_VALUE"""),"Freedom of Expression, Individuals At Risk")</f>
        <v>Freedom of Expression, Individuals At Risk</v>
      </c>
      <c r="I243" s="1" t="str">
        <f ca="1">IFERROR(__xludf.DUMMYFUNCTION("""COMPUTED_VALUE"""),"2024")</f>
        <v>2024</v>
      </c>
      <c r="J243" s="1" t="str">
        <f ca="1">IFERROR(__xludf.DUMMYFUNCTION("""COMPUTED_VALUE"""),"Letter")</f>
        <v>Letter</v>
      </c>
    </row>
    <row r="244" spans="1:10" ht="13" x14ac:dyDescent="0.15">
      <c r="A244" s="4">
        <f ca="1">IFERROR(__xludf.DUMMYFUNCTION("""COMPUTED_VALUE"""),30535203)</f>
        <v>30535203</v>
      </c>
      <c r="B244" s="1" t="str">
        <f ca="1">IFERROR(__xludf.DUMMYFUNCTION("""COMPUTED_VALUE"""),"socjusticeadvocate@verizon.net")</f>
        <v>socjusticeadvocate@verizon.net</v>
      </c>
      <c r="C244" s="4" t="str">
        <f ca="1">IFERROR(__xludf.DUMMYFUNCTION("""COMPUTED_VALUE"""),"EVERGREEN - UAN Gated Content - Embedded Petition")</f>
        <v>EVERGREEN - UAN Gated Content - Embedded Petition</v>
      </c>
      <c r="D244" s="5">
        <f ca="1">IFERROR(__xludf.DUMMYFUNCTION("""COMPUTED_VALUE"""),45682)</f>
        <v>45682</v>
      </c>
      <c r="F244" s="1" t="str">
        <f ca="1">IFERROR(__xludf.DUMMYFUNCTION("""COMPUTED_VALUE"""),"Venezuela")</f>
        <v>Venezuela</v>
      </c>
      <c r="G244" s="1" t="str">
        <f ca="1">IFERROR(__xludf.DUMMYFUNCTION("""COMPUTED_VALUE"""),"97.24 Venezuela")</f>
        <v>97.24 Venezuela</v>
      </c>
      <c r="H244" s="1" t="str">
        <f ca="1">IFERROR(__xludf.DUMMYFUNCTION("""COMPUTED_VALUE"""),"Freedom of Expression")</f>
        <v>Freedom of Expression</v>
      </c>
      <c r="I244" s="1" t="str">
        <f ca="1">IFERROR(__xludf.DUMMYFUNCTION("""COMPUTED_VALUE"""),"2024")</f>
        <v>2024</v>
      </c>
      <c r="J244" s="1" t="str">
        <f ca="1">IFERROR(__xludf.DUMMYFUNCTION("""COMPUTED_VALUE"""),"Letter")</f>
        <v>Letter</v>
      </c>
    </row>
    <row r="245" spans="1:10" ht="13" x14ac:dyDescent="0.15">
      <c r="A245" s="4">
        <f ca="1">IFERROR(__xludf.DUMMYFUNCTION("""COMPUTED_VALUE"""),30535203)</f>
        <v>30535203</v>
      </c>
      <c r="B245" s="1" t="str">
        <f ca="1">IFERROR(__xludf.DUMMYFUNCTION("""COMPUTED_VALUE"""),"socjusticeadvocate@verizon.net")</f>
        <v>socjusticeadvocate@verizon.net</v>
      </c>
      <c r="C245" s="4" t="str">
        <f ca="1">IFERROR(__xludf.DUMMYFUNCTION("""COMPUTED_VALUE"""),"EVERGREEN - UAN Gated Content - Embedded Petition")</f>
        <v>EVERGREEN - UAN Gated Content - Embedded Petition</v>
      </c>
      <c r="D245" s="5">
        <f ca="1">IFERROR(__xludf.DUMMYFUNCTION("""COMPUTED_VALUE"""),45682)</f>
        <v>45682</v>
      </c>
      <c r="F245" s="1" t="str">
        <f ca="1">IFERROR(__xludf.DUMMYFUNCTION("""COMPUTED_VALUE"""),"USA")</f>
        <v>USA</v>
      </c>
      <c r="G245" s="1" t="str">
        <f ca="1">IFERROR(__xludf.DUMMYFUNCTION("""COMPUTED_VALUE"""),"105.24 USA")</f>
        <v>105.24 USA</v>
      </c>
      <c r="H245" s="1" t="str">
        <f ca="1">IFERROR(__xludf.DUMMYFUNCTION("""COMPUTED_VALUE"""),"Death Penalty")</f>
        <v>Death Penalty</v>
      </c>
      <c r="I245" s="1" t="str">
        <f ca="1">IFERROR(__xludf.DUMMYFUNCTION("""COMPUTED_VALUE"""),"2024")</f>
        <v>2024</v>
      </c>
      <c r="J245" s="1" t="str">
        <f ca="1">IFERROR(__xludf.DUMMYFUNCTION("""COMPUTED_VALUE"""),"Email")</f>
        <v>Email</v>
      </c>
    </row>
    <row r="246" spans="1:10" ht="13" x14ac:dyDescent="0.15">
      <c r="A246" s="4">
        <f ca="1">IFERROR(__xludf.DUMMYFUNCTION("""COMPUTED_VALUE"""),30536447)</f>
        <v>30536447</v>
      </c>
      <c r="B246" s="1" t="str">
        <f ca="1">IFERROR(__xludf.DUMMYFUNCTION("""COMPUTED_VALUE"""),"adbowesdmd@gmail.com")</f>
        <v>adbowesdmd@gmail.com</v>
      </c>
      <c r="C246" s="4" t="str">
        <f ca="1">IFERROR(__xludf.DUMMYFUNCTION("""COMPUTED_VALUE"""),"EVERGREEN - UAN Gated Content - Embedded Petition")</f>
        <v>EVERGREEN - UAN Gated Content - Embedded Petition</v>
      </c>
      <c r="D246" s="5">
        <f ca="1">IFERROR(__xludf.DUMMYFUNCTION("""COMPUTED_VALUE"""),45637)</f>
        <v>45637</v>
      </c>
      <c r="F246" s="1" t="str">
        <f ca="1">IFERROR(__xludf.DUMMYFUNCTION("""COMPUTED_VALUE"""),"Venezuela")</f>
        <v>Venezuela</v>
      </c>
      <c r="G246" s="1" t="str">
        <f ca="1">IFERROR(__xludf.DUMMYFUNCTION("""COMPUTED_VALUE"""),"97.24 Venezuela")</f>
        <v>97.24 Venezuela</v>
      </c>
      <c r="H246" s="1" t="str">
        <f ca="1">IFERROR(__xludf.DUMMYFUNCTION("""COMPUTED_VALUE"""),"Freedom of Expression")</f>
        <v>Freedom of Expression</v>
      </c>
      <c r="I246" s="1" t="str">
        <f ca="1">IFERROR(__xludf.DUMMYFUNCTION("""COMPUTED_VALUE"""),"2024")</f>
        <v>2024</v>
      </c>
      <c r="J246" s="1" t="str">
        <f ca="1">IFERROR(__xludf.DUMMYFUNCTION("""COMPUTED_VALUE"""),"Letter")</f>
        <v>Letter</v>
      </c>
    </row>
    <row r="247" spans="1:10" ht="13" x14ac:dyDescent="0.15">
      <c r="A247" s="4">
        <f ca="1">IFERROR(__xludf.DUMMYFUNCTION("""COMPUTED_VALUE"""),30536447)</f>
        <v>30536447</v>
      </c>
      <c r="B247" s="1" t="str">
        <f ca="1">IFERROR(__xludf.DUMMYFUNCTION("""COMPUTED_VALUE"""),"adbowesdmd@gmail.com")</f>
        <v>adbowesdmd@gmail.com</v>
      </c>
      <c r="C247" s="4" t="str">
        <f ca="1">IFERROR(__xludf.DUMMYFUNCTION("""COMPUTED_VALUE"""),"EVERGREEN - UAN Gated Content - Embedded Petition")</f>
        <v>EVERGREEN - UAN Gated Content - Embedded Petition</v>
      </c>
      <c r="D247" s="5">
        <f ca="1">IFERROR(__xludf.DUMMYFUNCTION("""COMPUTED_VALUE"""),45637)</f>
        <v>45637</v>
      </c>
      <c r="F247" s="1" t="str">
        <f ca="1">IFERROR(__xludf.DUMMYFUNCTION("""COMPUTED_VALUE"""),"Iran")</f>
        <v>Iran</v>
      </c>
      <c r="G247" s="1" t="str">
        <f ca="1">IFERROR(__xludf.DUMMYFUNCTION("""COMPUTED_VALUE"""),"Seventh 103.22 Iran")</f>
        <v>Seventh 103.22 Iran</v>
      </c>
      <c r="H247" s="1" t="str">
        <f ca="1">IFERROR(__xludf.DUMMYFUNCTION("""COMPUTED_VALUE"""),"Death Penalty, Freedom of Expression, Individuals At Risk")</f>
        <v>Death Penalty, Freedom of Expression, Individuals At Risk</v>
      </c>
      <c r="I247" s="1" t="str">
        <f ca="1">IFERROR(__xludf.DUMMYFUNCTION("""COMPUTED_VALUE"""),"2024")</f>
        <v>2024</v>
      </c>
      <c r="J247" s="1" t="str">
        <f ca="1">IFERROR(__xludf.DUMMYFUNCTION("""COMPUTED_VALUE"""),"Email")</f>
        <v>Email</v>
      </c>
    </row>
    <row r="248" spans="1:10" ht="13" x14ac:dyDescent="0.15">
      <c r="A248" s="4">
        <f ca="1">IFERROR(__xludf.DUMMYFUNCTION("""COMPUTED_VALUE"""),30536447)</f>
        <v>30536447</v>
      </c>
      <c r="B248" s="1" t="str">
        <f ca="1">IFERROR(__xludf.DUMMYFUNCTION("""COMPUTED_VALUE"""),"adbowesdmd@gmail.com")</f>
        <v>adbowesdmd@gmail.com</v>
      </c>
      <c r="C248" s="4" t="str">
        <f ca="1">IFERROR(__xludf.DUMMYFUNCTION("""COMPUTED_VALUE"""),"EVERGREEN - UAN Gated Content - Embedded Petition")</f>
        <v>EVERGREEN - UAN Gated Content - Embedded Petition</v>
      </c>
      <c r="D248" s="5">
        <f ca="1">IFERROR(__xludf.DUMMYFUNCTION("""COMPUTED_VALUE"""),45637)</f>
        <v>45637</v>
      </c>
      <c r="F248" s="1" t="str">
        <f ca="1">IFERROR(__xludf.DUMMYFUNCTION("""COMPUTED_VALUE"""),"Tunisia")</f>
        <v>Tunisia</v>
      </c>
      <c r="G248" s="1" t="str">
        <f ca="1">IFERROR(__xludf.DUMMYFUNCTION("""COMPUTED_VALUE"""),"Second 76.24 Tunisia")</f>
        <v>Second 76.24 Tunisia</v>
      </c>
      <c r="H248" s="1" t="str">
        <f ca="1">IFERROR(__xludf.DUMMYFUNCTION("""COMPUTED_VALUE"""),"Freedom of Expression, Human Rights Defenders")</f>
        <v>Freedom of Expression, Human Rights Defenders</v>
      </c>
      <c r="I248" s="1" t="str">
        <f ca="1">IFERROR(__xludf.DUMMYFUNCTION("""COMPUTED_VALUE"""),"2025")</f>
        <v>2025</v>
      </c>
      <c r="J248" s="1" t="str">
        <f ca="1">IFERROR(__xludf.DUMMYFUNCTION("""COMPUTED_VALUE"""),"Email")</f>
        <v>Email</v>
      </c>
    </row>
    <row r="249" spans="1:10" ht="13" x14ac:dyDescent="0.15">
      <c r="A249" s="4">
        <f ca="1">IFERROR(__xludf.DUMMYFUNCTION("""COMPUTED_VALUE"""),30536447)</f>
        <v>30536447</v>
      </c>
      <c r="B249" s="1" t="str">
        <f ca="1">IFERROR(__xludf.DUMMYFUNCTION("""COMPUTED_VALUE"""),"adbowesdmd@gmail.com")</f>
        <v>adbowesdmd@gmail.com</v>
      </c>
      <c r="C249" s="4" t="str">
        <f ca="1">IFERROR(__xludf.DUMMYFUNCTION("""COMPUTED_VALUE"""),"EVERGREEN - UAN Gated Content - Embedded Petition")</f>
        <v>EVERGREEN - UAN Gated Content - Embedded Petition</v>
      </c>
      <c r="D249" s="5">
        <f ca="1">IFERROR(__xludf.DUMMYFUNCTION("""COMPUTED_VALUE"""),45637)</f>
        <v>45637</v>
      </c>
      <c r="F249" s="1" t="str">
        <f ca="1">IFERROR(__xludf.DUMMYFUNCTION("""COMPUTED_VALUE"""),"Tunisia")</f>
        <v>Tunisia</v>
      </c>
      <c r="G249" s="1" t="str">
        <f ca="1">IFERROR(__xludf.DUMMYFUNCTION("""COMPUTED_VALUE"""),"Second 76.24 Tunisia")</f>
        <v>Second 76.24 Tunisia</v>
      </c>
      <c r="H249" s="1" t="str">
        <f ca="1">IFERROR(__xludf.DUMMYFUNCTION("""COMPUTED_VALUE"""),"Freedom of Expression, Human Rights Defenders")</f>
        <v>Freedom of Expression, Human Rights Defenders</v>
      </c>
      <c r="I249" s="1" t="str">
        <f ca="1">IFERROR(__xludf.DUMMYFUNCTION("""COMPUTED_VALUE"""),"2025")</f>
        <v>2025</v>
      </c>
      <c r="J249" s="1" t="str">
        <f ca="1">IFERROR(__xludf.DUMMYFUNCTION("""COMPUTED_VALUE"""),"Email")</f>
        <v>Email</v>
      </c>
    </row>
    <row r="250" spans="1:10" ht="13" x14ac:dyDescent="0.15">
      <c r="A250" s="4">
        <f ca="1">IFERROR(__xludf.DUMMYFUNCTION("""COMPUTED_VALUE"""),30536447)</f>
        <v>30536447</v>
      </c>
      <c r="B250" s="1" t="str">
        <f ca="1">IFERROR(__xludf.DUMMYFUNCTION("""COMPUTED_VALUE"""),"adbowesdmd@gmail.com")</f>
        <v>adbowesdmd@gmail.com</v>
      </c>
      <c r="C250" s="4" t="str">
        <f ca="1">IFERROR(__xludf.DUMMYFUNCTION("""COMPUTED_VALUE"""),"EVERGREEN - UAN Gated Content - Embedded Petition")</f>
        <v>EVERGREEN - UAN Gated Content - Embedded Petition</v>
      </c>
      <c r="D250" s="5">
        <f ca="1">IFERROR(__xludf.DUMMYFUNCTION("""COMPUTED_VALUE"""),45637)</f>
        <v>45637</v>
      </c>
      <c r="F250" s="1" t="str">
        <f ca="1">IFERROR(__xludf.DUMMYFUNCTION("""COMPUTED_VALUE"""),"Dominican Republic")</f>
        <v>Dominican Republic</v>
      </c>
      <c r="G250" s="1" t="str">
        <f ca="1">IFERROR(__xludf.DUMMYFUNCTION("""COMPUTED_VALUE"""),"88.24 Dominican Republic")</f>
        <v>88.24 Dominican Republic</v>
      </c>
      <c r="H250" s="1" t="str">
        <f ca="1">IFERROR(__xludf.DUMMYFUNCTION("""COMPUTED_VALUE"""),"Individuals At Risk, Refugee and Migrant Rights")</f>
        <v>Individuals At Risk, Refugee and Migrant Rights</v>
      </c>
      <c r="I250" s="1" t="str">
        <f ca="1">IFERROR(__xludf.DUMMYFUNCTION("""COMPUTED_VALUE"""),"2024")</f>
        <v>2024</v>
      </c>
      <c r="J250" s="1" t="str">
        <f ca="1">IFERROR(__xludf.DUMMYFUNCTION("""COMPUTED_VALUE"""),"Letter")</f>
        <v>Letter</v>
      </c>
    </row>
    <row r="251" spans="1:10" ht="13" x14ac:dyDescent="0.15">
      <c r="A251" s="4">
        <f ca="1">IFERROR(__xludf.DUMMYFUNCTION("""COMPUTED_VALUE"""),30536447)</f>
        <v>30536447</v>
      </c>
      <c r="B251" s="1" t="str">
        <f ca="1">IFERROR(__xludf.DUMMYFUNCTION("""COMPUTED_VALUE"""),"adbowesdmd@gmail.com")</f>
        <v>adbowesdmd@gmail.com</v>
      </c>
      <c r="C251" s="4" t="str">
        <f ca="1">IFERROR(__xludf.DUMMYFUNCTION("""COMPUTED_VALUE"""),"EVERGREEN - UAN Gated Content - Embedded Petition")</f>
        <v>EVERGREEN - UAN Gated Content - Embedded Petition</v>
      </c>
      <c r="D251" s="5">
        <f ca="1">IFERROR(__xludf.DUMMYFUNCTION("""COMPUTED_VALUE"""),45637)</f>
        <v>45637</v>
      </c>
      <c r="F251" s="1" t="str">
        <f ca="1">IFERROR(__xludf.DUMMYFUNCTION("""COMPUTED_VALUE"""),"Azerbaijan")</f>
        <v>Azerbaijan</v>
      </c>
      <c r="G251" s="1" t="str">
        <f ca="1">IFERROR(__xludf.DUMMYFUNCTION("""COMPUTED_VALUE"""),"2.25 Azerbaijan")</f>
        <v>2.25 Azerbaijan</v>
      </c>
      <c r="H251" s="1" t="str">
        <f ca="1">IFERROR(__xludf.DUMMYFUNCTION("""COMPUTED_VALUE"""),"Freedom of Expression, Human Rights Defenders")</f>
        <v>Freedom of Expression, Human Rights Defenders</v>
      </c>
      <c r="I251" s="1" t="str">
        <f ca="1">IFERROR(__xludf.DUMMYFUNCTION("""COMPUTED_VALUE"""),"2025")</f>
        <v>2025</v>
      </c>
      <c r="J251" s="1" t="str">
        <f ca="1">IFERROR(__xludf.DUMMYFUNCTION("""COMPUTED_VALUE"""),"Email")</f>
        <v>Email</v>
      </c>
    </row>
    <row r="252" spans="1:10" ht="13" x14ac:dyDescent="0.15">
      <c r="A252" s="4">
        <f ca="1">IFERROR(__xludf.DUMMYFUNCTION("""COMPUTED_VALUE"""),30536447)</f>
        <v>30536447</v>
      </c>
      <c r="B252" s="1" t="str">
        <f ca="1">IFERROR(__xludf.DUMMYFUNCTION("""COMPUTED_VALUE"""),"adbowesdmd@gmail.com")</f>
        <v>adbowesdmd@gmail.com</v>
      </c>
      <c r="C252" s="4" t="str">
        <f ca="1">IFERROR(__xludf.DUMMYFUNCTION("""COMPUTED_VALUE"""),"EVERGREEN - UAN Gated Content - Embedded Petition")</f>
        <v>EVERGREEN - UAN Gated Content - Embedded Petition</v>
      </c>
      <c r="D252" s="5">
        <f ca="1">IFERROR(__xludf.DUMMYFUNCTION("""COMPUTED_VALUE"""),45637)</f>
        <v>45637</v>
      </c>
      <c r="F252" s="1" t="str">
        <f ca="1">IFERROR(__xludf.DUMMYFUNCTION("""COMPUTED_VALUE"""),"Venezuela")</f>
        <v>Venezuela</v>
      </c>
      <c r="G252" s="1" t="str">
        <f ca="1">IFERROR(__xludf.DUMMYFUNCTION("""COMPUTED_VALUE"""),"1.25 Venezuela")</f>
        <v>1.25 Venezuela</v>
      </c>
      <c r="H252" s="1" t="str">
        <f ca="1">IFERROR(__xludf.DUMMYFUNCTION("""COMPUTED_VALUE"""),"Human Rights Defenders, Individuals At Risk")</f>
        <v>Human Rights Defenders, Individuals At Risk</v>
      </c>
      <c r="I252" s="1" t="str">
        <f ca="1">IFERROR(__xludf.DUMMYFUNCTION("""COMPUTED_VALUE"""),"2025")</f>
        <v>2025</v>
      </c>
      <c r="J252" s="1" t="str">
        <f ca="1">IFERROR(__xludf.DUMMYFUNCTION("""COMPUTED_VALUE"""),"Letter")</f>
        <v>Letter</v>
      </c>
    </row>
    <row r="253" spans="1:10" ht="13" x14ac:dyDescent="0.15">
      <c r="A253" s="4">
        <f ca="1">IFERROR(__xludf.DUMMYFUNCTION("""COMPUTED_VALUE"""),30536447)</f>
        <v>30536447</v>
      </c>
      <c r="B253" s="1" t="str">
        <f ca="1">IFERROR(__xludf.DUMMYFUNCTION("""COMPUTED_VALUE"""),"adbowesdmd@gmail.com")</f>
        <v>adbowesdmd@gmail.com</v>
      </c>
      <c r="C253" s="4" t="str">
        <f ca="1">IFERROR(__xludf.DUMMYFUNCTION("""COMPUTED_VALUE"""),"EVERGREEN - UAN Gated Content - Embedded Petition")</f>
        <v>EVERGREEN - UAN Gated Content - Embedded Petition</v>
      </c>
      <c r="D253" s="5">
        <f ca="1">IFERROR(__xludf.DUMMYFUNCTION("""COMPUTED_VALUE"""),45637)</f>
        <v>45637</v>
      </c>
      <c r="F253" s="1" t="str">
        <f ca="1">IFERROR(__xludf.DUMMYFUNCTION("""COMPUTED_VALUE"""),"Iran")</f>
        <v>Iran</v>
      </c>
      <c r="G253" s="1" t="str">
        <f ca="1">IFERROR(__xludf.DUMMYFUNCTION("""COMPUTED_VALUE"""),"Seventh 103.22 Iran")</f>
        <v>Seventh 103.22 Iran</v>
      </c>
      <c r="H253" s="1" t="str">
        <f ca="1">IFERROR(__xludf.DUMMYFUNCTION("""COMPUTED_VALUE"""),"Death Penalty, Freedom of Expression, Individuals At Risk")</f>
        <v>Death Penalty, Freedom of Expression, Individuals At Risk</v>
      </c>
      <c r="I253" s="1" t="str">
        <f ca="1">IFERROR(__xludf.DUMMYFUNCTION("""COMPUTED_VALUE"""),"2024")</f>
        <v>2024</v>
      </c>
      <c r="J253" s="1" t="str">
        <f ca="1">IFERROR(__xludf.DUMMYFUNCTION("""COMPUTED_VALUE"""),"Email")</f>
        <v>Email</v>
      </c>
    </row>
    <row r="254" spans="1:10" ht="13" x14ac:dyDescent="0.15">
      <c r="A254" s="4">
        <f ca="1">IFERROR(__xludf.DUMMYFUNCTION("""COMPUTED_VALUE"""),30536447)</f>
        <v>30536447</v>
      </c>
      <c r="B254" s="1" t="str">
        <f ca="1">IFERROR(__xludf.DUMMYFUNCTION("""COMPUTED_VALUE"""),"adbowesdmd@gmail.com")</f>
        <v>adbowesdmd@gmail.com</v>
      </c>
      <c r="C254" s="4" t="str">
        <f ca="1">IFERROR(__xludf.DUMMYFUNCTION("""COMPUTED_VALUE"""),"EVERGREEN - UAN Gated Content - Embedded Petition")</f>
        <v>EVERGREEN - UAN Gated Content - Embedded Petition</v>
      </c>
      <c r="D254" s="5">
        <f ca="1">IFERROR(__xludf.DUMMYFUNCTION("""COMPUTED_VALUE"""),45694)</f>
        <v>45694</v>
      </c>
      <c r="F254" s="1" t="str">
        <f ca="1">IFERROR(__xludf.DUMMYFUNCTION("""COMPUTED_VALUE"""),"Niger")</f>
        <v>Niger</v>
      </c>
      <c r="G254" s="1" t="str">
        <f ca="1">IFERROR(__xludf.DUMMYFUNCTION("""COMPUTED_VALUE"""),"103.24 Niger")</f>
        <v>103.24 Niger</v>
      </c>
      <c r="H254" s="1" t="str">
        <f ca="1">IFERROR(__xludf.DUMMYFUNCTION("""COMPUTED_VALUE"""),"Freedom of Expression, Human Rights Defenders")</f>
        <v>Freedom of Expression, Human Rights Defenders</v>
      </c>
      <c r="I254" s="1" t="str">
        <f ca="1">IFERROR(__xludf.DUMMYFUNCTION("""COMPUTED_VALUE"""),"2024")</f>
        <v>2024</v>
      </c>
      <c r="J254" s="1" t="str">
        <f ca="1">IFERROR(__xludf.DUMMYFUNCTION("""COMPUTED_VALUE"""),"Email")</f>
        <v>Email</v>
      </c>
    </row>
    <row r="255" spans="1:10" ht="13" x14ac:dyDescent="0.15">
      <c r="A255" s="4">
        <f ca="1">IFERROR(__xludf.DUMMYFUNCTION("""COMPUTED_VALUE"""),30538014)</f>
        <v>30538014</v>
      </c>
      <c r="B255" s="1" t="str">
        <f ca="1">IFERROR(__xludf.DUMMYFUNCTION("""COMPUTED_VALUE"""),"earthangel@riousa.com")</f>
        <v>earthangel@riousa.com</v>
      </c>
      <c r="C255" s="4" t="str">
        <f ca="1">IFERROR(__xludf.DUMMYFUNCTION("""COMPUTED_VALUE"""),"EVERGREEN - UAN Gated Content - Embedded Petition")</f>
        <v>EVERGREEN - UAN Gated Content - Embedded Petition</v>
      </c>
      <c r="D255" s="5">
        <f ca="1">IFERROR(__xludf.DUMMYFUNCTION("""COMPUTED_VALUE"""),45694)</f>
        <v>45694</v>
      </c>
      <c r="F255" s="1" t="str">
        <f ca="1">IFERROR(__xludf.DUMMYFUNCTION("""COMPUTED_VALUE"""),"Egypt")</f>
        <v>Egypt</v>
      </c>
      <c r="G255" s="1" t="str">
        <f ca="1">IFERROR(__xludf.DUMMYFUNCTION("""COMPUTED_VALUE"""),"Ninth 190.18 Egypt")</f>
        <v>Ninth 190.18 Egypt</v>
      </c>
      <c r="H255" s="1" t="str">
        <f ca="1">IFERROR(__xludf.DUMMYFUNCTION("""COMPUTED_VALUE"""),"Freedom of Expression, Individuals At Risk")</f>
        <v>Freedom of Expression, Individuals At Risk</v>
      </c>
      <c r="I255" s="1" t="str">
        <f ca="1">IFERROR(__xludf.DUMMYFUNCTION("""COMPUTED_VALUE"""),"2024")</f>
        <v>2024</v>
      </c>
      <c r="J255" s="1" t="str">
        <f ca="1">IFERROR(__xludf.DUMMYFUNCTION("""COMPUTED_VALUE"""),"Letter")</f>
        <v>Letter</v>
      </c>
    </row>
    <row r="256" spans="1:10" ht="13" x14ac:dyDescent="0.15">
      <c r="A256" s="4">
        <f ca="1">IFERROR(__xludf.DUMMYFUNCTION("""COMPUTED_VALUE"""),30538014)</f>
        <v>30538014</v>
      </c>
      <c r="B256" s="1" t="str">
        <f ca="1">IFERROR(__xludf.DUMMYFUNCTION("""COMPUTED_VALUE"""),"earthangel@riousa.com")</f>
        <v>earthangel@riousa.com</v>
      </c>
      <c r="C256" s="4" t="str">
        <f ca="1">IFERROR(__xludf.DUMMYFUNCTION("""COMPUTED_VALUE"""),"EVERGREEN - UAN Gated Content - Embedded Petition")</f>
        <v>EVERGREEN - UAN Gated Content - Embedded Petition</v>
      </c>
      <c r="D256" s="5">
        <f ca="1">IFERROR(__xludf.DUMMYFUNCTION("""COMPUTED_VALUE"""),45636)</f>
        <v>45636</v>
      </c>
      <c r="F256" s="1" t="str">
        <f ca="1">IFERROR(__xludf.DUMMYFUNCTION("""COMPUTED_VALUE"""),"Saudi Arabia")</f>
        <v>Saudi Arabia</v>
      </c>
      <c r="G256" s="1" t="str">
        <f ca="1">IFERROR(__xludf.DUMMYFUNCTION("""COMPUTED_VALUE"""),"Fifth 257.12")</f>
        <v>Fifth 257.12</v>
      </c>
      <c r="H256" s="1" t="str">
        <f ca="1">IFERROR(__xludf.DUMMYFUNCTION("""COMPUTED_VALUE"""),"Freedom of Expression, Human Rights Defenders")</f>
        <v>Freedom of Expression, Human Rights Defenders</v>
      </c>
      <c r="I256" s="1" t="str">
        <f ca="1">IFERROR(__xludf.DUMMYFUNCTION("""COMPUTED_VALUE"""),"2025")</f>
        <v>2025</v>
      </c>
      <c r="J256" s="1" t="str">
        <f ca="1">IFERROR(__xludf.DUMMYFUNCTION("""COMPUTED_VALUE"""),"Email")</f>
        <v>Email</v>
      </c>
    </row>
    <row r="257" spans="1:10" ht="13" x14ac:dyDescent="0.15">
      <c r="A257" s="4">
        <f ca="1">IFERROR(__xludf.DUMMYFUNCTION("""COMPUTED_VALUE"""),30542712)</f>
        <v>30542712</v>
      </c>
      <c r="B257" s="1" t="str">
        <f ca="1">IFERROR(__xludf.DUMMYFUNCTION("""COMPUTED_VALUE"""),"tom_g_zeller@yahoo.com")</f>
        <v>tom_g_zeller@yahoo.com</v>
      </c>
      <c r="C257" s="4" t="str">
        <f ca="1">IFERROR(__xludf.DUMMYFUNCTION("""COMPUTED_VALUE"""),"EVERGREEN - UAN Gated Content - Embedded Petition")</f>
        <v>EVERGREEN - UAN Gated Content - Embedded Petition</v>
      </c>
      <c r="D257" s="5">
        <f ca="1">IFERROR(__xludf.DUMMYFUNCTION("""COMPUTED_VALUE"""),45676)</f>
        <v>45676</v>
      </c>
      <c r="F257" s="1" t="str">
        <f ca="1">IFERROR(__xludf.DUMMYFUNCTION("""COMPUTED_VALUE"""),"Libya")</f>
        <v>Libya</v>
      </c>
      <c r="G257" s="1" t="str">
        <f ca="1">IFERROR(__xludf.DUMMYFUNCTION("""COMPUTED_VALUE"""),"12.25 Libya")</f>
        <v>12.25 Libya</v>
      </c>
      <c r="H257" s="1" t="str">
        <f ca="1">IFERROR(__xludf.DUMMYFUNCTION("""COMPUTED_VALUE"""),"Freedom of Expression, Health, Individuals At Risk")</f>
        <v>Freedom of Expression, Health, Individuals At Risk</v>
      </c>
      <c r="I257" s="1" t="str">
        <f ca="1">IFERROR(__xludf.DUMMYFUNCTION("""COMPUTED_VALUE"""),"2025")</f>
        <v>2025</v>
      </c>
      <c r="J257" s="1" t="str">
        <f ca="1">IFERROR(__xludf.DUMMYFUNCTION("""COMPUTED_VALUE"""),"Email")</f>
        <v>Email</v>
      </c>
    </row>
    <row r="258" spans="1:10" ht="13" x14ac:dyDescent="0.15">
      <c r="A258" s="4">
        <f ca="1">IFERROR(__xludf.DUMMYFUNCTION("""COMPUTED_VALUE"""),30542712)</f>
        <v>30542712</v>
      </c>
      <c r="B258" s="1" t="str">
        <f ca="1">IFERROR(__xludf.DUMMYFUNCTION("""COMPUTED_VALUE"""),"tom_g_zeller@yahoo.com")</f>
        <v>tom_g_zeller@yahoo.com</v>
      </c>
      <c r="C258" s="4" t="str">
        <f ca="1">IFERROR(__xludf.DUMMYFUNCTION("""COMPUTED_VALUE"""),"EVERGREEN - UAN Gated Content - Embedded Petition")</f>
        <v>EVERGREEN - UAN Gated Content - Embedded Petition</v>
      </c>
      <c r="D258" s="5">
        <f ca="1">IFERROR(__xludf.DUMMYFUNCTION("""COMPUTED_VALUE"""),45694)</f>
        <v>45694</v>
      </c>
      <c r="F258" s="1" t="str">
        <f ca="1">IFERROR(__xludf.DUMMYFUNCTION("""COMPUTED_VALUE"""),"Libya")</f>
        <v>Libya</v>
      </c>
      <c r="G258" s="1" t="str">
        <f ca="1">IFERROR(__xludf.DUMMYFUNCTION("""COMPUTED_VALUE"""),"12.25 Libya")</f>
        <v>12.25 Libya</v>
      </c>
      <c r="H258" s="1" t="str">
        <f ca="1">IFERROR(__xludf.DUMMYFUNCTION("""COMPUTED_VALUE"""),"Freedom of Expression, Health, Individuals At Risk")</f>
        <v>Freedom of Expression, Health, Individuals At Risk</v>
      </c>
      <c r="I258" s="1" t="str">
        <f ca="1">IFERROR(__xludf.DUMMYFUNCTION("""COMPUTED_VALUE"""),"2025")</f>
        <v>2025</v>
      </c>
      <c r="J258" s="1" t="str">
        <f ca="1">IFERROR(__xludf.DUMMYFUNCTION("""COMPUTED_VALUE"""),"Email")</f>
        <v>Email</v>
      </c>
    </row>
    <row r="259" spans="1:10" ht="13" x14ac:dyDescent="0.15">
      <c r="A259" s="4">
        <f ca="1">IFERROR(__xludf.DUMMYFUNCTION("""COMPUTED_VALUE"""),30542898)</f>
        <v>30542898</v>
      </c>
      <c r="B259" s="1" t="str">
        <f ca="1">IFERROR(__xludf.DUMMYFUNCTION("""COMPUTED_VALUE"""),"maryrich@isunet.net")</f>
        <v>maryrich@isunet.net</v>
      </c>
      <c r="C259" s="4" t="str">
        <f ca="1">IFERROR(__xludf.DUMMYFUNCTION("""COMPUTED_VALUE"""),"EVERGREEN - UAN Gated Content - Embedded Petition")</f>
        <v>EVERGREEN - UAN Gated Content - Embedded Petition</v>
      </c>
      <c r="D259" s="5">
        <f ca="1">IFERROR(__xludf.DUMMYFUNCTION("""COMPUTED_VALUE"""),45696)</f>
        <v>45696</v>
      </c>
      <c r="F259" s="1" t="str">
        <f ca="1">IFERROR(__xludf.DUMMYFUNCTION("""COMPUTED_VALUE"""),"Iran")</f>
        <v>Iran</v>
      </c>
      <c r="G259" s="1" t="str">
        <f ca="1">IFERROR(__xludf.DUMMYFUNCTION("""COMPUTED_VALUE"""),"10.25 Iran")</f>
        <v>10.25 Iran</v>
      </c>
      <c r="H259" s="1" t="str">
        <f ca="1">IFERROR(__xludf.DUMMYFUNCTION("""COMPUTED_VALUE"""),"Death Penalty, Individuals At Risk")</f>
        <v>Death Penalty, Individuals At Risk</v>
      </c>
      <c r="I259" s="1" t="str">
        <f ca="1">IFERROR(__xludf.DUMMYFUNCTION("""COMPUTED_VALUE"""),"2025")</f>
        <v>2025</v>
      </c>
      <c r="J259" s="1" t="str">
        <f ca="1">IFERROR(__xludf.DUMMYFUNCTION("""COMPUTED_VALUE"""),"Email")</f>
        <v>Email</v>
      </c>
    </row>
    <row r="260" spans="1:10" ht="13" x14ac:dyDescent="0.15">
      <c r="A260" s="4">
        <f ca="1">IFERROR(__xludf.DUMMYFUNCTION("""COMPUTED_VALUE"""),30543128)</f>
        <v>30543128</v>
      </c>
      <c r="B260" s="1" t="str">
        <f ca="1">IFERROR(__xludf.DUMMYFUNCTION("""COMPUTED_VALUE"""),"dankoz29@gmail.com")</f>
        <v>dankoz29@gmail.com</v>
      </c>
      <c r="C260" s="4" t="str">
        <f ca="1">IFERROR(__xludf.DUMMYFUNCTION("""COMPUTED_VALUE"""),"EVERGREEN - UAN Gated Content - Embedded Petition")</f>
        <v>EVERGREEN - UAN Gated Content - Embedded Petition</v>
      </c>
      <c r="D260" s="5">
        <f ca="1">IFERROR(__xludf.DUMMYFUNCTION("""COMPUTED_VALUE"""),45694)</f>
        <v>45694</v>
      </c>
      <c r="F260" s="1" t="str">
        <f ca="1">IFERROR(__xludf.DUMMYFUNCTION("""COMPUTED_VALUE"""),"Egypt")</f>
        <v>Egypt</v>
      </c>
      <c r="G260" s="1" t="str">
        <f ca="1">IFERROR(__xludf.DUMMYFUNCTION("""COMPUTED_VALUE"""),"Second 80.23 Egypt")</f>
        <v>Second 80.23 Egypt</v>
      </c>
      <c r="H260" s="1" t="str">
        <f ca="1">IFERROR(__xludf.DUMMYFUNCTION("""COMPUTED_VALUE"""),"Health, Individuals At Risk")</f>
        <v>Health, Individuals At Risk</v>
      </c>
      <c r="I260" s="1" t="str">
        <f ca="1">IFERROR(__xludf.DUMMYFUNCTION("""COMPUTED_VALUE"""),"2025")</f>
        <v>2025</v>
      </c>
      <c r="J260" s="1" t="str">
        <f ca="1">IFERROR(__xludf.DUMMYFUNCTION("""COMPUTED_VALUE"""),"Email")</f>
        <v>Email</v>
      </c>
    </row>
    <row r="261" spans="1:10" ht="13" x14ac:dyDescent="0.15">
      <c r="A261" s="4">
        <f ca="1">IFERROR(__xludf.DUMMYFUNCTION("""COMPUTED_VALUE"""),30551431)</f>
        <v>30551431</v>
      </c>
      <c r="B261" s="1" t="str">
        <f ca="1">IFERROR(__xludf.DUMMYFUNCTION("""COMPUTED_VALUE"""),"ajanahadley@gmail.com")</f>
        <v>ajanahadley@gmail.com</v>
      </c>
      <c r="C261" s="4" t="str">
        <f ca="1">IFERROR(__xludf.DUMMYFUNCTION("""COMPUTED_VALUE"""),"EVERGREEN - UAN Gated Content - Embedded Petition")</f>
        <v>EVERGREEN - UAN Gated Content - Embedded Petition</v>
      </c>
      <c r="D261" s="5">
        <f ca="1">IFERROR(__xludf.DUMMYFUNCTION("""COMPUTED_VALUE"""),45674)</f>
        <v>45674</v>
      </c>
      <c r="F261" s="1" t="str">
        <f ca="1">IFERROR(__xludf.DUMMYFUNCTION("""COMPUTED_VALUE"""),"Egypt")</f>
        <v>Egypt</v>
      </c>
      <c r="G261" s="1" t="str">
        <f ca="1">IFERROR(__xludf.DUMMYFUNCTION("""COMPUTED_VALUE"""),"Second 80.23 Egypt")</f>
        <v>Second 80.23 Egypt</v>
      </c>
      <c r="H261" s="1" t="str">
        <f ca="1">IFERROR(__xludf.DUMMYFUNCTION("""COMPUTED_VALUE"""),"Health, Individuals At Risk")</f>
        <v>Health, Individuals At Risk</v>
      </c>
      <c r="I261" s="1" t="str">
        <f ca="1">IFERROR(__xludf.DUMMYFUNCTION("""COMPUTED_VALUE"""),"2025")</f>
        <v>2025</v>
      </c>
      <c r="J261" s="1" t="str">
        <f ca="1">IFERROR(__xludf.DUMMYFUNCTION("""COMPUTED_VALUE"""),"Email")</f>
        <v>Email</v>
      </c>
    </row>
    <row r="262" spans="1:10" ht="13" x14ac:dyDescent="0.15">
      <c r="A262" s="4">
        <f ca="1">IFERROR(__xludf.DUMMYFUNCTION("""COMPUTED_VALUE"""),30551431)</f>
        <v>30551431</v>
      </c>
      <c r="B262" s="1" t="str">
        <f ca="1">IFERROR(__xludf.DUMMYFUNCTION("""COMPUTED_VALUE"""),"ajanahadley@gmail.com")</f>
        <v>ajanahadley@gmail.com</v>
      </c>
      <c r="C262" s="4" t="str">
        <f ca="1">IFERROR(__xludf.DUMMYFUNCTION("""COMPUTED_VALUE"""),"EVERGREEN - UAN Gated Content - Embedded Petition")</f>
        <v>EVERGREEN - UAN Gated Content - Embedded Petition</v>
      </c>
      <c r="D262" s="5">
        <f ca="1">IFERROR(__xludf.DUMMYFUNCTION("""COMPUTED_VALUE"""),45674)</f>
        <v>45674</v>
      </c>
      <c r="F262" s="1" t="str">
        <f ca="1">IFERROR(__xludf.DUMMYFUNCTION("""COMPUTED_VALUE"""),"Iran")</f>
        <v>Iran</v>
      </c>
      <c r="G262" s="1" t="str">
        <f ca="1">IFERROR(__xludf.DUMMYFUNCTION("""COMPUTED_VALUE"""),"10.25 Iran")</f>
        <v>10.25 Iran</v>
      </c>
      <c r="H262" s="1" t="str">
        <f ca="1">IFERROR(__xludf.DUMMYFUNCTION("""COMPUTED_VALUE"""),"Death Penalty, Individuals At Risk")</f>
        <v>Death Penalty, Individuals At Risk</v>
      </c>
      <c r="I262" s="1" t="str">
        <f ca="1">IFERROR(__xludf.DUMMYFUNCTION("""COMPUTED_VALUE"""),"2025")</f>
        <v>2025</v>
      </c>
      <c r="J262" s="1" t="str">
        <f ca="1">IFERROR(__xludf.DUMMYFUNCTION("""COMPUTED_VALUE"""),"Email")</f>
        <v>Email</v>
      </c>
    </row>
    <row r="263" spans="1:10" ht="13" x14ac:dyDescent="0.15">
      <c r="A263" s="4">
        <f ca="1">IFERROR(__xludf.DUMMYFUNCTION("""COMPUTED_VALUE"""),30553214)</f>
        <v>30553214</v>
      </c>
      <c r="B263" s="1" t="str">
        <f ca="1">IFERROR(__xludf.DUMMYFUNCTION("""COMPUTED_VALUE"""),"g.holly.cq@gmail.com")</f>
        <v>g.holly.cq@gmail.com</v>
      </c>
      <c r="C263" s="4" t="str">
        <f ca="1">IFERROR(__xludf.DUMMYFUNCTION("""COMPUTED_VALUE"""),"EVERGREEN - UAN Gated Content - Embedded Petition")</f>
        <v>EVERGREEN - UAN Gated Content - Embedded Petition</v>
      </c>
      <c r="D263" s="5">
        <f ca="1">IFERROR(__xludf.DUMMYFUNCTION("""COMPUTED_VALUE"""),45677)</f>
        <v>45677</v>
      </c>
      <c r="F263" s="1" t="str">
        <f ca="1">IFERROR(__xludf.DUMMYFUNCTION("""COMPUTED_VALUE"""),"Libya")</f>
        <v>Libya</v>
      </c>
      <c r="G263" s="1" t="str">
        <f ca="1">IFERROR(__xludf.DUMMYFUNCTION("""COMPUTED_VALUE"""),"12.25 Libya")</f>
        <v>12.25 Libya</v>
      </c>
      <c r="H263" s="1" t="str">
        <f ca="1">IFERROR(__xludf.DUMMYFUNCTION("""COMPUTED_VALUE"""),"Freedom of Expression, Health, Individuals At Risk")</f>
        <v>Freedom of Expression, Health, Individuals At Risk</v>
      </c>
      <c r="I263" s="1" t="str">
        <f ca="1">IFERROR(__xludf.DUMMYFUNCTION("""COMPUTED_VALUE"""),"2025")</f>
        <v>2025</v>
      </c>
      <c r="J263" s="1" t="str">
        <f ca="1">IFERROR(__xludf.DUMMYFUNCTION("""COMPUTED_VALUE"""),"Email")</f>
        <v>Email</v>
      </c>
    </row>
    <row r="264" spans="1:10" ht="13" x14ac:dyDescent="0.15">
      <c r="A264" s="4">
        <f ca="1">IFERROR(__xludf.DUMMYFUNCTION("""COMPUTED_VALUE"""),30553214)</f>
        <v>30553214</v>
      </c>
      <c r="B264" s="1" t="str">
        <f ca="1">IFERROR(__xludf.DUMMYFUNCTION("""COMPUTED_VALUE"""),"g.holly.cq@gmail.com")</f>
        <v>g.holly.cq@gmail.com</v>
      </c>
      <c r="C264" s="4" t="str">
        <f ca="1">IFERROR(__xludf.DUMMYFUNCTION("""COMPUTED_VALUE"""),"EVERGREEN - UAN Gated Content - Embedded Petition")</f>
        <v>EVERGREEN - UAN Gated Content - Embedded Petition</v>
      </c>
      <c r="D264" s="5">
        <f ca="1">IFERROR(__xludf.DUMMYFUNCTION("""COMPUTED_VALUE"""),45636)</f>
        <v>45636</v>
      </c>
      <c r="F264" s="1" t="str">
        <f ca="1">IFERROR(__xludf.DUMMYFUNCTION("""COMPUTED_VALUE"""),"Tunisia")</f>
        <v>Tunisia</v>
      </c>
      <c r="G264" s="1" t="str">
        <f ca="1">IFERROR(__xludf.DUMMYFUNCTION("""COMPUTED_VALUE"""),"Second 76.24 Tunisia")</f>
        <v>Second 76.24 Tunisia</v>
      </c>
      <c r="H264" s="1" t="str">
        <f ca="1">IFERROR(__xludf.DUMMYFUNCTION("""COMPUTED_VALUE"""),"Freedom of Expression, Human Rights Defenders")</f>
        <v>Freedom of Expression, Human Rights Defenders</v>
      </c>
      <c r="I264" s="1" t="str">
        <f ca="1">IFERROR(__xludf.DUMMYFUNCTION("""COMPUTED_VALUE"""),"2025")</f>
        <v>2025</v>
      </c>
      <c r="J264" s="1" t="str">
        <f ca="1">IFERROR(__xludf.DUMMYFUNCTION("""COMPUTED_VALUE"""),"Email")</f>
        <v>Email</v>
      </c>
    </row>
    <row r="265" spans="1:10" ht="13" x14ac:dyDescent="0.15">
      <c r="A265" s="4">
        <f ca="1">IFERROR(__xludf.DUMMYFUNCTION("""COMPUTED_VALUE"""),30559409)</f>
        <v>30559409</v>
      </c>
      <c r="B265" s="1" t="str">
        <f ca="1">IFERROR(__xludf.DUMMYFUNCTION("""COMPUTED_VALUE"""),"jessica629@hotmail.com")</f>
        <v>jessica629@hotmail.com</v>
      </c>
      <c r="C265" s="4" t="str">
        <f ca="1">IFERROR(__xludf.DUMMYFUNCTION("""COMPUTED_VALUE"""),"EVERGREEN - UAN Gated Content - Embedded Petition")</f>
        <v>EVERGREEN - UAN Gated Content - Embedded Petition</v>
      </c>
      <c r="D265" s="5">
        <f ca="1">IFERROR(__xludf.DUMMYFUNCTION("""COMPUTED_VALUE"""),45684)</f>
        <v>45684</v>
      </c>
      <c r="F265" s="1" t="str">
        <f ca="1">IFERROR(__xludf.DUMMYFUNCTION("""COMPUTED_VALUE"""),"Dominican Republic")</f>
        <v>Dominican Republic</v>
      </c>
      <c r="G265" s="1" t="str">
        <f ca="1">IFERROR(__xludf.DUMMYFUNCTION("""COMPUTED_VALUE"""),"88.24 Dominican Republic")</f>
        <v>88.24 Dominican Republic</v>
      </c>
      <c r="H265" s="1" t="str">
        <f ca="1">IFERROR(__xludf.DUMMYFUNCTION("""COMPUTED_VALUE"""),"Individuals At Risk, Refugee and Migrant Rights")</f>
        <v>Individuals At Risk, Refugee and Migrant Rights</v>
      </c>
      <c r="I265" s="1" t="str">
        <f ca="1">IFERROR(__xludf.DUMMYFUNCTION("""COMPUTED_VALUE"""),"2024")</f>
        <v>2024</v>
      </c>
      <c r="J265" s="1" t="str">
        <f ca="1">IFERROR(__xludf.DUMMYFUNCTION("""COMPUTED_VALUE"""),"Letter")</f>
        <v>Letter</v>
      </c>
    </row>
    <row r="266" spans="1:10" ht="13" x14ac:dyDescent="0.15">
      <c r="A266" s="4">
        <f ca="1">IFERROR(__xludf.DUMMYFUNCTION("""COMPUTED_VALUE"""),30563115)</f>
        <v>30563115</v>
      </c>
      <c r="B266" s="1" t="str">
        <f ca="1">IFERROR(__xludf.DUMMYFUNCTION("""COMPUTED_VALUE"""),"matt@aps.org")</f>
        <v>matt@aps.org</v>
      </c>
      <c r="C266" s="4" t="str">
        <f ca="1">IFERROR(__xludf.DUMMYFUNCTION("""COMPUTED_VALUE"""),"EVERGREEN - UAN Gated Content - Embedded Petition")</f>
        <v>EVERGREEN - UAN Gated Content - Embedded Petition</v>
      </c>
      <c r="D266" s="5">
        <f ca="1">IFERROR(__xludf.DUMMYFUNCTION("""COMPUTED_VALUE"""),45694)</f>
        <v>45694</v>
      </c>
      <c r="F266" s="1" t="str">
        <f ca="1">IFERROR(__xludf.DUMMYFUNCTION("""COMPUTED_VALUE"""),"USA")</f>
        <v>USA</v>
      </c>
      <c r="G266" s="1" t="str">
        <f ca="1">IFERROR(__xludf.DUMMYFUNCTION("""COMPUTED_VALUE"""),"4.25 USA")</f>
        <v>4.25 USA</v>
      </c>
      <c r="H266" s="1" t="str">
        <f ca="1">IFERROR(__xludf.DUMMYFUNCTION("""COMPUTED_VALUE"""),"Individuals At Risk, Refugee and Migrant Rights")</f>
        <v>Individuals At Risk, Refugee and Migrant Rights</v>
      </c>
      <c r="I266" s="1" t="str">
        <f ca="1">IFERROR(__xludf.DUMMYFUNCTION("""COMPUTED_VALUE"""),"2025")</f>
        <v>2025</v>
      </c>
      <c r="J266" s="1" t="str">
        <f ca="1">IFERROR(__xludf.DUMMYFUNCTION("""COMPUTED_VALUE"""),"Letter")</f>
        <v>Letter</v>
      </c>
    </row>
    <row r="267" spans="1:10" ht="13" x14ac:dyDescent="0.15">
      <c r="A267" s="4">
        <f ca="1">IFERROR(__xludf.DUMMYFUNCTION("""COMPUTED_VALUE"""),30566725)</f>
        <v>30566725</v>
      </c>
      <c r="B267" s="1" t="str">
        <f ca="1">IFERROR(__xludf.DUMMYFUNCTION("""COMPUTED_VALUE"""),"edgracely@verizon.net")</f>
        <v>edgracely@verizon.net</v>
      </c>
      <c r="C267" s="4" t="str">
        <f ca="1">IFERROR(__xludf.DUMMYFUNCTION("""COMPUTED_VALUE"""),"EVERGREEN - UAN Gated Content - Embedded Petition")</f>
        <v>EVERGREEN - UAN Gated Content - Embedded Petition</v>
      </c>
      <c r="D267" s="5">
        <f ca="1">IFERROR(__xludf.DUMMYFUNCTION("""COMPUTED_VALUE"""),45624)</f>
        <v>45624</v>
      </c>
      <c r="F267" s="1" t="str">
        <f ca="1">IFERROR(__xludf.DUMMYFUNCTION("""COMPUTED_VALUE"""),"Venezuela")</f>
        <v>Venezuela</v>
      </c>
      <c r="G267" s="1" t="str">
        <f ca="1">IFERROR(__xludf.DUMMYFUNCTION("""COMPUTED_VALUE"""),"1.25 Venezuela")</f>
        <v>1.25 Venezuela</v>
      </c>
      <c r="H267" s="1" t="str">
        <f ca="1">IFERROR(__xludf.DUMMYFUNCTION("""COMPUTED_VALUE"""),"Human Rights Defenders, Individuals At Risk")</f>
        <v>Human Rights Defenders, Individuals At Risk</v>
      </c>
      <c r="I267" s="1" t="str">
        <f ca="1">IFERROR(__xludf.DUMMYFUNCTION("""COMPUTED_VALUE"""),"2025")</f>
        <v>2025</v>
      </c>
      <c r="J267" s="1" t="str">
        <f ca="1">IFERROR(__xludf.DUMMYFUNCTION("""COMPUTED_VALUE"""),"Letter")</f>
        <v>Letter</v>
      </c>
    </row>
    <row r="268" spans="1:10" ht="13" x14ac:dyDescent="0.15">
      <c r="A268" s="4">
        <f ca="1">IFERROR(__xludf.DUMMYFUNCTION("""COMPUTED_VALUE"""),30566725)</f>
        <v>30566725</v>
      </c>
      <c r="B268" s="1" t="str">
        <f ca="1">IFERROR(__xludf.DUMMYFUNCTION("""COMPUTED_VALUE"""),"edgracely@verizon.net")</f>
        <v>edgracely@verizon.net</v>
      </c>
      <c r="C268" s="4" t="str">
        <f ca="1">IFERROR(__xludf.DUMMYFUNCTION("""COMPUTED_VALUE"""),"EVERGREEN - UAN Gated Content - Embedded Petition")</f>
        <v>EVERGREEN - UAN Gated Content - Embedded Petition</v>
      </c>
      <c r="D268" s="5">
        <f ca="1">IFERROR(__xludf.DUMMYFUNCTION("""COMPUTED_VALUE"""),45624)</f>
        <v>45624</v>
      </c>
      <c r="F268" s="1" t="str">
        <f ca="1">IFERROR(__xludf.DUMMYFUNCTION("""COMPUTED_VALUE"""),"Venezuela")</f>
        <v>Venezuela</v>
      </c>
      <c r="G268" s="1" t="str">
        <f ca="1">IFERROR(__xludf.DUMMYFUNCTION("""COMPUTED_VALUE"""),"1.25 Venezuela")</f>
        <v>1.25 Venezuela</v>
      </c>
      <c r="H268" s="1" t="str">
        <f ca="1">IFERROR(__xludf.DUMMYFUNCTION("""COMPUTED_VALUE"""),"Human Rights Defenders, Individuals At Risk")</f>
        <v>Human Rights Defenders, Individuals At Risk</v>
      </c>
      <c r="I268" s="1" t="str">
        <f ca="1">IFERROR(__xludf.DUMMYFUNCTION("""COMPUTED_VALUE"""),"2025")</f>
        <v>2025</v>
      </c>
      <c r="J268" s="1" t="str">
        <f ca="1">IFERROR(__xludf.DUMMYFUNCTION("""COMPUTED_VALUE"""),"Letter")</f>
        <v>Letter</v>
      </c>
    </row>
    <row r="269" spans="1:10" ht="13" x14ac:dyDescent="0.15">
      <c r="A269" s="4">
        <f ca="1">IFERROR(__xludf.DUMMYFUNCTION("""COMPUTED_VALUE"""),30566725)</f>
        <v>30566725</v>
      </c>
      <c r="B269" s="1" t="str">
        <f ca="1">IFERROR(__xludf.DUMMYFUNCTION("""COMPUTED_VALUE"""),"edgracely@verizon.net")</f>
        <v>edgracely@verizon.net</v>
      </c>
      <c r="C269" s="4" t="str">
        <f ca="1">IFERROR(__xludf.DUMMYFUNCTION("""COMPUTED_VALUE"""),"EVERGREEN - UAN Gated Content - Embedded Petition")</f>
        <v>EVERGREEN - UAN Gated Content - Embedded Petition</v>
      </c>
      <c r="D269" s="5">
        <f ca="1">IFERROR(__xludf.DUMMYFUNCTION("""COMPUTED_VALUE"""),45651)</f>
        <v>45651</v>
      </c>
      <c r="F269" s="1" t="str">
        <f ca="1">IFERROR(__xludf.DUMMYFUNCTION("""COMPUTED_VALUE"""),"Egypt")</f>
        <v>Egypt</v>
      </c>
      <c r="G269" s="1" t="str">
        <f ca="1">IFERROR(__xludf.DUMMYFUNCTION("""COMPUTED_VALUE"""),"Ninth 190.18 Egypt")</f>
        <v>Ninth 190.18 Egypt</v>
      </c>
      <c r="H269" s="1" t="str">
        <f ca="1">IFERROR(__xludf.DUMMYFUNCTION("""COMPUTED_VALUE"""),"Freedom of Expression, Individuals At Risk")</f>
        <v>Freedom of Expression, Individuals At Risk</v>
      </c>
      <c r="I269" s="1" t="str">
        <f ca="1">IFERROR(__xludf.DUMMYFUNCTION("""COMPUTED_VALUE"""),"2024")</f>
        <v>2024</v>
      </c>
      <c r="J269" s="1" t="str">
        <f ca="1">IFERROR(__xludf.DUMMYFUNCTION("""COMPUTED_VALUE"""),"Letter")</f>
        <v>Letter</v>
      </c>
    </row>
    <row r="270" spans="1:10" ht="13" x14ac:dyDescent="0.15">
      <c r="A270" s="4">
        <f ca="1">IFERROR(__xludf.DUMMYFUNCTION("""COMPUTED_VALUE"""),30566725)</f>
        <v>30566725</v>
      </c>
      <c r="B270" s="1" t="str">
        <f ca="1">IFERROR(__xludf.DUMMYFUNCTION("""COMPUTED_VALUE"""),"edgracely@verizon.net")</f>
        <v>edgracely@verizon.net</v>
      </c>
      <c r="C270" s="4" t="str">
        <f ca="1">IFERROR(__xludf.DUMMYFUNCTION("""COMPUTED_VALUE"""),"EVERGREEN - UAN Gated Content - Embedded Petition")</f>
        <v>EVERGREEN - UAN Gated Content - Embedded Petition</v>
      </c>
      <c r="D270" s="5">
        <f ca="1">IFERROR(__xludf.DUMMYFUNCTION("""COMPUTED_VALUE"""),45641)</f>
        <v>45641</v>
      </c>
      <c r="F270" s="1" t="str">
        <f ca="1">IFERROR(__xludf.DUMMYFUNCTION("""COMPUTED_VALUE"""),"Egypt")</f>
        <v>Egypt</v>
      </c>
      <c r="G270" s="1" t="str">
        <f ca="1">IFERROR(__xludf.DUMMYFUNCTION("""COMPUTED_VALUE"""),"Ninth 190.18 Egypt")</f>
        <v>Ninth 190.18 Egypt</v>
      </c>
      <c r="H270" s="1" t="str">
        <f ca="1">IFERROR(__xludf.DUMMYFUNCTION("""COMPUTED_VALUE"""),"Freedom of Expression, Individuals At Risk")</f>
        <v>Freedom of Expression, Individuals At Risk</v>
      </c>
      <c r="I270" s="1" t="str">
        <f ca="1">IFERROR(__xludf.DUMMYFUNCTION("""COMPUTED_VALUE"""),"2024")</f>
        <v>2024</v>
      </c>
      <c r="J270" s="1" t="str">
        <f ca="1">IFERROR(__xludf.DUMMYFUNCTION("""COMPUTED_VALUE"""),"Letter")</f>
        <v>Letter</v>
      </c>
    </row>
    <row r="271" spans="1:10" ht="13" x14ac:dyDescent="0.15">
      <c r="A271" s="4">
        <f ca="1">IFERROR(__xludf.DUMMYFUNCTION("""COMPUTED_VALUE"""),30566725)</f>
        <v>30566725</v>
      </c>
      <c r="B271" s="1" t="str">
        <f ca="1">IFERROR(__xludf.DUMMYFUNCTION("""COMPUTED_VALUE"""),"edgracely@verizon.net")</f>
        <v>edgracely@verizon.net</v>
      </c>
      <c r="C271" s="4" t="str">
        <f ca="1">IFERROR(__xludf.DUMMYFUNCTION("""COMPUTED_VALUE"""),"EVERGREEN - UAN Gated Content - Embedded Petition")</f>
        <v>EVERGREEN - UAN Gated Content - Embedded Petition</v>
      </c>
      <c r="D271" s="5">
        <f ca="1">IFERROR(__xludf.DUMMYFUNCTION("""COMPUTED_VALUE"""),45641)</f>
        <v>45641</v>
      </c>
      <c r="F271" s="1" t="str">
        <f ca="1">IFERROR(__xludf.DUMMYFUNCTION("""COMPUTED_VALUE"""),"Niger")</f>
        <v>Niger</v>
      </c>
      <c r="G271" s="1" t="str">
        <f ca="1">IFERROR(__xludf.DUMMYFUNCTION("""COMPUTED_VALUE"""),"103.24 Niger")</f>
        <v>103.24 Niger</v>
      </c>
      <c r="H271" s="1" t="str">
        <f ca="1">IFERROR(__xludf.DUMMYFUNCTION("""COMPUTED_VALUE"""),"Freedom of Expression, Human Rights Defenders")</f>
        <v>Freedom of Expression, Human Rights Defenders</v>
      </c>
      <c r="I271" s="1" t="str">
        <f ca="1">IFERROR(__xludf.DUMMYFUNCTION("""COMPUTED_VALUE"""),"2024")</f>
        <v>2024</v>
      </c>
      <c r="J271" s="1" t="str">
        <f ca="1">IFERROR(__xludf.DUMMYFUNCTION("""COMPUTED_VALUE"""),"Email")</f>
        <v>Email</v>
      </c>
    </row>
    <row r="272" spans="1:10" ht="13" x14ac:dyDescent="0.15">
      <c r="A272" s="4">
        <f ca="1">IFERROR(__xludf.DUMMYFUNCTION("""COMPUTED_VALUE"""),30573656)</f>
        <v>30573656</v>
      </c>
      <c r="B272" s="1" t="str">
        <f ca="1">IFERROR(__xludf.DUMMYFUNCTION("""COMPUTED_VALUE"""),"eeebbb@aol.com")</f>
        <v>eeebbb@aol.com</v>
      </c>
      <c r="C272" s="4" t="str">
        <f ca="1">IFERROR(__xludf.DUMMYFUNCTION("""COMPUTED_VALUE"""),"EVERGREEN - UAN Gated Content - Embedded Petition")</f>
        <v>EVERGREEN - UAN Gated Content - Embedded Petition</v>
      </c>
      <c r="D272" s="5">
        <f ca="1">IFERROR(__xludf.DUMMYFUNCTION("""COMPUTED_VALUE"""),45674)</f>
        <v>45674</v>
      </c>
      <c r="F272" s="1" t="str">
        <f ca="1">IFERROR(__xludf.DUMMYFUNCTION("""COMPUTED_VALUE"""),"Egypt")</f>
        <v>Egypt</v>
      </c>
      <c r="G272" s="1" t="str">
        <f ca="1">IFERROR(__xludf.DUMMYFUNCTION("""COMPUTED_VALUE"""),"Ninth 190.18 Egypt")</f>
        <v>Ninth 190.18 Egypt</v>
      </c>
      <c r="H272" s="1" t="str">
        <f ca="1">IFERROR(__xludf.DUMMYFUNCTION("""COMPUTED_VALUE"""),"Freedom of Expression, Individuals At Risk")</f>
        <v>Freedom of Expression, Individuals At Risk</v>
      </c>
      <c r="I272" s="1" t="str">
        <f ca="1">IFERROR(__xludf.DUMMYFUNCTION("""COMPUTED_VALUE"""),"2024")</f>
        <v>2024</v>
      </c>
      <c r="J272" s="1" t="str">
        <f ca="1">IFERROR(__xludf.DUMMYFUNCTION("""COMPUTED_VALUE"""),"Letter")</f>
        <v>Letter</v>
      </c>
    </row>
    <row r="273" spans="1:10" ht="13" x14ac:dyDescent="0.15">
      <c r="A273" s="4">
        <f ca="1">IFERROR(__xludf.DUMMYFUNCTION("""COMPUTED_VALUE"""),30583112)</f>
        <v>30583112</v>
      </c>
      <c r="B273" s="1" t="str">
        <f ca="1">IFERROR(__xludf.DUMMYFUNCTION("""COMPUTED_VALUE"""),"evil.sausage@gmail.com")</f>
        <v>evil.sausage@gmail.com</v>
      </c>
      <c r="C273" s="4" t="str">
        <f ca="1">IFERROR(__xludf.DUMMYFUNCTION("""COMPUTED_VALUE"""),"EVERGREEN - UAN Gated Content - Embedded Petition")</f>
        <v>EVERGREEN - UAN Gated Content - Embedded Petition</v>
      </c>
      <c r="D273" s="5">
        <f ca="1">IFERROR(__xludf.DUMMYFUNCTION("""COMPUTED_VALUE"""),45695)</f>
        <v>45695</v>
      </c>
      <c r="F273" s="1" t="str">
        <f ca="1">IFERROR(__xludf.DUMMYFUNCTION("""COMPUTED_VALUE"""),"Venezuela")</f>
        <v>Venezuela</v>
      </c>
      <c r="G273" s="1" t="str">
        <f ca="1">IFERROR(__xludf.DUMMYFUNCTION("""COMPUTED_VALUE"""),"97.24 Venezuela")</f>
        <v>97.24 Venezuela</v>
      </c>
      <c r="H273" s="1" t="str">
        <f ca="1">IFERROR(__xludf.DUMMYFUNCTION("""COMPUTED_VALUE"""),"Freedom of Expression")</f>
        <v>Freedom of Expression</v>
      </c>
      <c r="I273" s="1" t="str">
        <f ca="1">IFERROR(__xludf.DUMMYFUNCTION("""COMPUTED_VALUE"""),"2024")</f>
        <v>2024</v>
      </c>
      <c r="J273" s="1" t="str">
        <f ca="1">IFERROR(__xludf.DUMMYFUNCTION("""COMPUTED_VALUE"""),"Letter")</f>
        <v>Letter</v>
      </c>
    </row>
    <row r="274" spans="1:10" ht="13" x14ac:dyDescent="0.15">
      <c r="A274" s="4">
        <f ca="1">IFERROR(__xludf.DUMMYFUNCTION("""COMPUTED_VALUE"""),30607626)</f>
        <v>30607626</v>
      </c>
      <c r="B274" s="1" t="str">
        <f ca="1">IFERROR(__xludf.DUMMYFUNCTION("""COMPUTED_VALUE"""),"kuehlcarrie@gmail.com")</f>
        <v>kuehlcarrie@gmail.com</v>
      </c>
      <c r="C274" s="4" t="str">
        <f ca="1">IFERROR(__xludf.DUMMYFUNCTION("""COMPUTED_VALUE"""),"EVERGREEN - UAN Gated Content - Embedded Petition")</f>
        <v>EVERGREEN - UAN Gated Content - Embedded Petition</v>
      </c>
      <c r="D274" s="5">
        <f ca="1">IFERROR(__xludf.DUMMYFUNCTION("""COMPUTED_VALUE"""),45694)</f>
        <v>45694</v>
      </c>
      <c r="F274" s="1" t="str">
        <f ca="1">IFERROR(__xludf.DUMMYFUNCTION("""COMPUTED_VALUE"""),"Tunisia")</f>
        <v>Tunisia</v>
      </c>
      <c r="G274" s="1" t="str">
        <f ca="1">IFERROR(__xludf.DUMMYFUNCTION("""COMPUTED_VALUE"""),"Second 76.24 Tunisia")</f>
        <v>Second 76.24 Tunisia</v>
      </c>
      <c r="H274" s="1" t="str">
        <f ca="1">IFERROR(__xludf.DUMMYFUNCTION("""COMPUTED_VALUE"""),"Freedom of Expression, Human Rights Defenders")</f>
        <v>Freedom of Expression, Human Rights Defenders</v>
      </c>
      <c r="I274" s="1" t="str">
        <f ca="1">IFERROR(__xludf.DUMMYFUNCTION("""COMPUTED_VALUE"""),"2025")</f>
        <v>2025</v>
      </c>
      <c r="J274" s="1" t="str">
        <f ca="1">IFERROR(__xludf.DUMMYFUNCTION("""COMPUTED_VALUE"""),"Email")</f>
        <v>Email</v>
      </c>
    </row>
    <row r="275" spans="1:10" ht="13" x14ac:dyDescent="0.15">
      <c r="A275" s="4">
        <f ca="1">IFERROR(__xludf.DUMMYFUNCTION("""COMPUTED_VALUE"""),30607626)</f>
        <v>30607626</v>
      </c>
      <c r="B275" s="1" t="str">
        <f ca="1">IFERROR(__xludf.DUMMYFUNCTION("""COMPUTED_VALUE"""),"kuehlcarrie@gmail.com")</f>
        <v>kuehlcarrie@gmail.com</v>
      </c>
      <c r="C275" s="4" t="str">
        <f ca="1">IFERROR(__xludf.DUMMYFUNCTION("""COMPUTED_VALUE"""),"EVERGREEN - UAN Gated Content - Embedded Petition")</f>
        <v>EVERGREEN - UAN Gated Content - Embedded Petition</v>
      </c>
      <c r="D275" s="5">
        <f ca="1">IFERROR(__xludf.DUMMYFUNCTION("""COMPUTED_VALUE"""),45654)</f>
        <v>45654</v>
      </c>
      <c r="F275" s="1" t="str">
        <f ca="1">IFERROR(__xludf.DUMMYFUNCTION("""COMPUTED_VALUE"""),"China")</f>
        <v>China</v>
      </c>
      <c r="G275" s="1" t="str">
        <f ca="1">IFERROR(__xludf.DUMMYFUNCTION("""COMPUTED_VALUE"""),"98.24 China")</f>
        <v>98.24 China</v>
      </c>
      <c r="H275" s="1" t="str">
        <f ca="1">IFERROR(__xludf.DUMMYFUNCTION("""COMPUTED_VALUE"""),"Freedom of Expression, Individuals At Risk")</f>
        <v>Freedom of Expression, Individuals At Risk</v>
      </c>
      <c r="I275" s="1" t="str">
        <f ca="1">IFERROR(__xludf.DUMMYFUNCTION("""COMPUTED_VALUE"""),"2024")</f>
        <v>2024</v>
      </c>
      <c r="J275" s="1" t="str">
        <f ca="1">IFERROR(__xludf.DUMMYFUNCTION("""COMPUTED_VALUE"""),"Letter")</f>
        <v>Letter</v>
      </c>
    </row>
    <row r="276" spans="1:10" ht="13" x14ac:dyDescent="0.15">
      <c r="A276" s="4">
        <f ca="1">IFERROR(__xludf.DUMMYFUNCTION("""COMPUTED_VALUE"""),30609362)</f>
        <v>30609362</v>
      </c>
      <c r="B276" s="1" t="str">
        <f ca="1">IFERROR(__xludf.DUMMYFUNCTION("""COMPUTED_VALUE"""),"12newmoons@gmail.com")</f>
        <v>12newmoons@gmail.com</v>
      </c>
      <c r="C276" s="4" t="str">
        <f ca="1">IFERROR(__xludf.DUMMYFUNCTION("""COMPUTED_VALUE"""),"EVERGREEN - UAN Gated Content - Embedded Petition")</f>
        <v>EVERGREEN - UAN Gated Content - Embedded Petition</v>
      </c>
      <c r="D276" s="5">
        <f ca="1">IFERROR(__xludf.DUMMYFUNCTION("""COMPUTED_VALUE"""),45676)</f>
        <v>45676</v>
      </c>
      <c r="F276" s="1" t="str">
        <f ca="1">IFERROR(__xludf.DUMMYFUNCTION("""COMPUTED_VALUE"""),"Venezuela")</f>
        <v>Venezuela</v>
      </c>
      <c r="G276" s="1" t="str">
        <f ca="1">IFERROR(__xludf.DUMMYFUNCTION("""COMPUTED_VALUE"""),"97.24 Venezuela")</f>
        <v>97.24 Venezuela</v>
      </c>
      <c r="H276" s="1" t="str">
        <f ca="1">IFERROR(__xludf.DUMMYFUNCTION("""COMPUTED_VALUE"""),"Freedom of Expression")</f>
        <v>Freedom of Expression</v>
      </c>
      <c r="I276" s="1" t="str">
        <f ca="1">IFERROR(__xludf.DUMMYFUNCTION("""COMPUTED_VALUE"""),"2024")</f>
        <v>2024</v>
      </c>
      <c r="J276" s="1" t="str">
        <f ca="1">IFERROR(__xludf.DUMMYFUNCTION("""COMPUTED_VALUE"""),"Letter")</f>
        <v>Letter</v>
      </c>
    </row>
    <row r="277" spans="1:10" ht="13" x14ac:dyDescent="0.15">
      <c r="A277" s="4">
        <f ca="1">IFERROR(__xludf.DUMMYFUNCTION("""COMPUTED_VALUE"""),30609362)</f>
        <v>30609362</v>
      </c>
      <c r="B277" s="1" t="str">
        <f ca="1">IFERROR(__xludf.DUMMYFUNCTION("""COMPUTED_VALUE"""),"12newmoons@gmail.com")</f>
        <v>12newmoons@gmail.com</v>
      </c>
      <c r="C277" s="4" t="str">
        <f ca="1">IFERROR(__xludf.DUMMYFUNCTION("""COMPUTED_VALUE"""),"EVERGREEN - UAN Gated Content - Embedded Petition")</f>
        <v>EVERGREEN - UAN Gated Content - Embedded Petition</v>
      </c>
      <c r="D277" s="5">
        <f ca="1">IFERROR(__xludf.DUMMYFUNCTION("""COMPUTED_VALUE"""),45676)</f>
        <v>45676</v>
      </c>
      <c r="F277" s="1" t="str">
        <f ca="1">IFERROR(__xludf.DUMMYFUNCTION("""COMPUTED_VALUE"""),"USA")</f>
        <v>USA</v>
      </c>
      <c r="G277" s="1" t="str">
        <f ca="1">IFERROR(__xludf.DUMMYFUNCTION("""COMPUTED_VALUE"""),"105.24 USA")</f>
        <v>105.24 USA</v>
      </c>
      <c r="H277" s="1" t="str">
        <f ca="1">IFERROR(__xludf.DUMMYFUNCTION("""COMPUTED_VALUE"""),"Death Penalty")</f>
        <v>Death Penalty</v>
      </c>
      <c r="I277" s="1" t="str">
        <f ca="1">IFERROR(__xludf.DUMMYFUNCTION("""COMPUTED_VALUE"""),"2024")</f>
        <v>2024</v>
      </c>
      <c r="J277" s="1" t="str">
        <f ca="1">IFERROR(__xludf.DUMMYFUNCTION("""COMPUTED_VALUE"""),"Email")</f>
        <v>Email</v>
      </c>
    </row>
    <row r="278" spans="1:10" ht="13" x14ac:dyDescent="0.15">
      <c r="A278" s="4">
        <f ca="1">IFERROR(__xludf.DUMMYFUNCTION("""COMPUTED_VALUE"""),30609362)</f>
        <v>30609362</v>
      </c>
      <c r="B278" s="1" t="str">
        <f ca="1">IFERROR(__xludf.DUMMYFUNCTION("""COMPUTED_VALUE"""),"12newmoons@gmail.com")</f>
        <v>12newmoons@gmail.com</v>
      </c>
      <c r="C278" s="4" t="str">
        <f ca="1">IFERROR(__xludf.DUMMYFUNCTION("""COMPUTED_VALUE"""),"EVERGREEN - UAN Gated Content - Embedded Petition")</f>
        <v>EVERGREEN - UAN Gated Content - Embedded Petition</v>
      </c>
      <c r="D278" s="5">
        <f ca="1">IFERROR(__xludf.DUMMYFUNCTION("""COMPUTED_VALUE"""),45676)</f>
        <v>45676</v>
      </c>
      <c r="F278" s="1" t="str">
        <f ca="1">IFERROR(__xludf.DUMMYFUNCTION("""COMPUTED_VALUE"""),"Egypt")</f>
        <v>Egypt</v>
      </c>
      <c r="G278" s="1" t="str">
        <f ca="1">IFERROR(__xludf.DUMMYFUNCTION("""COMPUTED_VALUE"""),"Ninth 190.18 Egypt")</f>
        <v>Ninth 190.18 Egypt</v>
      </c>
      <c r="H278" s="1" t="str">
        <f ca="1">IFERROR(__xludf.DUMMYFUNCTION("""COMPUTED_VALUE"""),"Freedom of Expression, Individuals At Risk")</f>
        <v>Freedom of Expression, Individuals At Risk</v>
      </c>
      <c r="I278" s="1" t="str">
        <f ca="1">IFERROR(__xludf.DUMMYFUNCTION("""COMPUTED_VALUE"""),"2024")</f>
        <v>2024</v>
      </c>
      <c r="J278" s="1" t="str">
        <f ca="1">IFERROR(__xludf.DUMMYFUNCTION("""COMPUTED_VALUE"""),"Letter")</f>
        <v>Letter</v>
      </c>
    </row>
    <row r="279" spans="1:10" ht="13" x14ac:dyDescent="0.15">
      <c r="A279" s="4">
        <f ca="1">IFERROR(__xludf.DUMMYFUNCTION("""COMPUTED_VALUE"""),30609362)</f>
        <v>30609362</v>
      </c>
      <c r="B279" s="1" t="str">
        <f ca="1">IFERROR(__xludf.DUMMYFUNCTION("""COMPUTED_VALUE"""),"12newmoons@gmail.com")</f>
        <v>12newmoons@gmail.com</v>
      </c>
      <c r="C279" s="4" t="str">
        <f ca="1">IFERROR(__xludf.DUMMYFUNCTION("""COMPUTED_VALUE"""),"EVERGREEN - UAN Gated Content - Embedded Petition")</f>
        <v>EVERGREEN - UAN Gated Content - Embedded Petition</v>
      </c>
      <c r="D279" s="5">
        <f ca="1">IFERROR(__xludf.DUMMYFUNCTION("""COMPUTED_VALUE"""),45676)</f>
        <v>45676</v>
      </c>
      <c r="F279" s="1" t="str">
        <f ca="1">IFERROR(__xludf.DUMMYFUNCTION("""COMPUTED_VALUE"""),"Tunisia")</f>
        <v>Tunisia</v>
      </c>
      <c r="G279" s="1" t="str">
        <f ca="1">IFERROR(__xludf.DUMMYFUNCTION("""COMPUTED_VALUE"""),"Second 76.24 Tunisia")</f>
        <v>Second 76.24 Tunisia</v>
      </c>
      <c r="H279" s="1" t="str">
        <f ca="1">IFERROR(__xludf.DUMMYFUNCTION("""COMPUTED_VALUE"""),"Freedom of Expression, Human Rights Defenders")</f>
        <v>Freedom of Expression, Human Rights Defenders</v>
      </c>
      <c r="I279" s="1" t="str">
        <f ca="1">IFERROR(__xludf.DUMMYFUNCTION("""COMPUTED_VALUE"""),"2025")</f>
        <v>2025</v>
      </c>
      <c r="J279" s="1" t="str">
        <f ca="1">IFERROR(__xludf.DUMMYFUNCTION("""COMPUTED_VALUE"""),"Email")</f>
        <v>Email</v>
      </c>
    </row>
    <row r="280" spans="1:10" ht="13" x14ac:dyDescent="0.15">
      <c r="A280" s="4">
        <f ca="1">IFERROR(__xludf.DUMMYFUNCTION("""COMPUTED_VALUE"""),30618362)</f>
        <v>30618362</v>
      </c>
      <c r="B280" s="1" t="str">
        <f ca="1">IFERROR(__xludf.DUMMYFUNCTION("""COMPUTED_VALUE"""),"patricia.richter99@gmail.com")</f>
        <v>patricia.richter99@gmail.com</v>
      </c>
      <c r="C280" s="4" t="str">
        <f ca="1">IFERROR(__xludf.DUMMYFUNCTION("""COMPUTED_VALUE"""),"EVERGREEN - UAN Gated Content - Embedded Petition")</f>
        <v>EVERGREEN - UAN Gated Content - Embedded Petition</v>
      </c>
      <c r="D280" s="5">
        <f ca="1">IFERROR(__xludf.DUMMYFUNCTION("""COMPUTED_VALUE"""),45636)</f>
        <v>45636</v>
      </c>
      <c r="F280" s="1" t="str">
        <f ca="1">IFERROR(__xludf.DUMMYFUNCTION("""COMPUTED_VALUE"""),"Uganda")</f>
        <v>Uganda</v>
      </c>
      <c r="G280" s="1" t="str">
        <f ca="1">IFERROR(__xludf.DUMMYFUNCTION("""COMPUTED_VALUE"""),"100.24 Uganda")</f>
        <v>100.24 Uganda</v>
      </c>
      <c r="H280" s="1" t="str">
        <f ca="1">IFERROR(__xludf.DUMMYFUNCTION("""COMPUTED_VALUE"""),"Freedom of Expression")</f>
        <v>Freedom of Expression</v>
      </c>
      <c r="I280" s="1" t="str">
        <f ca="1">IFERROR(__xludf.DUMMYFUNCTION("""COMPUTED_VALUE"""),"2024")</f>
        <v>2024</v>
      </c>
      <c r="J280" s="1" t="str">
        <f ca="1">IFERROR(__xludf.DUMMYFUNCTION("""COMPUTED_VALUE"""),"Email")</f>
        <v>Email</v>
      </c>
    </row>
    <row r="281" spans="1:10" ht="13" x14ac:dyDescent="0.15">
      <c r="A281" s="4">
        <f ca="1">IFERROR(__xludf.DUMMYFUNCTION("""COMPUTED_VALUE"""),30658978)</f>
        <v>30658978</v>
      </c>
      <c r="B281" s="1" t="str">
        <f ca="1">IFERROR(__xludf.DUMMYFUNCTION("""COMPUTED_VALUE"""),"robadams@compuserve.com")</f>
        <v>robadams@compuserve.com</v>
      </c>
      <c r="C281" s="4" t="str">
        <f ca="1">IFERROR(__xludf.DUMMYFUNCTION("""COMPUTED_VALUE"""),"EVERGREEN - UAN Gated Content - Embedded Petition")</f>
        <v>EVERGREEN - UAN Gated Content - Embedded Petition</v>
      </c>
      <c r="D281" s="5">
        <f ca="1">IFERROR(__xludf.DUMMYFUNCTION("""COMPUTED_VALUE"""),45699)</f>
        <v>45699</v>
      </c>
      <c r="F281" s="1" t="str">
        <f ca="1">IFERROR(__xludf.DUMMYFUNCTION("""COMPUTED_VALUE"""),"Iran")</f>
        <v>Iran</v>
      </c>
      <c r="G281" s="1" t="str">
        <f ca="1">IFERROR(__xludf.DUMMYFUNCTION("""COMPUTED_VALUE"""),"10.25 Iran")</f>
        <v>10.25 Iran</v>
      </c>
      <c r="H281" s="1" t="str">
        <f ca="1">IFERROR(__xludf.DUMMYFUNCTION("""COMPUTED_VALUE"""),"Death Penalty, Individuals At Risk")</f>
        <v>Death Penalty, Individuals At Risk</v>
      </c>
      <c r="I281" s="1" t="str">
        <f ca="1">IFERROR(__xludf.DUMMYFUNCTION("""COMPUTED_VALUE"""),"2025")</f>
        <v>2025</v>
      </c>
      <c r="J281" s="1" t="str">
        <f ca="1">IFERROR(__xludf.DUMMYFUNCTION("""COMPUTED_VALUE"""),"Email")</f>
        <v>Email</v>
      </c>
    </row>
    <row r="282" spans="1:10" ht="13" x14ac:dyDescent="0.15">
      <c r="A282" s="4">
        <f ca="1">IFERROR(__xludf.DUMMYFUNCTION("""COMPUTED_VALUE"""),30658978)</f>
        <v>30658978</v>
      </c>
      <c r="B282" s="1" t="str">
        <f ca="1">IFERROR(__xludf.DUMMYFUNCTION("""COMPUTED_VALUE"""),"robadams@compuserve.com")</f>
        <v>robadams@compuserve.com</v>
      </c>
      <c r="C282" s="4" t="str">
        <f ca="1">IFERROR(__xludf.DUMMYFUNCTION("""COMPUTED_VALUE"""),"EVERGREEN - UAN Gated Content - Embedded Petition")</f>
        <v>EVERGREEN - UAN Gated Content - Embedded Petition</v>
      </c>
      <c r="D282" s="5">
        <f ca="1">IFERROR(__xludf.DUMMYFUNCTION("""COMPUTED_VALUE"""),45699)</f>
        <v>45699</v>
      </c>
      <c r="F282" s="1" t="str">
        <f ca="1">IFERROR(__xludf.DUMMYFUNCTION("""COMPUTED_VALUE"""),"Tunisia")</f>
        <v>Tunisia</v>
      </c>
      <c r="G282" s="1" t="str">
        <f ca="1">IFERROR(__xludf.DUMMYFUNCTION("""COMPUTED_VALUE"""),"Second 76.24 Tunisia")</f>
        <v>Second 76.24 Tunisia</v>
      </c>
      <c r="H282" s="1" t="str">
        <f ca="1">IFERROR(__xludf.DUMMYFUNCTION("""COMPUTED_VALUE"""),"Freedom of Expression, Human Rights Defenders")</f>
        <v>Freedom of Expression, Human Rights Defenders</v>
      </c>
      <c r="I282" s="1" t="str">
        <f ca="1">IFERROR(__xludf.DUMMYFUNCTION("""COMPUTED_VALUE"""),"2025")</f>
        <v>2025</v>
      </c>
      <c r="J282" s="1" t="str">
        <f ca="1">IFERROR(__xludf.DUMMYFUNCTION("""COMPUTED_VALUE"""),"Email")</f>
        <v>Email</v>
      </c>
    </row>
    <row r="283" spans="1:10" ht="13" x14ac:dyDescent="0.15">
      <c r="A283" s="4">
        <f ca="1">IFERROR(__xludf.DUMMYFUNCTION("""COMPUTED_VALUE"""),30658978)</f>
        <v>30658978</v>
      </c>
      <c r="B283" s="1" t="str">
        <f ca="1">IFERROR(__xludf.DUMMYFUNCTION("""COMPUTED_VALUE"""),"robadams@compuserve.com")</f>
        <v>robadams@compuserve.com</v>
      </c>
      <c r="C283" s="4" t="str">
        <f ca="1">IFERROR(__xludf.DUMMYFUNCTION("""COMPUTED_VALUE"""),"EVERGREEN - UAN Gated Content - Embedded Petition")</f>
        <v>EVERGREEN - UAN Gated Content - Embedded Petition</v>
      </c>
      <c r="D283" s="5">
        <f ca="1">IFERROR(__xludf.DUMMYFUNCTION("""COMPUTED_VALUE"""),45699)</f>
        <v>45699</v>
      </c>
      <c r="F283" s="1" t="str">
        <f ca="1">IFERROR(__xludf.DUMMYFUNCTION("""COMPUTED_VALUE"""),"USA")</f>
        <v>USA</v>
      </c>
      <c r="G283" s="1" t="str">
        <f ca="1">IFERROR(__xludf.DUMMYFUNCTION("""COMPUTED_VALUE"""),"4.25 USA")</f>
        <v>4.25 USA</v>
      </c>
      <c r="H283" s="1" t="str">
        <f ca="1">IFERROR(__xludf.DUMMYFUNCTION("""COMPUTED_VALUE"""),"Individuals At Risk, Refugee and Migrant Rights")</f>
        <v>Individuals At Risk, Refugee and Migrant Rights</v>
      </c>
      <c r="I283" s="1" t="str">
        <f ca="1">IFERROR(__xludf.DUMMYFUNCTION("""COMPUTED_VALUE"""),"2025")</f>
        <v>2025</v>
      </c>
      <c r="J283" s="1" t="str">
        <f ca="1">IFERROR(__xludf.DUMMYFUNCTION("""COMPUTED_VALUE"""),"Letter")</f>
        <v>Letter</v>
      </c>
    </row>
    <row r="284" spans="1:10" ht="13" x14ac:dyDescent="0.15">
      <c r="A284" s="4">
        <f ca="1">IFERROR(__xludf.DUMMYFUNCTION("""COMPUTED_VALUE"""),30658978)</f>
        <v>30658978</v>
      </c>
      <c r="B284" s="1" t="str">
        <f ca="1">IFERROR(__xludf.DUMMYFUNCTION("""COMPUTED_VALUE"""),"robadams@compuserve.com")</f>
        <v>robadams@compuserve.com</v>
      </c>
      <c r="C284" s="4" t="str">
        <f ca="1">IFERROR(__xludf.DUMMYFUNCTION("""COMPUTED_VALUE"""),"EVERGREEN - UAN Gated Content - Embedded Petition")</f>
        <v>EVERGREEN - UAN Gated Content - Embedded Petition</v>
      </c>
      <c r="D284" s="5">
        <f ca="1">IFERROR(__xludf.DUMMYFUNCTION("""COMPUTED_VALUE"""),45700)</f>
        <v>45700</v>
      </c>
      <c r="F284" s="1" t="str">
        <f ca="1">IFERROR(__xludf.DUMMYFUNCTION("""COMPUTED_VALUE"""),"Venezuela")</f>
        <v>Venezuela</v>
      </c>
      <c r="G284" s="1" t="str">
        <f ca="1">IFERROR(__xludf.DUMMYFUNCTION("""COMPUTED_VALUE"""),"97.24 Venezuela")</f>
        <v>97.24 Venezuela</v>
      </c>
      <c r="H284" s="1" t="str">
        <f ca="1">IFERROR(__xludf.DUMMYFUNCTION("""COMPUTED_VALUE"""),"Freedom of Expression")</f>
        <v>Freedom of Expression</v>
      </c>
      <c r="I284" s="1" t="str">
        <f ca="1">IFERROR(__xludf.DUMMYFUNCTION("""COMPUTED_VALUE"""),"2024")</f>
        <v>2024</v>
      </c>
      <c r="J284" s="1" t="str">
        <f ca="1">IFERROR(__xludf.DUMMYFUNCTION("""COMPUTED_VALUE"""),"Letter")</f>
        <v>Letter</v>
      </c>
    </row>
    <row r="285" spans="1:10" ht="13" x14ac:dyDescent="0.15">
      <c r="A285" s="4">
        <f ca="1">IFERROR(__xludf.DUMMYFUNCTION("""COMPUTED_VALUE"""),30658978)</f>
        <v>30658978</v>
      </c>
      <c r="B285" s="1" t="str">
        <f ca="1">IFERROR(__xludf.DUMMYFUNCTION("""COMPUTED_VALUE"""),"robadams@compuserve.com")</f>
        <v>robadams@compuserve.com</v>
      </c>
      <c r="C285" s="4" t="str">
        <f ca="1">IFERROR(__xludf.DUMMYFUNCTION("""COMPUTED_VALUE"""),"EVERGREEN - UAN Gated Content - Embedded Petition")</f>
        <v>EVERGREEN - UAN Gated Content - Embedded Petition</v>
      </c>
      <c r="D285" s="5">
        <f ca="1">IFERROR(__xludf.DUMMYFUNCTION("""COMPUTED_VALUE"""),45700)</f>
        <v>45700</v>
      </c>
      <c r="F285" s="1" t="str">
        <f ca="1">IFERROR(__xludf.DUMMYFUNCTION("""COMPUTED_VALUE"""),"Tunisia")</f>
        <v>Tunisia</v>
      </c>
      <c r="G285" s="1" t="str">
        <f ca="1">IFERROR(__xludf.DUMMYFUNCTION("""COMPUTED_VALUE"""),"Second 76.24 Tunisia")</f>
        <v>Second 76.24 Tunisia</v>
      </c>
      <c r="H285" s="1" t="str">
        <f ca="1">IFERROR(__xludf.DUMMYFUNCTION("""COMPUTED_VALUE"""),"Freedom of Expression, Human Rights Defenders")</f>
        <v>Freedom of Expression, Human Rights Defenders</v>
      </c>
      <c r="I285" s="1" t="str">
        <f ca="1">IFERROR(__xludf.DUMMYFUNCTION("""COMPUTED_VALUE"""),"2025")</f>
        <v>2025</v>
      </c>
      <c r="J285" s="1" t="str">
        <f ca="1">IFERROR(__xludf.DUMMYFUNCTION("""COMPUTED_VALUE"""),"Email")</f>
        <v>Email</v>
      </c>
    </row>
    <row r="286" spans="1:10" ht="13" x14ac:dyDescent="0.15">
      <c r="A286" s="4">
        <f ca="1">IFERROR(__xludf.DUMMYFUNCTION("""COMPUTED_VALUE"""),30658978)</f>
        <v>30658978</v>
      </c>
      <c r="B286" s="1" t="str">
        <f ca="1">IFERROR(__xludf.DUMMYFUNCTION("""COMPUTED_VALUE"""),"robadams@compuserve.com")</f>
        <v>robadams@compuserve.com</v>
      </c>
      <c r="C286" s="4" t="str">
        <f ca="1">IFERROR(__xludf.DUMMYFUNCTION("""COMPUTED_VALUE"""),"EVERGREEN - UAN Gated Content - Embedded Petition")</f>
        <v>EVERGREEN - UAN Gated Content - Embedded Petition</v>
      </c>
      <c r="D286" s="5">
        <f ca="1">IFERROR(__xludf.DUMMYFUNCTION("""COMPUTED_VALUE"""),45700)</f>
        <v>45700</v>
      </c>
      <c r="F286" s="1" t="str">
        <f ca="1">IFERROR(__xludf.DUMMYFUNCTION("""COMPUTED_VALUE"""),"Egypt")</f>
        <v>Egypt</v>
      </c>
      <c r="G286" s="1" t="str">
        <f ca="1">IFERROR(__xludf.DUMMYFUNCTION("""COMPUTED_VALUE"""),"Ninth 190.18 Egypt")</f>
        <v>Ninth 190.18 Egypt</v>
      </c>
      <c r="H286" s="1" t="str">
        <f ca="1">IFERROR(__xludf.DUMMYFUNCTION("""COMPUTED_VALUE"""),"Freedom of Expression, Individuals At Risk")</f>
        <v>Freedom of Expression, Individuals At Risk</v>
      </c>
      <c r="I286" s="1" t="str">
        <f ca="1">IFERROR(__xludf.DUMMYFUNCTION("""COMPUTED_VALUE"""),"2024")</f>
        <v>2024</v>
      </c>
      <c r="J286" s="1" t="str">
        <f ca="1">IFERROR(__xludf.DUMMYFUNCTION("""COMPUTED_VALUE"""),"Letter")</f>
        <v>Letter</v>
      </c>
    </row>
    <row r="287" spans="1:10" ht="13" x14ac:dyDescent="0.15">
      <c r="A287" s="4">
        <f ca="1">IFERROR(__xludf.DUMMYFUNCTION("""COMPUTED_VALUE"""),30658978)</f>
        <v>30658978</v>
      </c>
      <c r="B287" s="1" t="str">
        <f ca="1">IFERROR(__xludf.DUMMYFUNCTION("""COMPUTED_VALUE"""),"robadams@compuserve.com")</f>
        <v>robadams@compuserve.com</v>
      </c>
      <c r="C287" s="4" t="str">
        <f ca="1">IFERROR(__xludf.DUMMYFUNCTION("""COMPUTED_VALUE"""),"EVERGREEN - UAN Gated Content - Embedded Petition")</f>
        <v>EVERGREEN - UAN Gated Content - Embedded Petition</v>
      </c>
      <c r="D287" s="5">
        <f ca="1">IFERROR(__xludf.DUMMYFUNCTION("""COMPUTED_VALUE"""),45700)</f>
        <v>45700</v>
      </c>
      <c r="F287" s="1" t="str">
        <f ca="1">IFERROR(__xludf.DUMMYFUNCTION("""COMPUTED_VALUE"""),"USA")</f>
        <v>USA</v>
      </c>
      <c r="G287" s="1" t="str">
        <f ca="1">IFERROR(__xludf.DUMMYFUNCTION("""COMPUTED_VALUE"""),"105.24 USA")</f>
        <v>105.24 USA</v>
      </c>
      <c r="H287" s="1" t="str">
        <f ca="1">IFERROR(__xludf.DUMMYFUNCTION("""COMPUTED_VALUE"""),"Death Penalty")</f>
        <v>Death Penalty</v>
      </c>
      <c r="I287" s="1" t="str">
        <f ca="1">IFERROR(__xludf.DUMMYFUNCTION("""COMPUTED_VALUE"""),"2024")</f>
        <v>2024</v>
      </c>
      <c r="J287" s="1" t="str">
        <f ca="1">IFERROR(__xludf.DUMMYFUNCTION("""COMPUTED_VALUE"""),"Email")</f>
        <v>Email</v>
      </c>
    </row>
    <row r="288" spans="1:10" ht="13" x14ac:dyDescent="0.15">
      <c r="A288" s="4">
        <f ca="1">IFERROR(__xludf.DUMMYFUNCTION("""COMPUTED_VALUE"""),30658978)</f>
        <v>30658978</v>
      </c>
      <c r="B288" s="1" t="str">
        <f ca="1">IFERROR(__xludf.DUMMYFUNCTION("""COMPUTED_VALUE"""),"robadams@compuserve.com")</f>
        <v>robadams@compuserve.com</v>
      </c>
      <c r="C288" s="4" t="str">
        <f ca="1">IFERROR(__xludf.DUMMYFUNCTION("""COMPUTED_VALUE"""),"EVERGREEN - UAN Gated Content - Embedded Petition")</f>
        <v>EVERGREEN - UAN Gated Content - Embedded Petition</v>
      </c>
      <c r="D288" s="5">
        <f ca="1">IFERROR(__xludf.DUMMYFUNCTION("""COMPUTED_VALUE"""),45699)</f>
        <v>45699</v>
      </c>
      <c r="F288" s="1" t="str">
        <f ca="1">IFERROR(__xludf.DUMMYFUNCTION("""COMPUTED_VALUE"""),"China")</f>
        <v>China</v>
      </c>
      <c r="G288" s="1" t="str">
        <f ca="1">IFERROR(__xludf.DUMMYFUNCTION("""COMPUTED_VALUE"""),"98.24 China")</f>
        <v>98.24 China</v>
      </c>
      <c r="H288" s="1" t="str">
        <f ca="1">IFERROR(__xludf.DUMMYFUNCTION("""COMPUTED_VALUE"""),"Freedom of Expression, Individuals At Risk")</f>
        <v>Freedom of Expression, Individuals At Risk</v>
      </c>
      <c r="I288" s="1" t="str">
        <f ca="1">IFERROR(__xludf.DUMMYFUNCTION("""COMPUTED_VALUE"""),"2024")</f>
        <v>2024</v>
      </c>
      <c r="J288" s="1" t="str">
        <f ca="1">IFERROR(__xludf.DUMMYFUNCTION("""COMPUTED_VALUE"""),"Letter")</f>
        <v>Letter</v>
      </c>
    </row>
    <row r="289" spans="1:10" ht="13" x14ac:dyDescent="0.15">
      <c r="A289" s="4">
        <f ca="1">IFERROR(__xludf.DUMMYFUNCTION("""COMPUTED_VALUE"""),30671123)</f>
        <v>30671123</v>
      </c>
      <c r="B289" s="1" t="str">
        <f ca="1">IFERROR(__xludf.DUMMYFUNCTION("""COMPUTED_VALUE"""),"cantormikezoos@gmail.com")</f>
        <v>cantormikezoos@gmail.com</v>
      </c>
      <c r="C289" s="4" t="str">
        <f ca="1">IFERROR(__xludf.DUMMYFUNCTION("""COMPUTED_VALUE"""),"EVERGREEN - UAN Gated Content - Embedded Petition")</f>
        <v>EVERGREEN - UAN Gated Content - Embedded Petition</v>
      </c>
      <c r="D289" s="5">
        <f ca="1">IFERROR(__xludf.DUMMYFUNCTION("""COMPUTED_VALUE"""),45694)</f>
        <v>45694</v>
      </c>
      <c r="F289" s="1" t="str">
        <f ca="1">IFERROR(__xludf.DUMMYFUNCTION("""COMPUTED_VALUE"""),"Venezuela")</f>
        <v>Venezuela</v>
      </c>
      <c r="G289" s="1" t="str">
        <f ca="1">IFERROR(__xludf.DUMMYFUNCTION("""COMPUTED_VALUE"""),"1.25 Venezuela")</f>
        <v>1.25 Venezuela</v>
      </c>
      <c r="H289" s="1" t="str">
        <f ca="1">IFERROR(__xludf.DUMMYFUNCTION("""COMPUTED_VALUE"""),"Human Rights Defenders, Individuals At Risk")</f>
        <v>Human Rights Defenders, Individuals At Risk</v>
      </c>
      <c r="I289" s="1" t="str">
        <f ca="1">IFERROR(__xludf.DUMMYFUNCTION("""COMPUTED_VALUE"""),"2025")</f>
        <v>2025</v>
      </c>
      <c r="J289" s="1" t="str">
        <f ca="1">IFERROR(__xludf.DUMMYFUNCTION("""COMPUTED_VALUE"""),"Letter")</f>
        <v>Letter</v>
      </c>
    </row>
    <row r="290" spans="1:10" ht="13" x14ac:dyDescent="0.15">
      <c r="A290" s="4">
        <f ca="1">IFERROR(__xludf.DUMMYFUNCTION("""COMPUTED_VALUE"""),30690152)</f>
        <v>30690152</v>
      </c>
      <c r="B290" s="1" t="str">
        <f ca="1">IFERROR(__xludf.DUMMYFUNCTION("""COMPUTED_VALUE"""),"safutrell@ucdavis.edu")</f>
        <v>safutrell@ucdavis.edu</v>
      </c>
      <c r="C290" s="4" t="str">
        <f ca="1">IFERROR(__xludf.DUMMYFUNCTION("""COMPUTED_VALUE"""),"EVERGREEN - UAN Gated Content - Embedded Petition")</f>
        <v>EVERGREEN - UAN Gated Content - Embedded Petition</v>
      </c>
      <c r="D290" s="5">
        <f ca="1">IFERROR(__xludf.DUMMYFUNCTION("""COMPUTED_VALUE"""),45616)</f>
        <v>45616</v>
      </c>
      <c r="F290" s="1" t="str">
        <f ca="1">IFERROR(__xludf.DUMMYFUNCTION("""COMPUTED_VALUE"""),"Tunisia")</f>
        <v>Tunisia</v>
      </c>
      <c r="G290" s="1" t="str">
        <f ca="1">IFERROR(__xludf.DUMMYFUNCTION("""COMPUTED_VALUE"""),"Second 76.24 Tunisia")</f>
        <v>Second 76.24 Tunisia</v>
      </c>
      <c r="H290" s="1" t="str">
        <f ca="1">IFERROR(__xludf.DUMMYFUNCTION("""COMPUTED_VALUE"""),"Freedom of Expression, Human Rights Defenders")</f>
        <v>Freedom of Expression, Human Rights Defenders</v>
      </c>
      <c r="I290" s="1" t="str">
        <f ca="1">IFERROR(__xludf.DUMMYFUNCTION("""COMPUTED_VALUE"""),"2025")</f>
        <v>2025</v>
      </c>
      <c r="J290" s="1" t="str">
        <f ca="1">IFERROR(__xludf.DUMMYFUNCTION("""COMPUTED_VALUE"""),"Email")</f>
        <v>Email</v>
      </c>
    </row>
    <row r="291" spans="1:10" ht="13" x14ac:dyDescent="0.15">
      <c r="A291" s="4">
        <f ca="1">IFERROR(__xludf.DUMMYFUNCTION("""COMPUTED_VALUE"""),30692389)</f>
        <v>30692389</v>
      </c>
      <c r="B291" s="1" t="str">
        <f ca="1">IFERROR(__xludf.DUMMYFUNCTION("""COMPUTED_VALUE"""),"renee.lewis@outlook.com")</f>
        <v>renee.lewis@outlook.com</v>
      </c>
      <c r="C291" s="4" t="str">
        <f ca="1">IFERROR(__xludf.DUMMYFUNCTION("""COMPUTED_VALUE"""),"EVERGREEN - UAN Gated Content - Embedded Petition")</f>
        <v>EVERGREEN - UAN Gated Content - Embedded Petition</v>
      </c>
      <c r="D291" s="5">
        <f ca="1">IFERROR(__xludf.DUMMYFUNCTION("""COMPUTED_VALUE"""),45696)</f>
        <v>45696</v>
      </c>
      <c r="F291" s="1" t="str">
        <f ca="1">IFERROR(__xludf.DUMMYFUNCTION("""COMPUTED_VALUE"""),"Tunisia")</f>
        <v>Tunisia</v>
      </c>
      <c r="G291" s="1" t="str">
        <f ca="1">IFERROR(__xludf.DUMMYFUNCTION("""COMPUTED_VALUE"""),"Second 76.24 Tunisia")</f>
        <v>Second 76.24 Tunisia</v>
      </c>
      <c r="H291" s="1" t="str">
        <f ca="1">IFERROR(__xludf.DUMMYFUNCTION("""COMPUTED_VALUE"""),"Freedom of Expression, Human Rights Defenders")</f>
        <v>Freedom of Expression, Human Rights Defenders</v>
      </c>
      <c r="I291" s="1" t="str">
        <f ca="1">IFERROR(__xludf.DUMMYFUNCTION("""COMPUTED_VALUE"""),"2025")</f>
        <v>2025</v>
      </c>
      <c r="J291" s="1" t="str">
        <f ca="1">IFERROR(__xludf.DUMMYFUNCTION("""COMPUTED_VALUE"""),"Email")</f>
        <v>Email</v>
      </c>
    </row>
    <row r="292" spans="1:10" ht="13" x14ac:dyDescent="0.15">
      <c r="A292" s="4">
        <f ca="1">IFERROR(__xludf.DUMMYFUNCTION("""COMPUTED_VALUE"""),30692389)</f>
        <v>30692389</v>
      </c>
      <c r="B292" s="1" t="str">
        <f ca="1">IFERROR(__xludf.DUMMYFUNCTION("""COMPUTED_VALUE"""),"renee.lewis@outlook.com")</f>
        <v>renee.lewis@outlook.com</v>
      </c>
      <c r="C292" s="4" t="str">
        <f ca="1">IFERROR(__xludf.DUMMYFUNCTION("""COMPUTED_VALUE"""),"EVERGREEN - UAN Gated Content - Embedded Petition")</f>
        <v>EVERGREEN - UAN Gated Content - Embedded Petition</v>
      </c>
      <c r="D292" s="5">
        <f ca="1">IFERROR(__xludf.DUMMYFUNCTION("""COMPUTED_VALUE"""),45696)</f>
        <v>45696</v>
      </c>
      <c r="F292" s="1" t="str">
        <f ca="1">IFERROR(__xludf.DUMMYFUNCTION("""COMPUTED_VALUE"""),"Israel and Occupied Palestinian Territories")</f>
        <v>Israel and Occupied Palestinian Territories</v>
      </c>
      <c r="G292" s="1" t="str">
        <f ca="1">IFERROR(__xludf.DUMMYFUNCTION("""COMPUTED_VALUE"""),"3.25 IOPT")</f>
        <v>3.25 IOPT</v>
      </c>
      <c r="H292" s="1" t="str">
        <f ca="1">IFERROR(__xludf.DUMMYFUNCTION("""COMPUTED_VALUE"""),"Freedom of Expression, Individuals At Risk")</f>
        <v>Freedom of Expression, Individuals At Risk</v>
      </c>
      <c r="I292" s="1" t="str">
        <f ca="1">IFERROR(__xludf.DUMMYFUNCTION("""COMPUTED_VALUE"""),"2025")</f>
        <v>2025</v>
      </c>
      <c r="J292" s="1" t="str">
        <f ca="1">IFERROR(__xludf.DUMMYFUNCTION("""COMPUTED_VALUE"""),"Email")</f>
        <v>Email</v>
      </c>
    </row>
    <row r="293" spans="1:10" ht="13" x14ac:dyDescent="0.15">
      <c r="A293" s="4">
        <f ca="1">IFERROR(__xludf.DUMMYFUNCTION("""COMPUTED_VALUE"""),30692389)</f>
        <v>30692389</v>
      </c>
      <c r="B293" s="1" t="str">
        <f ca="1">IFERROR(__xludf.DUMMYFUNCTION("""COMPUTED_VALUE"""),"renee.lewis@outlook.com")</f>
        <v>renee.lewis@outlook.com</v>
      </c>
      <c r="C293" s="4" t="str">
        <f ca="1">IFERROR(__xludf.DUMMYFUNCTION("""COMPUTED_VALUE"""),"EVERGREEN - UAN Gated Content - Embedded Petition")</f>
        <v>EVERGREEN - UAN Gated Content - Embedded Petition</v>
      </c>
      <c r="D293" s="5">
        <f ca="1">IFERROR(__xludf.DUMMYFUNCTION("""COMPUTED_VALUE"""),45698)</f>
        <v>45698</v>
      </c>
      <c r="F293" s="1" t="str">
        <f ca="1">IFERROR(__xludf.DUMMYFUNCTION("""COMPUTED_VALUE"""),"Israel and Occupied Palestinian Territories")</f>
        <v>Israel and Occupied Palestinian Territories</v>
      </c>
      <c r="G293" s="1" t="str">
        <f ca="1">IFERROR(__xludf.DUMMYFUNCTION("""COMPUTED_VALUE"""),"3.25 IOPT")</f>
        <v>3.25 IOPT</v>
      </c>
      <c r="H293" s="1" t="str">
        <f ca="1">IFERROR(__xludf.DUMMYFUNCTION("""COMPUTED_VALUE"""),"Freedom of Expression, Individuals At Risk")</f>
        <v>Freedom of Expression, Individuals At Risk</v>
      </c>
      <c r="I293" s="1" t="str">
        <f ca="1">IFERROR(__xludf.DUMMYFUNCTION("""COMPUTED_VALUE"""),"2025")</f>
        <v>2025</v>
      </c>
      <c r="J293" s="1" t="str">
        <f ca="1">IFERROR(__xludf.DUMMYFUNCTION("""COMPUTED_VALUE"""),"Email")</f>
        <v>Email</v>
      </c>
    </row>
    <row r="294" spans="1:10" ht="13" x14ac:dyDescent="0.15">
      <c r="A294" s="4">
        <f ca="1">IFERROR(__xludf.DUMMYFUNCTION("""COMPUTED_VALUE"""),30700325)</f>
        <v>30700325</v>
      </c>
      <c r="B294" s="1" t="str">
        <f ca="1">IFERROR(__xludf.DUMMYFUNCTION("""COMPUTED_VALUE"""),"burgerlw@tds.net")</f>
        <v>burgerlw@tds.net</v>
      </c>
      <c r="C294" s="4" t="str">
        <f ca="1">IFERROR(__xludf.DUMMYFUNCTION("""COMPUTED_VALUE"""),"EVERGREEN - UAN Gated Content - Embedded Petition")</f>
        <v>EVERGREEN - UAN Gated Content - Embedded Petition</v>
      </c>
      <c r="D294" s="5">
        <f ca="1">IFERROR(__xludf.DUMMYFUNCTION("""COMPUTED_VALUE"""),45647)</f>
        <v>45647</v>
      </c>
      <c r="F294" s="1" t="str">
        <f ca="1">IFERROR(__xludf.DUMMYFUNCTION("""COMPUTED_VALUE"""),"Iran")</f>
        <v>Iran</v>
      </c>
      <c r="G294" s="1" t="str">
        <f ca="1">IFERROR(__xludf.DUMMYFUNCTION("""COMPUTED_VALUE"""),"101.24 Iran")</f>
        <v>101.24 Iran</v>
      </c>
      <c r="H294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294" s="1" t="str">
        <f ca="1">IFERROR(__xludf.DUMMYFUNCTION("""COMPUTED_VALUE"""),"2024")</f>
        <v>2024</v>
      </c>
      <c r="J294" s="1" t="str">
        <f ca="1">IFERROR(__xludf.DUMMYFUNCTION("""COMPUTED_VALUE"""),"Email")</f>
        <v>Email</v>
      </c>
    </row>
    <row r="295" spans="1:10" ht="13" x14ac:dyDescent="0.15">
      <c r="A295" s="4">
        <f ca="1">IFERROR(__xludf.DUMMYFUNCTION("""COMPUTED_VALUE"""),30700325)</f>
        <v>30700325</v>
      </c>
      <c r="B295" s="1" t="str">
        <f ca="1">IFERROR(__xludf.DUMMYFUNCTION("""COMPUTED_VALUE"""),"burgerlw@tds.net")</f>
        <v>burgerlw@tds.net</v>
      </c>
      <c r="C295" s="4" t="str">
        <f ca="1">IFERROR(__xludf.DUMMYFUNCTION("""COMPUTED_VALUE"""),"EVERGREEN - UAN Gated Content - Embedded Petition")</f>
        <v>EVERGREEN - UAN Gated Content - Embedded Petition</v>
      </c>
      <c r="D295" s="5">
        <f ca="1">IFERROR(__xludf.DUMMYFUNCTION("""COMPUTED_VALUE"""),45647)</f>
        <v>45647</v>
      </c>
      <c r="F295" s="1" t="str">
        <f ca="1">IFERROR(__xludf.DUMMYFUNCTION("""COMPUTED_VALUE"""),"USA")</f>
        <v>USA</v>
      </c>
      <c r="G295" s="1" t="str">
        <f ca="1">IFERROR(__xludf.DUMMYFUNCTION("""COMPUTED_VALUE"""),"105.24 USA")</f>
        <v>105.24 USA</v>
      </c>
      <c r="H295" s="1" t="str">
        <f ca="1">IFERROR(__xludf.DUMMYFUNCTION("""COMPUTED_VALUE"""),"Death Penalty")</f>
        <v>Death Penalty</v>
      </c>
      <c r="I295" s="1" t="str">
        <f ca="1">IFERROR(__xludf.DUMMYFUNCTION("""COMPUTED_VALUE"""),"2024")</f>
        <v>2024</v>
      </c>
      <c r="J295" s="1" t="str">
        <f ca="1">IFERROR(__xludf.DUMMYFUNCTION("""COMPUTED_VALUE"""),"Email")</f>
        <v>Email</v>
      </c>
    </row>
    <row r="296" spans="1:10" ht="13" x14ac:dyDescent="0.15">
      <c r="A296" s="4">
        <f ca="1">IFERROR(__xludf.DUMMYFUNCTION("""COMPUTED_VALUE"""),30700325)</f>
        <v>30700325</v>
      </c>
      <c r="B296" s="1" t="str">
        <f ca="1">IFERROR(__xludf.DUMMYFUNCTION("""COMPUTED_VALUE"""),"burgerlw@tds.net")</f>
        <v>burgerlw@tds.net</v>
      </c>
      <c r="C296" s="4" t="str">
        <f ca="1">IFERROR(__xludf.DUMMYFUNCTION("""COMPUTED_VALUE"""),"EVERGREEN - UAN Gated Content - Embedded Petition")</f>
        <v>EVERGREEN - UAN Gated Content - Embedded Petition</v>
      </c>
      <c r="D296" s="5">
        <f ca="1">IFERROR(__xludf.DUMMYFUNCTION("""COMPUTED_VALUE"""),45675)</f>
        <v>45675</v>
      </c>
      <c r="F296" s="1" t="str">
        <f ca="1">IFERROR(__xludf.DUMMYFUNCTION("""COMPUTED_VALUE"""),"Venezuela")</f>
        <v>Venezuela</v>
      </c>
      <c r="G296" s="1" t="str">
        <f ca="1">IFERROR(__xludf.DUMMYFUNCTION("""COMPUTED_VALUE"""),"97.24 Venezuela")</f>
        <v>97.24 Venezuela</v>
      </c>
      <c r="H296" s="1" t="str">
        <f ca="1">IFERROR(__xludf.DUMMYFUNCTION("""COMPUTED_VALUE"""),"Freedom of Expression")</f>
        <v>Freedom of Expression</v>
      </c>
      <c r="I296" s="1" t="str">
        <f ca="1">IFERROR(__xludf.DUMMYFUNCTION("""COMPUTED_VALUE"""),"2024")</f>
        <v>2024</v>
      </c>
      <c r="J296" s="1" t="str">
        <f ca="1">IFERROR(__xludf.DUMMYFUNCTION("""COMPUTED_VALUE"""),"Letter")</f>
        <v>Letter</v>
      </c>
    </row>
    <row r="297" spans="1:10" ht="13" x14ac:dyDescent="0.15">
      <c r="A297" s="4">
        <f ca="1">IFERROR(__xludf.DUMMYFUNCTION("""COMPUTED_VALUE"""),30700325)</f>
        <v>30700325</v>
      </c>
      <c r="B297" s="1" t="str">
        <f ca="1">IFERROR(__xludf.DUMMYFUNCTION("""COMPUTED_VALUE"""),"burgerlw@tds.net")</f>
        <v>burgerlw@tds.net</v>
      </c>
      <c r="C297" s="4" t="str">
        <f ca="1">IFERROR(__xludf.DUMMYFUNCTION("""COMPUTED_VALUE"""),"EVERGREEN - UAN Gated Content - Embedded Petition")</f>
        <v>EVERGREEN - UAN Gated Content - Embedded Petition</v>
      </c>
      <c r="D297" s="5">
        <f ca="1">IFERROR(__xludf.DUMMYFUNCTION("""COMPUTED_VALUE"""),45648)</f>
        <v>45648</v>
      </c>
      <c r="F297" s="1" t="str">
        <f ca="1">IFERROR(__xludf.DUMMYFUNCTION("""COMPUTED_VALUE"""),"Uganda")</f>
        <v>Uganda</v>
      </c>
      <c r="G297" s="1" t="str">
        <f ca="1">IFERROR(__xludf.DUMMYFUNCTION("""COMPUTED_VALUE"""),"100.24 Uganda")</f>
        <v>100.24 Uganda</v>
      </c>
      <c r="H297" s="1" t="str">
        <f ca="1">IFERROR(__xludf.DUMMYFUNCTION("""COMPUTED_VALUE"""),"Freedom of Expression")</f>
        <v>Freedom of Expression</v>
      </c>
      <c r="I297" s="1" t="str">
        <f ca="1">IFERROR(__xludf.DUMMYFUNCTION("""COMPUTED_VALUE"""),"2024")</f>
        <v>2024</v>
      </c>
      <c r="J297" s="1" t="str">
        <f ca="1">IFERROR(__xludf.DUMMYFUNCTION("""COMPUTED_VALUE"""),"Email")</f>
        <v>Email</v>
      </c>
    </row>
    <row r="298" spans="1:10" ht="13" x14ac:dyDescent="0.15">
      <c r="A298" s="4">
        <f ca="1">IFERROR(__xludf.DUMMYFUNCTION("""COMPUTED_VALUE"""),30700325)</f>
        <v>30700325</v>
      </c>
      <c r="B298" s="1" t="str">
        <f ca="1">IFERROR(__xludf.DUMMYFUNCTION("""COMPUTED_VALUE"""),"burgerlw@tds.net")</f>
        <v>burgerlw@tds.net</v>
      </c>
      <c r="C298" s="4" t="str">
        <f ca="1">IFERROR(__xludf.DUMMYFUNCTION("""COMPUTED_VALUE"""),"EVERGREEN - UAN Gated Content - Embedded Petition")</f>
        <v>EVERGREEN - UAN Gated Content - Embedded Petition</v>
      </c>
      <c r="D298" s="5">
        <f ca="1">IFERROR(__xludf.DUMMYFUNCTION("""COMPUTED_VALUE"""),45648)</f>
        <v>45648</v>
      </c>
      <c r="F298" s="1" t="str">
        <f ca="1">IFERROR(__xludf.DUMMYFUNCTION("""COMPUTED_VALUE"""),"Iran")</f>
        <v>Iran</v>
      </c>
      <c r="G298" s="1" t="str">
        <f ca="1">IFERROR(__xludf.DUMMYFUNCTION("""COMPUTED_VALUE"""),"101.24 Iran")</f>
        <v>101.24 Iran</v>
      </c>
      <c r="H298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298" s="1" t="str">
        <f ca="1">IFERROR(__xludf.DUMMYFUNCTION("""COMPUTED_VALUE"""),"2024")</f>
        <v>2024</v>
      </c>
      <c r="J298" s="1" t="str">
        <f ca="1">IFERROR(__xludf.DUMMYFUNCTION("""COMPUTED_VALUE"""),"Email")</f>
        <v>Email</v>
      </c>
    </row>
    <row r="299" spans="1:10" ht="13" x14ac:dyDescent="0.15">
      <c r="A299" s="4">
        <f ca="1">IFERROR(__xludf.DUMMYFUNCTION("""COMPUTED_VALUE"""),30700325)</f>
        <v>30700325</v>
      </c>
      <c r="B299" s="1" t="str">
        <f ca="1">IFERROR(__xludf.DUMMYFUNCTION("""COMPUTED_VALUE"""),"burgerlw@tds.net")</f>
        <v>burgerlw@tds.net</v>
      </c>
      <c r="C299" s="4" t="str">
        <f ca="1">IFERROR(__xludf.DUMMYFUNCTION("""COMPUTED_VALUE"""),"EVERGREEN - UAN Gated Content - Embedded Petition")</f>
        <v>EVERGREEN - UAN Gated Content - Embedded Petition</v>
      </c>
      <c r="D299" s="5">
        <f ca="1">IFERROR(__xludf.DUMMYFUNCTION("""COMPUTED_VALUE"""),45694)</f>
        <v>45694</v>
      </c>
      <c r="F299" s="1" t="str">
        <f ca="1">IFERROR(__xludf.DUMMYFUNCTION("""COMPUTED_VALUE"""),"China")</f>
        <v>China</v>
      </c>
      <c r="G299" s="1" t="str">
        <f ca="1">IFERROR(__xludf.DUMMYFUNCTION("""COMPUTED_VALUE"""),"98.24 China")</f>
        <v>98.24 China</v>
      </c>
      <c r="H299" s="1" t="str">
        <f ca="1">IFERROR(__xludf.DUMMYFUNCTION("""COMPUTED_VALUE"""),"Freedom of Expression, Individuals At Risk")</f>
        <v>Freedom of Expression, Individuals At Risk</v>
      </c>
      <c r="I299" s="1" t="str">
        <f ca="1">IFERROR(__xludf.DUMMYFUNCTION("""COMPUTED_VALUE"""),"2024")</f>
        <v>2024</v>
      </c>
      <c r="J299" s="1" t="str">
        <f ca="1">IFERROR(__xludf.DUMMYFUNCTION("""COMPUTED_VALUE"""),"Letter")</f>
        <v>Letter</v>
      </c>
    </row>
    <row r="300" spans="1:10" ht="13" x14ac:dyDescent="0.15">
      <c r="A300" s="4">
        <f ca="1">IFERROR(__xludf.DUMMYFUNCTION("""COMPUTED_VALUE"""),30700343)</f>
        <v>30700343</v>
      </c>
      <c r="B300" s="1" t="str">
        <f ca="1">IFERROR(__xludf.DUMMYFUNCTION("""COMPUTED_VALUE"""),"megremple@gmail.com")</f>
        <v>megremple@gmail.com</v>
      </c>
      <c r="C300" s="4" t="str">
        <f ca="1">IFERROR(__xludf.DUMMYFUNCTION("""COMPUTED_VALUE"""),"EVERGREEN - UAN Gated Content - Embedded Petition")</f>
        <v>EVERGREEN - UAN Gated Content - Embedded Petition</v>
      </c>
      <c r="D300" s="5">
        <f ca="1">IFERROR(__xludf.DUMMYFUNCTION("""COMPUTED_VALUE"""),45636)</f>
        <v>45636</v>
      </c>
      <c r="F300" s="1" t="str">
        <f ca="1">IFERROR(__xludf.DUMMYFUNCTION("""COMPUTED_VALUE"""),"Russian Federation")</f>
        <v>Russian Federation</v>
      </c>
      <c r="G300" s="1" t="str">
        <f ca="1">IFERROR(__xludf.DUMMYFUNCTION("""COMPUTED_VALUE"""),"Second 23.24 Russia")</f>
        <v>Second 23.24 Russia</v>
      </c>
      <c r="H300" s="1" t="str">
        <f ca="1">IFERROR(__xludf.DUMMYFUNCTION("""COMPUTED_VALUE"""),"Freedom of Expression")</f>
        <v>Freedom of Expression</v>
      </c>
      <c r="I300" s="1" t="str">
        <f ca="1">IFERROR(__xludf.DUMMYFUNCTION("""COMPUTED_VALUE"""),"2024")</f>
        <v>2024</v>
      </c>
      <c r="J300" s="1" t="str">
        <f ca="1">IFERROR(__xludf.DUMMYFUNCTION("""COMPUTED_VALUE"""),"Letter")</f>
        <v>Letter</v>
      </c>
    </row>
    <row r="301" spans="1:10" ht="13" x14ac:dyDescent="0.15">
      <c r="A301" s="4">
        <f ca="1">IFERROR(__xludf.DUMMYFUNCTION("""COMPUTED_VALUE"""),30700343)</f>
        <v>30700343</v>
      </c>
      <c r="B301" s="1" t="str">
        <f ca="1">IFERROR(__xludf.DUMMYFUNCTION("""COMPUTED_VALUE"""),"megremple@gmail.com")</f>
        <v>megremple@gmail.com</v>
      </c>
      <c r="C301" s="4" t="str">
        <f ca="1">IFERROR(__xludf.DUMMYFUNCTION("""COMPUTED_VALUE"""),"EVERGREEN - UAN Gated Content - Embedded Petition")</f>
        <v>EVERGREEN - UAN Gated Content - Embedded Petition</v>
      </c>
      <c r="D301" s="5">
        <f ca="1">IFERROR(__xludf.DUMMYFUNCTION("""COMPUTED_VALUE"""),45636)</f>
        <v>45636</v>
      </c>
      <c r="F301" s="1" t="str">
        <f ca="1">IFERROR(__xludf.DUMMYFUNCTION("""COMPUTED_VALUE"""),"Uganda")</f>
        <v>Uganda</v>
      </c>
      <c r="G301" s="1" t="str">
        <f ca="1">IFERROR(__xludf.DUMMYFUNCTION("""COMPUTED_VALUE"""),"100.24 Uganda")</f>
        <v>100.24 Uganda</v>
      </c>
      <c r="H301" s="1" t="str">
        <f ca="1">IFERROR(__xludf.DUMMYFUNCTION("""COMPUTED_VALUE"""),"Freedom of Expression")</f>
        <v>Freedom of Expression</v>
      </c>
      <c r="I301" s="1" t="str">
        <f ca="1">IFERROR(__xludf.DUMMYFUNCTION("""COMPUTED_VALUE"""),"2024")</f>
        <v>2024</v>
      </c>
      <c r="J301" s="1" t="str">
        <f ca="1">IFERROR(__xludf.DUMMYFUNCTION("""COMPUTED_VALUE"""),"Email")</f>
        <v>Email</v>
      </c>
    </row>
    <row r="302" spans="1:10" ht="13" x14ac:dyDescent="0.15">
      <c r="A302" s="4">
        <f ca="1">IFERROR(__xludf.DUMMYFUNCTION("""COMPUTED_VALUE"""),30700343)</f>
        <v>30700343</v>
      </c>
      <c r="B302" s="1" t="str">
        <f ca="1">IFERROR(__xludf.DUMMYFUNCTION("""COMPUTED_VALUE"""),"megremple@gmail.com")</f>
        <v>megremple@gmail.com</v>
      </c>
      <c r="C302" s="4" t="str">
        <f ca="1">IFERROR(__xludf.DUMMYFUNCTION("""COMPUTED_VALUE"""),"EVERGREEN - UAN Gated Content - Embedded Petition")</f>
        <v>EVERGREEN - UAN Gated Content - Embedded Petition</v>
      </c>
      <c r="D302" s="5">
        <f ca="1">IFERROR(__xludf.DUMMYFUNCTION("""COMPUTED_VALUE"""),45636)</f>
        <v>45636</v>
      </c>
      <c r="F302" s="1" t="str">
        <f ca="1">IFERROR(__xludf.DUMMYFUNCTION("""COMPUTED_VALUE"""),"USA")</f>
        <v>USA</v>
      </c>
      <c r="G302" s="1" t="str">
        <f ca="1">IFERROR(__xludf.DUMMYFUNCTION("""COMPUTED_VALUE"""),"105.24 USA")</f>
        <v>105.24 USA</v>
      </c>
      <c r="H302" s="1" t="str">
        <f ca="1">IFERROR(__xludf.DUMMYFUNCTION("""COMPUTED_VALUE"""),"Death Penalty")</f>
        <v>Death Penalty</v>
      </c>
      <c r="I302" s="1" t="str">
        <f ca="1">IFERROR(__xludf.DUMMYFUNCTION("""COMPUTED_VALUE"""),"2024")</f>
        <v>2024</v>
      </c>
      <c r="J302" s="1" t="str">
        <f ca="1">IFERROR(__xludf.DUMMYFUNCTION("""COMPUTED_VALUE"""),"Email")</f>
        <v>Email</v>
      </c>
    </row>
    <row r="303" spans="1:10" ht="13" x14ac:dyDescent="0.15">
      <c r="A303" s="4">
        <f ca="1">IFERROR(__xludf.DUMMYFUNCTION("""COMPUTED_VALUE"""),30700343)</f>
        <v>30700343</v>
      </c>
      <c r="B303" s="1" t="str">
        <f ca="1">IFERROR(__xludf.DUMMYFUNCTION("""COMPUTED_VALUE"""),"megremple@gmail.com")</f>
        <v>megremple@gmail.com</v>
      </c>
      <c r="C303" s="4" t="str">
        <f ca="1">IFERROR(__xludf.DUMMYFUNCTION("""COMPUTED_VALUE"""),"EVERGREEN - UAN Gated Content - Embedded Petition")</f>
        <v>EVERGREEN - UAN Gated Content - Embedded Petition</v>
      </c>
      <c r="D303" s="5">
        <f ca="1">IFERROR(__xludf.DUMMYFUNCTION("""COMPUTED_VALUE"""),45636)</f>
        <v>45636</v>
      </c>
      <c r="F303" s="1" t="str">
        <f ca="1">IFERROR(__xludf.DUMMYFUNCTION("""COMPUTED_VALUE"""),"USA")</f>
        <v>USA</v>
      </c>
      <c r="G303" s="1" t="str">
        <f ca="1">IFERROR(__xludf.DUMMYFUNCTION("""COMPUTED_VALUE"""),"4.25 USA")</f>
        <v>4.25 USA</v>
      </c>
      <c r="H303" s="1" t="str">
        <f ca="1">IFERROR(__xludf.DUMMYFUNCTION("""COMPUTED_VALUE"""),"Individuals At Risk, Refugee and Migrant Rights")</f>
        <v>Individuals At Risk, Refugee and Migrant Rights</v>
      </c>
      <c r="I303" s="1" t="str">
        <f ca="1">IFERROR(__xludf.DUMMYFUNCTION("""COMPUTED_VALUE"""),"2025")</f>
        <v>2025</v>
      </c>
      <c r="J303" s="1" t="str">
        <f ca="1">IFERROR(__xludf.DUMMYFUNCTION("""COMPUTED_VALUE"""),"Letter")</f>
        <v>Letter</v>
      </c>
    </row>
    <row r="304" spans="1:10" ht="13" x14ac:dyDescent="0.15">
      <c r="A304" s="4">
        <f ca="1">IFERROR(__xludf.DUMMYFUNCTION("""COMPUTED_VALUE"""),30700471)</f>
        <v>30700471</v>
      </c>
      <c r="B304" s="1" t="str">
        <f ca="1">IFERROR(__xludf.DUMMYFUNCTION("""COMPUTED_VALUE"""),"slongene@bridgewater.edu")</f>
        <v>slongene@bridgewater.edu</v>
      </c>
      <c r="C304" s="4" t="str">
        <f ca="1">IFERROR(__xludf.DUMMYFUNCTION("""COMPUTED_VALUE"""),"EVERGREEN - UAN Gated Content - Embedded Petition")</f>
        <v>EVERGREEN - UAN Gated Content - Embedded Petition</v>
      </c>
      <c r="D304" s="5">
        <f ca="1">IFERROR(__xludf.DUMMYFUNCTION("""COMPUTED_VALUE"""),45704)</f>
        <v>45704</v>
      </c>
      <c r="F304" s="1" t="str">
        <f ca="1">IFERROR(__xludf.DUMMYFUNCTION("""COMPUTED_VALUE"""),"Venezuela")</f>
        <v>Venezuela</v>
      </c>
      <c r="G304" s="1" t="str">
        <f ca="1">IFERROR(__xludf.DUMMYFUNCTION("""COMPUTED_VALUE"""),"97.24 Venezuela")</f>
        <v>97.24 Venezuela</v>
      </c>
      <c r="H304" s="1" t="str">
        <f ca="1">IFERROR(__xludf.DUMMYFUNCTION("""COMPUTED_VALUE"""),"Freedom of Expression")</f>
        <v>Freedom of Expression</v>
      </c>
      <c r="I304" s="1" t="str">
        <f ca="1">IFERROR(__xludf.DUMMYFUNCTION("""COMPUTED_VALUE"""),"2024")</f>
        <v>2024</v>
      </c>
      <c r="J304" s="1" t="str">
        <f ca="1">IFERROR(__xludf.DUMMYFUNCTION("""COMPUTED_VALUE"""),"Letter")</f>
        <v>Letter</v>
      </c>
    </row>
    <row r="305" spans="1:10" ht="13" x14ac:dyDescent="0.15">
      <c r="A305" s="4">
        <f ca="1">IFERROR(__xludf.DUMMYFUNCTION("""COMPUTED_VALUE"""),30700471)</f>
        <v>30700471</v>
      </c>
      <c r="B305" s="1" t="str">
        <f ca="1">IFERROR(__xludf.DUMMYFUNCTION("""COMPUTED_VALUE"""),"slongene@bridgewater.edu")</f>
        <v>slongene@bridgewater.edu</v>
      </c>
      <c r="C305" s="4" t="str">
        <f ca="1">IFERROR(__xludf.DUMMYFUNCTION("""COMPUTED_VALUE"""),"EVERGREEN - UAN Gated Content - Embedded Petition")</f>
        <v>EVERGREEN - UAN Gated Content - Embedded Petition</v>
      </c>
      <c r="D305" s="5">
        <f ca="1">IFERROR(__xludf.DUMMYFUNCTION("""COMPUTED_VALUE"""),45665)</f>
        <v>45665</v>
      </c>
      <c r="F305" s="1" t="str">
        <f ca="1">IFERROR(__xludf.DUMMYFUNCTION("""COMPUTED_VALUE"""),"Tunisia")</f>
        <v>Tunisia</v>
      </c>
      <c r="G305" s="1" t="str">
        <f ca="1">IFERROR(__xludf.DUMMYFUNCTION("""COMPUTED_VALUE"""),"Second 76.24 Tunisia")</f>
        <v>Second 76.24 Tunisia</v>
      </c>
      <c r="H305" s="1" t="str">
        <f ca="1">IFERROR(__xludf.DUMMYFUNCTION("""COMPUTED_VALUE"""),"Freedom of Expression, Human Rights Defenders")</f>
        <v>Freedom of Expression, Human Rights Defenders</v>
      </c>
      <c r="I305" s="1" t="str">
        <f ca="1">IFERROR(__xludf.DUMMYFUNCTION("""COMPUTED_VALUE"""),"2025")</f>
        <v>2025</v>
      </c>
      <c r="J305" s="1" t="str">
        <f ca="1">IFERROR(__xludf.DUMMYFUNCTION("""COMPUTED_VALUE"""),"Email")</f>
        <v>Email</v>
      </c>
    </row>
    <row r="306" spans="1:10" ht="13" x14ac:dyDescent="0.15">
      <c r="A306" s="4">
        <f ca="1">IFERROR(__xludf.DUMMYFUNCTION("""COMPUTED_VALUE"""),30700471)</f>
        <v>30700471</v>
      </c>
      <c r="B306" s="1" t="str">
        <f ca="1">IFERROR(__xludf.DUMMYFUNCTION("""COMPUTED_VALUE"""),"slongene@bridgewater.edu")</f>
        <v>slongene@bridgewater.edu</v>
      </c>
      <c r="C306" s="4" t="str">
        <f ca="1">IFERROR(__xludf.DUMMYFUNCTION("""COMPUTED_VALUE"""),"EVERGREEN - UAN Gated Content - Embedded Petition")</f>
        <v>EVERGREEN - UAN Gated Content - Embedded Petition</v>
      </c>
      <c r="D306" s="5">
        <f ca="1">IFERROR(__xludf.DUMMYFUNCTION("""COMPUTED_VALUE"""),45704)</f>
        <v>45704</v>
      </c>
      <c r="F306" s="1" t="str">
        <f ca="1">IFERROR(__xludf.DUMMYFUNCTION("""COMPUTED_VALUE"""),"Iran")</f>
        <v>Iran</v>
      </c>
      <c r="G306" s="1" t="str">
        <f ca="1">IFERROR(__xludf.DUMMYFUNCTION("""COMPUTED_VALUE"""),"Seventh 103.22 Iran")</f>
        <v>Seventh 103.22 Iran</v>
      </c>
      <c r="H306" s="1" t="str">
        <f ca="1">IFERROR(__xludf.DUMMYFUNCTION("""COMPUTED_VALUE"""),"Death Penalty, Freedom of Expression, Individuals At Risk")</f>
        <v>Death Penalty, Freedom of Expression, Individuals At Risk</v>
      </c>
      <c r="I306" s="1" t="str">
        <f ca="1">IFERROR(__xludf.DUMMYFUNCTION("""COMPUTED_VALUE"""),"2024")</f>
        <v>2024</v>
      </c>
      <c r="J306" s="1" t="str">
        <f ca="1">IFERROR(__xludf.DUMMYFUNCTION("""COMPUTED_VALUE"""),"Email")</f>
        <v>Email</v>
      </c>
    </row>
    <row r="307" spans="1:10" ht="13" x14ac:dyDescent="0.15">
      <c r="A307" s="4">
        <f ca="1">IFERROR(__xludf.DUMMYFUNCTION("""COMPUTED_VALUE"""),30703196)</f>
        <v>30703196</v>
      </c>
      <c r="B307" s="1" t="str">
        <f ca="1">IFERROR(__xludf.DUMMYFUNCTION("""COMPUTED_VALUE"""),"tung@kzoo.edu")</f>
        <v>tung@kzoo.edu</v>
      </c>
      <c r="C307" s="4" t="str">
        <f ca="1">IFERROR(__xludf.DUMMYFUNCTION("""COMPUTED_VALUE"""),"EVERGREEN - UAN Gated Content - Embedded Petition")</f>
        <v>EVERGREEN - UAN Gated Content - Embedded Petition</v>
      </c>
      <c r="D307" s="5">
        <f ca="1">IFERROR(__xludf.DUMMYFUNCTION("""COMPUTED_VALUE"""),45697)</f>
        <v>45697</v>
      </c>
      <c r="F307" s="1" t="str">
        <f ca="1">IFERROR(__xludf.DUMMYFUNCTION("""COMPUTED_VALUE"""),"Tunisia")</f>
        <v>Tunisia</v>
      </c>
      <c r="G307" s="1" t="str">
        <f ca="1">IFERROR(__xludf.DUMMYFUNCTION("""COMPUTED_VALUE"""),"Second 76.24 Tunisia")</f>
        <v>Second 76.24 Tunisia</v>
      </c>
      <c r="H307" s="1" t="str">
        <f ca="1">IFERROR(__xludf.DUMMYFUNCTION("""COMPUTED_VALUE"""),"Freedom of Expression, Human Rights Defenders")</f>
        <v>Freedom of Expression, Human Rights Defenders</v>
      </c>
      <c r="I307" s="1" t="str">
        <f ca="1">IFERROR(__xludf.DUMMYFUNCTION("""COMPUTED_VALUE"""),"2025")</f>
        <v>2025</v>
      </c>
      <c r="J307" s="1" t="str">
        <f ca="1">IFERROR(__xludf.DUMMYFUNCTION("""COMPUTED_VALUE"""),"Email")</f>
        <v>Email</v>
      </c>
    </row>
    <row r="308" spans="1:10" ht="13" x14ac:dyDescent="0.15">
      <c r="A308" s="4">
        <f ca="1">IFERROR(__xludf.DUMMYFUNCTION("""COMPUTED_VALUE"""),30703334)</f>
        <v>30703334</v>
      </c>
      <c r="B308" s="1" t="str">
        <f ca="1">IFERROR(__xludf.DUMMYFUNCTION("""COMPUTED_VALUE"""),"uchiyama@earthlink.net")</f>
        <v>uchiyama@earthlink.net</v>
      </c>
      <c r="C308" s="4" t="str">
        <f ca="1">IFERROR(__xludf.DUMMYFUNCTION("""COMPUTED_VALUE"""),"EVERGREEN - UAN Gated Content - Embedded Petition")</f>
        <v>EVERGREEN - UAN Gated Content - Embedded Petition</v>
      </c>
      <c r="D308" s="5">
        <f ca="1">IFERROR(__xludf.DUMMYFUNCTION("""COMPUTED_VALUE"""),45678)</f>
        <v>45678</v>
      </c>
      <c r="F308" s="1" t="str">
        <f ca="1">IFERROR(__xludf.DUMMYFUNCTION("""COMPUTED_VALUE"""),"USA")</f>
        <v>USA</v>
      </c>
      <c r="G308" s="1" t="str">
        <f ca="1">IFERROR(__xludf.DUMMYFUNCTION("""COMPUTED_VALUE"""),"4.25 USA")</f>
        <v>4.25 USA</v>
      </c>
      <c r="H308" s="1" t="str">
        <f ca="1">IFERROR(__xludf.DUMMYFUNCTION("""COMPUTED_VALUE"""),"Individuals At Risk, Refugee and Migrant Rights")</f>
        <v>Individuals At Risk, Refugee and Migrant Rights</v>
      </c>
      <c r="I308" s="1" t="str">
        <f ca="1">IFERROR(__xludf.DUMMYFUNCTION("""COMPUTED_VALUE"""),"2025")</f>
        <v>2025</v>
      </c>
      <c r="J308" s="1" t="str">
        <f ca="1">IFERROR(__xludf.DUMMYFUNCTION("""COMPUTED_VALUE"""),"Letter")</f>
        <v>Letter</v>
      </c>
    </row>
    <row r="309" spans="1:10" ht="13" x14ac:dyDescent="0.15">
      <c r="A309" s="4">
        <f ca="1">IFERROR(__xludf.DUMMYFUNCTION("""COMPUTED_VALUE"""),30708031)</f>
        <v>30708031</v>
      </c>
      <c r="B309" s="1" t="str">
        <f ca="1">IFERROR(__xludf.DUMMYFUNCTION("""COMPUTED_VALUE"""),"gino.morelli@gmail.com")</f>
        <v>gino.morelli@gmail.com</v>
      </c>
      <c r="C309" s="4" t="str">
        <f ca="1">IFERROR(__xludf.DUMMYFUNCTION("""COMPUTED_VALUE"""),"EVERGREEN - UAN Gated Content - Embedded Petition")</f>
        <v>EVERGREEN - UAN Gated Content - Embedded Petition</v>
      </c>
      <c r="D309" s="5">
        <f ca="1">IFERROR(__xludf.DUMMYFUNCTION("""COMPUTED_VALUE"""),45637)</f>
        <v>45637</v>
      </c>
      <c r="F309" s="1" t="str">
        <f ca="1">IFERROR(__xludf.DUMMYFUNCTION("""COMPUTED_VALUE"""),"Tunisia")</f>
        <v>Tunisia</v>
      </c>
      <c r="G309" s="1" t="str">
        <f ca="1">IFERROR(__xludf.DUMMYFUNCTION("""COMPUTED_VALUE"""),"Second 76.24 Tunisia")</f>
        <v>Second 76.24 Tunisia</v>
      </c>
      <c r="H309" s="1" t="str">
        <f ca="1">IFERROR(__xludf.DUMMYFUNCTION("""COMPUTED_VALUE"""),"Freedom of Expression, Human Rights Defenders")</f>
        <v>Freedom of Expression, Human Rights Defenders</v>
      </c>
      <c r="I309" s="1" t="str">
        <f ca="1">IFERROR(__xludf.DUMMYFUNCTION("""COMPUTED_VALUE"""),"2025")</f>
        <v>2025</v>
      </c>
      <c r="J309" s="1" t="str">
        <f ca="1">IFERROR(__xludf.DUMMYFUNCTION("""COMPUTED_VALUE"""),"Email")</f>
        <v>Email</v>
      </c>
    </row>
    <row r="310" spans="1:10" ht="13" x14ac:dyDescent="0.15">
      <c r="A310" s="4">
        <f ca="1">IFERROR(__xludf.DUMMYFUNCTION("""COMPUTED_VALUE"""),30708031)</f>
        <v>30708031</v>
      </c>
      <c r="B310" s="1" t="str">
        <f ca="1">IFERROR(__xludf.DUMMYFUNCTION("""COMPUTED_VALUE"""),"gino.morelli@gmail.com")</f>
        <v>gino.morelli@gmail.com</v>
      </c>
      <c r="C310" s="4" t="str">
        <f ca="1">IFERROR(__xludf.DUMMYFUNCTION("""COMPUTED_VALUE"""),"EVERGREEN - UAN Gated Content - Embedded Petition")</f>
        <v>EVERGREEN - UAN Gated Content - Embedded Petition</v>
      </c>
      <c r="D310" s="5">
        <f ca="1">IFERROR(__xludf.DUMMYFUNCTION("""COMPUTED_VALUE"""),45694)</f>
        <v>45694</v>
      </c>
      <c r="F310" s="1" t="str">
        <f ca="1">IFERROR(__xludf.DUMMYFUNCTION("""COMPUTED_VALUE"""),"Tunisia")</f>
        <v>Tunisia</v>
      </c>
      <c r="G310" s="1" t="str">
        <f ca="1">IFERROR(__xludf.DUMMYFUNCTION("""COMPUTED_VALUE"""),"Second 76.24 Tunisia")</f>
        <v>Second 76.24 Tunisia</v>
      </c>
      <c r="H310" s="1" t="str">
        <f ca="1">IFERROR(__xludf.DUMMYFUNCTION("""COMPUTED_VALUE"""),"Freedom of Expression, Human Rights Defenders")</f>
        <v>Freedom of Expression, Human Rights Defenders</v>
      </c>
      <c r="I310" s="1" t="str">
        <f ca="1">IFERROR(__xludf.DUMMYFUNCTION("""COMPUTED_VALUE"""),"2025")</f>
        <v>2025</v>
      </c>
      <c r="J310" s="1" t="str">
        <f ca="1">IFERROR(__xludf.DUMMYFUNCTION("""COMPUTED_VALUE"""),"Email")</f>
        <v>Email</v>
      </c>
    </row>
    <row r="311" spans="1:10" ht="13" x14ac:dyDescent="0.15">
      <c r="A311" s="4">
        <f ca="1">IFERROR(__xludf.DUMMYFUNCTION("""COMPUTED_VALUE"""),30708031)</f>
        <v>30708031</v>
      </c>
      <c r="B311" s="1" t="str">
        <f ca="1">IFERROR(__xludf.DUMMYFUNCTION("""COMPUTED_VALUE"""),"gino.morelli@gmail.com")</f>
        <v>gino.morelli@gmail.com</v>
      </c>
      <c r="C311" s="4" t="str">
        <f ca="1">IFERROR(__xludf.DUMMYFUNCTION("""COMPUTED_VALUE"""),"EVERGREEN - UAN Gated Content - Embedded Petition")</f>
        <v>EVERGREEN - UAN Gated Content - Embedded Petition</v>
      </c>
      <c r="D311" s="5">
        <f ca="1">IFERROR(__xludf.DUMMYFUNCTION("""COMPUTED_VALUE"""),45637)</f>
        <v>45637</v>
      </c>
      <c r="F311" s="1" t="str">
        <f ca="1">IFERROR(__xludf.DUMMYFUNCTION("""COMPUTED_VALUE"""),"Tunisia")</f>
        <v>Tunisia</v>
      </c>
      <c r="G311" s="1" t="str">
        <f ca="1">IFERROR(__xludf.DUMMYFUNCTION("""COMPUTED_VALUE"""),"Second 76.24 Tunisia")</f>
        <v>Second 76.24 Tunisia</v>
      </c>
      <c r="H311" s="1" t="str">
        <f ca="1">IFERROR(__xludf.DUMMYFUNCTION("""COMPUTED_VALUE"""),"Freedom of Expression, Human Rights Defenders")</f>
        <v>Freedom of Expression, Human Rights Defenders</v>
      </c>
      <c r="I311" s="1" t="str">
        <f ca="1">IFERROR(__xludf.DUMMYFUNCTION("""COMPUTED_VALUE"""),"2025")</f>
        <v>2025</v>
      </c>
      <c r="J311" s="1" t="str">
        <f ca="1">IFERROR(__xludf.DUMMYFUNCTION("""COMPUTED_VALUE"""),"Email")</f>
        <v>Email</v>
      </c>
    </row>
    <row r="312" spans="1:10" ht="13" x14ac:dyDescent="0.15">
      <c r="A312" s="4">
        <f ca="1">IFERROR(__xludf.DUMMYFUNCTION("""COMPUTED_VALUE"""),30708031)</f>
        <v>30708031</v>
      </c>
      <c r="B312" s="1" t="str">
        <f ca="1">IFERROR(__xludf.DUMMYFUNCTION("""COMPUTED_VALUE"""),"gino.morelli@gmail.com")</f>
        <v>gino.morelli@gmail.com</v>
      </c>
      <c r="C312" s="4" t="str">
        <f ca="1">IFERROR(__xludf.DUMMYFUNCTION("""COMPUTED_VALUE"""),"EVERGREEN - UAN Gated Content - Embedded Petition")</f>
        <v>EVERGREEN - UAN Gated Content - Embedded Petition</v>
      </c>
      <c r="D312" s="5">
        <f ca="1">IFERROR(__xludf.DUMMYFUNCTION("""COMPUTED_VALUE"""),45637)</f>
        <v>45637</v>
      </c>
      <c r="F312" s="1" t="str">
        <f ca="1">IFERROR(__xludf.DUMMYFUNCTION("""COMPUTED_VALUE"""),"USA")</f>
        <v>USA</v>
      </c>
      <c r="G312" s="1" t="str">
        <f ca="1">IFERROR(__xludf.DUMMYFUNCTION("""COMPUTED_VALUE"""),"4.25 USA")</f>
        <v>4.25 USA</v>
      </c>
      <c r="H312" s="1" t="str">
        <f ca="1">IFERROR(__xludf.DUMMYFUNCTION("""COMPUTED_VALUE"""),"Individuals At Risk, Refugee and Migrant Rights")</f>
        <v>Individuals At Risk, Refugee and Migrant Rights</v>
      </c>
      <c r="I312" s="1" t="str">
        <f ca="1">IFERROR(__xludf.DUMMYFUNCTION("""COMPUTED_VALUE"""),"2025")</f>
        <v>2025</v>
      </c>
      <c r="J312" s="1" t="str">
        <f ca="1">IFERROR(__xludf.DUMMYFUNCTION("""COMPUTED_VALUE"""),"Letter")</f>
        <v>Letter</v>
      </c>
    </row>
    <row r="313" spans="1:10" ht="13" x14ac:dyDescent="0.15">
      <c r="A313" s="4">
        <f ca="1">IFERROR(__xludf.DUMMYFUNCTION("""COMPUTED_VALUE"""),30708031)</f>
        <v>30708031</v>
      </c>
      <c r="B313" s="1" t="str">
        <f ca="1">IFERROR(__xludf.DUMMYFUNCTION("""COMPUTED_VALUE"""),"gino.morelli@gmail.com")</f>
        <v>gino.morelli@gmail.com</v>
      </c>
      <c r="C313" s="4" t="str">
        <f ca="1">IFERROR(__xludf.DUMMYFUNCTION("""COMPUTED_VALUE"""),"EVERGREEN - UAN Gated Content - Embedded Petition")</f>
        <v>EVERGREEN - UAN Gated Content - Embedded Petition</v>
      </c>
      <c r="D313" s="5">
        <f ca="1">IFERROR(__xludf.DUMMYFUNCTION("""COMPUTED_VALUE"""),45637)</f>
        <v>45637</v>
      </c>
      <c r="F313" s="1" t="str">
        <f ca="1">IFERROR(__xludf.DUMMYFUNCTION("""COMPUTED_VALUE"""),"Tunisia")</f>
        <v>Tunisia</v>
      </c>
      <c r="G313" s="1" t="str">
        <f ca="1">IFERROR(__xludf.DUMMYFUNCTION("""COMPUTED_VALUE"""),"Second 76.24 Tunisia")</f>
        <v>Second 76.24 Tunisia</v>
      </c>
      <c r="H313" s="1" t="str">
        <f ca="1">IFERROR(__xludf.DUMMYFUNCTION("""COMPUTED_VALUE"""),"Freedom of Expression, Human Rights Defenders")</f>
        <v>Freedom of Expression, Human Rights Defenders</v>
      </c>
      <c r="I313" s="1" t="str">
        <f ca="1">IFERROR(__xludf.DUMMYFUNCTION("""COMPUTED_VALUE"""),"2025")</f>
        <v>2025</v>
      </c>
      <c r="J313" s="1" t="str">
        <f ca="1">IFERROR(__xludf.DUMMYFUNCTION("""COMPUTED_VALUE"""),"Email")</f>
        <v>Email</v>
      </c>
    </row>
    <row r="314" spans="1:10" ht="13" x14ac:dyDescent="0.15">
      <c r="A314" s="4">
        <f ca="1">IFERROR(__xludf.DUMMYFUNCTION("""COMPUTED_VALUE"""),30708599)</f>
        <v>30708599</v>
      </c>
      <c r="B314" s="1" t="str">
        <f ca="1">IFERROR(__xludf.DUMMYFUNCTION("""COMPUTED_VALUE"""),"barbnjoe@sbcglobal.net")</f>
        <v>barbnjoe@sbcglobal.net</v>
      </c>
      <c r="C314" s="4" t="str">
        <f ca="1">IFERROR(__xludf.DUMMYFUNCTION("""COMPUTED_VALUE"""),"EVERGREEN - UAN Gated Content - Embedded Petition")</f>
        <v>EVERGREEN - UAN Gated Content - Embedded Petition</v>
      </c>
      <c r="D314" s="5">
        <f ca="1">IFERROR(__xludf.DUMMYFUNCTION("""COMPUTED_VALUE"""),45676)</f>
        <v>45676</v>
      </c>
      <c r="F314" s="1" t="str">
        <f ca="1">IFERROR(__xludf.DUMMYFUNCTION("""COMPUTED_VALUE"""),"Tunisia")</f>
        <v>Tunisia</v>
      </c>
      <c r="G314" s="1" t="str">
        <f ca="1">IFERROR(__xludf.DUMMYFUNCTION("""COMPUTED_VALUE"""),"Second 76.24 Tunisia")</f>
        <v>Second 76.24 Tunisia</v>
      </c>
      <c r="H314" s="1" t="str">
        <f ca="1">IFERROR(__xludf.DUMMYFUNCTION("""COMPUTED_VALUE"""),"Freedom of Expression, Human Rights Defenders")</f>
        <v>Freedom of Expression, Human Rights Defenders</v>
      </c>
      <c r="I314" s="1" t="str">
        <f ca="1">IFERROR(__xludf.DUMMYFUNCTION("""COMPUTED_VALUE"""),"2025")</f>
        <v>2025</v>
      </c>
      <c r="J314" s="1" t="str">
        <f ca="1">IFERROR(__xludf.DUMMYFUNCTION("""COMPUTED_VALUE"""),"Email")</f>
        <v>Email</v>
      </c>
    </row>
    <row r="315" spans="1:10" ht="13" x14ac:dyDescent="0.15">
      <c r="A315" s="4">
        <f ca="1">IFERROR(__xludf.DUMMYFUNCTION("""COMPUTED_VALUE"""),30708599)</f>
        <v>30708599</v>
      </c>
      <c r="B315" s="1" t="str">
        <f ca="1">IFERROR(__xludf.DUMMYFUNCTION("""COMPUTED_VALUE"""),"barbnjoe@sbcglobal.net")</f>
        <v>barbnjoe@sbcglobal.net</v>
      </c>
      <c r="C315" s="4" t="str">
        <f ca="1">IFERROR(__xludf.DUMMYFUNCTION("""COMPUTED_VALUE"""),"EVERGREEN - UAN Gated Content - Embedded Petition")</f>
        <v>EVERGREEN - UAN Gated Content - Embedded Petition</v>
      </c>
      <c r="D315" s="5">
        <f ca="1">IFERROR(__xludf.DUMMYFUNCTION("""COMPUTED_VALUE"""),45697)</f>
        <v>45697</v>
      </c>
      <c r="F315" s="1" t="str">
        <f ca="1">IFERROR(__xludf.DUMMYFUNCTION("""COMPUTED_VALUE"""),"USA")</f>
        <v>USA</v>
      </c>
      <c r="G315" s="1" t="str">
        <f ca="1">IFERROR(__xludf.DUMMYFUNCTION("""COMPUTED_VALUE"""),"96.24 USA")</f>
        <v>96.24 USA</v>
      </c>
      <c r="H315" s="1" t="str">
        <f ca="1">IFERROR(__xludf.DUMMYFUNCTION("""COMPUTED_VALUE"""),"Death Penalty")</f>
        <v>Death Penalty</v>
      </c>
      <c r="I315" s="1" t="str">
        <f ca="1">IFERROR(__xludf.DUMMYFUNCTION("""COMPUTED_VALUE"""),"2024")</f>
        <v>2024</v>
      </c>
      <c r="J315" s="1" t="str">
        <f ca="1">IFERROR(__xludf.DUMMYFUNCTION("""COMPUTED_VALUE"""),"Email")</f>
        <v>Email</v>
      </c>
    </row>
    <row r="316" spans="1:10" ht="13" x14ac:dyDescent="0.15">
      <c r="A316" s="4">
        <f ca="1">IFERROR(__xludf.DUMMYFUNCTION("""COMPUTED_VALUE"""),30719469)</f>
        <v>30719469</v>
      </c>
      <c r="B316" s="1" t="str">
        <f ca="1">IFERROR(__xludf.DUMMYFUNCTION("""COMPUTED_VALUE"""),"shodo.spring@gmail.com")</f>
        <v>shodo.spring@gmail.com</v>
      </c>
      <c r="C316" s="4" t="str">
        <f ca="1">IFERROR(__xludf.DUMMYFUNCTION("""COMPUTED_VALUE"""),"EVERGREEN - UAN Gated Content - Embedded Petition")</f>
        <v>EVERGREEN - UAN Gated Content - Embedded Petition</v>
      </c>
      <c r="D316" s="5">
        <f ca="1">IFERROR(__xludf.DUMMYFUNCTION("""COMPUTED_VALUE"""),45694)</f>
        <v>45694</v>
      </c>
      <c r="F316" s="1" t="str">
        <f ca="1">IFERROR(__xludf.DUMMYFUNCTION("""COMPUTED_VALUE"""),"China")</f>
        <v>China</v>
      </c>
      <c r="G316" s="1" t="str">
        <f ca="1">IFERROR(__xludf.DUMMYFUNCTION("""COMPUTED_VALUE"""),"98.24 China")</f>
        <v>98.24 China</v>
      </c>
      <c r="H316" s="1" t="str">
        <f ca="1">IFERROR(__xludf.DUMMYFUNCTION("""COMPUTED_VALUE"""),"Freedom of Expression, Individuals At Risk")</f>
        <v>Freedom of Expression, Individuals At Risk</v>
      </c>
      <c r="I316" s="1" t="str">
        <f ca="1">IFERROR(__xludf.DUMMYFUNCTION("""COMPUTED_VALUE"""),"2024")</f>
        <v>2024</v>
      </c>
      <c r="J316" s="1" t="str">
        <f ca="1">IFERROR(__xludf.DUMMYFUNCTION("""COMPUTED_VALUE"""),"Letter")</f>
        <v>Letter</v>
      </c>
    </row>
    <row r="317" spans="1:10" ht="13" x14ac:dyDescent="0.15">
      <c r="A317" s="4">
        <f ca="1">IFERROR(__xludf.DUMMYFUNCTION("""COMPUTED_VALUE"""),30719469)</f>
        <v>30719469</v>
      </c>
      <c r="B317" s="1" t="str">
        <f ca="1">IFERROR(__xludf.DUMMYFUNCTION("""COMPUTED_VALUE"""),"shodo.spring@gmail.com")</f>
        <v>shodo.spring@gmail.com</v>
      </c>
      <c r="C317" s="4" t="str">
        <f ca="1">IFERROR(__xludf.DUMMYFUNCTION("""COMPUTED_VALUE"""),"EVERGREEN - UAN Gated Content - Embedded Petition")</f>
        <v>EVERGREEN - UAN Gated Content - Embedded Petition</v>
      </c>
      <c r="D317" s="5">
        <f ca="1">IFERROR(__xludf.DUMMYFUNCTION("""COMPUTED_VALUE"""),45672)</f>
        <v>45672</v>
      </c>
      <c r="F317" s="1" t="str">
        <f ca="1">IFERROR(__xludf.DUMMYFUNCTION("""COMPUTED_VALUE"""),"China")</f>
        <v>China</v>
      </c>
      <c r="G317" s="1" t="str">
        <f ca="1">IFERROR(__xludf.DUMMYFUNCTION("""COMPUTED_VALUE"""),"98.24 China")</f>
        <v>98.24 China</v>
      </c>
      <c r="H317" s="1" t="str">
        <f ca="1">IFERROR(__xludf.DUMMYFUNCTION("""COMPUTED_VALUE"""),"Freedom of Expression, Individuals At Risk")</f>
        <v>Freedom of Expression, Individuals At Risk</v>
      </c>
      <c r="I317" s="1" t="str">
        <f ca="1">IFERROR(__xludf.DUMMYFUNCTION("""COMPUTED_VALUE"""),"2024")</f>
        <v>2024</v>
      </c>
      <c r="J317" s="1" t="str">
        <f ca="1">IFERROR(__xludf.DUMMYFUNCTION("""COMPUTED_VALUE"""),"Letter")</f>
        <v>Letter</v>
      </c>
    </row>
    <row r="318" spans="1:10" ht="13" x14ac:dyDescent="0.15">
      <c r="A318" s="4">
        <f ca="1">IFERROR(__xludf.DUMMYFUNCTION("""COMPUTED_VALUE"""),30721822)</f>
        <v>30721822</v>
      </c>
      <c r="B318" s="1" t="str">
        <f ca="1">IFERROR(__xludf.DUMMYFUNCTION("""COMPUTED_VALUE"""),"sharareh.hashemy@gmail.com")</f>
        <v>sharareh.hashemy@gmail.com</v>
      </c>
      <c r="C318" s="4" t="str">
        <f ca="1">IFERROR(__xludf.DUMMYFUNCTION("""COMPUTED_VALUE"""),"EVERGREEN - UAN Gated Content - Embedded Petition")</f>
        <v>EVERGREEN - UAN Gated Content - Embedded Petition</v>
      </c>
      <c r="D318" s="5">
        <f ca="1">IFERROR(__xludf.DUMMYFUNCTION("""COMPUTED_VALUE"""),45673)</f>
        <v>45673</v>
      </c>
      <c r="F318" s="1" t="str">
        <f ca="1">IFERROR(__xludf.DUMMYFUNCTION("""COMPUTED_VALUE"""),"Uganda")</f>
        <v>Uganda</v>
      </c>
      <c r="G318" s="1" t="str">
        <f ca="1">IFERROR(__xludf.DUMMYFUNCTION("""COMPUTED_VALUE"""),"9.25 Uganda")</f>
        <v>9.25 Uganda</v>
      </c>
      <c r="H318" s="1" t="str">
        <f ca="1">IFERROR(__xludf.DUMMYFUNCTION("""COMPUTED_VALUE"""),"Freedom of Expression, Human Rights Defenders")</f>
        <v>Freedom of Expression, Human Rights Defenders</v>
      </c>
      <c r="I318" s="1" t="str">
        <f ca="1">IFERROR(__xludf.DUMMYFUNCTION("""COMPUTED_VALUE"""),"2025")</f>
        <v>2025</v>
      </c>
      <c r="J318" s="1" t="str">
        <f ca="1">IFERROR(__xludf.DUMMYFUNCTION("""COMPUTED_VALUE"""),"Email")</f>
        <v>Email</v>
      </c>
    </row>
    <row r="319" spans="1:10" ht="13" x14ac:dyDescent="0.15">
      <c r="A319" s="4">
        <f ca="1">IFERROR(__xludf.DUMMYFUNCTION("""COMPUTED_VALUE"""),30735844)</f>
        <v>30735844</v>
      </c>
      <c r="B319" s="1" t="str">
        <f ca="1">IFERROR(__xludf.DUMMYFUNCTION("""COMPUTED_VALUE"""),"shulingsu1@gmail.com")</f>
        <v>shulingsu1@gmail.com</v>
      </c>
      <c r="C319" s="4" t="str">
        <f ca="1">IFERROR(__xludf.DUMMYFUNCTION("""COMPUTED_VALUE"""),"EVERGREEN - UAN Gated Content - Embedded Petition")</f>
        <v>EVERGREEN - UAN Gated Content - Embedded Petition</v>
      </c>
      <c r="D319" s="5">
        <f ca="1">IFERROR(__xludf.DUMMYFUNCTION("""COMPUTED_VALUE"""),45636)</f>
        <v>45636</v>
      </c>
      <c r="F319" s="1" t="str">
        <f ca="1">IFERROR(__xludf.DUMMYFUNCTION("""COMPUTED_VALUE"""),"Venezuela")</f>
        <v>Venezuela</v>
      </c>
      <c r="G319" s="1" t="str">
        <f ca="1">IFERROR(__xludf.DUMMYFUNCTION("""COMPUTED_VALUE"""),"97.24 Venezuela")</f>
        <v>97.24 Venezuela</v>
      </c>
      <c r="H319" s="1" t="str">
        <f ca="1">IFERROR(__xludf.DUMMYFUNCTION("""COMPUTED_VALUE"""),"Freedom of Expression")</f>
        <v>Freedom of Expression</v>
      </c>
      <c r="I319" s="1" t="str">
        <f ca="1">IFERROR(__xludf.DUMMYFUNCTION("""COMPUTED_VALUE"""),"2024")</f>
        <v>2024</v>
      </c>
      <c r="J319" s="1" t="str">
        <f ca="1">IFERROR(__xludf.DUMMYFUNCTION("""COMPUTED_VALUE"""),"Letter")</f>
        <v>Letter</v>
      </c>
    </row>
    <row r="320" spans="1:10" ht="13" x14ac:dyDescent="0.15">
      <c r="A320" s="4">
        <f ca="1">IFERROR(__xludf.DUMMYFUNCTION("""COMPUTED_VALUE"""),30735844)</f>
        <v>30735844</v>
      </c>
      <c r="B320" s="1" t="str">
        <f ca="1">IFERROR(__xludf.DUMMYFUNCTION("""COMPUTED_VALUE"""),"shulingsu1@gmail.com")</f>
        <v>shulingsu1@gmail.com</v>
      </c>
      <c r="C320" s="4" t="str">
        <f ca="1">IFERROR(__xludf.DUMMYFUNCTION("""COMPUTED_VALUE"""),"EVERGREEN - UAN Gated Content - Embedded Petition")</f>
        <v>EVERGREEN - UAN Gated Content - Embedded Petition</v>
      </c>
      <c r="D320" s="5">
        <f ca="1">IFERROR(__xludf.DUMMYFUNCTION("""COMPUTED_VALUE"""),45636)</f>
        <v>45636</v>
      </c>
      <c r="F320" s="1" t="str">
        <f ca="1">IFERROR(__xludf.DUMMYFUNCTION("""COMPUTED_VALUE"""),"Saudi Arabia")</f>
        <v>Saudi Arabia</v>
      </c>
      <c r="G320" s="1" t="str">
        <f ca="1">IFERROR(__xludf.DUMMYFUNCTION("""COMPUTED_VALUE"""),"Second 85.23 Saudi Arabia")</f>
        <v>Second 85.23 Saudi Arabia</v>
      </c>
      <c r="H320" s="1" t="str">
        <f ca="1">IFERROR(__xludf.DUMMYFUNCTION("""COMPUTED_VALUE"""),"Freedom of Expression")</f>
        <v>Freedom of Expression</v>
      </c>
      <c r="I320" s="1" t="str">
        <f ca="1">IFERROR(__xludf.DUMMYFUNCTION("""COMPUTED_VALUE"""),"2024")</f>
        <v>2024</v>
      </c>
      <c r="J320" s="1" t="str">
        <f ca="1">IFERROR(__xludf.DUMMYFUNCTION("""COMPUTED_VALUE"""),"Letter")</f>
        <v>Letter</v>
      </c>
    </row>
    <row r="321" spans="1:10" ht="13" x14ac:dyDescent="0.15">
      <c r="A321" s="4">
        <f ca="1">IFERROR(__xludf.DUMMYFUNCTION("""COMPUTED_VALUE"""),30735844)</f>
        <v>30735844</v>
      </c>
      <c r="B321" s="1" t="str">
        <f ca="1">IFERROR(__xludf.DUMMYFUNCTION("""COMPUTED_VALUE"""),"shulingsu1@gmail.com")</f>
        <v>shulingsu1@gmail.com</v>
      </c>
      <c r="C321" s="4" t="str">
        <f ca="1">IFERROR(__xludf.DUMMYFUNCTION("""COMPUTED_VALUE"""),"EVERGREEN - UAN Gated Content - Embedded Petition")</f>
        <v>EVERGREEN - UAN Gated Content - Embedded Petition</v>
      </c>
      <c r="D321" s="5">
        <f ca="1">IFERROR(__xludf.DUMMYFUNCTION("""COMPUTED_VALUE"""),45636)</f>
        <v>45636</v>
      </c>
      <c r="F321" s="1" t="str">
        <f ca="1">IFERROR(__xludf.DUMMYFUNCTION("""COMPUTED_VALUE"""),"Egypt")</f>
        <v>Egypt</v>
      </c>
      <c r="G321" s="1" t="str">
        <f ca="1">IFERROR(__xludf.DUMMYFUNCTION("""COMPUTED_VALUE"""),"Ninth 190.18 Egypt")</f>
        <v>Ninth 190.18 Egypt</v>
      </c>
      <c r="H321" s="1" t="str">
        <f ca="1">IFERROR(__xludf.DUMMYFUNCTION("""COMPUTED_VALUE"""),"Freedom of Expression, Individuals At Risk")</f>
        <v>Freedom of Expression, Individuals At Risk</v>
      </c>
      <c r="I321" s="1" t="str">
        <f ca="1">IFERROR(__xludf.DUMMYFUNCTION("""COMPUTED_VALUE"""),"2024")</f>
        <v>2024</v>
      </c>
      <c r="J321" s="1" t="str">
        <f ca="1">IFERROR(__xludf.DUMMYFUNCTION("""COMPUTED_VALUE"""),"Letter")</f>
        <v>Letter</v>
      </c>
    </row>
    <row r="322" spans="1:10" ht="13" x14ac:dyDescent="0.15">
      <c r="A322" s="4">
        <f ca="1">IFERROR(__xludf.DUMMYFUNCTION("""COMPUTED_VALUE"""),30735844)</f>
        <v>30735844</v>
      </c>
      <c r="B322" s="1" t="str">
        <f ca="1">IFERROR(__xludf.DUMMYFUNCTION("""COMPUTED_VALUE"""),"shulingsu1@gmail.com")</f>
        <v>shulingsu1@gmail.com</v>
      </c>
      <c r="C322" s="4" t="str">
        <f ca="1">IFERROR(__xludf.DUMMYFUNCTION("""COMPUTED_VALUE"""),"EVERGREEN - UAN Gated Content - Embedded Petition")</f>
        <v>EVERGREEN - UAN Gated Content - Embedded Petition</v>
      </c>
      <c r="D322" s="5">
        <f ca="1">IFERROR(__xludf.DUMMYFUNCTION("""COMPUTED_VALUE"""),45636)</f>
        <v>45636</v>
      </c>
      <c r="F322" s="1" t="str">
        <f ca="1">IFERROR(__xludf.DUMMYFUNCTION("""COMPUTED_VALUE"""),"Saudi Arabia")</f>
        <v>Saudi Arabia</v>
      </c>
      <c r="G322" s="1" t="str">
        <f ca="1">IFERROR(__xludf.DUMMYFUNCTION("""COMPUTED_VALUE"""),"Second 85.23 Saudi Arabia")</f>
        <v>Second 85.23 Saudi Arabia</v>
      </c>
      <c r="H322" s="1" t="str">
        <f ca="1">IFERROR(__xludf.DUMMYFUNCTION("""COMPUTED_VALUE"""),"Freedom of Expression")</f>
        <v>Freedom of Expression</v>
      </c>
      <c r="I322" s="1" t="str">
        <f ca="1">IFERROR(__xludf.DUMMYFUNCTION("""COMPUTED_VALUE"""),"2024")</f>
        <v>2024</v>
      </c>
      <c r="J322" s="1" t="str">
        <f ca="1">IFERROR(__xludf.DUMMYFUNCTION("""COMPUTED_VALUE"""),"Letter")</f>
        <v>Letter</v>
      </c>
    </row>
    <row r="323" spans="1:10" ht="13" x14ac:dyDescent="0.15">
      <c r="A323" s="4">
        <f ca="1">IFERROR(__xludf.DUMMYFUNCTION("""COMPUTED_VALUE"""),30735844)</f>
        <v>30735844</v>
      </c>
      <c r="B323" s="1" t="str">
        <f ca="1">IFERROR(__xludf.DUMMYFUNCTION("""COMPUTED_VALUE"""),"shulingsu1@gmail.com")</f>
        <v>shulingsu1@gmail.com</v>
      </c>
      <c r="C323" s="4" t="str">
        <f ca="1">IFERROR(__xludf.DUMMYFUNCTION("""COMPUTED_VALUE"""),"EVERGREEN - UAN Gated Content - Embedded Petition")</f>
        <v>EVERGREEN - UAN Gated Content - Embedded Petition</v>
      </c>
      <c r="D323" s="5">
        <f ca="1">IFERROR(__xludf.DUMMYFUNCTION("""COMPUTED_VALUE"""),45636)</f>
        <v>45636</v>
      </c>
      <c r="F323" s="1" t="str">
        <f ca="1">IFERROR(__xludf.DUMMYFUNCTION("""COMPUTED_VALUE"""),"Canada")</f>
        <v>Canada</v>
      </c>
      <c r="G323" s="1" t="str">
        <f ca="1">IFERROR(__xludf.DUMMYFUNCTION("""COMPUTED_VALUE"""),"99.24 Canada")</f>
        <v>99.24 Canada</v>
      </c>
      <c r="H323" s="1" t="str">
        <f ca="1">IFERROR(__xludf.DUMMYFUNCTION("""COMPUTED_VALUE"""),"Climate Justice, Indigenous Rights, Right to Protest")</f>
        <v>Climate Justice, Indigenous Rights, Right to Protest</v>
      </c>
      <c r="I323" s="1" t="str">
        <f ca="1">IFERROR(__xludf.DUMMYFUNCTION("""COMPUTED_VALUE"""),"2024")</f>
        <v>2024</v>
      </c>
      <c r="J323" s="1" t="str">
        <f ca="1">IFERROR(__xludf.DUMMYFUNCTION("""COMPUTED_VALUE"""),"Letter")</f>
        <v>Letter</v>
      </c>
    </row>
    <row r="324" spans="1:10" ht="13" x14ac:dyDescent="0.15">
      <c r="A324" s="4">
        <f ca="1">IFERROR(__xludf.DUMMYFUNCTION("""COMPUTED_VALUE"""),30735844)</f>
        <v>30735844</v>
      </c>
      <c r="B324" s="1" t="str">
        <f ca="1">IFERROR(__xludf.DUMMYFUNCTION("""COMPUTED_VALUE"""),"shulingsu1@gmail.com")</f>
        <v>shulingsu1@gmail.com</v>
      </c>
      <c r="C324" s="4" t="str">
        <f ca="1">IFERROR(__xludf.DUMMYFUNCTION("""COMPUTED_VALUE"""),"EVERGREEN - UAN Gated Content - Embedded Petition")</f>
        <v>EVERGREEN - UAN Gated Content - Embedded Petition</v>
      </c>
      <c r="D324" s="5">
        <f ca="1">IFERROR(__xludf.DUMMYFUNCTION("""COMPUTED_VALUE"""),45636)</f>
        <v>45636</v>
      </c>
      <c r="F324" s="1" t="str">
        <f ca="1">IFERROR(__xludf.DUMMYFUNCTION("""COMPUTED_VALUE"""),"Canada")</f>
        <v>Canada</v>
      </c>
      <c r="G324" s="1" t="str">
        <f ca="1">IFERROR(__xludf.DUMMYFUNCTION("""COMPUTED_VALUE"""),"99.24 Canada")</f>
        <v>99.24 Canada</v>
      </c>
      <c r="H324" s="1" t="str">
        <f ca="1">IFERROR(__xludf.DUMMYFUNCTION("""COMPUTED_VALUE"""),"Climate Justice, Indigenous Rights, Right to Protest")</f>
        <v>Climate Justice, Indigenous Rights, Right to Protest</v>
      </c>
      <c r="I324" s="1" t="str">
        <f ca="1">IFERROR(__xludf.DUMMYFUNCTION("""COMPUTED_VALUE"""),"2024")</f>
        <v>2024</v>
      </c>
      <c r="J324" s="1" t="str">
        <f ca="1">IFERROR(__xludf.DUMMYFUNCTION("""COMPUTED_VALUE"""),"Letter")</f>
        <v>Letter</v>
      </c>
    </row>
    <row r="325" spans="1:10" ht="13" x14ac:dyDescent="0.15">
      <c r="A325" s="4">
        <f ca="1">IFERROR(__xludf.DUMMYFUNCTION("""COMPUTED_VALUE"""),30735844)</f>
        <v>30735844</v>
      </c>
      <c r="B325" s="1" t="str">
        <f ca="1">IFERROR(__xludf.DUMMYFUNCTION("""COMPUTED_VALUE"""),"shulingsu1@gmail.com")</f>
        <v>shulingsu1@gmail.com</v>
      </c>
      <c r="C325" s="4" t="str">
        <f ca="1">IFERROR(__xludf.DUMMYFUNCTION("""COMPUTED_VALUE"""),"EVERGREEN - UAN Gated Content - Embedded Petition")</f>
        <v>EVERGREEN - UAN Gated Content - Embedded Petition</v>
      </c>
      <c r="D325" s="5">
        <f ca="1">IFERROR(__xludf.DUMMYFUNCTION("""COMPUTED_VALUE"""),45636)</f>
        <v>45636</v>
      </c>
      <c r="F325" s="1" t="str">
        <f ca="1">IFERROR(__xludf.DUMMYFUNCTION("""COMPUTED_VALUE"""),"Russian Federation")</f>
        <v>Russian Federation</v>
      </c>
      <c r="G325" s="1" t="str">
        <f ca="1">IFERROR(__xludf.DUMMYFUNCTION("""COMPUTED_VALUE"""),"Second 23.24 Russia")</f>
        <v>Second 23.24 Russia</v>
      </c>
      <c r="H325" s="1" t="str">
        <f ca="1">IFERROR(__xludf.DUMMYFUNCTION("""COMPUTED_VALUE"""),"Freedom of Expression")</f>
        <v>Freedom of Expression</v>
      </c>
      <c r="I325" s="1" t="str">
        <f ca="1">IFERROR(__xludf.DUMMYFUNCTION("""COMPUTED_VALUE"""),"2024")</f>
        <v>2024</v>
      </c>
      <c r="J325" s="1" t="str">
        <f ca="1">IFERROR(__xludf.DUMMYFUNCTION("""COMPUTED_VALUE"""),"Letter")</f>
        <v>Letter</v>
      </c>
    </row>
    <row r="326" spans="1:10" ht="13" x14ac:dyDescent="0.15">
      <c r="A326" s="4">
        <f ca="1">IFERROR(__xludf.DUMMYFUNCTION("""COMPUTED_VALUE"""),30735844)</f>
        <v>30735844</v>
      </c>
      <c r="B326" s="1" t="str">
        <f ca="1">IFERROR(__xludf.DUMMYFUNCTION("""COMPUTED_VALUE"""),"shulingsu1@gmail.com")</f>
        <v>shulingsu1@gmail.com</v>
      </c>
      <c r="C326" s="4" t="str">
        <f ca="1">IFERROR(__xludf.DUMMYFUNCTION("""COMPUTED_VALUE"""),"EVERGREEN - UAN Gated Content - Embedded Petition")</f>
        <v>EVERGREEN - UAN Gated Content - Embedded Petition</v>
      </c>
      <c r="D326" s="5">
        <f ca="1">IFERROR(__xludf.DUMMYFUNCTION("""COMPUTED_VALUE"""),45636)</f>
        <v>45636</v>
      </c>
      <c r="F326" s="1" t="str">
        <f ca="1">IFERROR(__xludf.DUMMYFUNCTION("""COMPUTED_VALUE"""),"China")</f>
        <v>China</v>
      </c>
      <c r="G326" s="1" t="str">
        <f ca="1">IFERROR(__xludf.DUMMYFUNCTION("""COMPUTED_VALUE"""),"106.24 China")</f>
        <v>106.24 China</v>
      </c>
      <c r="H326" s="1" t="str">
        <f ca="1">IFERROR(__xludf.DUMMYFUNCTION("""COMPUTED_VALUE"""),"Freedom of Expression, Individuals At Risk")</f>
        <v>Freedom of Expression, Individuals At Risk</v>
      </c>
      <c r="I326" s="1" t="str">
        <f ca="1">IFERROR(__xludf.DUMMYFUNCTION("""COMPUTED_VALUE"""),"2024")</f>
        <v>2024</v>
      </c>
      <c r="J326" s="1" t="str">
        <f ca="1">IFERROR(__xludf.DUMMYFUNCTION("""COMPUTED_VALUE"""),"Email")</f>
        <v>Email</v>
      </c>
    </row>
    <row r="327" spans="1:10" ht="13" x14ac:dyDescent="0.15">
      <c r="A327" s="4">
        <f ca="1">IFERROR(__xludf.DUMMYFUNCTION("""COMPUTED_VALUE"""),30735844)</f>
        <v>30735844</v>
      </c>
      <c r="B327" s="1" t="str">
        <f ca="1">IFERROR(__xludf.DUMMYFUNCTION("""COMPUTED_VALUE"""),"shulingsu1@gmail.com")</f>
        <v>shulingsu1@gmail.com</v>
      </c>
      <c r="C327" s="4" t="str">
        <f ca="1">IFERROR(__xludf.DUMMYFUNCTION("""COMPUTED_VALUE"""),"EVERGREEN - Website Email Capture Form - UAN Pre-Footer")</f>
        <v>EVERGREEN - Website Email Capture Form - UAN Pre-Footer</v>
      </c>
      <c r="D327" s="5">
        <f ca="1">IFERROR(__xludf.DUMMYFUNCTION("""COMPUTED_VALUE"""),45636)</f>
        <v>45636</v>
      </c>
      <c r="F327" s="1" t="str">
        <f ca="1">IFERROR(__xludf.DUMMYFUNCTION("""COMPUTED_VALUE"""),"Tunisia")</f>
        <v>Tunisia</v>
      </c>
      <c r="G327" s="1" t="str">
        <f ca="1">IFERROR(__xludf.DUMMYFUNCTION("""COMPUTED_VALUE"""),"Second 43.24 Tunisia")</f>
        <v>Second 43.24 Tunisia</v>
      </c>
      <c r="H327" s="1" t="str">
        <f ca="1">IFERROR(__xludf.DUMMYFUNCTION("""COMPUTED_VALUE"""),"Freedom of Expression, Individuals At Risk")</f>
        <v>Freedom of Expression, Individuals At Risk</v>
      </c>
      <c r="I327" s="1" t="str">
        <f ca="1">IFERROR(__xludf.DUMMYFUNCTION("""COMPUTED_VALUE"""),"2024")</f>
        <v>2024</v>
      </c>
      <c r="J327" s="1" t="str">
        <f ca="1">IFERROR(__xludf.DUMMYFUNCTION("""COMPUTED_VALUE"""),"Email")</f>
        <v>Email</v>
      </c>
    </row>
    <row r="328" spans="1:10" ht="13" x14ac:dyDescent="0.15">
      <c r="A328" s="4">
        <f ca="1">IFERROR(__xludf.DUMMYFUNCTION("""COMPUTED_VALUE"""),30739874)</f>
        <v>30739874</v>
      </c>
      <c r="B328" s="1" t="str">
        <f ca="1">IFERROR(__xludf.DUMMYFUNCTION("""COMPUTED_VALUE"""),"lauran68@gmail.com")</f>
        <v>lauran68@gmail.com</v>
      </c>
      <c r="C328" s="4" t="str">
        <f ca="1">IFERROR(__xludf.DUMMYFUNCTION("""COMPUTED_VALUE"""),"EVERGREEN - UAN Gated Content - Embedded Petition")</f>
        <v>EVERGREEN - UAN Gated Content - Embedded Petition</v>
      </c>
      <c r="D328" s="5">
        <f ca="1">IFERROR(__xludf.DUMMYFUNCTION("""COMPUTED_VALUE"""),45636)</f>
        <v>45636</v>
      </c>
      <c r="F328" s="1" t="str">
        <f ca="1">IFERROR(__xludf.DUMMYFUNCTION("""COMPUTED_VALUE"""),"Niger")</f>
        <v>Niger</v>
      </c>
      <c r="G328" s="1" t="str">
        <f ca="1">IFERROR(__xludf.DUMMYFUNCTION("""COMPUTED_VALUE"""),"103.24 Niger")</f>
        <v>103.24 Niger</v>
      </c>
      <c r="H328" s="1" t="str">
        <f ca="1">IFERROR(__xludf.DUMMYFUNCTION("""COMPUTED_VALUE"""),"Freedom of Expression, Human Rights Defenders")</f>
        <v>Freedom of Expression, Human Rights Defenders</v>
      </c>
      <c r="I328" s="1" t="str">
        <f ca="1">IFERROR(__xludf.DUMMYFUNCTION("""COMPUTED_VALUE"""),"2024")</f>
        <v>2024</v>
      </c>
      <c r="J328" s="1" t="str">
        <f ca="1">IFERROR(__xludf.DUMMYFUNCTION("""COMPUTED_VALUE"""),"Email")</f>
        <v>Email</v>
      </c>
    </row>
    <row r="329" spans="1:10" ht="13" x14ac:dyDescent="0.15">
      <c r="A329" s="4">
        <f ca="1">IFERROR(__xludf.DUMMYFUNCTION("""COMPUTED_VALUE"""),30739874)</f>
        <v>30739874</v>
      </c>
      <c r="B329" s="1" t="str">
        <f ca="1">IFERROR(__xludf.DUMMYFUNCTION("""COMPUTED_VALUE"""),"lauran68@gmail.com")</f>
        <v>lauran68@gmail.com</v>
      </c>
      <c r="C329" s="4" t="str">
        <f ca="1">IFERROR(__xludf.DUMMYFUNCTION("""COMPUTED_VALUE"""),"EVERGREEN - UAN Gated Content - Embedded Petition")</f>
        <v>EVERGREEN - UAN Gated Content - Embedded Petition</v>
      </c>
      <c r="D329" s="5">
        <f ca="1">IFERROR(__xludf.DUMMYFUNCTION("""COMPUTED_VALUE"""),45678)</f>
        <v>45678</v>
      </c>
      <c r="F329" s="1" t="str">
        <f ca="1">IFERROR(__xludf.DUMMYFUNCTION("""COMPUTED_VALUE"""),"Turkiye")</f>
        <v>Turkiye</v>
      </c>
      <c r="G329" s="1" t="str">
        <f ca="1">IFERROR(__xludf.DUMMYFUNCTION("""COMPUTED_VALUE"""),"109.24 Türkiye")</f>
        <v>109.24 Türkiye</v>
      </c>
      <c r="H329" s="1" t="str">
        <f ca="1">IFERROR(__xludf.DUMMYFUNCTION("""COMPUTED_VALUE"""),"Human Rights Defenders, Individuals At Risk")</f>
        <v>Human Rights Defenders, Individuals At Risk</v>
      </c>
      <c r="I329" s="1" t="str">
        <f ca="1">IFERROR(__xludf.DUMMYFUNCTION("""COMPUTED_VALUE"""),"2024")</f>
        <v>2024</v>
      </c>
      <c r="J329" s="1" t="str">
        <f ca="1">IFERROR(__xludf.DUMMYFUNCTION("""COMPUTED_VALUE"""),"Email")</f>
        <v>Email</v>
      </c>
    </row>
    <row r="330" spans="1:10" ht="13" x14ac:dyDescent="0.15">
      <c r="A330" s="4">
        <f ca="1">IFERROR(__xludf.DUMMYFUNCTION("""COMPUTED_VALUE"""),30740678)</f>
        <v>30740678</v>
      </c>
      <c r="B330" s="1" t="str">
        <f ca="1">IFERROR(__xludf.DUMMYFUNCTION("""COMPUTED_VALUE"""),"tvbasr@gmail.com")</f>
        <v>tvbasr@gmail.com</v>
      </c>
      <c r="C330" s="4" t="str">
        <f ca="1">IFERROR(__xludf.DUMMYFUNCTION("""COMPUTED_VALUE"""),"EVERGREEN - UAN Gated Content - Embedded Petition")</f>
        <v>EVERGREEN - UAN Gated Content - Embedded Petition</v>
      </c>
      <c r="D330" s="5">
        <f ca="1">IFERROR(__xludf.DUMMYFUNCTION("""COMPUTED_VALUE"""),45636)</f>
        <v>45636</v>
      </c>
      <c r="F330" s="1" t="str">
        <f ca="1">IFERROR(__xludf.DUMMYFUNCTION("""COMPUTED_VALUE"""),"Egypt")</f>
        <v>Egypt</v>
      </c>
      <c r="G330" s="1" t="str">
        <f ca="1">IFERROR(__xludf.DUMMYFUNCTION("""COMPUTED_VALUE"""),"Third 73.23 Egypt")</f>
        <v>Third 73.23 Egypt</v>
      </c>
      <c r="H330" s="1" t="str">
        <f ca="1">IFERROR(__xludf.DUMMYFUNCTION("""COMPUTED_VALUE"""),"Individuals At Risk")</f>
        <v>Individuals At Risk</v>
      </c>
      <c r="I330" s="1" t="str">
        <f ca="1">IFERROR(__xludf.DUMMYFUNCTION("""COMPUTED_VALUE"""),"2024")</f>
        <v>2024</v>
      </c>
      <c r="J330" s="1" t="str">
        <f ca="1">IFERROR(__xludf.DUMMYFUNCTION("""COMPUTED_VALUE"""),"Email")</f>
        <v>Email</v>
      </c>
    </row>
    <row r="331" spans="1:10" ht="13" x14ac:dyDescent="0.15">
      <c r="A331" s="4">
        <f ca="1">IFERROR(__xludf.DUMMYFUNCTION("""COMPUTED_VALUE"""),30740678)</f>
        <v>30740678</v>
      </c>
      <c r="B331" s="1" t="str">
        <f ca="1">IFERROR(__xludf.DUMMYFUNCTION("""COMPUTED_VALUE"""),"tvbasr@gmail.com")</f>
        <v>tvbasr@gmail.com</v>
      </c>
      <c r="C331" s="4" t="str">
        <f ca="1">IFERROR(__xludf.DUMMYFUNCTION("""COMPUTED_VALUE"""),"EVERGREEN - UAN Gated Content - Embedded Petition")</f>
        <v>EVERGREEN - UAN Gated Content - Embedded Petition</v>
      </c>
      <c r="D331" s="5">
        <f ca="1">IFERROR(__xludf.DUMMYFUNCTION("""COMPUTED_VALUE"""),45694)</f>
        <v>45694</v>
      </c>
      <c r="F331" s="1" t="str">
        <f ca="1">IFERROR(__xludf.DUMMYFUNCTION("""COMPUTED_VALUE"""),"Iran")</f>
        <v>Iran</v>
      </c>
      <c r="G331" s="1" t="str">
        <f ca="1">IFERROR(__xludf.DUMMYFUNCTION("""COMPUTED_VALUE"""),"Seventh 103.22 Iran")</f>
        <v>Seventh 103.22 Iran</v>
      </c>
      <c r="H331" s="1" t="str">
        <f ca="1">IFERROR(__xludf.DUMMYFUNCTION("""COMPUTED_VALUE"""),"Death Penalty, Freedom of Expression, Individuals At Risk")</f>
        <v>Death Penalty, Freedom of Expression, Individuals At Risk</v>
      </c>
      <c r="I331" s="1" t="str">
        <f ca="1">IFERROR(__xludf.DUMMYFUNCTION("""COMPUTED_VALUE"""),"2024")</f>
        <v>2024</v>
      </c>
      <c r="J331" s="1" t="str">
        <f ca="1">IFERROR(__xludf.DUMMYFUNCTION("""COMPUTED_VALUE"""),"Email")</f>
        <v>Email</v>
      </c>
    </row>
    <row r="332" spans="1:10" ht="13" x14ac:dyDescent="0.15">
      <c r="A332" s="4">
        <f ca="1">IFERROR(__xludf.DUMMYFUNCTION("""COMPUTED_VALUE"""),30745335)</f>
        <v>30745335</v>
      </c>
      <c r="B332" s="1" t="str">
        <f ca="1">IFERROR(__xludf.DUMMYFUNCTION("""COMPUTED_VALUE"""),"egbakersmith@gmail.com")</f>
        <v>egbakersmith@gmail.com</v>
      </c>
      <c r="C332" s="4" t="str">
        <f ca="1">IFERROR(__xludf.DUMMYFUNCTION("""COMPUTED_VALUE"""),"EVERGREEN - UAN Gated Content - Embedded Petition")</f>
        <v>EVERGREEN - UAN Gated Content - Embedded Petition</v>
      </c>
      <c r="D332" s="5">
        <f ca="1">IFERROR(__xludf.DUMMYFUNCTION("""COMPUTED_VALUE"""),45674)</f>
        <v>45674</v>
      </c>
      <c r="F332" s="1" t="str">
        <f ca="1">IFERROR(__xludf.DUMMYFUNCTION("""COMPUTED_VALUE"""),"USA")</f>
        <v>USA</v>
      </c>
      <c r="G332" s="1" t="str">
        <f ca="1">IFERROR(__xludf.DUMMYFUNCTION("""COMPUTED_VALUE"""),"Fourth 55.24 USA")</f>
        <v>Fourth 55.24 USA</v>
      </c>
      <c r="H332" s="1" t="str">
        <f ca="1">IFERROR(__xludf.DUMMYFUNCTION("""COMPUTED_VALUE"""),"Climate Justice, Individuals At Risk")</f>
        <v>Climate Justice, Individuals At Risk</v>
      </c>
      <c r="I332" s="1" t="str">
        <f ca="1">IFERROR(__xludf.DUMMYFUNCTION("""COMPUTED_VALUE"""),"2025")</f>
        <v>2025</v>
      </c>
      <c r="J332" s="1" t="str">
        <f ca="1">IFERROR(__xludf.DUMMYFUNCTION("""COMPUTED_VALUE"""),"Email")</f>
        <v>Email</v>
      </c>
    </row>
    <row r="333" spans="1:10" ht="13" x14ac:dyDescent="0.15">
      <c r="A333" s="4">
        <f ca="1">IFERROR(__xludf.DUMMYFUNCTION("""COMPUTED_VALUE"""),30745335)</f>
        <v>30745335</v>
      </c>
      <c r="B333" s="1" t="str">
        <f ca="1">IFERROR(__xludf.DUMMYFUNCTION("""COMPUTED_VALUE"""),"egbakersmith@gmail.com")</f>
        <v>egbakersmith@gmail.com</v>
      </c>
      <c r="C333" s="4" t="str">
        <f ca="1">IFERROR(__xludf.DUMMYFUNCTION("""COMPUTED_VALUE"""),"EVERGREEN - UAN Gated Content - Embedded Petition")</f>
        <v>EVERGREEN - UAN Gated Content - Embedded Petition</v>
      </c>
      <c r="D333" s="5">
        <f ca="1">IFERROR(__xludf.DUMMYFUNCTION("""COMPUTED_VALUE"""),45694)</f>
        <v>45694</v>
      </c>
      <c r="F333" s="1" t="str">
        <f ca="1">IFERROR(__xludf.DUMMYFUNCTION("""COMPUTED_VALUE"""),"Saudi Arabia")</f>
        <v>Saudi Arabia</v>
      </c>
      <c r="G333" s="1" t="str">
        <f ca="1">IFERROR(__xludf.DUMMYFUNCTION("""COMPUTED_VALUE"""),"104.24 Saudi Arabia")</f>
        <v>104.24 Saudi Arabia</v>
      </c>
      <c r="H333" s="1" t="str">
        <f ca="1">IFERROR(__xludf.DUMMYFUNCTION("""COMPUTED_VALUE"""),"Individuals At Risk, Refugee and Migrant Rights")</f>
        <v>Individuals At Risk, Refugee and Migrant Rights</v>
      </c>
      <c r="I333" s="1" t="str">
        <f ca="1">IFERROR(__xludf.DUMMYFUNCTION("""COMPUTED_VALUE"""),"2024")</f>
        <v>2024</v>
      </c>
      <c r="J333" s="1" t="str">
        <f ca="1">IFERROR(__xludf.DUMMYFUNCTION("""COMPUTED_VALUE"""),"Email")</f>
        <v>Email</v>
      </c>
    </row>
    <row r="334" spans="1:10" ht="13" x14ac:dyDescent="0.15">
      <c r="A334" s="4">
        <f ca="1">IFERROR(__xludf.DUMMYFUNCTION("""COMPUTED_VALUE"""),30746066)</f>
        <v>30746066</v>
      </c>
      <c r="B334" s="1" t="str">
        <f ca="1">IFERROR(__xludf.DUMMYFUNCTION("""COMPUTED_VALUE"""),"lvschlumberger@gmail.com")</f>
        <v>lvschlumberger@gmail.com</v>
      </c>
      <c r="C334" s="4" t="str">
        <f ca="1">IFERROR(__xludf.DUMMYFUNCTION("""COMPUTED_VALUE"""),"EVERGREEN - UAN Gated Content - Embedded Petition")</f>
        <v>EVERGREEN - UAN Gated Content - Embedded Petition</v>
      </c>
      <c r="D334" s="5">
        <f ca="1">IFERROR(__xludf.DUMMYFUNCTION("""COMPUTED_VALUE"""),45679)</f>
        <v>45679</v>
      </c>
      <c r="F334" s="1" t="str">
        <f ca="1">IFERROR(__xludf.DUMMYFUNCTION("""COMPUTED_VALUE"""),"Singapore")</f>
        <v>Singapore</v>
      </c>
      <c r="G334" s="1" t="str">
        <f ca="1">IFERROR(__xludf.DUMMYFUNCTION("""COMPUTED_VALUE"""),"107.24 Singapore")</f>
        <v>107.24 Singapore</v>
      </c>
      <c r="H334" s="1" t="str">
        <f ca="1">IFERROR(__xludf.DUMMYFUNCTION("""COMPUTED_VALUE"""),"Death Penalty")</f>
        <v>Death Penalty</v>
      </c>
      <c r="I334" s="1" t="str">
        <f ca="1">IFERROR(__xludf.DUMMYFUNCTION("""COMPUTED_VALUE"""),"2024")</f>
        <v>2024</v>
      </c>
      <c r="J334" s="1" t="str">
        <f ca="1">IFERROR(__xludf.DUMMYFUNCTION("""COMPUTED_VALUE"""),"Email")</f>
        <v>Email</v>
      </c>
    </row>
    <row r="335" spans="1:10" ht="13" x14ac:dyDescent="0.15">
      <c r="A335" s="4">
        <f ca="1">IFERROR(__xludf.DUMMYFUNCTION("""COMPUTED_VALUE"""),30755843)</f>
        <v>30755843</v>
      </c>
      <c r="B335" s="1" t="str">
        <f ca="1">IFERROR(__xludf.DUMMYFUNCTION("""COMPUTED_VALUE"""),"sarawolsey@yahoo.com")</f>
        <v>sarawolsey@yahoo.com</v>
      </c>
      <c r="C335" s="4" t="str">
        <f ca="1">IFERROR(__xludf.DUMMYFUNCTION("""COMPUTED_VALUE"""),"EVERGREEN - UAN Gated Content - Embedded Petition")</f>
        <v>EVERGREEN - UAN Gated Content - Embedded Petition</v>
      </c>
      <c r="D335" s="5">
        <f ca="1">IFERROR(__xludf.DUMMYFUNCTION("""COMPUTED_VALUE"""),45694)</f>
        <v>45694</v>
      </c>
      <c r="F335" s="1" t="str">
        <f ca="1">IFERROR(__xludf.DUMMYFUNCTION("""COMPUTED_VALUE"""),"Azerbaijan")</f>
        <v>Azerbaijan</v>
      </c>
      <c r="G335" s="1" t="str">
        <f ca="1">IFERROR(__xludf.DUMMYFUNCTION("""COMPUTED_VALUE"""),"2.25 Azerbaijan")</f>
        <v>2.25 Azerbaijan</v>
      </c>
      <c r="H335" s="1" t="str">
        <f ca="1">IFERROR(__xludf.DUMMYFUNCTION("""COMPUTED_VALUE"""),"Freedom of Expression, Human Rights Defenders")</f>
        <v>Freedom of Expression, Human Rights Defenders</v>
      </c>
      <c r="I335" s="1" t="str">
        <f ca="1">IFERROR(__xludf.DUMMYFUNCTION("""COMPUTED_VALUE"""),"2025")</f>
        <v>2025</v>
      </c>
      <c r="J335" s="1" t="str">
        <f ca="1">IFERROR(__xludf.DUMMYFUNCTION("""COMPUTED_VALUE"""),"Email")</f>
        <v>Email</v>
      </c>
    </row>
    <row r="336" spans="1:10" ht="13" x14ac:dyDescent="0.15">
      <c r="A336" s="4">
        <f ca="1">IFERROR(__xludf.DUMMYFUNCTION("""COMPUTED_VALUE"""),30757242)</f>
        <v>30757242</v>
      </c>
      <c r="B336" s="1" t="str">
        <f ca="1">IFERROR(__xludf.DUMMYFUNCTION("""COMPUTED_VALUE"""),"pjl2094@gmail.com")</f>
        <v>pjl2094@gmail.com</v>
      </c>
      <c r="C336" s="4" t="str">
        <f ca="1">IFERROR(__xludf.DUMMYFUNCTION("""COMPUTED_VALUE"""),"EVERGREEN - UAN Gated Content - Embedded Petition")</f>
        <v>EVERGREEN - UAN Gated Content - Embedded Petition</v>
      </c>
      <c r="D336" s="5">
        <f ca="1">IFERROR(__xludf.DUMMYFUNCTION("""COMPUTED_VALUE"""),45694)</f>
        <v>45694</v>
      </c>
      <c r="F336" s="1" t="str">
        <f ca="1">IFERROR(__xludf.DUMMYFUNCTION("""COMPUTED_VALUE"""),"Venezuela")</f>
        <v>Venezuela</v>
      </c>
      <c r="G336" s="1" t="str">
        <f ca="1">IFERROR(__xludf.DUMMYFUNCTION("""COMPUTED_VALUE"""),"1.25 Venezuela")</f>
        <v>1.25 Venezuela</v>
      </c>
      <c r="H336" s="1" t="str">
        <f ca="1">IFERROR(__xludf.DUMMYFUNCTION("""COMPUTED_VALUE"""),"Human Rights Defenders, Individuals At Risk")</f>
        <v>Human Rights Defenders, Individuals At Risk</v>
      </c>
      <c r="I336" s="1" t="str">
        <f ca="1">IFERROR(__xludf.DUMMYFUNCTION("""COMPUTED_VALUE"""),"2025")</f>
        <v>2025</v>
      </c>
      <c r="J336" s="1" t="str">
        <f ca="1">IFERROR(__xludf.DUMMYFUNCTION("""COMPUTED_VALUE"""),"Letter")</f>
        <v>Letter</v>
      </c>
    </row>
    <row r="337" spans="1:10" ht="13" x14ac:dyDescent="0.15">
      <c r="A337" s="4">
        <f ca="1">IFERROR(__xludf.DUMMYFUNCTION("""COMPUTED_VALUE"""),30761847)</f>
        <v>30761847</v>
      </c>
      <c r="B337" s="1" t="str">
        <f ca="1">IFERROR(__xludf.DUMMYFUNCTION("""COMPUTED_VALUE"""),"iwanttorun@gmail.com")</f>
        <v>iwanttorun@gmail.com</v>
      </c>
      <c r="C337" s="4" t="str">
        <f ca="1">IFERROR(__xludf.DUMMYFUNCTION("""COMPUTED_VALUE"""),"EVERGREEN - UAN Gated Content - Embedded Petition")</f>
        <v>EVERGREEN - UAN Gated Content - Embedded Petition</v>
      </c>
      <c r="D337" s="5">
        <f ca="1">IFERROR(__xludf.DUMMYFUNCTION("""COMPUTED_VALUE"""),45694)</f>
        <v>45694</v>
      </c>
      <c r="F337" s="1" t="str">
        <f ca="1">IFERROR(__xludf.DUMMYFUNCTION("""COMPUTED_VALUE"""),"Colombia")</f>
        <v>Colombia</v>
      </c>
      <c r="G337" s="1" t="str">
        <f ca="1">IFERROR(__xludf.DUMMYFUNCTION("""COMPUTED_VALUE"""),"Third 12.24 Colombia")</f>
        <v>Third 12.24 Colombia</v>
      </c>
      <c r="H337" s="1" t="str">
        <f ca="1">IFERROR(__xludf.DUMMYFUNCTION("""COMPUTED_VALUE"""),"Human Rights Defenders, Individuals At Risk")</f>
        <v>Human Rights Defenders, Individuals At Risk</v>
      </c>
      <c r="I337" s="1" t="str">
        <f ca="1">IFERROR(__xludf.DUMMYFUNCTION("""COMPUTED_VALUE"""),"2025")</f>
        <v>2025</v>
      </c>
      <c r="J337" s="1" t="str">
        <f ca="1">IFERROR(__xludf.DUMMYFUNCTION("""COMPUTED_VALUE"""),"Email")</f>
        <v>Email</v>
      </c>
    </row>
    <row r="338" spans="1:10" ht="13" x14ac:dyDescent="0.15">
      <c r="A338" s="4">
        <f ca="1">IFERROR(__xludf.DUMMYFUNCTION("""COMPUTED_VALUE"""),30774757)</f>
        <v>30774757</v>
      </c>
      <c r="B338" s="1" t="str">
        <f ca="1">IFERROR(__xludf.DUMMYFUNCTION("""COMPUTED_VALUE"""),"hardyzachary18@yahoo.com")</f>
        <v>hardyzachary18@yahoo.com</v>
      </c>
      <c r="C338" s="4" t="str">
        <f ca="1">IFERROR(__xludf.DUMMYFUNCTION("""COMPUTED_VALUE"""),"EVERGREEN - UAN Gated Content - Embedded Petition")</f>
        <v>EVERGREEN - UAN Gated Content - Embedded Petition</v>
      </c>
      <c r="D338" s="5">
        <f ca="1">IFERROR(__xludf.DUMMYFUNCTION("""COMPUTED_VALUE"""),45678)</f>
        <v>45678</v>
      </c>
      <c r="F338" s="1" t="str">
        <f ca="1">IFERROR(__xludf.DUMMYFUNCTION("""COMPUTED_VALUE"""),"Iran")</f>
        <v>Iran</v>
      </c>
      <c r="G338" s="1" t="str">
        <f ca="1">IFERROR(__xludf.DUMMYFUNCTION("""COMPUTED_VALUE"""),"6.25 Iran")</f>
        <v>6.25 Iran</v>
      </c>
      <c r="H338" s="1" t="str">
        <f ca="1">IFERROR(__xludf.DUMMYFUNCTION("""COMPUTED_VALUE"""),"Death Penalty, Freedom of Expression, Individuals At Risk")</f>
        <v>Death Penalty, Freedom of Expression, Individuals At Risk</v>
      </c>
      <c r="I338" s="1" t="str">
        <f ca="1">IFERROR(__xludf.DUMMYFUNCTION("""COMPUTED_VALUE"""),"2025")</f>
        <v>2025</v>
      </c>
      <c r="J338" s="1" t="str">
        <f ca="1">IFERROR(__xludf.DUMMYFUNCTION("""COMPUTED_VALUE"""),"Email")</f>
        <v>Email</v>
      </c>
    </row>
    <row r="339" spans="1:10" ht="13" x14ac:dyDescent="0.15">
      <c r="A339" s="4">
        <f ca="1">IFERROR(__xludf.DUMMYFUNCTION("""COMPUTED_VALUE"""),30778601)</f>
        <v>30778601</v>
      </c>
      <c r="B339" s="1" t="str">
        <f ca="1">IFERROR(__xludf.DUMMYFUNCTION("""COMPUTED_VALUE"""),"emjathome@yahoo.com")</f>
        <v>emjathome@yahoo.com</v>
      </c>
      <c r="C339" s="4" t="str">
        <f ca="1">IFERROR(__xludf.DUMMYFUNCTION("""COMPUTED_VALUE"""),"EVERGREEN - UAN Gated Content - Embedded Petition")</f>
        <v>EVERGREEN - UAN Gated Content - Embedded Petition</v>
      </c>
      <c r="D339" s="5">
        <f ca="1">IFERROR(__xludf.DUMMYFUNCTION("""COMPUTED_VALUE"""),45694)</f>
        <v>45694</v>
      </c>
      <c r="F339" s="1" t="str">
        <f ca="1">IFERROR(__xludf.DUMMYFUNCTION("""COMPUTED_VALUE"""),"Iran")</f>
        <v>Iran</v>
      </c>
      <c r="G339" s="1" t="str">
        <f ca="1">IFERROR(__xludf.DUMMYFUNCTION("""COMPUTED_VALUE"""),"6.25 Iran")</f>
        <v>6.25 Iran</v>
      </c>
      <c r="H339" s="1" t="str">
        <f ca="1">IFERROR(__xludf.DUMMYFUNCTION("""COMPUTED_VALUE"""),"Death Penalty, Freedom of Expression, Individuals At Risk")</f>
        <v>Death Penalty, Freedom of Expression, Individuals At Risk</v>
      </c>
      <c r="I339" s="1" t="str">
        <f ca="1">IFERROR(__xludf.DUMMYFUNCTION("""COMPUTED_VALUE"""),"2025")</f>
        <v>2025</v>
      </c>
      <c r="J339" s="1" t="str">
        <f ca="1">IFERROR(__xludf.DUMMYFUNCTION("""COMPUTED_VALUE"""),"Email")</f>
        <v>Email</v>
      </c>
    </row>
    <row r="340" spans="1:10" ht="13" x14ac:dyDescent="0.15">
      <c r="A340" s="4">
        <f ca="1">IFERROR(__xludf.DUMMYFUNCTION("""COMPUTED_VALUE"""),30786690)</f>
        <v>30786690</v>
      </c>
      <c r="B340" s="1" t="str">
        <f ca="1">IFERROR(__xludf.DUMMYFUNCTION("""COMPUTED_VALUE"""),"astillness@yahoo.com")</f>
        <v>astillness@yahoo.com</v>
      </c>
      <c r="C340" s="4" t="str">
        <f ca="1">IFERROR(__xludf.DUMMYFUNCTION("""COMPUTED_VALUE"""),"EVERGREEN - UAN Gated Content - Embedded Petition")</f>
        <v>EVERGREEN - UAN Gated Content - Embedded Petition</v>
      </c>
      <c r="D340" s="5">
        <f ca="1">IFERROR(__xludf.DUMMYFUNCTION("""COMPUTED_VALUE"""),45694)</f>
        <v>45694</v>
      </c>
      <c r="F340" s="1" t="str">
        <f ca="1">IFERROR(__xludf.DUMMYFUNCTION("""COMPUTED_VALUE"""),"Colombia")</f>
        <v>Colombia</v>
      </c>
      <c r="G340" s="1" t="str">
        <f ca="1">IFERROR(__xludf.DUMMYFUNCTION("""COMPUTED_VALUE"""),"Third 12.24 Colombia")</f>
        <v>Third 12.24 Colombia</v>
      </c>
      <c r="H340" s="1" t="str">
        <f ca="1">IFERROR(__xludf.DUMMYFUNCTION("""COMPUTED_VALUE"""),"Human Rights Defenders, Individuals At Risk")</f>
        <v>Human Rights Defenders, Individuals At Risk</v>
      </c>
      <c r="I340" s="1" t="str">
        <f ca="1">IFERROR(__xludf.DUMMYFUNCTION("""COMPUTED_VALUE"""),"2025")</f>
        <v>2025</v>
      </c>
      <c r="J340" s="1" t="str">
        <f ca="1">IFERROR(__xludf.DUMMYFUNCTION("""COMPUTED_VALUE"""),"Email")</f>
        <v>Email</v>
      </c>
    </row>
    <row r="341" spans="1:10" ht="13" x14ac:dyDescent="0.15">
      <c r="A341" s="4">
        <f ca="1">IFERROR(__xludf.DUMMYFUNCTION("""COMPUTED_VALUE"""),30795303)</f>
        <v>30795303</v>
      </c>
      <c r="B341" s="1" t="str">
        <f ca="1">IFERROR(__xludf.DUMMYFUNCTION("""COMPUTED_VALUE"""),"dundance@gmail.com")</f>
        <v>dundance@gmail.com</v>
      </c>
      <c r="C341" s="4" t="str">
        <f ca="1">IFERROR(__xludf.DUMMYFUNCTION("""COMPUTED_VALUE"""),"EVERGREEN - UAN Gated Content - Embedded Petition")</f>
        <v>EVERGREEN - UAN Gated Content - Embedded Petition</v>
      </c>
      <c r="D341" s="5">
        <f ca="1">IFERROR(__xludf.DUMMYFUNCTION("""COMPUTED_VALUE"""),45616)</f>
        <v>45616</v>
      </c>
      <c r="F341" s="1" t="str">
        <f ca="1">IFERROR(__xludf.DUMMYFUNCTION("""COMPUTED_VALUE"""),"Colombia")</f>
        <v>Colombia</v>
      </c>
      <c r="G341" s="1" t="str">
        <f ca="1">IFERROR(__xludf.DUMMYFUNCTION("""COMPUTED_VALUE"""),"5.25 Colombia")</f>
        <v>5.25 Colombia</v>
      </c>
      <c r="H341" s="1" t="str">
        <f ca="1">IFERROR(__xludf.DUMMYFUNCTION("""COMPUTED_VALUE"""),"Human Rights Defenders, Individuals At Risk")</f>
        <v>Human Rights Defenders, Individuals At Risk</v>
      </c>
      <c r="I341" s="1" t="str">
        <f ca="1">IFERROR(__xludf.DUMMYFUNCTION("""COMPUTED_VALUE"""),"2025")</f>
        <v>2025</v>
      </c>
      <c r="J341" s="1" t="str">
        <f ca="1">IFERROR(__xludf.DUMMYFUNCTION("""COMPUTED_VALUE"""),"Email")</f>
        <v>Email</v>
      </c>
    </row>
    <row r="342" spans="1:10" ht="13" x14ac:dyDescent="0.15">
      <c r="A342" s="4">
        <f ca="1">IFERROR(__xludf.DUMMYFUNCTION("""COMPUTED_VALUE"""),30795303)</f>
        <v>30795303</v>
      </c>
      <c r="B342" s="1" t="str">
        <f ca="1">IFERROR(__xludf.DUMMYFUNCTION("""COMPUTED_VALUE"""),"dundance@gmail.com")</f>
        <v>dundance@gmail.com</v>
      </c>
      <c r="C342" s="4" t="str">
        <f ca="1">IFERROR(__xludf.DUMMYFUNCTION("""COMPUTED_VALUE"""),"EVERGREEN - UAN Gated Content - Embedded Petition")</f>
        <v>EVERGREEN - UAN Gated Content - Embedded Petition</v>
      </c>
      <c r="D342" s="5">
        <f ca="1">IFERROR(__xludf.DUMMYFUNCTION("""COMPUTED_VALUE"""),45636)</f>
        <v>45636</v>
      </c>
      <c r="F342" s="1" t="str">
        <f ca="1">IFERROR(__xludf.DUMMYFUNCTION("""COMPUTED_VALUE"""),"Turkiye")</f>
        <v>Turkiye</v>
      </c>
      <c r="G342" s="1" t="str">
        <f ca="1">IFERROR(__xludf.DUMMYFUNCTION("""COMPUTED_VALUE"""),"Second 109.24 Türkiye")</f>
        <v>Second 109.24 Türkiye</v>
      </c>
      <c r="H342" s="1" t="str">
        <f ca="1">IFERROR(__xludf.DUMMYFUNCTION("""COMPUTED_VALUE"""),"Human Rights Defenders")</f>
        <v>Human Rights Defenders</v>
      </c>
      <c r="I342" s="1" t="str">
        <f ca="1">IFERROR(__xludf.DUMMYFUNCTION("""COMPUTED_VALUE"""),"2025")</f>
        <v>2025</v>
      </c>
      <c r="J342" s="1" t="str">
        <f ca="1">IFERROR(__xludf.DUMMYFUNCTION("""COMPUTED_VALUE"""),"Email")</f>
        <v>Email</v>
      </c>
    </row>
    <row r="343" spans="1:10" ht="13" x14ac:dyDescent="0.15">
      <c r="A343" s="4">
        <f ca="1">IFERROR(__xludf.DUMMYFUNCTION("""COMPUTED_VALUE"""),30800952)</f>
        <v>30800952</v>
      </c>
      <c r="B343" s="1" t="str">
        <f ca="1">IFERROR(__xludf.DUMMYFUNCTION("""COMPUTED_VALUE"""),"brettbos@yahoo.com")</f>
        <v>brettbos@yahoo.com</v>
      </c>
      <c r="C343" s="4" t="str">
        <f ca="1">IFERROR(__xludf.DUMMYFUNCTION("""COMPUTED_VALUE"""),"EVERGREEN - UAN Gated Content - Embedded Petition")</f>
        <v>EVERGREEN - UAN Gated Content - Embedded Petition</v>
      </c>
      <c r="D343" s="5">
        <f ca="1">IFERROR(__xludf.DUMMYFUNCTION("""COMPUTED_VALUE"""),45634)</f>
        <v>45634</v>
      </c>
      <c r="F343" s="1" t="str">
        <f ca="1">IFERROR(__xludf.DUMMYFUNCTION("""COMPUTED_VALUE"""),"Tunisia")</f>
        <v>Tunisia</v>
      </c>
      <c r="G343" s="1" t="str">
        <f ca="1">IFERROR(__xludf.DUMMYFUNCTION("""COMPUTED_VALUE"""),"Second 76.24 Tunisia")</f>
        <v>Second 76.24 Tunisia</v>
      </c>
      <c r="H343" s="1" t="str">
        <f ca="1">IFERROR(__xludf.DUMMYFUNCTION("""COMPUTED_VALUE"""),"Freedom of Expression, Human Rights Defenders")</f>
        <v>Freedom of Expression, Human Rights Defenders</v>
      </c>
      <c r="I343" s="1" t="str">
        <f ca="1">IFERROR(__xludf.DUMMYFUNCTION("""COMPUTED_VALUE"""),"2025")</f>
        <v>2025</v>
      </c>
      <c r="J343" s="1" t="str">
        <f ca="1">IFERROR(__xludf.DUMMYFUNCTION("""COMPUTED_VALUE"""),"Email")</f>
        <v>Email</v>
      </c>
    </row>
    <row r="344" spans="1:10" ht="13" x14ac:dyDescent="0.15">
      <c r="A344" s="4">
        <f ca="1">IFERROR(__xludf.DUMMYFUNCTION("""COMPUTED_VALUE"""),30800952)</f>
        <v>30800952</v>
      </c>
      <c r="B344" s="1" t="str">
        <f ca="1">IFERROR(__xludf.DUMMYFUNCTION("""COMPUTED_VALUE"""),"brettbos@yahoo.com")</f>
        <v>brettbos@yahoo.com</v>
      </c>
      <c r="C344" s="4" t="str">
        <f ca="1">IFERROR(__xludf.DUMMYFUNCTION("""COMPUTED_VALUE"""),"EVERGREEN - UAN Gated Content - Embedded Petition")</f>
        <v>EVERGREEN - UAN Gated Content - Embedded Petition</v>
      </c>
      <c r="D344" s="5">
        <f ca="1">IFERROR(__xludf.DUMMYFUNCTION("""COMPUTED_VALUE"""),45699)</f>
        <v>45699</v>
      </c>
      <c r="F344" s="1" t="str">
        <f ca="1">IFERROR(__xludf.DUMMYFUNCTION("""COMPUTED_VALUE"""),"Venezuela")</f>
        <v>Venezuela</v>
      </c>
      <c r="G344" s="1" t="str">
        <f ca="1">IFERROR(__xludf.DUMMYFUNCTION("""COMPUTED_VALUE"""),"97.24 Venezuela")</f>
        <v>97.24 Venezuela</v>
      </c>
      <c r="H344" s="1" t="str">
        <f ca="1">IFERROR(__xludf.DUMMYFUNCTION("""COMPUTED_VALUE"""),"Freedom of Expression")</f>
        <v>Freedom of Expression</v>
      </c>
      <c r="I344" s="1" t="str">
        <f ca="1">IFERROR(__xludf.DUMMYFUNCTION("""COMPUTED_VALUE"""),"2024")</f>
        <v>2024</v>
      </c>
      <c r="J344" s="1" t="str">
        <f ca="1">IFERROR(__xludf.DUMMYFUNCTION("""COMPUTED_VALUE"""),"Letter")</f>
        <v>Letter</v>
      </c>
    </row>
    <row r="345" spans="1:10" ht="13" x14ac:dyDescent="0.15">
      <c r="A345" s="4">
        <f ca="1">IFERROR(__xludf.DUMMYFUNCTION("""COMPUTED_VALUE"""),30800952)</f>
        <v>30800952</v>
      </c>
      <c r="B345" s="1" t="str">
        <f ca="1">IFERROR(__xludf.DUMMYFUNCTION("""COMPUTED_VALUE"""),"brettbos@yahoo.com")</f>
        <v>brettbos@yahoo.com</v>
      </c>
      <c r="C345" s="4" t="str">
        <f ca="1">IFERROR(__xludf.DUMMYFUNCTION("""COMPUTED_VALUE"""),"EVERGREEN - UAN Gated Content - Embedded Petition")</f>
        <v>EVERGREEN - UAN Gated Content - Embedded Petition</v>
      </c>
      <c r="D345" s="5">
        <f ca="1">IFERROR(__xludf.DUMMYFUNCTION("""COMPUTED_VALUE"""),45635)</f>
        <v>45635</v>
      </c>
      <c r="F345" s="1" t="str">
        <f ca="1">IFERROR(__xludf.DUMMYFUNCTION("""COMPUTED_VALUE"""),"Tunisia")</f>
        <v>Tunisia</v>
      </c>
      <c r="G345" s="1" t="str">
        <f ca="1">IFERROR(__xludf.DUMMYFUNCTION("""COMPUTED_VALUE"""),"8.25 Tunisia")</f>
        <v>8.25 Tunisia</v>
      </c>
      <c r="H345" s="1" t="str">
        <f ca="1">IFERROR(__xludf.DUMMYFUNCTION("""COMPUTED_VALUE"""),"Freedom of Expression")</f>
        <v>Freedom of Expression</v>
      </c>
      <c r="I345" s="1" t="str">
        <f ca="1">IFERROR(__xludf.DUMMYFUNCTION("""COMPUTED_VALUE"""),"2025")</f>
        <v>2025</v>
      </c>
      <c r="J345" s="1" t="str">
        <f ca="1">IFERROR(__xludf.DUMMYFUNCTION("""COMPUTED_VALUE"""),"Email")</f>
        <v>Email</v>
      </c>
    </row>
    <row r="346" spans="1:10" ht="13" x14ac:dyDescent="0.15">
      <c r="A346" s="4">
        <f ca="1">IFERROR(__xludf.DUMMYFUNCTION("""COMPUTED_VALUE"""),30800952)</f>
        <v>30800952</v>
      </c>
      <c r="B346" s="1" t="str">
        <f ca="1">IFERROR(__xludf.DUMMYFUNCTION("""COMPUTED_VALUE"""),"brettbos@yahoo.com")</f>
        <v>brettbos@yahoo.com</v>
      </c>
      <c r="C346" s="4" t="str">
        <f ca="1">IFERROR(__xludf.DUMMYFUNCTION("""COMPUTED_VALUE"""),"EVERGREEN - UAN Gated Content - Embedded Petition")</f>
        <v>EVERGREEN - UAN Gated Content - Embedded Petition</v>
      </c>
      <c r="D346" s="5">
        <f ca="1">IFERROR(__xludf.DUMMYFUNCTION("""COMPUTED_VALUE"""),45619)</f>
        <v>45619</v>
      </c>
      <c r="F346" s="1" t="str">
        <f ca="1">IFERROR(__xludf.DUMMYFUNCTION("""COMPUTED_VALUE"""),"Tunisia")</f>
        <v>Tunisia</v>
      </c>
      <c r="G346" s="1" t="str">
        <f ca="1">IFERROR(__xludf.DUMMYFUNCTION("""COMPUTED_VALUE"""),"Second 76.24 Tunisia")</f>
        <v>Second 76.24 Tunisia</v>
      </c>
      <c r="H346" s="1" t="str">
        <f ca="1">IFERROR(__xludf.DUMMYFUNCTION("""COMPUTED_VALUE"""),"Freedom of Expression, Human Rights Defenders")</f>
        <v>Freedom of Expression, Human Rights Defenders</v>
      </c>
      <c r="I346" s="1" t="str">
        <f ca="1">IFERROR(__xludf.DUMMYFUNCTION("""COMPUTED_VALUE"""),"2025")</f>
        <v>2025</v>
      </c>
      <c r="J346" s="1" t="str">
        <f ca="1">IFERROR(__xludf.DUMMYFUNCTION("""COMPUTED_VALUE"""),"Email")</f>
        <v>Email</v>
      </c>
    </row>
    <row r="347" spans="1:10" ht="13" x14ac:dyDescent="0.15">
      <c r="A347" s="4">
        <f ca="1">IFERROR(__xludf.DUMMYFUNCTION("""COMPUTED_VALUE"""),30800952)</f>
        <v>30800952</v>
      </c>
      <c r="B347" s="1" t="str">
        <f ca="1">IFERROR(__xludf.DUMMYFUNCTION("""COMPUTED_VALUE"""),"brettbos@yahoo.com")</f>
        <v>brettbos@yahoo.com</v>
      </c>
      <c r="C347" s="4" t="str">
        <f ca="1">IFERROR(__xludf.DUMMYFUNCTION("""COMPUTED_VALUE"""),"EVERGREEN - UAN Gated Content - Embedded Petition")</f>
        <v>EVERGREEN - UAN Gated Content - Embedded Petition</v>
      </c>
      <c r="D347" s="5">
        <f ca="1">IFERROR(__xludf.DUMMYFUNCTION("""COMPUTED_VALUE"""),45619)</f>
        <v>45619</v>
      </c>
      <c r="F347" s="1" t="str">
        <f ca="1">IFERROR(__xludf.DUMMYFUNCTION("""COMPUTED_VALUE"""),"Tunisia")</f>
        <v>Tunisia</v>
      </c>
      <c r="G347" s="1" t="str">
        <f ca="1">IFERROR(__xludf.DUMMYFUNCTION("""COMPUTED_VALUE"""),"Second 76.24 Tunisia")</f>
        <v>Second 76.24 Tunisia</v>
      </c>
      <c r="H347" s="1" t="str">
        <f ca="1">IFERROR(__xludf.DUMMYFUNCTION("""COMPUTED_VALUE"""),"Freedom of Expression, Human Rights Defenders")</f>
        <v>Freedom of Expression, Human Rights Defenders</v>
      </c>
      <c r="I347" s="1" t="str">
        <f ca="1">IFERROR(__xludf.DUMMYFUNCTION("""COMPUTED_VALUE"""),"2025")</f>
        <v>2025</v>
      </c>
      <c r="J347" s="1" t="str">
        <f ca="1">IFERROR(__xludf.DUMMYFUNCTION("""COMPUTED_VALUE"""),"Email")</f>
        <v>Email</v>
      </c>
    </row>
    <row r="348" spans="1:10" ht="13" x14ac:dyDescent="0.15">
      <c r="A348" s="4">
        <f ca="1">IFERROR(__xludf.DUMMYFUNCTION("""COMPUTED_VALUE"""),30800952)</f>
        <v>30800952</v>
      </c>
      <c r="B348" s="1" t="str">
        <f ca="1">IFERROR(__xludf.DUMMYFUNCTION("""COMPUTED_VALUE"""),"brettbos@yahoo.com")</f>
        <v>brettbos@yahoo.com</v>
      </c>
      <c r="C348" s="4" t="str">
        <f ca="1">IFERROR(__xludf.DUMMYFUNCTION("""COMPUTED_VALUE"""),"EVERGREEN - UAN Gated Content - Embedded Petition")</f>
        <v>EVERGREEN - UAN Gated Content - Embedded Petition</v>
      </c>
      <c r="D348" s="5">
        <f ca="1">IFERROR(__xludf.DUMMYFUNCTION("""COMPUTED_VALUE"""),45624)</f>
        <v>45624</v>
      </c>
      <c r="F348" s="1" t="str">
        <f ca="1">IFERROR(__xludf.DUMMYFUNCTION("""COMPUTED_VALUE"""),"Egypt")</f>
        <v>Egypt</v>
      </c>
      <c r="G348" s="1" t="str">
        <f ca="1">IFERROR(__xludf.DUMMYFUNCTION("""COMPUTED_VALUE"""),"Second 80.23 Egypt")</f>
        <v>Second 80.23 Egypt</v>
      </c>
      <c r="H348" s="1" t="str">
        <f ca="1">IFERROR(__xludf.DUMMYFUNCTION("""COMPUTED_VALUE"""),"Health, Individuals At Risk")</f>
        <v>Health, Individuals At Risk</v>
      </c>
      <c r="I348" s="1" t="str">
        <f ca="1">IFERROR(__xludf.DUMMYFUNCTION("""COMPUTED_VALUE"""),"2025")</f>
        <v>2025</v>
      </c>
      <c r="J348" s="1" t="str">
        <f ca="1">IFERROR(__xludf.DUMMYFUNCTION("""COMPUTED_VALUE"""),"Email")</f>
        <v>Email</v>
      </c>
    </row>
    <row r="349" spans="1:10" ht="13" x14ac:dyDescent="0.15">
      <c r="A349" s="4">
        <f ca="1">IFERROR(__xludf.DUMMYFUNCTION("""COMPUTED_VALUE"""),30800952)</f>
        <v>30800952</v>
      </c>
      <c r="B349" s="1" t="str">
        <f ca="1">IFERROR(__xludf.DUMMYFUNCTION("""COMPUTED_VALUE"""),"brettbos@yahoo.com")</f>
        <v>brettbos@yahoo.com</v>
      </c>
      <c r="C349" s="4" t="str">
        <f ca="1">IFERROR(__xludf.DUMMYFUNCTION("""COMPUTED_VALUE"""),"EVERGREEN - UAN Gated Content - Embedded Petition")</f>
        <v>EVERGREEN - UAN Gated Content - Embedded Petition</v>
      </c>
      <c r="D349" s="5">
        <f ca="1">IFERROR(__xludf.DUMMYFUNCTION("""COMPUTED_VALUE"""),45624)</f>
        <v>45624</v>
      </c>
      <c r="F349" s="1" t="str">
        <f ca="1">IFERROR(__xludf.DUMMYFUNCTION("""COMPUTED_VALUE"""),"Libya")</f>
        <v>Libya</v>
      </c>
      <c r="G349" s="1" t="str">
        <f ca="1">IFERROR(__xludf.DUMMYFUNCTION("""COMPUTED_VALUE"""),"12.25 Libya")</f>
        <v>12.25 Libya</v>
      </c>
      <c r="H349" s="1" t="str">
        <f ca="1">IFERROR(__xludf.DUMMYFUNCTION("""COMPUTED_VALUE"""),"Freedom of Expression, Health, Individuals At Risk")</f>
        <v>Freedom of Expression, Health, Individuals At Risk</v>
      </c>
      <c r="I349" s="1" t="str">
        <f ca="1">IFERROR(__xludf.DUMMYFUNCTION("""COMPUTED_VALUE"""),"2025")</f>
        <v>2025</v>
      </c>
      <c r="J349" s="1" t="str">
        <f ca="1">IFERROR(__xludf.DUMMYFUNCTION("""COMPUTED_VALUE"""),"Email")</f>
        <v>Email</v>
      </c>
    </row>
    <row r="350" spans="1:10" ht="13" x14ac:dyDescent="0.15">
      <c r="A350" s="4">
        <f ca="1">IFERROR(__xludf.DUMMYFUNCTION("""COMPUTED_VALUE"""),30800952)</f>
        <v>30800952</v>
      </c>
      <c r="B350" s="1" t="str">
        <f ca="1">IFERROR(__xludf.DUMMYFUNCTION("""COMPUTED_VALUE"""),"brettbos@yahoo.com")</f>
        <v>brettbos@yahoo.com</v>
      </c>
      <c r="C350" s="4" t="str">
        <f ca="1">IFERROR(__xludf.DUMMYFUNCTION("""COMPUTED_VALUE"""),"EVERGREEN - UAN Gated Content - Embedded Petition")</f>
        <v>EVERGREEN - UAN Gated Content - Embedded Petition</v>
      </c>
      <c r="D350" s="5">
        <f ca="1">IFERROR(__xludf.DUMMYFUNCTION("""COMPUTED_VALUE"""),45631)</f>
        <v>45631</v>
      </c>
      <c r="F350" s="1" t="str">
        <f ca="1">IFERROR(__xludf.DUMMYFUNCTION("""COMPUTED_VALUE"""),"Afghanistan")</f>
        <v>Afghanistan</v>
      </c>
      <c r="G350" s="1" t="str">
        <f ca="1">IFERROR(__xludf.DUMMYFUNCTION("""COMPUTED_VALUE"""),"11.25 Afghanistan")</f>
        <v>11.25 Afghanistan</v>
      </c>
      <c r="H350" s="1" t="str">
        <f ca="1">IFERROR(__xludf.DUMMYFUNCTION("""COMPUTED_VALUE"""),"Freedom of Expression, Health, Individuals At Risk")</f>
        <v>Freedom of Expression, Health, Individuals At Risk</v>
      </c>
      <c r="I350" s="1" t="str">
        <f ca="1">IFERROR(__xludf.DUMMYFUNCTION("""COMPUTED_VALUE"""),"2025")</f>
        <v>2025</v>
      </c>
      <c r="J350" s="1" t="str">
        <f ca="1">IFERROR(__xludf.DUMMYFUNCTION("""COMPUTED_VALUE"""),"Email")</f>
        <v>Email</v>
      </c>
    </row>
    <row r="351" spans="1:10" ht="13" x14ac:dyDescent="0.15">
      <c r="A351" s="4">
        <f ca="1">IFERROR(__xludf.DUMMYFUNCTION("""COMPUTED_VALUE"""),30800952)</f>
        <v>30800952</v>
      </c>
      <c r="B351" s="1" t="str">
        <f ca="1">IFERROR(__xludf.DUMMYFUNCTION("""COMPUTED_VALUE"""),"brettbos@yahoo.com")</f>
        <v>brettbos@yahoo.com</v>
      </c>
      <c r="C351" s="4" t="str">
        <f ca="1">IFERROR(__xludf.DUMMYFUNCTION("""COMPUTED_VALUE"""),"EVERGREEN - UAN Gated Content - Embedded Petition")</f>
        <v>EVERGREEN - UAN Gated Content - Embedded Petition</v>
      </c>
      <c r="D351" s="5">
        <f ca="1">IFERROR(__xludf.DUMMYFUNCTION("""COMPUTED_VALUE"""),45632)</f>
        <v>45632</v>
      </c>
      <c r="F351" s="1" t="str">
        <f ca="1">IFERROR(__xludf.DUMMYFUNCTION("""COMPUTED_VALUE"""),"Saudi Arabia")</f>
        <v>Saudi Arabia</v>
      </c>
      <c r="G351" s="1" t="str">
        <f ca="1">IFERROR(__xludf.DUMMYFUNCTION("""COMPUTED_VALUE"""),"Fifth 257.12")</f>
        <v>Fifth 257.12</v>
      </c>
      <c r="H351" s="1" t="str">
        <f ca="1">IFERROR(__xludf.DUMMYFUNCTION("""COMPUTED_VALUE"""),"Freedom of Expression, Human Rights Defenders")</f>
        <v>Freedom of Expression, Human Rights Defenders</v>
      </c>
      <c r="I351" s="1" t="str">
        <f ca="1">IFERROR(__xludf.DUMMYFUNCTION("""COMPUTED_VALUE"""),"2025")</f>
        <v>2025</v>
      </c>
      <c r="J351" s="1" t="str">
        <f ca="1">IFERROR(__xludf.DUMMYFUNCTION("""COMPUTED_VALUE"""),"Email")</f>
        <v>Email</v>
      </c>
    </row>
    <row r="352" spans="1:10" ht="13" x14ac:dyDescent="0.15">
      <c r="A352" s="4">
        <f ca="1">IFERROR(__xludf.DUMMYFUNCTION("""COMPUTED_VALUE"""),30800952)</f>
        <v>30800952</v>
      </c>
      <c r="B352" s="1" t="str">
        <f ca="1">IFERROR(__xludf.DUMMYFUNCTION("""COMPUTED_VALUE"""),"brettbos@yahoo.com")</f>
        <v>brettbos@yahoo.com</v>
      </c>
      <c r="C352" s="4" t="str">
        <f ca="1">IFERROR(__xludf.DUMMYFUNCTION("""COMPUTED_VALUE"""),"EVERGREEN - UAN Gated Content - Embedded Petition")</f>
        <v>EVERGREEN - UAN Gated Content - Embedded Petition</v>
      </c>
      <c r="D352" s="5">
        <f ca="1">IFERROR(__xludf.DUMMYFUNCTION("""COMPUTED_VALUE"""),45634)</f>
        <v>45634</v>
      </c>
      <c r="F352" s="1" t="str">
        <f ca="1">IFERROR(__xludf.DUMMYFUNCTION("""COMPUTED_VALUE"""),"Iran")</f>
        <v>Iran</v>
      </c>
      <c r="G352" s="1" t="str">
        <f ca="1">IFERROR(__xludf.DUMMYFUNCTION("""COMPUTED_VALUE"""),"10.25 Iran")</f>
        <v>10.25 Iran</v>
      </c>
      <c r="H352" s="1" t="str">
        <f ca="1">IFERROR(__xludf.DUMMYFUNCTION("""COMPUTED_VALUE"""),"Death Penalty, Individuals At Risk")</f>
        <v>Death Penalty, Individuals At Risk</v>
      </c>
      <c r="I352" s="1" t="str">
        <f ca="1">IFERROR(__xludf.DUMMYFUNCTION("""COMPUTED_VALUE"""),"2025")</f>
        <v>2025</v>
      </c>
      <c r="J352" s="1" t="str">
        <f ca="1">IFERROR(__xludf.DUMMYFUNCTION("""COMPUTED_VALUE"""),"Email")</f>
        <v>Email</v>
      </c>
    </row>
    <row r="353" spans="1:10" ht="13" x14ac:dyDescent="0.15">
      <c r="A353" s="4">
        <f ca="1">IFERROR(__xludf.DUMMYFUNCTION("""COMPUTED_VALUE"""),30800952)</f>
        <v>30800952</v>
      </c>
      <c r="B353" s="1" t="str">
        <f ca="1">IFERROR(__xludf.DUMMYFUNCTION("""COMPUTED_VALUE"""),"brettbos@yahoo.com")</f>
        <v>brettbos@yahoo.com</v>
      </c>
      <c r="C353" s="4" t="str">
        <f ca="1">IFERROR(__xludf.DUMMYFUNCTION("""COMPUTED_VALUE"""),"EVERGREEN - UAN Gated Content - Embedded Petition")</f>
        <v>EVERGREEN - UAN Gated Content - Embedded Petition</v>
      </c>
      <c r="D353" s="5">
        <f ca="1">IFERROR(__xludf.DUMMYFUNCTION("""COMPUTED_VALUE"""),45649)</f>
        <v>45649</v>
      </c>
      <c r="F353" s="1" t="str">
        <f ca="1">IFERROR(__xludf.DUMMYFUNCTION("""COMPUTED_VALUE"""),"Afghanistan")</f>
        <v>Afghanistan</v>
      </c>
      <c r="G353" s="1" t="str">
        <f ca="1">IFERROR(__xludf.DUMMYFUNCTION("""COMPUTED_VALUE"""),"7.25 Afghanistan")</f>
        <v>7.25 Afghanistan</v>
      </c>
      <c r="H353" s="1" t="str">
        <f ca="1">IFERROR(__xludf.DUMMYFUNCTION("""COMPUTED_VALUE"""),"Freedom of Expression, Individuals At Risk, Women's Rights")</f>
        <v>Freedom of Expression, Individuals At Risk, Women's Rights</v>
      </c>
      <c r="I353" s="1" t="str">
        <f ca="1">IFERROR(__xludf.DUMMYFUNCTION("""COMPUTED_VALUE"""),"2025")</f>
        <v>2025</v>
      </c>
      <c r="J353" s="1" t="str">
        <f ca="1">IFERROR(__xludf.DUMMYFUNCTION("""COMPUTED_VALUE"""),"Email")</f>
        <v>Email</v>
      </c>
    </row>
    <row r="354" spans="1:10" ht="13" x14ac:dyDescent="0.15">
      <c r="A354" s="4">
        <f ca="1">IFERROR(__xludf.DUMMYFUNCTION("""COMPUTED_VALUE"""),30800952)</f>
        <v>30800952</v>
      </c>
      <c r="B354" s="1" t="str">
        <f ca="1">IFERROR(__xludf.DUMMYFUNCTION("""COMPUTED_VALUE"""),"brettbos@yahoo.com")</f>
        <v>brettbos@yahoo.com</v>
      </c>
      <c r="C354" s="4" t="str">
        <f ca="1">IFERROR(__xludf.DUMMYFUNCTION("""COMPUTED_VALUE"""),"EVERGREEN - UAN Gated Content - Embedded Petition")</f>
        <v>EVERGREEN - UAN Gated Content - Embedded Petition</v>
      </c>
      <c r="D354" s="5">
        <f ca="1">IFERROR(__xludf.DUMMYFUNCTION("""COMPUTED_VALUE"""),45649)</f>
        <v>45649</v>
      </c>
      <c r="F354" s="1" t="str">
        <f ca="1">IFERROR(__xludf.DUMMYFUNCTION("""COMPUTED_VALUE"""),"USA")</f>
        <v>USA</v>
      </c>
      <c r="G354" s="1" t="str">
        <f ca="1">IFERROR(__xludf.DUMMYFUNCTION("""COMPUTED_VALUE"""),"105.24 USA")</f>
        <v>105.24 USA</v>
      </c>
      <c r="H354" s="1" t="str">
        <f ca="1">IFERROR(__xludf.DUMMYFUNCTION("""COMPUTED_VALUE"""),"Death Penalty")</f>
        <v>Death Penalty</v>
      </c>
      <c r="I354" s="1" t="str">
        <f ca="1">IFERROR(__xludf.DUMMYFUNCTION("""COMPUTED_VALUE"""),"2024")</f>
        <v>2024</v>
      </c>
      <c r="J354" s="1" t="str">
        <f ca="1">IFERROR(__xludf.DUMMYFUNCTION("""COMPUTED_VALUE"""),"Email")</f>
        <v>Email</v>
      </c>
    </row>
    <row r="355" spans="1:10" ht="13" x14ac:dyDescent="0.15">
      <c r="A355" s="4">
        <f ca="1">IFERROR(__xludf.DUMMYFUNCTION("""COMPUTED_VALUE"""),30800952)</f>
        <v>30800952</v>
      </c>
      <c r="B355" s="1" t="str">
        <f ca="1">IFERROR(__xludf.DUMMYFUNCTION("""COMPUTED_VALUE"""),"brettbos@yahoo.com")</f>
        <v>brettbos@yahoo.com</v>
      </c>
      <c r="C355" s="4" t="str">
        <f ca="1">IFERROR(__xludf.DUMMYFUNCTION("""COMPUTED_VALUE"""),"EVERGREEN - UAN Gated Content - Embedded Petition")</f>
        <v>EVERGREEN - UAN Gated Content - Embedded Petition</v>
      </c>
      <c r="D355" s="5">
        <f ca="1">IFERROR(__xludf.DUMMYFUNCTION("""COMPUTED_VALUE"""),45651)</f>
        <v>45651</v>
      </c>
      <c r="F355" s="1" t="str">
        <f ca="1">IFERROR(__xludf.DUMMYFUNCTION("""COMPUTED_VALUE"""),"Egypt")</f>
        <v>Egypt</v>
      </c>
      <c r="G355" s="1" t="str">
        <f ca="1">IFERROR(__xludf.DUMMYFUNCTION("""COMPUTED_VALUE"""),"Ninth 190.18 Egypt")</f>
        <v>Ninth 190.18 Egypt</v>
      </c>
      <c r="H355" s="1" t="str">
        <f ca="1">IFERROR(__xludf.DUMMYFUNCTION("""COMPUTED_VALUE"""),"Freedom of Expression, Individuals At Risk")</f>
        <v>Freedom of Expression, Individuals At Risk</v>
      </c>
      <c r="I355" s="1" t="str">
        <f ca="1">IFERROR(__xludf.DUMMYFUNCTION("""COMPUTED_VALUE"""),"2024")</f>
        <v>2024</v>
      </c>
      <c r="J355" s="1" t="str">
        <f ca="1">IFERROR(__xludf.DUMMYFUNCTION("""COMPUTED_VALUE"""),"Letter")</f>
        <v>Letter</v>
      </c>
    </row>
    <row r="356" spans="1:10" ht="13" x14ac:dyDescent="0.15">
      <c r="A356" s="4">
        <f ca="1">IFERROR(__xludf.DUMMYFUNCTION("""COMPUTED_VALUE"""),30800952)</f>
        <v>30800952</v>
      </c>
      <c r="B356" s="1" t="str">
        <f ca="1">IFERROR(__xludf.DUMMYFUNCTION("""COMPUTED_VALUE"""),"brettbos@yahoo.com")</f>
        <v>brettbos@yahoo.com</v>
      </c>
      <c r="C356" s="4" t="str">
        <f ca="1">IFERROR(__xludf.DUMMYFUNCTION("""COMPUTED_VALUE"""),"EVERGREEN - UAN Gated Content - Embedded Petition")</f>
        <v>EVERGREEN - UAN Gated Content - Embedded Petition</v>
      </c>
      <c r="D356" s="5">
        <f ca="1">IFERROR(__xludf.DUMMYFUNCTION("""COMPUTED_VALUE"""),45651)</f>
        <v>45651</v>
      </c>
      <c r="F356" s="1" t="str">
        <f ca="1">IFERROR(__xludf.DUMMYFUNCTION("""COMPUTED_VALUE"""),"Venezuela")</f>
        <v>Venezuela</v>
      </c>
      <c r="G356" s="1" t="str">
        <f ca="1">IFERROR(__xludf.DUMMYFUNCTION("""COMPUTED_VALUE"""),"97.24 Venezuela")</f>
        <v>97.24 Venezuela</v>
      </c>
      <c r="H356" s="1" t="str">
        <f ca="1">IFERROR(__xludf.DUMMYFUNCTION("""COMPUTED_VALUE"""),"Freedom of Expression")</f>
        <v>Freedom of Expression</v>
      </c>
      <c r="I356" s="1" t="str">
        <f ca="1">IFERROR(__xludf.DUMMYFUNCTION("""COMPUTED_VALUE"""),"2024")</f>
        <v>2024</v>
      </c>
      <c r="J356" s="1" t="str">
        <f ca="1">IFERROR(__xludf.DUMMYFUNCTION("""COMPUTED_VALUE"""),"Letter")</f>
        <v>Letter</v>
      </c>
    </row>
    <row r="357" spans="1:10" ht="13" x14ac:dyDescent="0.15">
      <c r="A357" s="4">
        <f ca="1">IFERROR(__xludf.DUMMYFUNCTION("""COMPUTED_VALUE"""),30800952)</f>
        <v>30800952</v>
      </c>
      <c r="B357" s="1" t="str">
        <f ca="1">IFERROR(__xludf.DUMMYFUNCTION("""COMPUTED_VALUE"""),"brettbos@yahoo.com")</f>
        <v>brettbos@yahoo.com</v>
      </c>
      <c r="C357" s="4" t="str">
        <f ca="1">IFERROR(__xludf.DUMMYFUNCTION("""COMPUTED_VALUE"""),"EVERGREEN - UAN Gated Content - Embedded Petition")</f>
        <v>EVERGREEN - UAN Gated Content - Embedded Petition</v>
      </c>
      <c r="D357" s="5">
        <f ca="1">IFERROR(__xludf.DUMMYFUNCTION("""COMPUTED_VALUE"""),45652)</f>
        <v>45652</v>
      </c>
      <c r="F357" s="1" t="str">
        <f ca="1">IFERROR(__xludf.DUMMYFUNCTION("""COMPUTED_VALUE"""),"Uganda")</f>
        <v>Uganda</v>
      </c>
      <c r="G357" s="1" t="str">
        <f ca="1">IFERROR(__xludf.DUMMYFUNCTION("""COMPUTED_VALUE"""),"100.24 Uganda")</f>
        <v>100.24 Uganda</v>
      </c>
      <c r="H357" s="1" t="str">
        <f ca="1">IFERROR(__xludf.DUMMYFUNCTION("""COMPUTED_VALUE"""),"Freedom of Expression")</f>
        <v>Freedom of Expression</v>
      </c>
      <c r="I357" s="1" t="str">
        <f ca="1">IFERROR(__xludf.DUMMYFUNCTION("""COMPUTED_VALUE"""),"2024")</f>
        <v>2024</v>
      </c>
      <c r="J357" s="1" t="str">
        <f ca="1">IFERROR(__xludf.DUMMYFUNCTION("""COMPUTED_VALUE"""),"Email")</f>
        <v>Email</v>
      </c>
    </row>
    <row r="358" spans="1:10" ht="13" x14ac:dyDescent="0.15">
      <c r="A358" s="4">
        <f ca="1">IFERROR(__xludf.DUMMYFUNCTION("""COMPUTED_VALUE"""),30800952)</f>
        <v>30800952</v>
      </c>
      <c r="B358" s="1" t="str">
        <f ca="1">IFERROR(__xludf.DUMMYFUNCTION("""COMPUTED_VALUE"""),"brettbos@yahoo.com")</f>
        <v>brettbos@yahoo.com</v>
      </c>
      <c r="C358" s="4" t="str">
        <f ca="1">IFERROR(__xludf.DUMMYFUNCTION("""COMPUTED_VALUE"""),"EVERGREEN - UAN Gated Content - Embedded Petition")</f>
        <v>EVERGREEN - UAN Gated Content - Embedded Petition</v>
      </c>
      <c r="D358" s="5">
        <f ca="1">IFERROR(__xludf.DUMMYFUNCTION("""COMPUTED_VALUE"""),45658)</f>
        <v>45658</v>
      </c>
      <c r="F358" s="1" t="str">
        <f ca="1">IFERROR(__xludf.DUMMYFUNCTION("""COMPUTED_VALUE"""),"Tunisia")</f>
        <v>Tunisia</v>
      </c>
      <c r="G358" s="1" t="str">
        <f ca="1">IFERROR(__xludf.DUMMYFUNCTION("""COMPUTED_VALUE"""),"Second 76.24 Tunisia")</f>
        <v>Second 76.24 Tunisia</v>
      </c>
      <c r="H358" s="1" t="str">
        <f ca="1">IFERROR(__xludf.DUMMYFUNCTION("""COMPUTED_VALUE"""),"Freedom of Expression, Human Rights Defenders")</f>
        <v>Freedom of Expression, Human Rights Defenders</v>
      </c>
      <c r="I358" s="1" t="str">
        <f ca="1">IFERROR(__xludf.DUMMYFUNCTION("""COMPUTED_VALUE"""),"2025")</f>
        <v>2025</v>
      </c>
      <c r="J358" s="1" t="str">
        <f ca="1">IFERROR(__xludf.DUMMYFUNCTION("""COMPUTED_VALUE"""),"Email")</f>
        <v>Email</v>
      </c>
    </row>
    <row r="359" spans="1:10" ht="13" x14ac:dyDescent="0.15">
      <c r="A359" s="4">
        <f ca="1">IFERROR(__xludf.DUMMYFUNCTION("""COMPUTED_VALUE"""),30800952)</f>
        <v>30800952</v>
      </c>
      <c r="B359" s="1" t="str">
        <f ca="1">IFERROR(__xludf.DUMMYFUNCTION("""COMPUTED_VALUE"""),"brettbos@yahoo.com")</f>
        <v>brettbos@yahoo.com</v>
      </c>
      <c r="C359" s="4" t="str">
        <f ca="1">IFERROR(__xludf.DUMMYFUNCTION("""COMPUTED_VALUE"""),"EVERGREEN - UAN Gated Content - Embedded Petition")</f>
        <v>EVERGREEN - UAN Gated Content - Embedded Petition</v>
      </c>
      <c r="D359" s="5">
        <f ca="1">IFERROR(__xludf.DUMMYFUNCTION("""COMPUTED_VALUE"""),45666)</f>
        <v>45666</v>
      </c>
      <c r="F359" s="1" t="str">
        <f ca="1">IFERROR(__xludf.DUMMYFUNCTION("""COMPUTED_VALUE"""),"USA")</f>
        <v>USA</v>
      </c>
      <c r="G359" s="1" t="str">
        <f ca="1">IFERROR(__xludf.DUMMYFUNCTION("""COMPUTED_VALUE"""),"105.24 USA")</f>
        <v>105.24 USA</v>
      </c>
      <c r="H359" s="1" t="str">
        <f ca="1">IFERROR(__xludf.DUMMYFUNCTION("""COMPUTED_VALUE"""),"Death Penalty")</f>
        <v>Death Penalty</v>
      </c>
      <c r="I359" s="1" t="str">
        <f ca="1">IFERROR(__xludf.DUMMYFUNCTION("""COMPUTED_VALUE"""),"2024")</f>
        <v>2024</v>
      </c>
      <c r="J359" s="1" t="str">
        <f ca="1">IFERROR(__xludf.DUMMYFUNCTION("""COMPUTED_VALUE"""),"Email")</f>
        <v>Email</v>
      </c>
    </row>
    <row r="360" spans="1:10" ht="13" x14ac:dyDescent="0.15">
      <c r="A360" s="4">
        <f ca="1">IFERROR(__xludf.DUMMYFUNCTION("""COMPUTED_VALUE"""),30800952)</f>
        <v>30800952</v>
      </c>
      <c r="B360" s="1" t="str">
        <f ca="1">IFERROR(__xludf.DUMMYFUNCTION("""COMPUTED_VALUE"""),"brettbos@yahoo.com")</f>
        <v>brettbos@yahoo.com</v>
      </c>
      <c r="C360" s="4" t="str">
        <f ca="1">IFERROR(__xludf.DUMMYFUNCTION("""COMPUTED_VALUE"""),"EVERGREEN - UAN Gated Content - Embedded Petition")</f>
        <v>EVERGREEN - UAN Gated Content - Embedded Petition</v>
      </c>
      <c r="D360" s="5">
        <f ca="1">IFERROR(__xludf.DUMMYFUNCTION("""COMPUTED_VALUE"""),45647)</f>
        <v>45647</v>
      </c>
      <c r="F360" s="1" t="str">
        <f ca="1">IFERROR(__xludf.DUMMYFUNCTION("""COMPUTED_VALUE"""),"USA")</f>
        <v>USA</v>
      </c>
      <c r="G360" s="1" t="str">
        <f ca="1">IFERROR(__xludf.DUMMYFUNCTION("""COMPUTED_VALUE"""),"4.25 USA")</f>
        <v>4.25 USA</v>
      </c>
      <c r="H360" s="1" t="str">
        <f ca="1">IFERROR(__xludf.DUMMYFUNCTION("""COMPUTED_VALUE"""),"Individuals At Risk, Refugee and Migrant Rights")</f>
        <v>Individuals At Risk, Refugee and Migrant Rights</v>
      </c>
      <c r="I360" s="1" t="str">
        <f ca="1">IFERROR(__xludf.DUMMYFUNCTION("""COMPUTED_VALUE"""),"2025")</f>
        <v>2025</v>
      </c>
      <c r="J360" s="1" t="str">
        <f ca="1">IFERROR(__xludf.DUMMYFUNCTION("""COMPUTED_VALUE"""),"Letter")</f>
        <v>Letter</v>
      </c>
    </row>
    <row r="361" spans="1:10" ht="13" x14ac:dyDescent="0.15">
      <c r="A361" s="4">
        <f ca="1">IFERROR(__xludf.DUMMYFUNCTION("""COMPUTED_VALUE"""),30800952)</f>
        <v>30800952</v>
      </c>
      <c r="B361" s="1" t="str">
        <f ca="1">IFERROR(__xludf.DUMMYFUNCTION("""COMPUTED_VALUE"""),"brettbos@yahoo.com")</f>
        <v>brettbos@yahoo.com</v>
      </c>
      <c r="C361" s="4" t="str">
        <f ca="1">IFERROR(__xludf.DUMMYFUNCTION("""COMPUTED_VALUE"""),"EVERGREEN - UAN Gated Content - Embedded Petition")</f>
        <v>EVERGREEN - UAN Gated Content - Embedded Petition</v>
      </c>
      <c r="D361" s="5">
        <f ca="1">IFERROR(__xludf.DUMMYFUNCTION("""COMPUTED_VALUE"""),45647)</f>
        <v>45647</v>
      </c>
      <c r="F361" s="1" t="str">
        <f ca="1">IFERROR(__xludf.DUMMYFUNCTION("""COMPUTED_VALUE"""),"Tunisia")</f>
        <v>Tunisia</v>
      </c>
      <c r="G361" s="1" t="str">
        <f ca="1">IFERROR(__xludf.DUMMYFUNCTION("""COMPUTED_VALUE"""),"Second 76.24 Tunisia")</f>
        <v>Second 76.24 Tunisia</v>
      </c>
      <c r="H361" s="1" t="str">
        <f ca="1">IFERROR(__xludf.DUMMYFUNCTION("""COMPUTED_VALUE"""),"Freedom of Expression, Human Rights Defenders")</f>
        <v>Freedom of Expression, Human Rights Defenders</v>
      </c>
      <c r="I361" s="1" t="str">
        <f ca="1">IFERROR(__xludf.DUMMYFUNCTION("""COMPUTED_VALUE"""),"2025")</f>
        <v>2025</v>
      </c>
      <c r="J361" s="1" t="str">
        <f ca="1">IFERROR(__xludf.DUMMYFUNCTION("""COMPUTED_VALUE"""),"Email")</f>
        <v>Email</v>
      </c>
    </row>
    <row r="362" spans="1:10" ht="13" x14ac:dyDescent="0.15">
      <c r="A362" s="4">
        <f ca="1">IFERROR(__xludf.DUMMYFUNCTION("""COMPUTED_VALUE"""),30800952)</f>
        <v>30800952</v>
      </c>
      <c r="B362" s="1" t="str">
        <f ca="1">IFERROR(__xludf.DUMMYFUNCTION("""COMPUTED_VALUE"""),"brettbos@yahoo.com")</f>
        <v>brettbos@yahoo.com</v>
      </c>
      <c r="C362" s="4" t="str">
        <f ca="1">IFERROR(__xludf.DUMMYFUNCTION("""COMPUTED_VALUE"""),"EVERGREEN - UAN Gated Content - Embedded Petition")</f>
        <v>EVERGREEN - UAN Gated Content - Embedded Petition</v>
      </c>
      <c r="D362" s="5">
        <f ca="1">IFERROR(__xludf.DUMMYFUNCTION("""COMPUTED_VALUE"""),45677)</f>
        <v>45677</v>
      </c>
      <c r="F362" s="1" t="str">
        <f ca="1">IFERROR(__xludf.DUMMYFUNCTION("""COMPUTED_VALUE"""),"China")</f>
        <v>China</v>
      </c>
      <c r="G362" s="1" t="str">
        <f ca="1">IFERROR(__xludf.DUMMYFUNCTION("""COMPUTED_VALUE"""),"98.24 China")</f>
        <v>98.24 China</v>
      </c>
      <c r="H362" s="1" t="str">
        <f ca="1">IFERROR(__xludf.DUMMYFUNCTION("""COMPUTED_VALUE"""),"Freedom of Expression, Individuals At Risk")</f>
        <v>Freedom of Expression, Individuals At Risk</v>
      </c>
      <c r="I362" s="1" t="str">
        <f ca="1">IFERROR(__xludf.DUMMYFUNCTION("""COMPUTED_VALUE"""),"2024")</f>
        <v>2024</v>
      </c>
      <c r="J362" s="1" t="str">
        <f ca="1">IFERROR(__xludf.DUMMYFUNCTION("""COMPUTED_VALUE"""),"Letter")</f>
        <v>Letter</v>
      </c>
    </row>
    <row r="363" spans="1:10" ht="13" x14ac:dyDescent="0.15">
      <c r="A363" s="4">
        <f ca="1">IFERROR(__xludf.DUMMYFUNCTION("""COMPUTED_VALUE"""),30800952)</f>
        <v>30800952</v>
      </c>
      <c r="B363" s="1" t="str">
        <f ca="1">IFERROR(__xludf.DUMMYFUNCTION("""COMPUTED_VALUE"""),"brettbos@yahoo.com")</f>
        <v>brettbos@yahoo.com</v>
      </c>
      <c r="C363" s="4" t="str">
        <f ca="1">IFERROR(__xludf.DUMMYFUNCTION("""COMPUTED_VALUE"""),"EVERGREEN - UAN Gated Content - Embedded Petition")</f>
        <v>EVERGREEN - UAN Gated Content - Embedded Petition</v>
      </c>
      <c r="D363" s="5">
        <f ca="1">IFERROR(__xludf.DUMMYFUNCTION("""COMPUTED_VALUE"""),45672)</f>
        <v>45672</v>
      </c>
      <c r="F363" s="1" t="str">
        <f ca="1">IFERROR(__xludf.DUMMYFUNCTION("""COMPUTED_VALUE"""),"USA")</f>
        <v>USA</v>
      </c>
      <c r="G363" s="1" t="str">
        <f ca="1">IFERROR(__xludf.DUMMYFUNCTION("""COMPUTED_VALUE"""),"105.24 USA")</f>
        <v>105.24 USA</v>
      </c>
      <c r="H363" s="1" t="str">
        <f ca="1">IFERROR(__xludf.DUMMYFUNCTION("""COMPUTED_VALUE"""),"Death Penalty")</f>
        <v>Death Penalty</v>
      </c>
      <c r="I363" s="1" t="str">
        <f ca="1">IFERROR(__xludf.DUMMYFUNCTION("""COMPUTED_VALUE"""),"2024")</f>
        <v>2024</v>
      </c>
      <c r="J363" s="1" t="str">
        <f ca="1">IFERROR(__xludf.DUMMYFUNCTION("""COMPUTED_VALUE"""),"Email")</f>
        <v>Email</v>
      </c>
    </row>
    <row r="364" spans="1:10" ht="13" x14ac:dyDescent="0.15">
      <c r="A364" s="4">
        <f ca="1">IFERROR(__xludf.DUMMYFUNCTION("""COMPUTED_VALUE"""),30800952)</f>
        <v>30800952</v>
      </c>
      <c r="B364" s="1" t="str">
        <f ca="1">IFERROR(__xludf.DUMMYFUNCTION("""COMPUTED_VALUE"""),"brettbos@yahoo.com")</f>
        <v>brettbos@yahoo.com</v>
      </c>
      <c r="C364" s="4" t="str">
        <f ca="1">IFERROR(__xludf.DUMMYFUNCTION("""COMPUTED_VALUE"""),"EVERGREEN - UAN Gated Content - Embedded Petition")</f>
        <v>EVERGREEN - UAN Gated Content - Embedded Petition</v>
      </c>
      <c r="D364" s="5">
        <f ca="1">IFERROR(__xludf.DUMMYFUNCTION("""COMPUTED_VALUE"""),45672)</f>
        <v>45672</v>
      </c>
      <c r="F364" s="1" t="str">
        <f ca="1">IFERROR(__xludf.DUMMYFUNCTION("""COMPUTED_VALUE"""),"USA")</f>
        <v>USA</v>
      </c>
      <c r="G364" s="1" t="str">
        <f ca="1">IFERROR(__xludf.DUMMYFUNCTION("""COMPUTED_VALUE"""),"Fourth 55.24 USA")</f>
        <v>Fourth 55.24 USA</v>
      </c>
      <c r="H364" s="1" t="str">
        <f ca="1">IFERROR(__xludf.DUMMYFUNCTION("""COMPUTED_VALUE"""),"Climate Justice, Individuals At Risk")</f>
        <v>Climate Justice, Individuals At Risk</v>
      </c>
      <c r="I364" s="1" t="str">
        <f ca="1">IFERROR(__xludf.DUMMYFUNCTION("""COMPUTED_VALUE"""),"2025")</f>
        <v>2025</v>
      </c>
      <c r="J364" s="1" t="str">
        <f ca="1">IFERROR(__xludf.DUMMYFUNCTION("""COMPUTED_VALUE"""),"Email")</f>
        <v>Email</v>
      </c>
    </row>
    <row r="365" spans="1:10" ht="13" x14ac:dyDescent="0.15">
      <c r="A365" s="4">
        <f ca="1">IFERROR(__xludf.DUMMYFUNCTION("""COMPUTED_VALUE"""),30800952)</f>
        <v>30800952</v>
      </c>
      <c r="B365" s="1" t="str">
        <f ca="1">IFERROR(__xludf.DUMMYFUNCTION("""COMPUTED_VALUE"""),"brettbos@yahoo.com")</f>
        <v>brettbos@yahoo.com</v>
      </c>
      <c r="C365" s="4" t="str">
        <f ca="1">IFERROR(__xludf.DUMMYFUNCTION("""COMPUTED_VALUE"""),"EVERGREEN - UAN Gated Content - Embedded Petition")</f>
        <v>EVERGREEN - UAN Gated Content - Embedded Petition</v>
      </c>
      <c r="D365" s="5">
        <f ca="1">IFERROR(__xludf.DUMMYFUNCTION("""COMPUTED_VALUE"""),45687)</f>
        <v>45687</v>
      </c>
      <c r="F365" s="1" t="str">
        <f ca="1">IFERROR(__xludf.DUMMYFUNCTION("""COMPUTED_VALUE"""),"Saudi Arabia")</f>
        <v>Saudi Arabia</v>
      </c>
      <c r="G365" s="1" t="str">
        <f ca="1">IFERROR(__xludf.DUMMYFUNCTION("""COMPUTED_VALUE"""),"Fifth 257.12")</f>
        <v>Fifth 257.12</v>
      </c>
      <c r="H365" s="1" t="str">
        <f ca="1">IFERROR(__xludf.DUMMYFUNCTION("""COMPUTED_VALUE"""),"Freedom of Expression, Human Rights Defenders")</f>
        <v>Freedom of Expression, Human Rights Defenders</v>
      </c>
      <c r="I365" s="1" t="str">
        <f ca="1">IFERROR(__xludf.DUMMYFUNCTION("""COMPUTED_VALUE"""),"2025")</f>
        <v>2025</v>
      </c>
      <c r="J365" s="1" t="str">
        <f ca="1">IFERROR(__xludf.DUMMYFUNCTION("""COMPUTED_VALUE"""),"Email")</f>
        <v>Email</v>
      </c>
    </row>
    <row r="366" spans="1:10" ht="13" x14ac:dyDescent="0.15">
      <c r="A366" s="4">
        <f ca="1">IFERROR(__xludf.DUMMYFUNCTION("""COMPUTED_VALUE"""),30800952)</f>
        <v>30800952</v>
      </c>
      <c r="B366" s="1" t="str">
        <f ca="1">IFERROR(__xludf.DUMMYFUNCTION("""COMPUTED_VALUE"""),"brettbos@yahoo.com")</f>
        <v>brettbos@yahoo.com</v>
      </c>
      <c r="C366" s="4" t="str">
        <f ca="1">IFERROR(__xludf.DUMMYFUNCTION("""COMPUTED_VALUE"""),"EVERGREEN - UAN Gated Content - Embedded Petition")</f>
        <v>EVERGREEN - UAN Gated Content - Embedded Petition</v>
      </c>
      <c r="D366" s="5">
        <f ca="1">IFERROR(__xludf.DUMMYFUNCTION("""COMPUTED_VALUE"""),45687)</f>
        <v>45687</v>
      </c>
      <c r="F366" s="1" t="str">
        <f ca="1">IFERROR(__xludf.DUMMYFUNCTION("""COMPUTED_VALUE"""),"Tunisia")</f>
        <v>Tunisia</v>
      </c>
      <c r="G366" s="1" t="str">
        <f ca="1">IFERROR(__xludf.DUMMYFUNCTION("""COMPUTED_VALUE"""),"Second 76.24 Tunisia")</f>
        <v>Second 76.24 Tunisia</v>
      </c>
      <c r="H366" s="1" t="str">
        <f ca="1">IFERROR(__xludf.DUMMYFUNCTION("""COMPUTED_VALUE"""),"Freedom of Expression, Human Rights Defenders")</f>
        <v>Freedom of Expression, Human Rights Defenders</v>
      </c>
      <c r="I366" s="1" t="str">
        <f ca="1">IFERROR(__xludf.DUMMYFUNCTION("""COMPUTED_VALUE"""),"2025")</f>
        <v>2025</v>
      </c>
      <c r="J366" s="1" t="str">
        <f ca="1">IFERROR(__xludf.DUMMYFUNCTION("""COMPUTED_VALUE"""),"Email")</f>
        <v>Email</v>
      </c>
    </row>
    <row r="367" spans="1:10" ht="13" x14ac:dyDescent="0.15">
      <c r="A367" s="4">
        <f ca="1">IFERROR(__xludf.DUMMYFUNCTION("""COMPUTED_VALUE"""),30800952)</f>
        <v>30800952</v>
      </c>
      <c r="B367" s="1" t="str">
        <f ca="1">IFERROR(__xludf.DUMMYFUNCTION("""COMPUTED_VALUE"""),"brettbos@yahoo.com")</f>
        <v>brettbos@yahoo.com</v>
      </c>
      <c r="C367" s="4" t="str">
        <f ca="1">IFERROR(__xludf.DUMMYFUNCTION("""COMPUTED_VALUE"""),"EVERGREEN - UAN Gated Content - Embedded Petition")</f>
        <v>EVERGREEN - UAN Gated Content - Embedded Petition</v>
      </c>
      <c r="D367" s="5">
        <f ca="1">IFERROR(__xludf.DUMMYFUNCTION("""COMPUTED_VALUE"""),45689)</f>
        <v>45689</v>
      </c>
      <c r="F367" s="1" t="str">
        <f ca="1">IFERROR(__xludf.DUMMYFUNCTION("""COMPUTED_VALUE"""),"Venezuela")</f>
        <v>Venezuela</v>
      </c>
      <c r="G367" s="1" t="str">
        <f ca="1">IFERROR(__xludf.DUMMYFUNCTION("""COMPUTED_VALUE"""),"1.25 Venezuela")</f>
        <v>1.25 Venezuela</v>
      </c>
      <c r="H367" s="1" t="str">
        <f ca="1">IFERROR(__xludf.DUMMYFUNCTION("""COMPUTED_VALUE"""),"Human Rights Defenders, Individuals At Risk")</f>
        <v>Human Rights Defenders, Individuals At Risk</v>
      </c>
      <c r="I367" s="1" t="str">
        <f ca="1">IFERROR(__xludf.DUMMYFUNCTION("""COMPUTED_VALUE"""),"2025")</f>
        <v>2025</v>
      </c>
      <c r="J367" s="1" t="str">
        <f ca="1">IFERROR(__xludf.DUMMYFUNCTION("""COMPUTED_VALUE"""),"Letter")</f>
        <v>Letter</v>
      </c>
    </row>
    <row r="368" spans="1:10" ht="13" x14ac:dyDescent="0.15">
      <c r="A368" s="4">
        <f ca="1">IFERROR(__xludf.DUMMYFUNCTION("""COMPUTED_VALUE"""),30800952)</f>
        <v>30800952</v>
      </c>
      <c r="B368" s="1" t="str">
        <f ca="1">IFERROR(__xludf.DUMMYFUNCTION("""COMPUTED_VALUE"""),"brettbos@yahoo.com")</f>
        <v>brettbos@yahoo.com</v>
      </c>
      <c r="C368" s="4" t="str">
        <f ca="1">IFERROR(__xludf.DUMMYFUNCTION("""COMPUTED_VALUE"""),"EVERGREEN - UAN Gated Content - Embedded Petition")</f>
        <v>EVERGREEN - UAN Gated Content - Embedded Petition</v>
      </c>
      <c r="D368" s="5">
        <f ca="1">IFERROR(__xludf.DUMMYFUNCTION("""COMPUTED_VALUE"""),45689)</f>
        <v>45689</v>
      </c>
      <c r="F368" s="1" t="str">
        <f ca="1">IFERROR(__xludf.DUMMYFUNCTION("""COMPUTED_VALUE"""),"Iran")</f>
        <v>Iran</v>
      </c>
      <c r="G368" s="1" t="str">
        <f ca="1">IFERROR(__xludf.DUMMYFUNCTION("""COMPUTED_VALUE"""),"Seventh 103.22 Iran")</f>
        <v>Seventh 103.22 Iran</v>
      </c>
      <c r="H368" s="1" t="str">
        <f ca="1">IFERROR(__xludf.DUMMYFUNCTION("""COMPUTED_VALUE"""),"Death Penalty, Freedom of Expression, Individuals At Risk")</f>
        <v>Death Penalty, Freedom of Expression, Individuals At Risk</v>
      </c>
      <c r="I368" s="1" t="str">
        <f ca="1">IFERROR(__xludf.DUMMYFUNCTION("""COMPUTED_VALUE"""),"2024")</f>
        <v>2024</v>
      </c>
      <c r="J368" s="1" t="str">
        <f ca="1">IFERROR(__xludf.DUMMYFUNCTION("""COMPUTED_VALUE"""),"Email")</f>
        <v>Email</v>
      </c>
    </row>
    <row r="369" spans="1:10" ht="13" x14ac:dyDescent="0.15">
      <c r="A369" s="4">
        <f ca="1">IFERROR(__xludf.DUMMYFUNCTION("""COMPUTED_VALUE"""),30800952)</f>
        <v>30800952</v>
      </c>
      <c r="B369" s="1" t="str">
        <f ca="1">IFERROR(__xludf.DUMMYFUNCTION("""COMPUTED_VALUE"""),"brettbos@yahoo.com")</f>
        <v>brettbos@yahoo.com</v>
      </c>
      <c r="C369" s="4" t="str">
        <f ca="1">IFERROR(__xludf.DUMMYFUNCTION("""COMPUTED_VALUE"""),"EVERGREEN - UAN Gated Content - Embedded Petition")</f>
        <v>EVERGREEN - UAN Gated Content - Embedded Petition</v>
      </c>
      <c r="D369" s="5">
        <f ca="1">IFERROR(__xludf.DUMMYFUNCTION("""COMPUTED_VALUE"""),45689)</f>
        <v>45689</v>
      </c>
      <c r="F369" s="1" t="str">
        <f ca="1">IFERROR(__xludf.DUMMYFUNCTION("""COMPUTED_VALUE"""),"Tunisia")</f>
        <v>Tunisia</v>
      </c>
      <c r="G369" s="1" t="str">
        <f ca="1">IFERROR(__xludf.DUMMYFUNCTION("""COMPUTED_VALUE"""),"Second 76.24 Tunisia")</f>
        <v>Second 76.24 Tunisia</v>
      </c>
      <c r="H369" s="1" t="str">
        <f ca="1">IFERROR(__xludf.DUMMYFUNCTION("""COMPUTED_VALUE"""),"Freedom of Expression, Human Rights Defenders")</f>
        <v>Freedom of Expression, Human Rights Defenders</v>
      </c>
      <c r="I369" s="1" t="str">
        <f ca="1">IFERROR(__xludf.DUMMYFUNCTION("""COMPUTED_VALUE"""),"2025")</f>
        <v>2025</v>
      </c>
      <c r="J369" s="1" t="str">
        <f ca="1">IFERROR(__xludf.DUMMYFUNCTION("""COMPUTED_VALUE"""),"Email")</f>
        <v>Email</v>
      </c>
    </row>
    <row r="370" spans="1:10" ht="13" x14ac:dyDescent="0.15">
      <c r="A370" s="4">
        <f ca="1">IFERROR(__xludf.DUMMYFUNCTION("""COMPUTED_VALUE"""),30800952)</f>
        <v>30800952</v>
      </c>
      <c r="B370" s="1" t="str">
        <f ca="1">IFERROR(__xludf.DUMMYFUNCTION("""COMPUTED_VALUE"""),"brettbos@yahoo.com")</f>
        <v>brettbos@yahoo.com</v>
      </c>
      <c r="C370" s="4" t="str">
        <f ca="1">IFERROR(__xludf.DUMMYFUNCTION("""COMPUTED_VALUE"""),"EVERGREEN - UAN Gated Content - Embedded Petition")</f>
        <v>EVERGREEN - UAN Gated Content - Embedded Petition</v>
      </c>
      <c r="D370" s="5">
        <f ca="1">IFERROR(__xludf.DUMMYFUNCTION("""COMPUTED_VALUE"""),45689)</f>
        <v>45689</v>
      </c>
      <c r="F370" s="1" t="str">
        <f ca="1">IFERROR(__xludf.DUMMYFUNCTION("""COMPUTED_VALUE"""),"Dominican Republic")</f>
        <v>Dominican Republic</v>
      </c>
      <c r="G370" s="1" t="str">
        <f ca="1">IFERROR(__xludf.DUMMYFUNCTION("""COMPUTED_VALUE"""),"88.24 Dominican Republic")</f>
        <v>88.24 Dominican Republic</v>
      </c>
      <c r="H370" s="1" t="str">
        <f ca="1">IFERROR(__xludf.DUMMYFUNCTION("""COMPUTED_VALUE"""),"Individuals At Risk, Refugee and Migrant Rights")</f>
        <v>Individuals At Risk, Refugee and Migrant Rights</v>
      </c>
      <c r="I370" s="1" t="str">
        <f ca="1">IFERROR(__xludf.DUMMYFUNCTION("""COMPUTED_VALUE"""),"2024")</f>
        <v>2024</v>
      </c>
      <c r="J370" s="1" t="str">
        <f ca="1">IFERROR(__xludf.DUMMYFUNCTION("""COMPUTED_VALUE"""),"Letter")</f>
        <v>Letter</v>
      </c>
    </row>
    <row r="371" spans="1:10" ht="13" x14ac:dyDescent="0.15">
      <c r="A371" s="4">
        <f ca="1">IFERROR(__xludf.DUMMYFUNCTION("""COMPUTED_VALUE"""),30800952)</f>
        <v>30800952</v>
      </c>
      <c r="B371" s="1" t="str">
        <f ca="1">IFERROR(__xludf.DUMMYFUNCTION("""COMPUTED_VALUE"""),"brettbos@yahoo.com")</f>
        <v>brettbos@yahoo.com</v>
      </c>
      <c r="C371" s="4" t="str">
        <f ca="1">IFERROR(__xludf.DUMMYFUNCTION("""COMPUTED_VALUE"""),"EVERGREEN - UAN Gated Content - Embedded Petition")</f>
        <v>EVERGREEN - UAN Gated Content - Embedded Petition</v>
      </c>
      <c r="D371" s="5">
        <f ca="1">IFERROR(__xludf.DUMMYFUNCTION("""COMPUTED_VALUE"""),45689)</f>
        <v>45689</v>
      </c>
      <c r="F371" s="1" t="str">
        <f ca="1">IFERROR(__xludf.DUMMYFUNCTION("""COMPUTED_VALUE"""),"Niger")</f>
        <v>Niger</v>
      </c>
      <c r="G371" s="1" t="str">
        <f ca="1">IFERROR(__xludf.DUMMYFUNCTION("""COMPUTED_VALUE"""),"103.24 Niger")</f>
        <v>103.24 Niger</v>
      </c>
      <c r="H371" s="1" t="str">
        <f ca="1">IFERROR(__xludf.DUMMYFUNCTION("""COMPUTED_VALUE"""),"Freedom of Expression, Human Rights Defenders")</f>
        <v>Freedom of Expression, Human Rights Defenders</v>
      </c>
      <c r="I371" s="1" t="str">
        <f ca="1">IFERROR(__xludf.DUMMYFUNCTION("""COMPUTED_VALUE"""),"2024")</f>
        <v>2024</v>
      </c>
      <c r="J371" s="1" t="str">
        <f ca="1">IFERROR(__xludf.DUMMYFUNCTION("""COMPUTED_VALUE"""),"Email")</f>
        <v>Email</v>
      </c>
    </row>
    <row r="372" spans="1:10" ht="13" x14ac:dyDescent="0.15">
      <c r="A372" s="4">
        <f ca="1">IFERROR(__xludf.DUMMYFUNCTION("""COMPUTED_VALUE"""),30800952)</f>
        <v>30800952</v>
      </c>
      <c r="B372" s="1" t="str">
        <f ca="1">IFERROR(__xludf.DUMMYFUNCTION("""COMPUTED_VALUE"""),"brettbos@yahoo.com")</f>
        <v>brettbos@yahoo.com</v>
      </c>
      <c r="C372" s="4" t="str">
        <f ca="1">IFERROR(__xludf.DUMMYFUNCTION("""COMPUTED_VALUE"""),"EVERGREEN - UAN Gated Content - Embedded Petition")</f>
        <v>EVERGREEN - UAN Gated Content - Embedded Petition</v>
      </c>
      <c r="D372" s="5">
        <f ca="1">IFERROR(__xludf.DUMMYFUNCTION("""COMPUTED_VALUE"""),45635)</f>
        <v>45635</v>
      </c>
      <c r="F372" s="1" t="str">
        <f ca="1">IFERROR(__xludf.DUMMYFUNCTION("""COMPUTED_VALUE"""),"Dominican Republic")</f>
        <v>Dominican Republic</v>
      </c>
      <c r="G372" s="1" t="str">
        <f ca="1">IFERROR(__xludf.DUMMYFUNCTION("""COMPUTED_VALUE"""),"88.24 Dominican Republic")</f>
        <v>88.24 Dominican Republic</v>
      </c>
      <c r="H372" s="1" t="str">
        <f ca="1">IFERROR(__xludf.DUMMYFUNCTION("""COMPUTED_VALUE"""),"Individuals At Risk, Refugee and Migrant Rights")</f>
        <v>Individuals At Risk, Refugee and Migrant Rights</v>
      </c>
      <c r="I372" s="1" t="str">
        <f ca="1">IFERROR(__xludf.DUMMYFUNCTION("""COMPUTED_VALUE"""),"2024")</f>
        <v>2024</v>
      </c>
      <c r="J372" s="1" t="str">
        <f ca="1">IFERROR(__xludf.DUMMYFUNCTION("""COMPUTED_VALUE"""),"Letter")</f>
        <v>Letter</v>
      </c>
    </row>
    <row r="373" spans="1:10" ht="13" x14ac:dyDescent="0.15">
      <c r="A373" s="4">
        <f ca="1">IFERROR(__xludf.DUMMYFUNCTION("""COMPUTED_VALUE"""),30800952)</f>
        <v>30800952</v>
      </c>
      <c r="B373" s="1" t="str">
        <f ca="1">IFERROR(__xludf.DUMMYFUNCTION("""COMPUTED_VALUE"""),"brettbos@yahoo.com")</f>
        <v>brettbos@yahoo.com</v>
      </c>
      <c r="C373" s="4" t="str">
        <f ca="1">IFERROR(__xludf.DUMMYFUNCTION("""COMPUTED_VALUE"""),"EVERGREEN - UAN Gated Content - Embedded Petition")</f>
        <v>EVERGREEN - UAN Gated Content - Embedded Petition</v>
      </c>
      <c r="D373" s="5">
        <f ca="1">IFERROR(__xludf.DUMMYFUNCTION("""COMPUTED_VALUE"""),45699)</f>
        <v>45699</v>
      </c>
      <c r="F373" s="1" t="str">
        <f ca="1">IFERROR(__xludf.DUMMYFUNCTION("""COMPUTED_VALUE"""),"USA")</f>
        <v>USA</v>
      </c>
      <c r="G373" s="1" t="str">
        <f ca="1">IFERROR(__xludf.DUMMYFUNCTION("""COMPUTED_VALUE"""),"4.25 USA")</f>
        <v>4.25 USA</v>
      </c>
      <c r="H373" s="1" t="str">
        <f ca="1">IFERROR(__xludf.DUMMYFUNCTION("""COMPUTED_VALUE"""),"Individuals At Risk, Refugee and Migrant Rights")</f>
        <v>Individuals At Risk, Refugee and Migrant Rights</v>
      </c>
      <c r="I373" s="1" t="str">
        <f ca="1">IFERROR(__xludf.DUMMYFUNCTION("""COMPUTED_VALUE"""),"2025")</f>
        <v>2025</v>
      </c>
      <c r="J373" s="1" t="str">
        <f ca="1">IFERROR(__xludf.DUMMYFUNCTION("""COMPUTED_VALUE"""),"Letter")</f>
        <v>Letter</v>
      </c>
    </row>
    <row r="374" spans="1:10" ht="13" x14ac:dyDescent="0.15">
      <c r="A374" s="4">
        <f ca="1">IFERROR(__xludf.DUMMYFUNCTION("""COMPUTED_VALUE"""),30800952)</f>
        <v>30800952</v>
      </c>
      <c r="B374" s="1" t="str">
        <f ca="1">IFERROR(__xludf.DUMMYFUNCTION("""COMPUTED_VALUE"""),"brettbos@yahoo.com")</f>
        <v>brettbos@yahoo.com</v>
      </c>
      <c r="C374" s="4" t="str">
        <f ca="1">IFERROR(__xludf.DUMMYFUNCTION("""COMPUTED_VALUE"""),"EVERGREEN - UAN Gated Content - Embedded Petition")</f>
        <v>EVERGREEN - UAN Gated Content - Embedded Petition</v>
      </c>
      <c r="D374" s="5">
        <f ca="1">IFERROR(__xludf.DUMMYFUNCTION("""COMPUTED_VALUE"""),45691)</f>
        <v>45691</v>
      </c>
      <c r="F374" s="1" t="str">
        <f ca="1">IFERROR(__xludf.DUMMYFUNCTION("""COMPUTED_VALUE"""),"USA")</f>
        <v>USA</v>
      </c>
      <c r="G374" s="1" t="str">
        <f ca="1">IFERROR(__xludf.DUMMYFUNCTION("""COMPUTED_VALUE"""),"96.24 USA")</f>
        <v>96.24 USA</v>
      </c>
      <c r="H374" s="1" t="str">
        <f ca="1">IFERROR(__xludf.DUMMYFUNCTION("""COMPUTED_VALUE"""),"Death Penalty")</f>
        <v>Death Penalty</v>
      </c>
      <c r="I374" s="1" t="str">
        <f ca="1">IFERROR(__xludf.DUMMYFUNCTION("""COMPUTED_VALUE"""),"2024")</f>
        <v>2024</v>
      </c>
      <c r="J374" s="1" t="str">
        <f ca="1">IFERROR(__xludf.DUMMYFUNCTION("""COMPUTED_VALUE"""),"Email")</f>
        <v>Email</v>
      </c>
    </row>
    <row r="375" spans="1:10" ht="13" x14ac:dyDescent="0.15">
      <c r="A375" s="4">
        <f ca="1">IFERROR(__xludf.DUMMYFUNCTION("""COMPUTED_VALUE"""),30800952)</f>
        <v>30800952</v>
      </c>
      <c r="B375" s="1" t="str">
        <f ca="1">IFERROR(__xludf.DUMMYFUNCTION("""COMPUTED_VALUE"""),"brettbos@yahoo.com")</f>
        <v>brettbos@yahoo.com</v>
      </c>
      <c r="C375" s="4" t="str">
        <f ca="1">IFERROR(__xludf.DUMMYFUNCTION("""COMPUTED_VALUE"""),"EVERGREEN - UAN Gated Content - Embedded Petition")</f>
        <v>EVERGREEN - UAN Gated Content - Embedded Petition</v>
      </c>
      <c r="D375" s="5">
        <f ca="1">IFERROR(__xludf.DUMMYFUNCTION("""COMPUTED_VALUE"""),45692)</f>
        <v>45692</v>
      </c>
      <c r="F375" s="1" t="str">
        <f ca="1">IFERROR(__xludf.DUMMYFUNCTION("""COMPUTED_VALUE"""),"Iran")</f>
        <v>Iran</v>
      </c>
      <c r="G375" s="1" t="str">
        <f ca="1">IFERROR(__xludf.DUMMYFUNCTION("""COMPUTED_VALUE"""),"101.24 Iran")</f>
        <v>101.24 Iran</v>
      </c>
      <c r="H375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375" s="1" t="str">
        <f ca="1">IFERROR(__xludf.DUMMYFUNCTION("""COMPUTED_VALUE"""),"2024")</f>
        <v>2024</v>
      </c>
      <c r="J375" s="1" t="str">
        <f ca="1">IFERROR(__xludf.DUMMYFUNCTION("""COMPUTED_VALUE"""),"Email")</f>
        <v>Email</v>
      </c>
    </row>
    <row r="376" spans="1:10" ht="13" x14ac:dyDescent="0.15">
      <c r="A376" s="4">
        <f ca="1">IFERROR(__xludf.DUMMYFUNCTION("""COMPUTED_VALUE"""),30800952)</f>
        <v>30800952</v>
      </c>
      <c r="B376" s="1" t="str">
        <f ca="1">IFERROR(__xludf.DUMMYFUNCTION("""COMPUTED_VALUE"""),"brettbos@yahoo.com")</f>
        <v>brettbos@yahoo.com</v>
      </c>
      <c r="C376" s="4" t="str">
        <f ca="1">IFERROR(__xludf.DUMMYFUNCTION("""COMPUTED_VALUE"""),"EVERGREEN - UAN Gated Content - Embedded Petition")</f>
        <v>EVERGREEN - UAN Gated Content - Embedded Petition</v>
      </c>
      <c r="D376" s="5">
        <f ca="1">IFERROR(__xludf.DUMMYFUNCTION("""COMPUTED_VALUE"""),45701)</f>
        <v>45701</v>
      </c>
      <c r="F376" s="1" t="str">
        <f ca="1">IFERROR(__xludf.DUMMYFUNCTION("""COMPUTED_VALUE"""),"Niger")</f>
        <v>Niger</v>
      </c>
      <c r="G376" s="1" t="str">
        <f ca="1">IFERROR(__xludf.DUMMYFUNCTION("""COMPUTED_VALUE"""),"103.24 Niger")</f>
        <v>103.24 Niger</v>
      </c>
      <c r="H376" s="1" t="str">
        <f ca="1">IFERROR(__xludf.DUMMYFUNCTION("""COMPUTED_VALUE"""),"Freedom of Expression, Human Rights Defenders")</f>
        <v>Freedom of Expression, Human Rights Defenders</v>
      </c>
      <c r="I376" s="1" t="str">
        <f ca="1">IFERROR(__xludf.DUMMYFUNCTION("""COMPUTED_VALUE"""),"2024")</f>
        <v>2024</v>
      </c>
      <c r="J376" s="1" t="str">
        <f ca="1">IFERROR(__xludf.DUMMYFUNCTION("""COMPUTED_VALUE"""),"Email")</f>
        <v>Email</v>
      </c>
    </row>
    <row r="377" spans="1:10" ht="13" x14ac:dyDescent="0.15">
      <c r="A377" s="4">
        <f ca="1">IFERROR(__xludf.DUMMYFUNCTION("""COMPUTED_VALUE"""),30800952)</f>
        <v>30800952</v>
      </c>
      <c r="B377" s="1" t="str">
        <f ca="1">IFERROR(__xludf.DUMMYFUNCTION("""COMPUTED_VALUE"""),"brettbos@yahoo.com")</f>
        <v>brettbos@yahoo.com</v>
      </c>
      <c r="C377" s="4" t="str">
        <f ca="1">IFERROR(__xludf.DUMMYFUNCTION("""COMPUTED_VALUE"""),"EVERGREEN - UAN Gated Content - Embedded Petition")</f>
        <v>EVERGREEN - UAN Gated Content - Embedded Petition</v>
      </c>
      <c r="D377" s="5">
        <f ca="1">IFERROR(__xludf.DUMMYFUNCTION("""COMPUTED_VALUE"""),45701)</f>
        <v>45701</v>
      </c>
      <c r="F377" s="1" t="str">
        <f ca="1">IFERROR(__xludf.DUMMYFUNCTION("""COMPUTED_VALUE"""),"Tunisia")</f>
        <v>Tunisia</v>
      </c>
      <c r="G377" s="1" t="str">
        <f ca="1">IFERROR(__xludf.DUMMYFUNCTION("""COMPUTED_VALUE"""),"Second 76.24 Tunisia")</f>
        <v>Second 76.24 Tunisia</v>
      </c>
      <c r="H377" s="1" t="str">
        <f ca="1">IFERROR(__xludf.DUMMYFUNCTION("""COMPUTED_VALUE"""),"Freedom of Expression, Human Rights Defenders")</f>
        <v>Freedom of Expression, Human Rights Defenders</v>
      </c>
      <c r="I377" s="1" t="str">
        <f ca="1">IFERROR(__xludf.DUMMYFUNCTION("""COMPUTED_VALUE"""),"2025")</f>
        <v>2025</v>
      </c>
      <c r="J377" s="1" t="str">
        <f ca="1">IFERROR(__xludf.DUMMYFUNCTION("""COMPUTED_VALUE"""),"Email")</f>
        <v>Email</v>
      </c>
    </row>
    <row r="378" spans="1:10" ht="13" x14ac:dyDescent="0.15">
      <c r="A378" s="4">
        <f ca="1">IFERROR(__xludf.DUMMYFUNCTION("""COMPUTED_VALUE"""),30800952)</f>
        <v>30800952</v>
      </c>
      <c r="B378" s="1" t="str">
        <f ca="1">IFERROR(__xludf.DUMMYFUNCTION("""COMPUTED_VALUE"""),"brettbos@yahoo.com")</f>
        <v>brettbos@yahoo.com</v>
      </c>
      <c r="C378" s="4" t="str">
        <f ca="1">IFERROR(__xludf.DUMMYFUNCTION("""COMPUTED_VALUE"""),"EVERGREEN - UAN Gated Content - Embedded Petition")</f>
        <v>EVERGREEN - UAN Gated Content - Embedded Petition</v>
      </c>
      <c r="D378" s="5">
        <f ca="1">IFERROR(__xludf.DUMMYFUNCTION("""COMPUTED_VALUE"""),45702)</f>
        <v>45702</v>
      </c>
      <c r="F378" s="1" t="str">
        <f ca="1">IFERROR(__xludf.DUMMYFUNCTION("""COMPUTED_VALUE"""),"USA")</f>
        <v>USA</v>
      </c>
      <c r="G378" s="1" t="str">
        <f ca="1">IFERROR(__xludf.DUMMYFUNCTION("""COMPUTED_VALUE"""),"105.24 USA")</f>
        <v>105.24 USA</v>
      </c>
      <c r="H378" s="1" t="str">
        <f ca="1">IFERROR(__xludf.DUMMYFUNCTION("""COMPUTED_VALUE"""),"Death Penalty")</f>
        <v>Death Penalty</v>
      </c>
      <c r="I378" s="1" t="str">
        <f ca="1">IFERROR(__xludf.DUMMYFUNCTION("""COMPUTED_VALUE"""),"2024")</f>
        <v>2024</v>
      </c>
      <c r="J378" s="1" t="str">
        <f ca="1">IFERROR(__xludf.DUMMYFUNCTION("""COMPUTED_VALUE"""),"Email")</f>
        <v>Email</v>
      </c>
    </row>
    <row r="379" spans="1:10" ht="13" x14ac:dyDescent="0.15">
      <c r="A379" s="4">
        <f ca="1">IFERROR(__xludf.DUMMYFUNCTION("""COMPUTED_VALUE"""),30800952)</f>
        <v>30800952</v>
      </c>
      <c r="B379" s="1" t="str">
        <f ca="1">IFERROR(__xludf.DUMMYFUNCTION("""COMPUTED_VALUE"""),"brettbos@yahoo.com")</f>
        <v>brettbos@yahoo.com</v>
      </c>
      <c r="C379" s="4" t="str">
        <f ca="1">IFERROR(__xludf.DUMMYFUNCTION("""COMPUTED_VALUE"""),"EVERGREEN - UAN Gated Content - Embedded Petition")</f>
        <v>EVERGREEN - UAN Gated Content - Embedded Petition</v>
      </c>
      <c r="D379" s="5">
        <f ca="1">IFERROR(__xludf.DUMMYFUNCTION("""COMPUTED_VALUE"""),45702)</f>
        <v>45702</v>
      </c>
      <c r="F379" s="1" t="str">
        <f ca="1">IFERROR(__xludf.DUMMYFUNCTION("""COMPUTED_VALUE"""),"Iran")</f>
        <v>Iran</v>
      </c>
      <c r="G379" s="1" t="str">
        <f ca="1">IFERROR(__xludf.DUMMYFUNCTION("""COMPUTED_VALUE"""),"Seventh 103.22 Iran")</f>
        <v>Seventh 103.22 Iran</v>
      </c>
      <c r="H379" s="1" t="str">
        <f ca="1">IFERROR(__xludf.DUMMYFUNCTION("""COMPUTED_VALUE"""),"Death Penalty, Freedom of Expression, Individuals At Risk")</f>
        <v>Death Penalty, Freedom of Expression, Individuals At Risk</v>
      </c>
      <c r="I379" s="1" t="str">
        <f ca="1">IFERROR(__xludf.DUMMYFUNCTION("""COMPUTED_VALUE"""),"2024")</f>
        <v>2024</v>
      </c>
      <c r="J379" s="1" t="str">
        <f ca="1">IFERROR(__xludf.DUMMYFUNCTION("""COMPUTED_VALUE"""),"Email")</f>
        <v>Email</v>
      </c>
    </row>
    <row r="380" spans="1:10" ht="13" x14ac:dyDescent="0.15">
      <c r="A380" s="4">
        <f ca="1">IFERROR(__xludf.DUMMYFUNCTION("""COMPUTED_VALUE"""),30800952)</f>
        <v>30800952</v>
      </c>
      <c r="B380" s="1" t="str">
        <f ca="1">IFERROR(__xludf.DUMMYFUNCTION("""COMPUTED_VALUE"""),"brettbos@yahoo.com")</f>
        <v>brettbos@yahoo.com</v>
      </c>
      <c r="C380" s="4" t="str">
        <f ca="1">IFERROR(__xludf.DUMMYFUNCTION("""COMPUTED_VALUE"""),"EVERGREEN - UAN Gated Content - Embedded Petition")</f>
        <v>EVERGREEN - UAN Gated Content - Embedded Petition</v>
      </c>
      <c r="D380" s="5">
        <f ca="1">IFERROR(__xludf.DUMMYFUNCTION("""COMPUTED_VALUE"""),45698)</f>
        <v>45698</v>
      </c>
      <c r="F380" s="1" t="str">
        <f ca="1">IFERROR(__xludf.DUMMYFUNCTION("""COMPUTED_VALUE"""),"Tunisia")</f>
        <v>Tunisia</v>
      </c>
      <c r="G380" s="1" t="str">
        <f ca="1">IFERROR(__xludf.DUMMYFUNCTION("""COMPUTED_VALUE"""),"Second 76.24 Tunisia")</f>
        <v>Second 76.24 Tunisia</v>
      </c>
      <c r="H380" s="1" t="str">
        <f ca="1">IFERROR(__xludf.DUMMYFUNCTION("""COMPUTED_VALUE"""),"Freedom of Expression, Human Rights Defenders")</f>
        <v>Freedom of Expression, Human Rights Defenders</v>
      </c>
      <c r="I380" s="1" t="str">
        <f ca="1">IFERROR(__xludf.DUMMYFUNCTION("""COMPUTED_VALUE"""),"2025")</f>
        <v>2025</v>
      </c>
      <c r="J380" s="1" t="str">
        <f ca="1">IFERROR(__xludf.DUMMYFUNCTION("""COMPUTED_VALUE"""),"Email")</f>
        <v>Email</v>
      </c>
    </row>
    <row r="381" spans="1:10" ht="13" x14ac:dyDescent="0.15">
      <c r="A381" s="4">
        <f ca="1">IFERROR(__xludf.DUMMYFUNCTION("""COMPUTED_VALUE"""),30800952)</f>
        <v>30800952</v>
      </c>
      <c r="B381" s="1" t="str">
        <f ca="1">IFERROR(__xludf.DUMMYFUNCTION("""COMPUTED_VALUE"""),"brettbos@yahoo.com")</f>
        <v>brettbos@yahoo.com</v>
      </c>
      <c r="C381" s="4" t="str">
        <f ca="1">IFERROR(__xludf.DUMMYFUNCTION("""COMPUTED_VALUE"""),"EVERGREEN - UAN Gated Content - Embedded Petition")</f>
        <v>EVERGREEN - UAN Gated Content - Embedded Petition</v>
      </c>
      <c r="D381" s="5">
        <f ca="1">IFERROR(__xludf.DUMMYFUNCTION("""COMPUTED_VALUE"""),45698)</f>
        <v>45698</v>
      </c>
      <c r="F381" s="1" t="str">
        <f ca="1">IFERROR(__xludf.DUMMYFUNCTION("""COMPUTED_VALUE"""),"Tunisia")</f>
        <v>Tunisia</v>
      </c>
      <c r="G381" s="1" t="str">
        <f ca="1">IFERROR(__xludf.DUMMYFUNCTION("""COMPUTED_VALUE"""),"Second 76.24 Tunisia")</f>
        <v>Second 76.24 Tunisia</v>
      </c>
      <c r="H381" s="1" t="str">
        <f ca="1">IFERROR(__xludf.DUMMYFUNCTION("""COMPUTED_VALUE"""),"Freedom of Expression, Human Rights Defenders")</f>
        <v>Freedom of Expression, Human Rights Defenders</v>
      </c>
      <c r="I381" s="1" t="str">
        <f ca="1">IFERROR(__xludf.DUMMYFUNCTION("""COMPUTED_VALUE"""),"2025")</f>
        <v>2025</v>
      </c>
      <c r="J381" s="1" t="str">
        <f ca="1">IFERROR(__xludf.DUMMYFUNCTION("""COMPUTED_VALUE"""),"Email")</f>
        <v>Email</v>
      </c>
    </row>
    <row r="382" spans="1:10" ht="13" x14ac:dyDescent="0.15">
      <c r="A382" s="4">
        <f ca="1">IFERROR(__xludf.DUMMYFUNCTION("""COMPUTED_VALUE"""),30809029)</f>
        <v>30809029</v>
      </c>
      <c r="B382" s="1" t="str">
        <f ca="1">IFERROR(__xludf.DUMMYFUNCTION("""COMPUTED_VALUE"""),"kdavos249@gmail.com")</f>
        <v>kdavos249@gmail.com</v>
      </c>
      <c r="C382" s="4" t="str">
        <f ca="1">IFERROR(__xludf.DUMMYFUNCTION("""COMPUTED_VALUE"""),"EVERGREEN - UAN Gated Content - Embedded Petition")</f>
        <v>EVERGREEN - UAN Gated Content - Embedded Petition</v>
      </c>
      <c r="D382" s="5">
        <f ca="1">IFERROR(__xludf.DUMMYFUNCTION("""COMPUTED_VALUE"""),45693)</f>
        <v>45693</v>
      </c>
      <c r="F382" s="1" t="str">
        <f ca="1">IFERROR(__xludf.DUMMYFUNCTION("""COMPUTED_VALUE"""),"USA")</f>
        <v>USA</v>
      </c>
      <c r="G382" s="1" t="str">
        <f ca="1">IFERROR(__xludf.DUMMYFUNCTION("""COMPUTED_VALUE"""),"4.25 USA")</f>
        <v>4.25 USA</v>
      </c>
      <c r="H382" s="1" t="str">
        <f ca="1">IFERROR(__xludf.DUMMYFUNCTION("""COMPUTED_VALUE"""),"Individuals At Risk, Refugee and Migrant Rights")</f>
        <v>Individuals At Risk, Refugee and Migrant Rights</v>
      </c>
      <c r="I382" s="1" t="str">
        <f ca="1">IFERROR(__xludf.DUMMYFUNCTION("""COMPUTED_VALUE"""),"2025")</f>
        <v>2025</v>
      </c>
      <c r="J382" s="1" t="str">
        <f ca="1">IFERROR(__xludf.DUMMYFUNCTION("""COMPUTED_VALUE"""),"Letter")</f>
        <v>Letter</v>
      </c>
    </row>
    <row r="383" spans="1:10" ht="13" x14ac:dyDescent="0.15">
      <c r="A383" s="4">
        <f ca="1">IFERROR(__xludf.DUMMYFUNCTION("""COMPUTED_VALUE"""),30809029)</f>
        <v>30809029</v>
      </c>
      <c r="B383" s="1" t="str">
        <f ca="1">IFERROR(__xludf.DUMMYFUNCTION("""COMPUTED_VALUE"""),"kdavos249@gmail.com")</f>
        <v>kdavos249@gmail.com</v>
      </c>
      <c r="C383" s="4" t="str">
        <f ca="1">IFERROR(__xludf.DUMMYFUNCTION("""COMPUTED_VALUE"""),"EVERGREEN - UAN Gated Content - Embedded Petition")</f>
        <v>EVERGREEN - UAN Gated Content - Embedded Petition</v>
      </c>
      <c r="D383" s="5">
        <f ca="1">IFERROR(__xludf.DUMMYFUNCTION("""COMPUTED_VALUE"""),45690)</f>
        <v>45690</v>
      </c>
      <c r="F383" s="1" t="str">
        <f ca="1">IFERROR(__xludf.DUMMYFUNCTION("""COMPUTED_VALUE"""),"USA")</f>
        <v>USA</v>
      </c>
      <c r="G383" s="1" t="str">
        <f ca="1">IFERROR(__xludf.DUMMYFUNCTION("""COMPUTED_VALUE"""),"4.25 USA")</f>
        <v>4.25 USA</v>
      </c>
      <c r="H383" s="1" t="str">
        <f ca="1">IFERROR(__xludf.DUMMYFUNCTION("""COMPUTED_VALUE"""),"Individuals At Risk, Refugee and Migrant Rights")</f>
        <v>Individuals At Risk, Refugee and Migrant Rights</v>
      </c>
      <c r="I383" s="1" t="str">
        <f ca="1">IFERROR(__xludf.DUMMYFUNCTION("""COMPUTED_VALUE"""),"2025")</f>
        <v>2025</v>
      </c>
      <c r="J383" s="1" t="str">
        <f ca="1">IFERROR(__xludf.DUMMYFUNCTION("""COMPUTED_VALUE"""),"Letter")</f>
        <v>Letter</v>
      </c>
    </row>
    <row r="384" spans="1:10" ht="13" x14ac:dyDescent="0.15">
      <c r="A384" s="4">
        <f ca="1">IFERROR(__xludf.DUMMYFUNCTION("""COMPUTED_VALUE"""),30817381)</f>
        <v>30817381</v>
      </c>
      <c r="B384" s="1" t="str">
        <f ca="1">IFERROR(__xludf.DUMMYFUNCTION("""COMPUTED_VALUE"""),"sybil.sch@gmail.com")</f>
        <v>sybil.sch@gmail.com</v>
      </c>
      <c r="C384" s="4" t="str">
        <f ca="1">IFERROR(__xludf.DUMMYFUNCTION("""COMPUTED_VALUE"""),"EVERGREEN - UAN Gated Content - Embedded Petition")</f>
        <v>EVERGREEN - UAN Gated Content - Embedded Petition</v>
      </c>
      <c r="D384" s="5">
        <f ca="1">IFERROR(__xludf.DUMMYFUNCTION("""COMPUTED_VALUE"""),45637)</f>
        <v>45637</v>
      </c>
      <c r="F384" s="1" t="str">
        <f ca="1">IFERROR(__xludf.DUMMYFUNCTION("""COMPUTED_VALUE"""),"Tunisia")</f>
        <v>Tunisia</v>
      </c>
      <c r="G384" s="1" t="str">
        <f ca="1">IFERROR(__xludf.DUMMYFUNCTION("""COMPUTED_VALUE"""),"Second 76.24 Tunisia")</f>
        <v>Second 76.24 Tunisia</v>
      </c>
      <c r="H384" s="1" t="str">
        <f ca="1">IFERROR(__xludf.DUMMYFUNCTION("""COMPUTED_VALUE"""),"Freedom of Expression, Human Rights Defenders")</f>
        <v>Freedom of Expression, Human Rights Defenders</v>
      </c>
      <c r="I384" s="1" t="str">
        <f ca="1">IFERROR(__xludf.DUMMYFUNCTION("""COMPUTED_VALUE"""),"2025")</f>
        <v>2025</v>
      </c>
      <c r="J384" s="1" t="str">
        <f ca="1">IFERROR(__xludf.DUMMYFUNCTION("""COMPUTED_VALUE"""),"Email")</f>
        <v>Email</v>
      </c>
    </row>
    <row r="385" spans="1:10" ht="13" x14ac:dyDescent="0.15">
      <c r="A385" s="4">
        <f ca="1">IFERROR(__xludf.DUMMYFUNCTION("""COMPUTED_VALUE"""),30817381)</f>
        <v>30817381</v>
      </c>
      <c r="B385" s="1" t="str">
        <f ca="1">IFERROR(__xludf.DUMMYFUNCTION("""COMPUTED_VALUE"""),"sybil.sch@gmail.com")</f>
        <v>sybil.sch@gmail.com</v>
      </c>
      <c r="C385" s="4" t="str">
        <f ca="1">IFERROR(__xludf.DUMMYFUNCTION("""COMPUTED_VALUE"""),"EVERGREEN - UAN Gated Content - Embedded Petition")</f>
        <v>EVERGREEN - UAN Gated Content - Embedded Petition</v>
      </c>
      <c r="D385" s="5">
        <f ca="1">IFERROR(__xludf.DUMMYFUNCTION("""COMPUTED_VALUE"""),45637)</f>
        <v>45637</v>
      </c>
      <c r="F385" s="1" t="str">
        <f ca="1">IFERROR(__xludf.DUMMYFUNCTION("""COMPUTED_VALUE"""),"Tunisia")</f>
        <v>Tunisia</v>
      </c>
      <c r="G385" s="1" t="str">
        <f ca="1">IFERROR(__xludf.DUMMYFUNCTION("""COMPUTED_VALUE"""),"Second 76.24 Tunisia")</f>
        <v>Second 76.24 Tunisia</v>
      </c>
      <c r="H385" s="1" t="str">
        <f ca="1">IFERROR(__xludf.DUMMYFUNCTION("""COMPUTED_VALUE"""),"Freedom of Expression, Human Rights Defenders")</f>
        <v>Freedom of Expression, Human Rights Defenders</v>
      </c>
      <c r="I385" s="1" t="str">
        <f ca="1">IFERROR(__xludf.DUMMYFUNCTION("""COMPUTED_VALUE"""),"2025")</f>
        <v>2025</v>
      </c>
      <c r="J385" s="1" t="str">
        <f ca="1">IFERROR(__xludf.DUMMYFUNCTION("""COMPUTED_VALUE"""),"Email")</f>
        <v>Email</v>
      </c>
    </row>
    <row r="386" spans="1:10" ht="13" x14ac:dyDescent="0.15">
      <c r="A386" s="4">
        <f ca="1">IFERROR(__xludf.DUMMYFUNCTION("""COMPUTED_VALUE"""),30817381)</f>
        <v>30817381</v>
      </c>
      <c r="B386" s="1" t="str">
        <f ca="1">IFERROR(__xludf.DUMMYFUNCTION("""COMPUTED_VALUE"""),"sybil.sch@gmail.com")</f>
        <v>sybil.sch@gmail.com</v>
      </c>
      <c r="C386" s="4" t="str">
        <f ca="1">IFERROR(__xludf.DUMMYFUNCTION("""COMPUTED_VALUE"""),"EVERGREEN - UAN Gated Content - Embedded Petition")</f>
        <v>EVERGREEN - UAN Gated Content - Embedded Petition</v>
      </c>
      <c r="D386" s="5">
        <f ca="1">IFERROR(__xludf.DUMMYFUNCTION("""COMPUTED_VALUE"""),45637)</f>
        <v>45637</v>
      </c>
      <c r="F386" s="1" t="str">
        <f ca="1">IFERROR(__xludf.DUMMYFUNCTION("""COMPUTED_VALUE"""),"Tunisia")</f>
        <v>Tunisia</v>
      </c>
      <c r="G386" s="1" t="str">
        <f ca="1">IFERROR(__xludf.DUMMYFUNCTION("""COMPUTED_VALUE"""),"Second 76.24 Tunisia")</f>
        <v>Second 76.24 Tunisia</v>
      </c>
      <c r="H386" s="1" t="str">
        <f ca="1">IFERROR(__xludf.DUMMYFUNCTION("""COMPUTED_VALUE"""),"Freedom of Expression, Human Rights Defenders")</f>
        <v>Freedom of Expression, Human Rights Defenders</v>
      </c>
      <c r="I386" s="1" t="str">
        <f ca="1">IFERROR(__xludf.DUMMYFUNCTION("""COMPUTED_VALUE"""),"2025")</f>
        <v>2025</v>
      </c>
      <c r="J386" s="1" t="str">
        <f ca="1">IFERROR(__xludf.DUMMYFUNCTION("""COMPUTED_VALUE"""),"Email")</f>
        <v>Email</v>
      </c>
    </row>
    <row r="387" spans="1:10" ht="13" x14ac:dyDescent="0.15">
      <c r="A387" s="4">
        <f ca="1">IFERROR(__xludf.DUMMYFUNCTION("""COMPUTED_VALUE"""),30817381)</f>
        <v>30817381</v>
      </c>
      <c r="B387" s="1" t="str">
        <f ca="1">IFERROR(__xludf.DUMMYFUNCTION("""COMPUTED_VALUE"""),"sybil.sch@gmail.com")</f>
        <v>sybil.sch@gmail.com</v>
      </c>
      <c r="C387" s="4" t="str">
        <f ca="1">IFERROR(__xludf.DUMMYFUNCTION("""COMPUTED_VALUE"""),"EVERGREEN - UAN Gated Content - Embedded Petition")</f>
        <v>EVERGREEN - UAN Gated Content - Embedded Petition</v>
      </c>
      <c r="D387" s="5">
        <f ca="1">IFERROR(__xludf.DUMMYFUNCTION("""COMPUTED_VALUE"""),45637)</f>
        <v>45637</v>
      </c>
      <c r="F387" s="1" t="str">
        <f ca="1">IFERROR(__xludf.DUMMYFUNCTION("""COMPUTED_VALUE"""),"Egypt")</f>
        <v>Egypt</v>
      </c>
      <c r="G387" s="1" t="str">
        <f ca="1">IFERROR(__xludf.DUMMYFUNCTION("""COMPUTED_VALUE"""),"Ninth 190.18 Egypt")</f>
        <v>Ninth 190.18 Egypt</v>
      </c>
      <c r="H387" s="1" t="str">
        <f ca="1">IFERROR(__xludf.DUMMYFUNCTION("""COMPUTED_VALUE"""),"Freedom of Expression, Individuals At Risk")</f>
        <v>Freedom of Expression, Individuals At Risk</v>
      </c>
      <c r="I387" s="1" t="str">
        <f ca="1">IFERROR(__xludf.DUMMYFUNCTION("""COMPUTED_VALUE"""),"2024")</f>
        <v>2024</v>
      </c>
      <c r="J387" s="1" t="str">
        <f ca="1">IFERROR(__xludf.DUMMYFUNCTION("""COMPUTED_VALUE"""),"Letter")</f>
        <v>Letter</v>
      </c>
    </row>
    <row r="388" spans="1:10" ht="13" x14ac:dyDescent="0.15">
      <c r="A388" s="4">
        <f ca="1">IFERROR(__xludf.DUMMYFUNCTION("""COMPUTED_VALUE"""),30817381)</f>
        <v>30817381</v>
      </c>
      <c r="B388" s="1" t="str">
        <f ca="1">IFERROR(__xludf.DUMMYFUNCTION("""COMPUTED_VALUE"""),"sybil.sch@gmail.com")</f>
        <v>sybil.sch@gmail.com</v>
      </c>
      <c r="C388" s="4" t="str">
        <f ca="1">IFERROR(__xludf.DUMMYFUNCTION("""COMPUTED_VALUE"""),"EVERGREEN - UAN Gated Content - Embedded Petition")</f>
        <v>EVERGREEN - UAN Gated Content - Embedded Petition</v>
      </c>
      <c r="D388" s="5">
        <f ca="1">IFERROR(__xludf.DUMMYFUNCTION("""COMPUTED_VALUE"""),45696)</f>
        <v>45696</v>
      </c>
      <c r="F388" s="1" t="str">
        <f ca="1">IFERROR(__xludf.DUMMYFUNCTION("""COMPUTED_VALUE"""),"USA")</f>
        <v>USA</v>
      </c>
      <c r="G388" s="1" t="str">
        <f ca="1">IFERROR(__xludf.DUMMYFUNCTION("""COMPUTED_VALUE"""),"4.25 USA")</f>
        <v>4.25 USA</v>
      </c>
      <c r="H388" s="1" t="str">
        <f ca="1">IFERROR(__xludf.DUMMYFUNCTION("""COMPUTED_VALUE"""),"Individuals At Risk, Refugee and Migrant Rights")</f>
        <v>Individuals At Risk, Refugee and Migrant Rights</v>
      </c>
      <c r="I388" s="1" t="str">
        <f ca="1">IFERROR(__xludf.DUMMYFUNCTION("""COMPUTED_VALUE"""),"2025")</f>
        <v>2025</v>
      </c>
      <c r="J388" s="1" t="str">
        <f ca="1">IFERROR(__xludf.DUMMYFUNCTION("""COMPUTED_VALUE"""),"Letter")</f>
        <v>Letter</v>
      </c>
    </row>
    <row r="389" spans="1:10" ht="13" x14ac:dyDescent="0.15">
      <c r="A389" s="4">
        <f ca="1">IFERROR(__xludf.DUMMYFUNCTION("""COMPUTED_VALUE"""),30817381)</f>
        <v>30817381</v>
      </c>
      <c r="B389" s="1" t="str">
        <f ca="1">IFERROR(__xludf.DUMMYFUNCTION("""COMPUTED_VALUE"""),"sybil.sch@gmail.com")</f>
        <v>sybil.sch@gmail.com</v>
      </c>
      <c r="C389" s="4" t="str">
        <f ca="1">IFERROR(__xludf.DUMMYFUNCTION("""COMPUTED_VALUE"""),"EVERGREEN - UAN Gated Content - Embedded Petition")</f>
        <v>EVERGREEN - UAN Gated Content - Embedded Petition</v>
      </c>
      <c r="D389" s="5">
        <f ca="1">IFERROR(__xludf.DUMMYFUNCTION("""COMPUTED_VALUE"""),45636)</f>
        <v>45636</v>
      </c>
      <c r="F389" s="1" t="str">
        <f ca="1">IFERROR(__xludf.DUMMYFUNCTION("""COMPUTED_VALUE"""),"USA")</f>
        <v>USA</v>
      </c>
      <c r="G389" s="1" t="str">
        <f ca="1">IFERROR(__xludf.DUMMYFUNCTION("""COMPUTED_VALUE"""),"Fourth 55.24 USA")</f>
        <v>Fourth 55.24 USA</v>
      </c>
      <c r="H389" s="1" t="str">
        <f ca="1">IFERROR(__xludf.DUMMYFUNCTION("""COMPUTED_VALUE"""),"Climate Justice, Individuals At Risk")</f>
        <v>Climate Justice, Individuals At Risk</v>
      </c>
      <c r="I389" s="1" t="str">
        <f ca="1">IFERROR(__xludf.DUMMYFUNCTION("""COMPUTED_VALUE"""),"2025")</f>
        <v>2025</v>
      </c>
      <c r="J389" s="1" t="str">
        <f ca="1">IFERROR(__xludf.DUMMYFUNCTION("""COMPUTED_VALUE"""),"Email")</f>
        <v>Email</v>
      </c>
    </row>
    <row r="390" spans="1:10" ht="13" x14ac:dyDescent="0.15">
      <c r="A390" s="4">
        <f ca="1">IFERROR(__xludf.DUMMYFUNCTION("""COMPUTED_VALUE"""),30817381)</f>
        <v>30817381</v>
      </c>
      <c r="B390" s="1" t="str">
        <f ca="1">IFERROR(__xludf.DUMMYFUNCTION("""COMPUTED_VALUE"""),"sybil.sch@gmail.com")</f>
        <v>sybil.sch@gmail.com</v>
      </c>
      <c r="C390" s="4" t="str">
        <f ca="1">IFERROR(__xludf.DUMMYFUNCTION("""COMPUTED_VALUE"""),"EVERGREEN - UAN Gated Content - Embedded Petition")</f>
        <v>EVERGREEN - UAN Gated Content - Embedded Petition</v>
      </c>
      <c r="D390" s="5">
        <f ca="1">IFERROR(__xludf.DUMMYFUNCTION("""COMPUTED_VALUE"""),45677)</f>
        <v>45677</v>
      </c>
      <c r="F390" s="1" t="str">
        <f ca="1">IFERROR(__xludf.DUMMYFUNCTION("""COMPUTED_VALUE"""),"Tunisia")</f>
        <v>Tunisia</v>
      </c>
      <c r="G390" s="1" t="str">
        <f ca="1">IFERROR(__xludf.DUMMYFUNCTION("""COMPUTED_VALUE"""),"Second 76.24 Tunisia")</f>
        <v>Second 76.24 Tunisia</v>
      </c>
      <c r="H390" s="1" t="str">
        <f ca="1">IFERROR(__xludf.DUMMYFUNCTION("""COMPUTED_VALUE"""),"Freedom of Expression, Human Rights Defenders")</f>
        <v>Freedom of Expression, Human Rights Defenders</v>
      </c>
      <c r="I390" s="1" t="str">
        <f ca="1">IFERROR(__xludf.DUMMYFUNCTION("""COMPUTED_VALUE"""),"2025")</f>
        <v>2025</v>
      </c>
      <c r="J390" s="1" t="str">
        <f ca="1">IFERROR(__xludf.DUMMYFUNCTION("""COMPUTED_VALUE"""),"Email")</f>
        <v>Email</v>
      </c>
    </row>
    <row r="391" spans="1:10" ht="13" x14ac:dyDescent="0.15">
      <c r="A391" s="4">
        <f ca="1">IFERROR(__xludf.DUMMYFUNCTION("""COMPUTED_VALUE"""),30817381)</f>
        <v>30817381</v>
      </c>
      <c r="B391" s="1" t="str">
        <f ca="1">IFERROR(__xludf.DUMMYFUNCTION("""COMPUTED_VALUE"""),"sybil.sch@gmail.com")</f>
        <v>sybil.sch@gmail.com</v>
      </c>
      <c r="C391" s="4" t="str">
        <f ca="1">IFERROR(__xludf.DUMMYFUNCTION("""COMPUTED_VALUE"""),"EVERGREEN - UAN Gated Content - Embedded Petition")</f>
        <v>EVERGREEN - UAN Gated Content - Embedded Petition</v>
      </c>
      <c r="D391" s="5">
        <f ca="1">IFERROR(__xludf.DUMMYFUNCTION("""COMPUTED_VALUE"""),45694)</f>
        <v>45694</v>
      </c>
      <c r="F391" s="1" t="str">
        <f ca="1">IFERROR(__xludf.DUMMYFUNCTION("""COMPUTED_VALUE"""),"Tunisia")</f>
        <v>Tunisia</v>
      </c>
      <c r="G391" s="1" t="str">
        <f ca="1">IFERROR(__xludf.DUMMYFUNCTION("""COMPUTED_VALUE"""),"Second 76.24 Tunisia")</f>
        <v>Second 76.24 Tunisia</v>
      </c>
      <c r="H391" s="1" t="str">
        <f ca="1">IFERROR(__xludf.DUMMYFUNCTION("""COMPUTED_VALUE"""),"Freedom of Expression, Human Rights Defenders")</f>
        <v>Freedom of Expression, Human Rights Defenders</v>
      </c>
      <c r="I391" s="1" t="str">
        <f ca="1">IFERROR(__xludf.DUMMYFUNCTION("""COMPUTED_VALUE"""),"2025")</f>
        <v>2025</v>
      </c>
      <c r="J391" s="1" t="str">
        <f ca="1">IFERROR(__xludf.DUMMYFUNCTION("""COMPUTED_VALUE"""),"Email")</f>
        <v>Email</v>
      </c>
    </row>
    <row r="392" spans="1:10" ht="13" x14ac:dyDescent="0.15">
      <c r="A392" s="4">
        <f ca="1">IFERROR(__xludf.DUMMYFUNCTION("""COMPUTED_VALUE"""),30817381)</f>
        <v>30817381</v>
      </c>
      <c r="B392" s="1" t="str">
        <f ca="1">IFERROR(__xludf.DUMMYFUNCTION("""COMPUTED_VALUE"""),"sybil.sch@gmail.com")</f>
        <v>sybil.sch@gmail.com</v>
      </c>
      <c r="C392" s="4" t="str">
        <f ca="1">IFERROR(__xludf.DUMMYFUNCTION("""COMPUTED_VALUE"""),"EVERGREEN - UAN Gated Content - Embedded Petition")</f>
        <v>EVERGREEN - UAN Gated Content - Embedded Petition</v>
      </c>
      <c r="D392" s="5">
        <f ca="1">IFERROR(__xludf.DUMMYFUNCTION("""COMPUTED_VALUE"""),45637)</f>
        <v>45637</v>
      </c>
      <c r="F392" s="1" t="str">
        <f ca="1">IFERROR(__xludf.DUMMYFUNCTION("""COMPUTED_VALUE"""),"Tunisia")</f>
        <v>Tunisia</v>
      </c>
      <c r="G392" s="1" t="str">
        <f ca="1">IFERROR(__xludf.DUMMYFUNCTION("""COMPUTED_VALUE"""),"Second 76.24 Tunisia")</f>
        <v>Second 76.24 Tunisia</v>
      </c>
      <c r="H392" s="1" t="str">
        <f ca="1">IFERROR(__xludf.DUMMYFUNCTION("""COMPUTED_VALUE"""),"Freedom of Expression, Human Rights Defenders")</f>
        <v>Freedom of Expression, Human Rights Defenders</v>
      </c>
      <c r="I392" s="1" t="str">
        <f ca="1">IFERROR(__xludf.DUMMYFUNCTION("""COMPUTED_VALUE"""),"2025")</f>
        <v>2025</v>
      </c>
      <c r="J392" s="1" t="str">
        <f ca="1">IFERROR(__xludf.DUMMYFUNCTION("""COMPUTED_VALUE"""),"Email")</f>
        <v>Email</v>
      </c>
    </row>
    <row r="393" spans="1:10" ht="13" x14ac:dyDescent="0.15">
      <c r="A393" s="4">
        <f ca="1">IFERROR(__xludf.DUMMYFUNCTION("""COMPUTED_VALUE"""),30832722)</f>
        <v>30832722</v>
      </c>
      <c r="B393" s="1" t="str">
        <f ca="1">IFERROR(__xludf.DUMMYFUNCTION("""COMPUTED_VALUE"""),"peggy.lamb@sbcglobal.net")</f>
        <v>peggy.lamb@sbcglobal.net</v>
      </c>
      <c r="C393" s="4" t="str">
        <f ca="1">IFERROR(__xludf.DUMMYFUNCTION("""COMPUTED_VALUE"""),"EVERGREEN - UAN Gated Content - Embedded Petition")</f>
        <v>EVERGREEN - UAN Gated Content - Embedded Petition</v>
      </c>
      <c r="D393" s="5">
        <f ca="1">IFERROR(__xludf.DUMMYFUNCTION("""COMPUTED_VALUE"""),45638)</f>
        <v>45638</v>
      </c>
      <c r="F393" s="1" t="str">
        <f ca="1">IFERROR(__xludf.DUMMYFUNCTION("""COMPUTED_VALUE"""),"Tunisia")</f>
        <v>Tunisia</v>
      </c>
      <c r="G393" s="1" t="str">
        <f ca="1">IFERROR(__xludf.DUMMYFUNCTION("""COMPUTED_VALUE"""),"Second 76.24 Tunisia")</f>
        <v>Second 76.24 Tunisia</v>
      </c>
      <c r="H393" s="1" t="str">
        <f ca="1">IFERROR(__xludf.DUMMYFUNCTION("""COMPUTED_VALUE"""),"Freedom of Expression, Human Rights Defenders")</f>
        <v>Freedom of Expression, Human Rights Defenders</v>
      </c>
      <c r="I393" s="1" t="str">
        <f ca="1">IFERROR(__xludf.DUMMYFUNCTION("""COMPUTED_VALUE"""),"2025")</f>
        <v>2025</v>
      </c>
      <c r="J393" s="1" t="str">
        <f ca="1">IFERROR(__xludf.DUMMYFUNCTION("""COMPUTED_VALUE"""),"Email")</f>
        <v>Email</v>
      </c>
    </row>
    <row r="394" spans="1:10" ht="13" x14ac:dyDescent="0.15">
      <c r="A394" s="4">
        <f ca="1">IFERROR(__xludf.DUMMYFUNCTION("""COMPUTED_VALUE"""),30832722)</f>
        <v>30832722</v>
      </c>
      <c r="B394" s="1" t="str">
        <f ca="1">IFERROR(__xludf.DUMMYFUNCTION("""COMPUTED_VALUE"""),"peggy.lamb@sbcglobal.net")</f>
        <v>peggy.lamb@sbcglobal.net</v>
      </c>
      <c r="C394" s="4" t="str">
        <f ca="1">IFERROR(__xludf.DUMMYFUNCTION("""COMPUTED_VALUE"""),"EVERGREEN - UAN Gated Content - Embedded Petition")</f>
        <v>EVERGREEN - UAN Gated Content - Embedded Petition</v>
      </c>
      <c r="D394" s="5">
        <f ca="1">IFERROR(__xludf.DUMMYFUNCTION("""COMPUTED_VALUE"""),45666)</f>
        <v>45666</v>
      </c>
      <c r="F394" s="1" t="str">
        <f ca="1">IFERROR(__xludf.DUMMYFUNCTION("""COMPUTED_VALUE"""),"USA")</f>
        <v>USA</v>
      </c>
      <c r="G394" s="1" t="str">
        <f ca="1">IFERROR(__xludf.DUMMYFUNCTION("""COMPUTED_VALUE"""),"4.25 USA")</f>
        <v>4.25 USA</v>
      </c>
      <c r="H394" s="1" t="str">
        <f ca="1">IFERROR(__xludf.DUMMYFUNCTION("""COMPUTED_VALUE"""),"Individuals At Risk, Refugee and Migrant Rights")</f>
        <v>Individuals At Risk, Refugee and Migrant Rights</v>
      </c>
      <c r="I394" s="1" t="str">
        <f ca="1">IFERROR(__xludf.DUMMYFUNCTION("""COMPUTED_VALUE"""),"2025")</f>
        <v>2025</v>
      </c>
      <c r="J394" s="1" t="str">
        <f ca="1">IFERROR(__xludf.DUMMYFUNCTION("""COMPUTED_VALUE"""),"Letter")</f>
        <v>Letter</v>
      </c>
    </row>
    <row r="395" spans="1:10" ht="13" x14ac:dyDescent="0.15">
      <c r="A395" s="4">
        <f ca="1">IFERROR(__xludf.DUMMYFUNCTION("""COMPUTED_VALUE"""),30832722)</f>
        <v>30832722</v>
      </c>
      <c r="B395" s="1" t="str">
        <f ca="1">IFERROR(__xludf.DUMMYFUNCTION("""COMPUTED_VALUE"""),"peggy.lamb@sbcglobal.net")</f>
        <v>peggy.lamb@sbcglobal.net</v>
      </c>
      <c r="C395" s="4" t="str">
        <f ca="1">IFERROR(__xludf.DUMMYFUNCTION("""COMPUTED_VALUE"""),"EVERGREEN - UAN Gated Content - Embedded Petition")</f>
        <v>EVERGREEN - UAN Gated Content - Embedded Petition</v>
      </c>
      <c r="D395" s="5">
        <f ca="1">IFERROR(__xludf.DUMMYFUNCTION("""COMPUTED_VALUE"""),45699)</f>
        <v>45699</v>
      </c>
      <c r="F395" s="1" t="str">
        <f ca="1">IFERROR(__xludf.DUMMYFUNCTION("""COMPUTED_VALUE"""),"Tunisia")</f>
        <v>Tunisia</v>
      </c>
      <c r="G395" s="1" t="str">
        <f ca="1">IFERROR(__xludf.DUMMYFUNCTION("""COMPUTED_VALUE"""),"Second 76.24 Tunisia")</f>
        <v>Second 76.24 Tunisia</v>
      </c>
      <c r="H395" s="1" t="str">
        <f ca="1">IFERROR(__xludf.DUMMYFUNCTION("""COMPUTED_VALUE"""),"Freedom of Expression, Human Rights Defenders")</f>
        <v>Freedom of Expression, Human Rights Defenders</v>
      </c>
      <c r="I395" s="1" t="str">
        <f ca="1">IFERROR(__xludf.DUMMYFUNCTION("""COMPUTED_VALUE"""),"2025")</f>
        <v>2025</v>
      </c>
      <c r="J395" s="1" t="str">
        <f ca="1">IFERROR(__xludf.DUMMYFUNCTION("""COMPUTED_VALUE"""),"Email")</f>
        <v>Email</v>
      </c>
    </row>
    <row r="396" spans="1:10" ht="13" x14ac:dyDescent="0.15">
      <c r="A396" s="4">
        <f ca="1">IFERROR(__xludf.DUMMYFUNCTION("""COMPUTED_VALUE"""),30832722)</f>
        <v>30832722</v>
      </c>
      <c r="B396" s="1" t="str">
        <f ca="1">IFERROR(__xludf.DUMMYFUNCTION("""COMPUTED_VALUE"""),"peggy.lamb@sbcglobal.net")</f>
        <v>peggy.lamb@sbcglobal.net</v>
      </c>
      <c r="C396" s="4" t="str">
        <f ca="1">IFERROR(__xludf.DUMMYFUNCTION("""COMPUTED_VALUE"""),"EVERGREEN - UAN Gated Content - Embedded Petition")</f>
        <v>EVERGREEN - UAN Gated Content - Embedded Petition</v>
      </c>
      <c r="D396" s="5">
        <f ca="1">IFERROR(__xludf.DUMMYFUNCTION("""COMPUTED_VALUE"""),45694)</f>
        <v>45694</v>
      </c>
      <c r="F396" s="1" t="str">
        <f ca="1">IFERROR(__xludf.DUMMYFUNCTION("""COMPUTED_VALUE"""),"USA")</f>
        <v>USA</v>
      </c>
      <c r="G396" s="1" t="str">
        <f ca="1">IFERROR(__xludf.DUMMYFUNCTION("""COMPUTED_VALUE"""),"4.25 USA")</f>
        <v>4.25 USA</v>
      </c>
      <c r="H396" s="1" t="str">
        <f ca="1">IFERROR(__xludf.DUMMYFUNCTION("""COMPUTED_VALUE"""),"Individuals At Risk, Refugee and Migrant Rights")</f>
        <v>Individuals At Risk, Refugee and Migrant Rights</v>
      </c>
      <c r="I396" s="1" t="str">
        <f ca="1">IFERROR(__xludf.DUMMYFUNCTION("""COMPUTED_VALUE"""),"2025")</f>
        <v>2025</v>
      </c>
      <c r="J396" s="1" t="str">
        <f ca="1">IFERROR(__xludf.DUMMYFUNCTION("""COMPUTED_VALUE"""),"Letter")</f>
        <v>Letter</v>
      </c>
    </row>
    <row r="397" spans="1:10" ht="13" x14ac:dyDescent="0.15">
      <c r="A397" s="4">
        <f ca="1">IFERROR(__xludf.DUMMYFUNCTION("""COMPUTED_VALUE"""),30832722)</f>
        <v>30832722</v>
      </c>
      <c r="B397" s="1" t="str">
        <f ca="1">IFERROR(__xludf.DUMMYFUNCTION("""COMPUTED_VALUE"""),"peggy.lamb@sbcglobal.net")</f>
        <v>peggy.lamb@sbcglobal.net</v>
      </c>
      <c r="C397" s="4" t="str">
        <f ca="1">IFERROR(__xludf.DUMMYFUNCTION("""COMPUTED_VALUE"""),"EVERGREEN - UAN Gated Content - Embedded Petition")</f>
        <v>EVERGREEN - UAN Gated Content - Embedded Petition</v>
      </c>
      <c r="D397" s="5">
        <f ca="1">IFERROR(__xludf.DUMMYFUNCTION("""COMPUTED_VALUE"""),45682)</f>
        <v>45682</v>
      </c>
      <c r="F397" s="1" t="str">
        <f ca="1">IFERROR(__xludf.DUMMYFUNCTION("""COMPUTED_VALUE"""),"Niger")</f>
        <v>Niger</v>
      </c>
      <c r="G397" s="1" t="str">
        <f ca="1">IFERROR(__xludf.DUMMYFUNCTION("""COMPUTED_VALUE"""),"103.24 Niger")</f>
        <v>103.24 Niger</v>
      </c>
      <c r="H397" s="1" t="str">
        <f ca="1">IFERROR(__xludf.DUMMYFUNCTION("""COMPUTED_VALUE"""),"Freedom of Expression, Human Rights Defenders")</f>
        <v>Freedom of Expression, Human Rights Defenders</v>
      </c>
      <c r="I397" s="1" t="str">
        <f ca="1">IFERROR(__xludf.DUMMYFUNCTION("""COMPUTED_VALUE"""),"2024")</f>
        <v>2024</v>
      </c>
      <c r="J397" s="1" t="str">
        <f ca="1">IFERROR(__xludf.DUMMYFUNCTION("""COMPUTED_VALUE"""),"Email")</f>
        <v>Email</v>
      </c>
    </row>
    <row r="398" spans="1:10" ht="13" x14ac:dyDescent="0.15">
      <c r="A398" s="4">
        <f ca="1">IFERROR(__xludf.DUMMYFUNCTION("""COMPUTED_VALUE"""),30832722)</f>
        <v>30832722</v>
      </c>
      <c r="B398" s="1" t="str">
        <f ca="1">IFERROR(__xludf.DUMMYFUNCTION("""COMPUTED_VALUE"""),"peggy.lamb@sbcglobal.net")</f>
        <v>peggy.lamb@sbcglobal.net</v>
      </c>
      <c r="C398" s="4" t="str">
        <f ca="1">IFERROR(__xludf.DUMMYFUNCTION("""COMPUTED_VALUE"""),"EVERGREEN - UAN Gated Content - Embedded Petition")</f>
        <v>EVERGREEN - UAN Gated Content - Embedded Petition</v>
      </c>
      <c r="D398" s="5">
        <f ca="1">IFERROR(__xludf.DUMMYFUNCTION("""COMPUTED_VALUE"""),45670)</f>
        <v>45670</v>
      </c>
      <c r="F398" s="1" t="str">
        <f ca="1">IFERROR(__xludf.DUMMYFUNCTION("""COMPUTED_VALUE"""),"Uganda")</f>
        <v>Uganda</v>
      </c>
      <c r="G398" s="1" t="str">
        <f ca="1">IFERROR(__xludf.DUMMYFUNCTION("""COMPUTED_VALUE"""),"100.24 Uganda")</f>
        <v>100.24 Uganda</v>
      </c>
      <c r="H398" s="1" t="str">
        <f ca="1">IFERROR(__xludf.DUMMYFUNCTION("""COMPUTED_VALUE"""),"Freedom of Expression")</f>
        <v>Freedom of Expression</v>
      </c>
      <c r="I398" s="1" t="str">
        <f ca="1">IFERROR(__xludf.DUMMYFUNCTION("""COMPUTED_VALUE"""),"2024")</f>
        <v>2024</v>
      </c>
      <c r="J398" s="1" t="str">
        <f ca="1">IFERROR(__xludf.DUMMYFUNCTION("""COMPUTED_VALUE"""),"Email")</f>
        <v>Email</v>
      </c>
    </row>
    <row r="399" spans="1:10" ht="13" x14ac:dyDescent="0.15">
      <c r="A399" s="4">
        <f ca="1">IFERROR(__xludf.DUMMYFUNCTION("""COMPUTED_VALUE"""),30840186)</f>
        <v>30840186</v>
      </c>
      <c r="B399" s="1" t="str">
        <f ca="1">IFERROR(__xludf.DUMMYFUNCTION("""COMPUTED_VALUE"""),"rdwright67@gmail.com")</f>
        <v>rdwright67@gmail.com</v>
      </c>
      <c r="C399" s="4" t="str">
        <f ca="1">IFERROR(__xludf.DUMMYFUNCTION("""COMPUTED_VALUE"""),"EVERGREEN - UAN Gated Content - Embedded Petition")</f>
        <v>EVERGREEN - UAN Gated Content - Embedded Petition</v>
      </c>
      <c r="D399" s="5">
        <f ca="1">IFERROR(__xludf.DUMMYFUNCTION("""COMPUTED_VALUE"""),45694)</f>
        <v>45694</v>
      </c>
      <c r="F399" s="1" t="str">
        <f ca="1">IFERROR(__xludf.DUMMYFUNCTION("""COMPUTED_VALUE"""),"USA")</f>
        <v>USA</v>
      </c>
      <c r="G399" s="1" t="str">
        <f ca="1">IFERROR(__xludf.DUMMYFUNCTION("""COMPUTED_VALUE"""),"105.24 USA")</f>
        <v>105.24 USA</v>
      </c>
      <c r="H399" s="1" t="str">
        <f ca="1">IFERROR(__xludf.DUMMYFUNCTION("""COMPUTED_VALUE"""),"Death Penalty")</f>
        <v>Death Penalty</v>
      </c>
      <c r="I399" s="1" t="str">
        <f ca="1">IFERROR(__xludf.DUMMYFUNCTION("""COMPUTED_VALUE"""),"2024")</f>
        <v>2024</v>
      </c>
      <c r="J399" s="1" t="str">
        <f ca="1">IFERROR(__xludf.DUMMYFUNCTION("""COMPUTED_VALUE"""),"Email")</f>
        <v>Email</v>
      </c>
    </row>
    <row r="400" spans="1:10" ht="13" x14ac:dyDescent="0.15">
      <c r="A400" s="4">
        <f ca="1">IFERROR(__xludf.DUMMYFUNCTION("""COMPUTED_VALUE"""),30850910)</f>
        <v>30850910</v>
      </c>
      <c r="B400" s="1" t="str">
        <f ca="1">IFERROR(__xludf.DUMMYFUNCTION("""COMPUTED_VALUE"""),"cmille640@gmail.com")</f>
        <v>cmille640@gmail.com</v>
      </c>
      <c r="C400" s="4" t="str">
        <f ca="1">IFERROR(__xludf.DUMMYFUNCTION("""COMPUTED_VALUE"""),"EVERGREEN - UAN Gated Content - Embedded Petition")</f>
        <v>EVERGREEN - UAN Gated Content - Embedded Petition</v>
      </c>
      <c r="D400" s="5">
        <f ca="1">IFERROR(__xludf.DUMMYFUNCTION("""COMPUTED_VALUE"""),45617)</f>
        <v>45617</v>
      </c>
      <c r="F400" s="1" t="str">
        <f ca="1">IFERROR(__xludf.DUMMYFUNCTION("""COMPUTED_VALUE"""),"USA")</f>
        <v>USA</v>
      </c>
      <c r="G400" s="1" t="str">
        <f ca="1">IFERROR(__xludf.DUMMYFUNCTION("""COMPUTED_VALUE"""),"105.24 USA")</f>
        <v>105.24 USA</v>
      </c>
      <c r="H400" s="1" t="str">
        <f ca="1">IFERROR(__xludf.DUMMYFUNCTION("""COMPUTED_VALUE"""),"Death Penalty")</f>
        <v>Death Penalty</v>
      </c>
      <c r="I400" s="1" t="str">
        <f ca="1">IFERROR(__xludf.DUMMYFUNCTION("""COMPUTED_VALUE"""),"2024")</f>
        <v>2024</v>
      </c>
      <c r="J400" s="1" t="str">
        <f ca="1">IFERROR(__xludf.DUMMYFUNCTION("""COMPUTED_VALUE"""),"Email")</f>
        <v>Email</v>
      </c>
    </row>
    <row r="401" spans="1:10" ht="13" x14ac:dyDescent="0.15">
      <c r="A401" s="4">
        <f ca="1">IFERROR(__xludf.DUMMYFUNCTION("""COMPUTED_VALUE"""),30850910)</f>
        <v>30850910</v>
      </c>
      <c r="B401" s="1" t="str">
        <f ca="1">IFERROR(__xludf.DUMMYFUNCTION("""COMPUTED_VALUE"""),"cmille640@gmail.com")</f>
        <v>cmille640@gmail.com</v>
      </c>
      <c r="C401" s="4" t="str">
        <f ca="1">IFERROR(__xludf.DUMMYFUNCTION("""COMPUTED_VALUE"""),"EVERGREEN - UAN Gated Content - Embedded Petition")</f>
        <v>EVERGREEN - UAN Gated Content - Embedded Petition</v>
      </c>
      <c r="D401" s="5">
        <f ca="1">IFERROR(__xludf.DUMMYFUNCTION("""COMPUTED_VALUE"""),45682)</f>
        <v>45682</v>
      </c>
      <c r="F401" s="1" t="str">
        <f ca="1">IFERROR(__xludf.DUMMYFUNCTION("""COMPUTED_VALUE"""),"USA")</f>
        <v>USA</v>
      </c>
      <c r="G401" s="1" t="str">
        <f ca="1">IFERROR(__xludf.DUMMYFUNCTION("""COMPUTED_VALUE"""),"105.24 USA")</f>
        <v>105.24 USA</v>
      </c>
      <c r="H401" s="1" t="str">
        <f ca="1">IFERROR(__xludf.DUMMYFUNCTION("""COMPUTED_VALUE"""),"Death Penalty")</f>
        <v>Death Penalty</v>
      </c>
      <c r="I401" s="1" t="str">
        <f ca="1">IFERROR(__xludf.DUMMYFUNCTION("""COMPUTED_VALUE"""),"2024")</f>
        <v>2024</v>
      </c>
      <c r="J401" s="1" t="str">
        <f ca="1">IFERROR(__xludf.DUMMYFUNCTION("""COMPUTED_VALUE"""),"Email")</f>
        <v>Email</v>
      </c>
    </row>
    <row r="402" spans="1:10" ht="13" x14ac:dyDescent="0.15">
      <c r="A402" s="4">
        <f ca="1">IFERROR(__xludf.DUMMYFUNCTION("""COMPUTED_VALUE"""),30850910)</f>
        <v>30850910</v>
      </c>
      <c r="B402" s="1" t="str">
        <f ca="1">IFERROR(__xludf.DUMMYFUNCTION("""COMPUTED_VALUE"""),"cmille640@gmail.com")</f>
        <v>cmille640@gmail.com</v>
      </c>
      <c r="C402" s="4" t="str">
        <f ca="1">IFERROR(__xludf.DUMMYFUNCTION("""COMPUTED_VALUE"""),"EVERGREEN - UAN Gated Content - Embedded Petition")</f>
        <v>EVERGREEN - UAN Gated Content - Embedded Petition</v>
      </c>
      <c r="D402" s="5">
        <f ca="1">IFERROR(__xludf.DUMMYFUNCTION("""COMPUTED_VALUE"""),45617)</f>
        <v>45617</v>
      </c>
      <c r="F402" s="1" t="str">
        <f ca="1">IFERROR(__xludf.DUMMYFUNCTION("""COMPUTED_VALUE"""),"USA")</f>
        <v>USA</v>
      </c>
      <c r="G402" s="1" t="str">
        <f ca="1">IFERROR(__xludf.DUMMYFUNCTION("""COMPUTED_VALUE"""),"4.25 USA")</f>
        <v>4.25 USA</v>
      </c>
      <c r="H402" s="1" t="str">
        <f ca="1">IFERROR(__xludf.DUMMYFUNCTION("""COMPUTED_VALUE"""),"Individuals At Risk, Refugee and Migrant Rights")</f>
        <v>Individuals At Risk, Refugee and Migrant Rights</v>
      </c>
      <c r="I402" s="1" t="str">
        <f ca="1">IFERROR(__xludf.DUMMYFUNCTION("""COMPUTED_VALUE"""),"2025")</f>
        <v>2025</v>
      </c>
      <c r="J402" s="1" t="str">
        <f ca="1">IFERROR(__xludf.DUMMYFUNCTION("""COMPUTED_VALUE"""),"Letter")</f>
        <v>Letter</v>
      </c>
    </row>
    <row r="403" spans="1:10" ht="13" x14ac:dyDescent="0.15">
      <c r="A403" s="4">
        <f ca="1">IFERROR(__xludf.DUMMYFUNCTION("""COMPUTED_VALUE"""),30895647)</f>
        <v>30895647</v>
      </c>
      <c r="B403" s="1" t="str">
        <f ca="1">IFERROR(__xludf.DUMMYFUNCTION("""COMPUTED_VALUE"""),"autumnrainbow@gmail.com")</f>
        <v>autumnrainbow@gmail.com</v>
      </c>
      <c r="C403" s="4" t="str">
        <f ca="1">IFERROR(__xludf.DUMMYFUNCTION("""COMPUTED_VALUE"""),"EVERGREEN - UAN Gated Content - Embedded Petition")</f>
        <v>EVERGREEN - UAN Gated Content - Embedded Petition</v>
      </c>
      <c r="D403" s="5">
        <f ca="1">IFERROR(__xludf.DUMMYFUNCTION("""COMPUTED_VALUE"""),45688)</f>
        <v>45688</v>
      </c>
      <c r="F403" s="1" t="str">
        <f ca="1">IFERROR(__xludf.DUMMYFUNCTION("""COMPUTED_VALUE"""),"Tunisia")</f>
        <v>Tunisia</v>
      </c>
      <c r="G403" s="1" t="str">
        <f ca="1">IFERROR(__xludf.DUMMYFUNCTION("""COMPUTED_VALUE"""),"Second 76.24 Tunisia")</f>
        <v>Second 76.24 Tunisia</v>
      </c>
      <c r="H403" s="1" t="str">
        <f ca="1">IFERROR(__xludf.DUMMYFUNCTION("""COMPUTED_VALUE"""),"Freedom of Expression, Human Rights Defenders")</f>
        <v>Freedom of Expression, Human Rights Defenders</v>
      </c>
      <c r="I403" s="1" t="str">
        <f ca="1">IFERROR(__xludf.DUMMYFUNCTION("""COMPUTED_VALUE"""),"2025")</f>
        <v>2025</v>
      </c>
      <c r="J403" s="1" t="str">
        <f ca="1">IFERROR(__xludf.DUMMYFUNCTION("""COMPUTED_VALUE"""),"Email")</f>
        <v>Email</v>
      </c>
    </row>
    <row r="404" spans="1:10" ht="13" x14ac:dyDescent="0.15">
      <c r="A404" s="4">
        <f ca="1">IFERROR(__xludf.DUMMYFUNCTION("""COMPUTED_VALUE"""),30895974)</f>
        <v>30895974</v>
      </c>
      <c r="B404" s="1" t="str">
        <f ca="1">IFERROR(__xludf.DUMMYFUNCTION("""COMPUTED_VALUE"""),"chrisd285@gmail.com")</f>
        <v>chrisd285@gmail.com</v>
      </c>
      <c r="C404" s="4" t="str">
        <f ca="1">IFERROR(__xludf.DUMMYFUNCTION("""COMPUTED_VALUE"""),"EVERGREEN - UAN Gated Content - Embedded Petition")</f>
        <v>EVERGREEN - UAN Gated Content - Embedded Petition</v>
      </c>
      <c r="D404" s="5">
        <f ca="1">IFERROR(__xludf.DUMMYFUNCTION("""COMPUTED_VALUE"""),45616)</f>
        <v>45616</v>
      </c>
      <c r="F404" s="1" t="str">
        <f ca="1">IFERROR(__xludf.DUMMYFUNCTION("""COMPUTED_VALUE"""),"Tunisia")</f>
        <v>Tunisia</v>
      </c>
      <c r="G404" s="1" t="str">
        <f ca="1">IFERROR(__xludf.DUMMYFUNCTION("""COMPUTED_VALUE"""),"Second 76.24 Tunisia")</f>
        <v>Second 76.24 Tunisia</v>
      </c>
      <c r="H404" s="1" t="str">
        <f ca="1">IFERROR(__xludf.DUMMYFUNCTION("""COMPUTED_VALUE"""),"Freedom of Expression, Human Rights Defenders")</f>
        <v>Freedom of Expression, Human Rights Defenders</v>
      </c>
      <c r="I404" s="1" t="str">
        <f ca="1">IFERROR(__xludf.DUMMYFUNCTION("""COMPUTED_VALUE"""),"2025")</f>
        <v>2025</v>
      </c>
      <c r="J404" s="1" t="str">
        <f ca="1">IFERROR(__xludf.DUMMYFUNCTION("""COMPUTED_VALUE"""),"Email")</f>
        <v>Email</v>
      </c>
    </row>
    <row r="405" spans="1:10" ht="13" x14ac:dyDescent="0.15">
      <c r="A405" s="4">
        <f ca="1">IFERROR(__xludf.DUMMYFUNCTION("""COMPUTED_VALUE"""),30895974)</f>
        <v>30895974</v>
      </c>
      <c r="B405" s="1" t="str">
        <f ca="1">IFERROR(__xludf.DUMMYFUNCTION("""COMPUTED_VALUE"""),"chrisd285@gmail.com")</f>
        <v>chrisd285@gmail.com</v>
      </c>
      <c r="C405" s="4" t="str">
        <f ca="1">IFERROR(__xludf.DUMMYFUNCTION("""COMPUTED_VALUE"""),"EVERGREEN - UAN Gated Content - Embedded Petition")</f>
        <v>EVERGREEN - UAN Gated Content - Embedded Petition</v>
      </c>
      <c r="D405" s="5">
        <f ca="1">IFERROR(__xludf.DUMMYFUNCTION("""COMPUTED_VALUE"""),45660)</f>
        <v>45660</v>
      </c>
      <c r="F405" s="1" t="str">
        <f ca="1">IFERROR(__xludf.DUMMYFUNCTION("""COMPUTED_VALUE"""),"Tunisia")</f>
        <v>Tunisia</v>
      </c>
      <c r="G405" s="1" t="str">
        <f ca="1">IFERROR(__xludf.DUMMYFUNCTION("""COMPUTED_VALUE"""),"Second 76.24 Tunisia")</f>
        <v>Second 76.24 Tunisia</v>
      </c>
      <c r="H405" s="1" t="str">
        <f ca="1">IFERROR(__xludf.DUMMYFUNCTION("""COMPUTED_VALUE"""),"Freedom of Expression, Human Rights Defenders")</f>
        <v>Freedom of Expression, Human Rights Defenders</v>
      </c>
      <c r="I405" s="1" t="str">
        <f ca="1">IFERROR(__xludf.DUMMYFUNCTION("""COMPUTED_VALUE"""),"2025")</f>
        <v>2025</v>
      </c>
      <c r="J405" s="1" t="str">
        <f ca="1">IFERROR(__xludf.DUMMYFUNCTION("""COMPUTED_VALUE"""),"Email")</f>
        <v>Email</v>
      </c>
    </row>
    <row r="406" spans="1:10" ht="13" x14ac:dyDescent="0.15">
      <c r="A406" s="4">
        <f ca="1">IFERROR(__xludf.DUMMYFUNCTION("""COMPUTED_VALUE"""),30897470)</f>
        <v>30897470</v>
      </c>
      <c r="B406" s="1" t="str">
        <f ca="1">IFERROR(__xludf.DUMMYFUNCTION("""COMPUTED_VALUE"""),"paul@themailpath.com")</f>
        <v>paul@themailpath.com</v>
      </c>
      <c r="C406" s="4" t="str">
        <f ca="1">IFERROR(__xludf.DUMMYFUNCTION("""COMPUTED_VALUE"""),"EVERGREEN - UAN Gated Content - Embedded Petition")</f>
        <v>EVERGREEN - UAN Gated Content - Embedded Petition</v>
      </c>
      <c r="D406" s="5">
        <f ca="1">IFERROR(__xludf.DUMMYFUNCTION("""COMPUTED_VALUE"""),45674)</f>
        <v>45674</v>
      </c>
      <c r="F406" s="1" t="str">
        <f ca="1">IFERROR(__xludf.DUMMYFUNCTION("""COMPUTED_VALUE"""),"Niger")</f>
        <v>Niger</v>
      </c>
      <c r="G406" s="1" t="str">
        <f ca="1">IFERROR(__xludf.DUMMYFUNCTION("""COMPUTED_VALUE"""),"103.24 Niger")</f>
        <v>103.24 Niger</v>
      </c>
      <c r="H406" s="1" t="str">
        <f ca="1">IFERROR(__xludf.DUMMYFUNCTION("""COMPUTED_VALUE"""),"Freedom of Expression, Human Rights Defenders")</f>
        <v>Freedom of Expression, Human Rights Defenders</v>
      </c>
      <c r="I406" s="1" t="str">
        <f ca="1">IFERROR(__xludf.DUMMYFUNCTION("""COMPUTED_VALUE"""),"2024")</f>
        <v>2024</v>
      </c>
      <c r="J406" s="1" t="str">
        <f ca="1">IFERROR(__xludf.DUMMYFUNCTION("""COMPUTED_VALUE"""),"Email")</f>
        <v>Email</v>
      </c>
    </row>
    <row r="407" spans="1:10" ht="13" x14ac:dyDescent="0.15">
      <c r="A407" s="4">
        <f ca="1">IFERROR(__xludf.DUMMYFUNCTION("""COMPUTED_VALUE"""),30897470)</f>
        <v>30897470</v>
      </c>
      <c r="B407" s="1" t="str">
        <f ca="1">IFERROR(__xludf.DUMMYFUNCTION("""COMPUTED_VALUE"""),"paul@themailpath.com")</f>
        <v>paul@themailpath.com</v>
      </c>
      <c r="C407" s="4" t="str">
        <f ca="1">IFERROR(__xludf.DUMMYFUNCTION("""COMPUTED_VALUE"""),"EVERGREEN - UAN Gated Content - Embedded Petition")</f>
        <v>EVERGREEN - UAN Gated Content - Embedded Petition</v>
      </c>
      <c r="D407" s="5">
        <f ca="1">IFERROR(__xludf.DUMMYFUNCTION("""COMPUTED_VALUE"""),45694)</f>
        <v>45694</v>
      </c>
      <c r="F407" s="1" t="str">
        <f ca="1">IFERROR(__xludf.DUMMYFUNCTION("""COMPUTED_VALUE"""),"USA")</f>
        <v>USA</v>
      </c>
      <c r="G407" s="1" t="str">
        <f ca="1">IFERROR(__xludf.DUMMYFUNCTION("""COMPUTED_VALUE"""),"105.24 USA")</f>
        <v>105.24 USA</v>
      </c>
      <c r="H407" s="1" t="str">
        <f ca="1">IFERROR(__xludf.DUMMYFUNCTION("""COMPUTED_VALUE"""),"Death Penalty")</f>
        <v>Death Penalty</v>
      </c>
      <c r="I407" s="1" t="str">
        <f ca="1">IFERROR(__xludf.DUMMYFUNCTION("""COMPUTED_VALUE"""),"2024")</f>
        <v>2024</v>
      </c>
      <c r="J407" s="1" t="str">
        <f ca="1">IFERROR(__xludf.DUMMYFUNCTION("""COMPUTED_VALUE"""),"Email")</f>
        <v>Email</v>
      </c>
    </row>
    <row r="408" spans="1:10" ht="13" x14ac:dyDescent="0.15">
      <c r="A408" s="4">
        <f ca="1">IFERROR(__xludf.DUMMYFUNCTION("""COMPUTED_VALUE"""),30897470)</f>
        <v>30897470</v>
      </c>
      <c r="B408" s="1" t="str">
        <f ca="1">IFERROR(__xludf.DUMMYFUNCTION("""COMPUTED_VALUE"""),"paul@themailpath.com")</f>
        <v>paul@themailpath.com</v>
      </c>
      <c r="C408" s="4" t="str">
        <f ca="1">IFERROR(__xludf.DUMMYFUNCTION("""COMPUTED_VALUE"""),"EVERGREEN - UAN Gated Content - Embedded Petition")</f>
        <v>EVERGREEN - UAN Gated Content - Embedded Petition</v>
      </c>
      <c r="D408" s="5">
        <f ca="1">IFERROR(__xludf.DUMMYFUNCTION("""COMPUTED_VALUE"""),45637)</f>
        <v>45637</v>
      </c>
      <c r="F408" s="1" t="str">
        <f ca="1">IFERROR(__xludf.DUMMYFUNCTION("""COMPUTED_VALUE"""),"Tunisia")</f>
        <v>Tunisia</v>
      </c>
      <c r="G408" s="1" t="str">
        <f ca="1">IFERROR(__xludf.DUMMYFUNCTION("""COMPUTED_VALUE"""),"Second 76.24 Tunisia")</f>
        <v>Second 76.24 Tunisia</v>
      </c>
      <c r="H408" s="1" t="str">
        <f ca="1">IFERROR(__xludf.DUMMYFUNCTION("""COMPUTED_VALUE"""),"Freedom of Expression, Human Rights Defenders")</f>
        <v>Freedom of Expression, Human Rights Defenders</v>
      </c>
      <c r="I408" s="1" t="str">
        <f ca="1">IFERROR(__xludf.DUMMYFUNCTION("""COMPUTED_VALUE"""),"2025")</f>
        <v>2025</v>
      </c>
      <c r="J408" s="1" t="str">
        <f ca="1">IFERROR(__xludf.DUMMYFUNCTION("""COMPUTED_VALUE"""),"Email")</f>
        <v>Email</v>
      </c>
    </row>
    <row r="409" spans="1:10" ht="13" x14ac:dyDescent="0.15">
      <c r="A409" s="4">
        <f ca="1">IFERROR(__xludf.DUMMYFUNCTION("""COMPUTED_VALUE"""),30897470)</f>
        <v>30897470</v>
      </c>
      <c r="B409" s="1" t="str">
        <f ca="1">IFERROR(__xludf.DUMMYFUNCTION("""COMPUTED_VALUE"""),"paul@themailpath.com")</f>
        <v>paul@themailpath.com</v>
      </c>
      <c r="C409" s="4" t="str">
        <f ca="1">IFERROR(__xludf.DUMMYFUNCTION("""COMPUTED_VALUE"""),"EVERGREEN - UAN Gated Content - Embedded Petition")</f>
        <v>EVERGREEN - UAN Gated Content - Embedded Petition</v>
      </c>
      <c r="D409" s="5">
        <f ca="1">IFERROR(__xludf.DUMMYFUNCTION("""COMPUTED_VALUE"""),45674)</f>
        <v>45674</v>
      </c>
      <c r="F409" s="1" t="str">
        <f ca="1">IFERROR(__xludf.DUMMYFUNCTION("""COMPUTED_VALUE"""),"Saudi Arabia")</f>
        <v>Saudi Arabia</v>
      </c>
      <c r="G409" s="1" t="str">
        <f ca="1">IFERROR(__xludf.DUMMYFUNCTION("""COMPUTED_VALUE"""),"Fifth 257.12")</f>
        <v>Fifth 257.12</v>
      </c>
      <c r="H409" s="1" t="str">
        <f ca="1">IFERROR(__xludf.DUMMYFUNCTION("""COMPUTED_VALUE"""),"Freedom of Expression, Human Rights Defenders")</f>
        <v>Freedom of Expression, Human Rights Defenders</v>
      </c>
      <c r="I409" s="1" t="str">
        <f ca="1">IFERROR(__xludf.DUMMYFUNCTION("""COMPUTED_VALUE"""),"2025")</f>
        <v>2025</v>
      </c>
      <c r="J409" s="1" t="str">
        <f ca="1">IFERROR(__xludf.DUMMYFUNCTION("""COMPUTED_VALUE"""),"Email")</f>
        <v>Email</v>
      </c>
    </row>
    <row r="410" spans="1:10" ht="13" x14ac:dyDescent="0.15">
      <c r="A410" s="4">
        <f ca="1">IFERROR(__xludf.DUMMYFUNCTION("""COMPUTED_VALUE"""),30914661)</f>
        <v>30914661</v>
      </c>
      <c r="B410" s="1" t="str">
        <f ca="1">IFERROR(__xludf.DUMMYFUNCTION("""COMPUTED_VALUE"""),"lmehler444@gmail.com")</f>
        <v>lmehler444@gmail.com</v>
      </c>
      <c r="C410" s="4" t="str">
        <f ca="1">IFERROR(__xludf.DUMMYFUNCTION("""COMPUTED_VALUE"""),"EVERGREEN - UAN Gated Content - Embedded Petition")</f>
        <v>EVERGREEN - UAN Gated Content - Embedded Petition</v>
      </c>
      <c r="D410" s="5">
        <f ca="1">IFERROR(__xludf.DUMMYFUNCTION("""COMPUTED_VALUE"""),45696)</f>
        <v>45696</v>
      </c>
      <c r="F410" s="1" t="str">
        <f ca="1">IFERROR(__xludf.DUMMYFUNCTION("""COMPUTED_VALUE"""),"USA")</f>
        <v>USA</v>
      </c>
      <c r="G410" s="1" t="str">
        <f ca="1">IFERROR(__xludf.DUMMYFUNCTION("""COMPUTED_VALUE"""),"105.24 USA")</f>
        <v>105.24 USA</v>
      </c>
      <c r="H410" s="1" t="str">
        <f ca="1">IFERROR(__xludf.DUMMYFUNCTION("""COMPUTED_VALUE"""),"Death Penalty")</f>
        <v>Death Penalty</v>
      </c>
      <c r="I410" s="1" t="str">
        <f ca="1">IFERROR(__xludf.DUMMYFUNCTION("""COMPUTED_VALUE"""),"2024")</f>
        <v>2024</v>
      </c>
      <c r="J410" s="1" t="str">
        <f ca="1">IFERROR(__xludf.DUMMYFUNCTION("""COMPUTED_VALUE"""),"Email")</f>
        <v>Email</v>
      </c>
    </row>
    <row r="411" spans="1:10" ht="13" x14ac:dyDescent="0.15">
      <c r="A411" s="4">
        <f ca="1">IFERROR(__xludf.DUMMYFUNCTION("""COMPUTED_VALUE"""),30934675)</f>
        <v>30934675</v>
      </c>
      <c r="B411" s="1" t="str">
        <f ca="1">IFERROR(__xludf.DUMMYFUNCTION("""COMPUTED_VALUE"""),"pplellis@yahoo.com")</f>
        <v>pplellis@yahoo.com</v>
      </c>
      <c r="C411" s="4" t="str">
        <f ca="1">IFERROR(__xludf.DUMMYFUNCTION("""COMPUTED_VALUE"""),"EVERGREEN - UAN Gated Content - Embedded Petition")</f>
        <v>EVERGREEN - UAN Gated Content - Embedded Petition</v>
      </c>
      <c r="D411" s="5">
        <f ca="1">IFERROR(__xludf.DUMMYFUNCTION("""COMPUTED_VALUE"""),45694)</f>
        <v>45694</v>
      </c>
      <c r="F411" s="1" t="str">
        <f ca="1">IFERROR(__xludf.DUMMYFUNCTION("""COMPUTED_VALUE"""),"USA")</f>
        <v>USA</v>
      </c>
      <c r="G411" s="1" t="str">
        <f ca="1">IFERROR(__xludf.DUMMYFUNCTION("""COMPUTED_VALUE"""),"4.25 USA")</f>
        <v>4.25 USA</v>
      </c>
      <c r="H411" s="1" t="str">
        <f ca="1">IFERROR(__xludf.DUMMYFUNCTION("""COMPUTED_VALUE"""),"Individuals At Risk, Refugee and Migrant Rights")</f>
        <v>Individuals At Risk, Refugee and Migrant Rights</v>
      </c>
      <c r="I411" s="1" t="str">
        <f ca="1">IFERROR(__xludf.DUMMYFUNCTION("""COMPUTED_VALUE"""),"2025")</f>
        <v>2025</v>
      </c>
      <c r="J411" s="1" t="str">
        <f ca="1">IFERROR(__xludf.DUMMYFUNCTION("""COMPUTED_VALUE"""),"Letter")</f>
        <v>Letter</v>
      </c>
    </row>
    <row r="412" spans="1:10" ht="13" x14ac:dyDescent="0.15">
      <c r="A412" s="4">
        <f ca="1">IFERROR(__xludf.DUMMYFUNCTION("""COMPUTED_VALUE"""),30934675)</f>
        <v>30934675</v>
      </c>
      <c r="B412" s="1" t="str">
        <f ca="1">IFERROR(__xludf.DUMMYFUNCTION("""COMPUTED_VALUE"""),"pplellis@yahoo.com")</f>
        <v>pplellis@yahoo.com</v>
      </c>
      <c r="C412" s="4" t="str">
        <f ca="1">IFERROR(__xludf.DUMMYFUNCTION("""COMPUTED_VALUE"""),"EVERGREEN - UAN Gated Content - Embedded Petition")</f>
        <v>EVERGREEN - UAN Gated Content - Embedded Petition</v>
      </c>
      <c r="D412" s="5">
        <f ca="1">IFERROR(__xludf.DUMMYFUNCTION("""COMPUTED_VALUE"""),45677)</f>
        <v>45677</v>
      </c>
      <c r="F412" s="1" t="str">
        <f ca="1">IFERROR(__xludf.DUMMYFUNCTION("""COMPUTED_VALUE"""),"USA")</f>
        <v>USA</v>
      </c>
      <c r="G412" s="1" t="str">
        <f ca="1">IFERROR(__xludf.DUMMYFUNCTION("""COMPUTED_VALUE"""),"105.24 USA")</f>
        <v>105.24 USA</v>
      </c>
      <c r="H412" s="1" t="str">
        <f ca="1">IFERROR(__xludf.DUMMYFUNCTION("""COMPUTED_VALUE"""),"Death Penalty")</f>
        <v>Death Penalty</v>
      </c>
      <c r="I412" s="1" t="str">
        <f ca="1">IFERROR(__xludf.DUMMYFUNCTION("""COMPUTED_VALUE"""),"2024")</f>
        <v>2024</v>
      </c>
      <c r="J412" s="1" t="str">
        <f ca="1">IFERROR(__xludf.DUMMYFUNCTION("""COMPUTED_VALUE"""),"Email")</f>
        <v>Email</v>
      </c>
    </row>
    <row r="413" spans="1:10" ht="13" x14ac:dyDescent="0.15">
      <c r="A413" s="4">
        <f ca="1">IFERROR(__xludf.DUMMYFUNCTION("""COMPUTED_VALUE"""),30936439)</f>
        <v>30936439</v>
      </c>
      <c r="B413" s="1" t="str">
        <f ca="1">IFERROR(__xludf.DUMMYFUNCTION("""COMPUTED_VALUE"""),"prb@umn.edu")</f>
        <v>prb@umn.edu</v>
      </c>
      <c r="C413" s="4" t="str">
        <f ca="1">IFERROR(__xludf.DUMMYFUNCTION("""COMPUTED_VALUE"""),"EVERGREEN - UAN Gated Content - Embedded Petition")</f>
        <v>EVERGREEN - UAN Gated Content - Embedded Petition</v>
      </c>
      <c r="D413" s="5">
        <f ca="1">IFERROR(__xludf.DUMMYFUNCTION("""COMPUTED_VALUE"""),45677)</f>
        <v>45677</v>
      </c>
      <c r="F413" s="1" t="str">
        <f ca="1">IFERROR(__xludf.DUMMYFUNCTION("""COMPUTED_VALUE"""),"Uganda")</f>
        <v>Uganda</v>
      </c>
      <c r="G413" s="1" t="str">
        <f ca="1">IFERROR(__xludf.DUMMYFUNCTION("""COMPUTED_VALUE"""),"100.24 Uganda")</f>
        <v>100.24 Uganda</v>
      </c>
      <c r="H413" s="1" t="str">
        <f ca="1">IFERROR(__xludf.DUMMYFUNCTION("""COMPUTED_VALUE"""),"Freedom of Expression")</f>
        <v>Freedom of Expression</v>
      </c>
      <c r="I413" s="1" t="str">
        <f ca="1">IFERROR(__xludf.DUMMYFUNCTION("""COMPUTED_VALUE"""),"2024")</f>
        <v>2024</v>
      </c>
      <c r="J413" s="1" t="str">
        <f ca="1">IFERROR(__xludf.DUMMYFUNCTION("""COMPUTED_VALUE"""),"Email")</f>
        <v>Email</v>
      </c>
    </row>
    <row r="414" spans="1:10" ht="13" x14ac:dyDescent="0.15">
      <c r="A414" s="4">
        <f ca="1">IFERROR(__xludf.DUMMYFUNCTION("""COMPUTED_VALUE"""),30962455)</f>
        <v>30962455</v>
      </c>
      <c r="B414" s="1" t="str">
        <f ca="1">IFERROR(__xludf.DUMMYFUNCTION("""COMPUTED_VALUE"""),"mikerain@earthlink.net")</f>
        <v>mikerain@earthlink.net</v>
      </c>
      <c r="C414" s="4" t="str">
        <f ca="1">IFERROR(__xludf.DUMMYFUNCTION("""COMPUTED_VALUE"""),"EVERGREEN - UAN Gated Content - Embedded Petition")</f>
        <v>EVERGREEN - UAN Gated Content - Embedded Petition</v>
      </c>
      <c r="D414" s="5">
        <f ca="1">IFERROR(__xludf.DUMMYFUNCTION("""COMPUTED_VALUE"""),45694)</f>
        <v>45694</v>
      </c>
      <c r="F414" s="1" t="str">
        <f ca="1">IFERROR(__xludf.DUMMYFUNCTION("""COMPUTED_VALUE"""),"Venezuela")</f>
        <v>Venezuela</v>
      </c>
      <c r="G414" s="1" t="str">
        <f ca="1">IFERROR(__xludf.DUMMYFUNCTION("""COMPUTED_VALUE"""),"97.24 Venezuela")</f>
        <v>97.24 Venezuela</v>
      </c>
      <c r="H414" s="1" t="str">
        <f ca="1">IFERROR(__xludf.DUMMYFUNCTION("""COMPUTED_VALUE"""),"Freedom of Expression")</f>
        <v>Freedom of Expression</v>
      </c>
      <c r="I414" s="1" t="str">
        <f ca="1">IFERROR(__xludf.DUMMYFUNCTION("""COMPUTED_VALUE"""),"2024")</f>
        <v>2024</v>
      </c>
      <c r="J414" s="1" t="str">
        <f ca="1">IFERROR(__xludf.DUMMYFUNCTION("""COMPUTED_VALUE"""),"Letter")</f>
        <v>Letter</v>
      </c>
    </row>
    <row r="415" spans="1:10" ht="13" x14ac:dyDescent="0.15">
      <c r="A415" s="4">
        <f ca="1">IFERROR(__xludf.DUMMYFUNCTION("""COMPUTED_VALUE"""),30964058)</f>
        <v>30964058</v>
      </c>
      <c r="B415" s="1" t="str">
        <f ca="1">IFERROR(__xludf.DUMMYFUNCTION("""COMPUTED_VALUE"""),"yvonne.kravitz@gmail.com")</f>
        <v>yvonne.kravitz@gmail.com</v>
      </c>
      <c r="C415" s="4" t="str">
        <f ca="1">IFERROR(__xludf.DUMMYFUNCTION("""COMPUTED_VALUE"""),"EVERGREEN - UAN Gated Content - Embedded Petition")</f>
        <v>EVERGREEN - UAN Gated Content - Embedded Petition</v>
      </c>
      <c r="D415" s="5">
        <f ca="1">IFERROR(__xludf.DUMMYFUNCTION("""COMPUTED_VALUE"""),45694)</f>
        <v>45694</v>
      </c>
      <c r="F415" s="1" t="str">
        <f ca="1">IFERROR(__xludf.DUMMYFUNCTION("""COMPUTED_VALUE"""),"USA")</f>
        <v>USA</v>
      </c>
      <c r="G415" s="1" t="str">
        <f ca="1">IFERROR(__xludf.DUMMYFUNCTION("""COMPUTED_VALUE"""),"105.24 USA")</f>
        <v>105.24 USA</v>
      </c>
      <c r="H415" s="1" t="str">
        <f ca="1">IFERROR(__xludf.DUMMYFUNCTION("""COMPUTED_VALUE"""),"Death Penalty")</f>
        <v>Death Penalty</v>
      </c>
      <c r="I415" s="1" t="str">
        <f ca="1">IFERROR(__xludf.DUMMYFUNCTION("""COMPUTED_VALUE"""),"2024")</f>
        <v>2024</v>
      </c>
      <c r="J415" s="1" t="str">
        <f ca="1">IFERROR(__xludf.DUMMYFUNCTION("""COMPUTED_VALUE"""),"Email")</f>
        <v>Email</v>
      </c>
    </row>
    <row r="416" spans="1:10" ht="13" x14ac:dyDescent="0.15">
      <c r="A416" s="4">
        <f ca="1">IFERROR(__xludf.DUMMYFUNCTION("""COMPUTED_VALUE"""),30969136)</f>
        <v>30969136</v>
      </c>
      <c r="B416" s="1" t="str">
        <f ca="1">IFERROR(__xludf.DUMMYFUNCTION("""COMPUTED_VALUE"""),"claudiawornum@comcast.net")</f>
        <v>claudiawornum@comcast.net</v>
      </c>
      <c r="C416" s="4" t="str">
        <f ca="1">IFERROR(__xludf.DUMMYFUNCTION("""COMPUTED_VALUE"""),"EVERGREEN - UAN Gated Content - Embedded Petition")</f>
        <v>EVERGREEN - UAN Gated Content - Embedded Petition</v>
      </c>
      <c r="D416" s="5">
        <f ca="1">IFERROR(__xludf.DUMMYFUNCTION("""COMPUTED_VALUE"""),45694)</f>
        <v>45694</v>
      </c>
      <c r="F416" s="1" t="str">
        <f ca="1">IFERROR(__xludf.DUMMYFUNCTION("""COMPUTED_VALUE"""),"China")</f>
        <v>China</v>
      </c>
      <c r="G416" s="1" t="str">
        <f ca="1">IFERROR(__xludf.DUMMYFUNCTION("""COMPUTED_VALUE"""),"106.24 China")</f>
        <v>106.24 China</v>
      </c>
      <c r="H416" s="1" t="str">
        <f ca="1">IFERROR(__xludf.DUMMYFUNCTION("""COMPUTED_VALUE"""),"Freedom of Expression, Individuals At Risk")</f>
        <v>Freedom of Expression, Individuals At Risk</v>
      </c>
      <c r="I416" s="1" t="str">
        <f ca="1">IFERROR(__xludf.DUMMYFUNCTION("""COMPUTED_VALUE"""),"2024")</f>
        <v>2024</v>
      </c>
      <c r="J416" s="1" t="str">
        <f ca="1">IFERROR(__xludf.DUMMYFUNCTION("""COMPUTED_VALUE"""),"Email")</f>
        <v>Email</v>
      </c>
    </row>
    <row r="417" spans="1:10" ht="13" x14ac:dyDescent="0.15">
      <c r="A417" s="4">
        <f ca="1">IFERROR(__xludf.DUMMYFUNCTION("""COMPUTED_VALUE"""),30971170)</f>
        <v>30971170</v>
      </c>
      <c r="B417" s="1" t="str">
        <f ca="1">IFERROR(__xludf.DUMMYFUNCTION("""COMPUTED_VALUE"""),"bentehoegsberg@gmail.com")</f>
        <v>bentehoegsberg@gmail.com</v>
      </c>
      <c r="C417" s="4" t="str">
        <f ca="1">IFERROR(__xludf.DUMMYFUNCTION("""COMPUTED_VALUE"""),"EVERGREEN - UAN Gated Content - Embedded Petition")</f>
        <v>EVERGREEN - UAN Gated Content - Embedded Petition</v>
      </c>
      <c r="D417" s="5">
        <f ca="1">IFERROR(__xludf.DUMMYFUNCTION("""COMPUTED_VALUE"""),45637)</f>
        <v>45637</v>
      </c>
      <c r="F417" s="1" t="str">
        <f ca="1">IFERROR(__xludf.DUMMYFUNCTION("""COMPUTED_VALUE"""),"Turkiye")</f>
        <v>Turkiye</v>
      </c>
      <c r="G417" s="1" t="str">
        <f ca="1">IFERROR(__xludf.DUMMYFUNCTION("""COMPUTED_VALUE"""),"109.24 Türkiye")</f>
        <v>109.24 Türkiye</v>
      </c>
      <c r="H417" s="1" t="str">
        <f ca="1">IFERROR(__xludf.DUMMYFUNCTION("""COMPUTED_VALUE"""),"Human Rights Defenders, Individuals At Risk")</f>
        <v>Human Rights Defenders, Individuals At Risk</v>
      </c>
      <c r="I417" s="1" t="str">
        <f ca="1">IFERROR(__xludf.DUMMYFUNCTION("""COMPUTED_VALUE"""),"2024")</f>
        <v>2024</v>
      </c>
      <c r="J417" s="1" t="str">
        <f ca="1">IFERROR(__xludf.DUMMYFUNCTION("""COMPUTED_VALUE"""),"Email")</f>
        <v>Email</v>
      </c>
    </row>
    <row r="418" spans="1:10" ht="13" x14ac:dyDescent="0.15">
      <c r="A418" s="4">
        <f ca="1">IFERROR(__xludf.DUMMYFUNCTION("""COMPUTED_VALUE"""),30971170)</f>
        <v>30971170</v>
      </c>
      <c r="B418" s="1" t="str">
        <f ca="1">IFERROR(__xludf.DUMMYFUNCTION("""COMPUTED_VALUE"""),"bentehoegsberg@gmail.com")</f>
        <v>bentehoegsberg@gmail.com</v>
      </c>
      <c r="C418" s="4" t="str">
        <f ca="1">IFERROR(__xludf.DUMMYFUNCTION("""COMPUTED_VALUE"""),"EVERGREEN - UAN Gated Content - Embedded Petition")</f>
        <v>EVERGREEN - UAN Gated Content - Embedded Petition</v>
      </c>
      <c r="D418" s="5">
        <f ca="1">IFERROR(__xludf.DUMMYFUNCTION("""COMPUTED_VALUE"""),45678)</f>
        <v>45678</v>
      </c>
      <c r="F418" s="1" t="str">
        <f ca="1">IFERROR(__xludf.DUMMYFUNCTION("""COMPUTED_VALUE"""),"Iran")</f>
        <v>Iran</v>
      </c>
      <c r="G418" s="1" t="str">
        <f ca="1">IFERROR(__xludf.DUMMYFUNCTION("""COMPUTED_VALUE"""),"10.25 Iran")</f>
        <v>10.25 Iran</v>
      </c>
      <c r="H418" s="1" t="str">
        <f ca="1">IFERROR(__xludf.DUMMYFUNCTION("""COMPUTED_VALUE"""),"Death Penalty, Individuals At Risk")</f>
        <v>Death Penalty, Individuals At Risk</v>
      </c>
      <c r="I418" s="1" t="str">
        <f ca="1">IFERROR(__xludf.DUMMYFUNCTION("""COMPUTED_VALUE"""),"2025")</f>
        <v>2025</v>
      </c>
      <c r="J418" s="1" t="str">
        <f ca="1">IFERROR(__xludf.DUMMYFUNCTION("""COMPUTED_VALUE"""),"Email")</f>
        <v>Email</v>
      </c>
    </row>
    <row r="419" spans="1:10" ht="13" x14ac:dyDescent="0.15">
      <c r="A419" s="4">
        <f ca="1">IFERROR(__xludf.DUMMYFUNCTION("""COMPUTED_VALUE"""),30971964)</f>
        <v>30971964</v>
      </c>
      <c r="B419" s="1" t="str">
        <f ca="1">IFERROR(__xludf.DUMMYFUNCTION("""COMPUTED_VALUE"""),"lapollast@egcsd.org")</f>
        <v>lapollast@egcsd.org</v>
      </c>
      <c r="C419" s="4" t="str">
        <f ca="1">IFERROR(__xludf.DUMMYFUNCTION("""COMPUTED_VALUE"""),"EVERGREEN - UAN Gated Content - Embedded Petition")</f>
        <v>EVERGREEN - UAN Gated Content - Embedded Petition</v>
      </c>
      <c r="D419" s="5">
        <f ca="1">IFERROR(__xludf.DUMMYFUNCTION("""COMPUTED_VALUE"""),45673)</f>
        <v>45673</v>
      </c>
      <c r="F419" s="1" t="str">
        <f ca="1">IFERROR(__xludf.DUMMYFUNCTION("""COMPUTED_VALUE"""),"Venezuela")</f>
        <v>Venezuela</v>
      </c>
      <c r="G419" s="1" t="str">
        <f ca="1">IFERROR(__xludf.DUMMYFUNCTION("""COMPUTED_VALUE"""),"1.25 Venezuela")</f>
        <v>1.25 Venezuela</v>
      </c>
      <c r="H419" s="1" t="str">
        <f ca="1">IFERROR(__xludf.DUMMYFUNCTION("""COMPUTED_VALUE"""),"Human Rights Defenders, Individuals At Risk")</f>
        <v>Human Rights Defenders, Individuals At Risk</v>
      </c>
      <c r="I419" s="1" t="str">
        <f ca="1">IFERROR(__xludf.DUMMYFUNCTION("""COMPUTED_VALUE"""),"2025")</f>
        <v>2025</v>
      </c>
      <c r="J419" s="1" t="str">
        <f ca="1">IFERROR(__xludf.DUMMYFUNCTION("""COMPUTED_VALUE"""),"Letter")</f>
        <v>Letter</v>
      </c>
    </row>
    <row r="420" spans="1:10" ht="13" x14ac:dyDescent="0.15">
      <c r="A420" s="4">
        <f ca="1">IFERROR(__xludf.DUMMYFUNCTION("""COMPUTED_VALUE"""),30985797)</f>
        <v>30985797</v>
      </c>
      <c r="B420" s="1" t="str">
        <f ca="1">IFERROR(__xludf.DUMMYFUNCTION("""COMPUTED_VALUE"""),"meb4116@gmail.com")</f>
        <v>meb4116@gmail.com</v>
      </c>
      <c r="C420" s="4" t="str">
        <f ca="1">IFERROR(__xludf.DUMMYFUNCTION("""COMPUTED_VALUE"""),"EVERGREEN - UAN Gated Content - Embedded Petition")</f>
        <v>EVERGREEN - UAN Gated Content - Embedded Petition</v>
      </c>
      <c r="D420" s="5">
        <f ca="1">IFERROR(__xludf.DUMMYFUNCTION("""COMPUTED_VALUE"""),45694)</f>
        <v>45694</v>
      </c>
      <c r="F420" s="1" t="str">
        <f ca="1">IFERROR(__xludf.DUMMYFUNCTION("""COMPUTED_VALUE"""),"Iran")</f>
        <v>Iran</v>
      </c>
      <c r="G420" s="1" t="str">
        <f ca="1">IFERROR(__xludf.DUMMYFUNCTION("""COMPUTED_VALUE"""),"Seventh 103.22 Iran")</f>
        <v>Seventh 103.22 Iran</v>
      </c>
      <c r="H420" s="1" t="str">
        <f ca="1">IFERROR(__xludf.DUMMYFUNCTION("""COMPUTED_VALUE"""),"Death Penalty, Freedom of Expression, Individuals At Risk")</f>
        <v>Death Penalty, Freedom of Expression, Individuals At Risk</v>
      </c>
      <c r="I420" s="1" t="str">
        <f ca="1">IFERROR(__xludf.DUMMYFUNCTION("""COMPUTED_VALUE"""),"2024")</f>
        <v>2024</v>
      </c>
      <c r="J420" s="1" t="str">
        <f ca="1">IFERROR(__xludf.DUMMYFUNCTION("""COMPUTED_VALUE"""),"Email")</f>
        <v>Email</v>
      </c>
    </row>
    <row r="421" spans="1:10" ht="13" x14ac:dyDescent="0.15">
      <c r="A421" s="4">
        <f ca="1">IFERROR(__xludf.DUMMYFUNCTION("""COMPUTED_VALUE"""),30999696)</f>
        <v>30999696</v>
      </c>
      <c r="B421" s="1" t="str">
        <f ca="1">IFERROR(__xludf.DUMMYFUNCTION("""COMPUTED_VALUE"""),"smeltbrooke@yahoo.com")</f>
        <v>smeltbrooke@yahoo.com</v>
      </c>
      <c r="C421" s="4" t="str">
        <f ca="1">IFERROR(__xludf.DUMMYFUNCTION("""COMPUTED_VALUE"""),"EVERGREEN - UAN Gated Content - Embedded Petition")</f>
        <v>EVERGREEN - UAN Gated Content - Embedded Petition</v>
      </c>
      <c r="D421" s="5">
        <f ca="1">IFERROR(__xludf.DUMMYFUNCTION("""COMPUTED_VALUE"""),45694)</f>
        <v>45694</v>
      </c>
      <c r="F421" s="1" t="str">
        <f ca="1">IFERROR(__xludf.DUMMYFUNCTION("""COMPUTED_VALUE"""),"USA")</f>
        <v>USA</v>
      </c>
      <c r="G421" s="1" t="str">
        <f ca="1">IFERROR(__xludf.DUMMYFUNCTION("""COMPUTED_VALUE"""),"105.24 USA")</f>
        <v>105.24 USA</v>
      </c>
      <c r="H421" s="1" t="str">
        <f ca="1">IFERROR(__xludf.DUMMYFUNCTION("""COMPUTED_VALUE"""),"Death Penalty")</f>
        <v>Death Penalty</v>
      </c>
      <c r="I421" s="1" t="str">
        <f ca="1">IFERROR(__xludf.DUMMYFUNCTION("""COMPUTED_VALUE"""),"2024")</f>
        <v>2024</v>
      </c>
      <c r="J421" s="1" t="str">
        <f ca="1">IFERROR(__xludf.DUMMYFUNCTION("""COMPUTED_VALUE"""),"Email")</f>
        <v>Email</v>
      </c>
    </row>
    <row r="422" spans="1:10" ht="13" x14ac:dyDescent="0.15">
      <c r="A422" s="4">
        <f ca="1">IFERROR(__xludf.DUMMYFUNCTION("""COMPUTED_VALUE"""),31000793)</f>
        <v>31000793</v>
      </c>
      <c r="B422" s="1" t="str">
        <f ca="1">IFERROR(__xludf.DUMMYFUNCTION("""COMPUTED_VALUE"""),"piersonjim@gmail.com")</f>
        <v>piersonjim@gmail.com</v>
      </c>
      <c r="C422" s="4" t="str">
        <f ca="1">IFERROR(__xludf.DUMMYFUNCTION("""COMPUTED_VALUE"""),"EVERGREEN - UAN Gated Content - Embedded Petition")</f>
        <v>EVERGREEN - UAN Gated Content - Embedded Petition</v>
      </c>
      <c r="D422" s="5">
        <f ca="1">IFERROR(__xludf.DUMMYFUNCTION("""COMPUTED_VALUE"""),45694)</f>
        <v>45694</v>
      </c>
      <c r="F422" s="1" t="str">
        <f ca="1">IFERROR(__xludf.DUMMYFUNCTION("""COMPUTED_VALUE"""),"Venezuela")</f>
        <v>Venezuela</v>
      </c>
      <c r="G422" s="1" t="str">
        <f ca="1">IFERROR(__xludf.DUMMYFUNCTION("""COMPUTED_VALUE"""),"1.25 Venezuela")</f>
        <v>1.25 Venezuela</v>
      </c>
      <c r="H422" s="1" t="str">
        <f ca="1">IFERROR(__xludf.DUMMYFUNCTION("""COMPUTED_VALUE"""),"Human Rights Defenders, Individuals At Risk")</f>
        <v>Human Rights Defenders, Individuals At Risk</v>
      </c>
      <c r="I422" s="1" t="str">
        <f ca="1">IFERROR(__xludf.DUMMYFUNCTION("""COMPUTED_VALUE"""),"2025")</f>
        <v>2025</v>
      </c>
      <c r="J422" s="1" t="str">
        <f ca="1">IFERROR(__xludf.DUMMYFUNCTION("""COMPUTED_VALUE"""),"Letter")</f>
        <v>Letter</v>
      </c>
    </row>
    <row r="423" spans="1:10" ht="13" x14ac:dyDescent="0.15">
      <c r="A423" s="4">
        <f ca="1">IFERROR(__xludf.DUMMYFUNCTION("""COMPUTED_VALUE"""),31000793)</f>
        <v>31000793</v>
      </c>
      <c r="B423" s="1" t="str">
        <f ca="1">IFERROR(__xludf.DUMMYFUNCTION("""COMPUTED_VALUE"""),"piersonjim@gmail.com")</f>
        <v>piersonjim@gmail.com</v>
      </c>
      <c r="C423" s="4" t="str">
        <f ca="1">IFERROR(__xludf.DUMMYFUNCTION("""COMPUTED_VALUE"""),"EVERGREEN - UAN Gated Content - Embedded Petition")</f>
        <v>EVERGREEN - UAN Gated Content - Embedded Petition</v>
      </c>
      <c r="D423" s="5">
        <f ca="1">IFERROR(__xludf.DUMMYFUNCTION("""COMPUTED_VALUE"""),45694)</f>
        <v>45694</v>
      </c>
      <c r="F423" s="1" t="str">
        <f ca="1">IFERROR(__xludf.DUMMYFUNCTION("""COMPUTED_VALUE"""),"Iran")</f>
        <v>Iran</v>
      </c>
      <c r="G423" s="1" t="str">
        <f ca="1">IFERROR(__xludf.DUMMYFUNCTION("""COMPUTED_VALUE"""),"Seventh 103.22 Iran")</f>
        <v>Seventh 103.22 Iran</v>
      </c>
      <c r="H423" s="1" t="str">
        <f ca="1">IFERROR(__xludf.DUMMYFUNCTION("""COMPUTED_VALUE"""),"Death Penalty, Freedom of Expression, Individuals At Risk")</f>
        <v>Death Penalty, Freedom of Expression, Individuals At Risk</v>
      </c>
      <c r="I423" s="1" t="str">
        <f ca="1">IFERROR(__xludf.DUMMYFUNCTION("""COMPUTED_VALUE"""),"2024")</f>
        <v>2024</v>
      </c>
      <c r="J423" s="1" t="str">
        <f ca="1">IFERROR(__xludf.DUMMYFUNCTION("""COMPUTED_VALUE"""),"Email")</f>
        <v>Email</v>
      </c>
    </row>
    <row r="424" spans="1:10" ht="13" x14ac:dyDescent="0.15">
      <c r="A424" s="4">
        <f ca="1">IFERROR(__xludf.DUMMYFUNCTION("""COMPUTED_VALUE"""),31000793)</f>
        <v>31000793</v>
      </c>
      <c r="B424" s="1" t="str">
        <f ca="1">IFERROR(__xludf.DUMMYFUNCTION("""COMPUTED_VALUE"""),"piersonjim@gmail.com")</f>
        <v>piersonjim@gmail.com</v>
      </c>
      <c r="C424" s="4" t="str">
        <f ca="1">IFERROR(__xludf.DUMMYFUNCTION("""COMPUTED_VALUE"""),"EVERGREEN - UAN Gated Content - Embedded Petition")</f>
        <v>EVERGREEN - UAN Gated Content - Embedded Petition</v>
      </c>
      <c r="D424" s="5">
        <f ca="1">IFERROR(__xludf.DUMMYFUNCTION("""COMPUTED_VALUE"""),45677)</f>
        <v>45677</v>
      </c>
      <c r="F424" s="1" t="str">
        <f ca="1">IFERROR(__xludf.DUMMYFUNCTION("""COMPUTED_VALUE"""),"Tunisia")</f>
        <v>Tunisia</v>
      </c>
      <c r="G424" s="1" t="str">
        <f ca="1">IFERROR(__xludf.DUMMYFUNCTION("""COMPUTED_VALUE"""),"Second 76.24 Tunisia")</f>
        <v>Second 76.24 Tunisia</v>
      </c>
      <c r="H424" s="1" t="str">
        <f ca="1">IFERROR(__xludf.DUMMYFUNCTION("""COMPUTED_VALUE"""),"Freedom of Expression, Human Rights Defenders")</f>
        <v>Freedom of Expression, Human Rights Defenders</v>
      </c>
      <c r="I424" s="1" t="str">
        <f ca="1">IFERROR(__xludf.DUMMYFUNCTION("""COMPUTED_VALUE"""),"2025")</f>
        <v>2025</v>
      </c>
      <c r="J424" s="1" t="str">
        <f ca="1">IFERROR(__xludf.DUMMYFUNCTION("""COMPUTED_VALUE"""),"Email")</f>
        <v>Email</v>
      </c>
    </row>
    <row r="425" spans="1:10" ht="13" x14ac:dyDescent="0.15">
      <c r="A425" s="4">
        <f ca="1">IFERROR(__xludf.DUMMYFUNCTION("""COMPUTED_VALUE"""),31000793)</f>
        <v>31000793</v>
      </c>
      <c r="B425" s="1" t="str">
        <f ca="1">IFERROR(__xludf.DUMMYFUNCTION("""COMPUTED_VALUE"""),"piersonjim@gmail.com")</f>
        <v>piersonjim@gmail.com</v>
      </c>
      <c r="C425" s="4" t="str">
        <f ca="1">IFERROR(__xludf.DUMMYFUNCTION("""COMPUTED_VALUE"""),"EVERGREEN - UAN Gated Content - Embedded Petition")</f>
        <v>EVERGREEN - UAN Gated Content - Embedded Petition</v>
      </c>
      <c r="D425" s="5">
        <f ca="1">IFERROR(__xludf.DUMMYFUNCTION("""COMPUTED_VALUE"""),45694)</f>
        <v>45694</v>
      </c>
      <c r="F425" s="1" t="str">
        <f ca="1">IFERROR(__xludf.DUMMYFUNCTION("""COMPUTED_VALUE"""),"USA")</f>
        <v>USA</v>
      </c>
      <c r="G425" s="1" t="str">
        <f ca="1">IFERROR(__xludf.DUMMYFUNCTION("""COMPUTED_VALUE"""),"105.24 USA")</f>
        <v>105.24 USA</v>
      </c>
      <c r="H425" s="1" t="str">
        <f ca="1">IFERROR(__xludf.DUMMYFUNCTION("""COMPUTED_VALUE"""),"Death Penalty")</f>
        <v>Death Penalty</v>
      </c>
      <c r="I425" s="1" t="str">
        <f ca="1">IFERROR(__xludf.DUMMYFUNCTION("""COMPUTED_VALUE"""),"2024")</f>
        <v>2024</v>
      </c>
      <c r="J425" s="1" t="str">
        <f ca="1">IFERROR(__xludf.DUMMYFUNCTION("""COMPUTED_VALUE"""),"Email")</f>
        <v>Email</v>
      </c>
    </row>
    <row r="426" spans="1:10" ht="13" x14ac:dyDescent="0.15">
      <c r="A426" s="4">
        <f ca="1">IFERROR(__xludf.DUMMYFUNCTION("""COMPUTED_VALUE"""),31000855)</f>
        <v>31000855</v>
      </c>
      <c r="B426" s="1" t="str">
        <f ca="1">IFERROR(__xludf.DUMMYFUNCTION("""COMPUTED_VALUE"""),"sec1350@yahoo.com")</f>
        <v>sec1350@yahoo.com</v>
      </c>
      <c r="C426" s="4" t="str">
        <f ca="1">IFERROR(__xludf.DUMMYFUNCTION("""COMPUTED_VALUE"""),"EVERGREEN - UAN Gated Content - Embedded Petition")</f>
        <v>EVERGREEN - UAN Gated Content - Embedded Petition</v>
      </c>
      <c r="D426" s="5">
        <f ca="1">IFERROR(__xludf.DUMMYFUNCTION("""COMPUTED_VALUE"""),45693)</f>
        <v>45693</v>
      </c>
      <c r="F426" s="1" t="str">
        <f ca="1">IFERROR(__xludf.DUMMYFUNCTION("""COMPUTED_VALUE"""),"Uganda")</f>
        <v>Uganda</v>
      </c>
      <c r="G426" s="1" t="str">
        <f ca="1">IFERROR(__xludf.DUMMYFUNCTION("""COMPUTED_VALUE"""),"100.24 Uganda")</f>
        <v>100.24 Uganda</v>
      </c>
      <c r="H426" s="1" t="str">
        <f ca="1">IFERROR(__xludf.DUMMYFUNCTION("""COMPUTED_VALUE"""),"Freedom of Expression")</f>
        <v>Freedom of Expression</v>
      </c>
      <c r="I426" s="1" t="str">
        <f ca="1">IFERROR(__xludf.DUMMYFUNCTION("""COMPUTED_VALUE"""),"2024")</f>
        <v>2024</v>
      </c>
      <c r="J426" s="1" t="str">
        <f ca="1">IFERROR(__xludf.DUMMYFUNCTION("""COMPUTED_VALUE"""),"Email")</f>
        <v>Email</v>
      </c>
    </row>
    <row r="427" spans="1:10" ht="13" x14ac:dyDescent="0.15">
      <c r="A427" s="4">
        <f ca="1">IFERROR(__xludf.DUMMYFUNCTION("""COMPUTED_VALUE"""),31007687)</f>
        <v>31007687</v>
      </c>
      <c r="B427" s="1" t="str">
        <f ca="1">IFERROR(__xludf.DUMMYFUNCTION("""COMPUTED_VALUE"""),"blueinmo@hotmail.com")</f>
        <v>blueinmo@hotmail.com</v>
      </c>
      <c r="C427" s="4" t="str">
        <f ca="1">IFERROR(__xludf.DUMMYFUNCTION("""COMPUTED_VALUE"""),"EVERGREEN - UAN Gated Content - Embedded Petition")</f>
        <v>EVERGREEN - UAN Gated Content - Embedded Petition</v>
      </c>
      <c r="D427" s="5">
        <f ca="1">IFERROR(__xludf.DUMMYFUNCTION("""COMPUTED_VALUE"""),45674)</f>
        <v>45674</v>
      </c>
      <c r="F427" s="1" t="str">
        <f ca="1">IFERROR(__xludf.DUMMYFUNCTION("""COMPUTED_VALUE"""),"Iran")</f>
        <v>Iran</v>
      </c>
      <c r="G427" s="1" t="str">
        <f ca="1">IFERROR(__xludf.DUMMYFUNCTION("""COMPUTED_VALUE"""),"101.24 Iran")</f>
        <v>101.24 Iran</v>
      </c>
      <c r="H427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427" s="1" t="str">
        <f ca="1">IFERROR(__xludf.DUMMYFUNCTION("""COMPUTED_VALUE"""),"2024")</f>
        <v>2024</v>
      </c>
      <c r="J427" s="1" t="str">
        <f ca="1">IFERROR(__xludf.DUMMYFUNCTION("""COMPUTED_VALUE"""),"Email")</f>
        <v>Email</v>
      </c>
    </row>
    <row r="428" spans="1:10" ht="13" x14ac:dyDescent="0.15">
      <c r="A428" s="4">
        <f ca="1">IFERROR(__xludf.DUMMYFUNCTION("""COMPUTED_VALUE"""),31010676)</f>
        <v>31010676</v>
      </c>
      <c r="B428" s="1" t="str">
        <f ca="1">IFERROR(__xludf.DUMMYFUNCTION("""COMPUTED_VALUE"""),"swbisa@windstream.net")</f>
        <v>swbisa@windstream.net</v>
      </c>
      <c r="C428" s="4" t="str">
        <f ca="1">IFERROR(__xludf.DUMMYFUNCTION("""COMPUTED_VALUE"""),"EVERGREEN - UAN Gated Content - Embedded Petition")</f>
        <v>EVERGREEN - UAN Gated Content - Embedded Petition</v>
      </c>
      <c r="D428" s="5">
        <f ca="1">IFERROR(__xludf.DUMMYFUNCTION("""COMPUTED_VALUE"""),45636)</f>
        <v>45636</v>
      </c>
      <c r="F428" s="1" t="str">
        <f ca="1">IFERROR(__xludf.DUMMYFUNCTION("""COMPUTED_VALUE"""),"Tunisia")</f>
        <v>Tunisia</v>
      </c>
      <c r="G428" s="1" t="str">
        <f ca="1">IFERROR(__xludf.DUMMYFUNCTION("""COMPUTED_VALUE"""),"Second 76.24 Tunisia")</f>
        <v>Second 76.24 Tunisia</v>
      </c>
      <c r="H428" s="1" t="str">
        <f ca="1">IFERROR(__xludf.DUMMYFUNCTION("""COMPUTED_VALUE"""),"Freedom of Expression, Human Rights Defenders")</f>
        <v>Freedom of Expression, Human Rights Defenders</v>
      </c>
      <c r="I428" s="1" t="str">
        <f ca="1">IFERROR(__xludf.DUMMYFUNCTION("""COMPUTED_VALUE"""),"2025")</f>
        <v>2025</v>
      </c>
      <c r="J428" s="1" t="str">
        <f ca="1">IFERROR(__xludf.DUMMYFUNCTION("""COMPUTED_VALUE"""),"Email")</f>
        <v>Email</v>
      </c>
    </row>
    <row r="429" spans="1:10" ht="13" x14ac:dyDescent="0.15">
      <c r="A429" s="4">
        <f ca="1">IFERROR(__xludf.DUMMYFUNCTION("""COMPUTED_VALUE"""),31032605)</f>
        <v>31032605</v>
      </c>
      <c r="B429" s="1" t="str">
        <f ca="1">IFERROR(__xludf.DUMMYFUNCTION("""COMPUTED_VALUE"""),"dms2@mindspring.com")</f>
        <v>dms2@mindspring.com</v>
      </c>
      <c r="C429" s="4" t="str">
        <f ca="1">IFERROR(__xludf.DUMMYFUNCTION("""COMPUTED_VALUE"""),"EVERGREEN - UAN Gated Content - Embedded Petition")</f>
        <v>EVERGREEN - UAN Gated Content - Embedded Petition</v>
      </c>
      <c r="D429" s="5">
        <f ca="1">IFERROR(__xludf.DUMMYFUNCTION("""COMPUTED_VALUE"""),45632)</f>
        <v>45632</v>
      </c>
      <c r="F429" s="1" t="str">
        <f ca="1">IFERROR(__xludf.DUMMYFUNCTION("""COMPUTED_VALUE"""),"Tunisia")</f>
        <v>Tunisia</v>
      </c>
      <c r="G429" s="1" t="str">
        <f ca="1">IFERROR(__xludf.DUMMYFUNCTION("""COMPUTED_VALUE"""),"Second 76.24 Tunisia")</f>
        <v>Second 76.24 Tunisia</v>
      </c>
      <c r="H429" s="1" t="str">
        <f ca="1">IFERROR(__xludf.DUMMYFUNCTION("""COMPUTED_VALUE"""),"Freedom of Expression, Human Rights Defenders")</f>
        <v>Freedom of Expression, Human Rights Defenders</v>
      </c>
      <c r="I429" s="1" t="str">
        <f ca="1">IFERROR(__xludf.DUMMYFUNCTION("""COMPUTED_VALUE"""),"2025")</f>
        <v>2025</v>
      </c>
      <c r="J429" s="1" t="str">
        <f ca="1">IFERROR(__xludf.DUMMYFUNCTION("""COMPUTED_VALUE"""),"Email")</f>
        <v>Email</v>
      </c>
    </row>
    <row r="430" spans="1:10" ht="13" x14ac:dyDescent="0.15">
      <c r="A430" s="4">
        <f ca="1">IFERROR(__xludf.DUMMYFUNCTION("""COMPUTED_VALUE"""),31032605)</f>
        <v>31032605</v>
      </c>
      <c r="B430" s="1" t="str">
        <f ca="1">IFERROR(__xludf.DUMMYFUNCTION("""COMPUTED_VALUE"""),"dms2@mindspring.com")</f>
        <v>dms2@mindspring.com</v>
      </c>
      <c r="C430" s="4" t="str">
        <f ca="1">IFERROR(__xludf.DUMMYFUNCTION("""COMPUTED_VALUE"""),"EVERGREEN - UAN Gated Content - Embedded Petition")</f>
        <v>EVERGREEN - UAN Gated Content - Embedded Petition</v>
      </c>
      <c r="D430" s="5">
        <f ca="1">IFERROR(__xludf.DUMMYFUNCTION("""COMPUTED_VALUE"""),45640)</f>
        <v>45640</v>
      </c>
      <c r="F430" s="1" t="str">
        <f ca="1">IFERROR(__xludf.DUMMYFUNCTION("""COMPUTED_VALUE"""),"Tunisia")</f>
        <v>Tunisia</v>
      </c>
      <c r="G430" s="1" t="str">
        <f ca="1">IFERROR(__xludf.DUMMYFUNCTION("""COMPUTED_VALUE"""),"Second 76.24 Tunisia")</f>
        <v>Second 76.24 Tunisia</v>
      </c>
      <c r="H430" s="1" t="str">
        <f ca="1">IFERROR(__xludf.DUMMYFUNCTION("""COMPUTED_VALUE"""),"Freedom of Expression, Human Rights Defenders")</f>
        <v>Freedom of Expression, Human Rights Defenders</v>
      </c>
      <c r="I430" s="1" t="str">
        <f ca="1">IFERROR(__xludf.DUMMYFUNCTION("""COMPUTED_VALUE"""),"2025")</f>
        <v>2025</v>
      </c>
      <c r="J430" s="1" t="str">
        <f ca="1">IFERROR(__xludf.DUMMYFUNCTION("""COMPUTED_VALUE"""),"Email")</f>
        <v>Email</v>
      </c>
    </row>
    <row r="431" spans="1:10" ht="13" x14ac:dyDescent="0.15">
      <c r="A431" s="4">
        <f ca="1">IFERROR(__xludf.DUMMYFUNCTION("""COMPUTED_VALUE"""),31032605)</f>
        <v>31032605</v>
      </c>
      <c r="B431" s="1" t="str">
        <f ca="1">IFERROR(__xludf.DUMMYFUNCTION("""COMPUTED_VALUE"""),"dms2@mindspring.com")</f>
        <v>dms2@mindspring.com</v>
      </c>
      <c r="C431" s="4" t="str">
        <f ca="1">IFERROR(__xludf.DUMMYFUNCTION("""COMPUTED_VALUE"""),"EVERGREEN - UAN Gated Content - Embedded Petition")</f>
        <v>EVERGREEN - UAN Gated Content - Embedded Petition</v>
      </c>
      <c r="D431" s="5">
        <f ca="1">IFERROR(__xludf.DUMMYFUNCTION("""COMPUTED_VALUE"""),45640)</f>
        <v>45640</v>
      </c>
      <c r="F431" s="1" t="str">
        <f ca="1">IFERROR(__xludf.DUMMYFUNCTION("""COMPUTED_VALUE"""),"Uganda")</f>
        <v>Uganda</v>
      </c>
      <c r="G431" s="1" t="str">
        <f ca="1">IFERROR(__xludf.DUMMYFUNCTION("""COMPUTED_VALUE"""),"9.25 Uganda")</f>
        <v>9.25 Uganda</v>
      </c>
      <c r="H431" s="1" t="str">
        <f ca="1">IFERROR(__xludf.DUMMYFUNCTION("""COMPUTED_VALUE"""),"Freedom of Expression, Human Rights Defenders")</f>
        <v>Freedom of Expression, Human Rights Defenders</v>
      </c>
      <c r="I431" s="1" t="str">
        <f ca="1">IFERROR(__xludf.DUMMYFUNCTION("""COMPUTED_VALUE"""),"2025")</f>
        <v>2025</v>
      </c>
      <c r="J431" s="1" t="str">
        <f ca="1">IFERROR(__xludf.DUMMYFUNCTION("""COMPUTED_VALUE"""),"Email")</f>
        <v>Email</v>
      </c>
    </row>
    <row r="432" spans="1:10" ht="13" x14ac:dyDescent="0.15">
      <c r="A432" s="4">
        <f ca="1">IFERROR(__xludf.DUMMYFUNCTION("""COMPUTED_VALUE"""),31038368)</f>
        <v>31038368</v>
      </c>
      <c r="B432" s="1" t="str">
        <f ca="1">IFERROR(__xludf.DUMMYFUNCTION("""COMPUTED_VALUE"""),"deanka_grisham@hotmail.com")</f>
        <v>deanka_grisham@hotmail.com</v>
      </c>
      <c r="C432" s="4" t="str">
        <f ca="1">IFERROR(__xludf.DUMMYFUNCTION("""COMPUTED_VALUE"""),"EVERGREEN - UAN Gated Content - Embedded Petition")</f>
        <v>EVERGREEN - UAN Gated Content - Embedded Petition</v>
      </c>
      <c r="D432" s="5">
        <f ca="1">IFERROR(__xludf.DUMMYFUNCTION("""COMPUTED_VALUE"""),45677)</f>
        <v>45677</v>
      </c>
      <c r="F432" s="1" t="str">
        <f ca="1">IFERROR(__xludf.DUMMYFUNCTION("""COMPUTED_VALUE"""),"USA")</f>
        <v>USA</v>
      </c>
      <c r="G432" s="1" t="str">
        <f ca="1">IFERROR(__xludf.DUMMYFUNCTION("""COMPUTED_VALUE"""),"4.25 USA")</f>
        <v>4.25 USA</v>
      </c>
      <c r="H432" s="1" t="str">
        <f ca="1">IFERROR(__xludf.DUMMYFUNCTION("""COMPUTED_VALUE"""),"Individuals At Risk, Refugee and Migrant Rights")</f>
        <v>Individuals At Risk, Refugee and Migrant Rights</v>
      </c>
      <c r="I432" s="1" t="str">
        <f ca="1">IFERROR(__xludf.DUMMYFUNCTION("""COMPUTED_VALUE"""),"2025")</f>
        <v>2025</v>
      </c>
      <c r="J432" s="1" t="str">
        <f ca="1">IFERROR(__xludf.DUMMYFUNCTION("""COMPUTED_VALUE"""),"Letter")</f>
        <v>Letter</v>
      </c>
    </row>
    <row r="433" spans="1:10" ht="13" x14ac:dyDescent="0.15">
      <c r="A433" s="4">
        <f ca="1">IFERROR(__xludf.DUMMYFUNCTION("""COMPUTED_VALUE"""),31041301)</f>
        <v>31041301</v>
      </c>
      <c r="B433" s="1" t="str">
        <f ca="1">IFERROR(__xludf.DUMMYFUNCTION("""COMPUTED_VALUE"""),"sarahfaitken@hotmail.com")</f>
        <v>sarahfaitken@hotmail.com</v>
      </c>
      <c r="C433" s="4" t="str">
        <f ca="1">IFERROR(__xludf.DUMMYFUNCTION("""COMPUTED_VALUE"""),"EVERGREEN - UAN Gated Content - Embedded Petition")</f>
        <v>EVERGREEN - UAN Gated Content - Embedded Petition</v>
      </c>
      <c r="D433" s="5">
        <f ca="1">IFERROR(__xludf.DUMMYFUNCTION("""COMPUTED_VALUE"""),45694)</f>
        <v>45694</v>
      </c>
      <c r="F433" s="1" t="str">
        <f ca="1">IFERROR(__xludf.DUMMYFUNCTION("""COMPUTED_VALUE"""),"Tunisia")</f>
        <v>Tunisia</v>
      </c>
      <c r="G433" s="1" t="str">
        <f ca="1">IFERROR(__xludf.DUMMYFUNCTION("""COMPUTED_VALUE"""),"Second 76.24 Tunisia")</f>
        <v>Second 76.24 Tunisia</v>
      </c>
      <c r="H433" s="1" t="str">
        <f ca="1">IFERROR(__xludf.DUMMYFUNCTION("""COMPUTED_VALUE"""),"Freedom of Expression, Human Rights Defenders")</f>
        <v>Freedom of Expression, Human Rights Defenders</v>
      </c>
      <c r="I433" s="1" t="str">
        <f ca="1">IFERROR(__xludf.DUMMYFUNCTION("""COMPUTED_VALUE"""),"2025")</f>
        <v>2025</v>
      </c>
      <c r="J433" s="1" t="str">
        <f ca="1">IFERROR(__xludf.DUMMYFUNCTION("""COMPUTED_VALUE"""),"Email")</f>
        <v>Email</v>
      </c>
    </row>
    <row r="434" spans="1:10" ht="13" x14ac:dyDescent="0.15">
      <c r="A434" s="4">
        <f ca="1">IFERROR(__xludf.DUMMYFUNCTION("""COMPUTED_VALUE"""),31041301)</f>
        <v>31041301</v>
      </c>
      <c r="B434" s="1" t="str">
        <f ca="1">IFERROR(__xludf.DUMMYFUNCTION("""COMPUTED_VALUE"""),"sarahfaitken@hotmail.com")</f>
        <v>sarahfaitken@hotmail.com</v>
      </c>
      <c r="C434" s="4" t="str">
        <f ca="1">IFERROR(__xludf.DUMMYFUNCTION("""COMPUTED_VALUE"""),"EVERGREEN - UAN Gated Content - Embedded Petition")</f>
        <v>EVERGREEN - UAN Gated Content - Embedded Petition</v>
      </c>
      <c r="D434" s="5">
        <f ca="1">IFERROR(__xludf.DUMMYFUNCTION("""COMPUTED_VALUE"""),45694)</f>
        <v>45694</v>
      </c>
      <c r="F434" s="1" t="str">
        <f ca="1">IFERROR(__xludf.DUMMYFUNCTION("""COMPUTED_VALUE"""),"Tunisia")</f>
        <v>Tunisia</v>
      </c>
      <c r="G434" s="1" t="str">
        <f ca="1">IFERROR(__xludf.DUMMYFUNCTION("""COMPUTED_VALUE"""),"Second 76.24 Tunisia")</f>
        <v>Second 76.24 Tunisia</v>
      </c>
      <c r="H434" s="1" t="str">
        <f ca="1">IFERROR(__xludf.DUMMYFUNCTION("""COMPUTED_VALUE"""),"Freedom of Expression, Human Rights Defenders")</f>
        <v>Freedom of Expression, Human Rights Defenders</v>
      </c>
      <c r="I434" s="1" t="str">
        <f ca="1">IFERROR(__xludf.DUMMYFUNCTION("""COMPUTED_VALUE"""),"2025")</f>
        <v>2025</v>
      </c>
      <c r="J434" s="1" t="str">
        <f ca="1">IFERROR(__xludf.DUMMYFUNCTION("""COMPUTED_VALUE"""),"Email")</f>
        <v>Email</v>
      </c>
    </row>
    <row r="435" spans="1:10" ht="13" x14ac:dyDescent="0.15">
      <c r="A435" s="4">
        <f ca="1">IFERROR(__xludf.DUMMYFUNCTION("""COMPUTED_VALUE"""),31042575)</f>
        <v>31042575</v>
      </c>
      <c r="B435" s="1" t="str">
        <f ca="1">IFERROR(__xludf.DUMMYFUNCTION("""COMPUTED_VALUE"""),"maryanna@foskettco.com")</f>
        <v>maryanna@foskettco.com</v>
      </c>
      <c r="C435" s="4" t="str">
        <f ca="1">IFERROR(__xludf.DUMMYFUNCTION("""COMPUTED_VALUE"""),"EVERGREEN - UAN Gated Content - Embedded Petition")</f>
        <v>EVERGREEN - UAN Gated Content - Embedded Petition</v>
      </c>
      <c r="D435" s="5">
        <f ca="1">IFERROR(__xludf.DUMMYFUNCTION("""COMPUTED_VALUE"""),45694)</f>
        <v>45694</v>
      </c>
      <c r="F435" s="1" t="str">
        <f ca="1">IFERROR(__xludf.DUMMYFUNCTION("""COMPUTED_VALUE"""),"Iran")</f>
        <v>Iran</v>
      </c>
      <c r="G435" s="1" t="str">
        <f ca="1">IFERROR(__xludf.DUMMYFUNCTION("""COMPUTED_VALUE"""),"Seventh 103.22 Iran")</f>
        <v>Seventh 103.22 Iran</v>
      </c>
      <c r="H435" s="1" t="str">
        <f ca="1">IFERROR(__xludf.DUMMYFUNCTION("""COMPUTED_VALUE"""),"Death Penalty, Freedom of Expression, Individuals At Risk")</f>
        <v>Death Penalty, Freedom of Expression, Individuals At Risk</v>
      </c>
      <c r="I435" s="1" t="str">
        <f ca="1">IFERROR(__xludf.DUMMYFUNCTION("""COMPUTED_VALUE"""),"2024")</f>
        <v>2024</v>
      </c>
      <c r="J435" s="1" t="str">
        <f ca="1">IFERROR(__xludf.DUMMYFUNCTION("""COMPUTED_VALUE"""),"Email")</f>
        <v>Email</v>
      </c>
    </row>
    <row r="436" spans="1:10" ht="13" x14ac:dyDescent="0.15">
      <c r="A436" s="4">
        <f ca="1">IFERROR(__xludf.DUMMYFUNCTION("""COMPUTED_VALUE"""),31043243)</f>
        <v>31043243</v>
      </c>
      <c r="B436" s="1" t="str">
        <f ca="1">IFERROR(__xludf.DUMMYFUNCTION("""COMPUTED_VALUE"""),"phyllisaca@comcast.net")</f>
        <v>phyllisaca@comcast.net</v>
      </c>
      <c r="C436" s="4" t="str">
        <f ca="1">IFERROR(__xludf.DUMMYFUNCTION("""COMPUTED_VALUE"""),"EVERGREEN - UAN Gated Content - Embedded Petition")</f>
        <v>EVERGREEN - UAN Gated Content - Embedded Petition</v>
      </c>
      <c r="D436" s="5">
        <f ca="1">IFERROR(__xludf.DUMMYFUNCTION("""COMPUTED_VALUE"""),45675)</f>
        <v>45675</v>
      </c>
      <c r="F436" s="1" t="str">
        <f ca="1">IFERROR(__xludf.DUMMYFUNCTION("""COMPUTED_VALUE"""),"Tunisia")</f>
        <v>Tunisia</v>
      </c>
      <c r="G436" s="1" t="str">
        <f ca="1">IFERROR(__xludf.DUMMYFUNCTION("""COMPUTED_VALUE"""),"Second 76.24 Tunisia")</f>
        <v>Second 76.24 Tunisia</v>
      </c>
      <c r="H436" s="1" t="str">
        <f ca="1">IFERROR(__xludf.DUMMYFUNCTION("""COMPUTED_VALUE"""),"Freedom of Expression, Human Rights Defenders")</f>
        <v>Freedom of Expression, Human Rights Defenders</v>
      </c>
      <c r="I436" s="1" t="str">
        <f ca="1">IFERROR(__xludf.DUMMYFUNCTION("""COMPUTED_VALUE"""),"2025")</f>
        <v>2025</v>
      </c>
      <c r="J436" s="1" t="str">
        <f ca="1">IFERROR(__xludf.DUMMYFUNCTION("""COMPUTED_VALUE"""),"Email")</f>
        <v>Email</v>
      </c>
    </row>
    <row r="437" spans="1:10" ht="13" x14ac:dyDescent="0.15">
      <c r="A437" s="4">
        <f ca="1">IFERROR(__xludf.DUMMYFUNCTION("""COMPUTED_VALUE"""),31043243)</f>
        <v>31043243</v>
      </c>
      <c r="B437" s="1" t="str">
        <f ca="1">IFERROR(__xludf.DUMMYFUNCTION("""COMPUTED_VALUE"""),"phyllisaca@comcast.net")</f>
        <v>phyllisaca@comcast.net</v>
      </c>
      <c r="C437" s="4" t="str">
        <f ca="1">IFERROR(__xludf.DUMMYFUNCTION("""COMPUTED_VALUE"""),"EVERGREEN - UAN Gated Content - Embedded Petition")</f>
        <v>EVERGREEN - UAN Gated Content - Embedded Petition</v>
      </c>
      <c r="D437" s="5">
        <f ca="1">IFERROR(__xludf.DUMMYFUNCTION("""COMPUTED_VALUE"""),45636)</f>
        <v>45636</v>
      </c>
      <c r="F437" s="1" t="str">
        <f ca="1">IFERROR(__xludf.DUMMYFUNCTION("""COMPUTED_VALUE"""),"USA")</f>
        <v>USA</v>
      </c>
      <c r="G437" s="1" t="str">
        <f ca="1">IFERROR(__xludf.DUMMYFUNCTION("""COMPUTED_VALUE"""),"96.24 USA")</f>
        <v>96.24 USA</v>
      </c>
      <c r="H437" s="1" t="str">
        <f ca="1">IFERROR(__xludf.DUMMYFUNCTION("""COMPUTED_VALUE"""),"Death Penalty")</f>
        <v>Death Penalty</v>
      </c>
      <c r="I437" s="1" t="str">
        <f ca="1">IFERROR(__xludf.DUMMYFUNCTION("""COMPUTED_VALUE"""),"2024")</f>
        <v>2024</v>
      </c>
      <c r="J437" s="1" t="str">
        <f ca="1">IFERROR(__xludf.DUMMYFUNCTION("""COMPUTED_VALUE"""),"Email")</f>
        <v>Email</v>
      </c>
    </row>
    <row r="438" spans="1:10" ht="13" x14ac:dyDescent="0.15">
      <c r="A438" s="4">
        <f ca="1">IFERROR(__xludf.DUMMYFUNCTION("""COMPUTED_VALUE"""),31043243)</f>
        <v>31043243</v>
      </c>
      <c r="B438" s="1" t="str">
        <f ca="1">IFERROR(__xludf.DUMMYFUNCTION("""COMPUTED_VALUE"""),"phyllisaca@comcast.net")</f>
        <v>phyllisaca@comcast.net</v>
      </c>
      <c r="C438" s="4" t="str">
        <f ca="1">IFERROR(__xludf.DUMMYFUNCTION("""COMPUTED_VALUE"""),"EVERGREEN - UAN Gated Content - Embedded Petition")</f>
        <v>EVERGREEN - UAN Gated Content - Embedded Petition</v>
      </c>
      <c r="D438" s="5">
        <f ca="1">IFERROR(__xludf.DUMMYFUNCTION("""COMPUTED_VALUE"""),45694)</f>
        <v>45694</v>
      </c>
      <c r="F438" s="1" t="str">
        <f ca="1">IFERROR(__xludf.DUMMYFUNCTION("""COMPUTED_VALUE"""),"Dominican Republic")</f>
        <v>Dominican Republic</v>
      </c>
      <c r="G438" s="1" t="str">
        <f ca="1">IFERROR(__xludf.DUMMYFUNCTION("""COMPUTED_VALUE"""),"88.24 Dominican Republic")</f>
        <v>88.24 Dominican Republic</v>
      </c>
      <c r="H438" s="1" t="str">
        <f ca="1">IFERROR(__xludf.DUMMYFUNCTION("""COMPUTED_VALUE"""),"Individuals At Risk, Refugee and Migrant Rights")</f>
        <v>Individuals At Risk, Refugee and Migrant Rights</v>
      </c>
      <c r="I438" s="1" t="str">
        <f ca="1">IFERROR(__xludf.DUMMYFUNCTION("""COMPUTED_VALUE"""),"2024")</f>
        <v>2024</v>
      </c>
      <c r="J438" s="1" t="str">
        <f ca="1">IFERROR(__xludf.DUMMYFUNCTION("""COMPUTED_VALUE"""),"Letter")</f>
        <v>Letter</v>
      </c>
    </row>
    <row r="439" spans="1:10" ht="13" x14ac:dyDescent="0.15">
      <c r="A439" s="4">
        <f ca="1">IFERROR(__xludf.DUMMYFUNCTION("""COMPUTED_VALUE"""),31046794)</f>
        <v>31046794</v>
      </c>
      <c r="B439" s="1" t="str">
        <f ca="1">IFERROR(__xludf.DUMMYFUNCTION("""COMPUTED_VALUE"""),"debby@the4dgroup.com")</f>
        <v>debby@the4dgroup.com</v>
      </c>
      <c r="C439" s="4" t="str">
        <f ca="1">IFERROR(__xludf.DUMMYFUNCTION("""COMPUTED_VALUE"""),"EVERGREEN - UAN Gated Content - Embedded Petition")</f>
        <v>EVERGREEN - UAN Gated Content - Embedded Petition</v>
      </c>
      <c r="D439" s="5">
        <f ca="1">IFERROR(__xludf.DUMMYFUNCTION("""COMPUTED_VALUE"""),45705)</f>
        <v>45705</v>
      </c>
      <c r="F439" s="1" t="str">
        <f ca="1">IFERROR(__xludf.DUMMYFUNCTION("""COMPUTED_VALUE"""),"USA")</f>
        <v>USA</v>
      </c>
      <c r="G439" s="1" t="str">
        <f ca="1">IFERROR(__xludf.DUMMYFUNCTION("""COMPUTED_VALUE"""),"105.24 USA")</f>
        <v>105.24 USA</v>
      </c>
      <c r="H439" s="1" t="str">
        <f ca="1">IFERROR(__xludf.DUMMYFUNCTION("""COMPUTED_VALUE"""),"Death Penalty")</f>
        <v>Death Penalty</v>
      </c>
      <c r="I439" s="1" t="str">
        <f ca="1">IFERROR(__xludf.DUMMYFUNCTION("""COMPUTED_VALUE"""),"2024")</f>
        <v>2024</v>
      </c>
      <c r="J439" s="1" t="str">
        <f ca="1">IFERROR(__xludf.DUMMYFUNCTION("""COMPUTED_VALUE"""),"Email")</f>
        <v>Email</v>
      </c>
    </row>
    <row r="440" spans="1:10" ht="13" x14ac:dyDescent="0.15">
      <c r="A440" s="4">
        <f ca="1">IFERROR(__xludf.DUMMYFUNCTION("""COMPUTED_VALUE"""),31048137)</f>
        <v>31048137</v>
      </c>
      <c r="B440" s="1" t="str">
        <f ca="1">IFERROR(__xludf.DUMMYFUNCTION("""COMPUTED_VALUE"""),"twalker22@wi.rr.com")</f>
        <v>twalker22@wi.rr.com</v>
      </c>
      <c r="C440" s="4" t="str">
        <f ca="1">IFERROR(__xludf.DUMMYFUNCTION("""COMPUTED_VALUE"""),"EVERGREEN - UAN Gated Content - Embedded Petition")</f>
        <v>EVERGREEN - UAN Gated Content - Embedded Petition</v>
      </c>
      <c r="D440" s="5">
        <f ca="1">IFERROR(__xludf.DUMMYFUNCTION("""COMPUTED_VALUE"""),45636)</f>
        <v>45636</v>
      </c>
      <c r="F440" s="1" t="str">
        <f ca="1">IFERROR(__xludf.DUMMYFUNCTION("""COMPUTED_VALUE"""),"Venezuela")</f>
        <v>Venezuela</v>
      </c>
      <c r="G440" s="1" t="str">
        <f ca="1">IFERROR(__xludf.DUMMYFUNCTION("""COMPUTED_VALUE"""),"97.24 Venezuela")</f>
        <v>97.24 Venezuela</v>
      </c>
      <c r="H440" s="1" t="str">
        <f ca="1">IFERROR(__xludf.DUMMYFUNCTION("""COMPUTED_VALUE"""),"Freedom of Expression")</f>
        <v>Freedom of Expression</v>
      </c>
      <c r="I440" s="1" t="str">
        <f ca="1">IFERROR(__xludf.DUMMYFUNCTION("""COMPUTED_VALUE"""),"2024")</f>
        <v>2024</v>
      </c>
      <c r="J440" s="1" t="str">
        <f ca="1">IFERROR(__xludf.DUMMYFUNCTION("""COMPUTED_VALUE"""),"Letter")</f>
        <v>Letter</v>
      </c>
    </row>
    <row r="441" spans="1:10" ht="13" x14ac:dyDescent="0.15">
      <c r="A441" s="4">
        <f ca="1">IFERROR(__xludf.DUMMYFUNCTION("""COMPUTED_VALUE"""),31048891)</f>
        <v>31048891</v>
      </c>
      <c r="B441" s="1" t="str">
        <f ca="1">IFERROR(__xludf.DUMMYFUNCTION("""COMPUTED_VALUE"""),"zappa2004@earthlink.net")</f>
        <v>zappa2004@earthlink.net</v>
      </c>
      <c r="C441" s="4" t="str">
        <f ca="1">IFERROR(__xludf.DUMMYFUNCTION("""COMPUTED_VALUE"""),"EVERGREEN - UAN Gated Content - Embedded Petition")</f>
        <v>EVERGREEN - UAN Gated Content - Embedded Petition</v>
      </c>
      <c r="D441" s="5">
        <f ca="1">IFERROR(__xludf.DUMMYFUNCTION("""COMPUTED_VALUE"""),45677)</f>
        <v>45677</v>
      </c>
      <c r="F441" s="1" t="str">
        <f ca="1">IFERROR(__xludf.DUMMYFUNCTION("""COMPUTED_VALUE"""),"Niger")</f>
        <v>Niger</v>
      </c>
      <c r="G441" s="1" t="str">
        <f ca="1">IFERROR(__xludf.DUMMYFUNCTION("""COMPUTED_VALUE"""),"103.24 Niger")</f>
        <v>103.24 Niger</v>
      </c>
      <c r="H441" s="1" t="str">
        <f ca="1">IFERROR(__xludf.DUMMYFUNCTION("""COMPUTED_VALUE"""),"Freedom of Expression, Human Rights Defenders")</f>
        <v>Freedom of Expression, Human Rights Defenders</v>
      </c>
      <c r="I441" s="1" t="str">
        <f ca="1">IFERROR(__xludf.DUMMYFUNCTION("""COMPUTED_VALUE"""),"2024")</f>
        <v>2024</v>
      </c>
      <c r="J441" s="1" t="str">
        <f ca="1">IFERROR(__xludf.DUMMYFUNCTION("""COMPUTED_VALUE"""),"Email")</f>
        <v>Email</v>
      </c>
    </row>
    <row r="442" spans="1:10" ht="13" x14ac:dyDescent="0.15">
      <c r="A442" s="4">
        <f ca="1">IFERROR(__xludf.DUMMYFUNCTION("""COMPUTED_VALUE"""),31054329)</f>
        <v>31054329</v>
      </c>
      <c r="B442" s="1" t="str">
        <f ca="1">IFERROR(__xludf.DUMMYFUNCTION("""COMPUTED_VALUE"""),"nmhoffman@mindspring.com")</f>
        <v>nmhoffman@mindspring.com</v>
      </c>
      <c r="C442" s="4" t="str">
        <f ca="1">IFERROR(__xludf.DUMMYFUNCTION("""COMPUTED_VALUE"""),"EVERGREEN - UAN Gated Content - Embedded Petition")</f>
        <v>EVERGREEN - UAN Gated Content - Embedded Petition</v>
      </c>
      <c r="D442" s="5">
        <f ca="1">IFERROR(__xludf.DUMMYFUNCTION("""COMPUTED_VALUE"""),45637)</f>
        <v>45637</v>
      </c>
      <c r="F442" s="1" t="str">
        <f ca="1">IFERROR(__xludf.DUMMYFUNCTION("""COMPUTED_VALUE"""),"Israel and Occupied Palestinian Territories")</f>
        <v>Israel and Occupied Palestinian Territories</v>
      </c>
      <c r="G442" s="1" t="str">
        <f ca="1">IFERROR(__xludf.DUMMYFUNCTION("""COMPUTED_VALUE"""),"3.25 IOPT")</f>
        <v>3.25 IOPT</v>
      </c>
      <c r="H442" s="1" t="str">
        <f ca="1">IFERROR(__xludf.DUMMYFUNCTION("""COMPUTED_VALUE"""),"Freedom of Expression, Individuals At Risk")</f>
        <v>Freedom of Expression, Individuals At Risk</v>
      </c>
      <c r="I442" s="1" t="str">
        <f ca="1">IFERROR(__xludf.DUMMYFUNCTION("""COMPUTED_VALUE"""),"2025")</f>
        <v>2025</v>
      </c>
      <c r="J442" s="1" t="str">
        <f ca="1">IFERROR(__xludf.DUMMYFUNCTION("""COMPUTED_VALUE"""),"Email")</f>
        <v>Email</v>
      </c>
    </row>
    <row r="443" spans="1:10" ht="13" x14ac:dyDescent="0.15">
      <c r="A443" s="4">
        <f ca="1">IFERROR(__xludf.DUMMYFUNCTION("""COMPUTED_VALUE"""),31059831)</f>
        <v>31059831</v>
      </c>
      <c r="B443" s="1" t="str">
        <f ca="1">IFERROR(__xludf.DUMMYFUNCTION("""COMPUTED_VALUE"""),"tombennerlaw@yahoo.com")</f>
        <v>tombennerlaw@yahoo.com</v>
      </c>
      <c r="C443" s="4" t="str">
        <f ca="1">IFERROR(__xludf.DUMMYFUNCTION("""COMPUTED_VALUE"""),"EVERGREEN - UAN Gated Content - Embedded Petition")</f>
        <v>EVERGREEN - UAN Gated Content - Embedded Petition</v>
      </c>
      <c r="D443" s="5">
        <f ca="1">IFERROR(__xludf.DUMMYFUNCTION("""COMPUTED_VALUE"""),45675)</f>
        <v>45675</v>
      </c>
      <c r="F443" s="1" t="str">
        <f ca="1">IFERROR(__xludf.DUMMYFUNCTION("""COMPUTED_VALUE"""),"Tunisia")</f>
        <v>Tunisia</v>
      </c>
      <c r="G443" s="1" t="str">
        <f ca="1">IFERROR(__xludf.DUMMYFUNCTION("""COMPUTED_VALUE"""),"Second 76.24 Tunisia")</f>
        <v>Second 76.24 Tunisia</v>
      </c>
      <c r="H443" s="1" t="str">
        <f ca="1">IFERROR(__xludf.DUMMYFUNCTION("""COMPUTED_VALUE"""),"Freedom of Expression, Human Rights Defenders")</f>
        <v>Freedom of Expression, Human Rights Defenders</v>
      </c>
      <c r="I443" s="1" t="str">
        <f ca="1">IFERROR(__xludf.DUMMYFUNCTION("""COMPUTED_VALUE"""),"2025")</f>
        <v>2025</v>
      </c>
      <c r="J443" s="1" t="str">
        <f ca="1">IFERROR(__xludf.DUMMYFUNCTION("""COMPUTED_VALUE"""),"Email")</f>
        <v>Email</v>
      </c>
    </row>
    <row r="444" spans="1:10" ht="13" x14ac:dyDescent="0.15">
      <c r="A444" s="4">
        <f ca="1">IFERROR(__xludf.DUMMYFUNCTION("""COMPUTED_VALUE"""),31059831)</f>
        <v>31059831</v>
      </c>
      <c r="B444" s="1" t="str">
        <f ca="1">IFERROR(__xludf.DUMMYFUNCTION("""COMPUTED_VALUE"""),"tombennerlaw@yahoo.com")</f>
        <v>tombennerlaw@yahoo.com</v>
      </c>
      <c r="C444" s="4" t="str">
        <f ca="1">IFERROR(__xludf.DUMMYFUNCTION("""COMPUTED_VALUE"""),"EVERGREEN - UAN Gated Content - Embedded Petition")</f>
        <v>EVERGREEN - UAN Gated Content - Embedded Petition</v>
      </c>
      <c r="D444" s="5">
        <f ca="1">IFERROR(__xludf.DUMMYFUNCTION("""COMPUTED_VALUE"""),45636)</f>
        <v>45636</v>
      </c>
      <c r="F444" s="1" t="str">
        <f ca="1">IFERROR(__xludf.DUMMYFUNCTION("""COMPUTED_VALUE"""),"Iran")</f>
        <v>Iran</v>
      </c>
      <c r="G444" s="1" t="str">
        <f ca="1">IFERROR(__xludf.DUMMYFUNCTION("""COMPUTED_VALUE"""),"Seventh 103.22 Iran")</f>
        <v>Seventh 103.22 Iran</v>
      </c>
      <c r="H444" s="1" t="str">
        <f ca="1">IFERROR(__xludf.DUMMYFUNCTION("""COMPUTED_VALUE"""),"Death Penalty, Freedom of Expression, Individuals At Risk")</f>
        <v>Death Penalty, Freedom of Expression, Individuals At Risk</v>
      </c>
      <c r="I444" s="1" t="str">
        <f ca="1">IFERROR(__xludf.DUMMYFUNCTION("""COMPUTED_VALUE"""),"2024")</f>
        <v>2024</v>
      </c>
      <c r="J444" s="1" t="str">
        <f ca="1">IFERROR(__xludf.DUMMYFUNCTION("""COMPUTED_VALUE"""),"Email")</f>
        <v>Email</v>
      </c>
    </row>
    <row r="445" spans="1:10" ht="13" x14ac:dyDescent="0.15">
      <c r="A445" s="4">
        <f ca="1">IFERROR(__xludf.DUMMYFUNCTION("""COMPUTED_VALUE"""),31069160)</f>
        <v>31069160</v>
      </c>
      <c r="B445" s="1" t="str">
        <f ca="1">IFERROR(__xludf.DUMMYFUNCTION("""COMPUTED_VALUE"""),"whizcats@sbcglobal.net")</f>
        <v>whizcats@sbcglobal.net</v>
      </c>
      <c r="C445" s="4" t="str">
        <f ca="1">IFERROR(__xludf.DUMMYFUNCTION("""COMPUTED_VALUE"""),"EVERGREEN - UAN Gated Content - Embedded Petition")</f>
        <v>EVERGREEN - UAN Gated Content - Embedded Petition</v>
      </c>
      <c r="D445" s="5">
        <f ca="1">IFERROR(__xludf.DUMMYFUNCTION("""COMPUTED_VALUE"""),45636)</f>
        <v>45636</v>
      </c>
      <c r="F445" s="1" t="str">
        <f ca="1">IFERROR(__xludf.DUMMYFUNCTION("""COMPUTED_VALUE"""),"Tunisia")</f>
        <v>Tunisia</v>
      </c>
      <c r="G445" s="1" t="str">
        <f ca="1">IFERROR(__xludf.DUMMYFUNCTION("""COMPUTED_VALUE"""),"Second 76.24 Tunisia")</f>
        <v>Second 76.24 Tunisia</v>
      </c>
      <c r="H445" s="1" t="str">
        <f ca="1">IFERROR(__xludf.DUMMYFUNCTION("""COMPUTED_VALUE"""),"Freedom of Expression, Human Rights Defenders")</f>
        <v>Freedom of Expression, Human Rights Defenders</v>
      </c>
      <c r="I445" s="1" t="str">
        <f ca="1">IFERROR(__xludf.DUMMYFUNCTION("""COMPUTED_VALUE"""),"2025")</f>
        <v>2025</v>
      </c>
      <c r="J445" s="1" t="str">
        <f ca="1">IFERROR(__xludf.DUMMYFUNCTION("""COMPUTED_VALUE"""),"Email")</f>
        <v>Email</v>
      </c>
    </row>
    <row r="446" spans="1:10" ht="13" x14ac:dyDescent="0.15">
      <c r="A446" s="4">
        <f ca="1">IFERROR(__xludf.DUMMYFUNCTION("""COMPUTED_VALUE"""),31071044)</f>
        <v>31071044</v>
      </c>
      <c r="B446" s="1" t="str">
        <f ca="1">IFERROR(__xludf.DUMMYFUNCTION("""COMPUTED_VALUE"""),"pdx.videozine@gmail.com")</f>
        <v>pdx.videozine@gmail.com</v>
      </c>
      <c r="C446" s="4" t="str">
        <f ca="1">IFERROR(__xludf.DUMMYFUNCTION("""COMPUTED_VALUE"""),"EVERGREEN - UAN Gated Content - Embedded Petition")</f>
        <v>EVERGREEN - UAN Gated Content - Embedded Petition</v>
      </c>
      <c r="D446" s="5">
        <f ca="1">IFERROR(__xludf.DUMMYFUNCTION("""COMPUTED_VALUE"""),45698)</f>
        <v>45698</v>
      </c>
      <c r="F446" s="1" t="str">
        <f ca="1">IFERROR(__xludf.DUMMYFUNCTION("""COMPUTED_VALUE"""),"USA")</f>
        <v>USA</v>
      </c>
      <c r="G446" s="1" t="str">
        <f ca="1">IFERROR(__xludf.DUMMYFUNCTION("""COMPUTED_VALUE"""),"4.25 USA")</f>
        <v>4.25 USA</v>
      </c>
      <c r="H446" s="1" t="str">
        <f ca="1">IFERROR(__xludf.DUMMYFUNCTION("""COMPUTED_VALUE"""),"Individuals At Risk, Refugee and Migrant Rights")</f>
        <v>Individuals At Risk, Refugee and Migrant Rights</v>
      </c>
      <c r="I446" s="1" t="str">
        <f ca="1">IFERROR(__xludf.DUMMYFUNCTION("""COMPUTED_VALUE"""),"2025")</f>
        <v>2025</v>
      </c>
      <c r="J446" s="1" t="str">
        <f ca="1">IFERROR(__xludf.DUMMYFUNCTION("""COMPUTED_VALUE"""),"Letter")</f>
        <v>Letter</v>
      </c>
    </row>
    <row r="447" spans="1:10" ht="13" x14ac:dyDescent="0.15">
      <c r="A447" s="4">
        <f ca="1">IFERROR(__xludf.DUMMYFUNCTION("""COMPUTED_VALUE"""),31071044)</f>
        <v>31071044</v>
      </c>
      <c r="B447" s="1" t="str">
        <f ca="1">IFERROR(__xludf.DUMMYFUNCTION("""COMPUTED_VALUE"""),"pdx.videozine@gmail.com")</f>
        <v>pdx.videozine@gmail.com</v>
      </c>
      <c r="C447" s="4" t="str">
        <f ca="1">IFERROR(__xludf.DUMMYFUNCTION("""COMPUTED_VALUE"""),"EVERGREEN - UAN Gated Content - Embedded Petition")</f>
        <v>EVERGREEN - UAN Gated Content - Embedded Petition</v>
      </c>
      <c r="D447" s="5">
        <f ca="1">IFERROR(__xludf.DUMMYFUNCTION("""COMPUTED_VALUE"""),45661)</f>
        <v>45661</v>
      </c>
      <c r="F447" s="1" t="str">
        <f ca="1">IFERROR(__xludf.DUMMYFUNCTION("""COMPUTED_VALUE"""),"USA")</f>
        <v>USA</v>
      </c>
      <c r="G447" s="1" t="str">
        <f ca="1">IFERROR(__xludf.DUMMYFUNCTION("""COMPUTED_VALUE"""),"105.24 USA")</f>
        <v>105.24 USA</v>
      </c>
      <c r="H447" s="1" t="str">
        <f ca="1">IFERROR(__xludf.DUMMYFUNCTION("""COMPUTED_VALUE"""),"Death Penalty")</f>
        <v>Death Penalty</v>
      </c>
      <c r="I447" s="1" t="str">
        <f ca="1">IFERROR(__xludf.DUMMYFUNCTION("""COMPUTED_VALUE"""),"2024")</f>
        <v>2024</v>
      </c>
      <c r="J447" s="1" t="str">
        <f ca="1">IFERROR(__xludf.DUMMYFUNCTION("""COMPUTED_VALUE"""),"Email")</f>
        <v>Email</v>
      </c>
    </row>
    <row r="448" spans="1:10" ht="13" x14ac:dyDescent="0.15">
      <c r="A448" s="4">
        <f ca="1">IFERROR(__xludf.DUMMYFUNCTION("""COMPUTED_VALUE"""),31071044)</f>
        <v>31071044</v>
      </c>
      <c r="B448" s="1" t="str">
        <f ca="1">IFERROR(__xludf.DUMMYFUNCTION("""COMPUTED_VALUE"""),"pdx.videozine@gmail.com")</f>
        <v>pdx.videozine@gmail.com</v>
      </c>
      <c r="C448" s="4" t="str">
        <f ca="1">IFERROR(__xludf.DUMMYFUNCTION("""COMPUTED_VALUE"""),"EVERGREEN - UAN Gated Content - Embedded Petition")</f>
        <v>EVERGREEN - UAN Gated Content - Embedded Petition</v>
      </c>
      <c r="D448" s="5">
        <f ca="1">IFERROR(__xludf.DUMMYFUNCTION("""COMPUTED_VALUE"""),45698)</f>
        <v>45698</v>
      </c>
      <c r="F448" s="1" t="str">
        <f ca="1">IFERROR(__xludf.DUMMYFUNCTION("""COMPUTED_VALUE"""),"Egypt")</f>
        <v>Egypt</v>
      </c>
      <c r="G448" s="1" t="str">
        <f ca="1">IFERROR(__xludf.DUMMYFUNCTION("""COMPUTED_VALUE"""),"Ninth 190.18 Egypt")</f>
        <v>Ninth 190.18 Egypt</v>
      </c>
      <c r="H448" s="1" t="str">
        <f ca="1">IFERROR(__xludf.DUMMYFUNCTION("""COMPUTED_VALUE"""),"Freedom of Expression, Individuals At Risk")</f>
        <v>Freedom of Expression, Individuals At Risk</v>
      </c>
      <c r="I448" s="1" t="str">
        <f ca="1">IFERROR(__xludf.DUMMYFUNCTION("""COMPUTED_VALUE"""),"2024")</f>
        <v>2024</v>
      </c>
      <c r="J448" s="1" t="str">
        <f ca="1">IFERROR(__xludf.DUMMYFUNCTION("""COMPUTED_VALUE"""),"Letter")</f>
        <v>Letter</v>
      </c>
    </row>
    <row r="449" spans="1:10" ht="13" x14ac:dyDescent="0.15">
      <c r="A449" s="4">
        <f ca="1">IFERROR(__xludf.DUMMYFUNCTION("""COMPUTED_VALUE"""),31074691)</f>
        <v>31074691</v>
      </c>
      <c r="B449" s="1" t="str">
        <f ca="1">IFERROR(__xludf.DUMMYFUNCTION("""COMPUTED_VALUE"""),"anna_ungaro@fitnyc.edu")</f>
        <v>anna_ungaro@fitnyc.edu</v>
      </c>
      <c r="C449" s="4" t="str">
        <f ca="1">IFERROR(__xludf.DUMMYFUNCTION("""COMPUTED_VALUE"""),"EVERGREEN - UAN Gated Content - Embedded Petition")</f>
        <v>EVERGREEN - UAN Gated Content - Embedded Petition</v>
      </c>
      <c r="D449" s="5">
        <f ca="1">IFERROR(__xludf.DUMMYFUNCTION("""COMPUTED_VALUE"""),45675)</f>
        <v>45675</v>
      </c>
      <c r="F449" s="1" t="str">
        <f ca="1">IFERROR(__xludf.DUMMYFUNCTION("""COMPUTED_VALUE"""),"Tunisia")</f>
        <v>Tunisia</v>
      </c>
      <c r="G449" s="1" t="str">
        <f ca="1">IFERROR(__xludf.DUMMYFUNCTION("""COMPUTED_VALUE"""),"Second 76.24 Tunisia")</f>
        <v>Second 76.24 Tunisia</v>
      </c>
      <c r="H449" s="1" t="str">
        <f ca="1">IFERROR(__xludf.DUMMYFUNCTION("""COMPUTED_VALUE"""),"Freedom of Expression, Human Rights Defenders")</f>
        <v>Freedom of Expression, Human Rights Defenders</v>
      </c>
      <c r="I449" s="1" t="str">
        <f ca="1">IFERROR(__xludf.DUMMYFUNCTION("""COMPUTED_VALUE"""),"2025")</f>
        <v>2025</v>
      </c>
      <c r="J449" s="1" t="str">
        <f ca="1">IFERROR(__xludf.DUMMYFUNCTION("""COMPUTED_VALUE"""),"Email")</f>
        <v>Email</v>
      </c>
    </row>
    <row r="450" spans="1:10" ht="13" x14ac:dyDescent="0.15">
      <c r="A450" s="4">
        <f ca="1">IFERROR(__xludf.DUMMYFUNCTION("""COMPUTED_VALUE"""),31074691)</f>
        <v>31074691</v>
      </c>
      <c r="B450" s="1" t="str">
        <f ca="1">IFERROR(__xludf.DUMMYFUNCTION("""COMPUTED_VALUE"""),"anna_ungaro@fitnyc.edu")</f>
        <v>anna_ungaro@fitnyc.edu</v>
      </c>
      <c r="C450" s="4" t="str">
        <f ca="1">IFERROR(__xludf.DUMMYFUNCTION("""COMPUTED_VALUE"""),"EVERGREEN - UAN Gated Content - Embedded Petition")</f>
        <v>EVERGREEN - UAN Gated Content - Embedded Petition</v>
      </c>
      <c r="D450" s="5">
        <f ca="1">IFERROR(__xludf.DUMMYFUNCTION("""COMPUTED_VALUE"""),45675)</f>
        <v>45675</v>
      </c>
      <c r="F450" s="1" t="str">
        <f ca="1">IFERROR(__xludf.DUMMYFUNCTION("""COMPUTED_VALUE"""),"China")</f>
        <v>China</v>
      </c>
      <c r="G450" s="1" t="str">
        <f ca="1">IFERROR(__xludf.DUMMYFUNCTION("""COMPUTED_VALUE"""),"98.24 China")</f>
        <v>98.24 China</v>
      </c>
      <c r="H450" s="1" t="str">
        <f ca="1">IFERROR(__xludf.DUMMYFUNCTION("""COMPUTED_VALUE"""),"Freedom of Expression, Individuals At Risk")</f>
        <v>Freedom of Expression, Individuals At Risk</v>
      </c>
      <c r="I450" s="1" t="str">
        <f ca="1">IFERROR(__xludf.DUMMYFUNCTION("""COMPUTED_VALUE"""),"2024")</f>
        <v>2024</v>
      </c>
      <c r="J450" s="1" t="str">
        <f ca="1">IFERROR(__xludf.DUMMYFUNCTION("""COMPUTED_VALUE"""),"Letter")</f>
        <v>Letter</v>
      </c>
    </row>
    <row r="451" spans="1:10" ht="13" x14ac:dyDescent="0.15">
      <c r="A451" s="4">
        <f ca="1">IFERROR(__xludf.DUMMYFUNCTION("""COMPUTED_VALUE"""),31074691)</f>
        <v>31074691</v>
      </c>
      <c r="B451" s="1" t="str">
        <f ca="1">IFERROR(__xludf.DUMMYFUNCTION("""COMPUTED_VALUE"""),"anna_ungaro@fitnyc.edu")</f>
        <v>anna_ungaro@fitnyc.edu</v>
      </c>
      <c r="C451" s="4" t="str">
        <f ca="1">IFERROR(__xludf.DUMMYFUNCTION("""COMPUTED_VALUE"""),"EVERGREEN - UAN Gated Content - Embedded Petition")</f>
        <v>EVERGREEN - UAN Gated Content - Embedded Petition</v>
      </c>
      <c r="D451" s="5">
        <f ca="1">IFERROR(__xludf.DUMMYFUNCTION("""COMPUTED_VALUE"""),45637)</f>
        <v>45637</v>
      </c>
      <c r="F451" s="1" t="str">
        <f ca="1">IFERROR(__xludf.DUMMYFUNCTION("""COMPUTED_VALUE"""),"Venezuela")</f>
        <v>Venezuela</v>
      </c>
      <c r="G451" s="1" t="str">
        <f ca="1">IFERROR(__xludf.DUMMYFUNCTION("""COMPUTED_VALUE"""),"97.24 Venezuela")</f>
        <v>97.24 Venezuela</v>
      </c>
      <c r="H451" s="1" t="str">
        <f ca="1">IFERROR(__xludf.DUMMYFUNCTION("""COMPUTED_VALUE"""),"Freedom of Expression")</f>
        <v>Freedom of Expression</v>
      </c>
      <c r="I451" s="1" t="str">
        <f ca="1">IFERROR(__xludf.DUMMYFUNCTION("""COMPUTED_VALUE"""),"2024")</f>
        <v>2024</v>
      </c>
      <c r="J451" s="1" t="str">
        <f ca="1">IFERROR(__xludf.DUMMYFUNCTION("""COMPUTED_VALUE"""),"Letter")</f>
        <v>Letter</v>
      </c>
    </row>
    <row r="452" spans="1:10" ht="13" x14ac:dyDescent="0.15">
      <c r="A452" s="4">
        <f ca="1">IFERROR(__xludf.DUMMYFUNCTION("""COMPUTED_VALUE"""),31074691)</f>
        <v>31074691</v>
      </c>
      <c r="B452" s="1" t="str">
        <f ca="1">IFERROR(__xludf.DUMMYFUNCTION("""COMPUTED_VALUE"""),"anna_ungaro@fitnyc.edu")</f>
        <v>anna_ungaro@fitnyc.edu</v>
      </c>
      <c r="C452" s="4" t="str">
        <f ca="1">IFERROR(__xludf.DUMMYFUNCTION("""COMPUTED_VALUE"""),"EVERGREEN - UAN Gated Content - Embedded Petition")</f>
        <v>EVERGREEN - UAN Gated Content - Embedded Petition</v>
      </c>
      <c r="D452" s="5">
        <f ca="1">IFERROR(__xludf.DUMMYFUNCTION("""COMPUTED_VALUE"""),45675)</f>
        <v>45675</v>
      </c>
      <c r="F452" s="1" t="str">
        <f ca="1">IFERROR(__xludf.DUMMYFUNCTION("""COMPUTED_VALUE"""),"Tunisia")</f>
        <v>Tunisia</v>
      </c>
      <c r="G452" s="1" t="str">
        <f ca="1">IFERROR(__xludf.DUMMYFUNCTION("""COMPUTED_VALUE"""),"Second 76.24 Tunisia")</f>
        <v>Second 76.24 Tunisia</v>
      </c>
      <c r="H452" s="1" t="str">
        <f ca="1">IFERROR(__xludf.DUMMYFUNCTION("""COMPUTED_VALUE"""),"Freedom of Expression, Human Rights Defenders")</f>
        <v>Freedom of Expression, Human Rights Defenders</v>
      </c>
      <c r="I452" s="1" t="str">
        <f ca="1">IFERROR(__xludf.DUMMYFUNCTION("""COMPUTED_VALUE"""),"2025")</f>
        <v>2025</v>
      </c>
      <c r="J452" s="1" t="str">
        <f ca="1">IFERROR(__xludf.DUMMYFUNCTION("""COMPUTED_VALUE"""),"Email")</f>
        <v>Email</v>
      </c>
    </row>
    <row r="453" spans="1:10" ht="13" x14ac:dyDescent="0.15">
      <c r="A453" s="4">
        <f ca="1">IFERROR(__xludf.DUMMYFUNCTION("""COMPUTED_VALUE"""),31112297)</f>
        <v>31112297</v>
      </c>
      <c r="B453" s="1" t="str">
        <f ca="1">IFERROR(__xludf.DUMMYFUNCTION("""COMPUTED_VALUE"""),"ilecun@gmail.com")</f>
        <v>ilecun@gmail.com</v>
      </c>
      <c r="C453" s="4" t="str">
        <f ca="1">IFERROR(__xludf.DUMMYFUNCTION("""COMPUTED_VALUE"""),"EVERGREEN - UAN Gated Content - Embedded Petition")</f>
        <v>EVERGREEN - UAN Gated Content - Embedded Petition</v>
      </c>
      <c r="D453" s="5">
        <f ca="1">IFERROR(__xludf.DUMMYFUNCTION("""COMPUTED_VALUE"""),45674)</f>
        <v>45674</v>
      </c>
      <c r="F453" s="1" t="str">
        <f ca="1">IFERROR(__xludf.DUMMYFUNCTION("""COMPUTED_VALUE"""),"Saudi Arabia")</f>
        <v>Saudi Arabia</v>
      </c>
      <c r="G453" s="1" t="str">
        <f ca="1">IFERROR(__xludf.DUMMYFUNCTION("""COMPUTED_VALUE"""),"104.24 Saudi Arabia")</f>
        <v>104.24 Saudi Arabia</v>
      </c>
      <c r="H453" s="1" t="str">
        <f ca="1">IFERROR(__xludf.DUMMYFUNCTION("""COMPUTED_VALUE"""),"Individuals At Risk, Refugee and Migrant Rights")</f>
        <v>Individuals At Risk, Refugee and Migrant Rights</v>
      </c>
      <c r="I453" s="1" t="str">
        <f ca="1">IFERROR(__xludf.DUMMYFUNCTION("""COMPUTED_VALUE"""),"2024")</f>
        <v>2024</v>
      </c>
      <c r="J453" s="1" t="str">
        <f ca="1">IFERROR(__xludf.DUMMYFUNCTION("""COMPUTED_VALUE"""),"Email")</f>
        <v>Email</v>
      </c>
    </row>
    <row r="454" spans="1:10" ht="13" x14ac:dyDescent="0.15">
      <c r="A454" s="4">
        <f ca="1">IFERROR(__xludf.DUMMYFUNCTION("""COMPUTED_VALUE"""),31112297)</f>
        <v>31112297</v>
      </c>
      <c r="B454" s="1" t="str">
        <f ca="1">IFERROR(__xludf.DUMMYFUNCTION("""COMPUTED_VALUE"""),"ilecun@gmail.com")</f>
        <v>ilecun@gmail.com</v>
      </c>
      <c r="C454" s="4" t="str">
        <f ca="1">IFERROR(__xludf.DUMMYFUNCTION("""COMPUTED_VALUE"""),"EVERGREEN - UAN Gated Content - Embedded Petition")</f>
        <v>EVERGREEN - UAN Gated Content - Embedded Petition</v>
      </c>
      <c r="D454" s="5">
        <f ca="1">IFERROR(__xludf.DUMMYFUNCTION("""COMPUTED_VALUE"""),45694)</f>
        <v>45694</v>
      </c>
      <c r="F454" s="1" t="str">
        <f ca="1">IFERROR(__xludf.DUMMYFUNCTION("""COMPUTED_VALUE"""),"Turkiye")</f>
        <v>Turkiye</v>
      </c>
      <c r="G454" s="1" t="str">
        <f ca="1">IFERROR(__xludf.DUMMYFUNCTION("""COMPUTED_VALUE"""),"109.24 Türkiye")</f>
        <v>109.24 Türkiye</v>
      </c>
      <c r="H454" s="1" t="str">
        <f ca="1">IFERROR(__xludf.DUMMYFUNCTION("""COMPUTED_VALUE"""),"Human Rights Defenders, Individuals At Risk")</f>
        <v>Human Rights Defenders, Individuals At Risk</v>
      </c>
      <c r="I454" s="1" t="str">
        <f ca="1">IFERROR(__xludf.DUMMYFUNCTION("""COMPUTED_VALUE"""),"2024")</f>
        <v>2024</v>
      </c>
      <c r="J454" s="1" t="str">
        <f ca="1">IFERROR(__xludf.DUMMYFUNCTION("""COMPUTED_VALUE"""),"Email")</f>
        <v>Email</v>
      </c>
    </row>
    <row r="455" spans="1:10" ht="13" x14ac:dyDescent="0.15">
      <c r="A455" s="4">
        <f ca="1">IFERROR(__xludf.DUMMYFUNCTION("""COMPUTED_VALUE"""),31113309)</f>
        <v>31113309</v>
      </c>
      <c r="B455" s="1" t="str">
        <f ca="1">IFERROR(__xludf.DUMMYFUNCTION("""COMPUTED_VALUE"""),"davesanford@comcast.net")</f>
        <v>davesanford@comcast.net</v>
      </c>
      <c r="C455" s="4" t="str">
        <f ca="1">IFERROR(__xludf.DUMMYFUNCTION("""COMPUTED_VALUE"""),"UAN mid-page Lightbox - Step 1 of 4 - Landing Page")</f>
        <v>UAN mid-page Lightbox - Step 1 of 4 - Landing Page</v>
      </c>
      <c r="D455" s="5">
        <f ca="1">IFERROR(__xludf.DUMMYFUNCTION("""COMPUTED_VALUE"""),45703)</f>
        <v>45703</v>
      </c>
      <c r="F455" s="1" t="str">
        <f ca="1">IFERROR(__xludf.DUMMYFUNCTION("""COMPUTED_VALUE"""),"Turkiye")</f>
        <v>Turkiye</v>
      </c>
      <c r="G455" s="1" t="str">
        <f ca="1">IFERROR(__xludf.DUMMYFUNCTION("""COMPUTED_VALUE"""),"109.24 Türkiye")</f>
        <v>109.24 Türkiye</v>
      </c>
      <c r="H455" s="1" t="str">
        <f ca="1">IFERROR(__xludf.DUMMYFUNCTION("""COMPUTED_VALUE"""),"Human Rights Defenders, Individuals At Risk")</f>
        <v>Human Rights Defenders, Individuals At Risk</v>
      </c>
      <c r="I455" s="1" t="str">
        <f ca="1">IFERROR(__xludf.DUMMYFUNCTION("""COMPUTED_VALUE"""),"2024")</f>
        <v>2024</v>
      </c>
      <c r="J455" s="1" t="str">
        <f ca="1">IFERROR(__xludf.DUMMYFUNCTION("""COMPUTED_VALUE"""),"Email")</f>
        <v>Email</v>
      </c>
    </row>
    <row r="456" spans="1:10" ht="13" x14ac:dyDescent="0.15">
      <c r="A456" s="4">
        <f ca="1">IFERROR(__xludf.DUMMYFUNCTION("""COMPUTED_VALUE"""),31113309)</f>
        <v>31113309</v>
      </c>
      <c r="B456" s="1" t="str">
        <f ca="1">IFERROR(__xludf.DUMMYFUNCTION("""COMPUTED_VALUE"""),"davesanford@comcast.net")</f>
        <v>davesanford@comcast.net</v>
      </c>
      <c r="C456" s="4" t="str">
        <f ca="1">IFERROR(__xludf.DUMMYFUNCTION("""COMPUTED_VALUE"""),"UAN mid-page Lightbox - Step 2 of 4 - More personal info fields")</f>
        <v>UAN mid-page Lightbox - Step 2 of 4 - More personal info fields</v>
      </c>
      <c r="D456" s="5">
        <f ca="1">IFERROR(__xludf.DUMMYFUNCTION("""COMPUTED_VALUE"""),45703)</f>
        <v>45703</v>
      </c>
      <c r="F456" s="1" t="str">
        <f ca="1">IFERROR(__xludf.DUMMYFUNCTION("""COMPUTED_VALUE"""),"Azerbaijan")</f>
        <v>Azerbaijan</v>
      </c>
      <c r="G456" s="1" t="str">
        <f ca="1">IFERROR(__xludf.DUMMYFUNCTION("""COMPUTED_VALUE"""),"2.25 Azerbaijan")</f>
        <v>2.25 Azerbaijan</v>
      </c>
      <c r="H456" s="1" t="str">
        <f ca="1">IFERROR(__xludf.DUMMYFUNCTION("""COMPUTED_VALUE"""),"Freedom of Expression, Human Rights Defenders")</f>
        <v>Freedom of Expression, Human Rights Defenders</v>
      </c>
      <c r="I456" s="1" t="str">
        <f ca="1">IFERROR(__xludf.DUMMYFUNCTION("""COMPUTED_VALUE"""),"2025")</f>
        <v>2025</v>
      </c>
      <c r="J456" s="1" t="str">
        <f ca="1">IFERROR(__xludf.DUMMYFUNCTION("""COMPUTED_VALUE"""),"Email")</f>
        <v>Email</v>
      </c>
    </row>
    <row r="457" spans="1:10" ht="13" x14ac:dyDescent="0.15">
      <c r="A457" s="4">
        <f ca="1">IFERROR(__xludf.DUMMYFUNCTION("""COMPUTED_VALUE"""),31113309)</f>
        <v>31113309</v>
      </c>
      <c r="B457" s="1" t="str">
        <f ca="1">IFERROR(__xludf.DUMMYFUNCTION("""COMPUTED_VALUE"""),"davesanford@comcast.net")</f>
        <v>davesanford@comcast.net</v>
      </c>
      <c r="C457" s="4" t="str">
        <f ca="1">IFERROR(__xludf.DUMMYFUNCTION("""COMPUTED_VALUE"""),"UAN mid-page Lightbox - Step 3 of 4 - More opt-ins")</f>
        <v>UAN mid-page Lightbox - Step 3 of 4 - More opt-ins</v>
      </c>
      <c r="D457" s="5">
        <f ca="1">IFERROR(__xludf.DUMMYFUNCTION("""COMPUTED_VALUE"""),45703)</f>
        <v>45703</v>
      </c>
      <c r="F457" s="1" t="str">
        <f ca="1">IFERROR(__xludf.DUMMYFUNCTION("""COMPUTED_VALUE"""),"Tunisia")</f>
        <v>Tunisia</v>
      </c>
      <c r="G457" s="1" t="str">
        <f ca="1">IFERROR(__xludf.DUMMYFUNCTION("""COMPUTED_VALUE"""),"Second 76.24 Tunisia")</f>
        <v>Second 76.24 Tunisia</v>
      </c>
      <c r="H457" s="1" t="str">
        <f ca="1">IFERROR(__xludf.DUMMYFUNCTION("""COMPUTED_VALUE"""),"Freedom of Expression, Human Rights Defenders")</f>
        <v>Freedom of Expression, Human Rights Defenders</v>
      </c>
      <c r="I457" s="1" t="str">
        <f ca="1">IFERROR(__xludf.DUMMYFUNCTION("""COMPUTED_VALUE"""),"2025")</f>
        <v>2025</v>
      </c>
      <c r="J457" s="1" t="str">
        <f ca="1">IFERROR(__xludf.DUMMYFUNCTION("""COMPUTED_VALUE"""),"Email")</f>
        <v>Email</v>
      </c>
    </row>
    <row r="458" spans="1:10" ht="13" x14ac:dyDescent="0.15">
      <c r="A458" s="4">
        <f ca="1">IFERROR(__xludf.DUMMYFUNCTION("""COMPUTED_VALUE"""),31131145)</f>
        <v>31131145</v>
      </c>
      <c r="B458" s="1" t="str">
        <f ca="1">IFERROR(__xludf.DUMMYFUNCTION("""COMPUTED_VALUE"""),"probyngregory@gmail.com")</f>
        <v>probyngregory@gmail.com</v>
      </c>
      <c r="C458" s="4" t="str">
        <f ca="1">IFERROR(__xludf.DUMMYFUNCTION("""COMPUTED_VALUE"""),"EVERGREEN - UAN Gated Content - Embedded Petition")</f>
        <v>EVERGREEN - UAN Gated Content - Embedded Petition</v>
      </c>
      <c r="D458" s="5">
        <f ca="1">IFERROR(__xludf.DUMMYFUNCTION("""COMPUTED_VALUE"""),45636)</f>
        <v>45636</v>
      </c>
      <c r="F458" s="1" t="str">
        <f ca="1">IFERROR(__xludf.DUMMYFUNCTION("""COMPUTED_VALUE"""),"Tunisia")</f>
        <v>Tunisia</v>
      </c>
      <c r="G458" s="1" t="str">
        <f ca="1">IFERROR(__xludf.DUMMYFUNCTION("""COMPUTED_VALUE"""),"Second 76.24 Tunisia")</f>
        <v>Second 76.24 Tunisia</v>
      </c>
      <c r="H458" s="1" t="str">
        <f ca="1">IFERROR(__xludf.DUMMYFUNCTION("""COMPUTED_VALUE"""),"Freedom of Expression, Human Rights Defenders")</f>
        <v>Freedom of Expression, Human Rights Defenders</v>
      </c>
      <c r="I458" s="1" t="str">
        <f ca="1">IFERROR(__xludf.DUMMYFUNCTION("""COMPUTED_VALUE"""),"2025")</f>
        <v>2025</v>
      </c>
      <c r="J458" s="1" t="str">
        <f ca="1">IFERROR(__xludf.DUMMYFUNCTION("""COMPUTED_VALUE"""),"Email")</f>
        <v>Email</v>
      </c>
    </row>
    <row r="459" spans="1:10" ht="13" x14ac:dyDescent="0.15">
      <c r="A459" s="4">
        <f ca="1">IFERROR(__xludf.DUMMYFUNCTION("""COMPUTED_VALUE"""),31131145)</f>
        <v>31131145</v>
      </c>
      <c r="B459" s="1" t="str">
        <f ca="1">IFERROR(__xludf.DUMMYFUNCTION("""COMPUTED_VALUE"""),"probyngregory@gmail.com")</f>
        <v>probyngregory@gmail.com</v>
      </c>
      <c r="C459" s="4" t="str">
        <f ca="1">IFERROR(__xludf.DUMMYFUNCTION("""COMPUTED_VALUE"""),"EVERGREEN - UAN Gated Content - Embedded Petition")</f>
        <v>EVERGREEN - UAN Gated Content - Embedded Petition</v>
      </c>
      <c r="D459" s="5">
        <f ca="1">IFERROR(__xludf.DUMMYFUNCTION("""COMPUTED_VALUE"""),45636)</f>
        <v>45636</v>
      </c>
      <c r="F459" s="1" t="str">
        <f ca="1">IFERROR(__xludf.DUMMYFUNCTION("""COMPUTED_VALUE"""),"USA")</f>
        <v>USA</v>
      </c>
      <c r="G459" s="1" t="str">
        <f ca="1">IFERROR(__xludf.DUMMYFUNCTION("""COMPUTED_VALUE"""),"105.24 USA")</f>
        <v>105.24 USA</v>
      </c>
      <c r="H459" s="1" t="str">
        <f ca="1">IFERROR(__xludf.DUMMYFUNCTION("""COMPUTED_VALUE"""),"Death Penalty")</f>
        <v>Death Penalty</v>
      </c>
      <c r="I459" s="1" t="str">
        <f ca="1">IFERROR(__xludf.DUMMYFUNCTION("""COMPUTED_VALUE"""),"2024")</f>
        <v>2024</v>
      </c>
      <c r="J459" s="1" t="str">
        <f ca="1">IFERROR(__xludf.DUMMYFUNCTION("""COMPUTED_VALUE"""),"Email")</f>
        <v>Email</v>
      </c>
    </row>
    <row r="460" spans="1:10" ht="13" x14ac:dyDescent="0.15">
      <c r="A460" s="4">
        <f ca="1">IFERROR(__xludf.DUMMYFUNCTION("""COMPUTED_VALUE"""),31131145)</f>
        <v>31131145</v>
      </c>
      <c r="B460" s="1" t="str">
        <f ca="1">IFERROR(__xludf.DUMMYFUNCTION("""COMPUTED_VALUE"""),"probyngregory@gmail.com")</f>
        <v>probyngregory@gmail.com</v>
      </c>
      <c r="C460" s="4" t="str">
        <f ca="1">IFERROR(__xludf.DUMMYFUNCTION("""COMPUTED_VALUE"""),"EVERGREEN - UAN Gated Content - Embedded Petition")</f>
        <v>EVERGREEN - UAN Gated Content - Embedded Petition</v>
      </c>
      <c r="D460" s="5">
        <f ca="1">IFERROR(__xludf.DUMMYFUNCTION("""COMPUTED_VALUE"""),45637)</f>
        <v>45637</v>
      </c>
      <c r="F460" s="1" t="str">
        <f ca="1">IFERROR(__xludf.DUMMYFUNCTION("""COMPUTED_VALUE"""),"China")</f>
        <v>China</v>
      </c>
      <c r="G460" s="1" t="str">
        <f ca="1">IFERROR(__xludf.DUMMYFUNCTION("""COMPUTED_VALUE"""),"106.24 China")</f>
        <v>106.24 China</v>
      </c>
      <c r="H460" s="1" t="str">
        <f ca="1">IFERROR(__xludf.DUMMYFUNCTION("""COMPUTED_VALUE"""),"Freedom of Expression, Individuals At Risk")</f>
        <v>Freedom of Expression, Individuals At Risk</v>
      </c>
      <c r="I460" s="1" t="str">
        <f ca="1">IFERROR(__xludf.DUMMYFUNCTION("""COMPUTED_VALUE"""),"2024")</f>
        <v>2024</v>
      </c>
      <c r="J460" s="1" t="str">
        <f ca="1">IFERROR(__xludf.DUMMYFUNCTION("""COMPUTED_VALUE"""),"Email")</f>
        <v>Email</v>
      </c>
    </row>
    <row r="461" spans="1:10" ht="13" x14ac:dyDescent="0.15">
      <c r="A461" s="4">
        <f ca="1">IFERROR(__xludf.DUMMYFUNCTION("""COMPUTED_VALUE"""),31131145)</f>
        <v>31131145</v>
      </c>
      <c r="B461" s="1" t="str">
        <f ca="1">IFERROR(__xludf.DUMMYFUNCTION("""COMPUTED_VALUE"""),"probyngregory@gmail.com")</f>
        <v>probyngregory@gmail.com</v>
      </c>
      <c r="C461" s="4" t="str">
        <f ca="1">IFERROR(__xludf.DUMMYFUNCTION("""COMPUTED_VALUE"""),"EVERGREEN - UAN Gated Content - Embedded Petition")</f>
        <v>EVERGREEN - UAN Gated Content - Embedded Petition</v>
      </c>
      <c r="D461" s="5">
        <f ca="1">IFERROR(__xludf.DUMMYFUNCTION("""COMPUTED_VALUE"""),45694)</f>
        <v>45694</v>
      </c>
      <c r="F461" s="1" t="str">
        <f ca="1">IFERROR(__xludf.DUMMYFUNCTION("""COMPUTED_VALUE"""),"Uganda")</f>
        <v>Uganda</v>
      </c>
      <c r="G461" s="1" t="str">
        <f ca="1">IFERROR(__xludf.DUMMYFUNCTION("""COMPUTED_VALUE"""),"100.24 Uganda")</f>
        <v>100.24 Uganda</v>
      </c>
      <c r="H461" s="1" t="str">
        <f ca="1">IFERROR(__xludf.DUMMYFUNCTION("""COMPUTED_VALUE"""),"Freedom of Expression")</f>
        <v>Freedom of Expression</v>
      </c>
      <c r="I461" s="1" t="str">
        <f ca="1">IFERROR(__xludf.DUMMYFUNCTION("""COMPUTED_VALUE"""),"2024")</f>
        <v>2024</v>
      </c>
      <c r="J461" s="1" t="str">
        <f ca="1">IFERROR(__xludf.DUMMYFUNCTION("""COMPUTED_VALUE"""),"Email")</f>
        <v>Email</v>
      </c>
    </row>
    <row r="462" spans="1:10" ht="13" x14ac:dyDescent="0.15">
      <c r="A462" s="4">
        <f ca="1">IFERROR(__xludf.DUMMYFUNCTION("""COMPUTED_VALUE"""),31131145)</f>
        <v>31131145</v>
      </c>
      <c r="B462" s="1" t="str">
        <f ca="1">IFERROR(__xludf.DUMMYFUNCTION("""COMPUTED_VALUE"""),"probyngregory@gmail.com")</f>
        <v>probyngregory@gmail.com</v>
      </c>
      <c r="C462" s="4" t="str">
        <f ca="1">IFERROR(__xludf.DUMMYFUNCTION("""COMPUTED_VALUE"""),"EVERGREEN - Website Email Capture Form - UAN Pre-Footer")</f>
        <v>EVERGREEN - Website Email Capture Form - UAN Pre-Footer</v>
      </c>
      <c r="D462" s="5">
        <f ca="1">IFERROR(__xludf.DUMMYFUNCTION("""COMPUTED_VALUE"""),45637)</f>
        <v>45637</v>
      </c>
      <c r="F462" s="1" t="str">
        <f ca="1">IFERROR(__xludf.DUMMYFUNCTION("""COMPUTED_VALUE"""),"Singapore")</f>
        <v>Singapore</v>
      </c>
      <c r="G462" s="1" t="str">
        <f ca="1">IFERROR(__xludf.DUMMYFUNCTION("""COMPUTED_VALUE"""),"107.24 Singapore")</f>
        <v>107.24 Singapore</v>
      </c>
      <c r="H462" s="1" t="str">
        <f ca="1">IFERROR(__xludf.DUMMYFUNCTION("""COMPUTED_VALUE"""),"Death Penalty")</f>
        <v>Death Penalty</v>
      </c>
      <c r="I462" s="1" t="str">
        <f ca="1">IFERROR(__xludf.DUMMYFUNCTION("""COMPUTED_VALUE"""),"2024")</f>
        <v>2024</v>
      </c>
      <c r="J462" s="1" t="str">
        <f ca="1">IFERROR(__xludf.DUMMYFUNCTION("""COMPUTED_VALUE"""),"Email")</f>
        <v>Email</v>
      </c>
    </row>
    <row r="463" spans="1:10" ht="13" x14ac:dyDescent="0.15">
      <c r="A463" s="4">
        <f ca="1">IFERROR(__xludf.DUMMYFUNCTION("""COMPUTED_VALUE"""),31133101)</f>
        <v>31133101</v>
      </c>
      <c r="B463" s="1" t="str">
        <f ca="1">IFERROR(__xludf.DUMMYFUNCTION("""COMPUTED_VALUE"""),"debbieculter@yahoo.com")</f>
        <v>debbieculter@yahoo.com</v>
      </c>
      <c r="C463" s="4" t="str">
        <f ca="1">IFERROR(__xludf.DUMMYFUNCTION("""COMPUTED_VALUE"""),"EVERGREEN - UAN Gated Content - Embedded Petition")</f>
        <v>EVERGREEN - UAN Gated Content - Embedded Petition</v>
      </c>
      <c r="D463" s="5">
        <f ca="1">IFERROR(__xludf.DUMMYFUNCTION("""COMPUTED_VALUE"""),45694)</f>
        <v>45694</v>
      </c>
      <c r="F463" s="1" t="str">
        <f ca="1">IFERROR(__xludf.DUMMYFUNCTION("""COMPUTED_VALUE"""),"Iran")</f>
        <v>Iran</v>
      </c>
      <c r="G463" s="1" t="str">
        <f ca="1">IFERROR(__xludf.DUMMYFUNCTION("""COMPUTED_VALUE"""),"Seventh 103.22 Iran")</f>
        <v>Seventh 103.22 Iran</v>
      </c>
      <c r="H463" s="1" t="str">
        <f ca="1">IFERROR(__xludf.DUMMYFUNCTION("""COMPUTED_VALUE"""),"Death Penalty, Freedom of Expression, Individuals At Risk")</f>
        <v>Death Penalty, Freedom of Expression, Individuals At Risk</v>
      </c>
      <c r="I463" s="1" t="str">
        <f ca="1">IFERROR(__xludf.DUMMYFUNCTION("""COMPUTED_VALUE"""),"2024")</f>
        <v>2024</v>
      </c>
      <c r="J463" s="1" t="str">
        <f ca="1">IFERROR(__xludf.DUMMYFUNCTION("""COMPUTED_VALUE"""),"Email")</f>
        <v>Email</v>
      </c>
    </row>
    <row r="464" spans="1:10" ht="13" x14ac:dyDescent="0.15">
      <c r="A464" s="4">
        <f ca="1">IFERROR(__xludf.DUMMYFUNCTION("""COMPUTED_VALUE"""),31152417)</f>
        <v>31152417</v>
      </c>
      <c r="B464" s="1" t="str">
        <f ca="1">IFERROR(__xludf.DUMMYFUNCTION("""COMPUTED_VALUE"""),"lehayes@alumni.princeton.edu")</f>
        <v>lehayes@alumni.princeton.edu</v>
      </c>
      <c r="C464" s="4" t="str">
        <f ca="1">IFERROR(__xludf.DUMMYFUNCTION("""COMPUTED_VALUE"""),"EVERGREEN - UAN Gated Content - Embedded Petition")</f>
        <v>EVERGREEN - UAN Gated Content - Embedded Petition</v>
      </c>
      <c r="D464" s="5">
        <f ca="1">IFERROR(__xludf.DUMMYFUNCTION("""COMPUTED_VALUE"""),45694)</f>
        <v>45694</v>
      </c>
      <c r="F464" s="1" t="str">
        <f ca="1">IFERROR(__xludf.DUMMYFUNCTION("""COMPUTED_VALUE"""),"Turkiye")</f>
        <v>Turkiye</v>
      </c>
      <c r="G464" s="1" t="str">
        <f ca="1">IFERROR(__xludf.DUMMYFUNCTION("""COMPUTED_VALUE"""),"109.24 Türkiye")</f>
        <v>109.24 Türkiye</v>
      </c>
      <c r="H464" s="1" t="str">
        <f ca="1">IFERROR(__xludf.DUMMYFUNCTION("""COMPUTED_VALUE"""),"Human Rights Defenders, Individuals At Risk")</f>
        <v>Human Rights Defenders, Individuals At Risk</v>
      </c>
      <c r="I464" s="1" t="str">
        <f ca="1">IFERROR(__xludf.DUMMYFUNCTION("""COMPUTED_VALUE"""),"2024")</f>
        <v>2024</v>
      </c>
      <c r="J464" s="1" t="str">
        <f ca="1">IFERROR(__xludf.DUMMYFUNCTION("""COMPUTED_VALUE"""),"Email")</f>
        <v>Email</v>
      </c>
    </row>
    <row r="465" spans="1:10" ht="13" x14ac:dyDescent="0.15">
      <c r="A465" s="4">
        <f ca="1">IFERROR(__xludf.DUMMYFUNCTION("""COMPUTED_VALUE"""),31154677)</f>
        <v>31154677</v>
      </c>
      <c r="B465" s="1" t="str">
        <f ca="1">IFERROR(__xludf.DUMMYFUNCTION("""COMPUTED_VALUE"""),"wilbur@wilbur.us")</f>
        <v>wilbur@wilbur.us</v>
      </c>
      <c r="C465" s="4" t="str">
        <f ca="1">IFERROR(__xludf.DUMMYFUNCTION("""COMPUTED_VALUE"""),"EVERGREEN - UAN Gated Content - Embedded Petition")</f>
        <v>EVERGREEN - UAN Gated Content - Embedded Petition</v>
      </c>
      <c r="D465" s="5">
        <f ca="1">IFERROR(__xludf.DUMMYFUNCTION("""COMPUTED_VALUE"""),45701)</f>
        <v>45701</v>
      </c>
      <c r="F465" s="1" t="str">
        <f ca="1">IFERROR(__xludf.DUMMYFUNCTION("""COMPUTED_VALUE"""),"Egypt")</f>
        <v>Egypt</v>
      </c>
      <c r="G465" s="1" t="str">
        <f ca="1">IFERROR(__xludf.DUMMYFUNCTION("""COMPUTED_VALUE"""),"Third 73.23 Egypt")</f>
        <v>Third 73.23 Egypt</v>
      </c>
      <c r="H465" s="1" t="str">
        <f ca="1">IFERROR(__xludf.DUMMYFUNCTION("""COMPUTED_VALUE"""),"Individuals At Risk")</f>
        <v>Individuals At Risk</v>
      </c>
      <c r="I465" s="1" t="str">
        <f ca="1">IFERROR(__xludf.DUMMYFUNCTION("""COMPUTED_VALUE"""),"2024")</f>
        <v>2024</v>
      </c>
      <c r="J465" s="1" t="str">
        <f ca="1">IFERROR(__xludf.DUMMYFUNCTION("""COMPUTED_VALUE"""),"Email")</f>
        <v>Email</v>
      </c>
    </row>
    <row r="466" spans="1:10" ht="13" x14ac:dyDescent="0.15">
      <c r="A466" s="4">
        <f ca="1">IFERROR(__xludf.DUMMYFUNCTION("""COMPUTED_VALUE"""),31156791)</f>
        <v>31156791</v>
      </c>
      <c r="B466" s="1" t="str">
        <f ca="1">IFERROR(__xludf.DUMMYFUNCTION("""COMPUTED_VALUE"""),"derrick.redhead@gmail.com")</f>
        <v>derrick.redhead@gmail.com</v>
      </c>
      <c r="C466" s="4" t="str">
        <f ca="1">IFERROR(__xludf.DUMMYFUNCTION("""COMPUTED_VALUE"""),"EVERGREEN - UAN Gated Content - Embedded Petition")</f>
        <v>EVERGREEN - UAN Gated Content - Embedded Petition</v>
      </c>
      <c r="D466" s="5">
        <f ca="1">IFERROR(__xludf.DUMMYFUNCTION("""COMPUTED_VALUE"""),45686)</f>
        <v>45686</v>
      </c>
      <c r="F466" s="1" t="str">
        <f ca="1">IFERROR(__xludf.DUMMYFUNCTION("""COMPUTED_VALUE"""),"Venezuela")</f>
        <v>Venezuela</v>
      </c>
      <c r="G466" s="1" t="str">
        <f ca="1">IFERROR(__xludf.DUMMYFUNCTION("""COMPUTED_VALUE"""),"1.25 Venezuela")</f>
        <v>1.25 Venezuela</v>
      </c>
      <c r="H466" s="1" t="str">
        <f ca="1">IFERROR(__xludf.DUMMYFUNCTION("""COMPUTED_VALUE"""),"Human Rights Defenders, Individuals At Risk")</f>
        <v>Human Rights Defenders, Individuals At Risk</v>
      </c>
      <c r="I466" s="1" t="str">
        <f ca="1">IFERROR(__xludf.DUMMYFUNCTION("""COMPUTED_VALUE"""),"2025")</f>
        <v>2025</v>
      </c>
      <c r="J466" s="1" t="str">
        <f ca="1">IFERROR(__xludf.DUMMYFUNCTION("""COMPUTED_VALUE"""),"Letter")</f>
        <v>Letter</v>
      </c>
    </row>
    <row r="467" spans="1:10" ht="13" x14ac:dyDescent="0.15">
      <c r="A467" s="4">
        <f ca="1">IFERROR(__xludf.DUMMYFUNCTION("""COMPUTED_VALUE"""),31162734)</f>
        <v>31162734</v>
      </c>
      <c r="B467" s="1" t="str">
        <f ca="1">IFERROR(__xludf.DUMMYFUNCTION("""COMPUTED_VALUE"""),"jfriesem@gmail.com")</f>
        <v>jfriesem@gmail.com</v>
      </c>
      <c r="C467" s="4" t="str">
        <f ca="1">IFERROR(__xludf.DUMMYFUNCTION("""COMPUTED_VALUE"""),"EVERGREEN - UAN Gated Content - Embedded Petition")</f>
        <v>EVERGREEN - UAN Gated Content - Embedded Petition</v>
      </c>
      <c r="D467" s="5">
        <f ca="1">IFERROR(__xludf.DUMMYFUNCTION("""COMPUTED_VALUE"""),45694)</f>
        <v>45694</v>
      </c>
      <c r="F467" s="1" t="str">
        <f ca="1">IFERROR(__xludf.DUMMYFUNCTION("""COMPUTED_VALUE"""),"Russian Federation")</f>
        <v>Russian Federation</v>
      </c>
      <c r="G467" s="1" t="str">
        <f ca="1">IFERROR(__xludf.DUMMYFUNCTION("""COMPUTED_VALUE"""),"102.24 Russia")</f>
        <v>102.24 Russia</v>
      </c>
      <c r="H467" s="1" t="str">
        <f ca="1">IFERROR(__xludf.DUMMYFUNCTION("""COMPUTED_VALUE"""),"Freedom of Expression, Individuals At Risk, Right to Protest")</f>
        <v>Freedom of Expression, Individuals At Risk, Right to Protest</v>
      </c>
      <c r="I467" s="1" t="str">
        <f ca="1">IFERROR(__xludf.DUMMYFUNCTION("""COMPUTED_VALUE"""),"2024")</f>
        <v>2024</v>
      </c>
      <c r="J467" s="1" t="str">
        <f ca="1">IFERROR(__xludf.DUMMYFUNCTION("""COMPUTED_VALUE"""),"Email")</f>
        <v>Email</v>
      </c>
    </row>
    <row r="468" spans="1:10" ht="13" x14ac:dyDescent="0.15">
      <c r="A468" s="4">
        <f ca="1">IFERROR(__xludf.DUMMYFUNCTION("""COMPUTED_VALUE"""),31162734)</f>
        <v>31162734</v>
      </c>
      <c r="B468" s="1" t="str">
        <f ca="1">IFERROR(__xludf.DUMMYFUNCTION("""COMPUTED_VALUE"""),"jfriesem@gmail.com")</f>
        <v>jfriesem@gmail.com</v>
      </c>
      <c r="C468" s="4" t="str">
        <f ca="1">IFERROR(__xludf.DUMMYFUNCTION("""COMPUTED_VALUE"""),"EVERGREEN - UAN Gated Content - Embedded Petition")</f>
        <v>EVERGREEN - UAN Gated Content - Embedded Petition</v>
      </c>
      <c r="D468" s="5">
        <f ca="1">IFERROR(__xludf.DUMMYFUNCTION("""COMPUTED_VALUE"""),45694)</f>
        <v>45694</v>
      </c>
      <c r="F468" s="1" t="str">
        <f ca="1">IFERROR(__xludf.DUMMYFUNCTION("""COMPUTED_VALUE"""),"Tunisia")</f>
        <v>Tunisia</v>
      </c>
      <c r="G468" s="1" t="str">
        <f ca="1">IFERROR(__xludf.DUMMYFUNCTION("""COMPUTED_VALUE"""),"Second 76.24 Tunisia")</f>
        <v>Second 76.24 Tunisia</v>
      </c>
      <c r="H468" s="1" t="str">
        <f ca="1">IFERROR(__xludf.DUMMYFUNCTION("""COMPUTED_VALUE"""),"Freedom of Expression, Human Rights Defenders")</f>
        <v>Freedom of Expression, Human Rights Defenders</v>
      </c>
      <c r="I468" s="1" t="str">
        <f ca="1">IFERROR(__xludf.DUMMYFUNCTION("""COMPUTED_VALUE"""),"2025")</f>
        <v>2025</v>
      </c>
      <c r="J468" s="1" t="str">
        <f ca="1">IFERROR(__xludf.DUMMYFUNCTION("""COMPUTED_VALUE"""),"Email")</f>
        <v>Email</v>
      </c>
    </row>
    <row r="469" spans="1:10" ht="13" x14ac:dyDescent="0.15">
      <c r="A469" s="4">
        <f ca="1">IFERROR(__xludf.DUMMYFUNCTION("""COMPUTED_VALUE"""),31165016)</f>
        <v>31165016</v>
      </c>
      <c r="B469" s="1" t="str">
        <f ca="1">IFERROR(__xludf.DUMMYFUNCTION("""COMPUTED_VALUE"""),"david.strozzi@gmail.com")</f>
        <v>david.strozzi@gmail.com</v>
      </c>
      <c r="C469" s="4" t="str">
        <f ca="1">IFERROR(__xludf.DUMMYFUNCTION("""COMPUTED_VALUE"""),"EVERGREEN - UAN Gated Content - Embedded Petition")</f>
        <v>EVERGREEN - UAN Gated Content - Embedded Petition</v>
      </c>
      <c r="D469" s="5">
        <f ca="1">IFERROR(__xludf.DUMMYFUNCTION("""COMPUTED_VALUE"""),45660)</f>
        <v>45660</v>
      </c>
      <c r="F469" s="1" t="str">
        <f ca="1">IFERROR(__xludf.DUMMYFUNCTION("""COMPUTED_VALUE"""),"Tunisia")</f>
        <v>Tunisia</v>
      </c>
      <c r="G469" s="1" t="str">
        <f ca="1">IFERROR(__xludf.DUMMYFUNCTION("""COMPUTED_VALUE"""),"Second 76.24 Tunisia")</f>
        <v>Second 76.24 Tunisia</v>
      </c>
      <c r="H469" s="1" t="str">
        <f ca="1">IFERROR(__xludf.DUMMYFUNCTION("""COMPUTED_VALUE"""),"Freedom of Expression, Human Rights Defenders")</f>
        <v>Freedom of Expression, Human Rights Defenders</v>
      </c>
      <c r="I469" s="1" t="str">
        <f ca="1">IFERROR(__xludf.DUMMYFUNCTION("""COMPUTED_VALUE"""),"2025")</f>
        <v>2025</v>
      </c>
      <c r="J469" s="1" t="str">
        <f ca="1">IFERROR(__xludf.DUMMYFUNCTION("""COMPUTED_VALUE"""),"Email")</f>
        <v>Email</v>
      </c>
    </row>
    <row r="470" spans="1:10" ht="13" x14ac:dyDescent="0.15">
      <c r="A470" s="4">
        <f ca="1">IFERROR(__xludf.DUMMYFUNCTION("""COMPUTED_VALUE"""),31171426)</f>
        <v>31171426</v>
      </c>
      <c r="B470" s="1" t="str">
        <f ca="1">IFERROR(__xludf.DUMMYFUNCTION("""COMPUTED_VALUE"""),"krigone@gmail.com")</f>
        <v>krigone@gmail.com</v>
      </c>
      <c r="C470" s="4" t="str">
        <f ca="1">IFERROR(__xludf.DUMMYFUNCTION("""COMPUTED_VALUE"""),"EVERGREEN - UAN Gated Content - Embedded Petition")</f>
        <v>EVERGREEN - UAN Gated Content - Embedded Petition</v>
      </c>
      <c r="D470" s="5">
        <f ca="1">IFERROR(__xludf.DUMMYFUNCTION("""COMPUTED_VALUE"""),45694)</f>
        <v>45694</v>
      </c>
      <c r="F470" s="1" t="str">
        <f ca="1">IFERROR(__xludf.DUMMYFUNCTION("""COMPUTED_VALUE"""),"Tunisia")</f>
        <v>Tunisia</v>
      </c>
      <c r="G470" s="1" t="str">
        <f ca="1">IFERROR(__xludf.DUMMYFUNCTION("""COMPUTED_VALUE"""),"Second 76.24 Tunisia")</f>
        <v>Second 76.24 Tunisia</v>
      </c>
      <c r="H470" s="1" t="str">
        <f ca="1">IFERROR(__xludf.DUMMYFUNCTION("""COMPUTED_VALUE"""),"Freedom of Expression, Human Rights Defenders")</f>
        <v>Freedom of Expression, Human Rights Defenders</v>
      </c>
      <c r="I470" s="1" t="str">
        <f ca="1">IFERROR(__xludf.DUMMYFUNCTION("""COMPUTED_VALUE"""),"2025")</f>
        <v>2025</v>
      </c>
      <c r="J470" s="1" t="str">
        <f ca="1">IFERROR(__xludf.DUMMYFUNCTION("""COMPUTED_VALUE"""),"Email")</f>
        <v>Email</v>
      </c>
    </row>
    <row r="471" spans="1:10" ht="13" x14ac:dyDescent="0.15">
      <c r="A471" s="4">
        <f ca="1">IFERROR(__xludf.DUMMYFUNCTION("""COMPUTED_VALUE"""),31182325)</f>
        <v>31182325</v>
      </c>
      <c r="B471" s="1" t="str">
        <f ca="1">IFERROR(__xludf.DUMMYFUNCTION("""COMPUTED_VALUE"""),"bwrdtk1973@gmail.com")</f>
        <v>bwrdtk1973@gmail.com</v>
      </c>
      <c r="C471" s="4" t="str">
        <f ca="1">IFERROR(__xludf.DUMMYFUNCTION("""COMPUTED_VALUE"""),"EVERGREEN - UAN Gated Content - Embedded Petition")</f>
        <v>EVERGREEN - UAN Gated Content - Embedded Petition</v>
      </c>
      <c r="D471" s="5">
        <f ca="1">IFERROR(__xludf.DUMMYFUNCTION("""COMPUTED_VALUE"""),45617)</f>
        <v>45617</v>
      </c>
      <c r="F471" s="1" t="str">
        <f ca="1">IFERROR(__xludf.DUMMYFUNCTION("""COMPUTED_VALUE"""),"Tunisia")</f>
        <v>Tunisia</v>
      </c>
      <c r="G471" s="1" t="str">
        <f ca="1">IFERROR(__xludf.DUMMYFUNCTION("""COMPUTED_VALUE"""),"Second 76.24 Tunisia")</f>
        <v>Second 76.24 Tunisia</v>
      </c>
      <c r="H471" s="1" t="str">
        <f ca="1">IFERROR(__xludf.DUMMYFUNCTION("""COMPUTED_VALUE"""),"Freedom of Expression, Human Rights Defenders")</f>
        <v>Freedom of Expression, Human Rights Defenders</v>
      </c>
      <c r="I471" s="1" t="str">
        <f ca="1">IFERROR(__xludf.DUMMYFUNCTION("""COMPUTED_VALUE"""),"2025")</f>
        <v>2025</v>
      </c>
      <c r="J471" s="1" t="str">
        <f ca="1">IFERROR(__xludf.DUMMYFUNCTION("""COMPUTED_VALUE"""),"Email")</f>
        <v>Email</v>
      </c>
    </row>
    <row r="472" spans="1:10" ht="13" x14ac:dyDescent="0.15">
      <c r="A472" s="4">
        <f ca="1">IFERROR(__xludf.DUMMYFUNCTION("""COMPUTED_VALUE"""),31182325)</f>
        <v>31182325</v>
      </c>
      <c r="B472" s="1" t="str">
        <f ca="1">IFERROR(__xludf.DUMMYFUNCTION("""COMPUTED_VALUE"""),"bwrdtk1973@gmail.com")</f>
        <v>bwrdtk1973@gmail.com</v>
      </c>
      <c r="C472" s="4" t="str">
        <f ca="1">IFERROR(__xludf.DUMMYFUNCTION("""COMPUTED_VALUE"""),"EVERGREEN - UAN Gated Content - Embedded Petition")</f>
        <v>EVERGREEN - UAN Gated Content - Embedded Petition</v>
      </c>
      <c r="D472" s="5">
        <f ca="1">IFERROR(__xludf.DUMMYFUNCTION("""COMPUTED_VALUE"""),45617)</f>
        <v>45617</v>
      </c>
      <c r="F472" s="1" t="str">
        <f ca="1">IFERROR(__xludf.DUMMYFUNCTION("""COMPUTED_VALUE"""),"Tunisia")</f>
        <v>Tunisia</v>
      </c>
      <c r="G472" s="1" t="str">
        <f ca="1">IFERROR(__xludf.DUMMYFUNCTION("""COMPUTED_VALUE"""),"Second 76.24 Tunisia")</f>
        <v>Second 76.24 Tunisia</v>
      </c>
      <c r="H472" s="1" t="str">
        <f ca="1">IFERROR(__xludf.DUMMYFUNCTION("""COMPUTED_VALUE"""),"Freedom of Expression, Human Rights Defenders")</f>
        <v>Freedom of Expression, Human Rights Defenders</v>
      </c>
      <c r="I472" s="1" t="str">
        <f ca="1">IFERROR(__xludf.DUMMYFUNCTION("""COMPUTED_VALUE"""),"2025")</f>
        <v>2025</v>
      </c>
      <c r="J472" s="1" t="str">
        <f ca="1">IFERROR(__xludf.DUMMYFUNCTION("""COMPUTED_VALUE"""),"Email")</f>
        <v>Email</v>
      </c>
    </row>
    <row r="473" spans="1:10" ht="13" x14ac:dyDescent="0.15">
      <c r="A473" s="4">
        <f ca="1">IFERROR(__xludf.DUMMYFUNCTION("""COMPUTED_VALUE"""),31182325)</f>
        <v>31182325</v>
      </c>
      <c r="B473" s="1" t="str">
        <f ca="1">IFERROR(__xludf.DUMMYFUNCTION("""COMPUTED_VALUE"""),"bwrdtk1973@gmail.com")</f>
        <v>bwrdtk1973@gmail.com</v>
      </c>
      <c r="C473" s="4" t="str">
        <f ca="1">IFERROR(__xludf.DUMMYFUNCTION("""COMPUTED_VALUE"""),"EVERGREEN - UAN Gated Content - Embedded Petition")</f>
        <v>EVERGREEN - UAN Gated Content - Embedded Petition</v>
      </c>
      <c r="D473" s="5">
        <f ca="1">IFERROR(__xludf.DUMMYFUNCTION("""COMPUTED_VALUE"""),45640)</f>
        <v>45640</v>
      </c>
      <c r="F473" s="1" t="str">
        <f ca="1">IFERROR(__xludf.DUMMYFUNCTION("""COMPUTED_VALUE"""),"USA")</f>
        <v>USA</v>
      </c>
      <c r="G473" s="1" t="str">
        <f ca="1">IFERROR(__xludf.DUMMYFUNCTION("""COMPUTED_VALUE"""),"Fourth 55.24 USA")</f>
        <v>Fourth 55.24 USA</v>
      </c>
      <c r="H473" s="1" t="str">
        <f ca="1">IFERROR(__xludf.DUMMYFUNCTION("""COMPUTED_VALUE"""),"Climate Justice, Individuals At Risk")</f>
        <v>Climate Justice, Individuals At Risk</v>
      </c>
      <c r="I473" s="1" t="str">
        <f ca="1">IFERROR(__xludf.DUMMYFUNCTION("""COMPUTED_VALUE"""),"2025")</f>
        <v>2025</v>
      </c>
      <c r="J473" s="1" t="str">
        <f ca="1">IFERROR(__xludf.DUMMYFUNCTION("""COMPUTED_VALUE"""),"Email")</f>
        <v>Email</v>
      </c>
    </row>
    <row r="474" spans="1:10" ht="13" x14ac:dyDescent="0.15">
      <c r="A474" s="4">
        <f ca="1">IFERROR(__xludf.DUMMYFUNCTION("""COMPUTED_VALUE"""),31182325)</f>
        <v>31182325</v>
      </c>
      <c r="B474" s="1" t="str">
        <f ca="1">IFERROR(__xludf.DUMMYFUNCTION("""COMPUTED_VALUE"""),"bwrdtk1973@gmail.com")</f>
        <v>bwrdtk1973@gmail.com</v>
      </c>
      <c r="C474" s="4" t="str">
        <f ca="1">IFERROR(__xludf.DUMMYFUNCTION("""COMPUTED_VALUE"""),"EVERGREEN - UAN Gated Content - Embedded Petition")</f>
        <v>EVERGREEN - UAN Gated Content - Embedded Petition</v>
      </c>
      <c r="D474" s="5">
        <f ca="1">IFERROR(__xludf.DUMMYFUNCTION("""COMPUTED_VALUE"""),45636)</f>
        <v>45636</v>
      </c>
      <c r="F474" s="1" t="str">
        <f ca="1">IFERROR(__xludf.DUMMYFUNCTION("""COMPUTED_VALUE"""),"Azerbaijan")</f>
        <v>Azerbaijan</v>
      </c>
      <c r="G474" s="1" t="str">
        <f ca="1">IFERROR(__xludf.DUMMYFUNCTION("""COMPUTED_VALUE"""),"2.25 Azerbaijan")</f>
        <v>2.25 Azerbaijan</v>
      </c>
      <c r="H474" s="1" t="str">
        <f ca="1">IFERROR(__xludf.DUMMYFUNCTION("""COMPUTED_VALUE"""),"Freedom of Expression, Human Rights Defenders")</f>
        <v>Freedom of Expression, Human Rights Defenders</v>
      </c>
      <c r="I474" s="1" t="str">
        <f ca="1">IFERROR(__xludf.DUMMYFUNCTION("""COMPUTED_VALUE"""),"2025")</f>
        <v>2025</v>
      </c>
      <c r="J474" s="1" t="str">
        <f ca="1">IFERROR(__xludf.DUMMYFUNCTION("""COMPUTED_VALUE"""),"Email")</f>
        <v>Email</v>
      </c>
    </row>
    <row r="475" spans="1:10" ht="13" x14ac:dyDescent="0.15">
      <c r="A475" s="4">
        <f ca="1">IFERROR(__xludf.DUMMYFUNCTION("""COMPUTED_VALUE"""),31182325)</f>
        <v>31182325</v>
      </c>
      <c r="B475" s="1" t="str">
        <f ca="1">IFERROR(__xludf.DUMMYFUNCTION("""COMPUTED_VALUE"""),"bwrdtk1973@gmail.com")</f>
        <v>bwrdtk1973@gmail.com</v>
      </c>
      <c r="C475" s="4" t="str">
        <f ca="1">IFERROR(__xludf.DUMMYFUNCTION("""COMPUTED_VALUE"""),"EVERGREEN - UAN Gated Content - Embedded Petition")</f>
        <v>EVERGREEN - UAN Gated Content - Embedded Petition</v>
      </c>
      <c r="D475" s="5">
        <f ca="1">IFERROR(__xludf.DUMMYFUNCTION("""COMPUTED_VALUE"""),45700)</f>
        <v>45700</v>
      </c>
      <c r="F475" s="1" t="str">
        <f ca="1">IFERROR(__xludf.DUMMYFUNCTION("""COMPUTED_VALUE"""),"Venezuela")</f>
        <v>Venezuela</v>
      </c>
      <c r="G475" s="1" t="str">
        <f ca="1">IFERROR(__xludf.DUMMYFUNCTION("""COMPUTED_VALUE"""),"1.25 Venezuela")</f>
        <v>1.25 Venezuela</v>
      </c>
      <c r="H475" s="1" t="str">
        <f ca="1">IFERROR(__xludf.DUMMYFUNCTION("""COMPUTED_VALUE"""),"Human Rights Defenders, Individuals At Risk")</f>
        <v>Human Rights Defenders, Individuals At Risk</v>
      </c>
      <c r="I475" s="1" t="str">
        <f ca="1">IFERROR(__xludf.DUMMYFUNCTION("""COMPUTED_VALUE"""),"2025")</f>
        <v>2025</v>
      </c>
      <c r="J475" s="1" t="str">
        <f ca="1">IFERROR(__xludf.DUMMYFUNCTION("""COMPUTED_VALUE"""),"Letter")</f>
        <v>Letter</v>
      </c>
    </row>
    <row r="476" spans="1:10" ht="13" x14ac:dyDescent="0.15">
      <c r="A476" s="4">
        <f ca="1">IFERROR(__xludf.DUMMYFUNCTION("""COMPUTED_VALUE"""),31182325)</f>
        <v>31182325</v>
      </c>
      <c r="B476" s="1" t="str">
        <f ca="1">IFERROR(__xludf.DUMMYFUNCTION("""COMPUTED_VALUE"""),"bwrdtk1973@gmail.com")</f>
        <v>bwrdtk1973@gmail.com</v>
      </c>
      <c r="C476" s="4" t="str">
        <f ca="1">IFERROR(__xludf.DUMMYFUNCTION("""COMPUTED_VALUE"""),"EVERGREEN - UAN Gated Content - Embedded Petition")</f>
        <v>EVERGREEN - UAN Gated Content - Embedded Petition</v>
      </c>
      <c r="D476" s="5">
        <f ca="1">IFERROR(__xludf.DUMMYFUNCTION("""COMPUTED_VALUE"""),45675)</f>
        <v>45675</v>
      </c>
      <c r="F476" s="1" t="str">
        <f ca="1">IFERROR(__xludf.DUMMYFUNCTION("""COMPUTED_VALUE"""),"Venezuela")</f>
        <v>Venezuela</v>
      </c>
      <c r="G476" s="1" t="str">
        <f ca="1">IFERROR(__xludf.DUMMYFUNCTION("""COMPUTED_VALUE"""),"1.25 Venezuela")</f>
        <v>1.25 Venezuela</v>
      </c>
      <c r="H476" s="1" t="str">
        <f ca="1">IFERROR(__xludf.DUMMYFUNCTION("""COMPUTED_VALUE"""),"Human Rights Defenders, Individuals At Risk")</f>
        <v>Human Rights Defenders, Individuals At Risk</v>
      </c>
      <c r="I476" s="1" t="str">
        <f ca="1">IFERROR(__xludf.DUMMYFUNCTION("""COMPUTED_VALUE"""),"2025")</f>
        <v>2025</v>
      </c>
      <c r="J476" s="1" t="str">
        <f ca="1">IFERROR(__xludf.DUMMYFUNCTION("""COMPUTED_VALUE"""),"Letter")</f>
        <v>Letter</v>
      </c>
    </row>
    <row r="477" spans="1:10" ht="13" x14ac:dyDescent="0.15">
      <c r="A477" s="4">
        <f ca="1">IFERROR(__xludf.DUMMYFUNCTION("""COMPUTED_VALUE"""),31182325)</f>
        <v>31182325</v>
      </c>
      <c r="B477" s="1" t="str">
        <f ca="1">IFERROR(__xludf.DUMMYFUNCTION("""COMPUTED_VALUE"""),"bwrdtk1973@gmail.com")</f>
        <v>bwrdtk1973@gmail.com</v>
      </c>
      <c r="C477" s="4" t="str">
        <f ca="1">IFERROR(__xludf.DUMMYFUNCTION("""COMPUTED_VALUE"""),"EVERGREEN - UAN Gated Content - Embedded Petition")</f>
        <v>EVERGREEN - UAN Gated Content - Embedded Petition</v>
      </c>
      <c r="D477" s="5">
        <f ca="1">IFERROR(__xludf.DUMMYFUNCTION("""COMPUTED_VALUE"""),45673)</f>
        <v>45673</v>
      </c>
      <c r="F477" s="1" t="str">
        <f ca="1">IFERROR(__xludf.DUMMYFUNCTION("""COMPUTED_VALUE"""),"Egypt")</f>
        <v>Egypt</v>
      </c>
      <c r="G477" s="1" t="str">
        <f ca="1">IFERROR(__xludf.DUMMYFUNCTION("""COMPUTED_VALUE"""),"Third 73.23 Egypt")</f>
        <v>Third 73.23 Egypt</v>
      </c>
      <c r="H477" s="1" t="str">
        <f ca="1">IFERROR(__xludf.DUMMYFUNCTION("""COMPUTED_VALUE"""),"Individuals At Risk")</f>
        <v>Individuals At Risk</v>
      </c>
      <c r="I477" s="1" t="str">
        <f ca="1">IFERROR(__xludf.DUMMYFUNCTION("""COMPUTED_VALUE"""),"2024")</f>
        <v>2024</v>
      </c>
      <c r="J477" s="1" t="str">
        <f ca="1">IFERROR(__xludf.DUMMYFUNCTION("""COMPUTED_VALUE"""),"Email")</f>
        <v>Email</v>
      </c>
    </row>
    <row r="478" spans="1:10" ht="13" x14ac:dyDescent="0.15">
      <c r="A478" s="4">
        <f ca="1">IFERROR(__xludf.DUMMYFUNCTION("""COMPUTED_VALUE"""),31182325)</f>
        <v>31182325</v>
      </c>
      <c r="B478" s="1" t="str">
        <f ca="1">IFERROR(__xludf.DUMMYFUNCTION("""COMPUTED_VALUE"""),"bwrdtk1973@gmail.com")</f>
        <v>bwrdtk1973@gmail.com</v>
      </c>
      <c r="C478" s="4" t="str">
        <f ca="1">IFERROR(__xludf.DUMMYFUNCTION("""COMPUTED_VALUE"""),"EVERGREEN - UAN Gated Content - Embedded Petition")</f>
        <v>EVERGREEN - UAN Gated Content - Embedded Petition</v>
      </c>
      <c r="D478" s="5">
        <f ca="1">IFERROR(__xludf.DUMMYFUNCTION("""COMPUTED_VALUE"""),45694)</f>
        <v>45694</v>
      </c>
      <c r="F478" s="1" t="str">
        <f ca="1">IFERROR(__xludf.DUMMYFUNCTION("""COMPUTED_VALUE"""),"Iran")</f>
        <v>Iran</v>
      </c>
      <c r="G478" s="1" t="str">
        <f ca="1">IFERROR(__xludf.DUMMYFUNCTION("""COMPUTED_VALUE"""),"Seventh 103.22 Iran")</f>
        <v>Seventh 103.22 Iran</v>
      </c>
      <c r="H478" s="1" t="str">
        <f ca="1">IFERROR(__xludf.DUMMYFUNCTION("""COMPUTED_VALUE"""),"Death Penalty, Freedom of Expression, Individuals At Risk")</f>
        <v>Death Penalty, Freedom of Expression, Individuals At Risk</v>
      </c>
      <c r="I478" s="1" t="str">
        <f ca="1">IFERROR(__xludf.DUMMYFUNCTION("""COMPUTED_VALUE"""),"2024")</f>
        <v>2024</v>
      </c>
      <c r="J478" s="1" t="str">
        <f ca="1">IFERROR(__xludf.DUMMYFUNCTION("""COMPUTED_VALUE"""),"Email")</f>
        <v>Email</v>
      </c>
    </row>
    <row r="479" spans="1:10" ht="13" x14ac:dyDescent="0.15">
      <c r="A479" s="4">
        <f ca="1">IFERROR(__xludf.DUMMYFUNCTION("""COMPUTED_VALUE"""),31182325)</f>
        <v>31182325</v>
      </c>
      <c r="B479" s="1" t="str">
        <f ca="1">IFERROR(__xludf.DUMMYFUNCTION("""COMPUTED_VALUE"""),"bwrdtk1973@gmail.com")</f>
        <v>bwrdtk1973@gmail.com</v>
      </c>
      <c r="C479" s="4" t="str">
        <f ca="1">IFERROR(__xludf.DUMMYFUNCTION("""COMPUTED_VALUE"""),"EVERGREEN - UAN Gated Content - Embedded Petition")</f>
        <v>EVERGREEN - UAN Gated Content - Embedded Petition</v>
      </c>
      <c r="D479" s="5">
        <f ca="1">IFERROR(__xludf.DUMMYFUNCTION("""COMPUTED_VALUE"""),45675)</f>
        <v>45675</v>
      </c>
      <c r="F479" s="1" t="str">
        <f ca="1">IFERROR(__xludf.DUMMYFUNCTION("""COMPUTED_VALUE"""),"USA")</f>
        <v>USA</v>
      </c>
      <c r="G479" s="1" t="str">
        <f ca="1">IFERROR(__xludf.DUMMYFUNCTION("""COMPUTED_VALUE"""),"4.25 USA")</f>
        <v>4.25 USA</v>
      </c>
      <c r="H479" s="1" t="str">
        <f ca="1">IFERROR(__xludf.DUMMYFUNCTION("""COMPUTED_VALUE"""),"Individuals At Risk, Refugee and Migrant Rights")</f>
        <v>Individuals At Risk, Refugee and Migrant Rights</v>
      </c>
      <c r="I479" s="1" t="str">
        <f ca="1">IFERROR(__xludf.DUMMYFUNCTION("""COMPUTED_VALUE"""),"2025")</f>
        <v>2025</v>
      </c>
      <c r="J479" s="1" t="str">
        <f ca="1">IFERROR(__xludf.DUMMYFUNCTION("""COMPUTED_VALUE"""),"Letter")</f>
        <v>Letter</v>
      </c>
    </row>
    <row r="480" spans="1:10" ht="13" x14ac:dyDescent="0.15">
      <c r="A480" s="4">
        <f ca="1">IFERROR(__xludf.DUMMYFUNCTION("""COMPUTED_VALUE"""),31195178)</f>
        <v>31195178</v>
      </c>
      <c r="B480" s="1" t="str">
        <f ca="1">IFERROR(__xludf.DUMMYFUNCTION("""COMPUTED_VALUE"""),"donshawcats@mac.com")</f>
        <v>donshawcats@mac.com</v>
      </c>
      <c r="C480" s="4" t="str">
        <f ca="1">IFERROR(__xludf.DUMMYFUNCTION("""COMPUTED_VALUE"""),"EVERGREEN - UAN Gated Content - Embedded Petition")</f>
        <v>EVERGREEN - UAN Gated Content - Embedded Petition</v>
      </c>
      <c r="D480" s="5">
        <f ca="1">IFERROR(__xludf.DUMMYFUNCTION("""COMPUTED_VALUE"""),45694)</f>
        <v>45694</v>
      </c>
      <c r="F480" s="1" t="str">
        <f ca="1">IFERROR(__xludf.DUMMYFUNCTION("""COMPUTED_VALUE"""),"Iran")</f>
        <v>Iran</v>
      </c>
      <c r="G480" s="1" t="str">
        <f ca="1">IFERROR(__xludf.DUMMYFUNCTION("""COMPUTED_VALUE"""),"6.25 Iran")</f>
        <v>6.25 Iran</v>
      </c>
      <c r="H480" s="1" t="str">
        <f ca="1">IFERROR(__xludf.DUMMYFUNCTION("""COMPUTED_VALUE"""),"Death Penalty, Freedom of Expression, Individuals At Risk")</f>
        <v>Death Penalty, Freedom of Expression, Individuals At Risk</v>
      </c>
      <c r="I480" s="1" t="str">
        <f ca="1">IFERROR(__xludf.DUMMYFUNCTION("""COMPUTED_VALUE"""),"2025")</f>
        <v>2025</v>
      </c>
      <c r="J480" s="1" t="str">
        <f ca="1">IFERROR(__xludf.DUMMYFUNCTION("""COMPUTED_VALUE"""),"Email")</f>
        <v>Email</v>
      </c>
    </row>
    <row r="481" spans="1:10" ht="13" x14ac:dyDescent="0.15">
      <c r="A481" s="4">
        <f ca="1">IFERROR(__xludf.DUMMYFUNCTION("""COMPUTED_VALUE"""),31203157)</f>
        <v>31203157</v>
      </c>
      <c r="B481" s="1" t="str">
        <f ca="1">IFERROR(__xludf.DUMMYFUNCTION("""COMPUTED_VALUE"""),"murdock_ls@hotmail.com")</f>
        <v>murdock_ls@hotmail.com</v>
      </c>
      <c r="C481" s="4" t="str">
        <f ca="1">IFERROR(__xludf.DUMMYFUNCTION("""COMPUTED_VALUE"""),"EVERGREEN - UAN Gated Content - Embedded Petition")</f>
        <v>EVERGREEN - UAN Gated Content - Embedded Petition</v>
      </c>
      <c r="D481" s="5">
        <f ca="1">IFERROR(__xludf.DUMMYFUNCTION("""COMPUTED_VALUE"""),45677)</f>
        <v>45677</v>
      </c>
      <c r="F481" s="1" t="str">
        <f ca="1">IFERROR(__xludf.DUMMYFUNCTION("""COMPUTED_VALUE"""),"Saudi Arabia")</f>
        <v>Saudi Arabia</v>
      </c>
      <c r="G481" s="1" t="str">
        <f ca="1">IFERROR(__xludf.DUMMYFUNCTION("""COMPUTED_VALUE"""),"Fifth 257.12")</f>
        <v>Fifth 257.12</v>
      </c>
      <c r="H481" s="1" t="str">
        <f ca="1">IFERROR(__xludf.DUMMYFUNCTION("""COMPUTED_VALUE"""),"Freedom of Expression, Human Rights Defenders")</f>
        <v>Freedom of Expression, Human Rights Defenders</v>
      </c>
      <c r="I481" s="1" t="str">
        <f ca="1">IFERROR(__xludf.DUMMYFUNCTION("""COMPUTED_VALUE"""),"2025")</f>
        <v>2025</v>
      </c>
      <c r="J481" s="1" t="str">
        <f ca="1">IFERROR(__xludf.DUMMYFUNCTION("""COMPUTED_VALUE"""),"Email")</f>
        <v>Email</v>
      </c>
    </row>
    <row r="482" spans="1:10" ht="13" x14ac:dyDescent="0.15">
      <c r="A482" s="4">
        <f ca="1">IFERROR(__xludf.DUMMYFUNCTION("""COMPUTED_VALUE"""),31210048)</f>
        <v>31210048</v>
      </c>
      <c r="B482" s="1" t="str">
        <f ca="1">IFERROR(__xludf.DUMMYFUNCTION("""COMPUTED_VALUE"""),"scottysusan@gmail.com")</f>
        <v>scottysusan@gmail.com</v>
      </c>
      <c r="C482" s="4" t="str">
        <f ca="1">IFERROR(__xludf.DUMMYFUNCTION("""COMPUTED_VALUE"""),"EVERGREEN - UAN Gated Content - Embedded Petition")</f>
        <v>EVERGREEN - UAN Gated Content - Embedded Petition</v>
      </c>
      <c r="D482" s="5">
        <f ca="1">IFERROR(__xludf.DUMMYFUNCTION("""COMPUTED_VALUE"""),45636)</f>
        <v>45636</v>
      </c>
      <c r="F482" s="1" t="str">
        <f ca="1">IFERROR(__xludf.DUMMYFUNCTION("""COMPUTED_VALUE"""),"USA")</f>
        <v>USA</v>
      </c>
      <c r="G482" s="1" t="str">
        <f ca="1">IFERROR(__xludf.DUMMYFUNCTION("""COMPUTED_VALUE"""),"Fourth 55.24 USA")</f>
        <v>Fourth 55.24 USA</v>
      </c>
      <c r="H482" s="1" t="str">
        <f ca="1">IFERROR(__xludf.DUMMYFUNCTION("""COMPUTED_VALUE"""),"Climate Justice, Individuals At Risk")</f>
        <v>Climate Justice, Individuals At Risk</v>
      </c>
      <c r="I482" s="1" t="str">
        <f ca="1">IFERROR(__xludf.DUMMYFUNCTION("""COMPUTED_VALUE"""),"2025")</f>
        <v>2025</v>
      </c>
      <c r="J482" s="1" t="str">
        <f ca="1">IFERROR(__xludf.DUMMYFUNCTION("""COMPUTED_VALUE"""),"Email")</f>
        <v>Email</v>
      </c>
    </row>
    <row r="483" spans="1:10" ht="13" x14ac:dyDescent="0.15">
      <c r="A483" s="4">
        <f ca="1">IFERROR(__xludf.DUMMYFUNCTION("""COMPUTED_VALUE"""),31210048)</f>
        <v>31210048</v>
      </c>
      <c r="B483" s="1" t="str">
        <f ca="1">IFERROR(__xludf.DUMMYFUNCTION("""COMPUTED_VALUE"""),"scottysusan@gmail.com")</f>
        <v>scottysusan@gmail.com</v>
      </c>
      <c r="C483" s="4" t="str">
        <f ca="1">IFERROR(__xludf.DUMMYFUNCTION("""COMPUTED_VALUE"""),"EVERGREEN - UAN Gated Content - Embedded Petition")</f>
        <v>EVERGREEN - UAN Gated Content - Embedded Petition</v>
      </c>
      <c r="D483" s="5">
        <f ca="1">IFERROR(__xludf.DUMMYFUNCTION("""COMPUTED_VALUE"""),45645)</f>
        <v>45645</v>
      </c>
      <c r="F483" s="1" t="str">
        <f ca="1">IFERROR(__xludf.DUMMYFUNCTION("""COMPUTED_VALUE"""),"USA")</f>
        <v>USA</v>
      </c>
      <c r="G483" s="1" t="str">
        <f ca="1">IFERROR(__xludf.DUMMYFUNCTION("""COMPUTED_VALUE"""),"Fourth 55.24 USA")</f>
        <v>Fourth 55.24 USA</v>
      </c>
      <c r="H483" s="1" t="str">
        <f ca="1">IFERROR(__xludf.DUMMYFUNCTION("""COMPUTED_VALUE"""),"Climate Justice, Individuals At Risk")</f>
        <v>Climate Justice, Individuals At Risk</v>
      </c>
      <c r="I483" s="1" t="str">
        <f ca="1">IFERROR(__xludf.DUMMYFUNCTION("""COMPUTED_VALUE"""),"2025")</f>
        <v>2025</v>
      </c>
      <c r="J483" s="1" t="str">
        <f ca="1">IFERROR(__xludf.DUMMYFUNCTION("""COMPUTED_VALUE"""),"Email")</f>
        <v>Email</v>
      </c>
    </row>
    <row r="484" spans="1:10" ht="13" x14ac:dyDescent="0.15">
      <c r="A484" s="4">
        <f ca="1">IFERROR(__xludf.DUMMYFUNCTION("""COMPUTED_VALUE"""),31210048)</f>
        <v>31210048</v>
      </c>
      <c r="B484" s="1" t="str">
        <f ca="1">IFERROR(__xludf.DUMMYFUNCTION("""COMPUTED_VALUE"""),"scottysusan@gmail.com")</f>
        <v>scottysusan@gmail.com</v>
      </c>
      <c r="C484" s="4" t="str">
        <f ca="1">IFERROR(__xludf.DUMMYFUNCTION("""COMPUTED_VALUE"""),"EVERGREEN - UAN Gated Content - Embedded Petition")</f>
        <v>EVERGREEN - UAN Gated Content - Embedded Petition</v>
      </c>
      <c r="D484" s="5">
        <f ca="1">IFERROR(__xludf.DUMMYFUNCTION("""COMPUTED_VALUE"""),45695)</f>
        <v>45695</v>
      </c>
      <c r="F484" s="1" t="str">
        <f ca="1">IFERROR(__xludf.DUMMYFUNCTION("""COMPUTED_VALUE"""),"Azerbaijan")</f>
        <v>Azerbaijan</v>
      </c>
      <c r="G484" s="1" t="str">
        <f ca="1">IFERROR(__xludf.DUMMYFUNCTION("""COMPUTED_VALUE"""),"2.25 Azerbaijan")</f>
        <v>2.25 Azerbaijan</v>
      </c>
      <c r="H484" s="1" t="str">
        <f ca="1">IFERROR(__xludf.DUMMYFUNCTION("""COMPUTED_VALUE"""),"Freedom of Expression, Human Rights Defenders")</f>
        <v>Freedom of Expression, Human Rights Defenders</v>
      </c>
      <c r="I484" s="1" t="str">
        <f ca="1">IFERROR(__xludf.DUMMYFUNCTION("""COMPUTED_VALUE"""),"2025")</f>
        <v>2025</v>
      </c>
      <c r="J484" s="1" t="str">
        <f ca="1">IFERROR(__xludf.DUMMYFUNCTION("""COMPUTED_VALUE"""),"Email")</f>
        <v>Email</v>
      </c>
    </row>
    <row r="485" spans="1:10" ht="13" x14ac:dyDescent="0.15">
      <c r="A485" s="4">
        <f ca="1">IFERROR(__xludf.DUMMYFUNCTION("""COMPUTED_VALUE"""),31210048)</f>
        <v>31210048</v>
      </c>
      <c r="B485" s="1" t="str">
        <f ca="1">IFERROR(__xludf.DUMMYFUNCTION("""COMPUTED_VALUE"""),"scottysusan@gmail.com")</f>
        <v>scottysusan@gmail.com</v>
      </c>
      <c r="C485" s="4" t="str">
        <f ca="1">IFERROR(__xludf.DUMMYFUNCTION("""COMPUTED_VALUE"""),"EVERGREEN - UAN Gated Content - Embedded Petition")</f>
        <v>EVERGREEN - UAN Gated Content - Embedded Petition</v>
      </c>
      <c r="D485" s="5">
        <f ca="1">IFERROR(__xludf.DUMMYFUNCTION("""COMPUTED_VALUE"""),45645)</f>
        <v>45645</v>
      </c>
      <c r="F485" s="1" t="str">
        <f ca="1">IFERROR(__xludf.DUMMYFUNCTION("""COMPUTED_VALUE"""),"Saudi Arabia")</f>
        <v>Saudi Arabia</v>
      </c>
      <c r="G485" s="1" t="str">
        <f ca="1">IFERROR(__xludf.DUMMYFUNCTION("""COMPUTED_VALUE"""),"Second 85.23 Saudi Arabia")</f>
        <v>Second 85.23 Saudi Arabia</v>
      </c>
      <c r="H485" s="1" t="str">
        <f ca="1">IFERROR(__xludf.DUMMYFUNCTION("""COMPUTED_VALUE"""),"Freedom of Expression")</f>
        <v>Freedom of Expression</v>
      </c>
      <c r="I485" s="1" t="str">
        <f ca="1">IFERROR(__xludf.DUMMYFUNCTION("""COMPUTED_VALUE"""),"2024")</f>
        <v>2024</v>
      </c>
      <c r="J485" s="1" t="str">
        <f ca="1">IFERROR(__xludf.DUMMYFUNCTION("""COMPUTED_VALUE"""),"Letter")</f>
        <v>Letter</v>
      </c>
    </row>
    <row r="486" spans="1:10" ht="13" x14ac:dyDescent="0.15">
      <c r="A486" s="4">
        <f ca="1">IFERROR(__xludf.DUMMYFUNCTION("""COMPUTED_VALUE"""),31210048)</f>
        <v>31210048</v>
      </c>
      <c r="B486" s="1" t="str">
        <f ca="1">IFERROR(__xludf.DUMMYFUNCTION("""COMPUTED_VALUE"""),"scottysusan@gmail.com")</f>
        <v>scottysusan@gmail.com</v>
      </c>
      <c r="C486" s="4" t="str">
        <f ca="1">IFERROR(__xludf.DUMMYFUNCTION("""COMPUTED_VALUE"""),"EVERGREEN - UAN Gated Content - Embedded Petition")</f>
        <v>EVERGREEN - UAN Gated Content - Embedded Petition</v>
      </c>
      <c r="D486" s="5">
        <f ca="1">IFERROR(__xludf.DUMMYFUNCTION("""COMPUTED_VALUE"""),45645)</f>
        <v>45645</v>
      </c>
      <c r="F486" s="1" t="str">
        <f ca="1">IFERROR(__xludf.DUMMYFUNCTION("""COMPUTED_VALUE"""),"Egypt")</f>
        <v>Egypt</v>
      </c>
      <c r="G486" s="1" t="str">
        <f ca="1">IFERROR(__xludf.DUMMYFUNCTION("""COMPUTED_VALUE"""),"Ninth 190.18 Egypt")</f>
        <v>Ninth 190.18 Egypt</v>
      </c>
      <c r="H486" s="1" t="str">
        <f ca="1">IFERROR(__xludf.DUMMYFUNCTION("""COMPUTED_VALUE"""),"Freedom of Expression, Individuals At Risk")</f>
        <v>Freedom of Expression, Individuals At Risk</v>
      </c>
      <c r="I486" s="1" t="str">
        <f ca="1">IFERROR(__xludf.DUMMYFUNCTION("""COMPUTED_VALUE"""),"2024")</f>
        <v>2024</v>
      </c>
      <c r="J486" s="1" t="str">
        <f ca="1">IFERROR(__xludf.DUMMYFUNCTION("""COMPUTED_VALUE"""),"Letter")</f>
        <v>Letter</v>
      </c>
    </row>
    <row r="487" spans="1:10" ht="13" x14ac:dyDescent="0.15">
      <c r="A487" s="4">
        <f ca="1">IFERROR(__xludf.DUMMYFUNCTION("""COMPUTED_VALUE"""),31217970)</f>
        <v>31217970</v>
      </c>
      <c r="B487" s="1" t="str">
        <f ca="1">IFERROR(__xludf.DUMMYFUNCTION("""COMPUTED_VALUE"""),"mississippijen@gmail.com")</f>
        <v>mississippijen@gmail.com</v>
      </c>
      <c r="C487" s="4" t="str">
        <f ca="1">IFERROR(__xludf.DUMMYFUNCTION("""COMPUTED_VALUE"""),"EVERGREEN - UAN Gated Content - Embedded Petition")</f>
        <v>EVERGREEN - UAN Gated Content - Embedded Petition</v>
      </c>
      <c r="D487" s="5">
        <f ca="1">IFERROR(__xludf.DUMMYFUNCTION("""COMPUTED_VALUE"""),45697)</f>
        <v>45697</v>
      </c>
      <c r="F487" s="1" t="str">
        <f ca="1">IFERROR(__xludf.DUMMYFUNCTION("""COMPUTED_VALUE"""),"Tunisia")</f>
        <v>Tunisia</v>
      </c>
      <c r="G487" s="1" t="str">
        <f ca="1">IFERROR(__xludf.DUMMYFUNCTION("""COMPUTED_VALUE"""),"Second 76.24 Tunisia")</f>
        <v>Second 76.24 Tunisia</v>
      </c>
      <c r="H487" s="1" t="str">
        <f ca="1">IFERROR(__xludf.DUMMYFUNCTION("""COMPUTED_VALUE"""),"Freedom of Expression, Human Rights Defenders")</f>
        <v>Freedom of Expression, Human Rights Defenders</v>
      </c>
      <c r="I487" s="1" t="str">
        <f ca="1">IFERROR(__xludf.DUMMYFUNCTION("""COMPUTED_VALUE"""),"2025")</f>
        <v>2025</v>
      </c>
      <c r="J487" s="1" t="str">
        <f ca="1">IFERROR(__xludf.DUMMYFUNCTION("""COMPUTED_VALUE"""),"Email")</f>
        <v>Email</v>
      </c>
    </row>
    <row r="488" spans="1:10" ht="13" x14ac:dyDescent="0.15">
      <c r="A488" s="4">
        <f ca="1">IFERROR(__xludf.DUMMYFUNCTION("""COMPUTED_VALUE"""),31221037)</f>
        <v>31221037</v>
      </c>
      <c r="B488" s="1" t="str">
        <f ca="1">IFERROR(__xludf.DUMMYFUNCTION("""COMPUTED_VALUE"""),"ground@hvc.rr.com")</f>
        <v>ground@hvc.rr.com</v>
      </c>
      <c r="C488" s="4" t="str">
        <f ca="1">IFERROR(__xludf.DUMMYFUNCTION("""COMPUTED_VALUE"""),"EVERGREEN - UAN Gated Content - Embedded Petition")</f>
        <v>EVERGREEN - UAN Gated Content - Embedded Petition</v>
      </c>
      <c r="D488" s="5">
        <f ca="1">IFERROR(__xludf.DUMMYFUNCTION("""COMPUTED_VALUE"""),45663)</f>
        <v>45663</v>
      </c>
      <c r="F488" s="1" t="str">
        <f ca="1">IFERROR(__xludf.DUMMYFUNCTION("""COMPUTED_VALUE"""),"USA")</f>
        <v>USA</v>
      </c>
      <c r="G488" s="1" t="str">
        <f ca="1">IFERROR(__xludf.DUMMYFUNCTION("""COMPUTED_VALUE"""),"105.24 USA")</f>
        <v>105.24 USA</v>
      </c>
      <c r="H488" s="1" t="str">
        <f ca="1">IFERROR(__xludf.DUMMYFUNCTION("""COMPUTED_VALUE"""),"Death Penalty")</f>
        <v>Death Penalty</v>
      </c>
      <c r="I488" s="1" t="str">
        <f ca="1">IFERROR(__xludf.DUMMYFUNCTION("""COMPUTED_VALUE"""),"2024")</f>
        <v>2024</v>
      </c>
      <c r="J488" s="1" t="str">
        <f ca="1">IFERROR(__xludf.DUMMYFUNCTION("""COMPUTED_VALUE"""),"Email")</f>
        <v>Email</v>
      </c>
    </row>
    <row r="489" spans="1:10" ht="13" x14ac:dyDescent="0.15">
      <c r="A489" s="4">
        <f ca="1">IFERROR(__xludf.DUMMYFUNCTION("""COMPUTED_VALUE"""),31221037)</f>
        <v>31221037</v>
      </c>
      <c r="B489" s="1" t="str">
        <f ca="1">IFERROR(__xludf.DUMMYFUNCTION("""COMPUTED_VALUE"""),"ground@hvc.rr.com")</f>
        <v>ground@hvc.rr.com</v>
      </c>
      <c r="C489" s="4" t="str">
        <f ca="1">IFERROR(__xludf.DUMMYFUNCTION("""COMPUTED_VALUE"""),"EVERGREEN - UAN Gated Content - Embedded Petition")</f>
        <v>EVERGREEN - UAN Gated Content - Embedded Petition</v>
      </c>
      <c r="D489" s="5">
        <f ca="1">IFERROR(__xludf.DUMMYFUNCTION("""COMPUTED_VALUE"""),45651)</f>
        <v>45651</v>
      </c>
      <c r="F489" s="1" t="str">
        <f ca="1">IFERROR(__xludf.DUMMYFUNCTION("""COMPUTED_VALUE"""),"Israel and Occupied Palestinian Territories")</f>
        <v>Israel and Occupied Palestinian Territories</v>
      </c>
      <c r="G489" s="1" t="str">
        <f ca="1">IFERROR(__xludf.DUMMYFUNCTION("""COMPUTED_VALUE"""),"3.25 IOPT")</f>
        <v>3.25 IOPT</v>
      </c>
      <c r="H489" s="1" t="str">
        <f ca="1">IFERROR(__xludf.DUMMYFUNCTION("""COMPUTED_VALUE"""),"Freedom of Expression, Individuals At Risk")</f>
        <v>Freedom of Expression, Individuals At Risk</v>
      </c>
      <c r="I489" s="1" t="str">
        <f ca="1">IFERROR(__xludf.DUMMYFUNCTION("""COMPUTED_VALUE"""),"2025")</f>
        <v>2025</v>
      </c>
      <c r="J489" s="1" t="str">
        <f ca="1">IFERROR(__xludf.DUMMYFUNCTION("""COMPUTED_VALUE"""),"Email")</f>
        <v>Email</v>
      </c>
    </row>
    <row r="490" spans="1:10" ht="13" x14ac:dyDescent="0.15">
      <c r="A490" s="4">
        <f ca="1">IFERROR(__xludf.DUMMYFUNCTION("""COMPUTED_VALUE"""),31221037)</f>
        <v>31221037</v>
      </c>
      <c r="B490" s="1" t="str">
        <f ca="1">IFERROR(__xludf.DUMMYFUNCTION("""COMPUTED_VALUE"""),"ground@hvc.rr.com")</f>
        <v>ground@hvc.rr.com</v>
      </c>
      <c r="C490" s="4" t="str">
        <f ca="1">IFERROR(__xludf.DUMMYFUNCTION("""COMPUTED_VALUE"""),"EVERGREEN - UAN Gated Content - Embedded Petition")</f>
        <v>EVERGREEN - UAN Gated Content - Embedded Petition</v>
      </c>
      <c r="D490" s="5">
        <f ca="1">IFERROR(__xludf.DUMMYFUNCTION("""COMPUTED_VALUE"""),45651)</f>
        <v>45651</v>
      </c>
      <c r="F490" s="1" t="str">
        <f ca="1">IFERROR(__xludf.DUMMYFUNCTION("""COMPUTED_VALUE"""),"Tunisia")</f>
        <v>Tunisia</v>
      </c>
      <c r="G490" s="1" t="str">
        <f ca="1">IFERROR(__xludf.DUMMYFUNCTION("""COMPUTED_VALUE"""),"Second 76.24 Tunisia")</f>
        <v>Second 76.24 Tunisia</v>
      </c>
      <c r="H490" s="1" t="str">
        <f ca="1">IFERROR(__xludf.DUMMYFUNCTION("""COMPUTED_VALUE"""),"Freedom of Expression, Human Rights Defenders")</f>
        <v>Freedom of Expression, Human Rights Defenders</v>
      </c>
      <c r="I490" s="1" t="str">
        <f ca="1">IFERROR(__xludf.DUMMYFUNCTION("""COMPUTED_VALUE"""),"2025")</f>
        <v>2025</v>
      </c>
      <c r="J490" s="1" t="str">
        <f ca="1">IFERROR(__xludf.DUMMYFUNCTION("""COMPUTED_VALUE"""),"Email")</f>
        <v>Email</v>
      </c>
    </row>
    <row r="491" spans="1:10" ht="13" x14ac:dyDescent="0.15">
      <c r="A491" s="4">
        <f ca="1">IFERROR(__xludf.DUMMYFUNCTION("""COMPUTED_VALUE"""),31221037)</f>
        <v>31221037</v>
      </c>
      <c r="B491" s="1" t="str">
        <f ca="1">IFERROR(__xludf.DUMMYFUNCTION("""COMPUTED_VALUE"""),"ground@hvc.rr.com")</f>
        <v>ground@hvc.rr.com</v>
      </c>
      <c r="C491" s="4" t="str">
        <f ca="1">IFERROR(__xludf.DUMMYFUNCTION("""COMPUTED_VALUE"""),"EVERGREEN - UAN Gated Content - Embedded Petition")</f>
        <v>EVERGREEN - UAN Gated Content - Embedded Petition</v>
      </c>
      <c r="D491" s="5">
        <f ca="1">IFERROR(__xludf.DUMMYFUNCTION("""COMPUTED_VALUE"""),45673)</f>
        <v>45673</v>
      </c>
      <c r="F491" s="1" t="str">
        <f ca="1">IFERROR(__xludf.DUMMYFUNCTION("""COMPUTED_VALUE"""),"USA")</f>
        <v>USA</v>
      </c>
      <c r="G491" s="1" t="str">
        <f ca="1">IFERROR(__xludf.DUMMYFUNCTION("""COMPUTED_VALUE"""),"105.24 USA")</f>
        <v>105.24 USA</v>
      </c>
      <c r="H491" s="1" t="str">
        <f ca="1">IFERROR(__xludf.DUMMYFUNCTION("""COMPUTED_VALUE"""),"Death Penalty")</f>
        <v>Death Penalty</v>
      </c>
      <c r="I491" s="1" t="str">
        <f ca="1">IFERROR(__xludf.DUMMYFUNCTION("""COMPUTED_VALUE"""),"2024")</f>
        <v>2024</v>
      </c>
      <c r="J491" s="1" t="str">
        <f ca="1">IFERROR(__xludf.DUMMYFUNCTION("""COMPUTED_VALUE"""),"Email")</f>
        <v>Email</v>
      </c>
    </row>
    <row r="492" spans="1:10" ht="13" x14ac:dyDescent="0.15">
      <c r="A492" s="4">
        <f ca="1">IFERROR(__xludf.DUMMYFUNCTION("""COMPUTED_VALUE"""),31242432)</f>
        <v>31242432</v>
      </c>
      <c r="B492" s="1" t="str">
        <f ca="1">IFERROR(__xludf.DUMMYFUNCTION("""COMPUTED_VALUE"""),"mv9508@sbcglobal.net")</f>
        <v>mv9508@sbcglobal.net</v>
      </c>
      <c r="C492" s="4" t="str">
        <f ca="1">IFERROR(__xludf.DUMMYFUNCTION("""COMPUTED_VALUE"""),"EVERGREEN - UAN Gated Content - Embedded Petition")</f>
        <v>EVERGREEN - UAN Gated Content - Embedded Petition</v>
      </c>
      <c r="D492" s="5">
        <f ca="1">IFERROR(__xludf.DUMMYFUNCTION("""COMPUTED_VALUE"""),45694)</f>
        <v>45694</v>
      </c>
      <c r="F492" s="1" t="str">
        <f ca="1">IFERROR(__xludf.DUMMYFUNCTION("""COMPUTED_VALUE"""),"Tunisia")</f>
        <v>Tunisia</v>
      </c>
      <c r="G492" s="1" t="str">
        <f ca="1">IFERROR(__xludf.DUMMYFUNCTION("""COMPUTED_VALUE"""),"Second 76.24 Tunisia")</f>
        <v>Second 76.24 Tunisia</v>
      </c>
      <c r="H492" s="1" t="str">
        <f ca="1">IFERROR(__xludf.DUMMYFUNCTION("""COMPUTED_VALUE"""),"Freedom of Expression, Human Rights Defenders")</f>
        <v>Freedom of Expression, Human Rights Defenders</v>
      </c>
      <c r="I492" s="1" t="str">
        <f ca="1">IFERROR(__xludf.DUMMYFUNCTION("""COMPUTED_VALUE"""),"2025")</f>
        <v>2025</v>
      </c>
      <c r="J492" s="1" t="str">
        <f ca="1">IFERROR(__xludf.DUMMYFUNCTION("""COMPUTED_VALUE"""),"Email")</f>
        <v>Email</v>
      </c>
    </row>
    <row r="493" spans="1:10" ht="13" x14ac:dyDescent="0.15">
      <c r="A493" s="4">
        <f ca="1">IFERROR(__xludf.DUMMYFUNCTION("""COMPUTED_VALUE"""),31242432)</f>
        <v>31242432</v>
      </c>
      <c r="B493" s="1" t="str">
        <f ca="1">IFERROR(__xludf.DUMMYFUNCTION("""COMPUTED_VALUE"""),"mv9508@sbcglobal.net")</f>
        <v>mv9508@sbcglobal.net</v>
      </c>
      <c r="C493" s="4" t="str">
        <f ca="1">IFERROR(__xludf.DUMMYFUNCTION("""COMPUTED_VALUE"""),"EVERGREEN - UAN Gated Content - Embedded Petition")</f>
        <v>EVERGREEN - UAN Gated Content - Embedded Petition</v>
      </c>
      <c r="D493" s="5">
        <f ca="1">IFERROR(__xludf.DUMMYFUNCTION("""COMPUTED_VALUE"""),45694)</f>
        <v>45694</v>
      </c>
      <c r="F493" s="1" t="str">
        <f ca="1">IFERROR(__xludf.DUMMYFUNCTION("""COMPUTED_VALUE"""),"Tunisia")</f>
        <v>Tunisia</v>
      </c>
      <c r="G493" s="1" t="str">
        <f ca="1">IFERROR(__xludf.DUMMYFUNCTION("""COMPUTED_VALUE"""),"Second 76.24 Tunisia")</f>
        <v>Second 76.24 Tunisia</v>
      </c>
      <c r="H493" s="1" t="str">
        <f ca="1">IFERROR(__xludf.DUMMYFUNCTION("""COMPUTED_VALUE"""),"Freedom of Expression, Human Rights Defenders")</f>
        <v>Freedom of Expression, Human Rights Defenders</v>
      </c>
      <c r="I493" s="1" t="str">
        <f ca="1">IFERROR(__xludf.DUMMYFUNCTION("""COMPUTED_VALUE"""),"2025")</f>
        <v>2025</v>
      </c>
      <c r="J493" s="1" t="str">
        <f ca="1">IFERROR(__xludf.DUMMYFUNCTION("""COMPUTED_VALUE"""),"Email")</f>
        <v>Email</v>
      </c>
    </row>
    <row r="494" spans="1:10" ht="13" x14ac:dyDescent="0.15">
      <c r="A494" s="4">
        <f ca="1">IFERROR(__xludf.DUMMYFUNCTION("""COMPUTED_VALUE"""),31243801)</f>
        <v>31243801</v>
      </c>
      <c r="B494" s="1" t="str">
        <f ca="1">IFERROR(__xludf.DUMMYFUNCTION("""COMPUTED_VALUE"""),"yidshlid@earthlink.net")</f>
        <v>yidshlid@earthlink.net</v>
      </c>
      <c r="C494" s="4" t="str">
        <f ca="1">IFERROR(__xludf.DUMMYFUNCTION("""COMPUTED_VALUE"""),"EVERGREEN - UAN Gated Content - Embedded Petition")</f>
        <v>EVERGREEN - UAN Gated Content - Embedded Petition</v>
      </c>
      <c r="D494" s="5">
        <f ca="1">IFERROR(__xludf.DUMMYFUNCTION("""COMPUTED_VALUE"""),45637)</f>
        <v>45637</v>
      </c>
      <c r="F494" s="1" t="str">
        <f ca="1">IFERROR(__xludf.DUMMYFUNCTION("""COMPUTED_VALUE"""),"Egypt")</f>
        <v>Egypt</v>
      </c>
      <c r="G494" s="1" t="str">
        <f ca="1">IFERROR(__xludf.DUMMYFUNCTION("""COMPUTED_VALUE"""),"Ninth 190.18 Egypt")</f>
        <v>Ninth 190.18 Egypt</v>
      </c>
      <c r="H494" s="1" t="str">
        <f ca="1">IFERROR(__xludf.DUMMYFUNCTION("""COMPUTED_VALUE"""),"Freedom of Expression, Individuals At Risk")</f>
        <v>Freedom of Expression, Individuals At Risk</v>
      </c>
      <c r="I494" s="1" t="str">
        <f ca="1">IFERROR(__xludf.DUMMYFUNCTION("""COMPUTED_VALUE"""),"2024")</f>
        <v>2024</v>
      </c>
      <c r="J494" s="1" t="str">
        <f ca="1">IFERROR(__xludf.DUMMYFUNCTION("""COMPUTED_VALUE"""),"Letter")</f>
        <v>Letter</v>
      </c>
    </row>
    <row r="495" spans="1:10" ht="13" x14ac:dyDescent="0.15">
      <c r="A495" s="4">
        <f ca="1">IFERROR(__xludf.DUMMYFUNCTION("""COMPUTED_VALUE"""),31243801)</f>
        <v>31243801</v>
      </c>
      <c r="B495" s="1" t="str">
        <f ca="1">IFERROR(__xludf.DUMMYFUNCTION("""COMPUTED_VALUE"""),"yidshlid@earthlink.net")</f>
        <v>yidshlid@earthlink.net</v>
      </c>
      <c r="C495" s="4" t="str">
        <f ca="1">IFERROR(__xludf.DUMMYFUNCTION("""COMPUTED_VALUE"""),"EVERGREEN - UAN Gated Content - Embedded Petition")</f>
        <v>EVERGREEN - UAN Gated Content - Embedded Petition</v>
      </c>
      <c r="D495" s="5">
        <f ca="1">IFERROR(__xludf.DUMMYFUNCTION("""COMPUTED_VALUE"""),45639)</f>
        <v>45639</v>
      </c>
      <c r="F495" s="1" t="str">
        <f ca="1">IFERROR(__xludf.DUMMYFUNCTION("""COMPUTED_VALUE"""),"USA")</f>
        <v>USA</v>
      </c>
      <c r="G495" s="1" t="str">
        <f ca="1">IFERROR(__xludf.DUMMYFUNCTION("""COMPUTED_VALUE"""),"105.24 USA")</f>
        <v>105.24 USA</v>
      </c>
      <c r="H495" s="1" t="str">
        <f ca="1">IFERROR(__xludf.DUMMYFUNCTION("""COMPUTED_VALUE"""),"Death Penalty")</f>
        <v>Death Penalty</v>
      </c>
      <c r="I495" s="1" t="str">
        <f ca="1">IFERROR(__xludf.DUMMYFUNCTION("""COMPUTED_VALUE"""),"2024")</f>
        <v>2024</v>
      </c>
      <c r="J495" s="1" t="str">
        <f ca="1">IFERROR(__xludf.DUMMYFUNCTION("""COMPUTED_VALUE"""),"Email")</f>
        <v>Email</v>
      </c>
    </row>
    <row r="496" spans="1:10" ht="13" x14ac:dyDescent="0.15">
      <c r="A496" s="4">
        <f ca="1">IFERROR(__xludf.DUMMYFUNCTION("""COMPUTED_VALUE"""),31245723)</f>
        <v>31245723</v>
      </c>
      <c r="B496" s="1" t="str">
        <f ca="1">IFERROR(__xludf.DUMMYFUNCTION("""COMPUTED_VALUE"""),"chucktaylor111@msn.com")</f>
        <v>chucktaylor111@msn.com</v>
      </c>
      <c r="C496" s="4" t="str">
        <f ca="1">IFERROR(__xludf.DUMMYFUNCTION("""COMPUTED_VALUE"""),"EVERGREEN - UAN Gated Content - Embedded Petition")</f>
        <v>EVERGREEN - UAN Gated Content - Embedded Petition</v>
      </c>
      <c r="D496" s="5">
        <f ca="1">IFERROR(__xludf.DUMMYFUNCTION("""COMPUTED_VALUE"""),45677)</f>
        <v>45677</v>
      </c>
      <c r="F496" s="1" t="str">
        <f ca="1">IFERROR(__xludf.DUMMYFUNCTION("""COMPUTED_VALUE"""),"USA")</f>
        <v>USA</v>
      </c>
      <c r="G496" s="1" t="str">
        <f ca="1">IFERROR(__xludf.DUMMYFUNCTION("""COMPUTED_VALUE"""),"4.25 USA")</f>
        <v>4.25 USA</v>
      </c>
      <c r="H496" s="1" t="str">
        <f ca="1">IFERROR(__xludf.DUMMYFUNCTION("""COMPUTED_VALUE"""),"Individuals At Risk, Refugee and Migrant Rights")</f>
        <v>Individuals At Risk, Refugee and Migrant Rights</v>
      </c>
      <c r="I496" s="1" t="str">
        <f ca="1">IFERROR(__xludf.DUMMYFUNCTION("""COMPUTED_VALUE"""),"2025")</f>
        <v>2025</v>
      </c>
      <c r="J496" s="1" t="str">
        <f ca="1">IFERROR(__xludf.DUMMYFUNCTION("""COMPUTED_VALUE"""),"Letter")</f>
        <v>Letter</v>
      </c>
    </row>
    <row r="497" spans="1:10" ht="13" x14ac:dyDescent="0.15">
      <c r="A497" s="4">
        <f ca="1">IFERROR(__xludf.DUMMYFUNCTION("""COMPUTED_VALUE"""),31245723)</f>
        <v>31245723</v>
      </c>
      <c r="B497" s="1" t="str">
        <f ca="1">IFERROR(__xludf.DUMMYFUNCTION("""COMPUTED_VALUE"""),"chucktaylor111@msn.com")</f>
        <v>chucktaylor111@msn.com</v>
      </c>
      <c r="C497" s="4" t="str">
        <f ca="1">IFERROR(__xludf.DUMMYFUNCTION("""COMPUTED_VALUE"""),"EVERGREEN - UAN Gated Content - Embedded Petition")</f>
        <v>EVERGREEN - UAN Gated Content - Embedded Petition</v>
      </c>
      <c r="D497" s="5">
        <f ca="1">IFERROR(__xludf.DUMMYFUNCTION("""COMPUTED_VALUE"""),45677)</f>
        <v>45677</v>
      </c>
      <c r="F497" s="1" t="str">
        <f ca="1">IFERROR(__xludf.DUMMYFUNCTION("""COMPUTED_VALUE"""),"Dominican Republic")</f>
        <v>Dominican Republic</v>
      </c>
      <c r="G497" s="1" t="str">
        <f ca="1">IFERROR(__xludf.DUMMYFUNCTION("""COMPUTED_VALUE"""),"88.24 Dominican Republic")</f>
        <v>88.24 Dominican Republic</v>
      </c>
      <c r="H497" s="1" t="str">
        <f ca="1">IFERROR(__xludf.DUMMYFUNCTION("""COMPUTED_VALUE"""),"Individuals At Risk, Refugee and Migrant Rights")</f>
        <v>Individuals At Risk, Refugee and Migrant Rights</v>
      </c>
      <c r="I497" s="1" t="str">
        <f ca="1">IFERROR(__xludf.DUMMYFUNCTION("""COMPUTED_VALUE"""),"2024")</f>
        <v>2024</v>
      </c>
      <c r="J497" s="1" t="str">
        <f ca="1">IFERROR(__xludf.DUMMYFUNCTION("""COMPUTED_VALUE"""),"Letter")</f>
        <v>Letter</v>
      </c>
    </row>
    <row r="498" spans="1:10" ht="13" x14ac:dyDescent="0.15">
      <c r="A498" s="4">
        <f ca="1">IFERROR(__xludf.DUMMYFUNCTION("""COMPUTED_VALUE"""),31245723)</f>
        <v>31245723</v>
      </c>
      <c r="B498" s="1" t="str">
        <f ca="1">IFERROR(__xludf.DUMMYFUNCTION("""COMPUTED_VALUE"""),"chucktaylor111@msn.com")</f>
        <v>chucktaylor111@msn.com</v>
      </c>
      <c r="C498" s="4" t="str">
        <f ca="1">IFERROR(__xludf.DUMMYFUNCTION("""COMPUTED_VALUE"""),"EVERGREEN - UAN Gated Content - Embedded Petition")</f>
        <v>EVERGREEN - UAN Gated Content - Embedded Petition</v>
      </c>
      <c r="D498" s="5">
        <f ca="1">IFERROR(__xludf.DUMMYFUNCTION("""COMPUTED_VALUE"""),45677)</f>
        <v>45677</v>
      </c>
      <c r="F498" s="1" t="str">
        <f ca="1">IFERROR(__xludf.DUMMYFUNCTION("""COMPUTED_VALUE"""),"Tunisia")</f>
        <v>Tunisia</v>
      </c>
      <c r="G498" s="1" t="str">
        <f ca="1">IFERROR(__xludf.DUMMYFUNCTION("""COMPUTED_VALUE"""),"Second 76.24 Tunisia")</f>
        <v>Second 76.24 Tunisia</v>
      </c>
      <c r="H498" s="1" t="str">
        <f ca="1">IFERROR(__xludf.DUMMYFUNCTION("""COMPUTED_VALUE"""),"Freedom of Expression, Human Rights Defenders")</f>
        <v>Freedom of Expression, Human Rights Defenders</v>
      </c>
      <c r="I498" s="1" t="str">
        <f ca="1">IFERROR(__xludf.DUMMYFUNCTION("""COMPUTED_VALUE"""),"2025")</f>
        <v>2025</v>
      </c>
      <c r="J498" s="1" t="str">
        <f ca="1">IFERROR(__xludf.DUMMYFUNCTION("""COMPUTED_VALUE"""),"Email")</f>
        <v>Email</v>
      </c>
    </row>
    <row r="499" spans="1:10" ht="13" x14ac:dyDescent="0.15">
      <c r="A499" s="4">
        <f ca="1">IFERROR(__xludf.DUMMYFUNCTION("""COMPUTED_VALUE"""),31245723)</f>
        <v>31245723</v>
      </c>
      <c r="B499" s="1" t="str">
        <f ca="1">IFERROR(__xludf.DUMMYFUNCTION("""COMPUTED_VALUE"""),"chucktaylor111@msn.com")</f>
        <v>chucktaylor111@msn.com</v>
      </c>
      <c r="C499" s="4" t="str">
        <f ca="1">IFERROR(__xludf.DUMMYFUNCTION("""COMPUTED_VALUE"""),"EVERGREEN - UAN Gated Content - Embedded Petition")</f>
        <v>EVERGREEN - UAN Gated Content - Embedded Petition</v>
      </c>
      <c r="D499" s="5">
        <f ca="1">IFERROR(__xludf.DUMMYFUNCTION("""COMPUTED_VALUE"""),45677)</f>
        <v>45677</v>
      </c>
      <c r="F499" s="1" t="str">
        <f ca="1">IFERROR(__xludf.DUMMYFUNCTION("""COMPUTED_VALUE"""),"Tunisia")</f>
        <v>Tunisia</v>
      </c>
      <c r="G499" s="1" t="str">
        <f ca="1">IFERROR(__xludf.DUMMYFUNCTION("""COMPUTED_VALUE"""),"Second 76.24 Tunisia")</f>
        <v>Second 76.24 Tunisia</v>
      </c>
      <c r="H499" s="1" t="str">
        <f ca="1">IFERROR(__xludf.DUMMYFUNCTION("""COMPUTED_VALUE"""),"Freedom of Expression, Human Rights Defenders")</f>
        <v>Freedom of Expression, Human Rights Defenders</v>
      </c>
      <c r="I499" s="1" t="str">
        <f ca="1">IFERROR(__xludf.DUMMYFUNCTION("""COMPUTED_VALUE"""),"2025")</f>
        <v>2025</v>
      </c>
      <c r="J499" s="1" t="str">
        <f ca="1">IFERROR(__xludf.DUMMYFUNCTION("""COMPUTED_VALUE"""),"Email")</f>
        <v>Email</v>
      </c>
    </row>
    <row r="500" spans="1:10" ht="13" x14ac:dyDescent="0.15">
      <c r="A500" s="4">
        <f ca="1">IFERROR(__xludf.DUMMYFUNCTION("""COMPUTED_VALUE"""),31245723)</f>
        <v>31245723</v>
      </c>
      <c r="B500" s="1" t="str">
        <f ca="1">IFERROR(__xludf.DUMMYFUNCTION("""COMPUTED_VALUE"""),"chucktaylor111@msn.com")</f>
        <v>chucktaylor111@msn.com</v>
      </c>
      <c r="C500" s="4" t="str">
        <f ca="1">IFERROR(__xludf.DUMMYFUNCTION("""COMPUTED_VALUE"""),"EVERGREEN - UAN Gated Content - Embedded Petition")</f>
        <v>EVERGREEN - UAN Gated Content - Embedded Petition</v>
      </c>
      <c r="D500" s="5">
        <f ca="1">IFERROR(__xludf.DUMMYFUNCTION("""COMPUTED_VALUE"""),45677)</f>
        <v>45677</v>
      </c>
      <c r="F500" s="1" t="str">
        <f ca="1">IFERROR(__xludf.DUMMYFUNCTION("""COMPUTED_VALUE"""),"Tunisia")</f>
        <v>Tunisia</v>
      </c>
      <c r="G500" s="1" t="str">
        <f ca="1">IFERROR(__xludf.DUMMYFUNCTION("""COMPUTED_VALUE"""),"Second 76.24 Tunisia")</f>
        <v>Second 76.24 Tunisia</v>
      </c>
      <c r="H500" s="1" t="str">
        <f ca="1">IFERROR(__xludf.DUMMYFUNCTION("""COMPUTED_VALUE"""),"Freedom of Expression, Human Rights Defenders")</f>
        <v>Freedom of Expression, Human Rights Defenders</v>
      </c>
      <c r="I500" s="1" t="str">
        <f ca="1">IFERROR(__xludf.DUMMYFUNCTION("""COMPUTED_VALUE"""),"2025")</f>
        <v>2025</v>
      </c>
      <c r="J500" s="1" t="str">
        <f ca="1">IFERROR(__xludf.DUMMYFUNCTION("""COMPUTED_VALUE"""),"Email")</f>
        <v>Email</v>
      </c>
    </row>
    <row r="501" spans="1:10" ht="13" x14ac:dyDescent="0.15">
      <c r="A501" s="4">
        <f ca="1">IFERROR(__xludf.DUMMYFUNCTION("""COMPUTED_VALUE"""),31245723)</f>
        <v>31245723</v>
      </c>
      <c r="B501" s="1" t="str">
        <f ca="1">IFERROR(__xludf.DUMMYFUNCTION("""COMPUTED_VALUE"""),"chucktaylor111@msn.com")</f>
        <v>chucktaylor111@msn.com</v>
      </c>
      <c r="C501" s="4" t="str">
        <f ca="1">IFERROR(__xludf.DUMMYFUNCTION("""COMPUTED_VALUE"""),"EVERGREEN - UAN Gated Content - Embedded Petition")</f>
        <v>EVERGREEN - UAN Gated Content - Embedded Petition</v>
      </c>
      <c r="D501" s="5">
        <f ca="1">IFERROR(__xludf.DUMMYFUNCTION("""COMPUTED_VALUE"""),45677)</f>
        <v>45677</v>
      </c>
      <c r="F501" s="1" t="str">
        <f ca="1">IFERROR(__xludf.DUMMYFUNCTION("""COMPUTED_VALUE"""),"Tunisia")</f>
        <v>Tunisia</v>
      </c>
      <c r="G501" s="1" t="str">
        <f ca="1">IFERROR(__xludf.DUMMYFUNCTION("""COMPUTED_VALUE"""),"Second 76.24 Tunisia")</f>
        <v>Second 76.24 Tunisia</v>
      </c>
      <c r="H501" s="1" t="str">
        <f ca="1">IFERROR(__xludf.DUMMYFUNCTION("""COMPUTED_VALUE"""),"Freedom of Expression, Human Rights Defenders")</f>
        <v>Freedom of Expression, Human Rights Defenders</v>
      </c>
      <c r="I501" s="1" t="str">
        <f ca="1">IFERROR(__xludf.DUMMYFUNCTION("""COMPUTED_VALUE"""),"2025")</f>
        <v>2025</v>
      </c>
      <c r="J501" s="1" t="str">
        <f ca="1">IFERROR(__xludf.DUMMYFUNCTION("""COMPUTED_VALUE"""),"Email")</f>
        <v>Email</v>
      </c>
    </row>
    <row r="502" spans="1:10" ht="13" x14ac:dyDescent="0.15">
      <c r="A502" s="4">
        <f ca="1">IFERROR(__xludf.DUMMYFUNCTION("""COMPUTED_VALUE"""),31245723)</f>
        <v>31245723</v>
      </c>
      <c r="B502" s="1" t="str">
        <f ca="1">IFERROR(__xludf.DUMMYFUNCTION("""COMPUTED_VALUE"""),"chucktaylor111@msn.com")</f>
        <v>chucktaylor111@msn.com</v>
      </c>
      <c r="C502" s="4" t="str">
        <f ca="1">IFERROR(__xludf.DUMMYFUNCTION("""COMPUTED_VALUE"""),"EVERGREEN - UAN Gated Content - Embedded Petition")</f>
        <v>EVERGREEN - UAN Gated Content - Embedded Petition</v>
      </c>
      <c r="D502" s="5">
        <f ca="1">IFERROR(__xludf.DUMMYFUNCTION("""COMPUTED_VALUE"""),45677)</f>
        <v>45677</v>
      </c>
      <c r="F502" s="1" t="str">
        <f ca="1">IFERROR(__xludf.DUMMYFUNCTION("""COMPUTED_VALUE"""),"USA")</f>
        <v>USA</v>
      </c>
      <c r="G502" s="1" t="str">
        <f ca="1">IFERROR(__xludf.DUMMYFUNCTION("""COMPUTED_VALUE"""),"105.24 USA")</f>
        <v>105.24 USA</v>
      </c>
      <c r="H502" s="1" t="str">
        <f ca="1">IFERROR(__xludf.DUMMYFUNCTION("""COMPUTED_VALUE"""),"Death Penalty")</f>
        <v>Death Penalty</v>
      </c>
      <c r="I502" s="1" t="str">
        <f ca="1">IFERROR(__xludf.DUMMYFUNCTION("""COMPUTED_VALUE"""),"2024")</f>
        <v>2024</v>
      </c>
      <c r="J502" s="1" t="str">
        <f ca="1">IFERROR(__xludf.DUMMYFUNCTION("""COMPUTED_VALUE"""),"Email")</f>
        <v>Email</v>
      </c>
    </row>
    <row r="503" spans="1:10" ht="13" x14ac:dyDescent="0.15">
      <c r="A503" s="4">
        <f ca="1">IFERROR(__xludf.DUMMYFUNCTION("""COMPUTED_VALUE"""),31245723)</f>
        <v>31245723</v>
      </c>
      <c r="B503" s="1" t="str">
        <f ca="1">IFERROR(__xludf.DUMMYFUNCTION("""COMPUTED_VALUE"""),"chucktaylor111@msn.com")</f>
        <v>chucktaylor111@msn.com</v>
      </c>
      <c r="C503" s="4" t="str">
        <f ca="1">IFERROR(__xludf.DUMMYFUNCTION("""COMPUTED_VALUE"""),"EVERGREEN - UAN Gated Content - Embedded Petition")</f>
        <v>EVERGREEN - UAN Gated Content - Embedded Petition</v>
      </c>
      <c r="D503" s="5">
        <f ca="1">IFERROR(__xludf.DUMMYFUNCTION("""COMPUTED_VALUE"""),45698)</f>
        <v>45698</v>
      </c>
      <c r="F503" s="1" t="str">
        <f ca="1">IFERROR(__xludf.DUMMYFUNCTION("""COMPUTED_VALUE"""),"Tunisia")</f>
        <v>Tunisia</v>
      </c>
      <c r="G503" s="1" t="str">
        <f ca="1">IFERROR(__xludf.DUMMYFUNCTION("""COMPUTED_VALUE"""),"Second 76.24 Tunisia")</f>
        <v>Second 76.24 Tunisia</v>
      </c>
      <c r="H503" s="1" t="str">
        <f ca="1">IFERROR(__xludf.DUMMYFUNCTION("""COMPUTED_VALUE"""),"Freedom of Expression, Human Rights Defenders")</f>
        <v>Freedom of Expression, Human Rights Defenders</v>
      </c>
      <c r="I503" s="1" t="str">
        <f ca="1">IFERROR(__xludf.DUMMYFUNCTION("""COMPUTED_VALUE"""),"2025")</f>
        <v>2025</v>
      </c>
      <c r="J503" s="1" t="str">
        <f ca="1">IFERROR(__xludf.DUMMYFUNCTION("""COMPUTED_VALUE"""),"Email")</f>
        <v>Email</v>
      </c>
    </row>
    <row r="504" spans="1:10" ht="13" x14ac:dyDescent="0.15">
      <c r="A504" s="4">
        <f ca="1">IFERROR(__xludf.DUMMYFUNCTION("""COMPUTED_VALUE"""),31249580)</f>
        <v>31249580</v>
      </c>
      <c r="B504" s="1" t="str">
        <f ca="1">IFERROR(__xludf.DUMMYFUNCTION("""COMPUTED_VALUE"""),"amjad.kayyal@gmail.com")</f>
        <v>amjad.kayyal@gmail.com</v>
      </c>
      <c r="C504" s="4" t="str">
        <f ca="1">IFERROR(__xludf.DUMMYFUNCTION("""COMPUTED_VALUE"""),"EVERGREEN - UAN Gated Content - Embedded Petition")</f>
        <v>EVERGREEN - UAN Gated Content - Embedded Petition</v>
      </c>
      <c r="D504" s="5">
        <f ca="1">IFERROR(__xludf.DUMMYFUNCTION("""COMPUTED_VALUE"""),45694)</f>
        <v>45694</v>
      </c>
      <c r="F504" s="1" t="str">
        <f ca="1">IFERROR(__xludf.DUMMYFUNCTION("""COMPUTED_VALUE"""),"USA")</f>
        <v>USA</v>
      </c>
      <c r="G504" s="1" t="str">
        <f ca="1">IFERROR(__xludf.DUMMYFUNCTION("""COMPUTED_VALUE"""),"105.24 USA")</f>
        <v>105.24 USA</v>
      </c>
      <c r="H504" s="1" t="str">
        <f ca="1">IFERROR(__xludf.DUMMYFUNCTION("""COMPUTED_VALUE"""),"Death Penalty")</f>
        <v>Death Penalty</v>
      </c>
      <c r="I504" s="1" t="str">
        <f ca="1">IFERROR(__xludf.DUMMYFUNCTION("""COMPUTED_VALUE"""),"2024")</f>
        <v>2024</v>
      </c>
      <c r="J504" s="1" t="str">
        <f ca="1">IFERROR(__xludf.DUMMYFUNCTION("""COMPUTED_VALUE"""),"Email")</f>
        <v>Email</v>
      </c>
    </row>
    <row r="505" spans="1:10" ht="13" x14ac:dyDescent="0.15">
      <c r="A505" s="4">
        <f ca="1">IFERROR(__xludf.DUMMYFUNCTION("""COMPUTED_VALUE"""),31251411)</f>
        <v>31251411</v>
      </c>
      <c r="B505" s="1" t="str">
        <f ca="1">IFERROR(__xludf.DUMMYFUNCTION("""COMPUTED_VALUE"""),"danjesposito@yahoo.com")</f>
        <v>danjesposito@yahoo.com</v>
      </c>
      <c r="C505" s="4" t="str">
        <f ca="1">IFERROR(__xludf.DUMMYFUNCTION("""COMPUTED_VALUE"""),"EVERGREEN - UAN Gated Content - Embedded Petition")</f>
        <v>EVERGREEN - UAN Gated Content - Embedded Petition</v>
      </c>
      <c r="D505" s="5">
        <f ca="1">IFERROR(__xludf.DUMMYFUNCTION("""COMPUTED_VALUE"""),45694)</f>
        <v>45694</v>
      </c>
      <c r="F505" s="1" t="str">
        <f ca="1">IFERROR(__xludf.DUMMYFUNCTION("""COMPUTED_VALUE"""),"Tunisia")</f>
        <v>Tunisia</v>
      </c>
      <c r="G505" s="1" t="str">
        <f ca="1">IFERROR(__xludf.DUMMYFUNCTION("""COMPUTED_VALUE"""),"Second 76.24 Tunisia")</f>
        <v>Second 76.24 Tunisia</v>
      </c>
      <c r="H505" s="1" t="str">
        <f ca="1">IFERROR(__xludf.DUMMYFUNCTION("""COMPUTED_VALUE"""),"Freedom of Expression, Human Rights Defenders")</f>
        <v>Freedom of Expression, Human Rights Defenders</v>
      </c>
      <c r="I505" s="1" t="str">
        <f ca="1">IFERROR(__xludf.DUMMYFUNCTION("""COMPUTED_VALUE"""),"2025")</f>
        <v>2025</v>
      </c>
      <c r="J505" s="1" t="str">
        <f ca="1">IFERROR(__xludf.DUMMYFUNCTION("""COMPUTED_VALUE"""),"Email")</f>
        <v>Email</v>
      </c>
    </row>
    <row r="506" spans="1:10" ht="13" x14ac:dyDescent="0.15">
      <c r="A506" s="4">
        <f ca="1">IFERROR(__xludf.DUMMYFUNCTION("""COMPUTED_VALUE"""),31258362)</f>
        <v>31258362</v>
      </c>
      <c r="B506" s="1" t="str">
        <f ca="1">IFERROR(__xludf.DUMMYFUNCTION("""COMPUTED_VALUE"""),"j65d65@gmail.com")</f>
        <v>j65d65@gmail.com</v>
      </c>
      <c r="C506" s="4" t="str">
        <f ca="1">IFERROR(__xludf.DUMMYFUNCTION("""COMPUTED_VALUE"""),"EVERGREEN - UAN Gated Content - Embedded Petition")</f>
        <v>EVERGREEN - UAN Gated Content - Embedded Petition</v>
      </c>
      <c r="D506" s="5">
        <f ca="1">IFERROR(__xludf.DUMMYFUNCTION("""COMPUTED_VALUE"""),45694)</f>
        <v>45694</v>
      </c>
      <c r="F506" s="1" t="str">
        <f ca="1">IFERROR(__xludf.DUMMYFUNCTION("""COMPUTED_VALUE"""),"Dominican Republic")</f>
        <v>Dominican Republic</v>
      </c>
      <c r="G506" s="1" t="str">
        <f ca="1">IFERROR(__xludf.DUMMYFUNCTION("""COMPUTED_VALUE"""),"88.24 Dominican Republic")</f>
        <v>88.24 Dominican Republic</v>
      </c>
      <c r="H506" s="1" t="str">
        <f ca="1">IFERROR(__xludf.DUMMYFUNCTION("""COMPUTED_VALUE"""),"Individuals At Risk, Refugee and Migrant Rights")</f>
        <v>Individuals At Risk, Refugee and Migrant Rights</v>
      </c>
      <c r="I506" s="1" t="str">
        <f ca="1">IFERROR(__xludf.DUMMYFUNCTION("""COMPUTED_VALUE"""),"2024")</f>
        <v>2024</v>
      </c>
      <c r="J506" s="1" t="str">
        <f ca="1">IFERROR(__xludf.DUMMYFUNCTION("""COMPUTED_VALUE"""),"Letter")</f>
        <v>Letter</v>
      </c>
    </row>
    <row r="507" spans="1:10" ht="13" x14ac:dyDescent="0.15">
      <c r="A507" s="4">
        <f ca="1">IFERROR(__xludf.DUMMYFUNCTION("""COMPUTED_VALUE"""),31258483)</f>
        <v>31258483</v>
      </c>
      <c r="B507" s="1" t="str">
        <f ca="1">IFERROR(__xludf.DUMMYFUNCTION("""COMPUTED_VALUE"""),"anne.geyer@comcast.net")</f>
        <v>anne.geyer@comcast.net</v>
      </c>
      <c r="C507" s="4" t="str">
        <f ca="1">IFERROR(__xludf.DUMMYFUNCTION("""COMPUTED_VALUE"""),"UAN mid-page Lightbox - Step 1 of 4 - Landing Page")</f>
        <v>UAN mid-page Lightbox - Step 1 of 4 - Landing Page</v>
      </c>
      <c r="D507" s="5">
        <f ca="1">IFERROR(__xludf.DUMMYFUNCTION("""COMPUTED_VALUE"""),45616)</f>
        <v>45616</v>
      </c>
      <c r="F507" s="1" t="str">
        <f ca="1">IFERROR(__xludf.DUMMYFUNCTION("""COMPUTED_VALUE"""),"USA")</f>
        <v>USA</v>
      </c>
      <c r="G507" s="1" t="str">
        <f ca="1">IFERROR(__xludf.DUMMYFUNCTION("""COMPUTED_VALUE"""),"96.24 USA")</f>
        <v>96.24 USA</v>
      </c>
      <c r="H507" s="1" t="str">
        <f ca="1">IFERROR(__xludf.DUMMYFUNCTION("""COMPUTED_VALUE"""),"Death Penalty")</f>
        <v>Death Penalty</v>
      </c>
      <c r="I507" s="1" t="str">
        <f ca="1">IFERROR(__xludf.DUMMYFUNCTION("""COMPUTED_VALUE"""),"2024")</f>
        <v>2024</v>
      </c>
      <c r="J507" s="1" t="str">
        <f ca="1">IFERROR(__xludf.DUMMYFUNCTION("""COMPUTED_VALUE"""),"Email")</f>
        <v>Email</v>
      </c>
    </row>
    <row r="508" spans="1:10" ht="13" x14ac:dyDescent="0.15">
      <c r="A508" s="4">
        <f ca="1">IFERROR(__xludf.DUMMYFUNCTION("""COMPUTED_VALUE"""),31258483)</f>
        <v>31258483</v>
      </c>
      <c r="B508" s="1" t="str">
        <f ca="1">IFERROR(__xludf.DUMMYFUNCTION("""COMPUTED_VALUE"""),"anne.geyer@comcast.net")</f>
        <v>anne.geyer@comcast.net</v>
      </c>
      <c r="C508" s="4" t="str">
        <f ca="1">IFERROR(__xludf.DUMMYFUNCTION("""COMPUTED_VALUE"""),"UAN mid-page Lightbox - Step 2 of 4 - More personal info fields")</f>
        <v>UAN mid-page Lightbox - Step 2 of 4 - More personal info fields</v>
      </c>
      <c r="D508" s="5">
        <f ca="1">IFERROR(__xludf.DUMMYFUNCTION("""COMPUTED_VALUE"""),45616)</f>
        <v>45616</v>
      </c>
      <c r="F508" s="1" t="str">
        <f ca="1">IFERROR(__xludf.DUMMYFUNCTION("""COMPUTED_VALUE"""),"Tunisia")</f>
        <v>Tunisia</v>
      </c>
      <c r="G508" s="1" t="str">
        <f ca="1">IFERROR(__xludf.DUMMYFUNCTION("""COMPUTED_VALUE"""),"Second 76.24 Tunisia")</f>
        <v>Second 76.24 Tunisia</v>
      </c>
      <c r="H508" s="1" t="str">
        <f ca="1">IFERROR(__xludf.DUMMYFUNCTION("""COMPUTED_VALUE"""),"Freedom of Expression, Human Rights Defenders")</f>
        <v>Freedom of Expression, Human Rights Defenders</v>
      </c>
      <c r="I508" s="1" t="str">
        <f ca="1">IFERROR(__xludf.DUMMYFUNCTION("""COMPUTED_VALUE"""),"2025")</f>
        <v>2025</v>
      </c>
      <c r="J508" s="1" t="str">
        <f ca="1">IFERROR(__xludf.DUMMYFUNCTION("""COMPUTED_VALUE"""),"Email")</f>
        <v>Email</v>
      </c>
    </row>
    <row r="509" spans="1:10" ht="13" x14ac:dyDescent="0.15">
      <c r="A509" s="4">
        <f ca="1">IFERROR(__xludf.DUMMYFUNCTION("""COMPUTED_VALUE"""),31263263)</f>
        <v>31263263</v>
      </c>
      <c r="B509" s="1" t="str">
        <f ca="1">IFERROR(__xludf.DUMMYFUNCTION("""COMPUTED_VALUE"""),"glennn.zen@verizon.net")</f>
        <v>glennn.zen@verizon.net</v>
      </c>
      <c r="C509" s="4" t="str">
        <f ca="1">IFERROR(__xludf.DUMMYFUNCTION("""COMPUTED_VALUE"""),"EVERGREEN - UAN Gated Content - Embedded Petition")</f>
        <v>EVERGREEN - UAN Gated Content - Embedded Petition</v>
      </c>
      <c r="D509" s="5">
        <f ca="1">IFERROR(__xludf.DUMMYFUNCTION("""COMPUTED_VALUE"""),45695)</f>
        <v>45695</v>
      </c>
      <c r="F509" s="1" t="str">
        <f ca="1">IFERROR(__xludf.DUMMYFUNCTION("""COMPUTED_VALUE"""),"Saudi Arabia")</f>
        <v>Saudi Arabia</v>
      </c>
      <c r="G509" s="1" t="str">
        <f ca="1">IFERROR(__xludf.DUMMYFUNCTION("""COMPUTED_VALUE"""),"Second 85.23 Saudi Arabia")</f>
        <v>Second 85.23 Saudi Arabia</v>
      </c>
      <c r="H509" s="1" t="str">
        <f ca="1">IFERROR(__xludf.DUMMYFUNCTION("""COMPUTED_VALUE"""),"Freedom of Expression")</f>
        <v>Freedom of Expression</v>
      </c>
      <c r="I509" s="1" t="str">
        <f ca="1">IFERROR(__xludf.DUMMYFUNCTION("""COMPUTED_VALUE"""),"2024")</f>
        <v>2024</v>
      </c>
      <c r="J509" s="1" t="str">
        <f ca="1">IFERROR(__xludf.DUMMYFUNCTION("""COMPUTED_VALUE"""),"Letter")</f>
        <v>Letter</v>
      </c>
    </row>
    <row r="510" spans="1:10" ht="13" x14ac:dyDescent="0.15">
      <c r="A510" s="4">
        <f ca="1">IFERROR(__xludf.DUMMYFUNCTION("""COMPUTED_VALUE"""),31263263)</f>
        <v>31263263</v>
      </c>
      <c r="B510" s="1" t="str">
        <f ca="1">IFERROR(__xludf.DUMMYFUNCTION("""COMPUTED_VALUE"""),"glennn.zen@verizon.net")</f>
        <v>glennn.zen@verizon.net</v>
      </c>
      <c r="C510" s="4" t="str">
        <f ca="1">IFERROR(__xludf.DUMMYFUNCTION("""COMPUTED_VALUE"""),"EVERGREEN - UAN Gated Content - Embedded Petition")</f>
        <v>EVERGREEN - UAN Gated Content - Embedded Petition</v>
      </c>
      <c r="D510" s="5">
        <f ca="1">IFERROR(__xludf.DUMMYFUNCTION("""COMPUTED_VALUE"""),45674)</f>
        <v>45674</v>
      </c>
      <c r="F510" s="1" t="str">
        <f ca="1">IFERROR(__xludf.DUMMYFUNCTION("""COMPUTED_VALUE"""),"Dominican Republic")</f>
        <v>Dominican Republic</v>
      </c>
      <c r="G510" s="1" t="str">
        <f ca="1">IFERROR(__xludf.DUMMYFUNCTION("""COMPUTED_VALUE"""),"88.24 Dominican Republic")</f>
        <v>88.24 Dominican Republic</v>
      </c>
      <c r="H510" s="1" t="str">
        <f ca="1">IFERROR(__xludf.DUMMYFUNCTION("""COMPUTED_VALUE"""),"Individuals At Risk, Refugee and Migrant Rights")</f>
        <v>Individuals At Risk, Refugee and Migrant Rights</v>
      </c>
      <c r="I510" s="1" t="str">
        <f ca="1">IFERROR(__xludf.DUMMYFUNCTION("""COMPUTED_VALUE"""),"2024")</f>
        <v>2024</v>
      </c>
      <c r="J510" s="1" t="str">
        <f ca="1">IFERROR(__xludf.DUMMYFUNCTION("""COMPUTED_VALUE"""),"Letter")</f>
        <v>Letter</v>
      </c>
    </row>
    <row r="511" spans="1:10" ht="13" x14ac:dyDescent="0.15">
      <c r="A511" s="4">
        <f ca="1">IFERROR(__xludf.DUMMYFUNCTION("""COMPUTED_VALUE"""),31263263)</f>
        <v>31263263</v>
      </c>
      <c r="B511" s="1" t="str">
        <f ca="1">IFERROR(__xludf.DUMMYFUNCTION("""COMPUTED_VALUE"""),"glennn.zen@verizon.net")</f>
        <v>glennn.zen@verizon.net</v>
      </c>
      <c r="C511" s="4" t="str">
        <f ca="1">IFERROR(__xludf.DUMMYFUNCTION("""COMPUTED_VALUE"""),"EVERGREEN - UAN Gated Content - Embedded Petition")</f>
        <v>EVERGREEN - UAN Gated Content - Embedded Petition</v>
      </c>
      <c r="D511" s="5">
        <f ca="1">IFERROR(__xludf.DUMMYFUNCTION("""COMPUTED_VALUE"""),45674)</f>
        <v>45674</v>
      </c>
      <c r="F511" s="1" t="str">
        <f ca="1">IFERROR(__xludf.DUMMYFUNCTION("""COMPUTED_VALUE"""),"Egypt")</f>
        <v>Egypt</v>
      </c>
      <c r="G511" s="1" t="str">
        <f ca="1">IFERROR(__xludf.DUMMYFUNCTION("""COMPUTED_VALUE"""),"Ninth 190.18 Egypt")</f>
        <v>Ninth 190.18 Egypt</v>
      </c>
      <c r="H511" s="1" t="str">
        <f ca="1">IFERROR(__xludf.DUMMYFUNCTION("""COMPUTED_VALUE"""),"Freedom of Expression, Individuals At Risk")</f>
        <v>Freedom of Expression, Individuals At Risk</v>
      </c>
      <c r="I511" s="1" t="str">
        <f ca="1">IFERROR(__xludf.DUMMYFUNCTION("""COMPUTED_VALUE"""),"2024")</f>
        <v>2024</v>
      </c>
      <c r="J511" s="1" t="str">
        <f ca="1">IFERROR(__xludf.DUMMYFUNCTION("""COMPUTED_VALUE"""),"Letter")</f>
        <v>Letter</v>
      </c>
    </row>
    <row r="512" spans="1:10" ht="13" x14ac:dyDescent="0.15">
      <c r="A512" s="4">
        <f ca="1">IFERROR(__xludf.DUMMYFUNCTION("""COMPUTED_VALUE"""),31263263)</f>
        <v>31263263</v>
      </c>
      <c r="B512" s="1" t="str">
        <f ca="1">IFERROR(__xludf.DUMMYFUNCTION("""COMPUTED_VALUE"""),"glennn.zen@verizon.net")</f>
        <v>glennn.zen@verizon.net</v>
      </c>
      <c r="C512" s="4" t="str">
        <f ca="1">IFERROR(__xludf.DUMMYFUNCTION("""COMPUTED_VALUE"""),"EVERGREEN - UAN Gated Content - Embedded Petition")</f>
        <v>EVERGREEN - UAN Gated Content - Embedded Petition</v>
      </c>
      <c r="D512" s="5">
        <f ca="1">IFERROR(__xludf.DUMMYFUNCTION("""COMPUTED_VALUE"""),45674)</f>
        <v>45674</v>
      </c>
      <c r="F512" s="1" t="str">
        <f ca="1">IFERROR(__xludf.DUMMYFUNCTION("""COMPUTED_VALUE"""),"Iran")</f>
        <v>Iran</v>
      </c>
      <c r="G512" s="1" t="str">
        <f ca="1">IFERROR(__xludf.DUMMYFUNCTION("""COMPUTED_VALUE"""),"10.25 Iran")</f>
        <v>10.25 Iran</v>
      </c>
      <c r="H512" s="1" t="str">
        <f ca="1">IFERROR(__xludf.DUMMYFUNCTION("""COMPUTED_VALUE"""),"Death Penalty, Individuals At Risk")</f>
        <v>Death Penalty, Individuals At Risk</v>
      </c>
      <c r="I512" s="1" t="str">
        <f ca="1">IFERROR(__xludf.DUMMYFUNCTION("""COMPUTED_VALUE"""),"2025")</f>
        <v>2025</v>
      </c>
      <c r="J512" s="1" t="str">
        <f ca="1">IFERROR(__xludf.DUMMYFUNCTION("""COMPUTED_VALUE"""),"Email")</f>
        <v>Email</v>
      </c>
    </row>
    <row r="513" spans="1:10" ht="13" x14ac:dyDescent="0.15">
      <c r="A513" s="4">
        <f ca="1">IFERROR(__xludf.DUMMYFUNCTION("""COMPUTED_VALUE"""),31267757)</f>
        <v>31267757</v>
      </c>
      <c r="B513" s="1" t="str">
        <f ca="1">IFERROR(__xludf.DUMMYFUNCTION("""COMPUTED_VALUE"""),"givory@nmsu.edu")</f>
        <v>givory@nmsu.edu</v>
      </c>
      <c r="C513" s="4" t="str">
        <f ca="1">IFERROR(__xludf.DUMMYFUNCTION("""COMPUTED_VALUE"""),"EVERGREEN - UAN Gated Content - Embedded Petition")</f>
        <v>EVERGREEN - UAN Gated Content - Embedded Petition</v>
      </c>
      <c r="D513" s="5">
        <f ca="1">IFERROR(__xludf.DUMMYFUNCTION("""COMPUTED_VALUE"""),45671)</f>
        <v>45671</v>
      </c>
      <c r="F513" s="1" t="str">
        <f ca="1">IFERROR(__xludf.DUMMYFUNCTION("""COMPUTED_VALUE"""),"Iran")</f>
        <v>Iran</v>
      </c>
      <c r="G513" s="1" t="str">
        <f ca="1">IFERROR(__xludf.DUMMYFUNCTION("""COMPUTED_VALUE"""),"10.25 Iran")</f>
        <v>10.25 Iran</v>
      </c>
      <c r="H513" s="1" t="str">
        <f ca="1">IFERROR(__xludf.DUMMYFUNCTION("""COMPUTED_VALUE"""),"Death Penalty, Individuals At Risk")</f>
        <v>Death Penalty, Individuals At Risk</v>
      </c>
      <c r="I513" s="1" t="str">
        <f ca="1">IFERROR(__xludf.DUMMYFUNCTION("""COMPUTED_VALUE"""),"2025")</f>
        <v>2025</v>
      </c>
      <c r="J513" s="1" t="str">
        <f ca="1">IFERROR(__xludf.DUMMYFUNCTION("""COMPUTED_VALUE"""),"Email")</f>
        <v>Email</v>
      </c>
    </row>
    <row r="514" spans="1:10" ht="13" x14ac:dyDescent="0.15">
      <c r="A514" s="4">
        <f ca="1">IFERROR(__xludf.DUMMYFUNCTION("""COMPUTED_VALUE"""),31267757)</f>
        <v>31267757</v>
      </c>
      <c r="B514" s="1" t="str">
        <f ca="1">IFERROR(__xludf.DUMMYFUNCTION("""COMPUTED_VALUE"""),"givory@nmsu.edu")</f>
        <v>givory@nmsu.edu</v>
      </c>
      <c r="C514" s="4" t="str">
        <f ca="1">IFERROR(__xludf.DUMMYFUNCTION("""COMPUTED_VALUE"""),"EVERGREEN - UAN Gated Content - Embedded Petition")</f>
        <v>EVERGREEN - UAN Gated Content - Embedded Petition</v>
      </c>
      <c r="D514" s="5">
        <f ca="1">IFERROR(__xludf.DUMMYFUNCTION("""COMPUTED_VALUE"""),45652)</f>
        <v>45652</v>
      </c>
      <c r="F514" s="1" t="str">
        <f ca="1">IFERROR(__xludf.DUMMYFUNCTION("""COMPUTED_VALUE"""),"Iran")</f>
        <v>Iran</v>
      </c>
      <c r="G514" s="1" t="str">
        <f ca="1">IFERROR(__xludf.DUMMYFUNCTION("""COMPUTED_VALUE"""),"Seventh 103.22 Iran")</f>
        <v>Seventh 103.22 Iran</v>
      </c>
      <c r="H514" s="1" t="str">
        <f ca="1">IFERROR(__xludf.DUMMYFUNCTION("""COMPUTED_VALUE"""),"Death Penalty, Freedom of Expression, Individuals At Risk")</f>
        <v>Death Penalty, Freedom of Expression, Individuals At Risk</v>
      </c>
      <c r="I514" s="1" t="str">
        <f ca="1">IFERROR(__xludf.DUMMYFUNCTION("""COMPUTED_VALUE"""),"2024")</f>
        <v>2024</v>
      </c>
      <c r="J514" s="1" t="str">
        <f ca="1">IFERROR(__xludf.DUMMYFUNCTION("""COMPUTED_VALUE"""),"Email")</f>
        <v>Email</v>
      </c>
    </row>
    <row r="515" spans="1:10" ht="13" x14ac:dyDescent="0.15">
      <c r="A515" s="4">
        <f ca="1">IFERROR(__xludf.DUMMYFUNCTION("""COMPUTED_VALUE"""),31267757)</f>
        <v>31267757</v>
      </c>
      <c r="B515" s="1" t="str">
        <f ca="1">IFERROR(__xludf.DUMMYFUNCTION("""COMPUTED_VALUE"""),"givory@nmsu.edu")</f>
        <v>givory@nmsu.edu</v>
      </c>
      <c r="C515" s="4" t="str">
        <f ca="1">IFERROR(__xludf.DUMMYFUNCTION("""COMPUTED_VALUE"""),"EVERGREEN - UAN Gated Content - Embedded Petition")</f>
        <v>EVERGREEN - UAN Gated Content - Embedded Petition</v>
      </c>
      <c r="D515" s="5">
        <f ca="1">IFERROR(__xludf.DUMMYFUNCTION("""COMPUTED_VALUE"""),45662)</f>
        <v>45662</v>
      </c>
      <c r="F515" s="1" t="str">
        <f ca="1">IFERROR(__xludf.DUMMYFUNCTION("""COMPUTED_VALUE"""),"Tunisia")</f>
        <v>Tunisia</v>
      </c>
      <c r="G515" s="1" t="str">
        <f ca="1">IFERROR(__xludf.DUMMYFUNCTION("""COMPUTED_VALUE"""),"Second 76.24 Tunisia")</f>
        <v>Second 76.24 Tunisia</v>
      </c>
      <c r="H515" s="1" t="str">
        <f ca="1">IFERROR(__xludf.DUMMYFUNCTION("""COMPUTED_VALUE"""),"Freedom of Expression, Human Rights Defenders")</f>
        <v>Freedom of Expression, Human Rights Defenders</v>
      </c>
      <c r="I515" s="1" t="str">
        <f ca="1">IFERROR(__xludf.DUMMYFUNCTION("""COMPUTED_VALUE"""),"2025")</f>
        <v>2025</v>
      </c>
      <c r="J515" s="1" t="str">
        <f ca="1">IFERROR(__xludf.DUMMYFUNCTION("""COMPUTED_VALUE"""),"Email")</f>
        <v>Email</v>
      </c>
    </row>
    <row r="516" spans="1:10" ht="13" x14ac:dyDescent="0.15">
      <c r="A516" s="4">
        <f ca="1">IFERROR(__xludf.DUMMYFUNCTION("""COMPUTED_VALUE"""),31267757)</f>
        <v>31267757</v>
      </c>
      <c r="B516" s="1" t="str">
        <f ca="1">IFERROR(__xludf.DUMMYFUNCTION("""COMPUTED_VALUE"""),"givory@nmsu.edu")</f>
        <v>givory@nmsu.edu</v>
      </c>
      <c r="C516" s="4" t="str">
        <f ca="1">IFERROR(__xludf.DUMMYFUNCTION("""COMPUTED_VALUE"""),"EVERGREEN - UAN Gated Content - Embedded Petition")</f>
        <v>EVERGREEN - UAN Gated Content - Embedded Petition</v>
      </c>
      <c r="D516" s="5">
        <f ca="1">IFERROR(__xludf.DUMMYFUNCTION("""COMPUTED_VALUE"""),45677)</f>
        <v>45677</v>
      </c>
      <c r="F516" s="1" t="str">
        <f ca="1">IFERROR(__xludf.DUMMYFUNCTION("""COMPUTED_VALUE"""),"USA")</f>
        <v>USA</v>
      </c>
      <c r="G516" s="1" t="str">
        <f ca="1">IFERROR(__xludf.DUMMYFUNCTION("""COMPUTED_VALUE"""),"96.24 USA")</f>
        <v>96.24 USA</v>
      </c>
      <c r="H516" s="1" t="str">
        <f ca="1">IFERROR(__xludf.DUMMYFUNCTION("""COMPUTED_VALUE"""),"Death Penalty")</f>
        <v>Death Penalty</v>
      </c>
      <c r="I516" s="1" t="str">
        <f ca="1">IFERROR(__xludf.DUMMYFUNCTION("""COMPUTED_VALUE"""),"2024")</f>
        <v>2024</v>
      </c>
      <c r="J516" s="1" t="str">
        <f ca="1">IFERROR(__xludf.DUMMYFUNCTION("""COMPUTED_VALUE"""),"Email")</f>
        <v>Email</v>
      </c>
    </row>
    <row r="517" spans="1:10" ht="13" x14ac:dyDescent="0.15">
      <c r="A517" s="4">
        <f ca="1">IFERROR(__xludf.DUMMYFUNCTION("""COMPUTED_VALUE"""),31267757)</f>
        <v>31267757</v>
      </c>
      <c r="B517" s="1" t="str">
        <f ca="1">IFERROR(__xludf.DUMMYFUNCTION("""COMPUTED_VALUE"""),"givory@nmsu.edu")</f>
        <v>givory@nmsu.edu</v>
      </c>
      <c r="C517" s="4" t="str">
        <f ca="1">IFERROR(__xludf.DUMMYFUNCTION("""COMPUTED_VALUE"""),"EVERGREEN - UAN Gated Content - Embedded Petition")</f>
        <v>EVERGREEN - UAN Gated Content - Embedded Petition</v>
      </c>
      <c r="D517" s="5">
        <f ca="1">IFERROR(__xludf.DUMMYFUNCTION("""COMPUTED_VALUE"""),45687)</f>
        <v>45687</v>
      </c>
      <c r="F517" s="1" t="str">
        <f ca="1">IFERROR(__xludf.DUMMYFUNCTION("""COMPUTED_VALUE"""),"Tunisia")</f>
        <v>Tunisia</v>
      </c>
      <c r="G517" s="1" t="str">
        <f ca="1">IFERROR(__xludf.DUMMYFUNCTION("""COMPUTED_VALUE"""),"Second 76.24 Tunisia")</f>
        <v>Second 76.24 Tunisia</v>
      </c>
      <c r="H517" s="1" t="str">
        <f ca="1">IFERROR(__xludf.DUMMYFUNCTION("""COMPUTED_VALUE"""),"Freedom of Expression, Human Rights Defenders")</f>
        <v>Freedom of Expression, Human Rights Defenders</v>
      </c>
      <c r="I517" s="1" t="str">
        <f ca="1">IFERROR(__xludf.DUMMYFUNCTION("""COMPUTED_VALUE"""),"2025")</f>
        <v>2025</v>
      </c>
      <c r="J517" s="1" t="str">
        <f ca="1">IFERROR(__xludf.DUMMYFUNCTION("""COMPUTED_VALUE"""),"Email")</f>
        <v>Email</v>
      </c>
    </row>
    <row r="518" spans="1:10" ht="13" x14ac:dyDescent="0.15">
      <c r="A518" s="4">
        <f ca="1">IFERROR(__xludf.DUMMYFUNCTION("""COMPUTED_VALUE"""),31267757)</f>
        <v>31267757</v>
      </c>
      <c r="B518" s="1" t="str">
        <f ca="1">IFERROR(__xludf.DUMMYFUNCTION("""COMPUTED_VALUE"""),"givory@nmsu.edu")</f>
        <v>givory@nmsu.edu</v>
      </c>
      <c r="C518" s="4" t="str">
        <f ca="1">IFERROR(__xludf.DUMMYFUNCTION("""COMPUTED_VALUE"""),"EVERGREEN - UAN Gated Content - Embedded Petition")</f>
        <v>EVERGREEN - UAN Gated Content - Embedded Petition</v>
      </c>
      <c r="D518" s="5">
        <f ca="1">IFERROR(__xludf.DUMMYFUNCTION("""COMPUTED_VALUE"""),45698)</f>
        <v>45698</v>
      </c>
      <c r="F518" s="1" t="str">
        <f ca="1">IFERROR(__xludf.DUMMYFUNCTION("""COMPUTED_VALUE"""),"Uganda")</f>
        <v>Uganda</v>
      </c>
      <c r="G518" s="1" t="str">
        <f ca="1">IFERROR(__xludf.DUMMYFUNCTION("""COMPUTED_VALUE"""),"100.24 Uganda")</f>
        <v>100.24 Uganda</v>
      </c>
      <c r="H518" s="1" t="str">
        <f ca="1">IFERROR(__xludf.DUMMYFUNCTION("""COMPUTED_VALUE"""),"Freedom of Expression")</f>
        <v>Freedom of Expression</v>
      </c>
      <c r="I518" s="1" t="str">
        <f ca="1">IFERROR(__xludf.DUMMYFUNCTION("""COMPUTED_VALUE"""),"2024")</f>
        <v>2024</v>
      </c>
      <c r="J518" s="1" t="str">
        <f ca="1">IFERROR(__xludf.DUMMYFUNCTION("""COMPUTED_VALUE"""),"Email")</f>
        <v>Email</v>
      </c>
    </row>
    <row r="519" spans="1:10" ht="13" x14ac:dyDescent="0.15">
      <c r="A519" s="4">
        <f ca="1">IFERROR(__xludf.DUMMYFUNCTION("""COMPUTED_VALUE"""),31267757)</f>
        <v>31267757</v>
      </c>
      <c r="B519" s="1" t="str">
        <f ca="1">IFERROR(__xludf.DUMMYFUNCTION("""COMPUTED_VALUE"""),"givory@nmsu.edu")</f>
        <v>givory@nmsu.edu</v>
      </c>
      <c r="C519" s="4" t="str">
        <f ca="1">IFERROR(__xludf.DUMMYFUNCTION("""COMPUTED_VALUE"""),"EVERGREEN - UAN Gated Content - Embedded Petition")</f>
        <v>EVERGREEN - UAN Gated Content - Embedded Petition</v>
      </c>
      <c r="D519" s="5">
        <f ca="1">IFERROR(__xludf.DUMMYFUNCTION("""COMPUTED_VALUE"""),45669)</f>
        <v>45669</v>
      </c>
      <c r="F519" s="1" t="str">
        <f ca="1">IFERROR(__xludf.DUMMYFUNCTION("""COMPUTED_VALUE"""),"USA")</f>
        <v>USA</v>
      </c>
      <c r="G519" s="1" t="str">
        <f ca="1">IFERROR(__xludf.DUMMYFUNCTION("""COMPUTED_VALUE"""),"105.24 USA")</f>
        <v>105.24 USA</v>
      </c>
      <c r="H519" s="1" t="str">
        <f ca="1">IFERROR(__xludf.DUMMYFUNCTION("""COMPUTED_VALUE"""),"Death Penalty")</f>
        <v>Death Penalty</v>
      </c>
      <c r="I519" s="1" t="str">
        <f ca="1">IFERROR(__xludf.DUMMYFUNCTION("""COMPUTED_VALUE"""),"2024")</f>
        <v>2024</v>
      </c>
      <c r="J519" s="1" t="str">
        <f ca="1">IFERROR(__xludf.DUMMYFUNCTION("""COMPUTED_VALUE"""),"Email")</f>
        <v>Email</v>
      </c>
    </row>
    <row r="520" spans="1:10" ht="13" x14ac:dyDescent="0.15">
      <c r="A520" s="4">
        <f ca="1">IFERROR(__xludf.DUMMYFUNCTION("""COMPUTED_VALUE"""),31267757)</f>
        <v>31267757</v>
      </c>
      <c r="B520" s="1" t="str">
        <f ca="1">IFERROR(__xludf.DUMMYFUNCTION("""COMPUTED_VALUE"""),"givory@nmsu.edu")</f>
        <v>givory@nmsu.edu</v>
      </c>
      <c r="C520" s="4" t="str">
        <f ca="1">IFERROR(__xludf.DUMMYFUNCTION("""COMPUTED_VALUE"""),"EVERGREEN - UAN Gated Content - Embedded Petition")</f>
        <v>EVERGREEN - UAN Gated Content - Embedded Petition</v>
      </c>
      <c r="D520" s="5">
        <f ca="1">IFERROR(__xludf.DUMMYFUNCTION("""COMPUTED_VALUE"""),45668)</f>
        <v>45668</v>
      </c>
      <c r="F520" s="1" t="str">
        <f ca="1">IFERROR(__xludf.DUMMYFUNCTION("""COMPUTED_VALUE"""),"Uganda")</f>
        <v>Uganda</v>
      </c>
      <c r="G520" s="1" t="str">
        <f ca="1">IFERROR(__xludf.DUMMYFUNCTION("""COMPUTED_VALUE"""),"100.24 Uganda")</f>
        <v>100.24 Uganda</v>
      </c>
      <c r="H520" s="1" t="str">
        <f ca="1">IFERROR(__xludf.DUMMYFUNCTION("""COMPUTED_VALUE"""),"Freedom of Expression")</f>
        <v>Freedom of Expression</v>
      </c>
      <c r="I520" s="1" t="str">
        <f ca="1">IFERROR(__xludf.DUMMYFUNCTION("""COMPUTED_VALUE"""),"2024")</f>
        <v>2024</v>
      </c>
      <c r="J520" s="1" t="str">
        <f ca="1">IFERROR(__xludf.DUMMYFUNCTION("""COMPUTED_VALUE"""),"Email")</f>
        <v>Email</v>
      </c>
    </row>
    <row r="521" spans="1:10" ht="13" x14ac:dyDescent="0.15">
      <c r="A521" s="4">
        <f ca="1">IFERROR(__xludf.DUMMYFUNCTION("""COMPUTED_VALUE"""),31267757)</f>
        <v>31267757</v>
      </c>
      <c r="B521" s="1" t="str">
        <f ca="1">IFERROR(__xludf.DUMMYFUNCTION("""COMPUTED_VALUE"""),"givory@nmsu.edu")</f>
        <v>givory@nmsu.edu</v>
      </c>
      <c r="C521" s="4" t="str">
        <f ca="1">IFERROR(__xludf.DUMMYFUNCTION("""COMPUTED_VALUE"""),"EVERGREEN - UAN Gated Content - Embedded Petition")</f>
        <v>EVERGREEN - UAN Gated Content - Embedded Petition</v>
      </c>
      <c r="D521" s="5">
        <f ca="1">IFERROR(__xludf.DUMMYFUNCTION("""COMPUTED_VALUE"""),45677)</f>
        <v>45677</v>
      </c>
      <c r="F521" s="1" t="str">
        <f ca="1">IFERROR(__xludf.DUMMYFUNCTION("""COMPUTED_VALUE"""),"Iran")</f>
        <v>Iran</v>
      </c>
      <c r="G521" s="1" t="str">
        <f ca="1">IFERROR(__xludf.DUMMYFUNCTION("""COMPUTED_VALUE"""),"101.24 Iran")</f>
        <v>101.24 Iran</v>
      </c>
      <c r="H521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521" s="1" t="str">
        <f ca="1">IFERROR(__xludf.DUMMYFUNCTION("""COMPUTED_VALUE"""),"2024")</f>
        <v>2024</v>
      </c>
      <c r="J521" s="1" t="str">
        <f ca="1">IFERROR(__xludf.DUMMYFUNCTION("""COMPUTED_VALUE"""),"Email")</f>
        <v>Email</v>
      </c>
    </row>
    <row r="522" spans="1:10" ht="13" x14ac:dyDescent="0.15">
      <c r="A522" s="4">
        <f ca="1">IFERROR(__xludf.DUMMYFUNCTION("""COMPUTED_VALUE"""),31267757)</f>
        <v>31267757</v>
      </c>
      <c r="B522" s="1" t="str">
        <f ca="1">IFERROR(__xludf.DUMMYFUNCTION("""COMPUTED_VALUE"""),"givory@nmsu.edu")</f>
        <v>givory@nmsu.edu</v>
      </c>
      <c r="C522" s="4" t="str">
        <f ca="1">IFERROR(__xludf.DUMMYFUNCTION("""COMPUTED_VALUE"""),"EVERGREEN - UAN Gated Content - Embedded Petition")</f>
        <v>EVERGREEN - UAN Gated Content - Embedded Petition</v>
      </c>
      <c r="D522" s="5">
        <f ca="1">IFERROR(__xludf.DUMMYFUNCTION("""COMPUTED_VALUE"""),45624)</f>
        <v>45624</v>
      </c>
      <c r="F522" s="1" t="str">
        <f ca="1">IFERROR(__xludf.DUMMYFUNCTION("""COMPUTED_VALUE"""),"Tunisia")</f>
        <v>Tunisia</v>
      </c>
      <c r="G522" s="1" t="str">
        <f ca="1">IFERROR(__xludf.DUMMYFUNCTION("""COMPUTED_VALUE"""),"Second 76.24 Tunisia")</f>
        <v>Second 76.24 Tunisia</v>
      </c>
      <c r="H522" s="1" t="str">
        <f ca="1">IFERROR(__xludf.DUMMYFUNCTION("""COMPUTED_VALUE"""),"Freedom of Expression, Human Rights Defenders")</f>
        <v>Freedom of Expression, Human Rights Defenders</v>
      </c>
      <c r="I522" s="1" t="str">
        <f ca="1">IFERROR(__xludf.DUMMYFUNCTION("""COMPUTED_VALUE"""),"2025")</f>
        <v>2025</v>
      </c>
      <c r="J522" s="1" t="str">
        <f ca="1">IFERROR(__xludf.DUMMYFUNCTION("""COMPUTED_VALUE"""),"Email")</f>
        <v>Email</v>
      </c>
    </row>
    <row r="523" spans="1:10" ht="13" x14ac:dyDescent="0.15">
      <c r="A523" s="4">
        <f ca="1">IFERROR(__xludf.DUMMYFUNCTION("""COMPUTED_VALUE"""),31267757)</f>
        <v>31267757</v>
      </c>
      <c r="B523" s="1" t="str">
        <f ca="1">IFERROR(__xludf.DUMMYFUNCTION("""COMPUTED_VALUE"""),"givory@nmsu.edu")</f>
        <v>givory@nmsu.edu</v>
      </c>
      <c r="C523" s="4" t="str">
        <f ca="1">IFERROR(__xludf.DUMMYFUNCTION("""COMPUTED_VALUE"""),"EVERGREEN - UAN Gated Content - Embedded Petition")</f>
        <v>EVERGREEN - UAN Gated Content - Embedded Petition</v>
      </c>
      <c r="D523" s="5">
        <f ca="1">IFERROR(__xludf.DUMMYFUNCTION("""COMPUTED_VALUE"""),45618)</f>
        <v>45618</v>
      </c>
      <c r="F523" s="1" t="str">
        <f ca="1">IFERROR(__xludf.DUMMYFUNCTION("""COMPUTED_VALUE"""),"Tunisia")</f>
        <v>Tunisia</v>
      </c>
      <c r="G523" s="1" t="str">
        <f ca="1">IFERROR(__xludf.DUMMYFUNCTION("""COMPUTED_VALUE"""),"Second 76.24 Tunisia")</f>
        <v>Second 76.24 Tunisia</v>
      </c>
      <c r="H523" s="1" t="str">
        <f ca="1">IFERROR(__xludf.DUMMYFUNCTION("""COMPUTED_VALUE"""),"Freedom of Expression, Human Rights Defenders")</f>
        <v>Freedom of Expression, Human Rights Defenders</v>
      </c>
      <c r="I523" s="1" t="str">
        <f ca="1">IFERROR(__xludf.DUMMYFUNCTION("""COMPUTED_VALUE"""),"2025")</f>
        <v>2025</v>
      </c>
      <c r="J523" s="1" t="str">
        <f ca="1">IFERROR(__xludf.DUMMYFUNCTION("""COMPUTED_VALUE"""),"Email")</f>
        <v>Email</v>
      </c>
    </row>
    <row r="524" spans="1:10" ht="13" x14ac:dyDescent="0.15">
      <c r="A524" s="4">
        <f ca="1">IFERROR(__xludf.DUMMYFUNCTION("""COMPUTED_VALUE"""),31274883)</f>
        <v>31274883</v>
      </c>
      <c r="B524" s="1" t="str">
        <f ca="1">IFERROR(__xludf.DUMMYFUNCTION("""COMPUTED_VALUE"""),"linda.graham@beehivebotanicals.com")</f>
        <v>linda.graham@beehivebotanicals.com</v>
      </c>
      <c r="C524" s="4" t="str">
        <f ca="1">IFERROR(__xludf.DUMMYFUNCTION("""COMPUTED_VALUE"""),"EVERGREEN - UAN Gated Content - Embedded Petition")</f>
        <v>EVERGREEN - UAN Gated Content - Embedded Petition</v>
      </c>
      <c r="D524" s="5">
        <f ca="1">IFERROR(__xludf.DUMMYFUNCTION("""COMPUTED_VALUE"""),45694)</f>
        <v>45694</v>
      </c>
      <c r="F524" s="1" t="str">
        <f ca="1">IFERROR(__xludf.DUMMYFUNCTION("""COMPUTED_VALUE"""),"Tunisia")</f>
        <v>Tunisia</v>
      </c>
      <c r="G524" s="1" t="str">
        <f ca="1">IFERROR(__xludf.DUMMYFUNCTION("""COMPUTED_VALUE"""),"Second 76.24 Tunisia")</f>
        <v>Second 76.24 Tunisia</v>
      </c>
      <c r="H524" s="1" t="str">
        <f ca="1">IFERROR(__xludf.DUMMYFUNCTION("""COMPUTED_VALUE"""),"Freedom of Expression, Human Rights Defenders")</f>
        <v>Freedom of Expression, Human Rights Defenders</v>
      </c>
      <c r="I524" s="1" t="str">
        <f ca="1">IFERROR(__xludf.DUMMYFUNCTION("""COMPUTED_VALUE"""),"2025")</f>
        <v>2025</v>
      </c>
      <c r="J524" s="1" t="str">
        <f ca="1">IFERROR(__xludf.DUMMYFUNCTION("""COMPUTED_VALUE"""),"Email")</f>
        <v>Email</v>
      </c>
    </row>
    <row r="525" spans="1:10" ht="13" x14ac:dyDescent="0.15">
      <c r="A525" s="4">
        <f ca="1">IFERROR(__xludf.DUMMYFUNCTION("""COMPUTED_VALUE"""),31276264)</f>
        <v>31276264</v>
      </c>
      <c r="B525" s="1" t="str">
        <f ca="1">IFERROR(__xludf.DUMMYFUNCTION("""COMPUTED_VALUE"""),"sapicard@earthlink.net")</f>
        <v>sapicard@earthlink.net</v>
      </c>
      <c r="C525" s="4" t="str">
        <f ca="1">IFERROR(__xludf.DUMMYFUNCTION("""COMPUTED_VALUE"""),"EVERGREEN - UAN Gated Content - Embedded Petition")</f>
        <v>EVERGREEN - UAN Gated Content - Embedded Petition</v>
      </c>
      <c r="D525" s="5">
        <f ca="1">IFERROR(__xludf.DUMMYFUNCTION("""COMPUTED_VALUE"""),45636)</f>
        <v>45636</v>
      </c>
      <c r="F525" s="1" t="str">
        <f ca="1">IFERROR(__xludf.DUMMYFUNCTION("""COMPUTED_VALUE"""),"Egypt")</f>
        <v>Egypt</v>
      </c>
      <c r="G525" s="1" t="str">
        <f ca="1">IFERROR(__xludf.DUMMYFUNCTION("""COMPUTED_VALUE"""),"Ninth 190.18 Egypt")</f>
        <v>Ninth 190.18 Egypt</v>
      </c>
      <c r="H525" s="1" t="str">
        <f ca="1">IFERROR(__xludf.DUMMYFUNCTION("""COMPUTED_VALUE"""),"Freedom of Expression, Individuals At Risk")</f>
        <v>Freedom of Expression, Individuals At Risk</v>
      </c>
      <c r="I525" s="1" t="str">
        <f ca="1">IFERROR(__xludf.DUMMYFUNCTION("""COMPUTED_VALUE"""),"2024")</f>
        <v>2024</v>
      </c>
      <c r="J525" s="1" t="str">
        <f ca="1">IFERROR(__xludf.DUMMYFUNCTION("""COMPUTED_VALUE"""),"Letter")</f>
        <v>Letter</v>
      </c>
    </row>
    <row r="526" spans="1:10" ht="13" x14ac:dyDescent="0.15">
      <c r="A526" s="4">
        <f ca="1">IFERROR(__xludf.DUMMYFUNCTION("""COMPUTED_VALUE"""),31291317)</f>
        <v>31291317</v>
      </c>
      <c r="B526" s="1" t="str">
        <f ca="1">IFERROR(__xludf.DUMMYFUNCTION("""COMPUTED_VALUE"""),"sstaples27@yahoo.com")</f>
        <v>sstaples27@yahoo.com</v>
      </c>
      <c r="C526" s="4" t="str">
        <f ca="1">IFERROR(__xludf.DUMMYFUNCTION("""COMPUTED_VALUE"""),"EVERGREEN - UAN Gated Content - Embedded Petition")</f>
        <v>EVERGREEN - UAN Gated Content - Embedded Petition</v>
      </c>
      <c r="D526" s="5">
        <f ca="1">IFERROR(__xludf.DUMMYFUNCTION("""COMPUTED_VALUE"""),45673)</f>
        <v>45673</v>
      </c>
      <c r="F526" s="1" t="str">
        <f ca="1">IFERROR(__xludf.DUMMYFUNCTION("""COMPUTED_VALUE"""),"Iran")</f>
        <v>Iran</v>
      </c>
      <c r="G526" s="1" t="str">
        <f ca="1">IFERROR(__xludf.DUMMYFUNCTION("""COMPUTED_VALUE"""),"Seventh 103.22 Iran")</f>
        <v>Seventh 103.22 Iran</v>
      </c>
      <c r="H526" s="1" t="str">
        <f ca="1">IFERROR(__xludf.DUMMYFUNCTION("""COMPUTED_VALUE"""),"Death Penalty, Freedom of Expression, Individuals At Risk")</f>
        <v>Death Penalty, Freedom of Expression, Individuals At Risk</v>
      </c>
      <c r="I526" s="1" t="str">
        <f ca="1">IFERROR(__xludf.DUMMYFUNCTION("""COMPUTED_VALUE"""),"2024")</f>
        <v>2024</v>
      </c>
      <c r="J526" s="1" t="str">
        <f ca="1">IFERROR(__xludf.DUMMYFUNCTION("""COMPUTED_VALUE"""),"Email")</f>
        <v>Email</v>
      </c>
    </row>
    <row r="527" spans="1:10" ht="13" x14ac:dyDescent="0.15">
      <c r="A527" s="4">
        <f ca="1">IFERROR(__xludf.DUMMYFUNCTION("""COMPUTED_VALUE"""),31293535)</f>
        <v>31293535</v>
      </c>
      <c r="B527" s="1" t="str">
        <f ca="1">IFERROR(__xludf.DUMMYFUNCTION("""COMPUTED_VALUE"""),"sjfenster@gmail.com")</f>
        <v>sjfenster@gmail.com</v>
      </c>
      <c r="C527" s="4" t="str">
        <f ca="1">IFERROR(__xludf.DUMMYFUNCTION("""COMPUTED_VALUE"""),"EVERGREEN - UAN Gated Content - Embedded Petition")</f>
        <v>EVERGREEN - UAN Gated Content - Embedded Petition</v>
      </c>
      <c r="D527" s="5">
        <f ca="1">IFERROR(__xludf.DUMMYFUNCTION("""COMPUTED_VALUE"""),45694)</f>
        <v>45694</v>
      </c>
      <c r="F527" s="1" t="str">
        <f ca="1">IFERROR(__xludf.DUMMYFUNCTION("""COMPUTED_VALUE"""),"Azerbaijan")</f>
        <v>Azerbaijan</v>
      </c>
      <c r="G527" s="1" t="str">
        <f ca="1">IFERROR(__xludf.DUMMYFUNCTION("""COMPUTED_VALUE"""),"2.25 Azerbaijan")</f>
        <v>2.25 Azerbaijan</v>
      </c>
      <c r="H527" s="1" t="str">
        <f ca="1">IFERROR(__xludf.DUMMYFUNCTION("""COMPUTED_VALUE"""),"Freedom of Expression, Human Rights Defenders")</f>
        <v>Freedom of Expression, Human Rights Defenders</v>
      </c>
      <c r="I527" s="1" t="str">
        <f ca="1">IFERROR(__xludf.DUMMYFUNCTION("""COMPUTED_VALUE"""),"2025")</f>
        <v>2025</v>
      </c>
      <c r="J527" s="1" t="str">
        <f ca="1">IFERROR(__xludf.DUMMYFUNCTION("""COMPUTED_VALUE"""),"Email")</f>
        <v>Email</v>
      </c>
    </row>
    <row r="528" spans="1:10" ht="13" x14ac:dyDescent="0.15">
      <c r="A528" s="4">
        <f ca="1">IFERROR(__xludf.DUMMYFUNCTION("""COMPUTED_VALUE"""),31304779)</f>
        <v>31304779</v>
      </c>
      <c r="B528" s="1" t="str">
        <f ca="1">IFERROR(__xludf.DUMMYFUNCTION("""COMPUTED_VALUE"""),"marvel.maddox@gmail.com")</f>
        <v>marvel.maddox@gmail.com</v>
      </c>
      <c r="C528" s="4" t="str">
        <f ca="1">IFERROR(__xludf.DUMMYFUNCTION("""COMPUTED_VALUE"""),"EVERGREEN - UAN Gated Content - Embedded Petition")</f>
        <v>EVERGREEN - UAN Gated Content - Embedded Petition</v>
      </c>
      <c r="D528" s="5">
        <f ca="1">IFERROR(__xludf.DUMMYFUNCTION("""COMPUTED_VALUE"""),45636)</f>
        <v>45636</v>
      </c>
      <c r="F528" s="1" t="str">
        <f ca="1">IFERROR(__xludf.DUMMYFUNCTION("""COMPUTED_VALUE"""),"Egypt")</f>
        <v>Egypt</v>
      </c>
      <c r="G528" s="1" t="str">
        <f ca="1">IFERROR(__xludf.DUMMYFUNCTION("""COMPUTED_VALUE"""),"Ninth 190.18 Egypt")</f>
        <v>Ninth 190.18 Egypt</v>
      </c>
      <c r="H528" s="1" t="str">
        <f ca="1">IFERROR(__xludf.DUMMYFUNCTION("""COMPUTED_VALUE"""),"Freedom of Expression, Individuals At Risk")</f>
        <v>Freedom of Expression, Individuals At Risk</v>
      </c>
      <c r="I528" s="1" t="str">
        <f ca="1">IFERROR(__xludf.DUMMYFUNCTION("""COMPUTED_VALUE"""),"2024")</f>
        <v>2024</v>
      </c>
      <c r="J528" s="1" t="str">
        <f ca="1">IFERROR(__xludf.DUMMYFUNCTION("""COMPUTED_VALUE"""),"Letter")</f>
        <v>Letter</v>
      </c>
    </row>
    <row r="529" spans="1:10" ht="13" x14ac:dyDescent="0.15">
      <c r="A529" s="4">
        <f ca="1">IFERROR(__xludf.DUMMYFUNCTION("""COMPUTED_VALUE"""),31304779)</f>
        <v>31304779</v>
      </c>
      <c r="B529" s="1" t="str">
        <f ca="1">IFERROR(__xludf.DUMMYFUNCTION("""COMPUTED_VALUE"""),"marvel.maddox@gmail.com")</f>
        <v>marvel.maddox@gmail.com</v>
      </c>
      <c r="C529" s="4" t="str">
        <f ca="1">IFERROR(__xludf.DUMMYFUNCTION("""COMPUTED_VALUE"""),"EVERGREEN - UAN Gated Content - Embedded Petition")</f>
        <v>EVERGREEN - UAN Gated Content - Embedded Petition</v>
      </c>
      <c r="D529" s="5">
        <f ca="1">IFERROR(__xludf.DUMMYFUNCTION("""COMPUTED_VALUE"""),45694)</f>
        <v>45694</v>
      </c>
      <c r="F529" s="1" t="str">
        <f ca="1">IFERROR(__xludf.DUMMYFUNCTION("""COMPUTED_VALUE"""),"Tunisia")</f>
        <v>Tunisia</v>
      </c>
      <c r="G529" s="1" t="str">
        <f ca="1">IFERROR(__xludf.DUMMYFUNCTION("""COMPUTED_VALUE"""),"Second 76.24 Tunisia")</f>
        <v>Second 76.24 Tunisia</v>
      </c>
      <c r="H529" s="1" t="str">
        <f ca="1">IFERROR(__xludf.DUMMYFUNCTION("""COMPUTED_VALUE"""),"Freedom of Expression, Human Rights Defenders")</f>
        <v>Freedom of Expression, Human Rights Defenders</v>
      </c>
      <c r="I529" s="1" t="str">
        <f ca="1">IFERROR(__xludf.DUMMYFUNCTION("""COMPUTED_VALUE"""),"2025")</f>
        <v>2025</v>
      </c>
      <c r="J529" s="1" t="str">
        <f ca="1">IFERROR(__xludf.DUMMYFUNCTION("""COMPUTED_VALUE"""),"Email")</f>
        <v>Email</v>
      </c>
    </row>
    <row r="530" spans="1:10" ht="13" x14ac:dyDescent="0.15">
      <c r="A530" s="4">
        <f ca="1">IFERROR(__xludf.DUMMYFUNCTION("""COMPUTED_VALUE"""),31306930)</f>
        <v>31306930</v>
      </c>
      <c r="B530" s="1" t="str">
        <f ca="1">IFERROR(__xludf.DUMMYFUNCTION("""COMPUTED_VALUE"""),"willie.leight@gmail.com")</f>
        <v>willie.leight@gmail.com</v>
      </c>
      <c r="C530" s="4" t="str">
        <f ca="1">IFERROR(__xludf.DUMMYFUNCTION("""COMPUTED_VALUE"""),"EVERGREEN - UAN Gated Content - Embedded Petition")</f>
        <v>EVERGREEN - UAN Gated Content - Embedded Petition</v>
      </c>
      <c r="D530" s="5">
        <f ca="1">IFERROR(__xludf.DUMMYFUNCTION("""COMPUTED_VALUE"""),45697)</f>
        <v>45697</v>
      </c>
      <c r="F530" s="1" t="str">
        <f ca="1">IFERROR(__xludf.DUMMYFUNCTION("""COMPUTED_VALUE"""),"Tunisia")</f>
        <v>Tunisia</v>
      </c>
      <c r="G530" s="1" t="str">
        <f ca="1">IFERROR(__xludf.DUMMYFUNCTION("""COMPUTED_VALUE"""),"Second 76.24 Tunisia")</f>
        <v>Second 76.24 Tunisia</v>
      </c>
      <c r="H530" s="1" t="str">
        <f ca="1">IFERROR(__xludf.DUMMYFUNCTION("""COMPUTED_VALUE"""),"Freedom of Expression, Human Rights Defenders")</f>
        <v>Freedom of Expression, Human Rights Defenders</v>
      </c>
      <c r="I530" s="1" t="str">
        <f ca="1">IFERROR(__xludf.DUMMYFUNCTION("""COMPUTED_VALUE"""),"2025")</f>
        <v>2025</v>
      </c>
      <c r="J530" s="1" t="str">
        <f ca="1">IFERROR(__xludf.DUMMYFUNCTION("""COMPUTED_VALUE"""),"Email")</f>
        <v>Email</v>
      </c>
    </row>
    <row r="531" spans="1:10" ht="13" x14ac:dyDescent="0.15">
      <c r="A531" s="4">
        <f ca="1">IFERROR(__xludf.DUMMYFUNCTION("""COMPUTED_VALUE"""),31308199)</f>
        <v>31308199</v>
      </c>
      <c r="B531" s="1" t="str">
        <f ca="1">IFERROR(__xludf.DUMMYFUNCTION("""COMPUTED_VALUE"""),"janedineen@gmail.com")</f>
        <v>janedineen@gmail.com</v>
      </c>
      <c r="C531" s="4" t="str">
        <f ca="1">IFERROR(__xludf.DUMMYFUNCTION("""COMPUTED_VALUE"""),"EVERGREEN - UAN Gated Content - Embedded Petition")</f>
        <v>EVERGREEN - UAN Gated Content - Embedded Petition</v>
      </c>
      <c r="D531" s="5">
        <f ca="1">IFERROR(__xludf.DUMMYFUNCTION("""COMPUTED_VALUE"""),45636)</f>
        <v>45636</v>
      </c>
      <c r="F531" s="1" t="str">
        <f ca="1">IFERROR(__xludf.DUMMYFUNCTION("""COMPUTED_VALUE"""),"Tunisia")</f>
        <v>Tunisia</v>
      </c>
      <c r="G531" s="1" t="str">
        <f ca="1">IFERROR(__xludf.DUMMYFUNCTION("""COMPUTED_VALUE"""),"Second 76.24 Tunisia")</f>
        <v>Second 76.24 Tunisia</v>
      </c>
      <c r="H531" s="1" t="str">
        <f ca="1">IFERROR(__xludf.DUMMYFUNCTION("""COMPUTED_VALUE"""),"Freedom of Expression, Human Rights Defenders")</f>
        <v>Freedom of Expression, Human Rights Defenders</v>
      </c>
      <c r="I531" s="1" t="str">
        <f ca="1">IFERROR(__xludf.DUMMYFUNCTION("""COMPUTED_VALUE"""),"2025")</f>
        <v>2025</v>
      </c>
      <c r="J531" s="1" t="str">
        <f ca="1">IFERROR(__xludf.DUMMYFUNCTION("""COMPUTED_VALUE"""),"Email")</f>
        <v>Email</v>
      </c>
    </row>
    <row r="532" spans="1:10" ht="13" x14ac:dyDescent="0.15">
      <c r="A532" s="4">
        <f ca="1">IFERROR(__xludf.DUMMYFUNCTION("""COMPUTED_VALUE"""),31308199)</f>
        <v>31308199</v>
      </c>
      <c r="B532" s="1" t="str">
        <f ca="1">IFERROR(__xludf.DUMMYFUNCTION("""COMPUTED_VALUE"""),"janedineen@gmail.com")</f>
        <v>janedineen@gmail.com</v>
      </c>
      <c r="C532" s="4" t="str">
        <f ca="1">IFERROR(__xludf.DUMMYFUNCTION("""COMPUTED_VALUE"""),"EVERGREEN - UAN Gated Content - Embedded Petition")</f>
        <v>EVERGREEN - UAN Gated Content - Embedded Petition</v>
      </c>
      <c r="D532" s="5">
        <f ca="1">IFERROR(__xludf.DUMMYFUNCTION("""COMPUTED_VALUE"""),45636)</f>
        <v>45636</v>
      </c>
      <c r="F532" s="1" t="str">
        <f ca="1">IFERROR(__xludf.DUMMYFUNCTION("""COMPUTED_VALUE"""),"Egypt")</f>
        <v>Egypt</v>
      </c>
      <c r="G532" s="1" t="str">
        <f ca="1">IFERROR(__xludf.DUMMYFUNCTION("""COMPUTED_VALUE"""),"Ninth 190.18 Egypt")</f>
        <v>Ninth 190.18 Egypt</v>
      </c>
      <c r="H532" s="1" t="str">
        <f ca="1">IFERROR(__xludf.DUMMYFUNCTION("""COMPUTED_VALUE"""),"Freedom of Expression, Individuals At Risk")</f>
        <v>Freedom of Expression, Individuals At Risk</v>
      </c>
      <c r="I532" s="1" t="str">
        <f ca="1">IFERROR(__xludf.DUMMYFUNCTION("""COMPUTED_VALUE"""),"2024")</f>
        <v>2024</v>
      </c>
      <c r="J532" s="1" t="str">
        <f ca="1">IFERROR(__xludf.DUMMYFUNCTION("""COMPUTED_VALUE"""),"Letter")</f>
        <v>Letter</v>
      </c>
    </row>
    <row r="533" spans="1:10" ht="13" x14ac:dyDescent="0.15">
      <c r="A533" s="4">
        <f ca="1">IFERROR(__xludf.DUMMYFUNCTION("""COMPUTED_VALUE"""),31308487)</f>
        <v>31308487</v>
      </c>
      <c r="B533" s="1" t="str">
        <f ca="1">IFERROR(__xludf.DUMMYFUNCTION("""COMPUTED_VALUE"""),"cherez66@aol.com")</f>
        <v>cherez66@aol.com</v>
      </c>
      <c r="C533" s="4" t="str">
        <f ca="1">IFERROR(__xludf.DUMMYFUNCTION("""COMPUTED_VALUE"""),"EVERGREEN - UAN Gated Content - Embedded Petition")</f>
        <v>EVERGREEN - UAN Gated Content - Embedded Petition</v>
      </c>
      <c r="D533" s="5">
        <f ca="1">IFERROR(__xludf.DUMMYFUNCTION("""COMPUTED_VALUE"""),45691)</f>
        <v>45691</v>
      </c>
      <c r="F533" s="1" t="str">
        <f ca="1">IFERROR(__xludf.DUMMYFUNCTION("""COMPUTED_VALUE"""),"Dominican Republic")</f>
        <v>Dominican Republic</v>
      </c>
      <c r="G533" s="1" t="str">
        <f ca="1">IFERROR(__xludf.DUMMYFUNCTION("""COMPUTED_VALUE"""),"88.24 Dominican Republic")</f>
        <v>88.24 Dominican Republic</v>
      </c>
      <c r="H533" s="1" t="str">
        <f ca="1">IFERROR(__xludf.DUMMYFUNCTION("""COMPUTED_VALUE"""),"Individuals At Risk, Refugee and Migrant Rights")</f>
        <v>Individuals At Risk, Refugee and Migrant Rights</v>
      </c>
      <c r="I533" s="1" t="str">
        <f ca="1">IFERROR(__xludf.DUMMYFUNCTION("""COMPUTED_VALUE"""),"2024")</f>
        <v>2024</v>
      </c>
      <c r="J533" s="1" t="str">
        <f ca="1">IFERROR(__xludf.DUMMYFUNCTION("""COMPUTED_VALUE"""),"Letter")</f>
        <v>Letter</v>
      </c>
    </row>
    <row r="534" spans="1:10" ht="13" x14ac:dyDescent="0.15">
      <c r="A534" s="4">
        <f ca="1">IFERROR(__xludf.DUMMYFUNCTION("""COMPUTED_VALUE"""),31310021)</f>
        <v>31310021</v>
      </c>
      <c r="B534" s="1" t="str">
        <f ca="1">IFERROR(__xludf.DUMMYFUNCTION("""COMPUTED_VALUE"""),"losborncoffey@gmail.com")</f>
        <v>losborncoffey@gmail.com</v>
      </c>
      <c r="C534" s="4" t="str">
        <f ca="1">IFERROR(__xludf.DUMMYFUNCTION("""COMPUTED_VALUE"""),"EVERGREEN - UAN Gated Content - Embedded Petition")</f>
        <v>EVERGREEN - UAN Gated Content - Embedded Petition</v>
      </c>
      <c r="D534" s="5">
        <f ca="1">IFERROR(__xludf.DUMMYFUNCTION("""COMPUTED_VALUE"""),45617)</f>
        <v>45617</v>
      </c>
      <c r="F534" s="1" t="str">
        <f ca="1">IFERROR(__xludf.DUMMYFUNCTION("""COMPUTED_VALUE"""),"Uganda")</f>
        <v>Uganda</v>
      </c>
      <c r="G534" s="1" t="str">
        <f ca="1">IFERROR(__xludf.DUMMYFUNCTION("""COMPUTED_VALUE"""),"9.25 Uganda")</f>
        <v>9.25 Uganda</v>
      </c>
      <c r="H534" s="1" t="str">
        <f ca="1">IFERROR(__xludf.DUMMYFUNCTION("""COMPUTED_VALUE"""),"Freedom of Expression, Human Rights Defenders")</f>
        <v>Freedom of Expression, Human Rights Defenders</v>
      </c>
      <c r="I534" s="1" t="str">
        <f ca="1">IFERROR(__xludf.DUMMYFUNCTION("""COMPUTED_VALUE"""),"2025")</f>
        <v>2025</v>
      </c>
      <c r="J534" s="1" t="str">
        <f ca="1">IFERROR(__xludf.DUMMYFUNCTION("""COMPUTED_VALUE"""),"Email")</f>
        <v>Email</v>
      </c>
    </row>
    <row r="535" spans="1:10" ht="13" x14ac:dyDescent="0.15">
      <c r="A535" s="4">
        <f ca="1">IFERROR(__xludf.DUMMYFUNCTION("""COMPUTED_VALUE"""),31318010)</f>
        <v>31318010</v>
      </c>
      <c r="B535" s="1" t="str">
        <f ca="1">IFERROR(__xludf.DUMMYFUNCTION("""COMPUTED_VALUE"""),"ksgolden56@gmail.com")</f>
        <v>ksgolden56@gmail.com</v>
      </c>
      <c r="C535" s="4" t="str">
        <f ca="1">IFERROR(__xludf.DUMMYFUNCTION("""COMPUTED_VALUE"""),"EVERGREEN - UAN Gated Content - Embedded Petition")</f>
        <v>EVERGREEN - UAN Gated Content - Embedded Petition</v>
      </c>
      <c r="D535" s="5">
        <f ca="1">IFERROR(__xludf.DUMMYFUNCTION("""COMPUTED_VALUE"""),45694)</f>
        <v>45694</v>
      </c>
      <c r="F535" s="1" t="str">
        <f ca="1">IFERROR(__xludf.DUMMYFUNCTION("""COMPUTED_VALUE"""),"Uganda")</f>
        <v>Uganda</v>
      </c>
      <c r="G535" s="1" t="str">
        <f ca="1">IFERROR(__xludf.DUMMYFUNCTION("""COMPUTED_VALUE"""),"9.25 Uganda")</f>
        <v>9.25 Uganda</v>
      </c>
      <c r="H535" s="1" t="str">
        <f ca="1">IFERROR(__xludf.DUMMYFUNCTION("""COMPUTED_VALUE"""),"Freedom of Expression, Human Rights Defenders")</f>
        <v>Freedom of Expression, Human Rights Defenders</v>
      </c>
      <c r="I535" s="1" t="str">
        <f ca="1">IFERROR(__xludf.DUMMYFUNCTION("""COMPUTED_VALUE"""),"2025")</f>
        <v>2025</v>
      </c>
      <c r="J535" s="1" t="str">
        <f ca="1">IFERROR(__xludf.DUMMYFUNCTION("""COMPUTED_VALUE"""),"Email")</f>
        <v>Email</v>
      </c>
    </row>
    <row r="536" spans="1:10" ht="13" x14ac:dyDescent="0.15">
      <c r="A536" s="4">
        <f ca="1">IFERROR(__xludf.DUMMYFUNCTION("""COMPUTED_VALUE"""),31318010)</f>
        <v>31318010</v>
      </c>
      <c r="B536" s="1" t="str">
        <f ca="1">IFERROR(__xludf.DUMMYFUNCTION("""COMPUTED_VALUE"""),"ksgolden56@gmail.com")</f>
        <v>ksgolden56@gmail.com</v>
      </c>
      <c r="C536" s="4" t="str">
        <f ca="1">IFERROR(__xludf.DUMMYFUNCTION("""COMPUTED_VALUE"""),"EVERGREEN - UAN Gated Content - Embedded Petition")</f>
        <v>EVERGREEN - UAN Gated Content - Embedded Petition</v>
      </c>
      <c r="D536" s="5">
        <f ca="1">IFERROR(__xludf.DUMMYFUNCTION("""COMPUTED_VALUE"""),45694)</f>
        <v>45694</v>
      </c>
      <c r="F536" s="1" t="str">
        <f ca="1">IFERROR(__xludf.DUMMYFUNCTION("""COMPUTED_VALUE"""),"Tunisia")</f>
        <v>Tunisia</v>
      </c>
      <c r="G536" s="1" t="str">
        <f ca="1">IFERROR(__xludf.DUMMYFUNCTION("""COMPUTED_VALUE"""),"8.25 Tunisia")</f>
        <v>8.25 Tunisia</v>
      </c>
      <c r="H536" s="1" t="str">
        <f ca="1">IFERROR(__xludf.DUMMYFUNCTION("""COMPUTED_VALUE"""),"Freedom of Expression")</f>
        <v>Freedom of Expression</v>
      </c>
      <c r="I536" s="1" t="str">
        <f ca="1">IFERROR(__xludf.DUMMYFUNCTION("""COMPUTED_VALUE"""),"2025")</f>
        <v>2025</v>
      </c>
      <c r="J536" s="1" t="str">
        <f ca="1">IFERROR(__xludf.DUMMYFUNCTION("""COMPUTED_VALUE"""),"Email")</f>
        <v>Email</v>
      </c>
    </row>
    <row r="537" spans="1:10" ht="13" x14ac:dyDescent="0.15">
      <c r="A537" s="4">
        <f ca="1">IFERROR(__xludf.DUMMYFUNCTION("""COMPUTED_VALUE"""),31318010)</f>
        <v>31318010</v>
      </c>
      <c r="B537" s="1" t="str">
        <f ca="1">IFERROR(__xludf.DUMMYFUNCTION("""COMPUTED_VALUE"""),"ksgolden56@gmail.com")</f>
        <v>ksgolden56@gmail.com</v>
      </c>
      <c r="C537" s="4" t="str">
        <f ca="1">IFERROR(__xludf.DUMMYFUNCTION("""COMPUTED_VALUE"""),"EVERGREEN - UAN Gated Content - Embedded Petition")</f>
        <v>EVERGREEN - UAN Gated Content - Embedded Petition</v>
      </c>
      <c r="D537" s="5">
        <f ca="1">IFERROR(__xludf.DUMMYFUNCTION("""COMPUTED_VALUE"""),45694)</f>
        <v>45694</v>
      </c>
      <c r="F537" s="1" t="str">
        <f ca="1">IFERROR(__xludf.DUMMYFUNCTION("""COMPUTED_VALUE"""),"Afghanistan")</f>
        <v>Afghanistan</v>
      </c>
      <c r="G537" s="1" t="str">
        <f ca="1">IFERROR(__xludf.DUMMYFUNCTION("""COMPUTED_VALUE"""),"7.25 Afghanistan")</f>
        <v>7.25 Afghanistan</v>
      </c>
      <c r="H537" s="1" t="str">
        <f ca="1">IFERROR(__xludf.DUMMYFUNCTION("""COMPUTED_VALUE"""),"Freedom of Expression, Individuals At Risk, Women's Rights")</f>
        <v>Freedom of Expression, Individuals At Risk, Women's Rights</v>
      </c>
      <c r="I537" s="1" t="str">
        <f ca="1">IFERROR(__xludf.DUMMYFUNCTION("""COMPUTED_VALUE"""),"2025")</f>
        <v>2025</v>
      </c>
      <c r="J537" s="1" t="str">
        <f ca="1">IFERROR(__xludf.DUMMYFUNCTION("""COMPUTED_VALUE"""),"Email")</f>
        <v>Email</v>
      </c>
    </row>
    <row r="538" spans="1:10" ht="13" x14ac:dyDescent="0.15">
      <c r="A538" s="4">
        <f ca="1">IFERROR(__xludf.DUMMYFUNCTION("""COMPUTED_VALUE"""),31320893)</f>
        <v>31320893</v>
      </c>
      <c r="B538" s="1" t="str">
        <f ca="1">IFERROR(__xludf.DUMMYFUNCTION("""COMPUTED_VALUE"""),"dgendvil@gmail.com")</f>
        <v>dgendvil@gmail.com</v>
      </c>
      <c r="C538" s="4" t="str">
        <f ca="1">IFERROR(__xludf.DUMMYFUNCTION("""COMPUTED_VALUE"""),"EVERGREEN - UAN Gated Content - Embedded Petition")</f>
        <v>EVERGREEN - UAN Gated Content - Embedded Petition</v>
      </c>
      <c r="D538" s="5">
        <f ca="1">IFERROR(__xludf.DUMMYFUNCTION("""COMPUTED_VALUE"""),45694)</f>
        <v>45694</v>
      </c>
      <c r="F538" s="1" t="str">
        <f ca="1">IFERROR(__xludf.DUMMYFUNCTION("""COMPUTED_VALUE"""),"Tunisia")</f>
        <v>Tunisia</v>
      </c>
      <c r="G538" s="1" t="str">
        <f ca="1">IFERROR(__xludf.DUMMYFUNCTION("""COMPUTED_VALUE"""),"Second 76.24 Tunisia")</f>
        <v>Second 76.24 Tunisia</v>
      </c>
      <c r="H538" s="1" t="str">
        <f ca="1">IFERROR(__xludf.DUMMYFUNCTION("""COMPUTED_VALUE"""),"Freedom of Expression, Human Rights Defenders")</f>
        <v>Freedom of Expression, Human Rights Defenders</v>
      </c>
      <c r="I538" s="1" t="str">
        <f ca="1">IFERROR(__xludf.DUMMYFUNCTION("""COMPUTED_VALUE"""),"2025")</f>
        <v>2025</v>
      </c>
      <c r="J538" s="1" t="str">
        <f ca="1">IFERROR(__xludf.DUMMYFUNCTION("""COMPUTED_VALUE"""),"Email")</f>
        <v>Email</v>
      </c>
    </row>
    <row r="539" spans="1:10" ht="13" x14ac:dyDescent="0.15">
      <c r="A539" s="4">
        <f ca="1">IFERROR(__xludf.DUMMYFUNCTION("""COMPUTED_VALUE"""),31356104)</f>
        <v>31356104</v>
      </c>
      <c r="B539" s="1" t="str">
        <f ca="1">IFERROR(__xludf.DUMMYFUNCTION("""COMPUTED_VALUE"""),"kunstef@msn.com")</f>
        <v>kunstef@msn.com</v>
      </c>
      <c r="C539" s="4" t="str">
        <f ca="1">IFERROR(__xludf.DUMMYFUNCTION("""COMPUTED_VALUE"""),"EVERGREEN - UAN Gated Content - Embedded Petition")</f>
        <v>EVERGREEN - UAN Gated Content - Embedded Petition</v>
      </c>
      <c r="D539" s="5">
        <f ca="1">IFERROR(__xludf.DUMMYFUNCTION("""COMPUTED_VALUE"""),45615)</f>
        <v>45615</v>
      </c>
      <c r="F539" s="1" t="str">
        <f ca="1">IFERROR(__xludf.DUMMYFUNCTION("""COMPUTED_VALUE"""),"Iran")</f>
        <v>Iran</v>
      </c>
      <c r="G539" s="1" t="str">
        <f ca="1">IFERROR(__xludf.DUMMYFUNCTION("""COMPUTED_VALUE"""),"Seventh 103.22 Iran")</f>
        <v>Seventh 103.22 Iran</v>
      </c>
      <c r="H539" s="1" t="str">
        <f ca="1">IFERROR(__xludf.DUMMYFUNCTION("""COMPUTED_VALUE"""),"Death Penalty, Freedom of Expression, Individuals At Risk")</f>
        <v>Death Penalty, Freedom of Expression, Individuals At Risk</v>
      </c>
      <c r="I539" s="1" t="str">
        <f ca="1">IFERROR(__xludf.DUMMYFUNCTION("""COMPUTED_VALUE"""),"2024")</f>
        <v>2024</v>
      </c>
      <c r="J539" s="1" t="str">
        <f ca="1">IFERROR(__xludf.DUMMYFUNCTION("""COMPUTED_VALUE"""),"Email")</f>
        <v>Email</v>
      </c>
    </row>
    <row r="540" spans="1:10" ht="13" x14ac:dyDescent="0.15">
      <c r="A540" s="4">
        <f ca="1">IFERROR(__xludf.DUMMYFUNCTION("""COMPUTED_VALUE"""),31379950)</f>
        <v>31379950</v>
      </c>
      <c r="B540" s="1" t="str">
        <f ca="1">IFERROR(__xludf.DUMMYFUNCTION("""COMPUTED_VALUE"""),"kevinofthelake@yahoo.com")</f>
        <v>kevinofthelake@yahoo.com</v>
      </c>
      <c r="C540" s="4" t="str">
        <f ca="1">IFERROR(__xludf.DUMMYFUNCTION("""COMPUTED_VALUE"""),"EVERGREEN - UAN Gated Content - Embedded Petition")</f>
        <v>EVERGREEN - UAN Gated Content - Embedded Petition</v>
      </c>
      <c r="D540" s="5">
        <f ca="1">IFERROR(__xludf.DUMMYFUNCTION("""COMPUTED_VALUE"""),45696)</f>
        <v>45696</v>
      </c>
      <c r="F540" s="1" t="str">
        <f ca="1">IFERROR(__xludf.DUMMYFUNCTION("""COMPUTED_VALUE"""),"USA")</f>
        <v>USA</v>
      </c>
      <c r="G540" s="1" t="str">
        <f ca="1">IFERROR(__xludf.DUMMYFUNCTION("""COMPUTED_VALUE"""),"4.25 USA")</f>
        <v>4.25 USA</v>
      </c>
      <c r="H540" s="1" t="str">
        <f ca="1">IFERROR(__xludf.DUMMYFUNCTION("""COMPUTED_VALUE"""),"Individuals At Risk, Refugee and Migrant Rights")</f>
        <v>Individuals At Risk, Refugee and Migrant Rights</v>
      </c>
      <c r="I540" s="1" t="str">
        <f ca="1">IFERROR(__xludf.DUMMYFUNCTION("""COMPUTED_VALUE"""),"2025")</f>
        <v>2025</v>
      </c>
      <c r="J540" s="1" t="str">
        <f ca="1">IFERROR(__xludf.DUMMYFUNCTION("""COMPUTED_VALUE"""),"Letter")</f>
        <v>Letter</v>
      </c>
    </row>
    <row r="541" spans="1:10" ht="13" x14ac:dyDescent="0.15">
      <c r="A541" s="4">
        <f ca="1">IFERROR(__xludf.DUMMYFUNCTION("""COMPUTED_VALUE"""),31379950)</f>
        <v>31379950</v>
      </c>
      <c r="B541" s="1" t="str">
        <f ca="1">IFERROR(__xludf.DUMMYFUNCTION("""COMPUTED_VALUE"""),"kevinofthelake@yahoo.com")</f>
        <v>kevinofthelake@yahoo.com</v>
      </c>
      <c r="C541" s="4" t="str">
        <f ca="1">IFERROR(__xludf.DUMMYFUNCTION("""COMPUTED_VALUE"""),"EVERGREEN - UAN Gated Content - Embedded Petition")</f>
        <v>EVERGREEN - UAN Gated Content - Embedded Petition</v>
      </c>
      <c r="D541" s="5">
        <f ca="1">IFERROR(__xludf.DUMMYFUNCTION("""COMPUTED_VALUE"""),45638)</f>
        <v>45638</v>
      </c>
      <c r="F541" s="1" t="str">
        <f ca="1">IFERROR(__xludf.DUMMYFUNCTION("""COMPUTED_VALUE"""),"Iran")</f>
        <v>Iran</v>
      </c>
      <c r="G541" s="1" t="str">
        <f ca="1">IFERROR(__xludf.DUMMYFUNCTION("""COMPUTED_VALUE"""),"Seventh 103.22 Iran")</f>
        <v>Seventh 103.22 Iran</v>
      </c>
      <c r="H541" s="1" t="str">
        <f ca="1">IFERROR(__xludf.DUMMYFUNCTION("""COMPUTED_VALUE"""),"Death Penalty, Freedom of Expression, Individuals At Risk")</f>
        <v>Death Penalty, Freedom of Expression, Individuals At Risk</v>
      </c>
      <c r="I541" s="1" t="str">
        <f ca="1">IFERROR(__xludf.DUMMYFUNCTION("""COMPUTED_VALUE"""),"2024")</f>
        <v>2024</v>
      </c>
      <c r="J541" s="1" t="str">
        <f ca="1">IFERROR(__xludf.DUMMYFUNCTION("""COMPUTED_VALUE"""),"Email")</f>
        <v>Email</v>
      </c>
    </row>
    <row r="542" spans="1:10" ht="13" x14ac:dyDescent="0.15">
      <c r="A542" s="4">
        <f ca="1">IFERROR(__xludf.DUMMYFUNCTION("""COMPUTED_VALUE"""),31391919)</f>
        <v>31391919</v>
      </c>
      <c r="B542" s="1" t="str">
        <f ca="1">IFERROR(__xludf.DUMMYFUNCTION("""COMPUTED_VALUE"""),"joel@abrams.net")</f>
        <v>joel@abrams.net</v>
      </c>
      <c r="C542" s="4" t="str">
        <f ca="1">IFERROR(__xludf.DUMMYFUNCTION("""COMPUTED_VALUE"""),"EVERGREEN - UAN Gated Content - Embedded Petition")</f>
        <v>EVERGREEN - UAN Gated Content - Embedded Petition</v>
      </c>
      <c r="D542" s="5">
        <f ca="1">IFERROR(__xludf.DUMMYFUNCTION("""COMPUTED_VALUE"""),45694)</f>
        <v>45694</v>
      </c>
      <c r="F542" s="1" t="str">
        <f ca="1">IFERROR(__xludf.DUMMYFUNCTION("""COMPUTED_VALUE"""),"Egypt")</f>
        <v>Egypt</v>
      </c>
      <c r="G542" s="1" t="str">
        <f ca="1">IFERROR(__xludf.DUMMYFUNCTION("""COMPUTED_VALUE"""),"Ninth 190.18 Egypt")</f>
        <v>Ninth 190.18 Egypt</v>
      </c>
      <c r="H542" s="1" t="str">
        <f ca="1">IFERROR(__xludf.DUMMYFUNCTION("""COMPUTED_VALUE"""),"Freedom of Expression, Individuals At Risk")</f>
        <v>Freedom of Expression, Individuals At Risk</v>
      </c>
      <c r="I542" s="1" t="str">
        <f ca="1">IFERROR(__xludf.DUMMYFUNCTION("""COMPUTED_VALUE"""),"2024")</f>
        <v>2024</v>
      </c>
      <c r="J542" s="1" t="str">
        <f ca="1">IFERROR(__xludf.DUMMYFUNCTION("""COMPUTED_VALUE"""),"Letter")</f>
        <v>Letter</v>
      </c>
    </row>
    <row r="543" spans="1:10" ht="13" x14ac:dyDescent="0.15">
      <c r="A543" s="4">
        <f ca="1">IFERROR(__xludf.DUMMYFUNCTION("""COMPUTED_VALUE"""),31398979)</f>
        <v>31398979</v>
      </c>
      <c r="B543" s="1" t="str">
        <f ca="1">IFERROR(__xludf.DUMMYFUNCTION("""COMPUTED_VALUE"""),"klwhit19@gmail.com")</f>
        <v>klwhit19@gmail.com</v>
      </c>
      <c r="C543" s="4" t="str">
        <f ca="1">IFERROR(__xludf.DUMMYFUNCTION("""COMPUTED_VALUE"""),"EVERGREEN - UAN Gated Content - Embedded Petition")</f>
        <v>EVERGREEN - UAN Gated Content - Embedded Petition</v>
      </c>
      <c r="D543" s="5">
        <f ca="1">IFERROR(__xludf.DUMMYFUNCTION("""COMPUTED_VALUE"""),45635)</f>
        <v>45635</v>
      </c>
      <c r="F543" s="1" t="str">
        <f ca="1">IFERROR(__xludf.DUMMYFUNCTION("""COMPUTED_VALUE"""),"USA")</f>
        <v>USA</v>
      </c>
      <c r="G543" s="1" t="str">
        <f ca="1">IFERROR(__xludf.DUMMYFUNCTION("""COMPUTED_VALUE"""),"96.24 USA")</f>
        <v>96.24 USA</v>
      </c>
      <c r="H543" s="1" t="str">
        <f ca="1">IFERROR(__xludf.DUMMYFUNCTION("""COMPUTED_VALUE"""),"Death Penalty")</f>
        <v>Death Penalty</v>
      </c>
      <c r="I543" s="1" t="str">
        <f ca="1">IFERROR(__xludf.DUMMYFUNCTION("""COMPUTED_VALUE"""),"2024")</f>
        <v>2024</v>
      </c>
      <c r="J543" s="1" t="str">
        <f ca="1">IFERROR(__xludf.DUMMYFUNCTION("""COMPUTED_VALUE"""),"Email")</f>
        <v>Email</v>
      </c>
    </row>
    <row r="544" spans="1:10" ht="13" x14ac:dyDescent="0.15">
      <c r="A544" s="4">
        <f ca="1">IFERROR(__xludf.DUMMYFUNCTION("""COMPUTED_VALUE"""),31398979)</f>
        <v>31398979</v>
      </c>
      <c r="B544" s="1" t="str">
        <f ca="1">IFERROR(__xludf.DUMMYFUNCTION("""COMPUTED_VALUE"""),"klwhit19@gmail.com")</f>
        <v>klwhit19@gmail.com</v>
      </c>
      <c r="C544" s="4" t="str">
        <f ca="1">IFERROR(__xludf.DUMMYFUNCTION("""COMPUTED_VALUE"""),"EVERGREEN - UAN Gated Content - Embedded Petition")</f>
        <v>EVERGREEN - UAN Gated Content - Embedded Petition</v>
      </c>
      <c r="D544" s="5">
        <f ca="1">IFERROR(__xludf.DUMMYFUNCTION("""COMPUTED_VALUE"""),45694)</f>
        <v>45694</v>
      </c>
      <c r="F544" s="1" t="str">
        <f ca="1">IFERROR(__xludf.DUMMYFUNCTION("""COMPUTED_VALUE"""),"Canada")</f>
        <v>Canada</v>
      </c>
      <c r="G544" s="1" t="str">
        <f ca="1">IFERROR(__xludf.DUMMYFUNCTION("""COMPUTED_VALUE"""),"99.24 Canada")</f>
        <v>99.24 Canada</v>
      </c>
      <c r="H544" s="1" t="str">
        <f ca="1">IFERROR(__xludf.DUMMYFUNCTION("""COMPUTED_VALUE"""),"Climate Justice, Indigenous Rights, Right to Protest")</f>
        <v>Climate Justice, Indigenous Rights, Right to Protest</v>
      </c>
      <c r="I544" s="1" t="str">
        <f ca="1">IFERROR(__xludf.DUMMYFUNCTION("""COMPUTED_VALUE"""),"2024")</f>
        <v>2024</v>
      </c>
      <c r="J544" s="1" t="str">
        <f ca="1">IFERROR(__xludf.DUMMYFUNCTION("""COMPUTED_VALUE"""),"Letter")</f>
        <v>Letter</v>
      </c>
    </row>
    <row r="545" spans="1:10" ht="13" x14ac:dyDescent="0.15">
      <c r="A545" s="4">
        <f ca="1">IFERROR(__xludf.DUMMYFUNCTION("""COMPUTED_VALUE"""),31403498)</f>
        <v>31403498</v>
      </c>
      <c r="B545" s="1" t="str">
        <f ca="1">IFERROR(__xludf.DUMMYFUNCTION("""COMPUTED_VALUE"""),"rakedon1@yahoo.com")</f>
        <v>rakedon1@yahoo.com</v>
      </c>
      <c r="C545" s="4" t="str">
        <f ca="1">IFERROR(__xludf.DUMMYFUNCTION("""COMPUTED_VALUE"""),"EVERGREEN - UAN Gated Content - Embedded Petition")</f>
        <v>EVERGREEN - UAN Gated Content - Embedded Petition</v>
      </c>
      <c r="D545" s="5">
        <f ca="1">IFERROR(__xludf.DUMMYFUNCTION("""COMPUTED_VALUE"""),45616)</f>
        <v>45616</v>
      </c>
      <c r="F545" s="1" t="str">
        <f ca="1">IFERROR(__xludf.DUMMYFUNCTION("""COMPUTED_VALUE"""),"Canada")</f>
        <v>Canada</v>
      </c>
      <c r="G545" s="1" t="str">
        <f ca="1">IFERROR(__xludf.DUMMYFUNCTION("""COMPUTED_VALUE"""),"99.24 Canada")</f>
        <v>99.24 Canada</v>
      </c>
      <c r="H545" s="1" t="str">
        <f ca="1">IFERROR(__xludf.DUMMYFUNCTION("""COMPUTED_VALUE"""),"Climate Justice, Indigenous Rights, Right to Protest")</f>
        <v>Climate Justice, Indigenous Rights, Right to Protest</v>
      </c>
      <c r="I545" s="1" t="str">
        <f ca="1">IFERROR(__xludf.DUMMYFUNCTION("""COMPUTED_VALUE"""),"2024")</f>
        <v>2024</v>
      </c>
      <c r="J545" s="1" t="str">
        <f ca="1">IFERROR(__xludf.DUMMYFUNCTION("""COMPUTED_VALUE"""),"Letter")</f>
        <v>Letter</v>
      </c>
    </row>
    <row r="546" spans="1:10" ht="13" x14ac:dyDescent="0.15">
      <c r="A546" s="4">
        <f ca="1">IFERROR(__xludf.DUMMYFUNCTION("""COMPUTED_VALUE"""),31403498)</f>
        <v>31403498</v>
      </c>
      <c r="B546" s="1" t="str">
        <f ca="1">IFERROR(__xludf.DUMMYFUNCTION("""COMPUTED_VALUE"""),"rakedon1@yahoo.com")</f>
        <v>rakedon1@yahoo.com</v>
      </c>
      <c r="C546" s="4" t="str">
        <f ca="1">IFERROR(__xludf.DUMMYFUNCTION("""COMPUTED_VALUE"""),"EVERGREEN - UAN Gated Content - Embedded Petition")</f>
        <v>EVERGREEN - UAN Gated Content - Embedded Petition</v>
      </c>
      <c r="D546" s="5">
        <f ca="1">IFERROR(__xludf.DUMMYFUNCTION("""COMPUTED_VALUE"""),45616)</f>
        <v>45616</v>
      </c>
      <c r="F546" s="1" t="str">
        <f ca="1">IFERROR(__xludf.DUMMYFUNCTION("""COMPUTED_VALUE"""),"Russian Federation")</f>
        <v>Russian Federation</v>
      </c>
      <c r="G546" s="1" t="str">
        <f ca="1">IFERROR(__xludf.DUMMYFUNCTION("""COMPUTED_VALUE"""),"Second 23.24 Russia")</f>
        <v>Second 23.24 Russia</v>
      </c>
      <c r="H546" s="1" t="str">
        <f ca="1">IFERROR(__xludf.DUMMYFUNCTION("""COMPUTED_VALUE"""),"Freedom of Expression")</f>
        <v>Freedom of Expression</v>
      </c>
      <c r="I546" s="1" t="str">
        <f ca="1">IFERROR(__xludf.DUMMYFUNCTION("""COMPUTED_VALUE"""),"2024")</f>
        <v>2024</v>
      </c>
      <c r="J546" s="1" t="str">
        <f ca="1">IFERROR(__xludf.DUMMYFUNCTION("""COMPUTED_VALUE"""),"Letter")</f>
        <v>Letter</v>
      </c>
    </row>
    <row r="547" spans="1:10" ht="13" x14ac:dyDescent="0.15">
      <c r="A547" s="4">
        <f ca="1">IFERROR(__xludf.DUMMYFUNCTION("""COMPUTED_VALUE"""),31403498)</f>
        <v>31403498</v>
      </c>
      <c r="B547" s="1" t="str">
        <f ca="1">IFERROR(__xludf.DUMMYFUNCTION("""COMPUTED_VALUE"""),"rakedon1@yahoo.com")</f>
        <v>rakedon1@yahoo.com</v>
      </c>
      <c r="C547" s="4" t="str">
        <f ca="1">IFERROR(__xludf.DUMMYFUNCTION("""COMPUTED_VALUE"""),"EVERGREEN - UAN Gated Content - Embedded Petition")</f>
        <v>EVERGREEN - UAN Gated Content - Embedded Petition</v>
      </c>
      <c r="D547" s="5">
        <f ca="1">IFERROR(__xludf.DUMMYFUNCTION("""COMPUTED_VALUE"""),45694)</f>
        <v>45694</v>
      </c>
      <c r="F547" s="1" t="str">
        <f ca="1">IFERROR(__xludf.DUMMYFUNCTION("""COMPUTED_VALUE"""),"China")</f>
        <v>China</v>
      </c>
      <c r="G547" s="1" t="str">
        <f ca="1">IFERROR(__xludf.DUMMYFUNCTION("""COMPUTED_VALUE"""),"98.24 China")</f>
        <v>98.24 China</v>
      </c>
      <c r="H547" s="1" t="str">
        <f ca="1">IFERROR(__xludf.DUMMYFUNCTION("""COMPUTED_VALUE"""),"Freedom of Expression, Individuals At Risk")</f>
        <v>Freedom of Expression, Individuals At Risk</v>
      </c>
      <c r="I547" s="1" t="str">
        <f ca="1">IFERROR(__xludf.DUMMYFUNCTION("""COMPUTED_VALUE"""),"2024")</f>
        <v>2024</v>
      </c>
      <c r="J547" s="1" t="str">
        <f ca="1">IFERROR(__xludf.DUMMYFUNCTION("""COMPUTED_VALUE"""),"Letter")</f>
        <v>Letter</v>
      </c>
    </row>
    <row r="548" spans="1:10" ht="13" x14ac:dyDescent="0.15">
      <c r="A548" s="4">
        <f ca="1">IFERROR(__xludf.DUMMYFUNCTION("""COMPUTED_VALUE"""),31403626)</f>
        <v>31403626</v>
      </c>
      <c r="B548" s="1" t="str">
        <f ca="1">IFERROR(__xludf.DUMMYFUNCTION("""COMPUTED_VALUE"""),"firebyrd@earthlink.net")</f>
        <v>firebyrd@earthlink.net</v>
      </c>
      <c r="C548" s="4" t="str">
        <f ca="1">IFERROR(__xludf.DUMMYFUNCTION("""COMPUTED_VALUE"""),"EVERGREEN - UAN Gated Content - Embedded Petition")</f>
        <v>EVERGREEN - UAN Gated Content - Embedded Petition</v>
      </c>
      <c r="D548" s="5">
        <f ca="1">IFERROR(__xludf.DUMMYFUNCTION("""COMPUTED_VALUE"""),45617)</f>
        <v>45617</v>
      </c>
      <c r="F548" s="1" t="str">
        <f ca="1">IFERROR(__xludf.DUMMYFUNCTION("""COMPUTED_VALUE"""),"Venezuela")</f>
        <v>Venezuela</v>
      </c>
      <c r="G548" s="1" t="str">
        <f ca="1">IFERROR(__xludf.DUMMYFUNCTION("""COMPUTED_VALUE"""),"97.24 Venezuela")</f>
        <v>97.24 Venezuela</v>
      </c>
      <c r="H548" s="1" t="str">
        <f ca="1">IFERROR(__xludf.DUMMYFUNCTION("""COMPUTED_VALUE"""),"Freedom of Expression")</f>
        <v>Freedom of Expression</v>
      </c>
      <c r="I548" s="1" t="str">
        <f ca="1">IFERROR(__xludf.DUMMYFUNCTION("""COMPUTED_VALUE"""),"2024")</f>
        <v>2024</v>
      </c>
      <c r="J548" s="1" t="str">
        <f ca="1">IFERROR(__xludf.DUMMYFUNCTION("""COMPUTED_VALUE"""),"Letter")</f>
        <v>Letter</v>
      </c>
    </row>
    <row r="549" spans="1:10" ht="13" x14ac:dyDescent="0.15">
      <c r="A549" s="4">
        <f ca="1">IFERROR(__xludf.DUMMYFUNCTION("""COMPUTED_VALUE"""),31403626)</f>
        <v>31403626</v>
      </c>
      <c r="B549" s="1" t="str">
        <f ca="1">IFERROR(__xludf.DUMMYFUNCTION("""COMPUTED_VALUE"""),"firebyrd@earthlink.net")</f>
        <v>firebyrd@earthlink.net</v>
      </c>
      <c r="C549" s="4" t="str">
        <f ca="1">IFERROR(__xludf.DUMMYFUNCTION("""COMPUTED_VALUE"""),"EVERGREEN - UAN Gated Content - Embedded Petition")</f>
        <v>EVERGREEN - UAN Gated Content - Embedded Petition</v>
      </c>
      <c r="D549" s="5">
        <f ca="1">IFERROR(__xludf.DUMMYFUNCTION("""COMPUTED_VALUE"""),45617)</f>
        <v>45617</v>
      </c>
      <c r="F549" s="1" t="str">
        <f ca="1">IFERROR(__xludf.DUMMYFUNCTION("""COMPUTED_VALUE"""),"Tunisia")</f>
        <v>Tunisia</v>
      </c>
      <c r="G549" s="1" t="str">
        <f ca="1">IFERROR(__xludf.DUMMYFUNCTION("""COMPUTED_VALUE"""),"Second 43.24 Tunisia")</f>
        <v>Second 43.24 Tunisia</v>
      </c>
      <c r="H549" s="1" t="str">
        <f ca="1">IFERROR(__xludf.DUMMYFUNCTION("""COMPUTED_VALUE"""),"Freedom of Expression, Individuals At Risk")</f>
        <v>Freedom of Expression, Individuals At Risk</v>
      </c>
      <c r="I549" s="1" t="str">
        <f ca="1">IFERROR(__xludf.DUMMYFUNCTION("""COMPUTED_VALUE"""),"2024")</f>
        <v>2024</v>
      </c>
      <c r="J549" s="1" t="str">
        <f ca="1">IFERROR(__xludf.DUMMYFUNCTION("""COMPUTED_VALUE"""),"Email")</f>
        <v>Email</v>
      </c>
    </row>
    <row r="550" spans="1:10" ht="13" x14ac:dyDescent="0.15">
      <c r="A550" s="4">
        <f ca="1">IFERROR(__xludf.DUMMYFUNCTION("""COMPUTED_VALUE"""),31403626)</f>
        <v>31403626</v>
      </c>
      <c r="B550" s="1" t="str">
        <f ca="1">IFERROR(__xludf.DUMMYFUNCTION("""COMPUTED_VALUE"""),"firebyrd@earthlink.net")</f>
        <v>firebyrd@earthlink.net</v>
      </c>
      <c r="C550" s="4" t="str">
        <f ca="1">IFERROR(__xludf.DUMMYFUNCTION("""COMPUTED_VALUE"""),"EVERGREEN - UAN Gated Content - Embedded Petition")</f>
        <v>EVERGREEN - UAN Gated Content - Embedded Petition</v>
      </c>
      <c r="D550" s="5">
        <f ca="1">IFERROR(__xludf.DUMMYFUNCTION("""COMPUTED_VALUE"""),45617)</f>
        <v>45617</v>
      </c>
      <c r="F550" s="1" t="str">
        <f ca="1">IFERROR(__xludf.DUMMYFUNCTION("""COMPUTED_VALUE"""),"Tunisia")</f>
        <v>Tunisia</v>
      </c>
      <c r="G550" s="1" t="str">
        <f ca="1">IFERROR(__xludf.DUMMYFUNCTION("""COMPUTED_VALUE"""),"Second 43.24 Tunisia")</f>
        <v>Second 43.24 Tunisia</v>
      </c>
      <c r="H550" s="1" t="str">
        <f ca="1">IFERROR(__xludf.DUMMYFUNCTION("""COMPUTED_VALUE"""),"Freedom of Expression, Individuals At Risk")</f>
        <v>Freedom of Expression, Individuals At Risk</v>
      </c>
      <c r="I550" s="1" t="str">
        <f ca="1">IFERROR(__xludf.DUMMYFUNCTION("""COMPUTED_VALUE"""),"2024")</f>
        <v>2024</v>
      </c>
      <c r="J550" s="1" t="str">
        <f ca="1">IFERROR(__xludf.DUMMYFUNCTION("""COMPUTED_VALUE"""),"Email")</f>
        <v>Email</v>
      </c>
    </row>
    <row r="551" spans="1:10" ht="13" x14ac:dyDescent="0.15">
      <c r="A551" s="4">
        <f ca="1">IFERROR(__xludf.DUMMYFUNCTION("""COMPUTED_VALUE"""),31405098)</f>
        <v>31405098</v>
      </c>
      <c r="B551" s="1" t="str">
        <f ca="1">IFERROR(__xludf.DUMMYFUNCTION("""COMPUTED_VALUE"""),"rredfern@charter.net")</f>
        <v>rredfern@charter.net</v>
      </c>
      <c r="C551" s="4" t="str">
        <f ca="1">IFERROR(__xludf.DUMMYFUNCTION("""COMPUTED_VALUE"""),"EVERGREEN - UAN Gated Content - Embedded Petition")</f>
        <v>EVERGREEN - UAN Gated Content - Embedded Petition</v>
      </c>
      <c r="D551" s="5">
        <f ca="1">IFERROR(__xludf.DUMMYFUNCTION("""COMPUTED_VALUE"""),45706)</f>
        <v>45706</v>
      </c>
      <c r="F551" s="1" t="str">
        <f ca="1">IFERROR(__xludf.DUMMYFUNCTION("""COMPUTED_VALUE"""),"USA")</f>
        <v>USA</v>
      </c>
      <c r="G551" s="1" t="str">
        <f ca="1">IFERROR(__xludf.DUMMYFUNCTION("""COMPUTED_VALUE"""),"Fourth 55.24 USA")</f>
        <v>Fourth 55.24 USA</v>
      </c>
      <c r="H551" s="1" t="str">
        <f ca="1">IFERROR(__xludf.DUMMYFUNCTION("""COMPUTED_VALUE"""),"Climate Justice, Individuals At Risk")</f>
        <v>Climate Justice, Individuals At Risk</v>
      </c>
      <c r="I551" s="1" t="str">
        <f ca="1">IFERROR(__xludf.DUMMYFUNCTION("""COMPUTED_VALUE"""),"2025")</f>
        <v>2025</v>
      </c>
      <c r="J551" s="1" t="str">
        <f ca="1">IFERROR(__xludf.DUMMYFUNCTION("""COMPUTED_VALUE"""),"Email")</f>
        <v>Email</v>
      </c>
    </row>
    <row r="552" spans="1:10" ht="13" x14ac:dyDescent="0.15">
      <c r="A552" s="4">
        <f ca="1">IFERROR(__xludf.DUMMYFUNCTION("""COMPUTED_VALUE"""),31405098)</f>
        <v>31405098</v>
      </c>
      <c r="B552" s="1" t="str">
        <f ca="1">IFERROR(__xludf.DUMMYFUNCTION("""COMPUTED_VALUE"""),"rredfern@charter.net")</f>
        <v>rredfern@charter.net</v>
      </c>
      <c r="C552" s="4" t="str">
        <f ca="1">IFERROR(__xludf.DUMMYFUNCTION("""COMPUTED_VALUE"""),"EVERGREEN - UAN Gated Content - Embedded Petition")</f>
        <v>EVERGREEN - UAN Gated Content - Embedded Petition</v>
      </c>
      <c r="D552" s="5">
        <f ca="1">IFERROR(__xludf.DUMMYFUNCTION("""COMPUTED_VALUE"""),45706)</f>
        <v>45706</v>
      </c>
      <c r="F552" s="1" t="str">
        <f ca="1">IFERROR(__xludf.DUMMYFUNCTION("""COMPUTED_VALUE"""),"Russian Federation")</f>
        <v>Russian Federation</v>
      </c>
      <c r="G552" s="1" t="str">
        <f ca="1">IFERROR(__xludf.DUMMYFUNCTION("""COMPUTED_VALUE"""),"Second 23.24 Russia")</f>
        <v>Second 23.24 Russia</v>
      </c>
      <c r="H552" s="1" t="str">
        <f ca="1">IFERROR(__xludf.DUMMYFUNCTION("""COMPUTED_VALUE"""),"Freedom of Expression")</f>
        <v>Freedom of Expression</v>
      </c>
      <c r="I552" s="1" t="str">
        <f ca="1">IFERROR(__xludf.DUMMYFUNCTION("""COMPUTED_VALUE"""),"2024")</f>
        <v>2024</v>
      </c>
      <c r="J552" s="1" t="str">
        <f ca="1">IFERROR(__xludf.DUMMYFUNCTION("""COMPUTED_VALUE"""),"Letter")</f>
        <v>Letter</v>
      </c>
    </row>
    <row r="553" spans="1:10" ht="13" x14ac:dyDescent="0.15">
      <c r="A553" s="4">
        <f ca="1">IFERROR(__xludf.DUMMYFUNCTION("""COMPUTED_VALUE"""),31408124)</f>
        <v>31408124</v>
      </c>
      <c r="B553" s="1" t="str">
        <f ca="1">IFERROR(__xludf.DUMMYFUNCTION("""COMPUTED_VALUE"""),"17jordan@cox.net")</f>
        <v>17jordan@cox.net</v>
      </c>
      <c r="C553" s="4" t="str">
        <f ca="1">IFERROR(__xludf.DUMMYFUNCTION("""COMPUTED_VALUE"""),"EVERGREEN - UAN Gated Content - Embedded Petition")</f>
        <v>EVERGREEN - UAN Gated Content - Embedded Petition</v>
      </c>
      <c r="D553" s="5">
        <f ca="1">IFERROR(__xludf.DUMMYFUNCTION("""COMPUTED_VALUE"""),45677)</f>
        <v>45677</v>
      </c>
      <c r="F553" s="1" t="str">
        <f ca="1">IFERROR(__xludf.DUMMYFUNCTION("""COMPUTED_VALUE"""),"Russian Federation")</f>
        <v>Russian Federation</v>
      </c>
      <c r="G553" s="1" t="str">
        <f ca="1">IFERROR(__xludf.DUMMYFUNCTION("""COMPUTED_VALUE"""),"Second 23.24 Russia")</f>
        <v>Second 23.24 Russia</v>
      </c>
      <c r="H553" s="1" t="str">
        <f ca="1">IFERROR(__xludf.DUMMYFUNCTION("""COMPUTED_VALUE"""),"Freedom of Expression")</f>
        <v>Freedom of Expression</v>
      </c>
      <c r="I553" s="1" t="str">
        <f ca="1">IFERROR(__xludf.DUMMYFUNCTION("""COMPUTED_VALUE"""),"2024")</f>
        <v>2024</v>
      </c>
      <c r="J553" s="1" t="str">
        <f ca="1">IFERROR(__xludf.DUMMYFUNCTION("""COMPUTED_VALUE"""),"Letter")</f>
        <v>Letter</v>
      </c>
    </row>
    <row r="554" spans="1:10" ht="13" x14ac:dyDescent="0.15">
      <c r="A554" s="4">
        <f ca="1">IFERROR(__xludf.DUMMYFUNCTION("""COMPUTED_VALUE"""),31408124)</f>
        <v>31408124</v>
      </c>
      <c r="B554" s="1" t="str">
        <f ca="1">IFERROR(__xludf.DUMMYFUNCTION("""COMPUTED_VALUE"""),"17jordan@cox.net")</f>
        <v>17jordan@cox.net</v>
      </c>
      <c r="C554" s="4" t="str">
        <f ca="1">IFERROR(__xludf.DUMMYFUNCTION("""COMPUTED_VALUE"""),"EVERGREEN - UAN Gated Content - Embedded Petition")</f>
        <v>EVERGREEN - UAN Gated Content - Embedded Petition</v>
      </c>
      <c r="D554" s="5">
        <f ca="1">IFERROR(__xludf.DUMMYFUNCTION("""COMPUTED_VALUE"""),45694)</f>
        <v>45694</v>
      </c>
      <c r="F554" s="1" t="str">
        <f ca="1">IFERROR(__xludf.DUMMYFUNCTION("""COMPUTED_VALUE"""),"USA")</f>
        <v>USA</v>
      </c>
      <c r="G554" s="1" t="str">
        <f ca="1">IFERROR(__xludf.DUMMYFUNCTION("""COMPUTED_VALUE"""),"Fourth 55.24 USA")</f>
        <v>Fourth 55.24 USA</v>
      </c>
      <c r="H554" s="1" t="str">
        <f ca="1">IFERROR(__xludf.DUMMYFUNCTION("""COMPUTED_VALUE"""),"Climate Justice, Individuals At Risk")</f>
        <v>Climate Justice, Individuals At Risk</v>
      </c>
      <c r="I554" s="1" t="str">
        <f ca="1">IFERROR(__xludf.DUMMYFUNCTION("""COMPUTED_VALUE"""),"2025")</f>
        <v>2025</v>
      </c>
      <c r="J554" s="1" t="str">
        <f ca="1">IFERROR(__xludf.DUMMYFUNCTION("""COMPUTED_VALUE"""),"Email")</f>
        <v>Email</v>
      </c>
    </row>
    <row r="555" spans="1:10" ht="13" x14ac:dyDescent="0.15">
      <c r="A555" s="4">
        <f ca="1">IFERROR(__xludf.DUMMYFUNCTION("""COMPUTED_VALUE"""),31408124)</f>
        <v>31408124</v>
      </c>
      <c r="B555" s="1" t="str">
        <f ca="1">IFERROR(__xludf.DUMMYFUNCTION("""COMPUTED_VALUE"""),"17jordan@cox.net")</f>
        <v>17jordan@cox.net</v>
      </c>
      <c r="C555" s="4" t="str">
        <f ca="1">IFERROR(__xludf.DUMMYFUNCTION("""COMPUTED_VALUE"""),"EVERGREEN - UAN Gated Content - Embedded Petition")</f>
        <v>EVERGREEN - UAN Gated Content - Embedded Petition</v>
      </c>
      <c r="D555" s="5">
        <f ca="1">IFERROR(__xludf.DUMMYFUNCTION("""COMPUTED_VALUE"""),45616)</f>
        <v>45616</v>
      </c>
      <c r="F555" s="1" t="str">
        <f ca="1">IFERROR(__xludf.DUMMYFUNCTION("""COMPUTED_VALUE"""),"Niger")</f>
        <v>Niger</v>
      </c>
      <c r="G555" s="1" t="str">
        <f ca="1">IFERROR(__xludf.DUMMYFUNCTION("""COMPUTED_VALUE"""),"103.24 Niger")</f>
        <v>103.24 Niger</v>
      </c>
      <c r="H555" s="1" t="str">
        <f ca="1">IFERROR(__xludf.DUMMYFUNCTION("""COMPUTED_VALUE"""),"Freedom of Expression, Human Rights Defenders")</f>
        <v>Freedom of Expression, Human Rights Defenders</v>
      </c>
      <c r="I555" s="1" t="str">
        <f ca="1">IFERROR(__xludf.DUMMYFUNCTION("""COMPUTED_VALUE"""),"2024")</f>
        <v>2024</v>
      </c>
      <c r="J555" s="1" t="str">
        <f ca="1">IFERROR(__xludf.DUMMYFUNCTION("""COMPUTED_VALUE"""),"Email")</f>
        <v>Email</v>
      </c>
    </row>
    <row r="556" spans="1:10" ht="13" x14ac:dyDescent="0.15">
      <c r="A556" s="4">
        <f ca="1">IFERROR(__xludf.DUMMYFUNCTION("""COMPUTED_VALUE"""),31415343)</f>
        <v>31415343</v>
      </c>
      <c r="B556" s="1" t="str">
        <f ca="1">IFERROR(__xludf.DUMMYFUNCTION("""COMPUTED_VALUE"""),"brucemagnuson@yahoo.com")</f>
        <v>brucemagnuson@yahoo.com</v>
      </c>
      <c r="C556" s="4" t="str">
        <f ca="1">IFERROR(__xludf.DUMMYFUNCTION("""COMPUTED_VALUE"""),"EVERGREEN - UAN Gated Content - Embedded Petition")</f>
        <v>EVERGREEN - UAN Gated Content - Embedded Petition</v>
      </c>
      <c r="D556" s="5">
        <f ca="1">IFERROR(__xludf.DUMMYFUNCTION("""COMPUTED_VALUE"""),45700)</f>
        <v>45700</v>
      </c>
      <c r="F556" s="1" t="str">
        <f ca="1">IFERROR(__xludf.DUMMYFUNCTION("""COMPUTED_VALUE"""),"Turkiye")</f>
        <v>Turkiye</v>
      </c>
      <c r="G556" s="1" t="str">
        <f ca="1">IFERROR(__xludf.DUMMYFUNCTION("""COMPUTED_VALUE"""),"109.24 Türkiye")</f>
        <v>109.24 Türkiye</v>
      </c>
      <c r="H556" s="1" t="str">
        <f ca="1">IFERROR(__xludf.DUMMYFUNCTION("""COMPUTED_VALUE"""),"Human Rights Defenders, Individuals At Risk")</f>
        <v>Human Rights Defenders, Individuals At Risk</v>
      </c>
      <c r="I556" s="1" t="str">
        <f ca="1">IFERROR(__xludf.DUMMYFUNCTION("""COMPUTED_VALUE"""),"2024")</f>
        <v>2024</v>
      </c>
      <c r="J556" s="1" t="str">
        <f ca="1">IFERROR(__xludf.DUMMYFUNCTION("""COMPUTED_VALUE"""),"Email")</f>
        <v>Email</v>
      </c>
    </row>
    <row r="557" spans="1:10" ht="13" x14ac:dyDescent="0.15">
      <c r="A557" s="4">
        <f ca="1">IFERROR(__xludf.DUMMYFUNCTION("""COMPUTED_VALUE"""),31416295)</f>
        <v>31416295</v>
      </c>
      <c r="B557" s="1" t="str">
        <f ca="1">IFERROR(__xludf.DUMMYFUNCTION("""COMPUTED_VALUE"""),"enohuwa@yahoo.com")</f>
        <v>enohuwa@yahoo.com</v>
      </c>
      <c r="C557" s="4" t="str">
        <f ca="1">IFERROR(__xludf.DUMMYFUNCTION("""COMPUTED_VALUE"""),"EVERGREEN - UAN Gated Content - Embedded Petition")</f>
        <v>EVERGREEN - UAN Gated Content - Embedded Petition</v>
      </c>
      <c r="D557" s="5">
        <f ca="1">IFERROR(__xludf.DUMMYFUNCTION("""COMPUTED_VALUE"""),45636)</f>
        <v>45636</v>
      </c>
      <c r="F557" s="1" t="str">
        <f ca="1">IFERROR(__xludf.DUMMYFUNCTION("""COMPUTED_VALUE"""),"Egypt")</f>
        <v>Egypt</v>
      </c>
      <c r="G557" s="1" t="str">
        <f ca="1">IFERROR(__xludf.DUMMYFUNCTION("""COMPUTED_VALUE"""),"Third 73.23 Egypt")</f>
        <v>Third 73.23 Egypt</v>
      </c>
      <c r="H557" s="1" t="str">
        <f ca="1">IFERROR(__xludf.DUMMYFUNCTION("""COMPUTED_VALUE"""),"Individuals At Risk")</f>
        <v>Individuals At Risk</v>
      </c>
      <c r="I557" s="1" t="str">
        <f ca="1">IFERROR(__xludf.DUMMYFUNCTION("""COMPUTED_VALUE"""),"2024")</f>
        <v>2024</v>
      </c>
      <c r="J557" s="1" t="str">
        <f ca="1">IFERROR(__xludf.DUMMYFUNCTION("""COMPUTED_VALUE"""),"Email")</f>
        <v>Email</v>
      </c>
    </row>
    <row r="558" spans="1:10" ht="13" x14ac:dyDescent="0.15">
      <c r="A558" s="4">
        <f ca="1">IFERROR(__xludf.DUMMYFUNCTION("""COMPUTED_VALUE"""),31416295)</f>
        <v>31416295</v>
      </c>
      <c r="B558" s="1" t="str">
        <f ca="1">IFERROR(__xludf.DUMMYFUNCTION("""COMPUTED_VALUE"""),"enohuwa@yahoo.com")</f>
        <v>enohuwa@yahoo.com</v>
      </c>
      <c r="C558" s="4" t="str">
        <f ca="1">IFERROR(__xludf.DUMMYFUNCTION("""COMPUTED_VALUE"""),"EVERGREEN - UAN Gated Content - Embedded Petition")</f>
        <v>EVERGREEN - UAN Gated Content - Embedded Petition</v>
      </c>
      <c r="D558" s="5">
        <f ca="1">IFERROR(__xludf.DUMMYFUNCTION("""COMPUTED_VALUE"""),45636)</f>
        <v>45636</v>
      </c>
      <c r="F558" s="1" t="str">
        <f ca="1">IFERROR(__xludf.DUMMYFUNCTION("""COMPUTED_VALUE"""),"Israel and Occupied Palestinian Territories")</f>
        <v>Israel and Occupied Palestinian Territories</v>
      </c>
      <c r="G558" s="1" t="str">
        <f ca="1">IFERROR(__xludf.DUMMYFUNCTION("""COMPUTED_VALUE"""),"3.25 IOPT")</f>
        <v>3.25 IOPT</v>
      </c>
      <c r="H558" s="1" t="str">
        <f ca="1">IFERROR(__xludf.DUMMYFUNCTION("""COMPUTED_VALUE"""),"Freedom of Expression, Individuals At Risk")</f>
        <v>Freedom of Expression, Individuals At Risk</v>
      </c>
      <c r="I558" s="1" t="str">
        <f ca="1">IFERROR(__xludf.DUMMYFUNCTION("""COMPUTED_VALUE"""),"2025")</f>
        <v>2025</v>
      </c>
      <c r="J558" s="1" t="str">
        <f ca="1">IFERROR(__xludf.DUMMYFUNCTION("""COMPUTED_VALUE"""),"Email")</f>
        <v>Email</v>
      </c>
    </row>
    <row r="559" spans="1:10" ht="13" x14ac:dyDescent="0.15">
      <c r="A559" s="4">
        <f ca="1">IFERROR(__xludf.DUMMYFUNCTION("""COMPUTED_VALUE"""),31416295)</f>
        <v>31416295</v>
      </c>
      <c r="B559" s="1" t="str">
        <f ca="1">IFERROR(__xludf.DUMMYFUNCTION("""COMPUTED_VALUE"""),"enohuwa@yahoo.com")</f>
        <v>enohuwa@yahoo.com</v>
      </c>
      <c r="C559" s="4" t="str">
        <f ca="1">IFERROR(__xludf.DUMMYFUNCTION("""COMPUTED_VALUE"""),"EVERGREEN - UAN Gated Content - Embedded Petition")</f>
        <v>EVERGREEN - UAN Gated Content - Embedded Petition</v>
      </c>
      <c r="D559" s="5">
        <f ca="1">IFERROR(__xludf.DUMMYFUNCTION("""COMPUTED_VALUE"""),45636)</f>
        <v>45636</v>
      </c>
      <c r="F559" s="1" t="str">
        <f ca="1">IFERROR(__xludf.DUMMYFUNCTION("""COMPUTED_VALUE"""),"Venezuela")</f>
        <v>Venezuela</v>
      </c>
      <c r="G559" s="1" t="str">
        <f ca="1">IFERROR(__xludf.DUMMYFUNCTION("""COMPUTED_VALUE"""),"1.25 Venezuela")</f>
        <v>1.25 Venezuela</v>
      </c>
      <c r="H559" s="1" t="str">
        <f ca="1">IFERROR(__xludf.DUMMYFUNCTION("""COMPUTED_VALUE"""),"Human Rights Defenders, Individuals At Risk")</f>
        <v>Human Rights Defenders, Individuals At Risk</v>
      </c>
      <c r="I559" s="1" t="str">
        <f ca="1">IFERROR(__xludf.DUMMYFUNCTION("""COMPUTED_VALUE"""),"2025")</f>
        <v>2025</v>
      </c>
      <c r="J559" s="1" t="str">
        <f ca="1">IFERROR(__xludf.DUMMYFUNCTION("""COMPUTED_VALUE"""),"Letter")</f>
        <v>Letter</v>
      </c>
    </row>
    <row r="560" spans="1:10" ht="13" x14ac:dyDescent="0.15">
      <c r="A560" s="4">
        <f ca="1">IFERROR(__xludf.DUMMYFUNCTION("""COMPUTED_VALUE"""),31416295)</f>
        <v>31416295</v>
      </c>
      <c r="B560" s="1" t="str">
        <f ca="1">IFERROR(__xludf.DUMMYFUNCTION("""COMPUTED_VALUE"""),"enohuwa@yahoo.com")</f>
        <v>enohuwa@yahoo.com</v>
      </c>
      <c r="C560" s="4" t="str">
        <f ca="1">IFERROR(__xludf.DUMMYFUNCTION("""COMPUTED_VALUE"""),"EVERGREEN - UAN Gated Content - Embedded Petition")</f>
        <v>EVERGREEN - UAN Gated Content - Embedded Petition</v>
      </c>
      <c r="D560" s="5">
        <f ca="1">IFERROR(__xludf.DUMMYFUNCTION("""COMPUTED_VALUE"""),45636)</f>
        <v>45636</v>
      </c>
      <c r="F560" s="1" t="str">
        <f ca="1">IFERROR(__xludf.DUMMYFUNCTION("""COMPUTED_VALUE"""),"Azerbaijan")</f>
        <v>Azerbaijan</v>
      </c>
      <c r="G560" s="1" t="str">
        <f ca="1">IFERROR(__xludf.DUMMYFUNCTION("""COMPUTED_VALUE"""),"2.25 Azerbaijan")</f>
        <v>2.25 Azerbaijan</v>
      </c>
      <c r="H560" s="1" t="str">
        <f ca="1">IFERROR(__xludf.DUMMYFUNCTION("""COMPUTED_VALUE"""),"Freedom of Expression, Human Rights Defenders")</f>
        <v>Freedom of Expression, Human Rights Defenders</v>
      </c>
      <c r="I560" s="1" t="str">
        <f ca="1">IFERROR(__xludf.DUMMYFUNCTION("""COMPUTED_VALUE"""),"2025")</f>
        <v>2025</v>
      </c>
      <c r="J560" s="1" t="str">
        <f ca="1">IFERROR(__xludf.DUMMYFUNCTION("""COMPUTED_VALUE"""),"Email")</f>
        <v>Email</v>
      </c>
    </row>
    <row r="561" spans="1:10" ht="13" x14ac:dyDescent="0.15">
      <c r="A561" s="4">
        <f ca="1">IFERROR(__xludf.DUMMYFUNCTION("""COMPUTED_VALUE"""),31416295)</f>
        <v>31416295</v>
      </c>
      <c r="B561" s="1" t="str">
        <f ca="1">IFERROR(__xludf.DUMMYFUNCTION("""COMPUTED_VALUE"""),"enohuwa@yahoo.com")</f>
        <v>enohuwa@yahoo.com</v>
      </c>
      <c r="C561" s="4" t="str">
        <f ca="1">IFERROR(__xludf.DUMMYFUNCTION("""COMPUTED_VALUE"""),"EVERGREEN - Website Email Capture Form - UAN Pre-Footer")</f>
        <v>EVERGREEN - Website Email Capture Form - UAN Pre-Footer</v>
      </c>
      <c r="D561" s="5">
        <f ca="1">IFERROR(__xludf.DUMMYFUNCTION("""COMPUTED_VALUE"""),45636)</f>
        <v>45636</v>
      </c>
      <c r="F561" s="1" t="str">
        <f ca="1">IFERROR(__xludf.DUMMYFUNCTION("""COMPUTED_VALUE"""),"China")</f>
        <v>China</v>
      </c>
      <c r="G561" s="1" t="str">
        <f ca="1">IFERROR(__xludf.DUMMYFUNCTION("""COMPUTED_VALUE"""),"106.24 China")</f>
        <v>106.24 China</v>
      </c>
      <c r="H561" s="1" t="str">
        <f ca="1">IFERROR(__xludf.DUMMYFUNCTION("""COMPUTED_VALUE"""),"Freedom of Expression, Individuals At Risk")</f>
        <v>Freedom of Expression, Individuals At Risk</v>
      </c>
      <c r="I561" s="1" t="str">
        <f ca="1">IFERROR(__xludf.DUMMYFUNCTION("""COMPUTED_VALUE"""),"2024")</f>
        <v>2024</v>
      </c>
      <c r="J561" s="1" t="str">
        <f ca="1">IFERROR(__xludf.DUMMYFUNCTION("""COMPUTED_VALUE"""),"Email")</f>
        <v>Email</v>
      </c>
    </row>
    <row r="562" spans="1:10" ht="13" x14ac:dyDescent="0.15">
      <c r="A562" s="4">
        <f ca="1">IFERROR(__xludf.DUMMYFUNCTION("""COMPUTED_VALUE"""),31422173)</f>
        <v>31422173</v>
      </c>
      <c r="B562" s="1" t="str">
        <f ca="1">IFERROR(__xludf.DUMMYFUNCTION("""COMPUTED_VALUE"""),"kbwordsworth@gmail.com")</f>
        <v>kbwordsworth@gmail.com</v>
      </c>
      <c r="C562" s="4" t="str">
        <f ca="1">IFERROR(__xludf.DUMMYFUNCTION("""COMPUTED_VALUE"""),"EVERGREEN - UAN Gated Content - Embedded Petition")</f>
        <v>EVERGREEN - UAN Gated Content - Embedded Petition</v>
      </c>
      <c r="D562" s="5">
        <f ca="1">IFERROR(__xludf.DUMMYFUNCTION("""COMPUTED_VALUE"""),45694)</f>
        <v>45694</v>
      </c>
      <c r="F562" s="1" t="str">
        <f ca="1">IFERROR(__xludf.DUMMYFUNCTION("""COMPUTED_VALUE"""),"Tunisia")</f>
        <v>Tunisia</v>
      </c>
      <c r="G562" s="1" t="str">
        <f ca="1">IFERROR(__xludf.DUMMYFUNCTION("""COMPUTED_VALUE"""),"Second 43.24 Tunisia")</f>
        <v>Second 43.24 Tunisia</v>
      </c>
      <c r="H562" s="1" t="str">
        <f ca="1">IFERROR(__xludf.DUMMYFUNCTION("""COMPUTED_VALUE"""),"Freedom of Expression, Individuals At Risk")</f>
        <v>Freedom of Expression, Individuals At Risk</v>
      </c>
      <c r="I562" s="1" t="str">
        <f ca="1">IFERROR(__xludf.DUMMYFUNCTION("""COMPUTED_VALUE"""),"2024")</f>
        <v>2024</v>
      </c>
      <c r="J562" s="1" t="str">
        <f ca="1">IFERROR(__xludf.DUMMYFUNCTION("""COMPUTED_VALUE"""),"Email")</f>
        <v>Email</v>
      </c>
    </row>
    <row r="563" spans="1:10" ht="13" x14ac:dyDescent="0.15">
      <c r="A563" s="4">
        <f ca="1">IFERROR(__xludf.DUMMYFUNCTION("""COMPUTED_VALUE"""),31425906)</f>
        <v>31425906</v>
      </c>
      <c r="B563" s="1" t="str">
        <f ca="1">IFERROR(__xludf.DUMMYFUNCTION("""COMPUTED_VALUE"""),"hwhite321@yahoo.com")</f>
        <v>hwhite321@yahoo.com</v>
      </c>
      <c r="C563" s="4" t="str">
        <f ca="1">IFERROR(__xludf.DUMMYFUNCTION("""COMPUTED_VALUE"""),"EVERGREEN - UAN Gated Content - Embedded Petition")</f>
        <v>EVERGREEN - UAN Gated Content - Embedded Petition</v>
      </c>
      <c r="D563" s="5">
        <f ca="1">IFERROR(__xludf.DUMMYFUNCTION("""COMPUTED_VALUE"""),45699)</f>
        <v>45699</v>
      </c>
      <c r="F563" s="1" t="str">
        <f ca="1">IFERROR(__xludf.DUMMYFUNCTION("""COMPUTED_VALUE"""),"Uganda")</f>
        <v>Uganda</v>
      </c>
      <c r="G563" s="1" t="str">
        <f ca="1">IFERROR(__xludf.DUMMYFUNCTION("""COMPUTED_VALUE"""),"100.24 Uganda")</f>
        <v>100.24 Uganda</v>
      </c>
      <c r="H563" s="1" t="str">
        <f ca="1">IFERROR(__xludf.DUMMYFUNCTION("""COMPUTED_VALUE"""),"Freedom of Expression")</f>
        <v>Freedom of Expression</v>
      </c>
      <c r="I563" s="1" t="str">
        <f ca="1">IFERROR(__xludf.DUMMYFUNCTION("""COMPUTED_VALUE"""),"2024")</f>
        <v>2024</v>
      </c>
      <c r="J563" s="1" t="str">
        <f ca="1">IFERROR(__xludf.DUMMYFUNCTION("""COMPUTED_VALUE"""),"Email")</f>
        <v>Email</v>
      </c>
    </row>
    <row r="564" spans="1:10" ht="13" x14ac:dyDescent="0.15">
      <c r="A564" s="4">
        <f ca="1">IFERROR(__xludf.DUMMYFUNCTION("""COMPUTED_VALUE"""),31443553)</f>
        <v>31443553</v>
      </c>
      <c r="B564" s="1" t="str">
        <f ca="1">IFERROR(__xludf.DUMMYFUNCTION("""COMPUTED_VALUE"""),"punkin5170@gmail.com")</f>
        <v>punkin5170@gmail.com</v>
      </c>
      <c r="C564" s="4" t="str">
        <f ca="1">IFERROR(__xludf.DUMMYFUNCTION("""COMPUTED_VALUE"""),"EVERGREEN - UAN Gated Content - Embedded Petition")</f>
        <v>EVERGREEN - UAN Gated Content - Embedded Petition</v>
      </c>
      <c r="D564" s="5">
        <f ca="1">IFERROR(__xludf.DUMMYFUNCTION("""COMPUTED_VALUE"""),45707)</f>
        <v>45707</v>
      </c>
      <c r="F564" s="1" t="str">
        <f ca="1">IFERROR(__xludf.DUMMYFUNCTION("""COMPUTED_VALUE"""),"USA")</f>
        <v>USA</v>
      </c>
      <c r="G564" s="1" t="str">
        <f ca="1">IFERROR(__xludf.DUMMYFUNCTION("""COMPUTED_VALUE"""),"96.24 USA")</f>
        <v>96.24 USA</v>
      </c>
      <c r="H564" s="1" t="str">
        <f ca="1">IFERROR(__xludf.DUMMYFUNCTION("""COMPUTED_VALUE"""),"Death Penalty")</f>
        <v>Death Penalty</v>
      </c>
      <c r="I564" s="1" t="str">
        <f ca="1">IFERROR(__xludf.DUMMYFUNCTION("""COMPUTED_VALUE"""),"2024")</f>
        <v>2024</v>
      </c>
      <c r="J564" s="1" t="str">
        <f ca="1">IFERROR(__xludf.DUMMYFUNCTION("""COMPUTED_VALUE"""),"Email")</f>
        <v>Email</v>
      </c>
    </row>
    <row r="565" spans="1:10" ht="13" x14ac:dyDescent="0.15">
      <c r="A565" s="4">
        <f ca="1">IFERROR(__xludf.DUMMYFUNCTION("""COMPUTED_VALUE"""),31447225)</f>
        <v>31447225</v>
      </c>
      <c r="B565" s="1" t="str">
        <f ca="1">IFERROR(__xludf.DUMMYFUNCTION("""COMPUTED_VALUE"""),"charles_budd@hotmail.com")</f>
        <v>charles_budd@hotmail.com</v>
      </c>
      <c r="C565" s="4" t="str">
        <f ca="1">IFERROR(__xludf.DUMMYFUNCTION("""COMPUTED_VALUE"""),"EVERGREEN - UAN Gated Content - Embedded Petition")</f>
        <v>EVERGREEN - UAN Gated Content - Embedded Petition</v>
      </c>
      <c r="D565" s="5">
        <f ca="1">IFERROR(__xludf.DUMMYFUNCTION("""COMPUTED_VALUE"""),45636)</f>
        <v>45636</v>
      </c>
      <c r="F565" s="1" t="str">
        <f ca="1">IFERROR(__xludf.DUMMYFUNCTION("""COMPUTED_VALUE"""),"Tunisia")</f>
        <v>Tunisia</v>
      </c>
      <c r="G565" s="1" t="str">
        <f ca="1">IFERROR(__xludf.DUMMYFUNCTION("""COMPUTED_VALUE"""),"Second 76.24 Tunisia")</f>
        <v>Second 76.24 Tunisia</v>
      </c>
      <c r="H565" s="1" t="str">
        <f ca="1">IFERROR(__xludf.DUMMYFUNCTION("""COMPUTED_VALUE"""),"Freedom of Expression, Human Rights Defenders")</f>
        <v>Freedom of Expression, Human Rights Defenders</v>
      </c>
      <c r="I565" s="1" t="str">
        <f ca="1">IFERROR(__xludf.DUMMYFUNCTION("""COMPUTED_VALUE"""),"2025")</f>
        <v>2025</v>
      </c>
      <c r="J565" s="1" t="str">
        <f ca="1">IFERROR(__xludf.DUMMYFUNCTION("""COMPUTED_VALUE"""),"Email")</f>
        <v>Email</v>
      </c>
    </row>
    <row r="566" spans="1:10" ht="13" x14ac:dyDescent="0.15">
      <c r="A566" s="4">
        <f ca="1">IFERROR(__xludf.DUMMYFUNCTION("""COMPUTED_VALUE"""),31447225)</f>
        <v>31447225</v>
      </c>
      <c r="B566" s="1" t="str">
        <f ca="1">IFERROR(__xludf.DUMMYFUNCTION("""COMPUTED_VALUE"""),"charles_budd@hotmail.com")</f>
        <v>charles_budd@hotmail.com</v>
      </c>
      <c r="C566" s="4" t="str">
        <f ca="1">IFERROR(__xludf.DUMMYFUNCTION("""COMPUTED_VALUE"""),"EVERGREEN - UAN Gated Content - Embedded Petition")</f>
        <v>EVERGREEN - UAN Gated Content - Embedded Petition</v>
      </c>
      <c r="D566" s="5">
        <f ca="1">IFERROR(__xludf.DUMMYFUNCTION("""COMPUTED_VALUE"""),45674)</f>
        <v>45674</v>
      </c>
      <c r="F566" s="1" t="str">
        <f ca="1">IFERROR(__xludf.DUMMYFUNCTION("""COMPUTED_VALUE"""),"Iran")</f>
        <v>Iran</v>
      </c>
      <c r="G566" s="1" t="str">
        <f ca="1">IFERROR(__xludf.DUMMYFUNCTION("""COMPUTED_VALUE"""),"Seventh 103.22 Iran")</f>
        <v>Seventh 103.22 Iran</v>
      </c>
      <c r="H566" s="1" t="str">
        <f ca="1">IFERROR(__xludf.DUMMYFUNCTION("""COMPUTED_VALUE"""),"Death Penalty, Freedom of Expression, Individuals At Risk")</f>
        <v>Death Penalty, Freedom of Expression, Individuals At Risk</v>
      </c>
      <c r="I566" s="1" t="str">
        <f ca="1">IFERROR(__xludf.DUMMYFUNCTION("""COMPUTED_VALUE"""),"2024")</f>
        <v>2024</v>
      </c>
      <c r="J566" s="1" t="str">
        <f ca="1">IFERROR(__xludf.DUMMYFUNCTION("""COMPUTED_VALUE"""),"Email")</f>
        <v>Email</v>
      </c>
    </row>
    <row r="567" spans="1:10" ht="13" x14ac:dyDescent="0.15">
      <c r="A567" s="4">
        <f ca="1">IFERROR(__xludf.DUMMYFUNCTION("""COMPUTED_VALUE"""),31447225)</f>
        <v>31447225</v>
      </c>
      <c r="B567" s="1" t="str">
        <f ca="1">IFERROR(__xludf.DUMMYFUNCTION("""COMPUTED_VALUE"""),"charles_budd@hotmail.com")</f>
        <v>charles_budd@hotmail.com</v>
      </c>
      <c r="C567" s="4" t="str">
        <f ca="1">IFERROR(__xludf.DUMMYFUNCTION("""COMPUTED_VALUE"""),"EVERGREEN - UAN Gated Content - Embedded Petition")</f>
        <v>EVERGREEN - UAN Gated Content - Embedded Petition</v>
      </c>
      <c r="D567" s="5">
        <f ca="1">IFERROR(__xludf.DUMMYFUNCTION("""COMPUTED_VALUE"""),45694)</f>
        <v>45694</v>
      </c>
      <c r="F567" s="1" t="str">
        <f ca="1">IFERROR(__xludf.DUMMYFUNCTION("""COMPUTED_VALUE"""),"USA")</f>
        <v>USA</v>
      </c>
      <c r="G567" s="1" t="str">
        <f ca="1">IFERROR(__xludf.DUMMYFUNCTION("""COMPUTED_VALUE"""),"4.25 USA")</f>
        <v>4.25 USA</v>
      </c>
      <c r="H567" s="1" t="str">
        <f ca="1">IFERROR(__xludf.DUMMYFUNCTION("""COMPUTED_VALUE"""),"Individuals At Risk, Refugee and Migrant Rights")</f>
        <v>Individuals At Risk, Refugee and Migrant Rights</v>
      </c>
      <c r="I567" s="1" t="str">
        <f ca="1">IFERROR(__xludf.DUMMYFUNCTION("""COMPUTED_VALUE"""),"2025")</f>
        <v>2025</v>
      </c>
      <c r="J567" s="1" t="str">
        <f ca="1">IFERROR(__xludf.DUMMYFUNCTION("""COMPUTED_VALUE"""),"Letter")</f>
        <v>Letter</v>
      </c>
    </row>
    <row r="568" spans="1:10" ht="13" x14ac:dyDescent="0.15">
      <c r="A568" s="4">
        <f ca="1">IFERROR(__xludf.DUMMYFUNCTION("""COMPUTED_VALUE"""),31447225)</f>
        <v>31447225</v>
      </c>
      <c r="B568" s="1" t="str">
        <f ca="1">IFERROR(__xludf.DUMMYFUNCTION("""COMPUTED_VALUE"""),"charles_budd@hotmail.com")</f>
        <v>charles_budd@hotmail.com</v>
      </c>
      <c r="C568" s="4" t="str">
        <f ca="1">IFERROR(__xludf.DUMMYFUNCTION("""COMPUTED_VALUE"""),"EVERGREEN - UAN Gated Content - Embedded Petition")</f>
        <v>EVERGREEN - UAN Gated Content - Embedded Petition</v>
      </c>
      <c r="D568" s="5">
        <f ca="1">IFERROR(__xludf.DUMMYFUNCTION("""COMPUTED_VALUE"""),45694)</f>
        <v>45694</v>
      </c>
      <c r="F568" s="1" t="str">
        <f ca="1">IFERROR(__xludf.DUMMYFUNCTION("""COMPUTED_VALUE"""),"Tunisia")</f>
        <v>Tunisia</v>
      </c>
      <c r="G568" s="1" t="str">
        <f ca="1">IFERROR(__xludf.DUMMYFUNCTION("""COMPUTED_VALUE"""),"Second 76.24 Tunisia")</f>
        <v>Second 76.24 Tunisia</v>
      </c>
      <c r="H568" s="1" t="str">
        <f ca="1">IFERROR(__xludf.DUMMYFUNCTION("""COMPUTED_VALUE"""),"Freedom of Expression, Human Rights Defenders")</f>
        <v>Freedom of Expression, Human Rights Defenders</v>
      </c>
      <c r="I568" s="1" t="str">
        <f ca="1">IFERROR(__xludf.DUMMYFUNCTION("""COMPUTED_VALUE"""),"2025")</f>
        <v>2025</v>
      </c>
      <c r="J568" s="1" t="str">
        <f ca="1">IFERROR(__xludf.DUMMYFUNCTION("""COMPUTED_VALUE"""),"Email")</f>
        <v>Email</v>
      </c>
    </row>
    <row r="569" spans="1:10" ht="13" x14ac:dyDescent="0.15">
      <c r="A569" s="4">
        <f ca="1">IFERROR(__xludf.DUMMYFUNCTION("""COMPUTED_VALUE"""),31447225)</f>
        <v>31447225</v>
      </c>
      <c r="B569" s="1" t="str">
        <f ca="1">IFERROR(__xludf.DUMMYFUNCTION("""COMPUTED_VALUE"""),"charles_budd@hotmail.com")</f>
        <v>charles_budd@hotmail.com</v>
      </c>
      <c r="C569" s="4" t="str">
        <f ca="1">IFERROR(__xludf.DUMMYFUNCTION("""COMPUTED_VALUE"""),"EVERGREEN - UAN Gated Content - Embedded Petition")</f>
        <v>EVERGREEN - UAN Gated Content - Embedded Petition</v>
      </c>
      <c r="D569" s="5">
        <f ca="1">IFERROR(__xludf.DUMMYFUNCTION("""COMPUTED_VALUE"""),45643)</f>
        <v>45643</v>
      </c>
      <c r="F569" s="1" t="str">
        <f ca="1">IFERROR(__xludf.DUMMYFUNCTION("""COMPUTED_VALUE"""),"Tunisia")</f>
        <v>Tunisia</v>
      </c>
      <c r="G569" s="1" t="str">
        <f ca="1">IFERROR(__xludf.DUMMYFUNCTION("""COMPUTED_VALUE"""),"Second 76.24 Tunisia")</f>
        <v>Second 76.24 Tunisia</v>
      </c>
      <c r="H569" s="1" t="str">
        <f ca="1">IFERROR(__xludf.DUMMYFUNCTION("""COMPUTED_VALUE"""),"Freedom of Expression, Human Rights Defenders")</f>
        <v>Freedom of Expression, Human Rights Defenders</v>
      </c>
      <c r="I569" s="1" t="str">
        <f ca="1">IFERROR(__xludf.DUMMYFUNCTION("""COMPUTED_VALUE"""),"2025")</f>
        <v>2025</v>
      </c>
      <c r="J569" s="1" t="str">
        <f ca="1">IFERROR(__xludf.DUMMYFUNCTION("""COMPUTED_VALUE"""),"Email")</f>
        <v>Email</v>
      </c>
    </row>
    <row r="570" spans="1:10" ht="13" x14ac:dyDescent="0.15">
      <c r="A570" s="4">
        <f ca="1">IFERROR(__xludf.DUMMYFUNCTION("""COMPUTED_VALUE"""),31447225)</f>
        <v>31447225</v>
      </c>
      <c r="B570" s="1" t="str">
        <f ca="1">IFERROR(__xludf.DUMMYFUNCTION("""COMPUTED_VALUE"""),"charles_budd@hotmail.com")</f>
        <v>charles_budd@hotmail.com</v>
      </c>
      <c r="C570" s="4" t="str">
        <f ca="1">IFERROR(__xludf.DUMMYFUNCTION("""COMPUTED_VALUE"""),"EVERGREEN - UAN Gated Content - Embedded Petition")</f>
        <v>EVERGREEN - UAN Gated Content - Embedded Petition</v>
      </c>
      <c r="D570" s="5">
        <f ca="1">IFERROR(__xludf.DUMMYFUNCTION("""COMPUTED_VALUE"""),45694)</f>
        <v>45694</v>
      </c>
      <c r="F570" s="1" t="str">
        <f ca="1">IFERROR(__xludf.DUMMYFUNCTION("""COMPUTED_VALUE"""),"USA")</f>
        <v>USA</v>
      </c>
      <c r="G570" s="1" t="str">
        <f ca="1">IFERROR(__xludf.DUMMYFUNCTION("""COMPUTED_VALUE"""),"105.24 USA")</f>
        <v>105.24 USA</v>
      </c>
      <c r="H570" s="1" t="str">
        <f ca="1">IFERROR(__xludf.DUMMYFUNCTION("""COMPUTED_VALUE"""),"Death Penalty")</f>
        <v>Death Penalty</v>
      </c>
      <c r="I570" s="1" t="str">
        <f ca="1">IFERROR(__xludf.DUMMYFUNCTION("""COMPUTED_VALUE"""),"2024")</f>
        <v>2024</v>
      </c>
      <c r="J570" s="1" t="str">
        <f ca="1">IFERROR(__xludf.DUMMYFUNCTION("""COMPUTED_VALUE"""),"Email")</f>
        <v>Email</v>
      </c>
    </row>
    <row r="571" spans="1:10" ht="13" x14ac:dyDescent="0.15">
      <c r="A571" s="4">
        <f ca="1">IFERROR(__xludf.DUMMYFUNCTION("""COMPUTED_VALUE"""),31450502)</f>
        <v>31450502</v>
      </c>
      <c r="B571" s="1" t="str">
        <f ca="1">IFERROR(__xludf.DUMMYFUNCTION("""COMPUTED_VALUE"""),"dvayo@iwu.edu")</f>
        <v>dvayo@iwu.edu</v>
      </c>
      <c r="C571" s="4" t="str">
        <f ca="1">IFERROR(__xludf.DUMMYFUNCTION("""COMPUTED_VALUE"""),"EVERGREEN - UAN Gated Content - Embedded Petition")</f>
        <v>EVERGREEN - UAN Gated Content - Embedded Petition</v>
      </c>
      <c r="D571" s="5">
        <f ca="1">IFERROR(__xludf.DUMMYFUNCTION("""COMPUTED_VALUE"""),45699)</f>
        <v>45699</v>
      </c>
      <c r="F571" s="1" t="str">
        <f ca="1">IFERROR(__xludf.DUMMYFUNCTION("""COMPUTED_VALUE"""),"Egypt")</f>
        <v>Egypt</v>
      </c>
      <c r="G571" s="1" t="str">
        <f ca="1">IFERROR(__xludf.DUMMYFUNCTION("""COMPUTED_VALUE"""),"Ninth 190.18 Egypt")</f>
        <v>Ninth 190.18 Egypt</v>
      </c>
      <c r="H571" s="1" t="str">
        <f ca="1">IFERROR(__xludf.DUMMYFUNCTION("""COMPUTED_VALUE"""),"Freedom of Expression, Individuals At Risk")</f>
        <v>Freedom of Expression, Individuals At Risk</v>
      </c>
      <c r="I571" s="1" t="str">
        <f ca="1">IFERROR(__xludf.DUMMYFUNCTION("""COMPUTED_VALUE"""),"2024")</f>
        <v>2024</v>
      </c>
      <c r="J571" s="1" t="str">
        <f ca="1">IFERROR(__xludf.DUMMYFUNCTION("""COMPUTED_VALUE"""),"Letter")</f>
        <v>Letter</v>
      </c>
    </row>
    <row r="572" spans="1:10" ht="13" x14ac:dyDescent="0.15">
      <c r="A572" s="4">
        <f ca="1">IFERROR(__xludf.DUMMYFUNCTION("""COMPUTED_VALUE"""),31451349)</f>
        <v>31451349</v>
      </c>
      <c r="B572" s="1" t="str">
        <f ca="1">IFERROR(__xludf.DUMMYFUNCTION("""COMPUTED_VALUE"""),"brenskelle@aol.com")</f>
        <v>brenskelle@aol.com</v>
      </c>
      <c r="C572" s="4" t="str">
        <f ca="1">IFERROR(__xludf.DUMMYFUNCTION("""COMPUTED_VALUE"""),"EVERGREEN - UAN Gated Content - Embedded Petition")</f>
        <v>EVERGREEN - UAN Gated Content - Embedded Petition</v>
      </c>
      <c r="D572" s="5">
        <f ca="1">IFERROR(__xludf.DUMMYFUNCTION("""COMPUTED_VALUE"""),45694)</f>
        <v>45694</v>
      </c>
      <c r="F572" s="1" t="str">
        <f ca="1">IFERROR(__xludf.DUMMYFUNCTION("""COMPUTED_VALUE"""),"USA")</f>
        <v>USA</v>
      </c>
      <c r="G572" s="1" t="str">
        <f ca="1">IFERROR(__xludf.DUMMYFUNCTION("""COMPUTED_VALUE"""),"105.24 USA")</f>
        <v>105.24 USA</v>
      </c>
      <c r="H572" s="1" t="str">
        <f ca="1">IFERROR(__xludf.DUMMYFUNCTION("""COMPUTED_VALUE"""),"Death Penalty")</f>
        <v>Death Penalty</v>
      </c>
      <c r="I572" s="1" t="str">
        <f ca="1">IFERROR(__xludf.DUMMYFUNCTION("""COMPUTED_VALUE"""),"2024")</f>
        <v>2024</v>
      </c>
      <c r="J572" s="1" t="str">
        <f ca="1">IFERROR(__xludf.DUMMYFUNCTION("""COMPUTED_VALUE"""),"Email")</f>
        <v>Email</v>
      </c>
    </row>
    <row r="573" spans="1:10" ht="13" x14ac:dyDescent="0.15">
      <c r="A573" s="4">
        <f ca="1">IFERROR(__xludf.DUMMYFUNCTION("""COMPUTED_VALUE"""),31464748)</f>
        <v>31464748</v>
      </c>
      <c r="B573" s="1" t="str">
        <f ca="1">IFERROR(__xludf.DUMMYFUNCTION("""COMPUTED_VALUE"""),"jmullin422@hotmail.com")</f>
        <v>jmullin422@hotmail.com</v>
      </c>
      <c r="C573" s="4" t="str">
        <f ca="1">IFERROR(__xludf.DUMMYFUNCTION("""COMPUTED_VALUE"""),"EVERGREEN - UAN Gated Content - Embedded Petition")</f>
        <v>EVERGREEN - UAN Gated Content - Embedded Petition</v>
      </c>
      <c r="D573" s="5">
        <f ca="1">IFERROR(__xludf.DUMMYFUNCTION("""COMPUTED_VALUE"""),45631)</f>
        <v>45631</v>
      </c>
      <c r="F573" s="1" t="str">
        <f ca="1">IFERROR(__xludf.DUMMYFUNCTION("""COMPUTED_VALUE"""),"Egypt")</f>
        <v>Egypt</v>
      </c>
      <c r="G573" s="1" t="str">
        <f ca="1">IFERROR(__xludf.DUMMYFUNCTION("""COMPUTED_VALUE"""),"Ninth 190.18 Egypt")</f>
        <v>Ninth 190.18 Egypt</v>
      </c>
      <c r="H573" s="1" t="str">
        <f ca="1">IFERROR(__xludf.DUMMYFUNCTION("""COMPUTED_VALUE"""),"Freedom of Expression, Individuals At Risk")</f>
        <v>Freedom of Expression, Individuals At Risk</v>
      </c>
      <c r="I573" s="1" t="str">
        <f ca="1">IFERROR(__xludf.DUMMYFUNCTION("""COMPUTED_VALUE"""),"2024")</f>
        <v>2024</v>
      </c>
      <c r="J573" s="1" t="str">
        <f ca="1">IFERROR(__xludf.DUMMYFUNCTION("""COMPUTED_VALUE"""),"Letter")</f>
        <v>Letter</v>
      </c>
    </row>
    <row r="574" spans="1:10" ht="13" x14ac:dyDescent="0.15">
      <c r="A574" s="4">
        <f ca="1">IFERROR(__xludf.DUMMYFUNCTION("""COMPUTED_VALUE"""),31464748)</f>
        <v>31464748</v>
      </c>
      <c r="B574" s="1" t="str">
        <f ca="1">IFERROR(__xludf.DUMMYFUNCTION("""COMPUTED_VALUE"""),"jmullin422@hotmail.com")</f>
        <v>jmullin422@hotmail.com</v>
      </c>
      <c r="C574" s="4" t="str">
        <f ca="1">IFERROR(__xludf.DUMMYFUNCTION("""COMPUTED_VALUE"""),"EVERGREEN - UAN Gated Content - Embedded Petition")</f>
        <v>EVERGREEN - UAN Gated Content - Embedded Petition</v>
      </c>
      <c r="D574" s="5">
        <f ca="1">IFERROR(__xludf.DUMMYFUNCTION("""COMPUTED_VALUE"""),45632)</f>
        <v>45632</v>
      </c>
      <c r="F574" s="1" t="str">
        <f ca="1">IFERROR(__xludf.DUMMYFUNCTION("""COMPUTED_VALUE"""),"Venezuela")</f>
        <v>Venezuela</v>
      </c>
      <c r="G574" s="1" t="str">
        <f ca="1">IFERROR(__xludf.DUMMYFUNCTION("""COMPUTED_VALUE"""),"97.24 Venezuela")</f>
        <v>97.24 Venezuela</v>
      </c>
      <c r="H574" s="1" t="str">
        <f ca="1">IFERROR(__xludf.DUMMYFUNCTION("""COMPUTED_VALUE"""),"Freedom of Expression")</f>
        <v>Freedom of Expression</v>
      </c>
      <c r="I574" s="1" t="str">
        <f ca="1">IFERROR(__xludf.DUMMYFUNCTION("""COMPUTED_VALUE"""),"2024")</f>
        <v>2024</v>
      </c>
      <c r="J574" s="1" t="str">
        <f ca="1">IFERROR(__xludf.DUMMYFUNCTION("""COMPUTED_VALUE"""),"Letter")</f>
        <v>Letter</v>
      </c>
    </row>
    <row r="575" spans="1:10" ht="13" x14ac:dyDescent="0.15">
      <c r="A575" s="4">
        <f ca="1">IFERROR(__xludf.DUMMYFUNCTION("""COMPUTED_VALUE"""),31464748)</f>
        <v>31464748</v>
      </c>
      <c r="B575" s="1" t="str">
        <f ca="1">IFERROR(__xludf.DUMMYFUNCTION("""COMPUTED_VALUE"""),"jmullin422@hotmail.com")</f>
        <v>jmullin422@hotmail.com</v>
      </c>
      <c r="C575" s="4" t="str">
        <f ca="1">IFERROR(__xludf.DUMMYFUNCTION("""COMPUTED_VALUE"""),"EVERGREEN - UAN Gated Content - Embedded Petition")</f>
        <v>EVERGREEN - UAN Gated Content - Embedded Petition</v>
      </c>
      <c r="D575" s="5">
        <f ca="1">IFERROR(__xludf.DUMMYFUNCTION("""COMPUTED_VALUE"""),45703)</f>
        <v>45703</v>
      </c>
      <c r="F575" s="1" t="str">
        <f ca="1">IFERROR(__xludf.DUMMYFUNCTION("""COMPUTED_VALUE"""),"Azerbaijan")</f>
        <v>Azerbaijan</v>
      </c>
      <c r="G575" s="1" t="str">
        <f ca="1">IFERROR(__xludf.DUMMYFUNCTION("""COMPUTED_VALUE"""),"2.25 Azerbaijan")</f>
        <v>2.25 Azerbaijan</v>
      </c>
      <c r="H575" s="1" t="str">
        <f ca="1">IFERROR(__xludf.DUMMYFUNCTION("""COMPUTED_VALUE"""),"Freedom of Expression, Human Rights Defenders")</f>
        <v>Freedom of Expression, Human Rights Defenders</v>
      </c>
      <c r="I575" s="1" t="str">
        <f ca="1">IFERROR(__xludf.DUMMYFUNCTION("""COMPUTED_VALUE"""),"2025")</f>
        <v>2025</v>
      </c>
      <c r="J575" s="1" t="str">
        <f ca="1">IFERROR(__xludf.DUMMYFUNCTION("""COMPUTED_VALUE"""),"Email")</f>
        <v>Email</v>
      </c>
    </row>
    <row r="576" spans="1:10" ht="13" x14ac:dyDescent="0.15">
      <c r="A576" s="4">
        <f ca="1">IFERROR(__xludf.DUMMYFUNCTION("""COMPUTED_VALUE"""),31464748)</f>
        <v>31464748</v>
      </c>
      <c r="B576" s="1" t="str">
        <f ca="1">IFERROR(__xludf.DUMMYFUNCTION("""COMPUTED_VALUE"""),"jmullin422@hotmail.com")</f>
        <v>jmullin422@hotmail.com</v>
      </c>
      <c r="C576" s="4" t="str">
        <f ca="1">IFERROR(__xludf.DUMMYFUNCTION("""COMPUTED_VALUE"""),"EVERGREEN - UAN Gated Content - Embedded Petition")</f>
        <v>EVERGREEN - UAN Gated Content - Embedded Petition</v>
      </c>
      <c r="D576" s="5">
        <f ca="1">IFERROR(__xludf.DUMMYFUNCTION("""COMPUTED_VALUE"""),45694)</f>
        <v>45694</v>
      </c>
      <c r="F576" s="1" t="str">
        <f ca="1">IFERROR(__xludf.DUMMYFUNCTION("""COMPUTED_VALUE"""),"Tunisia")</f>
        <v>Tunisia</v>
      </c>
      <c r="G576" s="1" t="str">
        <f ca="1">IFERROR(__xludf.DUMMYFUNCTION("""COMPUTED_VALUE"""),"Second 76.24 Tunisia")</f>
        <v>Second 76.24 Tunisia</v>
      </c>
      <c r="H576" s="1" t="str">
        <f ca="1">IFERROR(__xludf.DUMMYFUNCTION("""COMPUTED_VALUE"""),"Freedom of Expression, Human Rights Defenders")</f>
        <v>Freedom of Expression, Human Rights Defenders</v>
      </c>
      <c r="I576" s="1" t="str">
        <f ca="1">IFERROR(__xludf.DUMMYFUNCTION("""COMPUTED_VALUE"""),"2025")</f>
        <v>2025</v>
      </c>
      <c r="J576" s="1" t="str">
        <f ca="1">IFERROR(__xludf.DUMMYFUNCTION("""COMPUTED_VALUE"""),"Email")</f>
        <v>Email</v>
      </c>
    </row>
    <row r="577" spans="1:10" ht="13" x14ac:dyDescent="0.15">
      <c r="A577" s="4">
        <f ca="1">IFERROR(__xludf.DUMMYFUNCTION("""COMPUTED_VALUE"""),31464748)</f>
        <v>31464748</v>
      </c>
      <c r="B577" s="1" t="str">
        <f ca="1">IFERROR(__xludf.DUMMYFUNCTION("""COMPUTED_VALUE"""),"jmullin422@hotmail.com")</f>
        <v>jmullin422@hotmail.com</v>
      </c>
      <c r="C577" s="4" t="str">
        <f ca="1">IFERROR(__xludf.DUMMYFUNCTION("""COMPUTED_VALUE"""),"EVERGREEN - UAN Gated Content - Embedded Petition")</f>
        <v>EVERGREEN - UAN Gated Content - Embedded Petition</v>
      </c>
      <c r="D577" s="5">
        <f ca="1">IFERROR(__xludf.DUMMYFUNCTION("""COMPUTED_VALUE"""),45694)</f>
        <v>45694</v>
      </c>
      <c r="F577" s="1" t="str">
        <f ca="1">IFERROR(__xludf.DUMMYFUNCTION("""COMPUTED_VALUE"""),"Tunisia")</f>
        <v>Tunisia</v>
      </c>
      <c r="G577" s="1" t="str">
        <f ca="1">IFERROR(__xludf.DUMMYFUNCTION("""COMPUTED_VALUE"""),"Second 76.24 Tunisia")</f>
        <v>Second 76.24 Tunisia</v>
      </c>
      <c r="H577" s="1" t="str">
        <f ca="1">IFERROR(__xludf.DUMMYFUNCTION("""COMPUTED_VALUE"""),"Freedom of Expression, Human Rights Defenders")</f>
        <v>Freedom of Expression, Human Rights Defenders</v>
      </c>
      <c r="I577" s="1" t="str">
        <f ca="1">IFERROR(__xludf.DUMMYFUNCTION("""COMPUTED_VALUE"""),"2025")</f>
        <v>2025</v>
      </c>
      <c r="J577" s="1" t="str">
        <f ca="1">IFERROR(__xludf.DUMMYFUNCTION("""COMPUTED_VALUE"""),"Email")</f>
        <v>Email</v>
      </c>
    </row>
    <row r="578" spans="1:10" ht="13" x14ac:dyDescent="0.15">
      <c r="A578" s="4">
        <f ca="1">IFERROR(__xludf.DUMMYFUNCTION("""COMPUTED_VALUE"""),31464748)</f>
        <v>31464748</v>
      </c>
      <c r="B578" s="1" t="str">
        <f ca="1">IFERROR(__xludf.DUMMYFUNCTION("""COMPUTED_VALUE"""),"jmullin422@hotmail.com")</f>
        <v>jmullin422@hotmail.com</v>
      </c>
      <c r="C578" s="4" t="str">
        <f ca="1">IFERROR(__xludf.DUMMYFUNCTION("""COMPUTED_VALUE"""),"EVERGREEN - UAN Gated Content - Embedded Petition")</f>
        <v>EVERGREEN - UAN Gated Content - Embedded Petition</v>
      </c>
      <c r="D578" s="5">
        <f ca="1">IFERROR(__xludf.DUMMYFUNCTION("""COMPUTED_VALUE"""),45694)</f>
        <v>45694</v>
      </c>
      <c r="F578" s="1" t="str">
        <f ca="1">IFERROR(__xludf.DUMMYFUNCTION("""COMPUTED_VALUE"""),"China")</f>
        <v>China</v>
      </c>
      <c r="G578" s="1" t="str">
        <f ca="1">IFERROR(__xludf.DUMMYFUNCTION("""COMPUTED_VALUE"""),"98.24 China")</f>
        <v>98.24 China</v>
      </c>
      <c r="H578" s="1" t="str">
        <f ca="1">IFERROR(__xludf.DUMMYFUNCTION("""COMPUTED_VALUE"""),"Freedom of Expression, Individuals At Risk")</f>
        <v>Freedom of Expression, Individuals At Risk</v>
      </c>
      <c r="I578" s="1" t="str">
        <f ca="1">IFERROR(__xludf.DUMMYFUNCTION("""COMPUTED_VALUE"""),"2024")</f>
        <v>2024</v>
      </c>
      <c r="J578" s="1" t="str">
        <f ca="1">IFERROR(__xludf.DUMMYFUNCTION("""COMPUTED_VALUE"""),"Letter")</f>
        <v>Letter</v>
      </c>
    </row>
    <row r="579" spans="1:10" ht="13" x14ac:dyDescent="0.15">
      <c r="A579" s="4">
        <f ca="1">IFERROR(__xludf.DUMMYFUNCTION("""COMPUTED_VALUE"""),31464748)</f>
        <v>31464748</v>
      </c>
      <c r="B579" s="1" t="str">
        <f ca="1">IFERROR(__xludf.DUMMYFUNCTION("""COMPUTED_VALUE"""),"jmullin422@hotmail.com")</f>
        <v>jmullin422@hotmail.com</v>
      </c>
      <c r="C579" s="4" t="str">
        <f ca="1">IFERROR(__xludf.DUMMYFUNCTION("""COMPUTED_VALUE"""),"EVERGREEN - UAN Gated Content - Embedded Petition")</f>
        <v>EVERGREEN - UAN Gated Content - Embedded Petition</v>
      </c>
      <c r="D579" s="5">
        <f ca="1">IFERROR(__xludf.DUMMYFUNCTION("""COMPUTED_VALUE"""),45694)</f>
        <v>45694</v>
      </c>
      <c r="F579" s="1" t="str">
        <f ca="1">IFERROR(__xludf.DUMMYFUNCTION("""COMPUTED_VALUE"""),"Dominican Republic")</f>
        <v>Dominican Republic</v>
      </c>
      <c r="G579" s="1" t="str">
        <f ca="1">IFERROR(__xludf.DUMMYFUNCTION("""COMPUTED_VALUE"""),"88.24 Dominican Republic")</f>
        <v>88.24 Dominican Republic</v>
      </c>
      <c r="H579" s="1" t="str">
        <f ca="1">IFERROR(__xludf.DUMMYFUNCTION("""COMPUTED_VALUE"""),"Individuals At Risk, Refugee and Migrant Rights")</f>
        <v>Individuals At Risk, Refugee and Migrant Rights</v>
      </c>
      <c r="I579" s="1" t="str">
        <f ca="1">IFERROR(__xludf.DUMMYFUNCTION("""COMPUTED_VALUE"""),"2024")</f>
        <v>2024</v>
      </c>
      <c r="J579" s="1" t="str">
        <f ca="1">IFERROR(__xludf.DUMMYFUNCTION("""COMPUTED_VALUE"""),"Letter")</f>
        <v>Letter</v>
      </c>
    </row>
    <row r="580" spans="1:10" ht="13" x14ac:dyDescent="0.15">
      <c r="A580" s="4">
        <f ca="1">IFERROR(__xludf.DUMMYFUNCTION("""COMPUTED_VALUE"""),31464748)</f>
        <v>31464748</v>
      </c>
      <c r="B580" s="1" t="str">
        <f ca="1">IFERROR(__xludf.DUMMYFUNCTION("""COMPUTED_VALUE"""),"jmullin422@hotmail.com")</f>
        <v>jmullin422@hotmail.com</v>
      </c>
      <c r="C580" s="4" t="str">
        <f ca="1">IFERROR(__xludf.DUMMYFUNCTION("""COMPUTED_VALUE"""),"EVERGREEN - UAN Gated Content - Embedded Petition")</f>
        <v>EVERGREEN - UAN Gated Content - Embedded Petition</v>
      </c>
      <c r="D580" s="5">
        <f ca="1">IFERROR(__xludf.DUMMYFUNCTION("""COMPUTED_VALUE"""),45678)</f>
        <v>45678</v>
      </c>
      <c r="F580" s="1" t="str">
        <f ca="1">IFERROR(__xludf.DUMMYFUNCTION("""COMPUTED_VALUE"""),"Egypt")</f>
        <v>Egypt</v>
      </c>
      <c r="G580" s="1" t="str">
        <f ca="1">IFERROR(__xludf.DUMMYFUNCTION("""COMPUTED_VALUE"""),"Ninth 190.18 Egypt")</f>
        <v>Ninth 190.18 Egypt</v>
      </c>
      <c r="H580" s="1" t="str">
        <f ca="1">IFERROR(__xludf.DUMMYFUNCTION("""COMPUTED_VALUE"""),"Freedom of Expression, Individuals At Risk")</f>
        <v>Freedom of Expression, Individuals At Risk</v>
      </c>
      <c r="I580" s="1" t="str">
        <f ca="1">IFERROR(__xludf.DUMMYFUNCTION("""COMPUTED_VALUE"""),"2024")</f>
        <v>2024</v>
      </c>
      <c r="J580" s="1" t="str">
        <f ca="1">IFERROR(__xludf.DUMMYFUNCTION("""COMPUTED_VALUE"""),"Letter")</f>
        <v>Letter</v>
      </c>
    </row>
    <row r="581" spans="1:10" ht="13" x14ac:dyDescent="0.15">
      <c r="A581" s="4">
        <f ca="1">IFERROR(__xludf.DUMMYFUNCTION("""COMPUTED_VALUE"""),31464748)</f>
        <v>31464748</v>
      </c>
      <c r="B581" s="1" t="str">
        <f ca="1">IFERROR(__xludf.DUMMYFUNCTION("""COMPUTED_VALUE"""),"jmullin422@hotmail.com")</f>
        <v>jmullin422@hotmail.com</v>
      </c>
      <c r="C581" s="4" t="str">
        <f ca="1">IFERROR(__xludf.DUMMYFUNCTION("""COMPUTED_VALUE"""),"EVERGREEN - UAN Gated Content - Embedded Petition")</f>
        <v>EVERGREEN - UAN Gated Content - Embedded Petition</v>
      </c>
      <c r="D581" s="5">
        <f ca="1">IFERROR(__xludf.DUMMYFUNCTION("""COMPUTED_VALUE"""),45678)</f>
        <v>45678</v>
      </c>
      <c r="F581" s="1" t="str">
        <f ca="1">IFERROR(__xludf.DUMMYFUNCTION("""COMPUTED_VALUE"""),"Russian Federation")</f>
        <v>Russian Federation</v>
      </c>
      <c r="G581" s="1" t="str">
        <f ca="1">IFERROR(__xludf.DUMMYFUNCTION("""COMPUTED_VALUE"""),"Second 23.24 Russia")</f>
        <v>Second 23.24 Russia</v>
      </c>
      <c r="H581" s="1" t="str">
        <f ca="1">IFERROR(__xludf.DUMMYFUNCTION("""COMPUTED_VALUE"""),"Freedom of Expression")</f>
        <v>Freedom of Expression</v>
      </c>
      <c r="I581" s="1" t="str">
        <f ca="1">IFERROR(__xludf.DUMMYFUNCTION("""COMPUTED_VALUE"""),"2024")</f>
        <v>2024</v>
      </c>
      <c r="J581" s="1" t="str">
        <f ca="1">IFERROR(__xludf.DUMMYFUNCTION("""COMPUTED_VALUE"""),"Letter")</f>
        <v>Letter</v>
      </c>
    </row>
    <row r="582" spans="1:10" ht="13" x14ac:dyDescent="0.15">
      <c r="A582" s="4">
        <f ca="1">IFERROR(__xludf.DUMMYFUNCTION("""COMPUTED_VALUE"""),31464748)</f>
        <v>31464748</v>
      </c>
      <c r="B582" s="1" t="str">
        <f ca="1">IFERROR(__xludf.DUMMYFUNCTION("""COMPUTED_VALUE"""),"jmullin422@hotmail.com")</f>
        <v>jmullin422@hotmail.com</v>
      </c>
      <c r="C582" s="4" t="str">
        <f ca="1">IFERROR(__xludf.DUMMYFUNCTION("""COMPUTED_VALUE"""),"EVERGREEN - UAN Gated Content - Embedded Petition")</f>
        <v>EVERGREEN - UAN Gated Content - Embedded Petition</v>
      </c>
      <c r="D582" s="5">
        <f ca="1">IFERROR(__xludf.DUMMYFUNCTION("""COMPUTED_VALUE"""),45659)</f>
        <v>45659</v>
      </c>
      <c r="F582" s="1" t="str">
        <f ca="1">IFERROR(__xludf.DUMMYFUNCTION("""COMPUTED_VALUE"""),"Iran")</f>
        <v>Iran</v>
      </c>
      <c r="G582" s="1" t="str">
        <f ca="1">IFERROR(__xludf.DUMMYFUNCTION("""COMPUTED_VALUE"""),"Seventh 103.22 Iran")</f>
        <v>Seventh 103.22 Iran</v>
      </c>
      <c r="H582" s="1" t="str">
        <f ca="1">IFERROR(__xludf.DUMMYFUNCTION("""COMPUTED_VALUE"""),"Death Penalty, Freedom of Expression, Individuals At Risk")</f>
        <v>Death Penalty, Freedom of Expression, Individuals At Risk</v>
      </c>
      <c r="I582" s="1" t="str">
        <f ca="1">IFERROR(__xludf.DUMMYFUNCTION("""COMPUTED_VALUE"""),"2024")</f>
        <v>2024</v>
      </c>
      <c r="J582" s="1" t="str">
        <f ca="1">IFERROR(__xludf.DUMMYFUNCTION("""COMPUTED_VALUE"""),"Email")</f>
        <v>Email</v>
      </c>
    </row>
    <row r="583" spans="1:10" ht="13" x14ac:dyDescent="0.15">
      <c r="A583" s="4">
        <f ca="1">IFERROR(__xludf.DUMMYFUNCTION("""COMPUTED_VALUE"""),31464748)</f>
        <v>31464748</v>
      </c>
      <c r="B583" s="1" t="str">
        <f ca="1">IFERROR(__xludf.DUMMYFUNCTION("""COMPUTED_VALUE"""),"jmullin422@hotmail.com")</f>
        <v>jmullin422@hotmail.com</v>
      </c>
      <c r="C583" s="4" t="str">
        <f ca="1">IFERROR(__xludf.DUMMYFUNCTION("""COMPUTED_VALUE"""),"EVERGREEN - UAN Gated Content - Embedded Petition")</f>
        <v>EVERGREEN - UAN Gated Content - Embedded Petition</v>
      </c>
      <c r="D583" s="5">
        <f ca="1">IFERROR(__xludf.DUMMYFUNCTION("""COMPUTED_VALUE"""),45630)</f>
        <v>45630</v>
      </c>
      <c r="F583" s="1" t="str">
        <f ca="1">IFERROR(__xludf.DUMMYFUNCTION("""COMPUTED_VALUE"""),"Niger")</f>
        <v>Niger</v>
      </c>
      <c r="G583" s="1" t="str">
        <f ca="1">IFERROR(__xludf.DUMMYFUNCTION("""COMPUTED_VALUE"""),"103.24 Niger")</f>
        <v>103.24 Niger</v>
      </c>
      <c r="H583" s="1" t="str">
        <f ca="1">IFERROR(__xludf.DUMMYFUNCTION("""COMPUTED_VALUE"""),"Freedom of Expression, Human Rights Defenders")</f>
        <v>Freedom of Expression, Human Rights Defenders</v>
      </c>
      <c r="I583" s="1" t="str">
        <f ca="1">IFERROR(__xludf.DUMMYFUNCTION("""COMPUTED_VALUE"""),"2024")</f>
        <v>2024</v>
      </c>
      <c r="J583" s="1" t="str">
        <f ca="1">IFERROR(__xludf.DUMMYFUNCTION("""COMPUTED_VALUE"""),"Email")</f>
        <v>Email</v>
      </c>
    </row>
    <row r="584" spans="1:10" ht="13" x14ac:dyDescent="0.15">
      <c r="A584" s="4">
        <f ca="1">IFERROR(__xludf.DUMMYFUNCTION("""COMPUTED_VALUE"""),31464748)</f>
        <v>31464748</v>
      </c>
      <c r="B584" s="1" t="str">
        <f ca="1">IFERROR(__xludf.DUMMYFUNCTION("""COMPUTED_VALUE"""),"jmullin422@hotmail.com")</f>
        <v>jmullin422@hotmail.com</v>
      </c>
      <c r="C584" s="4" t="str">
        <f ca="1">IFERROR(__xludf.DUMMYFUNCTION("""COMPUTED_VALUE"""),"EVERGREEN - UAN Gated Content - Embedded Petition")</f>
        <v>EVERGREEN - UAN Gated Content - Embedded Petition</v>
      </c>
      <c r="D584" s="5">
        <f ca="1">IFERROR(__xludf.DUMMYFUNCTION("""COMPUTED_VALUE"""),45616)</f>
        <v>45616</v>
      </c>
      <c r="F584" s="1" t="str">
        <f ca="1">IFERROR(__xludf.DUMMYFUNCTION("""COMPUTED_VALUE"""),"Tunisia")</f>
        <v>Tunisia</v>
      </c>
      <c r="G584" s="1" t="str">
        <f ca="1">IFERROR(__xludf.DUMMYFUNCTION("""COMPUTED_VALUE"""),"Second 76.24 Tunisia")</f>
        <v>Second 76.24 Tunisia</v>
      </c>
      <c r="H584" s="1" t="str">
        <f ca="1">IFERROR(__xludf.DUMMYFUNCTION("""COMPUTED_VALUE"""),"Freedom of Expression, Human Rights Defenders")</f>
        <v>Freedom of Expression, Human Rights Defenders</v>
      </c>
      <c r="I584" s="1" t="str">
        <f ca="1">IFERROR(__xludf.DUMMYFUNCTION("""COMPUTED_VALUE"""),"2025")</f>
        <v>2025</v>
      </c>
      <c r="J584" s="1" t="str">
        <f ca="1">IFERROR(__xludf.DUMMYFUNCTION("""COMPUTED_VALUE"""),"Email")</f>
        <v>Email</v>
      </c>
    </row>
    <row r="585" spans="1:10" ht="13" x14ac:dyDescent="0.15">
      <c r="A585" s="4">
        <f ca="1">IFERROR(__xludf.DUMMYFUNCTION("""COMPUTED_VALUE"""),31464748)</f>
        <v>31464748</v>
      </c>
      <c r="B585" s="1" t="str">
        <f ca="1">IFERROR(__xludf.DUMMYFUNCTION("""COMPUTED_VALUE"""),"jmullin422@hotmail.com")</f>
        <v>jmullin422@hotmail.com</v>
      </c>
      <c r="C585" s="4" t="str">
        <f ca="1">IFERROR(__xludf.DUMMYFUNCTION("""COMPUTED_VALUE"""),"EVERGREEN - UAN Gated Content - Embedded Petition")</f>
        <v>EVERGREEN - UAN Gated Content - Embedded Petition</v>
      </c>
      <c r="D585" s="5">
        <f ca="1">IFERROR(__xludf.DUMMYFUNCTION("""COMPUTED_VALUE"""),45635)</f>
        <v>45635</v>
      </c>
      <c r="F585" s="1" t="str">
        <f ca="1">IFERROR(__xludf.DUMMYFUNCTION("""COMPUTED_VALUE"""),"Turkiye")</f>
        <v>Turkiye</v>
      </c>
      <c r="G585" s="1" t="str">
        <f ca="1">IFERROR(__xludf.DUMMYFUNCTION("""COMPUTED_VALUE"""),"Second 109.24 Türkiye")</f>
        <v>Second 109.24 Türkiye</v>
      </c>
      <c r="H585" s="1" t="str">
        <f ca="1">IFERROR(__xludf.DUMMYFUNCTION("""COMPUTED_VALUE"""),"Human Rights Defenders")</f>
        <v>Human Rights Defenders</v>
      </c>
      <c r="I585" s="1" t="str">
        <f ca="1">IFERROR(__xludf.DUMMYFUNCTION("""COMPUTED_VALUE"""),"2025")</f>
        <v>2025</v>
      </c>
      <c r="J585" s="1" t="str">
        <f ca="1">IFERROR(__xludf.DUMMYFUNCTION("""COMPUTED_VALUE"""),"Email")</f>
        <v>Email</v>
      </c>
    </row>
    <row r="586" spans="1:10" ht="13" x14ac:dyDescent="0.15">
      <c r="A586" s="4">
        <f ca="1">IFERROR(__xludf.DUMMYFUNCTION("""COMPUTED_VALUE"""),31464748)</f>
        <v>31464748</v>
      </c>
      <c r="B586" s="1" t="str">
        <f ca="1">IFERROR(__xludf.DUMMYFUNCTION("""COMPUTED_VALUE"""),"jmullin422@hotmail.com")</f>
        <v>jmullin422@hotmail.com</v>
      </c>
      <c r="C586" s="4" t="str">
        <f ca="1">IFERROR(__xludf.DUMMYFUNCTION("""COMPUTED_VALUE"""),"EVERGREEN - UAN Gated Content - Embedded Petition")</f>
        <v>EVERGREEN - UAN Gated Content - Embedded Petition</v>
      </c>
      <c r="D586" s="5">
        <f ca="1">IFERROR(__xludf.DUMMYFUNCTION("""COMPUTED_VALUE"""),45635)</f>
        <v>45635</v>
      </c>
      <c r="F586" s="1" t="str">
        <f ca="1">IFERROR(__xludf.DUMMYFUNCTION("""COMPUTED_VALUE"""),"Colombia")</f>
        <v>Colombia</v>
      </c>
      <c r="G586" s="1" t="str">
        <f ca="1">IFERROR(__xludf.DUMMYFUNCTION("""COMPUTED_VALUE"""),"5.25 Colombia")</f>
        <v>5.25 Colombia</v>
      </c>
      <c r="H586" s="1" t="str">
        <f ca="1">IFERROR(__xludf.DUMMYFUNCTION("""COMPUTED_VALUE"""),"Human Rights Defenders, Individuals At Risk")</f>
        <v>Human Rights Defenders, Individuals At Risk</v>
      </c>
      <c r="I586" s="1" t="str">
        <f ca="1">IFERROR(__xludf.DUMMYFUNCTION("""COMPUTED_VALUE"""),"2025")</f>
        <v>2025</v>
      </c>
      <c r="J586" s="1" t="str">
        <f ca="1">IFERROR(__xludf.DUMMYFUNCTION("""COMPUTED_VALUE"""),"Email")</f>
        <v>Email</v>
      </c>
    </row>
    <row r="587" spans="1:10" ht="13" x14ac:dyDescent="0.15">
      <c r="A587" s="4">
        <f ca="1">IFERROR(__xludf.DUMMYFUNCTION("""COMPUTED_VALUE"""),31464748)</f>
        <v>31464748</v>
      </c>
      <c r="B587" s="1" t="str">
        <f ca="1">IFERROR(__xludf.DUMMYFUNCTION("""COMPUTED_VALUE"""),"jmullin422@hotmail.com")</f>
        <v>jmullin422@hotmail.com</v>
      </c>
      <c r="C587" s="4" t="str">
        <f ca="1">IFERROR(__xludf.DUMMYFUNCTION("""COMPUTED_VALUE"""),"EVERGREEN - UAN Gated Content - Embedded Petition")</f>
        <v>EVERGREEN - UAN Gated Content - Embedded Petition</v>
      </c>
      <c r="D587" s="5">
        <f ca="1">IFERROR(__xludf.DUMMYFUNCTION("""COMPUTED_VALUE"""),45635)</f>
        <v>45635</v>
      </c>
      <c r="F587" s="1" t="str">
        <f ca="1">IFERROR(__xludf.DUMMYFUNCTION("""COMPUTED_VALUE"""),"Colombia")</f>
        <v>Colombia</v>
      </c>
      <c r="G587" s="1" t="str">
        <f ca="1">IFERROR(__xludf.DUMMYFUNCTION("""COMPUTED_VALUE"""),"Third 12.24 Colombia")</f>
        <v>Third 12.24 Colombia</v>
      </c>
      <c r="H587" s="1" t="str">
        <f ca="1">IFERROR(__xludf.DUMMYFUNCTION("""COMPUTED_VALUE"""),"Human Rights Defenders, Individuals At Risk")</f>
        <v>Human Rights Defenders, Individuals At Risk</v>
      </c>
      <c r="I587" s="1" t="str">
        <f ca="1">IFERROR(__xludf.DUMMYFUNCTION("""COMPUTED_VALUE"""),"2025")</f>
        <v>2025</v>
      </c>
      <c r="J587" s="1" t="str">
        <f ca="1">IFERROR(__xludf.DUMMYFUNCTION("""COMPUTED_VALUE"""),"Email")</f>
        <v>Email</v>
      </c>
    </row>
    <row r="588" spans="1:10" ht="13" x14ac:dyDescent="0.15">
      <c r="A588" s="4">
        <f ca="1">IFERROR(__xludf.DUMMYFUNCTION("""COMPUTED_VALUE"""),31464748)</f>
        <v>31464748</v>
      </c>
      <c r="B588" s="1" t="str">
        <f ca="1">IFERROR(__xludf.DUMMYFUNCTION("""COMPUTED_VALUE"""),"jmullin422@hotmail.com")</f>
        <v>jmullin422@hotmail.com</v>
      </c>
      <c r="C588" s="4" t="str">
        <f ca="1">IFERROR(__xludf.DUMMYFUNCTION("""COMPUTED_VALUE"""),"EVERGREEN - UAN Gated Content - Embedded Petition")</f>
        <v>EVERGREEN - UAN Gated Content - Embedded Petition</v>
      </c>
      <c r="D588" s="5">
        <f ca="1">IFERROR(__xludf.DUMMYFUNCTION("""COMPUTED_VALUE"""),45635)</f>
        <v>45635</v>
      </c>
      <c r="F588" s="1" t="str">
        <f ca="1">IFERROR(__xludf.DUMMYFUNCTION("""COMPUTED_VALUE"""),"Venezuela")</f>
        <v>Venezuela</v>
      </c>
      <c r="G588" s="1" t="str">
        <f ca="1">IFERROR(__xludf.DUMMYFUNCTION("""COMPUTED_VALUE"""),"1.25 Venezuela")</f>
        <v>1.25 Venezuela</v>
      </c>
      <c r="H588" s="1" t="str">
        <f ca="1">IFERROR(__xludf.DUMMYFUNCTION("""COMPUTED_VALUE"""),"Human Rights Defenders, Individuals At Risk")</f>
        <v>Human Rights Defenders, Individuals At Risk</v>
      </c>
      <c r="I588" s="1" t="str">
        <f ca="1">IFERROR(__xludf.DUMMYFUNCTION("""COMPUTED_VALUE"""),"2025")</f>
        <v>2025</v>
      </c>
      <c r="J588" s="1" t="str">
        <f ca="1">IFERROR(__xludf.DUMMYFUNCTION("""COMPUTED_VALUE"""),"Letter")</f>
        <v>Letter</v>
      </c>
    </row>
    <row r="589" spans="1:10" ht="13" x14ac:dyDescent="0.15">
      <c r="A589" s="4">
        <f ca="1">IFERROR(__xludf.DUMMYFUNCTION("""COMPUTED_VALUE"""),31464748)</f>
        <v>31464748</v>
      </c>
      <c r="B589" s="1" t="str">
        <f ca="1">IFERROR(__xludf.DUMMYFUNCTION("""COMPUTED_VALUE"""),"jmullin422@hotmail.com")</f>
        <v>jmullin422@hotmail.com</v>
      </c>
      <c r="C589" s="4" t="str">
        <f ca="1">IFERROR(__xludf.DUMMYFUNCTION("""COMPUTED_VALUE"""),"EVERGREEN - UAN Gated Content - Embedded Petition")</f>
        <v>EVERGREEN - UAN Gated Content - Embedded Petition</v>
      </c>
      <c r="D589" s="5">
        <f ca="1">IFERROR(__xludf.DUMMYFUNCTION("""COMPUTED_VALUE"""),45635)</f>
        <v>45635</v>
      </c>
      <c r="F589" s="1" t="str">
        <f ca="1">IFERROR(__xludf.DUMMYFUNCTION("""COMPUTED_VALUE"""),"Azerbaijan")</f>
        <v>Azerbaijan</v>
      </c>
      <c r="G589" s="1" t="str">
        <f ca="1">IFERROR(__xludf.DUMMYFUNCTION("""COMPUTED_VALUE"""),"2.25 Azerbaijan")</f>
        <v>2.25 Azerbaijan</v>
      </c>
      <c r="H589" s="1" t="str">
        <f ca="1">IFERROR(__xludf.DUMMYFUNCTION("""COMPUTED_VALUE"""),"Freedom of Expression, Human Rights Defenders")</f>
        <v>Freedom of Expression, Human Rights Defenders</v>
      </c>
      <c r="I589" s="1" t="str">
        <f ca="1">IFERROR(__xludf.DUMMYFUNCTION("""COMPUTED_VALUE"""),"2025")</f>
        <v>2025</v>
      </c>
      <c r="J589" s="1" t="str">
        <f ca="1">IFERROR(__xludf.DUMMYFUNCTION("""COMPUTED_VALUE"""),"Email")</f>
        <v>Email</v>
      </c>
    </row>
    <row r="590" spans="1:10" ht="13" x14ac:dyDescent="0.15">
      <c r="A590" s="4">
        <f ca="1">IFERROR(__xludf.DUMMYFUNCTION("""COMPUTED_VALUE"""),31464748)</f>
        <v>31464748</v>
      </c>
      <c r="B590" s="1" t="str">
        <f ca="1">IFERROR(__xludf.DUMMYFUNCTION("""COMPUTED_VALUE"""),"jmullin422@hotmail.com")</f>
        <v>jmullin422@hotmail.com</v>
      </c>
      <c r="C590" s="4" t="str">
        <f ca="1">IFERROR(__xludf.DUMMYFUNCTION("""COMPUTED_VALUE"""),"EVERGREEN - UAN Gated Content - Embedded Petition")</f>
        <v>EVERGREEN - UAN Gated Content - Embedded Petition</v>
      </c>
      <c r="D590" s="5">
        <f ca="1">IFERROR(__xludf.DUMMYFUNCTION("""COMPUTED_VALUE"""),45665)</f>
        <v>45665</v>
      </c>
      <c r="F590" s="1" t="str">
        <f ca="1">IFERROR(__xludf.DUMMYFUNCTION("""COMPUTED_VALUE"""),"Tunisia")</f>
        <v>Tunisia</v>
      </c>
      <c r="G590" s="1" t="str">
        <f ca="1">IFERROR(__xludf.DUMMYFUNCTION("""COMPUTED_VALUE"""),"Second 76.24 Tunisia")</f>
        <v>Second 76.24 Tunisia</v>
      </c>
      <c r="H590" s="1" t="str">
        <f ca="1">IFERROR(__xludf.DUMMYFUNCTION("""COMPUTED_VALUE"""),"Freedom of Expression, Human Rights Defenders")</f>
        <v>Freedom of Expression, Human Rights Defenders</v>
      </c>
      <c r="I590" s="1" t="str">
        <f ca="1">IFERROR(__xludf.DUMMYFUNCTION("""COMPUTED_VALUE"""),"2025")</f>
        <v>2025</v>
      </c>
      <c r="J590" s="1" t="str">
        <f ca="1">IFERROR(__xludf.DUMMYFUNCTION("""COMPUTED_VALUE"""),"Email")</f>
        <v>Email</v>
      </c>
    </row>
    <row r="591" spans="1:10" ht="13" x14ac:dyDescent="0.15">
      <c r="A591" s="4">
        <f ca="1">IFERROR(__xludf.DUMMYFUNCTION("""COMPUTED_VALUE"""),31464748)</f>
        <v>31464748</v>
      </c>
      <c r="B591" s="1" t="str">
        <f ca="1">IFERROR(__xludf.DUMMYFUNCTION("""COMPUTED_VALUE"""),"jmullin422@hotmail.com")</f>
        <v>jmullin422@hotmail.com</v>
      </c>
      <c r="C591" s="4" t="str">
        <f ca="1">IFERROR(__xludf.DUMMYFUNCTION("""COMPUTED_VALUE"""),"EVERGREEN - UAN Gated Content - Embedded Petition")</f>
        <v>EVERGREEN - UAN Gated Content - Embedded Petition</v>
      </c>
      <c r="D591" s="5">
        <f ca="1">IFERROR(__xludf.DUMMYFUNCTION("""COMPUTED_VALUE"""),45665)</f>
        <v>45665</v>
      </c>
      <c r="F591" s="1" t="str">
        <f ca="1">IFERROR(__xludf.DUMMYFUNCTION("""COMPUTED_VALUE"""),"Libya")</f>
        <v>Libya</v>
      </c>
      <c r="G591" s="1" t="str">
        <f ca="1">IFERROR(__xludf.DUMMYFUNCTION("""COMPUTED_VALUE"""),"12.25 Libya")</f>
        <v>12.25 Libya</v>
      </c>
      <c r="H591" s="1" t="str">
        <f ca="1">IFERROR(__xludf.DUMMYFUNCTION("""COMPUTED_VALUE"""),"Freedom of Expression, Health, Individuals At Risk")</f>
        <v>Freedom of Expression, Health, Individuals At Risk</v>
      </c>
      <c r="I591" s="1" t="str">
        <f ca="1">IFERROR(__xludf.DUMMYFUNCTION("""COMPUTED_VALUE"""),"2025")</f>
        <v>2025</v>
      </c>
      <c r="J591" s="1" t="str">
        <f ca="1">IFERROR(__xludf.DUMMYFUNCTION("""COMPUTED_VALUE"""),"Email")</f>
        <v>Email</v>
      </c>
    </row>
    <row r="592" spans="1:10" ht="13" x14ac:dyDescent="0.15">
      <c r="A592" s="4">
        <f ca="1">IFERROR(__xludf.DUMMYFUNCTION("""COMPUTED_VALUE"""),31464748)</f>
        <v>31464748</v>
      </c>
      <c r="B592" s="1" t="str">
        <f ca="1">IFERROR(__xludf.DUMMYFUNCTION("""COMPUTED_VALUE"""),"jmullin422@hotmail.com")</f>
        <v>jmullin422@hotmail.com</v>
      </c>
      <c r="C592" s="4" t="str">
        <f ca="1">IFERROR(__xludf.DUMMYFUNCTION("""COMPUTED_VALUE"""),"EVERGREEN - UAN Gated Content - Embedded Petition")</f>
        <v>EVERGREEN - UAN Gated Content - Embedded Petition</v>
      </c>
      <c r="D592" s="5">
        <f ca="1">IFERROR(__xludf.DUMMYFUNCTION("""COMPUTED_VALUE"""),45668)</f>
        <v>45668</v>
      </c>
      <c r="F592" s="1" t="str">
        <f ca="1">IFERROR(__xludf.DUMMYFUNCTION("""COMPUTED_VALUE"""),"USA")</f>
        <v>USA</v>
      </c>
      <c r="G592" s="1" t="str">
        <f ca="1">IFERROR(__xludf.DUMMYFUNCTION("""COMPUTED_VALUE"""),"4.25 USA")</f>
        <v>4.25 USA</v>
      </c>
      <c r="H592" s="1" t="str">
        <f ca="1">IFERROR(__xludf.DUMMYFUNCTION("""COMPUTED_VALUE"""),"Individuals At Risk, Refugee and Migrant Rights")</f>
        <v>Individuals At Risk, Refugee and Migrant Rights</v>
      </c>
      <c r="I592" s="1" t="str">
        <f ca="1">IFERROR(__xludf.DUMMYFUNCTION("""COMPUTED_VALUE"""),"2025")</f>
        <v>2025</v>
      </c>
      <c r="J592" s="1" t="str">
        <f ca="1">IFERROR(__xludf.DUMMYFUNCTION("""COMPUTED_VALUE"""),"Letter")</f>
        <v>Letter</v>
      </c>
    </row>
    <row r="593" spans="1:10" ht="13" x14ac:dyDescent="0.15">
      <c r="A593" s="4">
        <f ca="1">IFERROR(__xludf.DUMMYFUNCTION("""COMPUTED_VALUE"""),31464748)</f>
        <v>31464748</v>
      </c>
      <c r="B593" s="1" t="str">
        <f ca="1">IFERROR(__xludf.DUMMYFUNCTION("""COMPUTED_VALUE"""),"jmullin422@hotmail.com")</f>
        <v>jmullin422@hotmail.com</v>
      </c>
      <c r="C593" s="4" t="str">
        <f ca="1">IFERROR(__xludf.DUMMYFUNCTION("""COMPUTED_VALUE"""),"EVERGREEN - UAN Gated Content - Embedded Petition")</f>
        <v>EVERGREEN - UAN Gated Content - Embedded Petition</v>
      </c>
      <c r="D593" s="5">
        <f ca="1">IFERROR(__xludf.DUMMYFUNCTION("""COMPUTED_VALUE"""),45639)</f>
        <v>45639</v>
      </c>
      <c r="F593" s="1" t="str">
        <f ca="1">IFERROR(__xludf.DUMMYFUNCTION("""COMPUTED_VALUE"""),"Tunisia")</f>
        <v>Tunisia</v>
      </c>
      <c r="G593" s="1" t="str">
        <f ca="1">IFERROR(__xludf.DUMMYFUNCTION("""COMPUTED_VALUE"""),"Second 76.24 Tunisia")</f>
        <v>Second 76.24 Tunisia</v>
      </c>
      <c r="H593" s="1" t="str">
        <f ca="1">IFERROR(__xludf.DUMMYFUNCTION("""COMPUTED_VALUE"""),"Freedom of Expression, Human Rights Defenders")</f>
        <v>Freedom of Expression, Human Rights Defenders</v>
      </c>
      <c r="I593" s="1" t="str">
        <f ca="1">IFERROR(__xludf.DUMMYFUNCTION("""COMPUTED_VALUE"""),"2025")</f>
        <v>2025</v>
      </c>
      <c r="J593" s="1" t="str">
        <f ca="1">IFERROR(__xludf.DUMMYFUNCTION("""COMPUTED_VALUE"""),"Email")</f>
        <v>Email</v>
      </c>
    </row>
    <row r="594" spans="1:10" ht="13" x14ac:dyDescent="0.15">
      <c r="A594" s="4">
        <f ca="1">IFERROR(__xludf.DUMMYFUNCTION("""COMPUTED_VALUE"""),31464748)</f>
        <v>31464748</v>
      </c>
      <c r="B594" s="1" t="str">
        <f ca="1">IFERROR(__xludf.DUMMYFUNCTION("""COMPUTED_VALUE"""),"jmullin422@hotmail.com")</f>
        <v>jmullin422@hotmail.com</v>
      </c>
      <c r="C594" s="4" t="str">
        <f ca="1">IFERROR(__xludf.DUMMYFUNCTION("""COMPUTED_VALUE"""),"EVERGREEN - UAN Gated Content - Embedded Petition")</f>
        <v>EVERGREEN - UAN Gated Content - Embedded Petition</v>
      </c>
      <c r="D594" s="5">
        <f ca="1">IFERROR(__xludf.DUMMYFUNCTION("""COMPUTED_VALUE"""),45637)</f>
        <v>45637</v>
      </c>
      <c r="F594" s="1" t="str">
        <f ca="1">IFERROR(__xludf.DUMMYFUNCTION("""COMPUTED_VALUE"""),"Egypt")</f>
        <v>Egypt</v>
      </c>
      <c r="G594" s="1" t="str">
        <f ca="1">IFERROR(__xludf.DUMMYFUNCTION("""COMPUTED_VALUE"""),"Ninth 190.18 Egypt")</f>
        <v>Ninth 190.18 Egypt</v>
      </c>
      <c r="H594" s="1" t="str">
        <f ca="1">IFERROR(__xludf.DUMMYFUNCTION("""COMPUTED_VALUE"""),"Freedom of Expression, Individuals At Risk")</f>
        <v>Freedom of Expression, Individuals At Risk</v>
      </c>
      <c r="I594" s="1" t="str">
        <f ca="1">IFERROR(__xludf.DUMMYFUNCTION("""COMPUTED_VALUE"""),"2024")</f>
        <v>2024</v>
      </c>
      <c r="J594" s="1" t="str">
        <f ca="1">IFERROR(__xludf.DUMMYFUNCTION("""COMPUTED_VALUE"""),"Letter")</f>
        <v>Letter</v>
      </c>
    </row>
    <row r="595" spans="1:10" ht="13" x14ac:dyDescent="0.15">
      <c r="A595" s="4">
        <f ca="1">IFERROR(__xludf.DUMMYFUNCTION("""COMPUTED_VALUE"""),31464748)</f>
        <v>31464748</v>
      </c>
      <c r="B595" s="1" t="str">
        <f ca="1">IFERROR(__xludf.DUMMYFUNCTION("""COMPUTED_VALUE"""),"jmullin422@hotmail.com")</f>
        <v>jmullin422@hotmail.com</v>
      </c>
      <c r="C595" s="4" t="str">
        <f ca="1">IFERROR(__xludf.DUMMYFUNCTION("""COMPUTED_VALUE"""),"EVERGREEN - UAN Gated Content - Embedded Petition")</f>
        <v>EVERGREEN - UAN Gated Content - Embedded Petition</v>
      </c>
      <c r="D595" s="5">
        <f ca="1">IFERROR(__xludf.DUMMYFUNCTION("""COMPUTED_VALUE"""),45676)</f>
        <v>45676</v>
      </c>
      <c r="F595" s="1" t="str">
        <f ca="1">IFERROR(__xludf.DUMMYFUNCTION("""COMPUTED_VALUE"""),"Egypt")</f>
        <v>Egypt</v>
      </c>
      <c r="G595" s="1" t="str">
        <f ca="1">IFERROR(__xludf.DUMMYFUNCTION("""COMPUTED_VALUE"""),"Ninth 190.18 Egypt")</f>
        <v>Ninth 190.18 Egypt</v>
      </c>
      <c r="H595" s="1" t="str">
        <f ca="1">IFERROR(__xludf.DUMMYFUNCTION("""COMPUTED_VALUE"""),"Freedom of Expression, Individuals At Risk")</f>
        <v>Freedom of Expression, Individuals At Risk</v>
      </c>
      <c r="I595" s="1" t="str">
        <f ca="1">IFERROR(__xludf.DUMMYFUNCTION("""COMPUTED_VALUE"""),"2024")</f>
        <v>2024</v>
      </c>
      <c r="J595" s="1" t="str">
        <f ca="1">IFERROR(__xludf.DUMMYFUNCTION("""COMPUTED_VALUE"""),"Letter")</f>
        <v>Letter</v>
      </c>
    </row>
    <row r="596" spans="1:10" ht="13" x14ac:dyDescent="0.15">
      <c r="A596" s="4">
        <f ca="1">IFERROR(__xludf.DUMMYFUNCTION("""COMPUTED_VALUE"""),31464748)</f>
        <v>31464748</v>
      </c>
      <c r="B596" s="1" t="str">
        <f ca="1">IFERROR(__xludf.DUMMYFUNCTION("""COMPUTED_VALUE"""),"jmullin422@hotmail.com")</f>
        <v>jmullin422@hotmail.com</v>
      </c>
      <c r="C596" s="4" t="str">
        <f ca="1">IFERROR(__xludf.DUMMYFUNCTION("""COMPUTED_VALUE"""),"EVERGREEN - UAN Gated Content - Embedded Petition")</f>
        <v>EVERGREEN - UAN Gated Content - Embedded Petition</v>
      </c>
      <c r="D596" s="5">
        <f ca="1">IFERROR(__xludf.DUMMYFUNCTION("""COMPUTED_VALUE"""),45671)</f>
        <v>45671</v>
      </c>
      <c r="F596" s="1" t="str">
        <f ca="1">IFERROR(__xludf.DUMMYFUNCTION("""COMPUTED_VALUE"""),"USA")</f>
        <v>USA</v>
      </c>
      <c r="G596" s="1" t="str">
        <f ca="1">IFERROR(__xludf.DUMMYFUNCTION("""COMPUTED_VALUE"""),"105.24 USA")</f>
        <v>105.24 USA</v>
      </c>
      <c r="H596" s="1" t="str">
        <f ca="1">IFERROR(__xludf.DUMMYFUNCTION("""COMPUTED_VALUE"""),"Death Penalty")</f>
        <v>Death Penalty</v>
      </c>
      <c r="I596" s="1" t="str">
        <f ca="1">IFERROR(__xludf.DUMMYFUNCTION("""COMPUTED_VALUE"""),"2024")</f>
        <v>2024</v>
      </c>
      <c r="J596" s="1" t="str">
        <f ca="1">IFERROR(__xludf.DUMMYFUNCTION("""COMPUTED_VALUE"""),"Email")</f>
        <v>Email</v>
      </c>
    </row>
    <row r="597" spans="1:10" ht="13" x14ac:dyDescent="0.15">
      <c r="A597" s="4">
        <f ca="1">IFERROR(__xludf.DUMMYFUNCTION("""COMPUTED_VALUE"""),31464748)</f>
        <v>31464748</v>
      </c>
      <c r="B597" s="1" t="str">
        <f ca="1">IFERROR(__xludf.DUMMYFUNCTION("""COMPUTED_VALUE"""),"jmullin422@hotmail.com")</f>
        <v>jmullin422@hotmail.com</v>
      </c>
      <c r="C597" s="4" t="str">
        <f ca="1">IFERROR(__xludf.DUMMYFUNCTION("""COMPUTED_VALUE"""),"EVERGREEN - UAN Gated Content - Embedded Petition")</f>
        <v>EVERGREEN - UAN Gated Content - Embedded Petition</v>
      </c>
      <c r="D597" s="5">
        <f ca="1">IFERROR(__xludf.DUMMYFUNCTION("""COMPUTED_VALUE"""),45671)</f>
        <v>45671</v>
      </c>
      <c r="F597" s="1" t="str">
        <f ca="1">IFERROR(__xludf.DUMMYFUNCTION("""COMPUTED_VALUE"""),"Dominican Republic")</f>
        <v>Dominican Republic</v>
      </c>
      <c r="G597" s="1" t="str">
        <f ca="1">IFERROR(__xludf.DUMMYFUNCTION("""COMPUTED_VALUE"""),"88.24 Dominican Republic")</f>
        <v>88.24 Dominican Republic</v>
      </c>
      <c r="H597" s="1" t="str">
        <f ca="1">IFERROR(__xludf.DUMMYFUNCTION("""COMPUTED_VALUE"""),"Individuals At Risk, Refugee and Migrant Rights")</f>
        <v>Individuals At Risk, Refugee and Migrant Rights</v>
      </c>
      <c r="I597" s="1" t="str">
        <f ca="1">IFERROR(__xludf.DUMMYFUNCTION("""COMPUTED_VALUE"""),"2024")</f>
        <v>2024</v>
      </c>
      <c r="J597" s="1" t="str">
        <f ca="1">IFERROR(__xludf.DUMMYFUNCTION("""COMPUTED_VALUE"""),"Letter")</f>
        <v>Letter</v>
      </c>
    </row>
    <row r="598" spans="1:10" ht="13" x14ac:dyDescent="0.15">
      <c r="A598" s="4">
        <f ca="1">IFERROR(__xludf.DUMMYFUNCTION("""COMPUTED_VALUE"""),31464748)</f>
        <v>31464748</v>
      </c>
      <c r="B598" s="1" t="str">
        <f ca="1">IFERROR(__xludf.DUMMYFUNCTION("""COMPUTED_VALUE"""),"jmullin422@hotmail.com")</f>
        <v>jmullin422@hotmail.com</v>
      </c>
      <c r="C598" s="4" t="str">
        <f ca="1">IFERROR(__xludf.DUMMYFUNCTION("""COMPUTED_VALUE"""),"EVERGREEN - UAN Gated Content - Embedded Petition")</f>
        <v>EVERGREEN - UAN Gated Content - Embedded Petition</v>
      </c>
      <c r="D598" s="5">
        <f ca="1">IFERROR(__xludf.DUMMYFUNCTION("""COMPUTED_VALUE"""),45671)</f>
        <v>45671</v>
      </c>
      <c r="F598" s="1" t="str">
        <f ca="1">IFERROR(__xludf.DUMMYFUNCTION("""COMPUTED_VALUE"""),"Azerbaijan")</f>
        <v>Azerbaijan</v>
      </c>
      <c r="G598" s="1" t="str">
        <f ca="1">IFERROR(__xludf.DUMMYFUNCTION("""COMPUTED_VALUE"""),"2.25 Azerbaijan")</f>
        <v>2.25 Azerbaijan</v>
      </c>
      <c r="H598" s="1" t="str">
        <f ca="1">IFERROR(__xludf.DUMMYFUNCTION("""COMPUTED_VALUE"""),"Freedom of Expression, Human Rights Defenders")</f>
        <v>Freedom of Expression, Human Rights Defenders</v>
      </c>
      <c r="I598" s="1" t="str">
        <f ca="1">IFERROR(__xludf.DUMMYFUNCTION("""COMPUTED_VALUE"""),"2025")</f>
        <v>2025</v>
      </c>
      <c r="J598" s="1" t="str">
        <f ca="1">IFERROR(__xludf.DUMMYFUNCTION("""COMPUTED_VALUE"""),"Email")</f>
        <v>Email</v>
      </c>
    </row>
    <row r="599" spans="1:10" ht="13" x14ac:dyDescent="0.15">
      <c r="A599" s="4">
        <f ca="1">IFERROR(__xludf.DUMMYFUNCTION("""COMPUTED_VALUE"""),31464748)</f>
        <v>31464748</v>
      </c>
      <c r="B599" s="1" t="str">
        <f ca="1">IFERROR(__xludf.DUMMYFUNCTION("""COMPUTED_VALUE"""),"jmullin422@hotmail.com")</f>
        <v>jmullin422@hotmail.com</v>
      </c>
      <c r="C599" s="4" t="str">
        <f ca="1">IFERROR(__xludf.DUMMYFUNCTION("""COMPUTED_VALUE"""),"EVERGREEN - UAN Gated Content - Embedded Petition")</f>
        <v>EVERGREEN - UAN Gated Content - Embedded Petition</v>
      </c>
      <c r="D599" s="5">
        <f ca="1">IFERROR(__xludf.DUMMYFUNCTION("""COMPUTED_VALUE"""),45671)</f>
        <v>45671</v>
      </c>
      <c r="F599" s="1" t="str">
        <f ca="1">IFERROR(__xludf.DUMMYFUNCTION("""COMPUTED_VALUE"""),"Uganda")</f>
        <v>Uganda</v>
      </c>
      <c r="G599" s="1" t="str">
        <f ca="1">IFERROR(__xludf.DUMMYFUNCTION("""COMPUTED_VALUE"""),"100.24 Uganda")</f>
        <v>100.24 Uganda</v>
      </c>
      <c r="H599" s="1" t="str">
        <f ca="1">IFERROR(__xludf.DUMMYFUNCTION("""COMPUTED_VALUE"""),"Freedom of Expression")</f>
        <v>Freedom of Expression</v>
      </c>
      <c r="I599" s="1" t="str">
        <f ca="1">IFERROR(__xludf.DUMMYFUNCTION("""COMPUTED_VALUE"""),"2024")</f>
        <v>2024</v>
      </c>
      <c r="J599" s="1" t="str">
        <f ca="1">IFERROR(__xludf.DUMMYFUNCTION("""COMPUTED_VALUE"""),"Email")</f>
        <v>Email</v>
      </c>
    </row>
    <row r="600" spans="1:10" ht="13" x14ac:dyDescent="0.15">
      <c r="A600" s="4">
        <f ca="1">IFERROR(__xludf.DUMMYFUNCTION("""COMPUTED_VALUE"""),31464748)</f>
        <v>31464748</v>
      </c>
      <c r="B600" s="1" t="str">
        <f ca="1">IFERROR(__xludf.DUMMYFUNCTION("""COMPUTED_VALUE"""),"jmullin422@hotmail.com")</f>
        <v>jmullin422@hotmail.com</v>
      </c>
      <c r="C600" s="4" t="str">
        <f ca="1">IFERROR(__xludf.DUMMYFUNCTION("""COMPUTED_VALUE"""),"EVERGREEN - UAN Gated Content - Embedded Petition")</f>
        <v>EVERGREEN - UAN Gated Content - Embedded Petition</v>
      </c>
      <c r="D600" s="5">
        <f ca="1">IFERROR(__xludf.DUMMYFUNCTION("""COMPUTED_VALUE"""),45671)</f>
        <v>45671</v>
      </c>
      <c r="F600" s="1" t="str">
        <f ca="1">IFERROR(__xludf.DUMMYFUNCTION("""COMPUTED_VALUE"""),"Saudi Arabia")</f>
        <v>Saudi Arabia</v>
      </c>
      <c r="G600" s="1" t="str">
        <f ca="1">IFERROR(__xludf.DUMMYFUNCTION("""COMPUTED_VALUE"""),"Second 85.23 Saudi Arabia")</f>
        <v>Second 85.23 Saudi Arabia</v>
      </c>
      <c r="H600" s="1" t="str">
        <f ca="1">IFERROR(__xludf.DUMMYFUNCTION("""COMPUTED_VALUE"""),"Freedom of Expression")</f>
        <v>Freedom of Expression</v>
      </c>
      <c r="I600" s="1" t="str">
        <f ca="1">IFERROR(__xludf.DUMMYFUNCTION("""COMPUTED_VALUE"""),"2024")</f>
        <v>2024</v>
      </c>
      <c r="J600" s="1" t="str">
        <f ca="1">IFERROR(__xludf.DUMMYFUNCTION("""COMPUTED_VALUE"""),"Letter")</f>
        <v>Letter</v>
      </c>
    </row>
    <row r="601" spans="1:10" ht="13" x14ac:dyDescent="0.15">
      <c r="A601" s="4">
        <f ca="1">IFERROR(__xludf.DUMMYFUNCTION("""COMPUTED_VALUE"""),31464748)</f>
        <v>31464748</v>
      </c>
      <c r="B601" s="1" t="str">
        <f ca="1">IFERROR(__xludf.DUMMYFUNCTION("""COMPUTED_VALUE"""),"jmullin422@hotmail.com")</f>
        <v>jmullin422@hotmail.com</v>
      </c>
      <c r="C601" s="4" t="str">
        <f ca="1">IFERROR(__xludf.DUMMYFUNCTION("""COMPUTED_VALUE"""),"EVERGREEN - UAN Gated Content - Embedded Petition")</f>
        <v>EVERGREEN - UAN Gated Content - Embedded Petition</v>
      </c>
      <c r="D601" s="5">
        <f ca="1">IFERROR(__xludf.DUMMYFUNCTION("""COMPUTED_VALUE"""),45671)</f>
        <v>45671</v>
      </c>
      <c r="F601" s="1" t="str">
        <f ca="1">IFERROR(__xludf.DUMMYFUNCTION("""COMPUTED_VALUE"""),"Egypt")</f>
        <v>Egypt</v>
      </c>
      <c r="G601" s="1" t="str">
        <f ca="1">IFERROR(__xludf.DUMMYFUNCTION("""COMPUTED_VALUE"""),"Ninth 190.18 Egypt")</f>
        <v>Ninth 190.18 Egypt</v>
      </c>
      <c r="H601" s="1" t="str">
        <f ca="1">IFERROR(__xludf.DUMMYFUNCTION("""COMPUTED_VALUE"""),"Freedom of Expression, Individuals At Risk")</f>
        <v>Freedom of Expression, Individuals At Risk</v>
      </c>
      <c r="I601" s="1" t="str">
        <f ca="1">IFERROR(__xludf.DUMMYFUNCTION("""COMPUTED_VALUE"""),"2024")</f>
        <v>2024</v>
      </c>
      <c r="J601" s="1" t="str">
        <f ca="1">IFERROR(__xludf.DUMMYFUNCTION("""COMPUTED_VALUE"""),"Letter")</f>
        <v>Letter</v>
      </c>
    </row>
    <row r="602" spans="1:10" ht="13" x14ac:dyDescent="0.15">
      <c r="A602" s="4">
        <f ca="1">IFERROR(__xludf.DUMMYFUNCTION("""COMPUTED_VALUE"""),31464748)</f>
        <v>31464748</v>
      </c>
      <c r="B602" s="1" t="str">
        <f ca="1">IFERROR(__xludf.DUMMYFUNCTION("""COMPUTED_VALUE"""),"jmullin422@hotmail.com")</f>
        <v>jmullin422@hotmail.com</v>
      </c>
      <c r="C602" s="4" t="str">
        <f ca="1">IFERROR(__xludf.DUMMYFUNCTION("""COMPUTED_VALUE"""),"EVERGREEN - UAN Gated Content - Embedded Petition")</f>
        <v>EVERGREEN - UAN Gated Content - Embedded Petition</v>
      </c>
      <c r="D602" s="5">
        <f ca="1">IFERROR(__xludf.DUMMYFUNCTION("""COMPUTED_VALUE"""),45657)</f>
        <v>45657</v>
      </c>
      <c r="F602" s="1" t="str">
        <f ca="1">IFERROR(__xludf.DUMMYFUNCTION("""COMPUTED_VALUE"""),"Canada")</f>
        <v>Canada</v>
      </c>
      <c r="G602" s="1" t="str">
        <f ca="1">IFERROR(__xludf.DUMMYFUNCTION("""COMPUTED_VALUE"""),"99.24 Canada")</f>
        <v>99.24 Canada</v>
      </c>
      <c r="H602" s="1" t="str">
        <f ca="1">IFERROR(__xludf.DUMMYFUNCTION("""COMPUTED_VALUE"""),"Climate Justice, Indigenous Rights, Right to Protest")</f>
        <v>Climate Justice, Indigenous Rights, Right to Protest</v>
      </c>
      <c r="I602" s="1" t="str">
        <f ca="1">IFERROR(__xludf.DUMMYFUNCTION("""COMPUTED_VALUE"""),"2024")</f>
        <v>2024</v>
      </c>
      <c r="J602" s="1" t="str">
        <f ca="1">IFERROR(__xludf.DUMMYFUNCTION("""COMPUTED_VALUE"""),"Letter")</f>
        <v>Letter</v>
      </c>
    </row>
    <row r="603" spans="1:10" ht="13" x14ac:dyDescent="0.15">
      <c r="A603" s="4">
        <f ca="1">IFERROR(__xludf.DUMMYFUNCTION("""COMPUTED_VALUE"""),31464748)</f>
        <v>31464748</v>
      </c>
      <c r="B603" s="1" t="str">
        <f ca="1">IFERROR(__xludf.DUMMYFUNCTION("""COMPUTED_VALUE"""),"jmullin422@hotmail.com")</f>
        <v>jmullin422@hotmail.com</v>
      </c>
      <c r="C603" s="4" t="str">
        <f ca="1">IFERROR(__xludf.DUMMYFUNCTION("""COMPUTED_VALUE"""),"EVERGREEN - UAN Gated Content - Embedded Petition")</f>
        <v>EVERGREEN - UAN Gated Content - Embedded Petition</v>
      </c>
      <c r="D603" s="5">
        <f ca="1">IFERROR(__xludf.DUMMYFUNCTION("""COMPUTED_VALUE"""),45657)</f>
        <v>45657</v>
      </c>
      <c r="F603" s="1" t="str">
        <f ca="1">IFERROR(__xludf.DUMMYFUNCTION("""COMPUTED_VALUE"""),"Russian Federation")</f>
        <v>Russian Federation</v>
      </c>
      <c r="G603" s="1" t="str">
        <f ca="1">IFERROR(__xludf.DUMMYFUNCTION("""COMPUTED_VALUE"""),"Second 23.24 Russia")</f>
        <v>Second 23.24 Russia</v>
      </c>
      <c r="H603" s="1" t="str">
        <f ca="1">IFERROR(__xludf.DUMMYFUNCTION("""COMPUTED_VALUE"""),"Freedom of Expression")</f>
        <v>Freedom of Expression</v>
      </c>
      <c r="I603" s="1" t="str">
        <f ca="1">IFERROR(__xludf.DUMMYFUNCTION("""COMPUTED_VALUE"""),"2024")</f>
        <v>2024</v>
      </c>
      <c r="J603" s="1" t="str">
        <f ca="1">IFERROR(__xludf.DUMMYFUNCTION("""COMPUTED_VALUE"""),"Letter")</f>
        <v>Letter</v>
      </c>
    </row>
    <row r="604" spans="1:10" ht="13" x14ac:dyDescent="0.15">
      <c r="A604" s="4">
        <f ca="1">IFERROR(__xludf.DUMMYFUNCTION("""COMPUTED_VALUE"""),31464748)</f>
        <v>31464748</v>
      </c>
      <c r="B604" s="1" t="str">
        <f ca="1">IFERROR(__xludf.DUMMYFUNCTION("""COMPUTED_VALUE"""),"jmullin422@hotmail.com")</f>
        <v>jmullin422@hotmail.com</v>
      </c>
      <c r="C604" s="4" t="str">
        <f ca="1">IFERROR(__xludf.DUMMYFUNCTION("""COMPUTED_VALUE"""),"EVERGREEN - Website Email Capture Form - UAN Pre-Footer")</f>
        <v>EVERGREEN - Website Email Capture Form - UAN Pre-Footer</v>
      </c>
      <c r="D604" s="5">
        <f ca="1">IFERROR(__xludf.DUMMYFUNCTION("""COMPUTED_VALUE"""),45616)</f>
        <v>45616</v>
      </c>
      <c r="F604" s="1" t="str">
        <f ca="1">IFERROR(__xludf.DUMMYFUNCTION("""COMPUTED_VALUE"""),"Russian Federation")</f>
        <v>Russian Federation</v>
      </c>
      <c r="G604" s="1" t="str">
        <f ca="1">IFERROR(__xludf.DUMMYFUNCTION("""COMPUTED_VALUE"""),"Second 23.24 Russia")</f>
        <v>Second 23.24 Russia</v>
      </c>
      <c r="H604" s="1" t="str">
        <f ca="1">IFERROR(__xludf.DUMMYFUNCTION("""COMPUTED_VALUE"""),"Freedom of Expression")</f>
        <v>Freedom of Expression</v>
      </c>
      <c r="I604" s="1" t="str">
        <f ca="1">IFERROR(__xludf.DUMMYFUNCTION("""COMPUTED_VALUE"""),"2024")</f>
        <v>2024</v>
      </c>
      <c r="J604" s="1" t="str">
        <f ca="1">IFERROR(__xludf.DUMMYFUNCTION("""COMPUTED_VALUE"""),"Letter")</f>
        <v>Letter</v>
      </c>
    </row>
    <row r="605" spans="1:10" ht="13" x14ac:dyDescent="0.15">
      <c r="A605" s="4">
        <f ca="1">IFERROR(__xludf.DUMMYFUNCTION("""COMPUTED_VALUE"""),31464748)</f>
        <v>31464748</v>
      </c>
      <c r="B605" s="1" t="str">
        <f ca="1">IFERROR(__xludf.DUMMYFUNCTION("""COMPUTED_VALUE"""),"jmullin422@hotmail.com")</f>
        <v>jmullin422@hotmail.com</v>
      </c>
      <c r="C605" s="4" t="str">
        <f ca="1">IFERROR(__xludf.DUMMYFUNCTION("""COMPUTED_VALUE"""),"EVERGREEN - Website Email Capture Form - UAN Pre-Footer")</f>
        <v>EVERGREEN - Website Email Capture Form - UAN Pre-Footer</v>
      </c>
      <c r="D605" s="5">
        <f ca="1">IFERROR(__xludf.DUMMYFUNCTION("""COMPUTED_VALUE"""),45626)</f>
        <v>45626</v>
      </c>
      <c r="F605" s="1" t="str">
        <f ca="1">IFERROR(__xludf.DUMMYFUNCTION("""COMPUTED_VALUE"""),"China")</f>
        <v>China</v>
      </c>
      <c r="G605" s="1" t="str">
        <f ca="1">IFERROR(__xludf.DUMMYFUNCTION("""COMPUTED_VALUE"""),"98.24 China")</f>
        <v>98.24 China</v>
      </c>
      <c r="H605" s="1" t="str">
        <f ca="1">IFERROR(__xludf.DUMMYFUNCTION("""COMPUTED_VALUE"""),"Freedom of Expression, Individuals At Risk")</f>
        <v>Freedom of Expression, Individuals At Risk</v>
      </c>
      <c r="I605" s="1" t="str">
        <f ca="1">IFERROR(__xludf.DUMMYFUNCTION("""COMPUTED_VALUE"""),"2024")</f>
        <v>2024</v>
      </c>
      <c r="J605" s="1" t="str">
        <f ca="1">IFERROR(__xludf.DUMMYFUNCTION("""COMPUTED_VALUE"""),"Letter")</f>
        <v>Letter</v>
      </c>
    </row>
    <row r="606" spans="1:10" ht="13" x14ac:dyDescent="0.15">
      <c r="A606" s="4">
        <f ca="1">IFERROR(__xludf.DUMMYFUNCTION("""COMPUTED_VALUE"""),31464748)</f>
        <v>31464748</v>
      </c>
      <c r="B606" s="1" t="str">
        <f ca="1">IFERROR(__xludf.DUMMYFUNCTION("""COMPUTED_VALUE"""),"jmullin422@hotmail.com")</f>
        <v>jmullin422@hotmail.com</v>
      </c>
      <c r="C606" s="4" t="str">
        <f ca="1">IFERROR(__xludf.DUMMYFUNCTION("""COMPUTED_VALUE"""),"EVERGREEN - Website Email Capture Form - UAN Pre-Footer")</f>
        <v>EVERGREEN - Website Email Capture Form - UAN Pre-Footer</v>
      </c>
      <c r="D606" s="5">
        <f ca="1">IFERROR(__xludf.DUMMYFUNCTION("""COMPUTED_VALUE"""),45696)</f>
        <v>45696</v>
      </c>
      <c r="F606" s="1" t="str">
        <f ca="1">IFERROR(__xludf.DUMMYFUNCTION("""COMPUTED_VALUE"""),"Venezuela")</f>
        <v>Venezuela</v>
      </c>
      <c r="G606" s="1" t="str">
        <f ca="1">IFERROR(__xludf.DUMMYFUNCTION("""COMPUTED_VALUE"""),"97.24 Venezuela")</f>
        <v>97.24 Venezuela</v>
      </c>
      <c r="H606" s="1" t="str">
        <f ca="1">IFERROR(__xludf.DUMMYFUNCTION("""COMPUTED_VALUE"""),"Freedom of Expression")</f>
        <v>Freedom of Expression</v>
      </c>
      <c r="I606" s="1" t="str">
        <f ca="1">IFERROR(__xludf.DUMMYFUNCTION("""COMPUTED_VALUE"""),"2024")</f>
        <v>2024</v>
      </c>
      <c r="J606" s="1" t="str">
        <f ca="1">IFERROR(__xludf.DUMMYFUNCTION("""COMPUTED_VALUE"""),"Letter")</f>
        <v>Letter</v>
      </c>
    </row>
    <row r="607" spans="1:10" ht="13" x14ac:dyDescent="0.15">
      <c r="A607" s="4">
        <f ca="1">IFERROR(__xludf.DUMMYFUNCTION("""COMPUTED_VALUE"""),31464748)</f>
        <v>31464748</v>
      </c>
      <c r="B607" s="1" t="str">
        <f ca="1">IFERROR(__xludf.DUMMYFUNCTION("""COMPUTED_VALUE"""),"jmullin422@hotmail.com")</f>
        <v>jmullin422@hotmail.com</v>
      </c>
      <c r="C607" s="4" t="str">
        <f ca="1">IFERROR(__xludf.DUMMYFUNCTION("""COMPUTED_VALUE"""),"UAN mid-page Lightbox - Step 1 of 4 - Landing Page")</f>
        <v>UAN mid-page Lightbox - Step 1 of 4 - Landing Page</v>
      </c>
      <c r="D607" s="5">
        <f ca="1">IFERROR(__xludf.DUMMYFUNCTION("""COMPUTED_VALUE"""),45626)</f>
        <v>45626</v>
      </c>
      <c r="F607" s="1" t="str">
        <f ca="1">IFERROR(__xludf.DUMMYFUNCTION("""COMPUTED_VALUE"""),"USA")</f>
        <v>USA</v>
      </c>
      <c r="G607" s="1" t="str">
        <f ca="1">IFERROR(__xludf.DUMMYFUNCTION("""COMPUTED_VALUE"""),"105.24 USA")</f>
        <v>105.24 USA</v>
      </c>
      <c r="H607" s="1" t="str">
        <f ca="1">IFERROR(__xludf.DUMMYFUNCTION("""COMPUTED_VALUE"""),"Death Penalty")</f>
        <v>Death Penalty</v>
      </c>
      <c r="I607" s="1" t="str">
        <f ca="1">IFERROR(__xludf.DUMMYFUNCTION("""COMPUTED_VALUE"""),"2024")</f>
        <v>2024</v>
      </c>
      <c r="J607" s="1" t="str">
        <f ca="1">IFERROR(__xludf.DUMMYFUNCTION("""COMPUTED_VALUE"""),"Email")</f>
        <v>Email</v>
      </c>
    </row>
    <row r="608" spans="1:10" ht="13" x14ac:dyDescent="0.15">
      <c r="A608" s="4">
        <f ca="1">IFERROR(__xludf.DUMMYFUNCTION("""COMPUTED_VALUE"""),31464748)</f>
        <v>31464748</v>
      </c>
      <c r="B608" s="1" t="str">
        <f ca="1">IFERROR(__xludf.DUMMYFUNCTION("""COMPUTED_VALUE"""),"jmullin422@hotmail.com")</f>
        <v>jmullin422@hotmail.com</v>
      </c>
      <c r="C608" s="4" t="str">
        <f ca="1">IFERROR(__xludf.DUMMYFUNCTION("""COMPUTED_VALUE"""),"UAN mid-page Lightbox - Step 1 of 4 - Landing Page")</f>
        <v>UAN mid-page Lightbox - Step 1 of 4 - Landing Page</v>
      </c>
      <c r="D608" s="5">
        <f ca="1">IFERROR(__xludf.DUMMYFUNCTION("""COMPUTED_VALUE"""),45678)</f>
        <v>45678</v>
      </c>
      <c r="F608" s="1" t="str">
        <f ca="1">IFERROR(__xludf.DUMMYFUNCTION("""COMPUTED_VALUE"""),"Iran")</f>
        <v>Iran</v>
      </c>
      <c r="G608" s="1" t="str">
        <f ca="1">IFERROR(__xludf.DUMMYFUNCTION("""COMPUTED_VALUE"""),"101.24 Iran")</f>
        <v>101.24 Iran</v>
      </c>
      <c r="H608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608" s="1" t="str">
        <f ca="1">IFERROR(__xludf.DUMMYFUNCTION("""COMPUTED_VALUE"""),"2024")</f>
        <v>2024</v>
      </c>
      <c r="J608" s="1" t="str">
        <f ca="1">IFERROR(__xludf.DUMMYFUNCTION("""COMPUTED_VALUE"""),"Email")</f>
        <v>Email</v>
      </c>
    </row>
    <row r="609" spans="1:10" ht="13" x14ac:dyDescent="0.15">
      <c r="A609" s="4">
        <f ca="1">IFERROR(__xludf.DUMMYFUNCTION("""COMPUTED_VALUE"""),31464748)</f>
        <v>31464748</v>
      </c>
      <c r="B609" s="1" t="str">
        <f ca="1">IFERROR(__xludf.DUMMYFUNCTION("""COMPUTED_VALUE"""),"jmullin422@hotmail.com")</f>
        <v>jmullin422@hotmail.com</v>
      </c>
      <c r="C609" s="4" t="str">
        <f ca="1">IFERROR(__xludf.DUMMYFUNCTION("""COMPUTED_VALUE"""),"UAN mid-page Lightbox - Step 2 of 4 - More personal info fields")</f>
        <v>UAN mid-page Lightbox - Step 2 of 4 - More personal info fields</v>
      </c>
      <c r="D609" s="5">
        <f ca="1">IFERROR(__xludf.DUMMYFUNCTION("""COMPUTED_VALUE"""),45678)</f>
        <v>45678</v>
      </c>
      <c r="F609" s="1" t="str">
        <f ca="1">IFERROR(__xludf.DUMMYFUNCTION("""COMPUTED_VALUE"""),"Uganda")</f>
        <v>Uganda</v>
      </c>
      <c r="G609" s="1" t="str">
        <f ca="1">IFERROR(__xludf.DUMMYFUNCTION("""COMPUTED_VALUE"""),"100.24 Uganda")</f>
        <v>100.24 Uganda</v>
      </c>
      <c r="H609" s="1" t="str">
        <f ca="1">IFERROR(__xludf.DUMMYFUNCTION("""COMPUTED_VALUE"""),"Freedom of Expression")</f>
        <v>Freedom of Expression</v>
      </c>
      <c r="I609" s="1" t="str">
        <f ca="1">IFERROR(__xludf.DUMMYFUNCTION("""COMPUTED_VALUE"""),"2024")</f>
        <v>2024</v>
      </c>
      <c r="J609" s="1" t="str">
        <f ca="1">IFERROR(__xludf.DUMMYFUNCTION("""COMPUTED_VALUE"""),"Email")</f>
        <v>Email</v>
      </c>
    </row>
    <row r="610" spans="1:10" ht="13" x14ac:dyDescent="0.15">
      <c r="A610" s="4">
        <f ca="1">IFERROR(__xludf.DUMMYFUNCTION("""COMPUTED_VALUE"""),31464748)</f>
        <v>31464748</v>
      </c>
      <c r="B610" s="1" t="str">
        <f ca="1">IFERROR(__xludf.DUMMYFUNCTION("""COMPUTED_VALUE"""),"jmullin422@hotmail.com")</f>
        <v>jmullin422@hotmail.com</v>
      </c>
      <c r="C610" s="4" t="str">
        <f ca="1">IFERROR(__xludf.DUMMYFUNCTION("""COMPUTED_VALUE"""),"UAN mid-page Lightbox - Step 2 of 4 - More personal info fields")</f>
        <v>UAN mid-page Lightbox - Step 2 of 4 - More personal info fields</v>
      </c>
      <c r="D610" s="5">
        <f ca="1">IFERROR(__xludf.DUMMYFUNCTION("""COMPUTED_VALUE"""),45626)</f>
        <v>45626</v>
      </c>
      <c r="F610" s="1" t="str">
        <f ca="1">IFERROR(__xludf.DUMMYFUNCTION("""COMPUTED_VALUE"""),"Tunisia")</f>
        <v>Tunisia</v>
      </c>
      <c r="G610" s="1" t="str">
        <f ca="1">IFERROR(__xludf.DUMMYFUNCTION("""COMPUTED_VALUE"""),"Second 76.24 Tunisia")</f>
        <v>Second 76.24 Tunisia</v>
      </c>
      <c r="H610" s="1" t="str">
        <f ca="1">IFERROR(__xludf.DUMMYFUNCTION("""COMPUTED_VALUE"""),"Freedom of Expression, Human Rights Defenders")</f>
        <v>Freedom of Expression, Human Rights Defenders</v>
      </c>
      <c r="I610" s="1" t="str">
        <f ca="1">IFERROR(__xludf.DUMMYFUNCTION("""COMPUTED_VALUE"""),"2025")</f>
        <v>2025</v>
      </c>
      <c r="J610" s="1" t="str">
        <f ca="1">IFERROR(__xludf.DUMMYFUNCTION("""COMPUTED_VALUE"""),"Email")</f>
        <v>Email</v>
      </c>
    </row>
    <row r="611" spans="1:10" ht="13" x14ac:dyDescent="0.15">
      <c r="A611" s="4">
        <f ca="1">IFERROR(__xludf.DUMMYFUNCTION("""COMPUTED_VALUE"""),31464748)</f>
        <v>31464748</v>
      </c>
      <c r="B611" s="1" t="str">
        <f ca="1">IFERROR(__xludf.DUMMYFUNCTION("""COMPUTED_VALUE"""),"jmullin422@hotmail.com")</f>
        <v>jmullin422@hotmail.com</v>
      </c>
      <c r="C611" s="4" t="str">
        <f ca="1">IFERROR(__xludf.DUMMYFUNCTION("""COMPUTED_VALUE"""),"UAN mid-page Lightbox - Step 3 of 4 - More opt-ins")</f>
        <v>UAN mid-page Lightbox - Step 3 of 4 - More opt-ins</v>
      </c>
      <c r="D611" s="5">
        <f ca="1">IFERROR(__xludf.DUMMYFUNCTION("""COMPUTED_VALUE"""),45678)</f>
        <v>45678</v>
      </c>
      <c r="F611" s="1" t="str">
        <f ca="1">IFERROR(__xludf.DUMMYFUNCTION("""COMPUTED_VALUE"""),"Tunisia")</f>
        <v>Tunisia</v>
      </c>
      <c r="G611" s="1" t="str">
        <f ca="1">IFERROR(__xludf.DUMMYFUNCTION("""COMPUTED_VALUE"""),"Second 76.24 Tunisia")</f>
        <v>Second 76.24 Tunisia</v>
      </c>
      <c r="H611" s="1" t="str">
        <f ca="1">IFERROR(__xludf.DUMMYFUNCTION("""COMPUTED_VALUE"""),"Freedom of Expression, Human Rights Defenders")</f>
        <v>Freedom of Expression, Human Rights Defenders</v>
      </c>
      <c r="I611" s="1" t="str">
        <f ca="1">IFERROR(__xludf.DUMMYFUNCTION("""COMPUTED_VALUE"""),"2025")</f>
        <v>2025</v>
      </c>
      <c r="J611" s="1" t="str">
        <f ca="1">IFERROR(__xludf.DUMMYFUNCTION("""COMPUTED_VALUE"""),"Email")</f>
        <v>Email</v>
      </c>
    </row>
    <row r="612" spans="1:10" ht="13" x14ac:dyDescent="0.15">
      <c r="A612" s="4">
        <f ca="1">IFERROR(__xludf.DUMMYFUNCTION("""COMPUTED_VALUE"""),31464748)</f>
        <v>31464748</v>
      </c>
      <c r="B612" s="1" t="str">
        <f ca="1">IFERROR(__xludf.DUMMYFUNCTION("""COMPUTED_VALUE"""),"jmullin422@hotmail.com")</f>
        <v>jmullin422@hotmail.com</v>
      </c>
      <c r="C612" s="4" t="str">
        <f ca="1">IFERROR(__xludf.DUMMYFUNCTION("""COMPUTED_VALUE"""),"UAN mid-page Lightbox - Step 3 of 4 - More opt-ins")</f>
        <v>UAN mid-page Lightbox - Step 3 of 4 - More opt-ins</v>
      </c>
      <c r="D612" s="5">
        <f ca="1">IFERROR(__xludf.DUMMYFUNCTION("""COMPUTED_VALUE"""),45626)</f>
        <v>45626</v>
      </c>
      <c r="F612" s="1" t="str">
        <f ca="1">IFERROR(__xludf.DUMMYFUNCTION("""COMPUTED_VALUE"""),"Tunisia")</f>
        <v>Tunisia</v>
      </c>
      <c r="G612" s="1" t="str">
        <f ca="1">IFERROR(__xludf.DUMMYFUNCTION("""COMPUTED_VALUE"""),"Second 76.24 Tunisia")</f>
        <v>Second 76.24 Tunisia</v>
      </c>
      <c r="H612" s="1" t="str">
        <f ca="1">IFERROR(__xludf.DUMMYFUNCTION("""COMPUTED_VALUE"""),"Freedom of Expression, Human Rights Defenders")</f>
        <v>Freedom of Expression, Human Rights Defenders</v>
      </c>
      <c r="I612" s="1" t="str">
        <f ca="1">IFERROR(__xludf.DUMMYFUNCTION("""COMPUTED_VALUE"""),"2025")</f>
        <v>2025</v>
      </c>
      <c r="J612" s="1" t="str">
        <f ca="1">IFERROR(__xludf.DUMMYFUNCTION("""COMPUTED_VALUE"""),"Email")</f>
        <v>Email</v>
      </c>
    </row>
    <row r="613" spans="1:10" ht="13" x14ac:dyDescent="0.15">
      <c r="A613" s="4">
        <f ca="1">IFERROR(__xludf.DUMMYFUNCTION("""COMPUTED_VALUE"""),31476211)</f>
        <v>31476211</v>
      </c>
      <c r="B613" s="1" t="str">
        <f ca="1">IFERROR(__xludf.DUMMYFUNCTION("""COMPUTED_VALUE"""),"johnhill@telus.net")</f>
        <v>johnhill@telus.net</v>
      </c>
      <c r="C613" s="4" t="str">
        <f ca="1">IFERROR(__xludf.DUMMYFUNCTION("""COMPUTED_VALUE"""),"EVERGREEN - UAN Gated Content - Embedded Petition")</f>
        <v>EVERGREEN - UAN Gated Content - Embedded Petition</v>
      </c>
      <c r="D613" s="5">
        <f ca="1">IFERROR(__xludf.DUMMYFUNCTION("""COMPUTED_VALUE"""),45637)</f>
        <v>45637</v>
      </c>
      <c r="F613" s="1" t="str">
        <f ca="1">IFERROR(__xludf.DUMMYFUNCTION("""COMPUTED_VALUE"""),"Dominican Republic")</f>
        <v>Dominican Republic</v>
      </c>
      <c r="G613" s="1" t="str">
        <f ca="1">IFERROR(__xludf.DUMMYFUNCTION("""COMPUTED_VALUE"""),"88.24 Dominican Republic")</f>
        <v>88.24 Dominican Republic</v>
      </c>
      <c r="H613" s="1" t="str">
        <f ca="1">IFERROR(__xludf.DUMMYFUNCTION("""COMPUTED_VALUE"""),"Individuals At Risk, Refugee and Migrant Rights")</f>
        <v>Individuals At Risk, Refugee and Migrant Rights</v>
      </c>
      <c r="I613" s="1" t="str">
        <f ca="1">IFERROR(__xludf.DUMMYFUNCTION("""COMPUTED_VALUE"""),"2024")</f>
        <v>2024</v>
      </c>
      <c r="J613" s="1" t="str">
        <f ca="1">IFERROR(__xludf.DUMMYFUNCTION("""COMPUTED_VALUE"""),"Letter")</f>
        <v>Letter</v>
      </c>
    </row>
    <row r="614" spans="1:10" ht="13" x14ac:dyDescent="0.15">
      <c r="A614" s="4">
        <f ca="1">IFERROR(__xludf.DUMMYFUNCTION("""COMPUTED_VALUE"""),31490345)</f>
        <v>31490345</v>
      </c>
      <c r="B614" s="1" t="str">
        <f ca="1">IFERROR(__xludf.DUMMYFUNCTION("""COMPUTED_VALUE"""),"afadel97@gmail.com")</f>
        <v>afadel97@gmail.com</v>
      </c>
      <c r="C614" s="4" t="str">
        <f ca="1">IFERROR(__xludf.DUMMYFUNCTION("""COMPUTED_VALUE"""),"EVERGREEN - UAN Gated Content - Embedded Petition")</f>
        <v>EVERGREEN - UAN Gated Content - Embedded Petition</v>
      </c>
      <c r="D614" s="5">
        <f ca="1">IFERROR(__xludf.DUMMYFUNCTION("""COMPUTED_VALUE"""),45616)</f>
        <v>45616</v>
      </c>
      <c r="F614" s="1" t="str">
        <f ca="1">IFERROR(__xludf.DUMMYFUNCTION("""COMPUTED_VALUE"""),"Dominican Republic")</f>
        <v>Dominican Republic</v>
      </c>
      <c r="G614" s="1" t="str">
        <f ca="1">IFERROR(__xludf.DUMMYFUNCTION("""COMPUTED_VALUE"""),"88.24 Dominican Republic")</f>
        <v>88.24 Dominican Republic</v>
      </c>
      <c r="H614" s="1" t="str">
        <f ca="1">IFERROR(__xludf.DUMMYFUNCTION("""COMPUTED_VALUE"""),"Individuals At Risk, Refugee and Migrant Rights")</f>
        <v>Individuals At Risk, Refugee and Migrant Rights</v>
      </c>
      <c r="I614" s="1" t="str">
        <f ca="1">IFERROR(__xludf.DUMMYFUNCTION("""COMPUTED_VALUE"""),"2024")</f>
        <v>2024</v>
      </c>
      <c r="J614" s="1" t="str">
        <f ca="1">IFERROR(__xludf.DUMMYFUNCTION("""COMPUTED_VALUE"""),"Letter")</f>
        <v>Letter</v>
      </c>
    </row>
    <row r="615" spans="1:10" ht="13" x14ac:dyDescent="0.15">
      <c r="A615" s="4">
        <f ca="1">IFERROR(__xludf.DUMMYFUNCTION("""COMPUTED_VALUE"""),31490345)</f>
        <v>31490345</v>
      </c>
      <c r="B615" s="1" t="str">
        <f ca="1">IFERROR(__xludf.DUMMYFUNCTION("""COMPUTED_VALUE"""),"afadel97@gmail.com")</f>
        <v>afadel97@gmail.com</v>
      </c>
      <c r="C615" s="4" t="str">
        <f ca="1">IFERROR(__xludf.DUMMYFUNCTION("""COMPUTED_VALUE"""),"EVERGREEN - UAN Gated Content - Embedded Petition")</f>
        <v>EVERGREEN - UAN Gated Content - Embedded Petition</v>
      </c>
      <c r="D615" s="5">
        <f ca="1">IFERROR(__xludf.DUMMYFUNCTION("""COMPUTED_VALUE"""),45682)</f>
        <v>45682</v>
      </c>
      <c r="F615" s="1" t="str">
        <f ca="1">IFERROR(__xludf.DUMMYFUNCTION("""COMPUTED_VALUE"""),"Tunisia")</f>
        <v>Tunisia</v>
      </c>
      <c r="G615" s="1" t="str">
        <f ca="1">IFERROR(__xludf.DUMMYFUNCTION("""COMPUTED_VALUE"""),"Second 43.24 Tunisia")</f>
        <v>Second 43.24 Tunisia</v>
      </c>
      <c r="H615" s="1" t="str">
        <f ca="1">IFERROR(__xludf.DUMMYFUNCTION("""COMPUTED_VALUE"""),"Freedom of Expression, Individuals At Risk")</f>
        <v>Freedom of Expression, Individuals At Risk</v>
      </c>
      <c r="I615" s="1" t="str">
        <f ca="1">IFERROR(__xludf.DUMMYFUNCTION("""COMPUTED_VALUE"""),"2024")</f>
        <v>2024</v>
      </c>
      <c r="J615" s="1" t="str">
        <f ca="1">IFERROR(__xludf.DUMMYFUNCTION("""COMPUTED_VALUE"""),"Email")</f>
        <v>Email</v>
      </c>
    </row>
    <row r="616" spans="1:10" ht="13" x14ac:dyDescent="0.15">
      <c r="A616" s="4">
        <f ca="1">IFERROR(__xludf.DUMMYFUNCTION("""COMPUTED_VALUE"""),31490345)</f>
        <v>31490345</v>
      </c>
      <c r="B616" s="1" t="str">
        <f ca="1">IFERROR(__xludf.DUMMYFUNCTION("""COMPUTED_VALUE"""),"afadel97@gmail.com")</f>
        <v>afadel97@gmail.com</v>
      </c>
      <c r="C616" s="4" t="str">
        <f ca="1">IFERROR(__xludf.DUMMYFUNCTION("""COMPUTED_VALUE"""),"EVERGREEN - UAN Gated Content - Embedded Petition")</f>
        <v>EVERGREEN - UAN Gated Content - Embedded Petition</v>
      </c>
      <c r="D616" s="5">
        <f ca="1">IFERROR(__xludf.DUMMYFUNCTION("""COMPUTED_VALUE"""),45694)</f>
        <v>45694</v>
      </c>
      <c r="F616" s="1" t="str">
        <f ca="1">IFERROR(__xludf.DUMMYFUNCTION("""COMPUTED_VALUE"""),"Egypt")</f>
        <v>Egypt</v>
      </c>
      <c r="G616" s="1" t="str">
        <f ca="1">IFERROR(__xludf.DUMMYFUNCTION("""COMPUTED_VALUE"""),"Ninth 190.18 Egypt")</f>
        <v>Ninth 190.18 Egypt</v>
      </c>
      <c r="H616" s="1" t="str">
        <f ca="1">IFERROR(__xludf.DUMMYFUNCTION("""COMPUTED_VALUE"""),"Freedom of Expression, Individuals At Risk")</f>
        <v>Freedom of Expression, Individuals At Risk</v>
      </c>
      <c r="I616" s="1" t="str">
        <f ca="1">IFERROR(__xludf.DUMMYFUNCTION("""COMPUTED_VALUE"""),"2024")</f>
        <v>2024</v>
      </c>
      <c r="J616" s="1" t="str">
        <f ca="1">IFERROR(__xludf.DUMMYFUNCTION("""COMPUTED_VALUE"""),"Letter")</f>
        <v>Letter</v>
      </c>
    </row>
    <row r="617" spans="1:10" ht="13" x14ac:dyDescent="0.15">
      <c r="A617" s="4">
        <f ca="1">IFERROR(__xludf.DUMMYFUNCTION("""COMPUTED_VALUE"""),31490345)</f>
        <v>31490345</v>
      </c>
      <c r="B617" s="1" t="str">
        <f ca="1">IFERROR(__xludf.DUMMYFUNCTION("""COMPUTED_VALUE"""),"afadel97@gmail.com")</f>
        <v>afadel97@gmail.com</v>
      </c>
      <c r="C617" s="4" t="str">
        <f ca="1">IFERROR(__xludf.DUMMYFUNCTION("""COMPUTED_VALUE"""),"EVERGREEN - UAN Gated Content - Embedded Petition")</f>
        <v>EVERGREEN - UAN Gated Content - Embedded Petition</v>
      </c>
      <c r="D617" s="5">
        <f ca="1">IFERROR(__xludf.DUMMYFUNCTION("""COMPUTED_VALUE"""),45694)</f>
        <v>45694</v>
      </c>
      <c r="F617" s="1" t="str">
        <f ca="1">IFERROR(__xludf.DUMMYFUNCTION("""COMPUTED_VALUE"""),"Egypt")</f>
        <v>Egypt</v>
      </c>
      <c r="G617" s="1" t="str">
        <f ca="1">IFERROR(__xludf.DUMMYFUNCTION("""COMPUTED_VALUE"""),"Ninth 190.18 Egypt")</f>
        <v>Ninth 190.18 Egypt</v>
      </c>
      <c r="H617" s="1" t="str">
        <f ca="1">IFERROR(__xludf.DUMMYFUNCTION("""COMPUTED_VALUE"""),"Freedom of Expression, Individuals At Risk")</f>
        <v>Freedom of Expression, Individuals At Risk</v>
      </c>
      <c r="I617" s="1" t="str">
        <f ca="1">IFERROR(__xludf.DUMMYFUNCTION("""COMPUTED_VALUE"""),"2024")</f>
        <v>2024</v>
      </c>
      <c r="J617" s="1" t="str">
        <f ca="1">IFERROR(__xludf.DUMMYFUNCTION("""COMPUTED_VALUE"""),"Letter")</f>
        <v>Letter</v>
      </c>
    </row>
    <row r="618" spans="1:10" ht="13" x14ac:dyDescent="0.15">
      <c r="A618" s="4">
        <f ca="1">IFERROR(__xludf.DUMMYFUNCTION("""COMPUTED_VALUE"""),31490345)</f>
        <v>31490345</v>
      </c>
      <c r="B618" s="1" t="str">
        <f ca="1">IFERROR(__xludf.DUMMYFUNCTION("""COMPUTED_VALUE"""),"afadel97@gmail.com")</f>
        <v>afadel97@gmail.com</v>
      </c>
      <c r="C618" s="4" t="str">
        <f ca="1">IFERROR(__xludf.DUMMYFUNCTION("""COMPUTED_VALUE"""),"EVERGREEN - UAN Gated Content - Embedded Petition")</f>
        <v>EVERGREEN - UAN Gated Content - Embedded Petition</v>
      </c>
      <c r="D618" s="5">
        <f ca="1">IFERROR(__xludf.DUMMYFUNCTION("""COMPUTED_VALUE"""),45694)</f>
        <v>45694</v>
      </c>
      <c r="F618" s="1" t="str">
        <f ca="1">IFERROR(__xludf.DUMMYFUNCTION("""COMPUTED_VALUE"""),"Afghanistan")</f>
        <v>Afghanistan</v>
      </c>
      <c r="G618" s="1" t="str">
        <f ca="1">IFERROR(__xludf.DUMMYFUNCTION("""COMPUTED_VALUE"""),"11.25 Afghanistan")</f>
        <v>11.25 Afghanistan</v>
      </c>
      <c r="H618" s="1" t="str">
        <f ca="1">IFERROR(__xludf.DUMMYFUNCTION("""COMPUTED_VALUE"""),"Freedom of Expression, Health, Individuals At Risk")</f>
        <v>Freedom of Expression, Health, Individuals At Risk</v>
      </c>
      <c r="I618" s="1" t="str">
        <f ca="1">IFERROR(__xludf.DUMMYFUNCTION("""COMPUTED_VALUE"""),"2025")</f>
        <v>2025</v>
      </c>
      <c r="J618" s="1" t="str">
        <f ca="1">IFERROR(__xludf.DUMMYFUNCTION("""COMPUTED_VALUE"""),"Email")</f>
        <v>Email</v>
      </c>
    </row>
    <row r="619" spans="1:10" ht="13" x14ac:dyDescent="0.15">
      <c r="A619" s="4">
        <f ca="1">IFERROR(__xludf.DUMMYFUNCTION("""COMPUTED_VALUE"""),31490345)</f>
        <v>31490345</v>
      </c>
      <c r="B619" s="1" t="str">
        <f ca="1">IFERROR(__xludf.DUMMYFUNCTION("""COMPUTED_VALUE"""),"afadel97@gmail.com")</f>
        <v>afadel97@gmail.com</v>
      </c>
      <c r="C619" s="4" t="str">
        <f ca="1">IFERROR(__xludf.DUMMYFUNCTION("""COMPUTED_VALUE"""),"EVERGREEN - UAN Gated Content - Embedded Petition")</f>
        <v>EVERGREEN - UAN Gated Content - Embedded Petition</v>
      </c>
      <c r="D619" s="5">
        <f ca="1">IFERROR(__xludf.DUMMYFUNCTION("""COMPUTED_VALUE"""),45694)</f>
        <v>45694</v>
      </c>
      <c r="F619" s="1" t="str">
        <f ca="1">IFERROR(__xludf.DUMMYFUNCTION("""COMPUTED_VALUE"""),"Turkiye")</f>
        <v>Turkiye</v>
      </c>
      <c r="G619" s="1" t="str">
        <f ca="1">IFERROR(__xludf.DUMMYFUNCTION("""COMPUTED_VALUE"""),"109.24 Türkiye")</f>
        <v>109.24 Türkiye</v>
      </c>
      <c r="H619" s="1" t="str">
        <f ca="1">IFERROR(__xludf.DUMMYFUNCTION("""COMPUTED_VALUE"""),"Human Rights Defenders, Individuals At Risk")</f>
        <v>Human Rights Defenders, Individuals At Risk</v>
      </c>
      <c r="I619" s="1" t="str">
        <f ca="1">IFERROR(__xludf.DUMMYFUNCTION("""COMPUTED_VALUE"""),"2024")</f>
        <v>2024</v>
      </c>
      <c r="J619" s="1" t="str">
        <f ca="1">IFERROR(__xludf.DUMMYFUNCTION("""COMPUTED_VALUE"""),"Email")</f>
        <v>Email</v>
      </c>
    </row>
    <row r="620" spans="1:10" ht="13" x14ac:dyDescent="0.15">
      <c r="A620" s="4">
        <f ca="1">IFERROR(__xludf.DUMMYFUNCTION("""COMPUTED_VALUE"""),31501821)</f>
        <v>31501821</v>
      </c>
      <c r="B620" s="1" t="str">
        <f ca="1">IFERROR(__xludf.DUMMYFUNCTION("""COMPUTED_VALUE"""),"jimimack23@yahoo.com")</f>
        <v>jimimack23@yahoo.com</v>
      </c>
      <c r="C620" s="4" t="str">
        <f ca="1">IFERROR(__xludf.DUMMYFUNCTION("""COMPUTED_VALUE"""),"EVERGREEN - UAN Gated Content - Embedded Petition")</f>
        <v>EVERGREEN - UAN Gated Content - Embedded Petition</v>
      </c>
      <c r="D620" s="5">
        <f ca="1">IFERROR(__xludf.DUMMYFUNCTION("""COMPUTED_VALUE"""),45694)</f>
        <v>45694</v>
      </c>
      <c r="F620" s="1" t="str">
        <f ca="1">IFERROR(__xludf.DUMMYFUNCTION("""COMPUTED_VALUE"""),"Tunisia")</f>
        <v>Tunisia</v>
      </c>
      <c r="G620" s="1" t="str">
        <f ca="1">IFERROR(__xludf.DUMMYFUNCTION("""COMPUTED_VALUE"""),"Second 43.24 Tunisia")</f>
        <v>Second 43.24 Tunisia</v>
      </c>
      <c r="H620" s="1" t="str">
        <f ca="1">IFERROR(__xludf.DUMMYFUNCTION("""COMPUTED_VALUE"""),"Freedom of Expression, Individuals At Risk")</f>
        <v>Freedom of Expression, Individuals At Risk</v>
      </c>
      <c r="I620" s="1" t="str">
        <f ca="1">IFERROR(__xludf.DUMMYFUNCTION("""COMPUTED_VALUE"""),"2024")</f>
        <v>2024</v>
      </c>
      <c r="J620" s="1" t="str">
        <f ca="1">IFERROR(__xludf.DUMMYFUNCTION("""COMPUTED_VALUE"""),"Email")</f>
        <v>Email</v>
      </c>
    </row>
    <row r="621" spans="1:10" ht="13" x14ac:dyDescent="0.15">
      <c r="A621" s="4">
        <f ca="1">IFERROR(__xludf.DUMMYFUNCTION("""COMPUTED_VALUE"""),31502296)</f>
        <v>31502296</v>
      </c>
      <c r="B621" s="1" t="str">
        <f ca="1">IFERROR(__xludf.DUMMYFUNCTION("""COMPUTED_VALUE"""),"lesleylaing1@gmail.com")</f>
        <v>lesleylaing1@gmail.com</v>
      </c>
      <c r="C621" s="4" t="str">
        <f ca="1">IFERROR(__xludf.DUMMYFUNCTION("""COMPUTED_VALUE"""),"EVERGREEN - UAN Gated Content - Embedded Petition")</f>
        <v>EVERGREEN - UAN Gated Content - Embedded Petition</v>
      </c>
      <c r="D621" s="5">
        <f ca="1">IFERROR(__xludf.DUMMYFUNCTION("""COMPUTED_VALUE"""),45694)</f>
        <v>45694</v>
      </c>
      <c r="F621" s="1" t="str">
        <f ca="1">IFERROR(__xludf.DUMMYFUNCTION("""COMPUTED_VALUE"""),"Afghanistan")</f>
        <v>Afghanistan</v>
      </c>
      <c r="G621" s="1" t="str">
        <f ca="1">IFERROR(__xludf.DUMMYFUNCTION("""COMPUTED_VALUE"""),"11.25 Afghanistan")</f>
        <v>11.25 Afghanistan</v>
      </c>
      <c r="H621" s="1" t="str">
        <f ca="1">IFERROR(__xludf.DUMMYFUNCTION("""COMPUTED_VALUE"""),"Freedom of Expression, Health, Individuals At Risk")</f>
        <v>Freedom of Expression, Health, Individuals At Risk</v>
      </c>
      <c r="I621" s="1" t="str">
        <f ca="1">IFERROR(__xludf.DUMMYFUNCTION("""COMPUTED_VALUE"""),"2025")</f>
        <v>2025</v>
      </c>
      <c r="J621" s="1" t="str">
        <f ca="1">IFERROR(__xludf.DUMMYFUNCTION("""COMPUTED_VALUE"""),"Email")</f>
        <v>Email</v>
      </c>
    </row>
    <row r="622" spans="1:10" ht="13" x14ac:dyDescent="0.15">
      <c r="A622" s="4">
        <f ca="1">IFERROR(__xludf.DUMMYFUNCTION("""COMPUTED_VALUE"""),31521166)</f>
        <v>31521166</v>
      </c>
      <c r="B622" s="1" t="str">
        <f ca="1">IFERROR(__xludf.DUMMYFUNCTION("""COMPUTED_VALUE"""),"galemfran@gmail.com")</f>
        <v>galemfran@gmail.com</v>
      </c>
      <c r="C622" s="4" t="str">
        <f ca="1">IFERROR(__xludf.DUMMYFUNCTION("""COMPUTED_VALUE"""),"EVERGREEN - UAN Gated Content - Embedded Petition")</f>
        <v>EVERGREEN - UAN Gated Content - Embedded Petition</v>
      </c>
      <c r="D622" s="5">
        <f ca="1">IFERROR(__xludf.DUMMYFUNCTION("""COMPUTED_VALUE"""),45636)</f>
        <v>45636</v>
      </c>
      <c r="F622" s="1" t="str">
        <f ca="1">IFERROR(__xludf.DUMMYFUNCTION("""COMPUTED_VALUE"""),"Uganda")</f>
        <v>Uganda</v>
      </c>
      <c r="G622" s="1" t="str">
        <f ca="1">IFERROR(__xludf.DUMMYFUNCTION("""COMPUTED_VALUE"""),"9.25 Uganda")</f>
        <v>9.25 Uganda</v>
      </c>
      <c r="H622" s="1" t="str">
        <f ca="1">IFERROR(__xludf.DUMMYFUNCTION("""COMPUTED_VALUE"""),"Freedom of Expression, Human Rights Defenders")</f>
        <v>Freedom of Expression, Human Rights Defenders</v>
      </c>
      <c r="I622" s="1" t="str">
        <f ca="1">IFERROR(__xludf.DUMMYFUNCTION("""COMPUTED_VALUE"""),"2025")</f>
        <v>2025</v>
      </c>
      <c r="J622" s="1" t="str">
        <f ca="1">IFERROR(__xludf.DUMMYFUNCTION("""COMPUTED_VALUE"""),"Email")</f>
        <v>Email</v>
      </c>
    </row>
    <row r="623" spans="1:10" ht="13" x14ac:dyDescent="0.15">
      <c r="A623" s="4">
        <f ca="1">IFERROR(__xludf.DUMMYFUNCTION("""COMPUTED_VALUE"""),31524930)</f>
        <v>31524930</v>
      </c>
      <c r="B623" s="1" t="str">
        <f ca="1">IFERROR(__xludf.DUMMYFUNCTION("""COMPUTED_VALUE"""),"wfeltham9@gmail.com")</f>
        <v>wfeltham9@gmail.com</v>
      </c>
      <c r="C623" s="4" t="str">
        <f ca="1">IFERROR(__xludf.DUMMYFUNCTION("""COMPUTED_VALUE"""),"EVERGREEN - UAN Gated Content - Embedded Petition")</f>
        <v>EVERGREEN - UAN Gated Content - Embedded Petition</v>
      </c>
      <c r="D623" s="5">
        <f ca="1">IFERROR(__xludf.DUMMYFUNCTION("""COMPUTED_VALUE"""),45637)</f>
        <v>45637</v>
      </c>
      <c r="F623" s="1" t="str">
        <f ca="1">IFERROR(__xludf.DUMMYFUNCTION("""COMPUTED_VALUE"""),"Uganda")</f>
        <v>Uganda</v>
      </c>
      <c r="G623" s="1" t="str">
        <f ca="1">IFERROR(__xludf.DUMMYFUNCTION("""COMPUTED_VALUE"""),"9.25 Uganda")</f>
        <v>9.25 Uganda</v>
      </c>
      <c r="H623" s="1" t="str">
        <f ca="1">IFERROR(__xludf.DUMMYFUNCTION("""COMPUTED_VALUE"""),"Freedom of Expression, Human Rights Defenders")</f>
        <v>Freedom of Expression, Human Rights Defenders</v>
      </c>
      <c r="I623" s="1" t="str">
        <f ca="1">IFERROR(__xludf.DUMMYFUNCTION("""COMPUTED_VALUE"""),"2025")</f>
        <v>2025</v>
      </c>
      <c r="J623" s="1" t="str">
        <f ca="1">IFERROR(__xludf.DUMMYFUNCTION("""COMPUTED_VALUE"""),"Email")</f>
        <v>Email</v>
      </c>
    </row>
    <row r="624" spans="1:10" ht="13" x14ac:dyDescent="0.15">
      <c r="A624" s="4">
        <f ca="1">IFERROR(__xludf.DUMMYFUNCTION("""COMPUTED_VALUE"""),31538800)</f>
        <v>31538800</v>
      </c>
      <c r="B624" s="1" t="str">
        <f ca="1">IFERROR(__xludf.DUMMYFUNCTION("""COMPUTED_VALUE"""),"msmcin2@gmail.com")</f>
        <v>msmcin2@gmail.com</v>
      </c>
      <c r="C624" s="4" t="str">
        <f ca="1">IFERROR(__xludf.DUMMYFUNCTION("""COMPUTED_VALUE"""),"EVERGREEN - UAN Gated Content - Embedded Petition")</f>
        <v>EVERGREEN - UAN Gated Content - Embedded Petition</v>
      </c>
      <c r="D624" s="5">
        <f ca="1">IFERROR(__xludf.DUMMYFUNCTION("""COMPUTED_VALUE"""),45636)</f>
        <v>45636</v>
      </c>
      <c r="F624" s="1" t="str">
        <f ca="1">IFERROR(__xludf.DUMMYFUNCTION("""COMPUTED_VALUE"""),"Turkiye")</f>
        <v>Turkiye</v>
      </c>
      <c r="G624" s="1" t="str">
        <f ca="1">IFERROR(__xludf.DUMMYFUNCTION("""COMPUTED_VALUE"""),"109.24 Türkiye")</f>
        <v>109.24 Türkiye</v>
      </c>
      <c r="H624" s="1" t="str">
        <f ca="1">IFERROR(__xludf.DUMMYFUNCTION("""COMPUTED_VALUE"""),"Human Rights Defenders, Individuals At Risk")</f>
        <v>Human Rights Defenders, Individuals At Risk</v>
      </c>
      <c r="I624" s="1" t="str">
        <f ca="1">IFERROR(__xludf.DUMMYFUNCTION("""COMPUTED_VALUE"""),"2024")</f>
        <v>2024</v>
      </c>
      <c r="J624" s="1" t="str">
        <f ca="1">IFERROR(__xludf.DUMMYFUNCTION("""COMPUTED_VALUE"""),"Email")</f>
        <v>Email</v>
      </c>
    </row>
    <row r="625" spans="1:10" ht="13" x14ac:dyDescent="0.15">
      <c r="A625" s="4">
        <f ca="1">IFERROR(__xludf.DUMMYFUNCTION("""COMPUTED_VALUE"""),31538800)</f>
        <v>31538800</v>
      </c>
      <c r="B625" s="1" t="str">
        <f ca="1">IFERROR(__xludf.DUMMYFUNCTION("""COMPUTED_VALUE"""),"msmcin2@gmail.com")</f>
        <v>msmcin2@gmail.com</v>
      </c>
      <c r="C625" s="4" t="str">
        <f ca="1">IFERROR(__xludf.DUMMYFUNCTION("""COMPUTED_VALUE"""),"EVERGREEN - UAN Gated Content - Embedded Petition")</f>
        <v>EVERGREEN - UAN Gated Content - Embedded Petition</v>
      </c>
      <c r="D625" s="5">
        <f ca="1">IFERROR(__xludf.DUMMYFUNCTION("""COMPUTED_VALUE"""),45636)</f>
        <v>45636</v>
      </c>
      <c r="F625" s="1" t="str">
        <f ca="1">IFERROR(__xludf.DUMMYFUNCTION("""COMPUTED_VALUE"""),"Tunisia")</f>
        <v>Tunisia</v>
      </c>
      <c r="G625" s="1" t="str">
        <f ca="1">IFERROR(__xludf.DUMMYFUNCTION("""COMPUTED_VALUE"""),"Second 76.24 Tunisia")</f>
        <v>Second 76.24 Tunisia</v>
      </c>
      <c r="H625" s="1" t="str">
        <f ca="1">IFERROR(__xludf.DUMMYFUNCTION("""COMPUTED_VALUE"""),"Freedom of Expression, Human Rights Defenders")</f>
        <v>Freedom of Expression, Human Rights Defenders</v>
      </c>
      <c r="I625" s="1" t="str">
        <f ca="1">IFERROR(__xludf.DUMMYFUNCTION("""COMPUTED_VALUE"""),"2025")</f>
        <v>2025</v>
      </c>
      <c r="J625" s="1" t="str">
        <f ca="1">IFERROR(__xludf.DUMMYFUNCTION("""COMPUTED_VALUE"""),"Email")</f>
        <v>Email</v>
      </c>
    </row>
    <row r="626" spans="1:10" ht="13" x14ac:dyDescent="0.15">
      <c r="A626" s="4">
        <f ca="1">IFERROR(__xludf.DUMMYFUNCTION("""COMPUTED_VALUE"""),31538800)</f>
        <v>31538800</v>
      </c>
      <c r="B626" s="1" t="str">
        <f ca="1">IFERROR(__xludf.DUMMYFUNCTION("""COMPUTED_VALUE"""),"msmcin2@gmail.com")</f>
        <v>msmcin2@gmail.com</v>
      </c>
      <c r="C626" s="4" t="str">
        <f ca="1">IFERROR(__xludf.DUMMYFUNCTION("""COMPUTED_VALUE"""),"EVERGREEN - UAN Gated Content - Embedded Petition")</f>
        <v>EVERGREEN - UAN Gated Content - Embedded Petition</v>
      </c>
      <c r="D626" s="5">
        <f ca="1">IFERROR(__xludf.DUMMYFUNCTION("""COMPUTED_VALUE"""),45636)</f>
        <v>45636</v>
      </c>
      <c r="F626" s="1" t="str">
        <f ca="1">IFERROR(__xludf.DUMMYFUNCTION("""COMPUTED_VALUE"""),"Egypt")</f>
        <v>Egypt</v>
      </c>
      <c r="G626" s="1" t="str">
        <f ca="1">IFERROR(__xludf.DUMMYFUNCTION("""COMPUTED_VALUE"""),"Ninth 190.18 Egypt")</f>
        <v>Ninth 190.18 Egypt</v>
      </c>
      <c r="H626" s="1" t="str">
        <f ca="1">IFERROR(__xludf.DUMMYFUNCTION("""COMPUTED_VALUE"""),"Freedom of Expression, Individuals At Risk")</f>
        <v>Freedom of Expression, Individuals At Risk</v>
      </c>
      <c r="I626" s="1" t="str">
        <f ca="1">IFERROR(__xludf.DUMMYFUNCTION("""COMPUTED_VALUE"""),"2024")</f>
        <v>2024</v>
      </c>
      <c r="J626" s="1" t="str">
        <f ca="1">IFERROR(__xludf.DUMMYFUNCTION("""COMPUTED_VALUE"""),"Letter")</f>
        <v>Letter</v>
      </c>
    </row>
    <row r="627" spans="1:10" ht="13" x14ac:dyDescent="0.15">
      <c r="A627" s="4">
        <f ca="1">IFERROR(__xludf.DUMMYFUNCTION("""COMPUTED_VALUE"""),31538800)</f>
        <v>31538800</v>
      </c>
      <c r="B627" s="1" t="str">
        <f ca="1">IFERROR(__xludf.DUMMYFUNCTION("""COMPUTED_VALUE"""),"msmcin2@gmail.com")</f>
        <v>msmcin2@gmail.com</v>
      </c>
      <c r="C627" s="4" t="str">
        <f ca="1">IFERROR(__xludf.DUMMYFUNCTION("""COMPUTED_VALUE"""),"EVERGREEN - UAN Gated Content - Embedded Petition")</f>
        <v>EVERGREEN - UAN Gated Content - Embedded Petition</v>
      </c>
      <c r="D627" s="5">
        <f ca="1">IFERROR(__xludf.DUMMYFUNCTION("""COMPUTED_VALUE"""),45694)</f>
        <v>45694</v>
      </c>
      <c r="F627" s="1" t="str">
        <f ca="1">IFERROR(__xludf.DUMMYFUNCTION("""COMPUTED_VALUE"""),"USA")</f>
        <v>USA</v>
      </c>
      <c r="G627" s="1" t="str">
        <f ca="1">IFERROR(__xludf.DUMMYFUNCTION("""COMPUTED_VALUE"""),"105.24 USA")</f>
        <v>105.24 USA</v>
      </c>
      <c r="H627" s="1" t="str">
        <f ca="1">IFERROR(__xludf.DUMMYFUNCTION("""COMPUTED_VALUE"""),"Death Penalty")</f>
        <v>Death Penalty</v>
      </c>
      <c r="I627" s="1" t="str">
        <f ca="1">IFERROR(__xludf.DUMMYFUNCTION("""COMPUTED_VALUE"""),"2024")</f>
        <v>2024</v>
      </c>
      <c r="J627" s="1" t="str">
        <f ca="1">IFERROR(__xludf.DUMMYFUNCTION("""COMPUTED_VALUE"""),"Email")</f>
        <v>Email</v>
      </c>
    </row>
    <row r="628" spans="1:10" ht="13" x14ac:dyDescent="0.15">
      <c r="A628" s="4">
        <f ca="1">IFERROR(__xludf.DUMMYFUNCTION("""COMPUTED_VALUE"""),31538800)</f>
        <v>31538800</v>
      </c>
      <c r="B628" s="1" t="str">
        <f ca="1">IFERROR(__xludf.DUMMYFUNCTION("""COMPUTED_VALUE"""),"msmcin2@gmail.com")</f>
        <v>msmcin2@gmail.com</v>
      </c>
      <c r="C628" s="4" t="str">
        <f ca="1">IFERROR(__xludf.DUMMYFUNCTION("""COMPUTED_VALUE"""),"EVERGREEN - UAN Gated Content - Embedded Petition")</f>
        <v>EVERGREEN - UAN Gated Content - Embedded Petition</v>
      </c>
      <c r="D628" s="5">
        <f ca="1">IFERROR(__xludf.DUMMYFUNCTION("""COMPUTED_VALUE"""),45694)</f>
        <v>45694</v>
      </c>
      <c r="F628" s="1" t="str">
        <f ca="1">IFERROR(__xludf.DUMMYFUNCTION("""COMPUTED_VALUE"""),"Israel and Occupied Palestinian Territories")</f>
        <v>Israel and Occupied Palestinian Territories</v>
      </c>
      <c r="G628" s="1" t="str">
        <f ca="1">IFERROR(__xludf.DUMMYFUNCTION("""COMPUTED_VALUE"""),"3.25 IOPT")</f>
        <v>3.25 IOPT</v>
      </c>
      <c r="H628" s="1" t="str">
        <f ca="1">IFERROR(__xludf.DUMMYFUNCTION("""COMPUTED_VALUE"""),"Freedom of Expression, Individuals At Risk")</f>
        <v>Freedom of Expression, Individuals At Risk</v>
      </c>
      <c r="I628" s="1" t="str">
        <f ca="1">IFERROR(__xludf.DUMMYFUNCTION("""COMPUTED_VALUE"""),"2025")</f>
        <v>2025</v>
      </c>
      <c r="J628" s="1" t="str">
        <f ca="1">IFERROR(__xludf.DUMMYFUNCTION("""COMPUTED_VALUE"""),"Email")</f>
        <v>Email</v>
      </c>
    </row>
    <row r="629" spans="1:10" ht="13" x14ac:dyDescent="0.15">
      <c r="A629" s="4">
        <f ca="1">IFERROR(__xludf.DUMMYFUNCTION("""COMPUTED_VALUE"""),31538800)</f>
        <v>31538800</v>
      </c>
      <c r="B629" s="1" t="str">
        <f ca="1">IFERROR(__xludf.DUMMYFUNCTION("""COMPUTED_VALUE"""),"msmcin2@gmail.com")</f>
        <v>msmcin2@gmail.com</v>
      </c>
      <c r="C629" s="4" t="str">
        <f ca="1">IFERROR(__xludf.DUMMYFUNCTION("""COMPUTED_VALUE"""),"EVERGREEN - UAN Gated Content - Embedded Petition")</f>
        <v>EVERGREEN - UAN Gated Content - Embedded Petition</v>
      </c>
      <c r="D629" s="5">
        <f ca="1">IFERROR(__xludf.DUMMYFUNCTION("""COMPUTED_VALUE"""),45694)</f>
        <v>45694</v>
      </c>
      <c r="F629" s="1" t="str">
        <f ca="1">IFERROR(__xludf.DUMMYFUNCTION("""COMPUTED_VALUE"""),"USA")</f>
        <v>USA</v>
      </c>
      <c r="G629" s="1" t="str">
        <f ca="1">IFERROR(__xludf.DUMMYFUNCTION("""COMPUTED_VALUE"""),"96.24 USA")</f>
        <v>96.24 USA</v>
      </c>
      <c r="H629" s="1" t="str">
        <f ca="1">IFERROR(__xludf.DUMMYFUNCTION("""COMPUTED_VALUE"""),"Death Penalty")</f>
        <v>Death Penalty</v>
      </c>
      <c r="I629" s="1" t="str">
        <f ca="1">IFERROR(__xludf.DUMMYFUNCTION("""COMPUTED_VALUE"""),"2024")</f>
        <v>2024</v>
      </c>
      <c r="J629" s="1" t="str">
        <f ca="1">IFERROR(__xludf.DUMMYFUNCTION("""COMPUTED_VALUE"""),"Email")</f>
        <v>Email</v>
      </c>
    </row>
    <row r="630" spans="1:10" ht="13" x14ac:dyDescent="0.15">
      <c r="A630" s="4">
        <f ca="1">IFERROR(__xludf.DUMMYFUNCTION("""COMPUTED_VALUE"""),31538800)</f>
        <v>31538800</v>
      </c>
      <c r="B630" s="1" t="str">
        <f ca="1">IFERROR(__xludf.DUMMYFUNCTION("""COMPUTED_VALUE"""),"msmcin2@gmail.com")</f>
        <v>msmcin2@gmail.com</v>
      </c>
      <c r="C630" s="4" t="str">
        <f ca="1">IFERROR(__xludf.DUMMYFUNCTION("""COMPUTED_VALUE"""),"EVERGREEN - UAN Gated Content - Embedded Petition")</f>
        <v>EVERGREEN - UAN Gated Content - Embedded Petition</v>
      </c>
      <c r="D630" s="5">
        <f ca="1">IFERROR(__xludf.DUMMYFUNCTION("""COMPUTED_VALUE"""),45636)</f>
        <v>45636</v>
      </c>
      <c r="F630" s="1" t="str">
        <f ca="1">IFERROR(__xludf.DUMMYFUNCTION("""COMPUTED_VALUE"""),"Tunisia")</f>
        <v>Tunisia</v>
      </c>
      <c r="G630" s="1" t="str">
        <f ca="1">IFERROR(__xludf.DUMMYFUNCTION("""COMPUTED_VALUE"""),"Second 76.24 Tunisia")</f>
        <v>Second 76.24 Tunisia</v>
      </c>
      <c r="H630" s="1" t="str">
        <f ca="1">IFERROR(__xludf.DUMMYFUNCTION("""COMPUTED_VALUE"""),"Freedom of Expression, Human Rights Defenders")</f>
        <v>Freedom of Expression, Human Rights Defenders</v>
      </c>
      <c r="I630" s="1" t="str">
        <f ca="1">IFERROR(__xludf.DUMMYFUNCTION("""COMPUTED_VALUE"""),"2025")</f>
        <v>2025</v>
      </c>
      <c r="J630" s="1" t="str">
        <f ca="1">IFERROR(__xludf.DUMMYFUNCTION("""COMPUTED_VALUE"""),"Email")</f>
        <v>Email</v>
      </c>
    </row>
    <row r="631" spans="1:10" ht="13" x14ac:dyDescent="0.15">
      <c r="A631" s="4">
        <f ca="1">IFERROR(__xludf.DUMMYFUNCTION("""COMPUTED_VALUE"""),31551643)</f>
        <v>31551643</v>
      </c>
      <c r="B631" s="1" t="str">
        <f ca="1">IFERROR(__xludf.DUMMYFUNCTION("""COMPUTED_VALUE"""),"hummelc2@gmail.com")</f>
        <v>hummelc2@gmail.com</v>
      </c>
      <c r="C631" s="4" t="str">
        <f ca="1">IFERROR(__xludf.DUMMYFUNCTION("""COMPUTED_VALUE"""),"EVERGREEN - UAN Gated Content - Embedded Petition")</f>
        <v>EVERGREEN - UAN Gated Content - Embedded Petition</v>
      </c>
      <c r="D631" s="5">
        <f ca="1">IFERROR(__xludf.DUMMYFUNCTION("""COMPUTED_VALUE"""),45629)</f>
        <v>45629</v>
      </c>
      <c r="F631" s="1" t="str">
        <f ca="1">IFERROR(__xludf.DUMMYFUNCTION("""COMPUTED_VALUE"""),"USA")</f>
        <v>USA</v>
      </c>
      <c r="G631" s="1" t="str">
        <f ca="1">IFERROR(__xludf.DUMMYFUNCTION("""COMPUTED_VALUE"""),"105.24 USA")</f>
        <v>105.24 USA</v>
      </c>
      <c r="H631" s="1" t="str">
        <f ca="1">IFERROR(__xludf.DUMMYFUNCTION("""COMPUTED_VALUE"""),"Death Penalty")</f>
        <v>Death Penalty</v>
      </c>
      <c r="I631" s="1" t="str">
        <f ca="1">IFERROR(__xludf.DUMMYFUNCTION("""COMPUTED_VALUE"""),"2024")</f>
        <v>2024</v>
      </c>
      <c r="J631" s="1" t="str">
        <f ca="1">IFERROR(__xludf.DUMMYFUNCTION("""COMPUTED_VALUE"""),"Email")</f>
        <v>Email</v>
      </c>
    </row>
    <row r="632" spans="1:10" ht="13" x14ac:dyDescent="0.15">
      <c r="A632" s="4">
        <f ca="1">IFERROR(__xludf.DUMMYFUNCTION("""COMPUTED_VALUE"""),31551643)</f>
        <v>31551643</v>
      </c>
      <c r="B632" s="1" t="str">
        <f ca="1">IFERROR(__xludf.DUMMYFUNCTION("""COMPUTED_VALUE"""),"hummelc2@gmail.com")</f>
        <v>hummelc2@gmail.com</v>
      </c>
      <c r="C632" s="4" t="str">
        <f ca="1">IFERROR(__xludf.DUMMYFUNCTION("""COMPUTED_VALUE"""),"EVERGREEN - UAN Gated Content - Embedded Petition")</f>
        <v>EVERGREEN - UAN Gated Content - Embedded Petition</v>
      </c>
      <c r="D632" s="5">
        <f ca="1">IFERROR(__xludf.DUMMYFUNCTION("""COMPUTED_VALUE"""),45629)</f>
        <v>45629</v>
      </c>
      <c r="F632" s="1" t="str">
        <f ca="1">IFERROR(__xludf.DUMMYFUNCTION("""COMPUTED_VALUE"""),"USA")</f>
        <v>USA</v>
      </c>
      <c r="G632" s="1" t="str">
        <f ca="1">IFERROR(__xludf.DUMMYFUNCTION("""COMPUTED_VALUE"""),"105.24 USA")</f>
        <v>105.24 USA</v>
      </c>
      <c r="H632" s="1" t="str">
        <f ca="1">IFERROR(__xludf.DUMMYFUNCTION("""COMPUTED_VALUE"""),"Death Penalty")</f>
        <v>Death Penalty</v>
      </c>
      <c r="I632" s="1" t="str">
        <f ca="1">IFERROR(__xludf.DUMMYFUNCTION("""COMPUTED_VALUE"""),"2024")</f>
        <v>2024</v>
      </c>
      <c r="J632" s="1" t="str">
        <f ca="1">IFERROR(__xludf.DUMMYFUNCTION("""COMPUTED_VALUE"""),"Email")</f>
        <v>Email</v>
      </c>
    </row>
    <row r="633" spans="1:10" ht="13" x14ac:dyDescent="0.15">
      <c r="A633" s="4">
        <f ca="1">IFERROR(__xludf.DUMMYFUNCTION("""COMPUTED_VALUE"""),31551643)</f>
        <v>31551643</v>
      </c>
      <c r="B633" s="1" t="str">
        <f ca="1">IFERROR(__xludf.DUMMYFUNCTION("""COMPUTED_VALUE"""),"hummelc2@gmail.com")</f>
        <v>hummelc2@gmail.com</v>
      </c>
      <c r="C633" s="4" t="str">
        <f ca="1">IFERROR(__xludf.DUMMYFUNCTION("""COMPUTED_VALUE"""),"EVERGREEN - UAN Gated Content - Embedded Petition")</f>
        <v>EVERGREEN - UAN Gated Content - Embedded Petition</v>
      </c>
      <c r="D633" s="5">
        <f ca="1">IFERROR(__xludf.DUMMYFUNCTION("""COMPUTED_VALUE"""),45629)</f>
        <v>45629</v>
      </c>
      <c r="F633" s="1" t="str">
        <f ca="1">IFERROR(__xludf.DUMMYFUNCTION("""COMPUTED_VALUE"""),"Venezuela")</f>
        <v>Venezuela</v>
      </c>
      <c r="G633" s="1" t="str">
        <f ca="1">IFERROR(__xludf.DUMMYFUNCTION("""COMPUTED_VALUE"""),"1.25 Venezuela")</f>
        <v>1.25 Venezuela</v>
      </c>
      <c r="H633" s="1" t="str">
        <f ca="1">IFERROR(__xludf.DUMMYFUNCTION("""COMPUTED_VALUE"""),"Human Rights Defenders, Individuals At Risk")</f>
        <v>Human Rights Defenders, Individuals At Risk</v>
      </c>
      <c r="I633" s="1" t="str">
        <f ca="1">IFERROR(__xludf.DUMMYFUNCTION("""COMPUTED_VALUE"""),"2025")</f>
        <v>2025</v>
      </c>
      <c r="J633" s="1" t="str">
        <f ca="1">IFERROR(__xludf.DUMMYFUNCTION("""COMPUTED_VALUE"""),"Letter")</f>
        <v>Letter</v>
      </c>
    </row>
    <row r="634" spans="1:10" ht="13" x14ac:dyDescent="0.15">
      <c r="A634" s="4">
        <f ca="1">IFERROR(__xludf.DUMMYFUNCTION("""COMPUTED_VALUE"""),31551643)</f>
        <v>31551643</v>
      </c>
      <c r="B634" s="1" t="str">
        <f ca="1">IFERROR(__xludf.DUMMYFUNCTION("""COMPUTED_VALUE"""),"hummelc2@gmail.com")</f>
        <v>hummelc2@gmail.com</v>
      </c>
      <c r="C634" s="4" t="str">
        <f ca="1">IFERROR(__xludf.DUMMYFUNCTION("""COMPUTED_VALUE"""),"EVERGREEN - UAN Gated Content - Embedded Petition")</f>
        <v>EVERGREEN - UAN Gated Content - Embedded Petition</v>
      </c>
      <c r="D634" s="5">
        <f ca="1">IFERROR(__xludf.DUMMYFUNCTION("""COMPUTED_VALUE"""),45690)</f>
        <v>45690</v>
      </c>
      <c r="F634" s="1" t="str">
        <f ca="1">IFERROR(__xludf.DUMMYFUNCTION("""COMPUTED_VALUE"""),"Azerbaijan")</f>
        <v>Azerbaijan</v>
      </c>
      <c r="G634" s="1" t="str">
        <f ca="1">IFERROR(__xludf.DUMMYFUNCTION("""COMPUTED_VALUE"""),"2.25 Azerbaijan")</f>
        <v>2.25 Azerbaijan</v>
      </c>
      <c r="H634" s="1" t="str">
        <f ca="1">IFERROR(__xludf.DUMMYFUNCTION("""COMPUTED_VALUE"""),"Freedom of Expression, Human Rights Defenders")</f>
        <v>Freedom of Expression, Human Rights Defenders</v>
      </c>
      <c r="I634" s="1" t="str">
        <f ca="1">IFERROR(__xludf.DUMMYFUNCTION("""COMPUTED_VALUE"""),"2025")</f>
        <v>2025</v>
      </c>
      <c r="J634" s="1" t="str">
        <f ca="1">IFERROR(__xludf.DUMMYFUNCTION("""COMPUTED_VALUE"""),"Email")</f>
        <v>Email</v>
      </c>
    </row>
    <row r="635" spans="1:10" ht="13" x14ac:dyDescent="0.15">
      <c r="A635" s="4">
        <f ca="1">IFERROR(__xludf.DUMMYFUNCTION("""COMPUTED_VALUE"""),31551643)</f>
        <v>31551643</v>
      </c>
      <c r="B635" s="1" t="str">
        <f ca="1">IFERROR(__xludf.DUMMYFUNCTION("""COMPUTED_VALUE"""),"hummelc2@gmail.com")</f>
        <v>hummelc2@gmail.com</v>
      </c>
      <c r="C635" s="4" t="str">
        <f ca="1">IFERROR(__xludf.DUMMYFUNCTION("""COMPUTED_VALUE"""),"EVERGREEN - UAN Gated Content - Embedded Petition")</f>
        <v>EVERGREEN - UAN Gated Content - Embedded Petition</v>
      </c>
      <c r="D635" s="5">
        <f ca="1">IFERROR(__xludf.DUMMYFUNCTION("""COMPUTED_VALUE"""),45690)</f>
        <v>45690</v>
      </c>
      <c r="F635" s="1" t="str">
        <f ca="1">IFERROR(__xludf.DUMMYFUNCTION("""COMPUTED_VALUE"""),"Tunisia")</f>
        <v>Tunisia</v>
      </c>
      <c r="G635" s="1" t="str">
        <f ca="1">IFERROR(__xludf.DUMMYFUNCTION("""COMPUTED_VALUE"""),"Second 76.24 Tunisia")</f>
        <v>Second 76.24 Tunisia</v>
      </c>
      <c r="H635" s="1" t="str">
        <f ca="1">IFERROR(__xludf.DUMMYFUNCTION("""COMPUTED_VALUE"""),"Freedom of Expression, Human Rights Defenders")</f>
        <v>Freedom of Expression, Human Rights Defenders</v>
      </c>
      <c r="I635" s="1" t="str">
        <f ca="1">IFERROR(__xludf.DUMMYFUNCTION("""COMPUTED_VALUE"""),"2025")</f>
        <v>2025</v>
      </c>
      <c r="J635" s="1" t="str">
        <f ca="1">IFERROR(__xludf.DUMMYFUNCTION("""COMPUTED_VALUE"""),"Email")</f>
        <v>Email</v>
      </c>
    </row>
    <row r="636" spans="1:10" ht="13" x14ac:dyDescent="0.15">
      <c r="A636" s="4">
        <f ca="1">IFERROR(__xludf.DUMMYFUNCTION("""COMPUTED_VALUE"""),31551643)</f>
        <v>31551643</v>
      </c>
      <c r="B636" s="1" t="str">
        <f ca="1">IFERROR(__xludf.DUMMYFUNCTION("""COMPUTED_VALUE"""),"hummelc2@gmail.com")</f>
        <v>hummelc2@gmail.com</v>
      </c>
      <c r="C636" s="4" t="str">
        <f ca="1">IFERROR(__xludf.DUMMYFUNCTION("""COMPUTED_VALUE"""),"EVERGREEN - UAN Gated Content - Embedded Petition")</f>
        <v>EVERGREEN - UAN Gated Content - Embedded Petition</v>
      </c>
      <c r="D636" s="5">
        <f ca="1">IFERROR(__xludf.DUMMYFUNCTION("""COMPUTED_VALUE"""),45690)</f>
        <v>45690</v>
      </c>
      <c r="F636" s="1" t="str">
        <f ca="1">IFERROR(__xludf.DUMMYFUNCTION("""COMPUTED_VALUE"""),"Niger")</f>
        <v>Niger</v>
      </c>
      <c r="G636" s="1" t="str">
        <f ca="1">IFERROR(__xludf.DUMMYFUNCTION("""COMPUTED_VALUE"""),"103.24 Niger")</f>
        <v>103.24 Niger</v>
      </c>
      <c r="H636" s="1" t="str">
        <f ca="1">IFERROR(__xludf.DUMMYFUNCTION("""COMPUTED_VALUE"""),"Freedom of Expression, Human Rights Defenders")</f>
        <v>Freedom of Expression, Human Rights Defenders</v>
      </c>
      <c r="I636" s="1" t="str">
        <f ca="1">IFERROR(__xludf.DUMMYFUNCTION("""COMPUTED_VALUE"""),"2024")</f>
        <v>2024</v>
      </c>
      <c r="J636" s="1" t="str">
        <f ca="1">IFERROR(__xludf.DUMMYFUNCTION("""COMPUTED_VALUE"""),"Email")</f>
        <v>Email</v>
      </c>
    </row>
    <row r="637" spans="1:10" ht="13" x14ac:dyDescent="0.15">
      <c r="A637" s="4">
        <f ca="1">IFERROR(__xludf.DUMMYFUNCTION("""COMPUTED_VALUE"""),31551643)</f>
        <v>31551643</v>
      </c>
      <c r="B637" s="1" t="str">
        <f ca="1">IFERROR(__xludf.DUMMYFUNCTION("""COMPUTED_VALUE"""),"hummelc2@gmail.com")</f>
        <v>hummelc2@gmail.com</v>
      </c>
      <c r="C637" s="4" t="str">
        <f ca="1">IFERROR(__xludf.DUMMYFUNCTION("""COMPUTED_VALUE"""),"EVERGREEN - UAN Gated Content - Embedded Petition")</f>
        <v>EVERGREEN - UAN Gated Content - Embedded Petition</v>
      </c>
      <c r="D637" s="5">
        <f ca="1">IFERROR(__xludf.DUMMYFUNCTION("""COMPUTED_VALUE"""),45690)</f>
        <v>45690</v>
      </c>
      <c r="F637" s="1" t="str">
        <f ca="1">IFERROR(__xludf.DUMMYFUNCTION("""COMPUTED_VALUE"""),"USA")</f>
        <v>USA</v>
      </c>
      <c r="G637" s="1" t="str">
        <f ca="1">IFERROR(__xludf.DUMMYFUNCTION("""COMPUTED_VALUE"""),"4.25 USA")</f>
        <v>4.25 USA</v>
      </c>
      <c r="H637" s="1" t="str">
        <f ca="1">IFERROR(__xludf.DUMMYFUNCTION("""COMPUTED_VALUE"""),"Individuals At Risk, Refugee and Migrant Rights")</f>
        <v>Individuals At Risk, Refugee and Migrant Rights</v>
      </c>
      <c r="I637" s="1" t="str">
        <f ca="1">IFERROR(__xludf.DUMMYFUNCTION("""COMPUTED_VALUE"""),"2025")</f>
        <v>2025</v>
      </c>
      <c r="J637" s="1" t="str">
        <f ca="1">IFERROR(__xludf.DUMMYFUNCTION("""COMPUTED_VALUE"""),"Letter")</f>
        <v>Letter</v>
      </c>
    </row>
    <row r="638" spans="1:10" ht="13" x14ac:dyDescent="0.15">
      <c r="A638" s="4">
        <f ca="1">IFERROR(__xludf.DUMMYFUNCTION("""COMPUTED_VALUE"""),31551643)</f>
        <v>31551643</v>
      </c>
      <c r="B638" s="1" t="str">
        <f ca="1">IFERROR(__xludf.DUMMYFUNCTION("""COMPUTED_VALUE"""),"hummelc2@gmail.com")</f>
        <v>hummelc2@gmail.com</v>
      </c>
      <c r="C638" s="4" t="str">
        <f ca="1">IFERROR(__xludf.DUMMYFUNCTION("""COMPUTED_VALUE"""),"EVERGREEN - UAN Gated Content - Embedded Petition")</f>
        <v>EVERGREEN - UAN Gated Content - Embedded Petition</v>
      </c>
      <c r="D638" s="5">
        <f ca="1">IFERROR(__xludf.DUMMYFUNCTION("""COMPUTED_VALUE"""),45690)</f>
        <v>45690</v>
      </c>
      <c r="F638" s="1" t="str">
        <f ca="1">IFERROR(__xludf.DUMMYFUNCTION("""COMPUTED_VALUE"""),"Venezuela")</f>
        <v>Venezuela</v>
      </c>
      <c r="G638" s="1" t="str">
        <f ca="1">IFERROR(__xludf.DUMMYFUNCTION("""COMPUTED_VALUE"""),"97.24 Venezuela")</f>
        <v>97.24 Venezuela</v>
      </c>
      <c r="H638" s="1" t="str">
        <f ca="1">IFERROR(__xludf.DUMMYFUNCTION("""COMPUTED_VALUE"""),"Freedom of Expression")</f>
        <v>Freedom of Expression</v>
      </c>
      <c r="I638" s="1" t="str">
        <f ca="1">IFERROR(__xludf.DUMMYFUNCTION("""COMPUTED_VALUE"""),"2024")</f>
        <v>2024</v>
      </c>
      <c r="J638" s="1" t="str">
        <f ca="1">IFERROR(__xludf.DUMMYFUNCTION("""COMPUTED_VALUE"""),"Letter")</f>
        <v>Letter</v>
      </c>
    </row>
    <row r="639" spans="1:10" ht="13" x14ac:dyDescent="0.15">
      <c r="A639" s="4">
        <f ca="1">IFERROR(__xludf.DUMMYFUNCTION("""COMPUTED_VALUE"""),31551643)</f>
        <v>31551643</v>
      </c>
      <c r="B639" s="1" t="str">
        <f ca="1">IFERROR(__xludf.DUMMYFUNCTION("""COMPUTED_VALUE"""),"hummelc2@gmail.com")</f>
        <v>hummelc2@gmail.com</v>
      </c>
      <c r="C639" s="4" t="str">
        <f ca="1">IFERROR(__xludf.DUMMYFUNCTION("""COMPUTED_VALUE"""),"EVERGREEN - UAN Gated Content - Embedded Petition")</f>
        <v>EVERGREEN - UAN Gated Content - Embedded Petition</v>
      </c>
      <c r="D639" s="5">
        <f ca="1">IFERROR(__xludf.DUMMYFUNCTION("""COMPUTED_VALUE"""),45690)</f>
        <v>45690</v>
      </c>
      <c r="F639" s="1" t="str">
        <f ca="1">IFERROR(__xludf.DUMMYFUNCTION("""COMPUTED_VALUE"""),"Egypt")</f>
        <v>Egypt</v>
      </c>
      <c r="G639" s="1" t="str">
        <f ca="1">IFERROR(__xludf.DUMMYFUNCTION("""COMPUTED_VALUE"""),"Ninth 190.18 Egypt")</f>
        <v>Ninth 190.18 Egypt</v>
      </c>
      <c r="H639" s="1" t="str">
        <f ca="1">IFERROR(__xludf.DUMMYFUNCTION("""COMPUTED_VALUE"""),"Freedom of Expression, Individuals At Risk")</f>
        <v>Freedom of Expression, Individuals At Risk</v>
      </c>
      <c r="I639" s="1" t="str">
        <f ca="1">IFERROR(__xludf.DUMMYFUNCTION("""COMPUTED_VALUE"""),"2024")</f>
        <v>2024</v>
      </c>
      <c r="J639" s="1" t="str">
        <f ca="1">IFERROR(__xludf.DUMMYFUNCTION("""COMPUTED_VALUE"""),"Letter")</f>
        <v>Letter</v>
      </c>
    </row>
    <row r="640" spans="1:10" ht="13" x14ac:dyDescent="0.15">
      <c r="A640" s="4">
        <f ca="1">IFERROR(__xludf.DUMMYFUNCTION("""COMPUTED_VALUE"""),31551643)</f>
        <v>31551643</v>
      </c>
      <c r="B640" s="1" t="str">
        <f ca="1">IFERROR(__xludf.DUMMYFUNCTION("""COMPUTED_VALUE"""),"hummelc2@gmail.com")</f>
        <v>hummelc2@gmail.com</v>
      </c>
      <c r="C640" s="4" t="str">
        <f ca="1">IFERROR(__xludf.DUMMYFUNCTION("""COMPUTED_VALUE"""),"EVERGREEN - UAN Gated Content - Embedded Petition")</f>
        <v>EVERGREEN - UAN Gated Content - Embedded Petition</v>
      </c>
      <c r="D640" s="5">
        <f ca="1">IFERROR(__xludf.DUMMYFUNCTION("""COMPUTED_VALUE"""),45690)</f>
        <v>45690</v>
      </c>
      <c r="F640" s="1" t="str">
        <f ca="1">IFERROR(__xludf.DUMMYFUNCTION("""COMPUTED_VALUE"""),"Dominican Republic")</f>
        <v>Dominican Republic</v>
      </c>
      <c r="G640" s="1" t="str">
        <f ca="1">IFERROR(__xludf.DUMMYFUNCTION("""COMPUTED_VALUE"""),"88.24 Dominican Republic")</f>
        <v>88.24 Dominican Republic</v>
      </c>
      <c r="H640" s="1" t="str">
        <f ca="1">IFERROR(__xludf.DUMMYFUNCTION("""COMPUTED_VALUE"""),"Individuals At Risk, Refugee and Migrant Rights")</f>
        <v>Individuals At Risk, Refugee and Migrant Rights</v>
      </c>
      <c r="I640" s="1" t="str">
        <f ca="1">IFERROR(__xludf.DUMMYFUNCTION("""COMPUTED_VALUE"""),"2024")</f>
        <v>2024</v>
      </c>
      <c r="J640" s="1" t="str">
        <f ca="1">IFERROR(__xludf.DUMMYFUNCTION("""COMPUTED_VALUE"""),"Letter")</f>
        <v>Letter</v>
      </c>
    </row>
    <row r="641" spans="1:10" ht="13" x14ac:dyDescent="0.15">
      <c r="A641" s="4">
        <f ca="1">IFERROR(__xludf.DUMMYFUNCTION("""COMPUTED_VALUE"""),31551643)</f>
        <v>31551643</v>
      </c>
      <c r="B641" s="1" t="str">
        <f ca="1">IFERROR(__xludf.DUMMYFUNCTION("""COMPUTED_VALUE"""),"hummelc2@gmail.com")</f>
        <v>hummelc2@gmail.com</v>
      </c>
      <c r="C641" s="4" t="str">
        <f ca="1">IFERROR(__xludf.DUMMYFUNCTION("""COMPUTED_VALUE"""),"EVERGREEN - UAN Gated Content - Embedded Petition")</f>
        <v>EVERGREEN - UAN Gated Content - Embedded Petition</v>
      </c>
      <c r="D641" s="5">
        <f ca="1">IFERROR(__xludf.DUMMYFUNCTION("""COMPUTED_VALUE"""),45690)</f>
        <v>45690</v>
      </c>
      <c r="F641" s="1" t="str">
        <f ca="1">IFERROR(__xludf.DUMMYFUNCTION("""COMPUTED_VALUE"""),"China")</f>
        <v>China</v>
      </c>
      <c r="G641" s="1" t="str">
        <f ca="1">IFERROR(__xludf.DUMMYFUNCTION("""COMPUTED_VALUE"""),"98.24 China")</f>
        <v>98.24 China</v>
      </c>
      <c r="H641" s="1" t="str">
        <f ca="1">IFERROR(__xludf.DUMMYFUNCTION("""COMPUTED_VALUE"""),"Freedom of Expression, Individuals At Risk")</f>
        <v>Freedom of Expression, Individuals At Risk</v>
      </c>
      <c r="I641" s="1" t="str">
        <f ca="1">IFERROR(__xludf.DUMMYFUNCTION("""COMPUTED_VALUE"""),"2024")</f>
        <v>2024</v>
      </c>
      <c r="J641" s="1" t="str">
        <f ca="1">IFERROR(__xludf.DUMMYFUNCTION("""COMPUTED_VALUE"""),"Letter")</f>
        <v>Letter</v>
      </c>
    </row>
    <row r="642" spans="1:10" ht="13" x14ac:dyDescent="0.15">
      <c r="A642" s="4">
        <f ca="1">IFERROR(__xludf.DUMMYFUNCTION("""COMPUTED_VALUE"""),31551643)</f>
        <v>31551643</v>
      </c>
      <c r="B642" s="1" t="str">
        <f ca="1">IFERROR(__xludf.DUMMYFUNCTION("""COMPUTED_VALUE"""),"hummelc2@gmail.com")</f>
        <v>hummelc2@gmail.com</v>
      </c>
      <c r="C642" s="4" t="str">
        <f ca="1">IFERROR(__xludf.DUMMYFUNCTION("""COMPUTED_VALUE"""),"EVERGREEN - UAN Gated Content - Embedded Petition")</f>
        <v>EVERGREEN - UAN Gated Content - Embedded Petition</v>
      </c>
      <c r="D642" s="5">
        <f ca="1">IFERROR(__xludf.DUMMYFUNCTION("""COMPUTED_VALUE"""),45690)</f>
        <v>45690</v>
      </c>
      <c r="F642" s="1" t="str">
        <f ca="1">IFERROR(__xludf.DUMMYFUNCTION("""COMPUTED_VALUE"""),"USA")</f>
        <v>USA</v>
      </c>
      <c r="G642" s="1" t="str">
        <f ca="1">IFERROR(__xludf.DUMMYFUNCTION("""COMPUTED_VALUE"""),"105.24 USA")</f>
        <v>105.24 USA</v>
      </c>
      <c r="H642" s="1" t="str">
        <f ca="1">IFERROR(__xludf.DUMMYFUNCTION("""COMPUTED_VALUE"""),"Death Penalty")</f>
        <v>Death Penalty</v>
      </c>
      <c r="I642" s="1" t="str">
        <f ca="1">IFERROR(__xludf.DUMMYFUNCTION("""COMPUTED_VALUE"""),"2024")</f>
        <v>2024</v>
      </c>
      <c r="J642" s="1" t="str">
        <f ca="1">IFERROR(__xludf.DUMMYFUNCTION("""COMPUTED_VALUE"""),"Email")</f>
        <v>Email</v>
      </c>
    </row>
    <row r="643" spans="1:10" ht="13" x14ac:dyDescent="0.15">
      <c r="A643" s="4">
        <f ca="1">IFERROR(__xludf.DUMMYFUNCTION("""COMPUTED_VALUE"""),31551643)</f>
        <v>31551643</v>
      </c>
      <c r="B643" s="1" t="str">
        <f ca="1">IFERROR(__xludf.DUMMYFUNCTION("""COMPUTED_VALUE"""),"hummelc2@gmail.com")</f>
        <v>hummelc2@gmail.com</v>
      </c>
      <c r="C643" s="4" t="str">
        <f ca="1">IFERROR(__xludf.DUMMYFUNCTION("""COMPUTED_VALUE"""),"EVERGREEN - UAN Gated Content - Embedded Petition")</f>
        <v>EVERGREEN - UAN Gated Content - Embedded Petition</v>
      </c>
      <c r="D643" s="5">
        <f ca="1">IFERROR(__xludf.DUMMYFUNCTION("""COMPUTED_VALUE"""),45694)</f>
        <v>45694</v>
      </c>
      <c r="F643" s="1" t="str">
        <f ca="1">IFERROR(__xludf.DUMMYFUNCTION("""COMPUTED_VALUE"""),"Dominican Republic")</f>
        <v>Dominican Republic</v>
      </c>
      <c r="G643" s="1" t="str">
        <f ca="1">IFERROR(__xludf.DUMMYFUNCTION("""COMPUTED_VALUE"""),"88.24 Dominican Republic")</f>
        <v>88.24 Dominican Republic</v>
      </c>
      <c r="H643" s="1" t="str">
        <f ca="1">IFERROR(__xludf.DUMMYFUNCTION("""COMPUTED_VALUE"""),"Individuals At Risk, Refugee and Migrant Rights")</f>
        <v>Individuals At Risk, Refugee and Migrant Rights</v>
      </c>
      <c r="I643" s="1" t="str">
        <f ca="1">IFERROR(__xludf.DUMMYFUNCTION("""COMPUTED_VALUE"""),"2024")</f>
        <v>2024</v>
      </c>
      <c r="J643" s="1" t="str">
        <f ca="1">IFERROR(__xludf.DUMMYFUNCTION("""COMPUTED_VALUE"""),"Letter")</f>
        <v>Letter</v>
      </c>
    </row>
    <row r="644" spans="1:10" ht="13" x14ac:dyDescent="0.15">
      <c r="A644" s="4">
        <f ca="1">IFERROR(__xludf.DUMMYFUNCTION("""COMPUTED_VALUE"""),31551643)</f>
        <v>31551643</v>
      </c>
      <c r="B644" s="1" t="str">
        <f ca="1">IFERROR(__xludf.DUMMYFUNCTION("""COMPUTED_VALUE"""),"hummelc2@gmail.com")</f>
        <v>hummelc2@gmail.com</v>
      </c>
      <c r="C644" s="4" t="str">
        <f ca="1">IFERROR(__xludf.DUMMYFUNCTION("""COMPUTED_VALUE"""),"EVERGREEN - Website Email Capture Form - UAN Pre-Footer")</f>
        <v>EVERGREEN - Website Email Capture Form - UAN Pre-Footer</v>
      </c>
      <c r="D644" s="5">
        <f ca="1">IFERROR(__xludf.DUMMYFUNCTION("""COMPUTED_VALUE"""),45629)</f>
        <v>45629</v>
      </c>
      <c r="F644" s="1" t="str">
        <f ca="1">IFERROR(__xludf.DUMMYFUNCTION("""COMPUTED_VALUE"""),"Uganda")</f>
        <v>Uganda</v>
      </c>
      <c r="G644" s="1" t="str">
        <f ca="1">IFERROR(__xludf.DUMMYFUNCTION("""COMPUTED_VALUE"""),"100.24 Uganda")</f>
        <v>100.24 Uganda</v>
      </c>
      <c r="H644" s="1" t="str">
        <f ca="1">IFERROR(__xludf.DUMMYFUNCTION("""COMPUTED_VALUE"""),"Freedom of Expression")</f>
        <v>Freedom of Expression</v>
      </c>
      <c r="I644" s="1" t="str">
        <f ca="1">IFERROR(__xludf.DUMMYFUNCTION("""COMPUTED_VALUE"""),"2024")</f>
        <v>2024</v>
      </c>
      <c r="J644" s="1" t="str">
        <f ca="1">IFERROR(__xludf.DUMMYFUNCTION("""COMPUTED_VALUE"""),"Email")</f>
        <v>Email</v>
      </c>
    </row>
    <row r="645" spans="1:10" ht="13" x14ac:dyDescent="0.15">
      <c r="A645" s="4">
        <f ca="1">IFERROR(__xludf.DUMMYFUNCTION("""COMPUTED_VALUE"""),31564195)</f>
        <v>31564195</v>
      </c>
      <c r="B645" s="1" t="str">
        <f ca="1">IFERROR(__xludf.DUMMYFUNCTION("""COMPUTED_VALUE"""),"azanella@kecksci.claremont.edu")</f>
        <v>azanella@kecksci.claremont.edu</v>
      </c>
      <c r="C645" s="4" t="str">
        <f ca="1">IFERROR(__xludf.DUMMYFUNCTION("""COMPUTED_VALUE"""),"EVERGREEN - UAN Gated Content - Embedded Petition")</f>
        <v>EVERGREEN - UAN Gated Content - Embedded Petition</v>
      </c>
      <c r="D645" s="5">
        <f ca="1">IFERROR(__xludf.DUMMYFUNCTION("""COMPUTED_VALUE"""),45699)</f>
        <v>45699</v>
      </c>
      <c r="F645" s="1" t="str">
        <f ca="1">IFERROR(__xludf.DUMMYFUNCTION("""COMPUTED_VALUE"""),"USA")</f>
        <v>USA</v>
      </c>
      <c r="G645" s="1" t="str">
        <f ca="1">IFERROR(__xludf.DUMMYFUNCTION("""COMPUTED_VALUE"""),"105.24 USA")</f>
        <v>105.24 USA</v>
      </c>
      <c r="H645" s="1" t="str">
        <f ca="1">IFERROR(__xludf.DUMMYFUNCTION("""COMPUTED_VALUE"""),"Death Penalty")</f>
        <v>Death Penalty</v>
      </c>
      <c r="I645" s="1" t="str">
        <f ca="1">IFERROR(__xludf.DUMMYFUNCTION("""COMPUTED_VALUE"""),"2024")</f>
        <v>2024</v>
      </c>
      <c r="J645" s="1" t="str">
        <f ca="1">IFERROR(__xludf.DUMMYFUNCTION("""COMPUTED_VALUE"""),"Email")</f>
        <v>Email</v>
      </c>
    </row>
    <row r="646" spans="1:10" ht="13" x14ac:dyDescent="0.15">
      <c r="A646" s="4">
        <f ca="1">IFERROR(__xludf.DUMMYFUNCTION("""COMPUTED_VALUE"""),31565219)</f>
        <v>31565219</v>
      </c>
      <c r="B646" s="1" t="str">
        <f ca="1">IFERROR(__xludf.DUMMYFUNCTION("""COMPUTED_VALUE"""),"lisa@affentranger.ch")</f>
        <v>lisa@affentranger.ch</v>
      </c>
      <c r="C646" s="4" t="str">
        <f ca="1">IFERROR(__xludf.DUMMYFUNCTION("""COMPUTED_VALUE"""),"EVERGREEN - UAN Gated Content - Embedded Petition")</f>
        <v>EVERGREEN - UAN Gated Content - Embedded Petition</v>
      </c>
      <c r="D646" s="5">
        <f ca="1">IFERROR(__xludf.DUMMYFUNCTION("""COMPUTED_VALUE"""),45696)</f>
        <v>45696</v>
      </c>
      <c r="F646" s="1" t="str">
        <f ca="1">IFERROR(__xludf.DUMMYFUNCTION("""COMPUTED_VALUE"""),"Egypt")</f>
        <v>Egypt</v>
      </c>
      <c r="G646" s="1" t="str">
        <f ca="1">IFERROR(__xludf.DUMMYFUNCTION("""COMPUTED_VALUE"""),"Ninth 190.18 Egypt")</f>
        <v>Ninth 190.18 Egypt</v>
      </c>
      <c r="H646" s="1" t="str">
        <f ca="1">IFERROR(__xludf.DUMMYFUNCTION("""COMPUTED_VALUE"""),"Freedom of Expression, Individuals At Risk")</f>
        <v>Freedom of Expression, Individuals At Risk</v>
      </c>
      <c r="I646" s="1" t="str">
        <f ca="1">IFERROR(__xludf.DUMMYFUNCTION("""COMPUTED_VALUE"""),"2024")</f>
        <v>2024</v>
      </c>
      <c r="J646" s="1" t="str">
        <f ca="1">IFERROR(__xludf.DUMMYFUNCTION("""COMPUTED_VALUE"""),"Letter")</f>
        <v>Letter</v>
      </c>
    </row>
    <row r="647" spans="1:10" ht="13" x14ac:dyDescent="0.15">
      <c r="A647" s="4">
        <f ca="1">IFERROR(__xludf.DUMMYFUNCTION("""COMPUTED_VALUE"""),31565219)</f>
        <v>31565219</v>
      </c>
      <c r="B647" s="1" t="str">
        <f ca="1">IFERROR(__xludf.DUMMYFUNCTION("""COMPUTED_VALUE"""),"lisa@affentranger.ch")</f>
        <v>lisa@affentranger.ch</v>
      </c>
      <c r="C647" s="4" t="str">
        <f ca="1">IFERROR(__xludf.DUMMYFUNCTION("""COMPUTED_VALUE"""),"EVERGREEN - UAN Gated Content - Embedded Petition")</f>
        <v>EVERGREEN - UAN Gated Content - Embedded Petition</v>
      </c>
      <c r="D647" s="5">
        <f ca="1">IFERROR(__xludf.DUMMYFUNCTION("""COMPUTED_VALUE"""),45696)</f>
        <v>45696</v>
      </c>
      <c r="F647" s="1" t="str">
        <f ca="1">IFERROR(__xludf.DUMMYFUNCTION("""COMPUTED_VALUE"""),"USA")</f>
        <v>USA</v>
      </c>
      <c r="G647" s="1" t="str">
        <f ca="1">IFERROR(__xludf.DUMMYFUNCTION("""COMPUTED_VALUE"""),"4.25 USA")</f>
        <v>4.25 USA</v>
      </c>
      <c r="H647" s="1" t="str">
        <f ca="1">IFERROR(__xludf.DUMMYFUNCTION("""COMPUTED_VALUE"""),"Individuals At Risk, Refugee and Migrant Rights")</f>
        <v>Individuals At Risk, Refugee and Migrant Rights</v>
      </c>
      <c r="I647" s="1" t="str">
        <f ca="1">IFERROR(__xludf.DUMMYFUNCTION("""COMPUTED_VALUE"""),"2025")</f>
        <v>2025</v>
      </c>
      <c r="J647" s="1" t="str">
        <f ca="1">IFERROR(__xludf.DUMMYFUNCTION("""COMPUTED_VALUE"""),"Letter")</f>
        <v>Letter</v>
      </c>
    </row>
    <row r="648" spans="1:10" ht="13" x14ac:dyDescent="0.15">
      <c r="A648" s="4">
        <f ca="1">IFERROR(__xludf.DUMMYFUNCTION("""COMPUTED_VALUE"""),31565219)</f>
        <v>31565219</v>
      </c>
      <c r="B648" s="1" t="str">
        <f ca="1">IFERROR(__xludf.DUMMYFUNCTION("""COMPUTED_VALUE"""),"lisa@affentranger.ch")</f>
        <v>lisa@affentranger.ch</v>
      </c>
      <c r="C648" s="4" t="str">
        <f ca="1">IFERROR(__xludf.DUMMYFUNCTION("""COMPUTED_VALUE"""),"EVERGREEN - UAN Gated Content - Embedded Petition")</f>
        <v>EVERGREEN - UAN Gated Content - Embedded Petition</v>
      </c>
      <c r="D648" s="5">
        <f ca="1">IFERROR(__xludf.DUMMYFUNCTION("""COMPUTED_VALUE"""),45619)</f>
        <v>45619</v>
      </c>
      <c r="F648" s="1" t="str">
        <f ca="1">IFERROR(__xludf.DUMMYFUNCTION("""COMPUTED_VALUE"""),"USA")</f>
        <v>USA</v>
      </c>
      <c r="G648" s="1" t="str">
        <f ca="1">IFERROR(__xludf.DUMMYFUNCTION("""COMPUTED_VALUE"""),"4.25 USA")</f>
        <v>4.25 USA</v>
      </c>
      <c r="H648" s="1" t="str">
        <f ca="1">IFERROR(__xludf.DUMMYFUNCTION("""COMPUTED_VALUE"""),"Individuals At Risk, Refugee and Migrant Rights")</f>
        <v>Individuals At Risk, Refugee and Migrant Rights</v>
      </c>
      <c r="I648" s="1" t="str">
        <f ca="1">IFERROR(__xludf.DUMMYFUNCTION("""COMPUTED_VALUE"""),"2025")</f>
        <v>2025</v>
      </c>
      <c r="J648" s="1" t="str">
        <f ca="1">IFERROR(__xludf.DUMMYFUNCTION("""COMPUTED_VALUE"""),"Letter")</f>
        <v>Letter</v>
      </c>
    </row>
    <row r="649" spans="1:10" ht="13" x14ac:dyDescent="0.15">
      <c r="A649" s="4">
        <f ca="1">IFERROR(__xludf.DUMMYFUNCTION("""COMPUTED_VALUE"""),31565219)</f>
        <v>31565219</v>
      </c>
      <c r="B649" s="1" t="str">
        <f ca="1">IFERROR(__xludf.DUMMYFUNCTION("""COMPUTED_VALUE"""),"lisa@affentranger.ch")</f>
        <v>lisa@affentranger.ch</v>
      </c>
      <c r="C649" s="4" t="str">
        <f ca="1">IFERROR(__xludf.DUMMYFUNCTION("""COMPUTED_VALUE"""),"EVERGREEN - UAN Gated Content - Embedded Petition")</f>
        <v>EVERGREEN - UAN Gated Content - Embedded Petition</v>
      </c>
      <c r="D649" s="5">
        <f ca="1">IFERROR(__xludf.DUMMYFUNCTION("""COMPUTED_VALUE"""),45636)</f>
        <v>45636</v>
      </c>
      <c r="F649" s="1" t="str">
        <f ca="1">IFERROR(__xludf.DUMMYFUNCTION("""COMPUTED_VALUE"""),"USA")</f>
        <v>USA</v>
      </c>
      <c r="G649" s="1" t="str">
        <f ca="1">IFERROR(__xludf.DUMMYFUNCTION("""COMPUTED_VALUE"""),"105.24 USA")</f>
        <v>105.24 USA</v>
      </c>
      <c r="H649" s="1" t="str">
        <f ca="1">IFERROR(__xludf.DUMMYFUNCTION("""COMPUTED_VALUE"""),"Death Penalty")</f>
        <v>Death Penalty</v>
      </c>
      <c r="I649" s="1" t="str">
        <f ca="1">IFERROR(__xludf.DUMMYFUNCTION("""COMPUTED_VALUE"""),"2024")</f>
        <v>2024</v>
      </c>
      <c r="J649" s="1" t="str">
        <f ca="1">IFERROR(__xludf.DUMMYFUNCTION("""COMPUTED_VALUE"""),"Email")</f>
        <v>Email</v>
      </c>
    </row>
    <row r="650" spans="1:10" ht="13" x14ac:dyDescent="0.15">
      <c r="A650" s="4">
        <f ca="1">IFERROR(__xludf.DUMMYFUNCTION("""COMPUTED_VALUE"""),31565219)</f>
        <v>31565219</v>
      </c>
      <c r="B650" s="1" t="str">
        <f ca="1">IFERROR(__xludf.DUMMYFUNCTION("""COMPUTED_VALUE"""),"lisa@affentranger.ch")</f>
        <v>lisa@affentranger.ch</v>
      </c>
      <c r="C650" s="4" t="str">
        <f ca="1">IFERROR(__xludf.DUMMYFUNCTION("""COMPUTED_VALUE"""),"EVERGREEN - UAN Gated Content - Embedded Petition")</f>
        <v>EVERGREEN - UAN Gated Content - Embedded Petition</v>
      </c>
      <c r="D650" s="5">
        <f ca="1">IFERROR(__xludf.DUMMYFUNCTION("""COMPUTED_VALUE"""),45636)</f>
        <v>45636</v>
      </c>
      <c r="F650" s="1" t="str">
        <f ca="1">IFERROR(__xludf.DUMMYFUNCTION("""COMPUTED_VALUE"""),"Israel and Occupied Palestinian Territories")</f>
        <v>Israel and Occupied Palestinian Territories</v>
      </c>
      <c r="G650" s="1" t="str">
        <f ca="1">IFERROR(__xludf.DUMMYFUNCTION("""COMPUTED_VALUE"""),"3.25 IOPT")</f>
        <v>3.25 IOPT</v>
      </c>
      <c r="H650" s="1" t="str">
        <f ca="1">IFERROR(__xludf.DUMMYFUNCTION("""COMPUTED_VALUE"""),"Freedom of Expression, Individuals At Risk")</f>
        <v>Freedom of Expression, Individuals At Risk</v>
      </c>
      <c r="I650" s="1" t="str">
        <f ca="1">IFERROR(__xludf.DUMMYFUNCTION("""COMPUTED_VALUE"""),"2025")</f>
        <v>2025</v>
      </c>
      <c r="J650" s="1" t="str">
        <f ca="1">IFERROR(__xludf.DUMMYFUNCTION("""COMPUTED_VALUE"""),"Email")</f>
        <v>Email</v>
      </c>
    </row>
    <row r="651" spans="1:10" ht="13" x14ac:dyDescent="0.15">
      <c r="A651" s="4">
        <f ca="1">IFERROR(__xludf.DUMMYFUNCTION("""COMPUTED_VALUE"""),31565219)</f>
        <v>31565219</v>
      </c>
      <c r="B651" s="1" t="str">
        <f ca="1">IFERROR(__xludf.DUMMYFUNCTION("""COMPUTED_VALUE"""),"lisa@affentranger.ch")</f>
        <v>lisa@affentranger.ch</v>
      </c>
      <c r="C651" s="4" t="str">
        <f ca="1">IFERROR(__xludf.DUMMYFUNCTION("""COMPUTED_VALUE"""),"EVERGREEN - UAN Gated Content - Embedded Petition")</f>
        <v>EVERGREEN - UAN Gated Content - Embedded Petition</v>
      </c>
      <c r="D651" s="5">
        <f ca="1">IFERROR(__xludf.DUMMYFUNCTION("""COMPUTED_VALUE"""),45617)</f>
        <v>45617</v>
      </c>
      <c r="F651" s="1" t="str">
        <f ca="1">IFERROR(__xludf.DUMMYFUNCTION("""COMPUTED_VALUE"""),"USA")</f>
        <v>USA</v>
      </c>
      <c r="G651" s="1" t="str">
        <f ca="1">IFERROR(__xludf.DUMMYFUNCTION("""COMPUTED_VALUE"""),"4.25 USA")</f>
        <v>4.25 USA</v>
      </c>
      <c r="H651" s="1" t="str">
        <f ca="1">IFERROR(__xludf.DUMMYFUNCTION("""COMPUTED_VALUE"""),"Individuals At Risk, Refugee and Migrant Rights")</f>
        <v>Individuals At Risk, Refugee and Migrant Rights</v>
      </c>
      <c r="I651" s="1" t="str">
        <f ca="1">IFERROR(__xludf.DUMMYFUNCTION("""COMPUTED_VALUE"""),"2025")</f>
        <v>2025</v>
      </c>
      <c r="J651" s="1" t="str">
        <f ca="1">IFERROR(__xludf.DUMMYFUNCTION("""COMPUTED_VALUE"""),"Letter")</f>
        <v>Letter</v>
      </c>
    </row>
    <row r="652" spans="1:10" ht="13" x14ac:dyDescent="0.15">
      <c r="A652" s="4">
        <f ca="1">IFERROR(__xludf.DUMMYFUNCTION("""COMPUTED_VALUE"""),31565219)</f>
        <v>31565219</v>
      </c>
      <c r="B652" s="1" t="str">
        <f ca="1">IFERROR(__xludf.DUMMYFUNCTION("""COMPUTED_VALUE"""),"lisa@affentranger.ch")</f>
        <v>lisa@affentranger.ch</v>
      </c>
      <c r="C652" s="4" t="str">
        <f ca="1">IFERROR(__xludf.DUMMYFUNCTION("""COMPUTED_VALUE"""),"EVERGREEN - UAN Gated Content - Embedded Petition")</f>
        <v>EVERGREEN - UAN Gated Content - Embedded Petition</v>
      </c>
      <c r="D652" s="5">
        <f ca="1">IFERROR(__xludf.DUMMYFUNCTION("""COMPUTED_VALUE"""),45696)</f>
        <v>45696</v>
      </c>
      <c r="F652" s="1" t="str">
        <f ca="1">IFERROR(__xludf.DUMMYFUNCTION("""COMPUTED_VALUE"""),"Tunisia")</f>
        <v>Tunisia</v>
      </c>
      <c r="G652" s="1" t="str">
        <f ca="1">IFERROR(__xludf.DUMMYFUNCTION("""COMPUTED_VALUE"""),"Second 76.24 Tunisia")</f>
        <v>Second 76.24 Tunisia</v>
      </c>
      <c r="H652" s="1" t="str">
        <f ca="1">IFERROR(__xludf.DUMMYFUNCTION("""COMPUTED_VALUE"""),"Freedom of Expression, Human Rights Defenders")</f>
        <v>Freedom of Expression, Human Rights Defenders</v>
      </c>
      <c r="I652" s="1" t="str">
        <f ca="1">IFERROR(__xludf.DUMMYFUNCTION("""COMPUTED_VALUE"""),"2025")</f>
        <v>2025</v>
      </c>
      <c r="J652" s="1" t="str">
        <f ca="1">IFERROR(__xludf.DUMMYFUNCTION("""COMPUTED_VALUE"""),"Email")</f>
        <v>Email</v>
      </c>
    </row>
    <row r="653" spans="1:10" ht="13" x14ac:dyDescent="0.15">
      <c r="A653" s="4">
        <f ca="1">IFERROR(__xludf.DUMMYFUNCTION("""COMPUTED_VALUE"""),31565219)</f>
        <v>31565219</v>
      </c>
      <c r="B653" s="1" t="str">
        <f ca="1">IFERROR(__xludf.DUMMYFUNCTION("""COMPUTED_VALUE"""),"lisa@affentranger.ch")</f>
        <v>lisa@affentranger.ch</v>
      </c>
      <c r="C653" s="4" t="str">
        <f ca="1">IFERROR(__xludf.DUMMYFUNCTION("""COMPUTED_VALUE"""),"EVERGREEN - UAN Gated Content - Embedded Petition")</f>
        <v>EVERGREEN - UAN Gated Content - Embedded Petition</v>
      </c>
      <c r="D653" s="5">
        <f ca="1">IFERROR(__xludf.DUMMYFUNCTION("""COMPUTED_VALUE"""),45636)</f>
        <v>45636</v>
      </c>
      <c r="F653" s="1" t="str">
        <f ca="1">IFERROR(__xludf.DUMMYFUNCTION("""COMPUTED_VALUE"""),"Tunisia")</f>
        <v>Tunisia</v>
      </c>
      <c r="G653" s="1" t="str">
        <f ca="1">IFERROR(__xludf.DUMMYFUNCTION("""COMPUTED_VALUE"""),"Second 76.24 Tunisia")</f>
        <v>Second 76.24 Tunisia</v>
      </c>
      <c r="H653" s="1" t="str">
        <f ca="1">IFERROR(__xludf.DUMMYFUNCTION("""COMPUTED_VALUE"""),"Freedom of Expression, Human Rights Defenders")</f>
        <v>Freedom of Expression, Human Rights Defenders</v>
      </c>
      <c r="I653" s="1" t="str">
        <f ca="1">IFERROR(__xludf.DUMMYFUNCTION("""COMPUTED_VALUE"""),"2025")</f>
        <v>2025</v>
      </c>
      <c r="J653" s="1" t="str">
        <f ca="1">IFERROR(__xludf.DUMMYFUNCTION("""COMPUTED_VALUE"""),"Email")</f>
        <v>Email</v>
      </c>
    </row>
    <row r="654" spans="1:10" ht="13" x14ac:dyDescent="0.15">
      <c r="A654" s="4">
        <f ca="1">IFERROR(__xludf.DUMMYFUNCTION("""COMPUTED_VALUE"""),31569070)</f>
        <v>31569070</v>
      </c>
      <c r="B654" s="1" t="str">
        <f ca="1">IFERROR(__xludf.DUMMYFUNCTION("""COMPUTED_VALUE"""),"liz@carletonmccambridge.com")</f>
        <v>liz@carletonmccambridge.com</v>
      </c>
      <c r="C654" s="4" t="str">
        <f ca="1">IFERROR(__xludf.DUMMYFUNCTION("""COMPUTED_VALUE"""),"EVERGREEN - UAN Gated Content - Embedded Petition")</f>
        <v>EVERGREEN - UAN Gated Content - Embedded Petition</v>
      </c>
      <c r="D654" s="5">
        <f ca="1">IFERROR(__xludf.DUMMYFUNCTION("""COMPUTED_VALUE"""),45636)</f>
        <v>45636</v>
      </c>
      <c r="F654" s="1" t="str">
        <f ca="1">IFERROR(__xludf.DUMMYFUNCTION("""COMPUTED_VALUE"""),"Tunisia")</f>
        <v>Tunisia</v>
      </c>
      <c r="G654" s="1" t="str">
        <f ca="1">IFERROR(__xludf.DUMMYFUNCTION("""COMPUTED_VALUE"""),"Second 76.24 Tunisia")</f>
        <v>Second 76.24 Tunisia</v>
      </c>
      <c r="H654" s="1" t="str">
        <f ca="1">IFERROR(__xludf.DUMMYFUNCTION("""COMPUTED_VALUE"""),"Freedom of Expression, Human Rights Defenders")</f>
        <v>Freedom of Expression, Human Rights Defenders</v>
      </c>
      <c r="I654" s="1" t="str">
        <f ca="1">IFERROR(__xludf.DUMMYFUNCTION("""COMPUTED_VALUE"""),"2025")</f>
        <v>2025</v>
      </c>
      <c r="J654" s="1" t="str">
        <f ca="1">IFERROR(__xludf.DUMMYFUNCTION("""COMPUTED_VALUE"""),"Email")</f>
        <v>Email</v>
      </c>
    </row>
    <row r="655" spans="1:10" ht="13" x14ac:dyDescent="0.15">
      <c r="A655" s="4">
        <f ca="1">IFERROR(__xludf.DUMMYFUNCTION("""COMPUTED_VALUE"""),31569070)</f>
        <v>31569070</v>
      </c>
      <c r="B655" s="1" t="str">
        <f ca="1">IFERROR(__xludf.DUMMYFUNCTION("""COMPUTED_VALUE"""),"liz@carletonmccambridge.com")</f>
        <v>liz@carletonmccambridge.com</v>
      </c>
      <c r="C655" s="4" t="str">
        <f ca="1">IFERROR(__xludf.DUMMYFUNCTION("""COMPUTED_VALUE"""),"EVERGREEN - UAN Gated Content - Embedded Petition")</f>
        <v>EVERGREEN - UAN Gated Content - Embedded Petition</v>
      </c>
      <c r="D655" s="5">
        <f ca="1">IFERROR(__xludf.DUMMYFUNCTION("""COMPUTED_VALUE"""),45636)</f>
        <v>45636</v>
      </c>
      <c r="F655" s="1" t="str">
        <f ca="1">IFERROR(__xludf.DUMMYFUNCTION("""COMPUTED_VALUE"""),"Iran")</f>
        <v>Iran</v>
      </c>
      <c r="G655" s="1" t="str">
        <f ca="1">IFERROR(__xludf.DUMMYFUNCTION("""COMPUTED_VALUE"""),"10.25 Iran")</f>
        <v>10.25 Iran</v>
      </c>
      <c r="H655" s="1" t="str">
        <f ca="1">IFERROR(__xludf.DUMMYFUNCTION("""COMPUTED_VALUE"""),"Death Penalty, Individuals At Risk")</f>
        <v>Death Penalty, Individuals At Risk</v>
      </c>
      <c r="I655" s="1" t="str">
        <f ca="1">IFERROR(__xludf.DUMMYFUNCTION("""COMPUTED_VALUE"""),"2025")</f>
        <v>2025</v>
      </c>
      <c r="J655" s="1" t="str">
        <f ca="1">IFERROR(__xludf.DUMMYFUNCTION("""COMPUTED_VALUE"""),"Email")</f>
        <v>Email</v>
      </c>
    </row>
    <row r="656" spans="1:10" ht="13" x14ac:dyDescent="0.15">
      <c r="A656" s="4">
        <f ca="1">IFERROR(__xludf.DUMMYFUNCTION("""COMPUTED_VALUE"""),31569070)</f>
        <v>31569070</v>
      </c>
      <c r="B656" s="1" t="str">
        <f ca="1">IFERROR(__xludf.DUMMYFUNCTION("""COMPUTED_VALUE"""),"liz@carletonmccambridge.com")</f>
        <v>liz@carletonmccambridge.com</v>
      </c>
      <c r="C656" s="4" t="str">
        <f ca="1">IFERROR(__xludf.DUMMYFUNCTION("""COMPUTED_VALUE"""),"EVERGREEN - UAN Gated Content - Embedded Petition")</f>
        <v>EVERGREEN - UAN Gated Content - Embedded Petition</v>
      </c>
      <c r="D656" s="5">
        <f ca="1">IFERROR(__xludf.DUMMYFUNCTION("""COMPUTED_VALUE"""),45636)</f>
        <v>45636</v>
      </c>
      <c r="F656" s="1" t="str">
        <f ca="1">IFERROR(__xludf.DUMMYFUNCTION("""COMPUTED_VALUE"""),"Dominican Republic")</f>
        <v>Dominican Republic</v>
      </c>
      <c r="G656" s="1" t="str">
        <f ca="1">IFERROR(__xludf.DUMMYFUNCTION("""COMPUTED_VALUE"""),"88.24 Dominican Republic")</f>
        <v>88.24 Dominican Republic</v>
      </c>
      <c r="H656" s="1" t="str">
        <f ca="1">IFERROR(__xludf.DUMMYFUNCTION("""COMPUTED_VALUE"""),"Individuals At Risk, Refugee and Migrant Rights")</f>
        <v>Individuals At Risk, Refugee and Migrant Rights</v>
      </c>
      <c r="I656" s="1" t="str">
        <f ca="1">IFERROR(__xludf.DUMMYFUNCTION("""COMPUTED_VALUE"""),"2024")</f>
        <v>2024</v>
      </c>
      <c r="J656" s="1" t="str">
        <f ca="1">IFERROR(__xludf.DUMMYFUNCTION("""COMPUTED_VALUE"""),"Letter")</f>
        <v>Letter</v>
      </c>
    </row>
    <row r="657" spans="1:10" ht="13" x14ac:dyDescent="0.15">
      <c r="A657" s="4">
        <f ca="1">IFERROR(__xludf.DUMMYFUNCTION("""COMPUTED_VALUE"""),31569070)</f>
        <v>31569070</v>
      </c>
      <c r="B657" s="1" t="str">
        <f ca="1">IFERROR(__xludf.DUMMYFUNCTION("""COMPUTED_VALUE"""),"liz@carletonmccambridge.com")</f>
        <v>liz@carletonmccambridge.com</v>
      </c>
      <c r="C657" s="4" t="str">
        <f ca="1">IFERROR(__xludf.DUMMYFUNCTION("""COMPUTED_VALUE"""),"EVERGREEN - UAN Gated Content - Embedded Petition")</f>
        <v>EVERGREEN - UAN Gated Content - Embedded Petition</v>
      </c>
      <c r="D657" s="5">
        <f ca="1">IFERROR(__xludf.DUMMYFUNCTION("""COMPUTED_VALUE"""),45636)</f>
        <v>45636</v>
      </c>
      <c r="F657" s="1" t="str">
        <f ca="1">IFERROR(__xludf.DUMMYFUNCTION("""COMPUTED_VALUE"""),"USA")</f>
        <v>USA</v>
      </c>
      <c r="G657" s="1" t="str">
        <f ca="1">IFERROR(__xludf.DUMMYFUNCTION("""COMPUTED_VALUE"""),"105.24 USA")</f>
        <v>105.24 USA</v>
      </c>
      <c r="H657" s="1" t="str">
        <f ca="1">IFERROR(__xludf.DUMMYFUNCTION("""COMPUTED_VALUE"""),"Death Penalty")</f>
        <v>Death Penalty</v>
      </c>
      <c r="I657" s="1" t="str">
        <f ca="1">IFERROR(__xludf.DUMMYFUNCTION("""COMPUTED_VALUE"""),"2024")</f>
        <v>2024</v>
      </c>
      <c r="J657" s="1" t="str">
        <f ca="1">IFERROR(__xludf.DUMMYFUNCTION("""COMPUTED_VALUE"""),"Email")</f>
        <v>Email</v>
      </c>
    </row>
    <row r="658" spans="1:10" ht="13" x14ac:dyDescent="0.15">
      <c r="A658" s="4">
        <f ca="1">IFERROR(__xludf.DUMMYFUNCTION("""COMPUTED_VALUE"""),31569070)</f>
        <v>31569070</v>
      </c>
      <c r="B658" s="1" t="str">
        <f ca="1">IFERROR(__xludf.DUMMYFUNCTION("""COMPUTED_VALUE"""),"liz@carletonmccambridge.com")</f>
        <v>liz@carletonmccambridge.com</v>
      </c>
      <c r="C658" s="4" t="str">
        <f ca="1">IFERROR(__xludf.DUMMYFUNCTION("""COMPUTED_VALUE"""),"EVERGREEN - UAN Gated Content - Embedded Petition")</f>
        <v>EVERGREEN - UAN Gated Content - Embedded Petition</v>
      </c>
      <c r="D658" s="5">
        <f ca="1">IFERROR(__xludf.DUMMYFUNCTION("""COMPUTED_VALUE"""),45636)</f>
        <v>45636</v>
      </c>
      <c r="F658" s="1" t="str">
        <f ca="1">IFERROR(__xludf.DUMMYFUNCTION("""COMPUTED_VALUE"""),"Iran")</f>
        <v>Iran</v>
      </c>
      <c r="G658" s="1" t="str">
        <f ca="1">IFERROR(__xludf.DUMMYFUNCTION("""COMPUTED_VALUE"""),"Seventh 103.22 Iran")</f>
        <v>Seventh 103.22 Iran</v>
      </c>
      <c r="H658" s="1" t="str">
        <f ca="1">IFERROR(__xludf.DUMMYFUNCTION("""COMPUTED_VALUE"""),"Death Penalty, Freedom of Expression, Individuals At Risk")</f>
        <v>Death Penalty, Freedom of Expression, Individuals At Risk</v>
      </c>
      <c r="I658" s="1" t="str">
        <f ca="1">IFERROR(__xludf.DUMMYFUNCTION("""COMPUTED_VALUE"""),"2024")</f>
        <v>2024</v>
      </c>
      <c r="J658" s="1" t="str">
        <f ca="1">IFERROR(__xludf.DUMMYFUNCTION("""COMPUTED_VALUE"""),"Email")</f>
        <v>Email</v>
      </c>
    </row>
    <row r="659" spans="1:10" ht="13" x14ac:dyDescent="0.15">
      <c r="A659" s="4">
        <f ca="1">IFERROR(__xludf.DUMMYFUNCTION("""COMPUTED_VALUE"""),31569070)</f>
        <v>31569070</v>
      </c>
      <c r="B659" s="1" t="str">
        <f ca="1">IFERROR(__xludf.DUMMYFUNCTION("""COMPUTED_VALUE"""),"liz@carletonmccambridge.com")</f>
        <v>liz@carletonmccambridge.com</v>
      </c>
      <c r="C659" s="4" t="str">
        <f ca="1">IFERROR(__xludf.DUMMYFUNCTION("""COMPUTED_VALUE"""),"EVERGREEN - UAN Gated Content - Embedded Petition")</f>
        <v>EVERGREEN - UAN Gated Content - Embedded Petition</v>
      </c>
      <c r="D659" s="5">
        <f ca="1">IFERROR(__xludf.DUMMYFUNCTION("""COMPUTED_VALUE"""),45636)</f>
        <v>45636</v>
      </c>
      <c r="F659" s="1" t="str">
        <f ca="1">IFERROR(__xludf.DUMMYFUNCTION("""COMPUTED_VALUE"""),"Iran")</f>
        <v>Iran</v>
      </c>
      <c r="G659" s="1" t="str">
        <f ca="1">IFERROR(__xludf.DUMMYFUNCTION("""COMPUTED_VALUE"""),"Seventh 103.22 Iran")</f>
        <v>Seventh 103.22 Iran</v>
      </c>
      <c r="H659" s="1" t="str">
        <f ca="1">IFERROR(__xludf.DUMMYFUNCTION("""COMPUTED_VALUE"""),"Death Penalty, Freedom of Expression, Individuals At Risk")</f>
        <v>Death Penalty, Freedom of Expression, Individuals At Risk</v>
      </c>
      <c r="I659" s="1" t="str">
        <f ca="1">IFERROR(__xludf.DUMMYFUNCTION("""COMPUTED_VALUE"""),"2024")</f>
        <v>2024</v>
      </c>
      <c r="J659" s="1" t="str">
        <f ca="1">IFERROR(__xludf.DUMMYFUNCTION("""COMPUTED_VALUE"""),"Email")</f>
        <v>Email</v>
      </c>
    </row>
    <row r="660" spans="1:10" ht="13" x14ac:dyDescent="0.15">
      <c r="A660" s="4">
        <f ca="1">IFERROR(__xludf.DUMMYFUNCTION("""COMPUTED_VALUE"""),31569070)</f>
        <v>31569070</v>
      </c>
      <c r="B660" s="1" t="str">
        <f ca="1">IFERROR(__xludf.DUMMYFUNCTION("""COMPUTED_VALUE"""),"liz@carletonmccambridge.com")</f>
        <v>liz@carletonmccambridge.com</v>
      </c>
      <c r="C660" s="4" t="str">
        <f ca="1">IFERROR(__xludf.DUMMYFUNCTION("""COMPUTED_VALUE"""),"EVERGREEN - UAN Gated Content - Embedded Petition")</f>
        <v>EVERGREEN - UAN Gated Content - Embedded Petition</v>
      </c>
      <c r="D660" s="5">
        <f ca="1">IFERROR(__xludf.DUMMYFUNCTION("""COMPUTED_VALUE"""),45636)</f>
        <v>45636</v>
      </c>
      <c r="F660" s="1" t="str">
        <f ca="1">IFERROR(__xludf.DUMMYFUNCTION("""COMPUTED_VALUE"""),"Azerbaijan")</f>
        <v>Azerbaijan</v>
      </c>
      <c r="G660" s="1" t="str">
        <f ca="1">IFERROR(__xludf.DUMMYFUNCTION("""COMPUTED_VALUE"""),"2.25 Azerbaijan")</f>
        <v>2.25 Azerbaijan</v>
      </c>
      <c r="H660" s="1" t="str">
        <f ca="1">IFERROR(__xludf.DUMMYFUNCTION("""COMPUTED_VALUE"""),"Freedom of Expression, Human Rights Defenders")</f>
        <v>Freedom of Expression, Human Rights Defenders</v>
      </c>
      <c r="I660" s="1" t="str">
        <f ca="1">IFERROR(__xludf.DUMMYFUNCTION("""COMPUTED_VALUE"""),"2025")</f>
        <v>2025</v>
      </c>
      <c r="J660" s="1" t="str">
        <f ca="1">IFERROR(__xludf.DUMMYFUNCTION("""COMPUTED_VALUE"""),"Email")</f>
        <v>Email</v>
      </c>
    </row>
    <row r="661" spans="1:10" ht="13" x14ac:dyDescent="0.15">
      <c r="A661" s="4">
        <f ca="1">IFERROR(__xludf.DUMMYFUNCTION("""COMPUTED_VALUE"""),31569070)</f>
        <v>31569070</v>
      </c>
      <c r="B661" s="1" t="str">
        <f ca="1">IFERROR(__xludf.DUMMYFUNCTION("""COMPUTED_VALUE"""),"liz@carletonmccambridge.com")</f>
        <v>liz@carletonmccambridge.com</v>
      </c>
      <c r="C661" s="4" t="str">
        <f ca="1">IFERROR(__xludf.DUMMYFUNCTION("""COMPUTED_VALUE"""),"EVERGREEN - UAN Gated Content - Embedded Petition")</f>
        <v>EVERGREEN - UAN Gated Content - Embedded Petition</v>
      </c>
      <c r="D661" s="5">
        <f ca="1">IFERROR(__xludf.DUMMYFUNCTION("""COMPUTED_VALUE"""),45636)</f>
        <v>45636</v>
      </c>
      <c r="F661" s="1" t="str">
        <f ca="1">IFERROR(__xludf.DUMMYFUNCTION("""COMPUTED_VALUE"""),"Tunisia")</f>
        <v>Tunisia</v>
      </c>
      <c r="G661" s="1" t="str">
        <f ca="1">IFERROR(__xludf.DUMMYFUNCTION("""COMPUTED_VALUE"""),"Second 76.24 Tunisia")</f>
        <v>Second 76.24 Tunisia</v>
      </c>
      <c r="H661" s="1" t="str">
        <f ca="1">IFERROR(__xludf.DUMMYFUNCTION("""COMPUTED_VALUE"""),"Freedom of Expression, Human Rights Defenders")</f>
        <v>Freedom of Expression, Human Rights Defenders</v>
      </c>
      <c r="I661" s="1" t="str">
        <f ca="1">IFERROR(__xludf.DUMMYFUNCTION("""COMPUTED_VALUE"""),"2025")</f>
        <v>2025</v>
      </c>
      <c r="J661" s="1" t="str">
        <f ca="1">IFERROR(__xludf.DUMMYFUNCTION("""COMPUTED_VALUE"""),"Email")</f>
        <v>Email</v>
      </c>
    </row>
    <row r="662" spans="1:10" ht="13" x14ac:dyDescent="0.15">
      <c r="A662" s="4">
        <f ca="1">IFERROR(__xludf.DUMMYFUNCTION("""COMPUTED_VALUE"""),31569070)</f>
        <v>31569070</v>
      </c>
      <c r="B662" s="1" t="str">
        <f ca="1">IFERROR(__xludf.DUMMYFUNCTION("""COMPUTED_VALUE"""),"liz@carletonmccambridge.com")</f>
        <v>liz@carletonmccambridge.com</v>
      </c>
      <c r="C662" s="4" t="str">
        <f ca="1">IFERROR(__xludf.DUMMYFUNCTION("""COMPUTED_VALUE"""),"EVERGREEN - UAN Gated Content - Embedded Petition")</f>
        <v>EVERGREEN - UAN Gated Content - Embedded Petition</v>
      </c>
      <c r="D662" s="5">
        <f ca="1">IFERROR(__xludf.DUMMYFUNCTION("""COMPUTED_VALUE"""),45636)</f>
        <v>45636</v>
      </c>
      <c r="F662" s="1" t="str">
        <f ca="1">IFERROR(__xludf.DUMMYFUNCTION("""COMPUTED_VALUE"""),"Egypt")</f>
        <v>Egypt</v>
      </c>
      <c r="G662" s="1" t="str">
        <f ca="1">IFERROR(__xludf.DUMMYFUNCTION("""COMPUTED_VALUE"""),"Ninth 190.18 Egypt")</f>
        <v>Ninth 190.18 Egypt</v>
      </c>
      <c r="H662" s="1" t="str">
        <f ca="1">IFERROR(__xludf.DUMMYFUNCTION("""COMPUTED_VALUE"""),"Freedom of Expression, Individuals At Risk")</f>
        <v>Freedom of Expression, Individuals At Risk</v>
      </c>
      <c r="I662" s="1" t="str">
        <f ca="1">IFERROR(__xludf.DUMMYFUNCTION("""COMPUTED_VALUE"""),"2024")</f>
        <v>2024</v>
      </c>
      <c r="J662" s="1" t="str">
        <f ca="1">IFERROR(__xludf.DUMMYFUNCTION("""COMPUTED_VALUE"""),"Letter")</f>
        <v>Letter</v>
      </c>
    </row>
    <row r="663" spans="1:10" ht="13" x14ac:dyDescent="0.15">
      <c r="A663" s="4">
        <f ca="1">IFERROR(__xludf.DUMMYFUNCTION("""COMPUTED_VALUE"""),31569070)</f>
        <v>31569070</v>
      </c>
      <c r="B663" s="1" t="str">
        <f ca="1">IFERROR(__xludf.DUMMYFUNCTION("""COMPUTED_VALUE"""),"liz@carletonmccambridge.com")</f>
        <v>liz@carletonmccambridge.com</v>
      </c>
      <c r="C663" s="4" t="str">
        <f ca="1">IFERROR(__xludf.DUMMYFUNCTION("""COMPUTED_VALUE"""),"EVERGREEN - UAN Gated Content - Embedded Petition")</f>
        <v>EVERGREEN - UAN Gated Content - Embedded Petition</v>
      </c>
      <c r="D663" s="5">
        <f ca="1">IFERROR(__xludf.DUMMYFUNCTION("""COMPUTED_VALUE"""),45636)</f>
        <v>45636</v>
      </c>
      <c r="F663" s="1" t="str">
        <f ca="1">IFERROR(__xludf.DUMMYFUNCTION("""COMPUTED_VALUE"""),"Tunisia")</f>
        <v>Tunisia</v>
      </c>
      <c r="G663" s="1" t="str">
        <f ca="1">IFERROR(__xludf.DUMMYFUNCTION("""COMPUTED_VALUE"""),"Second 76.24 Tunisia")</f>
        <v>Second 76.24 Tunisia</v>
      </c>
      <c r="H663" s="1" t="str">
        <f ca="1">IFERROR(__xludf.DUMMYFUNCTION("""COMPUTED_VALUE"""),"Freedom of Expression, Human Rights Defenders")</f>
        <v>Freedom of Expression, Human Rights Defenders</v>
      </c>
      <c r="I663" s="1" t="str">
        <f ca="1">IFERROR(__xludf.DUMMYFUNCTION("""COMPUTED_VALUE"""),"2025")</f>
        <v>2025</v>
      </c>
      <c r="J663" s="1" t="str">
        <f ca="1">IFERROR(__xludf.DUMMYFUNCTION("""COMPUTED_VALUE"""),"Email")</f>
        <v>Email</v>
      </c>
    </row>
    <row r="664" spans="1:10" ht="13" x14ac:dyDescent="0.15">
      <c r="A664" s="4">
        <f ca="1">IFERROR(__xludf.DUMMYFUNCTION("""COMPUTED_VALUE"""),31570817)</f>
        <v>31570817</v>
      </c>
      <c r="B664" s="1" t="str">
        <f ca="1">IFERROR(__xludf.DUMMYFUNCTION("""COMPUTED_VALUE"""),"mariabauluz@gmail.com")</f>
        <v>mariabauluz@gmail.com</v>
      </c>
      <c r="C664" s="4" t="str">
        <f ca="1">IFERROR(__xludf.DUMMYFUNCTION("""COMPUTED_VALUE"""),"EVERGREEN - UAN Gated Content - Embedded Petition")</f>
        <v>EVERGREEN - UAN Gated Content - Embedded Petition</v>
      </c>
      <c r="D664" s="5">
        <f ca="1">IFERROR(__xludf.DUMMYFUNCTION("""COMPUTED_VALUE"""),45694)</f>
        <v>45694</v>
      </c>
      <c r="F664" s="1" t="str">
        <f ca="1">IFERROR(__xludf.DUMMYFUNCTION("""COMPUTED_VALUE"""),"Israel and Occupied Palestinian Territories")</f>
        <v>Israel and Occupied Palestinian Territories</v>
      </c>
      <c r="G664" s="1" t="str">
        <f ca="1">IFERROR(__xludf.DUMMYFUNCTION("""COMPUTED_VALUE"""),"3.25 IOPT")</f>
        <v>3.25 IOPT</v>
      </c>
      <c r="H664" s="1" t="str">
        <f ca="1">IFERROR(__xludf.DUMMYFUNCTION("""COMPUTED_VALUE"""),"Freedom of Expression, Individuals At Risk")</f>
        <v>Freedom of Expression, Individuals At Risk</v>
      </c>
      <c r="I664" s="1" t="str">
        <f ca="1">IFERROR(__xludf.DUMMYFUNCTION("""COMPUTED_VALUE"""),"2025")</f>
        <v>2025</v>
      </c>
      <c r="J664" s="1" t="str">
        <f ca="1">IFERROR(__xludf.DUMMYFUNCTION("""COMPUTED_VALUE"""),"Email")</f>
        <v>Email</v>
      </c>
    </row>
    <row r="665" spans="1:10" ht="13" x14ac:dyDescent="0.15">
      <c r="A665" s="4">
        <f ca="1">IFERROR(__xludf.DUMMYFUNCTION("""COMPUTED_VALUE"""),31576011)</f>
        <v>31576011</v>
      </c>
      <c r="B665" s="1" t="str">
        <f ca="1">IFERROR(__xludf.DUMMYFUNCTION("""COMPUTED_VALUE"""),"smwaters@uw.edu")</f>
        <v>smwaters@uw.edu</v>
      </c>
      <c r="C665" s="4" t="str">
        <f ca="1">IFERROR(__xludf.DUMMYFUNCTION("""COMPUTED_VALUE"""),"EVERGREEN - UAN Gated Content - Embedded Petition")</f>
        <v>EVERGREEN - UAN Gated Content - Embedded Petition</v>
      </c>
      <c r="D665" s="5">
        <f ca="1">IFERROR(__xludf.DUMMYFUNCTION("""COMPUTED_VALUE"""),45694)</f>
        <v>45694</v>
      </c>
      <c r="F665" s="1" t="str">
        <f ca="1">IFERROR(__xludf.DUMMYFUNCTION("""COMPUTED_VALUE"""),"Saudi Arabia")</f>
        <v>Saudi Arabia</v>
      </c>
      <c r="G665" s="1" t="str">
        <f ca="1">IFERROR(__xludf.DUMMYFUNCTION("""COMPUTED_VALUE"""),"Second 85.23 Saudi Arabia")</f>
        <v>Second 85.23 Saudi Arabia</v>
      </c>
      <c r="H665" s="1" t="str">
        <f ca="1">IFERROR(__xludf.DUMMYFUNCTION("""COMPUTED_VALUE"""),"Freedom of Expression")</f>
        <v>Freedom of Expression</v>
      </c>
      <c r="I665" s="1" t="str">
        <f ca="1">IFERROR(__xludf.DUMMYFUNCTION("""COMPUTED_VALUE"""),"2024")</f>
        <v>2024</v>
      </c>
      <c r="J665" s="1" t="str">
        <f ca="1">IFERROR(__xludf.DUMMYFUNCTION("""COMPUTED_VALUE"""),"Letter")</f>
        <v>Letter</v>
      </c>
    </row>
    <row r="666" spans="1:10" ht="13" x14ac:dyDescent="0.15">
      <c r="A666" s="4">
        <f ca="1">IFERROR(__xludf.DUMMYFUNCTION("""COMPUTED_VALUE"""),31578357)</f>
        <v>31578357</v>
      </c>
      <c r="B666" s="1" t="str">
        <f ca="1">IFERROR(__xludf.DUMMYFUNCTION("""COMPUTED_VALUE"""),"cowman2424@gmail.com")</f>
        <v>cowman2424@gmail.com</v>
      </c>
      <c r="C666" s="4" t="str">
        <f ca="1">IFERROR(__xludf.DUMMYFUNCTION("""COMPUTED_VALUE"""),"EVERGREEN - UAN Gated Content - Embedded Petition")</f>
        <v>EVERGREEN - UAN Gated Content - Embedded Petition</v>
      </c>
      <c r="D666" s="5">
        <f ca="1">IFERROR(__xludf.DUMMYFUNCTION("""COMPUTED_VALUE"""),45694)</f>
        <v>45694</v>
      </c>
      <c r="F666" s="1" t="str">
        <f ca="1">IFERROR(__xludf.DUMMYFUNCTION("""COMPUTED_VALUE"""),"Egypt")</f>
        <v>Egypt</v>
      </c>
      <c r="G666" s="1" t="str">
        <f ca="1">IFERROR(__xludf.DUMMYFUNCTION("""COMPUTED_VALUE"""),"Ninth 190.18 Egypt")</f>
        <v>Ninth 190.18 Egypt</v>
      </c>
      <c r="H666" s="1" t="str">
        <f ca="1">IFERROR(__xludf.DUMMYFUNCTION("""COMPUTED_VALUE"""),"Freedom of Expression, Individuals At Risk")</f>
        <v>Freedom of Expression, Individuals At Risk</v>
      </c>
      <c r="I666" s="1" t="str">
        <f ca="1">IFERROR(__xludf.DUMMYFUNCTION("""COMPUTED_VALUE"""),"2024")</f>
        <v>2024</v>
      </c>
      <c r="J666" s="1" t="str">
        <f ca="1">IFERROR(__xludf.DUMMYFUNCTION("""COMPUTED_VALUE"""),"Letter")</f>
        <v>Letter</v>
      </c>
    </row>
    <row r="667" spans="1:10" ht="13" x14ac:dyDescent="0.15">
      <c r="A667" s="4">
        <f ca="1">IFERROR(__xludf.DUMMYFUNCTION("""COMPUTED_VALUE"""),31587224)</f>
        <v>31587224</v>
      </c>
      <c r="B667" s="1" t="str">
        <f ca="1">IFERROR(__xludf.DUMMYFUNCTION("""COMPUTED_VALUE"""),"wvandekamp@att.net")</f>
        <v>wvandekamp@att.net</v>
      </c>
      <c r="C667" s="4" t="str">
        <f ca="1">IFERROR(__xludf.DUMMYFUNCTION("""COMPUTED_VALUE"""),"EVERGREEN - UAN Gated Content - Embedded Petition")</f>
        <v>EVERGREEN - UAN Gated Content - Embedded Petition</v>
      </c>
      <c r="D667" s="5">
        <f ca="1">IFERROR(__xludf.DUMMYFUNCTION("""COMPUTED_VALUE"""),45616)</f>
        <v>45616</v>
      </c>
      <c r="F667" s="1" t="str">
        <f ca="1">IFERROR(__xludf.DUMMYFUNCTION("""COMPUTED_VALUE"""),"USA")</f>
        <v>USA</v>
      </c>
      <c r="G667" s="1" t="str">
        <f ca="1">IFERROR(__xludf.DUMMYFUNCTION("""COMPUTED_VALUE"""),"105.24 USA")</f>
        <v>105.24 USA</v>
      </c>
      <c r="H667" s="1" t="str">
        <f ca="1">IFERROR(__xludf.DUMMYFUNCTION("""COMPUTED_VALUE"""),"Death Penalty")</f>
        <v>Death Penalty</v>
      </c>
      <c r="I667" s="1" t="str">
        <f ca="1">IFERROR(__xludf.DUMMYFUNCTION("""COMPUTED_VALUE"""),"2024")</f>
        <v>2024</v>
      </c>
      <c r="J667" s="1" t="str">
        <f ca="1">IFERROR(__xludf.DUMMYFUNCTION("""COMPUTED_VALUE"""),"Email")</f>
        <v>Email</v>
      </c>
    </row>
    <row r="668" spans="1:10" ht="13" x14ac:dyDescent="0.15">
      <c r="A668" s="4">
        <f ca="1">IFERROR(__xludf.DUMMYFUNCTION("""COMPUTED_VALUE"""),31587224)</f>
        <v>31587224</v>
      </c>
      <c r="B668" s="1" t="str">
        <f ca="1">IFERROR(__xludf.DUMMYFUNCTION("""COMPUTED_VALUE"""),"wvandekamp@att.net")</f>
        <v>wvandekamp@att.net</v>
      </c>
      <c r="C668" s="4" t="str">
        <f ca="1">IFERROR(__xludf.DUMMYFUNCTION("""COMPUTED_VALUE"""),"EVERGREEN - UAN Gated Content - Embedded Petition")</f>
        <v>EVERGREEN - UAN Gated Content - Embedded Petition</v>
      </c>
      <c r="D668" s="5">
        <f ca="1">IFERROR(__xludf.DUMMYFUNCTION("""COMPUTED_VALUE"""),45616)</f>
        <v>45616</v>
      </c>
      <c r="F668" s="1" t="str">
        <f ca="1">IFERROR(__xludf.DUMMYFUNCTION("""COMPUTED_VALUE"""),"Venezuela")</f>
        <v>Venezuela</v>
      </c>
      <c r="G668" s="1" t="str">
        <f ca="1">IFERROR(__xludf.DUMMYFUNCTION("""COMPUTED_VALUE"""),"1.25 Venezuela")</f>
        <v>1.25 Venezuela</v>
      </c>
      <c r="H668" s="1" t="str">
        <f ca="1">IFERROR(__xludf.DUMMYFUNCTION("""COMPUTED_VALUE"""),"Human Rights Defenders, Individuals At Risk")</f>
        <v>Human Rights Defenders, Individuals At Risk</v>
      </c>
      <c r="I668" s="1" t="str">
        <f ca="1">IFERROR(__xludf.DUMMYFUNCTION("""COMPUTED_VALUE"""),"2025")</f>
        <v>2025</v>
      </c>
      <c r="J668" s="1" t="str">
        <f ca="1">IFERROR(__xludf.DUMMYFUNCTION("""COMPUTED_VALUE"""),"Letter")</f>
        <v>Letter</v>
      </c>
    </row>
    <row r="669" spans="1:10" ht="13" x14ac:dyDescent="0.15">
      <c r="A669" s="4">
        <f ca="1">IFERROR(__xludf.DUMMYFUNCTION("""COMPUTED_VALUE"""),31587224)</f>
        <v>31587224</v>
      </c>
      <c r="B669" s="1" t="str">
        <f ca="1">IFERROR(__xludf.DUMMYFUNCTION("""COMPUTED_VALUE"""),"wvandekamp@att.net")</f>
        <v>wvandekamp@att.net</v>
      </c>
      <c r="C669" s="4" t="str">
        <f ca="1">IFERROR(__xludf.DUMMYFUNCTION("""COMPUTED_VALUE"""),"EVERGREEN - UAN Gated Content - Embedded Petition")</f>
        <v>EVERGREEN - UAN Gated Content - Embedded Petition</v>
      </c>
      <c r="D669" s="5">
        <f ca="1">IFERROR(__xludf.DUMMYFUNCTION("""COMPUTED_VALUE"""),45665)</f>
        <v>45665</v>
      </c>
      <c r="F669" s="1" t="str">
        <f ca="1">IFERROR(__xludf.DUMMYFUNCTION("""COMPUTED_VALUE"""),"Tunisia")</f>
        <v>Tunisia</v>
      </c>
      <c r="G669" s="1" t="str">
        <f ca="1">IFERROR(__xludf.DUMMYFUNCTION("""COMPUTED_VALUE"""),"Second 76.24 Tunisia")</f>
        <v>Second 76.24 Tunisia</v>
      </c>
      <c r="H669" s="1" t="str">
        <f ca="1">IFERROR(__xludf.DUMMYFUNCTION("""COMPUTED_VALUE"""),"Freedom of Expression, Human Rights Defenders")</f>
        <v>Freedom of Expression, Human Rights Defenders</v>
      </c>
      <c r="I669" s="1" t="str">
        <f ca="1">IFERROR(__xludf.DUMMYFUNCTION("""COMPUTED_VALUE"""),"2025")</f>
        <v>2025</v>
      </c>
      <c r="J669" s="1" t="str">
        <f ca="1">IFERROR(__xludf.DUMMYFUNCTION("""COMPUTED_VALUE"""),"Email")</f>
        <v>Email</v>
      </c>
    </row>
    <row r="670" spans="1:10" ht="13" x14ac:dyDescent="0.15">
      <c r="A670" s="4">
        <f ca="1">IFERROR(__xludf.DUMMYFUNCTION("""COMPUTED_VALUE"""),31587224)</f>
        <v>31587224</v>
      </c>
      <c r="B670" s="1" t="str">
        <f ca="1">IFERROR(__xludf.DUMMYFUNCTION("""COMPUTED_VALUE"""),"wvandekamp@att.net")</f>
        <v>wvandekamp@att.net</v>
      </c>
      <c r="C670" s="4" t="str">
        <f ca="1">IFERROR(__xludf.DUMMYFUNCTION("""COMPUTED_VALUE"""),"EVERGREEN - UAN Gated Content - Embedded Petition")</f>
        <v>EVERGREEN - UAN Gated Content - Embedded Petition</v>
      </c>
      <c r="D670" s="5">
        <f ca="1">IFERROR(__xludf.DUMMYFUNCTION("""COMPUTED_VALUE"""),45647)</f>
        <v>45647</v>
      </c>
      <c r="F670" s="1" t="str">
        <f ca="1">IFERROR(__xludf.DUMMYFUNCTION("""COMPUTED_VALUE"""),"Iran")</f>
        <v>Iran</v>
      </c>
      <c r="G670" s="1" t="str">
        <f ca="1">IFERROR(__xludf.DUMMYFUNCTION("""COMPUTED_VALUE"""),"Seventh 103.22 Iran")</f>
        <v>Seventh 103.22 Iran</v>
      </c>
      <c r="H670" s="1" t="str">
        <f ca="1">IFERROR(__xludf.DUMMYFUNCTION("""COMPUTED_VALUE"""),"Death Penalty, Freedom of Expression, Individuals At Risk")</f>
        <v>Death Penalty, Freedom of Expression, Individuals At Risk</v>
      </c>
      <c r="I670" s="1" t="str">
        <f ca="1">IFERROR(__xludf.DUMMYFUNCTION("""COMPUTED_VALUE"""),"2024")</f>
        <v>2024</v>
      </c>
      <c r="J670" s="1" t="str">
        <f ca="1">IFERROR(__xludf.DUMMYFUNCTION("""COMPUTED_VALUE"""),"Email")</f>
        <v>Email</v>
      </c>
    </row>
    <row r="671" spans="1:10" ht="13" x14ac:dyDescent="0.15">
      <c r="A671" s="4">
        <f ca="1">IFERROR(__xludf.DUMMYFUNCTION("""COMPUTED_VALUE"""),31587224)</f>
        <v>31587224</v>
      </c>
      <c r="B671" s="1" t="str">
        <f ca="1">IFERROR(__xludf.DUMMYFUNCTION("""COMPUTED_VALUE"""),"wvandekamp@att.net")</f>
        <v>wvandekamp@att.net</v>
      </c>
      <c r="C671" s="4" t="str">
        <f ca="1">IFERROR(__xludf.DUMMYFUNCTION("""COMPUTED_VALUE"""),"EVERGREEN - UAN Gated Content - Embedded Petition")</f>
        <v>EVERGREEN - UAN Gated Content - Embedded Petition</v>
      </c>
      <c r="D671" s="5">
        <f ca="1">IFERROR(__xludf.DUMMYFUNCTION("""COMPUTED_VALUE"""),45647)</f>
        <v>45647</v>
      </c>
      <c r="F671" s="1" t="str">
        <f ca="1">IFERROR(__xludf.DUMMYFUNCTION("""COMPUTED_VALUE"""),"Uganda")</f>
        <v>Uganda</v>
      </c>
      <c r="G671" s="1" t="str">
        <f ca="1">IFERROR(__xludf.DUMMYFUNCTION("""COMPUTED_VALUE"""),"100.24 Uganda")</f>
        <v>100.24 Uganda</v>
      </c>
      <c r="H671" s="1" t="str">
        <f ca="1">IFERROR(__xludf.DUMMYFUNCTION("""COMPUTED_VALUE"""),"Freedom of Expression")</f>
        <v>Freedom of Expression</v>
      </c>
      <c r="I671" s="1" t="str">
        <f ca="1">IFERROR(__xludf.DUMMYFUNCTION("""COMPUTED_VALUE"""),"2024")</f>
        <v>2024</v>
      </c>
      <c r="J671" s="1" t="str">
        <f ca="1">IFERROR(__xludf.DUMMYFUNCTION("""COMPUTED_VALUE"""),"Email")</f>
        <v>Email</v>
      </c>
    </row>
    <row r="672" spans="1:10" ht="13" x14ac:dyDescent="0.15">
      <c r="A672" s="4">
        <f ca="1">IFERROR(__xludf.DUMMYFUNCTION("""COMPUTED_VALUE"""),31587224)</f>
        <v>31587224</v>
      </c>
      <c r="B672" s="1" t="str">
        <f ca="1">IFERROR(__xludf.DUMMYFUNCTION("""COMPUTED_VALUE"""),"wvandekamp@att.net")</f>
        <v>wvandekamp@att.net</v>
      </c>
      <c r="C672" s="4" t="str">
        <f ca="1">IFERROR(__xludf.DUMMYFUNCTION("""COMPUTED_VALUE"""),"EVERGREEN - UAN Gated Content - Embedded Petition")</f>
        <v>EVERGREEN - UAN Gated Content - Embedded Petition</v>
      </c>
      <c r="D672" s="5">
        <f ca="1">IFERROR(__xludf.DUMMYFUNCTION("""COMPUTED_VALUE"""),45697)</f>
        <v>45697</v>
      </c>
      <c r="F672" s="1" t="str">
        <f ca="1">IFERROR(__xludf.DUMMYFUNCTION("""COMPUTED_VALUE"""),"Niger")</f>
        <v>Niger</v>
      </c>
      <c r="G672" s="1" t="str">
        <f ca="1">IFERROR(__xludf.DUMMYFUNCTION("""COMPUTED_VALUE"""),"103.24 Niger")</f>
        <v>103.24 Niger</v>
      </c>
      <c r="H672" s="1" t="str">
        <f ca="1">IFERROR(__xludf.DUMMYFUNCTION("""COMPUTED_VALUE"""),"Freedom of Expression, Human Rights Defenders")</f>
        <v>Freedom of Expression, Human Rights Defenders</v>
      </c>
      <c r="I672" s="1" t="str">
        <f ca="1">IFERROR(__xludf.DUMMYFUNCTION("""COMPUTED_VALUE"""),"2024")</f>
        <v>2024</v>
      </c>
      <c r="J672" s="1" t="str">
        <f ca="1">IFERROR(__xludf.DUMMYFUNCTION("""COMPUTED_VALUE"""),"Email")</f>
        <v>Email</v>
      </c>
    </row>
    <row r="673" spans="1:10" ht="13" x14ac:dyDescent="0.15">
      <c r="A673" s="4">
        <f ca="1">IFERROR(__xludf.DUMMYFUNCTION("""COMPUTED_VALUE"""),31587224)</f>
        <v>31587224</v>
      </c>
      <c r="B673" s="1" t="str">
        <f ca="1">IFERROR(__xludf.DUMMYFUNCTION("""COMPUTED_VALUE"""),"wvandekamp@att.net")</f>
        <v>wvandekamp@att.net</v>
      </c>
      <c r="C673" s="4" t="str">
        <f ca="1">IFERROR(__xludf.DUMMYFUNCTION("""COMPUTED_VALUE"""),"EVERGREEN - UAN Gated Content - Embedded Petition")</f>
        <v>EVERGREEN - UAN Gated Content - Embedded Petition</v>
      </c>
      <c r="D673" s="5">
        <f ca="1">IFERROR(__xludf.DUMMYFUNCTION("""COMPUTED_VALUE"""),45653)</f>
        <v>45653</v>
      </c>
      <c r="F673" s="1" t="str">
        <f ca="1">IFERROR(__xludf.DUMMYFUNCTION("""COMPUTED_VALUE"""),"USA")</f>
        <v>USA</v>
      </c>
      <c r="G673" s="1" t="str">
        <f ca="1">IFERROR(__xludf.DUMMYFUNCTION("""COMPUTED_VALUE"""),"105.24 USA")</f>
        <v>105.24 USA</v>
      </c>
      <c r="H673" s="1" t="str">
        <f ca="1">IFERROR(__xludf.DUMMYFUNCTION("""COMPUTED_VALUE"""),"Death Penalty")</f>
        <v>Death Penalty</v>
      </c>
      <c r="I673" s="1" t="str">
        <f ca="1">IFERROR(__xludf.DUMMYFUNCTION("""COMPUTED_VALUE"""),"2024")</f>
        <v>2024</v>
      </c>
      <c r="J673" s="1" t="str">
        <f ca="1">IFERROR(__xludf.DUMMYFUNCTION("""COMPUTED_VALUE"""),"Email")</f>
        <v>Email</v>
      </c>
    </row>
    <row r="674" spans="1:10" ht="13" x14ac:dyDescent="0.15">
      <c r="A674" s="4">
        <f ca="1">IFERROR(__xludf.DUMMYFUNCTION("""COMPUTED_VALUE"""),31587224)</f>
        <v>31587224</v>
      </c>
      <c r="B674" s="1" t="str">
        <f ca="1">IFERROR(__xludf.DUMMYFUNCTION("""COMPUTED_VALUE"""),"wvandekamp@att.net")</f>
        <v>wvandekamp@att.net</v>
      </c>
      <c r="C674" s="4" t="str">
        <f ca="1">IFERROR(__xludf.DUMMYFUNCTION("""COMPUTED_VALUE"""),"EVERGREEN - UAN Gated Content - Embedded Petition")</f>
        <v>EVERGREEN - UAN Gated Content - Embedded Petition</v>
      </c>
      <c r="D674" s="5">
        <f ca="1">IFERROR(__xludf.DUMMYFUNCTION("""COMPUTED_VALUE"""),45659)</f>
        <v>45659</v>
      </c>
      <c r="F674" s="1" t="str">
        <f ca="1">IFERROR(__xludf.DUMMYFUNCTION("""COMPUTED_VALUE"""),"Azerbaijan")</f>
        <v>Azerbaijan</v>
      </c>
      <c r="G674" s="1" t="str">
        <f ca="1">IFERROR(__xludf.DUMMYFUNCTION("""COMPUTED_VALUE"""),"2.25 Azerbaijan")</f>
        <v>2.25 Azerbaijan</v>
      </c>
      <c r="H674" s="1" t="str">
        <f ca="1">IFERROR(__xludf.DUMMYFUNCTION("""COMPUTED_VALUE"""),"Freedom of Expression, Human Rights Defenders")</f>
        <v>Freedom of Expression, Human Rights Defenders</v>
      </c>
      <c r="I674" s="1" t="str">
        <f ca="1">IFERROR(__xludf.DUMMYFUNCTION("""COMPUTED_VALUE"""),"2025")</f>
        <v>2025</v>
      </c>
      <c r="J674" s="1" t="str">
        <f ca="1">IFERROR(__xludf.DUMMYFUNCTION("""COMPUTED_VALUE"""),"Email")</f>
        <v>Email</v>
      </c>
    </row>
    <row r="675" spans="1:10" ht="13" x14ac:dyDescent="0.15">
      <c r="A675" s="4">
        <f ca="1">IFERROR(__xludf.DUMMYFUNCTION("""COMPUTED_VALUE"""),31587224)</f>
        <v>31587224</v>
      </c>
      <c r="B675" s="1" t="str">
        <f ca="1">IFERROR(__xludf.DUMMYFUNCTION("""COMPUTED_VALUE"""),"wvandekamp@att.net")</f>
        <v>wvandekamp@att.net</v>
      </c>
      <c r="C675" s="4" t="str">
        <f ca="1">IFERROR(__xludf.DUMMYFUNCTION("""COMPUTED_VALUE"""),"EVERGREEN - UAN Gated Content - Embedded Petition")</f>
        <v>EVERGREEN - UAN Gated Content - Embedded Petition</v>
      </c>
      <c r="D675" s="5">
        <f ca="1">IFERROR(__xludf.DUMMYFUNCTION("""COMPUTED_VALUE"""),45696)</f>
        <v>45696</v>
      </c>
      <c r="F675" s="1" t="str">
        <f ca="1">IFERROR(__xludf.DUMMYFUNCTION("""COMPUTED_VALUE"""),"USA")</f>
        <v>USA</v>
      </c>
      <c r="G675" s="1" t="str">
        <f ca="1">IFERROR(__xludf.DUMMYFUNCTION("""COMPUTED_VALUE"""),"105.24 USA")</f>
        <v>105.24 USA</v>
      </c>
      <c r="H675" s="1" t="str">
        <f ca="1">IFERROR(__xludf.DUMMYFUNCTION("""COMPUTED_VALUE"""),"Death Penalty")</f>
        <v>Death Penalty</v>
      </c>
      <c r="I675" s="1" t="str">
        <f ca="1">IFERROR(__xludf.DUMMYFUNCTION("""COMPUTED_VALUE"""),"2024")</f>
        <v>2024</v>
      </c>
      <c r="J675" s="1" t="str">
        <f ca="1">IFERROR(__xludf.DUMMYFUNCTION("""COMPUTED_VALUE"""),"Email")</f>
        <v>Email</v>
      </c>
    </row>
    <row r="676" spans="1:10" ht="13" x14ac:dyDescent="0.15">
      <c r="A676" s="4">
        <f ca="1">IFERROR(__xludf.DUMMYFUNCTION("""COMPUTED_VALUE"""),31587224)</f>
        <v>31587224</v>
      </c>
      <c r="B676" s="1" t="str">
        <f ca="1">IFERROR(__xludf.DUMMYFUNCTION("""COMPUTED_VALUE"""),"wvandekamp@att.net")</f>
        <v>wvandekamp@att.net</v>
      </c>
      <c r="C676" s="4" t="str">
        <f ca="1">IFERROR(__xludf.DUMMYFUNCTION("""COMPUTED_VALUE"""),"EVERGREEN - UAN Gated Content - Embedded Petition")</f>
        <v>EVERGREEN - UAN Gated Content - Embedded Petition</v>
      </c>
      <c r="D676" s="5">
        <f ca="1">IFERROR(__xludf.DUMMYFUNCTION("""COMPUTED_VALUE"""),45703)</f>
        <v>45703</v>
      </c>
      <c r="F676" s="1" t="str">
        <f ca="1">IFERROR(__xludf.DUMMYFUNCTION("""COMPUTED_VALUE"""),"USA")</f>
        <v>USA</v>
      </c>
      <c r="G676" s="1" t="str">
        <f ca="1">IFERROR(__xludf.DUMMYFUNCTION("""COMPUTED_VALUE"""),"105.24 USA")</f>
        <v>105.24 USA</v>
      </c>
      <c r="H676" s="1" t="str">
        <f ca="1">IFERROR(__xludf.DUMMYFUNCTION("""COMPUTED_VALUE"""),"Death Penalty")</f>
        <v>Death Penalty</v>
      </c>
      <c r="I676" s="1" t="str">
        <f ca="1">IFERROR(__xludf.DUMMYFUNCTION("""COMPUTED_VALUE"""),"2024")</f>
        <v>2024</v>
      </c>
      <c r="J676" s="1" t="str">
        <f ca="1">IFERROR(__xludf.DUMMYFUNCTION("""COMPUTED_VALUE"""),"Email")</f>
        <v>Email</v>
      </c>
    </row>
    <row r="677" spans="1:10" ht="13" x14ac:dyDescent="0.15">
      <c r="A677" s="4">
        <f ca="1">IFERROR(__xludf.DUMMYFUNCTION("""COMPUTED_VALUE"""),31587224)</f>
        <v>31587224</v>
      </c>
      <c r="B677" s="1" t="str">
        <f ca="1">IFERROR(__xludf.DUMMYFUNCTION("""COMPUTED_VALUE"""),"wvandekamp@att.net")</f>
        <v>wvandekamp@att.net</v>
      </c>
      <c r="C677" s="4" t="str">
        <f ca="1">IFERROR(__xludf.DUMMYFUNCTION("""COMPUTED_VALUE"""),"EVERGREEN - UAN Gated Content - Embedded Petition")</f>
        <v>EVERGREEN - UAN Gated Content - Embedded Petition</v>
      </c>
      <c r="D677" s="5">
        <f ca="1">IFERROR(__xludf.DUMMYFUNCTION("""COMPUTED_VALUE"""),45704)</f>
        <v>45704</v>
      </c>
      <c r="F677" s="1" t="str">
        <f ca="1">IFERROR(__xludf.DUMMYFUNCTION("""COMPUTED_VALUE"""),"USA")</f>
        <v>USA</v>
      </c>
      <c r="G677" s="1" t="str">
        <f ca="1">IFERROR(__xludf.DUMMYFUNCTION("""COMPUTED_VALUE"""),"105.24 USA")</f>
        <v>105.24 USA</v>
      </c>
      <c r="H677" s="1" t="str">
        <f ca="1">IFERROR(__xludf.DUMMYFUNCTION("""COMPUTED_VALUE"""),"Death Penalty")</f>
        <v>Death Penalty</v>
      </c>
      <c r="I677" s="1" t="str">
        <f ca="1">IFERROR(__xludf.DUMMYFUNCTION("""COMPUTED_VALUE"""),"2024")</f>
        <v>2024</v>
      </c>
      <c r="J677" s="1" t="str">
        <f ca="1">IFERROR(__xludf.DUMMYFUNCTION("""COMPUTED_VALUE"""),"Email")</f>
        <v>Email</v>
      </c>
    </row>
    <row r="678" spans="1:10" ht="13" x14ac:dyDescent="0.15">
      <c r="A678" s="4">
        <f ca="1">IFERROR(__xludf.DUMMYFUNCTION("""COMPUTED_VALUE"""),31587224)</f>
        <v>31587224</v>
      </c>
      <c r="B678" s="1" t="str">
        <f ca="1">IFERROR(__xludf.DUMMYFUNCTION("""COMPUTED_VALUE"""),"wvandekamp@att.net")</f>
        <v>wvandekamp@att.net</v>
      </c>
      <c r="C678" s="4" t="str">
        <f ca="1">IFERROR(__xludf.DUMMYFUNCTION("""COMPUTED_VALUE"""),"EVERGREEN - UAN Gated Content - Embedded Petition")</f>
        <v>EVERGREEN - UAN Gated Content - Embedded Petition</v>
      </c>
      <c r="D678" s="5">
        <f ca="1">IFERROR(__xludf.DUMMYFUNCTION("""COMPUTED_VALUE"""),45652)</f>
        <v>45652</v>
      </c>
      <c r="F678" s="1" t="str">
        <f ca="1">IFERROR(__xludf.DUMMYFUNCTION("""COMPUTED_VALUE"""),"Egypt")</f>
        <v>Egypt</v>
      </c>
      <c r="G678" s="1" t="str">
        <f ca="1">IFERROR(__xludf.DUMMYFUNCTION("""COMPUTED_VALUE"""),"Ninth 190.18 Egypt")</f>
        <v>Ninth 190.18 Egypt</v>
      </c>
      <c r="H678" s="1" t="str">
        <f ca="1">IFERROR(__xludf.DUMMYFUNCTION("""COMPUTED_VALUE"""),"Freedom of Expression, Individuals At Risk")</f>
        <v>Freedom of Expression, Individuals At Risk</v>
      </c>
      <c r="I678" s="1" t="str">
        <f ca="1">IFERROR(__xludf.DUMMYFUNCTION("""COMPUTED_VALUE"""),"2024")</f>
        <v>2024</v>
      </c>
      <c r="J678" s="1" t="str">
        <f ca="1">IFERROR(__xludf.DUMMYFUNCTION("""COMPUTED_VALUE"""),"Letter")</f>
        <v>Letter</v>
      </c>
    </row>
    <row r="679" spans="1:10" ht="13" x14ac:dyDescent="0.15">
      <c r="A679" s="4">
        <f ca="1">IFERROR(__xludf.DUMMYFUNCTION("""COMPUTED_VALUE"""),31591080)</f>
        <v>31591080</v>
      </c>
      <c r="B679" s="1" t="str">
        <f ca="1">IFERROR(__xludf.DUMMYFUNCTION("""COMPUTED_VALUE"""),"mtglu2000@yahoo.com")</f>
        <v>mtglu2000@yahoo.com</v>
      </c>
      <c r="C679" s="4" t="str">
        <f ca="1">IFERROR(__xludf.DUMMYFUNCTION("""COMPUTED_VALUE"""),"EVERGREEN - UAN Gated Content - Embedded Petition")</f>
        <v>EVERGREEN - UAN Gated Content - Embedded Petition</v>
      </c>
      <c r="D679" s="5">
        <f ca="1">IFERROR(__xludf.DUMMYFUNCTION("""COMPUTED_VALUE"""),45694)</f>
        <v>45694</v>
      </c>
      <c r="F679" s="1" t="str">
        <f ca="1">IFERROR(__xludf.DUMMYFUNCTION("""COMPUTED_VALUE"""),"Venezuela")</f>
        <v>Venezuela</v>
      </c>
      <c r="G679" s="1" t="str">
        <f ca="1">IFERROR(__xludf.DUMMYFUNCTION("""COMPUTED_VALUE"""),"97.24 Venezuela")</f>
        <v>97.24 Venezuela</v>
      </c>
      <c r="H679" s="1" t="str">
        <f ca="1">IFERROR(__xludf.DUMMYFUNCTION("""COMPUTED_VALUE"""),"Freedom of Expression")</f>
        <v>Freedom of Expression</v>
      </c>
      <c r="I679" s="1" t="str">
        <f ca="1">IFERROR(__xludf.DUMMYFUNCTION("""COMPUTED_VALUE"""),"2024")</f>
        <v>2024</v>
      </c>
      <c r="J679" s="1" t="str">
        <f ca="1">IFERROR(__xludf.DUMMYFUNCTION("""COMPUTED_VALUE"""),"Letter")</f>
        <v>Letter</v>
      </c>
    </row>
    <row r="680" spans="1:10" ht="13" x14ac:dyDescent="0.15">
      <c r="A680" s="4">
        <f ca="1">IFERROR(__xludf.DUMMYFUNCTION("""COMPUTED_VALUE"""),31596292)</f>
        <v>31596292</v>
      </c>
      <c r="B680" s="1" t="str">
        <f ca="1">IFERROR(__xludf.DUMMYFUNCTION("""COMPUTED_VALUE"""),"ndurantini@roadrunner.com")</f>
        <v>ndurantini@roadrunner.com</v>
      </c>
      <c r="C680" s="4" t="str">
        <f ca="1">IFERROR(__xludf.DUMMYFUNCTION("""COMPUTED_VALUE"""),"EVERGREEN - UAN Gated Content - Embedded Petition")</f>
        <v>EVERGREEN - UAN Gated Content - Embedded Petition</v>
      </c>
      <c r="D680" s="5">
        <f ca="1">IFERROR(__xludf.DUMMYFUNCTION("""COMPUTED_VALUE"""),45616)</f>
        <v>45616</v>
      </c>
      <c r="F680" s="1" t="str">
        <f ca="1">IFERROR(__xludf.DUMMYFUNCTION("""COMPUTED_VALUE"""),"China")</f>
        <v>China</v>
      </c>
      <c r="G680" s="1" t="str">
        <f ca="1">IFERROR(__xludf.DUMMYFUNCTION("""COMPUTED_VALUE"""),"98.24 China")</f>
        <v>98.24 China</v>
      </c>
      <c r="H680" s="1" t="str">
        <f ca="1">IFERROR(__xludf.DUMMYFUNCTION("""COMPUTED_VALUE"""),"Freedom of Expression, Individuals At Risk")</f>
        <v>Freedom of Expression, Individuals At Risk</v>
      </c>
      <c r="I680" s="1" t="str">
        <f ca="1">IFERROR(__xludf.DUMMYFUNCTION("""COMPUTED_VALUE"""),"2024")</f>
        <v>2024</v>
      </c>
      <c r="J680" s="1" t="str">
        <f ca="1">IFERROR(__xludf.DUMMYFUNCTION("""COMPUTED_VALUE"""),"Letter")</f>
        <v>Letter</v>
      </c>
    </row>
    <row r="681" spans="1:10" ht="13" x14ac:dyDescent="0.15">
      <c r="A681" s="4">
        <f ca="1">IFERROR(__xludf.DUMMYFUNCTION("""COMPUTED_VALUE"""),31597263)</f>
        <v>31597263</v>
      </c>
      <c r="B681" s="1" t="str">
        <f ca="1">IFERROR(__xludf.DUMMYFUNCTION("""COMPUTED_VALUE"""),"david.kalant@mcgill.ca")</f>
        <v>david.kalant@mcgill.ca</v>
      </c>
      <c r="C681" s="4" t="str">
        <f ca="1">IFERROR(__xludf.DUMMYFUNCTION("""COMPUTED_VALUE"""),"EVERGREEN - UAN Gated Content - Embedded Petition")</f>
        <v>EVERGREEN - UAN Gated Content - Embedded Petition</v>
      </c>
      <c r="D681" s="5">
        <f ca="1">IFERROR(__xludf.DUMMYFUNCTION("""COMPUTED_VALUE"""),45637)</f>
        <v>45637</v>
      </c>
      <c r="F681" s="1" t="str">
        <f ca="1">IFERROR(__xludf.DUMMYFUNCTION("""COMPUTED_VALUE"""),"Venezuela")</f>
        <v>Venezuela</v>
      </c>
      <c r="G681" s="1" t="str">
        <f ca="1">IFERROR(__xludf.DUMMYFUNCTION("""COMPUTED_VALUE"""),"97.24 Venezuela")</f>
        <v>97.24 Venezuela</v>
      </c>
      <c r="H681" s="1" t="str">
        <f ca="1">IFERROR(__xludf.DUMMYFUNCTION("""COMPUTED_VALUE"""),"Freedom of Expression")</f>
        <v>Freedom of Expression</v>
      </c>
      <c r="I681" s="1" t="str">
        <f ca="1">IFERROR(__xludf.DUMMYFUNCTION("""COMPUTED_VALUE"""),"2024")</f>
        <v>2024</v>
      </c>
      <c r="J681" s="1" t="str">
        <f ca="1">IFERROR(__xludf.DUMMYFUNCTION("""COMPUTED_VALUE"""),"Letter")</f>
        <v>Letter</v>
      </c>
    </row>
    <row r="682" spans="1:10" ht="13" x14ac:dyDescent="0.15">
      <c r="A682" s="4">
        <f ca="1">IFERROR(__xludf.DUMMYFUNCTION("""COMPUTED_VALUE"""),31599087)</f>
        <v>31599087</v>
      </c>
      <c r="B682" s="1" t="str">
        <f ca="1">IFERROR(__xludf.DUMMYFUNCTION("""COMPUTED_VALUE"""),"denicetraina@gmail.com")</f>
        <v>denicetraina@gmail.com</v>
      </c>
      <c r="C682" s="4" t="str">
        <f ca="1">IFERROR(__xludf.DUMMYFUNCTION("""COMPUTED_VALUE"""),"EVERGREEN - UAN Gated Content - Embedded Petition")</f>
        <v>EVERGREEN - UAN Gated Content - Embedded Petition</v>
      </c>
      <c r="D682" s="5">
        <f ca="1">IFERROR(__xludf.DUMMYFUNCTION("""COMPUTED_VALUE"""),45682)</f>
        <v>45682</v>
      </c>
      <c r="F682" s="1" t="str">
        <f ca="1">IFERROR(__xludf.DUMMYFUNCTION("""COMPUTED_VALUE"""),"USA")</f>
        <v>USA</v>
      </c>
      <c r="G682" s="1" t="str">
        <f ca="1">IFERROR(__xludf.DUMMYFUNCTION("""COMPUTED_VALUE"""),"105.24 USA")</f>
        <v>105.24 USA</v>
      </c>
      <c r="H682" s="1" t="str">
        <f ca="1">IFERROR(__xludf.DUMMYFUNCTION("""COMPUTED_VALUE"""),"Death Penalty")</f>
        <v>Death Penalty</v>
      </c>
      <c r="I682" s="1" t="str">
        <f ca="1">IFERROR(__xludf.DUMMYFUNCTION("""COMPUTED_VALUE"""),"2024")</f>
        <v>2024</v>
      </c>
      <c r="J682" s="1" t="str">
        <f ca="1">IFERROR(__xludf.DUMMYFUNCTION("""COMPUTED_VALUE"""),"Email")</f>
        <v>Email</v>
      </c>
    </row>
    <row r="683" spans="1:10" ht="13" x14ac:dyDescent="0.15">
      <c r="A683" s="4">
        <f ca="1">IFERROR(__xludf.DUMMYFUNCTION("""COMPUTED_VALUE"""),31612085)</f>
        <v>31612085</v>
      </c>
      <c r="B683" s="1" t="str">
        <f ca="1">IFERROR(__xludf.DUMMYFUNCTION("""COMPUTED_VALUE"""),"kzickterman@gmail.com")</f>
        <v>kzickterman@gmail.com</v>
      </c>
      <c r="C683" s="4" t="str">
        <f ca="1">IFERROR(__xludf.DUMMYFUNCTION("""COMPUTED_VALUE"""),"EVERGREEN - UAN Gated Content - Embedded Petition")</f>
        <v>EVERGREEN - UAN Gated Content - Embedded Petition</v>
      </c>
      <c r="D683" s="5">
        <f ca="1">IFERROR(__xludf.DUMMYFUNCTION("""COMPUTED_VALUE"""),45681)</f>
        <v>45681</v>
      </c>
      <c r="F683" s="1" t="str">
        <f ca="1">IFERROR(__xludf.DUMMYFUNCTION("""COMPUTED_VALUE"""),"Tunisia")</f>
        <v>Tunisia</v>
      </c>
      <c r="G683" s="1" t="str">
        <f ca="1">IFERROR(__xludf.DUMMYFUNCTION("""COMPUTED_VALUE"""),"Second 76.24 Tunisia")</f>
        <v>Second 76.24 Tunisia</v>
      </c>
      <c r="H683" s="1" t="str">
        <f ca="1">IFERROR(__xludf.DUMMYFUNCTION("""COMPUTED_VALUE"""),"Freedom of Expression, Human Rights Defenders")</f>
        <v>Freedom of Expression, Human Rights Defenders</v>
      </c>
      <c r="I683" s="1" t="str">
        <f ca="1">IFERROR(__xludf.DUMMYFUNCTION("""COMPUTED_VALUE"""),"2025")</f>
        <v>2025</v>
      </c>
      <c r="J683" s="1" t="str">
        <f ca="1">IFERROR(__xludf.DUMMYFUNCTION("""COMPUTED_VALUE"""),"Email")</f>
        <v>Email</v>
      </c>
    </row>
    <row r="684" spans="1:10" ht="13" x14ac:dyDescent="0.15">
      <c r="A684" s="4">
        <f ca="1">IFERROR(__xludf.DUMMYFUNCTION("""COMPUTED_VALUE"""),31614305)</f>
        <v>31614305</v>
      </c>
      <c r="B684" s="1" t="str">
        <f ca="1">IFERROR(__xludf.DUMMYFUNCTION("""COMPUTED_VALUE"""),"cfgeorge64@gmail.com")</f>
        <v>cfgeorge64@gmail.com</v>
      </c>
      <c r="C684" s="4" t="str">
        <f ca="1">IFERROR(__xludf.DUMMYFUNCTION("""COMPUTED_VALUE"""),"EVERGREEN - UAN Gated Content - Embedded Petition")</f>
        <v>EVERGREEN - UAN Gated Content - Embedded Petition</v>
      </c>
      <c r="D684" s="5">
        <f ca="1">IFERROR(__xludf.DUMMYFUNCTION("""COMPUTED_VALUE"""),45616)</f>
        <v>45616</v>
      </c>
      <c r="F684" s="1" t="str">
        <f ca="1">IFERROR(__xludf.DUMMYFUNCTION("""COMPUTED_VALUE"""),"Egypt")</f>
        <v>Egypt</v>
      </c>
      <c r="G684" s="1" t="str">
        <f ca="1">IFERROR(__xludf.DUMMYFUNCTION("""COMPUTED_VALUE"""),"Ninth 190.18 Egypt")</f>
        <v>Ninth 190.18 Egypt</v>
      </c>
      <c r="H684" s="1" t="str">
        <f ca="1">IFERROR(__xludf.DUMMYFUNCTION("""COMPUTED_VALUE"""),"Freedom of Expression, Individuals At Risk")</f>
        <v>Freedom of Expression, Individuals At Risk</v>
      </c>
      <c r="I684" s="1" t="str">
        <f ca="1">IFERROR(__xludf.DUMMYFUNCTION("""COMPUTED_VALUE"""),"2024")</f>
        <v>2024</v>
      </c>
      <c r="J684" s="1" t="str">
        <f ca="1">IFERROR(__xludf.DUMMYFUNCTION("""COMPUTED_VALUE"""),"Letter")</f>
        <v>Letter</v>
      </c>
    </row>
    <row r="685" spans="1:10" ht="13" x14ac:dyDescent="0.15">
      <c r="A685" s="4">
        <f ca="1">IFERROR(__xludf.DUMMYFUNCTION("""COMPUTED_VALUE"""),31616227)</f>
        <v>31616227</v>
      </c>
      <c r="B685" s="1" t="str">
        <f ca="1">IFERROR(__xludf.DUMMYFUNCTION("""COMPUTED_VALUE"""),"dtaylor@plenus.ca")</f>
        <v>dtaylor@plenus.ca</v>
      </c>
      <c r="C685" s="4" t="str">
        <f ca="1">IFERROR(__xludf.DUMMYFUNCTION("""COMPUTED_VALUE"""),"EVERGREEN - UAN Gated Content - Embedded Petition")</f>
        <v>EVERGREEN - UAN Gated Content - Embedded Petition</v>
      </c>
      <c r="D685" s="5">
        <f ca="1">IFERROR(__xludf.DUMMYFUNCTION("""COMPUTED_VALUE"""),45694)</f>
        <v>45694</v>
      </c>
      <c r="F685" s="1" t="str">
        <f ca="1">IFERROR(__xludf.DUMMYFUNCTION("""COMPUTED_VALUE"""),"China")</f>
        <v>China</v>
      </c>
      <c r="G685" s="1" t="str">
        <f ca="1">IFERROR(__xludf.DUMMYFUNCTION("""COMPUTED_VALUE"""),"98.24 China")</f>
        <v>98.24 China</v>
      </c>
      <c r="H685" s="1" t="str">
        <f ca="1">IFERROR(__xludf.DUMMYFUNCTION("""COMPUTED_VALUE"""),"Freedom of Expression, Individuals At Risk")</f>
        <v>Freedom of Expression, Individuals At Risk</v>
      </c>
      <c r="I685" s="1" t="str">
        <f ca="1">IFERROR(__xludf.DUMMYFUNCTION("""COMPUTED_VALUE"""),"2024")</f>
        <v>2024</v>
      </c>
      <c r="J685" s="1" t="str">
        <f ca="1">IFERROR(__xludf.DUMMYFUNCTION("""COMPUTED_VALUE"""),"Letter")</f>
        <v>Letter</v>
      </c>
    </row>
    <row r="686" spans="1:10" ht="13" x14ac:dyDescent="0.15">
      <c r="A686" s="4">
        <f ca="1">IFERROR(__xludf.DUMMYFUNCTION("""COMPUTED_VALUE"""),31616227)</f>
        <v>31616227</v>
      </c>
      <c r="B686" s="1" t="str">
        <f ca="1">IFERROR(__xludf.DUMMYFUNCTION("""COMPUTED_VALUE"""),"dtaylor@plenus.ca")</f>
        <v>dtaylor@plenus.ca</v>
      </c>
      <c r="C686" s="4" t="str">
        <f ca="1">IFERROR(__xludf.DUMMYFUNCTION("""COMPUTED_VALUE"""),"EVERGREEN - UAN Gated Content - Embedded Petition")</f>
        <v>EVERGREEN - UAN Gated Content - Embedded Petition</v>
      </c>
      <c r="D686" s="5">
        <f ca="1">IFERROR(__xludf.DUMMYFUNCTION("""COMPUTED_VALUE"""),45636)</f>
        <v>45636</v>
      </c>
      <c r="F686" s="1" t="str">
        <f ca="1">IFERROR(__xludf.DUMMYFUNCTION("""COMPUTED_VALUE"""),"Venezuela")</f>
        <v>Venezuela</v>
      </c>
      <c r="G686" s="1" t="str">
        <f ca="1">IFERROR(__xludf.DUMMYFUNCTION("""COMPUTED_VALUE"""),"97.24 Venezuela")</f>
        <v>97.24 Venezuela</v>
      </c>
      <c r="H686" s="1" t="str">
        <f ca="1">IFERROR(__xludf.DUMMYFUNCTION("""COMPUTED_VALUE"""),"Freedom of Expression")</f>
        <v>Freedom of Expression</v>
      </c>
      <c r="I686" s="1" t="str">
        <f ca="1">IFERROR(__xludf.DUMMYFUNCTION("""COMPUTED_VALUE"""),"2024")</f>
        <v>2024</v>
      </c>
      <c r="J686" s="1" t="str">
        <f ca="1">IFERROR(__xludf.DUMMYFUNCTION("""COMPUTED_VALUE"""),"Letter")</f>
        <v>Letter</v>
      </c>
    </row>
    <row r="687" spans="1:10" ht="13" x14ac:dyDescent="0.15">
      <c r="A687" s="4">
        <f ca="1">IFERROR(__xludf.DUMMYFUNCTION("""COMPUTED_VALUE"""),31618383)</f>
        <v>31618383</v>
      </c>
      <c r="B687" s="1" t="str">
        <f ca="1">IFERROR(__xludf.DUMMYFUNCTION("""COMPUTED_VALUE"""),"nsconrad@gmail.com")</f>
        <v>nsconrad@gmail.com</v>
      </c>
      <c r="C687" s="4" t="str">
        <f ca="1">IFERROR(__xludf.DUMMYFUNCTION("""COMPUTED_VALUE"""),"EVERGREEN - UAN Gated Content - Embedded Petition")</f>
        <v>EVERGREEN - UAN Gated Content - Embedded Petition</v>
      </c>
      <c r="D687" s="5">
        <f ca="1">IFERROR(__xludf.DUMMYFUNCTION("""COMPUTED_VALUE"""),45636)</f>
        <v>45636</v>
      </c>
      <c r="F687" s="1" t="str">
        <f ca="1">IFERROR(__xludf.DUMMYFUNCTION("""COMPUTED_VALUE"""),"Egypt")</f>
        <v>Egypt</v>
      </c>
      <c r="G687" s="1" t="str">
        <f ca="1">IFERROR(__xludf.DUMMYFUNCTION("""COMPUTED_VALUE"""),"Ninth 190.18 Egypt")</f>
        <v>Ninth 190.18 Egypt</v>
      </c>
      <c r="H687" s="1" t="str">
        <f ca="1">IFERROR(__xludf.DUMMYFUNCTION("""COMPUTED_VALUE"""),"Freedom of Expression, Individuals At Risk")</f>
        <v>Freedom of Expression, Individuals At Risk</v>
      </c>
      <c r="I687" s="1" t="str">
        <f ca="1">IFERROR(__xludf.DUMMYFUNCTION("""COMPUTED_VALUE"""),"2024")</f>
        <v>2024</v>
      </c>
      <c r="J687" s="1" t="str">
        <f ca="1">IFERROR(__xludf.DUMMYFUNCTION("""COMPUTED_VALUE"""),"Letter")</f>
        <v>Letter</v>
      </c>
    </row>
    <row r="688" spans="1:10" ht="13" x14ac:dyDescent="0.15">
      <c r="A688" s="4">
        <f ca="1">IFERROR(__xludf.DUMMYFUNCTION("""COMPUTED_VALUE"""),31619755)</f>
        <v>31619755</v>
      </c>
      <c r="B688" s="1" t="str">
        <f ca="1">IFERROR(__xludf.DUMMYFUNCTION("""COMPUTED_VALUE"""),"dorothyjeanrich@gmail.com")</f>
        <v>dorothyjeanrich@gmail.com</v>
      </c>
      <c r="C688" s="4" t="str">
        <f ca="1">IFERROR(__xludf.DUMMYFUNCTION("""COMPUTED_VALUE"""),"EVERGREEN - UAN Gated Content - Embedded Petition")</f>
        <v>EVERGREEN - UAN Gated Content - Embedded Petition</v>
      </c>
      <c r="D688" s="5">
        <f ca="1">IFERROR(__xludf.DUMMYFUNCTION("""COMPUTED_VALUE"""),45675)</f>
        <v>45675</v>
      </c>
      <c r="F688" s="1" t="str">
        <f ca="1">IFERROR(__xludf.DUMMYFUNCTION("""COMPUTED_VALUE"""),"USA")</f>
        <v>USA</v>
      </c>
      <c r="G688" s="1" t="str">
        <f ca="1">IFERROR(__xludf.DUMMYFUNCTION("""COMPUTED_VALUE"""),"4.25 USA")</f>
        <v>4.25 USA</v>
      </c>
      <c r="H688" s="1" t="str">
        <f ca="1">IFERROR(__xludf.DUMMYFUNCTION("""COMPUTED_VALUE"""),"Individuals At Risk, Refugee and Migrant Rights")</f>
        <v>Individuals At Risk, Refugee and Migrant Rights</v>
      </c>
      <c r="I688" s="1" t="str">
        <f ca="1">IFERROR(__xludf.DUMMYFUNCTION("""COMPUTED_VALUE"""),"2025")</f>
        <v>2025</v>
      </c>
      <c r="J688" s="1" t="str">
        <f ca="1">IFERROR(__xludf.DUMMYFUNCTION("""COMPUTED_VALUE"""),"Letter")</f>
        <v>Letter</v>
      </c>
    </row>
    <row r="689" spans="1:10" ht="13" x14ac:dyDescent="0.15">
      <c r="A689" s="4">
        <f ca="1">IFERROR(__xludf.DUMMYFUNCTION("""COMPUTED_VALUE"""),31619755)</f>
        <v>31619755</v>
      </c>
      <c r="B689" s="1" t="str">
        <f ca="1">IFERROR(__xludf.DUMMYFUNCTION("""COMPUTED_VALUE"""),"dorothyjeanrich@gmail.com")</f>
        <v>dorothyjeanrich@gmail.com</v>
      </c>
      <c r="C689" s="4" t="str">
        <f ca="1">IFERROR(__xludf.DUMMYFUNCTION("""COMPUTED_VALUE"""),"EVERGREEN - UAN Gated Content - Embedded Petition")</f>
        <v>EVERGREEN - UAN Gated Content - Embedded Petition</v>
      </c>
      <c r="D689" s="5">
        <f ca="1">IFERROR(__xludf.DUMMYFUNCTION("""COMPUTED_VALUE"""),45675)</f>
        <v>45675</v>
      </c>
      <c r="F689" s="1" t="str">
        <f ca="1">IFERROR(__xludf.DUMMYFUNCTION("""COMPUTED_VALUE"""),"Iran")</f>
        <v>Iran</v>
      </c>
      <c r="G689" s="1" t="str">
        <f ca="1">IFERROR(__xludf.DUMMYFUNCTION("""COMPUTED_VALUE"""),"Seventh 103.22 Iran")</f>
        <v>Seventh 103.22 Iran</v>
      </c>
      <c r="H689" s="1" t="str">
        <f ca="1">IFERROR(__xludf.DUMMYFUNCTION("""COMPUTED_VALUE"""),"Death Penalty, Freedom of Expression, Individuals At Risk")</f>
        <v>Death Penalty, Freedom of Expression, Individuals At Risk</v>
      </c>
      <c r="I689" s="1" t="str">
        <f ca="1">IFERROR(__xludf.DUMMYFUNCTION("""COMPUTED_VALUE"""),"2024")</f>
        <v>2024</v>
      </c>
      <c r="J689" s="1" t="str">
        <f ca="1">IFERROR(__xludf.DUMMYFUNCTION("""COMPUTED_VALUE"""),"Email")</f>
        <v>Email</v>
      </c>
    </row>
    <row r="690" spans="1:10" ht="13" x14ac:dyDescent="0.15">
      <c r="A690" s="4">
        <f ca="1">IFERROR(__xludf.DUMMYFUNCTION("""COMPUTED_VALUE"""),31619755)</f>
        <v>31619755</v>
      </c>
      <c r="B690" s="1" t="str">
        <f ca="1">IFERROR(__xludf.DUMMYFUNCTION("""COMPUTED_VALUE"""),"dorothyjeanrich@gmail.com")</f>
        <v>dorothyjeanrich@gmail.com</v>
      </c>
      <c r="C690" s="4" t="str">
        <f ca="1">IFERROR(__xludf.DUMMYFUNCTION("""COMPUTED_VALUE"""),"EVERGREEN - UAN Gated Content - Embedded Petition")</f>
        <v>EVERGREEN - UAN Gated Content - Embedded Petition</v>
      </c>
      <c r="D690" s="5">
        <f ca="1">IFERROR(__xludf.DUMMYFUNCTION("""COMPUTED_VALUE"""),45694)</f>
        <v>45694</v>
      </c>
      <c r="F690" s="1" t="str">
        <f ca="1">IFERROR(__xludf.DUMMYFUNCTION("""COMPUTED_VALUE"""),"Iran")</f>
        <v>Iran</v>
      </c>
      <c r="G690" s="1" t="str">
        <f ca="1">IFERROR(__xludf.DUMMYFUNCTION("""COMPUTED_VALUE"""),"Seventh 103.22 Iran")</f>
        <v>Seventh 103.22 Iran</v>
      </c>
      <c r="H690" s="1" t="str">
        <f ca="1">IFERROR(__xludf.DUMMYFUNCTION("""COMPUTED_VALUE"""),"Death Penalty, Freedom of Expression, Individuals At Risk")</f>
        <v>Death Penalty, Freedom of Expression, Individuals At Risk</v>
      </c>
      <c r="I690" s="1" t="str">
        <f ca="1">IFERROR(__xludf.DUMMYFUNCTION("""COMPUTED_VALUE"""),"2024")</f>
        <v>2024</v>
      </c>
      <c r="J690" s="1" t="str">
        <f ca="1">IFERROR(__xludf.DUMMYFUNCTION("""COMPUTED_VALUE"""),"Email")</f>
        <v>Email</v>
      </c>
    </row>
    <row r="691" spans="1:10" ht="13" x14ac:dyDescent="0.15">
      <c r="A691" s="4">
        <f ca="1">IFERROR(__xludf.DUMMYFUNCTION("""COMPUTED_VALUE"""),31619755)</f>
        <v>31619755</v>
      </c>
      <c r="B691" s="1" t="str">
        <f ca="1">IFERROR(__xludf.DUMMYFUNCTION("""COMPUTED_VALUE"""),"dorothyjeanrich@gmail.com")</f>
        <v>dorothyjeanrich@gmail.com</v>
      </c>
      <c r="C691" s="4" t="str">
        <f ca="1">IFERROR(__xludf.DUMMYFUNCTION("""COMPUTED_VALUE"""),"EVERGREEN - UAN Gated Content - Embedded Petition")</f>
        <v>EVERGREEN - UAN Gated Content - Embedded Petition</v>
      </c>
      <c r="D691" s="5">
        <f ca="1">IFERROR(__xludf.DUMMYFUNCTION("""COMPUTED_VALUE"""),45675)</f>
        <v>45675</v>
      </c>
      <c r="F691" s="1" t="str">
        <f ca="1">IFERROR(__xludf.DUMMYFUNCTION("""COMPUTED_VALUE"""),"Niger")</f>
        <v>Niger</v>
      </c>
      <c r="G691" s="1" t="str">
        <f ca="1">IFERROR(__xludf.DUMMYFUNCTION("""COMPUTED_VALUE"""),"103.24 Niger")</f>
        <v>103.24 Niger</v>
      </c>
      <c r="H691" s="1" t="str">
        <f ca="1">IFERROR(__xludf.DUMMYFUNCTION("""COMPUTED_VALUE"""),"Freedom of Expression, Human Rights Defenders")</f>
        <v>Freedom of Expression, Human Rights Defenders</v>
      </c>
      <c r="I691" s="1" t="str">
        <f ca="1">IFERROR(__xludf.DUMMYFUNCTION("""COMPUTED_VALUE"""),"2024")</f>
        <v>2024</v>
      </c>
      <c r="J691" s="1" t="str">
        <f ca="1">IFERROR(__xludf.DUMMYFUNCTION("""COMPUTED_VALUE"""),"Email")</f>
        <v>Email</v>
      </c>
    </row>
    <row r="692" spans="1:10" ht="13" x14ac:dyDescent="0.15">
      <c r="A692" s="4">
        <f ca="1">IFERROR(__xludf.DUMMYFUNCTION("""COMPUTED_VALUE"""),31619755)</f>
        <v>31619755</v>
      </c>
      <c r="B692" s="1" t="str">
        <f ca="1">IFERROR(__xludf.DUMMYFUNCTION("""COMPUTED_VALUE"""),"dorothyjeanrich@gmail.com")</f>
        <v>dorothyjeanrich@gmail.com</v>
      </c>
      <c r="C692" s="4" t="str">
        <f ca="1">IFERROR(__xludf.DUMMYFUNCTION("""COMPUTED_VALUE"""),"EVERGREEN - UAN Gated Content - Embedded Petition")</f>
        <v>EVERGREEN - UAN Gated Content - Embedded Petition</v>
      </c>
      <c r="D692" s="5">
        <f ca="1">IFERROR(__xludf.DUMMYFUNCTION("""COMPUTED_VALUE"""),45677)</f>
        <v>45677</v>
      </c>
      <c r="F692" s="1" t="str">
        <f ca="1">IFERROR(__xludf.DUMMYFUNCTION("""COMPUTED_VALUE"""),"Niger")</f>
        <v>Niger</v>
      </c>
      <c r="G692" s="1" t="str">
        <f ca="1">IFERROR(__xludf.DUMMYFUNCTION("""COMPUTED_VALUE"""),"103.24 Niger")</f>
        <v>103.24 Niger</v>
      </c>
      <c r="H692" s="1" t="str">
        <f ca="1">IFERROR(__xludf.DUMMYFUNCTION("""COMPUTED_VALUE"""),"Freedom of Expression, Human Rights Defenders")</f>
        <v>Freedom of Expression, Human Rights Defenders</v>
      </c>
      <c r="I692" s="1" t="str">
        <f ca="1">IFERROR(__xludf.DUMMYFUNCTION("""COMPUTED_VALUE"""),"2024")</f>
        <v>2024</v>
      </c>
      <c r="J692" s="1" t="str">
        <f ca="1">IFERROR(__xludf.DUMMYFUNCTION("""COMPUTED_VALUE"""),"Email")</f>
        <v>Email</v>
      </c>
    </row>
    <row r="693" spans="1:10" ht="13" x14ac:dyDescent="0.15">
      <c r="A693" s="4">
        <f ca="1">IFERROR(__xludf.DUMMYFUNCTION("""COMPUTED_VALUE"""),31619755)</f>
        <v>31619755</v>
      </c>
      <c r="B693" s="1" t="str">
        <f ca="1">IFERROR(__xludf.DUMMYFUNCTION("""COMPUTED_VALUE"""),"dorothyjeanrich@gmail.com")</f>
        <v>dorothyjeanrich@gmail.com</v>
      </c>
      <c r="C693" s="4" t="str">
        <f ca="1">IFERROR(__xludf.DUMMYFUNCTION("""COMPUTED_VALUE"""),"EVERGREEN - UAN Gated Content - Embedded Petition")</f>
        <v>EVERGREEN - UAN Gated Content - Embedded Petition</v>
      </c>
      <c r="D693" s="5">
        <f ca="1">IFERROR(__xludf.DUMMYFUNCTION("""COMPUTED_VALUE"""),45636)</f>
        <v>45636</v>
      </c>
      <c r="F693" s="1" t="str">
        <f ca="1">IFERROR(__xludf.DUMMYFUNCTION("""COMPUTED_VALUE"""),"China")</f>
        <v>China</v>
      </c>
      <c r="G693" s="1" t="str">
        <f ca="1">IFERROR(__xludf.DUMMYFUNCTION("""COMPUTED_VALUE"""),"98.24 China")</f>
        <v>98.24 China</v>
      </c>
      <c r="H693" s="1" t="str">
        <f ca="1">IFERROR(__xludf.DUMMYFUNCTION("""COMPUTED_VALUE"""),"Freedom of Expression, Individuals At Risk")</f>
        <v>Freedom of Expression, Individuals At Risk</v>
      </c>
      <c r="I693" s="1" t="str">
        <f ca="1">IFERROR(__xludf.DUMMYFUNCTION("""COMPUTED_VALUE"""),"2024")</f>
        <v>2024</v>
      </c>
      <c r="J693" s="1" t="str">
        <f ca="1">IFERROR(__xludf.DUMMYFUNCTION("""COMPUTED_VALUE"""),"Letter")</f>
        <v>Letter</v>
      </c>
    </row>
    <row r="694" spans="1:10" ht="13" x14ac:dyDescent="0.15">
      <c r="A694" s="4">
        <f ca="1">IFERROR(__xludf.DUMMYFUNCTION("""COMPUTED_VALUE"""),31619755)</f>
        <v>31619755</v>
      </c>
      <c r="B694" s="1" t="str">
        <f ca="1">IFERROR(__xludf.DUMMYFUNCTION("""COMPUTED_VALUE"""),"dorothyjeanrich@gmail.com")</f>
        <v>dorothyjeanrich@gmail.com</v>
      </c>
      <c r="C694" s="4" t="str">
        <f ca="1">IFERROR(__xludf.DUMMYFUNCTION("""COMPUTED_VALUE"""),"EVERGREEN - UAN Gated Content - Embedded Petition")</f>
        <v>EVERGREEN - UAN Gated Content - Embedded Petition</v>
      </c>
      <c r="D694" s="5">
        <f ca="1">IFERROR(__xludf.DUMMYFUNCTION("""COMPUTED_VALUE"""),45636)</f>
        <v>45636</v>
      </c>
      <c r="F694" s="1" t="str">
        <f ca="1">IFERROR(__xludf.DUMMYFUNCTION("""COMPUTED_VALUE"""),"Iran")</f>
        <v>Iran</v>
      </c>
      <c r="G694" s="1" t="str">
        <f ca="1">IFERROR(__xludf.DUMMYFUNCTION("""COMPUTED_VALUE"""),"Seventh 103.22 Iran")</f>
        <v>Seventh 103.22 Iran</v>
      </c>
      <c r="H694" s="1" t="str">
        <f ca="1">IFERROR(__xludf.DUMMYFUNCTION("""COMPUTED_VALUE"""),"Death Penalty, Freedom of Expression, Individuals At Risk")</f>
        <v>Death Penalty, Freedom of Expression, Individuals At Risk</v>
      </c>
      <c r="I694" s="1" t="str">
        <f ca="1">IFERROR(__xludf.DUMMYFUNCTION("""COMPUTED_VALUE"""),"2024")</f>
        <v>2024</v>
      </c>
      <c r="J694" s="1" t="str">
        <f ca="1">IFERROR(__xludf.DUMMYFUNCTION("""COMPUTED_VALUE"""),"Email")</f>
        <v>Email</v>
      </c>
    </row>
    <row r="695" spans="1:10" ht="13" x14ac:dyDescent="0.15">
      <c r="A695" s="4">
        <f ca="1">IFERROR(__xludf.DUMMYFUNCTION("""COMPUTED_VALUE"""),31619755)</f>
        <v>31619755</v>
      </c>
      <c r="B695" s="1" t="str">
        <f ca="1">IFERROR(__xludf.DUMMYFUNCTION("""COMPUTED_VALUE"""),"dorothyjeanrich@gmail.com")</f>
        <v>dorothyjeanrich@gmail.com</v>
      </c>
      <c r="C695" s="4" t="str">
        <f ca="1">IFERROR(__xludf.DUMMYFUNCTION("""COMPUTED_VALUE"""),"EVERGREEN - UAN Gated Content - Embedded Petition")</f>
        <v>EVERGREEN - UAN Gated Content - Embedded Petition</v>
      </c>
      <c r="D695" s="5">
        <f ca="1">IFERROR(__xludf.DUMMYFUNCTION("""COMPUTED_VALUE"""),45617)</f>
        <v>45617</v>
      </c>
      <c r="F695" s="1" t="str">
        <f ca="1">IFERROR(__xludf.DUMMYFUNCTION("""COMPUTED_VALUE"""),"Tunisia")</f>
        <v>Tunisia</v>
      </c>
      <c r="G695" s="1" t="str">
        <f ca="1">IFERROR(__xludf.DUMMYFUNCTION("""COMPUTED_VALUE"""),"Second 76.24 Tunisia")</f>
        <v>Second 76.24 Tunisia</v>
      </c>
      <c r="H695" s="1" t="str">
        <f ca="1">IFERROR(__xludf.DUMMYFUNCTION("""COMPUTED_VALUE"""),"Freedom of Expression, Human Rights Defenders")</f>
        <v>Freedom of Expression, Human Rights Defenders</v>
      </c>
      <c r="I695" s="1" t="str">
        <f ca="1">IFERROR(__xludf.DUMMYFUNCTION("""COMPUTED_VALUE"""),"2025")</f>
        <v>2025</v>
      </c>
      <c r="J695" s="1" t="str">
        <f ca="1">IFERROR(__xludf.DUMMYFUNCTION("""COMPUTED_VALUE"""),"Email")</f>
        <v>Email</v>
      </c>
    </row>
    <row r="696" spans="1:10" ht="13" x14ac:dyDescent="0.15">
      <c r="A696" s="4">
        <f ca="1">IFERROR(__xludf.DUMMYFUNCTION("""COMPUTED_VALUE"""),31619755)</f>
        <v>31619755</v>
      </c>
      <c r="B696" s="1" t="str">
        <f ca="1">IFERROR(__xludf.DUMMYFUNCTION("""COMPUTED_VALUE"""),"dorothyjeanrich@gmail.com")</f>
        <v>dorothyjeanrich@gmail.com</v>
      </c>
      <c r="C696" s="4" t="str">
        <f ca="1">IFERROR(__xludf.DUMMYFUNCTION("""COMPUTED_VALUE"""),"EVERGREEN - UAN Gated Content - Embedded Petition")</f>
        <v>EVERGREEN - UAN Gated Content - Embedded Petition</v>
      </c>
      <c r="D696" s="5">
        <f ca="1">IFERROR(__xludf.DUMMYFUNCTION("""COMPUTED_VALUE"""),45636)</f>
        <v>45636</v>
      </c>
      <c r="F696" s="1" t="str">
        <f ca="1">IFERROR(__xludf.DUMMYFUNCTION("""COMPUTED_VALUE"""),"Iran")</f>
        <v>Iran</v>
      </c>
      <c r="G696" s="1" t="str">
        <f ca="1">IFERROR(__xludf.DUMMYFUNCTION("""COMPUTED_VALUE"""),"Seventh 103.22 Iran")</f>
        <v>Seventh 103.22 Iran</v>
      </c>
      <c r="H696" s="1" t="str">
        <f ca="1">IFERROR(__xludf.DUMMYFUNCTION("""COMPUTED_VALUE"""),"Death Penalty, Freedom of Expression, Individuals At Risk")</f>
        <v>Death Penalty, Freedom of Expression, Individuals At Risk</v>
      </c>
      <c r="I696" s="1" t="str">
        <f ca="1">IFERROR(__xludf.DUMMYFUNCTION("""COMPUTED_VALUE"""),"2024")</f>
        <v>2024</v>
      </c>
      <c r="J696" s="1" t="str">
        <f ca="1">IFERROR(__xludf.DUMMYFUNCTION("""COMPUTED_VALUE"""),"Email")</f>
        <v>Email</v>
      </c>
    </row>
    <row r="697" spans="1:10" ht="13" x14ac:dyDescent="0.15">
      <c r="A697" s="4">
        <f ca="1">IFERROR(__xludf.DUMMYFUNCTION("""COMPUTED_VALUE"""),31623233)</f>
        <v>31623233</v>
      </c>
      <c r="B697" s="1" t="str">
        <f ca="1">IFERROR(__xludf.DUMMYFUNCTION("""COMPUTED_VALUE"""),"vandermude@acm.org")</f>
        <v>vandermude@acm.org</v>
      </c>
      <c r="C697" s="4" t="str">
        <f ca="1">IFERROR(__xludf.DUMMYFUNCTION("""COMPUTED_VALUE"""),"UAN mid-page Lightbox - Step 1 of 4 - Landing Page")</f>
        <v>UAN mid-page Lightbox - Step 1 of 4 - Landing Page</v>
      </c>
      <c r="D697" s="5">
        <f ca="1">IFERROR(__xludf.DUMMYFUNCTION("""COMPUTED_VALUE"""),45618)</f>
        <v>45618</v>
      </c>
      <c r="F697" s="1" t="str">
        <f ca="1">IFERROR(__xludf.DUMMYFUNCTION("""COMPUTED_VALUE"""),"Tunisia")</f>
        <v>Tunisia</v>
      </c>
      <c r="G697" s="1" t="str">
        <f ca="1">IFERROR(__xludf.DUMMYFUNCTION("""COMPUTED_VALUE"""),"Second 76.24 Tunisia")</f>
        <v>Second 76.24 Tunisia</v>
      </c>
      <c r="H697" s="1" t="str">
        <f ca="1">IFERROR(__xludf.DUMMYFUNCTION("""COMPUTED_VALUE"""),"Freedom of Expression, Human Rights Defenders")</f>
        <v>Freedom of Expression, Human Rights Defenders</v>
      </c>
      <c r="I697" s="1" t="str">
        <f ca="1">IFERROR(__xludf.DUMMYFUNCTION("""COMPUTED_VALUE"""),"2025")</f>
        <v>2025</v>
      </c>
      <c r="J697" s="1" t="str">
        <f ca="1">IFERROR(__xludf.DUMMYFUNCTION("""COMPUTED_VALUE"""),"Email")</f>
        <v>Email</v>
      </c>
    </row>
    <row r="698" spans="1:10" ht="13" x14ac:dyDescent="0.15">
      <c r="A698" s="4">
        <f ca="1">IFERROR(__xludf.DUMMYFUNCTION("""COMPUTED_VALUE"""),31623233)</f>
        <v>31623233</v>
      </c>
      <c r="B698" s="1" t="str">
        <f ca="1">IFERROR(__xludf.DUMMYFUNCTION("""COMPUTED_VALUE"""),"vandermude@acm.org")</f>
        <v>vandermude@acm.org</v>
      </c>
      <c r="C698" s="4" t="str">
        <f ca="1">IFERROR(__xludf.DUMMYFUNCTION("""COMPUTED_VALUE"""),"UAN mid-page Lightbox - Step 2 of 4 - More personal info fields")</f>
        <v>UAN mid-page Lightbox - Step 2 of 4 - More personal info fields</v>
      </c>
      <c r="D698" s="5">
        <f ca="1">IFERROR(__xludf.DUMMYFUNCTION("""COMPUTED_VALUE"""),45618)</f>
        <v>45618</v>
      </c>
      <c r="F698" s="1" t="str">
        <f ca="1">IFERROR(__xludf.DUMMYFUNCTION("""COMPUTED_VALUE"""),"China")</f>
        <v>China</v>
      </c>
      <c r="G698" s="1" t="str">
        <f ca="1">IFERROR(__xludf.DUMMYFUNCTION("""COMPUTED_VALUE"""),"106.24 China")</f>
        <v>106.24 China</v>
      </c>
      <c r="H698" s="1" t="str">
        <f ca="1">IFERROR(__xludf.DUMMYFUNCTION("""COMPUTED_VALUE"""),"Freedom of Expression, Individuals At Risk")</f>
        <v>Freedom of Expression, Individuals At Risk</v>
      </c>
      <c r="I698" s="1" t="str">
        <f ca="1">IFERROR(__xludf.DUMMYFUNCTION("""COMPUTED_VALUE"""),"2024")</f>
        <v>2024</v>
      </c>
      <c r="J698" s="1" t="str">
        <f ca="1">IFERROR(__xludf.DUMMYFUNCTION("""COMPUTED_VALUE"""),"Email")</f>
        <v>Email</v>
      </c>
    </row>
    <row r="699" spans="1:10" ht="13" x14ac:dyDescent="0.15">
      <c r="A699" s="4">
        <f ca="1">IFERROR(__xludf.DUMMYFUNCTION("""COMPUTED_VALUE"""),31623233)</f>
        <v>31623233</v>
      </c>
      <c r="B699" s="1" t="str">
        <f ca="1">IFERROR(__xludf.DUMMYFUNCTION("""COMPUTED_VALUE"""),"vandermude@acm.org")</f>
        <v>vandermude@acm.org</v>
      </c>
      <c r="C699" s="4" t="str">
        <f ca="1">IFERROR(__xludf.DUMMYFUNCTION("""COMPUTED_VALUE"""),"UAN mid-page Lightbox - Step 3 of 4 - More opt-ins")</f>
        <v>UAN mid-page Lightbox - Step 3 of 4 - More opt-ins</v>
      </c>
      <c r="D699" s="5">
        <f ca="1">IFERROR(__xludf.DUMMYFUNCTION("""COMPUTED_VALUE"""),45618)</f>
        <v>45618</v>
      </c>
      <c r="F699" s="1" t="str">
        <f ca="1">IFERROR(__xludf.DUMMYFUNCTION("""COMPUTED_VALUE"""),"Niger")</f>
        <v>Niger</v>
      </c>
      <c r="G699" s="1" t="str">
        <f ca="1">IFERROR(__xludf.DUMMYFUNCTION("""COMPUTED_VALUE"""),"103.24 Niger")</f>
        <v>103.24 Niger</v>
      </c>
      <c r="H699" s="1" t="str">
        <f ca="1">IFERROR(__xludf.DUMMYFUNCTION("""COMPUTED_VALUE"""),"Freedom of Expression, Human Rights Defenders")</f>
        <v>Freedom of Expression, Human Rights Defenders</v>
      </c>
      <c r="I699" s="1" t="str">
        <f ca="1">IFERROR(__xludf.DUMMYFUNCTION("""COMPUTED_VALUE"""),"2024")</f>
        <v>2024</v>
      </c>
      <c r="J699" s="1" t="str">
        <f ca="1">IFERROR(__xludf.DUMMYFUNCTION("""COMPUTED_VALUE"""),"Email")</f>
        <v>Email</v>
      </c>
    </row>
    <row r="700" spans="1:10" ht="13" x14ac:dyDescent="0.15">
      <c r="A700" s="4">
        <f ca="1">IFERROR(__xludf.DUMMYFUNCTION("""COMPUTED_VALUE"""),31628780)</f>
        <v>31628780</v>
      </c>
      <c r="B700" s="1" t="str">
        <f ca="1">IFERROR(__xludf.DUMMYFUNCTION("""COMPUTED_VALUE"""),"k.esancy@live.com")</f>
        <v>k.esancy@live.com</v>
      </c>
      <c r="C700" s="4" t="str">
        <f ca="1">IFERROR(__xludf.DUMMYFUNCTION("""COMPUTED_VALUE"""),"EVERGREEN - UAN Gated Content - Embedded Petition")</f>
        <v>EVERGREEN - UAN Gated Content - Embedded Petition</v>
      </c>
      <c r="D700" s="5">
        <f ca="1">IFERROR(__xludf.DUMMYFUNCTION("""COMPUTED_VALUE"""),45641)</f>
        <v>45641</v>
      </c>
      <c r="F700" s="1" t="str">
        <f ca="1">IFERROR(__xludf.DUMMYFUNCTION("""COMPUTED_VALUE"""),"Saudi Arabia")</f>
        <v>Saudi Arabia</v>
      </c>
      <c r="G700" s="1" t="str">
        <f ca="1">IFERROR(__xludf.DUMMYFUNCTION("""COMPUTED_VALUE"""),"Second 85.23 Saudi Arabia")</f>
        <v>Second 85.23 Saudi Arabia</v>
      </c>
      <c r="H700" s="1" t="str">
        <f ca="1">IFERROR(__xludf.DUMMYFUNCTION("""COMPUTED_VALUE"""),"Freedom of Expression")</f>
        <v>Freedom of Expression</v>
      </c>
      <c r="I700" s="1" t="str">
        <f ca="1">IFERROR(__xludf.DUMMYFUNCTION("""COMPUTED_VALUE"""),"2024")</f>
        <v>2024</v>
      </c>
      <c r="J700" s="1" t="str">
        <f ca="1">IFERROR(__xludf.DUMMYFUNCTION("""COMPUTED_VALUE"""),"Letter")</f>
        <v>Letter</v>
      </c>
    </row>
    <row r="701" spans="1:10" ht="13" x14ac:dyDescent="0.15">
      <c r="A701" s="4">
        <f ca="1">IFERROR(__xludf.DUMMYFUNCTION("""COMPUTED_VALUE"""),31640950)</f>
        <v>31640950</v>
      </c>
      <c r="B701" s="1" t="str">
        <f ca="1">IFERROR(__xludf.DUMMYFUNCTION("""COMPUTED_VALUE"""),"lara3d@hotmail.com")</f>
        <v>lara3d@hotmail.com</v>
      </c>
      <c r="C701" s="4" t="str">
        <f ca="1">IFERROR(__xludf.DUMMYFUNCTION("""COMPUTED_VALUE"""),"EVERGREEN - UAN Gated Content - Embedded Petition")</f>
        <v>EVERGREEN - UAN Gated Content - Embedded Petition</v>
      </c>
      <c r="D701" s="5">
        <f ca="1">IFERROR(__xludf.DUMMYFUNCTION("""COMPUTED_VALUE"""),45668)</f>
        <v>45668</v>
      </c>
      <c r="F701" s="1" t="str">
        <f ca="1">IFERROR(__xludf.DUMMYFUNCTION("""COMPUTED_VALUE"""),"Tunisia")</f>
        <v>Tunisia</v>
      </c>
      <c r="G701" s="1" t="str">
        <f ca="1">IFERROR(__xludf.DUMMYFUNCTION("""COMPUTED_VALUE"""),"Second 76.24 Tunisia")</f>
        <v>Second 76.24 Tunisia</v>
      </c>
      <c r="H701" s="1" t="str">
        <f ca="1">IFERROR(__xludf.DUMMYFUNCTION("""COMPUTED_VALUE"""),"Freedom of Expression, Human Rights Defenders")</f>
        <v>Freedom of Expression, Human Rights Defenders</v>
      </c>
      <c r="I701" s="1" t="str">
        <f ca="1">IFERROR(__xludf.DUMMYFUNCTION("""COMPUTED_VALUE"""),"2025")</f>
        <v>2025</v>
      </c>
      <c r="J701" s="1" t="str">
        <f ca="1">IFERROR(__xludf.DUMMYFUNCTION("""COMPUTED_VALUE"""),"Email")</f>
        <v>Email</v>
      </c>
    </row>
    <row r="702" spans="1:10" ht="13" x14ac:dyDescent="0.15">
      <c r="A702" s="4">
        <f ca="1">IFERROR(__xludf.DUMMYFUNCTION("""COMPUTED_VALUE"""),31646363)</f>
        <v>31646363</v>
      </c>
      <c r="B702" s="1" t="str">
        <f ca="1">IFERROR(__xludf.DUMMYFUNCTION("""COMPUTED_VALUE"""),"awerneke@earthlink.net")</f>
        <v>awerneke@earthlink.net</v>
      </c>
      <c r="C702" s="4" t="str">
        <f ca="1">IFERROR(__xludf.DUMMYFUNCTION("""COMPUTED_VALUE"""),"EVERGREEN - UAN Gated Content - Embedded Petition")</f>
        <v>EVERGREEN - UAN Gated Content - Embedded Petition</v>
      </c>
      <c r="D702" s="5">
        <f ca="1">IFERROR(__xludf.DUMMYFUNCTION("""COMPUTED_VALUE"""),45636)</f>
        <v>45636</v>
      </c>
      <c r="F702" s="1" t="str">
        <f ca="1">IFERROR(__xludf.DUMMYFUNCTION("""COMPUTED_VALUE"""),"Tunisia")</f>
        <v>Tunisia</v>
      </c>
      <c r="G702" s="1" t="str">
        <f ca="1">IFERROR(__xludf.DUMMYFUNCTION("""COMPUTED_VALUE"""),"8.25 Tunisia")</f>
        <v>8.25 Tunisia</v>
      </c>
      <c r="H702" s="1" t="str">
        <f ca="1">IFERROR(__xludf.DUMMYFUNCTION("""COMPUTED_VALUE"""),"Freedom of Expression")</f>
        <v>Freedom of Expression</v>
      </c>
      <c r="I702" s="1" t="str">
        <f ca="1">IFERROR(__xludf.DUMMYFUNCTION("""COMPUTED_VALUE"""),"2025")</f>
        <v>2025</v>
      </c>
      <c r="J702" s="1" t="str">
        <f ca="1">IFERROR(__xludf.DUMMYFUNCTION("""COMPUTED_VALUE"""),"Email")</f>
        <v>Email</v>
      </c>
    </row>
    <row r="703" spans="1:10" ht="13" x14ac:dyDescent="0.15">
      <c r="A703" s="4">
        <f ca="1">IFERROR(__xludf.DUMMYFUNCTION("""COMPUTED_VALUE"""),31646363)</f>
        <v>31646363</v>
      </c>
      <c r="B703" s="1" t="str">
        <f ca="1">IFERROR(__xludf.DUMMYFUNCTION("""COMPUTED_VALUE"""),"awerneke@earthlink.net")</f>
        <v>awerneke@earthlink.net</v>
      </c>
      <c r="C703" s="4" t="str">
        <f ca="1">IFERROR(__xludf.DUMMYFUNCTION("""COMPUTED_VALUE"""),"EVERGREEN - UAN Gated Content - Embedded Petition")</f>
        <v>EVERGREEN - UAN Gated Content - Embedded Petition</v>
      </c>
      <c r="D703" s="5">
        <f ca="1">IFERROR(__xludf.DUMMYFUNCTION("""COMPUTED_VALUE"""),45636)</f>
        <v>45636</v>
      </c>
      <c r="F703" s="1" t="str">
        <f ca="1">IFERROR(__xludf.DUMMYFUNCTION("""COMPUTED_VALUE"""),"Iran")</f>
        <v>Iran</v>
      </c>
      <c r="G703" s="1" t="str">
        <f ca="1">IFERROR(__xludf.DUMMYFUNCTION("""COMPUTED_VALUE"""),"6.25 Iran")</f>
        <v>6.25 Iran</v>
      </c>
      <c r="H703" s="1" t="str">
        <f ca="1">IFERROR(__xludf.DUMMYFUNCTION("""COMPUTED_VALUE"""),"Death Penalty, Freedom of Expression, Individuals At Risk")</f>
        <v>Death Penalty, Freedom of Expression, Individuals At Risk</v>
      </c>
      <c r="I703" s="1" t="str">
        <f ca="1">IFERROR(__xludf.DUMMYFUNCTION("""COMPUTED_VALUE"""),"2025")</f>
        <v>2025</v>
      </c>
      <c r="J703" s="1" t="str">
        <f ca="1">IFERROR(__xludf.DUMMYFUNCTION("""COMPUTED_VALUE"""),"Email")</f>
        <v>Email</v>
      </c>
    </row>
    <row r="704" spans="1:10" ht="13" x14ac:dyDescent="0.15">
      <c r="A704" s="4">
        <f ca="1">IFERROR(__xludf.DUMMYFUNCTION("""COMPUTED_VALUE"""),31646363)</f>
        <v>31646363</v>
      </c>
      <c r="B704" s="1" t="str">
        <f ca="1">IFERROR(__xludf.DUMMYFUNCTION("""COMPUTED_VALUE"""),"awerneke@earthlink.net")</f>
        <v>awerneke@earthlink.net</v>
      </c>
      <c r="C704" s="4" t="str">
        <f ca="1">IFERROR(__xludf.DUMMYFUNCTION("""COMPUTED_VALUE"""),"EVERGREEN - UAN Gated Content - Embedded Petition")</f>
        <v>EVERGREEN - UAN Gated Content - Embedded Petition</v>
      </c>
      <c r="D704" s="5">
        <f ca="1">IFERROR(__xludf.DUMMYFUNCTION("""COMPUTED_VALUE"""),45636)</f>
        <v>45636</v>
      </c>
      <c r="F704" s="1" t="str">
        <f ca="1">IFERROR(__xludf.DUMMYFUNCTION("""COMPUTED_VALUE"""),"Turkiye")</f>
        <v>Turkiye</v>
      </c>
      <c r="G704" s="1" t="str">
        <f ca="1">IFERROR(__xludf.DUMMYFUNCTION("""COMPUTED_VALUE"""),"Second 109.24 Türkiye")</f>
        <v>Second 109.24 Türkiye</v>
      </c>
      <c r="H704" s="1" t="str">
        <f ca="1">IFERROR(__xludf.DUMMYFUNCTION("""COMPUTED_VALUE"""),"Human Rights Defenders")</f>
        <v>Human Rights Defenders</v>
      </c>
      <c r="I704" s="1" t="str">
        <f ca="1">IFERROR(__xludf.DUMMYFUNCTION("""COMPUTED_VALUE"""),"2025")</f>
        <v>2025</v>
      </c>
      <c r="J704" s="1" t="str">
        <f ca="1">IFERROR(__xludf.DUMMYFUNCTION("""COMPUTED_VALUE"""),"Email")</f>
        <v>Email</v>
      </c>
    </row>
    <row r="705" spans="1:10" ht="13" x14ac:dyDescent="0.15">
      <c r="A705" s="4">
        <f ca="1">IFERROR(__xludf.DUMMYFUNCTION("""COMPUTED_VALUE"""),31653143)</f>
        <v>31653143</v>
      </c>
      <c r="B705" s="1" t="str">
        <f ca="1">IFERROR(__xludf.DUMMYFUNCTION("""COMPUTED_VALUE"""),"juli3@aol.com")</f>
        <v>juli3@aol.com</v>
      </c>
      <c r="C705" s="4" t="str">
        <f ca="1">IFERROR(__xludf.DUMMYFUNCTION("""COMPUTED_VALUE"""),"EVERGREEN - UAN Gated Content - Embedded Petition")</f>
        <v>EVERGREEN - UAN Gated Content - Embedded Petition</v>
      </c>
      <c r="D705" s="5">
        <f ca="1">IFERROR(__xludf.DUMMYFUNCTION("""COMPUTED_VALUE"""),45679)</f>
        <v>45679</v>
      </c>
      <c r="F705" s="1" t="str">
        <f ca="1">IFERROR(__xludf.DUMMYFUNCTION("""COMPUTED_VALUE"""),"Uganda")</f>
        <v>Uganda</v>
      </c>
      <c r="G705" s="1" t="str">
        <f ca="1">IFERROR(__xludf.DUMMYFUNCTION("""COMPUTED_VALUE"""),"9.25 Uganda")</f>
        <v>9.25 Uganda</v>
      </c>
      <c r="H705" s="1" t="str">
        <f ca="1">IFERROR(__xludf.DUMMYFUNCTION("""COMPUTED_VALUE"""),"Freedom of Expression, Human Rights Defenders")</f>
        <v>Freedom of Expression, Human Rights Defenders</v>
      </c>
      <c r="I705" s="1" t="str">
        <f ca="1">IFERROR(__xludf.DUMMYFUNCTION("""COMPUTED_VALUE"""),"2025")</f>
        <v>2025</v>
      </c>
      <c r="J705" s="1" t="str">
        <f ca="1">IFERROR(__xludf.DUMMYFUNCTION("""COMPUTED_VALUE"""),"Email")</f>
        <v>Email</v>
      </c>
    </row>
    <row r="706" spans="1:10" ht="13" x14ac:dyDescent="0.15">
      <c r="A706" s="4">
        <f ca="1">IFERROR(__xludf.DUMMYFUNCTION("""COMPUTED_VALUE"""),31654358)</f>
        <v>31654358</v>
      </c>
      <c r="B706" s="1" t="str">
        <f ca="1">IFERROR(__xludf.DUMMYFUNCTION("""COMPUTED_VALUE"""),"lisa.boeschenstein@bluewin.ch")</f>
        <v>lisa.boeschenstein@bluewin.ch</v>
      </c>
      <c r="C706" s="4" t="str">
        <f ca="1">IFERROR(__xludf.DUMMYFUNCTION("""COMPUTED_VALUE"""),"EVERGREEN - UAN Gated Content - Embedded Petition")</f>
        <v>EVERGREEN - UAN Gated Content - Embedded Petition</v>
      </c>
      <c r="D706" s="5">
        <f ca="1">IFERROR(__xludf.DUMMYFUNCTION("""COMPUTED_VALUE"""),45700)</f>
        <v>45700</v>
      </c>
      <c r="F706" s="1" t="str">
        <f ca="1">IFERROR(__xludf.DUMMYFUNCTION("""COMPUTED_VALUE"""),"Iran")</f>
        <v>Iran</v>
      </c>
      <c r="G706" s="1" t="str">
        <f ca="1">IFERROR(__xludf.DUMMYFUNCTION("""COMPUTED_VALUE"""),"10.25 Iran")</f>
        <v>10.25 Iran</v>
      </c>
      <c r="H706" s="1" t="str">
        <f ca="1">IFERROR(__xludf.DUMMYFUNCTION("""COMPUTED_VALUE"""),"Death Penalty, Individuals At Risk")</f>
        <v>Death Penalty, Individuals At Risk</v>
      </c>
      <c r="I706" s="1" t="str">
        <f ca="1">IFERROR(__xludf.DUMMYFUNCTION("""COMPUTED_VALUE"""),"2025")</f>
        <v>2025</v>
      </c>
      <c r="J706" s="1" t="str">
        <f ca="1">IFERROR(__xludf.DUMMYFUNCTION("""COMPUTED_VALUE"""),"Email")</f>
        <v>Email</v>
      </c>
    </row>
    <row r="707" spans="1:10" ht="13" x14ac:dyDescent="0.15">
      <c r="A707" s="4">
        <f ca="1">IFERROR(__xludf.DUMMYFUNCTION("""COMPUTED_VALUE"""),31655996)</f>
        <v>31655996</v>
      </c>
      <c r="B707" s="1" t="str">
        <f ca="1">IFERROR(__xludf.DUMMYFUNCTION("""COMPUTED_VALUE"""),"oceanminded09@gmail.com")</f>
        <v>oceanminded09@gmail.com</v>
      </c>
      <c r="C707" s="4" t="str">
        <f ca="1">IFERROR(__xludf.DUMMYFUNCTION("""COMPUTED_VALUE"""),"EVERGREEN - UAN Gated Content - Embedded Petition")</f>
        <v>EVERGREEN - UAN Gated Content - Embedded Petition</v>
      </c>
      <c r="D707" s="5">
        <f ca="1">IFERROR(__xludf.DUMMYFUNCTION("""COMPUTED_VALUE"""),45636)</f>
        <v>45636</v>
      </c>
      <c r="F707" s="1" t="str">
        <f ca="1">IFERROR(__xludf.DUMMYFUNCTION("""COMPUTED_VALUE"""),"Libya")</f>
        <v>Libya</v>
      </c>
      <c r="G707" s="1" t="str">
        <f ca="1">IFERROR(__xludf.DUMMYFUNCTION("""COMPUTED_VALUE"""),"12.25 Libya")</f>
        <v>12.25 Libya</v>
      </c>
      <c r="H707" s="1" t="str">
        <f ca="1">IFERROR(__xludf.DUMMYFUNCTION("""COMPUTED_VALUE"""),"Freedom of Expression, Health, Individuals At Risk")</f>
        <v>Freedom of Expression, Health, Individuals At Risk</v>
      </c>
      <c r="I707" s="1" t="str">
        <f ca="1">IFERROR(__xludf.DUMMYFUNCTION("""COMPUTED_VALUE"""),"2025")</f>
        <v>2025</v>
      </c>
      <c r="J707" s="1" t="str">
        <f ca="1">IFERROR(__xludf.DUMMYFUNCTION("""COMPUTED_VALUE"""),"Email")</f>
        <v>Email</v>
      </c>
    </row>
    <row r="708" spans="1:10" ht="13" x14ac:dyDescent="0.15">
      <c r="A708" s="4">
        <f ca="1">IFERROR(__xludf.DUMMYFUNCTION("""COMPUTED_VALUE"""),31655996)</f>
        <v>31655996</v>
      </c>
      <c r="B708" s="1" t="str">
        <f ca="1">IFERROR(__xludf.DUMMYFUNCTION("""COMPUTED_VALUE"""),"oceanminded09@gmail.com")</f>
        <v>oceanminded09@gmail.com</v>
      </c>
      <c r="C708" s="4" t="str">
        <f ca="1">IFERROR(__xludf.DUMMYFUNCTION("""COMPUTED_VALUE"""),"EVERGREEN - UAN Gated Content - Embedded Petition")</f>
        <v>EVERGREEN - UAN Gated Content - Embedded Petition</v>
      </c>
      <c r="D708" s="5">
        <f ca="1">IFERROR(__xludf.DUMMYFUNCTION("""COMPUTED_VALUE"""),45674)</f>
        <v>45674</v>
      </c>
      <c r="F708" s="1" t="str">
        <f ca="1">IFERROR(__xludf.DUMMYFUNCTION("""COMPUTED_VALUE"""),"Afghanistan")</f>
        <v>Afghanistan</v>
      </c>
      <c r="G708" s="1" t="str">
        <f ca="1">IFERROR(__xludf.DUMMYFUNCTION("""COMPUTED_VALUE"""),"11.25 Afghanistan")</f>
        <v>11.25 Afghanistan</v>
      </c>
      <c r="H708" s="1" t="str">
        <f ca="1">IFERROR(__xludf.DUMMYFUNCTION("""COMPUTED_VALUE"""),"Freedom of Expression, Health, Individuals At Risk")</f>
        <v>Freedom of Expression, Health, Individuals At Risk</v>
      </c>
      <c r="I708" s="1" t="str">
        <f ca="1">IFERROR(__xludf.DUMMYFUNCTION("""COMPUTED_VALUE"""),"2025")</f>
        <v>2025</v>
      </c>
      <c r="J708" s="1" t="str">
        <f ca="1">IFERROR(__xludf.DUMMYFUNCTION("""COMPUTED_VALUE"""),"Email")</f>
        <v>Email</v>
      </c>
    </row>
    <row r="709" spans="1:10" ht="13" x14ac:dyDescent="0.15">
      <c r="A709" s="4">
        <f ca="1">IFERROR(__xludf.DUMMYFUNCTION("""COMPUTED_VALUE"""),31655996)</f>
        <v>31655996</v>
      </c>
      <c r="B709" s="1" t="str">
        <f ca="1">IFERROR(__xludf.DUMMYFUNCTION("""COMPUTED_VALUE"""),"oceanminded09@gmail.com")</f>
        <v>oceanminded09@gmail.com</v>
      </c>
      <c r="C709" s="4" t="str">
        <f ca="1">IFERROR(__xludf.DUMMYFUNCTION("""COMPUTED_VALUE"""),"EVERGREEN - UAN Gated Content - Embedded Petition")</f>
        <v>EVERGREEN - UAN Gated Content - Embedded Petition</v>
      </c>
      <c r="D709" s="5">
        <f ca="1">IFERROR(__xludf.DUMMYFUNCTION("""COMPUTED_VALUE"""),45677)</f>
        <v>45677</v>
      </c>
      <c r="F709" s="1" t="str">
        <f ca="1">IFERROR(__xludf.DUMMYFUNCTION("""COMPUTED_VALUE"""),"Saudi Arabia")</f>
        <v>Saudi Arabia</v>
      </c>
      <c r="G709" s="1" t="str">
        <f ca="1">IFERROR(__xludf.DUMMYFUNCTION("""COMPUTED_VALUE"""),"Fifth 257.12")</f>
        <v>Fifth 257.12</v>
      </c>
      <c r="H709" s="1" t="str">
        <f ca="1">IFERROR(__xludf.DUMMYFUNCTION("""COMPUTED_VALUE"""),"Freedom of Expression, Human Rights Defenders")</f>
        <v>Freedom of Expression, Human Rights Defenders</v>
      </c>
      <c r="I709" s="1" t="str">
        <f ca="1">IFERROR(__xludf.DUMMYFUNCTION("""COMPUTED_VALUE"""),"2025")</f>
        <v>2025</v>
      </c>
      <c r="J709" s="1" t="str">
        <f ca="1">IFERROR(__xludf.DUMMYFUNCTION("""COMPUTED_VALUE"""),"Email")</f>
        <v>Email</v>
      </c>
    </row>
    <row r="710" spans="1:10" ht="13" x14ac:dyDescent="0.15">
      <c r="A710" s="4">
        <f ca="1">IFERROR(__xludf.DUMMYFUNCTION("""COMPUTED_VALUE"""),31655996)</f>
        <v>31655996</v>
      </c>
      <c r="B710" s="1" t="str">
        <f ca="1">IFERROR(__xludf.DUMMYFUNCTION("""COMPUTED_VALUE"""),"oceanminded09@gmail.com")</f>
        <v>oceanminded09@gmail.com</v>
      </c>
      <c r="C710" s="4" t="str">
        <f ca="1">IFERROR(__xludf.DUMMYFUNCTION("""COMPUTED_VALUE"""),"EVERGREEN - UAN Gated Content - Embedded Petition")</f>
        <v>EVERGREEN - UAN Gated Content - Embedded Petition</v>
      </c>
      <c r="D710" s="5">
        <f ca="1">IFERROR(__xludf.DUMMYFUNCTION("""COMPUTED_VALUE"""),45694)</f>
        <v>45694</v>
      </c>
      <c r="F710" s="1" t="str">
        <f ca="1">IFERROR(__xludf.DUMMYFUNCTION("""COMPUTED_VALUE"""),"USA")</f>
        <v>USA</v>
      </c>
      <c r="G710" s="1" t="str">
        <f ca="1">IFERROR(__xludf.DUMMYFUNCTION("""COMPUTED_VALUE"""),"4.25 USA")</f>
        <v>4.25 USA</v>
      </c>
      <c r="H710" s="1" t="str">
        <f ca="1">IFERROR(__xludf.DUMMYFUNCTION("""COMPUTED_VALUE"""),"Individuals At Risk, Refugee and Migrant Rights")</f>
        <v>Individuals At Risk, Refugee and Migrant Rights</v>
      </c>
      <c r="I710" s="1" t="str">
        <f ca="1">IFERROR(__xludf.DUMMYFUNCTION("""COMPUTED_VALUE"""),"2025")</f>
        <v>2025</v>
      </c>
      <c r="J710" s="1" t="str">
        <f ca="1">IFERROR(__xludf.DUMMYFUNCTION("""COMPUTED_VALUE"""),"Letter")</f>
        <v>Letter</v>
      </c>
    </row>
    <row r="711" spans="1:10" ht="13" x14ac:dyDescent="0.15">
      <c r="A711" s="4">
        <f ca="1">IFERROR(__xludf.DUMMYFUNCTION("""COMPUTED_VALUE"""),31657594)</f>
        <v>31657594</v>
      </c>
      <c r="B711" s="1" t="str">
        <f ca="1">IFERROR(__xludf.DUMMYFUNCTION("""COMPUTED_VALUE"""),"airwormdad@yahoo.com")</f>
        <v>airwormdad@yahoo.com</v>
      </c>
      <c r="C711" s="4" t="str">
        <f ca="1">IFERROR(__xludf.DUMMYFUNCTION("""COMPUTED_VALUE"""),"EVERGREEN - UAN Gated Content - Embedded Petition")</f>
        <v>EVERGREEN - UAN Gated Content - Embedded Petition</v>
      </c>
      <c r="D711" s="5">
        <f ca="1">IFERROR(__xludf.DUMMYFUNCTION("""COMPUTED_VALUE"""),45700)</f>
        <v>45700</v>
      </c>
      <c r="F711" s="1" t="str">
        <f ca="1">IFERROR(__xludf.DUMMYFUNCTION("""COMPUTED_VALUE"""),"Egypt")</f>
        <v>Egypt</v>
      </c>
      <c r="G711" s="1" t="str">
        <f ca="1">IFERROR(__xludf.DUMMYFUNCTION("""COMPUTED_VALUE"""),"Second 80.23 Egypt")</f>
        <v>Second 80.23 Egypt</v>
      </c>
      <c r="H711" s="1" t="str">
        <f ca="1">IFERROR(__xludf.DUMMYFUNCTION("""COMPUTED_VALUE"""),"Health, Individuals At Risk")</f>
        <v>Health, Individuals At Risk</v>
      </c>
      <c r="I711" s="1" t="str">
        <f ca="1">IFERROR(__xludf.DUMMYFUNCTION("""COMPUTED_VALUE"""),"2025")</f>
        <v>2025</v>
      </c>
      <c r="J711" s="1" t="str">
        <f ca="1">IFERROR(__xludf.DUMMYFUNCTION("""COMPUTED_VALUE"""),"Email")</f>
        <v>Email</v>
      </c>
    </row>
    <row r="712" spans="1:10" ht="13" x14ac:dyDescent="0.15">
      <c r="A712" s="4">
        <f ca="1">IFERROR(__xludf.DUMMYFUNCTION("""COMPUTED_VALUE"""),31657594)</f>
        <v>31657594</v>
      </c>
      <c r="B712" s="1" t="str">
        <f ca="1">IFERROR(__xludf.DUMMYFUNCTION("""COMPUTED_VALUE"""),"airwormdad@yahoo.com")</f>
        <v>airwormdad@yahoo.com</v>
      </c>
      <c r="C712" s="4" t="str">
        <f ca="1">IFERROR(__xludf.DUMMYFUNCTION("""COMPUTED_VALUE"""),"EVERGREEN - UAN Gated Content - Embedded Petition")</f>
        <v>EVERGREEN - UAN Gated Content - Embedded Petition</v>
      </c>
      <c r="D712" s="5">
        <f ca="1">IFERROR(__xludf.DUMMYFUNCTION("""COMPUTED_VALUE"""),45701)</f>
        <v>45701</v>
      </c>
      <c r="F712" s="1" t="str">
        <f ca="1">IFERROR(__xludf.DUMMYFUNCTION("""COMPUTED_VALUE"""),"Uganda")</f>
        <v>Uganda</v>
      </c>
      <c r="G712" s="1" t="str">
        <f ca="1">IFERROR(__xludf.DUMMYFUNCTION("""COMPUTED_VALUE"""),"9.25 Uganda")</f>
        <v>9.25 Uganda</v>
      </c>
      <c r="H712" s="1" t="str">
        <f ca="1">IFERROR(__xludf.DUMMYFUNCTION("""COMPUTED_VALUE"""),"Freedom of Expression, Human Rights Defenders")</f>
        <v>Freedom of Expression, Human Rights Defenders</v>
      </c>
      <c r="I712" s="1" t="str">
        <f ca="1">IFERROR(__xludf.DUMMYFUNCTION("""COMPUTED_VALUE"""),"2025")</f>
        <v>2025</v>
      </c>
      <c r="J712" s="1" t="str">
        <f ca="1">IFERROR(__xludf.DUMMYFUNCTION("""COMPUTED_VALUE"""),"Email")</f>
        <v>Email</v>
      </c>
    </row>
    <row r="713" spans="1:10" ht="13" x14ac:dyDescent="0.15">
      <c r="A713" s="4">
        <f ca="1">IFERROR(__xludf.DUMMYFUNCTION("""COMPUTED_VALUE"""),31657594)</f>
        <v>31657594</v>
      </c>
      <c r="B713" s="1" t="str">
        <f ca="1">IFERROR(__xludf.DUMMYFUNCTION("""COMPUTED_VALUE"""),"airwormdad@yahoo.com")</f>
        <v>airwormdad@yahoo.com</v>
      </c>
      <c r="C713" s="4" t="str">
        <f ca="1">IFERROR(__xludf.DUMMYFUNCTION("""COMPUTED_VALUE"""),"EVERGREEN - UAN Gated Content - Embedded Petition")</f>
        <v>EVERGREEN - UAN Gated Content - Embedded Petition</v>
      </c>
      <c r="D713" s="5">
        <f ca="1">IFERROR(__xludf.DUMMYFUNCTION("""COMPUTED_VALUE"""),45701)</f>
        <v>45701</v>
      </c>
      <c r="F713" s="1" t="str">
        <f ca="1">IFERROR(__xludf.DUMMYFUNCTION("""COMPUTED_VALUE"""),"Tunisia")</f>
        <v>Tunisia</v>
      </c>
      <c r="G713" s="1" t="str">
        <f ca="1">IFERROR(__xludf.DUMMYFUNCTION("""COMPUTED_VALUE"""),"Second 76.24 Tunisia")</f>
        <v>Second 76.24 Tunisia</v>
      </c>
      <c r="H713" s="1" t="str">
        <f ca="1">IFERROR(__xludf.DUMMYFUNCTION("""COMPUTED_VALUE"""),"Freedom of Expression, Human Rights Defenders")</f>
        <v>Freedom of Expression, Human Rights Defenders</v>
      </c>
      <c r="I713" s="1" t="str">
        <f ca="1">IFERROR(__xludf.DUMMYFUNCTION("""COMPUTED_VALUE"""),"2025")</f>
        <v>2025</v>
      </c>
      <c r="J713" s="1" t="str">
        <f ca="1">IFERROR(__xludf.DUMMYFUNCTION("""COMPUTED_VALUE"""),"Email")</f>
        <v>Email</v>
      </c>
    </row>
    <row r="714" spans="1:10" ht="13" x14ac:dyDescent="0.15">
      <c r="A714" s="4">
        <f ca="1">IFERROR(__xludf.DUMMYFUNCTION("""COMPUTED_VALUE"""),31662979)</f>
        <v>31662979</v>
      </c>
      <c r="B714" s="1" t="str">
        <f ca="1">IFERROR(__xludf.DUMMYFUNCTION("""COMPUTED_VALUE"""),"fogcitypete@hotmail.com")</f>
        <v>fogcitypete@hotmail.com</v>
      </c>
      <c r="C714" s="4" t="str">
        <f ca="1">IFERROR(__xludf.DUMMYFUNCTION("""COMPUTED_VALUE"""),"EVERGREEN - UAN Gated Content - Embedded Petition")</f>
        <v>EVERGREEN - UAN Gated Content - Embedded Petition</v>
      </c>
      <c r="D714" s="5">
        <f ca="1">IFERROR(__xludf.DUMMYFUNCTION("""COMPUTED_VALUE"""),45631)</f>
        <v>45631</v>
      </c>
      <c r="F714" s="1" t="str">
        <f ca="1">IFERROR(__xludf.DUMMYFUNCTION("""COMPUTED_VALUE"""),"Venezuela")</f>
        <v>Venezuela</v>
      </c>
      <c r="G714" s="1" t="str">
        <f ca="1">IFERROR(__xludf.DUMMYFUNCTION("""COMPUTED_VALUE"""),"1.25 Venezuela")</f>
        <v>1.25 Venezuela</v>
      </c>
      <c r="H714" s="1" t="str">
        <f ca="1">IFERROR(__xludf.DUMMYFUNCTION("""COMPUTED_VALUE"""),"Human Rights Defenders, Individuals At Risk")</f>
        <v>Human Rights Defenders, Individuals At Risk</v>
      </c>
      <c r="I714" s="1" t="str">
        <f ca="1">IFERROR(__xludf.DUMMYFUNCTION("""COMPUTED_VALUE"""),"2025")</f>
        <v>2025</v>
      </c>
      <c r="J714" s="1" t="str">
        <f ca="1">IFERROR(__xludf.DUMMYFUNCTION("""COMPUTED_VALUE"""),"Letter")</f>
        <v>Letter</v>
      </c>
    </row>
    <row r="715" spans="1:10" ht="13" x14ac:dyDescent="0.15">
      <c r="A715" s="4">
        <f ca="1">IFERROR(__xludf.DUMMYFUNCTION("""COMPUTED_VALUE"""),31662979)</f>
        <v>31662979</v>
      </c>
      <c r="B715" s="1" t="str">
        <f ca="1">IFERROR(__xludf.DUMMYFUNCTION("""COMPUTED_VALUE"""),"fogcitypete@hotmail.com")</f>
        <v>fogcitypete@hotmail.com</v>
      </c>
      <c r="C715" s="4" t="str">
        <f ca="1">IFERROR(__xludf.DUMMYFUNCTION("""COMPUTED_VALUE"""),"EVERGREEN - UAN Gated Content - Embedded Petition")</f>
        <v>EVERGREEN - UAN Gated Content - Embedded Petition</v>
      </c>
      <c r="D715" s="5">
        <f ca="1">IFERROR(__xludf.DUMMYFUNCTION("""COMPUTED_VALUE"""),45633)</f>
        <v>45633</v>
      </c>
      <c r="F715" s="1" t="str">
        <f ca="1">IFERROR(__xludf.DUMMYFUNCTION("""COMPUTED_VALUE"""),"Azerbaijan")</f>
        <v>Azerbaijan</v>
      </c>
      <c r="G715" s="1" t="str">
        <f ca="1">IFERROR(__xludf.DUMMYFUNCTION("""COMPUTED_VALUE"""),"2.25 Azerbaijan")</f>
        <v>2.25 Azerbaijan</v>
      </c>
      <c r="H715" s="1" t="str">
        <f ca="1">IFERROR(__xludf.DUMMYFUNCTION("""COMPUTED_VALUE"""),"Freedom of Expression, Human Rights Defenders")</f>
        <v>Freedom of Expression, Human Rights Defenders</v>
      </c>
      <c r="I715" s="1" t="str">
        <f ca="1">IFERROR(__xludf.DUMMYFUNCTION("""COMPUTED_VALUE"""),"2025")</f>
        <v>2025</v>
      </c>
      <c r="J715" s="1" t="str">
        <f ca="1">IFERROR(__xludf.DUMMYFUNCTION("""COMPUTED_VALUE"""),"Email")</f>
        <v>Email</v>
      </c>
    </row>
    <row r="716" spans="1:10" ht="13" x14ac:dyDescent="0.15">
      <c r="A716" s="4">
        <f ca="1">IFERROR(__xludf.DUMMYFUNCTION("""COMPUTED_VALUE"""),31662979)</f>
        <v>31662979</v>
      </c>
      <c r="B716" s="1" t="str">
        <f ca="1">IFERROR(__xludf.DUMMYFUNCTION("""COMPUTED_VALUE"""),"fogcitypete@hotmail.com")</f>
        <v>fogcitypete@hotmail.com</v>
      </c>
      <c r="C716" s="4" t="str">
        <f ca="1">IFERROR(__xludf.DUMMYFUNCTION("""COMPUTED_VALUE"""),"EVERGREEN - UAN Gated Content - Embedded Petition")</f>
        <v>EVERGREEN - UAN Gated Content - Embedded Petition</v>
      </c>
      <c r="D716" s="5">
        <f ca="1">IFERROR(__xludf.DUMMYFUNCTION("""COMPUTED_VALUE"""),45658)</f>
        <v>45658</v>
      </c>
      <c r="F716" s="1" t="str">
        <f ca="1">IFERROR(__xludf.DUMMYFUNCTION("""COMPUTED_VALUE"""),"China")</f>
        <v>China</v>
      </c>
      <c r="G716" s="1" t="str">
        <f ca="1">IFERROR(__xludf.DUMMYFUNCTION("""COMPUTED_VALUE"""),"98.24 China")</f>
        <v>98.24 China</v>
      </c>
      <c r="H716" s="1" t="str">
        <f ca="1">IFERROR(__xludf.DUMMYFUNCTION("""COMPUTED_VALUE"""),"Freedom of Expression, Individuals At Risk")</f>
        <v>Freedom of Expression, Individuals At Risk</v>
      </c>
      <c r="I716" s="1" t="str">
        <f ca="1">IFERROR(__xludf.DUMMYFUNCTION("""COMPUTED_VALUE"""),"2024")</f>
        <v>2024</v>
      </c>
      <c r="J716" s="1" t="str">
        <f ca="1">IFERROR(__xludf.DUMMYFUNCTION("""COMPUTED_VALUE"""),"Letter")</f>
        <v>Letter</v>
      </c>
    </row>
    <row r="717" spans="1:10" ht="13" x14ac:dyDescent="0.15">
      <c r="A717" s="4">
        <f ca="1">IFERROR(__xludf.DUMMYFUNCTION("""COMPUTED_VALUE"""),31662979)</f>
        <v>31662979</v>
      </c>
      <c r="B717" s="1" t="str">
        <f ca="1">IFERROR(__xludf.DUMMYFUNCTION("""COMPUTED_VALUE"""),"fogcitypete@hotmail.com")</f>
        <v>fogcitypete@hotmail.com</v>
      </c>
      <c r="C717" s="4" t="str">
        <f ca="1">IFERROR(__xludf.DUMMYFUNCTION("""COMPUTED_VALUE"""),"UAN mid-page Lightbox - Step 1 of 4 - Landing Page")</f>
        <v>UAN mid-page Lightbox - Step 1 of 4 - Landing Page</v>
      </c>
      <c r="D717" s="5">
        <f ca="1">IFERROR(__xludf.DUMMYFUNCTION("""COMPUTED_VALUE"""),45627)</f>
        <v>45627</v>
      </c>
      <c r="F717" s="1" t="str">
        <f ca="1">IFERROR(__xludf.DUMMYFUNCTION("""COMPUTED_VALUE"""),"Singapore")</f>
        <v>Singapore</v>
      </c>
      <c r="G717" s="1" t="str">
        <f ca="1">IFERROR(__xludf.DUMMYFUNCTION("""COMPUTED_VALUE"""),"107.24 Singapore")</f>
        <v>107.24 Singapore</v>
      </c>
      <c r="H717" s="1" t="str">
        <f ca="1">IFERROR(__xludf.DUMMYFUNCTION("""COMPUTED_VALUE"""),"Death Penalty")</f>
        <v>Death Penalty</v>
      </c>
      <c r="I717" s="1" t="str">
        <f ca="1">IFERROR(__xludf.DUMMYFUNCTION("""COMPUTED_VALUE"""),"2024")</f>
        <v>2024</v>
      </c>
      <c r="J717" s="1" t="str">
        <f ca="1">IFERROR(__xludf.DUMMYFUNCTION("""COMPUTED_VALUE"""),"Email")</f>
        <v>Email</v>
      </c>
    </row>
    <row r="718" spans="1:10" ht="13" x14ac:dyDescent="0.15">
      <c r="A718" s="4">
        <f ca="1">IFERROR(__xludf.DUMMYFUNCTION("""COMPUTED_VALUE"""),31681443)</f>
        <v>31681443</v>
      </c>
      <c r="B718" s="1" t="str">
        <f ca="1">IFERROR(__xludf.DUMMYFUNCTION("""COMPUTED_VALUE"""),"howardmead@comcast.net")</f>
        <v>howardmead@comcast.net</v>
      </c>
      <c r="C718" s="4" t="str">
        <f ca="1">IFERROR(__xludf.DUMMYFUNCTION("""COMPUTED_VALUE"""),"EVERGREEN - UAN Gated Content - Embedded Petition")</f>
        <v>EVERGREEN - UAN Gated Content - Embedded Petition</v>
      </c>
      <c r="D718" s="5">
        <f ca="1">IFERROR(__xludf.DUMMYFUNCTION("""COMPUTED_VALUE"""),45674)</f>
        <v>45674</v>
      </c>
      <c r="F718" s="1" t="str">
        <f ca="1">IFERROR(__xludf.DUMMYFUNCTION("""COMPUTED_VALUE"""),"")</f>
        <v/>
      </c>
      <c r="G718" s="1" t="str">
        <f ca="1">IFERROR(__xludf.DUMMYFUNCTION("""COMPUTED_VALUE"""),"104.24 Saudi Arabia")</f>
        <v>104.24 Saudi Arabia</v>
      </c>
      <c r="H718" s="1" t="str">
        <f ca="1">IFERROR(__xludf.DUMMYFUNCTION("""COMPUTED_VALUE"""),"")</f>
        <v/>
      </c>
      <c r="I718" s="1" t="str">
        <f ca="1">IFERROR(__xludf.DUMMYFUNCTION("""COMPUTED_VALUE"""),"2024")</f>
        <v>2024</v>
      </c>
      <c r="J718" s="1" t="str">
        <f ca="1">IFERROR(__xludf.DUMMYFUNCTION("""COMPUTED_VALUE"""),"Letter")</f>
        <v>Letter</v>
      </c>
    </row>
    <row r="719" spans="1:10" ht="13" x14ac:dyDescent="0.15">
      <c r="A719" s="4">
        <f ca="1">IFERROR(__xludf.DUMMYFUNCTION("""COMPUTED_VALUE"""),31681443)</f>
        <v>31681443</v>
      </c>
      <c r="B719" s="1" t="str">
        <f ca="1">IFERROR(__xludf.DUMMYFUNCTION("""COMPUTED_VALUE"""),"howardmead@comcast.net")</f>
        <v>howardmead@comcast.net</v>
      </c>
      <c r="C719" s="4" t="str">
        <f ca="1">IFERROR(__xludf.DUMMYFUNCTION("""COMPUTED_VALUE"""),"EVERGREEN - UAN Gated Content - Embedded Petition")</f>
        <v>EVERGREEN - UAN Gated Content - Embedded Petition</v>
      </c>
      <c r="D719" s="5">
        <f ca="1">IFERROR(__xludf.DUMMYFUNCTION("""COMPUTED_VALUE"""),45674)</f>
        <v>45674</v>
      </c>
      <c r="F719" s="1" t="str">
        <f ca="1">IFERROR(__xludf.DUMMYFUNCTION("""COMPUTED_VALUE"""),"Egypt")</f>
        <v>Egypt</v>
      </c>
      <c r="G719" s="1" t="str">
        <f ca="1">IFERROR(__xludf.DUMMYFUNCTION("""COMPUTED_VALUE"""),"Fourth 29.23 Egypt")</f>
        <v>Fourth 29.23 Egypt</v>
      </c>
      <c r="H719" s="1" t="str">
        <f ca="1">IFERROR(__xludf.DUMMYFUNCTION("""COMPUTED_VALUE"""),"Freedom of Expression, Individuals At Risk, Right to Protest")</f>
        <v>Freedom of Expression, Individuals At Risk, Right to Protest</v>
      </c>
      <c r="I719" s="1" t="str">
        <f ca="1">IFERROR(__xludf.DUMMYFUNCTION("""COMPUTED_VALUE"""),"2024")</f>
        <v>2024</v>
      </c>
      <c r="J719" s="1" t="str">
        <f ca="1">IFERROR(__xludf.DUMMYFUNCTION("""COMPUTED_VALUE"""),"Email")</f>
        <v>Email</v>
      </c>
    </row>
    <row r="720" spans="1:10" ht="13" x14ac:dyDescent="0.15">
      <c r="A720" s="4">
        <f ca="1">IFERROR(__xludf.DUMMYFUNCTION("""COMPUTED_VALUE"""),31681687)</f>
        <v>31681687</v>
      </c>
      <c r="B720" s="1" t="str">
        <f ca="1">IFERROR(__xludf.DUMMYFUNCTION("""COMPUTED_VALUE"""),"srkepner@comcast.net")</f>
        <v>srkepner@comcast.net</v>
      </c>
      <c r="C720" s="4" t="str">
        <f ca="1">IFERROR(__xludf.DUMMYFUNCTION("""COMPUTED_VALUE"""),"EVERGREEN - UAN Gated Content - Embedded Petition")</f>
        <v>EVERGREEN - UAN Gated Content - Embedded Petition</v>
      </c>
      <c r="D720" s="5">
        <f ca="1">IFERROR(__xludf.DUMMYFUNCTION("""COMPUTED_VALUE"""),45694)</f>
        <v>45694</v>
      </c>
      <c r="F720" s="1" t="str">
        <f ca="1">IFERROR(__xludf.DUMMYFUNCTION("""COMPUTED_VALUE"""),"Uganda")</f>
        <v>Uganda</v>
      </c>
      <c r="G720" s="1" t="str">
        <f ca="1">IFERROR(__xludf.DUMMYFUNCTION("""COMPUTED_VALUE"""),"100.24 Uganda")</f>
        <v>100.24 Uganda</v>
      </c>
      <c r="H720" s="1" t="str">
        <f ca="1">IFERROR(__xludf.DUMMYFUNCTION("""COMPUTED_VALUE"""),"Freedom of Expression")</f>
        <v>Freedom of Expression</v>
      </c>
      <c r="I720" s="1" t="str">
        <f ca="1">IFERROR(__xludf.DUMMYFUNCTION("""COMPUTED_VALUE"""),"2024")</f>
        <v>2024</v>
      </c>
      <c r="J720" s="1" t="str">
        <f ca="1">IFERROR(__xludf.DUMMYFUNCTION("""COMPUTED_VALUE"""),"Email")</f>
        <v>Email</v>
      </c>
    </row>
    <row r="721" spans="1:10" ht="13" x14ac:dyDescent="0.15">
      <c r="A721" s="4">
        <f ca="1">IFERROR(__xludf.DUMMYFUNCTION("""COMPUTED_VALUE"""),31686427)</f>
        <v>31686427</v>
      </c>
      <c r="B721" s="1" t="str">
        <f ca="1">IFERROR(__xludf.DUMMYFUNCTION("""COMPUTED_VALUE"""),"lakepoet@pacbell.net")</f>
        <v>lakepoet@pacbell.net</v>
      </c>
      <c r="C721" s="4" t="str">
        <f ca="1">IFERROR(__xludf.DUMMYFUNCTION("""COMPUTED_VALUE"""),"EVERGREEN - UAN Gated Content - Embedded Petition")</f>
        <v>EVERGREEN - UAN Gated Content - Embedded Petition</v>
      </c>
      <c r="D721" s="5">
        <f ca="1">IFERROR(__xludf.DUMMYFUNCTION("""COMPUTED_VALUE"""),45642)</f>
        <v>45642</v>
      </c>
      <c r="F721" s="1" t="str">
        <f ca="1">IFERROR(__xludf.DUMMYFUNCTION("""COMPUTED_VALUE"""),"Iran")</f>
        <v>Iran</v>
      </c>
      <c r="G721" s="1" t="str">
        <f ca="1">IFERROR(__xludf.DUMMYFUNCTION("""COMPUTED_VALUE"""),"101.24 Iran")</f>
        <v>101.24 Iran</v>
      </c>
      <c r="H721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721" s="1" t="str">
        <f ca="1">IFERROR(__xludf.DUMMYFUNCTION("""COMPUTED_VALUE"""),"2024")</f>
        <v>2024</v>
      </c>
      <c r="J721" s="1" t="str">
        <f ca="1">IFERROR(__xludf.DUMMYFUNCTION("""COMPUTED_VALUE"""),"Email")</f>
        <v>Email</v>
      </c>
    </row>
    <row r="722" spans="1:10" ht="13" x14ac:dyDescent="0.15">
      <c r="A722" s="4">
        <f ca="1">IFERROR(__xludf.DUMMYFUNCTION("""COMPUTED_VALUE"""),31686427)</f>
        <v>31686427</v>
      </c>
      <c r="B722" s="1" t="str">
        <f ca="1">IFERROR(__xludf.DUMMYFUNCTION("""COMPUTED_VALUE"""),"lakepoet@pacbell.net")</f>
        <v>lakepoet@pacbell.net</v>
      </c>
      <c r="C722" s="4" t="str">
        <f ca="1">IFERROR(__xludf.DUMMYFUNCTION("""COMPUTED_VALUE"""),"EVERGREEN - UAN Gated Content - Embedded Petition")</f>
        <v>EVERGREEN - UAN Gated Content - Embedded Petition</v>
      </c>
      <c r="D722" s="5">
        <f ca="1">IFERROR(__xludf.DUMMYFUNCTION("""COMPUTED_VALUE"""),45694)</f>
        <v>45694</v>
      </c>
      <c r="F722" s="1" t="str">
        <f ca="1">IFERROR(__xludf.DUMMYFUNCTION("""COMPUTED_VALUE"""),"Venezuela")</f>
        <v>Venezuela</v>
      </c>
      <c r="G722" s="1" t="str">
        <f ca="1">IFERROR(__xludf.DUMMYFUNCTION("""COMPUTED_VALUE"""),"97.24 Venezuela")</f>
        <v>97.24 Venezuela</v>
      </c>
      <c r="H722" s="1" t="str">
        <f ca="1">IFERROR(__xludf.DUMMYFUNCTION("""COMPUTED_VALUE"""),"Freedom of Expression")</f>
        <v>Freedom of Expression</v>
      </c>
      <c r="I722" s="1" t="str">
        <f ca="1">IFERROR(__xludf.DUMMYFUNCTION("""COMPUTED_VALUE"""),"2024")</f>
        <v>2024</v>
      </c>
      <c r="J722" s="1" t="str">
        <f ca="1">IFERROR(__xludf.DUMMYFUNCTION("""COMPUTED_VALUE"""),"Letter")</f>
        <v>Letter</v>
      </c>
    </row>
    <row r="723" spans="1:10" ht="13" x14ac:dyDescent="0.15">
      <c r="A723" s="4">
        <f ca="1">IFERROR(__xludf.DUMMYFUNCTION("""COMPUTED_VALUE"""),31686427)</f>
        <v>31686427</v>
      </c>
      <c r="B723" s="1" t="str">
        <f ca="1">IFERROR(__xludf.DUMMYFUNCTION("""COMPUTED_VALUE"""),"lakepoet@pacbell.net")</f>
        <v>lakepoet@pacbell.net</v>
      </c>
      <c r="C723" s="4" t="str">
        <f ca="1">IFERROR(__xludf.DUMMYFUNCTION("""COMPUTED_VALUE"""),"EVERGREEN - UAN Gated Content - Embedded Petition")</f>
        <v>EVERGREEN - UAN Gated Content - Embedded Petition</v>
      </c>
      <c r="D723" s="5">
        <f ca="1">IFERROR(__xludf.DUMMYFUNCTION("""COMPUTED_VALUE"""),45694)</f>
        <v>45694</v>
      </c>
      <c r="F723" s="1" t="str">
        <f ca="1">IFERROR(__xludf.DUMMYFUNCTION("""COMPUTED_VALUE"""),"Russian Federation")</f>
        <v>Russian Federation</v>
      </c>
      <c r="G723" s="1" t="str">
        <f ca="1">IFERROR(__xludf.DUMMYFUNCTION("""COMPUTED_VALUE"""),"Second 23.24 Russia")</f>
        <v>Second 23.24 Russia</v>
      </c>
      <c r="H723" s="1" t="str">
        <f ca="1">IFERROR(__xludf.DUMMYFUNCTION("""COMPUTED_VALUE"""),"Freedom of Expression")</f>
        <v>Freedom of Expression</v>
      </c>
      <c r="I723" s="1" t="str">
        <f ca="1">IFERROR(__xludf.DUMMYFUNCTION("""COMPUTED_VALUE"""),"2024")</f>
        <v>2024</v>
      </c>
      <c r="J723" s="1" t="str">
        <f ca="1">IFERROR(__xludf.DUMMYFUNCTION("""COMPUTED_VALUE"""),"Letter")</f>
        <v>Letter</v>
      </c>
    </row>
    <row r="724" spans="1:10" ht="13" x14ac:dyDescent="0.15">
      <c r="A724" s="4">
        <f ca="1">IFERROR(__xludf.DUMMYFUNCTION("""COMPUTED_VALUE"""),31686427)</f>
        <v>31686427</v>
      </c>
      <c r="B724" s="1" t="str">
        <f ca="1">IFERROR(__xludf.DUMMYFUNCTION("""COMPUTED_VALUE"""),"lakepoet@pacbell.net")</f>
        <v>lakepoet@pacbell.net</v>
      </c>
      <c r="C724" s="4" t="str">
        <f ca="1">IFERROR(__xludf.DUMMYFUNCTION("""COMPUTED_VALUE"""),"EVERGREEN - UAN Gated Content - Embedded Petition")</f>
        <v>EVERGREEN - UAN Gated Content - Embedded Petition</v>
      </c>
      <c r="D724" s="5">
        <f ca="1">IFERROR(__xludf.DUMMYFUNCTION("""COMPUTED_VALUE"""),45621)</f>
        <v>45621</v>
      </c>
      <c r="F724" s="1" t="str">
        <f ca="1">IFERROR(__xludf.DUMMYFUNCTION("""COMPUTED_VALUE"""),"Venezuela")</f>
        <v>Venezuela</v>
      </c>
      <c r="G724" s="1" t="str">
        <f ca="1">IFERROR(__xludf.DUMMYFUNCTION("""COMPUTED_VALUE"""),"97.24 Venezuela")</f>
        <v>97.24 Venezuela</v>
      </c>
      <c r="H724" s="1" t="str">
        <f ca="1">IFERROR(__xludf.DUMMYFUNCTION("""COMPUTED_VALUE"""),"Freedom of Expression")</f>
        <v>Freedom of Expression</v>
      </c>
      <c r="I724" s="1" t="str">
        <f ca="1">IFERROR(__xludf.DUMMYFUNCTION("""COMPUTED_VALUE"""),"2024")</f>
        <v>2024</v>
      </c>
      <c r="J724" s="1" t="str">
        <f ca="1">IFERROR(__xludf.DUMMYFUNCTION("""COMPUTED_VALUE"""),"Letter")</f>
        <v>Letter</v>
      </c>
    </row>
    <row r="725" spans="1:10" ht="13" x14ac:dyDescent="0.15">
      <c r="A725" s="4">
        <f ca="1">IFERROR(__xludf.DUMMYFUNCTION("""COMPUTED_VALUE"""),31686427)</f>
        <v>31686427</v>
      </c>
      <c r="B725" s="1" t="str">
        <f ca="1">IFERROR(__xludf.DUMMYFUNCTION("""COMPUTED_VALUE"""),"lakepoet@pacbell.net")</f>
        <v>lakepoet@pacbell.net</v>
      </c>
      <c r="C725" s="4" t="str">
        <f ca="1">IFERROR(__xludf.DUMMYFUNCTION("""COMPUTED_VALUE"""),"EVERGREEN - UAN Gated Content - Embedded Petition")</f>
        <v>EVERGREEN - UAN Gated Content - Embedded Petition</v>
      </c>
      <c r="D725" s="5">
        <f ca="1">IFERROR(__xludf.DUMMYFUNCTION("""COMPUTED_VALUE"""),45621)</f>
        <v>45621</v>
      </c>
      <c r="F725" s="1" t="str">
        <f ca="1">IFERROR(__xludf.DUMMYFUNCTION("""COMPUTED_VALUE"""),"USA")</f>
        <v>USA</v>
      </c>
      <c r="G725" s="1" t="str">
        <f ca="1">IFERROR(__xludf.DUMMYFUNCTION("""COMPUTED_VALUE"""),"Fourth 55.24 USA")</f>
        <v>Fourth 55.24 USA</v>
      </c>
      <c r="H725" s="1" t="str">
        <f ca="1">IFERROR(__xludf.DUMMYFUNCTION("""COMPUTED_VALUE"""),"Climate Justice, Individuals At Risk")</f>
        <v>Climate Justice, Individuals At Risk</v>
      </c>
      <c r="I725" s="1" t="str">
        <f ca="1">IFERROR(__xludf.DUMMYFUNCTION("""COMPUTED_VALUE"""),"2025")</f>
        <v>2025</v>
      </c>
      <c r="J725" s="1" t="str">
        <f ca="1">IFERROR(__xludf.DUMMYFUNCTION("""COMPUTED_VALUE"""),"Email")</f>
        <v>Email</v>
      </c>
    </row>
    <row r="726" spans="1:10" ht="13" x14ac:dyDescent="0.15">
      <c r="A726" s="4">
        <f ca="1">IFERROR(__xludf.DUMMYFUNCTION("""COMPUTED_VALUE"""),31691382)</f>
        <v>31691382</v>
      </c>
      <c r="B726" s="1" t="str">
        <f ca="1">IFERROR(__xludf.DUMMYFUNCTION("""COMPUTED_VALUE"""),"gavrilah@sbcglobal.net")</f>
        <v>gavrilah@sbcglobal.net</v>
      </c>
      <c r="C726" s="4" t="str">
        <f ca="1">IFERROR(__xludf.DUMMYFUNCTION("""COMPUTED_VALUE"""),"EVERGREEN - UAN Gated Content - Embedded Petition")</f>
        <v>EVERGREEN - UAN Gated Content - Embedded Petition</v>
      </c>
      <c r="D726" s="5">
        <f ca="1">IFERROR(__xludf.DUMMYFUNCTION("""COMPUTED_VALUE"""),45632)</f>
        <v>45632</v>
      </c>
      <c r="F726" s="1" t="str">
        <f ca="1">IFERROR(__xludf.DUMMYFUNCTION("""COMPUTED_VALUE"""),"Venezuela")</f>
        <v>Venezuela</v>
      </c>
      <c r="G726" s="1" t="str">
        <f ca="1">IFERROR(__xludf.DUMMYFUNCTION("""COMPUTED_VALUE"""),"97.24 Venezuela")</f>
        <v>97.24 Venezuela</v>
      </c>
      <c r="H726" s="1" t="str">
        <f ca="1">IFERROR(__xludf.DUMMYFUNCTION("""COMPUTED_VALUE"""),"Freedom of Expression")</f>
        <v>Freedom of Expression</v>
      </c>
      <c r="I726" s="1" t="str">
        <f ca="1">IFERROR(__xludf.DUMMYFUNCTION("""COMPUTED_VALUE"""),"2024")</f>
        <v>2024</v>
      </c>
      <c r="J726" s="1" t="str">
        <f ca="1">IFERROR(__xludf.DUMMYFUNCTION("""COMPUTED_VALUE"""),"Letter")</f>
        <v>Letter</v>
      </c>
    </row>
    <row r="727" spans="1:10" ht="13" x14ac:dyDescent="0.15">
      <c r="A727" s="4">
        <f ca="1">IFERROR(__xludf.DUMMYFUNCTION("""COMPUTED_VALUE"""),31691382)</f>
        <v>31691382</v>
      </c>
      <c r="B727" s="1" t="str">
        <f ca="1">IFERROR(__xludf.DUMMYFUNCTION("""COMPUTED_VALUE"""),"gavrilah@sbcglobal.net")</f>
        <v>gavrilah@sbcglobal.net</v>
      </c>
      <c r="C727" s="4" t="str">
        <f ca="1">IFERROR(__xludf.DUMMYFUNCTION("""COMPUTED_VALUE"""),"EVERGREEN - UAN Gated Content - Embedded Petition")</f>
        <v>EVERGREEN - UAN Gated Content - Embedded Petition</v>
      </c>
      <c r="D727" s="5">
        <f ca="1">IFERROR(__xludf.DUMMYFUNCTION("""COMPUTED_VALUE"""),45701)</f>
        <v>45701</v>
      </c>
      <c r="F727" s="1" t="str">
        <f ca="1">IFERROR(__xludf.DUMMYFUNCTION("""COMPUTED_VALUE"""),"Israel and Occupied Palestinian Territories")</f>
        <v>Israel and Occupied Palestinian Territories</v>
      </c>
      <c r="G727" s="1" t="str">
        <f ca="1">IFERROR(__xludf.DUMMYFUNCTION("""COMPUTED_VALUE"""),"3.25 IOPT")</f>
        <v>3.25 IOPT</v>
      </c>
      <c r="H727" s="1" t="str">
        <f ca="1">IFERROR(__xludf.DUMMYFUNCTION("""COMPUTED_VALUE"""),"Freedom of Expression, Individuals At Risk")</f>
        <v>Freedom of Expression, Individuals At Risk</v>
      </c>
      <c r="I727" s="1" t="str">
        <f ca="1">IFERROR(__xludf.DUMMYFUNCTION("""COMPUTED_VALUE"""),"2025")</f>
        <v>2025</v>
      </c>
      <c r="J727" s="1" t="str">
        <f ca="1">IFERROR(__xludf.DUMMYFUNCTION("""COMPUTED_VALUE"""),"Email")</f>
        <v>Email</v>
      </c>
    </row>
    <row r="728" spans="1:10" ht="13" x14ac:dyDescent="0.15">
      <c r="A728" s="4">
        <f ca="1">IFERROR(__xludf.DUMMYFUNCTION("""COMPUTED_VALUE"""),31698048)</f>
        <v>31698048</v>
      </c>
      <c r="B728" s="1" t="str">
        <f ca="1">IFERROR(__xludf.DUMMYFUNCTION("""COMPUTED_VALUE"""),"contactlindanelson@gmail.com")</f>
        <v>contactlindanelson@gmail.com</v>
      </c>
      <c r="C728" s="4" t="str">
        <f ca="1">IFERROR(__xludf.DUMMYFUNCTION("""COMPUTED_VALUE"""),"EVERGREEN - UAN Gated Content - Embedded Petition")</f>
        <v>EVERGREEN - UAN Gated Content - Embedded Petition</v>
      </c>
      <c r="D728" s="5">
        <f ca="1">IFERROR(__xludf.DUMMYFUNCTION("""COMPUTED_VALUE"""),45678)</f>
        <v>45678</v>
      </c>
      <c r="F728" s="1" t="str">
        <f ca="1">IFERROR(__xludf.DUMMYFUNCTION("""COMPUTED_VALUE"""),"Uganda")</f>
        <v>Uganda</v>
      </c>
      <c r="G728" s="1" t="str">
        <f ca="1">IFERROR(__xludf.DUMMYFUNCTION("""COMPUTED_VALUE"""),"100.24 Uganda")</f>
        <v>100.24 Uganda</v>
      </c>
      <c r="H728" s="1" t="str">
        <f ca="1">IFERROR(__xludf.DUMMYFUNCTION("""COMPUTED_VALUE"""),"Freedom of Expression")</f>
        <v>Freedom of Expression</v>
      </c>
      <c r="I728" s="1" t="str">
        <f ca="1">IFERROR(__xludf.DUMMYFUNCTION("""COMPUTED_VALUE"""),"2024")</f>
        <v>2024</v>
      </c>
      <c r="J728" s="1" t="str">
        <f ca="1">IFERROR(__xludf.DUMMYFUNCTION("""COMPUTED_VALUE"""),"Email")</f>
        <v>Email</v>
      </c>
    </row>
    <row r="729" spans="1:10" ht="13" x14ac:dyDescent="0.15">
      <c r="A729" s="4">
        <f ca="1">IFERROR(__xludf.DUMMYFUNCTION("""COMPUTED_VALUE"""),31699346)</f>
        <v>31699346</v>
      </c>
      <c r="B729" s="1" t="str">
        <f ca="1">IFERROR(__xludf.DUMMYFUNCTION("""COMPUTED_VALUE"""),"hgoldstein55@gmail.com")</f>
        <v>hgoldstein55@gmail.com</v>
      </c>
      <c r="C729" s="4" t="str">
        <f ca="1">IFERROR(__xludf.DUMMYFUNCTION("""COMPUTED_VALUE"""),"EVERGREEN - UAN Gated Content - Embedded Petition")</f>
        <v>EVERGREEN - UAN Gated Content - Embedded Petition</v>
      </c>
      <c r="D729" s="5">
        <f ca="1">IFERROR(__xludf.DUMMYFUNCTION("""COMPUTED_VALUE"""),45694)</f>
        <v>45694</v>
      </c>
      <c r="F729" s="1" t="str">
        <f ca="1">IFERROR(__xludf.DUMMYFUNCTION("""COMPUTED_VALUE"""),"Israel and Occupied Palestinian Territories")</f>
        <v>Israel and Occupied Palestinian Territories</v>
      </c>
      <c r="G729" s="1" t="str">
        <f ca="1">IFERROR(__xludf.DUMMYFUNCTION("""COMPUTED_VALUE"""),"3.25 IOPT")</f>
        <v>3.25 IOPT</v>
      </c>
      <c r="H729" s="1" t="str">
        <f ca="1">IFERROR(__xludf.DUMMYFUNCTION("""COMPUTED_VALUE"""),"Freedom of Expression, Individuals At Risk")</f>
        <v>Freedom of Expression, Individuals At Risk</v>
      </c>
      <c r="I729" s="1" t="str">
        <f ca="1">IFERROR(__xludf.DUMMYFUNCTION("""COMPUTED_VALUE"""),"2025")</f>
        <v>2025</v>
      </c>
      <c r="J729" s="1" t="str">
        <f ca="1">IFERROR(__xludf.DUMMYFUNCTION("""COMPUTED_VALUE"""),"Email")</f>
        <v>Email</v>
      </c>
    </row>
    <row r="730" spans="1:10" ht="13" x14ac:dyDescent="0.15">
      <c r="A730" s="4">
        <f ca="1">IFERROR(__xludf.DUMMYFUNCTION("""COMPUTED_VALUE"""),31699640)</f>
        <v>31699640</v>
      </c>
      <c r="B730" s="1" t="str">
        <f ca="1">IFERROR(__xludf.DUMMYFUNCTION("""COMPUTED_VALUE"""),"sandywag@gmail.com")</f>
        <v>sandywag@gmail.com</v>
      </c>
      <c r="C730" s="4" t="str">
        <f ca="1">IFERROR(__xludf.DUMMYFUNCTION("""COMPUTED_VALUE"""),"EVERGREEN - UAN Gated Content - Embedded Petition")</f>
        <v>EVERGREEN - UAN Gated Content - Embedded Petition</v>
      </c>
      <c r="D730" s="5">
        <f ca="1">IFERROR(__xludf.DUMMYFUNCTION("""COMPUTED_VALUE"""),45674)</f>
        <v>45674</v>
      </c>
      <c r="F730" s="1" t="str">
        <f ca="1">IFERROR(__xludf.DUMMYFUNCTION("""COMPUTED_VALUE"""),"USA")</f>
        <v>USA</v>
      </c>
      <c r="G730" s="1" t="str">
        <f ca="1">IFERROR(__xludf.DUMMYFUNCTION("""COMPUTED_VALUE"""),"4.25 USA")</f>
        <v>4.25 USA</v>
      </c>
      <c r="H730" s="1" t="str">
        <f ca="1">IFERROR(__xludf.DUMMYFUNCTION("""COMPUTED_VALUE"""),"Individuals At Risk, Refugee and Migrant Rights")</f>
        <v>Individuals At Risk, Refugee and Migrant Rights</v>
      </c>
      <c r="I730" s="1" t="str">
        <f ca="1">IFERROR(__xludf.DUMMYFUNCTION("""COMPUTED_VALUE"""),"2025")</f>
        <v>2025</v>
      </c>
      <c r="J730" s="1" t="str">
        <f ca="1">IFERROR(__xludf.DUMMYFUNCTION("""COMPUTED_VALUE"""),"Letter")</f>
        <v>Letter</v>
      </c>
    </row>
    <row r="731" spans="1:10" ht="13" x14ac:dyDescent="0.15">
      <c r="A731" s="4">
        <f ca="1">IFERROR(__xludf.DUMMYFUNCTION("""COMPUTED_VALUE"""),31699640)</f>
        <v>31699640</v>
      </c>
      <c r="B731" s="1" t="str">
        <f ca="1">IFERROR(__xludf.DUMMYFUNCTION("""COMPUTED_VALUE"""),"sandywag@gmail.com")</f>
        <v>sandywag@gmail.com</v>
      </c>
      <c r="C731" s="4" t="str">
        <f ca="1">IFERROR(__xludf.DUMMYFUNCTION("""COMPUTED_VALUE"""),"EVERGREEN - UAN Gated Content - Embedded Petition")</f>
        <v>EVERGREEN - UAN Gated Content - Embedded Petition</v>
      </c>
      <c r="D731" s="5">
        <f ca="1">IFERROR(__xludf.DUMMYFUNCTION("""COMPUTED_VALUE"""),45636)</f>
        <v>45636</v>
      </c>
      <c r="F731" s="1" t="str">
        <f ca="1">IFERROR(__xludf.DUMMYFUNCTION("""COMPUTED_VALUE"""),"Iran")</f>
        <v>Iran</v>
      </c>
      <c r="G731" s="1" t="str">
        <f ca="1">IFERROR(__xludf.DUMMYFUNCTION("""COMPUTED_VALUE"""),"101.24 Iran")</f>
        <v>101.24 Iran</v>
      </c>
      <c r="H731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731" s="1" t="str">
        <f ca="1">IFERROR(__xludf.DUMMYFUNCTION("""COMPUTED_VALUE"""),"2024")</f>
        <v>2024</v>
      </c>
      <c r="J731" s="1" t="str">
        <f ca="1">IFERROR(__xludf.DUMMYFUNCTION("""COMPUTED_VALUE"""),"Email")</f>
        <v>Email</v>
      </c>
    </row>
    <row r="732" spans="1:10" ht="13" x14ac:dyDescent="0.15">
      <c r="A732" s="4">
        <f ca="1">IFERROR(__xludf.DUMMYFUNCTION("""COMPUTED_VALUE"""),31699640)</f>
        <v>31699640</v>
      </c>
      <c r="B732" s="1" t="str">
        <f ca="1">IFERROR(__xludf.DUMMYFUNCTION("""COMPUTED_VALUE"""),"sandywag@gmail.com")</f>
        <v>sandywag@gmail.com</v>
      </c>
      <c r="C732" s="4" t="str">
        <f ca="1">IFERROR(__xludf.DUMMYFUNCTION("""COMPUTED_VALUE"""),"EVERGREEN - UAN Gated Content - Embedded Petition")</f>
        <v>EVERGREEN - UAN Gated Content - Embedded Petition</v>
      </c>
      <c r="D732" s="5">
        <f ca="1">IFERROR(__xludf.DUMMYFUNCTION("""COMPUTED_VALUE"""),45674)</f>
        <v>45674</v>
      </c>
      <c r="F732" s="1" t="str">
        <f ca="1">IFERROR(__xludf.DUMMYFUNCTION("""COMPUTED_VALUE"""),"Mexico")</f>
        <v>Mexico</v>
      </c>
      <c r="G732" s="1" t="str">
        <f ca="1">IFERROR(__xludf.DUMMYFUNCTION("""COMPUTED_VALUE"""),"92.24 Mexico")</f>
        <v>92.24 Mexico</v>
      </c>
      <c r="H732" s="1" t="str">
        <f ca="1">IFERROR(__xludf.DUMMYFUNCTION("""COMPUTED_VALUE"""),"Human Rights Defenders")</f>
        <v>Human Rights Defenders</v>
      </c>
      <c r="I732" s="1" t="str">
        <f ca="1">IFERROR(__xludf.DUMMYFUNCTION("""COMPUTED_VALUE"""),"2024")</f>
        <v>2024</v>
      </c>
      <c r="J732" s="1" t="str">
        <f ca="1">IFERROR(__xludf.DUMMYFUNCTION("""COMPUTED_VALUE"""),"Email")</f>
        <v>Email</v>
      </c>
    </row>
    <row r="733" spans="1:10" ht="13" x14ac:dyDescent="0.15">
      <c r="A733" s="4">
        <f ca="1">IFERROR(__xludf.DUMMYFUNCTION("""COMPUTED_VALUE"""),31703207)</f>
        <v>31703207</v>
      </c>
      <c r="B733" s="1" t="str">
        <f ca="1">IFERROR(__xludf.DUMMYFUNCTION("""COMPUTED_VALUE"""),"kagetsu26@yahoo.com")</f>
        <v>kagetsu26@yahoo.com</v>
      </c>
      <c r="C733" s="4" t="str">
        <f ca="1">IFERROR(__xludf.DUMMYFUNCTION("""COMPUTED_VALUE"""),"EVERGREEN - UAN Gated Content - Embedded Petition")</f>
        <v>EVERGREEN - UAN Gated Content - Embedded Petition</v>
      </c>
      <c r="D733" s="5">
        <f ca="1">IFERROR(__xludf.DUMMYFUNCTION("""COMPUTED_VALUE"""),45636)</f>
        <v>45636</v>
      </c>
      <c r="F733" s="1" t="str">
        <f ca="1">IFERROR(__xludf.DUMMYFUNCTION("""COMPUTED_VALUE"""),"Honduras")</f>
        <v>Honduras</v>
      </c>
      <c r="G733" s="1" t="str">
        <f ca="1">IFERROR(__xludf.DUMMYFUNCTION("""COMPUTED_VALUE"""),"Second 85.24 Honduras")</f>
        <v>Second 85.24 Honduras</v>
      </c>
      <c r="H733" s="1" t="str">
        <f ca="1">IFERROR(__xludf.DUMMYFUNCTION("""COMPUTED_VALUE"""),"Climate Justice, Human Rights Defenders, Right to Protest")</f>
        <v>Climate Justice, Human Rights Defenders, Right to Protest</v>
      </c>
      <c r="I733" s="1" t="str">
        <f ca="1">IFERROR(__xludf.DUMMYFUNCTION("""COMPUTED_VALUE"""),"2024")</f>
        <v>2024</v>
      </c>
      <c r="J733" s="1" t="str">
        <f ca="1">IFERROR(__xludf.DUMMYFUNCTION("""COMPUTED_VALUE"""),"Email")</f>
        <v>Email</v>
      </c>
    </row>
    <row r="734" spans="1:10" ht="13" x14ac:dyDescent="0.15">
      <c r="A734" s="4">
        <f ca="1">IFERROR(__xludf.DUMMYFUNCTION("""COMPUTED_VALUE"""),31703207)</f>
        <v>31703207</v>
      </c>
      <c r="B734" s="1" t="str">
        <f ca="1">IFERROR(__xludf.DUMMYFUNCTION("""COMPUTED_VALUE"""),"kagetsu26@yahoo.com")</f>
        <v>kagetsu26@yahoo.com</v>
      </c>
      <c r="C734" s="4" t="str">
        <f ca="1">IFERROR(__xludf.DUMMYFUNCTION("""COMPUTED_VALUE"""),"EVERGREEN - UAN Gated Content - Embedded Petition")</f>
        <v>EVERGREEN - UAN Gated Content - Embedded Petition</v>
      </c>
      <c r="D734" s="5">
        <f ca="1">IFERROR(__xludf.DUMMYFUNCTION("""COMPUTED_VALUE"""),45697)</f>
        <v>45697</v>
      </c>
      <c r="F734" s="1" t="str">
        <f ca="1">IFERROR(__xludf.DUMMYFUNCTION("""COMPUTED_VALUE"""),"China")</f>
        <v>China</v>
      </c>
      <c r="G734" s="1" t="str">
        <f ca="1">IFERROR(__xludf.DUMMYFUNCTION("""COMPUTED_VALUE"""),"106.24 China")</f>
        <v>106.24 China</v>
      </c>
      <c r="H734" s="1" t="str">
        <f ca="1">IFERROR(__xludf.DUMMYFUNCTION("""COMPUTED_VALUE"""),"Freedom of Expression, Individuals At Risk")</f>
        <v>Freedom of Expression, Individuals At Risk</v>
      </c>
      <c r="I734" s="1" t="str">
        <f ca="1">IFERROR(__xludf.DUMMYFUNCTION("""COMPUTED_VALUE"""),"2024")</f>
        <v>2024</v>
      </c>
      <c r="J734" s="1" t="str">
        <f ca="1">IFERROR(__xludf.DUMMYFUNCTION("""COMPUTED_VALUE"""),"Email")</f>
        <v>Email</v>
      </c>
    </row>
    <row r="735" spans="1:10" ht="13" x14ac:dyDescent="0.15">
      <c r="A735" s="4">
        <f ca="1">IFERROR(__xludf.DUMMYFUNCTION("""COMPUTED_VALUE"""),31703207)</f>
        <v>31703207</v>
      </c>
      <c r="B735" s="1" t="str">
        <f ca="1">IFERROR(__xludf.DUMMYFUNCTION("""COMPUTED_VALUE"""),"kagetsu26@yahoo.com")</f>
        <v>kagetsu26@yahoo.com</v>
      </c>
      <c r="C735" s="4" t="str">
        <f ca="1">IFERROR(__xludf.DUMMYFUNCTION("""COMPUTED_VALUE"""),"EVERGREEN - UAN Gated Content - Embedded Petition")</f>
        <v>EVERGREEN - UAN Gated Content - Embedded Petition</v>
      </c>
      <c r="D735" s="5">
        <f ca="1">IFERROR(__xludf.DUMMYFUNCTION("""COMPUTED_VALUE"""),45636)</f>
        <v>45636</v>
      </c>
      <c r="F735" s="1" t="str">
        <f ca="1">IFERROR(__xludf.DUMMYFUNCTION("""COMPUTED_VALUE"""),"Tunisia")</f>
        <v>Tunisia</v>
      </c>
      <c r="G735" s="1" t="str">
        <f ca="1">IFERROR(__xludf.DUMMYFUNCTION("""COMPUTED_VALUE"""),"Second 43.24 Tunisia")</f>
        <v>Second 43.24 Tunisia</v>
      </c>
      <c r="H735" s="1" t="str">
        <f ca="1">IFERROR(__xludf.DUMMYFUNCTION("""COMPUTED_VALUE"""),"Freedom of Expression, Individuals At Risk")</f>
        <v>Freedom of Expression, Individuals At Risk</v>
      </c>
      <c r="I735" s="1" t="str">
        <f ca="1">IFERROR(__xludf.DUMMYFUNCTION("""COMPUTED_VALUE"""),"2024")</f>
        <v>2024</v>
      </c>
      <c r="J735" s="1" t="str">
        <f ca="1">IFERROR(__xludf.DUMMYFUNCTION("""COMPUTED_VALUE"""),"Email")</f>
        <v>Email</v>
      </c>
    </row>
    <row r="736" spans="1:10" ht="13" x14ac:dyDescent="0.15">
      <c r="A736" s="4">
        <f ca="1">IFERROR(__xludf.DUMMYFUNCTION("""COMPUTED_VALUE"""),31703207)</f>
        <v>31703207</v>
      </c>
      <c r="B736" s="1" t="str">
        <f ca="1">IFERROR(__xludf.DUMMYFUNCTION("""COMPUTED_VALUE"""),"kagetsu26@yahoo.com")</f>
        <v>kagetsu26@yahoo.com</v>
      </c>
      <c r="C736" s="4" t="str">
        <f ca="1">IFERROR(__xludf.DUMMYFUNCTION("""COMPUTED_VALUE"""),"EVERGREEN - UAN Gated Content - Embedded Petition")</f>
        <v>EVERGREEN - UAN Gated Content - Embedded Petition</v>
      </c>
      <c r="D736" s="5">
        <f ca="1">IFERROR(__xludf.DUMMYFUNCTION("""COMPUTED_VALUE"""),45636)</f>
        <v>45636</v>
      </c>
      <c r="F736" s="1" t="str">
        <f ca="1">IFERROR(__xludf.DUMMYFUNCTION("""COMPUTED_VALUE"""),"Niger")</f>
        <v>Niger</v>
      </c>
      <c r="G736" s="1" t="str">
        <f ca="1">IFERROR(__xludf.DUMMYFUNCTION("""COMPUTED_VALUE"""),"103.24 Niger")</f>
        <v>103.24 Niger</v>
      </c>
      <c r="H736" s="1" t="str">
        <f ca="1">IFERROR(__xludf.DUMMYFUNCTION("""COMPUTED_VALUE"""),"Freedom of Expression, Human Rights Defenders")</f>
        <v>Freedom of Expression, Human Rights Defenders</v>
      </c>
      <c r="I736" s="1" t="str">
        <f ca="1">IFERROR(__xludf.DUMMYFUNCTION("""COMPUTED_VALUE"""),"2024")</f>
        <v>2024</v>
      </c>
      <c r="J736" s="1" t="str">
        <f ca="1">IFERROR(__xludf.DUMMYFUNCTION("""COMPUTED_VALUE"""),"Email")</f>
        <v>Email</v>
      </c>
    </row>
    <row r="737" spans="1:10" ht="13" x14ac:dyDescent="0.15">
      <c r="A737" s="4">
        <f ca="1">IFERROR(__xludf.DUMMYFUNCTION("""COMPUTED_VALUE"""),31703207)</f>
        <v>31703207</v>
      </c>
      <c r="B737" s="1" t="str">
        <f ca="1">IFERROR(__xludf.DUMMYFUNCTION("""COMPUTED_VALUE"""),"kagetsu26@yahoo.com")</f>
        <v>kagetsu26@yahoo.com</v>
      </c>
      <c r="C737" s="4" t="str">
        <f ca="1">IFERROR(__xludf.DUMMYFUNCTION("""COMPUTED_VALUE"""),"EVERGREEN - UAN Gated Content - Embedded Petition")</f>
        <v>EVERGREEN - UAN Gated Content - Embedded Petition</v>
      </c>
      <c r="D737" s="5">
        <f ca="1">IFERROR(__xludf.DUMMYFUNCTION("""COMPUTED_VALUE"""),45636)</f>
        <v>45636</v>
      </c>
      <c r="F737" s="1" t="str">
        <f ca="1">IFERROR(__xludf.DUMMYFUNCTION("""COMPUTED_VALUE"""),"Turkiye")</f>
        <v>Turkiye</v>
      </c>
      <c r="G737" s="1" t="str">
        <f ca="1">IFERROR(__xludf.DUMMYFUNCTION("""COMPUTED_VALUE"""),"109.24 Türkiye")</f>
        <v>109.24 Türkiye</v>
      </c>
      <c r="H737" s="1" t="str">
        <f ca="1">IFERROR(__xludf.DUMMYFUNCTION("""COMPUTED_VALUE"""),"Human Rights Defenders, Individuals At Risk")</f>
        <v>Human Rights Defenders, Individuals At Risk</v>
      </c>
      <c r="I737" s="1" t="str">
        <f ca="1">IFERROR(__xludf.DUMMYFUNCTION("""COMPUTED_VALUE"""),"2024")</f>
        <v>2024</v>
      </c>
      <c r="J737" s="1" t="str">
        <f ca="1">IFERROR(__xludf.DUMMYFUNCTION("""COMPUTED_VALUE"""),"Email")</f>
        <v>Email</v>
      </c>
    </row>
    <row r="738" spans="1:10" ht="13" x14ac:dyDescent="0.15">
      <c r="A738" s="4">
        <f ca="1">IFERROR(__xludf.DUMMYFUNCTION("""COMPUTED_VALUE"""),31703207)</f>
        <v>31703207</v>
      </c>
      <c r="B738" s="1" t="str">
        <f ca="1">IFERROR(__xludf.DUMMYFUNCTION("""COMPUTED_VALUE"""),"kagetsu26@yahoo.com")</f>
        <v>kagetsu26@yahoo.com</v>
      </c>
      <c r="C738" s="4" t="str">
        <f ca="1">IFERROR(__xludf.DUMMYFUNCTION("""COMPUTED_VALUE"""),"EVERGREEN - UAN Gated Content - Embedded Petition")</f>
        <v>EVERGREEN - UAN Gated Content - Embedded Petition</v>
      </c>
      <c r="D738" s="5">
        <f ca="1">IFERROR(__xludf.DUMMYFUNCTION("""COMPUTED_VALUE"""),45636)</f>
        <v>45636</v>
      </c>
      <c r="F738" s="1" t="str">
        <f ca="1">IFERROR(__xludf.DUMMYFUNCTION("""COMPUTED_VALUE"""),"Egypt")</f>
        <v>Egypt</v>
      </c>
      <c r="G738" s="1" t="str">
        <f ca="1">IFERROR(__xludf.DUMMYFUNCTION("""COMPUTED_VALUE"""),"Third 73.23 Egypt")</f>
        <v>Third 73.23 Egypt</v>
      </c>
      <c r="H738" s="1" t="str">
        <f ca="1">IFERROR(__xludf.DUMMYFUNCTION("""COMPUTED_VALUE"""),"Individuals At Risk")</f>
        <v>Individuals At Risk</v>
      </c>
      <c r="I738" s="1" t="str">
        <f ca="1">IFERROR(__xludf.DUMMYFUNCTION("""COMPUTED_VALUE"""),"2024")</f>
        <v>2024</v>
      </c>
      <c r="J738" s="1" t="str">
        <f ca="1">IFERROR(__xludf.DUMMYFUNCTION("""COMPUTED_VALUE"""),"Email")</f>
        <v>Email</v>
      </c>
    </row>
    <row r="739" spans="1:10" ht="13" x14ac:dyDescent="0.15">
      <c r="A739" s="4">
        <f ca="1">IFERROR(__xludf.DUMMYFUNCTION("""COMPUTED_VALUE"""),31703207)</f>
        <v>31703207</v>
      </c>
      <c r="B739" s="1" t="str">
        <f ca="1">IFERROR(__xludf.DUMMYFUNCTION("""COMPUTED_VALUE"""),"kagetsu26@yahoo.com")</f>
        <v>kagetsu26@yahoo.com</v>
      </c>
      <c r="C739" s="4" t="str">
        <f ca="1">IFERROR(__xludf.DUMMYFUNCTION("""COMPUTED_VALUE"""),"EVERGREEN - UAN Gated Content - Embedded Petition")</f>
        <v>EVERGREEN - UAN Gated Content - Embedded Petition</v>
      </c>
      <c r="D739" s="5">
        <f ca="1">IFERROR(__xludf.DUMMYFUNCTION("""COMPUTED_VALUE"""),45636)</f>
        <v>45636</v>
      </c>
      <c r="F739" s="1" t="str">
        <f ca="1">IFERROR(__xludf.DUMMYFUNCTION("""COMPUTED_VALUE"""),"Iran")</f>
        <v>Iran</v>
      </c>
      <c r="G739" s="1" t="str">
        <f ca="1">IFERROR(__xludf.DUMMYFUNCTION("""COMPUTED_VALUE"""),"Seventh 103.22 Iran")</f>
        <v>Seventh 103.22 Iran</v>
      </c>
      <c r="H739" s="1" t="str">
        <f ca="1">IFERROR(__xludf.DUMMYFUNCTION("""COMPUTED_VALUE"""),"Death Penalty, Freedom of Expression, Individuals At Risk")</f>
        <v>Death Penalty, Freedom of Expression, Individuals At Risk</v>
      </c>
      <c r="I739" s="1" t="str">
        <f ca="1">IFERROR(__xludf.DUMMYFUNCTION("""COMPUTED_VALUE"""),"2024")</f>
        <v>2024</v>
      </c>
      <c r="J739" s="1" t="str">
        <f ca="1">IFERROR(__xludf.DUMMYFUNCTION("""COMPUTED_VALUE"""),"Email")</f>
        <v>Email</v>
      </c>
    </row>
    <row r="740" spans="1:10" ht="13" x14ac:dyDescent="0.15">
      <c r="A740" s="4">
        <f ca="1">IFERROR(__xludf.DUMMYFUNCTION("""COMPUTED_VALUE"""),31703207)</f>
        <v>31703207</v>
      </c>
      <c r="B740" s="1" t="str">
        <f ca="1">IFERROR(__xludf.DUMMYFUNCTION("""COMPUTED_VALUE"""),"kagetsu26@yahoo.com")</f>
        <v>kagetsu26@yahoo.com</v>
      </c>
      <c r="C740" s="4" t="str">
        <f ca="1">IFERROR(__xludf.DUMMYFUNCTION("""COMPUTED_VALUE"""),"EVERGREEN - UAN Gated Content - Embedded Petition")</f>
        <v>EVERGREEN - UAN Gated Content - Embedded Petition</v>
      </c>
      <c r="D740" s="5">
        <f ca="1">IFERROR(__xludf.DUMMYFUNCTION("""COMPUTED_VALUE"""),45636)</f>
        <v>45636</v>
      </c>
      <c r="F740" s="1" t="str">
        <f ca="1">IFERROR(__xludf.DUMMYFUNCTION("""COMPUTED_VALUE"""),"USA")</f>
        <v>USA</v>
      </c>
      <c r="G740" s="1" t="str">
        <f ca="1">IFERROR(__xludf.DUMMYFUNCTION("""COMPUTED_VALUE"""),"4.25 USA")</f>
        <v>4.25 USA</v>
      </c>
      <c r="H740" s="1" t="str">
        <f ca="1">IFERROR(__xludf.DUMMYFUNCTION("""COMPUTED_VALUE"""),"Individuals At Risk, Refugee and Migrant Rights")</f>
        <v>Individuals At Risk, Refugee and Migrant Rights</v>
      </c>
      <c r="I740" s="1" t="str">
        <f ca="1">IFERROR(__xludf.DUMMYFUNCTION("""COMPUTED_VALUE"""),"2025")</f>
        <v>2025</v>
      </c>
      <c r="J740" s="1" t="str">
        <f ca="1">IFERROR(__xludf.DUMMYFUNCTION("""COMPUTED_VALUE"""),"Letter")</f>
        <v>Letter</v>
      </c>
    </row>
    <row r="741" spans="1:10" ht="13" x14ac:dyDescent="0.15">
      <c r="A741" s="4">
        <f ca="1">IFERROR(__xludf.DUMMYFUNCTION("""COMPUTED_VALUE"""),31703207)</f>
        <v>31703207</v>
      </c>
      <c r="B741" s="1" t="str">
        <f ca="1">IFERROR(__xludf.DUMMYFUNCTION("""COMPUTED_VALUE"""),"kagetsu26@yahoo.com")</f>
        <v>kagetsu26@yahoo.com</v>
      </c>
      <c r="C741" s="4" t="str">
        <f ca="1">IFERROR(__xludf.DUMMYFUNCTION("""COMPUTED_VALUE"""),"EVERGREEN - UAN Gated Content - Embedded Petition")</f>
        <v>EVERGREEN - UAN Gated Content - Embedded Petition</v>
      </c>
      <c r="D741" s="5">
        <f ca="1">IFERROR(__xludf.DUMMYFUNCTION("""COMPUTED_VALUE"""),45636)</f>
        <v>45636</v>
      </c>
      <c r="F741" s="1" t="str">
        <f ca="1">IFERROR(__xludf.DUMMYFUNCTION("""COMPUTED_VALUE"""),"Tunisia")</f>
        <v>Tunisia</v>
      </c>
      <c r="G741" s="1" t="str">
        <f ca="1">IFERROR(__xludf.DUMMYFUNCTION("""COMPUTED_VALUE"""),"Second 76.24 Tunisia")</f>
        <v>Second 76.24 Tunisia</v>
      </c>
      <c r="H741" s="1" t="str">
        <f ca="1">IFERROR(__xludf.DUMMYFUNCTION("""COMPUTED_VALUE"""),"Freedom of Expression, Human Rights Defenders")</f>
        <v>Freedom of Expression, Human Rights Defenders</v>
      </c>
      <c r="I741" s="1" t="str">
        <f ca="1">IFERROR(__xludf.DUMMYFUNCTION("""COMPUTED_VALUE"""),"2025")</f>
        <v>2025</v>
      </c>
      <c r="J741" s="1" t="str">
        <f ca="1">IFERROR(__xludf.DUMMYFUNCTION("""COMPUTED_VALUE"""),"Email")</f>
        <v>Email</v>
      </c>
    </row>
    <row r="742" spans="1:10" ht="13" x14ac:dyDescent="0.15">
      <c r="A742" s="4">
        <f ca="1">IFERROR(__xludf.DUMMYFUNCTION("""COMPUTED_VALUE"""),31703207)</f>
        <v>31703207</v>
      </c>
      <c r="B742" s="1" t="str">
        <f ca="1">IFERROR(__xludf.DUMMYFUNCTION("""COMPUTED_VALUE"""),"kagetsu26@yahoo.com")</f>
        <v>kagetsu26@yahoo.com</v>
      </c>
      <c r="C742" s="4" t="str">
        <f ca="1">IFERROR(__xludf.DUMMYFUNCTION("""COMPUTED_VALUE"""),"EVERGREEN - UAN Gated Content - Embedded Petition")</f>
        <v>EVERGREEN - UAN Gated Content - Embedded Petition</v>
      </c>
      <c r="D742" s="5">
        <f ca="1">IFERROR(__xludf.DUMMYFUNCTION("""COMPUTED_VALUE"""),45636)</f>
        <v>45636</v>
      </c>
      <c r="F742" s="1" t="str">
        <f ca="1">IFERROR(__xludf.DUMMYFUNCTION("""COMPUTED_VALUE"""),"Iran")</f>
        <v>Iran</v>
      </c>
      <c r="G742" s="1" t="str">
        <f ca="1">IFERROR(__xludf.DUMMYFUNCTION("""COMPUTED_VALUE"""),"Seventh 103.22 Iran")</f>
        <v>Seventh 103.22 Iran</v>
      </c>
      <c r="H742" s="1" t="str">
        <f ca="1">IFERROR(__xludf.DUMMYFUNCTION("""COMPUTED_VALUE"""),"Death Penalty, Freedom of Expression, Individuals At Risk")</f>
        <v>Death Penalty, Freedom of Expression, Individuals At Risk</v>
      </c>
      <c r="I742" s="1" t="str">
        <f ca="1">IFERROR(__xludf.DUMMYFUNCTION("""COMPUTED_VALUE"""),"2024")</f>
        <v>2024</v>
      </c>
      <c r="J742" s="1" t="str">
        <f ca="1">IFERROR(__xludf.DUMMYFUNCTION("""COMPUTED_VALUE"""),"Email")</f>
        <v>Email</v>
      </c>
    </row>
    <row r="743" spans="1:10" ht="13" x14ac:dyDescent="0.15">
      <c r="A743" s="4">
        <f ca="1">IFERROR(__xludf.DUMMYFUNCTION("""COMPUTED_VALUE"""),31703207)</f>
        <v>31703207</v>
      </c>
      <c r="B743" s="1" t="str">
        <f ca="1">IFERROR(__xludf.DUMMYFUNCTION("""COMPUTED_VALUE"""),"kagetsu26@yahoo.com")</f>
        <v>kagetsu26@yahoo.com</v>
      </c>
      <c r="C743" s="4" t="str">
        <f ca="1">IFERROR(__xludf.DUMMYFUNCTION("""COMPUTED_VALUE"""),"EVERGREEN - UAN Gated Content - Embedded Petition")</f>
        <v>EVERGREEN - UAN Gated Content - Embedded Petition</v>
      </c>
      <c r="D743" s="5">
        <f ca="1">IFERROR(__xludf.DUMMYFUNCTION("""COMPUTED_VALUE"""),45694)</f>
        <v>45694</v>
      </c>
      <c r="F743" s="1" t="str">
        <f ca="1">IFERROR(__xludf.DUMMYFUNCTION("""COMPUTED_VALUE"""),"USA")</f>
        <v>USA</v>
      </c>
      <c r="G743" s="1" t="str">
        <f ca="1">IFERROR(__xludf.DUMMYFUNCTION("""COMPUTED_VALUE"""),"4.25 USA")</f>
        <v>4.25 USA</v>
      </c>
      <c r="H743" s="1" t="str">
        <f ca="1">IFERROR(__xludf.DUMMYFUNCTION("""COMPUTED_VALUE"""),"Individuals At Risk, Refugee and Migrant Rights")</f>
        <v>Individuals At Risk, Refugee and Migrant Rights</v>
      </c>
      <c r="I743" s="1" t="str">
        <f ca="1">IFERROR(__xludf.DUMMYFUNCTION("""COMPUTED_VALUE"""),"2025")</f>
        <v>2025</v>
      </c>
      <c r="J743" s="1" t="str">
        <f ca="1">IFERROR(__xludf.DUMMYFUNCTION("""COMPUTED_VALUE"""),"Letter")</f>
        <v>Letter</v>
      </c>
    </row>
    <row r="744" spans="1:10" ht="13" x14ac:dyDescent="0.15">
      <c r="A744" s="4">
        <f ca="1">IFERROR(__xludf.DUMMYFUNCTION("""COMPUTED_VALUE"""),31703207)</f>
        <v>31703207</v>
      </c>
      <c r="B744" s="1" t="str">
        <f ca="1">IFERROR(__xludf.DUMMYFUNCTION("""COMPUTED_VALUE"""),"kagetsu26@yahoo.com")</f>
        <v>kagetsu26@yahoo.com</v>
      </c>
      <c r="C744" s="4" t="str">
        <f ca="1">IFERROR(__xludf.DUMMYFUNCTION("""COMPUTED_VALUE"""),"EVERGREEN - UAN Gated Content - Embedded Petition")</f>
        <v>EVERGREEN - UAN Gated Content - Embedded Petition</v>
      </c>
      <c r="D744" s="5">
        <f ca="1">IFERROR(__xludf.DUMMYFUNCTION("""COMPUTED_VALUE"""),45680)</f>
        <v>45680</v>
      </c>
      <c r="F744" s="1" t="str">
        <f ca="1">IFERROR(__xludf.DUMMYFUNCTION("""COMPUTED_VALUE"""),"Tunisia")</f>
        <v>Tunisia</v>
      </c>
      <c r="G744" s="1" t="str">
        <f ca="1">IFERROR(__xludf.DUMMYFUNCTION("""COMPUTED_VALUE"""),"Second 76.24 Tunisia")</f>
        <v>Second 76.24 Tunisia</v>
      </c>
      <c r="H744" s="1" t="str">
        <f ca="1">IFERROR(__xludf.DUMMYFUNCTION("""COMPUTED_VALUE"""),"Freedom of Expression, Human Rights Defenders")</f>
        <v>Freedom of Expression, Human Rights Defenders</v>
      </c>
      <c r="I744" s="1" t="str">
        <f ca="1">IFERROR(__xludf.DUMMYFUNCTION("""COMPUTED_VALUE"""),"2025")</f>
        <v>2025</v>
      </c>
      <c r="J744" s="1" t="str">
        <f ca="1">IFERROR(__xludf.DUMMYFUNCTION("""COMPUTED_VALUE"""),"Email")</f>
        <v>Email</v>
      </c>
    </row>
    <row r="745" spans="1:10" ht="13" x14ac:dyDescent="0.15">
      <c r="A745" s="4">
        <f ca="1">IFERROR(__xludf.DUMMYFUNCTION("""COMPUTED_VALUE"""),31703207)</f>
        <v>31703207</v>
      </c>
      <c r="B745" s="1" t="str">
        <f ca="1">IFERROR(__xludf.DUMMYFUNCTION("""COMPUTED_VALUE"""),"kagetsu26@yahoo.com")</f>
        <v>kagetsu26@yahoo.com</v>
      </c>
      <c r="C745" s="4" t="str">
        <f ca="1">IFERROR(__xludf.DUMMYFUNCTION("""COMPUTED_VALUE"""),"EVERGREEN - UAN Gated Content - Embedded Petition")</f>
        <v>EVERGREEN - UAN Gated Content - Embedded Petition</v>
      </c>
      <c r="D745" s="5">
        <f ca="1">IFERROR(__xludf.DUMMYFUNCTION("""COMPUTED_VALUE"""),45680)</f>
        <v>45680</v>
      </c>
      <c r="F745" s="1" t="str">
        <f ca="1">IFERROR(__xludf.DUMMYFUNCTION("""COMPUTED_VALUE"""),"USA")</f>
        <v>USA</v>
      </c>
      <c r="G745" s="1" t="str">
        <f ca="1">IFERROR(__xludf.DUMMYFUNCTION("""COMPUTED_VALUE"""),"105.24 USA")</f>
        <v>105.24 USA</v>
      </c>
      <c r="H745" s="1" t="str">
        <f ca="1">IFERROR(__xludf.DUMMYFUNCTION("""COMPUTED_VALUE"""),"Death Penalty")</f>
        <v>Death Penalty</v>
      </c>
      <c r="I745" s="1" t="str">
        <f ca="1">IFERROR(__xludf.DUMMYFUNCTION("""COMPUTED_VALUE"""),"2024")</f>
        <v>2024</v>
      </c>
      <c r="J745" s="1" t="str">
        <f ca="1">IFERROR(__xludf.DUMMYFUNCTION("""COMPUTED_VALUE"""),"Email")</f>
        <v>Email</v>
      </c>
    </row>
    <row r="746" spans="1:10" ht="13" x14ac:dyDescent="0.15">
      <c r="A746" s="4">
        <f ca="1">IFERROR(__xludf.DUMMYFUNCTION("""COMPUTED_VALUE"""),31703207)</f>
        <v>31703207</v>
      </c>
      <c r="B746" s="1" t="str">
        <f ca="1">IFERROR(__xludf.DUMMYFUNCTION("""COMPUTED_VALUE"""),"kagetsu26@yahoo.com")</f>
        <v>kagetsu26@yahoo.com</v>
      </c>
      <c r="C746" s="4" t="str">
        <f ca="1">IFERROR(__xludf.DUMMYFUNCTION("""COMPUTED_VALUE"""),"EVERGREEN - UAN Gated Content - Embedded Petition")</f>
        <v>EVERGREEN - UAN Gated Content - Embedded Petition</v>
      </c>
      <c r="D746" s="5">
        <f ca="1">IFERROR(__xludf.DUMMYFUNCTION("""COMPUTED_VALUE"""),45680)</f>
        <v>45680</v>
      </c>
      <c r="F746" s="1" t="str">
        <f ca="1">IFERROR(__xludf.DUMMYFUNCTION("""COMPUTED_VALUE"""),"Niger")</f>
        <v>Niger</v>
      </c>
      <c r="G746" s="1" t="str">
        <f ca="1">IFERROR(__xludf.DUMMYFUNCTION("""COMPUTED_VALUE"""),"103.24 Niger")</f>
        <v>103.24 Niger</v>
      </c>
      <c r="H746" s="1" t="str">
        <f ca="1">IFERROR(__xludf.DUMMYFUNCTION("""COMPUTED_VALUE"""),"Freedom of Expression, Human Rights Defenders")</f>
        <v>Freedom of Expression, Human Rights Defenders</v>
      </c>
      <c r="I746" s="1" t="str">
        <f ca="1">IFERROR(__xludf.DUMMYFUNCTION("""COMPUTED_VALUE"""),"2024")</f>
        <v>2024</v>
      </c>
      <c r="J746" s="1" t="str">
        <f ca="1">IFERROR(__xludf.DUMMYFUNCTION("""COMPUTED_VALUE"""),"Email")</f>
        <v>Email</v>
      </c>
    </row>
    <row r="747" spans="1:10" ht="13" x14ac:dyDescent="0.15">
      <c r="A747" s="4">
        <f ca="1">IFERROR(__xludf.DUMMYFUNCTION("""COMPUTED_VALUE"""),31703207)</f>
        <v>31703207</v>
      </c>
      <c r="B747" s="1" t="str">
        <f ca="1">IFERROR(__xludf.DUMMYFUNCTION("""COMPUTED_VALUE"""),"kagetsu26@yahoo.com")</f>
        <v>kagetsu26@yahoo.com</v>
      </c>
      <c r="C747" s="4" t="str">
        <f ca="1">IFERROR(__xludf.DUMMYFUNCTION("""COMPUTED_VALUE"""),"EVERGREEN - UAN Gated Content - Embedded Petition")</f>
        <v>EVERGREEN - UAN Gated Content - Embedded Petition</v>
      </c>
      <c r="D747" s="5">
        <f ca="1">IFERROR(__xludf.DUMMYFUNCTION("""COMPUTED_VALUE"""),45680)</f>
        <v>45680</v>
      </c>
      <c r="F747" s="1" t="str">
        <f ca="1">IFERROR(__xludf.DUMMYFUNCTION("""COMPUTED_VALUE"""),"Iran")</f>
        <v>Iran</v>
      </c>
      <c r="G747" s="1" t="str">
        <f ca="1">IFERROR(__xludf.DUMMYFUNCTION("""COMPUTED_VALUE"""),"Seventh 103.22 Iran")</f>
        <v>Seventh 103.22 Iran</v>
      </c>
      <c r="H747" s="1" t="str">
        <f ca="1">IFERROR(__xludf.DUMMYFUNCTION("""COMPUTED_VALUE"""),"Death Penalty, Freedom of Expression, Individuals At Risk")</f>
        <v>Death Penalty, Freedom of Expression, Individuals At Risk</v>
      </c>
      <c r="I747" s="1" t="str">
        <f ca="1">IFERROR(__xludf.DUMMYFUNCTION("""COMPUTED_VALUE"""),"2024")</f>
        <v>2024</v>
      </c>
      <c r="J747" s="1" t="str">
        <f ca="1">IFERROR(__xludf.DUMMYFUNCTION("""COMPUTED_VALUE"""),"Email")</f>
        <v>Email</v>
      </c>
    </row>
    <row r="748" spans="1:10" ht="13" x14ac:dyDescent="0.15">
      <c r="A748" s="4">
        <f ca="1">IFERROR(__xludf.DUMMYFUNCTION("""COMPUTED_VALUE"""),31703207)</f>
        <v>31703207</v>
      </c>
      <c r="B748" s="1" t="str">
        <f ca="1">IFERROR(__xludf.DUMMYFUNCTION("""COMPUTED_VALUE"""),"kagetsu26@yahoo.com")</f>
        <v>kagetsu26@yahoo.com</v>
      </c>
      <c r="C748" s="4" t="str">
        <f ca="1">IFERROR(__xludf.DUMMYFUNCTION("""COMPUTED_VALUE"""),"EVERGREEN - UAN Gated Content - Embedded Petition")</f>
        <v>EVERGREEN - UAN Gated Content - Embedded Petition</v>
      </c>
      <c r="D748" s="5">
        <f ca="1">IFERROR(__xludf.DUMMYFUNCTION("""COMPUTED_VALUE"""),45679)</f>
        <v>45679</v>
      </c>
      <c r="F748" s="1" t="str">
        <f ca="1">IFERROR(__xludf.DUMMYFUNCTION("""COMPUTED_VALUE"""),"Tunisia")</f>
        <v>Tunisia</v>
      </c>
      <c r="G748" s="1" t="str">
        <f ca="1">IFERROR(__xludf.DUMMYFUNCTION("""COMPUTED_VALUE"""),"Second 76.24 Tunisia")</f>
        <v>Second 76.24 Tunisia</v>
      </c>
      <c r="H748" s="1" t="str">
        <f ca="1">IFERROR(__xludf.DUMMYFUNCTION("""COMPUTED_VALUE"""),"Freedom of Expression, Human Rights Defenders")</f>
        <v>Freedom of Expression, Human Rights Defenders</v>
      </c>
      <c r="I748" s="1" t="str">
        <f ca="1">IFERROR(__xludf.DUMMYFUNCTION("""COMPUTED_VALUE"""),"2025")</f>
        <v>2025</v>
      </c>
      <c r="J748" s="1" t="str">
        <f ca="1">IFERROR(__xludf.DUMMYFUNCTION("""COMPUTED_VALUE"""),"Email")</f>
        <v>Email</v>
      </c>
    </row>
    <row r="749" spans="1:10" ht="13" x14ac:dyDescent="0.15">
      <c r="A749" s="4">
        <f ca="1">IFERROR(__xludf.DUMMYFUNCTION("""COMPUTED_VALUE"""),31703207)</f>
        <v>31703207</v>
      </c>
      <c r="B749" s="1" t="str">
        <f ca="1">IFERROR(__xludf.DUMMYFUNCTION("""COMPUTED_VALUE"""),"kagetsu26@yahoo.com")</f>
        <v>kagetsu26@yahoo.com</v>
      </c>
      <c r="C749" s="4" t="str">
        <f ca="1">IFERROR(__xludf.DUMMYFUNCTION("""COMPUTED_VALUE"""),"EVERGREEN - UAN Gated Content - Embedded Petition")</f>
        <v>EVERGREEN - UAN Gated Content - Embedded Petition</v>
      </c>
      <c r="D749" s="5">
        <f ca="1">IFERROR(__xludf.DUMMYFUNCTION("""COMPUTED_VALUE"""),45680)</f>
        <v>45680</v>
      </c>
      <c r="F749" s="1" t="str">
        <f ca="1">IFERROR(__xludf.DUMMYFUNCTION("""COMPUTED_VALUE"""),"Tunisia")</f>
        <v>Tunisia</v>
      </c>
      <c r="G749" s="1" t="str">
        <f ca="1">IFERROR(__xludf.DUMMYFUNCTION("""COMPUTED_VALUE"""),"Second 76.24 Tunisia")</f>
        <v>Second 76.24 Tunisia</v>
      </c>
      <c r="H749" s="1" t="str">
        <f ca="1">IFERROR(__xludf.DUMMYFUNCTION("""COMPUTED_VALUE"""),"Freedom of Expression, Human Rights Defenders")</f>
        <v>Freedom of Expression, Human Rights Defenders</v>
      </c>
      <c r="I749" s="1" t="str">
        <f ca="1">IFERROR(__xludf.DUMMYFUNCTION("""COMPUTED_VALUE"""),"2025")</f>
        <v>2025</v>
      </c>
      <c r="J749" s="1" t="str">
        <f ca="1">IFERROR(__xludf.DUMMYFUNCTION("""COMPUTED_VALUE"""),"Email")</f>
        <v>Email</v>
      </c>
    </row>
    <row r="750" spans="1:10" ht="13" x14ac:dyDescent="0.15">
      <c r="A750" s="4">
        <f ca="1">IFERROR(__xludf.DUMMYFUNCTION("""COMPUTED_VALUE"""),31703207)</f>
        <v>31703207</v>
      </c>
      <c r="B750" s="1" t="str">
        <f ca="1">IFERROR(__xludf.DUMMYFUNCTION("""COMPUTED_VALUE"""),"kagetsu26@yahoo.com")</f>
        <v>kagetsu26@yahoo.com</v>
      </c>
      <c r="C750" s="4" t="str">
        <f ca="1">IFERROR(__xludf.DUMMYFUNCTION("""COMPUTED_VALUE"""),"EVERGREEN - UAN Gated Content - Embedded Petition")</f>
        <v>EVERGREEN - UAN Gated Content - Embedded Petition</v>
      </c>
      <c r="D750" s="5">
        <f ca="1">IFERROR(__xludf.DUMMYFUNCTION("""COMPUTED_VALUE"""),45680)</f>
        <v>45680</v>
      </c>
      <c r="F750" s="1" t="str">
        <f ca="1">IFERROR(__xludf.DUMMYFUNCTION("""COMPUTED_VALUE"""),"China")</f>
        <v>China</v>
      </c>
      <c r="G750" s="1" t="str">
        <f ca="1">IFERROR(__xludf.DUMMYFUNCTION("""COMPUTED_VALUE"""),"98.24 China")</f>
        <v>98.24 China</v>
      </c>
      <c r="H750" s="1" t="str">
        <f ca="1">IFERROR(__xludf.DUMMYFUNCTION("""COMPUTED_VALUE"""),"Freedom of Expression, Individuals At Risk")</f>
        <v>Freedom of Expression, Individuals At Risk</v>
      </c>
      <c r="I750" s="1" t="str">
        <f ca="1">IFERROR(__xludf.DUMMYFUNCTION("""COMPUTED_VALUE"""),"2024")</f>
        <v>2024</v>
      </c>
      <c r="J750" s="1" t="str">
        <f ca="1">IFERROR(__xludf.DUMMYFUNCTION("""COMPUTED_VALUE"""),"Letter")</f>
        <v>Letter</v>
      </c>
    </row>
    <row r="751" spans="1:10" ht="13" x14ac:dyDescent="0.15">
      <c r="A751" s="4">
        <f ca="1">IFERROR(__xludf.DUMMYFUNCTION("""COMPUTED_VALUE"""),31703207)</f>
        <v>31703207</v>
      </c>
      <c r="B751" s="1" t="str">
        <f ca="1">IFERROR(__xludf.DUMMYFUNCTION("""COMPUTED_VALUE"""),"kagetsu26@yahoo.com")</f>
        <v>kagetsu26@yahoo.com</v>
      </c>
      <c r="C751" s="4" t="str">
        <f ca="1">IFERROR(__xludf.DUMMYFUNCTION("""COMPUTED_VALUE"""),"EVERGREEN - UAN Gated Content - Embedded Petition")</f>
        <v>EVERGREEN - UAN Gated Content - Embedded Petition</v>
      </c>
      <c r="D751" s="5">
        <f ca="1">IFERROR(__xludf.DUMMYFUNCTION("""COMPUTED_VALUE"""),45680)</f>
        <v>45680</v>
      </c>
      <c r="F751" s="1" t="str">
        <f ca="1">IFERROR(__xludf.DUMMYFUNCTION("""COMPUTED_VALUE"""),"China")</f>
        <v>China</v>
      </c>
      <c r="G751" s="1" t="str">
        <f ca="1">IFERROR(__xludf.DUMMYFUNCTION("""COMPUTED_VALUE"""),"98.24 China")</f>
        <v>98.24 China</v>
      </c>
      <c r="H751" s="1" t="str">
        <f ca="1">IFERROR(__xludf.DUMMYFUNCTION("""COMPUTED_VALUE"""),"Freedom of Expression, Individuals At Risk")</f>
        <v>Freedom of Expression, Individuals At Risk</v>
      </c>
      <c r="I751" s="1" t="str">
        <f ca="1">IFERROR(__xludf.DUMMYFUNCTION("""COMPUTED_VALUE"""),"2024")</f>
        <v>2024</v>
      </c>
      <c r="J751" s="1" t="str">
        <f ca="1">IFERROR(__xludf.DUMMYFUNCTION("""COMPUTED_VALUE"""),"Letter")</f>
        <v>Letter</v>
      </c>
    </row>
    <row r="752" spans="1:10" ht="13" x14ac:dyDescent="0.15">
      <c r="A752" s="4">
        <f ca="1">IFERROR(__xludf.DUMMYFUNCTION("""COMPUTED_VALUE"""),31703207)</f>
        <v>31703207</v>
      </c>
      <c r="B752" s="1" t="str">
        <f ca="1">IFERROR(__xludf.DUMMYFUNCTION("""COMPUTED_VALUE"""),"kagetsu26@yahoo.com")</f>
        <v>kagetsu26@yahoo.com</v>
      </c>
      <c r="C752" s="4" t="str">
        <f ca="1">IFERROR(__xludf.DUMMYFUNCTION("""COMPUTED_VALUE"""),"EVERGREEN - UAN Gated Content - Embedded Petition")</f>
        <v>EVERGREEN - UAN Gated Content - Embedded Petition</v>
      </c>
      <c r="D752" s="5">
        <f ca="1">IFERROR(__xludf.DUMMYFUNCTION("""COMPUTED_VALUE"""),45680)</f>
        <v>45680</v>
      </c>
      <c r="F752" s="1" t="str">
        <f ca="1">IFERROR(__xludf.DUMMYFUNCTION("""COMPUTED_VALUE"""),"Dominican Republic")</f>
        <v>Dominican Republic</v>
      </c>
      <c r="G752" s="1" t="str">
        <f ca="1">IFERROR(__xludf.DUMMYFUNCTION("""COMPUTED_VALUE"""),"88.24 Dominican Republic")</f>
        <v>88.24 Dominican Republic</v>
      </c>
      <c r="H752" s="1" t="str">
        <f ca="1">IFERROR(__xludf.DUMMYFUNCTION("""COMPUTED_VALUE"""),"Individuals At Risk, Refugee and Migrant Rights")</f>
        <v>Individuals At Risk, Refugee and Migrant Rights</v>
      </c>
      <c r="I752" s="1" t="str">
        <f ca="1">IFERROR(__xludf.DUMMYFUNCTION("""COMPUTED_VALUE"""),"2024")</f>
        <v>2024</v>
      </c>
      <c r="J752" s="1" t="str">
        <f ca="1">IFERROR(__xludf.DUMMYFUNCTION("""COMPUTED_VALUE"""),"Letter")</f>
        <v>Letter</v>
      </c>
    </row>
    <row r="753" spans="1:10" ht="13" x14ac:dyDescent="0.15">
      <c r="A753" s="4">
        <f ca="1">IFERROR(__xludf.DUMMYFUNCTION("""COMPUTED_VALUE"""),31705400)</f>
        <v>31705400</v>
      </c>
      <c r="B753" s="1" t="str">
        <f ca="1">IFERROR(__xludf.DUMMYFUNCTION("""COMPUTED_VALUE"""),"jwelan@gmail.com")</f>
        <v>jwelan@gmail.com</v>
      </c>
      <c r="C753" s="4" t="str">
        <f ca="1">IFERROR(__xludf.DUMMYFUNCTION("""COMPUTED_VALUE"""),"EVERGREEN - UAN Gated Content - Embedded Petition")</f>
        <v>EVERGREEN - UAN Gated Content - Embedded Petition</v>
      </c>
      <c r="D753" s="5">
        <f ca="1">IFERROR(__xludf.DUMMYFUNCTION("""COMPUTED_VALUE"""),45651)</f>
        <v>45651</v>
      </c>
      <c r="F753" s="1" t="str">
        <f ca="1">IFERROR(__xludf.DUMMYFUNCTION("""COMPUTED_VALUE"""),"Niger")</f>
        <v>Niger</v>
      </c>
      <c r="G753" s="1" t="str">
        <f ca="1">IFERROR(__xludf.DUMMYFUNCTION("""COMPUTED_VALUE"""),"103.24 Niger")</f>
        <v>103.24 Niger</v>
      </c>
      <c r="H753" s="1" t="str">
        <f ca="1">IFERROR(__xludf.DUMMYFUNCTION("""COMPUTED_VALUE"""),"Freedom of Expression, Human Rights Defenders")</f>
        <v>Freedom of Expression, Human Rights Defenders</v>
      </c>
      <c r="I753" s="1" t="str">
        <f ca="1">IFERROR(__xludf.DUMMYFUNCTION("""COMPUTED_VALUE"""),"2024")</f>
        <v>2024</v>
      </c>
      <c r="J753" s="1" t="str">
        <f ca="1">IFERROR(__xludf.DUMMYFUNCTION("""COMPUTED_VALUE"""),"Email")</f>
        <v>Email</v>
      </c>
    </row>
    <row r="754" spans="1:10" ht="13" x14ac:dyDescent="0.15">
      <c r="A754" s="4">
        <f ca="1">IFERROR(__xludf.DUMMYFUNCTION("""COMPUTED_VALUE"""),31705400)</f>
        <v>31705400</v>
      </c>
      <c r="B754" s="1" t="str">
        <f ca="1">IFERROR(__xludf.DUMMYFUNCTION("""COMPUTED_VALUE"""),"jwelan@gmail.com")</f>
        <v>jwelan@gmail.com</v>
      </c>
      <c r="C754" s="4" t="str">
        <f ca="1">IFERROR(__xludf.DUMMYFUNCTION("""COMPUTED_VALUE"""),"EVERGREEN - UAN Gated Content - Embedded Petition")</f>
        <v>EVERGREEN - UAN Gated Content - Embedded Petition</v>
      </c>
      <c r="D754" s="5">
        <f ca="1">IFERROR(__xludf.DUMMYFUNCTION("""COMPUTED_VALUE"""),45677)</f>
        <v>45677</v>
      </c>
      <c r="F754" s="1" t="str">
        <f ca="1">IFERROR(__xludf.DUMMYFUNCTION("""COMPUTED_VALUE"""),"China")</f>
        <v>China</v>
      </c>
      <c r="G754" s="1" t="str">
        <f ca="1">IFERROR(__xludf.DUMMYFUNCTION("""COMPUTED_VALUE"""),"106.24 China")</f>
        <v>106.24 China</v>
      </c>
      <c r="H754" s="1" t="str">
        <f ca="1">IFERROR(__xludf.DUMMYFUNCTION("""COMPUTED_VALUE"""),"Freedom of Expression, Individuals At Risk")</f>
        <v>Freedom of Expression, Individuals At Risk</v>
      </c>
      <c r="I754" s="1" t="str">
        <f ca="1">IFERROR(__xludf.DUMMYFUNCTION("""COMPUTED_VALUE"""),"2024")</f>
        <v>2024</v>
      </c>
      <c r="J754" s="1" t="str">
        <f ca="1">IFERROR(__xludf.DUMMYFUNCTION("""COMPUTED_VALUE"""),"Email")</f>
        <v>Email</v>
      </c>
    </row>
    <row r="755" spans="1:10" ht="13" x14ac:dyDescent="0.15">
      <c r="A755" s="4">
        <f ca="1">IFERROR(__xludf.DUMMYFUNCTION("""COMPUTED_VALUE"""),31705625)</f>
        <v>31705625</v>
      </c>
      <c r="B755" s="1" t="str">
        <f ca="1">IFERROR(__xludf.DUMMYFUNCTION("""COMPUTED_VALUE"""),"tierrabodhi@gmail.com")</f>
        <v>tierrabodhi@gmail.com</v>
      </c>
      <c r="C755" s="4" t="str">
        <f ca="1">IFERROR(__xludf.DUMMYFUNCTION("""COMPUTED_VALUE"""),"EVERGREEN - UAN Gated Content - Embedded Petition")</f>
        <v>EVERGREEN - UAN Gated Content - Embedded Petition</v>
      </c>
      <c r="D755" s="5">
        <f ca="1">IFERROR(__xludf.DUMMYFUNCTION("""COMPUTED_VALUE"""),45694)</f>
        <v>45694</v>
      </c>
      <c r="F755" s="1" t="str">
        <f ca="1">IFERROR(__xludf.DUMMYFUNCTION("""COMPUTED_VALUE"""),"Azerbaijan")</f>
        <v>Azerbaijan</v>
      </c>
      <c r="G755" s="1" t="str">
        <f ca="1">IFERROR(__xludf.DUMMYFUNCTION("""COMPUTED_VALUE"""),"2.25 Azerbaijan")</f>
        <v>2.25 Azerbaijan</v>
      </c>
      <c r="H755" s="1" t="str">
        <f ca="1">IFERROR(__xludf.DUMMYFUNCTION("""COMPUTED_VALUE"""),"Freedom of Expression, Human Rights Defenders")</f>
        <v>Freedom of Expression, Human Rights Defenders</v>
      </c>
      <c r="I755" s="1" t="str">
        <f ca="1">IFERROR(__xludf.DUMMYFUNCTION("""COMPUTED_VALUE"""),"2025")</f>
        <v>2025</v>
      </c>
      <c r="J755" s="1" t="str">
        <f ca="1">IFERROR(__xludf.DUMMYFUNCTION("""COMPUTED_VALUE"""),"Email")</f>
        <v>Email</v>
      </c>
    </row>
    <row r="756" spans="1:10" ht="13" x14ac:dyDescent="0.15">
      <c r="A756" s="4">
        <f ca="1">IFERROR(__xludf.DUMMYFUNCTION("""COMPUTED_VALUE"""),31705625)</f>
        <v>31705625</v>
      </c>
      <c r="B756" s="1" t="str">
        <f ca="1">IFERROR(__xludf.DUMMYFUNCTION("""COMPUTED_VALUE"""),"tierrabodhi@gmail.com")</f>
        <v>tierrabodhi@gmail.com</v>
      </c>
      <c r="C756" s="4" t="str">
        <f ca="1">IFERROR(__xludf.DUMMYFUNCTION("""COMPUTED_VALUE"""),"EVERGREEN - UAN Gated Content - Embedded Petition")</f>
        <v>EVERGREEN - UAN Gated Content - Embedded Petition</v>
      </c>
      <c r="D756" s="5">
        <f ca="1">IFERROR(__xludf.DUMMYFUNCTION("""COMPUTED_VALUE"""),45674)</f>
        <v>45674</v>
      </c>
      <c r="F756" s="1" t="str">
        <f ca="1">IFERROR(__xludf.DUMMYFUNCTION("""COMPUTED_VALUE"""),"Russian Federation")</f>
        <v>Russian Federation</v>
      </c>
      <c r="G756" s="1" t="str">
        <f ca="1">IFERROR(__xludf.DUMMYFUNCTION("""COMPUTED_VALUE"""),"102.24 Russia")</f>
        <v>102.24 Russia</v>
      </c>
      <c r="H756" s="1" t="str">
        <f ca="1">IFERROR(__xludf.DUMMYFUNCTION("""COMPUTED_VALUE"""),"Freedom of Expression, Individuals At Risk, Right to Protest")</f>
        <v>Freedom of Expression, Individuals At Risk, Right to Protest</v>
      </c>
      <c r="I756" s="1" t="str">
        <f ca="1">IFERROR(__xludf.DUMMYFUNCTION("""COMPUTED_VALUE"""),"2024")</f>
        <v>2024</v>
      </c>
      <c r="J756" s="1" t="str">
        <f ca="1">IFERROR(__xludf.DUMMYFUNCTION("""COMPUTED_VALUE"""),"Email")</f>
        <v>Email</v>
      </c>
    </row>
    <row r="757" spans="1:10" ht="13" x14ac:dyDescent="0.15">
      <c r="A757" s="4">
        <f ca="1">IFERROR(__xludf.DUMMYFUNCTION("""COMPUTED_VALUE"""),31707012)</f>
        <v>31707012</v>
      </c>
      <c r="B757" s="1" t="str">
        <f ca="1">IFERROR(__xludf.DUMMYFUNCTION("""COMPUTED_VALUE"""),"citizenkahn@gmail.com")</f>
        <v>citizenkahn@gmail.com</v>
      </c>
      <c r="C757" s="4" t="str">
        <f ca="1">IFERROR(__xludf.DUMMYFUNCTION("""COMPUTED_VALUE"""),"EVERGREEN - UAN Gated Content - Embedded Petition")</f>
        <v>EVERGREEN - UAN Gated Content - Embedded Petition</v>
      </c>
      <c r="D757" s="5">
        <f ca="1">IFERROR(__xludf.DUMMYFUNCTION("""COMPUTED_VALUE"""),45694)</f>
        <v>45694</v>
      </c>
      <c r="F757" s="1" t="str">
        <f ca="1">IFERROR(__xludf.DUMMYFUNCTION("""COMPUTED_VALUE"""),"Uganda")</f>
        <v>Uganda</v>
      </c>
      <c r="G757" s="1" t="str">
        <f ca="1">IFERROR(__xludf.DUMMYFUNCTION("""COMPUTED_VALUE"""),"100.24 Uganda")</f>
        <v>100.24 Uganda</v>
      </c>
      <c r="H757" s="1" t="str">
        <f ca="1">IFERROR(__xludf.DUMMYFUNCTION("""COMPUTED_VALUE"""),"Freedom of Expression")</f>
        <v>Freedom of Expression</v>
      </c>
      <c r="I757" s="1" t="str">
        <f ca="1">IFERROR(__xludf.DUMMYFUNCTION("""COMPUTED_VALUE"""),"2024")</f>
        <v>2024</v>
      </c>
      <c r="J757" s="1" t="str">
        <f ca="1">IFERROR(__xludf.DUMMYFUNCTION("""COMPUTED_VALUE"""),"Email")</f>
        <v>Email</v>
      </c>
    </row>
    <row r="758" spans="1:10" ht="13" x14ac:dyDescent="0.15">
      <c r="A758" s="4">
        <f ca="1">IFERROR(__xludf.DUMMYFUNCTION("""COMPUTED_VALUE"""),31707062)</f>
        <v>31707062</v>
      </c>
      <c r="B758" s="1" t="str">
        <f ca="1">IFERROR(__xludf.DUMMYFUNCTION("""COMPUTED_VALUE"""),"masheahan@aol.com")</f>
        <v>masheahan@aol.com</v>
      </c>
      <c r="C758" s="4" t="str">
        <f ca="1">IFERROR(__xludf.DUMMYFUNCTION("""COMPUTED_VALUE"""),"EVERGREEN - UAN Gated Content - Embedded Petition")</f>
        <v>EVERGREEN - UAN Gated Content - Embedded Petition</v>
      </c>
      <c r="D758" s="5">
        <f ca="1">IFERROR(__xludf.DUMMYFUNCTION("""COMPUTED_VALUE"""),45703)</f>
        <v>45703</v>
      </c>
      <c r="F758" s="1" t="str">
        <f ca="1">IFERROR(__xludf.DUMMYFUNCTION("""COMPUTED_VALUE"""),"Venezuela")</f>
        <v>Venezuela</v>
      </c>
      <c r="G758" s="1" t="str">
        <f ca="1">IFERROR(__xludf.DUMMYFUNCTION("""COMPUTED_VALUE"""),"1.25 Venezuela")</f>
        <v>1.25 Venezuela</v>
      </c>
      <c r="H758" s="1" t="str">
        <f ca="1">IFERROR(__xludf.DUMMYFUNCTION("""COMPUTED_VALUE"""),"Human Rights Defenders, Individuals At Risk")</f>
        <v>Human Rights Defenders, Individuals At Risk</v>
      </c>
      <c r="I758" s="1" t="str">
        <f ca="1">IFERROR(__xludf.DUMMYFUNCTION("""COMPUTED_VALUE"""),"2025")</f>
        <v>2025</v>
      </c>
      <c r="J758" s="1" t="str">
        <f ca="1">IFERROR(__xludf.DUMMYFUNCTION("""COMPUTED_VALUE"""),"Letter")</f>
        <v>Letter</v>
      </c>
    </row>
    <row r="759" spans="1:10" ht="13" x14ac:dyDescent="0.15">
      <c r="A759" s="4">
        <f ca="1">IFERROR(__xludf.DUMMYFUNCTION("""COMPUTED_VALUE"""),31717045)</f>
        <v>31717045</v>
      </c>
      <c r="B759" s="1" t="str">
        <f ca="1">IFERROR(__xludf.DUMMYFUNCTION("""COMPUTED_VALUE"""),"specialkvh@verizon.net")</f>
        <v>specialkvh@verizon.net</v>
      </c>
      <c r="C759" s="4" t="str">
        <f ca="1">IFERROR(__xludf.DUMMYFUNCTION("""COMPUTED_VALUE"""),"EVERGREEN - UAN Gated Content - Embedded Petition")</f>
        <v>EVERGREEN - UAN Gated Content - Embedded Petition</v>
      </c>
      <c r="D759" s="5">
        <f ca="1">IFERROR(__xludf.DUMMYFUNCTION("""COMPUTED_VALUE"""),45676)</f>
        <v>45676</v>
      </c>
      <c r="F759" s="1" t="str">
        <f ca="1">IFERROR(__xludf.DUMMYFUNCTION("""COMPUTED_VALUE"""),"Niger")</f>
        <v>Niger</v>
      </c>
      <c r="G759" s="1" t="str">
        <f ca="1">IFERROR(__xludf.DUMMYFUNCTION("""COMPUTED_VALUE"""),"103.24 Niger")</f>
        <v>103.24 Niger</v>
      </c>
      <c r="H759" s="1" t="str">
        <f ca="1">IFERROR(__xludf.DUMMYFUNCTION("""COMPUTED_VALUE"""),"Freedom of Expression, Human Rights Defenders")</f>
        <v>Freedom of Expression, Human Rights Defenders</v>
      </c>
      <c r="I759" s="1" t="str">
        <f ca="1">IFERROR(__xludf.DUMMYFUNCTION("""COMPUTED_VALUE"""),"2024")</f>
        <v>2024</v>
      </c>
      <c r="J759" s="1" t="str">
        <f ca="1">IFERROR(__xludf.DUMMYFUNCTION("""COMPUTED_VALUE"""),"Email")</f>
        <v>Email</v>
      </c>
    </row>
    <row r="760" spans="1:10" ht="13" x14ac:dyDescent="0.15">
      <c r="A760" s="4">
        <f ca="1">IFERROR(__xludf.DUMMYFUNCTION("""COMPUTED_VALUE"""),31720199)</f>
        <v>31720199</v>
      </c>
      <c r="B760" s="1" t="str">
        <f ca="1">IFERROR(__xludf.DUMMYFUNCTION("""COMPUTED_VALUE"""),"ewb2@cornell.edu")</f>
        <v>ewb2@cornell.edu</v>
      </c>
      <c r="C760" s="4" t="str">
        <f ca="1">IFERROR(__xludf.DUMMYFUNCTION("""COMPUTED_VALUE"""),"EVERGREEN - UAN Gated Content - Embedded Petition")</f>
        <v>EVERGREEN - UAN Gated Content - Embedded Petition</v>
      </c>
      <c r="D760" s="5">
        <f ca="1">IFERROR(__xludf.DUMMYFUNCTION("""COMPUTED_VALUE"""),45614)</f>
        <v>45614</v>
      </c>
      <c r="F760" s="1" t="str">
        <f ca="1">IFERROR(__xludf.DUMMYFUNCTION("""COMPUTED_VALUE"""),"Iran")</f>
        <v>Iran</v>
      </c>
      <c r="G760" s="1" t="str">
        <f ca="1">IFERROR(__xludf.DUMMYFUNCTION("""COMPUTED_VALUE"""),"Seventh 103.22 Iran")</f>
        <v>Seventh 103.22 Iran</v>
      </c>
      <c r="H760" s="1" t="str">
        <f ca="1">IFERROR(__xludf.DUMMYFUNCTION("""COMPUTED_VALUE"""),"Death Penalty, Freedom of Expression, Individuals At Risk")</f>
        <v>Death Penalty, Freedom of Expression, Individuals At Risk</v>
      </c>
      <c r="I760" s="1" t="str">
        <f ca="1">IFERROR(__xludf.DUMMYFUNCTION("""COMPUTED_VALUE"""),"2024")</f>
        <v>2024</v>
      </c>
      <c r="J760" s="1" t="str">
        <f ca="1">IFERROR(__xludf.DUMMYFUNCTION("""COMPUTED_VALUE"""),"Email")</f>
        <v>Email</v>
      </c>
    </row>
    <row r="761" spans="1:10" ht="13" x14ac:dyDescent="0.15">
      <c r="A761" s="4">
        <f ca="1">IFERROR(__xludf.DUMMYFUNCTION("""COMPUTED_VALUE"""),31720199)</f>
        <v>31720199</v>
      </c>
      <c r="B761" s="1" t="str">
        <f ca="1">IFERROR(__xludf.DUMMYFUNCTION("""COMPUTED_VALUE"""),"ewb2@cornell.edu")</f>
        <v>ewb2@cornell.edu</v>
      </c>
      <c r="C761" s="4" t="str">
        <f ca="1">IFERROR(__xludf.DUMMYFUNCTION("""COMPUTED_VALUE"""),"EVERGREEN - UAN Gated Content - Embedded Petition")</f>
        <v>EVERGREEN - UAN Gated Content - Embedded Petition</v>
      </c>
      <c r="D761" s="5">
        <f ca="1">IFERROR(__xludf.DUMMYFUNCTION("""COMPUTED_VALUE"""),45619)</f>
        <v>45619</v>
      </c>
      <c r="F761" s="1" t="str">
        <f ca="1">IFERROR(__xludf.DUMMYFUNCTION("""COMPUTED_VALUE"""),"Venezuela")</f>
        <v>Venezuela</v>
      </c>
      <c r="G761" s="1" t="str">
        <f ca="1">IFERROR(__xludf.DUMMYFUNCTION("""COMPUTED_VALUE"""),"97.24 Venezuela")</f>
        <v>97.24 Venezuela</v>
      </c>
      <c r="H761" s="1" t="str">
        <f ca="1">IFERROR(__xludf.DUMMYFUNCTION("""COMPUTED_VALUE"""),"Freedom of Expression")</f>
        <v>Freedom of Expression</v>
      </c>
      <c r="I761" s="1" t="str">
        <f ca="1">IFERROR(__xludf.DUMMYFUNCTION("""COMPUTED_VALUE"""),"2024")</f>
        <v>2024</v>
      </c>
      <c r="J761" s="1" t="str">
        <f ca="1">IFERROR(__xludf.DUMMYFUNCTION("""COMPUTED_VALUE"""),"Letter")</f>
        <v>Letter</v>
      </c>
    </row>
    <row r="762" spans="1:10" ht="13" x14ac:dyDescent="0.15">
      <c r="A762" s="4">
        <f ca="1">IFERROR(__xludf.DUMMYFUNCTION("""COMPUTED_VALUE"""),31720199)</f>
        <v>31720199</v>
      </c>
      <c r="B762" s="1" t="str">
        <f ca="1">IFERROR(__xludf.DUMMYFUNCTION("""COMPUTED_VALUE"""),"ewb2@cornell.edu")</f>
        <v>ewb2@cornell.edu</v>
      </c>
      <c r="C762" s="4" t="str">
        <f ca="1">IFERROR(__xludf.DUMMYFUNCTION("""COMPUTED_VALUE"""),"EVERGREEN - UAN Gated Content - Embedded Petition")</f>
        <v>EVERGREEN - UAN Gated Content - Embedded Petition</v>
      </c>
      <c r="D762" s="5">
        <f ca="1">IFERROR(__xludf.DUMMYFUNCTION("""COMPUTED_VALUE"""),45706)</f>
        <v>45706</v>
      </c>
      <c r="F762" s="1" t="str">
        <f ca="1">IFERROR(__xludf.DUMMYFUNCTION("""COMPUTED_VALUE"""),"Mexico")</f>
        <v>Mexico</v>
      </c>
      <c r="G762" s="1" t="str">
        <f ca="1">IFERROR(__xludf.DUMMYFUNCTION("""COMPUTED_VALUE"""),"92.24 Mexico")</f>
        <v>92.24 Mexico</v>
      </c>
      <c r="H762" s="1" t="str">
        <f ca="1">IFERROR(__xludf.DUMMYFUNCTION("""COMPUTED_VALUE"""),"Human Rights Defenders")</f>
        <v>Human Rights Defenders</v>
      </c>
      <c r="I762" s="1" t="str">
        <f ca="1">IFERROR(__xludf.DUMMYFUNCTION("""COMPUTED_VALUE"""),"2024")</f>
        <v>2024</v>
      </c>
      <c r="J762" s="1" t="str">
        <f ca="1">IFERROR(__xludf.DUMMYFUNCTION("""COMPUTED_VALUE"""),"Email")</f>
        <v>Email</v>
      </c>
    </row>
    <row r="763" spans="1:10" ht="13" x14ac:dyDescent="0.15">
      <c r="A763" s="4">
        <f ca="1">IFERROR(__xludf.DUMMYFUNCTION("""COMPUTED_VALUE"""),31720199)</f>
        <v>31720199</v>
      </c>
      <c r="B763" s="1" t="str">
        <f ca="1">IFERROR(__xludf.DUMMYFUNCTION("""COMPUTED_VALUE"""),"ewb2@cornell.edu")</f>
        <v>ewb2@cornell.edu</v>
      </c>
      <c r="C763" s="4" t="str">
        <f ca="1">IFERROR(__xludf.DUMMYFUNCTION("""COMPUTED_VALUE"""),"EVERGREEN - UAN Gated Content - Embedded Petition")</f>
        <v>EVERGREEN - UAN Gated Content - Embedded Petition</v>
      </c>
      <c r="D763" s="5">
        <f ca="1">IFERROR(__xludf.DUMMYFUNCTION("""COMPUTED_VALUE"""),45706)</f>
        <v>45706</v>
      </c>
      <c r="F763" s="1" t="str">
        <f ca="1">IFERROR(__xludf.DUMMYFUNCTION("""COMPUTED_VALUE"""),"Dominican Republic")</f>
        <v>Dominican Republic</v>
      </c>
      <c r="G763" s="1" t="str">
        <f ca="1">IFERROR(__xludf.DUMMYFUNCTION("""COMPUTED_VALUE"""),"88.24 Dominican Republic")</f>
        <v>88.24 Dominican Republic</v>
      </c>
      <c r="H763" s="1" t="str">
        <f ca="1">IFERROR(__xludf.DUMMYFUNCTION("""COMPUTED_VALUE"""),"Individuals At Risk, Refugee and Migrant Rights")</f>
        <v>Individuals At Risk, Refugee and Migrant Rights</v>
      </c>
      <c r="I763" s="1" t="str">
        <f ca="1">IFERROR(__xludf.DUMMYFUNCTION("""COMPUTED_VALUE"""),"2024")</f>
        <v>2024</v>
      </c>
      <c r="J763" s="1" t="str">
        <f ca="1">IFERROR(__xludf.DUMMYFUNCTION("""COMPUTED_VALUE"""),"Letter")</f>
        <v>Letter</v>
      </c>
    </row>
    <row r="764" spans="1:10" ht="13" x14ac:dyDescent="0.15">
      <c r="A764" s="4">
        <f ca="1">IFERROR(__xludf.DUMMYFUNCTION("""COMPUTED_VALUE"""),31720199)</f>
        <v>31720199</v>
      </c>
      <c r="B764" s="1" t="str">
        <f ca="1">IFERROR(__xludf.DUMMYFUNCTION("""COMPUTED_VALUE"""),"ewb2@cornell.edu")</f>
        <v>ewb2@cornell.edu</v>
      </c>
      <c r="C764" s="4" t="str">
        <f ca="1">IFERROR(__xludf.DUMMYFUNCTION("""COMPUTED_VALUE"""),"EVERGREEN - UAN Gated Content - Embedded Petition")</f>
        <v>EVERGREEN - UAN Gated Content - Embedded Petition</v>
      </c>
      <c r="D764" s="5">
        <f ca="1">IFERROR(__xludf.DUMMYFUNCTION("""COMPUTED_VALUE"""),45706)</f>
        <v>45706</v>
      </c>
      <c r="F764" s="1" t="str">
        <f ca="1">IFERROR(__xludf.DUMMYFUNCTION("""COMPUTED_VALUE"""),"USA")</f>
        <v>USA</v>
      </c>
      <c r="G764" s="1" t="str">
        <f ca="1">IFERROR(__xludf.DUMMYFUNCTION("""COMPUTED_VALUE"""),"105.24 USA")</f>
        <v>105.24 USA</v>
      </c>
      <c r="H764" s="1" t="str">
        <f ca="1">IFERROR(__xludf.DUMMYFUNCTION("""COMPUTED_VALUE"""),"Death Penalty")</f>
        <v>Death Penalty</v>
      </c>
      <c r="I764" s="1" t="str">
        <f ca="1">IFERROR(__xludf.DUMMYFUNCTION("""COMPUTED_VALUE"""),"2024")</f>
        <v>2024</v>
      </c>
      <c r="J764" s="1" t="str">
        <f ca="1">IFERROR(__xludf.DUMMYFUNCTION("""COMPUTED_VALUE"""),"Email")</f>
        <v>Email</v>
      </c>
    </row>
    <row r="765" spans="1:10" ht="13" x14ac:dyDescent="0.15">
      <c r="A765" s="4">
        <f ca="1">IFERROR(__xludf.DUMMYFUNCTION("""COMPUTED_VALUE"""),31720199)</f>
        <v>31720199</v>
      </c>
      <c r="B765" s="1" t="str">
        <f ca="1">IFERROR(__xludf.DUMMYFUNCTION("""COMPUTED_VALUE"""),"ewb2@cornell.edu")</f>
        <v>ewb2@cornell.edu</v>
      </c>
      <c r="C765" s="4" t="str">
        <f ca="1">IFERROR(__xludf.DUMMYFUNCTION("""COMPUTED_VALUE"""),"EVERGREEN - UAN Gated Content - Embedded Petition")</f>
        <v>EVERGREEN - UAN Gated Content - Embedded Petition</v>
      </c>
      <c r="D765" s="5">
        <f ca="1">IFERROR(__xludf.DUMMYFUNCTION("""COMPUTED_VALUE"""),45706)</f>
        <v>45706</v>
      </c>
      <c r="F765" s="1" t="str">
        <f ca="1">IFERROR(__xludf.DUMMYFUNCTION("""COMPUTED_VALUE"""),"Israel and Occupied Palestinian Territories")</f>
        <v>Israel and Occupied Palestinian Territories</v>
      </c>
      <c r="G765" s="1" t="str">
        <f ca="1">IFERROR(__xludf.DUMMYFUNCTION("""COMPUTED_VALUE"""),"3.25 IOPT")</f>
        <v>3.25 IOPT</v>
      </c>
      <c r="H765" s="1" t="str">
        <f ca="1">IFERROR(__xludf.DUMMYFUNCTION("""COMPUTED_VALUE"""),"Freedom of Expression, Individuals At Risk")</f>
        <v>Freedom of Expression, Individuals At Risk</v>
      </c>
      <c r="I765" s="1" t="str">
        <f ca="1">IFERROR(__xludf.DUMMYFUNCTION("""COMPUTED_VALUE"""),"2025")</f>
        <v>2025</v>
      </c>
      <c r="J765" s="1" t="str">
        <f ca="1">IFERROR(__xludf.DUMMYFUNCTION("""COMPUTED_VALUE"""),"Email")</f>
        <v>Email</v>
      </c>
    </row>
    <row r="766" spans="1:10" ht="13" x14ac:dyDescent="0.15">
      <c r="A766" s="4">
        <f ca="1">IFERROR(__xludf.DUMMYFUNCTION("""COMPUTED_VALUE"""),31720199)</f>
        <v>31720199</v>
      </c>
      <c r="B766" s="1" t="str">
        <f ca="1">IFERROR(__xludf.DUMMYFUNCTION("""COMPUTED_VALUE"""),"ewb2@cornell.edu")</f>
        <v>ewb2@cornell.edu</v>
      </c>
      <c r="C766" s="4" t="str">
        <f ca="1">IFERROR(__xludf.DUMMYFUNCTION("""COMPUTED_VALUE"""),"EVERGREEN - UAN Gated Content - Embedded Petition")</f>
        <v>EVERGREEN - UAN Gated Content - Embedded Petition</v>
      </c>
      <c r="D766" s="5">
        <f ca="1">IFERROR(__xludf.DUMMYFUNCTION("""COMPUTED_VALUE"""),45705)</f>
        <v>45705</v>
      </c>
      <c r="F766" s="1" t="str">
        <f ca="1">IFERROR(__xludf.DUMMYFUNCTION("""COMPUTED_VALUE"""),"Azerbaijan")</f>
        <v>Azerbaijan</v>
      </c>
      <c r="G766" s="1" t="str">
        <f ca="1">IFERROR(__xludf.DUMMYFUNCTION("""COMPUTED_VALUE"""),"2.25 Azerbaijan")</f>
        <v>2.25 Azerbaijan</v>
      </c>
      <c r="H766" s="1" t="str">
        <f ca="1">IFERROR(__xludf.DUMMYFUNCTION("""COMPUTED_VALUE"""),"Freedom of Expression, Human Rights Defenders")</f>
        <v>Freedom of Expression, Human Rights Defenders</v>
      </c>
      <c r="I766" s="1" t="str">
        <f ca="1">IFERROR(__xludf.DUMMYFUNCTION("""COMPUTED_VALUE"""),"2025")</f>
        <v>2025</v>
      </c>
      <c r="J766" s="1" t="str">
        <f ca="1">IFERROR(__xludf.DUMMYFUNCTION("""COMPUTED_VALUE"""),"Email")</f>
        <v>Email</v>
      </c>
    </row>
    <row r="767" spans="1:10" ht="13" x14ac:dyDescent="0.15">
      <c r="A767" s="4">
        <f ca="1">IFERROR(__xludf.DUMMYFUNCTION("""COMPUTED_VALUE"""),31720199)</f>
        <v>31720199</v>
      </c>
      <c r="B767" s="1" t="str">
        <f ca="1">IFERROR(__xludf.DUMMYFUNCTION("""COMPUTED_VALUE"""),"ewb2@cornell.edu")</f>
        <v>ewb2@cornell.edu</v>
      </c>
      <c r="C767" s="4" t="str">
        <f ca="1">IFERROR(__xludf.DUMMYFUNCTION("""COMPUTED_VALUE"""),"EVERGREEN - UAN Gated Content - Embedded Petition")</f>
        <v>EVERGREEN - UAN Gated Content - Embedded Petition</v>
      </c>
      <c r="D767" s="5">
        <f ca="1">IFERROR(__xludf.DUMMYFUNCTION("""COMPUTED_VALUE"""),45705)</f>
        <v>45705</v>
      </c>
      <c r="F767" s="1" t="str">
        <f ca="1">IFERROR(__xludf.DUMMYFUNCTION("""COMPUTED_VALUE"""),"USA")</f>
        <v>USA</v>
      </c>
      <c r="G767" s="1" t="str">
        <f ca="1">IFERROR(__xludf.DUMMYFUNCTION("""COMPUTED_VALUE"""),"96.24 USA")</f>
        <v>96.24 USA</v>
      </c>
      <c r="H767" s="1" t="str">
        <f ca="1">IFERROR(__xludf.DUMMYFUNCTION("""COMPUTED_VALUE"""),"Death Penalty")</f>
        <v>Death Penalty</v>
      </c>
      <c r="I767" s="1" t="str">
        <f ca="1">IFERROR(__xludf.DUMMYFUNCTION("""COMPUTED_VALUE"""),"2024")</f>
        <v>2024</v>
      </c>
      <c r="J767" s="1" t="str">
        <f ca="1">IFERROR(__xludf.DUMMYFUNCTION("""COMPUTED_VALUE"""),"Email")</f>
        <v>Email</v>
      </c>
    </row>
    <row r="768" spans="1:10" ht="13" x14ac:dyDescent="0.15">
      <c r="A768" s="4">
        <f ca="1">IFERROR(__xludf.DUMMYFUNCTION("""COMPUTED_VALUE"""),31720199)</f>
        <v>31720199</v>
      </c>
      <c r="B768" s="1" t="str">
        <f ca="1">IFERROR(__xludf.DUMMYFUNCTION("""COMPUTED_VALUE"""),"ewb2@cornell.edu")</f>
        <v>ewb2@cornell.edu</v>
      </c>
      <c r="C768" s="4" t="str">
        <f ca="1">IFERROR(__xludf.DUMMYFUNCTION("""COMPUTED_VALUE"""),"EVERGREEN - UAN Gated Content - Embedded Petition")</f>
        <v>EVERGREEN - UAN Gated Content - Embedded Petition</v>
      </c>
      <c r="D768" s="5">
        <f ca="1">IFERROR(__xludf.DUMMYFUNCTION("""COMPUTED_VALUE"""),45705)</f>
        <v>45705</v>
      </c>
      <c r="F768" s="1" t="str">
        <f ca="1">IFERROR(__xludf.DUMMYFUNCTION("""COMPUTED_VALUE"""),"Tunisia")</f>
        <v>Tunisia</v>
      </c>
      <c r="G768" s="1" t="str">
        <f ca="1">IFERROR(__xludf.DUMMYFUNCTION("""COMPUTED_VALUE"""),"Second 76.24 Tunisia")</f>
        <v>Second 76.24 Tunisia</v>
      </c>
      <c r="H768" s="1" t="str">
        <f ca="1">IFERROR(__xludf.DUMMYFUNCTION("""COMPUTED_VALUE"""),"Freedom of Expression, Human Rights Defenders")</f>
        <v>Freedom of Expression, Human Rights Defenders</v>
      </c>
      <c r="I768" s="1" t="str">
        <f ca="1">IFERROR(__xludf.DUMMYFUNCTION("""COMPUTED_VALUE"""),"2025")</f>
        <v>2025</v>
      </c>
      <c r="J768" s="1" t="str">
        <f ca="1">IFERROR(__xludf.DUMMYFUNCTION("""COMPUTED_VALUE"""),"Email")</f>
        <v>Email</v>
      </c>
    </row>
    <row r="769" spans="1:10" ht="13" x14ac:dyDescent="0.15">
      <c r="A769" s="4">
        <f ca="1">IFERROR(__xludf.DUMMYFUNCTION("""COMPUTED_VALUE"""),31720199)</f>
        <v>31720199</v>
      </c>
      <c r="B769" s="1" t="str">
        <f ca="1">IFERROR(__xludf.DUMMYFUNCTION("""COMPUTED_VALUE"""),"ewb2@cornell.edu")</f>
        <v>ewb2@cornell.edu</v>
      </c>
      <c r="C769" s="4" t="str">
        <f ca="1">IFERROR(__xludf.DUMMYFUNCTION("""COMPUTED_VALUE"""),"EVERGREEN - UAN Gated Content - Embedded Petition")</f>
        <v>EVERGREEN - UAN Gated Content - Embedded Petition</v>
      </c>
      <c r="D769" s="5">
        <f ca="1">IFERROR(__xludf.DUMMYFUNCTION("""COMPUTED_VALUE"""),45705)</f>
        <v>45705</v>
      </c>
      <c r="F769" s="1" t="str">
        <f ca="1">IFERROR(__xludf.DUMMYFUNCTION("""COMPUTED_VALUE"""),"Tunisia")</f>
        <v>Tunisia</v>
      </c>
      <c r="G769" s="1" t="str">
        <f ca="1">IFERROR(__xludf.DUMMYFUNCTION("""COMPUTED_VALUE"""),"Second 76.24 Tunisia")</f>
        <v>Second 76.24 Tunisia</v>
      </c>
      <c r="H769" s="1" t="str">
        <f ca="1">IFERROR(__xludf.DUMMYFUNCTION("""COMPUTED_VALUE"""),"Freedom of Expression, Human Rights Defenders")</f>
        <v>Freedom of Expression, Human Rights Defenders</v>
      </c>
      <c r="I769" s="1" t="str">
        <f ca="1">IFERROR(__xludf.DUMMYFUNCTION("""COMPUTED_VALUE"""),"2025")</f>
        <v>2025</v>
      </c>
      <c r="J769" s="1" t="str">
        <f ca="1">IFERROR(__xludf.DUMMYFUNCTION("""COMPUTED_VALUE"""),"Email")</f>
        <v>Email</v>
      </c>
    </row>
    <row r="770" spans="1:10" ht="13" x14ac:dyDescent="0.15">
      <c r="A770" s="4">
        <f ca="1">IFERROR(__xludf.DUMMYFUNCTION("""COMPUTED_VALUE"""),31720199)</f>
        <v>31720199</v>
      </c>
      <c r="B770" s="1" t="str">
        <f ca="1">IFERROR(__xludf.DUMMYFUNCTION("""COMPUTED_VALUE"""),"ewb2@cornell.edu")</f>
        <v>ewb2@cornell.edu</v>
      </c>
      <c r="C770" s="4" t="str">
        <f ca="1">IFERROR(__xludf.DUMMYFUNCTION("""COMPUTED_VALUE"""),"EVERGREEN - UAN Gated Content - Embedded Petition")</f>
        <v>EVERGREEN - UAN Gated Content - Embedded Petition</v>
      </c>
      <c r="D770" s="5">
        <f ca="1">IFERROR(__xludf.DUMMYFUNCTION("""COMPUTED_VALUE"""),45705)</f>
        <v>45705</v>
      </c>
      <c r="F770" s="1" t="str">
        <f ca="1">IFERROR(__xludf.DUMMYFUNCTION("""COMPUTED_VALUE"""),"Tunisia")</f>
        <v>Tunisia</v>
      </c>
      <c r="G770" s="1" t="str">
        <f ca="1">IFERROR(__xludf.DUMMYFUNCTION("""COMPUTED_VALUE"""),"Second 76.24 Tunisia")</f>
        <v>Second 76.24 Tunisia</v>
      </c>
      <c r="H770" s="1" t="str">
        <f ca="1">IFERROR(__xludf.DUMMYFUNCTION("""COMPUTED_VALUE"""),"Freedom of Expression, Human Rights Defenders")</f>
        <v>Freedom of Expression, Human Rights Defenders</v>
      </c>
      <c r="I770" s="1" t="str">
        <f ca="1">IFERROR(__xludf.DUMMYFUNCTION("""COMPUTED_VALUE"""),"2025")</f>
        <v>2025</v>
      </c>
      <c r="J770" s="1" t="str">
        <f ca="1">IFERROR(__xludf.DUMMYFUNCTION("""COMPUTED_VALUE"""),"Email")</f>
        <v>Email</v>
      </c>
    </row>
    <row r="771" spans="1:10" ht="13" x14ac:dyDescent="0.15">
      <c r="A771" s="4">
        <f ca="1">IFERROR(__xludf.DUMMYFUNCTION("""COMPUTED_VALUE"""),31720199)</f>
        <v>31720199</v>
      </c>
      <c r="B771" s="1" t="str">
        <f ca="1">IFERROR(__xludf.DUMMYFUNCTION("""COMPUTED_VALUE"""),"ewb2@cornell.edu")</f>
        <v>ewb2@cornell.edu</v>
      </c>
      <c r="C771" s="4" t="str">
        <f ca="1">IFERROR(__xludf.DUMMYFUNCTION("""COMPUTED_VALUE"""),"EVERGREEN - UAN Gated Content - Embedded Petition")</f>
        <v>EVERGREEN - UAN Gated Content - Embedded Petition</v>
      </c>
      <c r="D771" s="5">
        <f ca="1">IFERROR(__xludf.DUMMYFUNCTION("""COMPUTED_VALUE"""),45705)</f>
        <v>45705</v>
      </c>
      <c r="F771" s="1" t="str">
        <f ca="1">IFERROR(__xludf.DUMMYFUNCTION("""COMPUTED_VALUE"""),"Azerbaijan")</f>
        <v>Azerbaijan</v>
      </c>
      <c r="G771" s="1" t="str">
        <f ca="1">IFERROR(__xludf.DUMMYFUNCTION("""COMPUTED_VALUE"""),"2.25 Azerbaijan")</f>
        <v>2.25 Azerbaijan</v>
      </c>
      <c r="H771" s="1" t="str">
        <f ca="1">IFERROR(__xludf.DUMMYFUNCTION("""COMPUTED_VALUE"""),"Freedom of Expression, Human Rights Defenders")</f>
        <v>Freedom of Expression, Human Rights Defenders</v>
      </c>
      <c r="I771" s="1" t="str">
        <f ca="1">IFERROR(__xludf.DUMMYFUNCTION("""COMPUTED_VALUE"""),"2025")</f>
        <v>2025</v>
      </c>
      <c r="J771" s="1" t="str">
        <f ca="1">IFERROR(__xludf.DUMMYFUNCTION("""COMPUTED_VALUE"""),"Email")</f>
        <v>Email</v>
      </c>
    </row>
    <row r="772" spans="1:10" ht="13" x14ac:dyDescent="0.15">
      <c r="A772" s="4">
        <f ca="1">IFERROR(__xludf.DUMMYFUNCTION("""COMPUTED_VALUE"""),31720199)</f>
        <v>31720199</v>
      </c>
      <c r="B772" s="1" t="str">
        <f ca="1">IFERROR(__xludf.DUMMYFUNCTION("""COMPUTED_VALUE"""),"ewb2@cornell.edu")</f>
        <v>ewb2@cornell.edu</v>
      </c>
      <c r="C772" s="4" t="str">
        <f ca="1">IFERROR(__xludf.DUMMYFUNCTION("""COMPUTED_VALUE"""),"EVERGREEN - UAN Gated Content - Embedded Petition")</f>
        <v>EVERGREEN - UAN Gated Content - Embedded Petition</v>
      </c>
      <c r="D772" s="5">
        <f ca="1">IFERROR(__xludf.DUMMYFUNCTION("""COMPUTED_VALUE"""),45705)</f>
        <v>45705</v>
      </c>
      <c r="F772" s="1" t="str">
        <f ca="1">IFERROR(__xludf.DUMMYFUNCTION("""COMPUTED_VALUE"""),"Tunisia")</f>
        <v>Tunisia</v>
      </c>
      <c r="G772" s="1" t="str">
        <f ca="1">IFERROR(__xludf.DUMMYFUNCTION("""COMPUTED_VALUE"""),"Second 76.24 Tunisia")</f>
        <v>Second 76.24 Tunisia</v>
      </c>
      <c r="H772" s="1" t="str">
        <f ca="1">IFERROR(__xludf.DUMMYFUNCTION("""COMPUTED_VALUE"""),"Freedom of Expression, Human Rights Defenders")</f>
        <v>Freedom of Expression, Human Rights Defenders</v>
      </c>
      <c r="I772" s="1" t="str">
        <f ca="1">IFERROR(__xludf.DUMMYFUNCTION("""COMPUTED_VALUE"""),"2025")</f>
        <v>2025</v>
      </c>
      <c r="J772" s="1" t="str">
        <f ca="1">IFERROR(__xludf.DUMMYFUNCTION("""COMPUTED_VALUE"""),"Email")</f>
        <v>Email</v>
      </c>
    </row>
    <row r="773" spans="1:10" ht="13" x14ac:dyDescent="0.15">
      <c r="A773" s="4">
        <f ca="1">IFERROR(__xludf.DUMMYFUNCTION("""COMPUTED_VALUE"""),31720199)</f>
        <v>31720199</v>
      </c>
      <c r="B773" s="1" t="str">
        <f ca="1">IFERROR(__xludf.DUMMYFUNCTION("""COMPUTED_VALUE"""),"ewb2@cornell.edu")</f>
        <v>ewb2@cornell.edu</v>
      </c>
      <c r="C773" s="4" t="str">
        <f ca="1">IFERROR(__xludf.DUMMYFUNCTION("""COMPUTED_VALUE"""),"EVERGREEN - UAN Gated Content - Embedded Petition")</f>
        <v>EVERGREEN - UAN Gated Content - Embedded Petition</v>
      </c>
      <c r="D773" s="5">
        <f ca="1">IFERROR(__xludf.DUMMYFUNCTION("""COMPUTED_VALUE"""),45700)</f>
        <v>45700</v>
      </c>
      <c r="F773" s="1" t="str">
        <f ca="1">IFERROR(__xludf.DUMMYFUNCTION("""COMPUTED_VALUE"""),"Libya")</f>
        <v>Libya</v>
      </c>
      <c r="G773" s="1" t="str">
        <f ca="1">IFERROR(__xludf.DUMMYFUNCTION("""COMPUTED_VALUE"""),"12.25 Libya")</f>
        <v>12.25 Libya</v>
      </c>
      <c r="H773" s="1" t="str">
        <f ca="1">IFERROR(__xludf.DUMMYFUNCTION("""COMPUTED_VALUE"""),"Freedom of Expression, Health, Individuals At Risk")</f>
        <v>Freedom of Expression, Health, Individuals At Risk</v>
      </c>
      <c r="I773" s="1" t="str">
        <f ca="1">IFERROR(__xludf.DUMMYFUNCTION("""COMPUTED_VALUE"""),"2025")</f>
        <v>2025</v>
      </c>
      <c r="J773" s="1" t="str">
        <f ca="1">IFERROR(__xludf.DUMMYFUNCTION("""COMPUTED_VALUE"""),"Email")</f>
        <v>Email</v>
      </c>
    </row>
    <row r="774" spans="1:10" ht="13" x14ac:dyDescent="0.15">
      <c r="A774" s="4">
        <f ca="1">IFERROR(__xludf.DUMMYFUNCTION("""COMPUTED_VALUE"""),31720199)</f>
        <v>31720199</v>
      </c>
      <c r="B774" s="1" t="str">
        <f ca="1">IFERROR(__xludf.DUMMYFUNCTION("""COMPUTED_VALUE"""),"ewb2@cornell.edu")</f>
        <v>ewb2@cornell.edu</v>
      </c>
      <c r="C774" s="4" t="str">
        <f ca="1">IFERROR(__xludf.DUMMYFUNCTION("""COMPUTED_VALUE"""),"EVERGREEN - UAN Gated Content - Embedded Petition")</f>
        <v>EVERGREEN - UAN Gated Content - Embedded Petition</v>
      </c>
      <c r="D774" s="5">
        <f ca="1">IFERROR(__xludf.DUMMYFUNCTION("""COMPUTED_VALUE"""),45700)</f>
        <v>45700</v>
      </c>
      <c r="F774" s="1" t="str">
        <f ca="1">IFERROR(__xludf.DUMMYFUNCTION("""COMPUTED_VALUE"""),"Afghanistan")</f>
        <v>Afghanistan</v>
      </c>
      <c r="G774" s="1" t="str">
        <f ca="1">IFERROR(__xludf.DUMMYFUNCTION("""COMPUTED_VALUE"""),"11.25 Afghanistan")</f>
        <v>11.25 Afghanistan</v>
      </c>
      <c r="H774" s="1" t="str">
        <f ca="1">IFERROR(__xludf.DUMMYFUNCTION("""COMPUTED_VALUE"""),"Freedom of Expression, Health, Individuals At Risk")</f>
        <v>Freedom of Expression, Health, Individuals At Risk</v>
      </c>
      <c r="I774" s="1" t="str">
        <f ca="1">IFERROR(__xludf.DUMMYFUNCTION("""COMPUTED_VALUE"""),"2025")</f>
        <v>2025</v>
      </c>
      <c r="J774" s="1" t="str">
        <f ca="1">IFERROR(__xludf.DUMMYFUNCTION("""COMPUTED_VALUE"""),"Email")</f>
        <v>Email</v>
      </c>
    </row>
    <row r="775" spans="1:10" ht="13" x14ac:dyDescent="0.15">
      <c r="A775" s="4">
        <f ca="1">IFERROR(__xludf.DUMMYFUNCTION("""COMPUTED_VALUE"""),31720199)</f>
        <v>31720199</v>
      </c>
      <c r="B775" s="1" t="str">
        <f ca="1">IFERROR(__xludf.DUMMYFUNCTION("""COMPUTED_VALUE"""),"ewb2@cornell.edu")</f>
        <v>ewb2@cornell.edu</v>
      </c>
      <c r="C775" s="4" t="str">
        <f ca="1">IFERROR(__xludf.DUMMYFUNCTION("""COMPUTED_VALUE"""),"EVERGREEN - UAN Gated Content - Embedded Petition")</f>
        <v>EVERGREEN - UAN Gated Content - Embedded Petition</v>
      </c>
      <c r="D775" s="5">
        <f ca="1">IFERROR(__xludf.DUMMYFUNCTION("""COMPUTED_VALUE"""),45675)</f>
        <v>45675</v>
      </c>
      <c r="F775" s="1" t="str">
        <f ca="1">IFERROR(__xludf.DUMMYFUNCTION("""COMPUTED_VALUE"""),"Egypt")</f>
        <v>Egypt</v>
      </c>
      <c r="G775" s="1" t="str">
        <f ca="1">IFERROR(__xludf.DUMMYFUNCTION("""COMPUTED_VALUE"""),"Second 80.23 Egypt")</f>
        <v>Second 80.23 Egypt</v>
      </c>
      <c r="H775" s="1" t="str">
        <f ca="1">IFERROR(__xludf.DUMMYFUNCTION("""COMPUTED_VALUE"""),"Health, Individuals At Risk")</f>
        <v>Health, Individuals At Risk</v>
      </c>
      <c r="I775" s="1" t="str">
        <f ca="1">IFERROR(__xludf.DUMMYFUNCTION("""COMPUTED_VALUE"""),"2025")</f>
        <v>2025</v>
      </c>
      <c r="J775" s="1" t="str">
        <f ca="1">IFERROR(__xludf.DUMMYFUNCTION("""COMPUTED_VALUE"""),"Email")</f>
        <v>Email</v>
      </c>
    </row>
    <row r="776" spans="1:10" ht="13" x14ac:dyDescent="0.15">
      <c r="A776" s="4">
        <f ca="1">IFERROR(__xludf.DUMMYFUNCTION("""COMPUTED_VALUE"""),31720199)</f>
        <v>31720199</v>
      </c>
      <c r="B776" s="1" t="str">
        <f ca="1">IFERROR(__xludf.DUMMYFUNCTION("""COMPUTED_VALUE"""),"ewb2@cornell.edu")</f>
        <v>ewb2@cornell.edu</v>
      </c>
      <c r="C776" s="4" t="str">
        <f ca="1">IFERROR(__xludf.DUMMYFUNCTION("""COMPUTED_VALUE"""),"EVERGREEN - UAN Gated Content - Embedded Petition")</f>
        <v>EVERGREEN - UAN Gated Content - Embedded Petition</v>
      </c>
      <c r="D776" s="5">
        <f ca="1">IFERROR(__xludf.DUMMYFUNCTION("""COMPUTED_VALUE"""),45675)</f>
        <v>45675</v>
      </c>
      <c r="F776" s="1" t="str">
        <f ca="1">IFERROR(__xludf.DUMMYFUNCTION("""COMPUTED_VALUE"""),"Iran")</f>
        <v>Iran</v>
      </c>
      <c r="G776" s="1" t="str">
        <f ca="1">IFERROR(__xludf.DUMMYFUNCTION("""COMPUTED_VALUE"""),"Seventh 103.22 Iran")</f>
        <v>Seventh 103.22 Iran</v>
      </c>
      <c r="H776" s="1" t="str">
        <f ca="1">IFERROR(__xludf.DUMMYFUNCTION("""COMPUTED_VALUE"""),"Death Penalty, Freedom of Expression, Individuals At Risk")</f>
        <v>Death Penalty, Freedom of Expression, Individuals At Risk</v>
      </c>
      <c r="I776" s="1" t="str">
        <f ca="1">IFERROR(__xludf.DUMMYFUNCTION("""COMPUTED_VALUE"""),"2024")</f>
        <v>2024</v>
      </c>
      <c r="J776" s="1" t="str">
        <f ca="1">IFERROR(__xludf.DUMMYFUNCTION("""COMPUTED_VALUE"""),"Email")</f>
        <v>Email</v>
      </c>
    </row>
    <row r="777" spans="1:10" ht="13" x14ac:dyDescent="0.15">
      <c r="A777" s="4">
        <f ca="1">IFERROR(__xludf.DUMMYFUNCTION("""COMPUTED_VALUE"""),31720199)</f>
        <v>31720199</v>
      </c>
      <c r="B777" s="1" t="str">
        <f ca="1">IFERROR(__xludf.DUMMYFUNCTION("""COMPUTED_VALUE"""),"ewb2@cornell.edu")</f>
        <v>ewb2@cornell.edu</v>
      </c>
      <c r="C777" s="4" t="str">
        <f ca="1">IFERROR(__xludf.DUMMYFUNCTION("""COMPUTED_VALUE"""),"EVERGREEN - UAN Gated Content - Embedded Petition")</f>
        <v>EVERGREEN - UAN Gated Content - Embedded Petition</v>
      </c>
      <c r="D777" s="5">
        <f ca="1">IFERROR(__xludf.DUMMYFUNCTION("""COMPUTED_VALUE"""),45642)</f>
        <v>45642</v>
      </c>
      <c r="F777" s="1" t="str">
        <f ca="1">IFERROR(__xludf.DUMMYFUNCTION("""COMPUTED_VALUE"""),"Saudi Arabia")</f>
        <v>Saudi Arabia</v>
      </c>
      <c r="G777" s="1" t="str">
        <f ca="1">IFERROR(__xludf.DUMMYFUNCTION("""COMPUTED_VALUE"""),"Fifth 257.12")</f>
        <v>Fifth 257.12</v>
      </c>
      <c r="H777" s="1" t="str">
        <f ca="1">IFERROR(__xludf.DUMMYFUNCTION("""COMPUTED_VALUE"""),"Freedom of Expression, Human Rights Defenders")</f>
        <v>Freedom of Expression, Human Rights Defenders</v>
      </c>
      <c r="I777" s="1" t="str">
        <f ca="1">IFERROR(__xludf.DUMMYFUNCTION("""COMPUTED_VALUE"""),"2025")</f>
        <v>2025</v>
      </c>
      <c r="J777" s="1" t="str">
        <f ca="1">IFERROR(__xludf.DUMMYFUNCTION("""COMPUTED_VALUE"""),"Email")</f>
        <v>Email</v>
      </c>
    </row>
    <row r="778" spans="1:10" ht="13" x14ac:dyDescent="0.15">
      <c r="A778" s="4">
        <f ca="1">IFERROR(__xludf.DUMMYFUNCTION("""COMPUTED_VALUE"""),31720199)</f>
        <v>31720199</v>
      </c>
      <c r="B778" s="1" t="str">
        <f ca="1">IFERROR(__xludf.DUMMYFUNCTION("""COMPUTED_VALUE"""),"ewb2@cornell.edu")</f>
        <v>ewb2@cornell.edu</v>
      </c>
      <c r="C778" s="4" t="str">
        <f ca="1">IFERROR(__xludf.DUMMYFUNCTION("""COMPUTED_VALUE"""),"EVERGREEN - UAN Gated Content - Embedded Petition")</f>
        <v>EVERGREEN - UAN Gated Content - Embedded Petition</v>
      </c>
      <c r="D778" s="5">
        <f ca="1">IFERROR(__xludf.DUMMYFUNCTION("""COMPUTED_VALUE"""),45642)</f>
        <v>45642</v>
      </c>
      <c r="F778" s="1" t="str">
        <f ca="1">IFERROR(__xludf.DUMMYFUNCTION("""COMPUTED_VALUE"""),"Tunisia")</f>
        <v>Tunisia</v>
      </c>
      <c r="G778" s="1" t="str">
        <f ca="1">IFERROR(__xludf.DUMMYFUNCTION("""COMPUTED_VALUE"""),"Second 76.24 Tunisia")</f>
        <v>Second 76.24 Tunisia</v>
      </c>
      <c r="H778" s="1" t="str">
        <f ca="1">IFERROR(__xludf.DUMMYFUNCTION("""COMPUTED_VALUE"""),"Freedom of Expression, Human Rights Defenders")</f>
        <v>Freedom of Expression, Human Rights Defenders</v>
      </c>
      <c r="I778" s="1" t="str">
        <f ca="1">IFERROR(__xludf.DUMMYFUNCTION("""COMPUTED_VALUE"""),"2025")</f>
        <v>2025</v>
      </c>
      <c r="J778" s="1" t="str">
        <f ca="1">IFERROR(__xludf.DUMMYFUNCTION("""COMPUTED_VALUE"""),"Email")</f>
        <v>Email</v>
      </c>
    </row>
    <row r="779" spans="1:10" ht="13" x14ac:dyDescent="0.15">
      <c r="A779" s="4">
        <f ca="1">IFERROR(__xludf.DUMMYFUNCTION("""COMPUTED_VALUE"""),31720199)</f>
        <v>31720199</v>
      </c>
      <c r="B779" s="1" t="str">
        <f ca="1">IFERROR(__xludf.DUMMYFUNCTION("""COMPUTED_VALUE"""),"ewb2@cornell.edu")</f>
        <v>ewb2@cornell.edu</v>
      </c>
      <c r="C779" s="4" t="str">
        <f ca="1">IFERROR(__xludf.DUMMYFUNCTION("""COMPUTED_VALUE"""),"EVERGREEN - UAN Gated Content - Embedded Petition")</f>
        <v>EVERGREEN - UAN Gated Content - Embedded Petition</v>
      </c>
      <c r="D779" s="5">
        <f ca="1">IFERROR(__xludf.DUMMYFUNCTION("""COMPUTED_VALUE"""),45642)</f>
        <v>45642</v>
      </c>
      <c r="F779" s="1" t="str">
        <f ca="1">IFERROR(__xludf.DUMMYFUNCTION("""COMPUTED_VALUE"""),"Iran")</f>
        <v>Iran</v>
      </c>
      <c r="G779" s="1" t="str">
        <f ca="1">IFERROR(__xludf.DUMMYFUNCTION("""COMPUTED_VALUE"""),"Seventh 103.22 Iran")</f>
        <v>Seventh 103.22 Iran</v>
      </c>
      <c r="H779" s="1" t="str">
        <f ca="1">IFERROR(__xludf.DUMMYFUNCTION("""COMPUTED_VALUE"""),"Death Penalty, Freedom of Expression, Individuals At Risk")</f>
        <v>Death Penalty, Freedom of Expression, Individuals At Risk</v>
      </c>
      <c r="I779" s="1" t="str">
        <f ca="1">IFERROR(__xludf.DUMMYFUNCTION("""COMPUTED_VALUE"""),"2024")</f>
        <v>2024</v>
      </c>
      <c r="J779" s="1" t="str">
        <f ca="1">IFERROR(__xludf.DUMMYFUNCTION("""COMPUTED_VALUE"""),"Email")</f>
        <v>Email</v>
      </c>
    </row>
    <row r="780" spans="1:10" ht="13" x14ac:dyDescent="0.15">
      <c r="A780" s="4">
        <f ca="1">IFERROR(__xludf.DUMMYFUNCTION("""COMPUTED_VALUE"""),31720199)</f>
        <v>31720199</v>
      </c>
      <c r="B780" s="1" t="str">
        <f ca="1">IFERROR(__xludf.DUMMYFUNCTION("""COMPUTED_VALUE"""),"ewb2@cornell.edu")</f>
        <v>ewb2@cornell.edu</v>
      </c>
      <c r="C780" s="4" t="str">
        <f ca="1">IFERROR(__xludf.DUMMYFUNCTION("""COMPUTED_VALUE"""),"EVERGREEN - UAN Gated Content - Embedded Petition")</f>
        <v>EVERGREEN - UAN Gated Content - Embedded Petition</v>
      </c>
      <c r="D780" s="5">
        <f ca="1">IFERROR(__xludf.DUMMYFUNCTION("""COMPUTED_VALUE"""),45642)</f>
        <v>45642</v>
      </c>
      <c r="F780" s="1" t="str">
        <f ca="1">IFERROR(__xludf.DUMMYFUNCTION("""COMPUTED_VALUE"""),"Israel and Occupied Palestinian Territories")</f>
        <v>Israel and Occupied Palestinian Territories</v>
      </c>
      <c r="G780" s="1" t="str">
        <f ca="1">IFERROR(__xludf.DUMMYFUNCTION("""COMPUTED_VALUE"""),"3.25 IOPT")</f>
        <v>3.25 IOPT</v>
      </c>
      <c r="H780" s="1" t="str">
        <f ca="1">IFERROR(__xludf.DUMMYFUNCTION("""COMPUTED_VALUE"""),"Freedom of Expression, Individuals At Risk")</f>
        <v>Freedom of Expression, Individuals At Risk</v>
      </c>
      <c r="I780" s="1" t="str">
        <f ca="1">IFERROR(__xludf.DUMMYFUNCTION("""COMPUTED_VALUE"""),"2025")</f>
        <v>2025</v>
      </c>
      <c r="J780" s="1" t="str">
        <f ca="1">IFERROR(__xludf.DUMMYFUNCTION("""COMPUTED_VALUE"""),"Email")</f>
        <v>Email</v>
      </c>
    </row>
    <row r="781" spans="1:10" ht="13" x14ac:dyDescent="0.15">
      <c r="A781" s="4">
        <f ca="1">IFERROR(__xludf.DUMMYFUNCTION("""COMPUTED_VALUE"""),31720199)</f>
        <v>31720199</v>
      </c>
      <c r="B781" s="1" t="str">
        <f ca="1">IFERROR(__xludf.DUMMYFUNCTION("""COMPUTED_VALUE"""),"ewb2@cornell.edu")</f>
        <v>ewb2@cornell.edu</v>
      </c>
      <c r="C781" s="4" t="str">
        <f ca="1">IFERROR(__xludf.DUMMYFUNCTION("""COMPUTED_VALUE"""),"EVERGREEN - UAN Gated Content - Embedded Petition")</f>
        <v>EVERGREEN - UAN Gated Content - Embedded Petition</v>
      </c>
      <c r="D781" s="5">
        <f ca="1">IFERROR(__xludf.DUMMYFUNCTION("""COMPUTED_VALUE"""),45642)</f>
        <v>45642</v>
      </c>
      <c r="F781" s="1" t="str">
        <f ca="1">IFERROR(__xludf.DUMMYFUNCTION("""COMPUTED_VALUE"""),"Iran")</f>
        <v>Iran</v>
      </c>
      <c r="G781" s="1" t="str">
        <f ca="1">IFERROR(__xludf.DUMMYFUNCTION("""COMPUTED_VALUE"""),"Seventh 103.22 Iran")</f>
        <v>Seventh 103.22 Iran</v>
      </c>
      <c r="H781" s="1" t="str">
        <f ca="1">IFERROR(__xludf.DUMMYFUNCTION("""COMPUTED_VALUE"""),"Death Penalty, Freedom of Expression, Individuals At Risk")</f>
        <v>Death Penalty, Freedom of Expression, Individuals At Risk</v>
      </c>
      <c r="I781" s="1" t="str">
        <f ca="1">IFERROR(__xludf.DUMMYFUNCTION("""COMPUTED_VALUE"""),"2024")</f>
        <v>2024</v>
      </c>
      <c r="J781" s="1" t="str">
        <f ca="1">IFERROR(__xludf.DUMMYFUNCTION("""COMPUTED_VALUE"""),"Email")</f>
        <v>Email</v>
      </c>
    </row>
    <row r="782" spans="1:10" ht="13" x14ac:dyDescent="0.15">
      <c r="A782" s="4">
        <f ca="1">IFERROR(__xludf.DUMMYFUNCTION("""COMPUTED_VALUE"""),31720199)</f>
        <v>31720199</v>
      </c>
      <c r="B782" s="1" t="str">
        <f ca="1">IFERROR(__xludf.DUMMYFUNCTION("""COMPUTED_VALUE"""),"ewb2@cornell.edu")</f>
        <v>ewb2@cornell.edu</v>
      </c>
      <c r="C782" s="4" t="str">
        <f ca="1">IFERROR(__xludf.DUMMYFUNCTION("""COMPUTED_VALUE"""),"EVERGREEN - UAN Gated Content - Embedded Petition")</f>
        <v>EVERGREEN - UAN Gated Content - Embedded Petition</v>
      </c>
      <c r="D782" s="5">
        <f ca="1">IFERROR(__xludf.DUMMYFUNCTION("""COMPUTED_VALUE"""),45642)</f>
        <v>45642</v>
      </c>
      <c r="F782" s="1" t="str">
        <f ca="1">IFERROR(__xludf.DUMMYFUNCTION("""COMPUTED_VALUE"""),"Egypt")</f>
        <v>Egypt</v>
      </c>
      <c r="G782" s="1" t="str">
        <f ca="1">IFERROR(__xludf.DUMMYFUNCTION("""COMPUTED_VALUE"""),"Third 73.23 Egypt")</f>
        <v>Third 73.23 Egypt</v>
      </c>
      <c r="H782" s="1" t="str">
        <f ca="1">IFERROR(__xludf.DUMMYFUNCTION("""COMPUTED_VALUE"""),"Individuals At Risk")</f>
        <v>Individuals At Risk</v>
      </c>
      <c r="I782" s="1" t="str">
        <f ca="1">IFERROR(__xludf.DUMMYFUNCTION("""COMPUTED_VALUE"""),"2024")</f>
        <v>2024</v>
      </c>
      <c r="J782" s="1" t="str">
        <f ca="1">IFERROR(__xludf.DUMMYFUNCTION("""COMPUTED_VALUE"""),"Email")</f>
        <v>Email</v>
      </c>
    </row>
    <row r="783" spans="1:10" ht="13" x14ac:dyDescent="0.15">
      <c r="A783" s="4">
        <f ca="1">IFERROR(__xludf.DUMMYFUNCTION("""COMPUTED_VALUE"""),31720199)</f>
        <v>31720199</v>
      </c>
      <c r="B783" s="1" t="str">
        <f ca="1">IFERROR(__xludf.DUMMYFUNCTION("""COMPUTED_VALUE"""),"ewb2@cornell.edu")</f>
        <v>ewb2@cornell.edu</v>
      </c>
      <c r="C783" s="4" t="str">
        <f ca="1">IFERROR(__xludf.DUMMYFUNCTION("""COMPUTED_VALUE"""),"EVERGREEN - UAN Gated Content - Embedded Petition")</f>
        <v>EVERGREEN - UAN Gated Content - Embedded Petition</v>
      </c>
      <c r="D783" s="5">
        <f ca="1">IFERROR(__xludf.DUMMYFUNCTION("""COMPUTED_VALUE"""),45642)</f>
        <v>45642</v>
      </c>
      <c r="F783" s="1" t="str">
        <f ca="1">IFERROR(__xludf.DUMMYFUNCTION("""COMPUTED_VALUE"""),"Tunisia")</f>
        <v>Tunisia</v>
      </c>
      <c r="G783" s="1" t="str">
        <f ca="1">IFERROR(__xludf.DUMMYFUNCTION("""COMPUTED_VALUE"""),"Second 43.24 Tunisia")</f>
        <v>Second 43.24 Tunisia</v>
      </c>
      <c r="H783" s="1" t="str">
        <f ca="1">IFERROR(__xludf.DUMMYFUNCTION("""COMPUTED_VALUE"""),"Freedom of Expression, Individuals At Risk")</f>
        <v>Freedom of Expression, Individuals At Risk</v>
      </c>
      <c r="I783" s="1" t="str">
        <f ca="1">IFERROR(__xludf.DUMMYFUNCTION("""COMPUTED_VALUE"""),"2024")</f>
        <v>2024</v>
      </c>
      <c r="J783" s="1" t="str">
        <f ca="1">IFERROR(__xludf.DUMMYFUNCTION("""COMPUTED_VALUE"""),"Email")</f>
        <v>Email</v>
      </c>
    </row>
    <row r="784" spans="1:10" ht="13" x14ac:dyDescent="0.15">
      <c r="A784" s="4">
        <f ca="1">IFERROR(__xludf.DUMMYFUNCTION("""COMPUTED_VALUE"""),31720199)</f>
        <v>31720199</v>
      </c>
      <c r="B784" s="1" t="str">
        <f ca="1">IFERROR(__xludf.DUMMYFUNCTION("""COMPUTED_VALUE"""),"ewb2@cornell.edu")</f>
        <v>ewb2@cornell.edu</v>
      </c>
      <c r="C784" s="4" t="str">
        <f ca="1">IFERROR(__xludf.DUMMYFUNCTION("""COMPUTED_VALUE"""),"EVERGREEN - UAN Gated Content - Embedded Petition")</f>
        <v>EVERGREEN - UAN Gated Content - Embedded Petition</v>
      </c>
      <c r="D784" s="5">
        <f ca="1">IFERROR(__xludf.DUMMYFUNCTION("""COMPUTED_VALUE"""),45643)</f>
        <v>45643</v>
      </c>
      <c r="F784" s="1" t="str">
        <f ca="1">IFERROR(__xludf.DUMMYFUNCTION("""COMPUTED_VALUE"""),"Niger")</f>
        <v>Niger</v>
      </c>
      <c r="G784" s="1" t="str">
        <f ca="1">IFERROR(__xludf.DUMMYFUNCTION("""COMPUTED_VALUE"""),"103.24 Niger")</f>
        <v>103.24 Niger</v>
      </c>
      <c r="H784" s="1" t="str">
        <f ca="1">IFERROR(__xludf.DUMMYFUNCTION("""COMPUTED_VALUE"""),"Freedom of Expression, Human Rights Defenders")</f>
        <v>Freedom of Expression, Human Rights Defenders</v>
      </c>
      <c r="I784" s="1" t="str">
        <f ca="1">IFERROR(__xludf.DUMMYFUNCTION("""COMPUTED_VALUE"""),"2024")</f>
        <v>2024</v>
      </c>
      <c r="J784" s="1" t="str">
        <f ca="1">IFERROR(__xludf.DUMMYFUNCTION("""COMPUTED_VALUE"""),"Email")</f>
        <v>Email</v>
      </c>
    </row>
    <row r="785" spans="1:10" ht="13" x14ac:dyDescent="0.15">
      <c r="A785" s="4">
        <f ca="1">IFERROR(__xludf.DUMMYFUNCTION("""COMPUTED_VALUE"""),31720199)</f>
        <v>31720199</v>
      </c>
      <c r="B785" s="1" t="str">
        <f ca="1">IFERROR(__xludf.DUMMYFUNCTION("""COMPUTED_VALUE"""),"ewb2@cornell.edu")</f>
        <v>ewb2@cornell.edu</v>
      </c>
      <c r="C785" s="4" t="str">
        <f ca="1">IFERROR(__xludf.DUMMYFUNCTION("""COMPUTED_VALUE"""),"EVERGREEN - UAN Gated Content - Embedded Petition")</f>
        <v>EVERGREEN - UAN Gated Content - Embedded Petition</v>
      </c>
      <c r="D785" s="5">
        <f ca="1">IFERROR(__xludf.DUMMYFUNCTION("""COMPUTED_VALUE"""),45637)</f>
        <v>45637</v>
      </c>
      <c r="F785" s="1" t="str">
        <f ca="1">IFERROR(__xludf.DUMMYFUNCTION("""COMPUTED_VALUE"""),"Turkiye")</f>
        <v>Turkiye</v>
      </c>
      <c r="G785" s="1" t="str">
        <f ca="1">IFERROR(__xludf.DUMMYFUNCTION("""COMPUTED_VALUE"""),"109.24 Türkiye")</f>
        <v>109.24 Türkiye</v>
      </c>
      <c r="H785" s="1" t="str">
        <f ca="1">IFERROR(__xludf.DUMMYFUNCTION("""COMPUTED_VALUE"""),"Human Rights Defenders, Individuals At Risk")</f>
        <v>Human Rights Defenders, Individuals At Risk</v>
      </c>
      <c r="I785" s="1" t="str">
        <f ca="1">IFERROR(__xludf.DUMMYFUNCTION("""COMPUTED_VALUE"""),"2024")</f>
        <v>2024</v>
      </c>
      <c r="J785" s="1" t="str">
        <f ca="1">IFERROR(__xludf.DUMMYFUNCTION("""COMPUTED_VALUE"""),"Email")</f>
        <v>Email</v>
      </c>
    </row>
    <row r="786" spans="1:10" ht="13" x14ac:dyDescent="0.15">
      <c r="A786" s="4">
        <f ca="1">IFERROR(__xludf.DUMMYFUNCTION("""COMPUTED_VALUE"""),31720199)</f>
        <v>31720199</v>
      </c>
      <c r="B786" s="1" t="str">
        <f ca="1">IFERROR(__xludf.DUMMYFUNCTION("""COMPUTED_VALUE"""),"ewb2@cornell.edu")</f>
        <v>ewb2@cornell.edu</v>
      </c>
      <c r="C786" s="4" t="str">
        <f ca="1">IFERROR(__xludf.DUMMYFUNCTION("""COMPUTED_VALUE"""),"EVERGREEN - UAN Gated Content - Embedded Petition")</f>
        <v>EVERGREEN - UAN Gated Content - Embedded Petition</v>
      </c>
      <c r="D786" s="5">
        <f ca="1">IFERROR(__xludf.DUMMYFUNCTION("""COMPUTED_VALUE"""),45670)</f>
        <v>45670</v>
      </c>
      <c r="F786" s="1" t="str">
        <f ca="1">IFERROR(__xludf.DUMMYFUNCTION("""COMPUTED_VALUE"""),"Israel and Occupied Palestinian Territories")</f>
        <v>Israel and Occupied Palestinian Territories</v>
      </c>
      <c r="G786" s="1" t="str">
        <f ca="1">IFERROR(__xludf.DUMMYFUNCTION("""COMPUTED_VALUE"""),"3.25 IOPT")</f>
        <v>3.25 IOPT</v>
      </c>
      <c r="H786" s="1" t="str">
        <f ca="1">IFERROR(__xludf.DUMMYFUNCTION("""COMPUTED_VALUE"""),"Freedom of Expression, Individuals At Risk")</f>
        <v>Freedom of Expression, Individuals At Risk</v>
      </c>
      <c r="I786" s="1" t="str">
        <f ca="1">IFERROR(__xludf.DUMMYFUNCTION("""COMPUTED_VALUE"""),"2025")</f>
        <v>2025</v>
      </c>
      <c r="J786" s="1" t="str">
        <f ca="1">IFERROR(__xludf.DUMMYFUNCTION("""COMPUTED_VALUE"""),"Email")</f>
        <v>Email</v>
      </c>
    </row>
    <row r="787" spans="1:10" ht="13" x14ac:dyDescent="0.15">
      <c r="A787" s="4">
        <f ca="1">IFERROR(__xludf.DUMMYFUNCTION("""COMPUTED_VALUE"""),31720199)</f>
        <v>31720199</v>
      </c>
      <c r="B787" s="1" t="str">
        <f ca="1">IFERROR(__xludf.DUMMYFUNCTION("""COMPUTED_VALUE"""),"ewb2@cornell.edu")</f>
        <v>ewb2@cornell.edu</v>
      </c>
      <c r="C787" s="4" t="str">
        <f ca="1">IFERROR(__xludf.DUMMYFUNCTION("""COMPUTED_VALUE"""),"EVERGREEN - UAN Gated Content - Embedded Petition")</f>
        <v>EVERGREEN - UAN Gated Content - Embedded Petition</v>
      </c>
      <c r="D787" s="5">
        <f ca="1">IFERROR(__xludf.DUMMYFUNCTION("""COMPUTED_VALUE"""),45672)</f>
        <v>45672</v>
      </c>
      <c r="F787" s="1" t="str">
        <f ca="1">IFERROR(__xludf.DUMMYFUNCTION("""COMPUTED_VALUE"""),"Afghanistan")</f>
        <v>Afghanistan</v>
      </c>
      <c r="G787" s="1" t="str">
        <f ca="1">IFERROR(__xludf.DUMMYFUNCTION("""COMPUTED_VALUE"""),"11.25 Afghanistan")</f>
        <v>11.25 Afghanistan</v>
      </c>
      <c r="H787" s="1" t="str">
        <f ca="1">IFERROR(__xludf.DUMMYFUNCTION("""COMPUTED_VALUE"""),"Freedom of Expression, Health, Individuals At Risk")</f>
        <v>Freedom of Expression, Health, Individuals At Risk</v>
      </c>
      <c r="I787" s="1" t="str">
        <f ca="1">IFERROR(__xludf.DUMMYFUNCTION("""COMPUTED_VALUE"""),"2025")</f>
        <v>2025</v>
      </c>
      <c r="J787" s="1" t="str">
        <f ca="1">IFERROR(__xludf.DUMMYFUNCTION("""COMPUTED_VALUE"""),"Email")</f>
        <v>Email</v>
      </c>
    </row>
    <row r="788" spans="1:10" ht="13" x14ac:dyDescent="0.15">
      <c r="A788" s="4">
        <f ca="1">IFERROR(__xludf.DUMMYFUNCTION("""COMPUTED_VALUE"""),31720199)</f>
        <v>31720199</v>
      </c>
      <c r="B788" s="1" t="str">
        <f ca="1">IFERROR(__xludf.DUMMYFUNCTION("""COMPUTED_VALUE"""),"ewb2@cornell.edu")</f>
        <v>ewb2@cornell.edu</v>
      </c>
      <c r="C788" s="4" t="str">
        <f ca="1">IFERROR(__xludf.DUMMYFUNCTION("""COMPUTED_VALUE"""),"EVERGREEN - UAN Gated Content - Embedded Petition")</f>
        <v>EVERGREEN - UAN Gated Content - Embedded Petition</v>
      </c>
      <c r="D788" s="5">
        <f ca="1">IFERROR(__xludf.DUMMYFUNCTION("""COMPUTED_VALUE"""),45672)</f>
        <v>45672</v>
      </c>
      <c r="F788" s="1" t="str">
        <f ca="1">IFERROR(__xludf.DUMMYFUNCTION("""COMPUTED_VALUE"""),"Libya")</f>
        <v>Libya</v>
      </c>
      <c r="G788" s="1" t="str">
        <f ca="1">IFERROR(__xludf.DUMMYFUNCTION("""COMPUTED_VALUE"""),"12.25 Libya")</f>
        <v>12.25 Libya</v>
      </c>
      <c r="H788" s="1" t="str">
        <f ca="1">IFERROR(__xludf.DUMMYFUNCTION("""COMPUTED_VALUE"""),"Freedom of Expression, Health, Individuals At Risk")</f>
        <v>Freedom of Expression, Health, Individuals At Risk</v>
      </c>
      <c r="I788" s="1" t="str">
        <f ca="1">IFERROR(__xludf.DUMMYFUNCTION("""COMPUTED_VALUE"""),"2025")</f>
        <v>2025</v>
      </c>
      <c r="J788" s="1" t="str">
        <f ca="1">IFERROR(__xludf.DUMMYFUNCTION("""COMPUTED_VALUE"""),"Email")</f>
        <v>Email</v>
      </c>
    </row>
    <row r="789" spans="1:10" ht="13" x14ac:dyDescent="0.15">
      <c r="A789" s="4">
        <f ca="1">IFERROR(__xludf.DUMMYFUNCTION("""COMPUTED_VALUE"""),31720199)</f>
        <v>31720199</v>
      </c>
      <c r="B789" s="1" t="str">
        <f ca="1">IFERROR(__xludf.DUMMYFUNCTION("""COMPUTED_VALUE"""),"ewb2@cornell.edu")</f>
        <v>ewb2@cornell.edu</v>
      </c>
      <c r="C789" s="4" t="str">
        <f ca="1">IFERROR(__xludf.DUMMYFUNCTION("""COMPUTED_VALUE"""),"EVERGREEN - UAN Gated Content - Embedded Petition")</f>
        <v>EVERGREEN - UAN Gated Content - Embedded Petition</v>
      </c>
      <c r="D789" s="5">
        <f ca="1">IFERROR(__xludf.DUMMYFUNCTION("""COMPUTED_VALUE"""),45648)</f>
        <v>45648</v>
      </c>
      <c r="F789" s="1" t="str">
        <f ca="1">IFERROR(__xludf.DUMMYFUNCTION("""COMPUTED_VALUE"""),"Uganda")</f>
        <v>Uganda</v>
      </c>
      <c r="G789" s="1" t="str">
        <f ca="1">IFERROR(__xludf.DUMMYFUNCTION("""COMPUTED_VALUE"""),"9.25 Uganda")</f>
        <v>9.25 Uganda</v>
      </c>
      <c r="H789" s="1" t="str">
        <f ca="1">IFERROR(__xludf.DUMMYFUNCTION("""COMPUTED_VALUE"""),"Freedom of Expression, Human Rights Defenders")</f>
        <v>Freedom of Expression, Human Rights Defenders</v>
      </c>
      <c r="I789" s="1" t="str">
        <f ca="1">IFERROR(__xludf.DUMMYFUNCTION("""COMPUTED_VALUE"""),"2025")</f>
        <v>2025</v>
      </c>
      <c r="J789" s="1" t="str">
        <f ca="1">IFERROR(__xludf.DUMMYFUNCTION("""COMPUTED_VALUE"""),"Email")</f>
        <v>Email</v>
      </c>
    </row>
    <row r="790" spans="1:10" ht="13" x14ac:dyDescent="0.15">
      <c r="A790" s="4">
        <f ca="1">IFERROR(__xludf.DUMMYFUNCTION("""COMPUTED_VALUE"""),31720199)</f>
        <v>31720199</v>
      </c>
      <c r="B790" s="1" t="str">
        <f ca="1">IFERROR(__xludf.DUMMYFUNCTION("""COMPUTED_VALUE"""),"ewb2@cornell.edu")</f>
        <v>ewb2@cornell.edu</v>
      </c>
      <c r="C790" s="4" t="str">
        <f ca="1">IFERROR(__xludf.DUMMYFUNCTION("""COMPUTED_VALUE"""),"EVERGREEN - UAN Gated Content - Embedded Petition")</f>
        <v>EVERGREEN - UAN Gated Content - Embedded Petition</v>
      </c>
      <c r="D790" s="5">
        <f ca="1">IFERROR(__xludf.DUMMYFUNCTION("""COMPUTED_VALUE"""),45679)</f>
        <v>45679</v>
      </c>
      <c r="F790" s="1" t="str">
        <f ca="1">IFERROR(__xludf.DUMMYFUNCTION("""COMPUTED_VALUE"""),"Iran")</f>
        <v>Iran</v>
      </c>
      <c r="G790" s="1" t="str">
        <f ca="1">IFERROR(__xludf.DUMMYFUNCTION("""COMPUTED_VALUE"""),"10.25 Iran")</f>
        <v>10.25 Iran</v>
      </c>
      <c r="H790" s="1" t="str">
        <f ca="1">IFERROR(__xludf.DUMMYFUNCTION("""COMPUTED_VALUE"""),"Death Penalty, Individuals At Risk")</f>
        <v>Death Penalty, Individuals At Risk</v>
      </c>
      <c r="I790" s="1" t="str">
        <f ca="1">IFERROR(__xludf.DUMMYFUNCTION("""COMPUTED_VALUE"""),"2025")</f>
        <v>2025</v>
      </c>
      <c r="J790" s="1" t="str">
        <f ca="1">IFERROR(__xludf.DUMMYFUNCTION("""COMPUTED_VALUE"""),"Email")</f>
        <v>Email</v>
      </c>
    </row>
    <row r="791" spans="1:10" ht="13" x14ac:dyDescent="0.15">
      <c r="A791" s="4">
        <f ca="1">IFERROR(__xludf.DUMMYFUNCTION("""COMPUTED_VALUE"""),31720199)</f>
        <v>31720199</v>
      </c>
      <c r="B791" s="1" t="str">
        <f ca="1">IFERROR(__xludf.DUMMYFUNCTION("""COMPUTED_VALUE"""),"ewb2@cornell.edu")</f>
        <v>ewb2@cornell.edu</v>
      </c>
      <c r="C791" s="4" t="str">
        <f ca="1">IFERROR(__xludf.DUMMYFUNCTION("""COMPUTED_VALUE"""),"EVERGREEN - UAN Gated Content - Embedded Petition")</f>
        <v>EVERGREEN - UAN Gated Content - Embedded Petition</v>
      </c>
      <c r="D791" s="5">
        <f ca="1">IFERROR(__xludf.DUMMYFUNCTION("""COMPUTED_VALUE"""),45677)</f>
        <v>45677</v>
      </c>
      <c r="F791" s="1" t="str">
        <f ca="1">IFERROR(__xludf.DUMMYFUNCTION("""COMPUTED_VALUE"""),"Uganda")</f>
        <v>Uganda</v>
      </c>
      <c r="G791" s="1" t="str">
        <f ca="1">IFERROR(__xludf.DUMMYFUNCTION("""COMPUTED_VALUE"""),"100.24 Uganda")</f>
        <v>100.24 Uganda</v>
      </c>
      <c r="H791" s="1" t="str">
        <f ca="1">IFERROR(__xludf.DUMMYFUNCTION("""COMPUTED_VALUE"""),"Freedom of Expression")</f>
        <v>Freedom of Expression</v>
      </c>
      <c r="I791" s="1" t="str">
        <f ca="1">IFERROR(__xludf.DUMMYFUNCTION("""COMPUTED_VALUE"""),"2024")</f>
        <v>2024</v>
      </c>
      <c r="J791" s="1" t="str">
        <f ca="1">IFERROR(__xludf.DUMMYFUNCTION("""COMPUTED_VALUE"""),"Email")</f>
        <v>Email</v>
      </c>
    </row>
    <row r="792" spans="1:10" ht="13" x14ac:dyDescent="0.15">
      <c r="A792" s="4">
        <f ca="1">IFERROR(__xludf.DUMMYFUNCTION("""COMPUTED_VALUE"""),31720199)</f>
        <v>31720199</v>
      </c>
      <c r="B792" s="1" t="str">
        <f ca="1">IFERROR(__xludf.DUMMYFUNCTION("""COMPUTED_VALUE"""),"ewb2@cornell.edu")</f>
        <v>ewb2@cornell.edu</v>
      </c>
      <c r="C792" s="4" t="str">
        <f ca="1">IFERROR(__xludf.DUMMYFUNCTION("""COMPUTED_VALUE"""),"EVERGREEN - UAN Gated Content - Embedded Petition")</f>
        <v>EVERGREEN - UAN Gated Content - Embedded Petition</v>
      </c>
      <c r="D792" s="5">
        <f ca="1">IFERROR(__xludf.DUMMYFUNCTION("""COMPUTED_VALUE"""),45677)</f>
        <v>45677</v>
      </c>
      <c r="F792" s="1" t="str">
        <f ca="1">IFERROR(__xludf.DUMMYFUNCTION("""COMPUTED_VALUE"""),"Saudi Arabia")</f>
        <v>Saudi Arabia</v>
      </c>
      <c r="G792" s="1" t="str">
        <f ca="1">IFERROR(__xludf.DUMMYFUNCTION("""COMPUTED_VALUE"""),"Fifth 257.12")</f>
        <v>Fifth 257.12</v>
      </c>
      <c r="H792" s="1" t="str">
        <f ca="1">IFERROR(__xludf.DUMMYFUNCTION("""COMPUTED_VALUE"""),"Freedom of Expression, Human Rights Defenders")</f>
        <v>Freedom of Expression, Human Rights Defenders</v>
      </c>
      <c r="I792" s="1" t="str">
        <f ca="1">IFERROR(__xludf.DUMMYFUNCTION("""COMPUTED_VALUE"""),"2025")</f>
        <v>2025</v>
      </c>
      <c r="J792" s="1" t="str">
        <f ca="1">IFERROR(__xludf.DUMMYFUNCTION("""COMPUTED_VALUE"""),"Email")</f>
        <v>Email</v>
      </c>
    </row>
    <row r="793" spans="1:10" ht="13" x14ac:dyDescent="0.15">
      <c r="A793" s="4">
        <f ca="1">IFERROR(__xludf.DUMMYFUNCTION("""COMPUTED_VALUE"""),31720199)</f>
        <v>31720199</v>
      </c>
      <c r="B793" s="1" t="str">
        <f ca="1">IFERROR(__xludf.DUMMYFUNCTION("""COMPUTED_VALUE"""),"ewb2@cornell.edu")</f>
        <v>ewb2@cornell.edu</v>
      </c>
      <c r="C793" s="4" t="str">
        <f ca="1">IFERROR(__xludf.DUMMYFUNCTION("""COMPUTED_VALUE"""),"EVERGREEN - UAN Gated Content - Embedded Petition")</f>
        <v>EVERGREEN - UAN Gated Content - Embedded Petition</v>
      </c>
      <c r="D793" s="5">
        <f ca="1">IFERROR(__xludf.DUMMYFUNCTION("""COMPUTED_VALUE"""),45675)</f>
        <v>45675</v>
      </c>
      <c r="F793" s="1" t="str">
        <f ca="1">IFERROR(__xludf.DUMMYFUNCTION("""COMPUTED_VALUE"""),"Venezuela")</f>
        <v>Venezuela</v>
      </c>
      <c r="G793" s="1" t="str">
        <f ca="1">IFERROR(__xludf.DUMMYFUNCTION("""COMPUTED_VALUE"""),"97.24 Venezuela")</f>
        <v>97.24 Venezuela</v>
      </c>
      <c r="H793" s="1" t="str">
        <f ca="1">IFERROR(__xludf.DUMMYFUNCTION("""COMPUTED_VALUE"""),"Freedom of Expression")</f>
        <v>Freedom of Expression</v>
      </c>
      <c r="I793" s="1" t="str">
        <f ca="1">IFERROR(__xludf.DUMMYFUNCTION("""COMPUTED_VALUE"""),"2024")</f>
        <v>2024</v>
      </c>
      <c r="J793" s="1" t="str">
        <f ca="1">IFERROR(__xludf.DUMMYFUNCTION("""COMPUTED_VALUE"""),"Letter")</f>
        <v>Letter</v>
      </c>
    </row>
    <row r="794" spans="1:10" ht="13" x14ac:dyDescent="0.15">
      <c r="A794" s="4">
        <f ca="1">IFERROR(__xludf.DUMMYFUNCTION("""COMPUTED_VALUE"""),31720199)</f>
        <v>31720199</v>
      </c>
      <c r="B794" s="1" t="str">
        <f ca="1">IFERROR(__xludf.DUMMYFUNCTION("""COMPUTED_VALUE"""),"ewb2@cornell.edu")</f>
        <v>ewb2@cornell.edu</v>
      </c>
      <c r="C794" s="4" t="str">
        <f ca="1">IFERROR(__xludf.DUMMYFUNCTION("""COMPUTED_VALUE"""),"EVERGREEN - UAN Gated Content - Embedded Petition")</f>
        <v>EVERGREEN - UAN Gated Content - Embedded Petition</v>
      </c>
      <c r="D794" s="5">
        <f ca="1">IFERROR(__xludf.DUMMYFUNCTION("""COMPUTED_VALUE"""),45675)</f>
        <v>45675</v>
      </c>
      <c r="F794" s="1" t="str">
        <f ca="1">IFERROR(__xludf.DUMMYFUNCTION("""COMPUTED_VALUE"""),"China")</f>
        <v>China</v>
      </c>
      <c r="G794" s="1" t="str">
        <f ca="1">IFERROR(__xludf.DUMMYFUNCTION("""COMPUTED_VALUE"""),"98.24 China")</f>
        <v>98.24 China</v>
      </c>
      <c r="H794" s="1" t="str">
        <f ca="1">IFERROR(__xludf.DUMMYFUNCTION("""COMPUTED_VALUE"""),"Freedom of Expression, Individuals At Risk")</f>
        <v>Freedom of Expression, Individuals At Risk</v>
      </c>
      <c r="I794" s="1" t="str">
        <f ca="1">IFERROR(__xludf.DUMMYFUNCTION("""COMPUTED_VALUE"""),"2024")</f>
        <v>2024</v>
      </c>
      <c r="J794" s="1" t="str">
        <f ca="1">IFERROR(__xludf.DUMMYFUNCTION("""COMPUTED_VALUE"""),"Letter")</f>
        <v>Letter</v>
      </c>
    </row>
    <row r="795" spans="1:10" ht="13" x14ac:dyDescent="0.15">
      <c r="A795" s="4">
        <f ca="1">IFERROR(__xludf.DUMMYFUNCTION("""COMPUTED_VALUE"""),31720199)</f>
        <v>31720199</v>
      </c>
      <c r="B795" s="1" t="str">
        <f ca="1">IFERROR(__xludf.DUMMYFUNCTION("""COMPUTED_VALUE"""),"ewb2@cornell.edu")</f>
        <v>ewb2@cornell.edu</v>
      </c>
      <c r="C795" s="4" t="str">
        <f ca="1">IFERROR(__xludf.DUMMYFUNCTION("""COMPUTED_VALUE"""),"EVERGREEN - UAN Gated Content - Embedded Petition")</f>
        <v>EVERGREEN - UAN Gated Content - Embedded Petition</v>
      </c>
      <c r="D795" s="5">
        <f ca="1">IFERROR(__xludf.DUMMYFUNCTION("""COMPUTED_VALUE"""),45675)</f>
        <v>45675</v>
      </c>
      <c r="F795" s="1" t="str">
        <f ca="1">IFERROR(__xludf.DUMMYFUNCTION("""COMPUTED_VALUE"""),"Russian Federation")</f>
        <v>Russian Federation</v>
      </c>
      <c r="G795" s="1" t="str">
        <f ca="1">IFERROR(__xludf.DUMMYFUNCTION("""COMPUTED_VALUE"""),"Second 23.24 Russia")</f>
        <v>Second 23.24 Russia</v>
      </c>
      <c r="H795" s="1" t="str">
        <f ca="1">IFERROR(__xludf.DUMMYFUNCTION("""COMPUTED_VALUE"""),"Freedom of Expression")</f>
        <v>Freedom of Expression</v>
      </c>
      <c r="I795" s="1" t="str">
        <f ca="1">IFERROR(__xludf.DUMMYFUNCTION("""COMPUTED_VALUE"""),"2024")</f>
        <v>2024</v>
      </c>
      <c r="J795" s="1" t="str">
        <f ca="1">IFERROR(__xludf.DUMMYFUNCTION("""COMPUTED_VALUE"""),"Letter")</f>
        <v>Letter</v>
      </c>
    </row>
    <row r="796" spans="1:10" ht="13" x14ac:dyDescent="0.15">
      <c r="A796" s="4">
        <f ca="1">IFERROR(__xludf.DUMMYFUNCTION("""COMPUTED_VALUE"""),31720199)</f>
        <v>31720199</v>
      </c>
      <c r="B796" s="1" t="str">
        <f ca="1">IFERROR(__xludf.DUMMYFUNCTION("""COMPUTED_VALUE"""),"ewb2@cornell.edu")</f>
        <v>ewb2@cornell.edu</v>
      </c>
      <c r="C796" s="4" t="str">
        <f ca="1">IFERROR(__xludf.DUMMYFUNCTION("""COMPUTED_VALUE"""),"EVERGREEN - UAN Gated Content - Embedded Petition")</f>
        <v>EVERGREEN - UAN Gated Content - Embedded Petition</v>
      </c>
      <c r="D796" s="5">
        <f ca="1">IFERROR(__xludf.DUMMYFUNCTION("""COMPUTED_VALUE"""),45675)</f>
        <v>45675</v>
      </c>
      <c r="F796" s="1" t="str">
        <f ca="1">IFERROR(__xludf.DUMMYFUNCTION("""COMPUTED_VALUE"""),"Iran")</f>
        <v>Iran</v>
      </c>
      <c r="G796" s="1" t="str">
        <f ca="1">IFERROR(__xludf.DUMMYFUNCTION("""COMPUTED_VALUE"""),"101.24 Iran")</f>
        <v>101.24 Iran</v>
      </c>
      <c r="H796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796" s="1" t="str">
        <f ca="1">IFERROR(__xludf.DUMMYFUNCTION("""COMPUTED_VALUE"""),"2024")</f>
        <v>2024</v>
      </c>
      <c r="J796" s="1" t="str">
        <f ca="1">IFERROR(__xludf.DUMMYFUNCTION("""COMPUTED_VALUE"""),"Email")</f>
        <v>Email</v>
      </c>
    </row>
    <row r="797" spans="1:10" ht="13" x14ac:dyDescent="0.15">
      <c r="A797" s="4">
        <f ca="1">IFERROR(__xludf.DUMMYFUNCTION("""COMPUTED_VALUE"""),31720199)</f>
        <v>31720199</v>
      </c>
      <c r="B797" s="1" t="str">
        <f ca="1">IFERROR(__xludf.DUMMYFUNCTION("""COMPUTED_VALUE"""),"ewb2@cornell.edu")</f>
        <v>ewb2@cornell.edu</v>
      </c>
      <c r="C797" s="4" t="str">
        <f ca="1">IFERROR(__xludf.DUMMYFUNCTION("""COMPUTED_VALUE"""),"EVERGREEN - UAN Gated Content - Embedded Petition")</f>
        <v>EVERGREEN - UAN Gated Content - Embedded Petition</v>
      </c>
      <c r="D797" s="5">
        <f ca="1">IFERROR(__xludf.DUMMYFUNCTION("""COMPUTED_VALUE"""),45675)</f>
        <v>45675</v>
      </c>
      <c r="F797" s="1" t="str">
        <f ca="1">IFERROR(__xludf.DUMMYFUNCTION("""COMPUTED_VALUE"""),"Iran")</f>
        <v>Iran</v>
      </c>
      <c r="G797" s="1" t="str">
        <f ca="1">IFERROR(__xludf.DUMMYFUNCTION("""COMPUTED_VALUE"""),"101.24 Iran")</f>
        <v>101.24 Iran</v>
      </c>
      <c r="H797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797" s="1" t="str">
        <f ca="1">IFERROR(__xludf.DUMMYFUNCTION("""COMPUTED_VALUE"""),"2024")</f>
        <v>2024</v>
      </c>
      <c r="J797" s="1" t="str">
        <f ca="1">IFERROR(__xludf.DUMMYFUNCTION("""COMPUTED_VALUE"""),"Email")</f>
        <v>Email</v>
      </c>
    </row>
    <row r="798" spans="1:10" ht="13" x14ac:dyDescent="0.15">
      <c r="A798" s="4">
        <f ca="1">IFERROR(__xludf.DUMMYFUNCTION("""COMPUTED_VALUE"""),31720199)</f>
        <v>31720199</v>
      </c>
      <c r="B798" s="1" t="str">
        <f ca="1">IFERROR(__xludf.DUMMYFUNCTION("""COMPUTED_VALUE"""),"ewb2@cornell.edu")</f>
        <v>ewb2@cornell.edu</v>
      </c>
      <c r="C798" s="4" t="str">
        <f ca="1">IFERROR(__xludf.DUMMYFUNCTION("""COMPUTED_VALUE"""),"EVERGREEN - UAN Gated Content - Embedded Petition")</f>
        <v>EVERGREEN - UAN Gated Content - Embedded Petition</v>
      </c>
      <c r="D798" s="5">
        <f ca="1">IFERROR(__xludf.DUMMYFUNCTION("""COMPUTED_VALUE"""),45675)</f>
        <v>45675</v>
      </c>
      <c r="F798" s="1" t="str">
        <f ca="1">IFERROR(__xludf.DUMMYFUNCTION("""COMPUTED_VALUE"""),"Uganda")</f>
        <v>Uganda</v>
      </c>
      <c r="G798" s="1" t="str">
        <f ca="1">IFERROR(__xludf.DUMMYFUNCTION("""COMPUTED_VALUE"""),"9.25 Uganda")</f>
        <v>9.25 Uganda</v>
      </c>
      <c r="H798" s="1" t="str">
        <f ca="1">IFERROR(__xludf.DUMMYFUNCTION("""COMPUTED_VALUE"""),"Freedom of Expression, Human Rights Defenders")</f>
        <v>Freedom of Expression, Human Rights Defenders</v>
      </c>
      <c r="I798" s="1" t="str">
        <f ca="1">IFERROR(__xludf.DUMMYFUNCTION("""COMPUTED_VALUE"""),"2025")</f>
        <v>2025</v>
      </c>
      <c r="J798" s="1" t="str">
        <f ca="1">IFERROR(__xludf.DUMMYFUNCTION("""COMPUTED_VALUE"""),"Email")</f>
        <v>Email</v>
      </c>
    </row>
    <row r="799" spans="1:10" ht="13" x14ac:dyDescent="0.15">
      <c r="A799" s="4">
        <f ca="1">IFERROR(__xludf.DUMMYFUNCTION("""COMPUTED_VALUE"""),31720199)</f>
        <v>31720199</v>
      </c>
      <c r="B799" s="1" t="str">
        <f ca="1">IFERROR(__xludf.DUMMYFUNCTION("""COMPUTED_VALUE"""),"ewb2@cornell.edu")</f>
        <v>ewb2@cornell.edu</v>
      </c>
      <c r="C799" s="4" t="str">
        <f ca="1">IFERROR(__xludf.DUMMYFUNCTION("""COMPUTED_VALUE"""),"EVERGREEN - UAN Gated Content - Embedded Petition")</f>
        <v>EVERGREEN - UAN Gated Content - Embedded Petition</v>
      </c>
      <c r="D799" s="5">
        <f ca="1">IFERROR(__xludf.DUMMYFUNCTION("""COMPUTED_VALUE"""),45675)</f>
        <v>45675</v>
      </c>
      <c r="F799" s="1" t="str">
        <f ca="1">IFERROR(__xludf.DUMMYFUNCTION("""COMPUTED_VALUE"""),"Libya")</f>
        <v>Libya</v>
      </c>
      <c r="G799" s="1" t="str">
        <f ca="1">IFERROR(__xludf.DUMMYFUNCTION("""COMPUTED_VALUE"""),"12.25 Libya")</f>
        <v>12.25 Libya</v>
      </c>
      <c r="H799" s="1" t="str">
        <f ca="1">IFERROR(__xludf.DUMMYFUNCTION("""COMPUTED_VALUE"""),"Freedom of Expression, Health, Individuals At Risk")</f>
        <v>Freedom of Expression, Health, Individuals At Risk</v>
      </c>
      <c r="I799" s="1" t="str">
        <f ca="1">IFERROR(__xludf.DUMMYFUNCTION("""COMPUTED_VALUE"""),"2025")</f>
        <v>2025</v>
      </c>
      <c r="J799" s="1" t="str">
        <f ca="1">IFERROR(__xludf.DUMMYFUNCTION("""COMPUTED_VALUE"""),"Email")</f>
        <v>Email</v>
      </c>
    </row>
    <row r="800" spans="1:10" ht="13" x14ac:dyDescent="0.15">
      <c r="A800" s="4">
        <f ca="1">IFERROR(__xludf.DUMMYFUNCTION("""COMPUTED_VALUE"""),31720199)</f>
        <v>31720199</v>
      </c>
      <c r="B800" s="1" t="str">
        <f ca="1">IFERROR(__xludf.DUMMYFUNCTION("""COMPUTED_VALUE"""),"ewb2@cornell.edu")</f>
        <v>ewb2@cornell.edu</v>
      </c>
      <c r="C800" s="4" t="str">
        <f ca="1">IFERROR(__xludf.DUMMYFUNCTION("""COMPUTED_VALUE"""),"EVERGREEN - UAN Gated Content - Embedded Petition")</f>
        <v>EVERGREEN - UAN Gated Content - Embedded Petition</v>
      </c>
      <c r="D800" s="5">
        <f ca="1">IFERROR(__xludf.DUMMYFUNCTION("""COMPUTED_VALUE"""),45675)</f>
        <v>45675</v>
      </c>
      <c r="F800" s="1" t="str">
        <f ca="1">IFERROR(__xludf.DUMMYFUNCTION("""COMPUTED_VALUE"""),"Egypt")</f>
        <v>Egypt</v>
      </c>
      <c r="G800" s="1" t="str">
        <f ca="1">IFERROR(__xludf.DUMMYFUNCTION("""COMPUTED_VALUE"""),"Fourth 29.23 Egypt")</f>
        <v>Fourth 29.23 Egypt</v>
      </c>
      <c r="H800" s="1" t="str">
        <f ca="1">IFERROR(__xludf.DUMMYFUNCTION("""COMPUTED_VALUE"""),"Freedom of Expression, Individuals At Risk, Right to Protest")</f>
        <v>Freedom of Expression, Individuals At Risk, Right to Protest</v>
      </c>
      <c r="I800" s="1" t="str">
        <f ca="1">IFERROR(__xludf.DUMMYFUNCTION("""COMPUTED_VALUE"""),"2024")</f>
        <v>2024</v>
      </c>
      <c r="J800" s="1" t="str">
        <f ca="1">IFERROR(__xludf.DUMMYFUNCTION("""COMPUTED_VALUE"""),"Email")</f>
        <v>Email</v>
      </c>
    </row>
    <row r="801" spans="1:10" ht="13" x14ac:dyDescent="0.15">
      <c r="A801" s="4">
        <f ca="1">IFERROR(__xludf.DUMMYFUNCTION("""COMPUTED_VALUE"""),31720199)</f>
        <v>31720199</v>
      </c>
      <c r="B801" s="1" t="str">
        <f ca="1">IFERROR(__xludf.DUMMYFUNCTION("""COMPUTED_VALUE"""),"ewb2@cornell.edu")</f>
        <v>ewb2@cornell.edu</v>
      </c>
      <c r="C801" s="4" t="str">
        <f ca="1">IFERROR(__xludf.DUMMYFUNCTION("""COMPUTED_VALUE"""),"UAN mid-page Lightbox - Step 1 of 4 - Landing Page")</f>
        <v>UAN mid-page Lightbox - Step 1 of 4 - Landing Page</v>
      </c>
      <c r="D801" s="5">
        <f ca="1">IFERROR(__xludf.DUMMYFUNCTION("""COMPUTED_VALUE"""),45614)</f>
        <v>45614</v>
      </c>
      <c r="F801" s="1" t="str">
        <f ca="1">IFERROR(__xludf.DUMMYFUNCTION("""COMPUTED_VALUE"""),"Israel and Occupied Palestinian Territories")</f>
        <v>Israel and Occupied Palestinian Territories</v>
      </c>
      <c r="G801" s="1" t="str">
        <f ca="1">IFERROR(__xludf.DUMMYFUNCTION("""COMPUTED_VALUE"""),"3.25 IOPT")</f>
        <v>3.25 IOPT</v>
      </c>
      <c r="H801" s="1" t="str">
        <f ca="1">IFERROR(__xludf.DUMMYFUNCTION("""COMPUTED_VALUE"""),"Freedom of Expression, Individuals At Risk")</f>
        <v>Freedom of Expression, Individuals At Risk</v>
      </c>
      <c r="I801" s="1" t="str">
        <f ca="1">IFERROR(__xludf.DUMMYFUNCTION("""COMPUTED_VALUE"""),"2025")</f>
        <v>2025</v>
      </c>
      <c r="J801" s="1" t="str">
        <f ca="1">IFERROR(__xludf.DUMMYFUNCTION("""COMPUTED_VALUE"""),"Email")</f>
        <v>Email</v>
      </c>
    </row>
    <row r="802" spans="1:10" ht="13" x14ac:dyDescent="0.15">
      <c r="A802" s="4">
        <f ca="1">IFERROR(__xludf.DUMMYFUNCTION("""COMPUTED_VALUE"""),31720199)</f>
        <v>31720199</v>
      </c>
      <c r="B802" s="1" t="str">
        <f ca="1">IFERROR(__xludf.DUMMYFUNCTION("""COMPUTED_VALUE"""),"ewb2@cornell.edu")</f>
        <v>ewb2@cornell.edu</v>
      </c>
      <c r="C802" s="4" t="str">
        <f ca="1">IFERROR(__xludf.DUMMYFUNCTION("""COMPUTED_VALUE"""),"UAN mid-page Lightbox - Step 1 of 4 - Landing Page")</f>
        <v>UAN mid-page Lightbox - Step 1 of 4 - Landing Page</v>
      </c>
      <c r="D802" s="5">
        <f ca="1">IFERROR(__xludf.DUMMYFUNCTION("""COMPUTED_VALUE"""),45642)</f>
        <v>45642</v>
      </c>
      <c r="F802" s="1" t="str">
        <f ca="1">IFERROR(__xludf.DUMMYFUNCTION("""COMPUTED_VALUE"""),"Azerbaijan")</f>
        <v>Azerbaijan</v>
      </c>
      <c r="G802" s="1" t="str">
        <f ca="1">IFERROR(__xludf.DUMMYFUNCTION("""COMPUTED_VALUE"""),"2.25 Azerbaijan")</f>
        <v>2.25 Azerbaijan</v>
      </c>
      <c r="H802" s="1" t="str">
        <f ca="1">IFERROR(__xludf.DUMMYFUNCTION("""COMPUTED_VALUE"""),"Freedom of Expression, Human Rights Defenders")</f>
        <v>Freedom of Expression, Human Rights Defenders</v>
      </c>
      <c r="I802" s="1" t="str">
        <f ca="1">IFERROR(__xludf.DUMMYFUNCTION("""COMPUTED_VALUE"""),"2025")</f>
        <v>2025</v>
      </c>
      <c r="J802" s="1" t="str">
        <f ca="1">IFERROR(__xludf.DUMMYFUNCTION("""COMPUTED_VALUE"""),"Email")</f>
        <v>Email</v>
      </c>
    </row>
    <row r="803" spans="1:10" ht="13" x14ac:dyDescent="0.15">
      <c r="A803" s="4">
        <f ca="1">IFERROR(__xludf.DUMMYFUNCTION("""COMPUTED_VALUE"""),31720199)</f>
        <v>31720199</v>
      </c>
      <c r="B803" s="1" t="str">
        <f ca="1">IFERROR(__xludf.DUMMYFUNCTION("""COMPUTED_VALUE"""),"ewb2@cornell.edu")</f>
        <v>ewb2@cornell.edu</v>
      </c>
      <c r="C803" s="4" t="str">
        <f ca="1">IFERROR(__xludf.DUMMYFUNCTION("""COMPUTED_VALUE"""),"UAN mid-page Lightbox - Step 2 of 4 - More personal info fields")</f>
        <v>UAN mid-page Lightbox - Step 2 of 4 - More personal info fields</v>
      </c>
      <c r="D803" s="5">
        <f ca="1">IFERROR(__xludf.DUMMYFUNCTION("""COMPUTED_VALUE"""),45642)</f>
        <v>45642</v>
      </c>
      <c r="F803" s="1" t="str">
        <f ca="1">IFERROR(__xludf.DUMMYFUNCTION("""COMPUTED_VALUE"""),"Iran")</f>
        <v>Iran</v>
      </c>
      <c r="G803" s="1" t="str">
        <f ca="1">IFERROR(__xludf.DUMMYFUNCTION("""COMPUTED_VALUE"""),"Seventh 103.22 Iran")</f>
        <v>Seventh 103.22 Iran</v>
      </c>
      <c r="H803" s="1" t="str">
        <f ca="1">IFERROR(__xludf.DUMMYFUNCTION("""COMPUTED_VALUE"""),"Death Penalty, Freedom of Expression, Individuals At Risk")</f>
        <v>Death Penalty, Freedom of Expression, Individuals At Risk</v>
      </c>
      <c r="I803" s="1" t="str">
        <f ca="1">IFERROR(__xludf.DUMMYFUNCTION("""COMPUTED_VALUE"""),"2024")</f>
        <v>2024</v>
      </c>
      <c r="J803" s="1" t="str">
        <f ca="1">IFERROR(__xludf.DUMMYFUNCTION("""COMPUTED_VALUE"""),"Email")</f>
        <v>Email</v>
      </c>
    </row>
    <row r="804" spans="1:10" ht="13" x14ac:dyDescent="0.15">
      <c r="A804" s="4">
        <f ca="1">IFERROR(__xludf.DUMMYFUNCTION("""COMPUTED_VALUE"""),31720199)</f>
        <v>31720199</v>
      </c>
      <c r="B804" s="1" t="str">
        <f ca="1">IFERROR(__xludf.DUMMYFUNCTION("""COMPUTED_VALUE"""),"ewb2@cornell.edu")</f>
        <v>ewb2@cornell.edu</v>
      </c>
      <c r="C804" s="4" t="str">
        <f ca="1">IFERROR(__xludf.DUMMYFUNCTION("""COMPUTED_VALUE"""),"UAN mid-page Lightbox - Step 2 of 4 - More personal info fields")</f>
        <v>UAN mid-page Lightbox - Step 2 of 4 - More personal info fields</v>
      </c>
      <c r="D804" s="5">
        <f ca="1">IFERROR(__xludf.DUMMYFUNCTION("""COMPUTED_VALUE"""),45614)</f>
        <v>45614</v>
      </c>
      <c r="F804" s="1" t="str">
        <f ca="1">IFERROR(__xludf.DUMMYFUNCTION("""COMPUTED_VALUE"""),"Egypt")</f>
        <v>Egypt</v>
      </c>
      <c r="G804" s="1" t="str">
        <f ca="1">IFERROR(__xludf.DUMMYFUNCTION("""COMPUTED_VALUE"""),"Third 73.23 Egypt")</f>
        <v>Third 73.23 Egypt</v>
      </c>
      <c r="H804" s="1" t="str">
        <f ca="1">IFERROR(__xludf.DUMMYFUNCTION("""COMPUTED_VALUE"""),"Individuals At Risk")</f>
        <v>Individuals At Risk</v>
      </c>
      <c r="I804" s="1" t="str">
        <f ca="1">IFERROR(__xludf.DUMMYFUNCTION("""COMPUTED_VALUE"""),"2024")</f>
        <v>2024</v>
      </c>
      <c r="J804" s="1" t="str">
        <f ca="1">IFERROR(__xludf.DUMMYFUNCTION("""COMPUTED_VALUE"""),"Email")</f>
        <v>Email</v>
      </c>
    </row>
    <row r="805" spans="1:10" ht="13" x14ac:dyDescent="0.15">
      <c r="A805" s="4">
        <f ca="1">IFERROR(__xludf.DUMMYFUNCTION("""COMPUTED_VALUE"""),31720199)</f>
        <v>31720199</v>
      </c>
      <c r="B805" s="1" t="str">
        <f ca="1">IFERROR(__xludf.DUMMYFUNCTION("""COMPUTED_VALUE"""),"ewb2@cornell.edu")</f>
        <v>ewb2@cornell.edu</v>
      </c>
      <c r="C805" s="4" t="str">
        <f ca="1">IFERROR(__xludf.DUMMYFUNCTION("""COMPUTED_VALUE"""),"UAN mid-page Lightbox - Step 3 of 4 - More opt-ins")</f>
        <v>UAN mid-page Lightbox - Step 3 of 4 - More opt-ins</v>
      </c>
      <c r="D805" s="5">
        <f ca="1">IFERROR(__xludf.DUMMYFUNCTION("""COMPUTED_VALUE"""),45642)</f>
        <v>45642</v>
      </c>
      <c r="F805" s="1" t="str">
        <f ca="1">IFERROR(__xludf.DUMMYFUNCTION("""COMPUTED_VALUE"""),"Turkiye")</f>
        <v>Turkiye</v>
      </c>
      <c r="G805" s="1" t="str">
        <f ca="1">IFERROR(__xludf.DUMMYFUNCTION("""COMPUTED_VALUE"""),"109.24 Türkiye")</f>
        <v>109.24 Türkiye</v>
      </c>
      <c r="H805" s="1" t="str">
        <f ca="1">IFERROR(__xludf.DUMMYFUNCTION("""COMPUTED_VALUE"""),"Human Rights Defenders, Individuals At Risk")</f>
        <v>Human Rights Defenders, Individuals At Risk</v>
      </c>
      <c r="I805" s="1" t="str">
        <f ca="1">IFERROR(__xludf.DUMMYFUNCTION("""COMPUTED_VALUE"""),"2024")</f>
        <v>2024</v>
      </c>
      <c r="J805" s="1" t="str">
        <f ca="1">IFERROR(__xludf.DUMMYFUNCTION("""COMPUTED_VALUE"""),"Email")</f>
        <v>Email</v>
      </c>
    </row>
    <row r="806" spans="1:10" ht="13" x14ac:dyDescent="0.15">
      <c r="A806" s="4">
        <f ca="1">IFERROR(__xludf.DUMMYFUNCTION("""COMPUTED_VALUE"""),31720199)</f>
        <v>31720199</v>
      </c>
      <c r="B806" s="1" t="str">
        <f ca="1">IFERROR(__xludf.DUMMYFUNCTION("""COMPUTED_VALUE"""),"ewb2@cornell.edu")</f>
        <v>ewb2@cornell.edu</v>
      </c>
      <c r="C806" s="4" t="str">
        <f ca="1">IFERROR(__xludf.DUMMYFUNCTION("""COMPUTED_VALUE"""),"UAN mid-page Lightbox - Step 3 of 4 - More opt-ins")</f>
        <v>UAN mid-page Lightbox - Step 3 of 4 - More opt-ins</v>
      </c>
      <c r="D806" s="5">
        <f ca="1">IFERROR(__xludf.DUMMYFUNCTION("""COMPUTED_VALUE"""),45614)</f>
        <v>45614</v>
      </c>
      <c r="F806" s="1" t="str">
        <f ca="1">IFERROR(__xludf.DUMMYFUNCTION("""COMPUTED_VALUE"""),"Niger")</f>
        <v>Niger</v>
      </c>
      <c r="G806" s="1" t="str">
        <f ca="1">IFERROR(__xludf.DUMMYFUNCTION("""COMPUTED_VALUE"""),"103.24 Niger")</f>
        <v>103.24 Niger</v>
      </c>
      <c r="H806" s="1" t="str">
        <f ca="1">IFERROR(__xludf.DUMMYFUNCTION("""COMPUTED_VALUE"""),"Freedom of Expression, Human Rights Defenders")</f>
        <v>Freedom of Expression, Human Rights Defenders</v>
      </c>
      <c r="I806" s="1" t="str">
        <f ca="1">IFERROR(__xludf.DUMMYFUNCTION("""COMPUTED_VALUE"""),"2024")</f>
        <v>2024</v>
      </c>
      <c r="J806" s="1" t="str">
        <f ca="1">IFERROR(__xludf.DUMMYFUNCTION("""COMPUTED_VALUE"""),"Email")</f>
        <v>Email</v>
      </c>
    </row>
    <row r="807" spans="1:10" ht="13" x14ac:dyDescent="0.15">
      <c r="A807" s="4">
        <f ca="1">IFERROR(__xludf.DUMMYFUNCTION("""COMPUTED_VALUE"""),31720804)</f>
        <v>31720804</v>
      </c>
      <c r="B807" s="1" t="str">
        <f ca="1">IFERROR(__xludf.DUMMYFUNCTION("""COMPUTED_VALUE"""),"ceciliaburns001@hotmail.com")</f>
        <v>ceciliaburns001@hotmail.com</v>
      </c>
      <c r="C807" s="4" t="str">
        <f ca="1">IFERROR(__xludf.DUMMYFUNCTION("""COMPUTED_VALUE"""),"EVERGREEN - UAN Gated Content - Embedded Petition")</f>
        <v>EVERGREEN - UAN Gated Content - Embedded Petition</v>
      </c>
      <c r="D807" s="5">
        <f ca="1">IFERROR(__xludf.DUMMYFUNCTION("""COMPUTED_VALUE"""),45677)</f>
        <v>45677</v>
      </c>
      <c r="F807" s="1" t="str">
        <f ca="1">IFERROR(__xludf.DUMMYFUNCTION("""COMPUTED_VALUE"""),"Tunisia")</f>
        <v>Tunisia</v>
      </c>
      <c r="G807" s="1" t="str">
        <f ca="1">IFERROR(__xludf.DUMMYFUNCTION("""COMPUTED_VALUE"""),"Second 43.24 Tunisia")</f>
        <v>Second 43.24 Tunisia</v>
      </c>
      <c r="H807" s="1" t="str">
        <f ca="1">IFERROR(__xludf.DUMMYFUNCTION("""COMPUTED_VALUE"""),"Freedom of Expression, Individuals At Risk")</f>
        <v>Freedom of Expression, Individuals At Risk</v>
      </c>
      <c r="I807" s="1" t="str">
        <f ca="1">IFERROR(__xludf.DUMMYFUNCTION("""COMPUTED_VALUE"""),"2024")</f>
        <v>2024</v>
      </c>
      <c r="J807" s="1" t="str">
        <f ca="1">IFERROR(__xludf.DUMMYFUNCTION("""COMPUTED_VALUE"""),"Email")</f>
        <v>Email</v>
      </c>
    </row>
    <row r="808" spans="1:10" ht="13" x14ac:dyDescent="0.15">
      <c r="A808" s="4">
        <f ca="1">IFERROR(__xludf.DUMMYFUNCTION("""COMPUTED_VALUE"""),31720804)</f>
        <v>31720804</v>
      </c>
      <c r="B808" s="1" t="str">
        <f ca="1">IFERROR(__xludf.DUMMYFUNCTION("""COMPUTED_VALUE"""),"ceciliaburns001@hotmail.com")</f>
        <v>ceciliaburns001@hotmail.com</v>
      </c>
      <c r="C808" s="4" t="str">
        <f ca="1">IFERROR(__xludf.DUMMYFUNCTION("""COMPUTED_VALUE"""),"EVERGREEN - UAN Gated Content - Embedded Petition")</f>
        <v>EVERGREEN - UAN Gated Content - Embedded Petition</v>
      </c>
      <c r="D808" s="5">
        <f ca="1">IFERROR(__xludf.DUMMYFUNCTION("""COMPUTED_VALUE"""),45694)</f>
        <v>45694</v>
      </c>
      <c r="F808" s="1" t="str">
        <f ca="1">IFERROR(__xludf.DUMMYFUNCTION("""COMPUTED_VALUE"""),"Singapore")</f>
        <v>Singapore</v>
      </c>
      <c r="G808" s="1" t="str">
        <f ca="1">IFERROR(__xludf.DUMMYFUNCTION("""COMPUTED_VALUE"""),"107.24 Singapore")</f>
        <v>107.24 Singapore</v>
      </c>
      <c r="H808" s="1" t="str">
        <f ca="1">IFERROR(__xludf.DUMMYFUNCTION("""COMPUTED_VALUE"""),"Death Penalty")</f>
        <v>Death Penalty</v>
      </c>
      <c r="I808" s="1" t="str">
        <f ca="1">IFERROR(__xludf.DUMMYFUNCTION("""COMPUTED_VALUE"""),"2024")</f>
        <v>2024</v>
      </c>
      <c r="J808" s="1" t="str">
        <f ca="1">IFERROR(__xludf.DUMMYFUNCTION("""COMPUTED_VALUE"""),"Email")</f>
        <v>Email</v>
      </c>
    </row>
    <row r="809" spans="1:10" ht="13" x14ac:dyDescent="0.15">
      <c r="A809" s="4">
        <f ca="1">IFERROR(__xludf.DUMMYFUNCTION("""COMPUTED_VALUE"""),31721361)</f>
        <v>31721361</v>
      </c>
      <c r="B809" s="1" t="str">
        <f ca="1">IFERROR(__xludf.DUMMYFUNCTION("""COMPUTED_VALUE"""),"ksinks@hotmail.com")</f>
        <v>ksinks@hotmail.com</v>
      </c>
      <c r="C809" s="4" t="str">
        <f ca="1">IFERROR(__xludf.DUMMYFUNCTION("""COMPUTED_VALUE"""),"EVERGREEN - UAN Gated Content - Embedded Petition")</f>
        <v>EVERGREEN - UAN Gated Content - Embedded Petition</v>
      </c>
      <c r="D809" s="5">
        <f ca="1">IFERROR(__xludf.DUMMYFUNCTION("""COMPUTED_VALUE"""),45676)</f>
        <v>45676</v>
      </c>
      <c r="F809" s="1" t="str">
        <f ca="1">IFERROR(__xludf.DUMMYFUNCTION("""COMPUTED_VALUE"""),"Uganda")</f>
        <v>Uganda</v>
      </c>
      <c r="G809" s="1" t="str">
        <f ca="1">IFERROR(__xludf.DUMMYFUNCTION("""COMPUTED_VALUE"""),"100.24 Uganda")</f>
        <v>100.24 Uganda</v>
      </c>
      <c r="H809" s="1" t="str">
        <f ca="1">IFERROR(__xludf.DUMMYFUNCTION("""COMPUTED_VALUE"""),"Freedom of Expression")</f>
        <v>Freedom of Expression</v>
      </c>
      <c r="I809" s="1" t="str">
        <f ca="1">IFERROR(__xludf.DUMMYFUNCTION("""COMPUTED_VALUE"""),"2024")</f>
        <v>2024</v>
      </c>
      <c r="J809" s="1" t="str">
        <f ca="1">IFERROR(__xludf.DUMMYFUNCTION("""COMPUTED_VALUE"""),"Email")</f>
        <v>Email</v>
      </c>
    </row>
    <row r="810" spans="1:10" ht="13" x14ac:dyDescent="0.15">
      <c r="A810" s="4">
        <f ca="1">IFERROR(__xludf.DUMMYFUNCTION("""COMPUTED_VALUE"""),31721361)</f>
        <v>31721361</v>
      </c>
      <c r="B810" s="1" t="str">
        <f ca="1">IFERROR(__xludf.DUMMYFUNCTION("""COMPUTED_VALUE"""),"ksinks@hotmail.com")</f>
        <v>ksinks@hotmail.com</v>
      </c>
      <c r="C810" s="4" t="str">
        <f ca="1">IFERROR(__xludf.DUMMYFUNCTION("""COMPUTED_VALUE"""),"EVERGREEN - UAN Gated Content - Embedded Petition")</f>
        <v>EVERGREEN - UAN Gated Content - Embedded Petition</v>
      </c>
      <c r="D810" s="5">
        <f ca="1">IFERROR(__xludf.DUMMYFUNCTION("""COMPUTED_VALUE"""),45677)</f>
        <v>45677</v>
      </c>
      <c r="F810" s="1" t="str">
        <f ca="1">IFERROR(__xludf.DUMMYFUNCTION("""COMPUTED_VALUE"""),"Tunisia")</f>
        <v>Tunisia</v>
      </c>
      <c r="G810" s="1" t="str">
        <f ca="1">IFERROR(__xludf.DUMMYFUNCTION("""COMPUTED_VALUE"""),"Second 76.24 Tunisia")</f>
        <v>Second 76.24 Tunisia</v>
      </c>
      <c r="H810" s="1" t="str">
        <f ca="1">IFERROR(__xludf.DUMMYFUNCTION("""COMPUTED_VALUE"""),"Freedom of Expression, Human Rights Defenders")</f>
        <v>Freedom of Expression, Human Rights Defenders</v>
      </c>
      <c r="I810" s="1" t="str">
        <f ca="1">IFERROR(__xludf.DUMMYFUNCTION("""COMPUTED_VALUE"""),"2025")</f>
        <v>2025</v>
      </c>
      <c r="J810" s="1" t="str">
        <f ca="1">IFERROR(__xludf.DUMMYFUNCTION("""COMPUTED_VALUE"""),"Email")</f>
        <v>Email</v>
      </c>
    </row>
    <row r="811" spans="1:10" ht="13" x14ac:dyDescent="0.15">
      <c r="A811" s="4">
        <f ca="1">IFERROR(__xludf.DUMMYFUNCTION("""COMPUTED_VALUE"""),31721361)</f>
        <v>31721361</v>
      </c>
      <c r="B811" s="1" t="str">
        <f ca="1">IFERROR(__xludf.DUMMYFUNCTION("""COMPUTED_VALUE"""),"ksinks@hotmail.com")</f>
        <v>ksinks@hotmail.com</v>
      </c>
      <c r="C811" s="4" t="str">
        <f ca="1">IFERROR(__xludf.DUMMYFUNCTION("""COMPUTED_VALUE"""),"EVERGREEN - UAN Gated Content - Embedded Petition")</f>
        <v>EVERGREEN - UAN Gated Content - Embedded Petition</v>
      </c>
      <c r="D811" s="5">
        <f ca="1">IFERROR(__xludf.DUMMYFUNCTION("""COMPUTED_VALUE"""),45697)</f>
        <v>45697</v>
      </c>
      <c r="F811" s="1" t="str">
        <f ca="1">IFERROR(__xludf.DUMMYFUNCTION("""COMPUTED_VALUE"""),"Tunisia")</f>
        <v>Tunisia</v>
      </c>
      <c r="G811" s="1" t="str">
        <f ca="1">IFERROR(__xludf.DUMMYFUNCTION("""COMPUTED_VALUE"""),"Second 76.24 Tunisia")</f>
        <v>Second 76.24 Tunisia</v>
      </c>
      <c r="H811" s="1" t="str">
        <f ca="1">IFERROR(__xludf.DUMMYFUNCTION("""COMPUTED_VALUE"""),"Freedom of Expression, Human Rights Defenders")</f>
        <v>Freedom of Expression, Human Rights Defenders</v>
      </c>
      <c r="I811" s="1" t="str">
        <f ca="1">IFERROR(__xludf.DUMMYFUNCTION("""COMPUTED_VALUE"""),"2025")</f>
        <v>2025</v>
      </c>
      <c r="J811" s="1" t="str">
        <f ca="1">IFERROR(__xludf.DUMMYFUNCTION("""COMPUTED_VALUE"""),"Email")</f>
        <v>Email</v>
      </c>
    </row>
    <row r="812" spans="1:10" ht="13" x14ac:dyDescent="0.15">
      <c r="A812" s="4">
        <f ca="1">IFERROR(__xludf.DUMMYFUNCTION("""COMPUTED_VALUE"""),31721361)</f>
        <v>31721361</v>
      </c>
      <c r="B812" s="1" t="str">
        <f ca="1">IFERROR(__xludf.DUMMYFUNCTION("""COMPUTED_VALUE"""),"ksinks@hotmail.com")</f>
        <v>ksinks@hotmail.com</v>
      </c>
      <c r="C812" s="4" t="str">
        <f ca="1">IFERROR(__xludf.DUMMYFUNCTION("""COMPUTED_VALUE"""),"EVERGREEN - UAN Gated Content - Embedded Petition")</f>
        <v>EVERGREEN - UAN Gated Content - Embedded Petition</v>
      </c>
      <c r="D812" s="5">
        <f ca="1">IFERROR(__xludf.DUMMYFUNCTION("""COMPUTED_VALUE"""),45640)</f>
        <v>45640</v>
      </c>
      <c r="F812" s="1" t="str">
        <f ca="1">IFERROR(__xludf.DUMMYFUNCTION("""COMPUTED_VALUE"""),"Israel and Occupied Palestinian Territories")</f>
        <v>Israel and Occupied Palestinian Territories</v>
      </c>
      <c r="G812" s="1" t="str">
        <f ca="1">IFERROR(__xludf.DUMMYFUNCTION("""COMPUTED_VALUE"""),"3.25 IOPT")</f>
        <v>3.25 IOPT</v>
      </c>
      <c r="H812" s="1" t="str">
        <f ca="1">IFERROR(__xludf.DUMMYFUNCTION("""COMPUTED_VALUE"""),"Freedom of Expression, Individuals At Risk")</f>
        <v>Freedom of Expression, Individuals At Risk</v>
      </c>
      <c r="I812" s="1" t="str">
        <f ca="1">IFERROR(__xludf.DUMMYFUNCTION("""COMPUTED_VALUE"""),"2025")</f>
        <v>2025</v>
      </c>
      <c r="J812" s="1" t="str">
        <f ca="1">IFERROR(__xludf.DUMMYFUNCTION("""COMPUTED_VALUE"""),"Email")</f>
        <v>Email</v>
      </c>
    </row>
    <row r="813" spans="1:10" ht="13" x14ac:dyDescent="0.15">
      <c r="A813" s="4">
        <f ca="1">IFERROR(__xludf.DUMMYFUNCTION("""COMPUTED_VALUE"""),31721361)</f>
        <v>31721361</v>
      </c>
      <c r="B813" s="1" t="str">
        <f ca="1">IFERROR(__xludf.DUMMYFUNCTION("""COMPUTED_VALUE"""),"ksinks@hotmail.com")</f>
        <v>ksinks@hotmail.com</v>
      </c>
      <c r="C813" s="4" t="str">
        <f ca="1">IFERROR(__xludf.DUMMYFUNCTION("""COMPUTED_VALUE"""),"EVERGREEN - UAN Gated Content - Embedded Petition")</f>
        <v>EVERGREEN - UAN Gated Content - Embedded Petition</v>
      </c>
      <c r="D813" s="5">
        <f ca="1">IFERROR(__xludf.DUMMYFUNCTION("""COMPUTED_VALUE"""),45676)</f>
        <v>45676</v>
      </c>
      <c r="F813" s="1" t="str">
        <f ca="1">IFERROR(__xludf.DUMMYFUNCTION("""COMPUTED_VALUE"""),"Tunisia")</f>
        <v>Tunisia</v>
      </c>
      <c r="G813" s="1" t="str">
        <f ca="1">IFERROR(__xludf.DUMMYFUNCTION("""COMPUTED_VALUE"""),"Second 76.24 Tunisia")</f>
        <v>Second 76.24 Tunisia</v>
      </c>
      <c r="H813" s="1" t="str">
        <f ca="1">IFERROR(__xludf.DUMMYFUNCTION("""COMPUTED_VALUE"""),"Freedom of Expression, Human Rights Defenders")</f>
        <v>Freedom of Expression, Human Rights Defenders</v>
      </c>
      <c r="I813" s="1" t="str">
        <f ca="1">IFERROR(__xludf.DUMMYFUNCTION("""COMPUTED_VALUE"""),"2025")</f>
        <v>2025</v>
      </c>
      <c r="J813" s="1" t="str">
        <f ca="1">IFERROR(__xludf.DUMMYFUNCTION("""COMPUTED_VALUE"""),"Email")</f>
        <v>Email</v>
      </c>
    </row>
    <row r="814" spans="1:10" ht="13" x14ac:dyDescent="0.15">
      <c r="A814" s="4">
        <f ca="1">IFERROR(__xludf.DUMMYFUNCTION("""COMPUTED_VALUE"""),31721361)</f>
        <v>31721361</v>
      </c>
      <c r="B814" s="1" t="str">
        <f ca="1">IFERROR(__xludf.DUMMYFUNCTION("""COMPUTED_VALUE"""),"ksinks@hotmail.com")</f>
        <v>ksinks@hotmail.com</v>
      </c>
      <c r="C814" s="4" t="str">
        <f ca="1">IFERROR(__xludf.DUMMYFUNCTION("""COMPUTED_VALUE"""),"EVERGREEN - UAN Gated Content - Embedded Petition")</f>
        <v>EVERGREEN - UAN Gated Content - Embedded Petition</v>
      </c>
      <c r="D814" s="5">
        <f ca="1">IFERROR(__xludf.DUMMYFUNCTION("""COMPUTED_VALUE"""),45676)</f>
        <v>45676</v>
      </c>
      <c r="F814" s="1" t="str">
        <f ca="1">IFERROR(__xludf.DUMMYFUNCTION("""COMPUTED_VALUE"""),"Tunisia")</f>
        <v>Tunisia</v>
      </c>
      <c r="G814" s="1" t="str">
        <f ca="1">IFERROR(__xludf.DUMMYFUNCTION("""COMPUTED_VALUE"""),"Second 76.24 Tunisia")</f>
        <v>Second 76.24 Tunisia</v>
      </c>
      <c r="H814" s="1" t="str">
        <f ca="1">IFERROR(__xludf.DUMMYFUNCTION("""COMPUTED_VALUE"""),"Freedom of Expression, Human Rights Defenders")</f>
        <v>Freedom of Expression, Human Rights Defenders</v>
      </c>
      <c r="I814" s="1" t="str">
        <f ca="1">IFERROR(__xludf.DUMMYFUNCTION("""COMPUTED_VALUE"""),"2025")</f>
        <v>2025</v>
      </c>
      <c r="J814" s="1" t="str">
        <f ca="1">IFERROR(__xludf.DUMMYFUNCTION("""COMPUTED_VALUE"""),"Email")</f>
        <v>Email</v>
      </c>
    </row>
    <row r="815" spans="1:10" ht="13" x14ac:dyDescent="0.15">
      <c r="A815" s="4">
        <f ca="1">IFERROR(__xludf.DUMMYFUNCTION("""COMPUTED_VALUE"""),31724896)</f>
        <v>31724896</v>
      </c>
      <c r="B815" s="1" t="str">
        <f ca="1">IFERROR(__xludf.DUMMYFUNCTION("""COMPUTED_VALUE"""),"shanzboilini@yahoo.com")</f>
        <v>shanzboilini@yahoo.com</v>
      </c>
      <c r="C815" s="4" t="str">
        <f ca="1">IFERROR(__xludf.DUMMYFUNCTION("""COMPUTED_VALUE"""),"EVERGREEN - UAN Gated Content - Embedded Petition")</f>
        <v>EVERGREEN - UAN Gated Content - Embedded Petition</v>
      </c>
      <c r="D815" s="5">
        <f ca="1">IFERROR(__xludf.DUMMYFUNCTION("""COMPUTED_VALUE"""),45694)</f>
        <v>45694</v>
      </c>
      <c r="F815" s="1" t="str">
        <f ca="1">IFERROR(__xludf.DUMMYFUNCTION("""COMPUTED_VALUE"""),"USA")</f>
        <v>USA</v>
      </c>
      <c r="G815" s="1" t="str">
        <f ca="1">IFERROR(__xludf.DUMMYFUNCTION("""COMPUTED_VALUE"""),"105.24 USA")</f>
        <v>105.24 USA</v>
      </c>
      <c r="H815" s="1" t="str">
        <f ca="1">IFERROR(__xludf.DUMMYFUNCTION("""COMPUTED_VALUE"""),"Death Penalty")</f>
        <v>Death Penalty</v>
      </c>
      <c r="I815" s="1" t="str">
        <f ca="1">IFERROR(__xludf.DUMMYFUNCTION("""COMPUTED_VALUE"""),"2024")</f>
        <v>2024</v>
      </c>
      <c r="J815" s="1" t="str">
        <f ca="1">IFERROR(__xludf.DUMMYFUNCTION("""COMPUTED_VALUE"""),"Email")</f>
        <v>Email</v>
      </c>
    </row>
    <row r="816" spans="1:10" ht="13" x14ac:dyDescent="0.15">
      <c r="A816" s="4">
        <f ca="1">IFERROR(__xludf.DUMMYFUNCTION("""COMPUTED_VALUE"""),31725496)</f>
        <v>31725496</v>
      </c>
      <c r="B816" s="1" t="str">
        <f ca="1">IFERROR(__xludf.DUMMYFUNCTION("""COMPUTED_VALUE"""),"shyviola@gmail.com")</f>
        <v>shyviola@gmail.com</v>
      </c>
      <c r="C816" s="4" t="str">
        <f ca="1">IFERROR(__xludf.DUMMYFUNCTION("""COMPUTED_VALUE"""),"EVERGREEN - UAN Gated Content - Embedded Petition")</f>
        <v>EVERGREEN - UAN Gated Content - Embedded Petition</v>
      </c>
      <c r="D816" s="5">
        <f ca="1">IFERROR(__xludf.DUMMYFUNCTION("""COMPUTED_VALUE"""),45694)</f>
        <v>45694</v>
      </c>
      <c r="F816" s="1" t="str">
        <f ca="1">IFERROR(__xludf.DUMMYFUNCTION("""COMPUTED_VALUE"""),"Tunisia")</f>
        <v>Tunisia</v>
      </c>
      <c r="G816" s="1" t="str">
        <f ca="1">IFERROR(__xludf.DUMMYFUNCTION("""COMPUTED_VALUE"""),"Second 76.24 Tunisia")</f>
        <v>Second 76.24 Tunisia</v>
      </c>
      <c r="H816" s="1" t="str">
        <f ca="1">IFERROR(__xludf.DUMMYFUNCTION("""COMPUTED_VALUE"""),"Freedom of Expression, Human Rights Defenders")</f>
        <v>Freedom of Expression, Human Rights Defenders</v>
      </c>
      <c r="I816" s="1" t="str">
        <f ca="1">IFERROR(__xludf.DUMMYFUNCTION("""COMPUTED_VALUE"""),"2025")</f>
        <v>2025</v>
      </c>
      <c r="J816" s="1" t="str">
        <f ca="1">IFERROR(__xludf.DUMMYFUNCTION("""COMPUTED_VALUE"""),"Email")</f>
        <v>Email</v>
      </c>
    </row>
    <row r="817" spans="1:10" ht="13" x14ac:dyDescent="0.15">
      <c r="A817" s="4">
        <f ca="1">IFERROR(__xludf.DUMMYFUNCTION("""COMPUTED_VALUE"""),31730406)</f>
        <v>31730406</v>
      </c>
      <c r="B817" s="1" t="str">
        <f ca="1">IFERROR(__xludf.DUMMYFUNCTION("""COMPUTED_VALUE"""),"meleib48@gmail.com")</f>
        <v>meleib48@gmail.com</v>
      </c>
      <c r="C817" s="4" t="str">
        <f ca="1">IFERROR(__xludf.DUMMYFUNCTION("""COMPUTED_VALUE"""),"EVERGREEN - UAN Gated Content - Embedded Petition")</f>
        <v>EVERGREEN - UAN Gated Content - Embedded Petition</v>
      </c>
      <c r="D817" s="5">
        <f ca="1">IFERROR(__xludf.DUMMYFUNCTION("""COMPUTED_VALUE"""),45631)</f>
        <v>45631</v>
      </c>
      <c r="F817" s="1" t="str">
        <f ca="1">IFERROR(__xludf.DUMMYFUNCTION("""COMPUTED_VALUE"""),"USA")</f>
        <v>USA</v>
      </c>
      <c r="G817" s="1" t="str">
        <f ca="1">IFERROR(__xludf.DUMMYFUNCTION("""COMPUTED_VALUE"""),"4.25 USA")</f>
        <v>4.25 USA</v>
      </c>
      <c r="H817" s="1" t="str">
        <f ca="1">IFERROR(__xludf.DUMMYFUNCTION("""COMPUTED_VALUE"""),"Individuals At Risk, Refugee and Migrant Rights")</f>
        <v>Individuals At Risk, Refugee and Migrant Rights</v>
      </c>
      <c r="I817" s="1" t="str">
        <f ca="1">IFERROR(__xludf.DUMMYFUNCTION("""COMPUTED_VALUE"""),"2025")</f>
        <v>2025</v>
      </c>
      <c r="J817" s="1" t="str">
        <f ca="1">IFERROR(__xludf.DUMMYFUNCTION("""COMPUTED_VALUE"""),"Letter")</f>
        <v>Letter</v>
      </c>
    </row>
    <row r="818" spans="1:10" ht="13" x14ac:dyDescent="0.15">
      <c r="A818" s="4">
        <f ca="1">IFERROR(__xludf.DUMMYFUNCTION("""COMPUTED_VALUE"""),31730406)</f>
        <v>31730406</v>
      </c>
      <c r="B818" s="1" t="str">
        <f ca="1">IFERROR(__xludf.DUMMYFUNCTION("""COMPUTED_VALUE"""),"meleib48@gmail.com")</f>
        <v>meleib48@gmail.com</v>
      </c>
      <c r="C818" s="4" t="str">
        <f ca="1">IFERROR(__xludf.DUMMYFUNCTION("""COMPUTED_VALUE"""),"EVERGREEN - UAN Gated Content - Embedded Petition")</f>
        <v>EVERGREEN - UAN Gated Content - Embedded Petition</v>
      </c>
      <c r="D818" s="5">
        <f ca="1">IFERROR(__xludf.DUMMYFUNCTION("""COMPUTED_VALUE"""),45636)</f>
        <v>45636</v>
      </c>
      <c r="F818" s="1" t="str">
        <f ca="1">IFERROR(__xludf.DUMMYFUNCTION("""COMPUTED_VALUE"""),"Tunisia")</f>
        <v>Tunisia</v>
      </c>
      <c r="G818" s="1" t="str">
        <f ca="1">IFERROR(__xludf.DUMMYFUNCTION("""COMPUTED_VALUE"""),"Second 76.24 Tunisia")</f>
        <v>Second 76.24 Tunisia</v>
      </c>
      <c r="H818" s="1" t="str">
        <f ca="1">IFERROR(__xludf.DUMMYFUNCTION("""COMPUTED_VALUE"""),"Freedom of Expression, Human Rights Defenders")</f>
        <v>Freedom of Expression, Human Rights Defenders</v>
      </c>
      <c r="I818" s="1" t="str">
        <f ca="1">IFERROR(__xludf.DUMMYFUNCTION("""COMPUTED_VALUE"""),"2025")</f>
        <v>2025</v>
      </c>
      <c r="J818" s="1" t="str">
        <f ca="1">IFERROR(__xludf.DUMMYFUNCTION("""COMPUTED_VALUE"""),"Email")</f>
        <v>Email</v>
      </c>
    </row>
    <row r="819" spans="1:10" ht="13" x14ac:dyDescent="0.15">
      <c r="A819" s="4">
        <f ca="1">IFERROR(__xludf.DUMMYFUNCTION("""COMPUTED_VALUE"""),31730406)</f>
        <v>31730406</v>
      </c>
      <c r="B819" s="1" t="str">
        <f ca="1">IFERROR(__xludf.DUMMYFUNCTION("""COMPUTED_VALUE"""),"meleib48@gmail.com")</f>
        <v>meleib48@gmail.com</v>
      </c>
      <c r="C819" s="4" t="str">
        <f ca="1">IFERROR(__xludf.DUMMYFUNCTION("""COMPUTED_VALUE"""),"EVERGREEN - UAN Gated Content - Embedded Petition")</f>
        <v>EVERGREEN - UAN Gated Content - Embedded Petition</v>
      </c>
      <c r="D819" s="5">
        <f ca="1">IFERROR(__xludf.DUMMYFUNCTION("""COMPUTED_VALUE"""),45628)</f>
        <v>45628</v>
      </c>
      <c r="F819" s="1" t="str">
        <f ca="1">IFERROR(__xludf.DUMMYFUNCTION("""COMPUTED_VALUE"""),"Israel and Occupied Palestinian Territories")</f>
        <v>Israel and Occupied Palestinian Territories</v>
      </c>
      <c r="G819" s="1" t="str">
        <f ca="1">IFERROR(__xludf.DUMMYFUNCTION("""COMPUTED_VALUE"""),"3.25 IOPT")</f>
        <v>3.25 IOPT</v>
      </c>
      <c r="H819" s="1" t="str">
        <f ca="1">IFERROR(__xludf.DUMMYFUNCTION("""COMPUTED_VALUE"""),"Freedom of Expression, Individuals At Risk")</f>
        <v>Freedom of Expression, Individuals At Risk</v>
      </c>
      <c r="I819" s="1" t="str">
        <f ca="1">IFERROR(__xludf.DUMMYFUNCTION("""COMPUTED_VALUE"""),"2025")</f>
        <v>2025</v>
      </c>
      <c r="J819" s="1" t="str">
        <f ca="1">IFERROR(__xludf.DUMMYFUNCTION("""COMPUTED_VALUE"""),"Email")</f>
        <v>Email</v>
      </c>
    </row>
    <row r="820" spans="1:10" ht="13" x14ac:dyDescent="0.15">
      <c r="A820" s="4">
        <f ca="1">IFERROR(__xludf.DUMMYFUNCTION("""COMPUTED_VALUE"""),31730406)</f>
        <v>31730406</v>
      </c>
      <c r="B820" s="1" t="str">
        <f ca="1">IFERROR(__xludf.DUMMYFUNCTION("""COMPUTED_VALUE"""),"meleib48@gmail.com")</f>
        <v>meleib48@gmail.com</v>
      </c>
      <c r="C820" s="4" t="str">
        <f ca="1">IFERROR(__xludf.DUMMYFUNCTION("""COMPUTED_VALUE"""),"EVERGREEN - UAN Gated Content - Embedded Petition")</f>
        <v>EVERGREEN - UAN Gated Content - Embedded Petition</v>
      </c>
      <c r="D820" s="5">
        <f ca="1">IFERROR(__xludf.DUMMYFUNCTION("""COMPUTED_VALUE"""),45662)</f>
        <v>45662</v>
      </c>
      <c r="F820" s="1" t="str">
        <f ca="1">IFERROR(__xludf.DUMMYFUNCTION("""COMPUTED_VALUE"""),"Israel and Occupied Palestinian Territories")</f>
        <v>Israel and Occupied Palestinian Territories</v>
      </c>
      <c r="G820" s="1" t="str">
        <f ca="1">IFERROR(__xludf.DUMMYFUNCTION("""COMPUTED_VALUE"""),"3.25 IOPT")</f>
        <v>3.25 IOPT</v>
      </c>
      <c r="H820" s="1" t="str">
        <f ca="1">IFERROR(__xludf.DUMMYFUNCTION("""COMPUTED_VALUE"""),"Freedom of Expression, Individuals At Risk")</f>
        <v>Freedom of Expression, Individuals At Risk</v>
      </c>
      <c r="I820" s="1" t="str">
        <f ca="1">IFERROR(__xludf.DUMMYFUNCTION("""COMPUTED_VALUE"""),"2025")</f>
        <v>2025</v>
      </c>
      <c r="J820" s="1" t="str">
        <f ca="1">IFERROR(__xludf.DUMMYFUNCTION("""COMPUTED_VALUE"""),"Email")</f>
        <v>Email</v>
      </c>
    </row>
    <row r="821" spans="1:10" ht="13" x14ac:dyDescent="0.15">
      <c r="A821" s="4">
        <f ca="1">IFERROR(__xludf.DUMMYFUNCTION("""COMPUTED_VALUE"""),31730406)</f>
        <v>31730406</v>
      </c>
      <c r="B821" s="1" t="str">
        <f ca="1">IFERROR(__xludf.DUMMYFUNCTION("""COMPUTED_VALUE"""),"meleib48@gmail.com")</f>
        <v>meleib48@gmail.com</v>
      </c>
      <c r="C821" s="4" t="str">
        <f ca="1">IFERROR(__xludf.DUMMYFUNCTION("""COMPUTED_VALUE"""),"EVERGREEN - UAN Gated Content - Embedded Petition")</f>
        <v>EVERGREEN - UAN Gated Content - Embedded Petition</v>
      </c>
      <c r="D821" s="5">
        <f ca="1">IFERROR(__xludf.DUMMYFUNCTION("""COMPUTED_VALUE"""),45645)</f>
        <v>45645</v>
      </c>
      <c r="F821" s="1" t="str">
        <f ca="1">IFERROR(__xludf.DUMMYFUNCTION("""COMPUTED_VALUE"""),"USA")</f>
        <v>USA</v>
      </c>
      <c r="G821" s="1" t="str">
        <f ca="1">IFERROR(__xludf.DUMMYFUNCTION("""COMPUTED_VALUE"""),"Fourth 55.24 USA")</f>
        <v>Fourth 55.24 USA</v>
      </c>
      <c r="H821" s="1" t="str">
        <f ca="1">IFERROR(__xludf.DUMMYFUNCTION("""COMPUTED_VALUE"""),"Climate Justice, Individuals At Risk")</f>
        <v>Climate Justice, Individuals At Risk</v>
      </c>
      <c r="I821" s="1" t="str">
        <f ca="1">IFERROR(__xludf.DUMMYFUNCTION("""COMPUTED_VALUE"""),"2025")</f>
        <v>2025</v>
      </c>
      <c r="J821" s="1" t="str">
        <f ca="1">IFERROR(__xludf.DUMMYFUNCTION("""COMPUTED_VALUE"""),"Email")</f>
        <v>Email</v>
      </c>
    </row>
    <row r="822" spans="1:10" ht="13" x14ac:dyDescent="0.15">
      <c r="A822" s="4">
        <f ca="1">IFERROR(__xludf.DUMMYFUNCTION("""COMPUTED_VALUE"""),31730406)</f>
        <v>31730406</v>
      </c>
      <c r="B822" s="1" t="str">
        <f ca="1">IFERROR(__xludf.DUMMYFUNCTION("""COMPUTED_VALUE"""),"meleib48@gmail.com")</f>
        <v>meleib48@gmail.com</v>
      </c>
      <c r="C822" s="4" t="str">
        <f ca="1">IFERROR(__xludf.DUMMYFUNCTION("""COMPUTED_VALUE"""),"EVERGREEN - UAN Gated Content - Embedded Petition")</f>
        <v>EVERGREEN - UAN Gated Content - Embedded Petition</v>
      </c>
      <c r="D822" s="5">
        <f ca="1">IFERROR(__xludf.DUMMYFUNCTION("""COMPUTED_VALUE"""),45690)</f>
        <v>45690</v>
      </c>
      <c r="F822" s="1" t="str">
        <f ca="1">IFERROR(__xludf.DUMMYFUNCTION("""COMPUTED_VALUE"""),"Dominican Republic")</f>
        <v>Dominican Republic</v>
      </c>
      <c r="G822" s="1" t="str">
        <f ca="1">IFERROR(__xludf.DUMMYFUNCTION("""COMPUTED_VALUE"""),"88.24 Dominican Republic")</f>
        <v>88.24 Dominican Republic</v>
      </c>
      <c r="H822" s="1" t="str">
        <f ca="1">IFERROR(__xludf.DUMMYFUNCTION("""COMPUTED_VALUE"""),"Individuals At Risk, Refugee and Migrant Rights")</f>
        <v>Individuals At Risk, Refugee and Migrant Rights</v>
      </c>
      <c r="I822" s="1" t="str">
        <f ca="1">IFERROR(__xludf.DUMMYFUNCTION("""COMPUTED_VALUE"""),"2024")</f>
        <v>2024</v>
      </c>
      <c r="J822" s="1" t="str">
        <f ca="1">IFERROR(__xludf.DUMMYFUNCTION("""COMPUTED_VALUE"""),"Letter")</f>
        <v>Letter</v>
      </c>
    </row>
    <row r="823" spans="1:10" ht="13" x14ac:dyDescent="0.15">
      <c r="A823" s="4">
        <f ca="1">IFERROR(__xludf.DUMMYFUNCTION("""COMPUTED_VALUE"""),31730406)</f>
        <v>31730406</v>
      </c>
      <c r="B823" s="1" t="str">
        <f ca="1">IFERROR(__xludf.DUMMYFUNCTION("""COMPUTED_VALUE"""),"meleib48@gmail.com")</f>
        <v>meleib48@gmail.com</v>
      </c>
      <c r="C823" s="4" t="str">
        <f ca="1">IFERROR(__xludf.DUMMYFUNCTION("""COMPUTED_VALUE"""),"EVERGREEN - UAN Gated Content - Embedded Petition")</f>
        <v>EVERGREEN - UAN Gated Content - Embedded Petition</v>
      </c>
      <c r="D823" s="5">
        <f ca="1">IFERROR(__xludf.DUMMYFUNCTION("""COMPUTED_VALUE"""),45649)</f>
        <v>45649</v>
      </c>
      <c r="F823" s="1" t="str">
        <f ca="1">IFERROR(__xludf.DUMMYFUNCTION("""COMPUTED_VALUE"""),"China")</f>
        <v>China</v>
      </c>
      <c r="G823" s="1" t="str">
        <f ca="1">IFERROR(__xludf.DUMMYFUNCTION("""COMPUTED_VALUE"""),"98.24 China")</f>
        <v>98.24 China</v>
      </c>
      <c r="H823" s="1" t="str">
        <f ca="1">IFERROR(__xludf.DUMMYFUNCTION("""COMPUTED_VALUE"""),"Freedom of Expression, Individuals At Risk")</f>
        <v>Freedom of Expression, Individuals At Risk</v>
      </c>
      <c r="I823" s="1" t="str">
        <f ca="1">IFERROR(__xludf.DUMMYFUNCTION("""COMPUTED_VALUE"""),"2024")</f>
        <v>2024</v>
      </c>
      <c r="J823" s="1" t="str">
        <f ca="1">IFERROR(__xludf.DUMMYFUNCTION("""COMPUTED_VALUE"""),"Letter")</f>
        <v>Letter</v>
      </c>
    </row>
    <row r="824" spans="1:10" ht="13" x14ac:dyDescent="0.15">
      <c r="A824" s="4">
        <f ca="1">IFERROR(__xludf.DUMMYFUNCTION("""COMPUTED_VALUE"""),31730406)</f>
        <v>31730406</v>
      </c>
      <c r="B824" s="1" t="str">
        <f ca="1">IFERROR(__xludf.DUMMYFUNCTION("""COMPUTED_VALUE"""),"meleib48@gmail.com")</f>
        <v>meleib48@gmail.com</v>
      </c>
      <c r="C824" s="4" t="str">
        <f ca="1">IFERROR(__xludf.DUMMYFUNCTION("""COMPUTED_VALUE"""),"EVERGREEN - UAN Gated Content - Embedded Petition")</f>
        <v>EVERGREEN - UAN Gated Content - Embedded Petition</v>
      </c>
      <c r="D824" s="5">
        <f ca="1">IFERROR(__xludf.DUMMYFUNCTION("""COMPUTED_VALUE"""),45650)</f>
        <v>45650</v>
      </c>
      <c r="F824" s="1" t="str">
        <f ca="1">IFERROR(__xludf.DUMMYFUNCTION("""COMPUTED_VALUE"""),"Tunisia")</f>
        <v>Tunisia</v>
      </c>
      <c r="G824" s="1" t="str">
        <f ca="1">IFERROR(__xludf.DUMMYFUNCTION("""COMPUTED_VALUE"""),"Second 76.24 Tunisia")</f>
        <v>Second 76.24 Tunisia</v>
      </c>
      <c r="H824" s="1" t="str">
        <f ca="1">IFERROR(__xludf.DUMMYFUNCTION("""COMPUTED_VALUE"""),"Freedom of Expression, Human Rights Defenders")</f>
        <v>Freedom of Expression, Human Rights Defenders</v>
      </c>
      <c r="I824" s="1" t="str">
        <f ca="1">IFERROR(__xludf.DUMMYFUNCTION("""COMPUTED_VALUE"""),"2025")</f>
        <v>2025</v>
      </c>
      <c r="J824" s="1" t="str">
        <f ca="1">IFERROR(__xludf.DUMMYFUNCTION("""COMPUTED_VALUE"""),"Email")</f>
        <v>Email</v>
      </c>
    </row>
    <row r="825" spans="1:10" ht="13" x14ac:dyDescent="0.15">
      <c r="A825" s="4">
        <f ca="1">IFERROR(__xludf.DUMMYFUNCTION("""COMPUTED_VALUE"""),31730406)</f>
        <v>31730406</v>
      </c>
      <c r="B825" s="1" t="str">
        <f ca="1">IFERROR(__xludf.DUMMYFUNCTION("""COMPUTED_VALUE"""),"meleib48@gmail.com")</f>
        <v>meleib48@gmail.com</v>
      </c>
      <c r="C825" s="4" t="str">
        <f ca="1">IFERROR(__xludf.DUMMYFUNCTION("""COMPUTED_VALUE"""),"EVERGREEN - UAN Gated Content - Embedded Petition")</f>
        <v>EVERGREEN - UAN Gated Content - Embedded Petition</v>
      </c>
      <c r="D825" s="5">
        <f ca="1">IFERROR(__xludf.DUMMYFUNCTION("""COMPUTED_VALUE"""),45672)</f>
        <v>45672</v>
      </c>
      <c r="F825" s="1" t="str">
        <f ca="1">IFERROR(__xludf.DUMMYFUNCTION("""COMPUTED_VALUE"""),"Tunisia")</f>
        <v>Tunisia</v>
      </c>
      <c r="G825" s="1" t="str">
        <f ca="1">IFERROR(__xludf.DUMMYFUNCTION("""COMPUTED_VALUE"""),"Second 76.24 Tunisia")</f>
        <v>Second 76.24 Tunisia</v>
      </c>
      <c r="H825" s="1" t="str">
        <f ca="1">IFERROR(__xludf.DUMMYFUNCTION("""COMPUTED_VALUE"""),"Freedom of Expression, Human Rights Defenders")</f>
        <v>Freedom of Expression, Human Rights Defenders</v>
      </c>
      <c r="I825" s="1" t="str">
        <f ca="1">IFERROR(__xludf.DUMMYFUNCTION("""COMPUTED_VALUE"""),"2025")</f>
        <v>2025</v>
      </c>
      <c r="J825" s="1" t="str">
        <f ca="1">IFERROR(__xludf.DUMMYFUNCTION("""COMPUTED_VALUE"""),"Email")</f>
        <v>Email</v>
      </c>
    </row>
    <row r="826" spans="1:10" ht="13" x14ac:dyDescent="0.15">
      <c r="A826" s="4">
        <f ca="1">IFERROR(__xludf.DUMMYFUNCTION("""COMPUTED_VALUE"""),31733360)</f>
        <v>31733360</v>
      </c>
      <c r="B826" s="1" t="str">
        <f ca="1">IFERROR(__xludf.DUMMYFUNCTION("""COMPUTED_VALUE"""),"marabraverman@gmail.com")</f>
        <v>marabraverman@gmail.com</v>
      </c>
      <c r="C826" s="4" t="str">
        <f ca="1">IFERROR(__xludf.DUMMYFUNCTION("""COMPUTED_VALUE"""),"EVERGREEN - UAN Gated Content - Embedded Petition")</f>
        <v>EVERGREEN - UAN Gated Content - Embedded Petition</v>
      </c>
      <c r="D826" s="5">
        <f ca="1">IFERROR(__xludf.DUMMYFUNCTION("""COMPUTED_VALUE"""),45675)</f>
        <v>45675</v>
      </c>
      <c r="F826" s="1" t="str">
        <f ca="1">IFERROR(__xludf.DUMMYFUNCTION("""COMPUTED_VALUE"""),"China")</f>
        <v>China</v>
      </c>
      <c r="G826" s="1" t="str">
        <f ca="1">IFERROR(__xludf.DUMMYFUNCTION("""COMPUTED_VALUE"""),"106.24 China")</f>
        <v>106.24 China</v>
      </c>
      <c r="H826" s="1" t="str">
        <f ca="1">IFERROR(__xludf.DUMMYFUNCTION("""COMPUTED_VALUE"""),"Freedom of Expression, Individuals At Risk")</f>
        <v>Freedom of Expression, Individuals At Risk</v>
      </c>
      <c r="I826" s="1" t="str">
        <f ca="1">IFERROR(__xludf.DUMMYFUNCTION("""COMPUTED_VALUE"""),"2024")</f>
        <v>2024</v>
      </c>
      <c r="J826" s="1" t="str">
        <f ca="1">IFERROR(__xludf.DUMMYFUNCTION("""COMPUTED_VALUE"""),"Email")</f>
        <v>Email</v>
      </c>
    </row>
    <row r="827" spans="1:10" ht="13" x14ac:dyDescent="0.15">
      <c r="A827" s="4">
        <f ca="1">IFERROR(__xludf.DUMMYFUNCTION("""COMPUTED_VALUE"""),31733360)</f>
        <v>31733360</v>
      </c>
      <c r="B827" s="1" t="str">
        <f ca="1">IFERROR(__xludf.DUMMYFUNCTION("""COMPUTED_VALUE"""),"marabraverman@gmail.com")</f>
        <v>marabraverman@gmail.com</v>
      </c>
      <c r="C827" s="4" t="str">
        <f ca="1">IFERROR(__xludf.DUMMYFUNCTION("""COMPUTED_VALUE"""),"EVERGREEN - UAN Gated Content - Embedded Petition")</f>
        <v>EVERGREEN - UAN Gated Content - Embedded Petition</v>
      </c>
      <c r="D827" s="5">
        <f ca="1">IFERROR(__xludf.DUMMYFUNCTION("""COMPUTED_VALUE"""),45675)</f>
        <v>45675</v>
      </c>
      <c r="F827" s="1" t="str">
        <f ca="1">IFERROR(__xludf.DUMMYFUNCTION("""COMPUTED_VALUE"""),"USA")</f>
        <v>USA</v>
      </c>
      <c r="G827" s="1" t="str">
        <f ca="1">IFERROR(__xludf.DUMMYFUNCTION("""COMPUTED_VALUE"""),"4.25 USA")</f>
        <v>4.25 USA</v>
      </c>
      <c r="H827" s="1" t="str">
        <f ca="1">IFERROR(__xludf.DUMMYFUNCTION("""COMPUTED_VALUE"""),"Individuals At Risk, Refugee and Migrant Rights")</f>
        <v>Individuals At Risk, Refugee and Migrant Rights</v>
      </c>
      <c r="I827" s="1" t="str">
        <f ca="1">IFERROR(__xludf.DUMMYFUNCTION("""COMPUTED_VALUE"""),"2025")</f>
        <v>2025</v>
      </c>
      <c r="J827" s="1" t="str">
        <f ca="1">IFERROR(__xludf.DUMMYFUNCTION("""COMPUTED_VALUE"""),"Letter")</f>
        <v>Letter</v>
      </c>
    </row>
    <row r="828" spans="1:10" ht="13" x14ac:dyDescent="0.15">
      <c r="A828" s="4">
        <f ca="1">IFERROR(__xludf.DUMMYFUNCTION("""COMPUTED_VALUE"""),31750527)</f>
        <v>31750527</v>
      </c>
      <c r="B828" s="1" t="str">
        <f ca="1">IFERROR(__xludf.DUMMYFUNCTION("""COMPUTED_VALUE"""),"jimmycarl@hotmail.com")</f>
        <v>jimmycarl@hotmail.com</v>
      </c>
      <c r="C828" s="4" t="str">
        <f ca="1">IFERROR(__xludf.DUMMYFUNCTION("""COMPUTED_VALUE"""),"EVERGREEN - UAN Gated Content - Embedded Petition")</f>
        <v>EVERGREEN - UAN Gated Content - Embedded Petition</v>
      </c>
      <c r="D828" s="5">
        <f ca="1">IFERROR(__xludf.DUMMYFUNCTION("""COMPUTED_VALUE"""),45650)</f>
        <v>45650</v>
      </c>
      <c r="F828" s="1" t="str">
        <f ca="1">IFERROR(__xludf.DUMMYFUNCTION("""COMPUTED_VALUE"""),"Iran")</f>
        <v>Iran</v>
      </c>
      <c r="G828" s="1" t="str">
        <f ca="1">IFERROR(__xludf.DUMMYFUNCTION("""COMPUTED_VALUE"""),"Seventh 103.22 Iran")</f>
        <v>Seventh 103.22 Iran</v>
      </c>
      <c r="H828" s="1" t="str">
        <f ca="1">IFERROR(__xludf.DUMMYFUNCTION("""COMPUTED_VALUE"""),"Death Penalty, Freedom of Expression, Individuals At Risk")</f>
        <v>Death Penalty, Freedom of Expression, Individuals At Risk</v>
      </c>
      <c r="I828" s="1" t="str">
        <f ca="1">IFERROR(__xludf.DUMMYFUNCTION("""COMPUTED_VALUE"""),"2024")</f>
        <v>2024</v>
      </c>
      <c r="J828" s="1" t="str">
        <f ca="1">IFERROR(__xludf.DUMMYFUNCTION("""COMPUTED_VALUE"""),"Email")</f>
        <v>Email</v>
      </c>
    </row>
    <row r="829" spans="1:10" ht="13" x14ac:dyDescent="0.15">
      <c r="A829" s="4">
        <f ca="1">IFERROR(__xludf.DUMMYFUNCTION("""COMPUTED_VALUE"""),31750527)</f>
        <v>31750527</v>
      </c>
      <c r="B829" s="1" t="str">
        <f ca="1">IFERROR(__xludf.DUMMYFUNCTION("""COMPUTED_VALUE"""),"jimmycarl@hotmail.com")</f>
        <v>jimmycarl@hotmail.com</v>
      </c>
      <c r="C829" s="4" t="str">
        <f ca="1">IFERROR(__xludf.DUMMYFUNCTION("""COMPUTED_VALUE"""),"EVERGREEN - UAN Gated Content - Embedded Petition")</f>
        <v>EVERGREEN - UAN Gated Content - Embedded Petition</v>
      </c>
      <c r="D829" s="5">
        <f ca="1">IFERROR(__xludf.DUMMYFUNCTION("""COMPUTED_VALUE"""),45700)</f>
        <v>45700</v>
      </c>
      <c r="F829" s="1" t="str">
        <f ca="1">IFERROR(__xludf.DUMMYFUNCTION("""COMPUTED_VALUE"""),"USA")</f>
        <v>USA</v>
      </c>
      <c r="G829" s="1" t="str">
        <f ca="1">IFERROR(__xludf.DUMMYFUNCTION("""COMPUTED_VALUE"""),"4.25 USA")</f>
        <v>4.25 USA</v>
      </c>
      <c r="H829" s="1" t="str">
        <f ca="1">IFERROR(__xludf.DUMMYFUNCTION("""COMPUTED_VALUE"""),"Individuals At Risk, Refugee and Migrant Rights")</f>
        <v>Individuals At Risk, Refugee and Migrant Rights</v>
      </c>
      <c r="I829" s="1" t="str">
        <f ca="1">IFERROR(__xludf.DUMMYFUNCTION("""COMPUTED_VALUE"""),"2025")</f>
        <v>2025</v>
      </c>
      <c r="J829" s="1" t="str">
        <f ca="1">IFERROR(__xludf.DUMMYFUNCTION("""COMPUTED_VALUE"""),"Letter")</f>
        <v>Letter</v>
      </c>
    </row>
    <row r="830" spans="1:10" ht="13" x14ac:dyDescent="0.15">
      <c r="A830" s="4">
        <f ca="1">IFERROR(__xludf.DUMMYFUNCTION("""COMPUTED_VALUE"""),31750527)</f>
        <v>31750527</v>
      </c>
      <c r="B830" s="1" t="str">
        <f ca="1">IFERROR(__xludf.DUMMYFUNCTION("""COMPUTED_VALUE"""),"jimmycarl@hotmail.com")</f>
        <v>jimmycarl@hotmail.com</v>
      </c>
      <c r="C830" s="4" t="str">
        <f ca="1">IFERROR(__xludf.DUMMYFUNCTION("""COMPUTED_VALUE"""),"EVERGREEN - UAN Gated Content - Embedded Petition")</f>
        <v>EVERGREEN - UAN Gated Content - Embedded Petition</v>
      </c>
      <c r="D830" s="5">
        <f ca="1">IFERROR(__xludf.DUMMYFUNCTION("""COMPUTED_VALUE"""),45628)</f>
        <v>45628</v>
      </c>
      <c r="F830" s="1" t="str">
        <f ca="1">IFERROR(__xludf.DUMMYFUNCTION("""COMPUTED_VALUE"""),"USA")</f>
        <v>USA</v>
      </c>
      <c r="G830" s="1" t="str">
        <f ca="1">IFERROR(__xludf.DUMMYFUNCTION("""COMPUTED_VALUE"""),"Fourth 55.24 USA")</f>
        <v>Fourth 55.24 USA</v>
      </c>
      <c r="H830" s="1" t="str">
        <f ca="1">IFERROR(__xludf.DUMMYFUNCTION("""COMPUTED_VALUE"""),"Climate Justice, Individuals At Risk")</f>
        <v>Climate Justice, Individuals At Risk</v>
      </c>
      <c r="I830" s="1" t="str">
        <f ca="1">IFERROR(__xludf.DUMMYFUNCTION("""COMPUTED_VALUE"""),"2025")</f>
        <v>2025</v>
      </c>
      <c r="J830" s="1" t="str">
        <f ca="1">IFERROR(__xludf.DUMMYFUNCTION("""COMPUTED_VALUE"""),"Email")</f>
        <v>Email</v>
      </c>
    </row>
    <row r="831" spans="1:10" ht="13" x14ac:dyDescent="0.15">
      <c r="A831" s="4">
        <f ca="1">IFERROR(__xludf.DUMMYFUNCTION("""COMPUTED_VALUE"""),31750527)</f>
        <v>31750527</v>
      </c>
      <c r="B831" s="1" t="str">
        <f ca="1">IFERROR(__xludf.DUMMYFUNCTION("""COMPUTED_VALUE"""),"jimmycarl@hotmail.com")</f>
        <v>jimmycarl@hotmail.com</v>
      </c>
      <c r="C831" s="4" t="str">
        <f ca="1">IFERROR(__xludf.DUMMYFUNCTION("""COMPUTED_VALUE"""),"EVERGREEN - UAN Gated Content - Embedded Petition")</f>
        <v>EVERGREEN - UAN Gated Content - Embedded Petition</v>
      </c>
      <c r="D831" s="5">
        <f ca="1">IFERROR(__xludf.DUMMYFUNCTION("""COMPUTED_VALUE"""),45643)</f>
        <v>45643</v>
      </c>
      <c r="F831" s="1" t="str">
        <f ca="1">IFERROR(__xludf.DUMMYFUNCTION("""COMPUTED_VALUE"""),"Azerbaijan")</f>
        <v>Azerbaijan</v>
      </c>
      <c r="G831" s="1" t="str">
        <f ca="1">IFERROR(__xludf.DUMMYFUNCTION("""COMPUTED_VALUE"""),"2.25 Azerbaijan")</f>
        <v>2.25 Azerbaijan</v>
      </c>
      <c r="H831" s="1" t="str">
        <f ca="1">IFERROR(__xludf.DUMMYFUNCTION("""COMPUTED_VALUE"""),"Freedom of Expression, Human Rights Defenders")</f>
        <v>Freedom of Expression, Human Rights Defenders</v>
      </c>
      <c r="I831" s="1" t="str">
        <f ca="1">IFERROR(__xludf.DUMMYFUNCTION("""COMPUTED_VALUE"""),"2025")</f>
        <v>2025</v>
      </c>
      <c r="J831" s="1" t="str">
        <f ca="1">IFERROR(__xludf.DUMMYFUNCTION("""COMPUTED_VALUE"""),"Email")</f>
        <v>Email</v>
      </c>
    </row>
    <row r="832" spans="1:10" ht="13" x14ac:dyDescent="0.15">
      <c r="A832" s="4">
        <f ca="1">IFERROR(__xludf.DUMMYFUNCTION("""COMPUTED_VALUE"""),31750527)</f>
        <v>31750527</v>
      </c>
      <c r="B832" s="1" t="str">
        <f ca="1">IFERROR(__xludf.DUMMYFUNCTION("""COMPUTED_VALUE"""),"jimmycarl@hotmail.com")</f>
        <v>jimmycarl@hotmail.com</v>
      </c>
      <c r="C832" s="4" t="str">
        <f ca="1">IFERROR(__xludf.DUMMYFUNCTION("""COMPUTED_VALUE"""),"EVERGREEN - UAN Gated Content - Embedded Petition")</f>
        <v>EVERGREEN - UAN Gated Content - Embedded Petition</v>
      </c>
      <c r="D832" s="5">
        <f ca="1">IFERROR(__xludf.DUMMYFUNCTION("""COMPUTED_VALUE"""),45672)</f>
        <v>45672</v>
      </c>
      <c r="F832" s="1" t="str">
        <f ca="1">IFERROR(__xludf.DUMMYFUNCTION("""COMPUTED_VALUE"""),"Tunisia")</f>
        <v>Tunisia</v>
      </c>
      <c r="G832" s="1" t="str">
        <f ca="1">IFERROR(__xludf.DUMMYFUNCTION("""COMPUTED_VALUE"""),"Second 76.24 Tunisia")</f>
        <v>Second 76.24 Tunisia</v>
      </c>
      <c r="H832" s="1" t="str">
        <f ca="1">IFERROR(__xludf.DUMMYFUNCTION("""COMPUTED_VALUE"""),"Freedom of Expression, Human Rights Defenders")</f>
        <v>Freedom of Expression, Human Rights Defenders</v>
      </c>
      <c r="I832" s="1" t="str">
        <f ca="1">IFERROR(__xludf.DUMMYFUNCTION("""COMPUTED_VALUE"""),"2025")</f>
        <v>2025</v>
      </c>
      <c r="J832" s="1" t="str">
        <f ca="1">IFERROR(__xludf.DUMMYFUNCTION("""COMPUTED_VALUE"""),"Email")</f>
        <v>Email</v>
      </c>
    </row>
    <row r="833" spans="1:10" ht="13" x14ac:dyDescent="0.15">
      <c r="A833" s="4">
        <f ca="1">IFERROR(__xludf.DUMMYFUNCTION("""COMPUTED_VALUE"""),31750527)</f>
        <v>31750527</v>
      </c>
      <c r="B833" s="1" t="str">
        <f ca="1">IFERROR(__xludf.DUMMYFUNCTION("""COMPUTED_VALUE"""),"jimmycarl@hotmail.com")</f>
        <v>jimmycarl@hotmail.com</v>
      </c>
      <c r="C833" s="4" t="str">
        <f ca="1">IFERROR(__xludf.DUMMYFUNCTION("""COMPUTED_VALUE"""),"EVERGREEN - UAN Gated Content - Embedded Petition")</f>
        <v>EVERGREEN - UAN Gated Content - Embedded Petition</v>
      </c>
      <c r="D833" s="5">
        <f ca="1">IFERROR(__xludf.DUMMYFUNCTION("""COMPUTED_VALUE"""),45678)</f>
        <v>45678</v>
      </c>
      <c r="F833" s="1" t="str">
        <f ca="1">IFERROR(__xludf.DUMMYFUNCTION("""COMPUTED_VALUE"""),"Russian Federation")</f>
        <v>Russian Federation</v>
      </c>
      <c r="G833" s="1" t="str">
        <f ca="1">IFERROR(__xludf.DUMMYFUNCTION("""COMPUTED_VALUE"""),"102.24 Russia")</f>
        <v>102.24 Russia</v>
      </c>
      <c r="H833" s="1" t="str">
        <f ca="1">IFERROR(__xludf.DUMMYFUNCTION("""COMPUTED_VALUE"""),"Freedom of Expression, Individuals At Risk, Right to Protest")</f>
        <v>Freedom of Expression, Individuals At Risk, Right to Protest</v>
      </c>
      <c r="I833" s="1" t="str">
        <f ca="1">IFERROR(__xludf.DUMMYFUNCTION("""COMPUTED_VALUE"""),"2024")</f>
        <v>2024</v>
      </c>
      <c r="J833" s="1" t="str">
        <f ca="1">IFERROR(__xludf.DUMMYFUNCTION("""COMPUTED_VALUE"""),"Email")</f>
        <v>Email</v>
      </c>
    </row>
    <row r="834" spans="1:10" ht="13" x14ac:dyDescent="0.15">
      <c r="A834" s="4">
        <f ca="1">IFERROR(__xludf.DUMMYFUNCTION("""COMPUTED_VALUE"""),31750527)</f>
        <v>31750527</v>
      </c>
      <c r="B834" s="1" t="str">
        <f ca="1">IFERROR(__xludf.DUMMYFUNCTION("""COMPUTED_VALUE"""),"jimmycarl@hotmail.com")</f>
        <v>jimmycarl@hotmail.com</v>
      </c>
      <c r="C834" s="4" t="str">
        <f ca="1">IFERROR(__xludf.DUMMYFUNCTION("""COMPUTED_VALUE"""),"EVERGREEN - UAN Gated Content - Embedded Petition")</f>
        <v>EVERGREEN - UAN Gated Content - Embedded Petition</v>
      </c>
      <c r="D834" s="5">
        <f ca="1">IFERROR(__xludf.DUMMYFUNCTION("""COMPUTED_VALUE"""),45700)</f>
        <v>45700</v>
      </c>
      <c r="F834" s="1" t="str">
        <f ca="1">IFERROR(__xludf.DUMMYFUNCTION("""COMPUTED_VALUE"""),"Saudi Arabia")</f>
        <v>Saudi Arabia</v>
      </c>
      <c r="G834" s="1" t="str">
        <f ca="1">IFERROR(__xludf.DUMMYFUNCTION("""COMPUTED_VALUE"""),"Fifth 257.12")</f>
        <v>Fifth 257.12</v>
      </c>
      <c r="H834" s="1" t="str">
        <f ca="1">IFERROR(__xludf.DUMMYFUNCTION("""COMPUTED_VALUE"""),"Freedom of Expression, Human Rights Defenders")</f>
        <v>Freedom of Expression, Human Rights Defenders</v>
      </c>
      <c r="I834" s="1" t="str">
        <f ca="1">IFERROR(__xludf.DUMMYFUNCTION("""COMPUTED_VALUE"""),"2025")</f>
        <v>2025</v>
      </c>
      <c r="J834" s="1" t="str">
        <f ca="1">IFERROR(__xludf.DUMMYFUNCTION("""COMPUTED_VALUE"""),"Email")</f>
        <v>Email</v>
      </c>
    </row>
    <row r="835" spans="1:10" ht="13" x14ac:dyDescent="0.15">
      <c r="A835" s="4">
        <f ca="1">IFERROR(__xludf.DUMMYFUNCTION("""COMPUTED_VALUE"""),31750603)</f>
        <v>31750603</v>
      </c>
      <c r="B835" s="1" t="str">
        <f ca="1">IFERROR(__xludf.DUMMYFUNCTION("""COMPUTED_VALUE"""),"smilburn@igc.org")</f>
        <v>smilburn@igc.org</v>
      </c>
      <c r="C835" s="4" t="str">
        <f ca="1">IFERROR(__xludf.DUMMYFUNCTION("""COMPUTED_VALUE"""),"EVERGREEN - UAN Gated Content - Embedded Petition")</f>
        <v>EVERGREEN - UAN Gated Content - Embedded Petition</v>
      </c>
      <c r="D835" s="5">
        <f ca="1">IFERROR(__xludf.DUMMYFUNCTION("""COMPUTED_VALUE"""),45616)</f>
        <v>45616</v>
      </c>
      <c r="F835" s="1" t="str">
        <f ca="1">IFERROR(__xludf.DUMMYFUNCTION("""COMPUTED_VALUE"""),"Egypt")</f>
        <v>Egypt</v>
      </c>
      <c r="G835" s="1" t="str">
        <f ca="1">IFERROR(__xludf.DUMMYFUNCTION("""COMPUTED_VALUE"""),"Ninth 190.18 Egypt")</f>
        <v>Ninth 190.18 Egypt</v>
      </c>
      <c r="H835" s="1" t="str">
        <f ca="1">IFERROR(__xludf.DUMMYFUNCTION("""COMPUTED_VALUE"""),"Freedom of Expression, Individuals At Risk")</f>
        <v>Freedom of Expression, Individuals At Risk</v>
      </c>
      <c r="I835" s="1" t="str">
        <f ca="1">IFERROR(__xludf.DUMMYFUNCTION("""COMPUTED_VALUE"""),"2024")</f>
        <v>2024</v>
      </c>
      <c r="J835" s="1" t="str">
        <f ca="1">IFERROR(__xludf.DUMMYFUNCTION("""COMPUTED_VALUE"""),"Letter")</f>
        <v>Letter</v>
      </c>
    </row>
    <row r="836" spans="1:10" ht="13" x14ac:dyDescent="0.15">
      <c r="A836" s="4">
        <f ca="1">IFERROR(__xludf.DUMMYFUNCTION("""COMPUTED_VALUE"""),31752860)</f>
        <v>31752860</v>
      </c>
      <c r="B836" s="1" t="str">
        <f ca="1">IFERROR(__xludf.DUMMYFUNCTION("""COMPUTED_VALUE"""),"fpbelcast@gmail.com")</f>
        <v>fpbelcast@gmail.com</v>
      </c>
      <c r="C836" s="4" t="str">
        <f ca="1">IFERROR(__xludf.DUMMYFUNCTION("""COMPUTED_VALUE"""),"EVERGREEN - UAN Gated Content - Embedded Petition")</f>
        <v>EVERGREEN - UAN Gated Content - Embedded Petition</v>
      </c>
      <c r="D836" s="5">
        <f ca="1">IFERROR(__xludf.DUMMYFUNCTION("""COMPUTED_VALUE"""),45694)</f>
        <v>45694</v>
      </c>
      <c r="F836" s="1" t="str">
        <f ca="1">IFERROR(__xludf.DUMMYFUNCTION("""COMPUTED_VALUE"""),"Venezuela")</f>
        <v>Venezuela</v>
      </c>
      <c r="G836" s="1" t="str">
        <f ca="1">IFERROR(__xludf.DUMMYFUNCTION("""COMPUTED_VALUE"""),"97.24 Venezuela")</f>
        <v>97.24 Venezuela</v>
      </c>
      <c r="H836" s="1" t="str">
        <f ca="1">IFERROR(__xludf.DUMMYFUNCTION("""COMPUTED_VALUE"""),"Freedom of Expression")</f>
        <v>Freedom of Expression</v>
      </c>
      <c r="I836" s="1" t="str">
        <f ca="1">IFERROR(__xludf.DUMMYFUNCTION("""COMPUTED_VALUE"""),"2024")</f>
        <v>2024</v>
      </c>
      <c r="J836" s="1" t="str">
        <f ca="1">IFERROR(__xludf.DUMMYFUNCTION("""COMPUTED_VALUE"""),"Letter")</f>
        <v>Letter</v>
      </c>
    </row>
    <row r="837" spans="1:10" ht="13" x14ac:dyDescent="0.15">
      <c r="A837" s="4">
        <f ca="1">IFERROR(__xludf.DUMMYFUNCTION("""COMPUTED_VALUE"""),31765916)</f>
        <v>31765916</v>
      </c>
      <c r="B837" s="1" t="str">
        <f ca="1">IFERROR(__xludf.DUMMYFUNCTION("""COMPUTED_VALUE"""),"jconsiglio@rocketmail.com")</f>
        <v>jconsiglio@rocketmail.com</v>
      </c>
      <c r="C837" s="4" t="str">
        <f ca="1">IFERROR(__xludf.DUMMYFUNCTION("""COMPUTED_VALUE"""),"EVERGREEN - UAN Gated Content - Embedded Petition")</f>
        <v>EVERGREEN - UAN Gated Content - Embedded Petition</v>
      </c>
      <c r="D837" s="5">
        <f ca="1">IFERROR(__xludf.DUMMYFUNCTION("""COMPUTED_VALUE"""),45694)</f>
        <v>45694</v>
      </c>
      <c r="F837" s="1" t="str">
        <f ca="1">IFERROR(__xludf.DUMMYFUNCTION("""COMPUTED_VALUE"""),"China")</f>
        <v>China</v>
      </c>
      <c r="G837" s="1" t="str">
        <f ca="1">IFERROR(__xludf.DUMMYFUNCTION("""COMPUTED_VALUE"""),"98.24 China")</f>
        <v>98.24 China</v>
      </c>
      <c r="H837" s="1" t="str">
        <f ca="1">IFERROR(__xludf.DUMMYFUNCTION("""COMPUTED_VALUE"""),"Freedom of Expression, Individuals At Risk")</f>
        <v>Freedom of Expression, Individuals At Risk</v>
      </c>
      <c r="I837" s="1" t="str">
        <f ca="1">IFERROR(__xludf.DUMMYFUNCTION("""COMPUTED_VALUE"""),"2024")</f>
        <v>2024</v>
      </c>
      <c r="J837" s="1" t="str">
        <f ca="1">IFERROR(__xludf.DUMMYFUNCTION("""COMPUTED_VALUE"""),"Letter")</f>
        <v>Letter</v>
      </c>
    </row>
    <row r="838" spans="1:10" ht="13" x14ac:dyDescent="0.15">
      <c r="A838" s="4">
        <f ca="1">IFERROR(__xludf.DUMMYFUNCTION("""COMPUTED_VALUE"""),31771228)</f>
        <v>31771228</v>
      </c>
      <c r="B838" s="1" t="str">
        <f ca="1">IFERROR(__xludf.DUMMYFUNCTION("""COMPUTED_VALUE"""),"victoria.brogdon@yahoo.com")</f>
        <v>victoria.brogdon@yahoo.com</v>
      </c>
      <c r="C838" s="4" t="str">
        <f ca="1">IFERROR(__xludf.DUMMYFUNCTION("""COMPUTED_VALUE"""),"EVERGREEN - UAN Gated Content - Embedded Petition")</f>
        <v>EVERGREEN - UAN Gated Content - Embedded Petition</v>
      </c>
      <c r="D838" s="5">
        <f ca="1">IFERROR(__xludf.DUMMYFUNCTION("""COMPUTED_VALUE"""),45694)</f>
        <v>45694</v>
      </c>
      <c r="F838" s="1" t="str">
        <f ca="1">IFERROR(__xludf.DUMMYFUNCTION("""COMPUTED_VALUE"""),"Azerbaijan")</f>
        <v>Azerbaijan</v>
      </c>
      <c r="G838" s="1" t="str">
        <f ca="1">IFERROR(__xludf.DUMMYFUNCTION("""COMPUTED_VALUE"""),"2.25 Azerbaijan")</f>
        <v>2.25 Azerbaijan</v>
      </c>
      <c r="H838" s="1" t="str">
        <f ca="1">IFERROR(__xludf.DUMMYFUNCTION("""COMPUTED_VALUE"""),"Freedom of Expression, Human Rights Defenders")</f>
        <v>Freedom of Expression, Human Rights Defenders</v>
      </c>
      <c r="I838" s="1" t="str">
        <f ca="1">IFERROR(__xludf.DUMMYFUNCTION("""COMPUTED_VALUE"""),"2025")</f>
        <v>2025</v>
      </c>
      <c r="J838" s="1" t="str">
        <f ca="1">IFERROR(__xludf.DUMMYFUNCTION("""COMPUTED_VALUE"""),"Email")</f>
        <v>Email</v>
      </c>
    </row>
    <row r="839" spans="1:10" ht="13" x14ac:dyDescent="0.15">
      <c r="A839" s="4">
        <f ca="1">IFERROR(__xludf.DUMMYFUNCTION("""COMPUTED_VALUE"""),31772984)</f>
        <v>31772984</v>
      </c>
      <c r="B839" s="1" t="str">
        <f ca="1">IFERROR(__xludf.DUMMYFUNCTION("""COMPUTED_VALUE"""),"landers1961@yahoo.com")</f>
        <v>landers1961@yahoo.com</v>
      </c>
      <c r="C839" s="4" t="str">
        <f ca="1">IFERROR(__xludf.DUMMYFUNCTION("""COMPUTED_VALUE"""),"EVERGREEN - UAN Gated Content - Embedded Petition")</f>
        <v>EVERGREEN - UAN Gated Content - Embedded Petition</v>
      </c>
      <c r="D839" s="5">
        <f ca="1">IFERROR(__xludf.DUMMYFUNCTION("""COMPUTED_VALUE"""),45674)</f>
        <v>45674</v>
      </c>
      <c r="F839" s="1" t="str">
        <f ca="1">IFERROR(__xludf.DUMMYFUNCTION("""COMPUTED_VALUE"""),"China")</f>
        <v>China</v>
      </c>
      <c r="G839" s="1" t="str">
        <f ca="1">IFERROR(__xludf.DUMMYFUNCTION("""COMPUTED_VALUE"""),"98.24 China")</f>
        <v>98.24 China</v>
      </c>
      <c r="H839" s="1" t="str">
        <f ca="1">IFERROR(__xludf.DUMMYFUNCTION("""COMPUTED_VALUE"""),"Freedom of Expression, Individuals At Risk")</f>
        <v>Freedom of Expression, Individuals At Risk</v>
      </c>
      <c r="I839" s="1" t="str">
        <f ca="1">IFERROR(__xludf.DUMMYFUNCTION("""COMPUTED_VALUE"""),"2024")</f>
        <v>2024</v>
      </c>
      <c r="J839" s="1" t="str">
        <f ca="1">IFERROR(__xludf.DUMMYFUNCTION("""COMPUTED_VALUE"""),"Letter")</f>
        <v>Letter</v>
      </c>
    </row>
    <row r="840" spans="1:10" ht="13" x14ac:dyDescent="0.15">
      <c r="A840" s="4">
        <f ca="1">IFERROR(__xludf.DUMMYFUNCTION("""COMPUTED_VALUE"""),31772984)</f>
        <v>31772984</v>
      </c>
      <c r="B840" s="1" t="str">
        <f ca="1">IFERROR(__xludf.DUMMYFUNCTION("""COMPUTED_VALUE"""),"landers1961@yahoo.com")</f>
        <v>landers1961@yahoo.com</v>
      </c>
      <c r="C840" s="4" t="str">
        <f ca="1">IFERROR(__xludf.DUMMYFUNCTION("""COMPUTED_VALUE"""),"EVERGREEN - UAN Gated Content - Embedded Petition")</f>
        <v>EVERGREEN - UAN Gated Content - Embedded Petition</v>
      </c>
      <c r="D840" s="5">
        <f ca="1">IFERROR(__xludf.DUMMYFUNCTION("""COMPUTED_VALUE"""),45694)</f>
        <v>45694</v>
      </c>
      <c r="F840" s="1" t="str">
        <f ca="1">IFERROR(__xludf.DUMMYFUNCTION("""COMPUTED_VALUE"""),"China")</f>
        <v>China</v>
      </c>
      <c r="G840" s="1" t="str">
        <f ca="1">IFERROR(__xludf.DUMMYFUNCTION("""COMPUTED_VALUE"""),"98.24 China")</f>
        <v>98.24 China</v>
      </c>
      <c r="H840" s="1" t="str">
        <f ca="1">IFERROR(__xludf.DUMMYFUNCTION("""COMPUTED_VALUE"""),"Freedom of Expression, Individuals At Risk")</f>
        <v>Freedom of Expression, Individuals At Risk</v>
      </c>
      <c r="I840" s="1" t="str">
        <f ca="1">IFERROR(__xludf.DUMMYFUNCTION("""COMPUTED_VALUE"""),"2024")</f>
        <v>2024</v>
      </c>
      <c r="J840" s="1" t="str">
        <f ca="1">IFERROR(__xludf.DUMMYFUNCTION("""COMPUTED_VALUE"""),"Letter")</f>
        <v>Letter</v>
      </c>
    </row>
    <row r="841" spans="1:10" ht="13" x14ac:dyDescent="0.15">
      <c r="A841" s="4">
        <f ca="1">IFERROR(__xludf.DUMMYFUNCTION("""COMPUTED_VALUE"""),31772984)</f>
        <v>31772984</v>
      </c>
      <c r="B841" s="1" t="str">
        <f ca="1">IFERROR(__xludf.DUMMYFUNCTION("""COMPUTED_VALUE"""),"landers1961@yahoo.com")</f>
        <v>landers1961@yahoo.com</v>
      </c>
      <c r="C841" s="4" t="str">
        <f ca="1">IFERROR(__xludf.DUMMYFUNCTION("""COMPUTED_VALUE"""),"EVERGREEN - UAN Gated Content - Embedded Petition")</f>
        <v>EVERGREEN - UAN Gated Content - Embedded Petition</v>
      </c>
      <c r="D841" s="5">
        <f ca="1">IFERROR(__xludf.DUMMYFUNCTION("""COMPUTED_VALUE"""),45695)</f>
        <v>45695</v>
      </c>
      <c r="F841" s="1" t="str">
        <f ca="1">IFERROR(__xludf.DUMMYFUNCTION("""COMPUTED_VALUE"""),"USA")</f>
        <v>USA</v>
      </c>
      <c r="G841" s="1" t="str">
        <f ca="1">IFERROR(__xludf.DUMMYFUNCTION("""COMPUTED_VALUE"""),"4.25 USA")</f>
        <v>4.25 USA</v>
      </c>
      <c r="H841" s="1" t="str">
        <f ca="1">IFERROR(__xludf.DUMMYFUNCTION("""COMPUTED_VALUE"""),"Individuals At Risk, Refugee and Migrant Rights")</f>
        <v>Individuals At Risk, Refugee and Migrant Rights</v>
      </c>
      <c r="I841" s="1" t="str">
        <f ca="1">IFERROR(__xludf.DUMMYFUNCTION("""COMPUTED_VALUE"""),"2025")</f>
        <v>2025</v>
      </c>
      <c r="J841" s="1" t="str">
        <f ca="1">IFERROR(__xludf.DUMMYFUNCTION("""COMPUTED_VALUE"""),"Letter")</f>
        <v>Letter</v>
      </c>
    </row>
    <row r="842" spans="1:10" ht="13" x14ac:dyDescent="0.15">
      <c r="A842" s="4">
        <f ca="1">IFERROR(__xludf.DUMMYFUNCTION("""COMPUTED_VALUE"""),31772984)</f>
        <v>31772984</v>
      </c>
      <c r="B842" s="1" t="str">
        <f ca="1">IFERROR(__xludf.DUMMYFUNCTION("""COMPUTED_VALUE"""),"landers1961@yahoo.com")</f>
        <v>landers1961@yahoo.com</v>
      </c>
      <c r="C842" s="4" t="str">
        <f ca="1">IFERROR(__xludf.DUMMYFUNCTION("""COMPUTED_VALUE"""),"EVERGREEN - UAN Gated Content - Embedded Petition")</f>
        <v>EVERGREEN - UAN Gated Content - Embedded Petition</v>
      </c>
      <c r="D842" s="5">
        <f ca="1">IFERROR(__xludf.DUMMYFUNCTION("""COMPUTED_VALUE"""),45695)</f>
        <v>45695</v>
      </c>
      <c r="F842" s="1" t="str">
        <f ca="1">IFERROR(__xludf.DUMMYFUNCTION("""COMPUTED_VALUE"""),"Dominican Republic")</f>
        <v>Dominican Republic</v>
      </c>
      <c r="G842" s="1" t="str">
        <f ca="1">IFERROR(__xludf.DUMMYFUNCTION("""COMPUTED_VALUE"""),"88.24 Dominican Republic")</f>
        <v>88.24 Dominican Republic</v>
      </c>
      <c r="H842" s="1" t="str">
        <f ca="1">IFERROR(__xludf.DUMMYFUNCTION("""COMPUTED_VALUE"""),"Individuals At Risk, Refugee and Migrant Rights")</f>
        <v>Individuals At Risk, Refugee and Migrant Rights</v>
      </c>
      <c r="I842" s="1" t="str">
        <f ca="1">IFERROR(__xludf.DUMMYFUNCTION("""COMPUTED_VALUE"""),"2024")</f>
        <v>2024</v>
      </c>
      <c r="J842" s="1" t="str">
        <f ca="1">IFERROR(__xludf.DUMMYFUNCTION("""COMPUTED_VALUE"""),"Letter")</f>
        <v>Letter</v>
      </c>
    </row>
    <row r="843" spans="1:10" ht="13" x14ac:dyDescent="0.15">
      <c r="A843" s="4">
        <f ca="1">IFERROR(__xludf.DUMMYFUNCTION("""COMPUTED_VALUE"""),31772984)</f>
        <v>31772984</v>
      </c>
      <c r="B843" s="1" t="str">
        <f ca="1">IFERROR(__xludf.DUMMYFUNCTION("""COMPUTED_VALUE"""),"landers1961@yahoo.com")</f>
        <v>landers1961@yahoo.com</v>
      </c>
      <c r="C843" s="4" t="str">
        <f ca="1">IFERROR(__xludf.DUMMYFUNCTION("""COMPUTED_VALUE"""),"EVERGREEN - UAN Gated Content - Embedded Petition")</f>
        <v>EVERGREEN - UAN Gated Content - Embedded Petition</v>
      </c>
      <c r="D843" s="5">
        <f ca="1">IFERROR(__xludf.DUMMYFUNCTION("""COMPUTED_VALUE"""),45695)</f>
        <v>45695</v>
      </c>
      <c r="F843" s="1" t="str">
        <f ca="1">IFERROR(__xludf.DUMMYFUNCTION("""COMPUTED_VALUE"""),"Dominican Republic")</f>
        <v>Dominican Republic</v>
      </c>
      <c r="G843" s="1" t="str">
        <f ca="1">IFERROR(__xludf.DUMMYFUNCTION("""COMPUTED_VALUE"""),"88.24 Dominican Republic")</f>
        <v>88.24 Dominican Republic</v>
      </c>
      <c r="H843" s="1" t="str">
        <f ca="1">IFERROR(__xludf.DUMMYFUNCTION("""COMPUTED_VALUE"""),"Individuals At Risk, Refugee and Migrant Rights")</f>
        <v>Individuals At Risk, Refugee and Migrant Rights</v>
      </c>
      <c r="I843" s="1" t="str">
        <f ca="1">IFERROR(__xludf.DUMMYFUNCTION("""COMPUTED_VALUE"""),"2024")</f>
        <v>2024</v>
      </c>
      <c r="J843" s="1" t="str">
        <f ca="1">IFERROR(__xludf.DUMMYFUNCTION("""COMPUTED_VALUE"""),"Letter")</f>
        <v>Letter</v>
      </c>
    </row>
    <row r="844" spans="1:10" ht="13" x14ac:dyDescent="0.15">
      <c r="A844" s="4">
        <f ca="1">IFERROR(__xludf.DUMMYFUNCTION("""COMPUTED_VALUE"""),31772984)</f>
        <v>31772984</v>
      </c>
      <c r="B844" s="1" t="str">
        <f ca="1">IFERROR(__xludf.DUMMYFUNCTION("""COMPUTED_VALUE"""),"landers1961@yahoo.com")</f>
        <v>landers1961@yahoo.com</v>
      </c>
      <c r="C844" s="4" t="str">
        <f ca="1">IFERROR(__xludf.DUMMYFUNCTION("""COMPUTED_VALUE"""),"EVERGREEN - UAN Gated Content - Embedded Petition")</f>
        <v>EVERGREEN - UAN Gated Content - Embedded Petition</v>
      </c>
      <c r="D844" s="5">
        <f ca="1">IFERROR(__xludf.DUMMYFUNCTION("""COMPUTED_VALUE"""),45674)</f>
        <v>45674</v>
      </c>
      <c r="F844" s="1" t="str">
        <f ca="1">IFERROR(__xludf.DUMMYFUNCTION("""COMPUTED_VALUE"""),"Uganda")</f>
        <v>Uganda</v>
      </c>
      <c r="G844" s="1" t="str">
        <f ca="1">IFERROR(__xludf.DUMMYFUNCTION("""COMPUTED_VALUE"""),"9.25 Uganda")</f>
        <v>9.25 Uganda</v>
      </c>
      <c r="H844" s="1" t="str">
        <f ca="1">IFERROR(__xludf.DUMMYFUNCTION("""COMPUTED_VALUE"""),"Freedom of Expression, Human Rights Defenders")</f>
        <v>Freedom of Expression, Human Rights Defenders</v>
      </c>
      <c r="I844" s="1" t="str">
        <f ca="1">IFERROR(__xludf.DUMMYFUNCTION("""COMPUTED_VALUE"""),"2025")</f>
        <v>2025</v>
      </c>
      <c r="J844" s="1" t="str">
        <f ca="1">IFERROR(__xludf.DUMMYFUNCTION("""COMPUTED_VALUE"""),"Email")</f>
        <v>Email</v>
      </c>
    </row>
    <row r="845" spans="1:10" ht="13" x14ac:dyDescent="0.15">
      <c r="A845" s="4">
        <f ca="1">IFERROR(__xludf.DUMMYFUNCTION("""COMPUTED_VALUE"""),31772984)</f>
        <v>31772984</v>
      </c>
      <c r="B845" s="1" t="str">
        <f ca="1">IFERROR(__xludf.DUMMYFUNCTION("""COMPUTED_VALUE"""),"landers1961@yahoo.com")</f>
        <v>landers1961@yahoo.com</v>
      </c>
      <c r="C845" s="4" t="str">
        <f ca="1">IFERROR(__xludf.DUMMYFUNCTION("""COMPUTED_VALUE"""),"EVERGREEN - UAN Gated Content - Embedded Petition")</f>
        <v>EVERGREEN - UAN Gated Content - Embedded Petition</v>
      </c>
      <c r="D845" s="5">
        <f ca="1">IFERROR(__xludf.DUMMYFUNCTION("""COMPUTED_VALUE"""),45695)</f>
        <v>45695</v>
      </c>
      <c r="F845" s="1" t="str">
        <f ca="1">IFERROR(__xludf.DUMMYFUNCTION("""COMPUTED_VALUE"""),"USA")</f>
        <v>USA</v>
      </c>
      <c r="G845" s="1" t="str">
        <f ca="1">IFERROR(__xludf.DUMMYFUNCTION("""COMPUTED_VALUE"""),"4.25 USA")</f>
        <v>4.25 USA</v>
      </c>
      <c r="H845" s="1" t="str">
        <f ca="1">IFERROR(__xludf.DUMMYFUNCTION("""COMPUTED_VALUE"""),"Individuals At Risk, Refugee and Migrant Rights")</f>
        <v>Individuals At Risk, Refugee and Migrant Rights</v>
      </c>
      <c r="I845" s="1" t="str">
        <f ca="1">IFERROR(__xludf.DUMMYFUNCTION("""COMPUTED_VALUE"""),"2025")</f>
        <v>2025</v>
      </c>
      <c r="J845" s="1" t="str">
        <f ca="1">IFERROR(__xludf.DUMMYFUNCTION("""COMPUTED_VALUE"""),"Letter")</f>
        <v>Letter</v>
      </c>
    </row>
    <row r="846" spans="1:10" ht="13" x14ac:dyDescent="0.15">
      <c r="A846" s="4">
        <f ca="1">IFERROR(__xludf.DUMMYFUNCTION("""COMPUTED_VALUE"""),31781883)</f>
        <v>31781883</v>
      </c>
      <c r="B846" s="1" t="str">
        <f ca="1">IFERROR(__xludf.DUMMYFUNCTION("""COMPUTED_VALUE"""),"pavadai.sarah@gmail.com")</f>
        <v>pavadai.sarah@gmail.com</v>
      </c>
      <c r="C846" s="4" t="str">
        <f ca="1">IFERROR(__xludf.DUMMYFUNCTION("""COMPUTED_VALUE"""),"EVERGREEN - UAN Gated Content - Embedded Petition")</f>
        <v>EVERGREEN - UAN Gated Content - Embedded Petition</v>
      </c>
      <c r="D846" s="5">
        <f ca="1">IFERROR(__xludf.DUMMYFUNCTION("""COMPUTED_VALUE"""),45702)</f>
        <v>45702</v>
      </c>
      <c r="F846" s="1" t="str">
        <f ca="1">IFERROR(__xludf.DUMMYFUNCTION("""COMPUTED_VALUE"""),"Uganda")</f>
        <v>Uganda</v>
      </c>
      <c r="G846" s="1" t="str">
        <f ca="1">IFERROR(__xludf.DUMMYFUNCTION("""COMPUTED_VALUE"""),"9.25 Uganda")</f>
        <v>9.25 Uganda</v>
      </c>
      <c r="H846" s="1" t="str">
        <f ca="1">IFERROR(__xludf.DUMMYFUNCTION("""COMPUTED_VALUE"""),"Freedom of Expression, Human Rights Defenders")</f>
        <v>Freedom of Expression, Human Rights Defenders</v>
      </c>
      <c r="I846" s="1" t="str">
        <f ca="1">IFERROR(__xludf.DUMMYFUNCTION("""COMPUTED_VALUE"""),"2025")</f>
        <v>2025</v>
      </c>
      <c r="J846" s="1" t="str">
        <f ca="1">IFERROR(__xludf.DUMMYFUNCTION("""COMPUTED_VALUE"""),"Email")</f>
        <v>Email</v>
      </c>
    </row>
    <row r="847" spans="1:10" ht="13" x14ac:dyDescent="0.15">
      <c r="A847" s="4">
        <f ca="1">IFERROR(__xludf.DUMMYFUNCTION("""COMPUTED_VALUE"""),31785060)</f>
        <v>31785060</v>
      </c>
      <c r="B847" s="1" t="str">
        <f ca="1">IFERROR(__xludf.DUMMYFUNCTION("""COMPUTED_VALUE"""),"azamnrad@gmail.com")</f>
        <v>azamnrad@gmail.com</v>
      </c>
      <c r="C847" s="4" t="str">
        <f ca="1">IFERROR(__xludf.DUMMYFUNCTION("""COMPUTED_VALUE"""),"EVERGREEN - UAN Gated Content - Embedded Petition")</f>
        <v>EVERGREEN - UAN Gated Content - Embedded Petition</v>
      </c>
      <c r="D847" s="5">
        <f ca="1">IFERROR(__xludf.DUMMYFUNCTION("""COMPUTED_VALUE"""),45674)</f>
        <v>45674</v>
      </c>
      <c r="F847" s="1" t="str">
        <f ca="1">IFERROR(__xludf.DUMMYFUNCTION("""COMPUTED_VALUE"""),"Honduras")</f>
        <v>Honduras</v>
      </c>
      <c r="G847" s="1" t="str">
        <f ca="1">IFERROR(__xludf.DUMMYFUNCTION("""COMPUTED_VALUE"""),"Second 85.24 Honduras")</f>
        <v>Second 85.24 Honduras</v>
      </c>
      <c r="H847" s="1" t="str">
        <f ca="1">IFERROR(__xludf.DUMMYFUNCTION("""COMPUTED_VALUE"""),"Climate Justice, Human Rights Defenders, Right to Protest")</f>
        <v>Climate Justice, Human Rights Defenders, Right to Protest</v>
      </c>
      <c r="I847" s="1" t="str">
        <f ca="1">IFERROR(__xludf.DUMMYFUNCTION("""COMPUTED_VALUE"""),"2024")</f>
        <v>2024</v>
      </c>
      <c r="J847" s="1" t="str">
        <f ca="1">IFERROR(__xludf.DUMMYFUNCTION("""COMPUTED_VALUE"""),"Email")</f>
        <v>Email</v>
      </c>
    </row>
    <row r="848" spans="1:10" ht="13" x14ac:dyDescent="0.15">
      <c r="A848" s="4">
        <f ca="1">IFERROR(__xludf.DUMMYFUNCTION("""COMPUTED_VALUE"""),31785060)</f>
        <v>31785060</v>
      </c>
      <c r="B848" s="1" t="str">
        <f ca="1">IFERROR(__xludf.DUMMYFUNCTION("""COMPUTED_VALUE"""),"azamnrad@gmail.com")</f>
        <v>azamnrad@gmail.com</v>
      </c>
      <c r="C848" s="4" t="str">
        <f ca="1">IFERROR(__xludf.DUMMYFUNCTION("""COMPUTED_VALUE"""),"EVERGREEN - UAN Gated Content - Embedded Petition")</f>
        <v>EVERGREEN - UAN Gated Content - Embedded Petition</v>
      </c>
      <c r="D848" s="5">
        <f ca="1">IFERROR(__xludf.DUMMYFUNCTION("""COMPUTED_VALUE"""),45679)</f>
        <v>45679</v>
      </c>
      <c r="F848" s="1" t="str">
        <f ca="1">IFERROR(__xludf.DUMMYFUNCTION("""COMPUTED_VALUE"""),"Venezuela")</f>
        <v>Venezuela</v>
      </c>
      <c r="G848" s="1" t="str">
        <f ca="1">IFERROR(__xludf.DUMMYFUNCTION("""COMPUTED_VALUE"""),"1.25 Venezuela")</f>
        <v>1.25 Venezuela</v>
      </c>
      <c r="H848" s="1" t="str">
        <f ca="1">IFERROR(__xludf.DUMMYFUNCTION("""COMPUTED_VALUE"""),"Human Rights Defenders, Individuals At Risk")</f>
        <v>Human Rights Defenders, Individuals At Risk</v>
      </c>
      <c r="I848" s="1" t="str">
        <f ca="1">IFERROR(__xludf.DUMMYFUNCTION("""COMPUTED_VALUE"""),"2025")</f>
        <v>2025</v>
      </c>
      <c r="J848" s="1" t="str">
        <f ca="1">IFERROR(__xludf.DUMMYFUNCTION("""COMPUTED_VALUE"""),"Letter")</f>
        <v>Letter</v>
      </c>
    </row>
    <row r="849" spans="1:10" ht="13" x14ac:dyDescent="0.15">
      <c r="A849" s="4">
        <f ca="1">IFERROR(__xludf.DUMMYFUNCTION("""COMPUTED_VALUE"""),31785060)</f>
        <v>31785060</v>
      </c>
      <c r="B849" s="1" t="str">
        <f ca="1">IFERROR(__xludf.DUMMYFUNCTION("""COMPUTED_VALUE"""),"azamnrad@gmail.com")</f>
        <v>azamnrad@gmail.com</v>
      </c>
      <c r="C849" s="4" t="str">
        <f ca="1">IFERROR(__xludf.DUMMYFUNCTION("""COMPUTED_VALUE"""),"EVERGREEN - Website Email Capture Form - UAN Pre-Footer")</f>
        <v>EVERGREEN - Website Email Capture Form - UAN Pre-Footer</v>
      </c>
      <c r="D849" s="5">
        <f ca="1">IFERROR(__xludf.DUMMYFUNCTION("""COMPUTED_VALUE"""),45674)</f>
        <v>45674</v>
      </c>
      <c r="F849" s="1" t="str">
        <f ca="1">IFERROR(__xludf.DUMMYFUNCTION("""COMPUTED_VALUE"""),"Venezuela")</f>
        <v>Venezuela</v>
      </c>
      <c r="G849" s="1" t="str">
        <f ca="1">IFERROR(__xludf.DUMMYFUNCTION("""COMPUTED_VALUE"""),"1.25 Venezuela")</f>
        <v>1.25 Venezuela</v>
      </c>
      <c r="H849" s="1" t="str">
        <f ca="1">IFERROR(__xludf.DUMMYFUNCTION("""COMPUTED_VALUE"""),"Human Rights Defenders, Individuals At Risk")</f>
        <v>Human Rights Defenders, Individuals At Risk</v>
      </c>
      <c r="I849" s="1" t="str">
        <f ca="1">IFERROR(__xludf.DUMMYFUNCTION("""COMPUTED_VALUE"""),"2025")</f>
        <v>2025</v>
      </c>
      <c r="J849" s="1" t="str">
        <f ca="1">IFERROR(__xludf.DUMMYFUNCTION("""COMPUTED_VALUE"""),"Letter")</f>
        <v>Letter</v>
      </c>
    </row>
    <row r="850" spans="1:10" ht="13" x14ac:dyDescent="0.15">
      <c r="A850" s="4">
        <f ca="1">IFERROR(__xludf.DUMMYFUNCTION("""COMPUTED_VALUE"""),31791059)</f>
        <v>31791059</v>
      </c>
      <c r="B850" s="1" t="str">
        <f ca="1">IFERROR(__xludf.DUMMYFUNCTION("""COMPUTED_VALUE"""),"jquatrine@gmail.com")</f>
        <v>jquatrine@gmail.com</v>
      </c>
      <c r="C850" s="4" t="str">
        <f ca="1">IFERROR(__xludf.DUMMYFUNCTION("""COMPUTED_VALUE"""),"EVERGREEN - UAN Gated Content - Embedded Petition")</f>
        <v>EVERGREEN - UAN Gated Content - Embedded Petition</v>
      </c>
      <c r="D850" s="5">
        <f ca="1">IFERROR(__xludf.DUMMYFUNCTION("""COMPUTED_VALUE"""),45663)</f>
        <v>45663</v>
      </c>
      <c r="F850" s="1" t="str">
        <f ca="1">IFERROR(__xludf.DUMMYFUNCTION("""COMPUTED_VALUE"""),"Venezuela")</f>
        <v>Venezuela</v>
      </c>
      <c r="G850" s="1" t="str">
        <f ca="1">IFERROR(__xludf.DUMMYFUNCTION("""COMPUTED_VALUE"""),"1.25 Venezuela")</f>
        <v>1.25 Venezuela</v>
      </c>
      <c r="H850" s="1" t="str">
        <f ca="1">IFERROR(__xludf.DUMMYFUNCTION("""COMPUTED_VALUE"""),"Human Rights Defenders, Individuals At Risk")</f>
        <v>Human Rights Defenders, Individuals At Risk</v>
      </c>
      <c r="I850" s="1" t="str">
        <f ca="1">IFERROR(__xludf.DUMMYFUNCTION("""COMPUTED_VALUE"""),"2025")</f>
        <v>2025</v>
      </c>
      <c r="J850" s="1" t="str">
        <f ca="1">IFERROR(__xludf.DUMMYFUNCTION("""COMPUTED_VALUE"""),"Letter")</f>
        <v>Letter</v>
      </c>
    </row>
    <row r="851" spans="1:10" ht="13" x14ac:dyDescent="0.15">
      <c r="A851" s="4">
        <f ca="1">IFERROR(__xludf.DUMMYFUNCTION("""COMPUTED_VALUE"""),31791059)</f>
        <v>31791059</v>
      </c>
      <c r="B851" s="1" t="str">
        <f ca="1">IFERROR(__xludf.DUMMYFUNCTION("""COMPUTED_VALUE"""),"jquatrine@gmail.com")</f>
        <v>jquatrine@gmail.com</v>
      </c>
      <c r="C851" s="4" t="str">
        <f ca="1">IFERROR(__xludf.DUMMYFUNCTION("""COMPUTED_VALUE"""),"EVERGREEN - UAN Gated Content - Embedded Petition")</f>
        <v>EVERGREEN - UAN Gated Content - Embedded Petition</v>
      </c>
      <c r="D851" s="5">
        <f ca="1">IFERROR(__xludf.DUMMYFUNCTION("""COMPUTED_VALUE"""),45663)</f>
        <v>45663</v>
      </c>
      <c r="F851" s="1" t="str">
        <f ca="1">IFERROR(__xludf.DUMMYFUNCTION("""COMPUTED_VALUE"""),"Tunisia")</f>
        <v>Tunisia</v>
      </c>
      <c r="G851" s="1" t="str">
        <f ca="1">IFERROR(__xludf.DUMMYFUNCTION("""COMPUTED_VALUE"""),"Second 76.24 Tunisia")</f>
        <v>Second 76.24 Tunisia</v>
      </c>
      <c r="H851" s="1" t="str">
        <f ca="1">IFERROR(__xludf.DUMMYFUNCTION("""COMPUTED_VALUE"""),"Freedom of Expression, Human Rights Defenders")</f>
        <v>Freedom of Expression, Human Rights Defenders</v>
      </c>
      <c r="I851" s="1" t="str">
        <f ca="1">IFERROR(__xludf.DUMMYFUNCTION("""COMPUTED_VALUE"""),"2025")</f>
        <v>2025</v>
      </c>
      <c r="J851" s="1" t="str">
        <f ca="1">IFERROR(__xludf.DUMMYFUNCTION("""COMPUTED_VALUE"""),"Email")</f>
        <v>Email</v>
      </c>
    </row>
    <row r="852" spans="1:10" ht="13" x14ac:dyDescent="0.15">
      <c r="A852" s="4">
        <f ca="1">IFERROR(__xludf.DUMMYFUNCTION("""COMPUTED_VALUE"""),31791059)</f>
        <v>31791059</v>
      </c>
      <c r="B852" s="1" t="str">
        <f ca="1">IFERROR(__xludf.DUMMYFUNCTION("""COMPUTED_VALUE"""),"jquatrine@gmail.com")</f>
        <v>jquatrine@gmail.com</v>
      </c>
      <c r="C852" s="4" t="str">
        <f ca="1">IFERROR(__xludf.DUMMYFUNCTION("""COMPUTED_VALUE"""),"EVERGREEN - UAN Gated Content - Embedded Petition")</f>
        <v>EVERGREEN - UAN Gated Content - Embedded Petition</v>
      </c>
      <c r="D852" s="5">
        <f ca="1">IFERROR(__xludf.DUMMYFUNCTION("""COMPUTED_VALUE"""),45663)</f>
        <v>45663</v>
      </c>
      <c r="F852" s="1" t="str">
        <f ca="1">IFERROR(__xludf.DUMMYFUNCTION("""COMPUTED_VALUE"""),"Tunisia")</f>
        <v>Tunisia</v>
      </c>
      <c r="G852" s="1" t="str">
        <f ca="1">IFERROR(__xludf.DUMMYFUNCTION("""COMPUTED_VALUE"""),"Second 76.24 Tunisia")</f>
        <v>Second 76.24 Tunisia</v>
      </c>
      <c r="H852" s="1" t="str">
        <f ca="1">IFERROR(__xludf.DUMMYFUNCTION("""COMPUTED_VALUE"""),"Freedom of Expression, Human Rights Defenders")</f>
        <v>Freedom of Expression, Human Rights Defenders</v>
      </c>
      <c r="I852" s="1" t="str">
        <f ca="1">IFERROR(__xludf.DUMMYFUNCTION("""COMPUTED_VALUE"""),"2025")</f>
        <v>2025</v>
      </c>
      <c r="J852" s="1" t="str">
        <f ca="1">IFERROR(__xludf.DUMMYFUNCTION("""COMPUTED_VALUE"""),"Email")</f>
        <v>Email</v>
      </c>
    </row>
    <row r="853" spans="1:10" ht="13" x14ac:dyDescent="0.15">
      <c r="A853" s="4">
        <f ca="1">IFERROR(__xludf.DUMMYFUNCTION("""COMPUTED_VALUE"""),31791059)</f>
        <v>31791059</v>
      </c>
      <c r="B853" s="1" t="str">
        <f ca="1">IFERROR(__xludf.DUMMYFUNCTION("""COMPUTED_VALUE"""),"jquatrine@gmail.com")</f>
        <v>jquatrine@gmail.com</v>
      </c>
      <c r="C853" s="4" t="str">
        <f ca="1">IFERROR(__xludf.DUMMYFUNCTION("""COMPUTED_VALUE"""),"EVERGREEN - UAN Gated Content - Embedded Petition")</f>
        <v>EVERGREEN - UAN Gated Content - Embedded Petition</v>
      </c>
      <c r="D853" s="5">
        <f ca="1">IFERROR(__xludf.DUMMYFUNCTION("""COMPUTED_VALUE"""),45663)</f>
        <v>45663</v>
      </c>
      <c r="F853" s="1" t="str">
        <f ca="1">IFERROR(__xludf.DUMMYFUNCTION("""COMPUTED_VALUE"""),"USA")</f>
        <v>USA</v>
      </c>
      <c r="G853" s="1" t="str">
        <f ca="1">IFERROR(__xludf.DUMMYFUNCTION("""COMPUTED_VALUE"""),"96.24 USA")</f>
        <v>96.24 USA</v>
      </c>
      <c r="H853" s="1" t="str">
        <f ca="1">IFERROR(__xludf.DUMMYFUNCTION("""COMPUTED_VALUE"""),"Death Penalty")</f>
        <v>Death Penalty</v>
      </c>
      <c r="I853" s="1" t="str">
        <f ca="1">IFERROR(__xludf.DUMMYFUNCTION("""COMPUTED_VALUE"""),"2024")</f>
        <v>2024</v>
      </c>
      <c r="J853" s="1" t="str">
        <f ca="1">IFERROR(__xludf.DUMMYFUNCTION("""COMPUTED_VALUE"""),"Email")</f>
        <v>Email</v>
      </c>
    </row>
    <row r="854" spans="1:10" ht="13" x14ac:dyDescent="0.15">
      <c r="A854" s="4">
        <f ca="1">IFERROR(__xludf.DUMMYFUNCTION("""COMPUTED_VALUE"""),31791059)</f>
        <v>31791059</v>
      </c>
      <c r="B854" s="1" t="str">
        <f ca="1">IFERROR(__xludf.DUMMYFUNCTION("""COMPUTED_VALUE"""),"jquatrine@gmail.com")</f>
        <v>jquatrine@gmail.com</v>
      </c>
      <c r="C854" s="4" t="str">
        <f ca="1">IFERROR(__xludf.DUMMYFUNCTION("""COMPUTED_VALUE"""),"EVERGREEN - UAN Gated Content - Embedded Petition")</f>
        <v>EVERGREEN - UAN Gated Content - Embedded Petition</v>
      </c>
      <c r="D854" s="5">
        <f ca="1">IFERROR(__xludf.DUMMYFUNCTION("""COMPUTED_VALUE"""),45663)</f>
        <v>45663</v>
      </c>
      <c r="F854" s="1" t="str">
        <f ca="1">IFERROR(__xludf.DUMMYFUNCTION("""COMPUTED_VALUE"""),"USA")</f>
        <v>USA</v>
      </c>
      <c r="G854" s="1" t="str">
        <f ca="1">IFERROR(__xludf.DUMMYFUNCTION("""COMPUTED_VALUE"""),"4.25 USA")</f>
        <v>4.25 USA</v>
      </c>
      <c r="H854" s="1" t="str">
        <f ca="1">IFERROR(__xludf.DUMMYFUNCTION("""COMPUTED_VALUE"""),"Individuals At Risk, Refugee and Migrant Rights")</f>
        <v>Individuals At Risk, Refugee and Migrant Rights</v>
      </c>
      <c r="I854" s="1" t="str">
        <f ca="1">IFERROR(__xludf.DUMMYFUNCTION("""COMPUTED_VALUE"""),"2025")</f>
        <v>2025</v>
      </c>
      <c r="J854" s="1" t="str">
        <f ca="1">IFERROR(__xludf.DUMMYFUNCTION("""COMPUTED_VALUE"""),"Letter")</f>
        <v>Letter</v>
      </c>
    </row>
    <row r="855" spans="1:10" ht="13" x14ac:dyDescent="0.15">
      <c r="A855" s="4">
        <f ca="1">IFERROR(__xludf.DUMMYFUNCTION("""COMPUTED_VALUE"""),31817200)</f>
        <v>31817200</v>
      </c>
      <c r="B855" s="1" t="str">
        <f ca="1">IFERROR(__xludf.DUMMYFUNCTION("""COMPUTED_VALUE"""),"kathsfort@yahoo.com")</f>
        <v>kathsfort@yahoo.com</v>
      </c>
      <c r="C855" s="4" t="str">
        <f ca="1">IFERROR(__xludf.DUMMYFUNCTION("""COMPUTED_VALUE"""),"EVERGREEN - UAN Gated Content - Embedded Petition")</f>
        <v>EVERGREEN - UAN Gated Content - Embedded Petition</v>
      </c>
      <c r="D855" s="5">
        <f ca="1">IFERROR(__xludf.DUMMYFUNCTION("""COMPUTED_VALUE"""),45679)</f>
        <v>45679</v>
      </c>
      <c r="F855" s="1" t="str">
        <f ca="1">IFERROR(__xludf.DUMMYFUNCTION("""COMPUTED_VALUE"""),"Tunisia")</f>
        <v>Tunisia</v>
      </c>
      <c r="G855" s="1" t="str">
        <f ca="1">IFERROR(__xludf.DUMMYFUNCTION("""COMPUTED_VALUE"""),"Second 76.24 Tunisia")</f>
        <v>Second 76.24 Tunisia</v>
      </c>
      <c r="H855" s="1" t="str">
        <f ca="1">IFERROR(__xludf.DUMMYFUNCTION("""COMPUTED_VALUE"""),"Freedom of Expression, Human Rights Defenders")</f>
        <v>Freedom of Expression, Human Rights Defenders</v>
      </c>
      <c r="I855" s="1" t="str">
        <f ca="1">IFERROR(__xludf.DUMMYFUNCTION("""COMPUTED_VALUE"""),"2025")</f>
        <v>2025</v>
      </c>
      <c r="J855" s="1" t="str">
        <f ca="1">IFERROR(__xludf.DUMMYFUNCTION("""COMPUTED_VALUE"""),"Email")</f>
        <v>Email</v>
      </c>
    </row>
    <row r="856" spans="1:10" ht="13" x14ac:dyDescent="0.15">
      <c r="A856" s="4">
        <f ca="1">IFERROR(__xludf.DUMMYFUNCTION("""COMPUTED_VALUE"""),31823681)</f>
        <v>31823681</v>
      </c>
      <c r="B856" s="1" t="str">
        <f ca="1">IFERROR(__xludf.DUMMYFUNCTION("""COMPUTED_VALUE"""),"rredford112@gmail.com")</f>
        <v>rredford112@gmail.com</v>
      </c>
      <c r="C856" s="4" t="str">
        <f ca="1">IFERROR(__xludf.DUMMYFUNCTION("""COMPUTED_VALUE"""),"EVERGREEN - UAN Gated Content - Embedded Petition")</f>
        <v>EVERGREEN - UAN Gated Content - Embedded Petition</v>
      </c>
      <c r="D856" s="5">
        <f ca="1">IFERROR(__xludf.DUMMYFUNCTION("""COMPUTED_VALUE"""),45642)</f>
        <v>45642</v>
      </c>
      <c r="F856" s="1" t="str">
        <f ca="1">IFERROR(__xludf.DUMMYFUNCTION("""COMPUTED_VALUE"""),"Tunisia")</f>
        <v>Tunisia</v>
      </c>
      <c r="G856" s="1" t="str">
        <f ca="1">IFERROR(__xludf.DUMMYFUNCTION("""COMPUTED_VALUE"""),"Second 76.24 Tunisia")</f>
        <v>Second 76.24 Tunisia</v>
      </c>
      <c r="H856" s="1" t="str">
        <f ca="1">IFERROR(__xludf.DUMMYFUNCTION("""COMPUTED_VALUE"""),"Freedom of Expression, Human Rights Defenders")</f>
        <v>Freedom of Expression, Human Rights Defenders</v>
      </c>
      <c r="I856" s="1" t="str">
        <f ca="1">IFERROR(__xludf.DUMMYFUNCTION("""COMPUTED_VALUE"""),"2025")</f>
        <v>2025</v>
      </c>
      <c r="J856" s="1" t="str">
        <f ca="1">IFERROR(__xludf.DUMMYFUNCTION("""COMPUTED_VALUE"""),"Email")</f>
        <v>Email</v>
      </c>
    </row>
    <row r="857" spans="1:10" ht="13" x14ac:dyDescent="0.15">
      <c r="A857" s="4">
        <f ca="1">IFERROR(__xludf.DUMMYFUNCTION("""COMPUTED_VALUE"""),31838412)</f>
        <v>31838412</v>
      </c>
      <c r="B857" s="1" t="str">
        <f ca="1">IFERROR(__xludf.DUMMYFUNCTION("""COMPUTED_VALUE"""),"occbass@hotmail.com")</f>
        <v>occbass@hotmail.com</v>
      </c>
      <c r="C857" s="4" t="str">
        <f ca="1">IFERROR(__xludf.DUMMYFUNCTION("""COMPUTED_VALUE"""),"EVERGREEN - UAN Gated Content - Embedded Petition")</f>
        <v>EVERGREEN - UAN Gated Content - Embedded Petition</v>
      </c>
      <c r="D857" s="5">
        <f ca="1">IFERROR(__xludf.DUMMYFUNCTION("""COMPUTED_VALUE"""),45696)</f>
        <v>45696</v>
      </c>
      <c r="F857" s="1" t="str">
        <f ca="1">IFERROR(__xludf.DUMMYFUNCTION("""COMPUTED_VALUE"""),"Iran")</f>
        <v>Iran</v>
      </c>
      <c r="G857" s="1" t="str">
        <f ca="1">IFERROR(__xludf.DUMMYFUNCTION("""COMPUTED_VALUE"""),"Seventh 103.22 Iran")</f>
        <v>Seventh 103.22 Iran</v>
      </c>
      <c r="H857" s="1" t="str">
        <f ca="1">IFERROR(__xludf.DUMMYFUNCTION("""COMPUTED_VALUE"""),"Death Penalty, Freedom of Expression, Individuals At Risk")</f>
        <v>Death Penalty, Freedom of Expression, Individuals At Risk</v>
      </c>
      <c r="I857" s="1" t="str">
        <f ca="1">IFERROR(__xludf.DUMMYFUNCTION("""COMPUTED_VALUE"""),"2024")</f>
        <v>2024</v>
      </c>
      <c r="J857" s="1" t="str">
        <f ca="1">IFERROR(__xludf.DUMMYFUNCTION("""COMPUTED_VALUE"""),"Email")</f>
        <v>Email</v>
      </c>
    </row>
    <row r="858" spans="1:10" ht="13" x14ac:dyDescent="0.15">
      <c r="A858" s="4">
        <f ca="1">IFERROR(__xludf.DUMMYFUNCTION("""COMPUTED_VALUE"""),31838412)</f>
        <v>31838412</v>
      </c>
      <c r="B858" s="1" t="str">
        <f ca="1">IFERROR(__xludf.DUMMYFUNCTION("""COMPUTED_VALUE"""),"occbass@hotmail.com")</f>
        <v>occbass@hotmail.com</v>
      </c>
      <c r="C858" s="4" t="str">
        <f ca="1">IFERROR(__xludf.DUMMYFUNCTION("""COMPUTED_VALUE"""),"EVERGREEN - UAN Gated Content - Embedded Petition")</f>
        <v>EVERGREEN - UAN Gated Content - Embedded Petition</v>
      </c>
      <c r="D858" s="5">
        <f ca="1">IFERROR(__xludf.DUMMYFUNCTION("""COMPUTED_VALUE"""),45696)</f>
        <v>45696</v>
      </c>
      <c r="F858" s="1" t="str">
        <f ca="1">IFERROR(__xludf.DUMMYFUNCTION("""COMPUTED_VALUE"""),"Tunisia")</f>
        <v>Tunisia</v>
      </c>
      <c r="G858" s="1" t="str">
        <f ca="1">IFERROR(__xludf.DUMMYFUNCTION("""COMPUTED_VALUE"""),"Second 76.24 Tunisia")</f>
        <v>Second 76.24 Tunisia</v>
      </c>
      <c r="H858" s="1" t="str">
        <f ca="1">IFERROR(__xludf.DUMMYFUNCTION("""COMPUTED_VALUE"""),"Freedom of Expression, Human Rights Defenders")</f>
        <v>Freedom of Expression, Human Rights Defenders</v>
      </c>
      <c r="I858" s="1" t="str">
        <f ca="1">IFERROR(__xludf.DUMMYFUNCTION("""COMPUTED_VALUE"""),"2025")</f>
        <v>2025</v>
      </c>
      <c r="J858" s="1" t="str">
        <f ca="1">IFERROR(__xludf.DUMMYFUNCTION("""COMPUTED_VALUE"""),"Email")</f>
        <v>Email</v>
      </c>
    </row>
    <row r="859" spans="1:10" ht="13" x14ac:dyDescent="0.15">
      <c r="A859" s="4">
        <f ca="1">IFERROR(__xludf.DUMMYFUNCTION("""COMPUTED_VALUE"""),31838412)</f>
        <v>31838412</v>
      </c>
      <c r="B859" s="1" t="str">
        <f ca="1">IFERROR(__xludf.DUMMYFUNCTION("""COMPUTED_VALUE"""),"occbass@hotmail.com")</f>
        <v>occbass@hotmail.com</v>
      </c>
      <c r="C859" s="4" t="str">
        <f ca="1">IFERROR(__xludf.DUMMYFUNCTION("""COMPUTED_VALUE"""),"EVERGREEN - UAN Gated Content - Embedded Petition")</f>
        <v>EVERGREEN - UAN Gated Content - Embedded Petition</v>
      </c>
      <c r="D859" s="5">
        <f ca="1">IFERROR(__xludf.DUMMYFUNCTION("""COMPUTED_VALUE"""),45696)</f>
        <v>45696</v>
      </c>
      <c r="F859" s="1" t="str">
        <f ca="1">IFERROR(__xludf.DUMMYFUNCTION("""COMPUTED_VALUE"""),"USA")</f>
        <v>USA</v>
      </c>
      <c r="G859" s="1" t="str">
        <f ca="1">IFERROR(__xludf.DUMMYFUNCTION("""COMPUTED_VALUE"""),"4.25 USA")</f>
        <v>4.25 USA</v>
      </c>
      <c r="H859" s="1" t="str">
        <f ca="1">IFERROR(__xludf.DUMMYFUNCTION("""COMPUTED_VALUE"""),"Individuals At Risk, Refugee and Migrant Rights")</f>
        <v>Individuals At Risk, Refugee and Migrant Rights</v>
      </c>
      <c r="I859" s="1" t="str">
        <f ca="1">IFERROR(__xludf.DUMMYFUNCTION("""COMPUTED_VALUE"""),"2025")</f>
        <v>2025</v>
      </c>
      <c r="J859" s="1" t="str">
        <f ca="1">IFERROR(__xludf.DUMMYFUNCTION("""COMPUTED_VALUE"""),"Letter")</f>
        <v>Letter</v>
      </c>
    </row>
    <row r="860" spans="1:10" ht="13" x14ac:dyDescent="0.15">
      <c r="A860" s="4">
        <f ca="1">IFERROR(__xludf.DUMMYFUNCTION("""COMPUTED_VALUE"""),31838412)</f>
        <v>31838412</v>
      </c>
      <c r="B860" s="1" t="str">
        <f ca="1">IFERROR(__xludf.DUMMYFUNCTION("""COMPUTED_VALUE"""),"occbass@hotmail.com")</f>
        <v>occbass@hotmail.com</v>
      </c>
      <c r="C860" s="4" t="str">
        <f ca="1">IFERROR(__xludf.DUMMYFUNCTION("""COMPUTED_VALUE"""),"EVERGREEN - UAN Gated Content - Embedded Petition")</f>
        <v>EVERGREEN - UAN Gated Content - Embedded Petition</v>
      </c>
      <c r="D860" s="5">
        <f ca="1">IFERROR(__xludf.DUMMYFUNCTION("""COMPUTED_VALUE"""),45696)</f>
        <v>45696</v>
      </c>
      <c r="F860" s="1" t="str">
        <f ca="1">IFERROR(__xludf.DUMMYFUNCTION("""COMPUTED_VALUE"""),"Tunisia")</f>
        <v>Tunisia</v>
      </c>
      <c r="G860" s="1" t="str">
        <f ca="1">IFERROR(__xludf.DUMMYFUNCTION("""COMPUTED_VALUE"""),"Second 76.24 Tunisia")</f>
        <v>Second 76.24 Tunisia</v>
      </c>
      <c r="H860" s="1" t="str">
        <f ca="1">IFERROR(__xludf.DUMMYFUNCTION("""COMPUTED_VALUE"""),"Freedom of Expression, Human Rights Defenders")</f>
        <v>Freedom of Expression, Human Rights Defenders</v>
      </c>
      <c r="I860" s="1" t="str">
        <f ca="1">IFERROR(__xludf.DUMMYFUNCTION("""COMPUTED_VALUE"""),"2025")</f>
        <v>2025</v>
      </c>
      <c r="J860" s="1" t="str">
        <f ca="1">IFERROR(__xludf.DUMMYFUNCTION("""COMPUTED_VALUE"""),"Email")</f>
        <v>Email</v>
      </c>
    </row>
    <row r="861" spans="1:10" ht="13" x14ac:dyDescent="0.15">
      <c r="A861" s="4">
        <f ca="1">IFERROR(__xludf.DUMMYFUNCTION("""COMPUTED_VALUE"""),31851256)</f>
        <v>31851256</v>
      </c>
      <c r="B861" s="1" t="str">
        <f ca="1">IFERROR(__xludf.DUMMYFUNCTION("""COMPUTED_VALUE"""),"bibliofool1@verizon.net")</f>
        <v>bibliofool1@verizon.net</v>
      </c>
      <c r="C861" s="4" t="str">
        <f ca="1">IFERROR(__xludf.DUMMYFUNCTION("""COMPUTED_VALUE"""),"EVERGREEN - UAN Gated Content - Embedded Petition")</f>
        <v>EVERGREEN - UAN Gated Content - Embedded Petition</v>
      </c>
      <c r="D861" s="5">
        <f ca="1">IFERROR(__xludf.DUMMYFUNCTION("""COMPUTED_VALUE"""),45638)</f>
        <v>45638</v>
      </c>
      <c r="F861" s="1" t="str">
        <f ca="1">IFERROR(__xludf.DUMMYFUNCTION("""COMPUTED_VALUE"""),"USA")</f>
        <v>USA</v>
      </c>
      <c r="G861" s="1" t="str">
        <f ca="1">IFERROR(__xludf.DUMMYFUNCTION("""COMPUTED_VALUE"""),"4.25 USA")</f>
        <v>4.25 USA</v>
      </c>
      <c r="H861" s="1" t="str">
        <f ca="1">IFERROR(__xludf.DUMMYFUNCTION("""COMPUTED_VALUE"""),"Individuals At Risk, Refugee and Migrant Rights")</f>
        <v>Individuals At Risk, Refugee and Migrant Rights</v>
      </c>
      <c r="I861" s="1" t="str">
        <f ca="1">IFERROR(__xludf.DUMMYFUNCTION("""COMPUTED_VALUE"""),"2025")</f>
        <v>2025</v>
      </c>
      <c r="J861" s="1" t="str">
        <f ca="1">IFERROR(__xludf.DUMMYFUNCTION("""COMPUTED_VALUE"""),"Letter")</f>
        <v>Letter</v>
      </c>
    </row>
    <row r="862" spans="1:10" ht="13" x14ac:dyDescent="0.15">
      <c r="A862" s="4">
        <f ca="1">IFERROR(__xludf.DUMMYFUNCTION("""COMPUTED_VALUE"""),31851256)</f>
        <v>31851256</v>
      </c>
      <c r="B862" s="1" t="str">
        <f ca="1">IFERROR(__xludf.DUMMYFUNCTION("""COMPUTED_VALUE"""),"bibliofool1@verizon.net")</f>
        <v>bibliofool1@verizon.net</v>
      </c>
      <c r="C862" s="4" t="str">
        <f ca="1">IFERROR(__xludf.DUMMYFUNCTION("""COMPUTED_VALUE"""),"EVERGREEN - UAN Gated Content - Embedded Petition")</f>
        <v>EVERGREEN - UAN Gated Content - Embedded Petition</v>
      </c>
      <c r="D862" s="5">
        <f ca="1">IFERROR(__xludf.DUMMYFUNCTION("""COMPUTED_VALUE"""),45703)</f>
        <v>45703</v>
      </c>
      <c r="F862" s="1" t="str">
        <f ca="1">IFERROR(__xludf.DUMMYFUNCTION("""COMPUTED_VALUE"""),"Tunisia")</f>
        <v>Tunisia</v>
      </c>
      <c r="G862" s="1" t="str">
        <f ca="1">IFERROR(__xludf.DUMMYFUNCTION("""COMPUTED_VALUE"""),"Second 76.24 Tunisia")</f>
        <v>Second 76.24 Tunisia</v>
      </c>
      <c r="H862" s="1" t="str">
        <f ca="1">IFERROR(__xludf.DUMMYFUNCTION("""COMPUTED_VALUE"""),"Freedom of Expression, Human Rights Defenders")</f>
        <v>Freedom of Expression, Human Rights Defenders</v>
      </c>
      <c r="I862" s="1" t="str">
        <f ca="1">IFERROR(__xludf.DUMMYFUNCTION("""COMPUTED_VALUE"""),"2025")</f>
        <v>2025</v>
      </c>
      <c r="J862" s="1" t="str">
        <f ca="1">IFERROR(__xludf.DUMMYFUNCTION("""COMPUTED_VALUE"""),"Email")</f>
        <v>Email</v>
      </c>
    </row>
    <row r="863" spans="1:10" ht="13" x14ac:dyDescent="0.15">
      <c r="A863" s="4">
        <f ca="1">IFERROR(__xludf.DUMMYFUNCTION("""COMPUTED_VALUE"""),31851256)</f>
        <v>31851256</v>
      </c>
      <c r="B863" s="1" t="str">
        <f ca="1">IFERROR(__xludf.DUMMYFUNCTION("""COMPUTED_VALUE"""),"bibliofool1@verizon.net")</f>
        <v>bibliofool1@verizon.net</v>
      </c>
      <c r="C863" s="4" t="str">
        <f ca="1">IFERROR(__xludf.DUMMYFUNCTION("""COMPUTED_VALUE"""),"EVERGREEN - UAN Gated Content - Embedded Petition")</f>
        <v>EVERGREEN - UAN Gated Content - Embedded Petition</v>
      </c>
      <c r="D863" s="5">
        <f ca="1">IFERROR(__xludf.DUMMYFUNCTION("""COMPUTED_VALUE"""),45638)</f>
        <v>45638</v>
      </c>
      <c r="F863" s="1" t="str">
        <f ca="1">IFERROR(__xludf.DUMMYFUNCTION("""COMPUTED_VALUE"""),"Russian Federation")</f>
        <v>Russian Federation</v>
      </c>
      <c r="G863" s="1" t="str">
        <f ca="1">IFERROR(__xludf.DUMMYFUNCTION("""COMPUTED_VALUE"""),"Second 23.24 Russia")</f>
        <v>Second 23.24 Russia</v>
      </c>
      <c r="H863" s="1" t="str">
        <f ca="1">IFERROR(__xludf.DUMMYFUNCTION("""COMPUTED_VALUE"""),"Freedom of Expression")</f>
        <v>Freedom of Expression</v>
      </c>
      <c r="I863" s="1" t="str">
        <f ca="1">IFERROR(__xludf.DUMMYFUNCTION("""COMPUTED_VALUE"""),"2024")</f>
        <v>2024</v>
      </c>
      <c r="J863" s="1" t="str">
        <f ca="1">IFERROR(__xludf.DUMMYFUNCTION("""COMPUTED_VALUE"""),"Letter")</f>
        <v>Letter</v>
      </c>
    </row>
    <row r="864" spans="1:10" ht="13" x14ac:dyDescent="0.15">
      <c r="A864" s="4">
        <f ca="1">IFERROR(__xludf.DUMMYFUNCTION("""COMPUTED_VALUE"""),31851256)</f>
        <v>31851256</v>
      </c>
      <c r="B864" s="1" t="str">
        <f ca="1">IFERROR(__xludf.DUMMYFUNCTION("""COMPUTED_VALUE"""),"bibliofool1@verizon.net")</f>
        <v>bibliofool1@verizon.net</v>
      </c>
      <c r="C864" s="4" t="str">
        <f ca="1">IFERROR(__xludf.DUMMYFUNCTION("""COMPUTED_VALUE"""),"EVERGREEN - UAN Gated Content - Embedded Petition")</f>
        <v>EVERGREEN - UAN Gated Content - Embedded Petition</v>
      </c>
      <c r="D864" s="5">
        <f ca="1">IFERROR(__xludf.DUMMYFUNCTION("""COMPUTED_VALUE"""),45638)</f>
        <v>45638</v>
      </c>
      <c r="F864" s="1" t="str">
        <f ca="1">IFERROR(__xludf.DUMMYFUNCTION("""COMPUTED_VALUE"""),"China")</f>
        <v>China</v>
      </c>
      <c r="G864" s="1" t="str">
        <f ca="1">IFERROR(__xludf.DUMMYFUNCTION("""COMPUTED_VALUE"""),"98.24 China")</f>
        <v>98.24 China</v>
      </c>
      <c r="H864" s="1" t="str">
        <f ca="1">IFERROR(__xludf.DUMMYFUNCTION("""COMPUTED_VALUE"""),"Freedom of Expression, Individuals At Risk")</f>
        <v>Freedom of Expression, Individuals At Risk</v>
      </c>
      <c r="I864" s="1" t="str">
        <f ca="1">IFERROR(__xludf.DUMMYFUNCTION("""COMPUTED_VALUE"""),"2024")</f>
        <v>2024</v>
      </c>
      <c r="J864" s="1" t="str">
        <f ca="1">IFERROR(__xludf.DUMMYFUNCTION("""COMPUTED_VALUE"""),"Letter")</f>
        <v>Letter</v>
      </c>
    </row>
    <row r="865" spans="1:10" ht="13" x14ac:dyDescent="0.15">
      <c r="A865" s="4">
        <f ca="1">IFERROR(__xludf.DUMMYFUNCTION("""COMPUTED_VALUE"""),31851256)</f>
        <v>31851256</v>
      </c>
      <c r="B865" s="1" t="str">
        <f ca="1">IFERROR(__xludf.DUMMYFUNCTION("""COMPUTED_VALUE"""),"bibliofool1@verizon.net")</f>
        <v>bibliofool1@verizon.net</v>
      </c>
      <c r="C865" s="4" t="str">
        <f ca="1">IFERROR(__xludf.DUMMYFUNCTION("""COMPUTED_VALUE"""),"EVERGREEN - UAN Gated Content - Embedded Petition")</f>
        <v>EVERGREEN - UAN Gated Content - Embedded Petition</v>
      </c>
      <c r="D865" s="5">
        <f ca="1">IFERROR(__xludf.DUMMYFUNCTION("""COMPUTED_VALUE"""),45638)</f>
        <v>45638</v>
      </c>
      <c r="F865" s="1" t="str">
        <f ca="1">IFERROR(__xludf.DUMMYFUNCTION("""COMPUTED_VALUE"""),"Venezuela")</f>
        <v>Venezuela</v>
      </c>
      <c r="G865" s="1" t="str">
        <f ca="1">IFERROR(__xludf.DUMMYFUNCTION("""COMPUTED_VALUE"""),"97.24 Venezuela")</f>
        <v>97.24 Venezuela</v>
      </c>
      <c r="H865" s="1" t="str">
        <f ca="1">IFERROR(__xludf.DUMMYFUNCTION("""COMPUTED_VALUE"""),"Freedom of Expression")</f>
        <v>Freedom of Expression</v>
      </c>
      <c r="I865" s="1" t="str">
        <f ca="1">IFERROR(__xludf.DUMMYFUNCTION("""COMPUTED_VALUE"""),"2024")</f>
        <v>2024</v>
      </c>
      <c r="J865" s="1" t="str">
        <f ca="1">IFERROR(__xludf.DUMMYFUNCTION("""COMPUTED_VALUE"""),"Letter")</f>
        <v>Letter</v>
      </c>
    </row>
    <row r="866" spans="1:10" ht="13" x14ac:dyDescent="0.15">
      <c r="A866" s="4">
        <f ca="1">IFERROR(__xludf.DUMMYFUNCTION("""COMPUTED_VALUE"""),31851256)</f>
        <v>31851256</v>
      </c>
      <c r="B866" s="1" t="str">
        <f ca="1">IFERROR(__xludf.DUMMYFUNCTION("""COMPUTED_VALUE"""),"bibliofool1@verizon.net")</f>
        <v>bibliofool1@verizon.net</v>
      </c>
      <c r="C866" s="4" t="str">
        <f ca="1">IFERROR(__xludf.DUMMYFUNCTION("""COMPUTED_VALUE"""),"EVERGREEN - UAN Gated Content - Embedded Petition")</f>
        <v>EVERGREEN - UAN Gated Content - Embedded Petition</v>
      </c>
      <c r="D866" s="5">
        <f ca="1">IFERROR(__xludf.DUMMYFUNCTION("""COMPUTED_VALUE"""),45638)</f>
        <v>45638</v>
      </c>
      <c r="F866" s="1" t="str">
        <f ca="1">IFERROR(__xludf.DUMMYFUNCTION("""COMPUTED_VALUE"""),"Venezuela")</f>
        <v>Venezuela</v>
      </c>
      <c r="G866" s="1" t="str">
        <f ca="1">IFERROR(__xludf.DUMMYFUNCTION("""COMPUTED_VALUE"""),"97.24 Venezuela")</f>
        <v>97.24 Venezuela</v>
      </c>
      <c r="H866" s="1" t="str">
        <f ca="1">IFERROR(__xludf.DUMMYFUNCTION("""COMPUTED_VALUE"""),"Freedom of Expression")</f>
        <v>Freedom of Expression</v>
      </c>
      <c r="I866" s="1" t="str">
        <f ca="1">IFERROR(__xludf.DUMMYFUNCTION("""COMPUTED_VALUE"""),"2024")</f>
        <v>2024</v>
      </c>
      <c r="J866" s="1" t="str">
        <f ca="1">IFERROR(__xludf.DUMMYFUNCTION("""COMPUTED_VALUE"""),"Letter")</f>
        <v>Letter</v>
      </c>
    </row>
    <row r="867" spans="1:10" ht="13" x14ac:dyDescent="0.15">
      <c r="A867" s="4">
        <f ca="1">IFERROR(__xludf.DUMMYFUNCTION("""COMPUTED_VALUE"""),31851256)</f>
        <v>31851256</v>
      </c>
      <c r="B867" s="1" t="str">
        <f ca="1">IFERROR(__xludf.DUMMYFUNCTION("""COMPUTED_VALUE"""),"bibliofool1@verizon.net")</f>
        <v>bibliofool1@verizon.net</v>
      </c>
      <c r="C867" s="4" t="str">
        <f ca="1">IFERROR(__xludf.DUMMYFUNCTION("""COMPUTED_VALUE"""),"EVERGREEN - UAN Gated Content - Embedded Petition")</f>
        <v>EVERGREEN - UAN Gated Content - Embedded Petition</v>
      </c>
      <c r="D867" s="5">
        <f ca="1">IFERROR(__xludf.DUMMYFUNCTION("""COMPUTED_VALUE"""),45638)</f>
        <v>45638</v>
      </c>
      <c r="F867" s="1" t="str">
        <f ca="1">IFERROR(__xludf.DUMMYFUNCTION("""COMPUTED_VALUE"""),"USA")</f>
        <v>USA</v>
      </c>
      <c r="G867" s="1" t="str">
        <f ca="1">IFERROR(__xludf.DUMMYFUNCTION("""COMPUTED_VALUE"""),"105.24 USA")</f>
        <v>105.24 USA</v>
      </c>
      <c r="H867" s="1" t="str">
        <f ca="1">IFERROR(__xludf.DUMMYFUNCTION("""COMPUTED_VALUE"""),"Death Penalty")</f>
        <v>Death Penalty</v>
      </c>
      <c r="I867" s="1" t="str">
        <f ca="1">IFERROR(__xludf.DUMMYFUNCTION("""COMPUTED_VALUE"""),"2024")</f>
        <v>2024</v>
      </c>
      <c r="J867" s="1" t="str">
        <f ca="1">IFERROR(__xludf.DUMMYFUNCTION("""COMPUTED_VALUE"""),"Email")</f>
        <v>Email</v>
      </c>
    </row>
    <row r="868" spans="1:10" ht="13" x14ac:dyDescent="0.15">
      <c r="A868" s="4">
        <f ca="1">IFERROR(__xludf.DUMMYFUNCTION("""COMPUTED_VALUE"""),31851256)</f>
        <v>31851256</v>
      </c>
      <c r="B868" s="1" t="str">
        <f ca="1">IFERROR(__xludf.DUMMYFUNCTION("""COMPUTED_VALUE"""),"bibliofool1@verizon.net")</f>
        <v>bibliofool1@verizon.net</v>
      </c>
      <c r="C868" s="4" t="str">
        <f ca="1">IFERROR(__xludf.DUMMYFUNCTION("""COMPUTED_VALUE"""),"EVERGREEN - UAN Gated Content - Embedded Petition")</f>
        <v>EVERGREEN - UAN Gated Content - Embedded Petition</v>
      </c>
      <c r="D868" s="5">
        <f ca="1">IFERROR(__xludf.DUMMYFUNCTION("""COMPUTED_VALUE"""),45703)</f>
        <v>45703</v>
      </c>
      <c r="F868" s="1" t="str">
        <f ca="1">IFERROR(__xludf.DUMMYFUNCTION("""COMPUTED_VALUE"""),"Egypt")</f>
        <v>Egypt</v>
      </c>
      <c r="G868" s="1" t="str">
        <f ca="1">IFERROR(__xludf.DUMMYFUNCTION("""COMPUTED_VALUE"""),"Ninth 190.18 Egypt")</f>
        <v>Ninth 190.18 Egypt</v>
      </c>
      <c r="H868" s="1" t="str">
        <f ca="1">IFERROR(__xludf.DUMMYFUNCTION("""COMPUTED_VALUE"""),"Freedom of Expression, Individuals At Risk")</f>
        <v>Freedom of Expression, Individuals At Risk</v>
      </c>
      <c r="I868" s="1" t="str">
        <f ca="1">IFERROR(__xludf.DUMMYFUNCTION("""COMPUTED_VALUE"""),"2024")</f>
        <v>2024</v>
      </c>
      <c r="J868" s="1" t="str">
        <f ca="1">IFERROR(__xludf.DUMMYFUNCTION("""COMPUTED_VALUE"""),"Letter")</f>
        <v>Letter</v>
      </c>
    </row>
    <row r="869" spans="1:10" ht="13" x14ac:dyDescent="0.15">
      <c r="A869" s="4">
        <f ca="1">IFERROR(__xludf.DUMMYFUNCTION("""COMPUTED_VALUE"""),31851256)</f>
        <v>31851256</v>
      </c>
      <c r="B869" s="1" t="str">
        <f ca="1">IFERROR(__xludf.DUMMYFUNCTION("""COMPUTED_VALUE"""),"bibliofool1@verizon.net")</f>
        <v>bibliofool1@verizon.net</v>
      </c>
      <c r="C869" s="4" t="str">
        <f ca="1">IFERROR(__xludf.DUMMYFUNCTION("""COMPUTED_VALUE"""),"EVERGREEN - UAN Gated Content - Embedded Petition")</f>
        <v>EVERGREEN - UAN Gated Content - Embedded Petition</v>
      </c>
      <c r="D869" s="5">
        <f ca="1">IFERROR(__xludf.DUMMYFUNCTION("""COMPUTED_VALUE"""),45703)</f>
        <v>45703</v>
      </c>
      <c r="F869" s="1" t="str">
        <f ca="1">IFERROR(__xludf.DUMMYFUNCTION("""COMPUTED_VALUE"""),"Uganda")</f>
        <v>Uganda</v>
      </c>
      <c r="G869" s="1" t="str">
        <f ca="1">IFERROR(__xludf.DUMMYFUNCTION("""COMPUTED_VALUE"""),"100.24 Uganda")</f>
        <v>100.24 Uganda</v>
      </c>
      <c r="H869" s="1" t="str">
        <f ca="1">IFERROR(__xludf.DUMMYFUNCTION("""COMPUTED_VALUE"""),"Freedom of Expression")</f>
        <v>Freedom of Expression</v>
      </c>
      <c r="I869" s="1" t="str">
        <f ca="1">IFERROR(__xludf.DUMMYFUNCTION("""COMPUTED_VALUE"""),"2024")</f>
        <v>2024</v>
      </c>
      <c r="J869" s="1" t="str">
        <f ca="1">IFERROR(__xludf.DUMMYFUNCTION("""COMPUTED_VALUE"""),"Email")</f>
        <v>Email</v>
      </c>
    </row>
    <row r="870" spans="1:10" ht="13" x14ac:dyDescent="0.15">
      <c r="A870" s="4">
        <f ca="1">IFERROR(__xludf.DUMMYFUNCTION("""COMPUTED_VALUE"""),31851256)</f>
        <v>31851256</v>
      </c>
      <c r="B870" s="1" t="str">
        <f ca="1">IFERROR(__xludf.DUMMYFUNCTION("""COMPUTED_VALUE"""),"bibliofool1@verizon.net")</f>
        <v>bibliofool1@verizon.net</v>
      </c>
      <c r="C870" s="4" t="str">
        <f ca="1">IFERROR(__xludf.DUMMYFUNCTION("""COMPUTED_VALUE"""),"EVERGREEN - UAN Gated Content - Embedded Petition")</f>
        <v>EVERGREEN - UAN Gated Content - Embedded Petition</v>
      </c>
      <c r="D870" s="5">
        <f ca="1">IFERROR(__xludf.DUMMYFUNCTION("""COMPUTED_VALUE"""),45682)</f>
        <v>45682</v>
      </c>
      <c r="F870" s="1" t="str">
        <f ca="1">IFERROR(__xludf.DUMMYFUNCTION("""COMPUTED_VALUE"""),"Iran")</f>
        <v>Iran</v>
      </c>
      <c r="G870" s="1" t="str">
        <f ca="1">IFERROR(__xludf.DUMMYFUNCTION("""COMPUTED_VALUE"""),"101.24 Iran")</f>
        <v>101.24 Iran</v>
      </c>
      <c r="H870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870" s="1" t="str">
        <f ca="1">IFERROR(__xludf.DUMMYFUNCTION("""COMPUTED_VALUE"""),"2024")</f>
        <v>2024</v>
      </c>
      <c r="J870" s="1" t="str">
        <f ca="1">IFERROR(__xludf.DUMMYFUNCTION("""COMPUTED_VALUE"""),"Email")</f>
        <v>Email</v>
      </c>
    </row>
    <row r="871" spans="1:10" ht="13" x14ac:dyDescent="0.15">
      <c r="A871" s="4">
        <f ca="1">IFERROR(__xludf.DUMMYFUNCTION("""COMPUTED_VALUE"""),31851256)</f>
        <v>31851256</v>
      </c>
      <c r="B871" s="1" t="str">
        <f ca="1">IFERROR(__xludf.DUMMYFUNCTION("""COMPUTED_VALUE"""),"bibliofool1@verizon.net")</f>
        <v>bibliofool1@verizon.net</v>
      </c>
      <c r="C871" s="4" t="str">
        <f ca="1">IFERROR(__xludf.DUMMYFUNCTION("""COMPUTED_VALUE"""),"EVERGREEN - UAN Gated Content - Embedded Petition")</f>
        <v>EVERGREEN - UAN Gated Content - Embedded Petition</v>
      </c>
      <c r="D871" s="5">
        <f ca="1">IFERROR(__xludf.DUMMYFUNCTION("""COMPUTED_VALUE"""),45682)</f>
        <v>45682</v>
      </c>
      <c r="F871" s="1" t="str">
        <f ca="1">IFERROR(__xludf.DUMMYFUNCTION("""COMPUTED_VALUE"""),"USA")</f>
        <v>USA</v>
      </c>
      <c r="G871" s="1" t="str">
        <f ca="1">IFERROR(__xludf.DUMMYFUNCTION("""COMPUTED_VALUE"""),"105.24 USA")</f>
        <v>105.24 USA</v>
      </c>
      <c r="H871" s="1" t="str">
        <f ca="1">IFERROR(__xludf.DUMMYFUNCTION("""COMPUTED_VALUE"""),"Death Penalty")</f>
        <v>Death Penalty</v>
      </c>
      <c r="I871" s="1" t="str">
        <f ca="1">IFERROR(__xludf.DUMMYFUNCTION("""COMPUTED_VALUE"""),"2024")</f>
        <v>2024</v>
      </c>
      <c r="J871" s="1" t="str">
        <f ca="1">IFERROR(__xludf.DUMMYFUNCTION("""COMPUTED_VALUE"""),"Email")</f>
        <v>Email</v>
      </c>
    </row>
    <row r="872" spans="1:10" ht="13" x14ac:dyDescent="0.15">
      <c r="A872" s="4">
        <f ca="1">IFERROR(__xludf.DUMMYFUNCTION("""COMPUTED_VALUE"""),31851256)</f>
        <v>31851256</v>
      </c>
      <c r="B872" s="1" t="str">
        <f ca="1">IFERROR(__xludf.DUMMYFUNCTION("""COMPUTED_VALUE"""),"bibliofool1@verizon.net")</f>
        <v>bibliofool1@verizon.net</v>
      </c>
      <c r="C872" s="4" t="str">
        <f ca="1">IFERROR(__xludf.DUMMYFUNCTION("""COMPUTED_VALUE"""),"EVERGREEN - UAN Gated Content - Embedded Petition")</f>
        <v>EVERGREEN - UAN Gated Content - Embedded Petition</v>
      </c>
      <c r="D872" s="5">
        <f ca="1">IFERROR(__xludf.DUMMYFUNCTION("""COMPUTED_VALUE"""),45682)</f>
        <v>45682</v>
      </c>
      <c r="F872" s="1" t="str">
        <f ca="1">IFERROR(__xludf.DUMMYFUNCTION("""COMPUTED_VALUE"""),"USA")</f>
        <v>USA</v>
      </c>
      <c r="G872" s="1" t="str">
        <f ca="1">IFERROR(__xludf.DUMMYFUNCTION("""COMPUTED_VALUE"""),"96.24 USA")</f>
        <v>96.24 USA</v>
      </c>
      <c r="H872" s="1" t="str">
        <f ca="1">IFERROR(__xludf.DUMMYFUNCTION("""COMPUTED_VALUE"""),"Death Penalty")</f>
        <v>Death Penalty</v>
      </c>
      <c r="I872" s="1" t="str">
        <f ca="1">IFERROR(__xludf.DUMMYFUNCTION("""COMPUTED_VALUE"""),"2024")</f>
        <v>2024</v>
      </c>
      <c r="J872" s="1" t="str">
        <f ca="1">IFERROR(__xludf.DUMMYFUNCTION("""COMPUTED_VALUE"""),"Email")</f>
        <v>Email</v>
      </c>
    </row>
    <row r="873" spans="1:10" ht="13" x14ac:dyDescent="0.15">
      <c r="A873" s="4">
        <f ca="1">IFERROR(__xludf.DUMMYFUNCTION("""COMPUTED_VALUE"""),31851256)</f>
        <v>31851256</v>
      </c>
      <c r="B873" s="1" t="str">
        <f ca="1">IFERROR(__xludf.DUMMYFUNCTION("""COMPUTED_VALUE"""),"bibliofool1@verizon.net")</f>
        <v>bibliofool1@verizon.net</v>
      </c>
      <c r="C873" s="4" t="str">
        <f ca="1">IFERROR(__xludf.DUMMYFUNCTION("""COMPUTED_VALUE"""),"EVERGREEN - UAN Gated Content - Embedded Petition")</f>
        <v>EVERGREEN - UAN Gated Content - Embedded Petition</v>
      </c>
      <c r="D873" s="5">
        <f ca="1">IFERROR(__xludf.DUMMYFUNCTION("""COMPUTED_VALUE"""),45682)</f>
        <v>45682</v>
      </c>
      <c r="F873" s="1" t="str">
        <f ca="1">IFERROR(__xludf.DUMMYFUNCTION("""COMPUTED_VALUE"""),"Tunisia")</f>
        <v>Tunisia</v>
      </c>
      <c r="G873" s="1" t="str">
        <f ca="1">IFERROR(__xludf.DUMMYFUNCTION("""COMPUTED_VALUE"""),"Second 76.24 Tunisia")</f>
        <v>Second 76.24 Tunisia</v>
      </c>
      <c r="H873" s="1" t="str">
        <f ca="1">IFERROR(__xludf.DUMMYFUNCTION("""COMPUTED_VALUE"""),"Freedom of Expression, Human Rights Defenders")</f>
        <v>Freedom of Expression, Human Rights Defenders</v>
      </c>
      <c r="I873" s="1" t="str">
        <f ca="1">IFERROR(__xludf.DUMMYFUNCTION("""COMPUTED_VALUE"""),"2025")</f>
        <v>2025</v>
      </c>
      <c r="J873" s="1" t="str">
        <f ca="1">IFERROR(__xludf.DUMMYFUNCTION("""COMPUTED_VALUE"""),"Email")</f>
        <v>Email</v>
      </c>
    </row>
    <row r="874" spans="1:10" ht="13" x14ac:dyDescent="0.15">
      <c r="A874" s="4">
        <f ca="1">IFERROR(__xludf.DUMMYFUNCTION("""COMPUTED_VALUE"""),31851256)</f>
        <v>31851256</v>
      </c>
      <c r="B874" s="1" t="str">
        <f ca="1">IFERROR(__xludf.DUMMYFUNCTION("""COMPUTED_VALUE"""),"bibliofool1@verizon.net")</f>
        <v>bibliofool1@verizon.net</v>
      </c>
      <c r="C874" s="4" t="str">
        <f ca="1">IFERROR(__xludf.DUMMYFUNCTION("""COMPUTED_VALUE"""),"EVERGREEN - UAN Gated Content - Embedded Petition")</f>
        <v>EVERGREEN - UAN Gated Content - Embedded Petition</v>
      </c>
      <c r="D874" s="5">
        <f ca="1">IFERROR(__xludf.DUMMYFUNCTION("""COMPUTED_VALUE"""),45682)</f>
        <v>45682</v>
      </c>
      <c r="F874" s="1" t="str">
        <f ca="1">IFERROR(__xludf.DUMMYFUNCTION("""COMPUTED_VALUE"""),"Tunisia")</f>
        <v>Tunisia</v>
      </c>
      <c r="G874" s="1" t="str">
        <f ca="1">IFERROR(__xludf.DUMMYFUNCTION("""COMPUTED_VALUE"""),"Second 76.24 Tunisia")</f>
        <v>Second 76.24 Tunisia</v>
      </c>
      <c r="H874" s="1" t="str">
        <f ca="1">IFERROR(__xludf.DUMMYFUNCTION("""COMPUTED_VALUE"""),"Freedom of Expression, Human Rights Defenders")</f>
        <v>Freedom of Expression, Human Rights Defenders</v>
      </c>
      <c r="I874" s="1" t="str">
        <f ca="1">IFERROR(__xludf.DUMMYFUNCTION("""COMPUTED_VALUE"""),"2025")</f>
        <v>2025</v>
      </c>
      <c r="J874" s="1" t="str">
        <f ca="1">IFERROR(__xludf.DUMMYFUNCTION("""COMPUTED_VALUE"""),"Email")</f>
        <v>Email</v>
      </c>
    </row>
    <row r="875" spans="1:10" ht="13" x14ac:dyDescent="0.15">
      <c r="A875" s="4">
        <f ca="1">IFERROR(__xludf.DUMMYFUNCTION("""COMPUTED_VALUE"""),31851256)</f>
        <v>31851256</v>
      </c>
      <c r="B875" s="1" t="str">
        <f ca="1">IFERROR(__xludf.DUMMYFUNCTION("""COMPUTED_VALUE"""),"bibliofool1@verizon.net")</f>
        <v>bibliofool1@verizon.net</v>
      </c>
      <c r="C875" s="4" t="str">
        <f ca="1">IFERROR(__xludf.DUMMYFUNCTION("""COMPUTED_VALUE"""),"EVERGREEN - UAN Gated Content - Embedded Petition")</f>
        <v>EVERGREEN - UAN Gated Content - Embedded Petition</v>
      </c>
      <c r="D875" s="5">
        <f ca="1">IFERROR(__xludf.DUMMYFUNCTION("""COMPUTED_VALUE"""),45682)</f>
        <v>45682</v>
      </c>
      <c r="F875" s="1" t="str">
        <f ca="1">IFERROR(__xludf.DUMMYFUNCTION("""COMPUTED_VALUE"""),"USA")</f>
        <v>USA</v>
      </c>
      <c r="G875" s="1" t="str">
        <f ca="1">IFERROR(__xludf.DUMMYFUNCTION("""COMPUTED_VALUE"""),"96.24 USA")</f>
        <v>96.24 USA</v>
      </c>
      <c r="H875" s="1" t="str">
        <f ca="1">IFERROR(__xludf.DUMMYFUNCTION("""COMPUTED_VALUE"""),"Death Penalty")</f>
        <v>Death Penalty</v>
      </c>
      <c r="I875" s="1" t="str">
        <f ca="1">IFERROR(__xludf.DUMMYFUNCTION("""COMPUTED_VALUE"""),"2024")</f>
        <v>2024</v>
      </c>
      <c r="J875" s="1" t="str">
        <f ca="1">IFERROR(__xludf.DUMMYFUNCTION("""COMPUTED_VALUE"""),"Email")</f>
        <v>Email</v>
      </c>
    </row>
    <row r="876" spans="1:10" ht="13" x14ac:dyDescent="0.15">
      <c r="A876" s="4">
        <f ca="1">IFERROR(__xludf.DUMMYFUNCTION("""COMPUTED_VALUE"""),31851256)</f>
        <v>31851256</v>
      </c>
      <c r="B876" s="1" t="str">
        <f ca="1">IFERROR(__xludf.DUMMYFUNCTION("""COMPUTED_VALUE"""),"bibliofool1@verizon.net")</f>
        <v>bibliofool1@verizon.net</v>
      </c>
      <c r="C876" s="4" t="str">
        <f ca="1">IFERROR(__xludf.DUMMYFUNCTION("""COMPUTED_VALUE"""),"EVERGREEN - UAN Gated Content - Embedded Petition")</f>
        <v>EVERGREEN - UAN Gated Content - Embedded Petition</v>
      </c>
      <c r="D876" s="5">
        <f ca="1">IFERROR(__xludf.DUMMYFUNCTION("""COMPUTED_VALUE"""),45682)</f>
        <v>45682</v>
      </c>
      <c r="F876" s="1" t="str">
        <f ca="1">IFERROR(__xludf.DUMMYFUNCTION("""COMPUTED_VALUE"""),"Uganda")</f>
        <v>Uganda</v>
      </c>
      <c r="G876" s="1" t="str">
        <f ca="1">IFERROR(__xludf.DUMMYFUNCTION("""COMPUTED_VALUE"""),"100.24 Uganda")</f>
        <v>100.24 Uganda</v>
      </c>
      <c r="H876" s="1" t="str">
        <f ca="1">IFERROR(__xludf.DUMMYFUNCTION("""COMPUTED_VALUE"""),"Freedom of Expression")</f>
        <v>Freedom of Expression</v>
      </c>
      <c r="I876" s="1" t="str">
        <f ca="1">IFERROR(__xludf.DUMMYFUNCTION("""COMPUTED_VALUE"""),"2024")</f>
        <v>2024</v>
      </c>
      <c r="J876" s="1" t="str">
        <f ca="1">IFERROR(__xludf.DUMMYFUNCTION("""COMPUTED_VALUE"""),"Email")</f>
        <v>Email</v>
      </c>
    </row>
    <row r="877" spans="1:10" ht="13" x14ac:dyDescent="0.15">
      <c r="A877" s="4">
        <f ca="1">IFERROR(__xludf.DUMMYFUNCTION("""COMPUTED_VALUE"""),31851256)</f>
        <v>31851256</v>
      </c>
      <c r="B877" s="1" t="str">
        <f ca="1">IFERROR(__xludf.DUMMYFUNCTION("""COMPUTED_VALUE"""),"bibliofool1@verizon.net")</f>
        <v>bibliofool1@verizon.net</v>
      </c>
      <c r="C877" s="4" t="str">
        <f ca="1">IFERROR(__xludf.DUMMYFUNCTION("""COMPUTED_VALUE"""),"EVERGREEN - UAN Gated Content - Embedded Petition")</f>
        <v>EVERGREEN - UAN Gated Content - Embedded Petition</v>
      </c>
      <c r="D877" s="5">
        <f ca="1">IFERROR(__xludf.DUMMYFUNCTION("""COMPUTED_VALUE"""),45682)</f>
        <v>45682</v>
      </c>
      <c r="F877" s="1" t="str">
        <f ca="1">IFERROR(__xludf.DUMMYFUNCTION("""COMPUTED_VALUE"""),"Iran")</f>
        <v>Iran</v>
      </c>
      <c r="G877" s="1" t="str">
        <f ca="1">IFERROR(__xludf.DUMMYFUNCTION("""COMPUTED_VALUE"""),"101.24 Iran")</f>
        <v>101.24 Iran</v>
      </c>
      <c r="H877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877" s="1" t="str">
        <f ca="1">IFERROR(__xludf.DUMMYFUNCTION("""COMPUTED_VALUE"""),"2024")</f>
        <v>2024</v>
      </c>
      <c r="J877" s="1" t="str">
        <f ca="1">IFERROR(__xludf.DUMMYFUNCTION("""COMPUTED_VALUE"""),"Email")</f>
        <v>Email</v>
      </c>
    </row>
    <row r="878" spans="1:10" ht="13" x14ac:dyDescent="0.15">
      <c r="A878" s="4">
        <f ca="1">IFERROR(__xludf.DUMMYFUNCTION("""COMPUTED_VALUE"""),31851256)</f>
        <v>31851256</v>
      </c>
      <c r="B878" s="1" t="str">
        <f ca="1">IFERROR(__xludf.DUMMYFUNCTION("""COMPUTED_VALUE"""),"bibliofool1@verizon.net")</f>
        <v>bibliofool1@verizon.net</v>
      </c>
      <c r="C878" s="4" t="str">
        <f ca="1">IFERROR(__xludf.DUMMYFUNCTION("""COMPUTED_VALUE"""),"EVERGREEN - UAN Gated Content - Embedded Petition")</f>
        <v>EVERGREEN - UAN Gated Content - Embedded Petition</v>
      </c>
      <c r="D878" s="5">
        <f ca="1">IFERROR(__xludf.DUMMYFUNCTION("""COMPUTED_VALUE"""),45682)</f>
        <v>45682</v>
      </c>
      <c r="F878" s="1" t="str">
        <f ca="1">IFERROR(__xludf.DUMMYFUNCTION("""COMPUTED_VALUE"""),"Iran")</f>
        <v>Iran</v>
      </c>
      <c r="G878" s="1" t="str">
        <f ca="1">IFERROR(__xludf.DUMMYFUNCTION("""COMPUTED_VALUE"""),"Seventh 103.22 Iran")</f>
        <v>Seventh 103.22 Iran</v>
      </c>
      <c r="H878" s="1" t="str">
        <f ca="1">IFERROR(__xludf.DUMMYFUNCTION("""COMPUTED_VALUE"""),"Death Penalty, Freedom of Expression, Individuals At Risk")</f>
        <v>Death Penalty, Freedom of Expression, Individuals At Risk</v>
      </c>
      <c r="I878" s="1" t="str">
        <f ca="1">IFERROR(__xludf.DUMMYFUNCTION("""COMPUTED_VALUE"""),"2024")</f>
        <v>2024</v>
      </c>
      <c r="J878" s="1" t="str">
        <f ca="1">IFERROR(__xludf.DUMMYFUNCTION("""COMPUTED_VALUE"""),"Email")</f>
        <v>Email</v>
      </c>
    </row>
    <row r="879" spans="1:10" ht="13" x14ac:dyDescent="0.15">
      <c r="A879" s="4">
        <f ca="1">IFERROR(__xludf.DUMMYFUNCTION("""COMPUTED_VALUE"""),31851256)</f>
        <v>31851256</v>
      </c>
      <c r="B879" s="1" t="str">
        <f ca="1">IFERROR(__xludf.DUMMYFUNCTION("""COMPUTED_VALUE"""),"bibliofool1@verizon.net")</f>
        <v>bibliofool1@verizon.net</v>
      </c>
      <c r="C879" s="4" t="str">
        <f ca="1">IFERROR(__xludf.DUMMYFUNCTION("""COMPUTED_VALUE"""),"EVERGREEN - UAN Gated Content - Embedded Petition")</f>
        <v>EVERGREEN - UAN Gated Content - Embedded Petition</v>
      </c>
      <c r="D879" s="5">
        <f ca="1">IFERROR(__xludf.DUMMYFUNCTION("""COMPUTED_VALUE"""),45682)</f>
        <v>45682</v>
      </c>
      <c r="F879" s="1" t="str">
        <f ca="1">IFERROR(__xludf.DUMMYFUNCTION("""COMPUTED_VALUE"""),"Egypt")</f>
        <v>Egypt</v>
      </c>
      <c r="G879" s="1" t="str">
        <f ca="1">IFERROR(__xludf.DUMMYFUNCTION("""COMPUTED_VALUE"""),"Ninth 190.18 Egypt")</f>
        <v>Ninth 190.18 Egypt</v>
      </c>
      <c r="H879" s="1" t="str">
        <f ca="1">IFERROR(__xludf.DUMMYFUNCTION("""COMPUTED_VALUE"""),"Freedom of Expression, Individuals At Risk")</f>
        <v>Freedom of Expression, Individuals At Risk</v>
      </c>
      <c r="I879" s="1" t="str">
        <f ca="1">IFERROR(__xludf.DUMMYFUNCTION("""COMPUTED_VALUE"""),"2024")</f>
        <v>2024</v>
      </c>
      <c r="J879" s="1" t="str">
        <f ca="1">IFERROR(__xludf.DUMMYFUNCTION("""COMPUTED_VALUE"""),"Letter")</f>
        <v>Letter</v>
      </c>
    </row>
    <row r="880" spans="1:10" ht="13" x14ac:dyDescent="0.15">
      <c r="A880" s="4">
        <f ca="1">IFERROR(__xludf.DUMMYFUNCTION("""COMPUTED_VALUE"""),31851256)</f>
        <v>31851256</v>
      </c>
      <c r="B880" s="1" t="str">
        <f ca="1">IFERROR(__xludf.DUMMYFUNCTION("""COMPUTED_VALUE"""),"bibliofool1@verizon.net")</f>
        <v>bibliofool1@verizon.net</v>
      </c>
      <c r="C880" s="4" t="str">
        <f ca="1">IFERROR(__xludf.DUMMYFUNCTION("""COMPUTED_VALUE"""),"EVERGREEN - UAN Gated Content - Embedded Petition")</f>
        <v>EVERGREEN - UAN Gated Content - Embedded Petition</v>
      </c>
      <c r="D880" s="5">
        <f ca="1">IFERROR(__xludf.DUMMYFUNCTION("""COMPUTED_VALUE"""),45703)</f>
        <v>45703</v>
      </c>
      <c r="F880" s="1" t="str">
        <f ca="1">IFERROR(__xludf.DUMMYFUNCTION("""COMPUTED_VALUE"""),"Dominican Republic")</f>
        <v>Dominican Republic</v>
      </c>
      <c r="G880" s="1" t="str">
        <f ca="1">IFERROR(__xludf.DUMMYFUNCTION("""COMPUTED_VALUE"""),"88.24 Dominican Republic")</f>
        <v>88.24 Dominican Republic</v>
      </c>
      <c r="H880" s="1" t="str">
        <f ca="1">IFERROR(__xludf.DUMMYFUNCTION("""COMPUTED_VALUE"""),"Individuals At Risk, Refugee and Migrant Rights")</f>
        <v>Individuals At Risk, Refugee and Migrant Rights</v>
      </c>
      <c r="I880" s="1" t="str">
        <f ca="1">IFERROR(__xludf.DUMMYFUNCTION("""COMPUTED_VALUE"""),"2024")</f>
        <v>2024</v>
      </c>
      <c r="J880" s="1" t="str">
        <f ca="1">IFERROR(__xludf.DUMMYFUNCTION("""COMPUTED_VALUE"""),"Letter")</f>
        <v>Letter</v>
      </c>
    </row>
    <row r="881" spans="1:10" ht="13" x14ac:dyDescent="0.15">
      <c r="A881" s="4">
        <f ca="1">IFERROR(__xludf.DUMMYFUNCTION("""COMPUTED_VALUE"""),31858435)</f>
        <v>31858435</v>
      </c>
      <c r="B881" s="1" t="str">
        <f ca="1">IFERROR(__xludf.DUMMYFUNCTION("""COMPUTED_VALUE"""),"na.overgard@gmail.com")</f>
        <v>na.overgard@gmail.com</v>
      </c>
      <c r="C881" s="4" t="str">
        <f ca="1">IFERROR(__xludf.DUMMYFUNCTION("""COMPUTED_VALUE"""),"EVERGREEN - UAN Gated Content - Embedded Petition")</f>
        <v>EVERGREEN - UAN Gated Content - Embedded Petition</v>
      </c>
      <c r="D881" s="5">
        <f ca="1">IFERROR(__xludf.DUMMYFUNCTION("""COMPUTED_VALUE"""),45694)</f>
        <v>45694</v>
      </c>
      <c r="F881" s="1" t="str">
        <f ca="1">IFERROR(__xludf.DUMMYFUNCTION("""COMPUTED_VALUE"""),"Egypt")</f>
        <v>Egypt</v>
      </c>
      <c r="G881" s="1" t="str">
        <f ca="1">IFERROR(__xludf.DUMMYFUNCTION("""COMPUTED_VALUE"""),"Ninth 190.18 Egypt")</f>
        <v>Ninth 190.18 Egypt</v>
      </c>
      <c r="H881" s="1" t="str">
        <f ca="1">IFERROR(__xludf.DUMMYFUNCTION("""COMPUTED_VALUE"""),"Freedom of Expression, Individuals At Risk")</f>
        <v>Freedom of Expression, Individuals At Risk</v>
      </c>
      <c r="I881" s="1" t="str">
        <f ca="1">IFERROR(__xludf.DUMMYFUNCTION("""COMPUTED_VALUE"""),"2024")</f>
        <v>2024</v>
      </c>
      <c r="J881" s="1" t="str">
        <f ca="1">IFERROR(__xludf.DUMMYFUNCTION("""COMPUTED_VALUE"""),"Letter")</f>
        <v>Letter</v>
      </c>
    </row>
    <row r="882" spans="1:10" ht="13" x14ac:dyDescent="0.15">
      <c r="A882" s="4">
        <f ca="1">IFERROR(__xludf.DUMMYFUNCTION("""COMPUTED_VALUE"""),31858435)</f>
        <v>31858435</v>
      </c>
      <c r="B882" s="1" t="str">
        <f ca="1">IFERROR(__xludf.DUMMYFUNCTION("""COMPUTED_VALUE"""),"na.overgard@gmail.com")</f>
        <v>na.overgard@gmail.com</v>
      </c>
      <c r="C882" s="4" t="str">
        <f ca="1">IFERROR(__xludf.DUMMYFUNCTION("""COMPUTED_VALUE"""),"EVERGREEN - UAN Gated Content - Embedded Petition")</f>
        <v>EVERGREEN - UAN Gated Content - Embedded Petition</v>
      </c>
      <c r="D882" s="5">
        <f ca="1">IFERROR(__xludf.DUMMYFUNCTION("""COMPUTED_VALUE"""),45672)</f>
        <v>45672</v>
      </c>
      <c r="F882" s="1" t="str">
        <f ca="1">IFERROR(__xludf.DUMMYFUNCTION("""COMPUTED_VALUE"""),"China")</f>
        <v>China</v>
      </c>
      <c r="G882" s="1" t="str">
        <f ca="1">IFERROR(__xludf.DUMMYFUNCTION("""COMPUTED_VALUE"""),"98.24 China")</f>
        <v>98.24 China</v>
      </c>
      <c r="H882" s="1" t="str">
        <f ca="1">IFERROR(__xludf.DUMMYFUNCTION("""COMPUTED_VALUE"""),"Freedom of Expression, Individuals At Risk")</f>
        <v>Freedom of Expression, Individuals At Risk</v>
      </c>
      <c r="I882" s="1" t="str">
        <f ca="1">IFERROR(__xludf.DUMMYFUNCTION("""COMPUTED_VALUE"""),"2024")</f>
        <v>2024</v>
      </c>
      <c r="J882" s="1" t="str">
        <f ca="1">IFERROR(__xludf.DUMMYFUNCTION("""COMPUTED_VALUE"""),"Letter")</f>
        <v>Letter</v>
      </c>
    </row>
    <row r="883" spans="1:10" ht="13" x14ac:dyDescent="0.15">
      <c r="A883" s="4">
        <f ca="1">IFERROR(__xludf.DUMMYFUNCTION("""COMPUTED_VALUE"""),31858651)</f>
        <v>31858651</v>
      </c>
      <c r="B883" s="1" t="str">
        <f ca="1">IFERROR(__xludf.DUMMYFUNCTION("""COMPUTED_VALUE"""),"mrs.sapience@gmail.com")</f>
        <v>mrs.sapience@gmail.com</v>
      </c>
      <c r="C883" s="4" t="str">
        <f ca="1">IFERROR(__xludf.DUMMYFUNCTION("""COMPUTED_VALUE"""),"EVERGREEN - UAN Gated Content - Embedded Petition")</f>
        <v>EVERGREEN - UAN Gated Content - Embedded Petition</v>
      </c>
      <c r="D883" s="5">
        <f ca="1">IFERROR(__xludf.DUMMYFUNCTION("""COMPUTED_VALUE"""),45694)</f>
        <v>45694</v>
      </c>
      <c r="F883" s="1" t="str">
        <f ca="1">IFERROR(__xludf.DUMMYFUNCTION("""COMPUTED_VALUE"""),"Azerbaijan")</f>
        <v>Azerbaijan</v>
      </c>
      <c r="G883" s="1" t="str">
        <f ca="1">IFERROR(__xludf.DUMMYFUNCTION("""COMPUTED_VALUE"""),"2.25 Azerbaijan")</f>
        <v>2.25 Azerbaijan</v>
      </c>
      <c r="H883" s="1" t="str">
        <f ca="1">IFERROR(__xludf.DUMMYFUNCTION("""COMPUTED_VALUE"""),"Freedom of Expression, Human Rights Defenders")</f>
        <v>Freedom of Expression, Human Rights Defenders</v>
      </c>
      <c r="I883" s="1" t="str">
        <f ca="1">IFERROR(__xludf.DUMMYFUNCTION("""COMPUTED_VALUE"""),"2025")</f>
        <v>2025</v>
      </c>
      <c r="J883" s="1" t="str">
        <f ca="1">IFERROR(__xludf.DUMMYFUNCTION("""COMPUTED_VALUE"""),"Email")</f>
        <v>Email</v>
      </c>
    </row>
    <row r="884" spans="1:10" ht="13" x14ac:dyDescent="0.15">
      <c r="A884" s="4">
        <f ca="1">IFERROR(__xludf.DUMMYFUNCTION("""COMPUTED_VALUE"""),31861761)</f>
        <v>31861761</v>
      </c>
      <c r="B884" s="1" t="str">
        <f ca="1">IFERROR(__xludf.DUMMYFUNCTION("""COMPUTED_VALUE"""),"sslyman@verizon.net")</f>
        <v>sslyman@verizon.net</v>
      </c>
      <c r="C884" s="4" t="str">
        <f ca="1">IFERROR(__xludf.DUMMYFUNCTION("""COMPUTED_VALUE"""),"EVERGREEN - UAN Gated Content - Embedded Petition")</f>
        <v>EVERGREEN - UAN Gated Content - Embedded Petition</v>
      </c>
      <c r="D884" s="5">
        <f ca="1">IFERROR(__xludf.DUMMYFUNCTION("""COMPUTED_VALUE"""),45694)</f>
        <v>45694</v>
      </c>
      <c r="F884" s="1" t="str">
        <f ca="1">IFERROR(__xludf.DUMMYFUNCTION("""COMPUTED_VALUE"""),"USA")</f>
        <v>USA</v>
      </c>
      <c r="G884" s="1" t="str">
        <f ca="1">IFERROR(__xludf.DUMMYFUNCTION("""COMPUTED_VALUE"""),"Fourth 55.24 USA")</f>
        <v>Fourth 55.24 USA</v>
      </c>
      <c r="H884" s="1" t="str">
        <f ca="1">IFERROR(__xludf.DUMMYFUNCTION("""COMPUTED_VALUE"""),"Climate Justice, Individuals At Risk")</f>
        <v>Climate Justice, Individuals At Risk</v>
      </c>
      <c r="I884" s="1" t="str">
        <f ca="1">IFERROR(__xludf.DUMMYFUNCTION("""COMPUTED_VALUE"""),"2025")</f>
        <v>2025</v>
      </c>
      <c r="J884" s="1" t="str">
        <f ca="1">IFERROR(__xludf.DUMMYFUNCTION("""COMPUTED_VALUE"""),"Email")</f>
        <v>Email</v>
      </c>
    </row>
    <row r="885" spans="1:10" ht="13" x14ac:dyDescent="0.15">
      <c r="A885" s="4">
        <f ca="1">IFERROR(__xludf.DUMMYFUNCTION("""COMPUTED_VALUE"""),31861761)</f>
        <v>31861761</v>
      </c>
      <c r="B885" s="1" t="str">
        <f ca="1">IFERROR(__xludf.DUMMYFUNCTION("""COMPUTED_VALUE"""),"sslyman@verizon.net")</f>
        <v>sslyman@verizon.net</v>
      </c>
      <c r="C885" s="4" t="str">
        <f ca="1">IFERROR(__xludf.DUMMYFUNCTION("""COMPUTED_VALUE"""),"EVERGREEN - UAN Gated Content - Embedded Petition")</f>
        <v>EVERGREEN - UAN Gated Content - Embedded Petition</v>
      </c>
      <c r="D885" s="5">
        <f ca="1">IFERROR(__xludf.DUMMYFUNCTION("""COMPUTED_VALUE"""),45636)</f>
        <v>45636</v>
      </c>
      <c r="F885" s="1" t="str">
        <f ca="1">IFERROR(__xludf.DUMMYFUNCTION("""COMPUTED_VALUE"""),"Iran")</f>
        <v>Iran</v>
      </c>
      <c r="G885" s="1" t="str">
        <f ca="1">IFERROR(__xludf.DUMMYFUNCTION("""COMPUTED_VALUE"""),"Seventh 103.22 Iran")</f>
        <v>Seventh 103.22 Iran</v>
      </c>
      <c r="H885" s="1" t="str">
        <f ca="1">IFERROR(__xludf.DUMMYFUNCTION("""COMPUTED_VALUE"""),"Death Penalty, Freedom of Expression, Individuals At Risk")</f>
        <v>Death Penalty, Freedom of Expression, Individuals At Risk</v>
      </c>
      <c r="I885" s="1" t="str">
        <f ca="1">IFERROR(__xludf.DUMMYFUNCTION("""COMPUTED_VALUE"""),"2024")</f>
        <v>2024</v>
      </c>
      <c r="J885" s="1" t="str">
        <f ca="1">IFERROR(__xludf.DUMMYFUNCTION("""COMPUTED_VALUE"""),"Email")</f>
        <v>Email</v>
      </c>
    </row>
    <row r="886" spans="1:10" ht="13" x14ac:dyDescent="0.15">
      <c r="A886" s="4">
        <f ca="1">IFERROR(__xludf.DUMMYFUNCTION("""COMPUTED_VALUE"""),31874041)</f>
        <v>31874041</v>
      </c>
      <c r="B886" s="1" t="str">
        <f ca="1">IFERROR(__xludf.DUMMYFUNCTION("""COMPUTED_VALUE"""),"tomrepko@gmail.com")</f>
        <v>tomrepko@gmail.com</v>
      </c>
      <c r="C886" s="4" t="str">
        <f ca="1">IFERROR(__xludf.DUMMYFUNCTION("""COMPUTED_VALUE"""),"EVERGREEN - UAN Gated Content - Embedded Petition")</f>
        <v>EVERGREEN - UAN Gated Content - Embedded Petition</v>
      </c>
      <c r="D886" s="5">
        <f ca="1">IFERROR(__xludf.DUMMYFUNCTION("""COMPUTED_VALUE"""),45694)</f>
        <v>45694</v>
      </c>
      <c r="F886" s="1" t="str">
        <f ca="1">IFERROR(__xludf.DUMMYFUNCTION("""COMPUTED_VALUE"""),"Egypt")</f>
        <v>Egypt</v>
      </c>
      <c r="G886" s="1" t="str">
        <f ca="1">IFERROR(__xludf.DUMMYFUNCTION("""COMPUTED_VALUE"""),"Third 73.23 Egypt")</f>
        <v>Third 73.23 Egypt</v>
      </c>
      <c r="H886" s="1" t="str">
        <f ca="1">IFERROR(__xludf.DUMMYFUNCTION("""COMPUTED_VALUE"""),"Individuals At Risk")</f>
        <v>Individuals At Risk</v>
      </c>
      <c r="I886" s="1" t="str">
        <f ca="1">IFERROR(__xludf.DUMMYFUNCTION("""COMPUTED_VALUE"""),"2024")</f>
        <v>2024</v>
      </c>
      <c r="J886" s="1" t="str">
        <f ca="1">IFERROR(__xludf.DUMMYFUNCTION("""COMPUTED_VALUE"""),"Email")</f>
        <v>Email</v>
      </c>
    </row>
    <row r="887" spans="1:10" ht="13" x14ac:dyDescent="0.15">
      <c r="A887" s="4">
        <f ca="1">IFERROR(__xludf.DUMMYFUNCTION("""COMPUTED_VALUE"""),31899022)</f>
        <v>31899022</v>
      </c>
      <c r="B887" s="1" t="str">
        <f ca="1">IFERROR(__xludf.DUMMYFUNCTION("""COMPUTED_VALUE"""),"jerry.mcintire@gmail.com")</f>
        <v>jerry.mcintire@gmail.com</v>
      </c>
      <c r="C887" s="4" t="str">
        <f ca="1">IFERROR(__xludf.DUMMYFUNCTION("""COMPUTED_VALUE"""),"EVERGREEN - UAN Gated Content - Embedded Petition")</f>
        <v>EVERGREEN - UAN Gated Content - Embedded Petition</v>
      </c>
      <c r="D887" s="5">
        <f ca="1">IFERROR(__xludf.DUMMYFUNCTION("""COMPUTED_VALUE"""),45685)</f>
        <v>45685</v>
      </c>
      <c r="F887" s="1" t="str">
        <f ca="1">IFERROR(__xludf.DUMMYFUNCTION("""COMPUTED_VALUE"""),"Turkiye")</f>
        <v>Turkiye</v>
      </c>
      <c r="G887" s="1" t="str">
        <f ca="1">IFERROR(__xludf.DUMMYFUNCTION("""COMPUTED_VALUE"""),"109.24 Türkiye")</f>
        <v>109.24 Türkiye</v>
      </c>
      <c r="H887" s="1" t="str">
        <f ca="1">IFERROR(__xludf.DUMMYFUNCTION("""COMPUTED_VALUE"""),"Human Rights Defenders, Individuals At Risk")</f>
        <v>Human Rights Defenders, Individuals At Risk</v>
      </c>
      <c r="I887" s="1" t="str">
        <f ca="1">IFERROR(__xludf.DUMMYFUNCTION("""COMPUTED_VALUE"""),"2024")</f>
        <v>2024</v>
      </c>
      <c r="J887" s="1" t="str">
        <f ca="1">IFERROR(__xludf.DUMMYFUNCTION("""COMPUTED_VALUE"""),"Email")</f>
        <v>Email</v>
      </c>
    </row>
    <row r="888" spans="1:10" ht="13" x14ac:dyDescent="0.15">
      <c r="A888" s="4">
        <f ca="1">IFERROR(__xludf.DUMMYFUNCTION("""COMPUTED_VALUE"""),31956576)</f>
        <v>31956576</v>
      </c>
      <c r="B888" s="1" t="str">
        <f ca="1">IFERROR(__xludf.DUMMYFUNCTION("""COMPUTED_VALUE"""),"pfairbank@yahoo.com")</f>
        <v>pfairbank@yahoo.com</v>
      </c>
      <c r="C888" s="4" t="str">
        <f ca="1">IFERROR(__xludf.DUMMYFUNCTION("""COMPUTED_VALUE"""),"EVERGREEN - UAN Gated Content - Embedded Petition")</f>
        <v>EVERGREEN - UAN Gated Content - Embedded Petition</v>
      </c>
      <c r="D888" s="5">
        <f ca="1">IFERROR(__xludf.DUMMYFUNCTION("""COMPUTED_VALUE"""),45694)</f>
        <v>45694</v>
      </c>
      <c r="F888" s="1" t="str">
        <f ca="1">IFERROR(__xludf.DUMMYFUNCTION("""COMPUTED_VALUE"""),"Niger")</f>
        <v>Niger</v>
      </c>
      <c r="G888" s="1" t="str">
        <f ca="1">IFERROR(__xludf.DUMMYFUNCTION("""COMPUTED_VALUE"""),"103.24 Niger")</f>
        <v>103.24 Niger</v>
      </c>
      <c r="H888" s="1" t="str">
        <f ca="1">IFERROR(__xludf.DUMMYFUNCTION("""COMPUTED_VALUE"""),"Freedom of Expression, Human Rights Defenders")</f>
        <v>Freedom of Expression, Human Rights Defenders</v>
      </c>
      <c r="I888" s="1" t="str">
        <f ca="1">IFERROR(__xludf.DUMMYFUNCTION("""COMPUTED_VALUE"""),"2024")</f>
        <v>2024</v>
      </c>
      <c r="J888" s="1" t="str">
        <f ca="1">IFERROR(__xludf.DUMMYFUNCTION("""COMPUTED_VALUE"""),"Email")</f>
        <v>Email</v>
      </c>
    </row>
    <row r="889" spans="1:10" ht="13" x14ac:dyDescent="0.15">
      <c r="A889" s="4">
        <f ca="1">IFERROR(__xludf.DUMMYFUNCTION("""COMPUTED_VALUE"""),31956742)</f>
        <v>31956742</v>
      </c>
      <c r="B889" s="1" t="str">
        <f ca="1">IFERROR(__xludf.DUMMYFUNCTION("""COMPUTED_VALUE"""),"colleenhcurtis@hotmail.com")</f>
        <v>colleenhcurtis@hotmail.com</v>
      </c>
      <c r="C889" s="4" t="str">
        <f ca="1">IFERROR(__xludf.DUMMYFUNCTION("""COMPUTED_VALUE"""),"EVERGREEN - UAN Gated Content - Embedded Petition")</f>
        <v>EVERGREEN - UAN Gated Content - Embedded Petition</v>
      </c>
      <c r="D889" s="5">
        <f ca="1">IFERROR(__xludf.DUMMYFUNCTION("""COMPUTED_VALUE"""),45672)</f>
        <v>45672</v>
      </c>
      <c r="F889" s="1" t="str">
        <f ca="1">IFERROR(__xludf.DUMMYFUNCTION("""COMPUTED_VALUE"""),"Tunisia")</f>
        <v>Tunisia</v>
      </c>
      <c r="G889" s="1" t="str">
        <f ca="1">IFERROR(__xludf.DUMMYFUNCTION("""COMPUTED_VALUE"""),"Second 43.24 Tunisia")</f>
        <v>Second 43.24 Tunisia</v>
      </c>
      <c r="H889" s="1" t="str">
        <f ca="1">IFERROR(__xludf.DUMMYFUNCTION("""COMPUTED_VALUE"""),"Freedom of Expression, Individuals At Risk")</f>
        <v>Freedom of Expression, Individuals At Risk</v>
      </c>
      <c r="I889" s="1" t="str">
        <f ca="1">IFERROR(__xludf.DUMMYFUNCTION("""COMPUTED_VALUE"""),"2024")</f>
        <v>2024</v>
      </c>
      <c r="J889" s="1" t="str">
        <f ca="1">IFERROR(__xludf.DUMMYFUNCTION("""COMPUTED_VALUE"""),"Email")</f>
        <v>Email</v>
      </c>
    </row>
    <row r="890" spans="1:10" ht="13" x14ac:dyDescent="0.15">
      <c r="A890" s="4">
        <f ca="1">IFERROR(__xludf.DUMMYFUNCTION("""COMPUTED_VALUE"""),31956742)</f>
        <v>31956742</v>
      </c>
      <c r="B890" s="1" t="str">
        <f ca="1">IFERROR(__xludf.DUMMYFUNCTION("""COMPUTED_VALUE"""),"colleenhcurtis@hotmail.com")</f>
        <v>colleenhcurtis@hotmail.com</v>
      </c>
      <c r="C890" s="4" t="str">
        <f ca="1">IFERROR(__xludf.DUMMYFUNCTION("""COMPUTED_VALUE"""),"EVERGREEN - UAN Gated Content - Embedded Petition")</f>
        <v>EVERGREEN - UAN Gated Content - Embedded Petition</v>
      </c>
      <c r="D890" s="5">
        <f ca="1">IFERROR(__xludf.DUMMYFUNCTION("""COMPUTED_VALUE"""),45681)</f>
        <v>45681</v>
      </c>
      <c r="F890" s="1" t="str">
        <f ca="1">IFERROR(__xludf.DUMMYFUNCTION("""COMPUTED_VALUE"""),"Singapore")</f>
        <v>Singapore</v>
      </c>
      <c r="G890" s="1" t="str">
        <f ca="1">IFERROR(__xludf.DUMMYFUNCTION("""COMPUTED_VALUE"""),"107.24 Singapore")</f>
        <v>107.24 Singapore</v>
      </c>
      <c r="H890" s="1" t="str">
        <f ca="1">IFERROR(__xludf.DUMMYFUNCTION("""COMPUTED_VALUE"""),"Death Penalty")</f>
        <v>Death Penalty</v>
      </c>
      <c r="I890" s="1" t="str">
        <f ca="1">IFERROR(__xludf.DUMMYFUNCTION("""COMPUTED_VALUE"""),"2024")</f>
        <v>2024</v>
      </c>
      <c r="J890" s="1" t="str">
        <f ca="1">IFERROR(__xludf.DUMMYFUNCTION("""COMPUTED_VALUE"""),"Email")</f>
        <v>Email</v>
      </c>
    </row>
    <row r="891" spans="1:10" ht="13" x14ac:dyDescent="0.15">
      <c r="A891" s="4">
        <f ca="1">IFERROR(__xludf.DUMMYFUNCTION("""COMPUTED_VALUE"""),31956742)</f>
        <v>31956742</v>
      </c>
      <c r="B891" s="1" t="str">
        <f ca="1">IFERROR(__xludf.DUMMYFUNCTION("""COMPUTED_VALUE"""),"colleenhcurtis@hotmail.com")</f>
        <v>colleenhcurtis@hotmail.com</v>
      </c>
      <c r="C891" s="4" t="str">
        <f ca="1">IFERROR(__xludf.DUMMYFUNCTION("""COMPUTED_VALUE"""),"EVERGREEN - UAN Gated Content - Embedded Petition")</f>
        <v>EVERGREEN - UAN Gated Content - Embedded Petition</v>
      </c>
      <c r="D891" s="5">
        <f ca="1">IFERROR(__xludf.DUMMYFUNCTION("""COMPUTED_VALUE"""),45674)</f>
        <v>45674</v>
      </c>
      <c r="F891" s="1" t="str">
        <f ca="1">IFERROR(__xludf.DUMMYFUNCTION("""COMPUTED_VALUE"""),"Saudi Arabia")</f>
        <v>Saudi Arabia</v>
      </c>
      <c r="G891" s="1" t="str">
        <f ca="1">IFERROR(__xludf.DUMMYFUNCTION("""COMPUTED_VALUE"""),"104.24 Saudi Arabia")</f>
        <v>104.24 Saudi Arabia</v>
      </c>
      <c r="H891" s="1" t="str">
        <f ca="1">IFERROR(__xludf.DUMMYFUNCTION("""COMPUTED_VALUE"""),"Individuals At Risk, Refugee and Migrant Rights")</f>
        <v>Individuals At Risk, Refugee and Migrant Rights</v>
      </c>
      <c r="I891" s="1" t="str">
        <f ca="1">IFERROR(__xludf.DUMMYFUNCTION("""COMPUTED_VALUE"""),"2024")</f>
        <v>2024</v>
      </c>
      <c r="J891" s="1" t="str">
        <f ca="1">IFERROR(__xludf.DUMMYFUNCTION("""COMPUTED_VALUE"""),"Email")</f>
        <v>Email</v>
      </c>
    </row>
    <row r="892" spans="1:10" ht="13" x14ac:dyDescent="0.15">
      <c r="A892" s="4">
        <f ca="1">IFERROR(__xludf.DUMMYFUNCTION("""COMPUTED_VALUE"""),31956742)</f>
        <v>31956742</v>
      </c>
      <c r="B892" s="1" t="str">
        <f ca="1">IFERROR(__xludf.DUMMYFUNCTION("""COMPUTED_VALUE"""),"colleenhcurtis@hotmail.com")</f>
        <v>colleenhcurtis@hotmail.com</v>
      </c>
      <c r="C892" s="4" t="str">
        <f ca="1">IFERROR(__xludf.DUMMYFUNCTION("""COMPUTED_VALUE"""),"EVERGREEN - UAN Gated Content - Embedded Petition")</f>
        <v>EVERGREEN - UAN Gated Content - Embedded Petition</v>
      </c>
      <c r="D892" s="5">
        <f ca="1">IFERROR(__xludf.DUMMYFUNCTION("""COMPUTED_VALUE"""),45616)</f>
        <v>45616</v>
      </c>
      <c r="F892" s="1" t="str">
        <f ca="1">IFERROR(__xludf.DUMMYFUNCTION("""COMPUTED_VALUE"""),"Egypt")</f>
        <v>Egypt</v>
      </c>
      <c r="G892" s="1" t="str">
        <f ca="1">IFERROR(__xludf.DUMMYFUNCTION("""COMPUTED_VALUE"""),"Fourth 29.23 Egypt")</f>
        <v>Fourth 29.23 Egypt</v>
      </c>
      <c r="H892" s="1" t="str">
        <f ca="1">IFERROR(__xludf.DUMMYFUNCTION("""COMPUTED_VALUE"""),"Freedom of Expression, Individuals At Risk, Right to Protest")</f>
        <v>Freedom of Expression, Individuals At Risk, Right to Protest</v>
      </c>
      <c r="I892" s="1" t="str">
        <f ca="1">IFERROR(__xludf.DUMMYFUNCTION("""COMPUTED_VALUE"""),"2024")</f>
        <v>2024</v>
      </c>
      <c r="J892" s="1" t="str">
        <f ca="1">IFERROR(__xludf.DUMMYFUNCTION("""COMPUTED_VALUE"""),"Email")</f>
        <v>Email</v>
      </c>
    </row>
    <row r="893" spans="1:10" ht="13" x14ac:dyDescent="0.15">
      <c r="A893" s="4">
        <f ca="1">IFERROR(__xludf.DUMMYFUNCTION("""COMPUTED_VALUE"""),31956742)</f>
        <v>31956742</v>
      </c>
      <c r="B893" s="1" t="str">
        <f ca="1">IFERROR(__xludf.DUMMYFUNCTION("""COMPUTED_VALUE"""),"colleenhcurtis@hotmail.com")</f>
        <v>colleenhcurtis@hotmail.com</v>
      </c>
      <c r="C893" s="4" t="str">
        <f ca="1">IFERROR(__xludf.DUMMYFUNCTION("""COMPUTED_VALUE"""),"EVERGREEN - UAN Gated Content - Embedded Petition")</f>
        <v>EVERGREEN - UAN Gated Content - Embedded Petition</v>
      </c>
      <c r="D893" s="5">
        <f ca="1">IFERROR(__xludf.DUMMYFUNCTION("""COMPUTED_VALUE"""),45651)</f>
        <v>45651</v>
      </c>
      <c r="F893" s="1" t="str">
        <f ca="1">IFERROR(__xludf.DUMMYFUNCTION("""COMPUTED_VALUE"""),"Russian Federation")</f>
        <v>Russian Federation</v>
      </c>
      <c r="G893" s="1" t="str">
        <f ca="1">IFERROR(__xludf.DUMMYFUNCTION("""COMPUTED_VALUE"""),"102.24 Russia")</f>
        <v>102.24 Russia</v>
      </c>
      <c r="H893" s="1" t="str">
        <f ca="1">IFERROR(__xludf.DUMMYFUNCTION("""COMPUTED_VALUE"""),"Freedom of Expression, Individuals At Risk, Right to Protest")</f>
        <v>Freedom of Expression, Individuals At Risk, Right to Protest</v>
      </c>
      <c r="I893" s="1" t="str">
        <f ca="1">IFERROR(__xludf.DUMMYFUNCTION("""COMPUTED_VALUE"""),"2024")</f>
        <v>2024</v>
      </c>
      <c r="J893" s="1" t="str">
        <f ca="1">IFERROR(__xludf.DUMMYFUNCTION("""COMPUTED_VALUE"""),"Email")</f>
        <v>Email</v>
      </c>
    </row>
    <row r="894" spans="1:10" ht="13" x14ac:dyDescent="0.15">
      <c r="A894" s="4">
        <f ca="1">IFERROR(__xludf.DUMMYFUNCTION("""COMPUTED_VALUE"""),31976329)</f>
        <v>31976329</v>
      </c>
      <c r="B894" s="1" t="str">
        <f ca="1">IFERROR(__xludf.DUMMYFUNCTION("""COMPUTED_VALUE"""),"beralmu@gmail.com")</f>
        <v>beralmu@gmail.com</v>
      </c>
      <c r="C894" s="4" t="str">
        <f ca="1">IFERROR(__xludf.DUMMYFUNCTION("""COMPUTED_VALUE"""),"EVERGREEN - UAN Gated Content - Embedded Petition")</f>
        <v>EVERGREEN - UAN Gated Content - Embedded Petition</v>
      </c>
      <c r="D894" s="5">
        <f ca="1">IFERROR(__xludf.DUMMYFUNCTION("""COMPUTED_VALUE"""),45694)</f>
        <v>45694</v>
      </c>
      <c r="F894" s="1" t="str">
        <f ca="1">IFERROR(__xludf.DUMMYFUNCTION("""COMPUTED_VALUE"""),"Tunisia")</f>
        <v>Tunisia</v>
      </c>
      <c r="G894" s="1" t="str">
        <f ca="1">IFERROR(__xludf.DUMMYFUNCTION("""COMPUTED_VALUE"""),"Second 76.24 Tunisia")</f>
        <v>Second 76.24 Tunisia</v>
      </c>
      <c r="H894" s="1" t="str">
        <f ca="1">IFERROR(__xludf.DUMMYFUNCTION("""COMPUTED_VALUE"""),"Freedom of Expression, Human Rights Defenders")</f>
        <v>Freedom of Expression, Human Rights Defenders</v>
      </c>
      <c r="I894" s="1" t="str">
        <f ca="1">IFERROR(__xludf.DUMMYFUNCTION("""COMPUTED_VALUE"""),"2025")</f>
        <v>2025</v>
      </c>
      <c r="J894" s="1" t="str">
        <f ca="1">IFERROR(__xludf.DUMMYFUNCTION("""COMPUTED_VALUE"""),"Email")</f>
        <v>Email</v>
      </c>
    </row>
    <row r="895" spans="1:10" ht="13" x14ac:dyDescent="0.15">
      <c r="A895" s="4">
        <f ca="1">IFERROR(__xludf.DUMMYFUNCTION("""COMPUTED_VALUE"""),31981741)</f>
        <v>31981741</v>
      </c>
      <c r="B895" s="1" t="str">
        <f ca="1">IFERROR(__xludf.DUMMYFUNCTION("""COMPUTED_VALUE"""),"threeoutside@gmail.com")</f>
        <v>threeoutside@gmail.com</v>
      </c>
      <c r="C895" s="4" t="str">
        <f ca="1">IFERROR(__xludf.DUMMYFUNCTION("""COMPUTED_VALUE"""),"EVERGREEN - UAN Gated Content - Embedded Petition")</f>
        <v>EVERGREEN - UAN Gated Content - Embedded Petition</v>
      </c>
      <c r="D895" s="5">
        <f ca="1">IFERROR(__xludf.DUMMYFUNCTION("""COMPUTED_VALUE"""),45694)</f>
        <v>45694</v>
      </c>
      <c r="F895" s="1" t="str">
        <f ca="1">IFERROR(__xludf.DUMMYFUNCTION("""COMPUTED_VALUE"""),"China")</f>
        <v>China</v>
      </c>
      <c r="G895" s="1" t="str">
        <f ca="1">IFERROR(__xludf.DUMMYFUNCTION("""COMPUTED_VALUE"""),"98.24 China")</f>
        <v>98.24 China</v>
      </c>
      <c r="H895" s="1" t="str">
        <f ca="1">IFERROR(__xludf.DUMMYFUNCTION("""COMPUTED_VALUE"""),"Freedom of Expression, Individuals At Risk")</f>
        <v>Freedom of Expression, Individuals At Risk</v>
      </c>
      <c r="I895" s="1" t="str">
        <f ca="1">IFERROR(__xludf.DUMMYFUNCTION("""COMPUTED_VALUE"""),"2024")</f>
        <v>2024</v>
      </c>
      <c r="J895" s="1" t="str">
        <f ca="1">IFERROR(__xludf.DUMMYFUNCTION("""COMPUTED_VALUE"""),"Letter")</f>
        <v>Letter</v>
      </c>
    </row>
    <row r="896" spans="1:10" ht="13" x14ac:dyDescent="0.15">
      <c r="A896" s="4">
        <f ca="1">IFERROR(__xludf.DUMMYFUNCTION("""COMPUTED_VALUE"""),31983682)</f>
        <v>31983682</v>
      </c>
      <c r="B896" s="1" t="str">
        <f ca="1">IFERROR(__xludf.DUMMYFUNCTION("""COMPUTED_VALUE"""),"dfwiest@comcast.net")</f>
        <v>dfwiest@comcast.net</v>
      </c>
      <c r="C896" s="4" t="str">
        <f ca="1">IFERROR(__xludf.DUMMYFUNCTION("""COMPUTED_VALUE"""),"EVERGREEN - UAN Gated Content - Embedded Petition")</f>
        <v>EVERGREEN - UAN Gated Content - Embedded Petition</v>
      </c>
      <c r="D896" s="5">
        <f ca="1">IFERROR(__xludf.DUMMYFUNCTION("""COMPUTED_VALUE"""),45705)</f>
        <v>45705</v>
      </c>
      <c r="F896" s="1" t="str">
        <f ca="1">IFERROR(__xludf.DUMMYFUNCTION("""COMPUTED_VALUE"""),"Iran")</f>
        <v>Iran</v>
      </c>
      <c r="G896" s="1" t="str">
        <f ca="1">IFERROR(__xludf.DUMMYFUNCTION("""COMPUTED_VALUE"""),"101.24 Iran")</f>
        <v>101.24 Iran</v>
      </c>
      <c r="H896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896" s="1" t="str">
        <f ca="1">IFERROR(__xludf.DUMMYFUNCTION("""COMPUTED_VALUE"""),"2024")</f>
        <v>2024</v>
      </c>
      <c r="J896" s="1" t="str">
        <f ca="1">IFERROR(__xludf.DUMMYFUNCTION("""COMPUTED_VALUE"""),"Email")</f>
        <v>Email</v>
      </c>
    </row>
    <row r="897" spans="1:10" ht="13" x14ac:dyDescent="0.15">
      <c r="A897" s="4">
        <f ca="1">IFERROR(__xludf.DUMMYFUNCTION("""COMPUTED_VALUE"""),32092309)</f>
        <v>32092309</v>
      </c>
      <c r="B897" s="1" t="str">
        <f ca="1">IFERROR(__xludf.DUMMYFUNCTION("""COMPUTED_VALUE"""),"craigcollinsyoung@gmail.com")</f>
        <v>craigcollinsyoung@gmail.com</v>
      </c>
      <c r="C897" s="4" t="str">
        <f ca="1">IFERROR(__xludf.DUMMYFUNCTION("""COMPUTED_VALUE"""),"EVERGREEN - UAN Gated Content - Embedded Petition")</f>
        <v>EVERGREEN - UAN Gated Content - Embedded Petition</v>
      </c>
      <c r="D897" s="5">
        <f ca="1">IFERROR(__xludf.DUMMYFUNCTION("""COMPUTED_VALUE"""),45691)</f>
        <v>45691</v>
      </c>
      <c r="F897" s="1" t="str">
        <f ca="1">IFERROR(__xludf.DUMMYFUNCTION("""COMPUTED_VALUE"""),"Uganda")</f>
        <v>Uganda</v>
      </c>
      <c r="G897" s="1" t="str">
        <f ca="1">IFERROR(__xludf.DUMMYFUNCTION("""COMPUTED_VALUE"""),"100.24 Uganda")</f>
        <v>100.24 Uganda</v>
      </c>
      <c r="H897" s="1" t="str">
        <f ca="1">IFERROR(__xludf.DUMMYFUNCTION("""COMPUTED_VALUE"""),"Freedom of Expression")</f>
        <v>Freedom of Expression</v>
      </c>
      <c r="I897" s="1" t="str">
        <f ca="1">IFERROR(__xludf.DUMMYFUNCTION("""COMPUTED_VALUE"""),"2024")</f>
        <v>2024</v>
      </c>
      <c r="J897" s="1" t="str">
        <f ca="1">IFERROR(__xludf.DUMMYFUNCTION("""COMPUTED_VALUE"""),"Email")</f>
        <v>Email</v>
      </c>
    </row>
    <row r="898" spans="1:10" ht="13" x14ac:dyDescent="0.15">
      <c r="A898" s="4">
        <f ca="1">IFERROR(__xludf.DUMMYFUNCTION("""COMPUTED_VALUE"""),32138932)</f>
        <v>32138932</v>
      </c>
      <c r="B898" s="1" t="str">
        <f ca="1">IFERROR(__xludf.DUMMYFUNCTION("""COMPUTED_VALUE"""),"mgrant9850@gmail.com")</f>
        <v>mgrant9850@gmail.com</v>
      </c>
      <c r="C898" s="4" t="str">
        <f ca="1">IFERROR(__xludf.DUMMYFUNCTION("""COMPUTED_VALUE"""),"EVERGREEN - UAN Gated Content - Embedded Petition")</f>
        <v>EVERGREEN - UAN Gated Content - Embedded Petition</v>
      </c>
      <c r="D898" s="5">
        <f ca="1">IFERROR(__xludf.DUMMYFUNCTION("""COMPUTED_VALUE"""),45674)</f>
        <v>45674</v>
      </c>
      <c r="F898" s="1" t="str">
        <f ca="1">IFERROR(__xludf.DUMMYFUNCTION("""COMPUTED_VALUE"""),"Dominican Republic")</f>
        <v>Dominican Republic</v>
      </c>
      <c r="G898" s="1" t="str">
        <f ca="1">IFERROR(__xludf.DUMMYFUNCTION("""COMPUTED_VALUE"""),"88.24 Dominican Republic")</f>
        <v>88.24 Dominican Republic</v>
      </c>
      <c r="H898" s="1" t="str">
        <f ca="1">IFERROR(__xludf.DUMMYFUNCTION("""COMPUTED_VALUE"""),"Individuals At Risk, Refugee and Migrant Rights")</f>
        <v>Individuals At Risk, Refugee and Migrant Rights</v>
      </c>
      <c r="I898" s="1" t="str">
        <f ca="1">IFERROR(__xludf.DUMMYFUNCTION("""COMPUTED_VALUE"""),"2024")</f>
        <v>2024</v>
      </c>
      <c r="J898" s="1" t="str">
        <f ca="1">IFERROR(__xludf.DUMMYFUNCTION("""COMPUTED_VALUE"""),"Letter")</f>
        <v>Letter</v>
      </c>
    </row>
    <row r="899" spans="1:10" ht="13" x14ac:dyDescent="0.15">
      <c r="A899" s="4">
        <f ca="1">IFERROR(__xludf.DUMMYFUNCTION("""COMPUTED_VALUE"""),32187680)</f>
        <v>32187680</v>
      </c>
      <c r="B899" s="1" t="str">
        <f ca="1">IFERROR(__xludf.DUMMYFUNCTION("""COMPUTED_VALUE"""),"beralmu@hotmail.com")</f>
        <v>beralmu@hotmail.com</v>
      </c>
      <c r="C899" s="4" t="str">
        <f ca="1">IFERROR(__xludf.DUMMYFUNCTION("""COMPUTED_VALUE"""),"EVERGREEN - UAN Gated Content - Embedded Petition")</f>
        <v>EVERGREEN - UAN Gated Content - Embedded Petition</v>
      </c>
      <c r="D899" s="5">
        <f ca="1">IFERROR(__xludf.DUMMYFUNCTION("""COMPUTED_VALUE"""),45677)</f>
        <v>45677</v>
      </c>
      <c r="F899" s="1" t="str">
        <f ca="1">IFERROR(__xludf.DUMMYFUNCTION("""COMPUTED_VALUE"""),"Tunisia")</f>
        <v>Tunisia</v>
      </c>
      <c r="G899" s="1" t="str">
        <f ca="1">IFERROR(__xludf.DUMMYFUNCTION("""COMPUTED_VALUE"""),"Second 76.24 Tunisia")</f>
        <v>Second 76.24 Tunisia</v>
      </c>
      <c r="H899" s="1" t="str">
        <f ca="1">IFERROR(__xludf.DUMMYFUNCTION("""COMPUTED_VALUE"""),"Freedom of Expression, Human Rights Defenders")</f>
        <v>Freedom of Expression, Human Rights Defenders</v>
      </c>
      <c r="I899" s="1" t="str">
        <f ca="1">IFERROR(__xludf.DUMMYFUNCTION("""COMPUTED_VALUE"""),"2025")</f>
        <v>2025</v>
      </c>
      <c r="J899" s="1" t="str">
        <f ca="1">IFERROR(__xludf.DUMMYFUNCTION("""COMPUTED_VALUE"""),"Email")</f>
        <v>Email</v>
      </c>
    </row>
    <row r="900" spans="1:10" ht="13" x14ac:dyDescent="0.15">
      <c r="A900" s="4">
        <f ca="1">IFERROR(__xludf.DUMMYFUNCTION("""COMPUTED_VALUE"""),32222502)</f>
        <v>32222502</v>
      </c>
      <c r="B900" s="1" t="str">
        <f ca="1">IFERROR(__xludf.DUMMYFUNCTION("""COMPUTED_VALUE"""),"lsdarman@gmail.com")</f>
        <v>lsdarman@gmail.com</v>
      </c>
      <c r="C900" s="4" t="str">
        <f ca="1">IFERROR(__xludf.DUMMYFUNCTION("""COMPUTED_VALUE"""),"EVERGREEN - UAN Gated Content - Embedded Petition")</f>
        <v>EVERGREEN - UAN Gated Content - Embedded Petition</v>
      </c>
      <c r="D900" s="5">
        <f ca="1">IFERROR(__xludf.DUMMYFUNCTION("""COMPUTED_VALUE"""),45674)</f>
        <v>45674</v>
      </c>
      <c r="F900" s="1" t="str">
        <f ca="1">IFERROR(__xludf.DUMMYFUNCTION("""COMPUTED_VALUE"""),"Niger")</f>
        <v>Niger</v>
      </c>
      <c r="G900" s="1" t="str">
        <f ca="1">IFERROR(__xludf.DUMMYFUNCTION("""COMPUTED_VALUE"""),"103.24 Niger")</f>
        <v>103.24 Niger</v>
      </c>
      <c r="H900" s="1" t="str">
        <f ca="1">IFERROR(__xludf.DUMMYFUNCTION("""COMPUTED_VALUE"""),"Freedom of Expression, Human Rights Defenders")</f>
        <v>Freedom of Expression, Human Rights Defenders</v>
      </c>
      <c r="I900" s="1" t="str">
        <f ca="1">IFERROR(__xludf.DUMMYFUNCTION("""COMPUTED_VALUE"""),"2024")</f>
        <v>2024</v>
      </c>
      <c r="J900" s="1" t="str">
        <f ca="1">IFERROR(__xludf.DUMMYFUNCTION("""COMPUTED_VALUE"""),"Email")</f>
        <v>Email</v>
      </c>
    </row>
    <row r="901" spans="1:10" ht="13" x14ac:dyDescent="0.15">
      <c r="A901" s="4">
        <f ca="1">IFERROR(__xludf.DUMMYFUNCTION("""COMPUTED_VALUE"""),32222502)</f>
        <v>32222502</v>
      </c>
      <c r="B901" s="1" t="str">
        <f ca="1">IFERROR(__xludf.DUMMYFUNCTION("""COMPUTED_VALUE"""),"lsdarman@gmail.com")</f>
        <v>lsdarman@gmail.com</v>
      </c>
      <c r="C901" s="4" t="str">
        <f ca="1">IFERROR(__xludf.DUMMYFUNCTION("""COMPUTED_VALUE"""),"EVERGREEN - UAN Gated Content - Embedded Petition")</f>
        <v>EVERGREEN - UAN Gated Content - Embedded Petition</v>
      </c>
      <c r="D901" s="5">
        <f ca="1">IFERROR(__xludf.DUMMYFUNCTION("""COMPUTED_VALUE"""),45674)</f>
        <v>45674</v>
      </c>
      <c r="F901" s="1" t="str">
        <f ca="1">IFERROR(__xludf.DUMMYFUNCTION("""COMPUTED_VALUE"""),"Iran")</f>
        <v>Iran</v>
      </c>
      <c r="G901" s="1" t="str">
        <f ca="1">IFERROR(__xludf.DUMMYFUNCTION("""COMPUTED_VALUE"""),"Seventh 103.22 Iran")</f>
        <v>Seventh 103.22 Iran</v>
      </c>
      <c r="H901" s="1" t="str">
        <f ca="1">IFERROR(__xludf.DUMMYFUNCTION("""COMPUTED_VALUE"""),"Death Penalty, Freedom of Expression, Individuals At Risk")</f>
        <v>Death Penalty, Freedom of Expression, Individuals At Risk</v>
      </c>
      <c r="I901" s="1" t="str">
        <f ca="1">IFERROR(__xludf.DUMMYFUNCTION("""COMPUTED_VALUE"""),"2024")</f>
        <v>2024</v>
      </c>
      <c r="J901" s="1" t="str">
        <f ca="1">IFERROR(__xludf.DUMMYFUNCTION("""COMPUTED_VALUE"""),"Email")</f>
        <v>Email</v>
      </c>
    </row>
    <row r="902" spans="1:10" ht="13" x14ac:dyDescent="0.15">
      <c r="A902" s="4">
        <f ca="1">IFERROR(__xludf.DUMMYFUNCTION("""COMPUTED_VALUE"""),32222502)</f>
        <v>32222502</v>
      </c>
      <c r="B902" s="1" t="str">
        <f ca="1">IFERROR(__xludf.DUMMYFUNCTION("""COMPUTED_VALUE"""),"lsdarman@gmail.com")</f>
        <v>lsdarman@gmail.com</v>
      </c>
      <c r="C902" s="4" t="str">
        <f ca="1">IFERROR(__xludf.DUMMYFUNCTION("""COMPUTED_VALUE"""),"EVERGREEN - UAN Gated Content - Embedded Petition")</f>
        <v>EVERGREEN - UAN Gated Content - Embedded Petition</v>
      </c>
      <c r="D902" s="5">
        <f ca="1">IFERROR(__xludf.DUMMYFUNCTION("""COMPUTED_VALUE"""),45699)</f>
        <v>45699</v>
      </c>
      <c r="F902" s="1" t="str">
        <f ca="1">IFERROR(__xludf.DUMMYFUNCTION("""COMPUTED_VALUE"""),"Iran")</f>
        <v>Iran</v>
      </c>
      <c r="G902" s="1" t="str">
        <f ca="1">IFERROR(__xludf.DUMMYFUNCTION("""COMPUTED_VALUE"""),"Seventh 103.22 Iran")</f>
        <v>Seventh 103.22 Iran</v>
      </c>
      <c r="H902" s="1" t="str">
        <f ca="1">IFERROR(__xludf.DUMMYFUNCTION("""COMPUTED_VALUE"""),"Death Penalty, Freedom of Expression, Individuals At Risk")</f>
        <v>Death Penalty, Freedom of Expression, Individuals At Risk</v>
      </c>
      <c r="I902" s="1" t="str">
        <f ca="1">IFERROR(__xludf.DUMMYFUNCTION("""COMPUTED_VALUE"""),"2024")</f>
        <v>2024</v>
      </c>
      <c r="J902" s="1" t="str">
        <f ca="1">IFERROR(__xludf.DUMMYFUNCTION("""COMPUTED_VALUE"""),"Email")</f>
        <v>Email</v>
      </c>
    </row>
    <row r="903" spans="1:10" ht="13" x14ac:dyDescent="0.15">
      <c r="A903" s="4">
        <f ca="1">IFERROR(__xludf.DUMMYFUNCTION("""COMPUTED_VALUE"""),32222502)</f>
        <v>32222502</v>
      </c>
      <c r="B903" s="1" t="str">
        <f ca="1">IFERROR(__xludf.DUMMYFUNCTION("""COMPUTED_VALUE"""),"lsdarman@gmail.com")</f>
        <v>lsdarman@gmail.com</v>
      </c>
      <c r="C903" s="4" t="str">
        <f ca="1">IFERROR(__xludf.DUMMYFUNCTION("""COMPUTED_VALUE"""),"EVERGREEN - UAN Gated Content - Embedded Petition")</f>
        <v>EVERGREEN - UAN Gated Content - Embedded Petition</v>
      </c>
      <c r="D903" s="5">
        <f ca="1">IFERROR(__xludf.DUMMYFUNCTION("""COMPUTED_VALUE"""),45674)</f>
        <v>45674</v>
      </c>
      <c r="F903" s="1" t="str">
        <f ca="1">IFERROR(__xludf.DUMMYFUNCTION("""COMPUTED_VALUE"""),"Venezuela")</f>
        <v>Venezuela</v>
      </c>
      <c r="G903" s="1" t="str">
        <f ca="1">IFERROR(__xludf.DUMMYFUNCTION("""COMPUTED_VALUE"""),"1.25 Venezuela")</f>
        <v>1.25 Venezuela</v>
      </c>
      <c r="H903" s="1" t="str">
        <f ca="1">IFERROR(__xludf.DUMMYFUNCTION("""COMPUTED_VALUE"""),"Human Rights Defenders, Individuals At Risk")</f>
        <v>Human Rights Defenders, Individuals At Risk</v>
      </c>
      <c r="I903" s="1" t="str">
        <f ca="1">IFERROR(__xludf.DUMMYFUNCTION("""COMPUTED_VALUE"""),"2025")</f>
        <v>2025</v>
      </c>
      <c r="J903" s="1" t="str">
        <f ca="1">IFERROR(__xludf.DUMMYFUNCTION("""COMPUTED_VALUE"""),"Letter")</f>
        <v>Letter</v>
      </c>
    </row>
    <row r="904" spans="1:10" ht="13" x14ac:dyDescent="0.15">
      <c r="A904" s="4">
        <f ca="1">IFERROR(__xludf.DUMMYFUNCTION("""COMPUTED_VALUE"""),32222502)</f>
        <v>32222502</v>
      </c>
      <c r="B904" s="1" t="str">
        <f ca="1">IFERROR(__xludf.DUMMYFUNCTION("""COMPUTED_VALUE"""),"lsdarman@gmail.com")</f>
        <v>lsdarman@gmail.com</v>
      </c>
      <c r="C904" s="4" t="str">
        <f ca="1">IFERROR(__xludf.DUMMYFUNCTION("""COMPUTED_VALUE"""),"EVERGREEN - UAN Gated Content - Embedded Petition")</f>
        <v>EVERGREEN - UAN Gated Content - Embedded Petition</v>
      </c>
      <c r="D904" s="5">
        <f ca="1">IFERROR(__xludf.DUMMYFUNCTION("""COMPUTED_VALUE"""),45699)</f>
        <v>45699</v>
      </c>
      <c r="F904" s="1" t="str">
        <f ca="1">IFERROR(__xludf.DUMMYFUNCTION("""COMPUTED_VALUE"""),"Iran")</f>
        <v>Iran</v>
      </c>
      <c r="G904" s="1" t="str">
        <f ca="1">IFERROR(__xludf.DUMMYFUNCTION("""COMPUTED_VALUE"""),"Seventh 103.22 Iran")</f>
        <v>Seventh 103.22 Iran</v>
      </c>
      <c r="H904" s="1" t="str">
        <f ca="1">IFERROR(__xludf.DUMMYFUNCTION("""COMPUTED_VALUE"""),"Death Penalty, Freedom of Expression, Individuals At Risk")</f>
        <v>Death Penalty, Freedom of Expression, Individuals At Risk</v>
      </c>
      <c r="I904" s="1" t="str">
        <f ca="1">IFERROR(__xludf.DUMMYFUNCTION("""COMPUTED_VALUE"""),"2024")</f>
        <v>2024</v>
      </c>
      <c r="J904" s="1" t="str">
        <f ca="1">IFERROR(__xludf.DUMMYFUNCTION("""COMPUTED_VALUE"""),"Email")</f>
        <v>Email</v>
      </c>
    </row>
    <row r="905" spans="1:10" ht="13" x14ac:dyDescent="0.15">
      <c r="A905" s="4">
        <f ca="1">IFERROR(__xludf.DUMMYFUNCTION("""COMPUTED_VALUE"""),32222502)</f>
        <v>32222502</v>
      </c>
      <c r="B905" s="1" t="str">
        <f ca="1">IFERROR(__xludf.DUMMYFUNCTION("""COMPUTED_VALUE"""),"lsdarman@gmail.com")</f>
        <v>lsdarman@gmail.com</v>
      </c>
      <c r="C905" s="4" t="str">
        <f ca="1">IFERROR(__xludf.DUMMYFUNCTION("""COMPUTED_VALUE"""),"EVERGREEN - UAN Gated Content - Embedded Petition")</f>
        <v>EVERGREEN - UAN Gated Content - Embedded Petition</v>
      </c>
      <c r="D905" s="5">
        <f ca="1">IFERROR(__xludf.DUMMYFUNCTION("""COMPUTED_VALUE"""),45661)</f>
        <v>45661</v>
      </c>
      <c r="F905" s="1" t="str">
        <f ca="1">IFERROR(__xludf.DUMMYFUNCTION("""COMPUTED_VALUE"""),"Dominican Republic")</f>
        <v>Dominican Republic</v>
      </c>
      <c r="G905" s="1" t="str">
        <f ca="1">IFERROR(__xludf.DUMMYFUNCTION("""COMPUTED_VALUE"""),"88.24 Dominican Republic")</f>
        <v>88.24 Dominican Republic</v>
      </c>
      <c r="H905" s="1" t="str">
        <f ca="1">IFERROR(__xludf.DUMMYFUNCTION("""COMPUTED_VALUE"""),"Individuals At Risk, Refugee and Migrant Rights")</f>
        <v>Individuals At Risk, Refugee and Migrant Rights</v>
      </c>
      <c r="I905" s="1" t="str">
        <f ca="1">IFERROR(__xludf.DUMMYFUNCTION("""COMPUTED_VALUE"""),"2024")</f>
        <v>2024</v>
      </c>
      <c r="J905" s="1" t="str">
        <f ca="1">IFERROR(__xludf.DUMMYFUNCTION("""COMPUTED_VALUE"""),"Letter")</f>
        <v>Letter</v>
      </c>
    </row>
    <row r="906" spans="1:10" ht="13" x14ac:dyDescent="0.15">
      <c r="A906" s="4">
        <f ca="1">IFERROR(__xludf.DUMMYFUNCTION("""COMPUTED_VALUE"""),32222502)</f>
        <v>32222502</v>
      </c>
      <c r="B906" s="1" t="str">
        <f ca="1">IFERROR(__xludf.DUMMYFUNCTION("""COMPUTED_VALUE"""),"lsdarman@gmail.com")</f>
        <v>lsdarman@gmail.com</v>
      </c>
      <c r="C906" s="4" t="str">
        <f ca="1">IFERROR(__xludf.DUMMYFUNCTION("""COMPUTED_VALUE"""),"EVERGREEN - UAN Gated Content - Embedded Petition")</f>
        <v>EVERGREEN - UAN Gated Content - Embedded Petition</v>
      </c>
      <c r="D906" s="5">
        <f ca="1">IFERROR(__xludf.DUMMYFUNCTION("""COMPUTED_VALUE"""),45661)</f>
        <v>45661</v>
      </c>
      <c r="F906" s="1" t="str">
        <f ca="1">IFERROR(__xludf.DUMMYFUNCTION("""COMPUTED_VALUE"""),"China")</f>
        <v>China</v>
      </c>
      <c r="G906" s="1" t="str">
        <f ca="1">IFERROR(__xludf.DUMMYFUNCTION("""COMPUTED_VALUE"""),"98.24 China")</f>
        <v>98.24 China</v>
      </c>
      <c r="H906" s="1" t="str">
        <f ca="1">IFERROR(__xludf.DUMMYFUNCTION("""COMPUTED_VALUE"""),"Freedom of Expression, Individuals At Risk")</f>
        <v>Freedom of Expression, Individuals At Risk</v>
      </c>
      <c r="I906" s="1" t="str">
        <f ca="1">IFERROR(__xludf.DUMMYFUNCTION("""COMPUTED_VALUE"""),"2024")</f>
        <v>2024</v>
      </c>
      <c r="J906" s="1" t="str">
        <f ca="1">IFERROR(__xludf.DUMMYFUNCTION("""COMPUTED_VALUE"""),"Letter")</f>
        <v>Letter</v>
      </c>
    </row>
    <row r="907" spans="1:10" ht="13" x14ac:dyDescent="0.15">
      <c r="A907" s="4">
        <f ca="1">IFERROR(__xludf.DUMMYFUNCTION("""COMPUTED_VALUE"""),32222502)</f>
        <v>32222502</v>
      </c>
      <c r="B907" s="1" t="str">
        <f ca="1">IFERROR(__xludf.DUMMYFUNCTION("""COMPUTED_VALUE"""),"lsdarman@gmail.com")</f>
        <v>lsdarman@gmail.com</v>
      </c>
      <c r="C907" s="4" t="str">
        <f ca="1">IFERROR(__xludf.DUMMYFUNCTION("""COMPUTED_VALUE"""),"EVERGREEN - UAN Gated Content - Embedded Petition")</f>
        <v>EVERGREEN - UAN Gated Content - Embedded Petition</v>
      </c>
      <c r="D907" s="5">
        <f ca="1">IFERROR(__xludf.DUMMYFUNCTION("""COMPUTED_VALUE"""),45661)</f>
        <v>45661</v>
      </c>
      <c r="F907" s="1" t="str">
        <f ca="1">IFERROR(__xludf.DUMMYFUNCTION("""COMPUTED_VALUE"""),"Venezuela")</f>
        <v>Venezuela</v>
      </c>
      <c r="G907" s="1" t="str">
        <f ca="1">IFERROR(__xludf.DUMMYFUNCTION("""COMPUTED_VALUE"""),"97.24 Venezuela")</f>
        <v>97.24 Venezuela</v>
      </c>
      <c r="H907" s="1" t="str">
        <f ca="1">IFERROR(__xludf.DUMMYFUNCTION("""COMPUTED_VALUE"""),"Freedom of Expression")</f>
        <v>Freedom of Expression</v>
      </c>
      <c r="I907" s="1" t="str">
        <f ca="1">IFERROR(__xludf.DUMMYFUNCTION("""COMPUTED_VALUE"""),"2024")</f>
        <v>2024</v>
      </c>
      <c r="J907" s="1" t="str">
        <f ca="1">IFERROR(__xludf.DUMMYFUNCTION("""COMPUTED_VALUE"""),"Letter")</f>
        <v>Letter</v>
      </c>
    </row>
    <row r="908" spans="1:10" ht="13" x14ac:dyDescent="0.15">
      <c r="A908" s="4">
        <f ca="1">IFERROR(__xludf.DUMMYFUNCTION("""COMPUTED_VALUE"""),32222502)</f>
        <v>32222502</v>
      </c>
      <c r="B908" s="1" t="str">
        <f ca="1">IFERROR(__xludf.DUMMYFUNCTION("""COMPUTED_VALUE"""),"lsdarman@gmail.com")</f>
        <v>lsdarman@gmail.com</v>
      </c>
      <c r="C908" s="4" t="str">
        <f ca="1">IFERROR(__xludf.DUMMYFUNCTION("""COMPUTED_VALUE"""),"EVERGREEN - UAN Gated Content - Embedded Petition")</f>
        <v>EVERGREEN - UAN Gated Content - Embedded Petition</v>
      </c>
      <c r="D908" s="5">
        <f ca="1">IFERROR(__xludf.DUMMYFUNCTION("""COMPUTED_VALUE"""),45674)</f>
        <v>45674</v>
      </c>
      <c r="F908" s="1" t="str">
        <f ca="1">IFERROR(__xludf.DUMMYFUNCTION("""COMPUTED_VALUE"""),"USA")</f>
        <v>USA</v>
      </c>
      <c r="G908" s="1" t="str">
        <f ca="1">IFERROR(__xludf.DUMMYFUNCTION("""COMPUTED_VALUE"""),"96.24 USA")</f>
        <v>96.24 USA</v>
      </c>
      <c r="H908" s="1" t="str">
        <f ca="1">IFERROR(__xludf.DUMMYFUNCTION("""COMPUTED_VALUE"""),"Death Penalty")</f>
        <v>Death Penalty</v>
      </c>
      <c r="I908" s="1" t="str">
        <f ca="1">IFERROR(__xludf.DUMMYFUNCTION("""COMPUTED_VALUE"""),"2024")</f>
        <v>2024</v>
      </c>
      <c r="J908" s="1" t="str">
        <f ca="1">IFERROR(__xludf.DUMMYFUNCTION("""COMPUTED_VALUE"""),"Email")</f>
        <v>Email</v>
      </c>
    </row>
    <row r="909" spans="1:10" ht="13" x14ac:dyDescent="0.15">
      <c r="A909" s="4">
        <f ca="1">IFERROR(__xludf.DUMMYFUNCTION("""COMPUTED_VALUE"""),32243010)</f>
        <v>32243010</v>
      </c>
      <c r="B909" s="1" t="str">
        <f ca="1">IFERROR(__xludf.DUMMYFUNCTION("""COMPUTED_VALUE"""),"gkgrunow@grunows.net")</f>
        <v>gkgrunow@grunows.net</v>
      </c>
      <c r="C909" s="4" t="str">
        <f ca="1">IFERROR(__xludf.DUMMYFUNCTION("""COMPUTED_VALUE"""),"EVERGREEN - UAN Gated Content - Embedded Petition")</f>
        <v>EVERGREEN - UAN Gated Content - Embedded Petition</v>
      </c>
      <c r="D909" s="5">
        <f ca="1">IFERROR(__xludf.DUMMYFUNCTION("""COMPUTED_VALUE"""),45636)</f>
        <v>45636</v>
      </c>
      <c r="F909" s="1" t="str">
        <f ca="1">IFERROR(__xludf.DUMMYFUNCTION("""COMPUTED_VALUE"""),"USA")</f>
        <v>USA</v>
      </c>
      <c r="G909" s="1" t="str">
        <f ca="1">IFERROR(__xludf.DUMMYFUNCTION("""COMPUTED_VALUE"""),"105.24 USA")</f>
        <v>105.24 USA</v>
      </c>
      <c r="H909" s="1" t="str">
        <f ca="1">IFERROR(__xludf.DUMMYFUNCTION("""COMPUTED_VALUE"""),"Death Penalty")</f>
        <v>Death Penalty</v>
      </c>
      <c r="I909" s="1" t="str">
        <f ca="1">IFERROR(__xludf.DUMMYFUNCTION("""COMPUTED_VALUE"""),"2024")</f>
        <v>2024</v>
      </c>
      <c r="J909" s="1" t="str">
        <f ca="1">IFERROR(__xludf.DUMMYFUNCTION("""COMPUTED_VALUE"""),"Email")</f>
        <v>Email</v>
      </c>
    </row>
    <row r="910" spans="1:10" ht="13" x14ac:dyDescent="0.15">
      <c r="A910" s="4">
        <f ca="1">IFERROR(__xludf.DUMMYFUNCTION("""COMPUTED_VALUE"""),32243010)</f>
        <v>32243010</v>
      </c>
      <c r="B910" s="1" t="str">
        <f ca="1">IFERROR(__xludf.DUMMYFUNCTION("""COMPUTED_VALUE"""),"gkgrunow@grunows.net")</f>
        <v>gkgrunow@grunows.net</v>
      </c>
      <c r="C910" s="4" t="str">
        <f ca="1">IFERROR(__xludf.DUMMYFUNCTION("""COMPUTED_VALUE"""),"EVERGREEN - UAN Gated Content - Embedded Petition")</f>
        <v>EVERGREEN - UAN Gated Content - Embedded Petition</v>
      </c>
      <c r="D910" s="5">
        <f ca="1">IFERROR(__xludf.DUMMYFUNCTION("""COMPUTED_VALUE"""),45636)</f>
        <v>45636</v>
      </c>
      <c r="F910" s="1" t="str">
        <f ca="1">IFERROR(__xludf.DUMMYFUNCTION("""COMPUTED_VALUE"""),"Egypt")</f>
        <v>Egypt</v>
      </c>
      <c r="G910" s="1" t="str">
        <f ca="1">IFERROR(__xludf.DUMMYFUNCTION("""COMPUTED_VALUE"""),"Ninth 190.18 Egypt")</f>
        <v>Ninth 190.18 Egypt</v>
      </c>
      <c r="H910" s="1" t="str">
        <f ca="1">IFERROR(__xludf.DUMMYFUNCTION("""COMPUTED_VALUE"""),"Freedom of Expression, Individuals At Risk")</f>
        <v>Freedom of Expression, Individuals At Risk</v>
      </c>
      <c r="I910" s="1" t="str">
        <f ca="1">IFERROR(__xludf.DUMMYFUNCTION("""COMPUTED_VALUE"""),"2024")</f>
        <v>2024</v>
      </c>
      <c r="J910" s="1" t="str">
        <f ca="1">IFERROR(__xludf.DUMMYFUNCTION("""COMPUTED_VALUE"""),"Letter")</f>
        <v>Letter</v>
      </c>
    </row>
    <row r="911" spans="1:10" ht="13" x14ac:dyDescent="0.15">
      <c r="A911" s="4">
        <f ca="1">IFERROR(__xludf.DUMMYFUNCTION("""COMPUTED_VALUE"""),32243010)</f>
        <v>32243010</v>
      </c>
      <c r="B911" s="1" t="str">
        <f ca="1">IFERROR(__xludf.DUMMYFUNCTION("""COMPUTED_VALUE"""),"gkgrunow@grunows.net")</f>
        <v>gkgrunow@grunows.net</v>
      </c>
      <c r="C911" s="4" t="str">
        <f ca="1">IFERROR(__xludf.DUMMYFUNCTION("""COMPUTED_VALUE"""),"EVERGREEN - UAN Gated Content - Embedded Petition")</f>
        <v>EVERGREEN - UAN Gated Content - Embedded Petition</v>
      </c>
      <c r="D911" s="5">
        <f ca="1">IFERROR(__xludf.DUMMYFUNCTION("""COMPUTED_VALUE"""),45679)</f>
        <v>45679</v>
      </c>
      <c r="F911" s="1" t="str">
        <f ca="1">IFERROR(__xludf.DUMMYFUNCTION("""COMPUTED_VALUE"""),"USA")</f>
        <v>USA</v>
      </c>
      <c r="G911" s="1" t="str">
        <f ca="1">IFERROR(__xludf.DUMMYFUNCTION("""COMPUTED_VALUE"""),"4.25 USA")</f>
        <v>4.25 USA</v>
      </c>
      <c r="H911" s="1" t="str">
        <f ca="1">IFERROR(__xludf.DUMMYFUNCTION("""COMPUTED_VALUE"""),"Individuals At Risk, Refugee and Migrant Rights")</f>
        <v>Individuals At Risk, Refugee and Migrant Rights</v>
      </c>
      <c r="I911" s="1" t="str">
        <f ca="1">IFERROR(__xludf.DUMMYFUNCTION("""COMPUTED_VALUE"""),"2025")</f>
        <v>2025</v>
      </c>
      <c r="J911" s="1" t="str">
        <f ca="1">IFERROR(__xludf.DUMMYFUNCTION("""COMPUTED_VALUE"""),"Letter")</f>
        <v>Letter</v>
      </c>
    </row>
    <row r="912" spans="1:10" ht="13" x14ac:dyDescent="0.15">
      <c r="A912" s="4">
        <f ca="1">IFERROR(__xludf.DUMMYFUNCTION("""COMPUTED_VALUE"""),32256742)</f>
        <v>32256742</v>
      </c>
      <c r="B912" s="1" t="str">
        <f ca="1">IFERROR(__xludf.DUMMYFUNCTION("""COMPUTED_VALUE"""),"allisonmidorireilly@gmail.com")</f>
        <v>allisonmidorireilly@gmail.com</v>
      </c>
      <c r="C912" s="4" t="str">
        <f ca="1">IFERROR(__xludf.DUMMYFUNCTION("""COMPUTED_VALUE"""),"EVERGREEN - UAN Gated Content - Embedded Petition")</f>
        <v>EVERGREEN - UAN Gated Content - Embedded Petition</v>
      </c>
      <c r="D912" s="5">
        <f ca="1">IFERROR(__xludf.DUMMYFUNCTION("""COMPUTED_VALUE"""),45622)</f>
        <v>45622</v>
      </c>
      <c r="F912" s="1" t="str">
        <f ca="1">IFERROR(__xludf.DUMMYFUNCTION("""COMPUTED_VALUE"""),"Tunisia")</f>
        <v>Tunisia</v>
      </c>
      <c r="G912" s="1" t="str">
        <f ca="1">IFERROR(__xludf.DUMMYFUNCTION("""COMPUTED_VALUE"""),"Second 76.24 Tunisia")</f>
        <v>Second 76.24 Tunisia</v>
      </c>
      <c r="H912" s="1" t="str">
        <f ca="1">IFERROR(__xludf.DUMMYFUNCTION("""COMPUTED_VALUE"""),"Freedom of Expression, Human Rights Defenders")</f>
        <v>Freedom of Expression, Human Rights Defenders</v>
      </c>
      <c r="I912" s="1" t="str">
        <f ca="1">IFERROR(__xludf.DUMMYFUNCTION("""COMPUTED_VALUE"""),"2025")</f>
        <v>2025</v>
      </c>
      <c r="J912" s="1" t="str">
        <f ca="1">IFERROR(__xludf.DUMMYFUNCTION("""COMPUTED_VALUE"""),"Email")</f>
        <v>Email</v>
      </c>
    </row>
    <row r="913" spans="1:10" ht="13" x14ac:dyDescent="0.15">
      <c r="A913" s="4">
        <f ca="1">IFERROR(__xludf.DUMMYFUNCTION("""COMPUTED_VALUE"""),32256742)</f>
        <v>32256742</v>
      </c>
      <c r="B913" s="1" t="str">
        <f ca="1">IFERROR(__xludf.DUMMYFUNCTION("""COMPUTED_VALUE"""),"allisonmidorireilly@gmail.com")</f>
        <v>allisonmidorireilly@gmail.com</v>
      </c>
      <c r="C913" s="4" t="str">
        <f ca="1">IFERROR(__xludf.DUMMYFUNCTION("""COMPUTED_VALUE"""),"EVERGREEN - UAN Gated Content - Embedded Petition")</f>
        <v>EVERGREEN - UAN Gated Content - Embedded Petition</v>
      </c>
      <c r="D913" s="5">
        <f ca="1">IFERROR(__xludf.DUMMYFUNCTION("""COMPUTED_VALUE"""),45618)</f>
        <v>45618</v>
      </c>
      <c r="F913" s="1" t="str">
        <f ca="1">IFERROR(__xludf.DUMMYFUNCTION("""COMPUTED_VALUE"""),"USA")</f>
        <v>USA</v>
      </c>
      <c r="G913" s="1" t="str">
        <f ca="1">IFERROR(__xludf.DUMMYFUNCTION("""COMPUTED_VALUE"""),"4.25 USA")</f>
        <v>4.25 USA</v>
      </c>
      <c r="H913" s="1" t="str">
        <f ca="1">IFERROR(__xludf.DUMMYFUNCTION("""COMPUTED_VALUE"""),"Individuals At Risk, Refugee and Migrant Rights")</f>
        <v>Individuals At Risk, Refugee and Migrant Rights</v>
      </c>
      <c r="I913" s="1" t="str">
        <f ca="1">IFERROR(__xludf.DUMMYFUNCTION("""COMPUTED_VALUE"""),"2025")</f>
        <v>2025</v>
      </c>
      <c r="J913" s="1" t="str">
        <f ca="1">IFERROR(__xludf.DUMMYFUNCTION("""COMPUTED_VALUE"""),"Letter")</f>
        <v>Letter</v>
      </c>
    </row>
    <row r="914" spans="1:10" ht="13" x14ac:dyDescent="0.15">
      <c r="A914" s="4">
        <f ca="1">IFERROR(__xludf.DUMMYFUNCTION("""COMPUTED_VALUE"""),32256742)</f>
        <v>32256742</v>
      </c>
      <c r="B914" s="1" t="str">
        <f ca="1">IFERROR(__xludf.DUMMYFUNCTION("""COMPUTED_VALUE"""),"allisonmidorireilly@gmail.com")</f>
        <v>allisonmidorireilly@gmail.com</v>
      </c>
      <c r="C914" s="4" t="str">
        <f ca="1">IFERROR(__xludf.DUMMYFUNCTION("""COMPUTED_VALUE"""),"EVERGREEN - UAN Gated Content - Embedded Petition")</f>
        <v>EVERGREEN - UAN Gated Content - Embedded Petition</v>
      </c>
      <c r="D914" s="5">
        <f ca="1">IFERROR(__xludf.DUMMYFUNCTION("""COMPUTED_VALUE"""),45706)</f>
        <v>45706</v>
      </c>
      <c r="F914" s="1" t="str">
        <f ca="1">IFERROR(__xludf.DUMMYFUNCTION("""COMPUTED_VALUE"""),"Azerbaijan")</f>
        <v>Azerbaijan</v>
      </c>
      <c r="G914" s="1" t="str">
        <f ca="1">IFERROR(__xludf.DUMMYFUNCTION("""COMPUTED_VALUE"""),"2.25 Azerbaijan")</f>
        <v>2.25 Azerbaijan</v>
      </c>
      <c r="H914" s="1" t="str">
        <f ca="1">IFERROR(__xludf.DUMMYFUNCTION("""COMPUTED_VALUE"""),"Freedom of Expression, Human Rights Defenders")</f>
        <v>Freedom of Expression, Human Rights Defenders</v>
      </c>
      <c r="I914" s="1" t="str">
        <f ca="1">IFERROR(__xludf.DUMMYFUNCTION("""COMPUTED_VALUE"""),"2025")</f>
        <v>2025</v>
      </c>
      <c r="J914" s="1" t="str">
        <f ca="1">IFERROR(__xludf.DUMMYFUNCTION("""COMPUTED_VALUE"""),"Email")</f>
        <v>Email</v>
      </c>
    </row>
    <row r="915" spans="1:10" ht="13" x14ac:dyDescent="0.15">
      <c r="A915" s="4">
        <f ca="1">IFERROR(__xludf.DUMMYFUNCTION("""COMPUTED_VALUE"""),32256742)</f>
        <v>32256742</v>
      </c>
      <c r="B915" s="1" t="str">
        <f ca="1">IFERROR(__xludf.DUMMYFUNCTION("""COMPUTED_VALUE"""),"allisonmidorireilly@gmail.com")</f>
        <v>allisonmidorireilly@gmail.com</v>
      </c>
      <c r="C915" s="4" t="str">
        <f ca="1">IFERROR(__xludf.DUMMYFUNCTION("""COMPUTED_VALUE"""),"EVERGREEN - UAN Gated Content - Embedded Petition")</f>
        <v>EVERGREEN - UAN Gated Content - Embedded Petition</v>
      </c>
      <c r="D915" s="5">
        <f ca="1">IFERROR(__xludf.DUMMYFUNCTION("""COMPUTED_VALUE"""),45705)</f>
        <v>45705</v>
      </c>
      <c r="F915" s="1" t="str">
        <f ca="1">IFERROR(__xludf.DUMMYFUNCTION("""COMPUTED_VALUE"""),"Iran")</f>
        <v>Iran</v>
      </c>
      <c r="G915" s="1" t="str">
        <f ca="1">IFERROR(__xludf.DUMMYFUNCTION("""COMPUTED_VALUE"""),"Seventh 103.22 Iran")</f>
        <v>Seventh 103.22 Iran</v>
      </c>
      <c r="H915" s="1" t="str">
        <f ca="1">IFERROR(__xludf.DUMMYFUNCTION("""COMPUTED_VALUE"""),"Death Penalty, Freedom of Expression, Individuals At Risk")</f>
        <v>Death Penalty, Freedom of Expression, Individuals At Risk</v>
      </c>
      <c r="I915" s="1" t="str">
        <f ca="1">IFERROR(__xludf.DUMMYFUNCTION("""COMPUTED_VALUE"""),"2024")</f>
        <v>2024</v>
      </c>
      <c r="J915" s="1" t="str">
        <f ca="1">IFERROR(__xludf.DUMMYFUNCTION("""COMPUTED_VALUE"""),"Email")</f>
        <v>Email</v>
      </c>
    </row>
    <row r="916" spans="1:10" ht="13" x14ac:dyDescent="0.15">
      <c r="A916" s="4">
        <f ca="1">IFERROR(__xludf.DUMMYFUNCTION("""COMPUTED_VALUE"""),32256742)</f>
        <v>32256742</v>
      </c>
      <c r="B916" s="1" t="str">
        <f ca="1">IFERROR(__xludf.DUMMYFUNCTION("""COMPUTED_VALUE"""),"allisonmidorireilly@gmail.com")</f>
        <v>allisonmidorireilly@gmail.com</v>
      </c>
      <c r="C916" s="4" t="str">
        <f ca="1">IFERROR(__xludf.DUMMYFUNCTION("""COMPUTED_VALUE"""),"EVERGREEN - UAN Gated Content - Embedded Petition")</f>
        <v>EVERGREEN - UAN Gated Content - Embedded Petition</v>
      </c>
      <c r="D916" s="5">
        <f ca="1">IFERROR(__xludf.DUMMYFUNCTION("""COMPUTED_VALUE"""),45706)</f>
        <v>45706</v>
      </c>
      <c r="F916" s="1" t="str">
        <f ca="1">IFERROR(__xludf.DUMMYFUNCTION("""COMPUTED_VALUE"""),"USA")</f>
        <v>USA</v>
      </c>
      <c r="G916" s="1" t="str">
        <f ca="1">IFERROR(__xludf.DUMMYFUNCTION("""COMPUTED_VALUE"""),"Fourth 55.24 USA")</f>
        <v>Fourth 55.24 USA</v>
      </c>
      <c r="H916" s="1" t="str">
        <f ca="1">IFERROR(__xludf.DUMMYFUNCTION("""COMPUTED_VALUE"""),"Climate Justice, Individuals At Risk")</f>
        <v>Climate Justice, Individuals At Risk</v>
      </c>
      <c r="I916" s="1" t="str">
        <f ca="1">IFERROR(__xludf.DUMMYFUNCTION("""COMPUTED_VALUE"""),"2025")</f>
        <v>2025</v>
      </c>
      <c r="J916" s="1" t="str">
        <f ca="1">IFERROR(__xludf.DUMMYFUNCTION("""COMPUTED_VALUE"""),"Email")</f>
        <v>Email</v>
      </c>
    </row>
    <row r="917" spans="1:10" ht="13" x14ac:dyDescent="0.15">
      <c r="A917" s="4">
        <f ca="1">IFERROR(__xludf.DUMMYFUNCTION("""COMPUTED_VALUE"""),32260309)</f>
        <v>32260309</v>
      </c>
      <c r="B917" s="1" t="str">
        <f ca="1">IFERROR(__xludf.DUMMYFUNCTION("""COMPUTED_VALUE"""),"sauerbac@mchsi.com")</f>
        <v>sauerbac@mchsi.com</v>
      </c>
      <c r="C917" s="4" t="str">
        <f ca="1">IFERROR(__xludf.DUMMYFUNCTION("""COMPUTED_VALUE"""),"EVERGREEN - UAN Gated Content - Embedded Petition")</f>
        <v>EVERGREEN - UAN Gated Content - Embedded Petition</v>
      </c>
      <c r="D917" s="5">
        <f ca="1">IFERROR(__xludf.DUMMYFUNCTION("""COMPUTED_VALUE"""),45678)</f>
        <v>45678</v>
      </c>
      <c r="F917" s="1" t="str">
        <f ca="1">IFERROR(__xludf.DUMMYFUNCTION("""COMPUTED_VALUE"""),"Iran")</f>
        <v>Iran</v>
      </c>
      <c r="G917" s="1" t="str">
        <f ca="1">IFERROR(__xludf.DUMMYFUNCTION("""COMPUTED_VALUE"""),"Seventh 103.22 Iran")</f>
        <v>Seventh 103.22 Iran</v>
      </c>
      <c r="H917" s="1" t="str">
        <f ca="1">IFERROR(__xludf.DUMMYFUNCTION("""COMPUTED_VALUE"""),"Death Penalty, Freedom of Expression, Individuals At Risk")</f>
        <v>Death Penalty, Freedom of Expression, Individuals At Risk</v>
      </c>
      <c r="I917" s="1" t="str">
        <f ca="1">IFERROR(__xludf.DUMMYFUNCTION("""COMPUTED_VALUE"""),"2024")</f>
        <v>2024</v>
      </c>
      <c r="J917" s="1" t="str">
        <f ca="1">IFERROR(__xludf.DUMMYFUNCTION("""COMPUTED_VALUE"""),"Email")</f>
        <v>Email</v>
      </c>
    </row>
    <row r="918" spans="1:10" ht="13" x14ac:dyDescent="0.15">
      <c r="A918" s="4">
        <f ca="1">IFERROR(__xludf.DUMMYFUNCTION("""COMPUTED_VALUE"""),32260309)</f>
        <v>32260309</v>
      </c>
      <c r="B918" s="1" t="str">
        <f ca="1">IFERROR(__xludf.DUMMYFUNCTION("""COMPUTED_VALUE"""),"sauerbac@mchsi.com")</f>
        <v>sauerbac@mchsi.com</v>
      </c>
      <c r="C918" s="4" t="str">
        <f ca="1">IFERROR(__xludf.DUMMYFUNCTION("""COMPUTED_VALUE"""),"EVERGREEN - UAN Gated Content - Embedded Petition")</f>
        <v>EVERGREEN - UAN Gated Content - Embedded Petition</v>
      </c>
      <c r="D918" s="5">
        <f ca="1">IFERROR(__xludf.DUMMYFUNCTION("""COMPUTED_VALUE"""),45614)</f>
        <v>45614</v>
      </c>
      <c r="F918" s="1" t="str">
        <f ca="1">IFERROR(__xludf.DUMMYFUNCTION("""COMPUTED_VALUE"""),"Egypt")</f>
        <v>Egypt</v>
      </c>
      <c r="G918" s="1" t="str">
        <f ca="1">IFERROR(__xludf.DUMMYFUNCTION("""COMPUTED_VALUE"""),"Third 73.23 Egypt")</f>
        <v>Third 73.23 Egypt</v>
      </c>
      <c r="H918" s="1" t="str">
        <f ca="1">IFERROR(__xludf.DUMMYFUNCTION("""COMPUTED_VALUE"""),"Individuals At Risk")</f>
        <v>Individuals At Risk</v>
      </c>
      <c r="I918" s="1" t="str">
        <f ca="1">IFERROR(__xludf.DUMMYFUNCTION("""COMPUTED_VALUE"""),"2024")</f>
        <v>2024</v>
      </c>
      <c r="J918" s="1" t="str">
        <f ca="1">IFERROR(__xludf.DUMMYFUNCTION("""COMPUTED_VALUE"""),"Email")</f>
        <v>Email</v>
      </c>
    </row>
    <row r="919" spans="1:10" ht="13" x14ac:dyDescent="0.15">
      <c r="A919" s="4">
        <f ca="1">IFERROR(__xludf.DUMMYFUNCTION("""COMPUTED_VALUE"""),32260309)</f>
        <v>32260309</v>
      </c>
      <c r="B919" s="1" t="str">
        <f ca="1">IFERROR(__xludf.DUMMYFUNCTION("""COMPUTED_VALUE"""),"sauerbac@mchsi.com")</f>
        <v>sauerbac@mchsi.com</v>
      </c>
      <c r="C919" s="4" t="str">
        <f ca="1">IFERROR(__xludf.DUMMYFUNCTION("""COMPUTED_VALUE"""),"EVERGREEN - UAN Gated Content - Embedded Petition")</f>
        <v>EVERGREEN - UAN Gated Content - Embedded Petition</v>
      </c>
      <c r="D919" s="5">
        <f ca="1">IFERROR(__xludf.DUMMYFUNCTION("""COMPUTED_VALUE"""),45614)</f>
        <v>45614</v>
      </c>
      <c r="F919" s="1" t="str">
        <f ca="1">IFERROR(__xludf.DUMMYFUNCTION("""COMPUTED_VALUE"""),"Niger")</f>
        <v>Niger</v>
      </c>
      <c r="G919" s="1" t="str">
        <f ca="1">IFERROR(__xludf.DUMMYFUNCTION("""COMPUTED_VALUE"""),"103.24 Niger")</f>
        <v>103.24 Niger</v>
      </c>
      <c r="H919" s="1" t="str">
        <f ca="1">IFERROR(__xludf.DUMMYFUNCTION("""COMPUTED_VALUE"""),"Freedom of Expression, Human Rights Defenders")</f>
        <v>Freedom of Expression, Human Rights Defenders</v>
      </c>
      <c r="I919" s="1" t="str">
        <f ca="1">IFERROR(__xludf.DUMMYFUNCTION("""COMPUTED_VALUE"""),"2024")</f>
        <v>2024</v>
      </c>
      <c r="J919" s="1" t="str">
        <f ca="1">IFERROR(__xludf.DUMMYFUNCTION("""COMPUTED_VALUE"""),"Email")</f>
        <v>Email</v>
      </c>
    </row>
    <row r="920" spans="1:10" ht="13" x14ac:dyDescent="0.15">
      <c r="A920" s="4">
        <f ca="1">IFERROR(__xludf.DUMMYFUNCTION("""COMPUTED_VALUE"""),32260309)</f>
        <v>32260309</v>
      </c>
      <c r="B920" s="1" t="str">
        <f ca="1">IFERROR(__xludf.DUMMYFUNCTION("""COMPUTED_VALUE"""),"sauerbac@mchsi.com")</f>
        <v>sauerbac@mchsi.com</v>
      </c>
      <c r="C920" s="4" t="str">
        <f ca="1">IFERROR(__xludf.DUMMYFUNCTION("""COMPUTED_VALUE"""),"EVERGREEN - UAN Gated Content - Embedded Petition")</f>
        <v>EVERGREEN - UAN Gated Content - Embedded Petition</v>
      </c>
      <c r="D920" s="5">
        <f ca="1">IFERROR(__xludf.DUMMYFUNCTION("""COMPUTED_VALUE"""),45615)</f>
        <v>45615</v>
      </c>
      <c r="F920" s="1" t="str">
        <f ca="1">IFERROR(__xludf.DUMMYFUNCTION("""COMPUTED_VALUE"""),"USA")</f>
        <v>USA</v>
      </c>
      <c r="G920" s="1" t="str">
        <f ca="1">IFERROR(__xludf.DUMMYFUNCTION("""COMPUTED_VALUE"""),"105.24 USA")</f>
        <v>105.24 USA</v>
      </c>
      <c r="H920" s="1" t="str">
        <f ca="1">IFERROR(__xludf.DUMMYFUNCTION("""COMPUTED_VALUE"""),"Death Penalty")</f>
        <v>Death Penalty</v>
      </c>
      <c r="I920" s="1" t="str">
        <f ca="1">IFERROR(__xludf.DUMMYFUNCTION("""COMPUTED_VALUE"""),"2024")</f>
        <v>2024</v>
      </c>
      <c r="J920" s="1" t="str">
        <f ca="1">IFERROR(__xludf.DUMMYFUNCTION("""COMPUTED_VALUE"""),"Email")</f>
        <v>Email</v>
      </c>
    </row>
    <row r="921" spans="1:10" ht="13" x14ac:dyDescent="0.15">
      <c r="A921" s="4">
        <f ca="1">IFERROR(__xludf.DUMMYFUNCTION("""COMPUTED_VALUE"""),32260309)</f>
        <v>32260309</v>
      </c>
      <c r="B921" s="1" t="str">
        <f ca="1">IFERROR(__xludf.DUMMYFUNCTION("""COMPUTED_VALUE"""),"sauerbac@mchsi.com")</f>
        <v>sauerbac@mchsi.com</v>
      </c>
      <c r="C921" s="4" t="str">
        <f ca="1">IFERROR(__xludf.DUMMYFUNCTION("""COMPUTED_VALUE"""),"EVERGREEN - UAN Gated Content - Embedded Petition")</f>
        <v>EVERGREEN - UAN Gated Content - Embedded Petition</v>
      </c>
      <c r="D921" s="5">
        <f ca="1">IFERROR(__xludf.DUMMYFUNCTION("""COMPUTED_VALUE"""),45678)</f>
        <v>45678</v>
      </c>
      <c r="F921" s="1" t="str">
        <f ca="1">IFERROR(__xludf.DUMMYFUNCTION("""COMPUTED_VALUE"""),"Egypt")</f>
        <v>Egypt</v>
      </c>
      <c r="G921" s="1" t="str">
        <f ca="1">IFERROR(__xludf.DUMMYFUNCTION("""COMPUTED_VALUE"""),"Ninth 190.18 Egypt")</f>
        <v>Ninth 190.18 Egypt</v>
      </c>
      <c r="H921" s="1" t="str">
        <f ca="1">IFERROR(__xludf.DUMMYFUNCTION("""COMPUTED_VALUE"""),"Freedom of Expression, Individuals At Risk")</f>
        <v>Freedom of Expression, Individuals At Risk</v>
      </c>
      <c r="I921" s="1" t="str">
        <f ca="1">IFERROR(__xludf.DUMMYFUNCTION("""COMPUTED_VALUE"""),"2024")</f>
        <v>2024</v>
      </c>
      <c r="J921" s="1" t="str">
        <f ca="1">IFERROR(__xludf.DUMMYFUNCTION("""COMPUTED_VALUE"""),"Letter")</f>
        <v>Letter</v>
      </c>
    </row>
    <row r="922" spans="1:10" ht="13" x14ac:dyDescent="0.15">
      <c r="A922" s="4">
        <f ca="1">IFERROR(__xludf.DUMMYFUNCTION("""COMPUTED_VALUE"""),32260309)</f>
        <v>32260309</v>
      </c>
      <c r="B922" s="1" t="str">
        <f ca="1">IFERROR(__xludf.DUMMYFUNCTION("""COMPUTED_VALUE"""),"sauerbac@mchsi.com")</f>
        <v>sauerbac@mchsi.com</v>
      </c>
      <c r="C922" s="4" t="str">
        <f ca="1">IFERROR(__xludf.DUMMYFUNCTION("""COMPUTED_VALUE"""),"EVERGREEN - UAN Gated Content - Embedded Petition")</f>
        <v>EVERGREEN - UAN Gated Content - Embedded Petition</v>
      </c>
      <c r="D922" s="5">
        <f ca="1">IFERROR(__xludf.DUMMYFUNCTION("""COMPUTED_VALUE"""),45678)</f>
        <v>45678</v>
      </c>
      <c r="F922" s="1" t="str">
        <f ca="1">IFERROR(__xludf.DUMMYFUNCTION("""COMPUTED_VALUE"""),"Tunisia")</f>
        <v>Tunisia</v>
      </c>
      <c r="G922" s="1" t="str">
        <f ca="1">IFERROR(__xludf.DUMMYFUNCTION("""COMPUTED_VALUE"""),"Second 76.24 Tunisia")</f>
        <v>Second 76.24 Tunisia</v>
      </c>
      <c r="H922" s="1" t="str">
        <f ca="1">IFERROR(__xludf.DUMMYFUNCTION("""COMPUTED_VALUE"""),"Freedom of Expression, Human Rights Defenders")</f>
        <v>Freedom of Expression, Human Rights Defenders</v>
      </c>
      <c r="I922" s="1" t="str">
        <f ca="1">IFERROR(__xludf.DUMMYFUNCTION("""COMPUTED_VALUE"""),"2025")</f>
        <v>2025</v>
      </c>
      <c r="J922" s="1" t="str">
        <f ca="1">IFERROR(__xludf.DUMMYFUNCTION("""COMPUTED_VALUE"""),"Email")</f>
        <v>Email</v>
      </c>
    </row>
    <row r="923" spans="1:10" ht="13" x14ac:dyDescent="0.15">
      <c r="A923" s="4">
        <f ca="1">IFERROR(__xludf.DUMMYFUNCTION("""COMPUTED_VALUE"""),32260309)</f>
        <v>32260309</v>
      </c>
      <c r="B923" s="1" t="str">
        <f ca="1">IFERROR(__xludf.DUMMYFUNCTION("""COMPUTED_VALUE"""),"sauerbac@mchsi.com")</f>
        <v>sauerbac@mchsi.com</v>
      </c>
      <c r="C923" s="4" t="str">
        <f ca="1">IFERROR(__xludf.DUMMYFUNCTION("""COMPUTED_VALUE"""),"EVERGREEN - UAN Gated Content - Embedded Petition")</f>
        <v>EVERGREEN - UAN Gated Content - Embedded Petition</v>
      </c>
      <c r="D923" s="5">
        <f ca="1">IFERROR(__xludf.DUMMYFUNCTION("""COMPUTED_VALUE"""),45676)</f>
        <v>45676</v>
      </c>
      <c r="F923" s="1" t="str">
        <f ca="1">IFERROR(__xludf.DUMMYFUNCTION("""COMPUTED_VALUE"""),"Egypt")</f>
        <v>Egypt</v>
      </c>
      <c r="G923" s="1" t="str">
        <f ca="1">IFERROR(__xludf.DUMMYFUNCTION("""COMPUTED_VALUE"""),"Ninth 190.18 Egypt")</f>
        <v>Ninth 190.18 Egypt</v>
      </c>
      <c r="H923" s="1" t="str">
        <f ca="1">IFERROR(__xludf.DUMMYFUNCTION("""COMPUTED_VALUE"""),"Freedom of Expression, Individuals At Risk")</f>
        <v>Freedom of Expression, Individuals At Risk</v>
      </c>
      <c r="I923" s="1" t="str">
        <f ca="1">IFERROR(__xludf.DUMMYFUNCTION("""COMPUTED_VALUE"""),"2024")</f>
        <v>2024</v>
      </c>
      <c r="J923" s="1" t="str">
        <f ca="1">IFERROR(__xludf.DUMMYFUNCTION("""COMPUTED_VALUE"""),"Letter")</f>
        <v>Letter</v>
      </c>
    </row>
    <row r="924" spans="1:10" ht="13" x14ac:dyDescent="0.15">
      <c r="A924" s="4">
        <f ca="1">IFERROR(__xludf.DUMMYFUNCTION("""COMPUTED_VALUE"""),32261282)</f>
        <v>32261282</v>
      </c>
      <c r="B924" s="1" t="str">
        <f ca="1">IFERROR(__xludf.DUMMYFUNCTION("""COMPUTED_VALUE"""),"bdmcgee@gmail.com")</f>
        <v>bdmcgee@gmail.com</v>
      </c>
      <c r="C924" s="4" t="str">
        <f ca="1">IFERROR(__xludf.DUMMYFUNCTION("""COMPUTED_VALUE"""),"EVERGREEN - UAN Gated Content - Embedded Petition")</f>
        <v>EVERGREEN - UAN Gated Content - Embedded Petition</v>
      </c>
      <c r="D924" s="5">
        <f ca="1">IFERROR(__xludf.DUMMYFUNCTION("""COMPUTED_VALUE"""),45694)</f>
        <v>45694</v>
      </c>
      <c r="F924" s="1" t="str">
        <f ca="1">IFERROR(__xludf.DUMMYFUNCTION("""COMPUTED_VALUE"""),"Uganda")</f>
        <v>Uganda</v>
      </c>
      <c r="G924" s="1" t="str">
        <f ca="1">IFERROR(__xludf.DUMMYFUNCTION("""COMPUTED_VALUE"""),"9.25 Uganda")</f>
        <v>9.25 Uganda</v>
      </c>
      <c r="H924" s="1" t="str">
        <f ca="1">IFERROR(__xludf.DUMMYFUNCTION("""COMPUTED_VALUE"""),"Freedom of Expression, Human Rights Defenders")</f>
        <v>Freedom of Expression, Human Rights Defenders</v>
      </c>
      <c r="I924" s="1" t="str">
        <f ca="1">IFERROR(__xludf.DUMMYFUNCTION("""COMPUTED_VALUE"""),"2025")</f>
        <v>2025</v>
      </c>
      <c r="J924" s="1" t="str">
        <f ca="1">IFERROR(__xludf.DUMMYFUNCTION("""COMPUTED_VALUE"""),"Email")</f>
        <v>Email</v>
      </c>
    </row>
    <row r="925" spans="1:10" ht="13" x14ac:dyDescent="0.15">
      <c r="A925" s="4">
        <f ca="1">IFERROR(__xludf.DUMMYFUNCTION("""COMPUTED_VALUE"""),32274250)</f>
        <v>32274250</v>
      </c>
      <c r="B925" s="1" t="str">
        <f ca="1">IFERROR(__xludf.DUMMYFUNCTION("""COMPUTED_VALUE"""),"jdunn936@yahoo.com")</f>
        <v>jdunn936@yahoo.com</v>
      </c>
      <c r="C925" s="4" t="str">
        <f ca="1">IFERROR(__xludf.DUMMYFUNCTION("""COMPUTED_VALUE"""),"EVERGREEN - UAN Gated Content - Embedded Petition")</f>
        <v>EVERGREEN - UAN Gated Content - Embedded Petition</v>
      </c>
      <c r="D925" s="5">
        <f ca="1">IFERROR(__xludf.DUMMYFUNCTION("""COMPUTED_VALUE"""),45695)</f>
        <v>45695</v>
      </c>
      <c r="F925" s="1" t="str">
        <f ca="1">IFERROR(__xludf.DUMMYFUNCTION("""COMPUTED_VALUE"""),"Egypt")</f>
        <v>Egypt</v>
      </c>
      <c r="G925" s="1" t="str">
        <f ca="1">IFERROR(__xludf.DUMMYFUNCTION("""COMPUTED_VALUE"""),"Second 80.23 Egypt")</f>
        <v>Second 80.23 Egypt</v>
      </c>
      <c r="H925" s="1" t="str">
        <f ca="1">IFERROR(__xludf.DUMMYFUNCTION("""COMPUTED_VALUE"""),"Health, Individuals At Risk")</f>
        <v>Health, Individuals At Risk</v>
      </c>
      <c r="I925" s="1" t="str">
        <f ca="1">IFERROR(__xludf.DUMMYFUNCTION("""COMPUTED_VALUE"""),"2025")</f>
        <v>2025</v>
      </c>
      <c r="J925" s="1" t="str">
        <f ca="1">IFERROR(__xludf.DUMMYFUNCTION("""COMPUTED_VALUE"""),"Email")</f>
        <v>Email</v>
      </c>
    </row>
    <row r="926" spans="1:10" ht="13" x14ac:dyDescent="0.15">
      <c r="A926" s="4">
        <f ca="1">IFERROR(__xludf.DUMMYFUNCTION("""COMPUTED_VALUE"""),32295076)</f>
        <v>32295076</v>
      </c>
      <c r="B926" s="1" t="str">
        <f ca="1">IFERROR(__xludf.DUMMYFUNCTION("""COMPUTED_VALUE"""),"lonnajean@gmail.com")</f>
        <v>lonnajean@gmail.com</v>
      </c>
      <c r="C926" s="4" t="str">
        <f ca="1">IFERROR(__xludf.DUMMYFUNCTION("""COMPUTED_VALUE"""),"EVERGREEN - UAN Gated Content - Embedded Petition")</f>
        <v>EVERGREEN - UAN Gated Content - Embedded Petition</v>
      </c>
      <c r="D926" s="5">
        <f ca="1">IFERROR(__xludf.DUMMYFUNCTION("""COMPUTED_VALUE"""),45616)</f>
        <v>45616</v>
      </c>
      <c r="F926" s="1" t="str">
        <f ca="1">IFERROR(__xludf.DUMMYFUNCTION("""COMPUTED_VALUE"""),"Tunisia")</f>
        <v>Tunisia</v>
      </c>
      <c r="G926" s="1" t="str">
        <f ca="1">IFERROR(__xludf.DUMMYFUNCTION("""COMPUTED_VALUE"""),"Second 76.24 Tunisia")</f>
        <v>Second 76.24 Tunisia</v>
      </c>
      <c r="H926" s="1" t="str">
        <f ca="1">IFERROR(__xludf.DUMMYFUNCTION("""COMPUTED_VALUE"""),"Freedom of Expression, Human Rights Defenders")</f>
        <v>Freedom of Expression, Human Rights Defenders</v>
      </c>
      <c r="I926" s="1" t="str">
        <f ca="1">IFERROR(__xludf.DUMMYFUNCTION("""COMPUTED_VALUE"""),"2025")</f>
        <v>2025</v>
      </c>
      <c r="J926" s="1" t="str">
        <f ca="1">IFERROR(__xludf.DUMMYFUNCTION("""COMPUTED_VALUE"""),"Email")</f>
        <v>Email</v>
      </c>
    </row>
    <row r="927" spans="1:10" ht="13" x14ac:dyDescent="0.15">
      <c r="A927" s="4">
        <f ca="1">IFERROR(__xludf.DUMMYFUNCTION("""COMPUTED_VALUE"""),32296350)</f>
        <v>32296350</v>
      </c>
      <c r="B927" s="1" t="str">
        <f ca="1">IFERROR(__xludf.DUMMYFUNCTION("""COMPUTED_VALUE"""),"jimloveland52@yahoo.com")</f>
        <v>jimloveland52@yahoo.com</v>
      </c>
      <c r="C927" s="4" t="str">
        <f ca="1">IFERROR(__xludf.DUMMYFUNCTION("""COMPUTED_VALUE"""),"EVERGREEN - UAN Gated Content - Embedded Petition")</f>
        <v>EVERGREEN - UAN Gated Content - Embedded Petition</v>
      </c>
      <c r="D927" s="5">
        <f ca="1">IFERROR(__xludf.DUMMYFUNCTION("""COMPUTED_VALUE"""),45699)</f>
        <v>45699</v>
      </c>
      <c r="F927" s="1" t="str">
        <f ca="1">IFERROR(__xludf.DUMMYFUNCTION("""COMPUTED_VALUE"""),"USA")</f>
        <v>USA</v>
      </c>
      <c r="G927" s="1" t="str">
        <f ca="1">IFERROR(__xludf.DUMMYFUNCTION("""COMPUTED_VALUE"""),"4.25 USA")</f>
        <v>4.25 USA</v>
      </c>
      <c r="H927" s="1" t="str">
        <f ca="1">IFERROR(__xludf.DUMMYFUNCTION("""COMPUTED_VALUE"""),"Individuals At Risk, Refugee and Migrant Rights")</f>
        <v>Individuals At Risk, Refugee and Migrant Rights</v>
      </c>
      <c r="I927" s="1" t="str">
        <f ca="1">IFERROR(__xludf.DUMMYFUNCTION("""COMPUTED_VALUE"""),"2025")</f>
        <v>2025</v>
      </c>
      <c r="J927" s="1" t="str">
        <f ca="1">IFERROR(__xludf.DUMMYFUNCTION("""COMPUTED_VALUE"""),"Letter")</f>
        <v>Letter</v>
      </c>
    </row>
    <row r="928" spans="1:10" ht="13" x14ac:dyDescent="0.15">
      <c r="A928" s="4">
        <f ca="1">IFERROR(__xludf.DUMMYFUNCTION("""COMPUTED_VALUE"""),32325765)</f>
        <v>32325765</v>
      </c>
      <c r="B928" s="1" t="str">
        <f ca="1">IFERROR(__xludf.DUMMYFUNCTION("""COMPUTED_VALUE"""),"amy.sellars@gmail.com")</f>
        <v>amy.sellars@gmail.com</v>
      </c>
      <c r="C928" s="4" t="str">
        <f ca="1">IFERROR(__xludf.DUMMYFUNCTION("""COMPUTED_VALUE"""),"EVERGREEN - UAN Gated Content - Embedded Petition")</f>
        <v>EVERGREEN - UAN Gated Content - Embedded Petition</v>
      </c>
      <c r="D928" s="5">
        <f ca="1">IFERROR(__xludf.DUMMYFUNCTION("""COMPUTED_VALUE"""),45694)</f>
        <v>45694</v>
      </c>
      <c r="F928" s="1" t="str">
        <f ca="1">IFERROR(__xludf.DUMMYFUNCTION("""COMPUTED_VALUE"""),"Niger")</f>
        <v>Niger</v>
      </c>
      <c r="G928" s="1" t="str">
        <f ca="1">IFERROR(__xludf.DUMMYFUNCTION("""COMPUTED_VALUE"""),"103.24 Niger")</f>
        <v>103.24 Niger</v>
      </c>
      <c r="H928" s="1" t="str">
        <f ca="1">IFERROR(__xludf.DUMMYFUNCTION("""COMPUTED_VALUE"""),"Freedom of Expression, Human Rights Defenders")</f>
        <v>Freedom of Expression, Human Rights Defenders</v>
      </c>
      <c r="I928" s="1" t="str">
        <f ca="1">IFERROR(__xludf.DUMMYFUNCTION("""COMPUTED_VALUE"""),"2024")</f>
        <v>2024</v>
      </c>
      <c r="J928" s="1" t="str">
        <f ca="1">IFERROR(__xludf.DUMMYFUNCTION("""COMPUTED_VALUE"""),"Email")</f>
        <v>Email</v>
      </c>
    </row>
    <row r="929" spans="1:10" ht="13" x14ac:dyDescent="0.15">
      <c r="A929" s="4">
        <f ca="1">IFERROR(__xludf.DUMMYFUNCTION("""COMPUTED_VALUE"""),32334706)</f>
        <v>32334706</v>
      </c>
      <c r="B929" s="1" t="str">
        <f ca="1">IFERROR(__xludf.DUMMYFUNCTION("""COMPUTED_VALUE"""),"sogilvie@msn.com")</f>
        <v>sogilvie@msn.com</v>
      </c>
      <c r="C929" s="4" t="str">
        <f ca="1">IFERROR(__xludf.DUMMYFUNCTION("""COMPUTED_VALUE"""),"EVERGREEN - UAN Gated Content - Embedded Petition")</f>
        <v>EVERGREEN - UAN Gated Content - Embedded Petition</v>
      </c>
      <c r="D929" s="5">
        <f ca="1">IFERROR(__xludf.DUMMYFUNCTION("""COMPUTED_VALUE"""),45694)</f>
        <v>45694</v>
      </c>
      <c r="F929" s="1" t="str">
        <f ca="1">IFERROR(__xludf.DUMMYFUNCTION("""COMPUTED_VALUE"""),"Israel and Occupied Palestinian Territories")</f>
        <v>Israel and Occupied Palestinian Territories</v>
      </c>
      <c r="G929" s="1" t="str">
        <f ca="1">IFERROR(__xludf.DUMMYFUNCTION("""COMPUTED_VALUE"""),"3.25 IOPT")</f>
        <v>3.25 IOPT</v>
      </c>
      <c r="H929" s="1" t="str">
        <f ca="1">IFERROR(__xludf.DUMMYFUNCTION("""COMPUTED_VALUE"""),"Freedom of Expression, Individuals At Risk")</f>
        <v>Freedom of Expression, Individuals At Risk</v>
      </c>
      <c r="I929" s="1" t="str">
        <f ca="1">IFERROR(__xludf.DUMMYFUNCTION("""COMPUTED_VALUE"""),"2025")</f>
        <v>2025</v>
      </c>
      <c r="J929" s="1" t="str">
        <f ca="1">IFERROR(__xludf.DUMMYFUNCTION("""COMPUTED_VALUE"""),"Email")</f>
        <v>Email</v>
      </c>
    </row>
    <row r="930" spans="1:10" ht="13" x14ac:dyDescent="0.15">
      <c r="A930" s="4">
        <f ca="1">IFERROR(__xludf.DUMMYFUNCTION("""COMPUTED_VALUE"""),32341680)</f>
        <v>32341680</v>
      </c>
      <c r="B930" s="1" t="str">
        <f ca="1">IFERROR(__xludf.DUMMYFUNCTION("""COMPUTED_VALUE"""),"mkenosha@aol.com")</f>
        <v>mkenosha@aol.com</v>
      </c>
      <c r="C930" s="4" t="str">
        <f ca="1">IFERROR(__xludf.DUMMYFUNCTION("""COMPUTED_VALUE"""),"EVERGREEN - UAN Gated Content - Embedded Petition")</f>
        <v>EVERGREEN - UAN Gated Content - Embedded Petition</v>
      </c>
      <c r="D930" s="5">
        <f ca="1">IFERROR(__xludf.DUMMYFUNCTION("""COMPUTED_VALUE"""),45674)</f>
        <v>45674</v>
      </c>
      <c r="F930" s="1" t="str">
        <f ca="1">IFERROR(__xludf.DUMMYFUNCTION("""COMPUTED_VALUE"""),"USA")</f>
        <v>USA</v>
      </c>
      <c r="G930" s="1" t="str">
        <f ca="1">IFERROR(__xludf.DUMMYFUNCTION("""COMPUTED_VALUE"""),"4.25 USA")</f>
        <v>4.25 USA</v>
      </c>
      <c r="H930" s="1" t="str">
        <f ca="1">IFERROR(__xludf.DUMMYFUNCTION("""COMPUTED_VALUE"""),"Individuals At Risk, Refugee and Migrant Rights")</f>
        <v>Individuals At Risk, Refugee and Migrant Rights</v>
      </c>
      <c r="I930" s="1" t="str">
        <f ca="1">IFERROR(__xludf.DUMMYFUNCTION("""COMPUTED_VALUE"""),"2025")</f>
        <v>2025</v>
      </c>
      <c r="J930" s="1" t="str">
        <f ca="1">IFERROR(__xludf.DUMMYFUNCTION("""COMPUTED_VALUE"""),"Letter")</f>
        <v>Letter</v>
      </c>
    </row>
    <row r="931" spans="1:10" ht="13" x14ac:dyDescent="0.15">
      <c r="A931" s="4">
        <f ca="1">IFERROR(__xludf.DUMMYFUNCTION("""COMPUTED_VALUE"""),32341680)</f>
        <v>32341680</v>
      </c>
      <c r="B931" s="1" t="str">
        <f ca="1">IFERROR(__xludf.DUMMYFUNCTION("""COMPUTED_VALUE"""),"mkenosha@aol.com")</f>
        <v>mkenosha@aol.com</v>
      </c>
      <c r="C931" s="4" t="str">
        <f ca="1">IFERROR(__xludf.DUMMYFUNCTION("""COMPUTED_VALUE"""),"EVERGREEN - UAN Gated Content - Embedded Petition")</f>
        <v>EVERGREEN - UAN Gated Content - Embedded Petition</v>
      </c>
      <c r="D931" s="5">
        <f ca="1">IFERROR(__xludf.DUMMYFUNCTION("""COMPUTED_VALUE"""),45694)</f>
        <v>45694</v>
      </c>
      <c r="F931" s="1" t="str">
        <f ca="1">IFERROR(__xludf.DUMMYFUNCTION("""COMPUTED_VALUE"""),"USA")</f>
        <v>USA</v>
      </c>
      <c r="G931" s="1" t="str">
        <f ca="1">IFERROR(__xludf.DUMMYFUNCTION("""COMPUTED_VALUE"""),"96.24 USA")</f>
        <v>96.24 USA</v>
      </c>
      <c r="H931" s="1" t="str">
        <f ca="1">IFERROR(__xludf.DUMMYFUNCTION("""COMPUTED_VALUE"""),"Death Penalty")</f>
        <v>Death Penalty</v>
      </c>
      <c r="I931" s="1" t="str">
        <f ca="1">IFERROR(__xludf.DUMMYFUNCTION("""COMPUTED_VALUE"""),"2024")</f>
        <v>2024</v>
      </c>
      <c r="J931" s="1" t="str">
        <f ca="1">IFERROR(__xludf.DUMMYFUNCTION("""COMPUTED_VALUE"""),"Email")</f>
        <v>Email</v>
      </c>
    </row>
    <row r="932" spans="1:10" ht="13" x14ac:dyDescent="0.15">
      <c r="A932" s="4">
        <f ca="1">IFERROR(__xludf.DUMMYFUNCTION("""COMPUTED_VALUE"""),32341680)</f>
        <v>32341680</v>
      </c>
      <c r="B932" s="1" t="str">
        <f ca="1">IFERROR(__xludf.DUMMYFUNCTION("""COMPUTED_VALUE"""),"mkenosha@aol.com")</f>
        <v>mkenosha@aol.com</v>
      </c>
      <c r="C932" s="4" t="str">
        <f ca="1">IFERROR(__xludf.DUMMYFUNCTION("""COMPUTED_VALUE"""),"EVERGREEN - Website Email Capture Form - UAN Pre-Footer")</f>
        <v>EVERGREEN - Website Email Capture Form - UAN Pre-Footer</v>
      </c>
      <c r="D932" s="5">
        <f ca="1">IFERROR(__xludf.DUMMYFUNCTION("""COMPUTED_VALUE"""),45640)</f>
        <v>45640</v>
      </c>
      <c r="F932" s="1" t="str">
        <f ca="1">IFERROR(__xludf.DUMMYFUNCTION("""COMPUTED_VALUE"""),"Tunisia")</f>
        <v>Tunisia</v>
      </c>
      <c r="G932" s="1" t="str">
        <f ca="1">IFERROR(__xludf.DUMMYFUNCTION("""COMPUTED_VALUE"""),"Second 76.24 Tunisia")</f>
        <v>Second 76.24 Tunisia</v>
      </c>
      <c r="H932" s="1" t="str">
        <f ca="1">IFERROR(__xludf.DUMMYFUNCTION("""COMPUTED_VALUE"""),"Freedom of Expression, Human Rights Defenders")</f>
        <v>Freedom of Expression, Human Rights Defenders</v>
      </c>
      <c r="I932" s="1" t="str">
        <f ca="1">IFERROR(__xludf.DUMMYFUNCTION("""COMPUTED_VALUE"""),"2025")</f>
        <v>2025</v>
      </c>
      <c r="J932" s="1" t="str">
        <f ca="1">IFERROR(__xludf.DUMMYFUNCTION("""COMPUTED_VALUE"""),"Email")</f>
        <v>Email</v>
      </c>
    </row>
    <row r="933" spans="1:10" ht="13" x14ac:dyDescent="0.15">
      <c r="A933" s="4">
        <f ca="1">IFERROR(__xludf.DUMMYFUNCTION("""COMPUTED_VALUE"""),32343433)</f>
        <v>32343433</v>
      </c>
      <c r="B933" s="1" t="str">
        <f ca="1">IFERROR(__xludf.DUMMYFUNCTION("""COMPUTED_VALUE"""),"mechannon@yahoo.com")</f>
        <v>mechannon@yahoo.com</v>
      </c>
      <c r="C933" s="4" t="str">
        <f ca="1">IFERROR(__xludf.DUMMYFUNCTION("""COMPUTED_VALUE"""),"EVERGREEN - UAN Gated Content - Embedded Petition")</f>
        <v>EVERGREEN - UAN Gated Content - Embedded Petition</v>
      </c>
      <c r="D933" s="5">
        <f ca="1">IFERROR(__xludf.DUMMYFUNCTION("""COMPUTED_VALUE"""),45677)</f>
        <v>45677</v>
      </c>
      <c r="F933" s="1" t="str">
        <f ca="1">IFERROR(__xludf.DUMMYFUNCTION("""COMPUTED_VALUE"""),"USA")</f>
        <v>USA</v>
      </c>
      <c r="G933" s="1" t="str">
        <f ca="1">IFERROR(__xludf.DUMMYFUNCTION("""COMPUTED_VALUE"""),"96.24 USA")</f>
        <v>96.24 USA</v>
      </c>
      <c r="H933" s="1" t="str">
        <f ca="1">IFERROR(__xludf.DUMMYFUNCTION("""COMPUTED_VALUE"""),"Death Penalty")</f>
        <v>Death Penalty</v>
      </c>
      <c r="I933" s="1" t="str">
        <f ca="1">IFERROR(__xludf.DUMMYFUNCTION("""COMPUTED_VALUE"""),"2024")</f>
        <v>2024</v>
      </c>
      <c r="J933" s="1" t="str">
        <f ca="1">IFERROR(__xludf.DUMMYFUNCTION("""COMPUTED_VALUE"""),"Email")</f>
        <v>Email</v>
      </c>
    </row>
    <row r="934" spans="1:10" ht="13" x14ac:dyDescent="0.15">
      <c r="A934" s="4">
        <f ca="1">IFERROR(__xludf.DUMMYFUNCTION("""COMPUTED_VALUE"""),32343433)</f>
        <v>32343433</v>
      </c>
      <c r="B934" s="1" t="str">
        <f ca="1">IFERROR(__xludf.DUMMYFUNCTION("""COMPUTED_VALUE"""),"mechannon@yahoo.com")</f>
        <v>mechannon@yahoo.com</v>
      </c>
      <c r="C934" s="4" t="str">
        <f ca="1">IFERROR(__xludf.DUMMYFUNCTION("""COMPUTED_VALUE"""),"EVERGREEN - UAN Gated Content - Embedded Petition")</f>
        <v>EVERGREEN - UAN Gated Content - Embedded Petition</v>
      </c>
      <c r="D934" s="5">
        <f ca="1">IFERROR(__xludf.DUMMYFUNCTION("""COMPUTED_VALUE"""),45636)</f>
        <v>45636</v>
      </c>
      <c r="F934" s="1" t="str">
        <f ca="1">IFERROR(__xludf.DUMMYFUNCTION("""COMPUTED_VALUE"""),"USA")</f>
        <v>USA</v>
      </c>
      <c r="G934" s="1" t="str">
        <f ca="1">IFERROR(__xludf.DUMMYFUNCTION("""COMPUTED_VALUE"""),"105.24 USA")</f>
        <v>105.24 USA</v>
      </c>
      <c r="H934" s="1" t="str">
        <f ca="1">IFERROR(__xludf.DUMMYFUNCTION("""COMPUTED_VALUE"""),"Death Penalty")</f>
        <v>Death Penalty</v>
      </c>
      <c r="I934" s="1" t="str">
        <f ca="1">IFERROR(__xludf.DUMMYFUNCTION("""COMPUTED_VALUE"""),"2024")</f>
        <v>2024</v>
      </c>
      <c r="J934" s="1" t="str">
        <f ca="1">IFERROR(__xludf.DUMMYFUNCTION("""COMPUTED_VALUE"""),"Email")</f>
        <v>Email</v>
      </c>
    </row>
    <row r="935" spans="1:10" ht="13" x14ac:dyDescent="0.15">
      <c r="A935" s="4">
        <f ca="1">IFERROR(__xludf.DUMMYFUNCTION("""COMPUTED_VALUE"""),32343648)</f>
        <v>32343648</v>
      </c>
      <c r="B935" s="1" t="str">
        <f ca="1">IFERROR(__xludf.DUMMYFUNCTION("""COMPUTED_VALUE"""),"bosolds@lisco.com")</f>
        <v>bosolds@lisco.com</v>
      </c>
      <c r="C935" s="4" t="str">
        <f ca="1">IFERROR(__xludf.DUMMYFUNCTION("""COMPUTED_VALUE"""),"EVERGREEN - UAN Gated Content - Embedded Petition")</f>
        <v>EVERGREEN - UAN Gated Content - Embedded Petition</v>
      </c>
      <c r="D935" s="5">
        <f ca="1">IFERROR(__xludf.DUMMYFUNCTION("""COMPUTED_VALUE"""),45677)</f>
        <v>45677</v>
      </c>
      <c r="F935" s="1" t="str">
        <f ca="1">IFERROR(__xludf.DUMMYFUNCTION("""COMPUTED_VALUE"""),"Tunisia")</f>
        <v>Tunisia</v>
      </c>
      <c r="G935" s="1" t="str">
        <f ca="1">IFERROR(__xludf.DUMMYFUNCTION("""COMPUTED_VALUE"""),"Second 76.24 Tunisia")</f>
        <v>Second 76.24 Tunisia</v>
      </c>
      <c r="H935" s="1" t="str">
        <f ca="1">IFERROR(__xludf.DUMMYFUNCTION("""COMPUTED_VALUE"""),"Freedom of Expression, Human Rights Defenders")</f>
        <v>Freedom of Expression, Human Rights Defenders</v>
      </c>
      <c r="I935" s="1" t="str">
        <f ca="1">IFERROR(__xludf.DUMMYFUNCTION("""COMPUTED_VALUE"""),"2025")</f>
        <v>2025</v>
      </c>
      <c r="J935" s="1" t="str">
        <f ca="1">IFERROR(__xludf.DUMMYFUNCTION("""COMPUTED_VALUE"""),"Email")</f>
        <v>Email</v>
      </c>
    </row>
    <row r="936" spans="1:10" ht="13" x14ac:dyDescent="0.15">
      <c r="A936" s="4">
        <f ca="1">IFERROR(__xludf.DUMMYFUNCTION("""COMPUTED_VALUE"""),32350084)</f>
        <v>32350084</v>
      </c>
      <c r="B936" s="1" t="str">
        <f ca="1">IFERROR(__xludf.DUMMYFUNCTION("""COMPUTED_VALUE"""),"peaceman@purecode.com")</f>
        <v>peaceman@purecode.com</v>
      </c>
      <c r="C936" s="4" t="str">
        <f ca="1">IFERROR(__xludf.DUMMYFUNCTION("""COMPUTED_VALUE"""),"EVERGREEN - UAN Gated Content - Embedded Petition")</f>
        <v>EVERGREEN - UAN Gated Content - Embedded Petition</v>
      </c>
      <c r="D936" s="5">
        <f ca="1">IFERROR(__xludf.DUMMYFUNCTION("""COMPUTED_VALUE"""),45694)</f>
        <v>45694</v>
      </c>
      <c r="F936" s="1" t="str">
        <f ca="1">IFERROR(__xludf.DUMMYFUNCTION("""COMPUTED_VALUE"""),"Venezuela")</f>
        <v>Venezuela</v>
      </c>
      <c r="G936" s="1" t="str">
        <f ca="1">IFERROR(__xludf.DUMMYFUNCTION("""COMPUTED_VALUE"""),"97.24 Venezuela")</f>
        <v>97.24 Venezuela</v>
      </c>
      <c r="H936" s="1" t="str">
        <f ca="1">IFERROR(__xludf.DUMMYFUNCTION("""COMPUTED_VALUE"""),"Freedom of Expression")</f>
        <v>Freedom of Expression</v>
      </c>
      <c r="I936" s="1" t="str">
        <f ca="1">IFERROR(__xludf.DUMMYFUNCTION("""COMPUTED_VALUE"""),"2024")</f>
        <v>2024</v>
      </c>
      <c r="J936" s="1" t="str">
        <f ca="1">IFERROR(__xludf.DUMMYFUNCTION("""COMPUTED_VALUE"""),"Letter")</f>
        <v>Letter</v>
      </c>
    </row>
    <row r="937" spans="1:10" ht="13" x14ac:dyDescent="0.15">
      <c r="A937" s="4">
        <f ca="1">IFERROR(__xludf.DUMMYFUNCTION("""COMPUTED_VALUE"""),32352329)</f>
        <v>32352329</v>
      </c>
      <c r="B937" s="1" t="str">
        <f ca="1">IFERROR(__xludf.DUMMYFUNCTION("""COMPUTED_VALUE"""),"pwtate12@yahoo.com")</f>
        <v>pwtate12@yahoo.com</v>
      </c>
      <c r="C937" s="4" t="str">
        <f ca="1">IFERROR(__xludf.DUMMYFUNCTION("""COMPUTED_VALUE"""),"EVERGREEN - UAN Gated Content - Embedded Petition")</f>
        <v>EVERGREEN - UAN Gated Content - Embedded Petition</v>
      </c>
      <c r="D937" s="5">
        <f ca="1">IFERROR(__xludf.DUMMYFUNCTION("""COMPUTED_VALUE"""),45677)</f>
        <v>45677</v>
      </c>
      <c r="F937" s="1" t="str">
        <f ca="1">IFERROR(__xludf.DUMMYFUNCTION("""COMPUTED_VALUE"""),"China")</f>
        <v>China</v>
      </c>
      <c r="G937" s="1" t="str">
        <f ca="1">IFERROR(__xludf.DUMMYFUNCTION("""COMPUTED_VALUE"""),"98.24 China")</f>
        <v>98.24 China</v>
      </c>
      <c r="H937" s="1" t="str">
        <f ca="1">IFERROR(__xludf.DUMMYFUNCTION("""COMPUTED_VALUE"""),"Freedom of Expression, Individuals At Risk")</f>
        <v>Freedom of Expression, Individuals At Risk</v>
      </c>
      <c r="I937" s="1" t="str">
        <f ca="1">IFERROR(__xludf.DUMMYFUNCTION("""COMPUTED_VALUE"""),"2024")</f>
        <v>2024</v>
      </c>
      <c r="J937" s="1" t="str">
        <f ca="1">IFERROR(__xludf.DUMMYFUNCTION("""COMPUTED_VALUE"""),"Letter")</f>
        <v>Letter</v>
      </c>
    </row>
    <row r="938" spans="1:10" ht="13" x14ac:dyDescent="0.15">
      <c r="A938" s="4">
        <f ca="1">IFERROR(__xludf.DUMMYFUNCTION("""COMPUTED_VALUE"""),32360532)</f>
        <v>32360532</v>
      </c>
      <c r="B938" s="1" t="str">
        <f ca="1">IFERROR(__xludf.DUMMYFUNCTION("""COMPUTED_VALUE"""),"palmer.r.violin@gmail.com")</f>
        <v>palmer.r.violin@gmail.com</v>
      </c>
      <c r="C938" s="4" t="str">
        <f ca="1">IFERROR(__xludf.DUMMYFUNCTION("""COMPUTED_VALUE"""),"EVERGREEN - UAN Gated Content - Embedded Petition")</f>
        <v>EVERGREEN - UAN Gated Content - Embedded Petition</v>
      </c>
      <c r="D938" s="5">
        <f ca="1">IFERROR(__xludf.DUMMYFUNCTION("""COMPUTED_VALUE"""),45694)</f>
        <v>45694</v>
      </c>
      <c r="F938" s="1" t="str">
        <f ca="1">IFERROR(__xludf.DUMMYFUNCTION("""COMPUTED_VALUE"""),"Iran")</f>
        <v>Iran</v>
      </c>
      <c r="G938" s="1" t="str">
        <f ca="1">IFERROR(__xludf.DUMMYFUNCTION("""COMPUTED_VALUE"""),"101.24 Iran")</f>
        <v>101.24 Iran</v>
      </c>
      <c r="H938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938" s="1" t="str">
        <f ca="1">IFERROR(__xludf.DUMMYFUNCTION("""COMPUTED_VALUE"""),"2024")</f>
        <v>2024</v>
      </c>
      <c r="J938" s="1" t="str">
        <f ca="1">IFERROR(__xludf.DUMMYFUNCTION("""COMPUTED_VALUE"""),"Email")</f>
        <v>Email</v>
      </c>
    </row>
    <row r="939" spans="1:10" ht="13" x14ac:dyDescent="0.15">
      <c r="A939" s="4">
        <f ca="1">IFERROR(__xludf.DUMMYFUNCTION("""COMPUTED_VALUE"""),32363056)</f>
        <v>32363056</v>
      </c>
      <c r="B939" s="1" t="str">
        <f ca="1">IFERROR(__xludf.DUMMYFUNCTION("""COMPUTED_VALUE"""),"m.mk@juno.com")</f>
        <v>m.mk@juno.com</v>
      </c>
      <c r="C939" s="4" t="str">
        <f ca="1">IFERROR(__xludf.DUMMYFUNCTION("""COMPUTED_VALUE"""),"EVERGREEN - UAN Gated Content - Embedded Petition")</f>
        <v>EVERGREEN - UAN Gated Content - Embedded Petition</v>
      </c>
      <c r="D939" s="5">
        <f ca="1">IFERROR(__xludf.DUMMYFUNCTION("""COMPUTED_VALUE"""),45636)</f>
        <v>45636</v>
      </c>
      <c r="F939" s="1" t="str">
        <f ca="1">IFERROR(__xludf.DUMMYFUNCTION("""COMPUTED_VALUE"""),"Venezuela")</f>
        <v>Venezuela</v>
      </c>
      <c r="G939" s="1" t="str">
        <f ca="1">IFERROR(__xludf.DUMMYFUNCTION("""COMPUTED_VALUE"""),"97.24 Venezuela")</f>
        <v>97.24 Venezuela</v>
      </c>
      <c r="H939" s="1" t="str">
        <f ca="1">IFERROR(__xludf.DUMMYFUNCTION("""COMPUTED_VALUE"""),"Freedom of Expression")</f>
        <v>Freedom of Expression</v>
      </c>
      <c r="I939" s="1" t="str">
        <f ca="1">IFERROR(__xludf.DUMMYFUNCTION("""COMPUTED_VALUE"""),"2024")</f>
        <v>2024</v>
      </c>
      <c r="J939" s="1" t="str">
        <f ca="1">IFERROR(__xludf.DUMMYFUNCTION("""COMPUTED_VALUE"""),"Letter")</f>
        <v>Letter</v>
      </c>
    </row>
    <row r="940" spans="1:10" ht="13" x14ac:dyDescent="0.15">
      <c r="A940" s="4">
        <f ca="1">IFERROR(__xludf.DUMMYFUNCTION("""COMPUTED_VALUE"""),32363056)</f>
        <v>32363056</v>
      </c>
      <c r="B940" s="1" t="str">
        <f ca="1">IFERROR(__xludf.DUMMYFUNCTION("""COMPUTED_VALUE"""),"m.mk@juno.com")</f>
        <v>m.mk@juno.com</v>
      </c>
      <c r="C940" s="4" t="str">
        <f ca="1">IFERROR(__xludf.DUMMYFUNCTION("""COMPUTED_VALUE"""),"EVERGREEN - UAN Gated Content - Embedded Petition")</f>
        <v>EVERGREEN - UAN Gated Content - Embedded Petition</v>
      </c>
      <c r="D940" s="5">
        <f ca="1">IFERROR(__xludf.DUMMYFUNCTION("""COMPUTED_VALUE"""),45636)</f>
        <v>45636</v>
      </c>
      <c r="F940" s="1" t="str">
        <f ca="1">IFERROR(__xludf.DUMMYFUNCTION("""COMPUTED_VALUE"""),"USA")</f>
        <v>USA</v>
      </c>
      <c r="G940" s="1" t="str">
        <f ca="1">IFERROR(__xludf.DUMMYFUNCTION("""COMPUTED_VALUE"""),"105.24 USA")</f>
        <v>105.24 USA</v>
      </c>
      <c r="H940" s="1" t="str">
        <f ca="1">IFERROR(__xludf.DUMMYFUNCTION("""COMPUTED_VALUE"""),"Death Penalty")</f>
        <v>Death Penalty</v>
      </c>
      <c r="I940" s="1" t="str">
        <f ca="1">IFERROR(__xludf.DUMMYFUNCTION("""COMPUTED_VALUE"""),"2024")</f>
        <v>2024</v>
      </c>
      <c r="J940" s="1" t="str">
        <f ca="1">IFERROR(__xludf.DUMMYFUNCTION("""COMPUTED_VALUE"""),"Email")</f>
        <v>Email</v>
      </c>
    </row>
    <row r="941" spans="1:10" ht="13" x14ac:dyDescent="0.15">
      <c r="A941" s="4">
        <f ca="1">IFERROR(__xludf.DUMMYFUNCTION("""COMPUTED_VALUE"""),32363056)</f>
        <v>32363056</v>
      </c>
      <c r="B941" s="1" t="str">
        <f ca="1">IFERROR(__xludf.DUMMYFUNCTION("""COMPUTED_VALUE"""),"m.mk@juno.com")</f>
        <v>m.mk@juno.com</v>
      </c>
      <c r="C941" s="4" t="str">
        <f ca="1">IFERROR(__xludf.DUMMYFUNCTION("""COMPUTED_VALUE"""),"EVERGREEN - UAN Gated Content - Embedded Petition")</f>
        <v>EVERGREEN - UAN Gated Content - Embedded Petition</v>
      </c>
      <c r="D941" s="5">
        <f ca="1">IFERROR(__xludf.DUMMYFUNCTION("""COMPUTED_VALUE"""),45636)</f>
        <v>45636</v>
      </c>
      <c r="F941" s="1" t="str">
        <f ca="1">IFERROR(__xludf.DUMMYFUNCTION("""COMPUTED_VALUE"""),"USA")</f>
        <v>USA</v>
      </c>
      <c r="G941" s="1" t="str">
        <f ca="1">IFERROR(__xludf.DUMMYFUNCTION("""COMPUTED_VALUE"""),"105.24 USA")</f>
        <v>105.24 USA</v>
      </c>
      <c r="H941" s="1" t="str">
        <f ca="1">IFERROR(__xludf.DUMMYFUNCTION("""COMPUTED_VALUE"""),"Death Penalty")</f>
        <v>Death Penalty</v>
      </c>
      <c r="I941" s="1" t="str">
        <f ca="1">IFERROR(__xludf.DUMMYFUNCTION("""COMPUTED_VALUE"""),"2024")</f>
        <v>2024</v>
      </c>
      <c r="J941" s="1" t="str">
        <f ca="1">IFERROR(__xludf.DUMMYFUNCTION("""COMPUTED_VALUE"""),"Email")</f>
        <v>Email</v>
      </c>
    </row>
    <row r="942" spans="1:10" ht="13" x14ac:dyDescent="0.15">
      <c r="A942" s="4">
        <f ca="1">IFERROR(__xludf.DUMMYFUNCTION("""COMPUTED_VALUE"""),32363056)</f>
        <v>32363056</v>
      </c>
      <c r="B942" s="1" t="str">
        <f ca="1">IFERROR(__xludf.DUMMYFUNCTION("""COMPUTED_VALUE"""),"m.mk@juno.com")</f>
        <v>m.mk@juno.com</v>
      </c>
      <c r="C942" s="4" t="str">
        <f ca="1">IFERROR(__xludf.DUMMYFUNCTION("""COMPUTED_VALUE"""),"EVERGREEN - UAN Gated Content - Embedded Petition")</f>
        <v>EVERGREEN - UAN Gated Content - Embedded Petition</v>
      </c>
      <c r="D942" s="5">
        <f ca="1">IFERROR(__xludf.DUMMYFUNCTION("""COMPUTED_VALUE"""),45636)</f>
        <v>45636</v>
      </c>
      <c r="F942" s="1" t="str">
        <f ca="1">IFERROR(__xludf.DUMMYFUNCTION("""COMPUTED_VALUE"""),"Dominican Republic")</f>
        <v>Dominican Republic</v>
      </c>
      <c r="G942" s="1" t="str">
        <f ca="1">IFERROR(__xludf.DUMMYFUNCTION("""COMPUTED_VALUE"""),"88.24 Dominican Republic")</f>
        <v>88.24 Dominican Republic</v>
      </c>
      <c r="H942" s="1" t="str">
        <f ca="1">IFERROR(__xludf.DUMMYFUNCTION("""COMPUTED_VALUE"""),"Individuals At Risk, Refugee and Migrant Rights")</f>
        <v>Individuals At Risk, Refugee and Migrant Rights</v>
      </c>
      <c r="I942" s="1" t="str">
        <f ca="1">IFERROR(__xludf.DUMMYFUNCTION("""COMPUTED_VALUE"""),"2024")</f>
        <v>2024</v>
      </c>
      <c r="J942" s="1" t="str">
        <f ca="1">IFERROR(__xludf.DUMMYFUNCTION("""COMPUTED_VALUE"""),"Letter")</f>
        <v>Letter</v>
      </c>
    </row>
    <row r="943" spans="1:10" ht="13" x14ac:dyDescent="0.15">
      <c r="A943" s="4">
        <f ca="1">IFERROR(__xludf.DUMMYFUNCTION("""COMPUTED_VALUE"""),32363056)</f>
        <v>32363056</v>
      </c>
      <c r="B943" s="1" t="str">
        <f ca="1">IFERROR(__xludf.DUMMYFUNCTION("""COMPUTED_VALUE"""),"m.mk@juno.com")</f>
        <v>m.mk@juno.com</v>
      </c>
      <c r="C943" s="4" t="str">
        <f ca="1">IFERROR(__xludf.DUMMYFUNCTION("""COMPUTED_VALUE"""),"EVERGREEN - UAN Gated Content - Embedded Petition")</f>
        <v>EVERGREEN - UAN Gated Content - Embedded Petition</v>
      </c>
      <c r="D943" s="5">
        <f ca="1">IFERROR(__xludf.DUMMYFUNCTION("""COMPUTED_VALUE"""),45636)</f>
        <v>45636</v>
      </c>
      <c r="F943" s="1" t="str">
        <f ca="1">IFERROR(__xludf.DUMMYFUNCTION("""COMPUTED_VALUE"""),"Egypt")</f>
        <v>Egypt</v>
      </c>
      <c r="G943" s="1" t="str">
        <f ca="1">IFERROR(__xludf.DUMMYFUNCTION("""COMPUTED_VALUE"""),"Ninth 190.18 Egypt")</f>
        <v>Ninth 190.18 Egypt</v>
      </c>
      <c r="H943" s="1" t="str">
        <f ca="1">IFERROR(__xludf.DUMMYFUNCTION("""COMPUTED_VALUE"""),"Freedom of Expression, Individuals At Risk")</f>
        <v>Freedom of Expression, Individuals At Risk</v>
      </c>
      <c r="I943" s="1" t="str">
        <f ca="1">IFERROR(__xludf.DUMMYFUNCTION("""COMPUTED_VALUE"""),"2024")</f>
        <v>2024</v>
      </c>
      <c r="J943" s="1" t="str">
        <f ca="1">IFERROR(__xludf.DUMMYFUNCTION("""COMPUTED_VALUE"""),"Letter")</f>
        <v>Letter</v>
      </c>
    </row>
    <row r="944" spans="1:10" ht="13" x14ac:dyDescent="0.15">
      <c r="A944" s="4">
        <f ca="1">IFERROR(__xludf.DUMMYFUNCTION("""COMPUTED_VALUE"""),32363056)</f>
        <v>32363056</v>
      </c>
      <c r="B944" s="1" t="str">
        <f ca="1">IFERROR(__xludf.DUMMYFUNCTION("""COMPUTED_VALUE"""),"m.mk@juno.com")</f>
        <v>m.mk@juno.com</v>
      </c>
      <c r="C944" s="4" t="str">
        <f ca="1">IFERROR(__xludf.DUMMYFUNCTION("""COMPUTED_VALUE"""),"EVERGREEN - UAN Gated Content - Embedded Petition")</f>
        <v>EVERGREEN - UAN Gated Content - Embedded Petition</v>
      </c>
      <c r="D944" s="5">
        <f ca="1">IFERROR(__xludf.DUMMYFUNCTION("""COMPUTED_VALUE"""),45636)</f>
        <v>45636</v>
      </c>
      <c r="F944" s="1" t="str">
        <f ca="1">IFERROR(__xludf.DUMMYFUNCTION("""COMPUTED_VALUE"""),"Azerbaijan")</f>
        <v>Azerbaijan</v>
      </c>
      <c r="G944" s="1" t="str">
        <f ca="1">IFERROR(__xludf.DUMMYFUNCTION("""COMPUTED_VALUE"""),"2.25 Azerbaijan")</f>
        <v>2.25 Azerbaijan</v>
      </c>
      <c r="H944" s="1" t="str">
        <f ca="1">IFERROR(__xludf.DUMMYFUNCTION("""COMPUTED_VALUE"""),"Freedom of Expression, Human Rights Defenders")</f>
        <v>Freedom of Expression, Human Rights Defenders</v>
      </c>
      <c r="I944" s="1" t="str">
        <f ca="1">IFERROR(__xludf.DUMMYFUNCTION("""COMPUTED_VALUE"""),"2025")</f>
        <v>2025</v>
      </c>
      <c r="J944" s="1" t="str">
        <f ca="1">IFERROR(__xludf.DUMMYFUNCTION("""COMPUTED_VALUE"""),"Email")</f>
        <v>Email</v>
      </c>
    </row>
    <row r="945" spans="1:10" ht="13" x14ac:dyDescent="0.15">
      <c r="A945" s="4">
        <f ca="1">IFERROR(__xludf.DUMMYFUNCTION("""COMPUTED_VALUE"""),32363056)</f>
        <v>32363056</v>
      </c>
      <c r="B945" s="1" t="str">
        <f ca="1">IFERROR(__xludf.DUMMYFUNCTION("""COMPUTED_VALUE"""),"m.mk@juno.com")</f>
        <v>m.mk@juno.com</v>
      </c>
      <c r="C945" s="4" t="str">
        <f ca="1">IFERROR(__xludf.DUMMYFUNCTION("""COMPUTED_VALUE"""),"EVERGREEN - UAN Gated Content - Embedded Petition")</f>
        <v>EVERGREEN - UAN Gated Content - Embedded Petition</v>
      </c>
      <c r="D945" s="5">
        <f ca="1">IFERROR(__xludf.DUMMYFUNCTION("""COMPUTED_VALUE"""),45636)</f>
        <v>45636</v>
      </c>
      <c r="F945" s="1" t="str">
        <f ca="1">IFERROR(__xludf.DUMMYFUNCTION("""COMPUTED_VALUE"""),"Iran")</f>
        <v>Iran</v>
      </c>
      <c r="G945" s="1" t="str">
        <f ca="1">IFERROR(__xludf.DUMMYFUNCTION("""COMPUTED_VALUE"""),"Seventh 103.22 Iran")</f>
        <v>Seventh 103.22 Iran</v>
      </c>
      <c r="H945" s="1" t="str">
        <f ca="1">IFERROR(__xludf.DUMMYFUNCTION("""COMPUTED_VALUE"""),"Death Penalty, Freedom of Expression, Individuals At Risk")</f>
        <v>Death Penalty, Freedom of Expression, Individuals At Risk</v>
      </c>
      <c r="I945" s="1" t="str">
        <f ca="1">IFERROR(__xludf.DUMMYFUNCTION("""COMPUTED_VALUE"""),"2024")</f>
        <v>2024</v>
      </c>
      <c r="J945" s="1" t="str">
        <f ca="1">IFERROR(__xludf.DUMMYFUNCTION("""COMPUTED_VALUE"""),"Email")</f>
        <v>Email</v>
      </c>
    </row>
    <row r="946" spans="1:10" ht="13" x14ac:dyDescent="0.15">
      <c r="A946" s="4">
        <f ca="1">IFERROR(__xludf.DUMMYFUNCTION("""COMPUTED_VALUE"""),32363056)</f>
        <v>32363056</v>
      </c>
      <c r="B946" s="1" t="str">
        <f ca="1">IFERROR(__xludf.DUMMYFUNCTION("""COMPUTED_VALUE"""),"m.mk@juno.com")</f>
        <v>m.mk@juno.com</v>
      </c>
      <c r="C946" s="4" t="str">
        <f ca="1">IFERROR(__xludf.DUMMYFUNCTION("""COMPUTED_VALUE"""),"EVERGREEN - UAN Gated Content - Embedded Petition")</f>
        <v>EVERGREEN - UAN Gated Content - Embedded Petition</v>
      </c>
      <c r="D946" s="5">
        <f ca="1">IFERROR(__xludf.DUMMYFUNCTION("""COMPUTED_VALUE"""),45636)</f>
        <v>45636</v>
      </c>
      <c r="F946" s="1" t="str">
        <f ca="1">IFERROR(__xludf.DUMMYFUNCTION("""COMPUTED_VALUE"""),"USA")</f>
        <v>USA</v>
      </c>
      <c r="G946" s="1" t="str">
        <f ca="1">IFERROR(__xludf.DUMMYFUNCTION("""COMPUTED_VALUE"""),"96.24 USA")</f>
        <v>96.24 USA</v>
      </c>
      <c r="H946" s="1" t="str">
        <f ca="1">IFERROR(__xludf.DUMMYFUNCTION("""COMPUTED_VALUE"""),"Death Penalty")</f>
        <v>Death Penalty</v>
      </c>
      <c r="I946" s="1" t="str">
        <f ca="1">IFERROR(__xludf.DUMMYFUNCTION("""COMPUTED_VALUE"""),"2024")</f>
        <v>2024</v>
      </c>
      <c r="J946" s="1" t="str">
        <f ca="1">IFERROR(__xludf.DUMMYFUNCTION("""COMPUTED_VALUE"""),"Email")</f>
        <v>Email</v>
      </c>
    </row>
    <row r="947" spans="1:10" ht="13" x14ac:dyDescent="0.15">
      <c r="A947" s="4">
        <f ca="1">IFERROR(__xludf.DUMMYFUNCTION("""COMPUTED_VALUE"""),32363056)</f>
        <v>32363056</v>
      </c>
      <c r="B947" s="1" t="str">
        <f ca="1">IFERROR(__xludf.DUMMYFUNCTION("""COMPUTED_VALUE"""),"m.mk@juno.com")</f>
        <v>m.mk@juno.com</v>
      </c>
      <c r="C947" s="4" t="str">
        <f ca="1">IFERROR(__xludf.DUMMYFUNCTION("""COMPUTED_VALUE"""),"EVERGREEN - UAN Gated Content - Embedded Petition")</f>
        <v>EVERGREEN - UAN Gated Content - Embedded Petition</v>
      </c>
      <c r="D947" s="5">
        <f ca="1">IFERROR(__xludf.DUMMYFUNCTION("""COMPUTED_VALUE"""),45636)</f>
        <v>45636</v>
      </c>
      <c r="F947" s="1" t="str">
        <f ca="1">IFERROR(__xludf.DUMMYFUNCTION("""COMPUTED_VALUE"""),"Tunisia")</f>
        <v>Tunisia</v>
      </c>
      <c r="G947" s="1" t="str">
        <f ca="1">IFERROR(__xludf.DUMMYFUNCTION("""COMPUTED_VALUE"""),"Second 76.24 Tunisia")</f>
        <v>Second 76.24 Tunisia</v>
      </c>
      <c r="H947" s="1" t="str">
        <f ca="1">IFERROR(__xludf.DUMMYFUNCTION("""COMPUTED_VALUE"""),"Freedom of Expression, Human Rights Defenders")</f>
        <v>Freedom of Expression, Human Rights Defenders</v>
      </c>
      <c r="I947" s="1" t="str">
        <f ca="1">IFERROR(__xludf.DUMMYFUNCTION("""COMPUTED_VALUE"""),"2025")</f>
        <v>2025</v>
      </c>
      <c r="J947" s="1" t="str">
        <f ca="1">IFERROR(__xludf.DUMMYFUNCTION("""COMPUTED_VALUE"""),"Email")</f>
        <v>Email</v>
      </c>
    </row>
    <row r="948" spans="1:10" ht="13" x14ac:dyDescent="0.15">
      <c r="A948" s="4">
        <f ca="1">IFERROR(__xludf.DUMMYFUNCTION("""COMPUTED_VALUE"""),32371942)</f>
        <v>32371942</v>
      </c>
      <c r="B948" s="1" t="str">
        <f ca="1">IFERROR(__xludf.DUMMYFUNCTION("""COMPUTED_VALUE"""),"mary@lindleyg.com")</f>
        <v>mary@lindleyg.com</v>
      </c>
      <c r="C948" s="4" t="str">
        <f ca="1">IFERROR(__xludf.DUMMYFUNCTION("""COMPUTED_VALUE"""),"EVERGREEN - UAN Gated Content - Embedded Petition")</f>
        <v>EVERGREEN - UAN Gated Content - Embedded Petition</v>
      </c>
      <c r="D948" s="5">
        <f ca="1">IFERROR(__xludf.DUMMYFUNCTION("""COMPUTED_VALUE"""),45616)</f>
        <v>45616</v>
      </c>
      <c r="F948" s="1" t="str">
        <f ca="1">IFERROR(__xludf.DUMMYFUNCTION("""COMPUTED_VALUE"""),"USA")</f>
        <v>USA</v>
      </c>
      <c r="G948" s="1" t="str">
        <f ca="1">IFERROR(__xludf.DUMMYFUNCTION("""COMPUTED_VALUE"""),"4.25 USA")</f>
        <v>4.25 USA</v>
      </c>
      <c r="H948" s="1" t="str">
        <f ca="1">IFERROR(__xludf.DUMMYFUNCTION("""COMPUTED_VALUE"""),"Individuals At Risk, Refugee and Migrant Rights")</f>
        <v>Individuals At Risk, Refugee and Migrant Rights</v>
      </c>
      <c r="I948" s="1" t="str">
        <f ca="1">IFERROR(__xludf.DUMMYFUNCTION("""COMPUTED_VALUE"""),"2025")</f>
        <v>2025</v>
      </c>
      <c r="J948" s="1" t="str">
        <f ca="1">IFERROR(__xludf.DUMMYFUNCTION("""COMPUTED_VALUE"""),"Letter")</f>
        <v>Letter</v>
      </c>
    </row>
    <row r="949" spans="1:10" ht="13" x14ac:dyDescent="0.15">
      <c r="A949" s="4">
        <f ca="1">IFERROR(__xludf.DUMMYFUNCTION("""COMPUTED_VALUE"""),32371942)</f>
        <v>32371942</v>
      </c>
      <c r="B949" s="1" t="str">
        <f ca="1">IFERROR(__xludf.DUMMYFUNCTION("""COMPUTED_VALUE"""),"mary@lindleyg.com")</f>
        <v>mary@lindleyg.com</v>
      </c>
      <c r="C949" s="4" t="str">
        <f ca="1">IFERROR(__xludf.DUMMYFUNCTION("""COMPUTED_VALUE"""),"EVERGREEN - UAN Gated Content - Embedded Petition")</f>
        <v>EVERGREEN - UAN Gated Content - Embedded Petition</v>
      </c>
      <c r="D949" s="5">
        <f ca="1">IFERROR(__xludf.DUMMYFUNCTION("""COMPUTED_VALUE"""),45694)</f>
        <v>45694</v>
      </c>
      <c r="F949" s="1" t="str">
        <f ca="1">IFERROR(__xludf.DUMMYFUNCTION("""COMPUTED_VALUE"""),"Tunisia")</f>
        <v>Tunisia</v>
      </c>
      <c r="G949" s="1" t="str">
        <f ca="1">IFERROR(__xludf.DUMMYFUNCTION("""COMPUTED_VALUE"""),"Second 76.24 Tunisia")</f>
        <v>Second 76.24 Tunisia</v>
      </c>
      <c r="H949" s="1" t="str">
        <f ca="1">IFERROR(__xludf.DUMMYFUNCTION("""COMPUTED_VALUE"""),"Freedom of Expression, Human Rights Defenders")</f>
        <v>Freedom of Expression, Human Rights Defenders</v>
      </c>
      <c r="I949" s="1" t="str">
        <f ca="1">IFERROR(__xludf.DUMMYFUNCTION("""COMPUTED_VALUE"""),"2025")</f>
        <v>2025</v>
      </c>
      <c r="J949" s="1" t="str">
        <f ca="1">IFERROR(__xludf.DUMMYFUNCTION("""COMPUTED_VALUE"""),"Email")</f>
        <v>Email</v>
      </c>
    </row>
    <row r="950" spans="1:10" ht="13" x14ac:dyDescent="0.15">
      <c r="A950" s="4">
        <f ca="1">IFERROR(__xludf.DUMMYFUNCTION("""COMPUTED_VALUE"""),32371942)</f>
        <v>32371942</v>
      </c>
      <c r="B950" s="1" t="str">
        <f ca="1">IFERROR(__xludf.DUMMYFUNCTION("""COMPUTED_VALUE"""),"mary@lindleyg.com")</f>
        <v>mary@lindleyg.com</v>
      </c>
      <c r="C950" s="4" t="str">
        <f ca="1">IFERROR(__xludf.DUMMYFUNCTION("""COMPUTED_VALUE"""),"EVERGREEN - UAN Gated Content - Embedded Petition")</f>
        <v>EVERGREEN - UAN Gated Content - Embedded Petition</v>
      </c>
      <c r="D950" s="5">
        <f ca="1">IFERROR(__xludf.DUMMYFUNCTION("""COMPUTED_VALUE"""),45700)</f>
        <v>45700</v>
      </c>
      <c r="F950" s="1" t="str">
        <f ca="1">IFERROR(__xludf.DUMMYFUNCTION("""COMPUTED_VALUE"""),"Iran")</f>
        <v>Iran</v>
      </c>
      <c r="G950" s="1" t="str">
        <f ca="1">IFERROR(__xludf.DUMMYFUNCTION("""COMPUTED_VALUE"""),"Seventh 103.22 Iran")</f>
        <v>Seventh 103.22 Iran</v>
      </c>
      <c r="H950" s="1" t="str">
        <f ca="1">IFERROR(__xludf.DUMMYFUNCTION("""COMPUTED_VALUE"""),"Death Penalty, Freedom of Expression, Individuals At Risk")</f>
        <v>Death Penalty, Freedom of Expression, Individuals At Risk</v>
      </c>
      <c r="I950" s="1" t="str">
        <f ca="1">IFERROR(__xludf.DUMMYFUNCTION("""COMPUTED_VALUE"""),"2024")</f>
        <v>2024</v>
      </c>
      <c r="J950" s="1" t="str">
        <f ca="1">IFERROR(__xludf.DUMMYFUNCTION("""COMPUTED_VALUE"""),"Email")</f>
        <v>Email</v>
      </c>
    </row>
    <row r="951" spans="1:10" ht="13" x14ac:dyDescent="0.15">
      <c r="A951" s="4">
        <f ca="1">IFERROR(__xludf.DUMMYFUNCTION("""COMPUTED_VALUE"""),32371942)</f>
        <v>32371942</v>
      </c>
      <c r="B951" s="1" t="str">
        <f ca="1">IFERROR(__xludf.DUMMYFUNCTION("""COMPUTED_VALUE"""),"mary@lindleyg.com")</f>
        <v>mary@lindleyg.com</v>
      </c>
      <c r="C951" s="4" t="str">
        <f ca="1">IFERROR(__xludf.DUMMYFUNCTION("""COMPUTED_VALUE"""),"EVERGREEN - UAN Gated Content - Embedded Petition")</f>
        <v>EVERGREEN - UAN Gated Content - Embedded Petition</v>
      </c>
      <c r="D951" s="5">
        <f ca="1">IFERROR(__xludf.DUMMYFUNCTION("""COMPUTED_VALUE"""),45616)</f>
        <v>45616</v>
      </c>
      <c r="F951" s="1" t="str">
        <f ca="1">IFERROR(__xludf.DUMMYFUNCTION("""COMPUTED_VALUE"""),"Dominican Republic")</f>
        <v>Dominican Republic</v>
      </c>
      <c r="G951" s="1" t="str">
        <f ca="1">IFERROR(__xludf.DUMMYFUNCTION("""COMPUTED_VALUE"""),"88.24 Dominican Republic")</f>
        <v>88.24 Dominican Republic</v>
      </c>
      <c r="H951" s="1" t="str">
        <f ca="1">IFERROR(__xludf.DUMMYFUNCTION("""COMPUTED_VALUE"""),"Individuals At Risk, Refugee and Migrant Rights")</f>
        <v>Individuals At Risk, Refugee and Migrant Rights</v>
      </c>
      <c r="I951" s="1" t="str">
        <f ca="1">IFERROR(__xludf.DUMMYFUNCTION("""COMPUTED_VALUE"""),"2024")</f>
        <v>2024</v>
      </c>
      <c r="J951" s="1" t="str">
        <f ca="1">IFERROR(__xludf.DUMMYFUNCTION("""COMPUTED_VALUE"""),"Letter")</f>
        <v>Letter</v>
      </c>
    </row>
    <row r="952" spans="1:10" ht="13" x14ac:dyDescent="0.15">
      <c r="A952" s="4">
        <f ca="1">IFERROR(__xludf.DUMMYFUNCTION("""COMPUTED_VALUE"""),32371942)</f>
        <v>32371942</v>
      </c>
      <c r="B952" s="1" t="str">
        <f ca="1">IFERROR(__xludf.DUMMYFUNCTION("""COMPUTED_VALUE"""),"mary@lindleyg.com")</f>
        <v>mary@lindleyg.com</v>
      </c>
      <c r="C952" s="4" t="str">
        <f ca="1">IFERROR(__xludf.DUMMYFUNCTION("""COMPUTED_VALUE"""),"EVERGREEN - UAN Gated Content - Embedded Petition")</f>
        <v>EVERGREEN - UAN Gated Content - Embedded Petition</v>
      </c>
      <c r="D952" s="5">
        <f ca="1">IFERROR(__xludf.DUMMYFUNCTION("""COMPUTED_VALUE"""),45636)</f>
        <v>45636</v>
      </c>
      <c r="F952" s="1" t="str">
        <f ca="1">IFERROR(__xludf.DUMMYFUNCTION("""COMPUTED_VALUE"""),"USA")</f>
        <v>USA</v>
      </c>
      <c r="G952" s="1" t="str">
        <f ca="1">IFERROR(__xludf.DUMMYFUNCTION("""COMPUTED_VALUE"""),"96.24 USA")</f>
        <v>96.24 USA</v>
      </c>
      <c r="H952" s="1" t="str">
        <f ca="1">IFERROR(__xludf.DUMMYFUNCTION("""COMPUTED_VALUE"""),"Death Penalty")</f>
        <v>Death Penalty</v>
      </c>
      <c r="I952" s="1" t="str">
        <f ca="1">IFERROR(__xludf.DUMMYFUNCTION("""COMPUTED_VALUE"""),"2024")</f>
        <v>2024</v>
      </c>
      <c r="J952" s="1" t="str">
        <f ca="1">IFERROR(__xludf.DUMMYFUNCTION("""COMPUTED_VALUE"""),"Email")</f>
        <v>Email</v>
      </c>
    </row>
    <row r="953" spans="1:10" ht="13" x14ac:dyDescent="0.15">
      <c r="A953" s="4">
        <f ca="1">IFERROR(__xludf.DUMMYFUNCTION("""COMPUTED_VALUE"""),32371942)</f>
        <v>32371942</v>
      </c>
      <c r="B953" s="1" t="str">
        <f ca="1">IFERROR(__xludf.DUMMYFUNCTION("""COMPUTED_VALUE"""),"mary@lindleyg.com")</f>
        <v>mary@lindleyg.com</v>
      </c>
      <c r="C953" s="4" t="str">
        <f ca="1">IFERROR(__xludf.DUMMYFUNCTION("""COMPUTED_VALUE"""),"EVERGREEN - UAN Gated Content - Embedded Petition")</f>
        <v>EVERGREEN - UAN Gated Content - Embedded Petition</v>
      </c>
      <c r="D953" s="5">
        <f ca="1">IFERROR(__xludf.DUMMYFUNCTION("""COMPUTED_VALUE"""),45636)</f>
        <v>45636</v>
      </c>
      <c r="F953" s="1" t="str">
        <f ca="1">IFERROR(__xludf.DUMMYFUNCTION("""COMPUTED_VALUE"""),"Niger")</f>
        <v>Niger</v>
      </c>
      <c r="G953" s="1" t="str">
        <f ca="1">IFERROR(__xludf.DUMMYFUNCTION("""COMPUTED_VALUE"""),"103.24 Niger")</f>
        <v>103.24 Niger</v>
      </c>
      <c r="H953" s="1" t="str">
        <f ca="1">IFERROR(__xludf.DUMMYFUNCTION("""COMPUTED_VALUE"""),"Freedom of Expression, Human Rights Defenders")</f>
        <v>Freedom of Expression, Human Rights Defenders</v>
      </c>
      <c r="I953" s="1" t="str">
        <f ca="1">IFERROR(__xludf.DUMMYFUNCTION("""COMPUTED_VALUE"""),"2024")</f>
        <v>2024</v>
      </c>
      <c r="J953" s="1" t="str">
        <f ca="1">IFERROR(__xludf.DUMMYFUNCTION("""COMPUTED_VALUE"""),"Email")</f>
        <v>Email</v>
      </c>
    </row>
    <row r="954" spans="1:10" ht="13" x14ac:dyDescent="0.15">
      <c r="A954" s="4">
        <f ca="1">IFERROR(__xludf.DUMMYFUNCTION("""COMPUTED_VALUE"""),32392057)</f>
        <v>32392057</v>
      </c>
      <c r="B954" s="1" t="str">
        <f ca="1">IFERROR(__xludf.DUMMYFUNCTION("""COMPUTED_VALUE"""),"chrisriff@aol.com")</f>
        <v>chrisriff@aol.com</v>
      </c>
      <c r="C954" s="4" t="str">
        <f ca="1">IFERROR(__xludf.DUMMYFUNCTION("""COMPUTED_VALUE"""),"EVERGREEN - UAN Gated Content - Embedded Petition")</f>
        <v>EVERGREEN - UAN Gated Content - Embedded Petition</v>
      </c>
      <c r="D954" s="5">
        <f ca="1">IFERROR(__xludf.DUMMYFUNCTION("""COMPUTED_VALUE"""),45676)</f>
        <v>45676</v>
      </c>
      <c r="F954" s="1" t="str">
        <f ca="1">IFERROR(__xludf.DUMMYFUNCTION("""COMPUTED_VALUE"""),"Iran")</f>
        <v>Iran</v>
      </c>
      <c r="G954" s="1" t="str">
        <f ca="1">IFERROR(__xludf.DUMMYFUNCTION("""COMPUTED_VALUE"""),"Seventh 103.22 Iran")</f>
        <v>Seventh 103.22 Iran</v>
      </c>
      <c r="H954" s="1" t="str">
        <f ca="1">IFERROR(__xludf.DUMMYFUNCTION("""COMPUTED_VALUE"""),"Death Penalty, Freedom of Expression, Individuals At Risk")</f>
        <v>Death Penalty, Freedom of Expression, Individuals At Risk</v>
      </c>
      <c r="I954" s="1" t="str">
        <f ca="1">IFERROR(__xludf.DUMMYFUNCTION("""COMPUTED_VALUE"""),"2024")</f>
        <v>2024</v>
      </c>
      <c r="J954" s="1" t="str">
        <f ca="1">IFERROR(__xludf.DUMMYFUNCTION("""COMPUTED_VALUE"""),"Email")</f>
        <v>Email</v>
      </c>
    </row>
    <row r="955" spans="1:10" ht="13" x14ac:dyDescent="0.15">
      <c r="A955" s="4">
        <f ca="1">IFERROR(__xludf.DUMMYFUNCTION("""COMPUTED_VALUE"""),32392062)</f>
        <v>32392062</v>
      </c>
      <c r="B955" s="1" t="str">
        <f ca="1">IFERROR(__xludf.DUMMYFUNCTION("""COMPUTED_VALUE"""),"dgkphildon@verizon.net")</f>
        <v>dgkphildon@verizon.net</v>
      </c>
      <c r="C955" s="4" t="str">
        <f ca="1">IFERROR(__xludf.DUMMYFUNCTION("""COMPUTED_VALUE"""),"EVERGREEN - UAN Gated Content - Embedded Petition")</f>
        <v>EVERGREEN - UAN Gated Content - Embedded Petition</v>
      </c>
      <c r="D955" s="5">
        <f ca="1">IFERROR(__xludf.DUMMYFUNCTION("""COMPUTED_VALUE"""),45623)</f>
        <v>45623</v>
      </c>
      <c r="F955" s="1" t="str">
        <f ca="1">IFERROR(__xludf.DUMMYFUNCTION("""COMPUTED_VALUE"""),"Iran")</f>
        <v>Iran</v>
      </c>
      <c r="G955" s="1" t="str">
        <f ca="1">IFERROR(__xludf.DUMMYFUNCTION("""COMPUTED_VALUE"""),"Seventh 103.22 Iran")</f>
        <v>Seventh 103.22 Iran</v>
      </c>
      <c r="H955" s="1" t="str">
        <f ca="1">IFERROR(__xludf.DUMMYFUNCTION("""COMPUTED_VALUE"""),"Death Penalty, Freedom of Expression, Individuals At Risk")</f>
        <v>Death Penalty, Freedom of Expression, Individuals At Risk</v>
      </c>
      <c r="I955" s="1" t="str">
        <f ca="1">IFERROR(__xludf.DUMMYFUNCTION("""COMPUTED_VALUE"""),"2024")</f>
        <v>2024</v>
      </c>
      <c r="J955" s="1" t="str">
        <f ca="1">IFERROR(__xludf.DUMMYFUNCTION("""COMPUTED_VALUE"""),"Email")</f>
        <v>Email</v>
      </c>
    </row>
    <row r="956" spans="1:10" ht="13" x14ac:dyDescent="0.15">
      <c r="A956" s="4">
        <f ca="1">IFERROR(__xludf.DUMMYFUNCTION("""COMPUTED_VALUE"""),32392062)</f>
        <v>32392062</v>
      </c>
      <c r="B956" s="1" t="str">
        <f ca="1">IFERROR(__xludf.DUMMYFUNCTION("""COMPUTED_VALUE"""),"dgkphildon@verizon.net")</f>
        <v>dgkphildon@verizon.net</v>
      </c>
      <c r="C956" s="4" t="str">
        <f ca="1">IFERROR(__xludf.DUMMYFUNCTION("""COMPUTED_VALUE"""),"EVERGREEN - UAN Gated Content - Embedded Petition")</f>
        <v>EVERGREEN - UAN Gated Content - Embedded Petition</v>
      </c>
      <c r="D956" s="5">
        <f ca="1">IFERROR(__xludf.DUMMYFUNCTION("""COMPUTED_VALUE"""),45623)</f>
        <v>45623</v>
      </c>
      <c r="F956" s="1" t="str">
        <f ca="1">IFERROR(__xludf.DUMMYFUNCTION("""COMPUTED_VALUE"""),"Israel and Occupied Palestinian Territories")</f>
        <v>Israel and Occupied Palestinian Territories</v>
      </c>
      <c r="G956" s="1" t="str">
        <f ca="1">IFERROR(__xludf.DUMMYFUNCTION("""COMPUTED_VALUE"""),"3.25 IOPT")</f>
        <v>3.25 IOPT</v>
      </c>
      <c r="H956" s="1" t="str">
        <f ca="1">IFERROR(__xludf.DUMMYFUNCTION("""COMPUTED_VALUE"""),"Freedom of Expression, Individuals At Risk")</f>
        <v>Freedom of Expression, Individuals At Risk</v>
      </c>
      <c r="I956" s="1" t="str">
        <f ca="1">IFERROR(__xludf.DUMMYFUNCTION("""COMPUTED_VALUE"""),"2025")</f>
        <v>2025</v>
      </c>
      <c r="J956" s="1" t="str">
        <f ca="1">IFERROR(__xludf.DUMMYFUNCTION("""COMPUTED_VALUE"""),"Email")</f>
        <v>Email</v>
      </c>
    </row>
    <row r="957" spans="1:10" ht="13" x14ac:dyDescent="0.15">
      <c r="A957" s="4">
        <f ca="1">IFERROR(__xludf.DUMMYFUNCTION("""COMPUTED_VALUE"""),32392062)</f>
        <v>32392062</v>
      </c>
      <c r="B957" s="1" t="str">
        <f ca="1">IFERROR(__xludf.DUMMYFUNCTION("""COMPUTED_VALUE"""),"dgkphildon@verizon.net")</f>
        <v>dgkphildon@verizon.net</v>
      </c>
      <c r="C957" s="4" t="str">
        <f ca="1">IFERROR(__xludf.DUMMYFUNCTION("""COMPUTED_VALUE"""),"EVERGREEN - UAN Gated Content - Embedded Petition")</f>
        <v>EVERGREEN - UAN Gated Content - Embedded Petition</v>
      </c>
      <c r="D957" s="5">
        <f ca="1">IFERROR(__xludf.DUMMYFUNCTION("""COMPUTED_VALUE"""),45648)</f>
        <v>45648</v>
      </c>
      <c r="F957" s="1" t="str">
        <f ca="1">IFERROR(__xludf.DUMMYFUNCTION("""COMPUTED_VALUE"""),"Tunisia")</f>
        <v>Tunisia</v>
      </c>
      <c r="G957" s="1" t="str">
        <f ca="1">IFERROR(__xludf.DUMMYFUNCTION("""COMPUTED_VALUE"""),"Second 76.24 Tunisia")</f>
        <v>Second 76.24 Tunisia</v>
      </c>
      <c r="H957" s="1" t="str">
        <f ca="1">IFERROR(__xludf.DUMMYFUNCTION("""COMPUTED_VALUE"""),"Freedom of Expression, Human Rights Defenders")</f>
        <v>Freedom of Expression, Human Rights Defenders</v>
      </c>
      <c r="I957" s="1" t="str">
        <f ca="1">IFERROR(__xludf.DUMMYFUNCTION("""COMPUTED_VALUE"""),"2025")</f>
        <v>2025</v>
      </c>
      <c r="J957" s="1" t="str">
        <f ca="1">IFERROR(__xludf.DUMMYFUNCTION("""COMPUTED_VALUE"""),"Email")</f>
        <v>Email</v>
      </c>
    </row>
    <row r="958" spans="1:10" ht="13" x14ac:dyDescent="0.15">
      <c r="A958" s="4">
        <f ca="1">IFERROR(__xludf.DUMMYFUNCTION("""COMPUTED_VALUE"""),32392062)</f>
        <v>32392062</v>
      </c>
      <c r="B958" s="1" t="str">
        <f ca="1">IFERROR(__xludf.DUMMYFUNCTION("""COMPUTED_VALUE"""),"dgkphildon@verizon.net")</f>
        <v>dgkphildon@verizon.net</v>
      </c>
      <c r="C958" s="4" t="str">
        <f ca="1">IFERROR(__xludf.DUMMYFUNCTION("""COMPUTED_VALUE"""),"EVERGREEN - UAN Gated Content - Embedded Petition")</f>
        <v>EVERGREEN - UAN Gated Content - Embedded Petition</v>
      </c>
      <c r="D958" s="5">
        <f ca="1">IFERROR(__xludf.DUMMYFUNCTION("""COMPUTED_VALUE"""),45648)</f>
        <v>45648</v>
      </c>
      <c r="F958" s="1" t="str">
        <f ca="1">IFERROR(__xludf.DUMMYFUNCTION("""COMPUTED_VALUE"""),"USA")</f>
        <v>USA</v>
      </c>
      <c r="G958" s="1" t="str">
        <f ca="1">IFERROR(__xludf.DUMMYFUNCTION("""COMPUTED_VALUE"""),"4.25 USA")</f>
        <v>4.25 USA</v>
      </c>
      <c r="H958" s="1" t="str">
        <f ca="1">IFERROR(__xludf.DUMMYFUNCTION("""COMPUTED_VALUE"""),"Individuals At Risk, Refugee and Migrant Rights")</f>
        <v>Individuals At Risk, Refugee and Migrant Rights</v>
      </c>
      <c r="I958" s="1" t="str">
        <f ca="1">IFERROR(__xludf.DUMMYFUNCTION("""COMPUTED_VALUE"""),"2025")</f>
        <v>2025</v>
      </c>
      <c r="J958" s="1" t="str">
        <f ca="1">IFERROR(__xludf.DUMMYFUNCTION("""COMPUTED_VALUE"""),"Letter")</f>
        <v>Letter</v>
      </c>
    </row>
    <row r="959" spans="1:10" ht="13" x14ac:dyDescent="0.15">
      <c r="A959" s="4">
        <f ca="1">IFERROR(__xludf.DUMMYFUNCTION("""COMPUTED_VALUE"""),32392062)</f>
        <v>32392062</v>
      </c>
      <c r="B959" s="1" t="str">
        <f ca="1">IFERROR(__xludf.DUMMYFUNCTION("""COMPUTED_VALUE"""),"dgkphildon@verizon.net")</f>
        <v>dgkphildon@verizon.net</v>
      </c>
      <c r="C959" s="4" t="str">
        <f ca="1">IFERROR(__xludf.DUMMYFUNCTION("""COMPUTED_VALUE"""),"EVERGREEN - UAN Gated Content - Embedded Petition")</f>
        <v>EVERGREEN - UAN Gated Content - Embedded Petition</v>
      </c>
      <c r="D959" s="5">
        <f ca="1">IFERROR(__xludf.DUMMYFUNCTION("""COMPUTED_VALUE"""),45674)</f>
        <v>45674</v>
      </c>
      <c r="F959" s="1" t="str">
        <f ca="1">IFERROR(__xludf.DUMMYFUNCTION("""COMPUTED_VALUE"""),"Dominican Republic")</f>
        <v>Dominican Republic</v>
      </c>
      <c r="G959" s="1" t="str">
        <f ca="1">IFERROR(__xludf.DUMMYFUNCTION("""COMPUTED_VALUE"""),"88.24 Dominican Republic")</f>
        <v>88.24 Dominican Republic</v>
      </c>
      <c r="H959" s="1" t="str">
        <f ca="1">IFERROR(__xludf.DUMMYFUNCTION("""COMPUTED_VALUE"""),"Individuals At Risk, Refugee and Migrant Rights")</f>
        <v>Individuals At Risk, Refugee and Migrant Rights</v>
      </c>
      <c r="I959" s="1" t="str">
        <f ca="1">IFERROR(__xludf.DUMMYFUNCTION("""COMPUTED_VALUE"""),"2024")</f>
        <v>2024</v>
      </c>
      <c r="J959" s="1" t="str">
        <f ca="1">IFERROR(__xludf.DUMMYFUNCTION("""COMPUTED_VALUE"""),"Letter")</f>
        <v>Letter</v>
      </c>
    </row>
    <row r="960" spans="1:10" ht="13" x14ac:dyDescent="0.15">
      <c r="A960" s="4">
        <f ca="1">IFERROR(__xludf.DUMMYFUNCTION("""COMPUTED_VALUE"""),32392062)</f>
        <v>32392062</v>
      </c>
      <c r="B960" s="1" t="str">
        <f ca="1">IFERROR(__xludf.DUMMYFUNCTION("""COMPUTED_VALUE"""),"dgkphildon@verizon.net")</f>
        <v>dgkphildon@verizon.net</v>
      </c>
      <c r="C960" s="4" t="str">
        <f ca="1">IFERROR(__xludf.DUMMYFUNCTION("""COMPUTED_VALUE"""),"EVERGREEN - UAN Gated Content - Embedded Petition")</f>
        <v>EVERGREEN - UAN Gated Content - Embedded Petition</v>
      </c>
      <c r="D960" s="5">
        <f ca="1">IFERROR(__xludf.DUMMYFUNCTION("""COMPUTED_VALUE"""),45674)</f>
        <v>45674</v>
      </c>
      <c r="F960" s="1" t="str">
        <f ca="1">IFERROR(__xludf.DUMMYFUNCTION("""COMPUTED_VALUE"""),"Egypt")</f>
        <v>Egypt</v>
      </c>
      <c r="G960" s="1" t="str">
        <f ca="1">IFERROR(__xludf.DUMMYFUNCTION("""COMPUTED_VALUE"""),"Ninth 190.18 Egypt")</f>
        <v>Ninth 190.18 Egypt</v>
      </c>
      <c r="H960" s="1" t="str">
        <f ca="1">IFERROR(__xludf.DUMMYFUNCTION("""COMPUTED_VALUE"""),"Freedom of Expression, Individuals At Risk")</f>
        <v>Freedom of Expression, Individuals At Risk</v>
      </c>
      <c r="I960" s="1" t="str">
        <f ca="1">IFERROR(__xludf.DUMMYFUNCTION("""COMPUTED_VALUE"""),"2024")</f>
        <v>2024</v>
      </c>
      <c r="J960" s="1" t="str">
        <f ca="1">IFERROR(__xludf.DUMMYFUNCTION("""COMPUTED_VALUE"""),"Letter")</f>
        <v>Letter</v>
      </c>
    </row>
    <row r="961" spans="1:10" ht="13" x14ac:dyDescent="0.15">
      <c r="A961" s="4">
        <f ca="1">IFERROR(__xludf.DUMMYFUNCTION("""COMPUTED_VALUE"""),32392062)</f>
        <v>32392062</v>
      </c>
      <c r="B961" s="1" t="str">
        <f ca="1">IFERROR(__xludf.DUMMYFUNCTION("""COMPUTED_VALUE"""),"dgkphildon@verizon.net")</f>
        <v>dgkphildon@verizon.net</v>
      </c>
      <c r="C961" s="4" t="str">
        <f ca="1">IFERROR(__xludf.DUMMYFUNCTION("""COMPUTED_VALUE"""),"EVERGREEN - UAN Gated Content - Embedded Petition")</f>
        <v>EVERGREEN - UAN Gated Content - Embedded Petition</v>
      </c>
      <c r="D961" s="5">
        <f ca="1">IFERROR(__xludf.DUMMYFUNCTION("""COMPUTED_VALUE"""),45674)</f>
        <v>45674</v>
      </c>
      <c r="F961" s="1" t="str">
        <f ca="1">IFERROR(__xludf.DUMMYFUNCTION("""COMPUTED_VALUE"""),"Tunisia")</f>
        <v>Tunisia</v>
      </c>
      <c r="G961" s="1" t="str">
        <f ca="1">IFERROR(__xludf.DUMMYFUNCTION("""COMPUTED_VALUE"""),"Second 76.24 Tunisia")</f>
        <v>Second 76.24 Tunisia</v>
      </c>
      <c r="H961" s="1" t="str">
        <f ca="1">IFERROR(__xludf.DUMMYFUNCTION("""COMPUTED_VALUE"""),"Freedom of Expression, Human Rights Defenders")</f>
        <v>Freedom of Expression, Human Rights Defenders</v>
      </c>
      <c r="I961" s="1" t="str">
        <f ca="1">IFERROR(__xludf.DUMMYFUNCTION("""COMPUTED_VALUE"""),"2025")</f>
        <v>2025</v>
      </c>
      <c r="J961" s="1" t="str">
        <f ca="1">IFERROR(__xludf.DUMMYFUNCTION("""COMPUTED_VALUE"""),"Email")</f>
        <v>Email</v>
      </c>
    </row>
    <row r="962" spans="1:10" ht="13" x14ac:dyDescent="0.15">
      <c r="A962" s="4">
        <f ca="1">IFERROR(__xludf.DUMMYFUNCTION("""COMPUTED_VALUE"""),32392062)</f>
        <v>32392062</v>
      </c>
      <c r="B962" s="1" t="str">
        <f ca="1">IFERROR(__xludf.DUMMYFUNCTION("""COMPUTED_VALUE"""),"dgkphildon@verizon.net")</f>
        <v>dgkphildon@verizon.net</v>
      </c>
      <c r="C962" s="4" t="str">
        <f ca="1">IFERROR(__xludf.DUMMYFUNCTION("""COMPUTED_VALUE"""),"EVERGREEN - UAN Gated Content - Embedded Petition")</f>
        <v>EVERGREEN - UAN Gated Content - Embedded Petition</v>
      </c>
      <c r="D962" s="5">
        <f ca="1">IFERROR(__xludf.DUMMYFUNCTION("""COMPUTED_VALUE"""),45674)</f>
        <v>45674</v>
      </c>
      <c r="F962" s="1" t="str">
        <f ca="1">IFERROR(__xludf.DUMMYFUNCTION("""COMPUTED_VALUE"""),"Azerbaijan")</f>
        <v>Azerbaijan</v>
      </c>
      <c r="G962" s="1" t="str">
        <f ca="1">IFERROR(__xludf.DUMMYFUNCTION("""COMPUTED_VALUE"""),"2.25 Azerbaijan")</f>
        <v>2.25 Azerbaijan</v>
      </c>
      <c r="H962" s="1" t="str">
        <f ca="1">IFERROR(__xludf.DUMMYFUNCTION("""COMPUTED_VALUE"""),"Freedom of Expression, Human Rights Defenders")</f>
        <v>Freedom of Expression, Human Rights Defenders</v>
      </c>
      <c r="I962" s="1" t="str">
        <f ca="1">IFERROR(__xludf.DUMMYFUNCTION("""COMPUTED_VALUE"""),"2025")</f>
        <v>2025</v>
      </c>
      <c r="J962" s="1" t="str">
        <f ca="1">IFERROR(__xludf.DUMMYFUNCTION("""COMPUTED_VALUE"""),"Email")</f>
        <v>Email</v>
      </c>
    </row>
    <row r="963" spans="1:10" ht="13" x14ac:dyDescent="0.15">
      <c r="A963" s="4">
        <f ca="1">IFERROR(__xludf.DUMMYFUNCTION("""COMPUTED_VALUE"""),32392062)</f>
        <v>32392062</v>
      </c>
      <c r="B963" s="1" t="str">
        <f ca="1">IFERROR(__xludf.DUMMYFUNCTION("""COMPUTED_VALUE"""),"dgkphildon@verizon.net")</f>
        <v>dgkphildon@verizon.net</v>
      </c>
      <c r="C963" s="4" t="str">
        <f ca="1">IFERROR(__xludf.DUMMYFUNCTION("""COMPUTED_VALUE"""),"EVERGREEN - UAN Gated Content - Embedded Petition")</f>
        <v>EVERGREEN - UAN Gated Content - Embedded Petition</v>
      </c>
      <c r="D963" s="5">
        <f ca="1">IFERROR(__xludf.DUMMYFUNCTION("""COMPUTED_VALUE"""),45674)</f>
        <v>45674</v>
      </c>
      <c r="F963" s="1" t="str">
        <f ca="1">IFERROR(__xludf.DUMMYFUNCTION("""COMPUTED_VALUE"""),"Azerbaijan")</f>
        <v>Azerbaijan</v>
      </c>
      <c r="G963" s="1" t="str">
        <f ca="1">IFERROR(__xludf.DUMMYFUNCTION("""COMPUTED_VALUE"""),"2.25 Azerbaijan")</f>
        <v>2.25 Azerbaijan</v>
      </c>
      <c r="H963" s="1" t="str">
        <f ca="1">IFERROR(__xludf.DUMMYFUNCTION("""COMPUTED_VALUE"""),"Freedom of Expression, Human Rights Defenders")</f>
        <v>Freedom of Expression, Human Rights Defenders</v>
      </c>
      <c r="I963" s="1" t="str">
        <f ca="1">IFERROR(__xludf.DUMMYFUNCTION("""COMPUTED_VALUE"""),"2025")</f>
        <v>2025</v>
      </c>
      <c r="J963" s="1" t="str">
        <f ca="1">IFERROR(__xludf.DUMMYFUNCTION("""COMPUTED_VALUE"""),"Email")</f>
        <v>Email</v>
      </c>
    </row>
    <row r="964" spans="1:10" ht="13" x14ac:dyDescent="0.15">
      <c r="A964" s="4">
        <f ca="1">IFERROR(__xludf.DUMMYFUNCTION("""COMPUTED_VALUE"""),32392062)</f>
        <v>32392062</v>
      </c>
      <c r="B964" s="1" t="str">
        <f ca="1">IFERROR(__xludf.DUMMYFUNCTION("""COMPUTED_VALUE"""),"dgkphildon@verizon.net")</f>
        <v>dgkphildon@verizon.net</v>
      </c>
      <c r="C964" s="4" t="str">
        <f ca="1">IFERROR(__xludf.DUMMYFUNCTION("""COMPUTED_VALUE"""),"EVERGREEN - UAN Gated Content - Embedded Petition")</f>
        <v>EVERGREEN - UAN Gated Content - Embedded Petition</v>
      </c>
      <c r="D964" s="5">
        <f ca="1">IFERROR(__xludf.DUMMYFUNCTION("""COMPUTED_VALUE"""),45674)</f>
        <v>45674</v>
      </c>
      <c r="F964" s="1" t="str">
        <f ca="1">IFERROR(__xludf.DUMMYFUNCTION("""COMPUTED_VALUE"""),"Azerbaijan")</f>
        <v>Azerbaijan</v>
      </c>
      <c r="G964" s="1" t="str">
        <f ca="1">IFERROR(__xludf.DUMMYFUNCTION("""COMPUTED_VALUE"""),"2.25 Azerbaijan")</f>
        <v>2.25 Azerbaijan</v>
      </c>
      <c r="H964" s="1" t="str">
        <f ca="1">IFERROR(__xludf.DUMMYFUNCTION("""COMPUTED_VALUE"""),"Freedom of Expression, Human Rights Defenders")</f>
        <v>Freedom of Expression, Human Rights Defenders</v>
      </c>
      <c r="I964" s="1" t="str">
        <f ca="1">IFERROR(__xludf.DUMMYFUNCTION("""COMPUTED_VALUE"""),"2025")</f>
        <v>2025</v>
      </c>
      <c r="J964" s="1" t="str">
        <f ca="1">IFERROR(__xludf.DUMMYFUNCTION("""COMPUTED_VALUE"""),"Email")</f>
        <v>Email</v>
      </c>
    </row>
    <row r="965" spans="1:10" ht="13" x14ac:dyDescent="0.15">
      <c r="A965" s="4">
        <f ca="1">IFERROR(__xludf.DUMMYFUNCTION("""COMPUTED_VALUE"""),32392062)</f>
        <v>32392062</v>
      </c>
      <c r="B965" s="1" t="str">
        <f ca="1">IFERROR(__xludf.DUMMYFUNCTION("""COMPUTED_VALUE"""),"dgkphildon@verizon.net")</f>
        <v>dgkphildon@verizon.net</v>
      </c>
      <c r="C965" s="4" t="str">
        <f ca="1">IFERROR(__xludf.DUMMYFUNCTION("""COMPUTED_VALUE"""),"EVERGREEN - UAN Gated Content - Embedded Petition")</f>
        <v>EVERGREEN - UAN Gated Content - Embedded Petition</v>
      </c>
      <c r="D965" s="5">
        <f ca="1">IFERROR(__xludf.DUMMYFUNCTION("""COMPUTED_VALUE"""),45674)</f>
        <v>45674</v>
      </c>
      <c r="F965" s="1" t="str">
        <f ca="1">IFERROR(__xludf.DUMMYFUNCTION("""COMPUTED_VALUE"""),"Azerbaijan")</f>
        <v>Azerbaijan</v>
      </c>
      <c r="G965" s="1" t="str">
        <f ca="1">IFERROR(__xludf.DUMMYFUNCTION("""COMPUTED_VALUE"""),"2.25 Azerbaijan")</f>
        <v>2.25 Azerbaijan</v>
      </c>
      <c r="H965" s="1" t="str">
        <f ca="1">IFERROR(__xludf.DUMMYFUNCTION("""COMPUTED_VALUE"""),"Freedom of Expression, Human Rights Defenders")</f>
        <v>Freedom of Expression, Human Rights Defenders</v>
      </c>
      <c r="I965" s="1" t="str">
        <f ca="1">IFERROR(__xludf.DUMMYFUNCTION("""COMPUTED_VALUE"""),"2025")</f>
        <v>2025</v>
      </c>
      <c r="J965" s="1" t="str">
        <f ca="1">IFERROR(__xludf.DUMMYFUNCTION("""COMPUTED_VALUE"""),"Email")</f>
        <v>Email</v>
      </c>
    </row>
    <row r="966" spans="1:10" ht="13" x14ac:dyDescent="0.15">
      <c r="A966" s="4">
        <f ca="1">IFERROR(__xludf.DUMMYFUNCTION("""COMPUTED_VALUE"""),32392062)</f>
        <v>32392062</v>
      </c>
      <c r="B966" s="1" t="str">
        <f ca="1">IFERROR(__xludf.DUMMYFUNCTION("""COMPUTED_VALUE"""),"dgkphildon@verizon.net")</f>
        <v>dgkphildon@verizon.net</v>
      </c>
      <c r="C966" s="4" t="str">
        <f ca="1">IFERROR(__xludf.DUMMYFUNCTION("""COMPUTED_VALUE"""),"EVERGREEN - UAN Gated Content - Embedded Petition")</f>
        <v>EVERGREEN - UAN Gated Content - Embedded Petition</v>
      </c>
      <c r="D966" s="5">
        <f ca="1">IFERROR(__xludf.DUMMYFUNCTION("""COMPUTED_VALUE"""),45674)</f>
        <v>45674</v>
      </c>
      <c r="F966" s="1" t="str">
        <f ca="1">IFERROR(__xludf.DUMMYFUNCTION("""COMPUTED_VALUE"""),"Egypt")</f>
        <v>Egypt</v>
      </c>
      <c r="G966" s="1" t="str">
        <f ca="1">IFERROR(__xludf.DUMMYFUNCTION("""COMPUTED_VALUE"""),"Third 73.23 Egypt")</f>
        <v>Third 73.23 Egypt</v>
      </c>
      <c r="H966" s="1" t="str">
        <f ca="1">IFERROR(__xludf.DUMMYFUNCTION("""COMPUTED_VALUE"""),"Individuals At Risk")</f>
        <v>Individuals At Risk</v>
      </c>
      <c r="I966" s="1" t="str">
        <f ca="1">IFERROR(__xludf.DUMMYFUNCTION("""COMPUTED_VALUE"""),"2024")</f>
        <v>2024</v>
      </c>
      <c r="J966" s="1" t="str">
        <f ca="1">IFERROR(__xludf.DUMMYFUNCTION("""COMPUTED_VALUE"""),"Email")</f>
        <v>Email</v>
      </c>
    </row>
    <row r="967" spans="1:10" ht="13" x14ac:dyDescent="0.15">
      <c r="A967" s="4">
        <f ca="1">IFERROR(__xludf.DUMMYFUNCTION("""COMPUTED_VALUE"""),32392062)</f>
        <v>32392062</v>
      </c>
      <c r="B967" s="1" t="str">
        <f ca="1">IFERROR(__xludf.DUMMYFUNCTION("""COMPUTED_VALUE"""),"dgkphildon@verizon.net")</f>
        <v>dgkphildon@verizon.net</v>
      </c>
      <c r="C967" s="4" t="str">
        <f ca="1">IFERROR(__xludf.DUMMYFUNCTION("""COMPUTED_VALUE"""),"EVERGREEN - UAN Gated Content - Embedded Petition")</f>
        <v>EVERGREEN - UAN Gated Content - Embedded Petition</v>
      </c>
      <c r="D967" s="5">
        <f ca="1">IFERROR(__xludf.DUMMYFUNCTION("""COMPUTED_VALUE"""),45674)</f>
        <v>45674</v>
      </c>
      <c r="F967" s="1" t="str">
        <f ca="1">IFERROR(__xludf.DUMMYFUNCTION("""COMPUTED_VALUE"""),"Tunisia")</f>
        <v>Tunisia</v>
      </c>
      <c r="G967" s="1" t="str">
        <f ca="1">IFERROR(__xludf.DUMMYFUNCTION("""COMPUTED_VALUE"""),"Second 76.24 Tunisia")</f>
        <v>Second 76.24 Tunisia</v>
      </c>
      <c r="H967" s="1" t="str">
        <f ca="1">IFERROR(__xludf.DUMMYFUNCTION("""COMPUTED_VALUE"""),"Freedom of Expression, Human Rights Defenders")</f>
        <v>Freedom of Expression, Human Rights Defenders</v>
      </c>
      <c r="I967" s="1" t="str">
        <f ca="1">IFERROR(__xludf.DUMMYFUNCTION("""COMPUTED_VALUE"""),"2025")</f>
        <v>2025</v>
      </c>
      <c r="J967" s="1" t="str">
        <f ca="1">IFERROR(__xludf.DUMMYFUNCTION("""COMPUTED_VALUE"""),"Email")</f>
        <v>Email</v>
      </c>
    </row>
    <row r="968" spans="1:10" ht="13" x14ac:dyDescent="0.15">
      <c r="A968" s="4">
        <f ca="1">IFERROR(__xludf.DUMMYFUNCTION("""COMPUTED_VALUE"""),32392062)</f>
        <v>32392062</v>
      </c>
      <c r="B968" s="1" t="str">
        <f ca="1">IFERROR(__xludf.DUMMYFUNCTION("""COMPUTED_VALUE"""),"dgkphildon@verizon.net")</f>
        <v>dgkphildon@verizon.net</v>
      </c>
      <c r="C968" s="4" t="str">
        <f ca="1">IFERROR(__xludf.DUMMYFUNCTION("""COMPUTED_VALUE"""),"EVERGREEN - UAN Gated Content - Embedded Petition")</f>
        <v>EVERGREEN - UAN Gated Content - Embedded Petition</v>
      </c>
      <c r="D968" s="5">
        <f ca="1">IFERROR(__xludf.DUMMYFUNCTION("""COMPUTED_VALUE"""),45674)</f>
        <v>45674</v>
      </c>
      <c r="F968" s="1" t="str">
        <f ca="1">IFERROR(__xludf.DUMMYFUNCTION("""COMPUTED_VALUE"""),"Afghanistan")</f>
        <v>Afghanistan</v>
      </c>
      <c r="G968" s="1" t="str">
        <f ca="1">IFERROR(__xludf.DUMMYFUNCTION("""COMPUTED_VALUE"""),"11.25 Afghanistan")</f>
        <v>11.25 Afghanistan</v>
      </c>
      <c r="H968" s="1" t="str">
        <f ca="1">IFERROR(__xludf.DUMMYFUNCTION("""COMPUTED_VALUE"""),"Freedom of Expression, Health, Individuals At Risk")</f>
        <v>Freedom of Expression, Health, Individuals At Risk</v>
      </c>
      <c r="I968" s="1" t="str">
        <f ca="1">IFERROR(__xludf.DUMMYFUNCTION("""COMPUTED_VALUE"""),"2025")</f>
        <v>2025</v>
      </c>
      <c r="J968" s="1" t="str">
        <f ca="1">IFERROR(__xludf.DUMMYFUNCTION("""COMPUTED_VALUE"""),"Email")</f>
        <v>Email</v>
      </c>
    </row>
    <row r="969" spans="1:10" ht="13" x14ac:dyDescent="0.15">
      <c r="A969" s="4">
        <f ca="1">IFERROR(__xludf.DUMMYFUNCTION("""COMPUTED_VALUE"""),32392062)</f>
        <v>32392062</v>
      </c>
      <c r="B969" s="1" t="str">
        <f ca="1">IFERROR(__xludf.DUMMYFUNCTION("""COMPUTED_VALUE"""),"dgkphildon@verizon.net")</f>
        <v>dgkphildon@verizon.net</v>
      </c>
      <c r="C969" s="4" t="str">
        <f ca="1">IFERROR(__xludf.DUMMYFUNCTION("""COMPUTED_VALUE"""),"EVERGREEN - UAN Gated Content - Embedded Petition")</f>
        <v>EVERGREEN - UAN Gated Content - Embedded Petition</v>
      </c>
      <c r="D969" s="5">
        <f ca="1">IFERROR(__xludf.DUMMYFUNCTION("""COMPUTED_VALUE"""),45674)</f>
        <v>45674</v>
      </c>
      <c r="F969" s="1" t="str">
        <f ca="1">IFERROR(__xludf.DUMMYFUNCTION("""COMPUTED_VALUE"""),"Niger")</f>
        <v>Niger</v>
      </c>
      <c r="G969" s="1" t="str">
        <f ca="1">IFERROR(__xludf.DUMMYFUNCTION("""COMPUTED_VALUE"""),"103.24 Niger")</f>
        <v>103.24 Niger</v>
      </c>
      <c r="H969" s="1" t="str">
        <f ca="1">IFERROR(__xludf.DUMMYFUNCTION("""COMPUTED_VALUE"""),"Freedom of Expression, Human Rights Defenders")</f>
        <v>Freedom of Expression, Human Rights Defenders</v>
      </c>
      <c r="I969" s="1" t="str">
        <f ca="1">IFERROR(__xludf.DUMMYFUNCTION("""COMPUTED_VALUE"""),"2024")</f>
        <v>2024</v>
      </c>
      <c r="J969" s="1" t="str">
        <f ca="1">IFERROR(__xludf.DUMMYFUNCTION("""COMPUTED_VALUE"""),"Email")</f>
        <v>Email</v>
      </c>
    </row>
    <row r="970" spans="1:10" ht="13" x14ac:dyDescent="0.15">
      <c r="A970" s="4">
        <f ca="1">IFERROR(__xludf.DUMMYFUNCTION("""COMPUTED_VALUE"""),32392062)</f>
        <v>32392062</v>
      </c>
      <c r="B970" s="1" t="str">
        <f ca="1">IFERROR(__xludf.DUMMYFUNCTION("""COMPUTED_VALUE"""),"dgkphildon@verizon.net")</f>
        <v>dgkphildon@verizon.net</v>
      </c>
      <c r="C970" s="4" t="str">
        <f ca="1">IFERROR(__xludf.DUMMYFUNCTION("""COMPUTED_VALUE"""),"EVERGREEN - UAN Gated Content - Embedded Petition")</f>
        <v>EVERGREEN - UAN Gated Content - Embedded Petition</v>
      </c>
      <c r="D970" s="5">
        <f ca="1">IFERROR(__xludf.DUMMYFUNCTION("""COMPUTED_VALUE"""),45694)</f>
        <v>45694</v>
      </c>
      <c r="F970" s="1" t="str">
        <f ca="1">IFERROR(__xludf.DUMMYFUNCTION("""COMPUTED_VALUE"""),"Azerbaijan")</f>
        <v>Azerbaijan</v>
      </c>
      <c r="G970" s="1" t="str">
        <f ca="1">IFERROR(__xludf.DUMMYFUNCTION("""COMPUTED_VALUE"""),"2.25 Azerbaijan")</f>
        <v>2.25 Azerbaijan</v>
      </c>
      <c r="H970" s="1" t="str">
        <f ca="1">IFERROR(__xludf.DUMMYFUNCTION("""COMPUTED_VALUE"""),"Freedom of Expression, Human Rights Defenders")</f>
        <v>Freedom of Expression, Human Rights Defenders</v>
      </c>
      <c r="I970" s="1" t="str">
        <f ca="1">IFERROR(__xludf.DUMMYFUNCTION("""COMPUTED_VALUE"""),"2025")</f>
        <v>2025</v>
      </c>
      <c r="J970" s="1" t="str">
        <f ca="1">IFERROR(__xludf.DUMMYFUNCTION("""COMPUTED_VALUE"""),"Email")</f>
        <v>Email</v>
      </c>
    </row>
    <row r="971" spans="1:10" ht="13" x14ac:dyDescent="0.15">
      <c r="A971" s="4">
        <f ca="1">IFERROR(__xludf.DUMMYFUNCTION("""COMPUTED_VALUE"""),32392062)</f>
        <v>32392062</v>
      </c>
      <c r="B971" s="1" t="str">
        <f ca="1">IFERROR(__xludf.DUMMYFUNCTION("""COMPUTED_VALUE"""),"dgkphildon@verizon.net")</f>
        <v>dgkphildon@verizon.net</v>
      </c>
      <c r="C971" s="4" t="str">
        <f ca="1">IFERROR(__xludf.DUMMYFUNCTION("""COMPUTED_VALUE"""),"EVERGREEN - UAN Gated Content - Embedded Petition")</f>
        <v>EVERGREEN - UAN Gated Content - Embedded Petition</v>
      </c>
      <c r="D971" s="5">
        <f ca="1">IFERROR(__xludf.DUMMYFUNCTION("""COMPUTED_VALUE"""),45674)</f>
        <v>45674</v>
      </c>
      <c r="F971" s="1" t="str">
        <f ca="1">IFERROR(__xludf.DUMMYFUNCTION("""COMPUTED_VALUE"""),"Tunisia")</f>
        <v>Tunisia</v>
      </c>
      <c r="G971" s="1" t="str">
        <f ca="1">IFERROR(__xludf.DUMMYFUNCTION("""COMPUTED_VALUE"""),"Second 76.24 Tunisia")</f>
        <v>Second 76.24 Tunisia</v>
      </c>
      <c r="H971" s="1" t="str">
        <f ca="1">IFERROR(__xludf.DUMMYFUNCTION("""COMPUTED_VALUE"""),"Freedom of Expression, Human Rights Defenders")</f>
        <v>Freedom of Expression, Human Rights Defenders</v>
      </c>
      <c r="I971" s="1" t="str">
        <f ca="1">IFERROR(__xludf.DUMMYFUNCTION("""COMPUTED_VALUE"""),"2025")</f>
        <v>2025</v>
      </c>
      <c r="J971" s="1" t="str">
        <f ca="1">IFERROR(__xludf.DUMMYFUNCTION("""COMPUTED_VALUE"""),"Email")</f>
        <v>Email</v>
      </c>
    </row>
    <row r="972" spans="1:10" ht="13" x14ac:dyDescent="0.15">
      <c r="A972" s="4">
        <f ca="1">IFERROR(__xludf.DUMMYFUNCTION("""COMPUTED_VALUE"""),32392062)</f>
        <v>32392062</v>
      </c>
      <c r="B972" s="1" t="str">
        <f ca="1">IFERROR(__xludf.DUMMYFUNCTION("""COMPUTED_VALUE"""),"dgkphildon@verizon.net")</f>
        <v>dgkphildon@verizon.net</v>
      </c>
      <c r="C972" s="4" t="str">
        <f ca="1">IFERROR(__xludf.DUMMYFUNCTION("""COMPUTED_VALUE"""),"EVERGREEN - UAN Gated Content - Embedded Petition")</f>
        <v>EVERGREEN - UAN Gated Content - Embedded Petition</v>
      </c>
      <c r="D972" s="5">
        <f ca="1">IFERROR(__xludf.DUMMYFUNCTION("""COMPUTED_VALUE"""),45674)</f>
        <v>45674</v>
      </c>
      <c r="F972" s="1" t="str">
        <f ca="1">IFERROR(__xludf.DUMMYFUNCTION("""COMPUTED_VALUE"""),"USA")</f>
        <v>USA</v>
      </c>
      <c r="G972" s="1" t="str">
        <f ca="1">IFERROR(__xludf.DUMMYFUNCTION("""COMPUTED_VALUE"""),"105.24 USA")</f>
        <v>105.24 USA</v>
      </c>
      <c r="H972" s="1" t="str">
        <f ca="1">IFERROR(__xludf.DUMMYFUNCTION("""COMPUTED_VALUE"""),"Death Penalty")</f>
        <v>Death Penalty</v>
      </c>
      <c r="I972" s="1" t="str">
        <f ca="1">IFERROR(__xludf.DUMMYFUNCTION("""COMPUTED_VALUE"""),"2024")</f>
        <v>2024</v>
      </c>
      <c r="J972" s="1" t="str">
        <f ca="1">IFERROR(__xludf.DUMMYFUNCTION("""COMPUTED_VALUE"""),"Email")</f>
        <v>Email</v>
      </c>
    </row>
    <row r="973" spans="1:10" ht="13" x14ac:dyDescent="0.15">
      <c r="A973" s="4">
        <f ca="1">IFERROR(__xludf.DUMMYFUNCTION("""COMPUTED_VALUE"""),32392062)</f>
        <v>32392062</v>
      </c>
      <c r="B973" s="1" t="str">
        <f ca="1">IFERROR(__xludf.DUMMYFUNCTION("""COMPUTED_VALUE"""),"dgkphildon@verizon.net")</f>
        <v>dgkphildon@verizon.net</v>
      </c>
      <c r="C973" s="4" t="str">
        <f ca="1">IFERROR(__xludf.DUMMYFUNCTION("""COMPUTED_VALUE"""),"EVERGREEN - UAN Gated Content - Embedded Petition")</f>
        <v>EVERGREEN - UAN Gated Content - Embedded Petition</v>
      </c>
      <c r="D973" s="5">
        <f ca="1">IFERROR(__xludf.DUMMYFUNCTION("""COMPUTED_VALUE"""),45674)</f>
        <v>45674</v>
      </c>
      <c r="F973" s="1" t="str">
        <f ca="1">IFERROR(__xludf.DUMMYFUNCTION("""COMPUTED_VALUE"""),"Egypt")</f>
        <v>Egypt</v>
      </c>
      <c r="G973" s="1" t="str">
        <f ca="1">IFERROR(__xludf.DUMMYFUNCTION("""COMPUTED_VALUE"""),"Ninth 190.18 Egypt")</f>
        <v>Ninth 190.18 Egypt</v>
      </c>
      <c r="H973" s="1" t="str">
        <f ca="1">IFERROR(__xludf.DUMMYFUNCTION("""COMPUTED_VALUE"""),"Freedom of Expression, Individuals At Risk")</f>
        <v>Freedom of Expression, Individuals At Risk</v>
      </c>
      <c r="I973" s="1" t="str">
        <f ca="1">IFERROR(__xludf.DUMMYFUNCTION("""COMPUTED_VALUE"""),"2024")</f>
        <v>2024</v>
      </c>
      <c r="J973" s="1" t="str">
        <f ca="1">IFERROR(__xludf.DUMMYFUNCTION("""COMPUTED_VALUE"""),"Letter")</f>
        <v>Letter</v>
      </c>
    </row>
    <row r="974" spans="1:10" ht="13" x14ac:dyDescent="0.15">
      <c r="A974" s="4">
        <f ca="1">IFERROR(__xludf.DUMMYFUNCTION("""COMPUTED_VALUE"""),32407162)</f>
        <v>32407162</v>
      </c>
      <c r="B974" s="1" t="str">
        <f ca="1">IFERROR(__xludf.DUMMYFUNCTION("""COMPUTED_VALUE"""),"amanda.armstrong08@gmail.com")</f>
        <v>amanda.armstrong08@gmail.com</v>
      </c>
      <c r="C974" s="4" t="str">
        <f ca="1">IFERROR(__xludf.DUMMYFUNCTION("""COMPUTED_VALUE"""),"EVERGREEN - UAN Gated Content - Embedded Petition")</f>
        <v>EVERGREEN - UAN Gated Content - Embedded Petition</v>
      </c>
      <c r="D974" s="5">
        <f ca="1">IFERROR(__xludf.DUMMYFUNCTION("""COMPUTED_VALUE"""),45629)</f>
        <v>45629</v>
      </c>
      <c r="F974" s="1" t="str">
        <f ca="1">IFERROR(__xludf.DUMMYFUNCTION("""COMPUTED_VALUE"""),"China")</f>
        <v>China</v>
      </c>
      <c r="G974" s="1" t="str">
        <f ca="1">IFERROR(__xludf.DUMMYFUNCTION("""COMPUTED_VALUE"""),"98.24 China")</f>
        <v>98.24 China</v>
      </c>
      <c r="H974" s="1" t="str">
        <f ca="1">IFERROR(__xludf.DUMMYFUNCTION("""COMPUTED_VALUE"""),"Freedom of Expression, Individuals At Risk")</f>
        <v>Freedom of Expression, Individuals At Risk</v>
      </c>
      <c r="I974" s="1" t="str">
        <f ca="1">IFERROR(__xludf.DUMMYFUNCTION("""COMPUTED_VALUE"""),"2024")</f>
        <v>2024</v>
      </c>
      <c r="J974" s="1" t="str">
        <f ca="1">IFERROR(__xludf.DUMMYFUNCTION("""COMPUTED_VALUE"""),"Letter")</f>
        <v>Letter</v>
      </c>
    </row>
    <row r="975" spans="1:10" ht="13" x14ac:dyDescent="0.15">
      <c r="A975" s="4">
        <f ca="1">IFERROR(__xludf.DUMMYFUNCTION("""COMPUTED_VALUE"""),32423096)</f>
        <v>32423096</v>
      </c>
      <c r="B975" s="1" t="str">
        <f ca="1">IFERROR(__xludf.DUMMYFUNCTION("""COMPUTED_VALUE"""),"taniahharrison@gmail.com")</f>
        <v>taniahharrison@gmail.com</v>
      </c>
      <c r="C975" s="4" t="str">
        <f ca="1">IFERROR(__xludf.DUMMYFUNCTION("""COMPUTED_VALUE"""),"EVERGREEN - UAN Gated Content - Embedded Petition")</f>
        <v>EVERGREEN - UAN Gated Content - Embedded Petition</v>
      </c>
      <c r="D975" s="5">
        <f ca="1">IFERROR(__xludf.DUMMYFUNCTION("""COMPUTED_VALUE"""),45694)</f>
        <v>45694</v>
      </c>
      <c r="F975" s="1" t="str">
        <f ca="1">IFERROR(__xludf.DUMMYFUNCTION("""COMPUTED_VALUE"""),"Tunisia")</f>
        <v>Tunisia</v>
      </c>
      <c r="G975" s="1" t="str">
        <f ca="1">IFERROR(__xludf.DUMMYFUNCTION("""COMPUTED_VALUE"""),"Second 76.24 Tunisia")</f>
        <v>Second 76.24 Tunisia</v>
      </c>
      <c r="H975" s="1" t="str">
        <f ca="1">IFERROR(__xludf.DUMMYFUNCTION("""COMPUTED_VALUE"""),"Freedom of Expression, Human Rights Defenders")</f>
        <v>Freedom of Expression, Human Rights Defenders</v>
      </c>
      <c r="I975" s="1" t="str">
        <f ca="1">IFERROR(__xludf.DUMMYFUNCTION("""COMPUTED_VALUE"""),"2025")</f>
        <v>2025</v>
      </c>
      <c r="J975" s="1" t="str">
        <f ca="1">IFERROR(__xludf.DUMMYFUNCTION("""COMPUTED_VALUE"""),"Email")</f>
        <v>Email</v>
      </c>
    </row>
    <row r="976" spans="1:10" ht="13" x14ac:dyDescent="0.15">
      <c r="A976" s="4">
        <f ca="1">IFERROR(__xludf.DUMMYFUNCTION("""COMPUTED_VALUE"""),32474276)</f>
        <v>32474276</v>
      </c>
      <c r="B976" s="1" t="str">
        <f ca="1">IFERROR(__xludf.DUMMYFUNCTION("""COMPUTED_VALUE"""),"willjudymack@gmail.com")</f>
        <v>willjudymack@gmail.com</v>
      </c>
      <c r="C976" s="4" t="str">
        <f ca="1">IFERROR(__xludf.DUMMYFUNCTION("""COMPUTED_VALUE"""),"EVERGREEN - UAN Gated Content - Embedded Petition")</f>
        <v>EVERGREEN - UAN Gated Content - Embedded Petition</v>
      </c>
      <c r="D976" s="5">
        <f ca="1">IFERROR(__xludf.DUMMYFUNCTION("""COMPUTED_VALUE"""),45674)</f>
        <v>45674</v>
      </c>
      <c r="F976" s="1" t="str">
        <f ca="1">IFERROR(__xludf.DUMMYFUNCTION("""COMPUTED_VALUE"""),"Tunisia")</f>
        <v>Tunisia</v>
      </c>
      <c r="G976" s="1" t="str">
        <f ca="1">IFERROR(__xludf.DUMMYFUNCTION("""COMPUTED_VALUE"""),"Second 76.24 Tunisia")</f>
        <v>Second 76.24 Tunisia</v>
      </c>
      <c r="H976" s="1" t="str">
        <f ca="1">IFERROR(__xludf.DUMMYFUNCTION("""COMPUTED_VALUE"""),"Freedom of Expression, Human Rights Defenders")</f>
        <v>Freedom of Expression, Human Rights Defenders</v>
      </c>
      <c r="I976" s="1" t="str">
        <f ca="1">IFERROR(__xludf.DUMMYFUNCTION("""COMPUTED_VALUE"""),"2025")</f>
        <v>2025</v>
      </c>
      <c r="J976" s="1" t="str">
        <f ca="1">IFERROR(__xludf.DUMMYFUNCTION("""COMPUTED_VALUE"""),"Email")</f>
        <v>Email</v>
      </c>
    </row>
    <row r="977" spans="1:10" ht="13" x14ac:dyDescent="0.15">
      <c r="A977" s="4">
        <f ca="1">IFERROR(__xludf.DUMMYFUNCTION("""COMPUTED_VALUE"""),32474276)</f>
        <v>32474276</v>
      </c>
      <c r="B977" s="1" t="str">
        <f ca="1">IFERROR(__xludf.DUMMYFUNCTION("""COMPUTED_VALUE"""),"willjudymack@gmail.com")</f>
        <v>willjudymack@gmail.com</v>
      </c>
      <c r="C977" s="4" t="str">
        <f ca="1">IFERROR(__xludf.DUMMYFUNCTION("""COMPUTED_VALUE"""),"EVERGREEN - UAN Gated Content - Embedded Petition")</f>
        <v>EVERGREEN - UAN Gated Content - Embedded Petition</v>
      </c>
      <c r="D977" s="5">
        <f ca="1">IFERROR(__xludf.DUMMYFUNCTION("""COMPUTED_VALUE"""),45674)</f>
        <v>45674</v>
      </c>
      <c r="F977" s="1" t="str">
        <f ca="1">IFERROR(__xludf.DUMMYFUNCTION("""COMPUTED_VALUE"""),"Venezuela")</f>
        <v>Venezuela</v>
      </c>
      <c r="G977" s="1" t="str">
        <f ca="1">IFERROR(__xludf.DUMMYFUNCTION("""COMPUTED_VALUE"""),"1.25 Venezuela")</f>
        <v>1.25 Venezuela</v>
      </c>
      <c r="H977" s="1" t="str">
        <f ca="1">IFERROR(__xludf.DUMMYFUNCTION("""COMPUTED_VALUE"""),"Human Rights Defenders, Individuals At Risk")</f>
        <v>Human Rights Defenders, Individuals At Risk</v>
      </c>
      <c r="I977" s="1" t="str">
        <f ca="1">IFERROR(__xludf.DUMMYFUNCTION("""COMPUTED_VALUE"""),"2025")</f>
        <v>2025</v>
      </c>
      <c r="J977" s="1" t="str">
        <f ca="1">IFERROR(__xludf.DUMMYFUNCTION("""COMPUTED_VALUE"""),"Letter")</f>
        <v>Letter</v>
      </c>
    </row>
    <row r="978" spans="1:10" ht="13" x14ac:dyDescent="0.15">
      <c r="A978" s="4">
        <f ca="1">IFERROR(__xludf.DUMMYFUNCTION("""COMPUTED_VALUE"""),32474276)</f>
        <v>32474276</v>
      </c>
      <c r="B978" s="1" t="str">
        <f ca="1">IFERROR(__xludf.DUMMYFUNCTION("""COMPUTED_VALUE"""),"willjudymack@gmail.com")</f>
        <v>willjudymack@gmail.com</v>
      </c>
      <c r="C978" s="4" t="str">
        <f ca="1">IFERROR(__xludf.DUMMYFUNCTION("""COMPUTED_VALUE"""),"EVERGREEN - UAN Gated Content - Embedded Petition")</f>
        <v>EVERGREEN - UAN Gated Content - Embedded Petition</v>
      </c>
      <c r="D978" s="5">
        <f ca="1">IFERROR(__xludf.DUMMYFUNCTION("""COMPUTED_VALUE"""),45689)</f>
        <v>45689</v>
      </c>
      <c r="F978" s="1" t="str">
        <f ca="1">IFERROR(__xludf.DUMMYFUNCTION("""COMPUTED_VALUE"""),"Egypt")</f>
        <v>Egypt</v>
      </c>
      <c r="G978" s="1" t="str">
        <f ca="1">IFERROR(__xludf.DUMMYFUNCTION("""COMPUTED_VALUE"""),"Third 73.23 Egypt")</f>
        <v>Third 73.23 Egypt</v>
      </c>
      <c r="H978" s="1" t="str">
        <f ca="1">IFERROR(__xludf.DUMMYFUNCTION("""COMPUTED_VALUE"""),"Individuals At Risk")</f>
        <v>Individuals At Risk</v>
      </c>
      <c r="I978" s="1" t="str">
        <f ca="1">IFERROR(__xludf.DUMMYFUNCTION("""COMPUTED_VALUE"""),"2024")</f>
        <v>2024</v>
      </c>
      <c r="J978" s="1" t="str">
        <f ca="1">IFERROR(__xludf.DUMMYFUNCTION("""COMPUTED_VALUE"""),"Email")</f>
        <v>Email</v>
      </c>
    </row>
    <row r="979" spans="1:10" ht="13" x14ac:dyDescent="0.15">
      <c r="A979" s="4">
        <f ca="1">IFERROR(__xludf.DUMMYFUNCTION("""COMPUTED_VALUE"""),32474276)</f>
        <v>32474276</v>
      </c>
      <c r="B979" s="1" t="str">
        <f ca="1">IFERROR(__xludf.DUMMYFUNCTION("""COMPUTED_VALUE"""),"willjudymack@gmail.com")</f>
        <v>willjudymack@gmail.com</v>
      </c>
      <c r="C979" s="4" t="str">
        <f ca="1">IFERROR(__xludf.DUMMYFUNCTION("""COMPUTED_VALUE"""),"EVERGREEN - UAN Gated Content - Embedded Petition")</f>
        <v>EVERGREEN - UAN Gated Content - Embedded Petition</v>
      </c>
      <c r="D979" s="5">
        <f ca="1">IFERROR(__xludf.DUMMYFUNCTION("""COMPUTED_VALUE"""),45689)</f>
        <v>45689</v>
      </c>
      <c r="F979" s="1" t="str">
        <f ca="1">IFERROR(__xludf.DUMMYFUNCTION("""COMPUTED_VALUE"""),"Egypt")</f>
        <v>Egypt</v>
      </c>
      <c r="G979" s="1" t="str">
        <f ca="1">IFERROR(__xludf.DUMMYFUNCTION("""COMPUTED_VALUE"""),"Ninth 190.18 Egypt")</f>
        <v>Ninth 190.18 Egypt</v>
      </c>
      <c r="H979" s="1" t="str">
        <f ca="1">IFERROR(__xludf.DUMMYFUNCTION("""COMPUTED_VALUE"""),"Freedom of Expression, Individuals At Risk")</f>
        <v>Freedom of Expression, Individuals At Risk</v>
      </c>
      <c r="I979" s="1" t="str">
        <f ca="1">IFERROR(__xludf.DUMMYFUNCTION("""COMPUTED_VALUE"""),"2024")</f>
        <v>2024</v>
      </c>
      <c r="J979" s="1" t="str">
        <f ca="1">IFERROR(__xludf.DUMMYFUNCTION("""COMPUTED_VALUE"""),"Letter")</f>
        <v>Letter</v>
      </c>
    </row>
    <row r="980" spans="1:10" ht="13" x14ac:dyDescent="0.15">
      <c r="A980" s="4">
        <f ca="1">IFERROR(__xludf.DUMMYFUNCTION("""COMPUTED_VALUE"""),32474276)</f>
        <v>32474276</v>
      </c>
      <c r="B980" s="1" t="str">
        <f ca="1">IFERROR(__xludf.DUMMYFUNCTION("""COMPUTED_VALUE"""),"willjudymack@gmail.com")</f>
        <v>willjudymack@gmail.com</v>
      </c>
      <c r="C980" s="4" t="str">
        <f ca="1">IFERROR(__xludf.DUMMYFUNCTION("""COMPUTED_VALUE"""),"EVERGREEN - UAN Gated Content - Embedded Petition")</f>
        <v>EVERGREEN - UAN Gated Content - Embedded Petition</v>
      </c>
      <c r="D980" s="5">
        <f ca="1">IFERROR(__xludf.DUMMYFUNCTION("""COMPUTED_VALUE"""),45674)</f>
        <v>45674</v>
      </c>
      <c r="F980" s="1" t="str">
        <f ca="1">IFERROR(__xludf.DUMMYFUNCTION("""COMPUTED_VALUE"""),"Russian Federation")</f>
        <v>Russian Federation</v>
      </c>
      <c r="G980" s="1" t="str">
        <f ca="1">IFERROR(__xludf.DUMMYFUNCTION("""COMPUTED_VALUE"""),"Second 23.24 Russia")</f>
        <v>Second 23.24 Russia</v>
      </c>
      <c r="H980" s="1" t="str">
        <f ca="1">IFERROR(__xludf.DUMMYFUNCTION("""COMPUTED_VALUE"""),"Freedom of Expression")</f>
        <v>Freedom of Expression</v>
      </c>
      <c r="I980" s="1" t="str">
        <f ca="1">IFERROR(__xludf.DUMMYFUNCTION("""COMPUTED_VALUE"""),"2024")</f>
        <v>2024</v>
      </c>
      <c r="J980" s="1" t="str">
        <f ca="1">IFERROR(__xludf.DUMMYFUNCTION("""COMPUTED_VALUE"""),"Letter")</f>
        <v>Letter</v>
      </c>
    </row>
    <row r="981" spans="1:10" ht="13" x14ac:dyDescent="0.15">
      <c r="A981" s="4">
        <f ca="1">IFERROR(__xludf.DUMMYFUNCTION("""COMPUTED_VALUE"""),32501715)</f>
        <v>32501715</v>
      </c>
      <c r="B981" s="1" t="str">
        <f ca="1">IFERROR(__xludf.DUMMYFUNCTION("""COMPUTED_VALUE"""),"lfurman844@gmail.com")</f>
        <v>lfurman844@gmail.com</v>
      </c>
      <c r="C981" s="4" t="str">
        <f ca="1">IFERROR(__xludf.DUMMYFUNCTION("""COMPUTED_VALUE"""),"EVERGREEN - UAN Gated Content - Embedded Petition")</f>
        <v>EVERGREEN - UAN Gated Content - Embedded Petition</v>
      </c>
      <c r="D981" s="5">
        <f ca="1">IFERROR(__xludf.DUMMYFUNCTION("""COMPUTED_VALUE"""),45616)</f>
        <v>45616</v>
      </c>
      <c r="F981" s="1" t="str">
        <f ca="1">IFERROR(__xludf.DUMMYFUNCTION("""COMPUTED_VALUE"""),"Tunisia")</f>
        <v>Tunisia</v>
      </c>
      <c r="G981" s="1" t="str">
        <f ca="1">IFERROR(__xludf.DUMMYFUNCTION("""COMPUTED_VALUE"""),"Second 76.24 Tunisia")</f>
        <v>Second 76.24 Tunisia</v>
      </c>
      <c r="H981" s="1" t="str">
        <f ca="1">IFERROR(__xludf.DUMMYFUNCTION("""COMPUTED_VALUE"""),"Freedom of Expression, Human Rights Defenders")</f>
        <v>Freedom of Expression, Human Rights Defenders</v>
      </c>
      <c r="I981" s="1" t="str">
        <f ca="1">IFERROR(__xludf.DUMMYFUNCTION("""COMPUTED_VALUE"""),"2025")</f>
        <v>2025</v>
      </c>
      <c r="J981" s="1" t="str">
        <f ca="1">IFERROR(__xludf.DUMMYFUNCTION("""COMPUTED_VALUE"""),"Email")</f>
        <v>Email</v>
      </c>
    </row>
    <row r="982" spans="1:10" ht="13" x14ac:dyDescent="0.15">
      <c r="A982" s="4">
        <f ca="1">IFERROR(__xludf.DUMMYFUNCTION("""COMPUTED_VALUE"""),32501715)</f>
        <v>32501715</v>
      </c>
      <c r="B982" s="1" t="str">
        <f ca="1">IFERROR(__xludf.DUMMYFUNCTION("""COMPUTED_VALUE"""),"lfurman844@gmail.com")</f>
        <v>lfurman844@gmail.com</v>
      </c>
      <c r="C982" s="4" t="str">
        <f ca="1">IFERROR(__xludf.DUMMYFUNCTION("""COMPUTED_VALUE"""),"EVERGREEN - UAN Gated Content - Embedded Petition")</f>
        <v>EVERGREEN - UAN Gated Content - Embedded Petition</v>
      </c>
      <c r="D982" s="5">
        <f ca="1">IFERROR(__xludf.DUMMYFUNCTION("""COMPUTED_VALUE"""),45636)</f>
        <v>45636</v>
      </c>
      <c r="F982" s="1" t="str">
        <f ca="1">IFERROR(__xludf.DUMMYFUNCTION("""COMPUTED_VALUE"""),"Saudi Arabia")</f>
        <v>Saudi Arabia</v>
      </c>
      <c r="G982" s="1" t="str">
        <f ca="1">IFERROR(__xludf.DUMMYFUNCTION("""COMPUTED_VALUE"""),"Second 85.23 Saudi Arabia")</f>
        <v>Second 85.23 Saudi Arabia</v>
      </c>
      <c r="H982" s="1" t="str">
        <f ca="1">IFERROR(__xludf.DUMMYFUNCTION("""COMPUTED_VALUE"""),"Freedom of Expression")</f>
        <v>Freedom of Expression</v>
      </c>
      <c r="I982" s="1" t="str">
        <f ca="1">IFERROR(__xludf.DUMMYFUNCTION("""COMPUTED_VALUE"""),"2024")</f>
        <v>2024</v>
      </c>
      <c r="J982" s="1" t="str">
        <f ca="1">IFERROR(__xludf.DUMMYFUNCTION("""COMPUTED_VALUE"""),"Letter")</f>
        <v>Letter</v>
      </c>
    </row>
    <row r="983" spans="1:10" ht="13" x14ac:dyDescent="0.15">
      <c r="A983" s="4">
        <f ca="1">IFERROR(__xludf.DUMMYFUNCTION("""COMPUTED_VALUE"""),32501715)</f>
        <v>32501715</v>
      </c>
      <c r="B983" s="1" t="str">
        <f ca="1">IFERROR(__xludf.DUMMYFUNCTION("""COMPUTED_VALUE"""),"lfurman844@gmail.com")</f>
        <v>lfurman844@gmail.com</v>
      </c>
      <c r="C983" s="4" t="str">
        <f ca="1">IFERROR(__xludf.DUMMYFUNCTION("""COMPUTED_VALUE"""),"EVERGREEN - UAN Gated Content - Embedded Petition")</f>
        <v>EVERGREEN - UAN Gated Content - Embedded Petition</v>
      </c>
      <c r="D983" s="5">
        <f ca="1">IFERROR(__xludf.DUMMYFUNCTION("""COMPUTED_VALUE"""),45636)</f>
        <v>45636</v>
      </c>
      <c r="F983" s="1" t="str">
        <f ca="1">IFERROR(__xludf.DUMMYFUNCTION("""COMPUTED_VALUE"""),"Canada")</f>
        <v>Canada</v>
      </c>
      <c r="G983" s="1" t="str">
        <f ca="1">IFERROR(__xludf.DUMMYFUNCTION("""COMPUTED_VALUE"""),"99.24 Canada")</f>
        <v>99.24 Canada</v>
      </c>
      <c r="H983" s="1" t="str">
        <f ca="1">IFERROR(__xludf.DUMMYFUNCTION("""COMPUTED_VALUE"""),"Climate Justice, Indigenous Rights, Right to Protest")</f>
        <v>Climate Justice, Indigenous Rights, Right to Protest</v>
      </c>
      <c r="I983" s="1" t="str">
        <f ca="1">IFERROR(__xludf.DUMMYFUNCTION("""COMPUTED_VALUE"""),"2024")</f>
        <v>2024</v>
      </c>
      <c r="J983" s="1" t="str">
        <f ca="1">IFERROR(__xludf.DUMMYFUNCTION("""COMPUTED_VALUE"""),"Letter")</f>
        <v>Letter</v>
      </c>
    </row>
    <row r="984" spans="1:10" ht="13" x14ac:dyDescent="0.15">
      <c r="A984" s="4">
        <f ca="1">IFERROR(__xludf.DUMMYFUNCTION("""COMPUTED_VALUE"""),32501715)</f>
        <v>32501715</v>
      </c>
      <c r="B984" s="1" t="str">
        <f ca="1">IFERROR(__xludf.DUMMYFUNCTION("""COMPUTED_VALUE"""),"lfurman844@gmail.com")</f>
        <v>lfurman844@gmail.com</v>
      </c>
      <c r="C984" s="4" t="str">
        <f ca="1">IFERROR(__xludf.DUMMYFUNCTION("""COMPUTED_VALUE"""),"EVERGREEN - UAN Gated Content - Embedded Petition")</f>
        <v>EVERGREEN - UAN Gated Content - Embedded Petition</v>
      </c>
      <c r="D984" s="5">
        <f ca="1">IFERROR(__xludf.DUMMYFUNCTION("""COMPUTED_VALUE"""),45616)</f>
        <v>45616</v>
      </c>
      <c r="F984" s="1" t="str">
        <f ca="1">IFERROR(__xludf.DUMMYFUNCTION("""COMPUTED_VALUE"""),"Russian Federation")</f>
        <v>Russian Federation</v>
      </c>
      <c r="G984" s="1" t="str">
        <f ca="1">IFERROR(__xludf.DUMMYFUNCTION("""COMPUTED_VALUE"""),"Second 23.24 Russia")</f>
        <v>Second 23.24 Russia</v>
      </c>
      <c r="H984" s="1" t="str">
        <f ca="1">IFERROR(__xludf.DUMMYFUNCTION("""COMPUTED_VALUE"""),"Freedom of Expression")</f>
        <v>Freedom of Expression</v>
      </c>
      <c r="I984" s="1" t="str">
        <f ca="1">IFERROR(__xludf.DUMMYFUNCTION("""COMPUTED_VALUE"""),"2024")</f>
        <v>2024</v>
      </c>
      <c r="J984" s="1" t="str">
        <f ca="1">IFERROR(__xludf.DUMMYFUNCTION("""COMPUTED_VALUE"""),"Letter")</f>
        <v>Letter</v>
      </c>
    </row>
    <row r="985" spans="1:10" ht="13" x14ac:dyDescent="0.15">
      <c r="A985" s="4">
        <f ca="1">IFERROR(__xludf.DUMMYFUNCTION("""COMPUTED_VALUE"""),32501715)</f>
        <v>32501715</v>
      </c>
      <c r="B985" s="1" t="str">
        <f ca="1">IFERROR(__xludf.DUMMYFUNCTION("""COMPUTED_VALUE"""),"lfurman844@gmail.com")</f>
        <v>lfurman844@gmail.com</v>
      </c>
      <c r="C985" s="4" t="str">
        <f ca="1">IFERROR(__xludf.DUMMYFUNCTION("""COMPUTED_VALUE"""),"EVERGREEN - UAN Gated Content - Embedded Petition")</f>
        <v>EVERGREEN - UAN Gated Content - Embedded Petition</v>
      </c>
      <c r="D985" s="5">
        <f ca="1">IFERROR(__xludf.DUMMYFUNCTION("""COMPUTED_VALUE"""),45636)</f>
        <v>45636</v>
      </c>
      <c r="F985" s="1" t="str">
        <f ca="1">IFERROR(__xludf.DUMMYFUNCTION("""COMPUTED_VALUE"""),"Dominican Republic")</f>
        <v>Dominican Republic</v>
      </c>
      <c r="G985" s="1" t="str">
        <f ca="1">IFERROR(__xludf.DUMMYFUNCTION("""COMPUTED_VALUE"""),"88.24 Dominican Republic")</f>
        <v>88.24 Dominican Republic</v>
      </c>
      <c r="H985" s="1" t="str">
        <f ca="1">IFERROR(__xludf.DUMMYFUNCTION("""COMPUTED_VALUE"""),"Individuals At Risk, Refugee and Migrant Rights")</f>
        <v>Individuals At Risk, Refugee and Migrant Rights</v>
      </c>
      <c r="I985" s="1" t="str">
        <f ca="1">IFERROR(__xludf.DUMMYFUNCTION("""COMPUTED_VALUE"""),"2024")</f>
        <v>2024</v>
      </c>
      <c r="J985" s="1" t="str">
        <f ca="1">IFERROR(__xludf.DUMMYFUNCTION("""COMPUTED_VALUE"""),"Letter")</f>
        <v>Letter</v>
      </c>
    </row>
    <row r="986" spans="1:10" ht="13" x14ac:dyDescent="0.15">
      <c r="A986" s="4">
        <f ca="1">IFERROR(__xludf.DUMMYFUNCTION("""COMPUTED_VALUE"""),32501715)</f>
        <v>32501715</v>
      </c>
      <c r="B986" s="1" t="str">
        <f ca="1">IFERROR(__xludf.DUMMYFUNCTION("""COMPUTED_VALUE"""),"lfurman844@gmail.com")</f>
        <v>lfurman844@gmail.com</v>
      </c>
      <c r="C986" s="4" t="str">
        <f ca="1">IFERROR(__xludf.DUMMYFUNCTION("""COMPUTED_VALUE"""),"EVERGREEN - UAN Gated Content - Embedded Petition")</f>
        <v>EVERGREEN - UAN Gated Content - Embedded Petition</v>
      </c>
      <c r="D986" s="5">
        <f ca="1">IFERROR(__xludf.DUMMYFUNCTION("""COMPUTED_VALUE"""),45636)</f>
        <v>45636</v>
      </c>
      <c r="F986" s="1" t="str">
        <f ca="1">IFERROR(__xludf.DUMMYFUNCTION("""COMPUTED_VALUE"""),"Egypt")</f>
        <v>Egypt</v>
      </c>
      <c r="G986" s="1" t="str">
        <f ca="1">IFERROR(__xludf.DUMMYFUNCTION("""COMPUTED_VALUE"""),"Ninth 190.18 Egypt")</f>
        <v>Ninth 190.18 Egypt</v>
      </c>
      <c r="H986" s="1" t="str">
        <f ca="1">IFERROR(__xludf.DUMMYFUNCTION("""COMPUTED_VALUE"""),"Freedom of Expression, Individuals At Risk")</f>
        <v>Freedom of Expression, Individuals At Risk</v>
      </c>
      <c r="I986" s="1" t="str">
        <f ca="1">IFERROR(__xludf.DUMMYFUNCTION("""COMPUTED_VALUE"""),"2024")</f>
        <v>2024</v>
      </c>
      <c r="J986" s="1" t="str">
        <f ca="1">IFERROR(__xludf.DUMMYFUNCTION("""COMPUTED_VALUE"""),"Letter")</f>
        <v>Letter</v>
      </c>
    </row>
    <row r="987" spans="1:10" ht="13" x14ac:dyDescent="0.15">
      <c r="A987" s="4">
        <f ca="1">IFERROR(__xludf.DUMMYFUNCTION("""COMPUTED_VALUE"""),33794365)</f>
        <v>33794365</v>
      </c>
      <c r="B987" s="1" t="str">
        <f ca="1">IFERROR(__xludf.DUMMYFUNCTION("""COMPUTED_VALUE"""),"patricia.p0907@att.net")</f>
        <v>patricia.p0907@att.net</v>
      </c>
      <c r="C987" s="4" t="str">
        <f ca="1">IFERROR(__xludf.DUMMYFUNCTION("""COMPUTED_VALUE"""),"EVERGREEN - UAN Gated Content - Embedded Petition")</f>
        <v>EVERGREEN - UAN Gated Content - Embedded Petition</v>
      </c>
      <c r="D987" s="5">
        <f ca="1">IFERROR(__xludf.DUMMYFUNCTION("""COMPUTED_VALUE"""),45678)</f>
        <v>45678</v>
      </c>
      <c r="F987" s="1" t="str">
        <f ca="1">IFERROR(__xludf.DUMMYFUNCTION("""COMPUTED_VALUE"""),"China")</f>
        <v>China</v>
      </c>
      <c r="G987" s="1" t="str">
        <f ca="1">IFERROR(__xludf.DUMMYFUNCTION("""COMPUTED_VALUE"""),"98.24 China")</f>
        <v>98.24 China</v>
      </c>
      <c r="H987" s="1" t="str">
        <f ca="1">IFERROR(__xludf.DUMMYFUNCTION("""COMPUTED_VALUE"""),"Freedom of Expression, Individuals At Risk")</f>
        <v>Freedom of Expression, Individuals At Risk</v>
      </c>
      <c r="I987" s="1" t="str">
        <f ca="1">IFERROR(__xludf.DUMMYFUNCTION("""COMPUTED_VALUE"""),"2024")</f>
        <v>2024</v>
      </c>
      <c r="J987" s="1" t="str">
        <f ca="1">IFERROR(__xludf.DUMMYFUNCTION("""COMPUTED_VALUE"""),"Letter")</f>
        <v>Letter</v>
      </c>
    </row>
    <row r="988" spans="1:10" ht="13" x14ac:dyDescent="0.15">
      <c r="A988" s="4">
        <f ca="1">IFERROR(__xludf.DUMMYFUNCTION("""COMPUTED_VALUE"""),33801449)</f>
        <v>33801449</v>
      </c>
      <c r="B988" s="1" t="str">
        <f ca="1">IFERROR(__xludf.DUMMYFUNCTION("""COMPUTED_VALUE"""),"jo.margaret.murphy@gmail.com")</f>
        <v>jo.margaret.murphy@gmail.com</v>
      </c>
      <c r="C988" s="4" t="str">
        <f ca="1">IFERROR(__xludf.DUMMYFUNCTION("""COMPUTED_VALUE"""),"EVERGREEN - UAN Gated Content - Embedded Petition")</f>
        <v>EVERGREEN - UAN Gated Content - Embedded Petition</v>
      </c>
      <c r="D988" s="5">
        <f ca="1">IFERROR(__xludf.DUMMYFUNCTION("""COMPUTED_VALUE"""),45694)</f>
        <v>45694</v>
      </c>
      <c r="F988" s="1" t="str">
        <f ca="1">IFERROR(__xludf.DUMMYFUNCTION("""COMPUTED_VALUE"""),"Dominican Republic")</f>
        <v>Dominican Republic</v>
      </c>
      <c r="G988" s="1" t="str">
        <f ca="1">IFERROR(__xludf.DUMMYFUNCTION("""COMPUTED_VALUE"""),"88.24 Dominican Republic")</f>
        <v>88.24 Dominican Republic</v>
      </c>
      <c r="H988" s="1" t="str">
        <f ca="1">IFERROR(__xludf.DUMMYFUNCTION("""COMPUTED_VALUE"""),"Individuals At Risk, Refugee and Migrant Rights")</f>
        <v>Individuals At Risk, Refugee and Migrant Rights</v>
      </c>
      <c r="I988" s="1" t="str">
        <f ca="1">IFERROR(__xludf.DUMMYFUNCTION("""COMPUTED_VALUE"""),"2024")</f>
        <v>2024</v>
      </c>
      <c r="J988" s="1" t="str">
        <f ca="1">IFERROR(__xludf.DUMMYFUNCTION("""COMPUTED_VALUE"""),"Letter")</f>
        <v>Letter</v>
      </c>
    </row>
    <row r="989" spans="1:10" ht="13" x14ac:dyDescent="0.15">
      <c r="A989" s="4">
        <f ca="1">IFERROR(__xludf.DUMMYFUNCTION("""COMPUTED_VALUE"""),33834102)</f>
        <v>33834102</v>
      </c>
      <c r="B989" s="1" t="str">
        <f ca="1">IFERROR(__xludf.DUMMYFUNCTION("""COMPUTED_VALUE"""),"ebertranou@csbsju.edu")</f>
        <v>ebertranou@csbsju.edu</v>
      </c>
      <c r="C989" s="4" t="str">
        <f ca="1">IFERROR(__xludf.DUMMYFUNCTION("""COMPUTED_VALUE"""),"EVERGREEN - UAN Gated Content - Embedded Petition")</f>
        <v>EVERGREEN - UAN Gated Content - Embedded Petition</v>
      </c>
      <c r="D989" s="5">
        <f ca="1">IFERROR(__xludf.DUMMYFUNCTION("""COMPUTED_VALUE"""),45678)</f>
        <v>45678</v>
      </c>
      <c r="F989" s="1" t="str">
        <f ca="1">IFERROR(__xludf.DUMMYFUNCTION("""COMPUTED_VALUE"""),"Saudi Arabia")</f>
        <v>Saudi Arabia</v>
      </c>
      <c r="G989" s="1" t="str">
        <f ca="1">IFERROR(__xludf.DUMMYFUNCTION("""COMPUTED_VALUE"""),"Second 85.23 Saudi Arabia")</f>
        <v>Second 85.23 Saudi Arabia</v>
      </c>
      <c r="H989" s="1" t="str">
        <f ca="1">IFERROR(__xludf.DUMMYFUNCTION("""COMPUTED_VALUE"""),"Freedom of Expression")</f>
        <v>Freedom of Expression</v>
      </c>
      <c r="I989" s="1" t="str">
        <f ca="1">IFERROR(__xludf.DUMMYFUNCTION("""COMPUTED_VALUE"""),"2024")</f>
        <v>2024</v>
      </c>
      <c r="J989" s="1" t="str">
        <f ca="1">IFERROR(__xludf.DUMMYFUNCTION("""COMPUTED_VALUE"""),"Letter")</f>
        <v>Letter</v>
      </c>
    </row>
    <row r="990" spans="1:10" ht="13" x14ac:dyDescent="0.15">
      <c r="A990" s="4">
        <f ca="1">IFERROR(__xludf.DUMMYFUNCTION("""COMPUTED_VALUE"""),33841601)</f>
        <v>33841601</v>
      </c>
      <c r="B990" s="1" t="str">
        <f ca="1">IFERROR(__xludf.DUMMYFUNCTION("""COMPUTED_VALUE"""),"snaimon@yahoo.com")</f>
        <v>snaimon@yahoo.com</v>
      </c>
      <c r="C990" s="4" t="str">
        <f ca="1">IFERROR(__xludf.DUMMYFUNCTION("""COMPUTED_VALUE"""),"EVERGREEN - UAN Gated Content - Embedded Petition")</f>
        <v>EVERGREEN - UAN Gated Content - Embedded Petition</v>
      </c>
      <c r="D990" s="5">
        <f ca="1">IFERROR(__xludf.DUMMYFUNCTION("""COMPUTED_VALUE"""),45672)</f>
        <v>45672</v>
      </c>
      <c r="F990" s="1" t="str">
        <f ca="1">IFERROR(__xludf.DUMMYFUNCTION("""COMPUTED_VALUE"""),"Saudi Arabia")</f>
        <v>Saudi Arabia</v>
      </c>
      <c r="G990" s="1" t="str">
        <f ca="1">IFERROR(__xludf.DUMMYFUNCTION("""COMPUTED_VALUE"""),"Second 85.23 Saudi Arabia")</f>
        <v>Second 85.23 Saudi Arabia</v>
      </c>
      <c r="H990" s="1" t="str">
        <f ca="1">IFERROR(__xludf.DUMMYFUNCTION("""COMPUTED_VALUE"""),"Freedom of Expression")</f>
        <v>Freedom of Expression</v>
      </c>
      <c r="I990" s="1" t="str">
        <f ca="1">IFERROR(__xludf.DUMMYFUNCTION("""COMPUTED_VALUE"""),"2024")</f>
        <v>2024</v>
      </c>
      <c r="J990" s="1" t="str">
        <f ca="1">IFERROR(__xludf.DUMMYFUNCTION("""COMPUTED_VALUE"""),"Letter")</f>
        <v>Letter</v>
      </c>
    </row>
    <row r="991" spans="1:10" ht="13" x14ac:dyDescent="0.15">
      <c r="A991" s="4">
        <f ca="1">IFERROR(__xludf.DUMMYFUNCTION("""COMPUTED_VALUE"""),33841601)</f>
        <v>33841601</v>
      </c>
      <c r="B991" s="1" t="str">
        <f ca="1">IFERROR(__xludf.DUMMYFUNCTION("""COMPUTED_VALUE"""),"snaimon@yahoo.com")</f>
        <v>snaimon@yahoo.com</v>
      </c>
      <c r="C991" s="4" t="str">
        <f ca="1">IFERROR(__xludf.DUMMYFUNCTION("""COMPUTED_VALUE"""),"EVERGREEN - UAN Gated Content - Embedded Petition")</f>
        <v>EVERGREEN - UAN Gated Content - Embedded Petition</v>
      </c>
      <c r="D991" s="5">
        <f ca="1">IFERROR(__xludf.DUMMYFUNCTION("""COMPUTED_VALUE"""),45672)</f>
        <v>45672</v>
      </c>
      <c r="F991" s="1" t="str">
        <f ca="1">IFERROR(__xludf.DUMMYFUNCTION("""COMPUTED_VALUE"""),"Egypt")</f>
        <v>Egypt</v>
      </c>
      <c r="G991" s="1" t="str">
        <f ca="1">IFERROR(__xludf.DUMMYFUNCTION("""COMPUTED_VALUE"""),"Ninth 190.18 Egypt")</f>
        <v>Ninth 190.18 Egypt</v>
      </c>
      <c r="H991" s="1" t="str">
        <f ca="1">IFERROR(__xludf.DUMMYFUNCTION("""COMPUTED_VALUE"""),"Freedom of Expression, Individuals At Risk")</f>
        <v>Freedom of Expression, Individuals At Risk</v>
      </c>
      <c r="I991" s="1" t="str">
        <f ca="1">IFERROR(__xludf.DUMMYFUNCTION("""COMPUTED_VALUE"""),"2024")</f>
        <v>2024</v>
      </c>
      <c r="J991" s="1" t="str">
        <f ca="1">IFERROR(__xludf.DUMMYFUNCTION("""COMPUTED_VALUE"""),"Letter")</f>
        <v>Letter</v>
      </c>
    </row>
    <row r="992" spans="1:10" ht="13" x14ac:dyDescent="0.15">
      <c r="A992" s="4">
        <f ca="1">IFERROR(__xludf.DUMMYFUNCTION("""COMPUTED_VALUE"""),33841601)</f>
        <v>33841601</v>
      </c>
      <c r="B992" s="1" t="str">
        <f ca="1">IFERROR(__xludf.DUMMYFUNCTION("""COMPUTED_VALUE"""),"snaimon@yahoo.com")</f>
        <v>snaimon@yahoo.com</v>
      </c>
      <c r="C992" s="4" t="str">
        <f ca="1">IFERROR(__xludf.DUMMYFUNCTION("""COMPUTED_VALUE"""),"EVERGREEN - UAN Gated Content - Embedded Petition")</f>
        <v>EVERGREEN - UAN Gated Content - Embedded Petition</v>
      </c>
      <c r="D992" s="5">
        <f ca="1">IFERROR(__xludf.DUMMYFUNCTION("""COMPUTED_VALUE"""),45672)</f>
        <v>45672</v>
      </c>
      <c r="F992" s="1" t="str">
        <f ca="1">IFERROR(__xludf.DUMMYFUNCTION("""COMPUTED_VALUE"""),"Tunisia")</f>
        <v>Tunisia</v>
      </c>
      <c r="G992" s="1" t="str">
        <f ca="1">IFERROR(__xludf.DUMMYFUNCTION("""COMPUTED_VALUE"""),"Second 76.24 Tunisia")</f>
        <v>Second 76.24 Tunisia</v>
      </c>
      <c r="H992" s="1" t="str">
        <f ca="1">IFERROR(__xludf.DUMMYFUNCTION("""COMPUTED_VALUE"""),"Freedom of Expression, Human Rights Defenders")</f>
        <v>Freedom of Expression, Human Rights Defenders</v>
      </c>
      <c r="I992" s="1" t="str">
        <f ca="1">IFERROR(__xludf.DUMMYFUNCTION("""COMPUTED_VALUE"""),"2025")</f>
        <v>2025</v>
      </c>
      <c r="J992" s="1" t="str">
        <f ca="1">IFERROR(__xludf.DUMMYFUNCTION("""COMPUTED_VALUE"""),"Email")</f>
        <v>Email</v>
      </c>
    </row>
    <row r="993" spans="1:10" ht="13" x14ac:dyDescent="0.15">
      <c r="A993" s="4">
        <f ca="1">IFERROR(__xludf.DUMMYFUNCTION("""COMPUTED_VALUE"""),33841601)</f>
        <v>33841601</v>
      </c>
      <c r="B993" s="1" t="str">
        <f ca="1">IFERROR(__xludf.DUMMYFUNCTION("""COMPUTED_VALUE"""),"snaimon@yahoo.com")</f>
        <v>snaimon@yahoo.com</v>
      </c>
      <c r="C993" s="4" t="str">
        <f ca="1">IFERROR(__xludf.DUMMYFUNCTION("""COMPUTED_VALUE"""),"EVERGREEN - UAN Gated Content - Embedded Petition")</f>
        <v>EVERGREEN - UAN Gated Content - Embedded Petition</v>
      </c>
      <c r="D993" s="5">
        <f ca="1">IFERROR(__xludf.DUMMYFUNCTION("""COMPUTED_VALUE"""),45672)</f>
        <v>45672</v>
      </c>
      <c r="F993" s="1" t="str">
        <f ca="1">IFERROR(__xludf.DUMMYFUNCTION("""COMPUTED_VALUE"""),"USA")</f>
        <v>USA</v>
      </c>
      <c r="G993" s="1" t="str">
        <f ca="1">IFERROR(__xludf.DUMMYFUNCTION("""COMPUTED_VALUE"""),"4.25 USA")</f>
        <v>4.25 USA</v>
      </c>
      <c r="H993" s="1" t="str">
        <f ca="1">IFERROR(__xludf.DUMMYFUNCTION("""COMPUTED_VALUE"""),"Individuals At Risk, Refugee and Migrant Rights")</f>
        <v>Individuals At Risk, Refugee and Migrant Rights</v>
      </c>
      <c r="I993" s="1" t="str">
        <f ca="1">IFERROR(__xludf.DUMMYFUNCTION("""COMPUTED_VALUE"""),"2025")</f>
        <v>2025</v>
      </c>
      <c r="J993" s="1" t="str">
        <f ca="1">IFERROR(__xludf.DUMMYFUNCTION("""COMPUTED_VALUE"""),"Letter")</f>
        <v>Letter</v>
      </c>
    </row>
    <row r="994" spans="1:10" ht="13" x14ac:dyDescent="0.15">
      <c r="A994" s="4">
        <f ca="1">IFERROR(__xludf.DUMMYFUNCTION("""COMPUTED_VALUE"""),33841601)</f>
        <v>33841601</v>
      </c>
      <c r="B994" s="1" t="str">
        <f ca="1">IFERROR(__xludf.DUMMYFUNCTION("""COMPUTED_VALUE"""),"snaimon@yahoo.com")</f>
        <v>snaimon@yahoo.com</v>
      </c>
      <c r="C994" s="4" t="str">
        <f ca="1">IFERROR(__xludf.DUMMYFUNCTION("""COMPUTED_VALUE"""),"EVERGREEN - UAN Gated Content - Embedded Petition")</f>
        <v>EVERGREEN - UAN Gated Content - Embedded Petition</v>
      </c>
      <c r="D994" s="5">
        <f ca="1">IFERROR(__xludf.DUMMYFUNCTION("""COMPUTED_VALUE"""),45674)</f>
        <v>45674</v>
      </c>
      <c r="F994" s="1" t="str">
        <f ca="1">IFERROR(__xludf.DUMMYFUNCTION("""COMPUTED_VALUE"""),"USA")</f>
        <v>USA</v>
      </c>
      <c r="G994" s="1" t="str">
        <f ca="1">IFERROR(__xludf.DUMMYFUNCTION("""COMPUTED_VALUE"""),"4.25 USA")</f>
        <v>4.25 USA</v>
      </c>
      <c r="H994" s="1" t="str">
        <f ca="1">IFERROR(__xludf.DUMMYFUNCTION("""COMPUTED_VALUE"""),"Individuals At Risk, Refugee and Migrant Rights")</f>
        <v>Individuals At Risk, Refugee and Migrant Rights</v>
      </c>
      <c r="I994" s="1" t="str">
        <f ca="1">IFERROR(__xludf.DUMMYFUNCTION("""COMPUTED_VALUE"""),"2025")</f>
        <v>2025</v>
      </c>
      <c r="J994" s="1" t="str">
        <f ca="1">IFERROR(__xludf.DUMMYFUNCTION("""COMPUTED_VALUE"""),"Letter")</f>
        <v>Letter</v>
      </c>
    </row>
    <row r="995" spans="1:10" ht="13" x14ac:dyDescent="0.15">
      <c r="A995" s="4">
        <f ca="1">IFERROR(__xludf.DUMMYFUNCTION("""COMPUTED_VALUE"""),33841601)</f>
        <v>33841601</v>
      </c>
      <c r="B995" s="1" t="str">
        <f ca="1">IFERROR(__xludf.DUMMYFUNCTION("""COMPUTED_VALUE"""),"snaimon@yahoo.com")</f>
        <v>snaimon@yahoo.com</v>
      </c>
      <c r="C995" s="4" t="str">
        <f ca="1">IFERROR(__xludf.DUMMYFUNCTION("""COMPUTED_VALUE"""),"EVERGREEN - UAN Gated Content - Embedded Petition")</f>
        <v>EVERGREEN - UAN Gated Content - Embedded Petition</v>
      </c>
      <c r="D995" s="5">
        <f ca="1">IFERROR(__xludf.DUMMYFUNCTION("""COMPUTED_VALUE"""),45649)</f>
        <v>45649</v>
      </c>
      <c r="F995" s="1" t="str">
        <f ca="1">IFERROR(__xludf.DUMMYFUNCTION("""COMPUTED_VALUE"""),"Tunisia")</f>
        <v>Tunisia</v>
      </c>
      <c r="G995" s="1" t="str">
        <f ca="1">IFERROR(__xludf.DUMMYFUNCTION("""COMPUTED_VALUE"""),"Second 76.24 Tunisia")</f>
        <v>Second 76.24 Tunisia</v>
      </c>
      <c r="H995" s="1" t="str">
        <f ca="1">IFERROR(__xludf.DUMMYFUNCTION("""COMPUTED_VALUE"""),"Freedom of Expression, Human Rights Defenders")</f>
        <v>Freedom of Expression, Human Rights Defenders</v>
      </c>
      <c r="I995" s="1" t="str">
        <f ca="1">IFERROR(__xludf.DUMMYFUNCTION("""COMPUTED_VALUE"""),"2025")</f>
        <v>2025</v>
      </c>
      <c r="J995" s="1" t="str">
        <f ca="1">IFERROR(__xludf.DUMMYFUNCTION("""COMPUTED_VALUE"""),"Email")</f>
        <v>Email</v>
      </c>
    </row>
    <row r="996" spans="1:10" ht="13" x14ac:dyDescent="0.15">
      <c r="A996" s="4">
        <f ca="1">IFERROR(__xludf.DUMMYFUNCTION("""COMPUTED_VALUE"""),33841601)</f>
        <v>33841601</v>
      </c>
      <c r="B996" s="1" t="str">
        <f ca="1">IFERROR(__xludf.DUMMYFUNCTION("""COMPUTED_VALUE"""),"snaimon@yahoo.com")</f>
        <v>snaimon@yahoo.com</v>
      </c>
      <c r="C996" s="4" t="str">
        <f ca="1">IFERROR(__xludf.DUMMYFUNCTION("""COMPUTED_VALUE"""),"EVERGREEN - UAN Gated Content - Embedded Petition")</f>
        <v>EVERGREEN - UAN Gated Content - Embedded Petition</v>
      </c>
      <c r="D996" s="5">
        <f ca="1">IFERROR(__xludf.DUMMYFUNCTION("""COMPUTED_VALUE"""),45641)</f>
        <v>45641</v>
      </c>
      <c r="F996" s="1" t="str">
        <f ca="1">IFERROR(__xludf.DUMMYFUNCTION("""COMPUTED_VALUE"""),"USA")</f>
        <v>USA</v>
      </c>
      <c r="G996" s="1" t="str">
        <f ca="1">IFERROR(__xludf.DUMMYFUNCTION("""COMPUTED_VALUE"""),"105.24 USA")</f>
        <v>105.24 USA</v>
      </c>
      <c r="H996" s="1" t="str">
        <f ca="1">IFERROR(__xludf.DUMMYFUNCTION("""COMPUTED_VALUE"""),"Death Penalty")</f>
        <v>Death Penalty</v>
      </c>
      <c r="I996" s="1" t="str">
        <f ca="1">IFERROR(__xludf.DUMMYFUNCTION("""COMPUTED_VALUE"""),"2024")</f>
        <v>2024</v>
      </c>
      <c r="J996" s="1" t="str">
        <f ca="1">IFERROR(__xludf.DUMMYFUNCTION("""COMPUTED_VALUE"""),"Email")</f>
        <v>Email</v>
      </c>
    </row>
    <row r="997" spans="1:10" ht="13" x14ac:dyDescent="0.15">
      <c r="A997" s="4">
        <f ca="1">IFERROR(__xludf.DUMMYFUNCTION("""COMPUTED_VALUE"""),33841601)</f>
        <v>33841601</v>
      </c>
      <c r="B997" s="1" t="str">
        <f ca="1">IFERROR(__xludf.DUMMYFUNCTION("""COMPUTED_VALUE"""),"snaimon@yahoo.com")</f>
        <v>snaimon@yahoo.com</v>
      </c>
      <c r="C997" s="4" t="str">
        <f ca="1">IFERROR(__xludf.DUMMYFUNCTION("""COMPUTED_VALUE"""),"EVERGREEN - UAN Gated Content - Embedded Petition")</f>
        <v>EVERGREEN - UAN Gated Content - Embedded Petition</v>
      </c>
      <c r="D997" s="5">
        <f ca="1">IFERROR(__xludf.DUMMYFUNCTION("""COMPUTED_VALUE"""),45641)</f>
        <v>45641</v>
      </c>
      <c r="F997" s="1" t="str">
        <f ca="1">IFERROR(__xludf.DUMMYFUNCTION("""COMPUTED_VALUE"""),"Iran")</f>
        <v>Iran</v>
      </c>
      <c r="G997" s="1" t="str">
        <f ca="1">IFERROR(__xludf.DUMMYFUNCTION("""COMPUTED_VALUE"""),"Seventh 103.22 Iran")</f>
        <v>Seventh 103.22 Iran</v>
      </c>
      <c r="H997" s="1" t="str">
        <f ca="1">IFERROR(__xludf.DUMMYFUNCTION("""COMPUTED_VALUE"""),"Death Penalty, Freedom of Expression, Individuals At Risk")</f>
        <v>Death Penalty, Freedom of Expression, Individuals At Risk</v>
      </c>
      <c r="I997" s="1" t="str">
        <f ca="1">IFERROR(__xludf.DUMMYFUNCTION("""COMPUTED_VALUE"""),"2024")</f>
        <v>2024</v>
      </c>
      <c r="J997" s="1" t="str">
        <f ca="1">IFERROR(__xludf.DUMMYFUNCTION("""COMPUTED_VALUE"""),"Email")</f>
        <v>Email</v>
      </c>
    </row>
    <row r="998" spans="1:10" ht="13" x14ac:dyDescent="0.15">
      <c r="A998" s="4">
        <f ca="1">IFERROR(__xludf.DUMMYFUNCTION("""COMPUTED_VALUE"""),33841601)</f>
        <v>33841601</v>
      </c>
      <c r="B998" s="1" t="str">
        <f ca="1">IFERROR(__xludf.DUMMYFUNCTION("""COMPUTED_VALUE"""),"snaimon@yahoo.com")</f>
        <v>snaimon@yahoo.com</v>
      </c>
      <c r="C998" s="4" t="str">
        <f ca="1">IFERROR(__xludf.DUMMYFUNCTION("""COMPUTED_VALUE"""),"EVERGREEN - UAN Gated Content - Embedded Petition")</f>
        <v>EVERGREEN - UAN Gated Content - Embedded Petition</v>
      </c>
      <c r="D998" s="5">
        <f ca="1">IFERROR(__xludf.DUMMYFUNCTION("""COMPUTED_VALUE"""),45694)</f>
        <v>45694</v>
      </c>
      <c r="F998" s="1" t="str">
        <f ca="1">IFERROR(__xludf.DUMMYFUNCTION("""COMPUTED_VALUE"""),"Tunisia")</f>
        <v>Tunisia</v>
      </c>
      <c r="G998" s="1" t="str">
        <f ca="1">IFERROR(__xludf.DUMMYFUNCTION("""COMPUTED_VALUE"""),"Second 76.24 Tunisia")</f>
        <v>Second 76.24 Tunisia</v>
      </c>
      <c r="H998" s="1" t="str">
        <f ca="1">IFERROR(__xludf.DUMMYFUNCTION("""COMPUTED_VALUE"""),"Freedom of Expression, Human Rights Defenders")</f>
        <v>Freedom of Expression, Human Rights Defenders</v>
      </c>
      <c r="I998" s="1" t="str">
        <f ca="1">IFERROR(__xludf.DUMMYFUNCTION("""COMPUTED_VALUE"""),"2025")</f>
        <v>2025</v>
      </c>
      <c r="J998" s="1" t="str">
        <f ca="1">IFERROR(__xludf.DUMMYFUNCTION("""COMPUTED_VALUE"""),"Email")</f>
        <v>Email</v>
      </c>
    </row>
    <row r="999" spans="1:10" ht="13" x14ac:dyDescent="0.15">
      <c r="A999" s="4">
        <f ca="1">IFERROR(__xludf.DUMMYFUNCTION("""COMPUTED_VALUE"""),33841601)</f>
        <v>33841601</v>
      </c>
      <c r="B999" s="1" t="str">
        <f ca="1">IFERROR(__xludf.DUMMYFUNCTION("""COMPUTED_VALUE"""),"snaimon@yahoo.com")</f>
        <v>snaimon@yahoo.com</v>
      </c>
      <c r="C999" s="4" t="str">
        <f ca="1">IFERROR(__xludf.DUMMYFUNCTION("""COMPUTED_VALUE"""),"EVERGREEN - UAN Gated Content - Embedded Petition")</f>
        <v>EVERGREEN - UAN Gated Content - Embedded Petition</v>
      </c>
      <c r="D999" s="5">
        <f ca="1">IFERROR(__xludf.DUMMYFUNCTION("""COMPUTED_VALUE"""),45618)</f>
        <v>45618</v>
      </c>
      <c r="F999" s="1" t="str">
        <f ca="1">IFERROR(__xludf.DUMMYFUNCTION("""COMPUTED_VALUE"""),"USA")</f>
        <v>USA</v>
      </c>
      <c r="G999" s="1" t="str">
        <f ca="1">IFERROR(__xludf.DUMMYFUNCTION("""COMPUTED_VALUE"""),"105.24 USA")</f>
        <v>105.24 USA</v>
      </c>
      <c r="H999" s="1" t="str">
        <f ca="1">IFERROR(__xludf.DUMMYFUNCTION("""COMPUTED_VALUE"""),"Death Penalty")</f>
        <v>Death Penalty</v>
      </c>
      <c r="I999" s="1" t="str">
        <f ca="1">IFERROR(__xludf.DUMMYFUNCTION("""COMPUTED_VALUE"""),"2024")</f>
        <v>2024</v>
      </c>
      <c r="J999" s="1" t="str">
        <f ca="1">IFERROR(__xludf.DUMMYFUNCTION("""COMPUTED_VALUE"""),"Email")</f>
        <v>Email</v>
      </c>
    </row>
    <row r="1000" spans="1:10" ht="13" x14ac:dyDescent="0.15">
      <c r="A1000" s="4">
        <f ca="1">IFERROR(__xludf.DUMMYFUNCTION("""COMPUTED_VALUE"""),33841601)</f>
        <v>33841601</v>
      </c>
      <c r="B1000" s="1" t="str">
        <f ca="1">IFERROR(__xludf.DUMMYFUNCTION("""COMPUTED_VALUE"""),"snaimon@yahoo.com")</f>
        <v>snaimon@yahoo.com</v>
      </c>
      <c r="C1000" s="4" t="str">
        <f ca="1">IFERROR(__xludf.DUMMYFUNCTION("""COMPUTED_VALUE"""),"EVERGREEN - UAN Gated Content - Embedded Petition")</f>
        <v>EVERGREEN - UAN Gated Content - Embedded Petition</v>
      </c>
      <c r="D1000" s="5">
        <f ca="1">IFERROR(__xludf.DUMMYFUNCTION("""COMPUTED_VALUE"""),45694)</f>
        <v>45694</v>
      </c>
      <c r="F1000" s="1" t="str">
        <f ca="1">IFERROR(__xludf.DUMMYFUNCTION("""COMPUTED_VALUE"""),"Israel and Occupied Palestinian Territories")</f>
        <v>Israel and Occupied Palestinian Territories</v>
      </c>
      <c r="G1000" s="1" t="str">
        <f ca="1">IFERROR(__xludf.DUMMYFUNCTION("""COMPUTED_VALUE"""),"3.25 IOPT")</f>
        <v>3.25 IOPT</v>
      </c>
      <c r="H1000" s="1" t="str">
        <f ca="1">IFERROR(__xludf.DUMMYFUNCTION("""COMPUTED_VALUE"""),"Freedom of Expression, Individuals At Risk")</f>
        <v>Freedom of Expression, Individuals At Risk</v>
      </c>
      <c r="I1000" s="1" t="str">
        <f ca="1">IFERROR(__xludf.DUMMYFUNCTION("""COMPUTED_VALUE"""),"2025")</f>
        <v>2025</v>
      </c>
      <c r="J1000" s="1" t="str">
        <f ca="1">IFERROR(__xludf.DUMMYFUNCTION("""COMPUTED_VALUE"""),"Email")</f>
        <v>Email</v>
      </c>
    </row>
    <row r="1001" spans="1:10" ht="13" x14ac:dyDescent="0.15">
      <c r="A1001" s="4">
        <f ca="1">IFERROR(__xludf.DUMMYFUNCTION("""COMPUTED_VALUE"""),33841601)</f>
        <v>33841601</v>
      </c>
      <c r="B1001" s="1" t="str">
        <f ca="1">IFERROR(__xludf.DUMMYFUNCTION("""COMPUTED_VALUE"""),"snaimon@yahoo.com")</f>
        <v>snaimon@yahoo.com</v>
      </c>
      <c r="C1001" s="4" t="str">
        <f ca="1">IFERROR(__xludf.DUMMYFUNCTION("""COMPUTED_VALUE"""),"EVERGREEN - UAN Gated Content - Embedded Petition")</f>
        <v>EVERGREEN - UAN Gated Content - Embedded Petition</v>
      </c>
      <c r="D1001" s="5">
        <f ca="1">IFERROR(__xludf.DUMMYFUNCTION("""COMPUTED_VALUE"""),45694)</f>
        <v>45694</v>
      </c>
      <c r="F1001" s="1" t="str">
        <f ca="1">IFERROR(__xludf.DUMMYFUNCTION("""COMPUTED_VALUE"""),"Israel and Occupied Palestinian Territories")</f>
        <v>Israel and Occupied Palestinian Territories</v>
      </c>
      <c r="G1001" s="1" t="str">
        <f ca="1">IFERROR(__xludf.DUMMYFUNCTION("""COMPUTED_VALUE"""),"3.25 IOPT")</f>
        <v>3.25 IOPT</v>
      </c>
      <c r="H1001" s="1" t="str">
        <f ca="1">IFERROR(__xludf.DUMMYFUNCTION("""COMPUTED_VALUE"""),"Freedom of Expression, Individuals At Risk")</f>
        <v>Freedom of Expression, Individuals At Risk</v>
      </c>
      <c r="I1001" s="1" t="str">
        <f ca="1">IFERROR(__xludf.DUMMYFUNCTION("""COMPUTED_VALUE"""),"2025")</f>
        <v>2025</v>
      </c>
      <c r="J1001" s="1" t="str">
        <f ca="1">IFERROR(__xludf.DUMMYFUNCTION("""COMPUTED_VALUE"""),"Email")</f>
        <v>Email</v>
      </c>
    </row>
    <row r="1002" spans="1:10" ht="13" x14ac:dyDescent="0.15">
      <c r="A1002" s="4">
        <f ca="1">IFERROR(__xludf.DUMMYFUNCTION("""COMPUTED_VALUE"""),38695445)</f>
        <v>38695445</v>
      </c>
      <c r="B1002" s="1" t="str">
        <f ca="1">IFERROR(__xludf.DUMMYFUNCTION("""COMPUTED_VALUE"""),"lolo2636@verizon.net")</f>
        <v>lolo2636@verizon.net</v>
      </c>
      <c r="C1002" s="4" t="str">
        <f ca="1">IFERROR(__xludf.DUMMYFUNCTION("""COMPUTED_VALUE"""),"EVERGREEN - UAN Gated Content - Embedded Petition")</f>
        <v>EVERGREEN - UAN Gated Content - Embedded Petition</v>
      </c>
      <c r="D1002" s="5">
        <f ca="1">IFERROR(__xludf.DUMMYFUNCTION("""COMPUTED_VALUE"""),45694)</f>
        <v>45694</v>
      </c>
      <c r="F1002" s="1" t="str">
        <f ca="1">IFERROR(__xludf.DUMMYFUNCTION("""COMPUTED_VALUE"""),"Israel and Occupied Palestinian Territories")</f>
        <v>Israel and Occupied Palestinian Territories</v>
      </c>
      <c r="G1002" s="1" t="str">
        <f ca="1">IFERROR(__xludf.DUMMYFUNCTION("""COMPUTED_VALUE"""),"3.25 IOPT")</f>
        <v>3.25 IOPT</v>
      </c>
      <c r="H1002" s="1" t="str">
        <f ca="1">IFERROR(__xludf.DUMMYFUNCTION("""COMPUTED_VALUE"""),"Freedom of Expression, Individuals At Risk")</f>
        <v>Freedom of Expression, Individuals At Risk</v>
      </c>
      <c r="I1002" s="1" t="str">
        <f ca="1">IFERROR(__xludf.DUMMYFUNCTION("""COMPUTED_VALUE"""),"2025")</f>
        <v>2025</v>
      </c>
      <c r="J1002" s="1" t="str">
        <f ca="1">IFERROR(__xludf.DUMMYFUNCTION("""COMPUTED_VALUE"""),"Email")</f>
        <v>Email</v>
      </c>
    </row>
    <row r="1003" spans="1:10" ht="13" x14ac:dyDescent="0.15">
      <c r="A1003" s="4">
        <f ca="1">IFERROR(__xludf.DUMMYFUNCTION("""COMPUTED_VALUE"""),38735830)</f>
        <v>38735830</v>
      </c>
      <c r="B1003" s="1" t="str">
        <f ca="1">IFERROR(__xludf.DUMMYFUNCTION("""COMPUTED_VALUE"""),"julie.ann.southwell@gmail.com")</f>
        <v>julie.ann.southwell@gmail.com</v>
      </c>
      <c r="C1003" s="4" t="str">
        <f ca="1">IFERROR(__xludf.DUMMYFUNCTION("""COMPUTED_VALUE"""),"EVERGREEN - UAN Gated Content - Embedded Petition")</f>
        <v>EVERGREEN - UAN Gated Content - Embedded Petition</v>
      </c>
      <c r="D1003" s="5">
        <f ca="1">IFERROR(__xludf.DUMMYFUNCTION("""COMPUTED_VALUE"""),45698)</f>
        <v>45698</v>
      </c>
      <c r="F1003" s="1" t="str">
        <f ca="1">IFERROR(__xludf.DUMMYFUNCTION("""COMPUTED_VALUE"""),"USA")</f>
        <v>USA</v>
      </c>
      <c r="G1003" s="1" t="str">
        <f ca="1">IFERROR(__xludf.DUMMYFUNCTION("""COMPUTED_VALUE"""),"4.25 USA")</f>
        <v>4.25 USA</v>
      </c>
      <c r="H1003" s="1" t="str">
        <f ca="1">IFERROR(__xludf.DUMMYFUNCTION("""COMPUTED_VALUE"""),"Individuals At Risk, Refugee and Migrant Rights")</f>
        <v>Individuals At Risk, Refugee and Migrant Rights</v>
      </c>
      <c r="I1003" s="1" t="str">
        <f ca="1">IFERROR(__xludf.DUMMYFUNCTION("""COMPUTED_VALUE"""),"2025")</f>
        <v>2025</v>
      </c>
      <c r="J1003" s="1" t="str">
        <f ca="1">IFERROR(__xludf.DUMMYFUNCTION("""COMPUTED_VALUE"""),"Letter")</f>
        <v>Letter</v>
      </c>
    </row>
    <row r="1004" spans="1:10" ht="13" x14ac:dyDescent="0.15">
      <c r="A1004" s="4">
        <f ca="1">IFERROR(__xludf.DUMMYFUNCTION("""COMPUTED_VALUE"""),38735830)</f>
        <v>38735830</v>
      </c>
      <c r="B1004" s="1" t="str">
        <f ca="1">IFERROR(__xludf.DUMMYFUNCTION("""COMPUTED_VALUE"""),"julie.ann.southwell@gmail.com")</f>
        <v>julie.ann.southwell@gmail.com</v>
      </c>
      <c r="C1004" s="4" t="str">
        <f ca="1">IFERROR(__xludf.DUMMYFUNCTION("""COMPUTED_VALUE"""),"EVERGREEN - UAN Gated Content - Embedded Petition")</f>
        <v>EVERGREEN - UAN Gated Content - Embedded Petition</v>
      </c>
      <c r="D1004" s="5">
        <f ca="1">IFERROR(__xludf.DUMMYFUNCTION("""COMPUTED_VALUE"""),45580)</f>
        <v>45580</v>
      </c>
      <c r="F1004" s="1" t="str">
        <f ca="1">IFERROR(__xludf.DUMMYFUNCTION("""COMPUTED_VALUE"""),"Tunisia")</f>
        <v>Tunisia</v>
      </c>
      <c r="G1004" s="1" t="str">
        <f ca="1">IFERROR(__xludf.DUMMYFUNCTION("""COMPUTED_VALUE"""),"Second 76.24 Tunisia")</f>
        <v>Second 76.24 Tunisia</v>
      </c>
      <c r="H1004" s="1" t="str">
        <f ca="1">IFERROR(__xludf.DUMMYFUNCTION("""COMPUTED_VALUE"""),"Freedom of Expression, Human Rights Defenders")</f>
        <v>Freedom of Expression, Human Rights Defenders</v>
      </c>
      <c r="I1004" s="1" t="str">
        <f ca="1">IFERROR(__xludf.DUMMYFUNCTION("""COMPUTED_VALUE"""),"2025")</f>
        <v>2025</v>
      </c>
      <c r="J1004" s="1" t="str">
        <f ca="1">IFERROR(__xludf.DUMMYFUNCTION("""COMPUTED_VALUE"""),"Email")</f>
        <v>Email</v>
      </c>
    </row>
    <row r="1005" spans="1:10" ht="13" x14ac:dyDescent="0.15">
      <c r="A1005" s="4">
        <f ca="1">IFERROR(__xludf.DUMMYFUNCTION("""COMPUTED_VALUE"""),38735830)</f>
        <v>38735830</v>
      </c>
      <c r="B1005" s="1" t="str">
        <f ca="1">IFERROR(__xludf.DUMMYFUNCTION("""COMPUTED_VALUE"""),"julie.ann.southwell@gmail.com")</f>
        <v>julie.ann.southwell@gmail.com</v>
      </c>
      <c r="C1005" s="4" t="str">
        <f ca="1">IFERROR(__xludf.DUMMYFUNCTION("""COMPUTED_VALUE"""),"EVERGREEN - UAN Gated Content - Embedded Petition")</f>
        <v>EVERGREEN - UAN Gated Content - Embedded Petition</v>
      </c>
      <c r="D1005" s="5">
        <f ca="1">IFERROR(__xludf.DUMMYFUNCTION("""COMPUTED_VALUE"""),45665)</f>
        <v>45665</v>
      </c>
      <c r="F1005" s="1" t="str">
        <f ca="1">IFERROR(__xludf.DUMMYFUNCTION("""COMPUTED_VALUE"""),"USA")</f>
        <v>USA</v>
      </c>
      <c r="G1005" s="1" t="str">
        <f ca="1">IFERROR(__xludf.DUMMYFUNCTION("""COMPUTED_VALUE"""),"4.25 USA")</f>
        <v>4.25 USA</v>
      </c>
      <c r="H1005" s="1" t="str">
        <f ca="1">IFERROR(__xludf.DUMMYFUNCTION("""COMPUTED_VALUE"""),"Individuals At Risk, Refugee and Migrant Rights")</f>
        <v>Individuals At Risk, Refugee and Migrant Rights</v>
      </c>
      <c r="I1005" s="1" t="str">
        <f ca="1">IFERROR(__xludf.DUMMYFUNCTION("""COMPUTED_VALUE"""),"2025")</f>
        <v>2025</v>
      </c>
      <c r="J1005" s="1" t="str">
        <f ca="1">IFERROR(__xludf.DUMMYFUNCTION("""COMPUTED_VALUE"""),"Letter")</f>
        <v>Letter</v>
      </c>
    </row>
    <row r="1006" spans="1:10" ht="13" x14ac:dyDescent="0.15">
      <c r="A1006" s="4">
        <f ca="1">IFERROR(__xludf.DUMMYFUNCTION("""COMPUTED_VALUE"""),38735830)</f>
        <v>38735830</v>
      </c>
      <c r="B1006" s="1" t="str">
        <f ca="1">IFERROR(__xludf.DUMMYFUNCTION("""COMPUTED_VALUE"""),"julie.ann.southwell@gmail.com")</f>
        <v>julie.ann.southwell@gmail.com</v>
      </c>
      <c r="C1006" s="4" t="str">
        <f ca="1">IFERROR(__xludf.DUMMYFUNCTION("""COMPUTED_VALUE"""),"EVERGREEN - UAN Gated Content - Embedded Petition")</f>
        <v>EVERGREEN - UAN Gated Content - Embedded Petition</v>
      </c>
      <c r="D1006" s="5">
        <f ca="1">IFERROR(__xludf.DUMMYFUNCTION("""COMPUTED_VALUE"""),45674)</f>
        <v>45674</v>
      </c>
      <c r="F1006" s="1" t="str">
        <f ca="1">IFERROR(__xludf.DUMMYFUNCTION("""COMPUTED_VALUE"""),"Venezuela")</f>
        <v>Venezuela</v>
      </c>
      <c r="G1006" s="1" t="str">
        <f ca="1">IFERROR(__xludf.DUMMYFUNCTION("""COMPUTED_VALUE"""),"1.25 Venezuela")</f>
        <v>1.25 Venezuela</v>
      </c>
      <c r="H1006" s="1" t="str">
        <f ca="1">IFERROR(__xludf.DUMMYFUNCTION("""COMPUTED_VALUE"""),"Human Rights Defenders, Individuals At Risk")</f>
        <v>Human Rights Defenders, Individuals At Risk</v>
      </c>
      <c r="I1006" s="1" t="str">
        <f ca="1">IFERROR(__xludf.DUMMYFUNCTION("""COMPUTED_VALUE"""),"2025")</f>
        <v>2025</v>
      </c>
      <c r="J1006" s="1" t="str">
        <f ca="1">IFERROR(__xludf.DUMMYFUNCTION("""COMPUTED_VALUE"""),"Letter")</f>
        <v>Letter</v>
      </c>
    </row>
    <row r="1007" spans="1:10" ht="13" x14ac:dyDescent="0.15">
      <c r="A1007" s="4">
        <f ca="1">IFERROR(__xludf.DUMMYFUNCTION("""COMPUTED_VALUE"""),38735830)</f>
        <v>38735830</v>
      </c>
      <c r="B1007" s="1" t="str">
        <f ca="1">IFERROR(__xludf.DUMMYFUNCTION("""COMPUTED_VALUE"""),"julie.ann.southwell@gmail.com")</f>
        <v>julie.ann.southwell@gmail.com</v>
      </c>
      <c r="C1007" s="4" t="str">
        <f ca="1">IFERROR(__xludf.DUMMYFUNCTION("""COMPUTED_VALUE"""),"EVERGREEN - UAN Gated Content - Embedded Petition")</f>
        <v>EVERGREEN - UAN Gated Content - Embedded Petition</v>
      </c>
      <c r="D1007" s="5">
        <f ca="1">IFERROR(__xludf.DUMMYFUNCTION("""COMPUTED_VALUE"""),45680)</f>
        <v>45680</v>
      </c>
      <c r="F1007" s="1" t="str">
        <f ca="1">IFERROR(__xludf.DUMMYFUNCTION("""COMPUTED_VALUE"""),"Tunisia")</f>
        <v>Tunisia</v>
      </c>
      <c r="G1007" s="1" t="str">
        <f ca="1">IFERROR(__xludf.DUMMYFUNCTION("""COMPUTED_VALUE"""),"Second 76.24 Tunisia")</f>
        <v>Second 76.24 Tunisia</v>
      </c>
      <c r="H1007" s="1" t="str">
        <f ca="1">IFERROR(__xludf.DUMMYFUNCTION("""COMPUTED_VALUE"""),"Freedom of Expression, Human Rights Defenders")</f>
        <v>Freedom of Expression, Human Rights Defenders</v>
      </c>
      <c r="I1007" s="1" t="str">
        <f ca="1">IFERROR(__xludf.DUMMYFUNCTION("""COMPUTED_VALUE"""),"2025")</f>
        <v>2025</v>
      </c>
      <c r="J1007" s="1" t="str">
        <f ca="1">IFERROR(__xludf.DUMMYFUNCTION("""COMPUTED_VALUE"""),"Email")</f>
        <v>Email</v>
      </c>
    </row>
    <row r="1008" spans="1:10" ht="13" x14ac:dyDescent="0.15">
      <c r="A1008" s="4">
        <f ca="1">IFERROR(__xludf.DUMMYFUNCTION("""COMPUTED_VALUE"""),38735830)</f>
        <v>38735830</v>
      </c>
      <c r="B1008" s="1" t="str">
        <f ca="1">IFERROR(__xludf.DUMMYFUNCTION("""COMPUTED_VALUE"""),"julie.ann.southwell@gmail.com")</f>
        <v>julie.ann.southwell@gmail.com</v>
      </c>
      <c r="C1008" s="4" t="str">
        <f ca="1">IFERROR(__xludf.DUMMYFUNCTION("""COMPUTED_VALUE"""),"EVERGREEN - UAN Gated Content - Embedded Petition")</f>
        <v>EVERGREEN - UAN Gated Content - Embedded Petition</v>
      </c>
      <c r="D1008" s="5">
        <f ca="1">IFERROR(__xludf.DUMMYFUNCTION("""COMPUTED_VALUE"""),45616)</f>
        <v>45616</v>
      </c>
      <c r="F1008" s="1" t="str">
        <f ca="1">IFERROR(__xludf.DUMMYFUNCTION("""COMPUTED_VALUE"""),"USA")</f>
        <v>USA</v>
      </c>
      <c r="G1008" s="1" t="str">
        <f ca="1">IFERROR(__xludf.DUMMYFUNCTION("""COMPUTED_VALUE"""),"105.24 USA")</f>
        <v>105.24 USA</v>
      </c>
      <c r="H1008" s="1" t="str">
        <f ca="1">IFERROR(__xludf.DUMMYFUNCTION("""COMPUTED_VALUE"""),"Death Penalty")</f>
        <v>Death Penalty</v>
      </c>
      <c r="I1008" s="1" t="str">
        <f ca="1">IFERROR(__xludf.DUMMYFUNCTION("""COMPUTED_VALUE"""),"2024")</f>
        <v>2024</v>
      </c>
      <c r="J1008" s="1" t="str">
        <f ca="1">IFERROR(__xludf.DUMMYFUNCTION("""COMPUTED_VALUE"""),"Email")</f>
        <v>Email</v>
      </c>
    </row>
    <row r="1009" spans="1:10" ht="13" x14ac:dyDescent="0.15">
      <c r="A1009" s="4">
        <f ca="1">IFERROR(__xludf.DUMMYFUNCTION("""COMPUTED_VALUE"""),38735830)</f>
        <v>38735830</v>
      </c>
      <c r="B1009" s="1" t="str">
        <f ca="1">IFERROR(__xludf.DUMMYFUNCTION("""COMPUTED_VALUE"""),"julie.ann.southwell@gmail.com")</f>
        <v>julie.ann.southwell@gmail.com</v>
      </c>
      <c r="C1009" s="4" t="str">
        <f ca="1">IFERROR(__xludf.DUMMYFUNCTION("""COMPUTED_VALUE"""),"UAN mid-page Lightbox - Step 1 of 4 - Landing Page")</f>
        <v>UAN mid-page Lightbox - Step 1 of 4 - Landing Page</v>
      </c>
      <c r="D1009" s="5">
        <f ca="1">IFERROR(__xludf.DUMMYFUNCTION("""COMPUTED_VALUE"""),45561)</f>
        <v>45561</v>
      </c>
      <c r="F1009" s="1" t="str">
        <f ca="1">IFERROR(__xludf.DUMMYFUNCTION("""COMPUTED_VALUE"""),"Tunisia")</f>
        <v>Tunisia</v>
      </c>
      <c r="G1009" s="1" t="str">
        <f ca="1">IFERROR(__xludf.DUMMYFUNCTION("""COMPUTED_VALUE"""),"Second 76.24 Tunisia")</f>
        <v>Second 76.24 Tunisia</v>
      </c>
      <c r="H1009" s="1" t="str">
        <f ca="1">IFERROR(__xludf.DUMMYFUNCTION("""COMPUTED_VALUE"""),"Freedom of Expression, Human Rights Defenders")</f>
        <v>Freedom of Expression, Human Rights Defenders</v>
      </c>
      <c r="I1009" s="1" t="str">
        <f ca="1">IFERROR(__xludf.DUMMYFUNCTION("""COMPUTED_VALUE"""),"2025")</f>
        <v>2025</v>
      </c>
      <c r="J1009" s="1" t="str">
        <f ca="1">IFERROR(__xludf.DUMMYFUNCTION("""COMPUTED_VALUE"""),"Email")</f>
        <v>Email</v>
      </c>
    </row>
    <row r="1010" spans="1:10" ht="13" x14ac:dyDescent="0.15">
      <c r="A1010" s="4">
        <f ca="1">IFERROR(__xludf.DUMMYFUNCTION("""COMPUTED_VALUE"""),38735830)</f>
        <v>38735830</v>
      </c>
      <c r="B1010" s="1" t="str">
        <f ca="1">IFERROR(__xludf.DUMMYFUNCTION("""COMPUTED_VALUE"""),"julie.ann.southwell@gmail.com")</f>
        <v>julie.ann.southwell@gmail.com</v>
      </c>
      <c r="C1010" s="4" t="str">
        <f ca="1">IFERROR(__xludf.DUMMYFUNCTION("""COMPUTED_VALUE"""),"UAN mid-page Lightbox - Step 1 of 4 - Landing Page")</f>
        <v>UAN mid-page Lightbox - Step 1 of 4 - Landing Page</v>
      </c>
      <c r="D1010" s="5">
        <f ca="1">IFERROR(__xludf.DUMMYFUNCTION("""COMPUTED_VALUE"""),45580)</f>
        <v>45580</v>
      </c>
      <c r="F1010" s="1" t="str">
        <f ca="1">IFERROR(__xludf.DUMMYFUNCTION("""COMPUTED_VALUE"""),"Dominican Republic")</f>
        <v>Dominican Republic</v>
      </c>
      <c r="G1010" s="1" t="str">
        <f ca="1">IFERROR(__xludf.DUMMYFUNCTION("""COMPUTED_VALUE"""),"88.24 Dominican Republic")</f>
        <v>88.24 Dominican Republic</v>
      </c>
      <c r="H1010" s="1" t="str">
        <f ca="1">IFERROR(__xludf.DUMMYFUNCTION("""COMPUTED_VALUE"""),"Individuals At Risk, Refugee and Migrant Rights")</f>
        <v>Individuals At Risk, Refugee and Migrant Rights</v>
      </c>
      <c r="I1010" s="1" t="str">
        <f ca="1">IFERROR(__xludf.DUMMYFUNCTION("""COMPUTED_VALUE"""),"2024")</f>
        <v>2024</v>
      </c>
      <c r="J1010" s="1" t="str">
        <f ca="1">IFERROR(__xludf.DUMMYFUNCTION("""COMPUTED_VALUE"""),"Letter")</f>
        <v>Letter</v>
      </c>
    </row>
    <row r="1011" spans="1:10" ht="13" x14ac:dyDescent="0.15">
      <c r="A1011" s="4">
        <f ca="1">IFERROR(__xludf.DUMMYFUNCTION("""COMPUTED_VALUE"""),38735830)</f>
        <v>38735830</v>
      </c>
      <c r="B1011" s="1" t="str">
        <f ca="1">IFERROR(__xludf.DUMMYFUNCTION("""COMPUTED_VALUE"""),"julie.ann.southwell@gmail.com")</f>
        <v>julie.ann.southwell@gmail.com</v>
      </c>
      <c r="C1011" s="4" t="str">
        <f ca="1">IFERROR(__xludf.DUMMYFUNCTION("""COMPUTED_VALUE"""),"UAN mid-page Lightbox - Step 2 of 4 - More personal info fields")</f>
        <v>UAN mid-page Lightbox - Step 2 of 4 - More personal info fields</v>
      </c>
      <c r="D1011" s="5">
        <f ca="1">IFERROR(__xludf.DUMMYFUNCTION("""COMPUTED_VALUE"""),45580)</f>
        <v>45580</v>
      </c>
      <c r="F1011" s="1" t="str">
        <f ca="1">IFERROR(__xludf.DUMMYFUNCTION("""COMPUTED_VALUE"""),"USA")</f>
        <v>USA</v>
      </c>
      <c r="G1011" s="1" t="str">
        <f ca="1">IFERROR(__xludf.DUMMYFUNCTION("""COMPUTED_VALUE"""),"96.24 USA")</f>
        <v>96.24 USA</v>
      </c>
      <c r="H1011" s="1" t="str">
        <f ca="1">IFERROR(__xludf.DUMMYFUNCTION("""COMPUTED_VALUE"""),"Death Penalty")</f>
        <v>Death Penalty</v>
      </c>
      <c r="I1011" s="1" t="str">
        <f ca="1">IFERROR(__xludf.DUMMYFUNCTION("""COMPUTED_VALUE"""),"2024")</f>
        <v>2024</v>
      </c>
      <c r="J1011" s="1" t="str">
        <f ca="1">IFERROR(__xludf.DUMMYFUNCTION("""COMPUTED_VALUE"""),"Email")</f>
        <v>Email</v>
      </c>
    </row>
    <row r="1012" spans="1:10" ht="13" x14ac:dyDescent="0.15">
      <c r="A1012" s="4">
        <f ca="1">IFERROR(__xludf.DUMMYFUNCTION("""COMPUTED_VALUE"""),38735830)</f>
        <v>38735830</v>
      </c>
      <c r="B1012" s="1" t="str">
        <f ca="1">IFERROR(__xludf.DUMMYFUNCTION("""COMPUTED_VALUE"""),"julie.ann.southwell@gmail.com")</f>
        <v>julie.ann.southwell@gmail.com</v>
      </c>
      <c r="C1012" s="4" t="str">
        <f ca="1">IFERROR(__xludf.DUMMYFUNCTION("""COMPUTED_VALUE"""),"UAN mid-page Lightbox - Step 2 of 4 - More personal info fields")</f>
        <v>UAN mid-page Lightbox - Step 2 of 4 - More personal info fields</v>
      </c>
      <c r="D1012" s="5">
        <f ca="1">IFERROR(__xludf.DUMMYFUNCTION("""COMPUTED_VALUE"""),45561)</f>
        <v>45561</v>
      </c>
      <c r="F1012" s="1" t="str">
        <f ca="1">IFERROR(__xludf.DUMMYFUNCTION("""COMPUTED_VALUE"""),"Iran")</f>
        <v>Iran</v>
      </c>
      <c r="G1012" s="1" t="str">
        <f ca="1">IFERROR(__xludf.DUMMYFUNCTION("""COMPUTED_VALUE"""),"Seventh 103.22 Iran")</f>
        <v>Seventh 103.22 Iran</v>
      </c>
      <c r="H1012" s="1" t="str">
        <f ca="1">IFERROR(__xludf.DUMMYFUNCTION("""COMPUTED_VALUE"""),"Death Penalty, Freedom of Expression, Individuals At Risk")</f>
        <v>Death Penalty, Freedom of Expression, Individuals At Risk</v>
      </c>
      <c r="I1012" s="1" t="str">
        <f ca="1">IFERROR(__xludf.DUMMYFUNCTION("""COMPUTED_VALUE"""),"2024")</f>
        <v>2024</v>
      </c>
      <c r="J1012" s="1" t="str">
        <f ca="1">IFERROR(__xludf.DUMMYFUNCTION("""COMPUTED_VALUE"""),"Email")</f>
        <v>Email</v>
      </c>
    </row>
    <row r="1013" spans="1:10" ht="13" x14ac:dyDescent="0.15">
      <c r="A1013" s="4">
        <f ca="1">IFERROR(__xludf.DUMMYFUNCTION("""COMPUTED_VALUE"""),38735830)</f>
        <v>38735830</v>
      </c>
      <c r="B1013" s="1" t="str">
        <f ca="1">IFERROR(__xludf.DUMMYFUNCTION("""COMPUTED_VALUE"""),"julie.ann.southwell@gmail.com")</f>
        <v>julie.ann.southwell@gmail.com</v>
      </c>
      <c r="C1013" s="4" t="str">
        <f ca="1">IFERROR(__xludf.DUMMYFUNCTION("""COMPUTED_VALUE"""),"UAN mid-page Lightbox - Step 3 of 4 - More opt-ins")</f>
        <v>UAN mid-page Lightbox - Step 3 of 4 - More opt-ins</v>
      </c>
      <c r="D1013" s="5">
        <f ca="1">IFERROR(__xludf.DUMMYFUNCTION("""COMPUTED_VALUE"""),45580)</f>
        <v>45580</v>
      </c>
      <c r="F1013" s="1" t="str">
        <f ca="1">IFERROR(__xludf.DUMMYFUNCTION("""COMPUTED_VALUE"""),"Iran")</f>
        <v>Iran</v>
      </c>
      <c r="G1013" s="1" t="str">
        <f ca="1">IFERROR(__xludf.DUMMYFUNCTION("""COMPUTED_VALUE"""),"Seventh 103.22 Iran")</f>
        <v>Seventh 103.22 Iran</v>
      </c>
      <c r="H1013" s="1" t="str">
        <f ca="1">IFERROR(__xludf.DUMMYFUNCTION("""COMPUTED_VALUE"""),"Death Penalty, Freedom of Expression, Individuals At Risk")</f>
        <v>Death Penalty, Freedom of Expression, Individuals At Risk</v>
      </c>
      <c r="I1013" s="1" t="str">
        <f ca="1">IFERROR(__xludf.DUMMYFUNCTION("""COMPUTED_VALUE"""),"2024")</f>
        <v>2024</v>
      </c>
      <c r="J1013" s="1" t="str">
        <f ca="1">IFERROR(__xludf.DUMMYFUNCTION("""COMPUTED_VALUE"""),"Email")</f>
        <v>Email</v>
      </c>
    </row>
    <row r="1014" spans="1:10" ht="13" x14ac:dyDescent="0.15">
      <c r="A1014" s="4">
        <f ca="1">IFERROR(__xludf.DUMMYFUNCTION("""COMPUTED_VALUE"""),38735830)</f>
        <v>38735830</v>
      </c>
      <c r="B1014" s="1" t="str">
        <f ca="1">IFERROR(__xludf.DUMMYFUNCTION("""COMPUTED_VALUE"""),"julie.ann.southwell@gmail.com")</f>
        <v>julie.ann.southwell@gmail.com</v>
      </c>
      <c r="C1014" s="4" t="str">
        <f ca="1">IFERROR(__xludf.DUMMYFUNCTION("""COMPUTED_VALUE"""),"UAN mid-page Lightbox - Step 3 of 4 - More opt-ins")</f>
        <v>UAN mid-page Lightbox - Step 3 of 4 - More opt-ins</v>
      </c>
      <c r="D1014" s="5">
        <f ca="1">IFERROR(__xludf.DUMMYFUNCTION("""COMPUTED_VALUE"""),45561)</f>
        <v>45561</v>
      </c>
      <c r="F1014" s="1" t="str">
        <f ca="1">IFERROR(__xludf.DUMMYFUNCTION("""COMPUTED_VALUE"""),"Saudi Arabia")</f>
        <v>Saudi Arabia</v>
      </c>
      <c r="G1014" s="1" t="str">
        <f ca="1">IFERROR(__xludf.DUMMYFUNCTION("""COMPUTED_VALUE"""),"Second 85.23 Saudi Arabia")</f>
        <v>Second 85.23 Saudi Arabia</v>
      </c>
      <c r="H1014" s="1" t="str">
        <f ca="1">IFERROR(__xludf.DUMMYFUNCTION("""COMPUTED_VALUE"""),"Freedom of Expression")</f>
        <v>Freedom of Expression</v>
      </c>
      <c r="I1014" s="1" t="str">
        <f ca="1">IFERROR(__xludf.DUMMYFUNCTION("""COMPUTED_VALUE"""),"2024")</f>
        <v>2024</v>
      </c>
      <c r="J1014" s="1" t="str">
        <f ca="1">IFERROR(__xludf.DUMMYFUNCTION("""COMPUTED_VALUE"""),"Letter")</f>
        <v>Letter</v>
      </c>
    </row>
    <row r="1015" spans="1:10" ht="13" x14ac:dyDescent="0.15">
      <c r="A1015" s="4">
        <f ca="1">IFERROR(__xludf.DUMMYFUNCTION("""COMPUTED_VALUE"""),40931334)</f>
        <v>40931334</v>
      </c>
      <c r="B1015" s="1" t="str">
        <f ca="1">IFERROR(__xludf.DUMMYFUNCTION("""COMPUTED_VALUE"""),"maruortiz324@yahoo.com")</f>
        <v>maruortiz324@yahoo.com</v>
      </c>
      <c r="C1015" s="4" t="str">
        <f ca="1">IFERROR(__xludf.DUMMYFUNCTION("""COMPUTED_VALUE"""),"EVERGREEN - UAN Gated Content - Embedded Petition")</f>
        <v>EVERGREEN - UAN Gated Content - Embedded Petition</v>
      </c>
      <c r="D1015" s="5">
        <f ca="1">IFERROR(__xludf.DUMMYFUNCTION("""COMPUTED_VALUE"""),45694)</f>
        <v>45694</v>
      </c>
      <c r="F1015" s="1" t="str">
        <f ca="1">IFERROR(__xludf.DUMMYFUNCTION("""COMPUTED_VALUE"""),"Singapore")</f>
        <v>Singapore</v>
      </c>
      <c r="G1015" s="1" t="str">
        <f ca="1">IFERROR(__xludf.DUMMYFUNCTION("""COMPUTED_VALUE"""),"107.24 Singapore")</f>
        <v>107.24 Singapore</v>
      </c>
      <c r="H1015" s="1" t="str">
        <f ca="1">IFERROR(__xludf.DUMMYFUNCTION("""COMPUTED_VALUE"""),"Death Penalty")</f>
        <v>Death Penalty</v>
      </c>
      <c r="I1015" s="1" t="str">
        <f ca="1">IFERROR(__xludf.DUMMYFUNCTION("""COMPUTED_VALUE"""),"2024")</f>
        <v>2024</v>
      </c>
      <c r="J1015" s="1" t="str">
        <f ca="1">IFERROR(__xludf.DUMMYFUNCTION("""COMPUTED_VALUE"""),"Email")</f>
        <v>Email</v>
      </c>
    </row>
    <row r="1016" spans="1:10" ht="13" x14ac:dyDescent="0.15">
      <c r="A1016" s="4">
        <f ca="1">IFERROR(__xludf.DUMMYFUNCTION("""COMPUTED_VALUE"""),40978344)</f>
        <v>40978344</v>
      </c>
      <c r="B1016" s="1" t="str">
        <f ca="1">IFERROR(__xludf.DUMMYFUNCTION("""COMPUTED_VALUE"""),"kukaber33@gmail.com")</f>
        <v>kukaber33@gmail.com</v>
      </c>
      <c r="C1016" s="4" t="str">
        <f ca="1">IFERROR(__xludf.DUMMYFUNCTION("""COMPUTED_VALUE"""),"EVERGREEN - UAN Gated Content - Embedded Petition")</f>
        <v>EVERGREEN - UAN Gated Content - Embedded Petition</v>
      </c>
      <c r="D1016" s="5">
        <f ca="1">IFERROR(__xludf.DUMMYFUNCTION("""COMPUTED_VALUE"""),45616)</f>
        <v>45616</v>
      </c>
      <c r="F1016" s="1" t="str">
        <f ca="1">IFERROR(__xludf.DUMMYFUNCTION("""COMPUTED_VALUE"""),"Turkiye")</f>
        <v>Turkiye</v>
      </c>
      <c r="G1016" s="1" t="str">
        <f ca="1">IFERROR(__xludf.DUMMYFUNCTION("""COMPUTED_VALUE"""),"109.24 Türkiye")</f>
        <v>109.24 Türkiye</v>
      </c>
      <c r="H1016" s="1" t="str">
        <f ca="1">IFERROR(__xludf.DUMMYFUNCTION("""COMPUTED_VALUE"""),"Human Rights Defenders, Individuals At Risk")</f>
        <v>Human Rights Defenders, Individuals At Risk</v>
      </c>
      <c r="I1016" s="1" t="str">
        <f ca="1">IFERROR(__xludf.DUMMYFUNCTION("""COMPUTED_VALUE"""),"2024")</f>
        <v>2024</v>
      </c>
      <c r="J1016" s="1" t="str">
        <f ca="1">IFERROR(__xludf.DUMMYFUNCTION("""COMPUTED_VALUE"""),"Email")</f>
        <v>Email</v>
      </c>
    </row>
    <row r="1017" spans="1:10" ht="13" x14ac:dyDescent="0.15">
      <c r="A1017" s="4">
        <f ca="1">IFERROR(__xludf.DUMMYFUNCTION("""COMPUTED_VALUE"""),40985103)</f>
        <v>40985103</v>
      </c>
      <c r="B1017" s="1" t="str">
        <f ca="1">IFERROR(__xludf.DUMMYFUNCTION("""COMPUTED_VALUE"""),"maggyjv27@gmail.com")</f>
        <v>maggyjv27@gmail.com</v>
      </c>
      <c r="C1017" s="4" t="str">
        <f ca="1">IFERROR(__xludf.DUMMYFUNCTION("""COMPUTED_VALUE"""),"EVERGREEN - UAN Gated Content - Embedded Petition")</f>
        <v>EVERGREEN - UAN Gated Content - Embedded Petition</v>
      </c>
      <c r="D1017" s="5">
        <f ca="1">IFERROR(__xludf.DUMMYFUNCTION("""COMPUTED_VALUE"""),45641)</f>
        <v>45641</v>
      </c>
      <c r="F1017" s="1" t="str">
        <f ca="1">IFERROR(__xludf.DUMMYFUNCTION("""COMPUTED_VALUE"""),"China")</f>
        <v>China</v>
      </c>
      <c r="G1017" s="1" t="str">
        <f ca="1">IFERROR(__xludf.DUMMYFUNCTION("""COMPUTED_VALUE"""),"98.24 China")</f>
        <v>98.24 China</v>
      </c>
      <c r="H1017" s="1" t="str">
        <f ca="1">IFERROR(__xludf.DUMMYFUNCTION("""COMPUTED_VALUE"""),"Freedom of Expression, Individuals At Risk")</f>
        <v>Freedom of Expression, Individuals At Risk</v>
      </c>
      <c r="I1017" s="1" t="str">
        <f ca="1">IFERROR(__xludf.DUMMYFUNCTION("""COMPUTED_VALUE"""),"2024")</f>
        <v>2024</v>
      </c>
      <c r="J1017" s="1" t="str">
        <f ca="1">IFERROR(__xludf.DUMMYFUNCTION("""COMPUTED_VALUE"""),"Letter")</f>
        <v>Letter</v>
      </c>
    </row>
    <row r="1018" spans="1:10" ht="13" x14ac:dyDescent="0.15">
      <c r="A1018" s="4">
        <f ca="1">IFERROR(__xludf.DUMMYFUNCTION("""COMPUTED_VALUE"""),40985103)</f>
        <v>40985103</v>
      </c>
      <c r="B1018" s="1" t="str">
        <f ca="1">IFERROR(__xludf.DUMMYFUNCTION("""COMPUTED_VALUE"""),"maggyjv27@gmail.com")</f>
        <v>maggyjv27@gmail.com</v>
      </c>
      <c r="C1018" s="4" t="str">
        <f ca="1">IFERROR(__xludf.DUMMYFUNCTION("""COMPUTED_VALUE"""),"EVERGREEN - UAN Gated Content - Embedded Petition")</f>
        <v>EVERGREEN - UAN Gated Content - Embedded Petition</v>
      </c>
      <c r="D1018" s="5">
        <f ca="1">IFERROR(__xludf.DUMMYFUNCTION("""COMPUTED_VALUE"""),45694)</f>
        <v>45694</v>
      </c>
      <c r="F1018" s="1" t="str">
        <f ca="1">IFERROR(__xludf.DUMMYFUNCTION("""COMPUTED_VALUE"""),"Venezuela")</f>
        <v>Venezuela</v>
      </c>
      <c r="G1018" s="1" t="str">
        <f ca="1">IFERROR(__xludf.DUMMYFUNCTION("""COMPUTED_VALUE"""),"97.24 Venezuela")</f>
        <v>97.24 Venezuela</v>
      </c>
      <c r="H1018" s="1" t="str">
        <f ca="1">IFERROR(__xludf.DUMMYFUNCTION("""COMPUTED_VALUE"""),"Freedom of Expression")</f>
        <v>Freedom of Expression</v>
      </c>
      <c r="I1018" s="1" t="str">
        <f ca="1">IFERROR(__xludf.DUMMYFUNCTION("""COMPUTED_VALUE"""),"2024")</f>
        <v>2024</v>
      </c>
      <c r="J1018" s="1" t="str">
        <f ca="1">IFERROR(__xludf.DUMMYFUNCTION("""COMPUTED_VALUE"""),"Letter")</f>
        <v>Letter</v>
      </c>
    </row>
    <row r="1019" spans="1:10" ht="13" x14ac:dyDescent="0.15">
      <c r="A1019" s="4">
        <f ca="1">IFERROR(__xludf.DUMMYFUNCTION("""COMPUTED_VALUE"""),40985400)</f>
        <v>40985400</v>
      </c>
      <c r="B1019" s="1" t="str">
        <f ca="1">IFERROR(__xludf.DUMMYFUNCTION("""COMPUTED_VALUE"""),"nannickers@gmail.com")</f>
        <v>nannickers@gmail.com</v>
      </c>
      <c r="C1019" s="4" t="str">
        <f ca="1">IFERROR(__xludf.DUMMYFUNCTION("""COMPUTED_VALUE"""),"EVERGREEN - UAN Gated Content - Embedded Petition")</f>
        <v>EVERGREEN - UAN Gated Content - Embedded Petition</v>
      </c>
      <c r="D1019" s="5">
        <f ca="1">IFERROR(__xludf.DUMMYFUNCTION("""COMPUTED_VALUE"""),45637)</f>
        <v>45637</v>
      </c>
      <c r="F1019" s="1" t="str">
        <f ca="1">IFERROR(__xludf.DUMMYFUNCTION("""COMPUTED_VALUE"""),"Egypt")</f>
        <v>Egypt</v>
      </c>
      <c r="G1019" s="1" t="str">
        <f ca="1">IFERROR(__xludf.DUMMYFUNCTION("""COMPUTED_VALUE"""),"Ninth 190.18 Egypt")</f>
        <v>Ninth 190.18 Egypt</v>
      </c>
      <c r="H1019" s="1" t="str">
        <f ca="1">IFERROR(__xludf.DUMMYFUNCTION("""COMPUTED_VALUE"""),"Freedom of Expression, Individuals At Risk")</f>
        <v>Freedom of Expression, Individuals At Risk</v>
      </c>
      <c r="I1019" s="1" t="str">
        <f ca="1">IFERROR(__xludf.DUMMYFUNCTION("""COMPUTED_VALUE"""),"2024")</f>
        <v>2024</v>
      </c>
      <c r="J1019" s="1" t="str">
        <f ca="1">IFERROR(__xludf.DUMMYFUNCTION("""COMPUTED_VALUE"""),"Letter")</f>
        <v>Letter</v>
      </c>
    </row>
    <row r="1020" spans="1:10" ht="13" x14ac:dyDescent="0.15">
      <c r="A1020" s="4">
        <f ca="1">IFERROR(__xludf.DUMMYFUNCTION("""COMPUTED_VALUE"""),40985400)</f>
        <v>40985400</v>
      </c>
      <c r="B1020" s="1" t="str">
        <f ca="1">IFERROR(__xludf.DUMMYFUNCTION("""COMPUTED_VALUE"""),"nannickers@gmail.com")</f>
        <v>nannickers@gmail.com</v>
      </c>
      <c r="C1020" s="4" t="str">
        <f ca="1">IFERROR(__xludf.DUMMYFUNCTION("""COMPUTED_VALUE"""),"EVERGREEN - UAN Gated Content - Embedded Petition")</f>
        <v>EVERGREEN - UAN Gated Content - Embedded Petition</v>
      </c>
      <c r="D1020" s="5">
        <f ca="1">IFERROR(__xludf.DUMMYFUNCTION("""COMPUTED_VALUE"""),45637)</f>
        <v>45637</v>
      </c>
      <c r="F1020" s="1" t="str">
        <f ca="1">IFERROR(__xludf.DUMMYFUNCTION("""COMPUTED_VALUE"""),"USA")</f>
        <v>USA</v>
      </c>
      <c r="G1020" s="1" t="str">
        <f ca="1">IFERROR(__xludf.DUMMYFUNCTION("""COMPUTED_VALUE"""),"105.24 USA")</f>
        <v>105.24 USA</v>
      </c>
      <c r="H1020" s="1" t="str">
        <f ca="1">IFERROR(__xludf.DUMMYFUNCTION("""COMPUTED_VALUE"""),"Death Penalty")</f>
        <v>Death Penalty</v>
      </c>
      <c r="I1020" s="1" t="str">
        <f ca="1">IFERROR(__xludf.DUMMYFUNCTION("""COMPUTED_VALUE"""),"2024")</f>
        <v>2024</v>
      </c>
      <c r="J1020" s="1" t="str">
        <f ca="1">IFERROR(__xludf.DUMMYFUNCTION("""COMPUTED_VALUE"""),"Email")</f>
        <v>Email</v>
      </c>
    </row>
    <row r="1021" spans="1:10" ht="13" x14ac:dyDescent="0.15">
      <c r="A1021" s="4">
        <f ca="1">IFERROR(__xludf.DUMMYFUNCTION("""COMPUTED_VALUE"""),40985400)</f>
        <v>40985400</v>
      </c>
      <c r="B1021" s="1" t="str">
        <f ca="1">IFERROR(__xludf.DUMMYFUNCTION("""COMPUTED_VALUE"""),"nannickers@gmail.com")</f>
        <v>nannickers@gmail.com</v>
      </c>
      <c r="C1021" s="4" t="str">
        <f ca="1">IFERROR(__xludf.DUMMYFUNCTION("""COMPUTED_VALUE"""),"EVERGREEN - UAN Gated Content - Embedded Petition")</f>
        <v>EVERGREEN - UAN Gated Content - Embedded Petition</v>
      </c>
      <c r="D1021" s="5">
        <f ca="1">IFERROR(__xludf.DUMMYFUNCTION("""COMPUTED_VALUE"""),45637)</f>
        <v>45637</v>
      </c>
      <c r="F1021" s="1" t="str">
        <f ca="1">IFERROR(__xludf.DUMMYFUNCTION("""COMPUTED_VALUE"""),"Russian Federation")</f>
        <v>Russian Federation</v>
      </c>
      <c r="G1021" s="1" t="str">
        <f ca="1">IFERROR(__xludf.DUMMYFUNCTION("""COMPUTED_VALUE"""),"Second 23.24 Russia")</f>
        <v>Second 23.24 Russia</v>
      </c>
      <c r="H1021" s="1" t="str">
        <f ca="1">IFERROR(__xludf.DUMMYFUNCTION("""COMPUTED_VALUE"""),"Freedom of Expression")</f>
        <v>Freedom of Expression</v>
      </c>
      <c r="I1021" s="1" t="str">
        <f ca="1">IFERROR(__xludf.DUMMYFUNCTION("""COMPUTED_VALUE"""),"2024")</f>
        <v>2024</v>
      </c>
      <c r="J1021" s="1" t="str">
        <f ca="1">IFERROR(__xludf.DUMMYFUNCTION("""COMPUTED_VALUE"""),"Letter")</f>
        <v>Letter</v>
      </c>
    </row>
    <row r="1022" spans="1:10" ht="13" x14ac:dyDescent="0.15">
      <c r="A1022" s="4">
        <f ca="1">IFERROR(__xludf.DUMMYFUNCTION("""COMPUTED_VALUE"""),40985400)</f>
        <v>40985400</v>
      </c>
      <c r="B1022" s="1" t="str">
        <f ca="1">IFERROR(__xludf.DUMMYFUNCTION("""COMPUTED_VALUE"""),"nannickers@gmail.com")</f>
        <v>nannickers@gmail.com</v>
      </c>
      <c r="C1022" s="4" t="str">
        <f ca="1">IFERROR(__xludf.DUMMYFUNCTION("""COMPUTED_VALUE"""),"EVERGREEN - UAN Gated Content - Embedded Petition")</f>
        <v>EVERGREEN - UAN Gated Content - Embedded Petition</v>
      </c>
      <c r="D1022" s="5">
        <f ca="1">IFERROR(__xludf.DUMMYFUNCTION("""COMPUTED_VALUE"""),45638)</f>
        <v>45638</v>
      </c>
      <c r="F1022" s="1" t="str">
        <f ca="1">IFERROR(__xludf.DUMMYFUNCTION("""COMPUTED_VALUE"""),"Niger")</f>
        <v>Niger</v>
      </c>
      <c r="G1022" s="1" t="str">
        <f ca="1">IFERROR(__xludf.DUMMYFUNCTION("""COMPUTED_VALUE"""),"103.24 Niger")</f>
        <v>103.24 Niger</v>
      </c>
      <c r="H1022" s="1" t="str">
        <f ca="1">IFERROR(__xludf.DUMMYFUNCTION("""COMPUTED_VALUE"""),"Freedom of Expression, Human Rights Defenders")</f>
        <v>Freedom of Expression, Human Rights Defenders</v>
      </c>
      <c r="I1022" s="1" t="str">
        <f ca="1">IFERROR(__xludf.DUMMYFUNCTION("""COMPUTED_VALUE"""),"2024")</f>
        <v>2024</v>
      </c>
      <c r="J1022" s="1" t="str">
        <f ca="1">IFERROR(__xludf.DUMMYFUNCTION("""COMPUTED_VALUE"""),"Email")</f>
        <v>Email</v>
      </c>
    </row>
    <row r="1023" spans="1:10" ht="13" x14ac:dyDescent="0.15">
      <c r="A1023" s="4">
        <f ca="1">IFERROR(__xludf.DUMMYFUNCTION("""COMPUTED_VALUE"""),40985400)</f>
        <v>40985400</v>
      </c>
      <c r="B1023" s="1" t="str">
        <f ca="1">IFERROR(__xludf.DUMMYFUNCTION("""COMPUTED_VALUE"""),"nannickers@gmail.com")</f>
        <v>nannickers@gmail.com</v>
      </c>
      <c r="C1023" s="4" t="str">
        <f ca="1">IFERROR(__xludf.DUMMYFUNCTION("""COMPUTED_VALUE"""),"EVERGREEN - UAN Gated Content - Embedded Petition")</f>
        <v>EVERGREEN - UAN Gated Content - Embedded Petition</v>
      </c>
      <c r="D1023" s="5">
        <f ca="1">IFERROR(__xludf.DUMMYFUNCTION("""COMPUTED_VALUE"""),45636)</f>
        <v>45636</v>
      </c>
      <c r="F1023" s="1" t="str">
        <f ca="1">IFERROR(__xludf.DUMMYFUNCTION("""COMPUTED_VALUE"""),"Israel and Occupied Palestinian Territories")</f>
        <v>Israel and Occupied Palestinian Territories</v>
      </c>
      <c r="G1023" s="1" t="str">
        <f ca="1">IFERROR(__xludf.DUMMYFUNCTION("""COMPUTED_VALUE"""),"3.25 IOPT")</f>
        <v>3.25 IOPT</v>
      </c>
      <c r="H1023" s="1" t="str">
        <f ca="1">IFERROR(__xludf.DUMMYFUNCTION("""COMPUTED_VALUE"""),"Freedom of Expression, Individuals At Risk")</f>
        <v>Freedom of Expression, Individuals At Risk</v>
      </c>
      <c r="I1023" s="1" t="str">
        <f ca="1">IFERROR(__xludf.DUMMYFUNCTION("""COMPUTED_VALUE"""),"2025")</f>
        <v>2025</v>
      </c>
      <c r="J1023" s="1" t="str">
        <f ca="1">IFERROR(__xludf.DUMMYFUNCTION("""COMPUTED_VALUE"""),"Email")</f>
        <v>Email</v>
      </c>
    </row>
    <row r="1024" spans="1:10" ht="13" x14ac:dyDescent="0.15">
      <c r="A1024" s="4">
        <f ca="1">IFERROR(__xludf.DUMMYFUNCTION("""COMPUTED_VALUE"""),40985400)</f>
        <v>40985400</v>
      </c>
      <c r="B1024" s="1" t="str">
        <f ca="1">IFERROR(__xludf.DUMMYFUNCTION("""COMPUTED_VALUE"""),"nannickers@gmail.com")</f>
        <v>nannickers@gmail.com</v>
      </c>
      <c r="C1024" s="4" t="str">
        <f ca="1">IFERROR(__xludf.DUMMYFUNCTION("""COMPUTED_VALUE"""),"EVERGREEN - UAN Gated Content - Embedded Petition")</f>
        <v>EVERGREEN - UAN Gated Content - Embedded Petition</v>
      </c>
      <c r="D1024" s="5">
        <f ca="1">IFERROR(__xludf.DUMMYFUNCTION("""COMPUTED_VALUE"""),45636)</f>
        <v>45636</v>
      </c>
      <c r="F1024" s="1" t="str">
        <f ca="1">IFERROR(__xludf.DUMMYFUNCTION("""COMPUTED_VALUE"""),"USA")</f>
        <v>USA</v>
      </c>
      <c r="G1024" s="1" t="str">
        <f ca="1">IFERROR(__xludf.DUMMYFUNCTION("""COMPUTED_VALUE"""),"4.25 USA")</f>
        <v>4.25 USA</v>
      </c>
      <c r="H1024" s="1" t="str">
        <f ca="1">IFERROR(__xludf.DUMMYFUNCTION("""COMPUTED_VALUE"""),"Individuals At Risk, Refugee and Migrant Rights")</f>
        <v>Individuals At Risk, Refugee and Migrant Rights</v>
      </c>
      <c r="I1024" s="1" t="str">
        <f ca="1">IFERROR(__xludf.DUMMYFUNCTION("""COMPUTED_VALUE"""),"2025")</f>
        <v>2025</v>
      </c>
      <c r="J1024" s="1" t="str">
        <f ca="1">IFERROR(__xludf.DUMMYFUNCTION("""COMPUTED_VALUE"""),"Letter")</f>
        <v>Letter</v>
      </c>
    </row>
    <row r="1025" spans="1:10" ht="13" x14ac:dyDescent="0.15">
      <c r="A1025" s="4">
        <f ca="1">IFERROR(__xludf.DUMMYFUNCTION("""COMPUTED_VALUE"""),40985400)</f>
        <v>40985400</v>
      </c>
      <c r="B1025" s="1" t="str">
        <f ca="1">IFERROR(__xludf.DUMMYFUNCTION("""COMPUTED_VALUE"""),"nannickers@gmail.com")</f>
        <v>nannickers@gmail.com</v>
      </c>
      <c r="C1025" s="4" t="str">
        <f ca="1">IFERROR(__xludf.DUMMYFUNCTION("""COMPUTED_VALUE"""),"EVERGREEN - UAN Gated Content - Embedded Petition")</f>
        <v>EVERGREEN - UAN Gated Content - Embedded Petition</v>
      </c>
      <c r="D1025" s="5">
        <f ca="1">IFERROR(__xludf.DUMMYFUNCTION("""COMPUTED_VALUE"""),45624)</f>
        <v>45624</v>
      </c>
      <c r="F1025" s="1" t="str">
        <f ca="1">IFERROR(__xludf.DUMMYFUNCTION("""COMPUTED_VALUE"""),"Tunisia")</f>
        <v>Tunisia</v>
      </c>
      <c r="G1025" s="1" t="str">
        <f ca="1">IFERROR(__xludf.DUMMYFUNCTION("""COMPUTED_VALUE"""),"Second 76.24 Tunisia")</f>
        <v>Second 76.24 Tunisia</v>
      </c>
      <c r="H1025" s="1" t="str">
        <f ca="1">IFERROR(__xludf.DUMMYFUNCTION("""COMPUTED_VALUE"""),"Freedom of Expression, Human Rights Defenders")</f>
        <v>Freedom of Expression, Human Rights Defenders</v>
      </c>
      <c r="I1025" s="1" t="str">
        <f ca="1">IFERROR(__xludf.DUMMYFUNCTION("""COMPUTED_VALUE"""),"2025")</f>
        <v>2025</v>
      </c>
      <c r="J1025" s="1" t="str">
        <f ca="1">IFERROR(__xludf.DUMMYFUNCTION("""COMPUTED_VALUE"""),"Email")</f>
        <v>Email</v>
      </c>
    </row>
    <row r="1026" spans="1:10" ht="13" x14ac:dyDescent="0.15">
      <c r="A1026" s="4">
        <f ca="1">IFERROR(__xludf.DUMMYFUNCTION("""COMPUTED_VALUE"""),40985400)</f>
        <v>40985400</v>
      </c>
      <c r="B1026" s="1" t="str">
        <f ca="1">IFERROR(__xludf.DUMMYFUNCTION("""COMPUTED_VALUE"""),"nannickers@gmail.com")</f>
        <v>nannickers@gmail.com</v>
      </c>
      <c r="C1026" s="4" t="str">
        <f ca="1">IFERROR(__xludf.DUMMYFUNCTION("""COMPUTED_VALUE"""),"EVERGREEN - UAN Gated Content - Embedded Petition")</f>
        <v>EVERGREEN - UAN Gated Content - Embedded Petition</v>
      </c>
      <c r="D1026" s="5">
        <f ca="1">IFERROR(__xludf.DUMMYFUNCTION("""COMPUTED_VALUE"""),45625)</f>
        <v>45625</v>
      </c>
      <c r="F1026" s="1" t="str">
        <f ca="1">IFERROR(__xludf.DUMMYFUNCTION("""COMPUTED_VALUE"""),"Egypt")</f>
        <v>Egypt</v>
      </c>
      <c r="G1026" s="1" t="str">
        <f ca="1">IFERROR(__xludf.DUMMYFUNCTION("""COMPUTED_VALUE"""),"Second 80.23 Egypt")</f>
        <v>Second 80.23 Egypt</v>
      </c>
      <c r="H1026" s="1" t="str">
        <f ca="1">IFERROR(__xludf.DUMMYFUNCTION("""COMPUTED_VALUE"""),"Health, Individuals At Risk")</f>
        <v>Health, Individuals At Risk</v>
      </c>
      <c r="I1026" s="1" t="str">
        <f ca="1">IFERROR(__xludf.DUMMYFUNCTION("""COMPUTED_VALUE"""),"2025")</f>
        <v>2025</v>
      </c>
      <c r="J1026" s="1" t="str">
        <f ca="1">IFERROR(__xludf.DUMMYFUNCTION("""COMPUTED_VALUE"""),"Email")</f>
        <v>Email</v>
      </c>
    </row>
    <row r="1027" spans="1:10" ht="13" x14ac:dyDescent="0.15">
      <c r="A1027" s="4">
        <f ca="1">IFERROR(__xludf.DUMMYFUNCTION("""COMPUTED_VALUE"""),40985400)</f>
        <v>40985400</v>
      </c>
      <c r="B1027" s="1" t="str">
        <f ca="1">IFERROR(__xludf.DUMMYFUNCTION("""COMPUTED_VALUE"""),"nannickers@gmail.com")</f>
        <v>nannickers@gmail.com</v>
      </c>
      <c r="C1027" s="4" t="str">
        <f ca="1">IFERROR(__xludf.DUMMYFUNCTION("""COMPUTED_VALUE"""),"EVERGREEN - UAN Gated Content - Embedded Petition")</f>
        <v>EVERGREEN - UAN Gated Content - Embedded Petition</v>
      </c>
      <c r="D1027" s="5">
        <f ca="1">IFERROR(__xludf.DUMMYFUNCTION("""COMPUTED_VALUE"""),45681)</f>
        <v>45681</v>
      </c>
      <c r="F1027" s="1" t="str">
        <f ca="1">IFERROR(__xludf.DUMMYFUNCTION("""COMPUTED_VALUE"""),"Uganda")</f>
        <v>Uganda</v>
      </c>
      <c r="G1027" s="1" t="str">
        <f ca="1">IFERROR(__xludf.DUMMYFUNCTION("""COMPUTED_VALUE"""),"9.25 Uganda")</f>
        <v>9.25 Uganda</v>
      </c>
      <c r="H1027" s="1" t="str">
        <f ca="1">IFERROR(__xludf.DUMMYFUNCTION("""COMPUTED_VALUE"""),"Freedom of Expression, Human Rights Defenders")</f>
        <v>Freedom of Expression, Human Rights Defenders</v>
      </c>
      <c r="I1027" s="1" t="str">
        <f ca="1">IFERROR(__xludf.DUMMYFUNCTION("""COMPUTED_VALUE"""),"2025")</f>
        <v>2025</v>
      </c>
      <c r="J1027" s="1" t="str">
        <f ca="1">IFERROR(__xludf.DUMMYFUNCTION("""COMPUTED_VALUE"""),"Email")</f>
        <v>Email</v>
      </c>
    </row>
    <row r="1028" spans="1:10" ht="13" x14ac:dyDescent="0.15">
      <c r="A1028" s="4">
        <f ca="1">IFERROR(__xludf.DUMMYFUNCTION("""COMPUTED_VALUE"""),40985400)</f>
        <v>40985400</v>
      </c>
      <c r="B1028" s="1" t="str">
        <f ca="1">IFERROR(__xludf.DUMMYFUNCTION("""COMPUTED_VALUE"""),"nannickers@gmail.com")</f>
        <v>nannickers@gmail.com</v>
      </c>
      <c r="C1028" s="4" t="str">
        <f ca="1">IFERROR(__xludf.DUMMYFUNCTION("""COMPUTED_VALUE"""),"EVERGREEN - UAN Gated Content - Embedded Petition")</f>
        <v>EVERGREEN - UAN Gated Content - Embedded Petition</v>
      </c>
      <c r="D1028" s="5">
        <f ca="1">IFERROR(__xludf.DUMMYFUNCTION("""COMPUTED_VALUE"""),45681)</f>
        <v>45681</v>
      </c>
      <c r="F1028" s="1" t="str">
        <f ca="1">IFERROR(__xludf.DUMMYFUNCTION("""COMPUTED_VALUE"""),"Saudi Arabia")</f>
        <v>Saudi Arabia</v>
      </c>
      <c r="G1028" s="1" t="str">
        <f ca="1">IFERROR(__xludf.DUMMYFUNCTION("""COMPUTED_VALUE"""),"Fifth 257.12")</f>
        <v>Fifth 257.12</v>
      </c>
      <c r="H1028" s="1" t="str">
        <f ca="1">IFERROR(__xludf.DUMMYFUNCTION("""COMPUTED_VALUE"""),"Freedom of Expression, Human Rights Defenders")</f>
        <v>Freedom of Expression, Human Rights Defenders</v>
      </c>
      <c r="I1028" s="1" t="str">
        <f ca="1">IFERROR(__xludf.DUMMYFUNCTION("""COMPUTED_VALUE"""),"2025")</f>
        <v>2025</v>
      </c>
      <c r="J1028" s="1" t="str">
        <f ca="1">IFERROR(__xludf.DUMMYFUNCTION("""COMPUTED_VALUE"""),"Email")</f>
        <v>Email</v>
      </c>
    </row>
    <row r="1029" spans="1:10" ht="13" x14ac:dyDescent="0.15">
      <c r="A1029" s="4">
        <f ca="1">IFERROR(__xludf.DUMMYFUNCTION("""COMPUTED_VALUE"""),40985400)</f>
        <v>40985400</v>
      </c>
      <c r="B1029" s="1" t="str">
        <f ca="1">IFERROR(__xludf.DUMMYFUNCTION("""COMPUTED_VALUE"""),"nannickers@gmail.com")</f>
        <v>nannickers@gmail.com</v>
      </c>
      <c r="C1029" s="4" t="str">
        <f ca="1">IFERROR(__xludf.DUMMYFUNCTION("""COMPUTED_VALUE"""),"EVERGREEN - UAN Gated Content - Embedded Petition")</f>
        <v>EVERGREEN - UAN Gated Content - Embedded Petition</v>
      </c>
      <c r="D1029" s="5">
        <f ca="1">IFERROR(__xludf.DUMMYFUNCTION("""COMPUTED_VALUE"""),45616)</f>
        <v>45616</v>
      </c>
      <c r="F1029" s="1" t="str">
        <f ca="1">IFERROR(__xludf.DUMMYFUNCTION("""COMPUTED_VALUE"""),"Afghanistan")</f>
        <v>Afghanistan</v>
      </c>
      <c r="G1029" s="1" t="str">
        <f ca="1">IFERROR(__xludf.DUMMYFUNCTION("""COMPUTED_VALUE"""),"11.25 Afghanistan")</f>
        <v>11.25 Afghanistan</v>
      </c>
      <c r="H1029" s="1" t="str">
        <f ca="1">IFERROR(__xludf.DUMMYFUNCTION("""COMPUTED_VALUE"""),"Freedom of Expression, Health, Individuals At Risk")</f>
        <v>Freedom of Expression, Health, Individuals At Risk</v>
      </c>
      <c r="I1029" s="1" t="str">
        <f ca="1">IFERROR(__xludf.DUMMYFUNCTION("""COMPUTED_VALUE"""),"2025")</f>
        <v>2025</v>
      </c>
      <c r="J1029" s="1" t="str">
        <f ca="1">IFERROR(__xludf.DUMMYFUNCTION("""COMPUTED_VALUE"""),"Email")</f>
        <v>Email</v>
      </c>
    </row>
    <row r="1030" spans="1:10" ht="13" x14ac:dyDescent="0.15">
      <c r="A1030" s="4">
        <f ca="1">IFERROR(__xludf.DUMMYFUNCTION("""COMPUTED_VALUE"""),40985400)</f>
        <v>40985400</v>
      </c>
      <c r="B1030" s="1" t="str">
        <f ca="1">IFERROR(__xludf.DUMMYFUNCTION("""COMPUTED_VALUE"""),"nannickers@gmail.com")</f>
        <v>nannickers@gmail.com</v>
      </c>
      <c r="C1030" s="4" t="str">
        <f ca="1">IFERROR(__xludf.DUMMYFUNCTION("""COMPUTED_VALUE"""),"EVERGREEN - UAN Gated Content - Embedded Petition")</f>
        <v>EVERGREEN - UAN Gated Content - Embedded Petition</v>
      </c>
      <c r="D1030" s="5">
        <f ca="1">IFERROR(__xludf.DUMMYFUNCTION("""COMPUTED_VALUE"""),45695)</f>
        <v>45695</v>
      </c>
      <c r="F1030" s="1" t="str">
        <f ca="1">IFERROR(__xludf.DUMMYFUNCTION("""COMPUTED_VALUE"""),"Libya")</f>
        <v>Libya</v>
      </c>
      <c r="G1030" s="1" t="str">
        <f ca="1">IFERROR(__xludf.DUMMYFUNCTION("""COMPUTED_VALUE"""),"12.25 Libya")</f>
        <v>12.25 Libya</v>
      </c>
      <c r="H1030" s="1" t="str">
        <f ca="1">IFERROR(__xludf.DUMMYFUNCTION("""COMPUTED_VALUE"""),"Freedom of Expression, Health, Individuals At Risk")</f>
        <v>Freedom of Expression, Health, Individuals At Risk</v>
      </c>
      <c r="I1030" s="1" t="str">
        <f ca="1">IFERROR(__xludf.DUMMYFUNCTION("""COMPUTED_VALUE"""),"2025")</f>
        <v>2025</v>
      </c>
      <c r="J1030" s="1" t="str">
        <f ca="1">IFERROR(__xludf.DUMMYFUNCTION("""COMPUTED_VALUE"""),"Email")</f>
        <v>Email</v>
      </c>
    </row>
    <row r="1031" spans="1:10" ht="13" x14ac:dyDescent="0.15">
      <c r="A1031" s="4">
        <f ca="1">IFERROR(__xludf.DUMMYFUNCTION("""COMPUTED_VALUE"""),40985400)</f>
        <v>40985400</v>
      </c>
      <c r="B1031" s="1" t="str">
        <f ca="1">IFERROR(__xludf.DUMMYFUNCTION("""COMPUTED_VALUE"""),"nannickers@gmail.com")</f>
        <v>nannickers@gmail.com</v>
      </c>
      <c r="C1031" s="4" t="str">
        <f ca="1">IFERROR(__xludf.DUMMYFUNCTION("""COMPUTED_VALUE"""),"EVERGREEN - UAN Gated Content - Embedded Petition")</f>
        <v>EVERGREEN - UAN Gated Content - Embedded Petition</v>
      </c>
      <c r="D1031" s="5">
        <f ca="1">IFERROR(__xludf.DUMMYFUNCTION("""COMPUTED_VALUE"""),45695)</f>
        <v>45695</v>
      </c>
      <c r="F1031" s="1" t="str">
        <f ca="1">IFERROR(__xludf.DUMMYFUNCTION("""COMPUTED_VALUE"""),"Tunisia")</f>
        <v>Tunisia</v>
      </c>
      <c r="G1031" s="1" t="str">
        <f ca="1">IFERROR(__xludf.DUMMYFUNCTION("""COMPUTED_VALUE"""),"Second 76.24 Tunisia")</f>
        <v>Second 76.24 Tunisia</v>
      </c>
      <c r="H1031" s="1" t="str">
        <f ca="1">IFERROR(__xludf.DUMMYFUNCTION("""COMPUTED_VALUE"""),"Freedom of Expression, Human Rights Defenders")</f>
        <v>Freedom of Expression, Human Rights Defenders</v>
      </c>
      <c r="I1031" s="1" t="str">
        <f ca="1">IFERROR(__xludf.DUMMYFUNCTION("""COMPUTED_VALUE"""),"2025")</f>
        <v>2025</v>
      </c>
      <c r="J1031" s="1" t="str">
        <f ca="1">IFERROR(__xludf.DUMMYFUNCTION("""COMPUTED_VALUE"""),"Email")</f>
        <v>Email</v>
      </c>
    </row>
    <row r="1032" spans="1:10" ht="13" x14ac:dyDescent="0.15">
      <c r="A1032" s="4">
        <f ca="1">IFERROR(__xludf.DUMMYFUNCTION("""COMPUTED_VALUE"""),40986110)</f>
        <v>40986110</v>
      </c>
      <c r="B1032" s="1" t="str">
        <f ca="1">IFERROR(__xludf.DUMMYFUNCTION("""COMPUTED_VALUE"""),"vincentamari1@gmail.com")</f>
        <v>vincentamari1@gmail.com</v>
      </c>
      <c r="C1032" s="4" t="str">
        <f ca="1">IFERROR(__xludf.DUMMYFUNCTION("""COMPUTED_VALUE"""),"EVERGREEN - UAN Gated Content - Embedded Petition")</f>
        <v>EVERGREEN - UAN Gated Content - Embedded Petition</v>
      </c>
      <c r="D1032" s="5">
        <f ca="1">IFERROR(__xludf.DUMMYFUNCTION("""COMPUTED_VALUE"""),45694)</f>
        <v>45694</v>
      </c>
      <c r="F1032" s="1" t="str">
        <f ca="1">IFERROR(__xludf.DUMMYFUNCTION("""COMPUTED_VALUE"""),"Tunisia")</f>
        <v>Tunisia</v>
      </c>
      <c r="G1032" s="1" t="str">
        <f ca="1">IFERROR(__xludf.DUMMYFUNCTION("""COMPUTED_VALUE"""),"Second 76.24 Tunisia")</f>
        <v>Second 76.24 Tunisia</v>
      </c>
      <c r="H1032" s="1" t="str">
        <f ca="1">IFERROR(__xludf.DUMMYFUNCTION("""COMPUTED_VALUE"""),"Freedom of Expression, Human Rights Defenders")</f>
        <v>Freedom of Expression, Human Rights Defenders</v>
      </c>
      <c r="I1032" s="1" t="str">
        <f ca="1">IFERROR(__xludf.DUMMYFUNCTION("""COMPUTED_VALUE"""),"2025")</f>
        <v>2025</v>
      </c>
      <c r="J1032" s="1" t="str">
        <f ca="1">IFERROR(__xludf.DUMMYFUNCTION("""COMPUTED_VALUE"""),"Email")</f>
        <v>Email</v>
      </c>
    </row>
    <row r="1033" spans="1:10" ht="13" x14ac:dyDescent="0.15">
      <c r="A1033" s="4">
        <f ca="1">IFERROR(__xludf.DUMMYFUNCTION("""COMPUTED_VALUE"""),47173578)</f>
        <v>47173578</v>
      </c>
      <c r="B1033" s="1" t="str">
        <f ca="1">IFERROR(__xludf.DUMMYFUNCTION("""COMPUTED_VALUE"""),"jameslinda81@gmail.com")</f>
        <v>jameslinda81@gmail.com</v>
      </c>
      <c r="C1033" s="4" t="str">
        <f ca="1">IFERROR(__xludf.DUMMYFUNCTION("""COMPUTED_VALUE"""),"EVERGREEN - UAN Gated Content - Embedded Petition")</f>
        <v>EVERGREEN - UAN Gated Content - Embedded Petition</v>
      </c>
      <c r="D1033" s="5">
        <f ca="1">IFERROR(__xludf.DUMMYFUNCTION("""COMPUTED_VALUE"""),45674)</f>
        <v>45674</v>
      </c>
      <c r="F1033" s="1" t="str">
        <f ca="1">IFERROR(__xludf.DUMMYFUNCTION("""COMPUTED_VALUE"""),"Tunisia")</f>
        <v>Tunisia</v>
      </c>
      <c r="G1033" s="1" t="str">
        <f ca="1">IFERROR(__xludf.DUMMYFUNCTION("""COMPUTED_VALUE"""),"Second 76.24 Tunisia")</f>
        <v>Second 76.24 Tunisia</v>
      </c>
      <c r="H1033" s="1" t="str">
        <f ca="1">IFERROR(__xludf.DUMMYFUNCTION("""COMPUTED_VALUE"""),"Freedom of Expression, Human Rights Defenders")</f>
        <v>Freedom of Expression, Human Rights Defenders</v>
      </c>
      <c r="I1033" s="1" t="str">
        <f ca="1">IFERROR(__xludf.DUMMYFUNCTION("""COMPUTED_VALUE"""),"2025")</f>
        <v>2025</v>
      </c>
      <c r="J1033" s="1" t="str">
        <f ca="1">IFERROR(__xludf.DUMMYFUNCTION("""COMPUTED_VALUE"""),"Email")</f>
        <v>Email</v>
      </c>
    </row>
    <row r="1034" spans="1:10" ht="13" x14ac:dyDescent="0.15">
      <c r="A1034" s="4">
        <f ca="1">IFERROR(__xludf.DUMMYFUNCTION("""COMPUTED_VALUE"""),48608602)</f>
        <v>48608602</v>
      </c>
      <c r="B1034" s="1" t="str">
        <f ca="1">IFERROR(__xludf.DUMMYFUNCTION("""COMPUTED_VALUE"""),"alicia@alilippman.com")</f>
        <v>alicia@alilippman.com</v>
      </c>
      <c r="C1034" s="4" t="str">
        <f ca="1">IFERROR(__xludf.DUMMYFUNCTION("""COMPUTED_VALUE"""),"EVERGREEN - UAN Gated Content - Embedded Petition")</f>
        <v>EVERGREEN - UAN Gated Content - Embedded Petition</v>
      </c>
      <c r="D1034" s="5">
        <f ca="1">IFERROR(__xludf.DUMMYFUNCTION("""COMPUTED_VALUE"""),45616)</f>
        <v>45616</v>
      </c>
      <c r="F1034" s="1" t="str">
        <f ca="1">IFERROR(__xludf.DUMMYFUNCTION("""COMPUTED_VALUE"""),"Tunisia")</f>
        <v>Tunisia</v>
      </c>
      <c r="G1034" s="1" t="str">
        <f ca="1">IFERROR(__xludf.DUMMYFUNCTION("""COMPUTED_VALUE"""),"Second 76.24 Tunisia")</f>
        <v>Second 76.24 Tunisia</v>
      </c>
      <c r="H1034" s="1" t="str">
        <f ca="1">IFERROR(__xludf.DUMMYFUNCTION("""COMPUTED_VALUE"""),"Freedom of Expression, Human Rights Defenders")</f>
        <v>Freedom of Expression, Human Rights Defenders</v>
      </c>
      <c r="I1034" s="1" t="str">
        <f ca="1">IFERROR(__xludf.DUMMYFUNCTION("""COMPUTED_VALUE"""),"2025")</f>
        <v>2025</v>
      </c>
      <c r="J1034" s="1" t="str">
        <f ca="1">IFERROR(__xludf.DUMMYFUNCTION("""COMPUTED_VALUE"""),"Email")</f>
        <v>Email</v>
      </c>
    </row>
    <row r="1035" spans="1:10" ht="13" x14ac:dyDescent="0.15">
      <c r="A1035" s="4">
        <f ca="1">IFERROR(__xludf.DUMMYFUNCTION("""COMPUTED_VALUE"""),48608602)</f>
        <v>48608602</v>
      </c>
      <c r="B1035" s="1" t="str">
        <f ca="1">IFERROR(__xludf.DUMMYFUNCTION("""COMPUTED_VALUE"""),"alicia@alilippman.com")</f>
        <v>alicia@alilippman.com</v>
      </c>
      <c r="C1035" s="4" t="str">
        <f ca="1">IFERROR(__xludf.DUMMYFUNCTION("""COMPUTED_VALUE"""),"EVERGREEN - UAN Gated Content - Embedded Petition")</f>
        <v>EVERGREEN - UAN Gated Content - Embedded Petition</v>
      </c>
      <c r="D1035" s="5">
        <f ca="1">IFERROR(__xludf.DUMMYFUNCTION("""COMPUTED_VALUE"""),45616)</f>
        <v>45616</v>
      </c>
      <c r="F1035" s="1" t="str">
        <f ca="1">IFERROR(__xludf.DUMMYFUNCTION("""COMPUTED_VALUE"""),"Niger")</f>
        <v>Niger</v>
      </c>
      <c r="G1035" s="1" t="str">
        <f ca="1">IFERROR(__xludf.DUMMYFUNCTION("""COMPUTED_VALUE"""),"103.24 Niger")</f>
        <v>103.24 Niger</v>
      </c>
      <c r="H1035" s="1" t="str">
        <f ca="1">IFERROR(__xludf.DUMMYFUNCTION("""COMPUTED_VALUE"""),"Freedom of Expression, Human Rights Defenders")</f>
        <v>Freedom of Expression, Human Rights Defenders</v>
      </c>
      <c r="I1035" s="1" t="str">
        <f ca="1">IFERROR(__xludf.DUMMYFUNCTION("""COMPUTED_VALUE"""),"2024")</f>
        <v>2024</v>
      </c>
      <c r="J1035" s="1" t="str">
        <f ca="1">IFERROR(__xludf.DUMMYFUNCTION("""COMPUTED_VALUE"""),"Email")</f>
        <v>Email</v>
      </c>
    </row>
    <row r="1036" spans="1:10" ht="13" x14ac:dyDescent="0.15">
      <c r="A1036" s="4">
        <f ca="1">IFERROR(__xludf.DUMMYFUNCTION("""COMPUTED_VALUE"""),49033409)</f>
        <v>49033409</v>
      </c>
      <c r="B1036" s="1" t="str">
        <f ca="1">IFERROR(__xludf.DUMMYFUNCTION("""COMPUTED_VALUE"""),"304pms@gmail.com")</f>
        <v>304pms@gmail.com</v>
      </c>
      <c r="C1036" s="4" t="str">
        <f ca="1">IFERROR(__xludf.DUMMYFUNCTION("""COMPUTED_VALUE"""),"EVERGREEN - UAN Gated Content - Embedded Petition")</f>
        <v>EVERGREEN - UAN Gated Content - Embedded Petition</v>
      </c>
      <c r="D1036" s="5">
        <f ca="1">IFERROR(__xludf.DUMMYFUNCTION("""COMPUTED_VALUE"""),45674)</f>
        <v>45674</v>
      </c>
      <c r="F1036" s="1" t="str">
        <f ca="1">IFERROR(__xludf.DUMMYFUNCTION("""COMPUTED_VALUE"""),"Iran")</f>
        <v>Iran</v>
      </c>
      <c r="G1036" s="1" t="str">
        <f ca="1">IFERROR(__xludf.DUMMYFUNCTION("""COMPUTED_VALUE"""),"Seventh 103.22 Iran")</f>
        <v>Seventh 103.22 Iran</v>
      </c>
      <c r="H1036" s="1" t="str">
        <f ca="1">IFERROR(__xludf.DUMMYFUNCTION("""COMPUTED_VALUE"""),"Death Penalty, Freedom of Expression, Individuals At Risk")</f>
        <v>Death Penalty, Freedom of Expression, Individuals At Risk</v>
      </c>
      <c r="I1036" s="1" t="str">
        <f ca="1">IFERROR(__xludf.DUMMYFUNCTION("""COMPUTED_VALUE"""),"2024")</f>
        <v>2024</v>
      </c>
      <c r="J1036" s="1" t="str">
        <f ca="1">IFERROR(__xludf.DUMMYFUNCTION("""COMPUTED_VALUE"""),"Email")</f>
        <v>Email</v>
      </c>
    </row>
    <row r="1037" spans="1:10" ht="13" x14ac:dyDescent="0.15">
      <c r="A1037" s="4">
        <f ca="1">IFERROR(__xludf.DUMMYFUNCTION("""COMPUTED_VALUE"""),49033409)</f>
        <v>49033409</v>
      </c>
      <c r="B1037" s="1" t="str">
        <f ca="1">IFERROR(__xludf.DUMMYFUNCTION("""COMPUTED_VALUE"""),"304pms@gmail.com")</f>
        <v>304pms@gmail.com</v>
      </c>
      <c r="C1037" s="4" t="str">
        <f ca="1">IFERROR(__xludf.DUMMYFUNCTION("""COMPUTED_VALUE"""),"EVERGREEN - UAN Gated Content - Embedded Petition")</f>
        <v>EVERGREEN - UAN Gated Content - Embedded Petition</v>
      </c>
      <c r="D1037" s="5">
        <f ca="1">IFERROR(__xludf.DUMMYFUNCTION("""COMPUTED_VALUE"""),45674)</f>
        <v>45674</v>
      </c>
      <c r="F1037" s="1" t="str">
        <f ca="1">IFERROR(__xludf.DUMMYFUNCTION("""COMPUTED_VALUE"""),"Iran")</f>
        <v>Iran</v>
      </c>
      <c r="G1037" s="1" t="str">
        <f ca="1">IFERROR(__xludf.DUMMYFUNCTION("""COMPUTED_VALUE"""),"Seventh 103.22 Iran")</f>
        <v>Seventh 103.22 Iran</v>
      </c>
      <c r="H1037" s="1" t="str">
        <f ca="1">IFERROR(__xludf.DUMMYFUNCTION("""COMPUTED_VALUE"""),"Death Penalty, Freedom of Expression, Individuals At Risk")</f>
        <v>Death Penalty, Freedom of Expression, Individuals At Risk</v>
      </c>
      <c r="I1037" s="1" t="str">
        <f ca="1">IFERROR(__xludf.DUMMYFUNCTION("""COMPUTED_VALUE"""),"2024")</f>
        <v>2024</v>
      </c>
      <c r="J1037" s="1" t="str">
        <f ca="1">IFERROR(__xludf.DUMMYFUNCTION("""COMPUTED_VALUE"""),"Email")</f>
        <v>Email</v>
      </c>
    </row>
    <row r="1038" spans="1:10" ht="13" x14ac:dyDescent="0.15">
      <c r="A1038" s="4">
        <f ca="1">IFERROR(__xludf.DUMMYFUNCTION("""COMPUTED_VALUE"""),49033409)</f>
        <v>49033409</v>
      </c>
      <c r="B1038" s="1" t="str">
        <f ca="1">IFERROR(__xludf.DUMMYFUNCTION("""COMPUTED_VALUE"""),"304pms@gmail.com")</f>
        <v>304pms@gmail.com</v>
      </c>
      <c r="C1038" s="4" t="str">
        <f ca="1">IFERROR(__xludf.DUMMYFUNCTION("""COMPUTED_VALUE"""),"EVERGREEN - UAN Gated Content - Embedded Petition")</f>
        <v>EVERGREEN - UAN Gated Content - Embedded Petition</v>
      </c>
      <c r="D1038" s="5">
        <f ca="1">IFERROR(__xludf.DUMMYFUNCTION("""COMPUTED_VALUE"""),45674)</f>
        <v>45674</v>
      </c>
      <c r="F1038" s="1" t="str">
        <f ca="1">IFERROR(__xludf.DUMMYFUNCTION("""COMPUTED_VALUE"""),"Venezuela")</f>
        <v>Venezuela</v>
      </c>
      <c r="G1038" s="1" t="str">
        <f ca="1">IFERROR(__xludf.DUMMYFUNCTION("""COMPUTED_VALUE"""),"97.24 Venezuela")</f>
        <v>97.24 Venezuela</v>
      </c>
      <c r="H1038" s="1" t="str">
        <f ca="1">IFERROR(__xludf.DUMMYFUNCTION("""COMPUTED_VALUE"""),"Freedom of Expression")</f>
        <v>Freedom of Expression</v>
      </c>
      <c r="I1038" s="1" t="str">
        <f ca="1">IFERROR(__xludf.DUMMYFUNCTION("""COMPUTED_VALUE"""),"2024")</f>
        <v>2024</v>
      </c>
      <c r="J1038" s="1" t="str">
        <f ca="1">IFERROR(__xludf.DUMMYFUNCTION("""COMPUTED_VALUE"""),"Letter")</f>
        <v>Letter</v>
      </c>
    </row>
    <row r="1039" spans="1:10" ht="13" x14ac:dyDescent="0.15">
      <c r="A1039" s="4">
        <f ca="1">IFERROR(__xludf.DUMMYFUNCTION("""COMPUTED_VALUE"""),49033409)</f>
        <v>49033409</v>
      </c>
      <c r="B1039" s="1" t="str">
        <f ca="1">IFERROR(__xludf.DUMMYFUNCTION("""COMPUTED_VALUE"""),"304pms@gmail.com")</f>
        <v>304pms@gmail.com</v>
      </c>
      <c r="C1039" s="4" t="str">
        <f ca="1">IFERROR(__xludf.DUMMYFUNCTION("""COMPUTED_VALUE"""),"EVERGREEN - UAN Gated Content - Embedded Petition")</f>
        <v>EVERGREEN - UAN Gated Content - Embedded Petition</v>
      </c>
      <c r="D1039" s="5">
        <f ca="1">IFERROR(__xludf.DUMMYFUNCTION("""COMPUTED_VALUE"""),45677)</f>
        <v>45677</v>
      </c>
      <c r="F1039" s="1" t="str">
        <f ca="1">IFERROR(__xludf.DUMMYFUNCTION("""COMPUTED_VALUE"""),"China")</f>
        <v>China</v>
      </c>
      <c r="G1039" s="1" t="str">
        <f ca="1">IFERROR(__xludf.DUMMYFUNCTION("""COMPUTED_VALUE"""),"98.24 China")</f>
        <v>98.24 China</v>
      </c>
      <c r="H1039" s="1" t="str">
        <f ca="1">IFERROR(__xludf.DUMMYFUNCTION("""COMPUTED_VALUE"""),"Freedom of Expression, Individuals At Risk")</f>
        <v>Freedom of Expression, Individuals At Risk</v>
      </c>
      <c r="I1039" s="1" t="str">
        <f ca="1">IFERROR(__xludf.DUMMYFUNCTION("""COMPUTED_VALUE"""),"2024")</f>
        <v>2024</v>
      </c>
      <c r="J1039" s="1" t="str">
        <f ca="1">IFERROR(__xludf.DUMMYFUNCTION("""COMPUTED_VALUE"""),"Letter")</f>
        <v>Letter</v>
      </c>
    </row>
    <row r="1040" spans="1:10" ht="13" x14ac:dyDescent="0.15">
      <c r="A1040" s="4">
        <f ca="1">IFERROR(__xludf.DUMMYFUNCTION("""COMPUTED_VALUE"""),49420957)</f>
        <v>49420957</v>
      </c>
      <c r="B1040" s="1" t="str">
        <f ca="1">IFERROR(__xludf.DUMMYFUNCTION("""COMPUTED_VALUE"""),"reginaie@uol.com.br")</f>
        <v>reginaie@uol.com.br</v>
      </c>
      <c r="C1040" s="4" t="str">
        <f ca="1">IFERROR(__xludf.DUMMYFUNCTION("""COMPUTED_VALUE"""),"EVERGREEN - UAN Gated Content - Embedded Petition")</f>
        <v>EVERGREEN - UAN Gated Content - Embedded Petition</v>
      </c>
      <c r="D1040" s="5">
        <f ca="1">IFERROR(__xludf.DUMMYFUNCTION("""COMPUTED_VALUE"""),45672)</f>
        <v>45672</v>
      </c>
      <c r="F1040" s="1" t="str">
        <f ca="1">IFERROR(__xludf.DUMMYFUNCTION("""COMPUTED_VALUE"""),"USA")</f>
        <v>USA</v>
      </c>
      <c r="G1040" s="1" t="str">
        <f ca="1">IFERROR(__xludf.DUMMYFUNCTION("""COMPUTED_VALUE"""),"105.24 USA")</f>
        <v>105.24 USA</v>
      </c>
      <c r="H1040" s="1" t="str">
        <f ca="1">IFERROR(__xludf.DUMMYFUNCTION("""COMPUTED_VALUE"""),"Death Penalty")</f>
        <v>Death Penalty</v>
      </c>
      <c r="I1040" s="1" t="str">
        <f ca="1">IFERROR(__xludf.DUMMYFUNCTION("""COMPUTED_VALUE"""),"2024")</f>
        <v>2024</v>
      </c>
      <c r="J1040" s="1" t="str">
        <f ca="1">IFERROR(__xludf.DUMMYFUNCTION("""COMPUTED_VALUE"""),"Email")</f>
        <v>Email</v>
      </c>
    </row>
    <row r="1041" spans="1:10" ht="13" x14ac:dyDescent="0.15">
      <c r="A1041" s="4">
        <f ca="1">IFERROR(__xludf.DUMMYFUNCTION("""COMPUTED_VALUE"""),49420957)</f>
        <v>49420957</v>
      </c>
      <c r="B1041" s="1" t="str">
        <f ca="1">IFERROR(__xludf.DUMMYFUNCTION("""COMPUTED_VALUE"""),"reginaie@uol.com.br")</f>
        <v>reginaie@uol.com.br</v>
      </c>
      <c r="C1041" s="4" t="str">
        <f ca="1">IFERROR(__xludf.DUMMYFUNCTION("""COMPUTED_VALUE"""),"EVERGREEN - UAN Gated Content - Embedded Petition")</f>
        <v>EVERGREEN - UAN Gated Content - Embedded Petition</v>
      </c>
      <c r="D1041" s="5">
        <f ca="1">IFERROR(__xludf.DUMMYFUNCTION("""COMPUTED_VALUE"""),45694)</f>
        <v>45694</v>
      </c>
      <c r="F1041" s="1" t="str">
        <f ca="1">IFERROR(__xludf.DUMMYFUNCTION("""COMPUTED_VALUE"""),"Egypt")</f>
        <v>Egypt</v>
      </c>
      <c r="G1041" s="1" t="str">
        <f ca="1">IFERROR(__xludf.DUMMYFUNCTION("""COMPUTED_VALUE"""),"Ninth 190.18 Egypt")</f>
        <v>Ninth 190.18 Egypt</v>
      </c>
      <c r="H1041" s="1" t="str">
        <f ca="1">IFERROR(__xludf.DUMMYFUNCTION("""COMPUTED_VALUE"""),"Freedom of Expression, Individuals At Risk")</f>
        <v>Freedom of Expression, Individuals At Risk</v>
      </c>
      <c r="I1041" s="1" t="str">
        <f ca="1">IFERROR(__xludf.DUMMYFUNCTION("""COMPUTED_VALUE"""),"2024")</f>
        <v>2024</v>
      </c>
      <c r="J1041" s="1" t="str">
        <f ca="1">IFERROR(__xludf.DUMMYFUNCTION("""COMPUTED_VALUE"""),"Letter")</f>
        <v>Letter</v>
      </c>
    </row>
    <row r="1042" spans="1:10" ht="13" x14ac:dyDescent="0.15">
      <c r="A1042" s="4">
        <f ca="1">IFERROR(__xludf.DUMMYFUNCTION("""COMPUTED_VALUE"""),49481600)</f>
        <v>49481600</v>
      </c>
      <c r="B1042" s="1" t="str">
        <f ca="1">IFERROR(__xludf.DUMMYFUNCTION("""COMPUTED_VALUE"""),"aahuddleson@yahoo.com")</f>
        <v>aahuddleson@yahoo.com</v>
      </c>
      <c r="C1042" s="4" t="str">
        <f ca="1">IFERROR(__xludf.DUMMYFUNCTION("""COMPUTED_VALUE"""),"EVERGREEN - UAN Gated Content - Embedded Petition")</f>
        <v>EVERGREEN - UAN Gated Content - Embedded Petition</v>
      </c>
      <c r="D1042" s="5">
        <f ca="1">IFERROR(__xludf.DUMMYFUNCTION("""COMPUTED_VALUE"""),45677)</f>
        <v>45677</v>
      </c>
      <c r="F1042" s="1" t="str">
        <f ca="1">IFERROR(__xludf.DUMMYFUNCTION("""COMPUTED_VALUE"""),"Tunisia")</f>
        <v>Tunisia</v>
      </c>
      <c r="G1042" s="1" t="str">
        <f ca="1">IFERROR(__xludf.DUMMYFUNCTION("""COMPUTED_VALUE"""),"Second 76.24 Tunisia")</f>
        <v>Second 76.24 Tunisia</v>
      </c>
      <c r="H1042" s="1" t="str">
        <f ca="1">IFERROR(__xludf.DUMMYFUNCTION("""COMPUTED_VALUE"""),"Freedom of Expression, Human Rights Defenders")</f>
        <v>Freedom of Expression, Human Rights Defenders</v>
      </c>
      <c r="I1042" s="1" t="str">
        <f ca="1">IFERROR(__xludf.DUMMYFUNCTION("""COMPUTED_VALUE"""),"2025")</f>
        <v>2025</v>
      </c>
      <c r="J1042" s="1" t="str">
        <f ca="1">IFERROR(__xludf.DUMMYFUNCTION("""COMPUTED_VALUE"""),"Email")</f>
        <v>Email</v>
      </c>
    </row>
    <row r="1043" spans="1:10" ht="13" x14ac:dyDescent="0.15">
      <c r="A1043" s="4">
        <f ca="1">IFERROR(__xludf.DUMMYFUNCTION("""COMPUTED_VALUE"""),49507115)</f>
        <v>49507115</v>
      </c>
      <c r="B1043" s="1" t="str">
        <f ca="1">IFERROR(__xludf.DUMMYFUNCTION("""COMPUTED_VALUE"""),"susieseligson@gmail.com")</f>
        <v>susieseligson@gmail.com</v>
      </c>
      <c r="C1043" s="4" t="str">
        <f ca="1">IFERROR(__xludf.DUMMYFUNCTION("""COMPUTED_VALUE"""),"EVERGREEN - UAN Gated Content - Embedded Petition")</f>
        <v>EVERGREEN - UAN Gated Content - Embedded Petition</v>
      </c>
      <c r="D1043" s="5">
        <f ca="1">IFERROR(__xludf.DUMMYFUNCTION("""COMPUTED_VALUE"""),45616)</f>
        <v>45616</v>
      </c>
      <c r="F1043" s="1" t="str">
        <f ca="1">IFERROR(__xludf.DUMMYFUNCTION("""COMPUTED_VALUE"""),"Tunisia")</f>
        <v>Tunisia</v>
      </c>
      <c r="G1043" s="1" t="str">
        <f ca="1">IFERROR(__xludf.DUMMYFUNCTION("""COMPUTED_VALUE"""),"Second 76.24 Tunisia")</f>
        <v>Second 76.24 Tunisia</v>
      </c>
      <c r="H1043" s="1" t="str">
        <f ca="1">IFERROR(__xludf.DUMMYFUNCTION("""COMPUTED_VALUE"""),"Freedom of Expression, Human Rights Defenders")</f>
        <v>Freedom of Expression, Human Rights Defenders</v>
      </c>
      <c r="I1043" s="1" t="str">
        <f ca="1">IFERROR(__xludf.DUMMYFUNCTION("""COMPUTED_VALUE"""),"2025")</f>
        <v>2025</v>
      </c>
      <c r="J1043" s="1" t="str">
        <f ca="1">IFERROR(__xludf.DUMMYFUNCTION("""COMPUTED_VALUE"""),"Email")</f>
        <v>Email</v>
      </c>
    </row>
    <row r="1044" spans="1:10" ht="13" x14ac:dyDescent="0.15">
      <c r="A1044" s="4">
        <f ca="1">IFERROR(__xludf.DUMMYFUNCTION("""COMPUTED_VALUE"""),49507115)</f>
        <v>49507115</v>
      </c>
      <c r="B1044" s="1" t="str">
        <f ca="1">IFERROR(__xludf.DUMMYFUNCTION("""COMPUTED_VALUE"""),"susieseligson@gmail.com")</f>
        <v>susieseligson@gmail.com</v>
      </c>
      <c r="C1044" s="4" t="str">
        <f ca="1">IFERROR(__xludf.DUMMYFUNCTION("""COMPUTED_VALUE"""),"EVERGREEN - UAN Gated Content - Embedded Petition")</f>
        <v>EVERGREEN - UAN Gated Content - Embedded Petition</v>
      </c>
      <c r="D1044" s="5">
        <f ca="1">IFERROR(__xludf.DUMMYFUNCTION("""COMPUTED_VALUE"""),45636)</f>
        <v>45636</v>
      </c>
      <c r="F1044" s="1" t="str">
        <f ca="1">IFERROR(__xludf.DUMMYFUNCTION("""COMPUTED_VALUE"""),"Tunisia")</f>
        <v>Tunisia</v>
      </c>
      <c r="G1044" s="1" t="str">
        <f ca="1">IFERROR(__xludf.DUMMYFUNCTION("""COMPUTED_VALUE"""),"Second 76.24 Tunisia")</f>
        <v>Second 76.24 Tunisia</v>
      </c>
      <c r="H1044" s="1" t="str">
        <f ca="1">IFERROR(__xludf.DUMMYFUNCTION("""COMPUTED_VALUE"""),"Freedom of Expression, Human Rights Defenders")</f>
        <v>Freedom of Expression, Human Rights Defenders</v>
      </c>
      <c r="I1044" s="1" t="str">
        <f ca="1">IFERROR(__xludf.DUMMYFUNCTION("""COMPUTED_VALUE"""),"2025")</f>
        <v>2025</v>
      </c>
      <c r="J1044" s="1" t="str">
        <f ca="1">IFERROR(__xludf.DUMMYFUNCTION("""COMPUTED_VALUE"""),"Email")</f>
        <v>Email</v>
      </c>
    </row>
    <row r="1045" spans="1:10" ht="13" x14ac:dyDescent="0.15">
      <c r="A1045" s="4">
        <f ca="1">IFERROR(__xludf.DUMMYFUNCTION("""COMPUTED_VALUE"""),50432820)</f>
        <v>50432820</v>
      </c>
      <c r="B1045" s="1" t="str">
        <f ca="1">IFERROR(__xludf.DUMMYFUNCTION("""COMPUTED_VALUE"""),"bentelcri@gmail.com")</f>
        <v>bentelcri@gmail.com</v>
      </c>
      <c r="C1045" s="4" t="str">
        <f ca="1">IFERROR(__xludf.DUMMYFUNCTION("""COMPUTED_VALUE"""),"EVERGREEN - UAN Gated Content - Embedded Petition")</f>
        <v>EVERGREEN - UAN Gated Content - Embedded Petition</v>
      </c>
      <c r="D1045" s="5">
        <f ca="1">IFERROR(__xludf.DUMMYFUNCTION("""COMPUTED_VALUE"""),45706)</f>
        <v>45706</v>
      </c>
      <c r="F1045" s="1" t="str">
        <f ca="1">IFERROR(__xludf.DUMMYFUNCTION("""COMPUTED_VALUE"""),"Venezuela")</f>
        <v>Venezuela</v>
      </c>
      <c r="G1045" s="1" t="str">
        <f ca="1">IFERROR(__xludf.DUMMYFUNCTION("""COMPUTED_VALUE"""),"97.24 Venezuela")</f>
        <v>97.24 Venezuela</v>
      </c>
      <c r="H1045" s="1" t="str">
        <f ca="1">IFERROR(__xludf.DUMMYFUNCTION("""COMPUTED_VALUE"""),"Freedom of Expression")</f>
        <v>Freedom of Expression</v>
      </c>
      <c r="I1045" s="1" t="str">
        <f ca="1">IFERROR(__xludf.DUMMYFUNCTION("""COMPUTED_VALUE"""),"2024")</f>
        <v>2024</v>
      </c>
      <c r="J1045" s="1" t="str">
        <f ca="1">IFERROR(__xludf.DUMMYFUNCTION("""COMPUTED_VALUE"""),"Letter")</f>
        <v>Letter</v>
      </c>
    </row>
    <row r="1046" spans="1:10" ht="13" x14ac:dyDescent="0.15">
      <c r="A1046" s="4">
        <f ca="1">IFERROR(__xludf.DUMMYFUNCTION("""COMPUTED_VALUE"""),50629549)</f>
        <v>50629549</v>
      </c>
      <c r="B1046" s="1" t="str">
        <f ca="1">IFERROR(__xludf.DUMMYFUNCTION("""COMPUTED_VALUE"""),"lrossthedens@gmail.com")</f>
        <v>lrossthedens@gmail.com</v>
      </c>
      <c r="C1046" s="4" t="str">
        <f ca="1">IFERROR(__xludf.DUMMYFUNCTION("""COMPUTED_VALUE"""),"EVERGREEN - UAN Gated Content - Embedded Petition")</f>
        <v>EVERGREEN - UAN Gated Content - Embedded Petition</v>
      </c>
      <c r="D1046" s="5">
        <f ca="1">IFERROR(__xludf.DUMMYFUNCTION("""COMPUTED_VALUE"""),45679)</f>
        <v>45679</v>
      </c>
      <c r="F1046" s="1" t="str">
        <f ca="1">IFERROR(__xludf.DUMMYFUNCTION("""COMPUTED_VALUE"""),"China")</f>
        <v>China</v>
      </c>
      <c r="G1046" s="1" t="str">
        <f ca="1">IFERROR(__xludf.DUMMYFUNCTION("""COMPUTED_VALUE"""),"98.24 China")</f>
        <v>98.24 China</v>
      </c>
      <c r="H1046" s="1" t="str">
        <f ca="1">IFERROR(__xludf.DUMMYFUNCTION("""COMPUTED_VALUE"""),"Freedom of Expression, Individuals At Risk")</f>
        <v>Freedom of Expression, Individuals At Risk</v>
      </c>
      <c r="I1046" s="1" t="str">
        <f ca="1">IFERROR(__xludf.DUMMYFUNCTION("""COMPUTED_VALUE"""),"2024")</f>
        <v>2024</v>
      </c>
      <c r="J1046" s="1" t="str">
        <f ca="1">IFERROR(__xludf.DUMMYFUNCTION("""COMPUTED_VALUE"""),"Letter")</f>
        <v>Letter</v>
      </c>
    </row>
    <row r="1047" spans="1:10" ht="13" x14ac:dyDescent="0.15">
      <c r="A1047" s="4">
        <f ca="1">IFERROR(__xludf.DUMMYFUNCTION("""COMPUTED_VALUE"""),50629549)</f>
        <v>50629549</v>
      </c>
      <c r="B1047" s="1" t="str">
        <f ca="1">IFERROR(__xludf.DUMMYFUNCTION("""COMPUTED_VALUE"""),"lrossthedens@gmail.com")</f>
        <v>lrossthedens@gmail.com</v>
      </c>
      <c r="C1047" s="4" t="str">
        <f ca="1">IFERROR(__xludf.DUMMYFUNCTION("""COMPUTED_VALUE"""),"EVERGREEN - UAN Gated Content - Embedded Petition")</f>
        <v>EVERGREEN - UAN Gated Content - Embedded Petition</v>
      </c>
      <c r="D1047" s="5">
        <f ca="1">IFERROR(__xludf.DUMMYFUNCTION("""COMPUTED_VALUE"""),45614)</f>
        <v>45614</v>
      </c>
      <c r="F1047" s="1" t="str">
        <f ca="1">IFERROR(__xludf.DUMMYFUNCTION("""COMPUTED_VALUE"""),"Uganda")</f>
        <v>Uganda</v>
      </c>
      <c r="G1047" s="1" t="str">
        <f ca="1">IFERROR(__xludf.DUMMYFUNCTION("""COMPUTED_VALUE"""),"100.24 Uganda")</f>
        <v>100.24 Uganda</v>
      </c>
      <c r="H1047" s="1" t="str">
        <f ca="1">IFERROR(__xludf.DUMMYFUNCTION("""COMPUTED_VALUE"""),"Freedom of Expression")</f>
        <v>Freedom of Expression</v>
      </c>
      <c r="I1047" s="1" t="str">
        <f ca="1">IFERROR(__xludf.DUMMYFUNCTION("""COMPUTED_VALUE"""),"2024")</f>
        <v>2024</v>
      </c>
      <c r="J1047" s="1" t="str">
        <f ca="1">IFERROR(__xludf.DUMMYFUNCTION("""COMPUTED_VALUE"""),"Email")</f>
        <v>Email</v>
      </c>
    </row>
    <row r="1048" spans="1:10" ht="13" x14ac:dyDescent="0.15">
      <c r="A1048" s="4">
        <f ca="1">IFERROR(__xludf.DUMMYFUNCTION("""COMPUTED_VALUE"""),50629549)</f>
        <v>50629549</v>
      </c>
      <c r="B1048" s="1" t="str">
        <f ca="1">IFERROR(__xludf.DUMMYFUNCTION("""COMPUTED_VALUE"""),"lrossthedens@gmail.com")</f>
        <v>lrossthedens@gmail.com</v>
      </c>
      <c r="C1048" s="4" t="str">
        <f ca="1">IFERROR(__xludf.DUMMYFUNCTION("""COMPUTED_VALUE"""),"EVERGREEN - UAN Gated Content - Embedded Petition")</f>
        <v>EVERGREEN - UAN Gated Content - Embedded Petition</v>
      </c>
      <c r="D1048" s="5">
        <f ca="1">IFERROR(__xludf.DUMMYFUNCTION("""COMPUTED_VALUE"""),45679)</f>
        <v>45679</v>
      </c>
      <c r="F1048" s="1" t="str">
        <f ca="1">IFERROR(__xludf.DUMMYFUNCTION("""COMPUTED_VALUE"""),"Venezuela")</f>
        <v>Venezuela</v>
      </c>
      <c r="G1048" s="1" t="str">
        <f ca="1">IFERROR(__xludf.DUMMYFUNCTION("""COMPUTED_VALUE"""),"97.24 Venezuela")</f>
        <v>97.24 Venezuela</v>
      </c>
      <c r="H1048" s="1" t="str">
        <f ca="1">IFERROR(__xludf.DUMMYFUNCTION("""COMPUTED_VALUE"""),"Freedom of Expression")</f>
        <v>Freedom of Expression</v>
      </c>
      <c r="I1048" s="1" t="str">
        <f ca="1">IFERROR(__xludf.DUMMYFUNCTION("""COMPUTED_VALUE"""),"2024")</f>
        <v>2024</v>
      </c>
      <c r="J1048" s="1" t="str">
        <f ca="1">IFERROR(__xludf.DUMMYFUNCTION("""COMPUTED_VALUE"""),"Letter")</f>
        <v>Letter</v>
      </c>
    </row>
    <row r="1049" spans="1:10" ht="13" x14ac:dyDescent="0.15">
      <c r="A1049" s="4">
        <f ca="1">IFERROR(__xludf.DUMMYFUNCTION("""COMPUTED_VALUE"""),50629549)</f>
        <v>50629549</v>
      </c>
      <c r="B1049" s="1" t="str">
        <f ca="1">IFERROR(__xludf.DUMMYFUNCTION("""COMPUTED_VALUE"""),"lrossthedens@gmail.com")</f>
        <v>lrossthedens@gmail.com</v>
      </c>
      <c r="C1049" s="4" t="str">
        <f ca="1">IFERROR(__xludf.DUMMYFUNCTION("""COMPUTED_VALUE"""),"EVERGREEN - UAN Gated Content - Embedded Petition")</f>
        <v>EVERGREEN - UAN Gated Content - Embedded Petition</v>
      </c>
      <c r="D1049" s="5">
        <f ca="1">IFERROR(__xludf.DUMMYFUNCTION("""COMPUTED_VALUE"""),45614)</f>
        <v>45614</v>
      </c>
      <c r="F1049" s="1" t="str">
        <f ca="1">IFERROR(__xludf.DUMMYFUNCTION("""COMPUTED_VALUE"""),"Iran")</f>
        <v>Iran</v>
      </c>
      <c r="G1049" s="1" t="str">
        <f ca="1">IFERROR(__xludf.DUMMYFUNCTION("""COMPUTED_VALUE"""),"101.24 Iran")</f>
        <v>101.24 Iran</v>
      </c>
      <c r="H1049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1049" s="1" t="str">
        <f ca="1">IFERROR(__xludf.DUMMYFUNCTION("""COMPUTED_VALUE"""),"2024")</f>
        <v>2024</v>
      </c>
      <c r="J1049" s="1" t="str">
        <f ca="1">IFERROR(__xludf.DUMMYFUNCTION("""COMPUTED_VALUE"""),"Email")</f>
        <v>Email</v>
      </c>
    </row>
    <row r="1050" spans="1:10" ht="13" x14ac:dyDescent="0.15">
      <c r="A1050" s="4">
        <f ca="1">IFERROR(__xludf.DUMMYFUNCTION("""COMPUTED_VALUE"""),50629549)</f>
        <v>50629549</v>
      </c>
      <c r="B1050" s="1" t="str">
        <f ca="1">IFERROR(__xludf.DUMMYFUNCTION("""COMPUTED_VALUE"""),"lrossthedens@gmail.com")</f>
        <v>lrossthedens@gmail.com</v>
      </c>
      <c r="C1050" s="4" t="str">
        <f ca="1">IFERROR(__xludf.DUMMYFUNCTION("""COMPUTED_VALUE"""),"EVERGREEN - UAN Gated Content - Embedded Petition")</f>
        <v>EVERGREEN - UAN Gated Content - Embedded Petition</v>
      </c>
      <c r="D1050" s="5">
        <f ca="1">IFERROR(__xludf.DUMMYFUNCTION("""COMPUTED_VALUE"""),45679)</f>
        <v>45679</v>
      </c>
      <c r="F1050" s="1" t="str">
        <f ca="1">IFERROR(__xludf.DUMMYFUNCTION("""COMPUTED_VALUE"""),"Uganda")</f>
        <v>Uganda</v>
      </c>
      <c r="G1050" s="1" t="str">
        <f ca="1">IFERROR(__xludf.DUMMYFUNCTION("""COMPUTED_VALUE"""),"100.24 Uganda")</f>
        <v>100.24 Uganda</v>
      </c>
      <c r="H1050" s="1" t="str">
        <f ca="1">IFERROR(__xludf.DUMMYFUNCTION("""COMPUTED_VALUE"""),"Freedom of Expression")</f>
        <v>Freedom of Expression</v>
      </c>
      <c r="I1050" s="1" t="str">
        <f ca="1">IFERROR(__xludf.DUMMYFUNCTION("""COMPUTED_VALUE"""),"2024")</f>
        <v>2024</v>
      </c>
      <c r="J1050" s="1" t="str">
        <f ca="1">IFERROR(__xludf.DUMMYFUNCTION("""COMPUTED_VALUE"""),"Email")</f>
        <v>Email</v>
      </c>
    </row>
    <row r="1051" spans="1:10" ht="13" x14ac:dyDescent="0.15">
      <c r="A1051" s="4">
        <f ca="1">IFERROR(__xludf.DUMMYFUNCTION("""COMPUTED_VALUE"""),50629549)</f>
        <v>50629549</v>
      </c>
      <c r="B1051" s="1" t="str">
        <f ca="1">IFERROR(__xludf.DUMMYFUNCTION("""COMPUTED_VALUE"""),"lrossthedens@gmail.com")</f>
        <v>lrossthedens@gmail.com</v>
      </c>
      <c r="C1051" s="4" t="str">
        <f ca="1">IFERROR(__xludf.DUMMYFUNCTION("""COMPUTED_VALUE"""),"EVERGREEN - UAN Gated Content - Embedded Petition")</f>
        <v>EVERGREEN - UAN Gated Content - Embedded Petition</v>
      </c>
      <c r="D1051" s="5">
        <f ca="1">IFERROR(__xludf.DUMMYFUNCTION("""COMPUTED_VALUE"""),45678)</f>
        <v>45678</v>
      </c>
      <c r="F1051" s="1" t="str">
        <f ca="1">IFERROR(__xludf.DUMMYFUNCTION("""COMPUTED_VALUE"""),"USA")</f>
        <v>USA</v>
      </c>
      <c r="G1051" s="1" t="str">
        <f ca="1">IFERROR(__xludf.DUMMYFUNCTION("""COMPUTED_VALUE"""),"105.24 USA")</f>
        <v>105.24 USA</v>
      </c>
      <c r="H1051" s="1" t="str">
        <f ca="1">IFERROR(__xludf.DUMMYFUNCTION("""COMPUTED_VALUE"""),"Death Penalty")</f>
        <v>Death Penalty</v>
      </c>
      <c r="I1051" s="1" t="str">
        <f ca="1">IFERROR(__xludf.DUMMYFUNCTION("""COMPUTED_VALUE"""),"2024")</f>
        <v>2024</v>
      </c>
      <c r="J1051" s="1" t="str">
        <f ca="1">IFERROR(__xludf.DUMMYFUNCTION("""COMPUTED_VALUE"""),"Email")</f>
        <v>Email</v>
      </c>
    </row>
    <row r="1052" spans="1:10" ht="13" x14ac:dyDescent="0.15">
      <c r="A1052" s="4">
        <f ca="1">IFERROR(__xludf.DUMMYFUNCTION("""COMPUTED_VALUE"""),50629549)</f>
        <v>50629549</v>
      </c>
      <c r="B1052" s="1" t="str">
        <f ca="1">IFERROR(__xludf.DUMMYFUNCTION("""COMPUTED_VALUE"""),"lrossthedens@gmail.com")</f>
        <v>lrossthedens@gmail.com</v>
      </c>
      <c r="C1052" s="4" t="str">
        <f ca="1">IFERROR(__xludf.DUMMYFUNCTION("""COMPUTED_VALUE"""),"EVERGREEN - UAN Gated Content - Embedded Petition")</f>
        <v>EVERGREEN - UAN Gated Content - Embedded Petition</v>
      </c>
      <c r="D1052" s="5">
        <f ca="1">IFERROR(__xludf.DUMMYFUNCTION("""COMPUTED_VALUE"""),45678)</f>
        <v>45678</v>
      </c>
      <c r="F1052" s="1" t="str">
        <f ca="1">IFERROR(__xludf.DUMMYFUNCTION("""COMPUTED_VALUE"""),"Iran")</f>
        <v>Iran</v>
      </c>
      <c r="G1052" s="1" t="str">
        <f ca="1">IFERROR(__xludf.DUMMYFUNCTION("""COMPUTED_VALUE"""),"101.24 Iran")</f>
        <v>101.24 Iran</v>
      </c>
      <c r="H1052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1052" s="1" t="str">
        <f ca="1">IFERROR(__xludf.DUMMYFUNCTION("""COMPUTED_VALUE"""),"2024")</f>
        <v>2024</v>
      </c>
      <c r="J1052" s="1" t="str">
        <f ca="1">IFERROR(__xludf.DUMMYFUNCTION("""COMPUTED_VALUE"""),"Email")</f>
        <v>Email</v>
      </c>
    </row>
    <row r="1053" spans="1:10" ht="13" x14ac:dyDescent="0.15">
      <c r="A1053" s="4">
        <f ca="1">IFERROR(__xludf.DUMMYFUNCTION("""COMPUTED_VALUE"""),50633732)</f>
        <v>50633732</v>
      </c>
      <c r="B1053" s="1" t="str">
        <f ca="1">IFERROR(__xludf.DUMMYFUNCTION("""COMPUTED_VALUE"""),"barbquin@gmail.com")</f>
        <v>barbquin@gmail.com</v>
      </c>
      <c r="C1053" s="4" t="str">
        <f ca="1">IFERROR(__xludf.DUMMYFUNCTION("""COMPUTED_VALUE"""),"EVERGREEN - UAN Gated Content - Embedded Petition")</f>
        <v>EVERGREEN - UAN Gated Content - Embedded Petition</v>
      </c>
      <c r="D1053" s="5">
        <f ca="1">IFERROR(__xludf.DUMMYFUNCTION("""COMPUTED_VALUE"""),45694)</f>
        <v>45694</v>
      </c>
      <c r="F1053" s="1" t="str">
        <f ca="1">IFERROR(__xludf.DUMMYFUNCTION("""COMPUTED_VALUE"""),"Tunisia")</f>
        <v>Tunisia</v>
      </c>
      <c r="G1053" s="1" t="str">
        <f ca="1">IFERROR(__xludf.DUMMYFUNCTION("""COMPUTED_VALUE"""),"Second 76.24 Tunisia")</f>
        <v>Second 76.24 Tunisia</v>
      </c>
      <c r="H1053" s="1" t="str">
        <f ca="1">IFERROR(__xludf.DUMMYFUNCTION("""COMPUTED_VALUE"""),"Freedom of Expression, Human Rights Defenders")</f>
        <v>Freedom of Expression, Human Rights Defenders</v>
      </c>
      <c r="I1053" s="1" t="str">
        <f ca="1">IFERROR(__xludf.DUMMYFUNCTION("""COMPUTED_VALUE"""),"2025")</f>
        <v>2025</v>
      </c>
      <c r="J1053" s="1" t="str">
        <f ca="1">IFERROR(__xludf.DUMMYFUNCTION("""COMPUTED_VALUE"""),"Email")</f>
        <v>Email</v>
      </c>
    </row>
    <row r="1054" spans="1:10" ht="13" x14ac:dyDescent="0.15">
      <c r="A1054" s="4">
        <f ca="1">IFERROR(__xludf.DUMMYFUNCTION("""COMPUTED_VALUE"""),50633732)</f>
        <v>50633732</v>
      </c>
      <c r="B1054" s="1" t="str">
        <f ca="1">IFERROR(__xludf.DUMMYFUNCTION("""COMPUTED_VALUE"""),"barbquin@gmail.com")</f>
        <v>barbquin@gmail.com</v>
      </c>
      <c r="C1054" s="4" t="str">
        <f ca="1">IFERROR(__xludf.DUMMYFUNCTION("""COMPUTED_VALUE"""),"EVERGREEN - UAN Gated Content - Embedded Petition")</f>
        <v>EVERGREEN - UAN Gated Content - Embedded Petition</v>
      </c>
      <c r="D1054" s="5">
        <f ca="1">IFERROR(__xludf.DUMMYFUNCTION("""COMPUTED_VALUE"""),45708)</f>
        <v>45708</v>
      </c>
      <c r="F1054" s="1" t="str">
        <f ca="1">IFERROR(__xludf.DUMMYFUNCTION("""COMPUTED_VALUE"""),"Tunisia")</f>
        <v>Tunisia</v>
      </c>
      <c r="G1054" s="1" t="str">
        <f ca="1">IFERROR(__xludf.DUMMYFUNCTION("""COMPUTED_VALUE"""),"Second 76.24 Tunisia")</f>
        <v>Second 76.24 Tunisia</v>
      </c>
      <c r="H1054" s="1" t="str">
        <f ca="1">IFERROR(__xludf.DUMMYFUNCTION("""COMPUTED_VALUE"""),"Freedom of Expression, Human Rights Defenders")</f>
        <v>Freedom of Expression, Human Rights Defenders</v>
      </c>
      <c r="I1054" s="1" t="str">
        <f ca="1">IFERROR(__xludf.DUMMYFUNCTION("""COMPUTED_VALUE"""),"2025")</f>
        <v>2025</v>
      </c>
      <c r="J1054" s="1" t="str">
        <f ca="1">IFERROR(__xludf.DUMMYFUNCTION("""COMPUTED_VALUE"""),"Email")</f>
        <v>Email</v>
      </c>
    </row>
    <row r="1055" spans="1:10" ht="13" x14ac:dyDescent="0.15">
      <c r="A1055" s="4">
        <f ca="1">IFERROR(__xludf.DUMMYFUNCTION("""COMPUTED_VALUE"""),53561319)</f>
        <v>53561319</v>
      </c>
      <c r="B1055" s="1" t="str">
        <f ca="1">IFERROR(__xludf.DUMMYFUNCTION("""COMPUTED_VALUE"""),"dancingredraven@hotmail.com")</f>
        <v>dancingredraven@hotmail.com</v>
      </c>
      <c r="C1055" s="4" t="str">
        <f ca="1">IFERROR(__xludf.DUMMYFUNCTION("""COMPUTED_VALUE"""),"EVERGREEN - UAN Gated Content - Embedded Petition")</f>
        <v>EVERGREEN - UAN Gated Content - Embedded Petition</v>
      </c>
      <c r="D1055" s="5">
        <f ca="1">IFERROR(__xludf.DUMMYFUNCTION("""COMPUTED_VALUE"""),45655)</f>
        <v>45655</v>
      </c>
      <c r="F1055" s="1" t="str">
        <f ca="1">IFERROR(__xludf.DUMMYFUNCTION("""COMPUTED_VALUE"""),"Iran")</f>
        <v>Iran</v>
      </c>
      <c r="G1055" s="1" t="str">
        <f ca="1">IFERROR(__xludf.DUMMYFUNCTION("""COMPUTED_VALUE"""),"Seventh 103.22 Iran")</f>
        <v>Seventh 103.22 Iran</v>
      </c>
      <c r="H1055" s="1" t="str">
        <f ca="1">IFERROR(__xludf.DUMMYFUNCTION("""COMPUTED_VALUE"""),"Death Penalty, Freedom of Expression, Individuals At Risk")</f>
        <v>Death Penalty, Freedom of Expression, Individuals At Risk</v>
      </c>
      <c r="I1055" s="1" t="str">
        <f ca="1">IFERROR(__xludf.DUMMYFUNCTION("""COMPUTED_VALUE"""),"2024")</f>
        <v>2024</v>
      </c>
      <c r="J1055" s="1" t="str">
        <f ca="1">IFERROR(__xludf.DUMMYFUNCTION("""COMPUTED_VALUE"""),"Email")</f>
        <v>Email</v>
      </c>
    </row>
    <row r="1056" spans="1:10" ht="13" x14ac:dyDescent="0.15">
      <c r="A1056" s="4">
        <f ca="1">IFERROR(__xludf.DUMMYFUNCTION("""COMPUTED_VALUE"""),54187541)</f>
        <v>54187541</v>
      </c>
      <c r="B1056" s="1" t="str">
        <f ca="1">IFERROR(__xludf.DUMMYFUNCTION("""COMPUTED_VALUE"""),"walshkevink@yahoo.com")</f>
        <v>walshkevink@yahoo.com</v>
      </c>
      <c r="C1056" s="4" t="str">
        <f ca="1">IFERROR(__xludf.DUMMYFUNCTION("""COMPUTED_VALUE"""),"EVERGREEN - UAN Gated Content - Embedded Petition")</f>
        <v>EVERGREEN - UAN Gated Content - Embedded Petition</v>
      </c>
      <c r="D1056" s="5">
        <f ca="1">IFERROR(__xludf.DUMMYFUNCTION("""COMPUTED_VALUE"""),45694)</f>
        <v>45694</v>
      </c>
      <c r="F1056" s="1" t="str">
        <f ca="1">IFERROR(__xludf.DUMMYFUNCTION("""COMPUTED_VALUE"""),"Tunisia")</f>
        <v>Tunisia</v>
      </c>
      <c r="G1056" s="1" t="str">
        <f ca="1">IFERROR(__xludf.DUMMYFUNCTION("""COMPUTED_VALUE"""),"Second 76.24 Tunisia")</f>
        <v>Second 76.24 Tunisia</v>
      </c>
      <c r="H1056" s="1" t="str">
        <f ca="1">IFERROR(__xludf.DUMMYFUNCTION("""COMPUTED_VALUE"""),"Freedom of Expression, Human Rights Defenders")</f>
        <v>Freedom of Expression, Human Rights Defenders</v>
      </c>
      <c r="I1056" s="1" t="str">
        <f ca="1">IFERROR(__xludf.DUMMYFUNCTION("""COMPUTED_VALUE"""),"2025")</f>
        <v>2025</v>
      </c>
      <c r="J1056" s="1" t="str">
        <f ca="1">IFERROR(__xludf.DUMMYFUNCTION("""COMPUTED_VALUE"""),"Email")</f>
        <v>Email</v>
      </c>
    </row>
    <row r="1057" spans="1:10" ht="13" x14ac:dyDescent="0.15">
      <c r="A1057" s="4">
        <f ca="1">IFERROR(__xludf.DUMMYFUNCTION("""COMPUTED_VALUE"""),54187541)</f>
        <v>54187541</v>
      </c>
      <c r="B1057" s="1" t="str">
        <f ca="1">IFERROR(__xludf.DUMMYFUNCTION("""COMPUTED_VALUE"""),"walshkevink@yahoo.com")</f>
        <v>walshkevink@yahoo.com</v>
      </c>
      <c r="C1057" s="4" t="str">
        <f ca="1">IFERROR(__xludf.DUMMYFUNCTION("""COMPUTED_VALUE"""),"EVERGREEN - UAN Gated Content - Embedded Petition")</f>
        <v>EVERGREEN - UAN Gated Content - Embedded Petition</v>
      </c>
      <c r="D1057" s="5">
        <f ca="1">IFERROR(__xludf.DUMMYFUNCTION("""COMPUTED_VALUE"""),45694)</f>
        <v>45694</v>
      </c>
      <c r="F1057" s="1" t="str">
        <f ca="1">IFERROR(__xludf.DUMMYFUNCTION("""COMPUTED_VALUE"""),"Tunisia")</f>
        <v>Tunisia</v>
      </c>
      <c r="G1057" s="1" t="str">
        <f ca="1">IFERROR(__xludf.DUMMYFUNCTION("""COMPUTED_VALUE"""),"Second 76.24 Tunisia")</f>
        <v>Second 76.24 Tunisia</v>
      </c>
      <c r="H1057" s="1" t="str">
        <f ca="1">IFERROR(__xludf.DUMMYFUNCTION("""COMPUTED_VALUE"""),"Freedom of Expression, Human Rights Defenders")</f>
        <v>Freedom of Expression, Human Rights Defenders</v>
      </c>
      <c r="I1057" s="1" t="str">
        <f ca="1">IFERROR(__xludf.DUMMYFUNCTION("""COMPUTED_VALUE"""),"2025")</f>
        <v>2025</v>
      </c>
      <c r="J1057" s="1" t="str">
        <f ca="1">IFERROR(__xludf.DUMMYFUNCTION("""COMPUTED_VALUE"""),"Email")</f>
        <v>Email</v>
      </c>
    </row>
    <row r="1058" spans="1:10" ht="13" x14ac:dyDescent="0.15">
      <c r="A1058" s="4">
        <f ca="1">IFERROR(__xludf.DUMMYFUNCTION("""COMPUTED_VALUE"""),54188052)</f>
        <v>54188052</v>
      </c>
      <c r="B1058" s="1" t="str">
        <f ca="1">IFERROR(__xludf.DUMMYFUNCTION("""COMPUTED_VALUE"""),"amiwoman@gmail.com")</f>
        <v>amiwoman@gmail.com</v>
      </c>
      <c r="C1058" s="4" t="str">
        <f ca="1">IFERROR(__xludf.DUMMYFUNCTION("""COMPUTED_VALUE"""),"EVERGREEN - UAN Gated Content - Embedded Petition")</f>
        <v>EVERGREEN - UAN Gated Content - Embedded Petition</v>
      </c>
      <c r="D1058" s="5">
        <f ca="1">IFERROR(__xludf.DUMMYFUNCTION("""COMPUTED_VALUE"""),45636)</f>
        <v>45636</v>
      </c>
      <c r="F1058" s="1" t="str">
        <f ca="1">IFERROR(__xludf.DUMMYFUNCTION("""COMPUTED_VALUE"""),"Niger")</f>
        <v>Niger</v>
      </c>
      <c r="G1058" s="1" t="str">
        <f ca="1">IFERROR(__xludf.DUMMYFUNCTION("""COMPUTED_VALUE"""),"103.24 Niger")</f>
        <v>103.24 Niger</v>
      </c>
      <c r="H1058" s="1" t="str">
        <f ca="1">IFERROR(__xludf.DUMMYFUNCTION("""COMPUTED_VALUE"""),"Freedom of Expression, Human Rights Defenders")</f>
        <v>Freedom of Expression, Human Rights Defenders</v>
      </c>
      <c r="I1058" s="1" t="str">
        <f ca="1">IFERROR(__xludf.DUMMYFUNCTION("""COMPUTED_VALUE"""),"2024")</f>
        <v>2024</v>
      </c>
      <c r="J1058" s="1" t="str">
        <f ca="1">IFERROR(__xludf.DUMMYFUNCTION("""COMPUTED_VALUE"""),"Email")</f>
        <v>Email</v>
      </c>
    </row>
    <row r="1059" spans="1:10" ht="13" x14ac:dyDescent="0.15">
      <c r="A1059" s="4">
        <f ca="1">IFERROR(__xludf.DUMMYFUNCTION("""COMPUTED_VALUE"""),54188052)</f>
        <v>54188052</v>
      </c>
      <c r="B1059" s="1" t="str">
        <f ca="1">IFERROR(__xludf.DUMMYFUNCTION("""COMPUTED_VALUE"""),"amiwoman@gmail.com")</f>
        <v>amiwoman@gmail.com</v>
      </c>
      <c r="C1059" s="4" t="str">
        <f ca="1">IFERROR(__xludf.DUMMYFUNCTION("""COMPUTED_VALUE"""),"EVERGREEN - UAN Gated Content - Embedded Petition")</f>
        <v>EVERGREEN - UAN Gated Content - Embedded Petition</v>
      </c>
      <c r="D1059" s="5">
        <f ca="1">IFERROR(__xludf.DUMMYFUNCTION("""COMPUTED_VALUE"""),45636)</f>
        <v>45636</v>
      </c>
      <c r="F1059" s="1" t="str">
        <f ca="1">IFERROR(__xludf.DUMMYFUNCTION("""COMPUTED_VALUE"""),"Azerbaijan")</f>
        <v>Azerbaijan</v>
      </c>
      <c r="G1059" s="1" t="str">
        <f ca="1">IFERROR(__xludf.DUMMYFUNCTION("""COMPUTED_VALUE"""),"2.25 Azerbaijan")</f>
        <v>2.25 Azerbaijan</v>
      </c>
      <c r="H1059" s="1" t="str">
        <f ca="1">IFERROR(__xludf.DUMMYFUNCTION("""COMPUTED_VALUE"""),"Freedom of Expression, Human Rights Defenders")</f>
        <v>Freedom of Expression, Human Rights Defenders</v>
      </c>
      <c r="I1059" s="1" t="str">
        <f ca="1">IFERROR(__xludf.DUMMYFUNCTION("""COMPUTED_VALUE"""),"2025")</f>
        <v>2025</v>
      </c>
      <c r="J1059" s="1" t="str">
        <f ca="1">IFERROR(__xludf.DUMMYFUNCTION("""COMPUTED_VALUE"""),"Email")</f>
        <v>Email</v>
      </c>
    </row>
    <row r="1060" spans="1:10" ht="13" x14ac:dyDescent="0.15">
      <c r="A1060" s="4">
        <f ca="1">IFERROR(__xludf.DUMMYFUNCTION("""COMPUTED_VALUE"""),54688730)</f>
        <v>54688730</v>
      </c>
      <c r="B1060" s="1" t="str">
        <f ca="1">IFERROR(__xludf.DUMMYFUNCTION("""COMPUTED_VALUE"""),"pmbrown1944@gmail.com")</f>
        <v>pmbrown1944@gmail.com</v>
      </c>
      <c r="C1060" s="4" t="str">
        <f ca="1">IFERROR(__xludf.DUMMYFUNCTION("""COMPUTED_VALUE"""),"EVERGREEN - UAN Gated Content - Embedded Petition")</f>
        <v>EVERGREEN - UAN Gated Content - Embedded Petition</v>
      </c>
      <c r="D1060" s="5">
        <f ca="1">IFERROR(__xludf.DUMMYFUNCTION("""COMPUTED_VALUE"""),45636)</f>
        <v>45636</v>
      </c>
      <c r="F1060" s="1" t="str">
        <f ca="1">IFERROR(__xludf.DUMMYFUNCTION("""COMPUTED_VALUE"""),"USA")</f>
        <v>USA</v>
      </c>
      <c r="G1060" s="1" t="str">
        <f ca="1">IFERROR(__xludf.DUMMYFUNCTION("""COMPUTED_VALUE"""),"Fourth 55.24 USA")</f>
        <v>Fourth 55.24 USA</v>
      </c>
      <c r="H1060" s="1" t="str">
        <f ca="1">IFERROR(__xludf.DUMMYFUNCTION("""COMPUTED_VALUE"""),"Climate Justice, Individuals At Risk")</f>
        <v>Climate Justice, Individuals At Risk</v>
      </c>
      <c r="I1060" s="1" t="str">
        <f ca="1">IFERROR(__xludf.DUMMYFUNCTION("""COMPUTED_VALUE"""),"2025")</f>
        <v>2025</v>
      </c>
      <c r="J1060" s="1" t="str">
        <f ca="1">IFERROR(__xludf.DUMMYFUNCTION("""COMPUTED_VALUE"""),"Email")</f>
        <v>Email</v>
      </c>
    </row>
    <row r="1061" spans="1:10" ht="13" x14ac:dyDescent="0.15">
      <c r="A1061" s="4">
        <f ca="1">IFERROR(__xludf.DUMMYFUNCTION("""COMPUTED_VALUE"""),54688730)</f>
        <v>54688730</v>
      </c>
      <c r="B1061" s="1" t="str">
        <f ca="1">IFERROR(__xludf.DUMMYFUNCTION("""COMPUTED_VALUE"""),"pmbrown1944@gmail.com")</f>
        <v>pmbrown1944@gmail.com</v>
      </c>
      <c r="C1061" s="4" t="str">
        <f ca="1">IFERROR(__xludf.DUMMYFUNCTION("""COMPUTED_VALUE"""),"EVERGREEN - UAN Gated Content - Embedded Petition")</f>
        <v>EVERGREEN - UAN Gated Content - Embedded Petition</v>
      </c>
      <c r="D1061" s="5">
        <f ca="1">IFERROR(__xludf.DUMMYFUNCTION("""COMPUTED_VALUE"""),45694)</f>
        <v>45694</v>
      </c>
      <c r="F1061" s="1" t="str">
        <f ca="1">IFERROR(__xludf.DUMMYFUNCTION("""COMPUTED_VALUE"""),"USA")</f>
        <v>USA</v>
      </c>
      <c r="G1061" s="1" t="str">
        <f ca="1">IFERROR(__xludf.DUMMYFUNCTION("""COMPUTED_VALUE"""),"Fourth 55.24 USA")</f>
        <v>Fourth 55.24 USA</v>
      </c>
      <c r="H1061" s="1" t="str">
        <f ca="1">IFERROR(__xludf.DUMMYFUNCTION("""COMPUTED_VALUE"""),"Climate Justice, Individuals At Risk")</f>
        <v>Climate Justice, Individuals At Risk</v>
      </c>
      <c r="I1061" s="1" t="str">
        <f ca="1">IFERROR(__xludf.DUMMYFUNCTION("""COMPUTED_VALUE"""),"2025")</f>
        <v>2025</v>
      </c>
      <c r="J1061" s="1" t="str">
        <f ca="1">IFERROR(__xludf.DUMMYFUNCTION("""COMPUTED_VALUE"""),"Email")</f>
        <v>Email</v>
      </c>
    </row>
    <row r="1062" spans="1:10" ht="13" x14ac:dyDescent="0.15">
      <c r="A1062" s="4">
        <f ca="1">IFERROR(__xludf.DUMMYFUNCTION("""COMPUTED_VALUE"""),55289782)</f>
        <v>55289782</v>
      </c>
      <c r="B1062" s="1" t="str">
        <f ca="1">IFERROR(__xludf.DUMMYFUNCTION("""COMPUTED_VALUE"""),"gravjm55@gmail.com")</f>
        <v>gravjm55@gmail.com</v>
      </c>
      <c r="C1062" s="4" t="str">
        <f ca="1">IFERROR(__xludf.DUMMYFUNCTION("""COMPUTED_VALUE"""),"EVERGREEN - UAN Gated Content - Embedded Petition")</f>
        <v>EVERGREEN - UAN Gated Content - Embedded Petition</v>
      </c>
      <c r="D1062" s="5">
        <f ca="1">IFERROR(__xludf.DUMMYFUNCTION("""COMPUTED_VALUE"""),45695)</f>
        <v>45695</v>
      </c>
      <c r="F1062" s="1" t="str">
        <f ca="1">IFERROR(__xludf.DUMMYFUNCTION("""COMPUTED_VALUE"""),"Iran")</f>
        <v>Iran</v>
      </c>
      <c r="G1062" s="1" t="str">
        <f ca="1">IFERROR(__xludf.DUMMYFUNCTION("""COMPUTED_VALUE"""),"Seventh 103.22 Iran")</f>
        <v>Seventh 103.22 Iran</v>
      </c>
      <c r="H1062" s="1" t="str">
        <f ca="1">IFERROR(__xludf.DUMMYFUNCTION("""COMPUTED_VALUE"""),"Death Penalty, Freedom of Expression, Individuals At Risk")</f>
        <v>Death Penalty, Freedom of Expression, Individuals At Risk</v>
      </c>
      <c r="I1062" s="1" t="str">
        <f ca="1">IFERROR(__xludf.DUMMYFUNCTION("""COMPUTED_VALUE"""),"2024")</f>
        <v>2024</v>
      </c>
      <c r="J1062" s="1" t="str">
        <f ca="1">IFERROR(__xludf.DUMMYFUNCTION("""COMPUTED_VALUE"""),"Email")</f>
        <v>Email</v>
      </c>
    </row>
    <row r="1063" spans="1:10" ht="13" x14ac:dyDescent="0.15">
      <c r="A1063" s="4">
        <f ca="1">IFERROR(__xludf.DUMMYFUNCTION("""COMPUTED_VALUE"""),55289782)</f>
        <v>55289782</v>
      </c>
      <c r="B1063" s="1" t="str">
        <f ca="1">IFERROR(__xludf.DUMMYFUNCTION("""COMPUTED_VALUE"""),"gravjm55@gmail.com")</f>
        <v>gravjm55@gmail.com</v>
      </c>
      <c r="C1063" s="4" t="str">
        <f ca="1">IFERROR(__xludf.DUMMYFUNCTION("""COMPUTED_VALUE"""),"EVERGREEN - UAN Gated Content - Embedded Petition")</f>
        <v>EVERGREEN - UAN Gated Content - Embedded Petition</v>
      </c>
      <c r="D1063" s="5">
        <f ca="1">IFERROR(__xludf.DUMMYFUNCTION("""COMPUTED_VALUE"""),45671)</f>
        <v>45671</v>
      </c>
      <c r="F1063" s="1" t="str">
        <f ca="1">IFERROR(__xludf.DUMMYFUNCTION("""COMPUTED_VALUE"""),"Iran")</f>
        <v>Iran</v>
      </c>
      <c r="G1063" s="1" t="str">
        <f ca="1">IFERROR(__xludf.DUMMYFUNCTION("""COMPUTED_VALUE"""),"Seventh 103.22 Iran")</f>
        <v>Seventh 103.22 Iran</v>
      </c>
      <c r="H1063" s="1" t="str">
        <f ca="1">IFERROR(__xludf.DUMMYFUNCTION("""COMPUTED_VALUE"""),"Death Penalty, Freedom of Expression, Individuals At Risk")</f>
        <v>Death Penalty, Freedom of Expression, Individuals At Risk</v>
      </c>
      <c r="I1063" s="1" t="str">
        <f ca="1">IFERROR(__xludf.DUMMYFUNCTION("""COMPUTED_VALUE"""),"2024")</f>
        <v>2024</v>
      </c>
      <c r="J1063" s="1" t="str">
        <f ca="1">IFERROR(__xludf.DUMMYFUNCTION("""COMPUTED_VALUE"""),"Email")</f>
        <v>Email</v>
      </c>
    </row>
    <row r="1064" spans="1:10" ht="13" x14ac:dyDescent="0.15">
      <c r="A1064" s="4">
        <f ca="1">IFERROR(__xludf.DUMMYFUNCTION("""COMPUTED_VALUE"""),55289782)</f>
        <v>55289782</v>
      </c>
      <c r="B1064" s="1" t="str">
        <f ca="1">IFERROR(__xludf.DUMMYFUNCTION("""COMPUTED_VALUE"""),"gravjm55@gmail.com")</f>
        <v>gravjm55@gmail.com</v>
      </c>
      <c r="C1064" s="4" t="str">
        <f ca="1">IFERROR(__xludf.DUMMYFUNCTION("""COMPUTED_VALUE"""),"EVERGREEN - UAN Gated Content - Embedded Petition")</f>
        <v>EVERGREEN - UAN Gated Content - Embedded Petition</v>
      </c>
      <c r="D1064" s="5">
        <f ca="1">IFERROR(__xludf.DUMMYFUNCTION("""COMPUTED_VALUE"""),45671)</f>
        <v>45671</v>
      </c>
      <c r="F1064" s="1" t="str">
        <f ca="1">IFERROR(__xludf.DUMMYFUNCTION("""COMPUTED_VALUE"""),"Egypt")</f>
        <v>Egypt</v>
      </c>
      <c r="G1064" s="1" t="str">
        <f ca="1">IFERROR(__xludf.DUMMYFUNCTION("""COMPUTED_VALUE"""),"Third 73.23 Egypt")</f>
        <v>Third 73.23 Egypt</v>
      </c>
      <c r="H1064" s="1" t="str">
        <f ca="1">IFERROR(__xludf.DUMMYFUNCTION("""COMPUTED_VALUE"""),"Individuals At Risk")</f>
        <v>Individuals At Risk</v>
      </c>
      <c r="I1064" s="1" t="str">
        <f ca="1">IFERROR(__xludf.DUMMYFUNCTION("""COMPUTED_VALUE"""),"2024")</f>
        <v>2024</v>
      </c>
      <c r="J1064" s="1" t="str">
        <f ca="1">IFERROR(__xludf.DUMMYFUNCTION("""COMPUTED_VALUE"""),"Email")</f>
        <v>Email</v>
      </c>
    </row>
    <row r="1065" spans="1:10" ht="13" x14ac:dyDescent="0.15">
      <c r="A1065" s="4">
        <f ca="1">IFERROR(__xludf.DUMMYFUNCTION("""COMPUTED_VALUE"""),55330641)</f>
        <v>55330641</v>
      </c>
      <c r="B1065" s="1" t="str">
        <f ca="1">IFERROR(__xludf.DUMMYFUNCTION("""COMPUTED_VALUE"""),"jgould1526@gmail.com")</f>
        <v>jgould1526@gmail.com</v>
      </c>
      <c r="C1065" s="4" t="str">
        <f ca="1">IFERROR(__xludf.DUMMYFUNCTION("""COMPUTED_VALUE"""),"EVERGREEN - UAN Gated Content - Embedded Petition")</f>
        <v>EVERGREEN - UAN Gated Content - Embedded Petition</v>
      </c>
      <c r="D1065" s="5">
        <f ca="1">IFERROR(__xludf.DUMMYFUNCTION("""COMPUTED_VALUE"""),45647)</f>
        <v>45647</v>
      </c>
      <c r="F1065" s="1" t="str">
        <f ca="1">IFERROR(__xludf.DUMMYFUNCTION("""COMPUTED_VALUE"""),"Dominican Republic")</f>
        <v>Dominican Republic</v>
      </c>
      <c r="G1065" s="1" t="str">
        <f ca="1">IFERROR(__xludf.DUMMYFUNCTION("""COMPUTED_VALUE"""),"88.24 Dominican Republic")</f>
        <v>88.24 Dominican Republic</v>
      </c>
      <c r="H1065" s="1" t="str">
        <f ca="1">IFERROR(__xludf.DUMMYFUNCTION("""COMPUTED_VALUE"""),"Individuals At Risk, Refugee and Migrant Rights")</f>
        <v>Individuals At Risk, Refugee and Migrant Rights</v>
      </c>
      <c r="I1065" s="1" t="str">
        <f ca="1">IFERROR(__xludf.DUMMYFUNCTION("""COMPUTED_VALUE"""),"2024")</f>
        <v>2024</v>
      </c>
      <c r="J1065" s="1" t="str">
        <f ca="1">IFERROR(__xludf.DUMMYFUNCTION("""COMPUTED_VALUE"""),"Letter")</f>
        <v>Letter</v>
      </c>
    </row>
    <row r="1066" spans="1:10" ht="13" x14ac:dyDescent="0.15">
      <c r="A1066" s="4">
        <f ca="1">IFERROR(__xludf.DUMMYFUNCTION("""COMPUTED_VALUE"""),55330641)</f>
        <v>55330641</v>
      </c>
      <c r="B1066" s="1" t="str">
        <f ca="1">IFERROR(__xludf.DUMMYFUNCTION("""COMPUTED_VALUE"""),"jgould1526@gmail.com")</f>
        <v>jgould1526@gmail.com</v>
      </c>
      <c r="C1066" s="4" t="str">
        <f ca="1">IFERROR(__xludf.DUMMYFUNCTION("""COMPUTED_VALUE"""),"EVERGREEN - UAN Gated Content - Embedded Petition")</f>
        <v>EVERGREEN - UAN Gated Content - Embedded Petition</v>
      </c>
      <c r="D1066" s="5">
        <f ca="1">IFERROR(__xludf.DUMMYFUNCTION("""COMPUTED_VALUE"""),45631)</f>
        <v>45631</v>
      </c>
      <c r="F1066" s="1" t="str">
        <f ca="1">IFERROR(__xludf.DUMMYFUNCTION("""COMPUTED_VALUE"""),"Niger")</f>
        <v>Niger</v>
      </c>
      <c r="G1066" s="1" t="str">
        <f ca="1">IFERROR(__xludf.DUMMYFUNCTION("""COMPUTED_VALUE"""),"103.24 Niger")</f>
        <v>103.24 Niger</v>
      </c>
      <c r="H1066" s="1" t="str">
        <f ca="1">IFERROR(__xludf.DUMMYFUNCTION("""COMPUTED_VALUE"""),"Freedom of Expression, Human Rights Defenders")</f>
        <v>Freedom of Expression, Human Rights Defenders</v>
      </c>
      <c r="I1066" s="1" t="str">
        <f ca="1">IFERROR(__xludf.DUMMYFUNCTION("""COMPUTED_VALUE"""),"2024")</f>
        <v>2024</v>
      </c>
      <c r="J1066" s="1" t="str">
        <f ca="1">IFERROR(__xludf.DUMMYFUNCTION("""COMPUTED_VALUE"""),"Email")</f>
        <v>Email</v>
      </c>
    </row>
    <row r="1067" spans="1:10" ht="13" x14ac:dyDescent="0.15">
      <c r="A1067" s="4">
        <f ca="1">IFERROR(__xludf.DUMMYFUNCTION("""COMPUTED_VALUE"""),55330641)</f>
        <v>55330641</v>
      </c>
      <c r="B1067" s="1" t="str">
        <f ca="1">IFERROR(__xludf.DUMMYFUNCTION("""COMPUTED_VALUE"""),"jgould1526@gmail.com")</f>
        <v>jgould1526@gmail.com</v>
      </c>
      <c r="C1067" s="4" t="str">
        <f ca="1">IFERROR(__xludf.DUMMYFUNCTION("""COMPUTED_VALUE"""),"EVERGREEN - UAN Gated Content - Embedded Petition")</f>
        <v>EVERGREEN - UAN Gated Content - Embedded Petition</v>
      </c>
      <c r="D1067" s="5">
        <f ca="1">IFERROR(__xludf.DUMMYFUNCTION("""COMPUTED_VALUE"""),45694)</f>
        <v>45694</v>
      </c>
      <c r="F1067" s="1" t="str">
        <f ca="1">IFERROR(__xludf.DUMMYFUNCTION("""COMPUTED_VALUE"""),"Tunisia")</f>
        <v>Tunisia</v>
      </c>
      <c r="G1067" s="1" t="str">
        <f ca="1">IFERROR(__xludf.DUMMYFUNCTION("""COMPUTED_VALUE"""),"Second 43.24 Tunisia")</f>
        <v>Second 43.24 Tunisia</v>
      </c>
      <c r="H1067" s="1" t="str">
        <f ca="1">IFERROR(__xludf.DUMMYFUNCTION("""COMPUTED_VALUE"""),"Freedom of Expression, Individuals At Risk")</f>
        <v>Freedom of Expression, Individuals At Risk</v>
      </c>
      <c r="I1067" s="1" t="str">
        <f ca="1">IFERROR(__xludf.DUMMYFUNCTION("""COMPUTED_VALUE"""),"2024")</f>
        <v>2024</v>
      </c>
      <c r="J1067" s="1" t="str">
        <f ca="1">IFERROR(__xludf.DUMMYFUNCTION("""COMPUTED_VALUE"""),"Email")</f>
        <v>Email</v>
      </c>
    </row>
    <row r="1068" spans="1:10" ht="13" x14ac:dyDescent="0.15">
      <c r="A1068" s="4">
        <f ca="1">IFERROR(__xludf.DUMMYFUNCTION("""COMPUTED_VALUE"""),55330641)</f>
        <v>55330641</v>
      </c>
      <c r="B1068" s="1" t="str">
        <f ca="1">IFERROR(__xludf.DUMMYFUNCTION("""COMPUTED_VALUE"""),"jgould1526@gmail.com")</f>
        <v>jgould1526@gmail.com</v>
      </c>
      <c r="C1068" s="4" t="str">
        <f ca="1">IFERROR(__xludf.DUMMYFUNCTION("""COMPUTED_VALUE"""),"EVERGREEN - UAN Gated Content - Embedded Petition")</f>
        <v>EVERGREEN - UAN Gated Content - Embedded Petition</v>
      </c>
      <c r="D1068" s="5">
        <f ca="1">IFERROR(__xludf.DUMMYFUNCTION("""COMPUTED_VALUE"""),45631)</f>
        <v>45631</v>
      </c>
      <c r="F1068" s="1" t="str">
        <f ca="1">IFERROR(__xludf.DUMMYFUNCTION("""COMPUTED_VALUE"""),"China")</f>
        <v>China</v>
      </c>
      <c r="G1068" s="1" t="str">
        <f ca="1">IFERROR(__xludf.DUMMYFUNCTION("""COMPUTED_VALUE"""),"106.24 China")</f>
        <v>106.24 China</v>
      </c>
      <c r="H1068" s="1" t="str">
        <f ca="1">IFERROR(__xludf.DUMMYFUNCTION("""COMPUTED_VALUE"""),"Freedom of Expression, Individuals At Risk")</f>
        <v>Freedom of Expression, Individuals At Risk</v>
      </c>
      <c r="I1068" s="1" t="str">
        <f ca="1">IFERROR(__xludf.DUMMYFUNCTION("""COMPUTED_VALUE"""),"2024")</f>
        <v>2024</v>
      </c>
      <c r="J1068" s="1" t="str">
        <f ca="1">IFERROR(__xludf.DUMMYFUNCTION("""COMPUTED_VALUE"""),"Email")</f>
        <v>Email</v>
      </c>
    </row>
    <row r="1069" spans="1:10" ht="13" x14ac:dyDescent="0.15">
      <c r="A1069" s="4">
        <f ca="1">IFERROR(__xludf.DUMMYFUNCTION("""COMPUTED_VALUE"""),55330641)</f>
        <v>55330641</v>
      </c>
      <c r="B1069" s="1" t="str">
        <f ca="1">IFERROR(__xludf.DUMMYFUNCTION("""COMPUTED_VALUE"""),"jgould1526@gmail.com")</f>
        <v>jgould1526@gmail.com</v>
      </c>
      <c r="C1069" s="4" t="str">
        <f ca="1">IFERROR(__xludf.DUMMYFUNCTION("""COMPUTED_VALUE"""),"EVERGREEN - UAN Gated Content - Embedded Petition")</f>
        <v>EVERGREEN - UAN Gated Content - Embedded Petition</v>
      </c>
      <c r="D1069" s="5">
        <f ca="1">IFERROR(__xludf.DUMMYFUNCTION("""COMPUTED_VALUE"""),45631)</f>
        <v>45631</v>
      </c>
      <c r="F1069" s="1" t="str">
        <f ca="1">IFERROR(__xludf.DUMMYFUNCTION("""COMPUTED_VALUE"""),"Egypt")</f>
        <v>Egypt</v>
      </c>
      <c r="G1069" s="1" t="str">
        <f ca="1">IFERROR(__xludf.DUMMYFUNCTION("""COMPUTED_VALUE"""),"Ninth 190.18 Egypt")</f>
        <v>Ninth 190.18 Egypt</v>
      </c>
      <c r="H1069" s="1" t="str">
        <f ca="1">IFERROR(__xludf.DUMMYFUNCTION("""COMPUTED_VALUE"""),"Freedom of Expression, Individuals At Risk")</f>
        <v>Freedom of Expression, Individuals At Risk</v>
      </c>
      <c r="I1069" s="1" t="str">
        <f ca="1">IFERROR(__xludf.DUMMYFUNCTION("""COMPUTED_VALUE"""),"2024")</f>
        <v>2024</v>
      </c>
      <c r="J1069" s="1" t="str">
        <f ca="1">IFERROR(__xludf.DUMMYFUNCTION("""COMPUTED_VALUE"""),"Letter")</f>
        <v>Letter</v>
      </c>
    </row>
    <row r="1070" spans="1:10" ht="13" x14ac:dyDescent="0.15">
      <c r="A1070" s="4">
        <f ca="1">IFERROR(__xludf.DUMMYFUNCTION("""COMPUTED_VALUE"""),55330641)</f>
        <v>55330641</v>
      </c>
      <c r="B1070" s="1" t="str">
        <f ca="1">IFERROR(__xludf.DUMMYFUNCTION("""COMPUTED_VALUE"""),"jgould1526@gmail.com")</f>
        <v>jgould1526@gmail.com</v>
      </c>
      <c r="C1070" s="4" t="str">
        <f ca="1">IFERROR(__xludf.DUMMYFUNCTION("""COMPUTED_VALUE"""),"EVERGREEN - UAN Gated Content - Embedded Petition")</f>
        <v>EVERGREEN - UAN Gated Content - Embedded Petition</v>
      </c>
      <c r="D1070" s="5">
        <f ca="1">IFERROR(__xludf.DUMMYFUNCTION("""COMPUTED_VALUE"""),45631)</f>
        <v>45631</v>
      </c>
      <c r="F1070" s="1" t="str">
        <f ca="1">IFERROR(__xludf.DUMMYFUNCTION("""COMPUTED_VALUE"""),"Israel and Occupied Palestinian Territories")</f>
        <v>Israel and Occupied Palestinian Territories</v>
      </c>
      <c r="G1070" s="1" t="str">
        <f ca="1">IFERROR(__xludf.DUMMYFUNCTION("""COMPUTED_VALUE"""),"3.25 IOPT")</f>
        <v>3.25 IOPT</v>
      </c>
      <c r="H1070" s="1" t="str">
        <f ca="1">IFERROR(__xludf.DUMMYFUNCTION("""COMPUTED_VALUE"""),"Freedom of Expression, Individuals At Risk")</f>
        <v>Freedom of Expression, Individuals At Risk</v>
      </c>
      <c r="I1070" s="1" t="str">
        <f ca="1">IFERROR(__xludf.DUMMYFUNCTION("""COMPUTED_VALUE"""),"2025")</f>
        <v>2025</v>
      </c>
      <c r="J1070" s="1" t="str">
        <f ca="1">IFERROR(__xludf.DUMMYFUNCTION("""COMPUTED_VALUE"""),"Email")</f>
        <v>Email</v>
      </c>
    </row>
    <row r="1071" spans="1:10" ht="13" x14ac:dyDescent="0.15">
      <c r="A1071" s="4">
        <f ca="1">IFERROR(__xludf.DUMMYFUNCTION("""COMPUTED_VALUE"""),55330641)</f>
        <v>55330641</v>
      </c>
      <c r="B1071" s="1" t="str">
        <f ca="1">IFERROR(__xludf.DUMMYFUNCTION("""COMPUTED_VALUE"""),"jgould1526@gmail.com")</f>
        <v>jgould1526@gmail.com</v>
      </c>
      <c r="C1071" s="4" t="str">
        <f ca="1">IFERROR(__xludf.DUMMYFUNCTION("""COMPUTED_VALUE"""),"EVERGREEN - UAN Gated Content - Embedded Petition")</f>
        <v>EVERGREEN - UAN Gated Content - Embedded Petition</v>
      </c>
      <c r="D1071" s="5">
        <f ca="1">IFERROR(__xludf.DUMMYFUNCTION("""COMPUTED_VALUE"""),45631)</f>
        <v>45631</v>
      </c>
      <c r="F1071" s="1" t="str">
        <f ca="1">IFERROR(__xludf.DUMMYFUNCTION("""COMPUTED_VALUE"""),"Israel and Occupied Palestinian Territories")</f>
        <v>Israel and Occupied Palestinian Territories</v>
      </c>
      <c r="G1071" s="1" t="str">
        <f ca="1">IFERROR(__xludf.DUMMYFUNCTION("""COMPUTED_VALUE"""),"3.25 IOPT")</f>
        <v>3.25 IOPT</v>
      </c>
      <c r="H1071" s="1" t="str">
        <f ca="1">IFERROR(__xludf.DUMMYFUNCTION("""COMPUTED_VALUE"""),"Freedom of Expression, Individuals At Risk")</f>
        <v>Freedom of Expression, Individuals At Risk</v>
      </c>
      <c r="I1071" s="1" t="str">
        <f ca="1">IFERROR(__xludf.DUMMYFUNCTION("""COMPUTED_VALUE"""),"2025")</f>
        <v>2025</v>
      </c>
      <c r="J1071" s="1" t="str">
        <f ca="1">IFERROR(__xludf.DUMMYFUNCTION("""COMPUTED_VALUE"""),"Email")</f>
        <v>Email</v>
      </c>
    </row>
    <row r="1072" spans="1:10" ht="13" x14ac:dyDescent="0.15">
      <c r="A1072" s="4">
        <f ca="1">IFERROR(__xludf.DUMMYFUNCTION("""COMPUTED_VALUE"""),55330641)</f>
        <v>55330641</v>
      </c>
      <c r="B1072" s="1" t="str">
        <f ca="1">IFERROR(__xludf.DUMMYFUNCTION("""COMPUTED_VALUE"""),"jgould1526@gmail.com")</f>
        <v>jgould1526@gmail.com</v>
      </c>
      <c r="C1072" s="4" t="str">
        <f ca="1">IFERROR(__xludf.DUMMYFUNCTION("""COMPUTED_VALUE"""),"EVERGREEN - UAN Gated Content - Embedded Petition")</f>
        <v>EVERGREEN - UAN Gated Content - Embedded Petition</v>
      </c>
      <c r="D1072" s="5">
        <f ca="1">IFERROR(__xludf.DUMMYFUNCTION("""COMPUTED_VALUE"""),45631)</f>
        <v>45631</v>
      </c>
      <c r="F1072" s="1" t="str">
        <f ca="1">IFERROR(__xludf.DUMMYFUNCTION("""COMPUTED_VALUE"""),"Egypt")</f>
        <v>Egypt</v>
      </c>
      <c r="G1072" s="1" t="str">
        <f ca="1">IFERROR(__xludf.DUMMYFUNCTION("""COMPUTED_VALUE"""),"Ninth 190.18 Egypt")</f>
        <v>Ninth 190.18 Egypt</v>
      </c>
      <c r="H1072" s="1" t="str">
        <f ca="1">IFERROR(__xludf.DUMMYFUNCTION("""COMPUTED_VALUE"""),"Freedom of Expression, Individuals At Risk")</f>
        <v>Freedom of Expression, Individuals At Risk</v>
      </c>
      <c r="I1072" s="1" t="str">
        <f ca="1">IFERROR(__xludf.DUMMYFUNCTION("""COMPUTED_VALUE"""),"2024")</f>
        <v>2024</v>
      </c>
      <c r="J1072" s="1" t="str">
        <f ca="1">IFERROR(__xludf.DUMMYFUNCTION("""COMPUTED_VALUE"""),"Letter")</f>
        <v>Letter</v>
      </c>
    </row>
    <row r="1073" spans="1:10" ht="13" x14ac:dyDescent="0.15">
      <c r="A1073" s="4">
        <f ca="1">IFERROR(__xludf.DUMMYFUNCTION("""COMPUTED_VALUE"""),55330641)</f>
        <v>55330641</v>
      </c>
      <c r="B1073" s="1" t="str">
        <f ca="1">IFERROR(__xludf.DUMMYFUNCTION("""COMPUTED_VALUE"""),"jgould1526@gmail.com")</f>
        <v>jgould1526@gmail.com</v>
      </c>
      <c r="C1073" s="4" t="str">
        <f ca="1">IFERROR(__xludf.DUMMYFUNCTION("""COMPUTED_VALUE"""),"EVERGREEN - UAN Gated Content - Embedded Petition")</f>
        <v>EVERGREEN - UAN Gated Content - Embedded Petition</v>
      </c>
      <c r="D1073" s="5">
        <f ca="1">IFERROR(__xludf.DUMMYFUNCTION("""COMPUTED_VALUE"""),45631)</f>
        <v>45631</v>
      </c>
      <c r="F1073" s="1" t="str">
        <f ca="1">IFERROR(__xludf.DUMMYFUNCTION("""COMPUTED_VALUE"""),"Venezuela")</f>
        <v>Venezuela</v>
      </c>
      <c r="G1073" s="1" t="str">
        <f ca="1">IFERROR(__xludf.DUMMYFUNCTION("""COMPUTED_VALUE"""),"97.24 Venezuela")</f>
        <v>97.24 Venezuela</v>
      </c>
      <c r="H1073" s="1" t="str">
        <f ca="1">IFERROR(__xludf.DUMMYFUNCTION("""COMPUTED_VALUE"""),"Freedom of Expression")</f>
        <v>Freedom of Expression</v>
      </c>
      <c r="I1073" s="1" t="str">
        <f ca="1">IFERROR(__xludf.DUMMYFUNCTION("""COMPUTED_VALUE"""),"2024")</f>
        <v>2024</v>
      </c>
      <c r="J1073" s="1" t="str">
        <f ca="1">IFERROR(__xludf.DUMMYFUNCTION("""COMPUTED_VALUE"""),"Letter")</f>
        <v>Letter</v>
      </c>
    </row>
    <row r="1074" spans="1:10" ht="13" x14ac:dyDescent="0.15">
      <c r="A1074" s="4">
        <f ca="1">IFERROR(__xludf.DUMMYFUNCTION("""COMPUTED_VALUE"""),55330741)</f>
        <v>55330741</v>
      </c>
      <c r="B1074" s="1" t="str">
        <f ca="1">IFERROR(__xludf.DUMMYFUNCTION("""COMPUTED_VALUE"""),"shenyen@wavecable.com")</f>
        <v>shenyen@wavecable.com</v>
      </c>
      <c r="C1074" s="4" t="str">
        <f ca="1">IFERROR(__xludf.DUMMYFUNCTION("""COMPUTED_VALUE"""),"EVERGREEN - UAN Gated Content - Embedded Petition")</f>
        <v>EVERGREEN - UAN Gated Content - Embedded Petition</v>
      </c>
      <c r="D1074" s="5">
        <f ca="1">IFERROR(__xludf.DUMMYFUNCTION("""COMPUTED_VALUE"""),45618)</f>
        <v>45618</v>
      </c>
      <c r="F1074" s="1" t="str">
        <f ca="1">IFERROR(__xludf.DUMMYFUNCTION("""COMPUTED_VALUE"""),"China")</f>
        <v>China</v>
      </c>
      <c r="G1074" s="1" t="str">
        <f ca="1">IFERROR(__xludf.DUMMYFUNCTION("""COMPUTED_VALUE"""),"98.24 China")</f>
        <v>98.24 China</v>
      </c>
      <c r="H1074" s="1" t="str">
        <f ca="1">IFERROR(__xludf.DUMMYFUNCTION("""COMPUTED_VALUE"""),"Freedom of Expression, Individuals At Risk")</f>
        <v>Freedom of Expression, Individuals At Risk</v>
      </c>
      <c r="I1074" s="1" t="str">
        <f ca="1">IFERROR(__xludf.DUMMYFUNCTION("""COMPUTED_VALUE"""),"2024")</f>
        <v>2024</v>
      </c>
      <c r="J1074" s="1" t="str">
        <f ca="1">IFERROR(__xludf.DUMMYFUNCTION("""COMPUTED_VALUE"""),"Letter")</f>
        <v>Letter</v>
      </c>
    </row>
    <row r="1075" spans="1:10" ht="13" x14ac:dyDescent="0.15">
      <c r="A1075" s="4">
        <f ca="1">IFERROR(__xludf.DUMMYFUNCTION("""COMPUTED_VALUE"""),55330741)</f>
        <v>55330741</v>
      </c>
      <c r="B1075" s="1" t="str">
        <f ca="1">IFERROR(__xludf.DUMMYFUNCTION("""COMPUTED_VALUE"""),"shenyen@wavecable.com")</f>
        <v>shenyen@wavecable.com</v>
      </c>
      <c r="C1075" s="4" t="str">
        <f ca="1">IFERROR(__xludf.DUMMYFUNCTION("""COMPUTED_VALUE"""),"EVERGREEN - UAN Gated Content - Embedded Petition")</f>
        <v>EVERGREEN - UAN Gated Content - Embedded Petition</v>
      </c>
      <c r="D1075" s="5">
        <f ca="1">IFERROR(__xludf.DUMMYFUNCTION("""COMPUTED_VALUE"""),45618)</f>
        <v>45618</v>
      </c>
      <c r="F1075" s="1" t="str">
        <f ca="1">IFERROR(__xludf.DUMMYFUNCTION("""COMPUTED_VALUE"""),"Niger")</f>
        <v>Niger</v>
      </c>
      <c r="G1075" s="1" t="str">
        <f ca="1">IFERROR(__xludf.DUMMYFUNCTION("""COMPUTED_VALUE"""),"103.24 Niger")</f>
        <v>103.24 Niger</v>
      </c>
      <c r="H1075" s="1" t="str">
        <f ca="1">IFERROR(__xludf.DUMMYFUNCTION("""COMPUTED_VALUE"""),"Freedom of Expression, Human Rights Defenders")</f>
        <v>Freedom of Expression, Human Rights Defenders</v>
      </c>
      <c r="I1075" s="1" t="str">
        <f ca="1">IFERROR(__xludf.DUMMYFUNCTION("""COMPUTED_VALUE"""),"2024")</f>
        <v>2024</v>
      </c>
      <c r="J1075" s="1" t="str">
        <f ca="1">IFERROR(__xludf.DUMMYFUNCTION("""COMPUTED_VALUE"""),"Email")</f>
        <v>Email</v>
      </c>
    </row>
    <row r="1076" spans="1:10" ht="13" x14ac:dyDescent="0.15">
      <c r="A1076" s="4">
        <f ca="1">IFERROR(__xludf.DUMMYFUNCTION("""COMPUTED_VALUE"""),55330741)</f>
        <v>55330741</v>
      </c>
      <c r="B1076" s="1" t="str">
        <f ca="1">IFERROR(__xludf.DUMMYFUNCTION("""COMPUTED_VALUE"""),"shenyen@wavecable.com")</f>
        <v>shenyen@wavecable.com</v>
      </c>
      <c r="C1076" s="4" t="str">
        <f ca="1">IFERROR(__xludf.DUMMYFUNCTION("""COMPUTED_VALUE"""),"EVERGREEN - UAN Gated Content - Embedded Petition")</f>
        <v>EVERGREEN - UAN Gated Content - Embedded Petition</v>
      </c>
      <c r="D1076" s="5">
        <f ca="1">IFERROR(__xludf.DUMMYFUNCTION("""COMPUTED_VALUE"""),45618)</f>
        <v>45618</v>
      </c>
      <c r="F1076" s="1" t="str">
        <f ca="1">IFERROR(__xludf.DUMMYFUNCTION("""COMPUTED_VALUE"""),"Iran")</f>
        <v>Iran</v>
      </c>
      <c r="G1076" s="1" t="str">
        <f ca="1">IFERROR(__xludf.DUMMYFUNCTION("""COMPUTED_VALUE"""),"Seventh 103.22 Iran")</f>
        <v>Seventh 103.22 Iran</v>
      </c>
      <c r="H1076" s="1" t="str">
        <f ca="1">IFERROR(__xludf.DUMMYFUNCTION("""COMPUTED_VALUE"""),"Death Penalty, Freedom of Expression, Individuals At Risk")</f>
        <v>Death Penalty, Freedom of Expression, Individuals At Risk</v>
      </c>
      <c r="I1076" s="1" t="str">
        <f ca="1">IFERROR(__xludf.DUMMYFUNCTION("""COMPUTED_VALUE"""),"2024")</f>
        <v>2024</v>
      </c>
      <c r="J1076" s="1" t="str">
        <f ca="1">IFERROR(__xludf.DUMMYFUNCTION("""COMPUTED_VALUE"""),"Email")</f>
        <v>Email</v>
      </c>
    </row>
    <row r="1077" spans="1:10" ht="13" x14ac:dyDescent="0.15">
      <c r="A1077" s="4">
        <f ca="1">IFERROR(__xludf.DUMMYFUNCTION("""COMPUTED_VALUE"""),55330741)</f>
        <v>55330741</v>
      </c>
      <c r="B1077" s="1" t="str">
        <f ca="1">IFERROR(__xludf.DUMMYFUNCTION("""COMPUTED_VALUE"""),"shenyen@wavecable.com")</f>
        <v>shenyen@wavecable.com</v>
      </c>
      <c r="C1077" s="4" t="str">
        <f ca="1">IFERROR(__xludf.DUMMYFUNCTION("""COMPUTED_VALUE"""),"EVERGREEN - UAN Gated Content - Embedded Petition")</f>
        <v>EVERGREEN - UAN Gated Content - Embedded Petition</v>
      </c>
      <c r="D1077" s="5">
        <f ca="1">IFERROR(__xludf.DUMMYFUNCTION("""COMPUTED_VALUE"""),45618)</f>
        <v>45618</v>
      </c>
      <c r="F1077" s="1" t="str">
        <f ca="1">IFERROR(__xludf.DUMMYFUNCTION("""COMPUTED_VALUE"""),"Honduras")</f>
        <v>Honduras</v>
      </c>
      <c r="G1077" s="1" t="str">
        <f ca="1">IFERROR(__xludf.DUMMYFUNCTION("""COMPUTED_VALUE"""),"Second 85.24 Honduras")</f>
        <v>Second 85.24 Honduras</v>
      </c>
      <c r="H1077" s="1" t="str">
        <f ca="1">IFERROR(__xludf.DUMMYFUNCTION("""COMPUTED_VALUE"""),"Climate Justice, Human Rights Defenders, Right to Protest")</f>
        <v>Climate Justice, Human Rights Defenders, Right to Protest</v>
      </c>
      <c r="I1077" s="1" t="str">
        <f ca="1">IFERROR(__xludf.DUMMYFUNCTION("""COMPUTED_VALUE"""),"2024")</f>
        <v>2024</v>
      </c>
      <c r="J1077" s="1" t="str">
        <f ca="1">IFERROR(__xludf.DUMMYFUNCTION("""COMPUTED_VALUE"""),"Email")</f>
        <v>Email</v>
      </c>
    </row>
    <row r="1078" spans="1:10" ht="13" x14ac:dyDescent="0.15">
      <c r="A1078" s="4">
        <f ca="1">IFERROR(__xludf.DUMMYFUNCTION("""COMPUTED_VALUE"""),59085832)</f>
        <v>59085832</v>
      </c>
      <c r="B1078" s="1" t="str">
        <f ca="1">IFERROR(__xludf.DUMMYFUNCTION("""COMPUTED_VALUE"""),"8tinaann@gmail.com")</f>
        <v>8tinaann@gmail.com</v>
      </c>
      <c r="C1078" s="4" t="str">
        <f ca="1">IFERROR(__xludf.DUMMYFUNCTION("""COMPUTED_VALUE"""),"EVERGREEN - UAN Gated Content - Embedded Petition")</f>
        <v>EVERGREEN - UAN Gated Content - Embedded Petition</v>
      </c>
      <c r="D1078" s="5">
        <f ca="1">IFERROR(__xludf.DUMMYFUNCTION("""COMPUTED_VALUE"""),45694)</f>
        <v>45694</v>
      </c>
      <c r="F1078" s="1" t="str">
        <f ca="1">IFERROR(__xludf.DUMMYFUNCTION("""COMPUTED_VALUE"""),"USA")</f>
        <v>USA</v>
      </c>
      <c r="G1078" s="1" t="str">
        <f ca="1">IFERROR(__xludf.DUMMYFUNCTION("""COMPUTED_VALUE"""),"4.25 USA")</f>
        <v>4.25 USA</v>
      </c>
      <c r="H1078" s="1" t="str">
        <f ca="1">IFERROR(__xludf.DUMMYFUNCTION("""COMPUTED_VALUE"""),"Individuals At Risk, Refugee and Migrant Rights")</f>
        <v>Individuals At Risk, Refugee and Migrant Rights</v>
      </c>
      <c r="I1078" s="1" t="str">
        <f ca="1">IFERROR(__xludf.DUMMYFUNCTION("""COMPUTED_VALUE"""),"2025")</f>
        <v>2025</v>
      </c>
      <c r="J1078" s="1" t="str">
        <f ca="1">IFERROR(__xludf.DUMMYFUNCTION("""COMPUTED_VALUE"""),"Letter")</f>
        <v>Letter</v>
      </c>
    </row>
    <row r="1079" spans="1:10" ht="13" x14ac:dyDescent="0.15">
      <c r="A1079" s="4">
        <f ca="1">IFERROR(__xludf.DUMMYFUNCTION("""COMPUTED_VALUE"""),59085832)</f>
        <v>59085832</v>
      </c>
      <c r="B1079" s="1" t="str">
        <f ca="1">IFERROR(__xludf.DUMMYFUNCTION("""COMPUTED_VALUE"""),"8tinaann@gmail.com")</f>
        <v>8tinaann@gmail.com</v>
      </c>
      <c r="C1079" s="4" t="str">
        <f ca="1">IFERROR(__xludf.DUMMYFUNCTION("""COMPUTED_VALUE"""),"EVERGREEN - UAN Gated Content - Embedded Petition")</f>
        <v>EVERGREEN - UAN Gated Content - Embedded Petition</v>
      </c>
      <c r="D1079" s="5">
        <f ca="1">IFERROR(__xludf.DUMMYFUNCTION("""COMPUTED_VALUE"""),45677)</f>
        <v>45677</v>
      </c>
      <c r="F1079" s="1" t="str">
        <f ca="1">IFERROR(__xludf.DUMMYFUNCTION("""COMPUTED_VALUE"""),"Turkiye")</f>
        <v>Turkiye</v>
      </c>
      <c r="G1079" s="1" t="str">
        <f ca="1">IFERROR(__xludf.DUMMYFUNCTION("""COMPUTED_VALUE"""),"109.24 Türkiye")</f>
        <v>109.24 Türkiye</v>
      </c>
      <c r="H1079" s="1" t="str">
        <f ca="1">IFERROR(__xludf.DUMMYFUNCTION("""COMPUTED_VALUE"""),"Human Rights Defenders, Individuals At Risk")</f>
        <v>Human Rights Defenders, Individuals At Risk</v>
      </c>
      <c r="I1079" s="1" t="str">
        <f ca="1">IFERROR(__xludf.DUMMYFUNCTION("""COMPUTED_VALUE"""),"2024")</f>
        <v>2024</v>
      </c>
      <c r="J1079" s="1" t="str">
        <f ca="1">IFERROR(__xludf.DUMMYFUNCTION("""COMPUTED_VALUE"""),"Email")</f>
        <v>Email</v>
      </c>
    </row>
    <row r="1080" spans="1:10" ht="13" x14ac:dyDescent="0.15">
      <c r="A1080" s="4">
        <f ca="1">IFERROR(__xludf.DUMMYFUNCTION("""COMPUTED_VALUE"""),59225296)</f>
        <v>59225296</v>
      </c>
      <c r="B1080" s="1" t="str">
        <f ca="1">IFERROR(__xludf.DUMMYFUNCTION("""COMPUTED_VALUE"""),"khborges@icloud.com")</f>
        <v>khborges@icloud.com</v>
      </c>
      <c r="C1080" s="4" t="str">
        <f ca="1">IFERROR(__xludf.DUMMYFUNCTION("""COMPUTED_VALUE"""),"EVERGREEN - UAN Gated Content - Embedded Petition")</f>
        <v>EVERGREEN - UAN Gated Content - Embedded Petition</v>
      </c>
      <c r="D1080" s="5">
        <f ca="1">IFERROR(__xludf.DUMMYFUNCTION("""COMPUTED_VALUE"""),45678)</f>
        <v>45678</v>
      </c>
      <c r="F1080" s="1" t="str">
        <f ca="1">IFERROR(__xludf.DUMMYFUNCTION("""COMPUTED_VALUE"""),"Tunisia")</f>
        <v>Tunisia</v>
      </c>
      <c r="G1080" s="1" t="str">
        <f ca="1">IFERROR(__xludf.DUMMYFUNCTION("""COMPUTED_VALUE"""),"Second 76.24 Tunisia")</f>
        <v>Second 76.24 Tunisia</v>
      </c>
      <c r="H1080" s="1" t="str">
        <f ca="1">IFERROR(__xludf.DUMMYFUNCTION("""COMPUTED_VALUE"""),"Freedom of Expression, Human Rights Defenders")</f>
        <v>Freedom of Expression, Human Rights Defenders</v>
      </c>
      <c r="I1080" s="1" t="str">
        <f ca="1">IFERROR(__xludf.DUMMYFUNCTION("""COMPUTED_VALUE"""),"2025")</f>
        <v>2025</v>
      </c>
      <c r="J1080" s="1" t="str">
        <f ca="1">IFERROR(__xludf.DUMMYFUNCTION("""COMPUTED_VALUE"""),"Email")</f>
        <v>Email</v>
      </c>
    </row>
    <row r="1081" spans="1:10" ht="13" x14ac:dyDescent="0.15">
      <c r="A1081" s="4">
        <f ca="1">IFERROR(__xludf.DUMMYFUNCTION("""COMPUTED_VALUE"""),59225296)</f>
        <v>59225296</v>
      </c>
      <c r="B1081" s="1" t="str">
        <f ca="1">IFERROR(__xludf.DUMMYFUNCTION("""COMPUTED_VALUE"""),"khborges@icloud.com")</f>
        <v>khborges@icloud.com</v>
      </c>
      <c r="C1081" s="4" t="str">
        <f ca="1">IFERROR(__xludf.DUMMYFUNCTION("""COMPUTED_VALUE"""),"EVERGREEN - UAN Gated Content - Embedded Petition")</f>
        <v>EVERGREEN - UAN Gated Content - Embedded Petition</v>
      </c>
      <c r="D1081" s="5">
        <f ca="1">IFERROR(__xludf.DUMMYFUNCTION("""COMPUTED_VALUE"""),45694)</f>
        <v>45694</v>
      </c>
      <c r="F1081" s="1" t="str">
        <f ca="1">IFERROR(__xludf.DUMMYFUNCTION("""COMPUTED_VALUE"""),"USA")</f>
        <v>USA</v>
      </c>
      <c r="G1081" s="1" t="str">
        <f ca="1">IFERROR(__xludf.DUMMYFUNCTION("""COMPUTED_VALUE"""),"96.24 USA")</f>
        <v>96.24 USA</v>
      </c>
      <c r="H1081" s="1" t="str">
        <f ca="1">IFERROR(__xludf.DUMMYFUNCTION("""COMPUTED_VALUE"""),"Death Penalty")</f>
        <v>Death Penalty</v>
      </c>
      <c r="I1081" s="1" t="str">
        <f ca="1">IFERROR(__xludf.DUMMYFUNCTION("""COMPUTED_VALUE"""),"2024")</f>
        <v>2024</v>
      </c>
      <c r="J1081" s="1" t="str">
        <f ca="1">IFERROR(__xludf.DUMMYFUNCTION("""COMPUTED_VALUE"""),"Email")</f>
        <v>Email</v>
      </c>
    </row>
    <row r="1082" spans="1:10" ht="13" x14ac:dyDescent="0.15">
      <c r="A1082" s="4">
        <f ca="1">IFERROR(__xludf.DUMMYFUNCTION("""COMPUTED_VALUE"""),60541574)</f>
        <v>60541574</v>
      </c>
      <c r="B1082" s="1" t="str">
        <f ca="1">IFERROR(__xludf.DUMMYFUNCTION("""COMPUTED_VALUE"""),"karen.burkhart.in@gmail.com")</f>
        <v>karen.burkhart.in@gmail.com</v>
      </c>
      <c r="C1082" s="4" t="str">
        <f ca="1">IFERROR(__xludf.DUMMYFUNCTION("""COMPUTED_VALUE"""),"EVERGREEN - UAN Gated Content - Embedded Petition")</f>
        <v>EVERGREEN - UAN Gated Content - Embedded Petition</v>
      </c>
      <c r="D1082" s="5">
        <f ca="1">IFERROR(__xludf.DUMMYFUNCTION("""COMPUTED_VALUE"""),45636)</f>
        <v>45636</v>
      </c>
      <c r="F1082" s="1" t="str">
        <f ca="1">IFERROR(__xludf.DUMMYFUNCTION("""COMPUTED_VALUE"""),"USA")</f>
        <v>USA</v>
      </c>
      <c r="G1082" s="1" t="str">
        <f ca="1">IFERROR(__xludf.DUMMYFUNCTION("""COMPUTED_VALUE"""),"4.25 USA")</f>
        <v>4.25 USA</v>
      </c>
      <c r="H1082" s="1" t="str">
        <f ca="1">IFERROR(__xludf.DUMMYFUNCTION("""COMPUTED_VALUE"""),"Individuals At Risk, Refugee and Migrant Rights")</f>
        <v>Individuals At Risk, Refugee and Migrant Rights</v>
      </c>
      <c r="I1082" s="1" t="str">
        <f ca="1">IFERROR(__xludf.DUMMYFUNCTION("""COMPUTED_VALUE"""),"2025")</f>
        <v>2025</v>
      </c>
      <c r="J1082" s="1" t="str">
        <f ca="1">IFERROR(__xludf.DUMMYFUNCTION("""COMPUTED_VALUE"""),"Letter")</f>
        <v>Letter</v>
      </c>
    </row>
    <row r="1083" spans="1:10" ht="13" x14ac:dyDescent="0.15">
      <c r="A1083" s="4">
        <f ca="1">IFERROR(__xludf.DUMMYFUNCTION("""COMPUTED_VALUE"""),60632268)</f>
        <v>60632268</v>
      </c>
      <c r="B1083" s="1" t="str">
        <f ca="1">IFERROR(__xludf.DUMMYFUNCTION("""COMPUTED_VALUE"""),"conbro.32578@gmail.com")</f>
        <v>conbro.32578@gmail.com</v>
      </c>
      <c r="C1083" s="4" t="str">
        <f ca="1">IFERROR(__xludf.DUMMYFUNCTION("""COMPUTED_VALUE"""),"EVERGREEN - UAN Gated Content - Embedded Petition")</f>
        <v>EVERGREEN - UAN Gated Content - Embedded Petition</v>
      </c>
      <c r="D1083" s="5">
        <f ca="1">IFERROR(__xludf.DUMMYFUNCTION("""COMPUTED_VALUE"""),45674)</f>
        <v>45674</v>
      </c>
      <c r="F1083" s="1" t="str">
        <f ca="1">IFERROR(__xludf.DUMMYFUNCTION("""COMPUTED_VALUE"""),"Saudi Arabia")</f>
        <v>Saudi Arabia</v>
      </c>
      <c r="G1083" s="1" t="str">
        <f ca="1">IFERROR(__xludf.DUMMYFUNCTION("""COMPUTED_VALUE"""),"Fifth 257.12")</f>
        <v>Fifth 257.12</v>
      </c>
      <c r="H1083" s="1" t="str">
        <f ca="1">IFERROR(__xludf.DUMMYFUNCTION("""COMPUTED_VALUE"""),"Freedom of Expression, Human Rights Defenders")</f>
        <v>Freedom of Expression, Human Rights Defenders</v>
      </c>
      <c r="I1083" s="1" t="str">
        <f ca="1">IFERROR(__xludf.DUMMYFUNCTION("""COMPUTED_VALUE"""),"2025")</f>
        <v>2025</v>
      </c>
      <c r="J1083" s="1" t="str">
        <f ca="1">IFERROR(__xludf.DUMMYFUNCTION("""COMPUTED_VALUE"""),"Email")</f>
        <v>Email</v>
      </c>
    </row>
    <row r="1084" spans="1:10" ht="13" x14ac:dyDescent="0.15">
      <c r="A1084" s="4">
        <f ca="1">IFERROR(__xludf.DUMMYFUNCTION("""COMPUTED_VALUE"""),60632268)</f>
        <v>60632268</v>
      </c>
      <c r="B1084" s="1" t="str">
        <f ca="1">IFERROR(__xludf.DUMMYFUNCTION("""COMPUTED_VALUE"""),"conbro.32578@gmail.com")</f>
        <v>conbro.32578@gmail.com</v>
      </c>
      <c r="C1084" s="4" t="str">
        <f ca="1">IFERROR(__xludf.DUMMYFUNCTION("""COMPUTED_VALUE"""),"EVERGREEN - UAN Gated Content - Embedded Petition")</f>
        <v>EVERGREEN - UAN Gated Content - Embedded Petition</v>
      </c>
      <c r="D1084" s="5">
        <f ca="1">IFERROR(__xludf.DUMMYFUNCTION("""COMPUTED_VALUE"""),45694)</f>
        <v>45694</v>
      </c>
      <c r="F1084" s="1" t="str">
        <f ca="1">IFERROR(__xludf.DUMMYFUNCTION("""COMPUTED_VALUE"""),"USA")</f>
        <v>USA</v>
      </c>
      <c r="G1084" s="1" t="str">
        <f ca="1">IFERROR(__xludf.DUMMYFUNCTION("""COMPUTED_VALUE"""),"96.24 USA")</f>
        <v>96.24 USA</v>
      </c>
      <c r="H1084" s="1" t="str">
        <f ca="1">IFERROR(__xludf.DUMMYFUNCTION("""COMPUTED_VALUE"""),"Death Penalty")</f>
        <v>Death Penalty</v>
      </c>
      <c r="I1084" s="1" t="str">
        <f ca="1">IFERROR(__xludf.DUMMYFUNCTION("""COMPUTED_VALUE"""),"2024")</f>
        <v>2024</v>
      </c>
      <c r="J1084" s="1" t="str">
        <f ca="1">IFERROR(__xludf.DUMMYFUNCTION("""COMPUTED_VALUE"""),"Email")</f>
        <v>Email</v>
      </c>
    </row>
    <row r="1085" spans="1:10" ht="13" x14ac:dyDescent="0.15">
      <c r="A1085" s="4">
        <f ca="1">IFERROR(__xludf.DUMMYFUNCTION("""COMPUTED_VALUE"""),60632268)</f>
        <v>60632268</v>
      </c>
      <c r="B1085" s="1" t="str">
        <f ca="1">IFERROR(__xludf.DUMMYFUNCTION("""COMPUTED_VALUE"""),"conbro.32578@gmail.com")</f>
        <v>conbro.32578@gmail.com</v>
      </c>
      <c r="C1085" s="4" t="str">
        <f ca="1">IFERROR(__xludf.DUMMYFUNCTION("""COMPUTED_VALUE"""),"EVERGREEN - UAN Gated Content - Embedded Petition")</f>
        <v>EVERGREEN - UAN Gated Content - Embedded Petition</v>
      </c>
      <c r="D1085" s="5">
        <f ca="1">IFERROR(__xludf.DUMMYFUNCTION("""COMPUTED_VALUE"""),45636)</f>
        <v>45636</v>
      </c>
      <c r="F1085" s="1" t="str">
        <f ca="1">IFERROR(__xludf.DUMMYFUNCTION("""COMPUTED_VALUE"""),"USA")</f>
        <v>USA</v>
      </c>
      <c r="G1085" s="1" t="str">
        <f ca="1">IFERROR(__xludf.DUMMYFUNCTION("""COMPUTED_VALUE"""),"4.25 USA")</f>
        <v>4.25 USA</v>
      </c>
      <c r="H1085" s="1" t="str">
        <f ca="1">IFERROR(__xludf.DUMMYFUNCTION("""COMPUTED_VALUE"""),"Individuals At Risk, Refugee and Migrant Rights")</f>
        <v>Individuals At Risk, Refugee and Migrant Rights</v>
      </c>
      <c r="I1085" s="1" t="str">
        <f ca="1">IFERROR(__xludf.DUMMYFUNCTION("""COMPUTED_VALUE"""),"2025")</f>
        <v>2025</v>
      </c>
      <c r="J1085" s="1" t="str">
        <f ca="1">IFERROR(__xludf.DUMMYFUNCTION("""COMPUTED_VALUE"""),"Letter")</f>
        <v>Letter</v>
      </c>
    </row>
    <row r="1086" spans="1:10" ht="13" x14ac:dyDescent="0.15">
      <c r="A1086" s="4">
        <f ca="1">IFERROR(__xludf.DUMMYFUNCTION("""COMPUTED_VALUE"""),60632771)</f>
        <v>60632771</v>
      </c>
      <c r="B1086" s="1" t="str">
        <f ca="1">IFERROR(__xludf.DUMMYFUNCTION("""COMPUTED_VALUE"""),"citizenmonkey@gmail.com")</f>
        <v>citizenmonkey@gmail.com</v>
      </c>
      <c r="C1086" s="4" t="str">
        <f ca="1">IFERROR(__xludf.DUMMYFUNCTION("""COMPUTED_VALUE"""),"EVERGREEN - UAN Gated Content - Embedded Petition")</f>
        <v>EVERGREEN - UAN Gated Content - Embedded Petition</v>
      </c>
      <c r="D1086" s="5">
        <f ca="1">IFERROR(__xludf.DUMMYFUNCTION("""COMPUTED_VALUE"""),45672)</f>
        <v>45672</v>
      </c>
      <c r="F1086" s="1" t="str">
        <f ca="1">IFERROR(__xludf.DUMMYFUNCTION("""COMPUTED_VALUE"""),"USA")</f>
        <v>USA</v>
      </c>
      <c r="G1086" s="1" t="str">
        <f ca="1">IFERROR(__xludf.DUMMYFUNCTION("""COMPUTED_VALUE"""),"4.25 USA")</f>
        <v>4.25 USA</v>
      </c>
      <c r="H1086" s="1" t="str">
        <f ca="1">IFERROR(__xludf.DUMMYFUNCTION("""COMPUTED_VALUE"""),"Individuals At Risk, Refugee and Migrant Rights")</f>
        <v>Individuals At Risk, Refugee and Migrant Rights</v>
      </c>
      <c r="I1086" s="1" t="str">
        <f ca="1">IFERROR(__xludf.DUMMYFUNCTION("""COMPUTED_VALUE"""),"2025")</f>
        <v>2025</v>
      </c>
      <c r="J1086" s="1" t="str">
        <f ca="1">IFERROR(__xludf.DUMMYFUNCTION("""COMPUTED_VALUE"""),"Letter")</f>
        <v>Letter</v>
      </c>
    </row>
    <row r="1087" spans="1:10" ht="13" x14ac:dyDescent="0.15">
      <c r="A1087" s="4">
        <f ca="1">IFERROR(__xludf.DUMMYFUNCTION("""COMPUTED_VALUE"""),60632771)</f>
        <v>60632771</v>
      </c>
      <c r="B1087" s="1" t="str">
        <f ca="1">IFERROR(__xludf.DUMMYFUNCTION("""COMPUTED_VALUE"""),"citizenmonkey@gmail.com")</f>
        <v>citizenmonkey@gmail.com</v>
      </c>
      <c r="C1087" s="4" t="str">
        <f ca="1">IFERROR(__xludf.DUMMYFUNCTION("""COMPUTED_VALUE"""),"EVERGREEN - UAN Gated Content - Embedded Petition")</f>
        <v>EVERGREEN - UAN Gated Content - Embedded Petition</v>
      </c>
      <c r="D1087" s="5">
        <f ca="1">IFERROR(__xludf.DUMMYFUNCTION("""COMPUTED_VALUE"""),45672)</f>
        <v>45672</v>
      </c>
      <c r="F1087" s="1" t="str">
        <f ca="1">IFERROR(__xludf.DUMMYFUNCTION("""COMPUTED_VALUE"""),"USA")</f>
        <v>USA</v>
      </c>
      <c r="G1087" s="1" t="str">
        <f ca="1">IFERROR(__xludf.DUMMYFUNCTION("""COMPUTED_VALUE"""),"4.25 USA")</f>
        <v>4.25 USA</v>
      </c>
      <c r="H1087" s="1" t="str">
        <f ca="1">IFERROR(__xludf.DUMMYFUNCTION("""COMPUTED_VALUE"""),"Individuals At Risk, Refugee and Migrant Rights")</f>
        <v>Individuals At Risk, Refugee and Migrant Rights</v>
      </c>
      <c r="I1087" s="1" t="str">
        <f ca="1">IFERROR(__xludf.DUMMYFUNCTION("""COMPUTED_VALUE"""),"2025")</f>
        <v>2025</v>
      </c>
      <c r="J1087" s="1" t="str">
        <f ca="1">IFERROR(__xludf.DUMMYFUNCTION("""COMPUTED_VALUE"""),"Letter")</f>
        <v>Letter</v>
      </c>
    </row>
    <row r="1088" spans="1:10" ht="13" x14ac:dyDescent="0.15">
      <c r="A1088" s="4">
        <f ca="1">IFERROR(__xludf.DUMMYFUNCTION("""COMPUTED_VALUE"""),60632771)</f>
        <v>60632771</v>
      </c>
      <c r="B1088" s="1" t="str">
        <f ca="1">IFERROR(__xludf.DUMMYFUNCTION("""COMPUTED_VALUE"""),"citizenmonkey@gmail.com")</f>
        <v>citizenmonkey@gmail.com</v>
      </c>
      <c r="C1088" s="4" t="str">
        <f ca="1">IFERROR(__xludf.DUMMYFUNCTION("""COMPUTED_VALUE"""),"EVERGREEN - UAN Gated Content - Embedded Petition")</f>
        <v>EVERGREEN - UAN Gated Content - Embedded Petition</v>
      </c>
      <c r="D1088" s="5">
        <f ca="1">IFERROR(__xludf.DUMMYFUNCTION("""COMPUTED_VALUE"""),45672)</f>
        <v>45672</v>
      </c>
      <c r="F1088" s="1" t="str">
        <f ca="1">IFERROR(__xludf.DUMMYFUNCTION("""COMPUTED_VALUE"""),"Tunisia")</f>
        <v>Tunisia</v>
      </c>
      <c r="G1088" s="1" t="str">
        <f ca="1">IFERROR(__xludf.DUMMYFUNCTION("""COMPUTED_VALUE"""),"Second 76.24 Tunisia")</f>
        <v>Second 76.24 Tunisia</v>
      </c>
      <c r="H1088" s="1" t="str">
        <f ca="1">IFERROR(__xludf.DUMMYFUNCTION("""COMPUTED_VALUE"""),"Freedom of Expression, Human Rights Defenders")</f>
        <v>Freedom of Expression, Human Rights Defenders</v>
      </c>
      <c r="I1088" s="1" t="str">
        <f ca="1">IFERROR(__xludf.DUMMYFUNCTION("""COMPUTED_VALUE"""),"2025")</f>
        <v>2025</v>
      </c>
      <c r="J1088" s="1" t="str">
        <f ca="1">IFERROR(__xludf.DUMMYFUNCTION("""COMPUTED_VALUE"""),"Email")</f>
        <v>Email</v>
      </c>
    </row>
    <row r="1089" spans="1:10" ht="13" x14ac:dyDescent="0.15">
      <c r="A1089" s="4">
        <f ca="1">IFERROR(__xludf.DUMMYFUNCTION("""COMPUTED_VALUE"""),62665801)</f>
        <v>62665801</v>
      </c>
      <c r="B1089" s="1" t="str">
        <f ca="1">IFERROR(__xludf.DUMMYFUNCTION("""COMPUTED_VALUE"""),"billwesq@mail.com")</f>
        <v>billwesq@mail.com</v>
      </c>
      <c r="C1089" s="4" t="str">
        <f ca="1">IFERROR(__xludf.DUMMYFUNCTION("""COMPUTED_VALUE"""),"EVERGREEN - UAN Gated Content - Embedded Petition")</f>
        <v>EVERGREEN - UAN Gated Content - Embedded Petition</v>
      </c>
      <c r="D1089" s="5">
        <f ca="1">IFERROR(__xludf.DUMMYFUNCTION("""COMPUTED_VALUE"""),45679)</f>
        <v>45679</v>
      </c>
      <c r="F1089" s="1" t="str">
        <f ca="1">IFERROR(__xludf.DUMMYFUNCTION("""COMPUTED_VALUE"""),"Iran")</f>
        <v>Iran</v>
      </c>
      <c r="G1089" s="1" t="str">
        <f ca="1">IFERROR(__xludf.DUMMYFUNCTION("""COMPUTED_VALUE"""),"Seventh 103.22 Iran")</f>
        <v>Seventh 103.22 Iran</v>
      </c>
      <c r="H1089" s="1" t="str">
        <f ca="1">IFERROR(__xludf.DUMMYFUNCTION("""COMPUTED_VALUE"""),"Death Penalty, Freedom of Expression, Individuals At Risk")</f>
        <v>Death Penalty, Freedom of Expression, Individuals At Risk</v>
      </c>
      <c r="I1089" s="1" t="str">
        <f ca="1">IFERROR(__xludf.DUMMYFUNCTION("""COMPUTED_VALUE"""),"2024")</f>
        <v>2024</v>
      </c>
      <c r="J1089" s="1" t="str">
        <f ca="1">IFERROR(__xludf.DUMMYFUNCTION("""COMPUTED_VALUE"""),"Email")</f>
        <v>Email</v>
      </c>
    </row>
    <row r="1090" spans="1:10" ht="13" x14ac:dyDescent="0.15">
      <c r="A1090" s="4">
        <f ca="1">IFERROR(__xludf.DUMMYFUNCTION("""COMPUTED_VALUE"""),63010678)</f>
        <v>63010678</v>
      </c>
      <c r="B1090" s="1" t="str">
        <f ca="1">IFERROR(__xludf.DUMMYFUNCTION("""COMPUTED_VALUE"""),"rayeharper34@gmail.com")</f>
        <v>rayeharper34@gmail.com</v>
      </c>
      <c r="C1090" s="4" t="str">
        <f ca="1">IFERROR(__xludf.DUMMYFUNCTION("""COMPUTED_VALUE"""),"EVERGREEN - UAN Gated Content - Embedded Petition")</f>
        <v>EVERGREEN - UAN Gated Content - Embedded Petition</v>
      </c>
      <c r="D1090" s="5">
        <f ca="1">IFERROR(__xludf.DUMMYFUNCTION("""COMPUTED_VALUE"""),45694)</f>
        <v>45694</v>
      </c>
      <c r="F1090" s="1" t="str">
        <f ca="1">IFERROR(__xludf.DUMMYFUNCTION("""COMPUTED_VALUE"""),"Israel and Occupied Palestinian Territories")</f>
        <v>Israel and Occupied Palestinian Territories</v>
      </c>
      <c r="G1090" s="1" t="str">
        <f ca="1">IFERROR(__xludf.DUMMYFUNCTION("""COMPUTED_VALUE"""),"3.25 IOPT")</f>
        <v>3.25 IOPT</v>
      </c>
      <c r="H1090" s="1" t="str">
        <f ca="1">IFERROR(__xludf.DUMMYFUNCTION("""COMPUTED_VALUE"""),"Freedom of Expression, Individuals At Risk")</f>
        <v>Freedom of Expression, Individuals At Risk</v>
      </c>
      <c r="I1090" s="1" t="str">
        <f ca="1">IFERROR(__xludf.DUMMYFUNCTION("""COMPUTED_VALUE"""),"2025")</f>
        <v>2025</v>
      </c>
      <c r="J1090" s="1" t="str">
        <f ca="1">IFERROR(__xludf.DUMMYFUNCTION("""COMPUTED_VALUE"""),"Email")</f>
        <v>Email</v>
      </c>
    </row>
    <row r="1091" spans="1:10" ht="13" x14ac:dyDescent="0.15">
      <c r="A1091" s="4">
        <f ca="1">IFERROR(__xludf.DUMMYFUNCTION("""COMPUTED_VALUE"""),63010678)</f>
        <v>63010678</v>
      </c>
      <c r="B1091" s="1" t="str">
        <f ca="1">IFERROR(__xludf.DUMMYFUNCTION("""COMPUTED_VALUE"""),"rayeharper34@gmail.com")</f>
        <v>rayeharper34@gmail.com</v>
      </c>
      <c r="C1091" s="4" t="str">
        <f ca="1">IFERROR(__xludf.DUMMYFUNCTION("""COMPUTED_VALUE"""),"EVERGREEN - UAN Gated Content - Embedded Petition")</f>
        <v>EVERGREEN - UAN Gated Content - Embedded Petition</v>
      </c>
      <c r="D1091" s="5">
        <f ca="1">IFERROR(__xludf.DUMMYFUNCTION("""COMPUTED_VALUE"""),45677)</f>
        <v>45677</v>
      </c>
      <c r="F1091" s="1" t="str">
        <f ca="1">IFERROR(__xludf.DUMMYFUNCTION("""COMPUTED_VALUE"""),"Dominican Republic")</f>
        <v>Dominican Republic</v>
      </c>
      <c r="G1091" s="1" t="str">
        <f ca="1">IFERROR(__xludf.DUMMYFUNCTION("""COMPUTED_VALUE"""),"88.24 Dominican Republic")</f>
        <v>88.24 Dominican Republic</v>
      </c>
      <c r="H1091" s="1" t="str">
        <f ca="1">IFERROR(__xludf.DUMMYFUNCTION("""COMPUTED_VALUE"""),"Individuals At Risk, Refugee and Migrant Rights")</f>
        <v>Individuals At Risk, Refugee and Migrant Rights</v>
      </c>
      <c r="I1091" s="1" t="str">
        <f ca="1">IFERROR(__xludf.DUMMYFUNCTION("""COMPUTED_VALUE"""),"2024")</f>
        <v>2024</v>
      </c>
      <c r="J1091" s="1" t="str">
        <f ca="1">IFERROR(__xludf.DUMMYFUNCTION("""COMPUTED_VALUE"""),"Letter")</f>
        <v>Letter</v>
      </c>
    </row>
    <row r="1092" spans="1:10" ht="13" x14ac:dyDescent="0.15">
      <c r="A1092" s="4">
        <f ca="1">IFERROR(__xludf.DUMMYFUNCTION("""COMPUTED_VALUE"""),63010678)</f>
        <v>63010678</v>
      </c>
      <c r="B1092" s="1" t="str">
        <f ca="1">IFERROR(__xludf.DUMMYFUNCTION("""COMPUTED_VALUE"""),"rayeharper34@gmail.com")</f>
        <v>rayeharper34@gmail.com</v>
      </c>
      <c r="C1092" s="4" t="str">
        <f ca="1">IFERROR(__xludf.DUMMYFUNCTION("""COMPUTED_VALUE"""),"EVERGREEN - UAN Gated Content - Embedded Petition")</f>
        <v>EVERGREEN - UAN Gated Content - Embedded Petition</v>
      </c>
      <c r="D1092" s="5">
        <f ca="1">IFERROR(__xludf.DUMMYFUNCTION("""COMPUTED_VALUE"""),45691)</f>
        <v>45691</v>
      </c>
      <c r="F1092" s="1" t="str">
        <f ca="1">IFERROR(__xludf.DUMMYFUNCTION("""COMPUTED_VALUE"""),"Niger")</f>
        <v>Niger</v>
      </c>
      <c r="G1092" s="1" t="str">
        <f ca="1">IFERROR(__xludf.DUMMYFUNCTION("""COMPUTED_VALUE"""),"103.24 Niger")</f>
        <v>103.24 Niger</v>
      </c>
      <c r="H1092" s="1" t="str">
        <f ca="1">IFERROR(__xludf.DUMMYFUNCTION("""COMPUTED_VALUE"""),"Freedom of Expression, Human Rights Defenders")</f>
        <v>Freedom of Expression, Human Rights Defenders</v>
      </c>
      <c r="I1092" s="1" t="str">
        <f ca="1">IFERROR(__xludf.DUMMYFUNCTION("""COMPUTED_VALUE"""),"2024")</f>
        <v>2024</v>
      </c>
      <c r="J1092" s="1" t="str">
        <f ca="1">IFERROR(__xludf.DUMMYFUNCTION("""COMPUTED_VALUE"""),"Email")</f>
        <v>Email</v>
      </c>
    </row>
    <row r="1093" spans="1:10" ht="13" x14ac:dyDescent="0.15">
      <c r="A1093" s="4">
        <f ca="1">IFERROR(__xludf.DUMMYFUNCTION("""COMPUTED_VALUE"""),65060325)</f>
        <v>65060325</v>
      </c>
      <c r="B1093" s="1" t="str">
        <f ca="1">IFERROR(__xludf.DUMMYFUNCTION("""COMPUTED_VALUE"""),"sargani@comcast.net")</f>
        <v>sargani@comcast.net</v>
      </c>
      <c r="C1093" s="4" t="str">
        <f ca="1">IFERROR(__xludf.DUMMYFUNCTION("""COMPUTED_VALUE"""),"EVERGREEN - UAN Gated Content - Embedded Petition")</f>
        <v>EVERGREEN - UAN Gated Content - Embedded Petition</v>
      </c>
      <c r="D1093" s="5">
        <f ca="1">IFERROR(__xludf.DUMMYFUNCTION("""COMPUTED_VALUE"""),45705)</f>
        <v>45705</v>
      </c>
      <c r="F1093" s="1" t="str">
        <f ca="1">IFERROR(__xludf.DUMMYFUNCTION("""COMPUTED_VALUE"""),"USA")</f>
        <v>USA</v>
      </c>
      <c r="G1093" s="1" t="str">
        <f ca="1">IFERROR(__xludf.DUMMYFUNCTION("""COMPUTED_VALUE"""),"96.24 USA")</f>
        <v>96.24 USA</v>
      </c>
      <c r="H1093" s="1" t="str">
        <f ca="1">IFERROR(__xludf.DUMMYFUNCTION("""COMPUTED_VALUE"""),"Death Penalty")</f>
        <v>Death Penalty</v>
      </c>
      <c r="I1093" s="1" t="str">
        <f ca="1">IFERROR(__xludf.DUMMYFUNCTION("""COMPUTED_VALUE"""),"2024")</f>
        <v>2024</v>
      </c>
      <c r="J1093" s="1" t="str">
        <f ca="1">IFERROR(__xludf.DUMMYFUNCTION("""COMPUTED_VALUE"""),"Email")</f>
        <v>Email</v>
      </c>
    </row>
    <row r="1094" spans="1:10" ht="13" x14ac:dyDescent="0.15">
      <c r="A1094" s="4">
        <f ca="1">IFERROR(__xludf.DUMMYFUNCTION("""COMPUTED_VALUE"""),65060325)</f>
        <v>65060325</v>
      </c>
      <c r="B1094" s="1" t="str">
        <f ca="1">IFERROR(__xludf.DUMMYFUNCTION("""COMPUTED_VALUE"""),"sargani@comcast.net")</f>
        <v>sargani@comcast.net</v>
      </c>
      <c r="C1094" s="4" t="str">
        <f ca="1">IFERROR(__xludf.DUMMYFUNCTION("""COMPUTED_VALUE"""),"EVERGREEN - UAN Gated Content - Embedded Petition")</f>
        <v>EVERGREEN - UAN Gated Content - Embedded Petition</v>
      </c>
      <c r="D1094" s="5">
        <f ca="1">IFERROR(__xludf.DUMMYFUNCTION("""COMPUTED_VALUE"""),45636)</f>
        <v>45636</v>
      </c>
      <c r="F1094" s="1" t="str">
        <f ca="1">IFERROR(__xludf.DUMMYFUNCTION("""COMPUTED_VALUE"""),"Tunisia")</f>
        <v>Tunisia</v>
      </c>
      <c r="G1094" s="1" t="str">
        <f ca="1">IFERROR(__xludf.DUMMYFUNCTION("""COMPUTED_VALUE"""),"Second 76.24 Tunisia")</f>
        <v>Second 76.24 Tunisia</v>
      </c>
      <c r="H1094" s="1" t="str">
        <f ca="1">IFERROR(__xludf.DUMMYFUNCTION("""COMPUTED_VALUE"""),"Freedom of Expression, Human Rights Defenders")</f>
        <v>Freedom of Expression, Human Rights Defenders</v>
      </c>
      <c r="I1094" s="1" t="str">
        <f ca="1">IFERROR(__xludf.DUMMYFUNCTION("""COMPUTED_VALUE"""),"2025")</f>
        <v>2025</v>
      </c>
      <c r="J1094" s="1" t="str">
        <f ca="1">IFERROR(__xludf.DUMMYFUNCTION("""COMPUTED_VALUE"""),"Email")</f>
        <v>Email</v>
      </c>
    </row>
    <row r="1095" spans="1:10" ht="13" x14ac:dyDescent="0.15">
      <c r="A1095" s="4">
        <f ca="1">IFERROR(__xludf.DUMMYFUNCTION("""COMPUTED_VALUE"""),65199726)</f>
        <v>65199726</v>
      </c>
      <c r="B1095" s="1" t="str">
        <f ca="1">IFERROR(__xludf.DUMMYFUNCTION("""COMPUTED_VALUE"""),"stephanielarro@gmail.com")</f>
        <v>stephanielarro@gmail.com</v>
      </c>
      <c r="C1095" s="4" t="str">
        <f ca="1">IFERROR(__xludf.DUMMYFUNCTION("""COMPUTED_VALUE"""),"EVERGREEN - UAN Gated Content - Embedded Petition")</f>
        <v>EVERGREEN - UAN Gated Content - Embedded Petition</v>
      </c>
      <c r="D1095" s="5">
        <f ca="1">IFERROR(__xludf.DUMMYFUNCTION("""COMPUTED_VALUE"""),45696)</f>
        <v>45696</v>
      </c>
      <c r="F1095" s="1" t="str">
        <f ca="1">IFERROR(__xludf.DUMMYFUNCTION("""COMPUTED_VALUE"""),"Niger")</f>
        <v>Niger</v>
      </c>
      <c r="G1095" s="1" t="str">
        <f ca="1">IFERROR(__xludf.DUMMYFUNCTION("""COMPUTED_VALUE"""),"103.24 Niger")</f>
        <v>103.24 Niger</v>
      </c>
      <c r="H1095" s="1" t="str">
        <f ca="1">IFERROR(__xludf.DUMMYFUNCTION("""COMPUTED_VALUE"""),"Freedom of Expression, Human Rights Defenders")</f>
        <v>Freedom of Expression, Human Rights Defenders</v>
      </c>
      <c r="I1095" s="1" t="str">
        <f ca="1">IFERROR(__xludf.DUMMYFUNCTION("""COMPUTED_VALUE"""),"2024")</f>
        <v>2024</v>
      </c>
      <c r="J1095" s="1" t="str">
        <f ca="1">IFERROR(__xludf.DUMMYFUNCTION("""COMPUTED_VALUE"""),"Email")</f>
        <v>Email</v>
      </c>
    </row>
    <row r="1096" spans="1:10" ht="13" x14ac:dyDescent="0.15">
      <c r="A1096" s="4">
        <f ca="1">IFERROR(__xludf.DUMMYFUNCTION("""COMPUTED_VALUE"""),65338569)</f>
        <v>65338569</v>
      </c>
      <c r="B1096" s="1" t="str">
        <f ca="1">IFERROR(__xludf.DUMMYFUNCTION("""COMPUTED_VALUE"""),"emilyblank@gmail.com")</f>
        <v>emilyblank@gmail.com</v>
      </c>
      <c r="C1096" s="4" t="str">
        <f ca="1">IFERROR(__xludf.DUMMYFUNCTION("""COMPUTED_VALUE"""),"EVERGREEN - UAN Gated Content - Embedded Petition")</f>
        <v>EVERGREEN - UAN Gated Content - Embedded Petition</v>
      </c>
      <c r="D1096" s="5">
        <f ca="1">IFERROR(__xludf.DUMMYFUNCTION("""COMPUTED_VALUE"""),45616)</f>
        <v>45616</v>
      </c>
      <c r="F1096" s="1" t="str">
        <f ca="1">IFERROR(__xludf.DUMMYFUNCTION("""COMPUTED_VALUE"""),"Iran")</f>
        <v>Iran</v>
      </c>
      <c r="G1096" s="1" t="str">
        <f ca="1">IFERROR(__xludf.DUMMYFUNCTION("""COMPUTED_VALUE"""),"Seventh 103.22 Iran")</f>
        <v>Seventh 103.22 Iran</v>
      </c>
      <c r="H1096" s="1" t="str">
        <f ca="1">IFERROR(__xludf.DUMMYFUNCTION("""COMPUTED_VALUE"""),"Death Penalty, Freedom of Expression, Individuals At Risk")</f>
        <v>Death Penalty, Freedom of Expression, Individuals At Risk</v>
      </c>
      <c r="I1096" s="1" t="str">
        <f ca="1">IFERROR(__xludf.DUMMYFUNCTION("""COMPUTED_VALUE"""),"2024")</f>
        <v>2024</v>
      </c>
      <c r="J1096" s="1" t="str">
        <f ca="1">IFERROR(__xludf.DUMMYFUNCTION("""COMPUTED_VALUE"""),"Email")</f>
        <v>Email</v>
      </c>
    </row>
    <row r="1097" spans="1:10" ht="13" x14ac:dyDescent="0.15">
      <c r="A1097" s="4">
        <f ca="1">IFERROR(__xludf.DUMMYFUNCTION("""COMPUTED_VALUE"""),65338569)</f>
        <v>65338569</v>
      </c>
      <c r="B1097" s="1" t="str">
        <f ca="1">IFERROR(__xludf.DUMMYFUNCTION("""COMPUTED_VALUE"""),"emilyblank@gmail.com")</f>
        <v>emilyblank@gmail.com</v>
      </c>
      <c r="C1097" s="4" t="str">
        <f ca="1">IFERROR(__xludf.DUMMYFUNCTION("""COMPUTED_VALUE"""),"EVERGREEN - UAN Gated Content - Embedded Petition")</f>
        <v>EVERGREEN - UAN Gated Content - Embedded Petition</v>
      </c>
      <c r="D1097" s="5">
        <f ca="1">IFERROR(__xludf.DUMMYFUNCTION("""COMPUTED_VALUE"""),45616)</f>
        <v>45616</v>
      </c>
      <c r="F1097" s="1" t="str">
        <f ca="1">IFERROR(__xludf.DUMMYFUNCTION("""COMPUTED_VALUE"""),"Afghanistan")</f>
        <v>Afghanistan</v>
      </c>
      <c r="G1097" s="1" t="str">
        <f ca="1">IFERROR(__xludf.DUMMYFUNCTION("""COMPUTED_VALUE"""),"11.25 Afghanistan")</f>
        <v>11.25 Afghanistan</v>
      </c>
      <c r="H1097" s="1" t="str">
        <f ca="1">IFERROR(__xludf.DUMMYFUNCTION("""COMPUTED_VALUE"""),"Freedom of Expression, Health, Individuals At Risk")</f>
        <v>Freedom of Expression, Health, Individuals At Risk</v>
      </c>
      <c r="I1097" s="1" t="str">
        <f ca="1">IFERROR(__xludf.DUMMYFUNCTION("""COMPUTED_VALUE"""),"2025")</f>
        <v>2025</v>
      </c>
      <c r="J1097" s="1" t="str">
        <f ca="1">IFERROR(__xludf.DUMMYFUNCTION("""COMPUTED_VALUE"""),"Email")</f>
        <v>Email</v>
      </c>
    </row>
    <row r="1098" spans="1:10" ht="13" x14ac:dyDescent="0.15">
      <c r="A1098" s="4">
        <f ca="1">IFERROR(__xludf.DUMMYFUNCTION("""COMPUTED_VALUE"""),65338569)</f>
        <v>65338569</v>
      </c>
      <c r="B1098" s="1" t="str">
        <f ca="1">IFERROR(__xludf.DUMMYFUNCTION("""COMPUTED_VALUE"""),"emilyblank@gmail.com")</f>
        <v>emilyblank@gmail.com</v>
      </c>
      <c r="C1098" s="4" t="str">
        <f ca="1">IFERROR(__xludf.DUMMYFUNCTION("""COMPUTED_VALUE"""),"EVERGREEN - UAN Gated Content - Embedded Petition")</f>
        <v>EVERGREEN - UAN Gated Content - Embedded Petition</v>
      </c>
      <c r="D1098" s="5">
        <f ca="1">IFERROR(__xludf.DUMMYFUNCTION("""COMPUTED_VALUE"""),45674)</f>
        <v>45674</v>
      </c>
      <c r="F1098" s="1" t="str">
        <f ca="1">IFERROR(__xludf.DUMMYFUNCTION("""COMPUTED_VALUE"""),"Afghanistan")</f>
        <v>Afghanistan</v>
      </c>
      <c r="G1098" s="1" t="str">
        <f ca="1">IFERROR(__xludf.DUMMYFUNCTION("""COMPUTED_VALUE"""),"11.25 Afghanistan")</f>
        <v>11.25 Afghanistan</v>
      </c>
      <c r="H1098" s="1" t="str">
        <f ca="1">IFERROR(__xludf.DUMMYFUNCTION("""COMPUTED_VALUE"""),"Freedom of Expression, Health, Individuals At Risk")</f>
        <v>Freedom of Expression, Health, Individuals At Risk</v>
      </c>
      <c r="I1098" s="1" t="str">
        <f ca="1">IFERROR(__xludf.DUMMYFUNCTION("""COMPUTED_VALUE"""),"2025")</f>
        <v>2025</v>
      </c>
      <c r="J1098" s="1" t="str">
        <f ca="1">IFERROR(__xludf.DUMMYFUNCTION("""COMPUTED_VALUE"""),"Email")</f>
        <v>Email</v>
      </c>
    </row>
    <row r="1099" spans="1:10" ht="13" x14ac:dyDescent="0.15">
      <c r="A1099" s="4">
        <f ca="1">IFERROR(__xludf.DUMMYFUNCTION("""COMPUTED_VALUE"""),65338569)</f>
        <v>65338569</v>
      </c>
      <c r="B1099" s="1" t="str">
        <f ca="1">IFERROR(__xludf.DUMMYFUNCTION("""COMPUTED_VALUE"""),"emilyblank@gmail.com")</f>
        <v>emilyblank@gmail.com</v>
      </c>
      <c r="C1099" s="4" t="str">
        <f ca="1">IFERROR(__xludf.DUMMYFUNCTION("""COMPUTED_VALUE"""),"EVERGREEN - UAN Gated Content - Embedded Petition")</f>
        <v>EVERGREEN - UAN Gated Content - Embedded Petition</v>
      </c>
      <c r="D1099" s="5">
        <f ca="1">IFERROR(__xludf.DUMMYFUNCTION("""COMPUTED_VALUE"""),45674)</f>
        <v>45674</v>
      </c>
      <c r="F1099" s="1" t="str">
        <f ca="1">IFERROR(__xludf.DUMMYFUNCTION("""COMPUTED_VALUE"""),"Egypt")</f>
        <v>Egypt</v>
      </c>
      <c r="G1099" s="1" t="str">
        <f ca="1">IFERROR(__xludf.DUMMYFUNCTION("""COMPUTED_VALUE"""),"Second 80.23 Egypt")</f>
        <v>Second 80.23 Egypt</v>
      </c>
      <c r="H1099" s="1" t="str">
        <f ca="1">IFERROR(__xludf.DUMMYFUNCTION("""COMPUTED_VALUE"""),"Health, Individuals At Risk")</f>
        <v>Health, Individuals At Risk</v>
      </c>
      <c r="I1099" s="1" t="str">
        <f ca="1">IFERROR(__xludf.DUMMYFUNCTION("""COMPUTED_VALUE"""),"2025")</f>
        <v>2025</v>
      </c>
      <c r="J1099" s="1" t="str">
        <f ca="1">IFERROR(__xludf.DUMMYFUNCTION("""COMPUTED_VALUE"""),"Email")</f>
        <v>Email</v>
      </c>
    </row>
    <row r="1100" spans="1:10" ht="13" x14ac:dyDescent="0.15">
      <c r="A1100" s="4">
        <f ca="1">IFERROR(__xludf.DUMMYFUNCTION("""COMPUTED_VALUE"""),65338569)</f>
        <v>65338569</v>
      </c>
      <c r="B1100" s="1" t="str">
        <f ca="1">IFERROR(__xludf.DUMMYFUNCTION("""COMPUTED_VALUE"""),"emilyblank@gmail.com")</f>
        <v>emilyblank@gmail.com</v>
      </c>
      <c r="C1100" s="4" t="str">
        <f ca="1">IFERROR(__xludf.DUMMYFUNCTION("""COMPUTED_VALUE"""),"EVERGREEN - UAN Gated Content - Embedded Petition")</f>
        <v>EVERGREEN - UAN Gated Content - Embedded Petition</v>
      </c>
      <c r="D1100" s="5">
        <f ca="1">IFERROR(__xludf.DUMMYFUNCTION("""COMPUTED_VALUE"""),45616)</f>
        <v>45616</v>
      </c>
      <c r="F1100" s="1" t="str">
        <f ca="1">IFERROR(__xludf.DUMMYFUNCTION("""COMPUTED_VALUE"""),"Libya")</f>
        <v>Libya</v>
      </c>
      <c r="G1100" s="1" t="str">
        <f ca="1">IFERROR(__xludf.DUMMYFUNCTION("""COMPUTED_VALUE"""),"12.25 Libya")</f>
        <v>12.25 Libya</v>
      </c>
      <c r="H1100" s="1" t="str">
        <f ca="1">IFERROR(__xludf.DUMMYFUNCTION("""COMPUTED_VALUE"""),"Freedom of Expression, Health, Individuals At Risk")</f>
        <v>Freedom of Expression, Health, Individuals At Risk</v>
      </c>
      <c r="I1100" s="1" t="str">
        <f ca="1">IFERROR(__xludf.DUMMYFUNCTION("""COMPUTED_VALUE"""),"2025")</f>
        <v>2025</v>
      </c>
      <c r="J1100" s="1" t="str">
        <f ca="1">IFERROR(__xludf.DUMMYFUNCTION("""COMPUTED_VALUE"""),"Email")</f>
        <v>Email</v>
      </c>
    </row>
    <row r="1101" spans="1:10" ht="13" x14ac:dyDescent="0.15">
      <c r="A1101" s="4">
        <f ca="1">IFERROR(__xludf.DUMMYFUNCTION("""COMPUTED_VALUE"""),65451739)</f>
        <v>65451739</v>
      </c>
      <c r="B1101" s="1" t="str">
        <f ca="1">IFERROR(__xludf.DUMMYFUNCTION("""COMPUTED_VALUE"""),"rod.weaver23@yahoo.com")</f>
        <v>rod.weaver23@yahoo.com</v>
      </c>
      <c r="C1101" s="4" t="str">
        <f ca="1">IFERROR(__xludf.DUMMYFUNCTION("""COMPUTED_VALUE"""),"EVERGREEN - UAN Gated Content - Embedded Petition")</f>
        <v>EVERGREEN - UAN Gated Content - Embedded Petition</v>
      </c>
      <c r="D1101" s="5">
        <f ca="1">IFERROR(__xludf.DUMMYFUNCTION("""COMPUTED_VALUE"""),45648)</f>
        <v>45648</v>
      </c>
      <c r="F1101" s="1" t="str">
        <f ca="1">IFERROR(__xludf.DUMMYFUNCTION("""COMPUTED_VALUE"""),"Saudi Arabia")</f>
        <v>Saudi Arabia</v>
      </c>
      <c r="G1101" s="1" t="str">
        <f ca="1">IFERROR(__xludf.DUMMYFUNCTION("""COMPUTED_VALUE"""),"Fifth 257.12")</f>
        <v>Fifth 257.12</v>
      </c>
      <c r="H1101" s="1" t="str">
        <f ca="1">IFERROR(__xludf.DUMMYFUNCTION("""COMPUTED_VALUE"""),"Freedom of Expression, Human Rights Defenders")</f>
        <v>Freedom of Expression, Human Rights Defenders</v>
      </c>
      <c r="I1101" s="1" t="str">
        <f ca="1">IFERROR(__xludf.DUMMYFUNCTION("""COMPUTED_VALUE"""),"2025")</f>
        <v>2025</v>
      </c>
      <c r="J1101" s="1" t="str">
        <f ca="1">IFERROR(__xludf.DUMMYFUNCTION("""COMPUTED_VALUE"""),"Email")</f>
        <v>Email</v>
      </c>
    </row>
    <row r="1102" spans="1:10" ht="13" x14ac:dyDescent="0.15">
      <c r="A1102" s="4">
        <f ca="1">IFERROR(__xludf.DUMMYFUNCTION("""COMPUTED_VALUE"""),65451739)</f>
        <v>65451739</v>
      </c>
      <c r="B1102" s="1" t="str">
        <f ca="1">IFERROR(__xludf.DUMMYFUNCTION("""COMPUTED_VALUE"""),"rod.weaver23@yahoo.com")</f>
        <v>rod.weaver23@yahoo.com</v>
      </c>
      <c r="C1102" s="4" t="str">
        <f ca="1">IFERROR(__xludf.DUMMYFUNCTION("""COMPUTED_VALUE"""),"EVERGREEN - UAN Gated Content - Embedded Petition")</f>
        <v>EVERGREEN - UAN Gated Content - Embedded Petition</v>
      </c>
      <c r="D1102" s="5">
        <f ca="1">IFERROR(__xludf.DUMMYFUNCTION("""COMPUTED_VALUE"""),45648)</f>
        <v>45648</v>
      </c>
      <c r="F1102" s="1" t="str">
        <f ca="1">IFERROR(__xludf.DUMMYFUNCTION("""COMPUTED_VALUE"""),"Turkiye")</f>
        <v>Turkiye</v>
      </c>
      <c r="G1102" s="1" t="str">
        <f ca="1">IFERROR(__xludf.DUMMYFUNCTION("""COMPUTED_VALUE"""),"109.24 Türkiye")</f>
        <v>109.24 Türkiye</v>
      </c>
      <c r="H1102" s="1" t="str">
        <f ca="1">IFERROR(__xludf.DUMMYFUNCTION("""COMPUTED_VALUE"""),"Human Rights Defenders, Individuals At Risk")</f>
        <v>Human Rights Defenders, Individuals At Risk</v>
      </c>
      <c r="I1102" s="1" t="str">
        <f ca="1">IFERROR(__xludf.DUMMYFUNCTION("""COMPUTED_VALUE"""),"2024")</f>
        <v>2024</v>
      </c>
      <c r="J1102" s="1" t="str">
        <f ca="1">IFERROR(__xludf.DUMMYFUNCTION("""COMPUTED_VALUE"""),"Email")</f>
        <v>Email</v>
      </c>
    </row>
    <row r="1103" spans="1:10" ht="13" x14ac:dyDescent="0.15">
      <c r="A1103" s="4">
        <f ca="1">IFERROR(__xludf.DUMMYFUNCTION("""COMPUTED_VALUE"""),65451739)</f>
        <v>65451739</v>
      </c>
      <c r="B1103" s="1" t="str">
        <f ca="1">IFERROR(__xludf.DUMMYFUNCTION("""COMPUTED_VALUE"""),"rod.weaver23@yahoo.com")</f>
        <v>rod.weaver23@yahoo.com</v>
      </c>
      <c r="C1103" s="4" t="str">
        <f ca="1">IFERROR(__xludf.DUMMYFUNCTION("""COMPUTED_VALUE"""),"EVERGREEN - UAN Gated Content - Embedded Petition")</f>
        <v>EVERGREEN - UAN Gated Content - Embedded Petition</v>
      </c>
      <c r="D1103" s="5">
        <f ca="1">IFERROR(__xludf.DUMMYFUNCTION("""COMPUTED_VALUE"""),45636)</f>
        <v>45636</v>
      </c>
      <c r="F1103" s="1" t="str">
        <f ca="1">IFERROR(__xludf.DUMMYFUNCTION("""COMPUTED_VALUE"""),"Iran")</f>
        <v>Iran</v>
      </c>
      <c r="G1103" s="1" t="str">
        <f ca="1">IFERROR(__xludf.DUMMYFUNCTION("""COMPUTED_VALUE"""),"Seventh 103.22 Iran")</f>
        <v>Seventh 103.22 Iran</v>
      </c>
      <c r="H1103" s="1" t="str">
        <f ca="1">IFERROR(__xludf.DUMMYFUNCTION("""COMPUTED_VALUE"""),"Death Penalty, Freedom of Expression, Individuals At Risk")</f>
        <v>Death Penalty, Freedom of Expression, Individuals At Risk</v>
      </c>
      <c r="I1103" s="1" t="str">
        <f ca="1">IFERROR(__xludf.DUMMYFUNCTION("""COMPUTED_VALUE"""),"2024")</f>
        <v>2024</v>
      </c>
      <c r="J1103" s="1" t="str">
        <f ca="1">IFERROR(__xludf.DUMMYFUNCTION("""COMPUTED_VALUE"""),"Email")</f>
        <v>Email</v>
      </c>
    </row>
    <row r="1104" spans="1:10" ht="13" x14ac:dyDescent="0.15">
      <c r="A1104" s="4">
        <f ca="1">IFERROR(__xludf.DUMMYFUNCTION("""COMPUTED_VALUE"""),65451739)</f>
        <v>65451739</v>
      </c>
      <c r="B1104" s="1" t="str">
        <f ca="1">IFERROR(__xludf.DUMMYFUNCTION("""COMPUTED_VALUE"""),"rod.weaver23@yahoo.com")</f>
        <v>rod.weaver23@yahoo.com</v>
      </c>
      <c r="C1104" s="4" t="str">
        <f ca="1">IFERROR(__xludf.DUMMYFUNCTION("""COMPUTED_VALUE"""),"EVERGREEN - UAN Gated Content - Embedded Petition")</f>
        <v>EVERGREEN - UAN Gated Content - Embedded Petition</v>
      </c>
      <c r="D1104" s="5">
        <f ca="1">IFERROR(__xludf.DUMMYFUNCTION("""COMPUTED_VALUE"""),45635)</f>
        <v>45635</v>
      </c>
      <c r="F1104" s="1" t="str">
        <f ca="1">IFERROR(__xludf.DUMMYFUNCTION("""COMPUTED_VALUE"""),"Azerbaijan")</f>
        <v>Azerbaijan</v>
      </c>
      <c r="G1104" s="1" t="str">
        <f ca="1">IFERROR(__xludf.DUMMYFUNCTION("""COMPUTED_VALUE"""),"2.25 Azerbaijan")</f>
        <v>2.25 Azerbaijan</v>
      </c>
      <c r="H1104" s="1" t="str">
        <f ca="1">IFERROR(__xludf.DUMMYFUNCTION("""COMPUTED_VALUE"""),"Freedom of Expression, Human Rights Defenders")</f>
        <v>Freedom of Expression, Human Rights Defenders</v>
      </c>
      <c r="I1104" s="1" t="str">
        <f ca="1">IFERROR(__xludf.DUMMYFUNCTION("""COMPUTED_VALUE"""),"2025")</f>
        <v>2025</v>
      </c>
      <c r="J1104" s="1" t="str">
        <f ca="1">IFERROR(__xludf.DUMMYFUNCTION("""COMPUTED_VALUE"""),"Email")</f>
        <v>Email</v>
      </c>
    </row>
    <row r="1105" spans="1:10" ht="13" x14ac:dyDescent="0.15">
      <c r="A1105" s="4">
        <f ca="1">IFERROR(__xludf.DUMMYFUNCTION("""COMPUTED_VALUE"""),65451739)</f>
        <v>65451739</v>
      </c>
      <c r="B1105" s="1" t="str">
        <f ca="1">IFERROR(__xludf.DUMMYFUNCTION("""COMPUTED_VALUE"""),"rod.weaver23@yahoo.com")</f>
        <v>rod.weaver23@yahoo.com</v>
      </c>
      <c r="C1105" s="4" t="str">
        <f ca="1">IFERROR(__xludf.DUMMYFUNCTION("""COMPUTED_VALUE"""),"EVERGREEN - UAN Gated Content - Embedded Petition")</f>
        <v>EVERGREEN - UAN Gated Content - Embedded Petition</v>
      </c>
      <c r="D1105" s="5">
        <f ca="1">IFERROR(__xludf.DUMMYFUNCTION("""COMPUTED_VALUE"""),45624)</f>
        <v>45624</v>
      </c>
      <c r="F1105" s="1" t="str">
        <f ca="1">IFERROR(__xludf.DUMMYFUNCTION("""COMPUTED_VALUE"""),"Tunisia")</f>
        <v>Tunisia</v>
      </c>
      <c r="G1105" s="1" t="str">
        <f ca="1">IFERROR(__xludf.DUMMYFUNCTION("""COMPUTED_VALUE"""),"Second 76.24 Tunisia")</f>
        <v>Second 76.24 Tunisia</v>
      </c>
      <c r="H1105" s="1" t="str">
        <f ca="1">IFERROR(__xludf.DUMMYFUNCTION("""COMPUTED_VALUE"""),"Freedom of Expression, Human Rights Defenders")</f>
        <v>Freedom of Expression, Human Rights Defenders</v>
      </c>
      <c r="I1105" s="1" t="str">
        <f ca="1">IFERROR(__xludf.DUMMYFUNCTION("""COMPUTED_VALUE"""),"2025")</f>
        <v>2025</v>
      </c>
      <c r="J1105" s="1" t="str">
        <f ca="1">IFERROR(__xludf.DUMMYFUNCTION("""COMPUTED_VALUE"""),"Email")</f>
        <v>Email</v>
      </c>
    </row>
    <row r="1106" spans="1:10" ht="13" x14ac:dyDescent="0.15">
      <c r="A1106" s="4">
        <f ca="1">IFERROR(__xludf.DUMMYFUNCTION("""COMPUTED_VALUE"""),65451739)</f>
        <v>65451739</v>
      </c>
      <c r="B1106" s="1" t="str">
        <f ca="1">IFERROR(__xludf.DUMMYFUNCTION("""COMPUTED_VALUE"""),"rod.weaver23@yahoo.com")</f>
        <v>rod.weaver23@yahoo.com</v>
      </c>
      <c r="C1106" s="4" t="str">
        <f ca="1">IFERROR(__xludf.DUMMYFUNCTION("""COMPUTED_VALUE"""),"EVERGREEN - UAN Gated Content - Embedded Petition")</f>
        <v>EVERGREEN - UAN Gated Content - Embedded Petition</v>
      </c>
      <c r="D1106" s="5">
        <f ca="1">IFERROR(__xludf.DUMMYFUNCTION("""COMPUTED_VALUE"""),45634)</f>
        <v>45634</v>
      </c>
      <c r="F1106" s="1" t="str">
        <f ca="1">IFERROR(__xludf.DUMMYFUNCTION("""COMPUTED_VALUE"""),"Egypt")</f>
        <v>Egypt</v>
      </c>
      <c r="G1106" s="1" t="str">
        <f ca="1">IFERROR(__xludf.DUMMYFUNCTION("""COMPUTED_VALUE"""),"Ninth 190.18 Egypt")</f>
        <v>Ninth 190.18 Egypt</v>
      </c>
      <c r="H1106" s="1" t="str">
        <f ca="1">IFERROR(__xludf.DUMMYFUNCTION("""COMPUTED_VALUE"""),"Freedom of Expression, Individuals At Risk")</f>
        <v>Freedom of Expression, Individuals At Risk</v>
      </c>
      <c r="I1106" s="1" t="str">
        <f ca="1">IFERROR(__xludf.DUMMYFUNCTION("""COMPUTED_VALUE"""),"2024")</f>
        <v>2024</v>
      </c>
      <c r="J1106" s="1" t="str">
        <f ca="1">IFERROR(__xludf.DUMMYFUNCTION("""COMPUTED_VALUE"""),"Letter")</f>
        <v>Letter</v>
      </c>
    </row>
    <row r="1107" spans="1:10" ht="13" x14ac:dyDescent="0.15">
      <c r="A1107" s="4">
        <f ca="1">IFERROR(__xludf.DUMMYFUNCTION("""COMPUTED_VALUE"""),65451739)</f>
        <v>65451739</v>
      </c>
      <c r="B1107" s="1" t="str">
        <f ca="1">IFERROR(__xludf.DUMMYFUNCTION("""COMPUTED_VALUE"""),"rod.weaver23@yahoo.com")</f>
        <v>rod.weaver23@yahoo.com</v>
      </c>
      <c r="C1107" s="4" t="str">
        <f ca="1">IFERROR(__xludf.DUMMYFUNCTION("""COMPUTED_VALUE"""),"EVERGREEN - UAN Gated Content - Embedded Petition")</f>
        <v>EVERGREEN - UAN Gated Content - Embedded Petition</v>
      </c>
      <c r="D1107" s="5">
        <f ca="1">IFERROR(__xludf.DUMMYFUNCTION("""COMPUTED_VALUE"""),45631)</f>
        <v>45631</v>
      </c>
      <c r="F1107" s="1" t="str">
        <f ca="1">IFERROR(__xludf.DUMMYFUNCTION("""COMPUTED_VALUE"""),"USA")</f>
        <v>USA</v>
      </c>
      <c r="G1107" s="1" t="str">
        <f ca="1">IFERROR(__xludf.DUMMYFUNCTION("""COMPUTED_VALUE"""),"105.24 USA")</f>
        <v>105.24 USA</v>
      </c>
      <c r="H1107" s="1" t="str">
        <f ca="1">IFERROR(__xludf.DUMMYFUNCTION("""COMPUTED_VALUE"""),"Death Penalty")</f>
        <v>Death Penalty</v>
      </c>
      <c r="I1107" s="1" t="str">
        <f ca="1">IFERROR(__xludf.DUMMYFUNCTION("""COMPUTED_VALUE"""),"2024")</f>
        <v>2024</v>
      </c>
      <c r="J1107" s="1" t="str">
        <f ca="1">IFERROR(__xludf.DUMMYFUNCTION("""COMPUTED_VALUE"""),"Email")</f>
        <v>Email</v>
      </c>
    </row>
    <row r="1108" spans="1:10" ht="13" x14ac:dyDescent="0.15">
      <c r="A1108" s="4">
        <f ca="1">IFERROR(__xludf.DUMMYFUNCTION("""COMPUTED_VALUE"""),65451739)</f>
        <v>65451739</v>
      </c>
      <c r="B1108" s="1" t="str">
        <f ca="1">IFERROR(__xludf.DUMMYFUNCTION("""COMPUTED_VALUE"""),"rod.weaver23@yahoo.com")</f>
        <v>rod.weaver23@yahoo.com</v>
      </c>
      <c r="C1108" s="4" t="str">
        <f ca="1">IFERROR(__xludf.DUMMYFUNCTION("""COMPUTED_VALUE"""),"EVERGREEN - UAN Gated Content - Embedded Petition")</f>
        <v>EVERGREEN - UAN Gated Content - Embedded Petition</v>
      </c>
      <c r="D1108" s="5">
        <f ca="1">IFERROR(__xludf.DUMMYFUNCTION("""COMPUTED_VALUE"""),45647)</f>
        <v>45647</v>
      </c>
      <c r="F1108" s="1" t="str">
        <f ca="1">IFERROR(__xludf.DUMMYFUNCTION("""COMPUTED_VALUE"""),"Saudi Arabia")</f>
        <v>Saudi Arabia</v>
      </c>
      <c r="G1108" s="1" t="str">
        <f ca="1">IFERROR(__xludf.DUMMYFUNCTION("""COMPUTED_VALUE"""),"Second 85.23 Saudi Arabia")</f>
        <v>Second 85.23 Saudi Arabia</v>
      </c>
      <c r="H1108" s="1" t="str">
        <f ca="1">IFERROR(__xludf.DUMMYFUNCTION("""COMPUTED_VALUE"""),"Freedom of Expression")</f>
        <v>Freedom of Expression</v>
      </c>
      <c r="I1108" s="1" t="str">
        <f ca="1">IFERROR(__xludf.DUMMYFUNCTION("""COMPUTED_VALUE"""),"2024")</f>
        <v>2024</v>
      </c>
      <c r="J1108" s="1" t="str">
        <f ca="1">IFERROR(__xludf.DUMMYFUNCTION("""COMPUTED_VALUE"""),"Letter")</f>
        <v>Letter</v>
      </c>
    </row>
    <row r="1109" spans="1:10" ht="13" x14ac:dyDescent="0.15">
      <c r="A1109" s="4">
        <f ca="1">IFERROR(__xludf.DUMMYFUNCTION("""COMPUTED_VALUE"""),65451739)</f>
        <v>65451739</v>
      </c>
      <c r="B1109" s="1" t="str">
        <f ca="1">IFERROR(__xludf.DUMMYFUNCTION("""COMPUTED_VALUE"""),"rod.weaver23@yahoo.com")</f>
        <v>rod.weaver23@yahoo.com</v>
      </c>
      <c r="C1109" s="4" t="str">
        <f ca="1">IFERROR(__xludf.DUMMYFUNCTION("""COMPUTED_VALUE"""),"EVERGREEN - UAN Gated Content - Embedded Petition")</f>
        <v>EVERGREEN - UAN Gated Content - Embedded Petition</v>
      </c>
      <c r="D1109" s="5">
        <f ca="1">IFERROR(__xludf.DUMMYFUNCTION("""COMPUTED_VALUE"""),45672)</f>
        <v>45672</v>
      </c>
      <c r="F1109" s="1" t="str">
        <f ca="1">IFERROR(__xludf.DUMMYFUNCTION("""COMPUTED_VALUE"""),"Tunisia")</f>
        <v>Tunisia</v>
      </c>
      <c r="G1109" s="1" t="str">
        <f ca="1">IFERROR(__xludf.DUMMYFUNCTION("""COMPUTED_VALUE"""),"Second 76.24 Tunisia")</f>
        <v>Second 76.24 Tunisia</v>
      </c>
      <c r="H1109" s="1" t="str">
        <f ca="1">IFERROR(__xludf.DUMMYFUNCTION("""COMPUTED_VALUE"""),"Freedom of Expression, Human Rights Defenders")</f>
        <v>Freedom of Expression, Human Rights Defenders</v>
      </c>
      <c r="I1109" s="1" t="str">
        <f ca="1">IFERROR(__xludf.DUMMYFUNCTION("""COMPUTED_VALUE"""),"2025")</f>
        <v>2025</v>
      </c>
      <c r="J1109" s="1" t="str">
        <f ca="1">IFERROR(__xludf.DUMMYFUNCTION("""COMPUTED_VALUE"""),"Email")</f>
        <v>Email</v>
      </c>
    </row>
    <row r="1110" spans="1:10" ht="13" x14ac:dyDescent="0.15">
      <c r="A1110" s="4">
        <f ca="1">IFERROR(__xludf.DUMMYFUNCTION("""COMPUTED_VALUE"""),65451739)</f>
        <v>65451739</v>
      </c>
      <c r="B1110" s="1" t="str">
        <f ca="1">IFERROR(__xludf.DUMMYFUNCTION("""COMPUTED_VALUE"""),"rod.weaver23@yahoo.com")</f>
        <v>rod.weaver23@yahoo.com</v>
      </c>
      <c r="C1110" s="4" t="str">
        <f ca="1">IFERROR(__xludf.DUMMYFUNCTION("""COMPUTED_VALUE"""),"EVERGREEN - UAN Gated Content - Embedded Petition")</f>
        <v>EVERGREEN - UAN Gated Content - Embedded Petition</v>
      </c>
      <c r="D1110" s="5">
        <f ca="1">IFERROR(__xludf.DUMMYFUNCTION("""COMPUTED_VALUE"""),45678)</f>
        <v>45678</v>
      </c>
      <c r="F1110" s="1" t="str">
        <f ca="1">IFERROR(__xludf.DUMMYFUNCTION("""COMPUTED_VALUE"""),"USA")</f>
        <v>USA</v>
      </c>
      <c r="G1110" s="1" t="str">
        <f ca="1">IFERROR(__xludf.DUMMYFUNCTION("""COMPUTED_VALUE"""),"96.24 USA")</f>
        <v>96.24 USA</v>
      </c>
      <c r="H1110" s="1" t="str">
        <f ca="1">IFERROR(__xludf.DUMMYFUNCTION("""COMPUTED_VALUE"""),"Death Penalty")</f>
        <v>Death Penalty</v>
      </c>
      <c r="I1110" s="1" t="str">
        <f ca="1">IFERROR(__xludf.DUMMYFUNCTION("""COMPUTED_VALUE"""),"2024")</f>
        <v>2024</v>
      </c>
      <c r="J1110" s="1" t="str">
        <f ca="1">IFERROR(__xludf.DUMMYFUNCTION("""COMPUTED_VALUE"""),"Email")</f>
        <v>Email</v>
      </c>
    </row>
    <row r="1111" spans="1:10" ht="13" x14ac:dyDescent="0.15">
      <c r="A1111" s="4">
        <f ca="1">IFERROR(__xludf.DUMMYFUNCTION("""COMPUTED_VALUE"""),65451739)</f>
        <v>65451739</v>
      </c>
      <c r="B1111" s="1" t="str">
        <f ca="1">IFERROR(__xludf.DUMMYFUNCTION("""COMPUTED_VALUE"""),"rod.weaver23@yahoo.com")</f>
        <v>rod.weaver23@yahoo.com</v>
      </c>
      <c r="C1111" s="4" t="str">
        <f ca="1">IFERROR(__xludf.DUMMYFUNCTION("""COMPUTED_VALUE"""),"EVERGREEN - UAN Gated Content - Embedded Petition")</f>
        <v>EVERGREEN - UAN Gated Content - Embedded Petition</v>
      </c>
      <c r="D1111" s="5">
        <f ca="1">IFERROR(__xludf.DUMMYFUNCTION("""COMPUTED_VALUE"""),45694)</f>
        <v>45694</v>
      </c>
      <c r="F1111" s="1" t="str">
        <f ca="1">IFERROR(__xludf.DUMMYFUNCTION("""COMPUTED_VALUE"""),"USA")</f>
        <v>USA</v>
      </c>
      <c r="G1111" s="1" t="str">
        <f ca="1">IFERROR(__xludf.DUMMYFUNCTION("""COMPUTED_VALUE"""),"4.25 USA")</f>
        <v>4.25 USA</v>
      </c>
      <c r="H1111" s="1" t="str">
        <f ca="1">IFERROR(__xludf.DUMMYFUNCTION("""COMPUTED_VALUE"""),"Individuals At Risk, Refugee and Migrant Rights")</f>
        <v>Individuals At Risk, Refugee and Migrant Rights</v>
      </c>
      <c r="I1111" s="1" t="str">
        <f ca="1">IFERROR(__xludf.DUMMYFUNCTION("""COMPUTED_VALUE"""),"2025")</f>
        <v>2025</v>
      </c>
      <c r="J1111" s="1" t="str">
        <f ca="1">IFERROR(__xludf.DUMMYFUNCTION("""COMPUTED_VALUE"""),"Letter")</f>
        <v>Letter</v>
      </c>
    </row>
    <row r="1112" spans="1:10" ht="13" x14ac:dyDescent="0.15">
      <c r="A1112" s="4">
        <f ca="1">IFERROR(__xludf.DUMMYFUNCTION("""COMPUTED_VALUE"""),65451739)</f>
        <v>65451739</v>
      </c>
      <c r="B1112" s="1" t="str">
        <f ca="1">IFERROR(__xludf.DUMMYFUNCTION("""COMPUTED_VALUE"""),"rod.weaver23@yahoo.com")</f>
        <v>rod.weaver23@yahoo.com</v>
      </c>
      <c r="C1112" s="4" t="str">
        <f ca="1">IFERROR(__xludf.DUMMYFUNCTION("""COMPUTED_VALUE"""),"EVERGREEN - UAN Gated Content - Embedded Petition")</f>
        <v>EVERGREEN - UAN Gated Content - Embedded Petition</v>
      </c>
      <c r="D1112" s="5">
        <f ca="1">IFERROR(__xludf.DUMMYFUNCTION("""COMPUTED_VALUE"""),45707)</f>
        <v>45707</v>
      </c>
      <c r="F1112" s="1" t="str">
        <f ca="1">IFERROR(__xludf.DUMMYFUNCTION("""COMPUTED_VALUE"""),"Tunisia")</f>
        <v>Tunisia</v>
      </c>
      <c r="G1112" s="1" t="str">
        <f ca="1">IFERROR(__xludf.DUMMYFUNCTION("""COMPUTED_VALUE"""),"Second 76.24 Tunisia")</f>
        <v>Second 76.24 Tunisia</v>
      </c>
      <c r="H1112" s="1" t="str">
        <f ca="1">IFERROR(__xludf.DUMMYFUNCTION("""COMPUTED_VALUE"""),"Freedom of Expression, Human Rights Defenders")</f>
        <v>Freedom of Expression, Human Rights Defenders</v>
      </c>
      <c r="I1112" s="1" t="str">
        <f ca="1">IFERROR(__xludf.DUMMYFUNCTION("""COMPUTED_VALUE"""),"2025")</f>
        <v>2025</v>
      </c>
      <c r="J1112" s="1" t="str">
        <f ca="1">IFERROR(__xludf.DUMMYFUNCTION("""COMPUTED_VALUE"""),"Email")</f>
        <v>Email</v>
      </c>
    </row>
    <row r="1113" spans="1:10" ht="13" x14ac:dyDescent="0.15">
      <c r="A1113" s="4">
        <f ca="1">IFERROR(__xludf.DUMMYFUNCTION("""COMPUTED_VALUE"""),65451739)</f>
        <v>65451739</v>
      </c>
      <c r="B1113" s="1" t="str">
        <f ca="1">IFERROR(__xludf.DUMMYFUNCTION("""COMPUTED_VALUE"""),"rod.weaver23@yahoo.com")</f>
        <v>rod.weaver23@yahoo.com</v>
      </c>
      <c r="C1113" s="4" t="str">
        <f ca="1">IFERROR(__xludf.DUMMYFUNCTION("""COMPUTED_VALUE"""),"EVERGREEN - UAN Gated Content - Embedded Petition")</f>
        <v>EVERGREEN - UAN Gated Content - Embedded Petition</v>
      </c>
      <c r="D1113" s="5">
        <f ca="1">IFERROR(__xludf.DUMMYFUNCTION("""COMPUTED_VALUE"""),45705)</f>
        <v>45705</v>
      </c>
      <c r="F1113" s="1" t="str">
        <f ca="1">IFERROR(__xludf.DUMMYFUNCTION("""COMPUTED_VALUE"""),"Uganda")</f>
        <v>Uganda</v>
      </c>
      <c r="G1113" s="1" t="str">
        <f ca="1">IFERROR(__xludf.DUMMYFUNCTION("""COMPUTED_VALUE"""),"9.25 Uganda")</f>
        <v>9.25 Uganda</v>
      </c>
      <c r="H1113" s="1" t="str">
        <f ca="1">IFERROR(__xludf.DUMMYFUNCTION("""COMPUTED_VALUE"""),"Freedom of Expression, Human Rights Defenders")</f>
        <v>Freedom of Expression, Human Rights Defenders</v>
      </c>
      <c r="I1113" s="1" t="str">
        <f ca="1">IFERROR(__xludf.DUMMYFUNCTION("""COMPUTED_VALUE"""),"2025")</f>
        <v>2025</v>
      </c>
      <c r="J1113" s="1" t="str">
        <f ca="1">IFERROR(__xludf.DUMMYFUNCTION("""COMPUTED_VALUE"""),"Email")</f>
        <v>Email</v>
      </c>
    </row>
    <row r="1114" spans="1:10" ht="13" x14ac:dyDescent="0.15">
      <c r="A1114" s="4">
        <f ca="1">IFERROR(__xludf.DUMMYFUNCTION("""COMPUTED_VALUE"""),65451739)</f>
        <v>65451739</v>
      </c>
      <c r="B1114" s="1" t="str">
        <f ca="1">IFERROR(__xludf.DUMMYFUNCTION("""COMPUTED_VALUE"""),"rod.weaver23@yahoo.com")</f>
        <v>rod.weaver23@yahoo.com</v>
      </c>
      <c r="C1114" s="4" t="str">
        <f ca="1">IFERROR(__xludf.DUMMYFUNCTION("""COMPUTED_VALUE"""),"EVERGREEN - UAN Gated Content - Embedded Petition")</f>
        <v>EVERGREEN - UAN Gated Content - Embedded Petition</v>
      </c>
      <c r="D1114" s="5">
        <f ca="1">IFERROR(__xludf.DUMMYFUNCTION("""COMPUTED_VALUE"""),45708)</f>
        <v>45708</v>
      </c>
      <c r="F1114" s="1" t="str">
        <f ca="1">IFERROR(__xludf.DUMMYFUNCTION("""COMPUTED_VALUE"""),"Libya")</f>
        <v>Libya</v>
      </c>
      <c r="G1114" s="1" t="str">
        <f ca="1">IFERROR(__xludf.DUMMYFUNCTION("""COMPUTED_VALUE"""),"12.25 Libya")</f>
        <v>12.25 Libya</v>
      </c>
      <c r="H1114" s="1" t="str">
        <f ca="1">IFERROR(__xludf.DUMMYFUNCTION("""COMPUTED_VALUE"""),"Freedom of Expression, Health, Individuals At Risk")</f>
        <v>Freedom of Expression, Health, Individuals At Risk</v>
      </c>
      <c r="I1114" s="1" t="str">
        <f ca="1">IFERROR(__xludf.DUMMYFUNCTION("""COMPUTED_VALUE"""),"2025")</f>
        <v>2025</v>
      </c>
      <c r="J1114" s="1" t="str">
        <f ca="1">IFERROR(__xludf.DUMMYFUNCTION("""COMPUTED_VALUE"""),"Email")</f>
        <v>Email</v>
      </c>
    </row>
    <row r="1115" spans="1:10" ht="13" x14ac:dyDescent="0.15">
      <c r="A1115" s="4">
        <f ca="1">IFERROR(__xludf.DUMMYFUNCTION("""COMPUTED_VALUE"""),65451739)</f>
        <v>65451739</v>
      </c>
      <c r="B1115" s="1" t="str">
        <f ca="1">IFERROR(__xludf.DUMMYFUNCTION("""COMPUTED_VALUE"""),"rod.weaver23@yahoo.com")</f>
        <v>rod.weaver23@yahoo.com</v>
      </c>
      <c r="C1115" s="4" t="str">
        <f ca="1">IFERROR(__xludf.DUMMYFUNCTION("""COMPUTED_VALUE"""),"EVERGREEN - UAN Gated Content - Embedded Petition")</f>
        <v>EVERGREEN - UAN Gated Content - Embedded Petition</v>
      </c>
      <c r="D1115" s="5">
        <f ca="1">IFERROR(__xludf.DUMMYFUNCTION("""COMPUTED_VALUE"""),45703)</f>
        <v>45703</v>
      </c>
      <c r="F1115" s="1" t="str">
        <f ca="1">IFERROR(__xludf.DUMMYFUNCTION("""COMPUTED_VALUE"""),"Venezuela")</f>
        <v>Venezuela</v>
      </c>
      <c r="G1115" s="1" t="str">
        <f ca="1">IFERROR(__xludf.DUMMYFUNCTION("""COMPUTED_VALUE"""),"97.24 Venezuela")</f>
        <v>97.24 Venezuela</v>
      </c>
      <c r="H1115" s="1" t="str">
        <f ca="1">IFERROR(__xludf.DUMMYFUNCTION("""COMPUTED_VALUE"""),"Freedom of Expression")</f>
        <v>Freedom of Expression</v>
      </c>
      <c r="I1115" s="1" t="str">
        <f ca="1">IFERROR(__xludf.DUMMYFUNCTION("""COMPUTED_VALUE"""),"2024")</f>
        <v>2024</v>
      </c>
      <c r="J1115" s="1" t="str">
        <f ca="1">IFERROR(__xludf.DUMMYFUNCTION("""COMPUTED_VALUE"""),"Letter")</f>
        <v>Letter</v>
      </c>
    </row>
    <row r="1116" spans="1:10" ht="13" x14ac:dyDescent="0.15">
      <c r="A1116" s="4">
        <f ca="1">IFERROR(__xludf.DUMMYFUNCTION("""COMPUTED_VALUE"""),65451739)</f>
        <v>65451739</v>
      </c>
      <c r="B1116" s="1" t="str">
        <f ca="1">IFERROR(__xludf.DUMMYFUNCTION("""COMPUTED_VALUE"""),"rod.weaver23@yahoo.com")</f>
        <v>rod.weaver23@yahoo.com</v>
      </c>
      <c r="C1116" s="4" t="str">
        <f ca="1">IFERROR(__xludf.DUMMYFUNCTION("""COMPUTED_VALUE"""),"EVERGREEN - UAN Gated Content - Embedded Petition")</f>
        <v>EVERGREEN - UAN Gated Content - Embedded Petition</v>
      </c>
      <c r="D1116" s="5">
        <f ca="1">IFERROR(__xludf.DUMMYFUNCTION("""COMPUTED_VALUE"""),45704)</f>
        <v>45704</v>
      </c>
      <c r="F1116" s="1" t="str">
        <f ca="1">IFERROR(__xludf.DUMMYFUNCTION("""COMPUTED_VALUE"""),"Tunisia")</f>
        <v>Tunisia</v>
      </c>
      <c r="G1116" s="1" t="str">
        <f ca="1">IFERROR(__xludf.DUMMYFUNCTION("""COMPUTED_VALUE"""),"Second 76.24 Tunisia")</f>
        <v>Second 76.24 Tunisia</v>
      </c>
      <c r="H1116" s="1" t="str">
        <f ca="1">IFERROR(__xludf.DUMMYFUNCTION("""COMPUTED_VALUE"""),"Freedom of Expression, Human Rights Defenders")</f>
        <v>Freedom of Expression, Human Rights Defenders</v>
      </c>
      <c r="I1116" s="1" t="str">
        <f ca="1">IFERROR(__xludf.DUMMYFUNCTION("""COMPUTED_VALUE"""),"2025")</f>
        <v>2025</v>
      </c>
      <c r="J1116" s="1" t="str">
        <f ca="1">IFERROR(__xludf.DUMMYFUNCTION("""COMPUTED_VALUE"""),"Email")</f>
        <v>Email</v>
      </c>
    </row>
    <row r="1117" spans="1:10" ht="13" x14ac:dyDescent="0.15">
      <c r="A1117" s="4">
        <f ca="1">IFERROR(__xludf.DUMMYFUNCTION("""COMPUTED_VALUE"""),65616037)</f>
        <v>65616037</v>
      </c>
      <c r="B1117" s="1" t="str">
        <f ca="1">IFERROR(__xludf.DUMMYFUNCTION("""COMPUTED_VALUE"""),"georgeshermanjr@gmail.com")</f>
        <v>georgeshermanjr@gmail.com</v>
      </c>
      <c r="C1117" s="4" t="str">
        <f ca="1">IFERROR(__xludf.DUMMYFUNCTION("""COMPUTED_VALUE"""),"EVERGREEN - UAN Gated Content - Embedded Petition")</f>
        <v>EVERGREEN - UAN Gated Content - Embedded Petition</v>
      </c>
      <c r="D1117" s="5">
        <f ca="1">IFERROR(__xludf.DUMMYFUNCTION("""COMPUTED_VALUE"""),45694)</f>
        <v>45694</v>
      </c>
      <c r="F1117" s="1" t="str">
        <f ca="1">IFERROR(__xludf.DUMMYFUNCTION("""COMPUTED_VALUE"""),"Tunisia")</f>
        <v>Tunisia</v>
      </c>
      <c r="G1117" s="1" t="str">
        <f ca="1">IFERROR(__xludf.DUMMYFUNCTION("""COMPUTED_VALUE"""),"Second 76.24 Tunisia")</f>
        <v>Second 76.24 Tunisia</v>
      </c>
      <c r="H1117" s="1" t="str">
        <f ca="1">IFERROR(__xludf.DUMMYFUNCTION("""COMPUTED_VALUE"""),"Freedom of Expression, Human Rights Defenders")</f>
        <v>Freedom of Expression, Human Rights Defenders</v>
      </c>
      <c r="I1117" s="1" t="str">
        <f ca="1">IFERROR(__xludf.DUMMYFUNCTION("""COMPUTED_VALUE"""),"2025")</f>
        <v>2025</v>
      </c>
      <c r="J1117" s="1" t="str">
        <f ca="1">IFERROR(__xludf.DUMMYFUNCTION("""COMPUTED_VALUE"""),"Email")</f>
        <v>Email</v>
      </c>
    </row>
    <row r="1118" spans="1:10" ht="13" x14ac:dyDescent="0.15">
      <c r="A1118" s="4">
        <f ca="1">IFERROR(__xludf.DUMMYFUNCTION("""COMPUTED_VALUE"""),68655136)</f>
        <v>68655136</v>
      </c>
      <c r="B1118" s="1" t="str">
        <f ca="1">IFERROR(__xludf.DUMMYFUNCTION("""COMPUTED_VALUE"""),"rhenighan@igc.org")</f>
        <v>rhenighan@igc.org</v>
      </c>
      <c r="C1118" s="4" t="str">
        <f ca="1">IFERROR(__xludf.DUMMYFUNCTION("""COMPUTED_VALUE"""),"EVERGREEN - UAN Gated Content - Embedded Petition")</f>
        <v>EVERGREEN - UAN Gated Content - Embedded Petition</v>
      </c>
      <c r="D1118" s="5">
        <f ca="1">IFERROR(__xludf.DUMMYFUNCTION("""COMPUTED_VALUE"""),45694)</f>
        <v>45694</v>
      </c>
      <c r="F1118" s="1" t="str">
        <f ca="1">IFERROR(__xludf.DUMMYFUNCTION("""COMPUTED_VALUE"""),"USA")</f>
        <v>USA</v>
      </c>
      <c r="G1118" s="1" t="str">
        <f ca="1">IFERROR(__xludf.DUMMYFUNCTION("""COMPUTED_VALUE"""),"4.25 USA")</f>
        <v>4.25 USA</v>
      </c>
      <c r="H1118" s="1" t="str">
        <f ca="1">IFERROR(__xludf.DUMMYFUNCTION("""COMPUTED_VALUE"""),"Individuals At Risk, Refugee and Migrant Rights")</f>
        <v>Individuals At Risk, Refugee and Migrant Rights</v>
      </c>
      <c r="I1118" s="1" t="str">
        <f ca="1">IFERROR(__xludf.DUMMYFUNCTION("""COMPUTED_VALUE"""),"2025")</f>
        <v>2025</v>
      </c>
      <c r="J1118" s="1" t="str">
        <f ca="1">IFERROR(__xludf.DUMMYFUNCTION("""COMPUTED_VALUE"""),"Letter")</f>
        <v>Letter</v>
      </c>
    </row>
    <row r="1119" spans="1:10" ht="13" x14ac:dyDescent="0.15">
      <c r="A1119" s="4">
        <f ca="1">IFERROR(__xludf.DUMMYFUNCTION("""COMPUTED_VALUE"""),68743017)</f>
        <v>68743017</v>
      </c>
      <c r="B1119" s="1" t="str">
        <f ca="1">IFERROR(__xludf.DUMMYFUNCTION("""COMPUTED_VALUE"""),"mystenamarina@yahoo.com")</f>
        <v>mystenamarina@yahoo.com</v>
      </c>
      <c r="C1119" s="4" t="str">
        <f ca="1">IFERROR(__xludf.DUMMYFUNCTION("""COMPUTED_VALUE"""),"EVERGREEN - UAN Gated Content - Embedded Petition")</f>
        <v>EVERGREEN - UAN Gated Content - Embedded Petition</v>
      </c>
      <c r="D1119" s="5">
        <f ca="1">IFERROR(__xludf.DUMMYFUNCTION("""COMPUTED_VALUE"""),45694)</f>
        <v>45694</v>
      </c>
      <c r="F1119" s="1" t="str">
        <f ca="1">IFERROR(__xludf.DUMMYFUNCTION("""COMPUTED_VALUE"""),"Saudi Arabia")</f>
        <v>Saudi Arabia</v>
      </c>
      <c r="G1119" s="1" t="str">
        <f ca="1">IFERROR(__xludf.DUMMYFUNCTION("""COMPUTED_VALUE"""),"Second 85.23 Saudi Arabia")</f>
        <v>Second 85.23 Saudi Arabia</v>
      </c>
      <c r="H1119" s="1" t="str">
        <f ca="1">IFERROR(__xludf.DUMMYFUNCTION("""COMPUTED_VALUE"""),"Freedom of Expression")</f>
        <v>Freedom of Expression</v>
      </c>
      <c r="I1119" s="1" t="str">
        <f ca="1">IFERROR(__xludf.DUMMYFUNCTION("""COMPUTED_VALUE"""),"2024")</f>
        <v>2024</v>
      </c>
      <c r="J1119" s="1" t="str">
        <f ca="1">IFERROR(__xludf.DUMMYFUNCTION("""COMPUTED_VALUE"""),"Letter")</f>
        <v>Letter</v>
      </c>
    </row>
    <row r="1120" spans="1:10" ht="13" x14ac:dyDescent="0.15">
      <c r="A1120" s="4">
        <f ca="1">IFERROR(__xludf.DUMMYFUNCTION("""COMPUTED_VALUE"""),68883897)</f>
        <v>68883897</v>
      </c>
      <c r="B1120" s="1" t="str">
        <f ca="1">IFERROR(__xludf.DUMMYFUNCTION("""COMPUTED_VALUE"""),"mbrothe71@gmail.com")</f>
        <v>mbrothe71@gmail.com</v>
      </c>
      <c r="C1120" s="4" t="str">
        <f ca="1">IFERROR(__xludf.DUMMYFUNCTION("""COMPUTED_VALUE"""),"EVERGREEN - UAN Gated Content - Embedded Petition")</f>
        <v>EVERGREEN - UAN Gated Content - Embedded Petition</v>
      </c>
      <c r="D1120" s="5">
        <f ca="1">IFERROR(__xludf.DUMMYFUNCTION("""COMPUTED_VALUE"""),45694)</f>
        <v>45694</v>
      </c>
      <c r="F1120" s="1" t="str">
        <f ca="1">IFERROR(__xludf.DUMMYFUNCTION("""COMPUTED_VALUE"""),"China")</f>
        <v>China</v>
      </c>
      <c r="G1120" s="1" t="str">
        <f ca="1">IFERROR(__xludf.DUMMYFUNCTION("""COMPUTED_VALUE"""),"98.24 China")</f>
        <v>98.24 China</v>
      </c>
      <c r="H1120" s="1" t="str">
        <f ca="1">IFERROR(__xludf.DUMMYFUNCTION("""COMPUTED_VALUE"""),"Freedom of Expression, Individuals At Risk")</f>
        <v>Freedom of Expression, Individuals At Risk</v>
      </c>
      <c r="I1120" s="1" t="str">
        <f ca="1">IFERROR(__xludf.DUMMYFUNCTION("""COMPUTED_VALUE"""),"2024")</f>
        <v>2024</v>
      </c>
      <c r="J1120" s="1" t="str">
        <f ca="1">IFERROR(__xludf.DUMMYFUNCTION("""COMPUTED_VALUE"""),"Letter")</f>
        <v>Letter</v>
      </c>
    </row>
    <row r="1121" spans="1:10" ht="13" x14ac:dyDescent="0.15">
      <c r="A1121" s="4">
        <f ca="1">IFERROR(__xludf.DUMMYFUNCTION("""COMPUTED_VALUE"""),69571639)</f>
        <v>69571639</v>
      </c>
      <c r="B1121" s="1" t="str">
        <f ca="1">IFERROR(__xludf.DUMMYFUNCTION("""COMPUTED_VALUE"""),"sebastien.vigneau@gmail.com")</f>
        <v>sebastien.vigneau@gmail.com</v>
      </c>
      <c r="C1121" s="4" t="str">
        <f ca="1">IFERROR(__xludf.DUMMYFUNCTION("""COMPUTED_VALUE"""),"EVERGREEN - UAN Gated Content - Embedded Petition")</f>
        <v>EVERGREEN - UAN Gated Content - Embedded Petition</v>
      </c>
      <c r="D1121" s="5">
        <f ca="1">IFERROR(__xludf.DUMMYFUNCTION("""COMPUTED_VALUE"""),45674)</f>
        <v>45674</v>
      </c>
      <c r="F1121" s="1" t="str">
        <f ca="1">IFERROR(__xludf.DUMMYFUNCTION("""COMPUTED_VALUE"""),"Egypt")</f>
        <v>Egypt</v>
      </c>
      <c r="G1121" s="1" t="str">
        <f ca="1">IFERROR(__xludf.DUMMYFUNCTION("""COMPUTED_VALUE"""),"Ninth 190.18 Egypt")</f>
        <v>Ninth 190.18 Egypt</v>
      </c>
      <c r="H1121" s="1" t="str">
        <f ca="1">IFERROR(__xludf.DUMMYFUNCTION("""COMPUTED_VALUE"""),"Freedom of Expression, Individuals At Risk")</f>
        <v>Freedom of Expression, Individuals At Risk</v>
      </c>
      <c r="I1121" s="1" t="str">
        <f ca="1">IFERROR(__xludf.DUMMYFUNCTION("""COMPUTED_VALUE"""),"2024")</f>
        <v>2024</v>
      </c>
      <c r="J1121" s="1" t="str">
        <f ca="1">IFERROR(__xludf.DUMMYFUNCTION("""COMPUTED_VALUE"""),"Letter")</f>
        <v>Letter</v>
      </c>
    </row>
    <row r="1122" spans="1:10" ht="13" x14ac:dyDescent="0.15">
      <c r="A1122" s="4">
        <f ca="1">IFERROR(__xludf.DUMMYFUNCTION("""COMPUTED_VALUE"""),69571639)</f>
        <v>69571639</v>
      </c>
      <c r="B1122" s="1" t="str">
        <f ca="1">IFERROR(__xludf.DUMMYFUNCTION("""COMPUTED_VALUE"""),"sebastien.vigneau@gmail.com")</f>
        <v>sebastien.vigneau@gmail.com</v>
      </c>
      <c r="C1122" s="4" t="str">
        <f ca="1">IFERROR(__xludf.DUMMYFUNCTION("""COMPUTED_VALUE"""),"EVERGREEN - UAN Gated Content - Embedded Petition")</f>
        <v>EVERGREEN - UAN Gated Content - Embedded Petition</v>
      </c>
      <c r="D1122" s="5">
        <f ca="1">IFERROR(__xludf.DUMMYFUNCTION("""COMPUTED_VALUE"""),45674)</f>
        <v>45674</v>
      </c>
      <c r="F1122" s="1" t="str">
        <f ca="1">IFERROR(__xludf.DUMMYFUNCTION("""COMPUTED_VALUE"""),"Egypt")</f>
        <v>Egypt</v>
      </c>
      <c r="G1122" s="1" t="str">
        <f ca="1">IFERROR(__xludf.DUMMYFUNCTION("""COMPUTED_VALUE"""),"Ninth 190.18 Egypt")</f>
        <v>Ninth 190.18 Egypt</v>
      </c>
      <c r="H1122" s="1" t="str">
        <f ca="1">IFERROR(__xludf.DUMMYFUNCTION("""COMPUTED_VALUE"""),"Freedom of Expression, Individuals At Risk")</f>
        <v>Freedom of Expression, Individuals At Risk</v>
      </c>
      <c r="I1122" s="1" t="str">
        <f ca="1">IFERROR(__xludf.DUMMYFUNCTION("""COMPUTED_VALUE"""),"2024")</f>
        <v>2024</v>
      </c>
      <c r="J1122" s="1" t="str">
        <f ca="1">IFERROR(__xludf.DUMMYFUNCTION("""COMPUTED_VALUE"""),"Letter")</f>
        <v>Letter</v>
      </c>
    </row>
    <row r="1123" spans="1:10" ht="13" x14ac:dyDescent="0.15">
      <c r="A1123" s="4">
        <f ca="1">IFERROR(__xludf.DUMMYFUNCTION("""COMPUTED_VALUE"""),69571639)</f>
        <v>69571639</v>
      </c>
      <c r="B1123" s="1" t="str">
        <f ca="1">IFERROR(__xludf.DUMMYFUNCTION("""COMPUTED_VALUE"""),"sebastien.vigneau@gmail.com")</f>
        <v>sebastien.vigneau@gmail.com</v>
      </c>
      <c r="C1123" s="4" t="str">
        <f ca="1">IFERROR(__xludf.DUMMYFUNCTION("""COMPUTED_VALUE"""),"EVERGREEN - UAN Gated Content - Embedded Petition")</f>
        <v>EVERGREEN - UAN Gated Content - Embedded Petition</v>
      </c>
      <c r="D1123" s="5">
        <f ca="1">IFERROR(__xludf.DUMMYFUNCTION("""COMPUTED_VALUE"""),45674)</f>
        <v>45674</v>
      </c>
      <c r="F1123" s="1" t="str">
        <f ca="1">IFERROR(__xludf.DUMMYFUNCTION("""COMPUTED_VALUE"""),"Tunisia")</f>
        <v>Tunisia</v>
      </c>
      <c r="G1123" s="1" t="str">
        <f ca="1">IFERROR(__xludf.DUMMYFUNCTION("""COMPUTED_VALUE"""),"Second 76.24 Tunisia")</f>
        <v>Second 76.24 Tunisia</v>
      </c>
      <c r="H1123" s="1" t="str">
        <f ca="1">IFERROR(__xludf.DUMMYFUNCTION("""COMPUTED_VALUE"""),"Freedom of Expression, Human Rights Defenders")</f>
        <v>Freedom of Expression, Human Rights Defenders</v>
      </c>
      <c r="I1123" s="1" t="str">
        <f ca="1">IFERROR(__xludf.DUMMYFUNCTION("""COMPUTED_VALUE"""),"2025")</f>
        <v>2025</v>
      </c>
      <c r="J1123" s="1" t="str">
        <f ca="1">IFERROR(__xludf.DUMMYFUNCTION("""COMPUTED_VALUE"""),"Email")</f>
        <v>Email</v>
      </c>
    </row>
    <row r="1124" spans="1:10" ht="13" x14ac:dyDescent="0.15">
      <c r="A1124" s="4">
        <f ca="1">IFERROR(__xludf.DUMMYFUNCTION("""COMPUTED_VALUE"""),69571639)</f>
        <v>69571639</v>
      </c>
      <c r="B1124" s="1" t="str">
        <f ca="1">IFERROR(__xludf.DUMMYFUNCTION("""COMPUTED_VALUE"""),"sebastien.vigneau@gmail.com")</f>
        <v>sebastien.vigneau@gmail.com</v>
      </c>
      <c r="C1124" s="4" t="str">
        <f ca="1">IFERROR(__xludf.DUMMYFUNCTION("""COMPUTED_VALUE"""),"EVERGREEN - UAN Gated Content - Embedded Petition")</f>
        <v>EVERGREEN - UAN Gated Content - Embedded Petition</v>
      </c>
      <c r="D1124" s="5">
        <f ca="1">IFERROR(__xludf.DUMMYFUNCTION("""COMPUTED_VALUE"""),45636)</f>
        <v>45636</v>
      </c>
      <c r="F1124" s="1" t="str">
        <f ca="1">IFERROR(__xludf.DUMMYFUNCTION("""COMPUTED_VALUE"""),"Iran")</f>
        <v>Iran</v>
      </c>
      <c r="G1124" s="1" t="str">
        <f ca="1">IFERROR(__xludf.DUMMYFUNCTION("""COMPUTED_VALUE"""),"Seventh 103.22 Iran")</f>
        <v>Seventh 103.22 Iran</v>
      </c>
      <c r="H1124" s="1" t="str">
        <f ca="1">IFERROR(__xludf.DUMMYFUNCTION("""COMPUTED_VALUE"""),"Death Penalty, Freedom of Expression, Individuals At Risk")</f>
        <v>Death Penalty, Freedom of Expression, Individuals At Risk</v>
      </c>
      <c r="I1124" s="1" t="str">
        <f ca="1">IFERROR(__xludf.DUMMYFUNCTION("""COMPUTED_VALUE"""),"2024")</f>
        <v>2024</v>
      </c>
      <c r="J1124" s="1" t="str">
        <f ca="1">IFERROR(__xludf.DUMMYFUNCTION("""COMPUTED_VALUE"""),"Email")</f>
        <v>Email</v>
      </c>
    </row>
    <row r="1125" spans="1:10" ht="13" x14ac:dyDescent="0.15">
      <c r="A1125" s="4">
        <f ca="1">IFERROR(__xludf.DUMMYFUNCTION("""COMPUTED_VALUE"""),69571639)</f>
        <v>69571639</v>
      </c>
      <c r="B1125" s="1" t="str">
        <f ca="1">IFERROR(__xludf.DUMMYFUNCTION("""COMPUTED_VALUE"""),"sebastien.vigneau@gmail.com")</f>
        <v>sebastien.vigneau@gmail.com</v>
      </c>
      <c r="C1125" s="4" t="str">
        <f ca="1">IFERROR(__xludf.DUMMYFUNCTION("""COMPUTED_VALUE"""),"EVERGREEN - UAN Gated Content - Embedded Petition")</f>
        <v>EVERGREEN - UAN Gated Content - Embedded Petition</v>
      </c>
      <c r="D1125" s="5">
        <f ca="1">IFERROR(__xludf.DUMMYFUNCTION("""COMPUTED_VALUE"""),45636)</f>
        <v>45636</v>
      </c>
      <c r="F1125" s="1" t="str">
        <f ca="1">IFERROR(__xludf.DUMMYFUNCTION("""COMPUTED_VALUE"""),"Iran")</f>
        <v>Iran</v>
      </c>
      <c r="G1125" s="1" t="str">
        <f ca="1">IFERROR(__xludf.DUMMYFUNCTION("""COMPUTED_VALUE"""),"Seventh 103.22 Iran")</f>
        <v>Seventh 103.22 Iran</v>
      </c>
      <c r="H1125" s="1" t="str">
        <f ca="1">IFERROR(__xludf.DUMMYFUNCTION("""COMPUTED_VALUE"""),"Death Penalty, Freedom of Expression, Individuals At Risk")</f>
        <v>Death Penalty, Freedom of Expression, Individuals At Risk</v>
      </c>
      <c r="I1125" s="1" t="str">
        <f ca="1">IFERROR(__xludf.DUMMYFUNCTION("""COMPUTED_VALUE"""),"2024")</f>
        <v>2024</v>
      </c>
      <c r="J1125" s="1" t="str">
        <f ca="1">IFERROR(__xludf.DUMMYFUNCTION("""COMPUTED_VALUE"""),"Email")</f>
        <v>Email</v>
      </c>
    </row>
    <row r="1126" spans="1:10" ht="13" x14ac:dyDescent="0.15">
      <c r="A1126" s="4">
        <f ca="1">IFERROR(__xludf.DUMMYFUNCTION("""COMPUTED_VALUE"""),69571639)</f>
        <v>69571639</v>
      </c>
      <c r="B1126" s="1" t="str">
        <f ca="1">IFERROR(__xludf.DUMMYFUNCTION("""COMPUTED_VALUE"""),"sebastien.vigneau@gmail.com")</f>
        <v>sebastien.vigneau@gmail.com</v>
      </c>
      <c r="C1126" s="4" t="str">
        <f ca="1">IFERROR(__xludf.DUMMYFUNCTION("""COMPUTED_VALUE"""),"EVERGREEN - UAN Gated Content - Embedded Petition")</f>
        <v>EVERGREEN - UAN Gated Content - Embedded Petition</v>
      </c>
      <c r="D1126" s="5">
        <f ca="1">IFERROR(__xludf.DUMMYFUNCTION("""COMPUTED_VALUE"""),45636)</f>
        <v>45636</v>
      </c>
      <c r="F1126" s="1" t="str">
        <f ca="1">IFERROR(__xludf.DUMMYFUNCTION("""COMPUTED_VALUE"""),"Niger")</f>
        <v>Niger</v>
      </c>
      <c r="G1126" s="1" t="str">
        <f ca="1">IFERROR(__xludf.DUMMYFUNCTION("""COMPUTED_VALUE"""),"103.24 Niger")</f>
        <v>103.24 Niger</v>
      </c>
      <c r="H1126" s="1" t="str">
        <f ca="1">IFERROR(__xludf.DUMMYFUNCTION("""COMPUTED_VALUE"""),"Freedom of Expression, Human Rights Defenders")</f>
        <v>Freedom of Expression, Human Rights Defenders</v>
      </c>
      <c r="I1126" s="1" t="str">
        <f ca="1">IFERROR(__xludf.DUMMYFUNCTION("""COMPUTED_VALUE"""),"2024")</f>
        <v>2024</v>
      </c>
      <c r="J1126" s="1" t="str">
        <f ca="1">IFERROR(__xludf.DUMMYFUNCTION("""COMPUTED_VALUE"""),"Email")</f>
        <v>Email</v>
      </c>
    </row>
    <row r="1127" spans="1:10" ht="13" x14ac:dyDescent="0.15">
      <c r="A1127" s="4">
        <f ca="1">IFERROR(__xludf.DUMMYFUNCTION("""COMPUTED_VALUE"""),69571639)</f>
        <v>69571639</v>
      </c>
      <c r="B1127" s="1" t="str">
        <f ca="1">IFERROR(__xludf.DUMMYFUNCTION("""COMPUTED_VALUE"""),"sebastien.vigneau@gmail.com")</f>
        <v>sebastien.vigneau@gmail.com</v>
      </c>
      <c r="C1127" s="4" t="str">
        <f ca="1">IFERROR(__xludf.DUMMYFUNCTION("""COMPUTED_VALUE"""),"EVERGREEN - UAN Gated Content - Embedded Petition")</f>
        <v>EVERGREEN - UAN Gated Content - Embedded Petition</v>
      </c>
      <c r="D1127" s="5">
        <f ca="1">IFERROR(__xludf.DUMMYFUNCTION("""COMPUTED_VALUE"""),45636)</f>
        <v>45636</v>
      </c>
      <c r="F1127" s="1" t="str">
        <f ca="1">IFERROR(__xludf.DUMMYFUNCTION("""COMPUTED_VALUE"""),"USA")</f>
        <v>USA</v>
      </c>
      <c r="G1127" s="1" t="str">
        <f ca="1">IFERROR(__xludf.DUMMYFUNCTION("""COMPUTED_VALUE"""),"4.25 USA")</f>
        <v>4.25 USA</v>
      </c>
      <c r="H1127" s="1" t="str">
        <f ca="1">IFERROR(__xludf.DUMMYFUNCTION("""COMPUTED_VALUE"""),"Individuals At Risk, Refugee and Migrant Rights")</f>
        <v>Individuals At Risk, Refugee and Migrant Rights</v>
      </c>
      <c r="I1127" s="1" t="str">
        <f ca="1">IFERROR(__xludf.DUMMYFUNCTION("""COMPUTED_VALUE"""),"2025")</f>
        <v>2025</v>
      </c>
      <c r="J1127" s="1" t="str">
        <f ca="1">IFERROR(__xludf.DUMMYFUNCTION("""COMPUTED_VALUE"""),"Letter")</f>
        <v>Letter</v>
      </c>
    </row>
    <row r="1128" spans="1:10" ht="13" x14ac:dyDescent="0.15">
      <c r="A1128" s="4">
        <f ca="1">IFERROR(__xludf.DUMMYFUNCTION("""COMPUTED_VALUE"""),69662633)</f>
        <v>69662633</v>
      </c>
      <c r="B1128" s="1" t="str">
        <f ca="1">IFERROR(__xludf.DUMMYFUNCTION("""COMPUTED_VALUE"""),"joteed2000@yahoo.com")</f>
        <v>joteed2000@yahoo.com</v>
      </c>
      <c r="C1128" s="4" t="str">
        <f ca="1">IFERROR(__xludf.DUMMYFUNCTION("""COMPUTED_VALUE"""),"EVERGREEN - UAN Gated Content - Embedded Petition")</f>
        <v>EVERGREEN - UAN Gated Content - Embedded Petition</v>
      </c>
      <c r="D1128" s="5">
        <f ca="1">IFERROR(__xludf.DUMMYFUNCTION("""COMPUTED_VALUE"""),45694)</f>
        <v>45694</v>
      </c>
      <c r="F1128" s="1" t="str">
        <f ca="1">IFERROR(__xludf.DUMMYFUNCTION("""COMPUTED_VALUE"""),"Tunisia")</f>
        <v>Tunisia</v>
      </c>
      <c r="G1128" s="1" t="str">
        <f ca="1">IFERROR(__xludf.DUMMYFUNCTION("""COMPUTED_VALUE"""),"Second 76.24 Tunisia")</f>
        <v>Second 76.24 Tunisia</v>
      </c>
      <c r="H1128" s="1" t="str">
        <f ca="1">IFERROR(__xludf.DUMMYFUNCTION("""COMPUTED_VALUE"""),"Freedom of Expression, Human Rights Defenders")</f>
        <v>Freedom of Expression, Human Rights Defenders</v>
      </c>
      <c r="I1128" s="1" t="str">
        <f ca="1">IFERROR(__xludf.DUMMYFUNCTION("""COMPUTED_VALUE"""),"2025")</f>
        <v>2025</v>
      </c>
      <c r="J1128" s="1" t="str">
        <f ca="1">IFERROR(__xludf.DUMMYFUNCTION("""COMPUTED_VALUE"""),"Email")</f>
        <v>Email</v>
      </c>
    </row>
    <row r="1129" spans="1:10" ht="13" x14ac:dyDescent="0.15">
      <c r="A1129" s="4">
        <f ca="1">IFERROR(__xludf.DUMMYFUNCTION("""COMPUTED_VALUE"""),71159193)</f>
        <v>71159193</v>
      </c>
      <c r="B1129" s="1" t="str">
        <f ca="1">IFERROR(__xludf.DUMMYFUNCTION("""COMPUTED_VALUE"""),"jeanne184490@gmail.com")</f>
        <v>jeanne184490@gmail.com</v>
      </c>
      <c r="C1129" s="4" t="str">
        <f ca="1">IFERROR(__xludf.DUMMYFUNCTION("""COMPUTED_VALUE"""),"EVERGREEN - UAN Gated Content - Embedded Petition")</f>
        <v>EVERGREEN - UAN Gated Content - Embedded Petition</v>
      </c>
      <c r="D1129" s="5">
        <f ca="1">IFERROR(__xludf.DUMMYFUNCTION("""COMPUTED_VALUE"""),45694)</f>
        <v>45694</v>
      </c>
      <c r="F1129" s="1" t="str">
        <f ca="1">IFERROR(__xludf.DUMMYFUNCTION("""COMPUTED_VALUE"""),"China")</f>
        <v>China</v>
      </c>
      <c r="G1129" s="1" t="str">
        <f ca="1">IFERROR(__xludf.DUMMYFUNCTION("""COMPUTED_VALUE"""),"98.24 China")</f>
        <v>98.24 China</v>
      </c>
      <c r="H1129" s="1" t="str">
        <f ca="1">IFERROR(__xludf.DUMMYFUNCTION("""COMPUTED_VALUE"""),"Freedom of Expression, Individuals At Risk")</f>
        <v>Freedom of Expression, Individuals At Risk</v>
      </c>
      <c r="I1129" s="1" t="str">
        <f ca="1">IFERROR(__xludf.DUMMYFUNCTION("""COMPUTED_VALUE"""),"2024")</f>
        <v>2024</v>
      </c>
      <c r="J1129" s="1" t="str">
        <f ca="1">IFERROR(__xludf.DUMMYFUNCTION("""COMPUTED_VALUE"""),"Letter")</f>
        <v>Letter</v>
      </c>
    </row>
    <row r="1130" spans="1:10" ht="13" x14ac:dyDescent="0.15">
      <c r="A1130" s="4">
        <f ca="1">IFERROR(__xludf.DUMMYFUNCTION("""COMPUTED_VALUE"""),71159193)</f>
        <v>71159193</v>
      </c>
      <c r="B1130" s="1" t="str">
        <f ca="1">IFERROR(__xludf.DUMMYFUNCTION("""COMPUTED_VALUE"""),"jeanne184490@gmail.com")</f>
        <v>jeanne184490@gmail.com</v>
      </c>
      <c r="C1130" s="4" t="str">
        <f ca="1">IFERROR(__xludf.DUMMYFUNCTION("""COMPUTED_VALUE"""),"EVERGREEN - UAN Gated Content - Embedded Petition")</f>
        <v>EVERGREEN - UAN Gated Content - Embedded Petition</v>
      </c>
      <c r="D1130" s="5">
        <f ca="1">IFERROR(__xludf.DUMMYFUNCTION("""COMPUTED_VALUE"""),45697)</f>
        <v>45697</v>
      </c>
      <c r="F1130" s="1" t="str">
        <f ca="1">IFERROR(__xludf.DUMMYFUNCTION("""COMPUTED_VALUE"""),"Iran")</f>
        <v>Iran</v>
      </c>
      <c r="G1130" s="1" t="str">
        <f ca="1">IFERROR(__xludf.DUMMYFUNCTION("""COMPUTED_VALUE"""),"Seventh 103.22 Iran")</f>
        <v>Seventh 103.22 Iran</v>
      </c>
      <c r="H1130" s="1" t="str">
        <f ca="1">IFERROR(__xludf.DUMMYFUNCTION("""COMPUTED_VALUE"""),"Death Penalty, Freedom of Expression, Individuals At Risk")</f>
        <v>Death Penalty, Freedom of Expression, Individuals At Risk</v>
      </c>
      <c r="I1130" s="1" t="str">
        <f ca="1">IFERROR(__xludf.DUMMYFUNCTION("""COMPUTED_VALUE"""),"2024")</f>
        <v>2024</v>
      </c>
      <c r="J1130" s="1" t="str">
        <f ca="1">IFERROR(__xludf.DUMMYFUNCTION("""COMPUTED_VALUE"""),"Email")</f>
        <v>Email</v>
      </c>
    </row>
    <row r="1131" spans="1:10" ht="13" x14ac:dyDescent="0.15">
      <c r="A1131" s="4">
        <f ca="1">IFERROR(__xludf.DUMMYFUNCTION("""COMPUTED_VALUE"""),72196890)</f>
        <v>72196890</v>
      </c>
      <c r="B1131" s="1" t="str">
        <f ca="1">IFERROR(__xludf.DUMMYFUNCTION("""COMPUTED_VALUE"""),"brian@bcmaarch.com")</f>
        <v>brian@bcmaarch.com</v>
      </c>
      <c r="C1131" s="4" t="str">
        <f ca="1">IFERROR(__xludf.DUMMYFUNCTION("""COMPUTED_VALUE"""),"EVERGREEN - UAN Gated Content - Embedded Petition")</f>
        <v>EVERGREEN - UAN Gated Content - Embedded Petition</v>
      </c>
      <c r="D1131" s="5">
        <f ca="1">IFERROR(__xludf.DUMMYFUNCTION("""COMPUTED_VALUE"""),45636)</f>
        <v>45636</v>
      </c>
      <c r="F1131" s="1" t="str">
        <f ca="1">IFERROR(__xludf.DUMMYFUNCTION("""COMPUTED_VALUE"""),"Egypt")</f>
        <v>Egypt</v>
      </c>
      <c r="G1131" s="1" t="str">
        <f ca="1">IFERROR(__xludf.DUMMYFUNCTION("""COMPUTED_VALUE"""),"Ninth 190.18 Egypt")</f>
        <v>Ninth 190.18 Egypt</v>
      </c>
      <c r="H1131" s="1" t="str">
        <f ca="1">IFERROR(__xludf.DUMMYFUNCTION("""COMPUTED_VALUE"""),"Freedom of Expression, Individuals At Risk")</f>
        <v>Freedom of Expression, Individuals At Risk</v>
      </c>
      <c r="I1131" s="1" t="str">
        <f ca="1">IFERROR(__xludf.DUMMYFUNCTION("""COMPUTED_VALUE"""),"2024")</f>
        <v>2024</v>
      </c>
      <c r="J1131" s="1" t="str">
        <f ca="1">IFERROR(__xludf.DUMMYFUNCTION("""COMPUTED_VALUE"""),"Letter")</f>
        <v>Letter</v>
      </c>
    </row>
    <row r="1132" spans="1:10" ht="13" x14ac:dyDescent="0.15">
      <c r="A1132" s="4">
        <f ca="1">IFERROR(__xludf.DUMMYFUNCTION("""COMPUTED_VALUE"""),72196890)</f>
        <v>72196890</v>
      </c>
      <c r="B1132" s="1" t="str">
        <f ca="1">IFERROR(__xludf.DUMMYFUNCTION("""COMPUTED_VALUE"""),"brian@bcmaarch.com")</f>
        <v>brian@bcmaarch.com</v>
      </c>
      <c r="C1132" s="4" t="str">
        <f ca="1">IFERROR(__xludf.DUMMYFUNCTION("""COMPUTED_VALUE"""),"EVERGREEN - UAN Gated Content - Embedded Petition")</f>
        <v>EVERGREEN - UAN Gated Content - Embedded Petition</v>
      </c>
      <c r="D1132" s="5">
        <f ca="1">IFERROR(__xludf.DUMMYFUNCTION("""COMPUTED_VALUE"""),45636)</f>
        <v>45636</v>
      </c>
      <c r="F1132" s="1" t="str">
        <f ca="1">IFERROR(__xludf.DUMMYFUNCTION("""COMPUTED_VALUE"""),"Tunisia")</f>
        <v>Tunisia</v>
      </c>
      <c r="G1132" s="1" t="str">
        <f ca="1">IFERROR(__xludf.DUMMYFUNCTION("""COMPUTED_VALUE"""),"Second 76.24 Tunisia")</f>
        <v>Second 76.24 Tunisia</v>
      </c>
      <c r="H1132" s="1" t="str">
        <f ca="1">IFERROR(__xludf.DUMMYFUNCTION("""COMPUTED_VALUE"""),"Freedom of Expression, Human Rights Defenders")</f>
        <v>Freedom of Expression, Human Rights Defenders</v>
      </c>
      <c r="I1132" s="1" t="str">
        <f ca="1">IFERROR(__xludf.DUMMYFUNCTION("""COMPUTED_VALUE"""),"2025")</f>
        <v>2025</v>
      </c>
      <c r="J1132" s="1" t="str">
        <f ca="1">IFERROR(__xludf.DUMMYFUNCTION("""COMPUTED_VALUE"""),"Email")</f>
        <v>Email</v>
      </c>
    </row>
    <row r="1133" spans="1:10" ht="13" x14ac:dyDescent="0.15">
      <c r="A1133" s="4">
        <f ca="1">IFERROR(__xludf.DUMMYFUNCTION("""COMPUTED_VALUE"""),72196890)</f>
        <v>72196890</v>
      </c>
      <c r="B1133" s="1" t="str">
        <f ca="1">IFERROR(__xludf.DUMMYFUNCTION("""COMPUTED_VALUE"""),"brian@bcmaarch.com")</f>
        <v>brian@bcmaarch.com</v>
      </c>
      <c r="C1133" s="4" t="str">
        <f ca="1">IFERROR(__xludf.DUMMYFUNCTION("""COMPUTED_VALUE"""),"EVERGREEN - UAN Gated Content - Embedded Petition")</f>
        <v>EVERGREEN - UAN Gated Content - Embedded Petition</v>
      </c>
      <c r="D1133" s="5">
        <f ca="1">IFERROR(__xludf.DUMMYFUNCTION("""COMPUTED_VALUE"""),45636)</f>
        <v>45636</v>
      </c>
      <c r="F1133" s="1" t="str">
        <f ca="1">IFERROR(__xludf.DUMMYFUNCTION("""COMPUTED_VALUE"""),"USA")</f>
        <v>USA</v>
      </c>
      <c r="G1133" s="1" t="str">
        <f ca="1">IFERROR(__xludf.DUMMYFUNCTION("""COMPUTED_VALUE"""),"4.25 USA")</f>
        <v>4.25 USA</v>
      </c>
      <c r="H1133" s="1" t="str">
        <f ca="1">IFERROR(__xludf.DUMMYFUNCTION("""COMPUTED_VALUE"""),"Individuals At Risk, Refugee and Migrant Rights")</f>
        <v>Individuals At Risk, Refugee and Migrant Rights</v>
      </c>
      <c r="I1133" s="1" t="str">
        <f ca="1">IFERROR(__xludf.DUMMYFUNCTION("""COMPUTED_VALUE"""),"2025")</f>
        <v>2025</v>
      </c>
      <c r="J1133" s="1" t="str">
        <f ca="1">IFERROR(__xludf.DUMMYFUNCTION("""COMPUTED_VALUE"""),"Letter")</f>
        <v>Letter</v>
      </c>
    </row>
    <row r="1134" spans="1:10" ht="13" x14ac:dyDescent="0.15">
      <c r="A1134" s="4">
        <f ca="1">IFERROR(__xludf.DUMMYFUNCTION("""COMPUTED_VALUE"""),72196890)</f>
        <v>72196890</v>
      </c>
      <c r="B1134" s="1" t="str">
        <f ca="1">IFERROR(__xludf.DUMMYFUNCTION("""COMPUTED_VALUE"""),"brian@bcmaarch.com")</f>
        <v>brian@bcmaarch.com</v>
      </c>
      <c r="C1134" s="4" t="str">
        <f ca="1">IFERROR(__xludf.DUMMYFUNCTION("""COMPUTED_VALUE"""),"EVERGREEN - UAN Gated Content - Embedded Petition")</f>
        <v>EVERGREEN - UAN Gated Content - Embedded Petition</v>
      </c>
      <c r="D1134" s="5">
        <f ca="1">IFERROR(__xludf.DUMMYFUNCTION("""COMPUTED_VALUE"""),45636)</f>
        <v>45636</v>
      </c>
      <c r="F1134" s="1" t="str">
        <f ca="1">IFERROR(__xludf.DUMMYFUNCTION("""COMPUTED_VALUE"""),"Tunisia")</f>
        <v>Tunisia</v>
      </c>
      <c r="G1134" s="1" t="str">
        <f ca="1">IFERROR(__xludf.DUMMYFUNCTION("""COMPUTED_VALUE"""),"Second 76.24 Tunisia")</f>
        <v>Second 76.24 Tunisia</v>
      </c>
      <c r="H1134" s="1" t="str">
        <f ca="1">IFERROR(__xludf.DUMMYFUNCTION("""COMPUTED_VALUE"""),"Freedom of Expression, Human Rights Defenders")</f>
        <v>Freedom of Expression, Human Rights Defenders</v>
      </c>
      <c r="I1134" s="1" t="str">
        <f ca="1">IFERROR(__xludf.DUMMYFUNCTION("""COMPUTED_VALUE"""),"2025")</f>
        <v>2025</v>
      </c>
      <c r="J1134" s="1" t="str">
        <f ca="1">IFERROR(__xludf.DUMMYFUNCTION("""COMPUTED_VALUE"""),"Email")</f>
        <v>Email</v>
      </c>
    </row>
    <row r="1135" spans="1:10" ht="13" x14ac:dyDescent="0.15">
      <c r="A1135" s="4">
        <f ca="1">IFERROR(__xludf.DUMMYFUNCTION("""COMPUTED_VALUE"""),72196890)</f>
        <v>72196890</v>
      </c>
      <c r="B1135" s="1" t="str">
        <f ca="1">IFERROR(__xludf.DUMMYFUNCTION("""COMPUTED_VALUE"""),"brian@bcmaarch.com")</f>
        <v>brian@bcmaarch.com</v>
      </c>
      <c r="C1135" s="4" t="str">
        <f ca="1">IFERROR(__xludf.DUMMYFUNCTION("""COMPUTED_VALUE"""),"EVERGREEN - UAN Gated Content - Embedded Petition")</f>
        <v>EVERGREEN - UAN Gated Content - Embedded Petition</v>
      </c>
      <c r="D1135" s="5">
        <f ca="1">IFERROR(__xludf.DUMMYFUNCTION("""COMPUTED_VALUE"""),45636)</f>
        <v>45636</v>
      </c>
      <c r="F1135" s="1" t="str">
        <f ca="1">IFERROR(__xludf.DUMMYFUNCTION("""COMPUTED_VALUE"""),"Uganda")</f>
        <v>Uganda</v>
      </c>
      <c r="G1135" s="1" t="str">
        <f ca="1">IFERROR(__xludf.DUMMYFUNCTION("""COMPUTED_VALUE"""),"9.25 Uganda")</f>
        <v>9.25 Uganda</v>
      </c>
      <c r="H1135" s="1" t="str">
        <f ca="1">IFERROR(__xludf.DUMMYFUNCTION("""COMPUTED_VALUE"""),"Freedom of Expression, Human Rights Defenders")</f>
        <v>Freedom of Expression, Human Rights Defenders</v>
      </c>
      <c r="I1135" s="1" t="str">
        <f ca="1">IFERROR(__xludf.DUMMYFUNCTION("""COMPUTED_VALUE"""),"2025")</f>
        <v>2025</v>
      </c>
      <c r="J1135" s="1" t="str">
        <f ca="1">IFERROR(__xludf.DUMMYFUNCTION("""COMPUTED_VALUE"""),"Email")</f>
        <v>Email</v>
      </c>
    </row>
    <row r="1136" spans="1:10" ht="13" x14ac:dyDescent="0.15">
      <c r="A1136" s="4">
        <f ca="1">IFERROR(__xludf.DUMMYFUNCTION("""COMPUTED_VALUE"""),72196890)</f>
        <v>72196890</v>
      </c>
      <c r="B1136" s="1" t="str">
        <f ca="1">IFERROR(__xludf.DUMMYFUNCTION("""COMPUTED_VALUE"""),"brian@bcmaarch.com")</f>
        <v>brian@bcmaarch.com</v>
      </c>
      <c r="C1136" s="4" t="str">
        <f ca="1">IFERROR(__xludf.DUMMYFUNCTION("""COMPUTED_VALUE"""),"EVERGREEN - UAN Gated Content - Embedded Petition")</f>
        <v>EVERGREEN - UAN Gated Content - Embedded Petition</v>
      </c>
      <c r="D1136" s="5">
        <f ca="1">IFERROR(__xludf.DUMMYFUNCTION("""COMPUTED_VALUE"""),45636)</f>
        <v>45636</v>
      </c>
      <c r="F1136" s="1" t="str">
        <f ca="1">IFERROR(__xludf.DUMMYFUNCTION("""COMPUTED_VALUE"""),"Uganda")</f>
        <v>Uganda</v>
      </c>
      <c r="G1136" s="1" t="str">
        <f ca="1">IFERROR(__xludf.DUMMYFUNCTION("""COMPUTED_VALUE"""),"9.25 Uganda")</f>
        <v>9.25 Uganda</v>
      </c>
      <c r="H1136" s="1" t="str">
        <f ca="1">IFERROR(__xludf.DUMMYFUNCTION("""COMPUTED_VALUE"""),"Freedom of Expression, Human Rights Defenders")</f>
        <v>Freedom of Expression, Human Rights Defenders</v>
      </c>
      <c r="I1136" s="1" t="str">
        <f ca="1">IFERROR(__xludf.DUMMYFUNCTION("""COMPUTED_VALUE"""),"2025")</f>
        <v>2025</v>
      </c>
      <c r="J1136" s="1" t="str">
        <f ca="1">IFERROR(__xludf.DUMMYFUNCTION("""COMPUTED_VALUE"""),"Email")</f>
        <v>Email</v>
      </c>
    </row>
    <row r="1137" spans="1:10" ht="13" x14ac:dyDescent="0.15">
      <c r="A1137" s="4">
        <f ca="1">IFERROR(__xludf.DUMMYFUNCTION("""COMPUTED_VALUE"""),72196890)</f>
        <v>72196890</v>
      </c>
      <c r="B1137" s="1" t="str">
        <f ca="1">IFERROR(__xludf.DUMMYFUNCTION("""COMPUTED_VALUE"""),"brian@bcmaarch.com")</f>
        <v>brian@bcmaarch.com</v>
      </c>
      <c r="C1137" s="4" t="str">
        <f ca="1">IFERROR(__xludf.DUMMYFUNCTION("""COMPUTED_VALUE"""),"EVERGREEN - UAN Gated Content - Embedded Petition")</f>
        <v>EVERGREEN - UAN Gated Content - Embedded Petition</v>
      </c>
      <c r="D1137" s="5">
        <f ca="1">IFERROR(__xludf.DUMMYFUNCTION("""COMPUTED_VALUE"""),45636)</f>
        <v>45636</v>
      </c>
      <c r="F1137" s="1" t="str">
        <f ca="1">IFERROR(__xludf.DUMMYFUNCTION("""COMPUTED_VALUE"""),"Uganda")</f>
        <v>Uganda</v>
      </c>
      <c r="G1137" s="1" t="str">
        <f ca="1">IFERROR(__xludf.DUMMYFUNCTION("""COMPUTED_VALUE"""),"9.25 Uganda")</f>
        <v>9.25 Uganda</v>
      </c>
      <c r="H1137" s="1" t="str">
        <f ca="1">IFERROR(__xludf.DUMMYFUNCTION("""COMPUTED_VALUE"""),"Freedom of Expression, Human Rights Defenders")</f>
        <v>Freedom of Expression, Human Rights Defenders</v>
      </c>
      <c r="I1137" s="1" t="str">
        <f ca="1">IFERROR(__xludf.DUMMYFUNCTION("""COMPUTED_VALUE"""),"2025")</f>
        <v>2025</v>
      </c>
      <c r="J1137" s="1" t="str">
        <f ca="1">IFERROR(__xludf.DUMMYFUNCTION("""COMPUTED_VALUE"""),"Email")</f>
        <v>Email</v>
      </c>
    </row>
    <row r="1138" spans="1:10" ht="13" x14ac:dyDescent="0.15">
      <c r="A1138" s="4">
        <f ca="1">IFERROR(__xludf.DUMMYFUNCTION("""COMPUTED_VALUE"""),72196890)</f>
        <v>72196890</v>
      </c>
      <c r="B1138" s="1" t="str">
        <f ca="1">IFERROR(__xludf.DUMMYFUNCTION("""COMPUTED_VALUE"""),"brian@bcmaarch.com")</f>
        <v>brian@bcmaarch.com</v>
      </c>
      <c r="C1138" s="4" t="str">
        <f ca="1">IFERROR(__xludf.DUMMYFUNCTION("""COMPUTED_VALUE"""),"EVERGREEN - UAN Gated Content - Embedded Petition")</f>
        <v>EVERGREEN - UAN Gated Content - Embedded Petition</v>
      </c>
      <c r="D1138" s="5">
        <f ca="1">IFERROR(__xludf.DUMMYFUNCTION("""COMPUTED_VALUE"""),45636)</f>
        <v>45636</v>
      </c>
      <c r="F1138" s="1" t="str">
        <f ca="1">IFERROR(__xludf.DUMMYFUNCTION("""COMPUTED_VALUE"""),"Uganda")</f>
        <v>Uganda</v>
      </c>
      <c r="G1138" s="1" t="str">
        <f ca="1">IFERROR(__xludf.DUMMYFUNCTION("""COMPUTED_VALUE"""),"9.25 Uganda")</f>
        <v>9.25 Uganda</v>
      </c>
      <c r="H1138" s="1" t="str">
        <f ca="1">IFERROR(__xludf.DUMMYFUNCTION("""COMPUTED_VALUE"""),"Freedom of Expression, Human Rights Defenders")</f>
        <v>Freedom of Expression, Human Rights Defenders</v>
      </c>
      <c r="I1138" s="1" t="str">
        <f ca="1">IFERROR(__xludf.DUMMYFUNCTION("""COMPUTED_VALUE"""),"2025")</f>
        <v>2025</v>
      </c>
      <c r="J1138" s="1" t="str">
        <f ca="1">IFERROR(__xludf.DUMMYFUNCTION("""COMPUTED_VALUE"""),"Email")</f>
        <v>Email</v>
      </c>
    </row>
    <row r="1139" spans="1:10" ht="13" x14ac:dyDescent="0.15">
      <c r="A1139" s="4">
        <f ca="1">IFERROR(__xludf.DUMMYFUNCTION("""COMPUTED_VALUE"""),74276733)</f>
        <v>74276733</v>
      </c>
      <c r="B1139" s="1" t="str">
        <f ca="1">IFERROR(__xludf.DUMMYFUNCTION("""COMPUTED_VALUE"""),"lannyclawler@gmail.com")</f>
        <v>lannyclawler@gmail.com</v>
      </c>
      <c r="C1139" s="4" t="str">
        <f ca="1">IFERROR(__xludf.DUMMYFUNCTION("""COMPUTED_VALUE"""),"EVERGREEN - UAN Gated Content - Embedded Petition")</f>
        <v>EVERGREEN - UAN Gated Content - Embedded Petition</v>
      </c>
      <c r="D1139" s="5">
        <f ca="1">IFERROR(__xludf.DUMMYFUNCTION("""COMPUTED_VALUE"""),45694)</f>
        <v>45694</v>
      </c>
      <c r="F1139" s="1" t="str">
        <f ca="1">IFERROR(__xludf.DUMMYFUNCTION("""COMPUTED_VALUE"""),"Egypt")</f>
        <v>Egypt</v>
      </c>
      <c r="G1139" s="1" t="str">
        <f ca="1">IFERROR(__xludf.DUMMYFUNCTION("""COMPUTED_VALUE"""),"Ninth 190.18 Egypt")</f>
        <v>Ninth 190.18 Egypt</v>
      </c>
      <c r="H1139" s="1" t="str">
        <f ca="1">IFERROR(__xludf.DUMMYFUNCTION("""COMPUTED_VALUE"""),"Freedom of Expression, Individuals At Risk")</f>
        <v>Freedom of Expression, Individuals At Risk</v>
      </c>
      <c r="I1139" s="1" t="str">
        <f ca="1">IFERROR(__xludf.DUMMYFUNCTION("""COMPUTED_VALUE"""),"2024")</f>
        <v>2024</v>
      </c>
      <c r="J1139" s="1" t="str">
        <f ca="1">IFERROR(__xludf.DUMMYFUNCTION("""COMPUTED_VALUE"""),"Letter")</f>
        <v>Letter</v>
      </c>
    </row>
    <row r="1140" spans="1:10" ht="13" x14ac:dyDescent="0.15">
      <c r="A1140" s="4">
        <f ca="1">IFERROR(__xludf.DUMMYFUNCTION("""COMPUTED_VALUE"""),74276733)</f>
        <v>74276733</v>
      </c>
      <c r="B1140" s="1" t="str">
        <f ca="1">IFERROR(__xludf.DUMMYFUNCTION("""COMPUTED_VALUE"""),"lannyclawler@gmail.com")</f>
        <v>lannyclawler@gmail.com</v>
      </c>
      <c r="C1140" s="4" t="str">
        <f ca="1">IFERROR(__xludf.DUMMYFUNCTION("""COMPUTED_VALUE"""),"EVERGREEN - UAN Gated Content - Embedded Petition")</f>
        <v>EVERGREEN - UAN Gated Content - Embedded Petition</v>
      </c>
      <c r="D1140" s="5">
        <f ca="1">IFERROR(__xludf.DUMMYFUNCTION("""COMPUTED_VALUE"""),45694)</f>
        <v>45694</v>
      </c>
      <c r="F1140" s="1" t="str">
        <f ca="1">IFERROR(__xludf.DUMMYFUNCTION("""COMPUTED_VALUE"""),"Egypt")</f>
        <v>Egypt</v>
      </c>
      <c r="G1140" s="1" t="str">
        <f ca="1">IFERROR(__xludf.DUMMYFUNCTION("""COMPUTED_VALUE"""),"Second 80.23 Egypt")</f>
        <v>Second 80.23 Egypt</v>
      </c>
      <c r="H1140" s="1" t="str">
        <f ca="1">IFERROR(__xludf.DUMMYFUNCTION("""COMPUTED_VALUE"""),"Health, Individuals At Risk")</f>
        <v>Health, Individuals At Risk</v>
      </c>
      <c r="I1140" s="1" t="str">
        <f ca="1">IFERROR(__xludf.DUMMYFUNCTION("""COMPUTED_VALUE"""),"2025")</f>
        <v>2025</v>
      </c>
      <c r="J1140" s="1" t="str">
        <f ca="1">IFERROR(__xludf.DUMMYFUNCTION("""COMPUTED_VALUE"""),"Email")</f>
        <v>Email</v>
      </c>
    </row>
    <row r="1141" spans="1:10" ht="13" x14ac:dyDescent="0.15">
      <c r="A1141" s="4">
        <f ca="1">IFERROR(__xludf.DUMMYFUNCTION("""COMPUTED_VALUE"""),75585287)</f>
        <v>75585287</v>
      </c>
      <c r="B1141" s="1" t="str">
        <f ca="1">IFERROR(__xludf.DUMMYFUNCTION("""COMPUTED_VALUE"""),"keetcat@cjpsd.com")</f>
        <v>keetcat@cjpsd.com</v>
      </c>
      <c r="C1141" s="4" t="str">
        <f ca="1">IFERROR(__xludf.DUMMYFUNCTION("""COMPUTED_VALUE"""),"EVERGREEN - UAN Gated Content - Embedded Petition")</f>
        <v>EVERGREEN - UAN Gated Content - Embedded Petition</v>
      </c>
      <c r="D1141" s="5">
        <f ca="1">IFERROR(__xludf.DUMMYFUNCTION("""COMPUTED_VALUE"""),45667)</f>
        <v>45667</v>
      </c>
      <c r="F1141" s="1" t="str">
        <f ca="1">IFERROR(__xludf.DUMMYFUNCTION("""COMPUTED_VALUE"""),"Afghanistan")</f>
        <v>Afghanistan</v>
      </c>
      <c r="G1141" s="1" t="str">
        <f ca="1">IFERROR(__xludf.DUMMYFUNCTION("""COMPUTED_VALUE"""),"11.25 Afghanistan")</f>
        <v>11.25 Afghanistan</v>
      </c>
      <c r="H1141" s="1" t="str">
        <f ca="1">IFERROR(__xludf.DUMMYFUNCTION("""COMPUTED_VALUE"""),"Freedom of Expression, Health, Individuals At Risk")</f>
        <v>Freedom of Expression, Health, Individuals At Risk</v>
      </c>
      <c r="I1141" s="1" t="str">
        <f ca="1">IFERROR(__xludf.DUMMYFUNCTION("""COMPUTED_VALUE"""),"2025")</f>
        <v>2025</v>
      </c>
      <c r="J1141" s="1" t="str">
        <f ca="1">IFERROR(__xludf.DUMMYFUNCTION("""COMPUTED_VALUE"""),"Email")</f>
        <v>Email</v>
      </c>
    </row>
    <row r="1142" spans="1:10" ht="13" x14ac:dyDescent="0.15">
      <c r="A1142" s="4">
        <f ca="1">IFERROR(__xludf.DUMMYFUNCTION("""COMPUTED_VALUE"""),75585287)</f>
        <v>75585287</v>
      </c>
      <c r="B1142" s="1" t="str">
        <f ca="1">IFERROR(__xludf.DUMMYFUNCTION("""COMPUTED_VALUE"""),"keetcat@cjpsd.com")</f>
        <v>keetcat@cjpsd.com</v>
      </c>
      <c r="C1142" s="4" t="str">
        <f ca="1">IFERROR(__xludf.DUMMYFUNCTION("""COMPUTED_VALUE"""),"EVERGREEN - UAN Gated Content - Embedded Petition")</f>
        <v>EVERGREEN - UAN Gated Content - Embedded Petition</v>
      </c>
      <c r="D1142" s="5">
        <f ca="1">IFERROR(__xludf.DUMMYFUNCTION("""COMPUTED_VALUE"""),45690)</f>
        <v>45690</v>
      </c>
      <c r="F1142" s="1" t="str">
        <f ca="1">IFERROR(__xludf.DUMMYFUNCTION("""COMPUTED_VALUE"""),"Niger")</f>
        <v>Niger</v>
      </c>
      <c r="G1142" s="1" t="str">
        <f ca="1">IFERROR(__xludf.DUMMYFUNCTION("""COMPUTED_VALUE"""),"103.24 Niger")</f>
        <v>103.24 Niger</v>
      </c>
      <c r="H1142" s="1" t="str">
        <f ca="1">IFERROR(__xludf.DUMMYFUNCTION("""COMPUTED_VALUE"""),"Freedom of Expression, Human Rights Defenders")</f>
        <v>Freedom of Expression, Human Rights Defenders</v>
      </c>
      <c r="I1142" s="1" t="str">
        <f ca="1">IFERROR(__xludf.DUMMYFUNCTION("""COMPUTED_VALUE"""),"2024")</f>
        <v>2024</v>
      </c>
      <c r="J1142" s="1" t="str">
        <f ca="1">IFERROR(__xludf.DUMMYFUNCTION("""COMPUTED_VALUE"""),"Email")</f>
        <v>Email</v>
      </c>
    </row>
    <row r="1143" spans="1:10" ht="13" x14ac:dyDescent="0.15">
      <c r="A1143" s="4">
        <f ca="1">IFERROR(__xludf.DUMMYFUNCTION("""COMPUTED_VALUE"""),75585287)</f>
        <v>75585287</v>
      </c>
      <c r="B1143" s="1" t="str">
        <f ca="1">IFERROR(__xludf.DUMMYFUNCTION("""COMPUTED_VALUE"""),"keetcat@cjpsd.com")</f>
        <v>keetcat@cjpsd.com</v>
      </c>
      <c r="C1143" s="4" t="str">
        <f ca="1">IFERROR(__xludf.DUMMYFUNCTION("""COMPUTED_VALUE"""),"EVERGREEN - UAN Gated Content - Embedded Petition")</f>
        <v>EVERGREEN - UAN Gated Content - Embedded Petition</v>
      </c>
      <c r="D1143" s="5">
        <f ca="1">IFERROR(__xludf.DUMMYFUNCTION("""COMPUTED_VALUE"""),45690)</f>
        <v>45690</v>
      </c>
      <c r="F1143" s="1" t="str">
        <f ca="1">IFERROR(__xludf.DUMMYFUNCTION("""COMPUTED_VALUE"""),"USA")</f>
        <v>USA</v>
      </c>
      <c r="G1143" s="1" t="str">
        <f ca="1">IFERROR(__xludf.DUMMYFUNCTION("""COMPUTED_VALUE"""),"105.24 USA")</f>
        <v>105.24 USA</v>
      </c>
      <c r="H1143" s="1" t="str">
        <f ca="1">IFERROR(__xludf.DUMMYFUNCTION("""COMPUTED_VALUE"""),"Death Penalty")</f>
        <v>Death Penalty</v>
      </c>
      <c r="I1143" s="1" t="str">
        <f ca="1">IFERROR(__xludf.DUMMYFUNCTION("""COMPUTED_VALUE"""),"2024")</f>
        <v>2024</v>
      </c>
      <c r="J1143" s="1" t="str">
        <f ca="1">IFERROR(__xludf.DUMMYFUNCTION("""COMPUTED_VALUE"""),"Email")</f>
        <v>Email</v>
      </c>
    </row>
    <row r="1144" spans="1:10" ht="13" x14ac:dyDescent="0.15">
      <c r="A1144" s="4">
        <f ca="1">IFERROR(__xludf.DUMMYFUNCTION("""COMPUTED_VALUE"""),75585287)</f>
        <v>75585287</v>
      </c>
      <c r="B1144" s="1" t="str">
        <f ca="1">IFERROR(__xludf.DUMMYFUNCTION("""COMPUTED_VALUE"""),"keetcat@cjpsd.com")</f>
        <v>keetcat@cjpsd.com</v>
      </c>
      <c r="C1144" s="4" t="str">
        <f ca="1">IFERROR(__xludf.DUMMYFUNCTION("""COMPUTED_VALUE"""),"EVERGREEN - UAN Gated Content - Embedded Petition")</f>
        <v>EVERGREEN - UAN Gated Content - Embedded Petition</v>
      </c>
      <c r="D1144" s="5">
        <f ca="1">IFERROR(__xludf.DUMMYFUNCTION("""COMPUTED_VALUE"""),45667)</f>
        <v>45667</v>
      </c>
      <c r="F1144" s="1" t="str">
        <f ca="1">IFERROR(__xludf.DUMMYFUNCTION("""COMPUTED_VALUE"""),"Venezuela")</f>
        <v>Venezuela</v>
      </c>
      <c r="G1144" s="1" t="str">
        <f ca="1">IFERROR(__xludf.DUMMYFUNCTION("""COMPUTED_VALUE"""),"97.24 Venezuela")</f>
        <v>97.24 Venezuela</v>
      </c>
      <c r="H1144" s="1" t="str">
        <f ca="1">IFERROR(__xludf.DUMMYFUNCTION("""COMPUTED_VALUE"""),"Freedom of Expression")</f>
        <v>Freedom of Expression</v>
      </c>
      <c r="I1144" s="1" t="str">
        <f ca="1">IFERROR(__xludf.DUMMYFUNCTION("""COMPUTED_VALUE"""),"2024")</f>
        <v>2024</v>
      </c>
      <c r="J1144" s="1" t="str">
        <f ca="1">IFERROR(__xludf.DUMMYFUNCTION("""COMPUTED_VALUE"""),"Letter")</f>
        <v>Letter</v>
      </c>
    </row>
    <row r="1145" spans="1:10" ht="13" x14ac:dyDescent="0.15">
      <c r="A1145" s="4">
        <f ca="1">IFERROR(__xludf.DUMMYFUNCTION("""COMPUTED_VALUE"""),75650847)</f>
        <v>75650847</v>
      </c>
      <c r="B1145" s="1" t="str">
        <f ca="1">IFERROR(__xludf.DUMMYFUNCTION("""COMPUTED_VALUE"""),"marchoffman313@gmail.com")</f>
        <v>marchoffman313@gmail.com</v>
      </c>
      <c r="C1145" s="4" t="str">
        <f ca="1">IFERROR(__xludf.DUMMYFUNCTION("""COMPUTED_VALUE"""),"EVERGREEN - UAN Gated Content - Embedded Petition")</f>
        <v>EVERGREEN - UAN Gated Content - Embedded Petition</v>
      </c>
      <c r="D1145" s="5">
        <f ca="1">IFERROR(__xludf.DUMMYFUNCTION("""COMPUTED_VALUE"""),45674)</f>
        <v>45674</v>
      </c>
      <c r="F1145" s="1" t="str">
        <f ca="1">IFERROR(__xludf.DUMMYFUNCTION("""COMPUTED_VALUE"""),"Tunisia")</f>
        <v>Tunisia</v>
      </c>
      <c r="G1145" s="1" t="str">
        <f ca="1">IFERROR(__xludf.DUMMYFUNCTION("""COMPUTED_VALUE"""),"Second 76.24 Tunisia")</f>
        <v>Second 76.24 Tunisia</v>
      </c>
      <c r="H1145" s="1" t="str">
        <f ca="1">IFERROR(__xludf.DUMMYFUNCTION("""COMPUTED_VALUE"""),"Freedom of Expression, Human Rights Defenders")</f>
        <v>Freedom of Expression, Human Rights Defenders</v>
      </c>
      <c r="I1145" s="1" t="str">
        <f ca="1">IFERROR(__xludf.DUMMYFUNCTION("""COMPUTED_VALUE"""),"2025")</f>
        <v>2025</v>
      </c>
      <c r="J1145" s="1" t="str">
        <f ca="1">IFERROR(__xludf.DUMMYFUNCTION("""COMPUTED_VALUE"""),"Email")</f>
        <v>Email</v>
      </c>
    </row>
    <row r="1146" spans="1:10" ht="13" x14ac:dyDescent="0.15">
      <c r="A1146" s="4">
        <f ca="1">IFERROR(__xludf.DUMMYFUNCTION("""COMPUTED_VALUE"""),75650847)</f>
        <v>75650847</v>
      </c>
      <c r="B1146" s="1" t="str">
        <f ca="1">IFERROR(__xludf.DUMMYFUNCTION("""COMPUTED_VALUE"""),"marchoffman313@gmail.com")</f>
        <v>marchoffman313@gmail.com</v>
      </c>
      <c r="C1146" s="4" t="str">
        <f ca="1">IFERROR(__xludf.DUMMYFUNCTION("""COMPUTED_VALUE"""),"EVERGREEN - UAN Gated Content - Embedded Petition")</f>
        <v>EVERGREEN - UAN Gated Content - Embedded Petition</v>
      </c>
      <c r="D1146" s="5">
        <f ca="1">IFERROR(__xludf.DUMMYFUNCTION("""COMPUTED_VALUE"""),45674)</f>
        <v>45674</v>
      </c>
      <c r="F1146" s="1" t="str">
        <f ca="1">IFERROR(__xludf.DUMMYFUNCTION("""COMPUTED_VALUE"""),"Egypt")</f>
        <v>Egypt</v>
      </c>
      <c r="G1146" s="1" t="str">
        <f ca="1">IFERROR(__xludf.DUMMYFUNCTION("""COMPUTED_VALUE"""),"Ninth 190.18 Egypt")</f>
        <v>Ninth 190.18 Egypt</v>
      </c>
      <c r="H1146" s="1" t="str">
        <f ca="1">IFERROR(__xludf.DUMMYFUNCTION("""COMPUTED_VALUE"""),"Freedom of Expression, Individuals At Risk")</f>
        <v>Freedom of Expression, Individuals At Risk</v>
      </c>
      <c r="I1146" s="1" t="str">
        <f ca="1">IFERROR(__xludf.DUMMYFUNCTION("""COMPUTED_VALUE"""),"2024")</f>
        <v>2024</v>
      </c>
      <c r="J1146" s="1" t="str">
        <f ca="1">IFERROR(__xludf.DUMMYFUNCTION("""COMPUTED_VALUE"""),"Letter")</f>
        <v>Letter</v>
      </c>
    </row>
    <row r="1147" spans="1:10" ht="13" x14ac:dyDescent="0.15">
      <c r="A1147" s="4">
        <f ca="1">IFERROR(__xludf.DUMMYFUNCTION("""COMPUTED_VALUE"""),75650847)</f>
        <v>75650847</v>
      </c>
      <c r="B1147" s="1" t="str">
        <f ca="1">IFERROR(__xludf.DUMMYFUNCTION("""COMPUTED_VALUE"""),"marchoffman313@gmail.com")</f>
        <v>marchoffman313@gmail.com</v>
      </c>
      <c r="C1147" s="4" t="str">
        <f ca="1">IFERROR(__xludf.DUMMYFUNCTION("""COMPUTED_VALUE"""),"EVERGREEN - UAN Gated Content - Embedded Petition")</f>
        <v>EVERGREEN - UAN Gated Content - Embedded Petition</v>
      </c>
      <c r="D1147" s="5">
        <f ca="1">IFERROR(__xludf.DUMMYFUNCTION("""COMPUTED_VALUE"""),45674)</f>
        <v>45674</v>
      </c>
      <c r="F1147" s="1" t="str">
        <f ca="1">IFERROR(__xludf.DUMMYFUNCTION("""COMPUTED_VALUE"""),"Tunisia")</f>
        <v>Tunisia</v>
      </c>
      <c r="G1147" s="1" t="str">
        <f ca="1">IFERROR(__xludf.DUMMYFUNCTION("""COMPUTED_VALUE"""),"Second 76.24 Tunisia")</f>
        <v>Second 76.24 Tunisia</v>
      </c>
      <c r="H1147" s="1" t="str">
        <f ca="1">IFERROR(__xludf.DUMMYFUNCTION("""COMPUTED_VALUE"""),"Freedom of Expression, Human Rights Defenders")</f>
        <v>Freedom of Expression, Human Rights Defenders</v>
      </c>
      <c r="I1147" s="1" t="str">
        <f ca="1">IFERROR(__xludf.DUMMYFUNCTION("""COMPUTED_VALUE"""),"2025")</f>
        <v>2025</v>
      </c>
      <c r="J1147" s="1" t="str">
        <f ca="1">IFERROR(__xludf.DUMMYFUNCTION("""COMPUTED_VALUE"""),"Email")</f>
        <v>Email</v>
      </c>
    </row>
    <row r="1148" spans="1:10" ht="13" x14ac:dyDescent="0.15">
      <c r="A1148" s="4">
        <f ca="1">IFERROR(__xludf.DUMMYFUNCTION("""COMPUTED_VALUE"""),75650847)</f>
        <v>75650847</v>
      </c>
      <c r="B1148" s="1" t="str">
        <f ca="1">IFERROR(__xludf.DUMMYFUNCTION("""COMPUTED_VALUE"""),"marchoffman313@gmail.com")</f>
        <v>marchoffman313@gmail.com</v>
      </c>
      <c r="C1148" s="4" t="str">
        <f ca="1">IFERROR(__xludf.DUMMYFUNCTION("""COMPUTED_VALUE"""),"EVERGREEN - UAN Gated Content - Embedded Petition")</f>
        <v>EVERGREEN - UAN Gated Content - Embedded Petition</v>
      </c>
      <c r="D1148" s="5">
        <f ca="1">IFERROR(__xludf.DUMMYFUNCTION("""COMPUTED_VALUE"""),45674)</f>
        <v>45674</v>
      </c>
      <c r="F1148" s="1" t="str">
        <f ca="1">IFERROR(__xludf.DUMMYFUNCTION("""COMPUTED_VALUE"""),"Tunisia")</f>
        <v>Tunisia</v>
      </c>
      <c r="G1148" s="1" t="str">
        <f ca="1">IFERROR(__xludf.DUMMYFUNCTION("""COMPUTED_VALUE"""),"Second 76.24 Tunisia")</f>
        <v>Second 76.24 Tunisia</v>
      </c>
      <c r="H1148" s="1" t="str">
        <f ca="1">IFERROR(__xludf.DUMMYFUNCTION("""COMPUTED_VALUE"""),"Freedom of Expression, Human Rights Defenders")</f>
        <v>Freedom of Expression, Human Rights Defenders</v>
      </c>
      <c r="I1148" s="1" t="str">
        <f ca="1">IFERROR(__xludf.DUMMYFUNCTION("""COMPUTED_VALUE"""),"2025")</f>
        <v>2025</v>
      </c>
      <c r="J1148" s="1" t="str">
        <f ca="1">IFERROR(__xludf.DUMMYFUNCTION("""COMPUTED_VALUE"""),"Email")</f>
        <v>Email</v>
      </c>
    </row>
    <row r="1149" spans="1:10" ht="13" x14ac:dyDescent="0.15">
      <c r="A1149" s="4">
        <f ca="1">IFERROR(__xludf.DUMMYFUNCTION("""COMPUTED_VALUE"""),75650847)</f>
        <v>75650847</v>
      </c>
      <c r="B1149" s="1" t="str">
        <f ca="1">IFERROR(__xludf.DUMMYFUNCTION("""COMPUTED_VALUE"""),"marchoffman313@gmail.com")</f>
        <v>marchoffman313@gmail.com</v>
      </c>
      <c r="C1149" s="4" t="str">
        <f ca="1">IFERROR(__xludf.DUMMYFUNCTION("""COMPUTED_VALUE"""),"EVERGREEN - UAN Gated Content - Embedded Petition")</f>
        <v>EVERGREEN - UAN Gated Content - Embedded Petition</v>
      </c>
      <c r="D1149" s="5">
        <f ca="1">IFERROR(__xludf.DUMMYFUNCTION("""COMPUTED_VALUE"""),45674)</f>
        <v>45674</v>
      </c>
      <c r="F1149" s="1" t="str">
        <f ca="1">IFERROR(__xludf.DUMMYFUNCTION("""COMPUTED_VALUE"""),"Tunisia")</f>
        <v>Tunisia</v>
      </c>
      <c r="G1149" s="1" t="str">
        <f ca="1">IFERROR(__xludf.DUMMYFUNCTION("""COMPUTED_VALUE"""),"Second 76.24 Tunisia")</f>
        <v>Second 76.24 Tunisia</v>
      </c>
      <c r="H1149" s="1" t="str">
        <f ca="1">IFERROR(__xludf.DUMMYFUNCTION("""COMPUTED_VALUE"""),"Freedom of Expression, Human Rights Defenders")</f>
        <v>Freedom of Expression, Human Rights Defenders</v>
      </c>
      <c r="I1149" s="1" t="str">
        <f ca="1">IFERROR(__xludf.DUMMYFUNCTION("""COMPUTED_VALUE"""),"2025")</f>
        <v>2025</v>
      </c>
      <c r="J1149" s="1" t="str">
        <f ca="1">IFERROR(__xludf.DUMMYFUNCTION("""COMPUTED_VALUE"""),"Email")</f>
        <v>Email</v>
      </c>
    </row>
    <row r="1150" spans="1:10" ht="13" x14ac:dyDescent="0.15">
      <c r="A1150" s="4">
        <f ca="1">IFERROR(__xludf.DUMMYFUNCTION("""COMPUTED_VALUE"""),75650847)</f>
        <v>75650847</v>
      </c>
      <c r="B1150" s="1" t="str">
        <f ca="1">IFERROR(__xludf.DUMMYFUNCTION("""COMPUTED_VALUE"""),"marchoffman313@gmail.com")</f>
        <v>marchoffman313@gmail.com</v>
      </c>
      <c r="C1150" s="4" t="str">
        <f ca="1">IFERROR(__xludf.DUMMYFUNCTION("""COMPUTED_VALUE"""),"EVERGREEN - UAN Gated Content - Embedded Petition")</f>
        <v>EVERGREEN - UAN Gated Content - Embedded Petition</v>
      </c>
      <c r="D1150" s="5">
        <f ca="1">IFERROR(__xludf.DUMMYFUNCTION("""COMPUTED_VALUE"""),45674)</f>
        <v>45674</v>
      </c>
      <c r="F1150" s="1" t="str">
        <f ca="1">IFERROR(__xludf.DUMMYFUNCTION("""COMPUTED_VALUE"""),"Tunisia")</f>
        <v>Tunisia</v>
      </c>
      <c r="G1150" s="1" t="str">
        <f ca="1">IFERROR(__xludf.DUMMYFUNCTION("""COMPUTED_VALUE"""),"Second 76.24 Tunisia")</f>
        <v>Second 76.24 Tunisia</v>
      </c>
      <c r="H1150" s="1" t="str">
        <f ca="1">IFERROR(__xludf.DUMMYFUNCTION("""COMPUTED_VALUE"""),"Freedom of Expression, Human Rights Defenders")</f>
        <v>Freedom of Expression, Human Rights Defenders</v>
      </c>
      <c r="I1150" s="1" t="str">
        <f ca="1">IFERROR(__xludf.DUMMYFUNCTION("""COMPUTED_VALUE"""),"2025")</f>
        <v>2025</v>
      </c>
      <c r="J1150" s="1" t="str">
        <f ca="1">IFERROR(__xludf.DUMMYFUNCTION("""COMPUTED_VALUE"""),"Email")</f>
        <v>Email</v>
      </c>
    </row>
    <row r="1151" spans="1:10" ht="13" x14ac:dyDescent="0.15">
      <c r="A1151" s="4">
        <f ca="1">IFERROR(__xludf.DUMMYFUNCTION("""COMPUTED_VALUE"""),75650847)</f>
        <v>75650847</v>
      </c>
      <c r="B1151" s="1" t="str">
        <f ca="1">IFERROR(__xludf.DUMMYFUNCTION("""COMPUTED_VALUE"""),"marchoffman313@gmail.com")</f>
        <v>marchoffman313@gmail.com</v>
      </c>
      <c r="C1151" s="4" t="str">
        <f ca="1">IFERROR(__xludf.DUMMYFUNCTION("""COMPUTED_VALUE"""),"EVERGREEN - UAN Gated Content - Embedded Petition")</f>
        <v>EVERGREEN - UAN Gated Content - Embedded Petition</v>
      </c>
      <c r="D1151" s="5">
        <f ca="1">IFERROR(__xludf.DUMMYFUNCTION("""COMPUTED_VALUE"""),45616)</f>
        <v>45616</v>
      </c>
      <c r="F1151" s="1" t="str">
        <f ca="1">IFERROR(__xludf.DUMMYFUNCTION("""COMPUTED_VALUE"""),"Tunisia")</f>
        <v>Tunisia</v>
      </c>
      <c r="G1151" s="1" t="str">
        <f ca="1">IFERROR(__xludf.DUMMYFUNCTION("""COMPUTED_VALUE"""),"Second 76.24 Tunisia")</f>
        <v>Second 76.24 Tunisia</v>
      </c>
      <c r="H1151" s="1" t="str">
        <f ca="1">IFERROR(__xludf.DUMMYFUNCTION("""COMPUTED_VALUE"""),"Freedom of Expression, Human Rights Defenders")</f>
        <v>Freedom of Expression, Human Rights Defenders</v>
      </c>
      <c r="I1151" s="1" t="str">
        <f ca="1">IFERROR(__xludf.DUMMYFUNCTION("""COMPUTED_VALUE"""),"2025")</f>
        <v>2025</v>
      </c>
      <c r="J1151" s="1" t="str">
        <f ca="1">IFERROR(__xludf.DUMMYFUNCTION("""COMPUTED_VALUE"""),"Email")</f>
        <v>Email</v>
      </c>
    </row>
    <row r="1152" spans="1:10" ht="13" x14ac:dyDescent="0.15">
      <c r="A1152" s="4">
        <f ca="1">IFERROR(__xludf.DUMMYFUNCTION("""COMPUTED_VALUE"""),75650847)</f>
        <v>75650847</v>
      </c>
      <c r="B1152" s="1" t="str">
        <f ca="1">IFERROR(__xludf.DUMMYFUNCTION("""COMPUTED_VALUE"""),"marchoffman313@gmail.com")</f>
        <v>marchoffman313@gmail.com</v>
      </c>
      <c r="C1152" s="4" t="str">
        <f ca="1">IFERROR(__xludf.DUMMYFUNCTION("""COMPUTED_VALUE"""),"EVERGREEN - UAN Gated Content - Embedded Petition")</f>
        <v>EVERGREEN - UAN Gated Content - Embedded Petition</v>
      </c>
      <c r="D1152" s="5">
        <f ca="1">IFERROR(__xludf.DUMMYFUNCTION("""COMPUTED_VALUE"""),45674)</f>
        <v>45674</v>
      </c>
      <c r="F1152" s="1" t="str">
        <f ca="1">IFERROR(__xludf.DUMMYFUNCTION("""COMPUTED_VALUE"""),"Tunisia")</f>
        <v>Tunisia</v>
      </c>
      <c r="G1152" s="1" t="str">
        <f ca="1">IFERROR(__xludf.DUMMYFUNCTION("""COMPUTED_VALUE"""),"Second 76.24 Tunisia")</f>
        <v>Second 76.24 Tunisia</v>
      </c>
      <c r="H1152" s="1" t="str">
        <f ca="1">IFERROR(__xludf.DUMMYFUNCTION("""COMPUTED_VALUE"""),"Freedom of Expression, Human Rights Defenders")</f>
        <v>Freedom of Expression, Human Rights Defenders</v>
      </c>
      <c r="I1152" s="1" t="str">
        <f ca="1">IFERROR(__xludf.DUMMYFUNCTION("""COMPUTED_VALUE"""),"2025")</f>
        <v>2025</v>
      </c>
      <c r="J1152" s="1" t="str">
        <f ca="1">IFERROR(__xludf.DUMMYFUNCTION("""COMPUTED_VALUE"""),"Email")</f>
        <v>Email</v>
      </c>
    </row>
    <row r="1153" spans="1:10" ht="13" x14ac:dyDescent="0.15">
      <c r="A1153" s="4">
        <f ca="1">IFERROR(__xludf.DUMMYFUNCTION("""COMPUTED_VALUE"""),75650847)</f>
        <v>75650847</v>
      </c>
      <c r="B1153" s="1" t="str">
        <f ca="1">IFERROR(__xludf.DUMMYFUNCTION("""COMPUTED_VALUE"""),"marchoffman313@gmail.com")</f>
        <v>marchoffman313@gmail.com</v>
      </c>
      <c r="C1153" s="4" t="str">
        <f ca="1">IFERROR(__xludf.DUMMYFUNCTION("""COMPUTED_VALUE"""),"EVERGREEN - UAN Gated Content - Embedded Petition")</f>
        <v>EVERGREEN - UAN Gated Content - Embedded Petition</v>
      </c>
      <c r="D1153" s="5">
        <f ca="1">IFERROR(__xludf.DUMMYFUNCTION("""COMPUTED_VALUE"""),45674)</f>
        <v>45674</v>
      </c>
      <c r="F1153" s="1" t="str">
        <f ca="1">IFERROR(__xludf.DUMMYFUNCTION("""COMPUTED_VALUE"""),"Iran")</f>
        <v>Iran</v>
      </c>
      <c r="G1153" s="1" t="str">
        <f ca="1">IFERROR(__xludf.DUMMYFUNCTION("""COMPUTED_VALUE"""),"Seventh 103.22 Iran")</f>
        <v>Seventh 103.22 Iran</v>
      </c>
      <c r="H1153" s="1" t="str">
        <f ca="1">IFERROR(__xludf.DUMMYFUNCTION("""COMPUTED_VALUE"""),"Death Penalty, Freedom of Expression, Individuals At Risk")</f>
        <v>Death Penalty, Freedom of Expression, Individuals At Risk</v>
      </c>
      <c r="I1153" s="1" t="str">
        <f ca="1">IFERROR(__xludf.DUMMYFUNCTION("""COMPUTED_VALUE"""),"2024")</f>
        <v>2024</v>
      </c>
      <c r="J1153" s="1" t="str">
        <f ca="1">IFERROR(__xludf.DUMMYFUNCTION("""COMPUTED_VALUE"""),"Email")</f>
        <v>Email</v>
      </c>
    </row>
    <row r="1154" spans="1:10" ht="13" x14ac:dyDescent="0.15">
      <c r="A1154" s="4">
        <f ca="1">IFERROR(__xludf.DUMMYFUNCTION("""COMPUTED_VALUE"""),75650847)</f>
        <v>75650847</v>
      </c>
      <c r="B1154" s="1" t="str">
        <f ca="1">IFERROR(__xludf.DUMMYFUNCTION("""COMPUTED_VALUE"""),"marchoffman313@gmail.com")</f>
        <v>marchoffman313@gmail.com</v>
      </c>
      <c r="C1154" s="4" t="str">
        <f ca="1">IFERROR(__xludf.DUMMYFUNCTION("""COMPUTED_VALUE"""),"EVERGREEN - UAN Gated Content - Embedded Petition")</f>
        <v>EVERGREEN - UAN Gated Content - Embedded Petition</v>
      </c>
      <c r="D1154" s="5">
        <f ca="1">IFERROR(__xludf.DUMMYFUNCTION("""COMPUTED_VALUE"""),45674)</f>
        <v>45674</v>
      </c>
      <c r="F1154" s="1" t="str">
        <f ca="1">IFERROR(__xludf.DUMMYFUNCTION("""COMPUTED_VALUE"""),"Tunisia")</f>
        <v>Tunisia</v>
      </c>
      <c r="G1154" s="1" t="str">
        <f ca="1">IFERROR(__xludf.DUMMYFUNCTION("""COMPUTED_VALUE"""),"Second 76.24 Tunisia")</f>
        <v>Second 76.24 Tunisia</v>
      </c>
      <c r="H1154" s="1" t="str">
        <f ca="1">IFERROR(__xludf.DUMMYFUNCTION("""COMPUTED_VALUE"""),"Freedom of Expression, Human Rights Defenders")</f>
        <v>Freedom of Expression, Human Rights Defenders</v>
      </c>
      <c r="I1154" s="1" t="str">
        <f ca="1">IFERROR(__xludf.DUMMYFUNCTION("""COMPUTED_VALUE"""),"2025")</f>
        <v>2025</v>
      </c>
      <c r="J1154" s="1" t="str">
        <f ca="1">IFERROR(__xludf.DUMMYFUNCTION("""COMPUTED_VALUE"""),"Email")</f>
        <v>Email</v>
      </c>
    </row>
    <row r="1155" spans="1:10" ht="13" x14ac:dyDescent="0.15">
      <c r="A1155" s="4">
        <f ca="1">IFERROR(__xludf.DUMMYFUNCTION("""COMPUTED_VALUE"""),75650847)</f>
        <v>75650847</v>
      </c>
      <c r="B1155" s="1" t="str">
        <f ca="1">IFERROR(__xludf.DUMMYFUNCTION("""COMPUTED_VALUE"""),"marchoffman313@gmail.com")</f>
        <v>marchoffman313@gmail.com</v>
      </c>
      <c r="C1155" s="4" t="str">
        <f ca="1">IFERROR(__xludf.DUMMYFUNCTION("""COMPUTED_VALUE"""),"EVERGREEN - UAN Gated Content - Embedded Petition")</f>
        <v>EVERGREEN - UAN Gated Content - Embedded Petition</v>
      </c>
      <c r="D1155" s="5">
        <f ca="1">IFERROR(__xludf.DUMMYFUNCTION("""COMPUTED_VALUE"""),45674)</f>
        <v>45674</v>
      </c>
      <c r="F1155" s="1" t="str">
        <f ca="1">IFERROR(__xludf.DUMMYFUNCTION("""COMPUTED_VALUE"""),"Tunisia")</f>
        <v>Tunisia</v>
      </c>
      <c r="G1155" s="1" t="str">
        <f ca="1">IFERROR(__xludf.DUMMYFUNCTION("""COMPUTED_VALUE"""),"Second 76.24 Tunisia")</f>
        <v>Second 76.24 Tunisia</v>
      </c>
      <c r="H1155" s="1" t="str">
        <f ca="1">IFERROR(__xludf.DUMMYFUNCTION("""COMPUTED_VALUE"""),"Freedom of Expression, Human Rights Defenders")</f>
        <v>Freedom of Expression, Human Rights Defenders</v>
      </c>
      <c r="I1155" s="1" t="str">
        <f ca="1">IFERROR(__xludf.DUMMYFUNCTION("""COMPUTED_VALUE"""),"2025")</f>
        <v>2025</v>
      </c>
      <c r="J1155" s="1" t="str">
        <f ca="1">IFERROR(__xludf.DUMMYFUNCTION("""COMPUTED_VALUE"""),"Email")</f>
        <v>Email</v>
      </c>
    </row>
    <row r="1156" spans="1:10" ht="13" x14ac:dyDescent="0.15">
      <c r="A1156" s="4">
        <f ca="1">IFERROR(__xludf.DUMMYFUNCTION("""COMPUTED_VALUE"""),75650847)</f>
        <v>75650847</v>
      </c>
      <c r="B1156" s="1" t="str">
        <f ca="1">IFERROR(__xludf.DUMMYFUNCTION("""COMPUTED_VALUE"""),"marchoffman313@gmail.com")</f>
        <v>marchoffman313@gmail.com</v>
      </c>
      <c r="C1156" s="4" t="str">
        <f ca="1">IFERROR(__xludf.DUMMYFUNCTION("""COMPUTED_VALUE"""),"EVERGREEN - UAN Gated Content - Embedded Petition")</f>
        <v>EVERGREEN - UAN Gated Content - Embedded Petition</v>
      </c>
      <c r="D1156" s="5">
        <f ca="1">IFERROR(__xludf.DUMMYFUNCTION("""COMPUTED_VALUE"""),45674)</f>
        <v>45674</v>
      </c>
      <c r="F1156" s="1" t="str">
        <f ca="1">IFERROR(__xludf.DUMMYFUNCTION("""COMPUTED_VALUE"""),"Tunisia")</f>
        <v>Tunisia</v>
      </c>
      <c r="G1156" s="1" t="str">
        <f ca="1">IFERROR(__xludf.DUMMYFUNCTION("""COMPUTED_VALUE"""),"Second 76.24 Tunisia")</f>
        <v>Second 76.24 Tunisia</v>
      </c>
      <c r="H1156" s="1" t="str">
        <f ca="1">IFERROR(__xludf.DUMMYFUNCTION("""COMPUTED_VALUE"""),"Freedom of Expression, Human Rights Defenders")</f>
        <v>Freedom of Expression, Human Rights Defenders</v>
      </c>
      <c r="I1156" s="1" t="str">
        <f ca="1">IFERROR(__xludf.DUMMYFUNCTION("""COMPUTED_VALUE"""),"2025")</f>
        <v>2025</v>
      </c>
      <c r="J1156" s="1" t="str">
        <f ca="1">IFERROR(__xludf.DUMMYFUNCTION("""COMPUTED_VALUE"""),"Email")</f>
        <v>Email</v>
      </c>
    </row>
    <row r="1157" spans="1:10" ht="13" x14ac:dyDescent="0.15">
      <c r="A1157" s="4">
        <f ca="1">IFERROR(__xludf.DUMMYFUNCTION("""COMPUTED_VALUE"""),75650847)</f>
        <v>75650847</v>
      </c>
      <c r="B1157" s="1" t="str">
        <f ca="1">IFERROR(__xludf.DUMMYFUNCTION("""COMPUTED_VALUE"""),"marchoffman313@gmail.com")</f>
        <v>marchoffman313@gmail.com</v>
      </c>
      <c r="C1157" s="4" t="str">
        <f ca="1">IFERROR(__xludf.DUMMYFUNCTION("""COMPUTED_VALUE"""),"EVERGREEN - UAN Gated Content - Embedded Petition")</f>
        <v>EVERGREEN - UAN Gated Content - Embedded Petition</v>
      </c>
      <c r="D1157" s="5">
        <f ca="1">IFERROR(__xludf.DUMMYFUNCTION("""COMPUTED_VALUE"""),45674)</f>
        <v>45674</v>
      </c>
      <c r="F1157" s="1" t="str">
        <f ca="1">IFERROR(__xludf.DUMMYFUNCTION("""COMPUTED_VALUE"""),"Israel and Occupied Palestinian Territories")</f>
        <v>Israel and Occupied Palestinian Territories</v>
      </c>
      <c r="G1157" s="1" t="str">
        <f ca="1">IFERROR(__xludf.DUMMYFUNCTION("""COMPUTED_VALUE"""),"3.25 IOPT")</f>
        <v>3.25 IOPT</v>
      </c>
      <c r="H1157" s="1" t="str">
        <f ca="1">IFERROR(__xludf.DUMMYFUNCTION("""COMPUTED_VALUE"""),"Freedom of Expression, Individuals At Risk")</f>
        <v>Freedom of Expression, Individuals At Risk</v>
      </c>
      <c r="I1157" s="1" t="str">
        <f ca="1">IFERROR(__xludf.DUMMYFUNCTION("""COMPUTED_VALUE"""),"2025")</f>
        <v>2025</v>
      </c>
      <c r="J1157" s="1" t="str">
        <f ca="1">IFERROR(__xludf.DUMMYFUNCTION("""COMPUTED_VALUE"""),"Email")</f>
        <v>Email</v>
      </c>
    </row>
    <row r="1158" spans="1:10" ht="13" x14ac:dyDescent="0.15">
      <c r="A1158" s="4">
        <f ca="1">IFERROR(__xludf.DUMMYFUNCTION("""COMPUTED_VALUE"""),75650847)</f>
        <v>75650847</v>
      </c>
      <c r="B1158" s="1" t="str">
        <f ca="1">IFERROR(__xludf.DUMMYFUNCTION("""COMPUTED_VALUE"""),"marchoffman313@gmail.com")</f>
        <v>marchoffman313@gmail.com</v>
      </c>
      <c r="C1158" s="4" t="str">
        <f ca="1">IFERROR(__xludf.DUMMYFUNCTION("""COMPUTED_VALUE"""),"EVERGREEN - UAN Gated Content - Embedded Petition")</f>
        <v>EVERGREEN - UAN Gated Content - Embedded Petition</v>
      </c>
      <c r="D1158" s="5">
        <f ca="1">IFERROR(__xludf.DUMMYFUNCTION("""COMPUTED_VALUE"""),45636)</f>
        <v>45636</v>
      </c>
      <c r="F1158" s="1" t="str">
        <f ca="1">IFERROR(__xludf.DUMMYFUNCTION("""COMPUTED_VALUE"""),"Tunisia")</f>
        <v>Tunisia</v>
      </c>
      <c r="G1158" s="1" t="str">
        <f ca="1">IFERROR(__xludf.DUMMYFUNCTION("""COMPUTED_VALUE"""),"Second 76.24 Tunisia")</f>
        <v>Second 76.24 Tunisia</v>
      </c>
      <c r="H1158" s="1" t="str">
        <f ca="1">IFERROR(__xludf.DUMMYFUNCTION("""COMPUTED_VALUE"""),"Freedom of Expression, Human Rights Defenders")</f>
        <v>Freedom of Expression, Human Rights Defenders</v>
      </c>
      <c r="I1158" s="1" t="str">
        <f ca="1">IFERROR(__xludf.DUMMYFUNCTION("""COMPUTED_VALUE"""),"2025")</f>
        <v>2025</v>
      </c>
      <c r="J1158" s="1" t="str">
        <f ca="1">IFERROR(__xludf.DUMMYFUNCTION("""COMPUTED_VALUE"""),"Email")</f>
        <v>Email</v>
      </c>
    </row>
    <row r="1159" spans="1:10" ht="13" x14ac:dyDescent="0.15">
      <c r="A1159" s="4">
        <f ca="1">IFERROR(__xludf.DUMMYFUNCTION("""COMPUTED_VALUE"""),75650847)</f>
        <v>75650847</v>
      </c>
      <c r="B1159" s="1" t="str">
        <f ca="1">IFERROR(__xludf.DUMMYFUNCTION("""COMPUTED_VALUE"""),"marchoffman313@gmail.com")</f>
        <v>marchoffman313@gmail.com</v>
      </c>
      <c r="C1159" s="4" t="str">
        <f ca="1">IFERROR(__xludf.DUMMYFUNCTION("""COMPUTED_VALUE"""),"EVERGREEN - UAN Gated Content - Embedded Petition")</f>
        <v>EVERGREEN - UAN Gated Content - Embedded Petition</v>
      </c>
      <c r="D1159" s="5">
        <f ca="1">IFERROR(__xludf.DUMMYFUNCTION("""COMPUTED_VALUE"""),45636)</f>
        <v>45636</v>
      </c>
      <c r="F1159" s="1" t="str">
        <f ca="1">IFERROR(__xludf.DUMMYFUNCTION("""COMPUTED_VALUE"""),"Tunisia")</f>
        <v>Tunisia</v>
      </c>
      <c r="G1159" s="1" t="str">
        <f ca="1">IFERROR(__xludf.DUMMYFUNCTION("""COMPUTED_VALUE"""),"Second 76.24 Tunisia")</f>
        <v>Second 76.24 Tunisia</v>
      </c>
      <c r="H1159" s="1" t="str">
        <f ca="1">IFERROR(__xludf.DUMMYFUNCTION("""COMPUTED_VALUE"""),"Freedom of Expression, Human Rights Defenders")</f>
        <v>Freedom of Expression, Human Rights Defenders</v>
      </c>
      <c r="I1159" s="1" t="str">
        <f ca="1">IFERROR(__xludf.DUMMYFUNCTION("""COMPUTED_VALUE"""),"2025")</f>
        <v>2025</v>
      </c>
      <c r="J1159" s="1" t="str">
        <f ca="1">IFERROR(__xludf.DUMMYFUNCTION("""COMPUTED_VALUE"""),"Email")</f>
        <v>Email</v>
      </c>
    </row>
    <row r="1160" spans="1:10" ht="13" x14ac:dyDescent="0.15">
      <c r="A1160" s="4">
        <f ca="1">IFERROR(__xludf.DUMMYFUNCTION("""COMPUTED_VALUE"""),75650847)</f>
        <v>75650847</v>
      </c>
      <c r="B1160" s="1" t="str">
        <f ca="1">IFERROR(__xludf.DUMMYFUNCTION("""COMPUTED_VALUE"""),"marchoffman313@gmail.com")</f>
        <v>marchoffman313@gmail.com</v>
      </c>
      <c r="C1160" s="4" t="str">
        <f ca="1">IFERROR(__xludf.DUMMYFUNCTION("""COMPUTED_VALUE"""),"EVERGREEN - UAN Gated Content - Embedded Petition")</f>
        <v>EVERGREEN - UAN Gated Content - Embedded Petition</v>
      </c>
      <c r="D1160" s="5">
        <f ca="1">IFERROR(__xludf.DUMMYFUNCTION("""COMPUTED_VALUE"""),45636)</f>
        <v>45636</v>
      </c>
      <c r="F1160" s="1" t="str">
        <f ca="1">IFERROR(__xludf.DUMMYFUNCTION("""COMPUTED_VALUE"""),"USA")</f>
        <v>USA</v>
      </c>
      <c r="G1160" s="1" t="str">
        <f ca="1">IFERROR(__xludf.DUMMYFUNCTION("""COMPUTED_VALUE"""),"4.25 USA")</f>
        <v>4.25 USA</v>
      </c>
      <c r="H1160" s="1" t="str">
        <f ca="1">IFERROR(__xludf.DUMMYFUNCTION("""COMPUTED_VALUE"""),"Individuals At Risk, Refugee and Migrant Rights")</f>
        <v>Individuals At Risk, Refugee and Migrant Rights</v>
      </c>
      <c r="I1160" s="1" t="str">
        <f ca="1">IFERROR(__xludf.DUMMYFUNCTION("""COMPUTED_VALUE"""),"2025")</f>
        <v>2025</v>
      </c>
      <c r="J1160" s="1" t="str">
        <f ca="1">IFERROR(__xludf.DUMMYFUNCTION("""COMPUTED_VALUE"""),"Letter")</f>
        <v>Letter</v>
      </c>
    </row>
    <row r="1161" spans="1:10" ht="13" x14ac:dyDescent="0.15">
      <c r="A1161" s="4">
        <f ca="1">IFERROR(__xludf.DUMMYFUNCTION("""COMPUTED_VALUE"""),75650847)</f>
        <v>75650847</v>
      </c>
      <c r="B1161" s="1" t="str">
        <f ca="1">IFERROR(__xludf.DUMMYFUNCTION("""COMPUTED_VALUE"""),"marchoffman313@gmail.com")</f>
        <v>marchoffman313@gmail.com</v>
      </c>
      <c r="C1161" s="4" t="str">
        <f ca="1">IFERROR(__xludf.DUMMYFUNCTION("""COMPUTED_VALUE"""),"EVERGREEN - UAN Gated Content - Embedded Petition")</f>
        <v>EVERGREEN - UAN Gated Content - Embedded Petition</v>
      </c>
      <c r="D1161" s="5">
        <f ca="1">IFERROR(__xludf.DUMMYFUNCTION("""COMPUTED_VALUE"""),45674)</f>
        <v>45674</v>
      </c>
      <c r="F1161" s="1" t="str">
        <f ca="1">IFERROR(__xludf.DUMMYFUNCTION("""COMPUTED_VALUE"""),"Tunisia")</f>
        <v>Tunisia</v>
      </c>
      <c r="G1161" s="1" t="str">
        <f ca="1">IFERROR(__xludf.DUMMYFUNCTION("""COMPUTED_VALUE"""),"8.25 Tunisia")</f>
        <v>8.25 Tunisia</v>
      </c>
      <c r="H1161" s="1" t="str">
        <f ca="1">IFERROR(__xludf.DUMMYFUNCTION("""COMPUTED_VALUE"""),"Freedom of Expression")</f>
        <v>Freedom of Expression</v>
      </c>
      <c r="I1161" s="1" t="str">
        <f ca="1">IFERROR(__xludf.DUMMYFUNCTION("""COMPUTED_VALUE"""),"2025")</f>
        <v>2025</v>
      </c>
      <c r="J1161" s="1" t="str">
        <f ca="1">IFERROR(__xludf.DUMMYFUNCTION("""COMPUTED_VALUE"""),"Email")</f>
        <v>Email</v>
      </c>
    </row>
    <row r="1162" spans="1:10" ht="13" x14ac:dyDescent="0.15">
      <c r="A1162" s="4">
        <f ca="1">IFERROR(__xludf.DUMMYFUNCTION("""COMPUTED_VALUE"""),75650847)</f>
        <v>75650847</v>
      </c>
      <c r="B1162" s="1" t="str">
        <f ca="1">IFERROR(__xludf.DUMMYFUNCTION("""COMPUTED_VALUE"""),"marchoffman313@gmail.com")</f>
        <v>marchoffman313@gmail.com</v>
      </c>
      <c r="C1162" s="4" t="str">
        <f ca="1">IFERROR(__xludf.DUMMYFUNCTION("""COMPUTED_VALUE"""),"EVERGREEN - UAN Gated Content - Embedded Petition")</f>
        <v>EVERGREEN - UAN Gated Content - Embedded Petition</v>
      </c>
      <c r="D1162" s="5">
        <f ca="1">IFERROR(__xludf.DUMMYFUNCTION("""COMPUTED_VALUE"""),45674)</f>
        <v>45674</v>
      </c>
      <c r="F1162" s="1" t="str">
        <f ca="1">IFERROR(__xludf.DUMMYFUNCTION("""COMPUTED_VALUE"""),"Afghanistan")</f>
        <v>Afghanistan</v>
      </c>
      <c r="G1162" s="1" t="str">
        <f ca="1">IFERROR(__xludf.DUMMYFUNCTION("""COMPUTED_VALUE"""),"7.25 Afghanistan")</f>
        <v>7.25 Afghanistan</v>
      </c>
      <c r="H1162" s="1" t="str">
        <f ca="1">IFERROR(__xludf.DUMMYFUNCTION("""COMPUTED_VALUE"""),"Freedom of Expression, Individuals At Risk, Women's Rights")</f>
        <v>Freedom of Expression, Individuals At Risk, Women's Rights</v>
      </c>
      <c r="I1162" s="1" t="str">
        <f ca="1">IFERROR(__xludf.DUMMYFUNCTION("""COMPUTED_VALUE"""),"2025")</f>
        <v>2025</v>
      </c>
      <c r="J1162" s="1" t="str">
        <f ca="1">IFERROR(__xludf.DUMMYFUNCTION("""COMPUTED_VALUE"""),"Email")</f>
        <v>Email</v>
      </c>
    </row>
    <row r="1163" spans="1:10" ht="13" x14ac:dyDescent="0.15">
      <c r="A1163" s="4">
        <f ca="1">IFERROR(__xludf.DUMMYFUNCTION("""COMPUTED_VALUE"""),75650847)</f>
        <v>75650847</v>
      </c>
      <c r="B1163" s="1" t="str">
        <f ca="1">IFERROR(__xludf.DUMMYFUNCTION("""COMPUTED_VALUE"""),"marchoffman313@gmail.com")</f>
        <v>marchoffman313@gmail.com</v>
      </c>
      <c r="C1163" s="4" t="str">
        <f ca="1">IFERROR(__xludf.DUMMYFUNCTION("""COMPUTED_VALUE"""),"EVERGREEN - UAN Gated Content - Embedded Petition")</f>
        <v>EVERGREEN - UAN Gated Content - Embedded Petition</v>
      </c>
      <c r="D1163" s="5">
        <f ca="1">IFERROR(__xludf.DUMMYFUNCTION("""COMPUTED_VALUE"""),45675)</f>
        <v>45675</v>
      </c>
      <c r="F1163" s="1" t="str">
        <f ca="1">IFERROR(__xludf.DUMMYFUNCTION("""COMPUTED_VALUE"""),"Tunisia")</f>
        <v>Tunisia</v>
      </c>
      <c r="G1163" s="1" t="str">
        <f ca="1">IFERROR(__xludf.DUMMYFUNCTION("""COMPUTED_VALUE"""),"Second 76.24 Tunisia")</f>
        <v>Second 76.24 Tunisia</v>
      </c>
      <c r="H1163" s="1" t="str">
        <f ca="1">IFERROR(__xludf.DUMMYFUNCTION("""COMPUTED_VALUE"""),"Freedom of Expression, Human Rights Defenders")</f>
        <v>Freedom of Expression, Human Rights Defenders</v>
      </c>
      <c r="I1163" s="1" t="str">
        <f ca="1">IFERROR(__xludf.DUMMYFUNCTION("""COMPUTED_VALUE"""),"2025")</f>
        <v>2025</v>
      </c>
      <c r="J1163" s="1" t="str">
        <f ca="1">IFERROR(__xludf.DUMMYFUNCTION("""COMPUTED_VALUE"""),"Email")</f>
        <v>Email</v>
      </c>
    </row>
    <row r="1164" spans="1:10" ht="13" x14ac:dyDescent="0.15">
      <c r="A1164" s="4">
        <f ca="1">IFERROR(__xludf.DUMMYFUNCTION("""COMPUTED_VALUE"""),75650847)</f>
        <v>75650847</v>
      </c>
      <c r="B1164" s="1" t="str">
        <f ca="1">IFERROR(__xludf.DUMMYFUNCTION("""COMPUTED_VALUE"""),"marchoffman313@gmail.com")</f>
        <v>marchoffman313@gmail.com</v>
      </c>
      <c r="C1164" s="4" t="str">
        <f ca="1">IFERROR(__xludf.DUMMYFUNCTION("""COMPUTED_VALUE"""),"EVERGREEN - UAN Gated Content - Embedded Petition")</f>
        <v>EVERGREEN - UAN Gated Content - Embedded Petition</v>
      </c>
      <c r="D1164" s="5">
        <f ca="1">IFERROR(__xludf.DUMMYFUNCTION("""COMPUTED_VALUE"""),45677)</f>
        <v>45677</v>
      </c>
      <c r="F1164" s="1" t="str">
        <f ca="1">IFERROR(__xludf.DUMMYFUNCTION("""COMPUTED_VALUE"""),"Colombia")</f>
        <v>Colombia</v>
      </c>
      <c r="G1164" s="1" t="str">
        <f ca="1">IFERROR(__xludf.DUMMYFUNCTION("""COMPUTED_VALUE"""),"Third 12.24 Colombia")</f>
        <v>Third 12.24 Colombia</v>
      </c>
      <c r="H1164" s="1" t="str">
        <f ca="1">IFERROR(__xludf.DUMMYFUNCTION("""COMPUTED_VALUE"""),"Human Rights Defenders, Individuals At Risk")</f>
        <v>Human Rights Defenders, Individuals At Risk</v>
      </c>
      <c r="I1164" s="1" t="str">
        <f ca="1">IFERROR(__xludf.DUMMYFUNCTION("""COMPUTED_VALUE"""),"2025")</f>
        <v>2025</v>
      </c>
      <c r="J1164" s="1" t="str">
        <f ca="1">IFERROR(__xludf.DUMMYFUNCTION("""COMPUTED_VALUE"""),"Email")</f>
        <v>Email</v>
      </c>
    </row>
    <row r="1165" spans="1:10" ht="13" x14ac:dyDescent="0.15">
      <c r="A1165" s="4">
        <f ca="1">IFERROR(__xludf.DUMMYFUNCTION("""COMPUTED_VALUE"""),75650847)</f>
        <v>75650847</v>
      </c>
      <c r="B1165" s="1" t="str">
        <f ca="1">IFERROR(__xludf.DUMMYFUNCTION("""COMPUTED_VALUE"""),"marchoffman313@gmail.com")</f>
        <v>marchoffman313@gmail.com</v>
      </c>
      <c r="C1165" s="4" t="str">
        <f ca="1">IFERROR(__xludf.DUMMYFUNCTION("""COMPUTED_VALUE"""),"EVERGREEN - UAN Gated Content - Embedded Petition")</f>
        <v>EVERGREEN - UAN Gated Content - Embedded Petition</v>
      </c>
      <c r="D1165" s="5">
        <f ca="1">IFERROR(__xludf.DUMMYFUNCTION("""COMPUTED_VALUE"""),45674)</f>
        <v>45674</v>
      </c>
      <c r="F1165" s="1" t="str">
        <f ca="1">IFERROR(__xludf.DUMMYFUNCTION("""COMPUTED_VALUE"""),"Turkiye")</f>
        <v>Turkiye</v>
      </c>
      <c r="G1165" s="1" t="str">
        <f ca="1">IFERROR(__xludf.DUMMYFUNCTION("""COMPUTED_VALUE"""),"Second 109.24 Türkiye")</f>
        <v>Second 109.24 Türkiye</v>
      </c>
      <c r="H1165" s="1" t="str">
        <f ca="1">IFERROR(__xludf.DUMMYFUNCTION("""COMPUTED_VALUE"""),"Human Rights Defenders")</f>
        <v>Human Rights Defenders</v>
      </c>
      <c r="I1165" s="1" t="str">
        <f ca="1">IFERROR(__xludf.DUMMYFUNCTION("""COMPUTED_VALUE"""),"2025")</f>
        <v>2025</v>
      </c>
      <c r="J1165" s="1" t="str">
        <f ca="1">IFERROR(__xludf.DUMMYFUNCTION("""COMPUTED_VALUE"""),"Email")</f>
        <v>Email</v>
      </c>
    </row>
    <row r="1166" spans="1:10" ht="13" x14ac:dyDescent="0.15">
      <c r="A1166" s="4">
        <f ca="1">IFERROR(__xludf.DUMMYFUNCTION("""COMPUTED_VALUE"""),78294660)</f>
        <v>78294660</v>
      </c>
      <c r="B1166" s="1" t="str">
        <f ca="1">IFERROR(__xludf.DUMMYFUNCTION("""COMPUTED_VALUE"""),"krisheartstone@gmail.com")</f>
        <v>krisheartstone@gmail.com</v>
      </c>
      <c r="C1166" s="4" t="str">
        <f ca="1">IFERROR(__xludf.DUMMYFUNCTION("""COMPUTED_VALUE"""),"EVERGREEN - UAN Gated Content - Embedded Petition")</f>
        <v>EVERGREEN - UAN Gated Content - Embedded Petition</v>
      </c>
      <c r="D1166" s="5">
        <f ca="1">IFERROR(__xludf.DUMMYFUNCTION("""COMPUTED_VALUE"""),45694)</f>
        <v>45694</v>
      </c>
      <c r="F1166" s="1" t="str">
        <f ca="1">IFERROR(__xludf.DUMMYFUNCTION("""COMPUTED_VALUE"""),"Iran")</f>
        <v>Iran</v>
      </c>
      <c r="G1166" s="1" t="str">
        <f ca="1">IFERROR(__xludf.DUMMYFUNCTION("""COMPUTED_VALUE"""),"6.25 Iran")</f>
        <v>6.25 Iran</v>
      </c>
      <c r="H1166" s="1" t="str">
        <f ca="1">IFERROR(__xludf.DUMMYFUNCTION("""COMPUTED_VALUE"""),"Death Penalty, Freedom of Expression, Individuals At Risk")</f>
        <v>Death Penalty, Freedom of Expression, Individuals At Risk</v>
      </c>
      <c r="I1166" s="1" t="str">
        <f ca="1">IFERROR(__xludf.DUMMYFUNCTION("""COMPUTED_VALUE"""),"2025")</f>
        <v>2025</v>
      </c>
      <c r="J1166" s="1" t="str">
        <f ca="1">IFERROR(__xludf.DUMMYFUNCTION("""COMPUTED_VALUE"""),"Email")</f>
        <v>Email</v>
      </c>
    </row>
    <row r="1167" spans="1:10" ht="13" x14ac:dyDescent="0.15">
      <c r="A1167" s="4">
        <f ca="1">IFERROR(__xludf.DUMMYFUNCTION("""COMPUTED_VALUE"""),79416109)</f>
        <v>79416109</v>
      </c>
      <c r="B1167" s="1" t="str">
        <f ca="1">IFERROR(__xludf.DUMMYFUNCTION("""COMPUTED_VALUE"""),"chuckgyver@aceweb.com")</f>
        <v>chuckgyver@aceweb.com</v>
      </c>
      <c r="C1167" s="4" t="str">
        <f ca="1">IFERROR(__xludf.DUMMYFUNCTION("""COMPUTED_VALUE"""),"EVERGREEN - UAN Gated Content - Embedded Petition")</f>
        <v>EVERGREEN - UAN Gated Content - Embedded Petition</v>
      </c>
      <c r="D1167" s="5">
        <f ca="1">IFERROR(__xludf.DUMMYFUNCTION("""COMPUTED_VALUE"""),45616)</f>
        <v>45616</v>
      </c>
      <c r="F1167" s="1" t="str">
        <f ca="1">IFERROR(__xludf.DUMMYFUNCTION("""COMPUTED_VALUE"""),"USA")</f>
        <v>USA</v>
      </c>
      <c r="G1167" s="1" t="str">
        <f ca="1">IFERROR(__xludf.DUMMYFUNCTION("""COMPUTED_VALUE"""),"4.25 USA")</f>
        <v>4.25 USA</v>
      </c>
      <c r="H1167" s="1" t="str">
        <f ca="1">IFERROR(__xludf.DUMMYFUNCTION("""COMPUTED_VALUE"""),"Individuals At Risk, Refugee and Migrant Rights")</f>
        <v>Individuals At Risk, Refugee and Migrant Rights</v>
      </c>
      <c r="I1167" s="1" t="str">
        <f ca="1">IFERROR(__xludf.DUMMYFUNCTION("""COMPUTED_VALUE"""),"2025")</f>
        <v>2025</v>
      </c>
      <c r="J1167" s="1" t="str">
        <f ca="1">IFERROR(__xludf.DUMMYFUNCTION("""COMPUTED_VALUE"""),"Letter")</f>
        <v>Letter</v>
      </c>
    </row>
    <row r="1168" spans="1:10" ht="13" x14ac:dyDescent="0.15">
      <c r="A1168" s="4">
        <f ca="1">IFERROR(__xludf.DUMMYFUNCTION("""COMPUTED_VALUE"""),79416109)</f>
        <v>79416109</v>
      </c>
      <c r="B1168" s="1" t="str">
        <f ca="1">IFERROR(__xludf.DUMMYFUNCTION("""COMPUTED_VALUE"""),"chuckgyver@aceweb.com")</f>
        <v>chuckgyver@aceweb.com</v>
      </c>
      <c r="C1168" s="4" t="str">
        <f ca="1">IFERROR(__xludf.DUMMYFUNCTION("""COMPUTED_VALUE"""),"EVERGREEN - UAN Gated Content - Embedded Petition")</f>
        <v>EVERGREEN - UAN Gated Content - Embedded Petition</v>
      </c>
      <c r="D1168" s="5">
        <f ca="1">IFERROR(__xludf.DUMMYFUNCTION("""COMPUTED_VALUE"""),45677)</f>
        <v>45677</v>
      </c>
      <c r="F1168" s="1" t="str">
        <f ca="1">IFERROR(__xludf.DUMMYFUNCTION("""COMPUTED_VALUE"""),"Turkiye")</f>
        <v>Turkiye</v>
      </c>
      <c r="G1168" s="1" t="str">
        <f ca="1">IFERROR(__xludf.DUMMYFUNCTION("""COMPUTED_VALUE"""),"Second 109.24 Türkiye")</f>
        <v>Second 109.24 Türkiye</v>
      </c>
      <c r="H1168" s="1" t="str">
        <f ca="1">IFERROR(__xludf.DUMMYFUNCTION("""COMPUTED_VALUE"""),"Human Rights Defenders")</f>
        <v>Human Rights Defenders</v>
      </c>
      <c r="I1168" s="1" t="str">
        <f ca="1">IFERROR(__xludf.DUMMYFUNCTION("""COMPUTED_VALUE"""),"2025")</f>
        <v>2025</v>
      </c>
      <c r="J1168" s="1" t="str">
        <f ca="1">IFERROR(__xludf.DUMMYFUNCTION("""COMPUTED_VALUE"""),"Email")</f>
        <v>Email</v>
      </c>
    </row>
    <row r="1169" spans="1:10" ht="13" x14ac:dyDescent="0.15">
      <c r="A1169" s="4">
        <f ca="1">IFERROR(__xludf.DUMMYFUNCTION("""COMPUTED_VALUE"""),79646042)</f>
        <v>79646042</v>
      </c>
      <c r="B1169" s="1" t="str">
        <f ca="1">IFERROR(__xludf.DUMMYFUNCTION("""COMPUTED_VALUE"""),"amnesty39@gmail.com")</f>
        <v>amnesty39@gmail.com</v>
      </c>
      <c r="C1169" s="4" t="str">
        <f ca="1">IFERROR(__xludf.DUMMYFUNCTION("""COMPUTED_VALUE"""),"EVERGREEN - UAN Gated Content - Embedded Petition")</f>
        <v>EVERGREEN - UAN Gated Content - Embedded Petition</v>
      </c>
      <c r="D1169" s="5">
        <f ca="1">IFERROR(__xludf.DUMMYFUNCTION("""COMPUTED_VALUE"""),45697)</f>
        <v>45697</v>
      </c>
      <c r="F1169" s="1" t="str">
        <f ca="1">IFERROR(__xludf.DUMMYFUNCTION("""COMPUTED_VALUE"""),"Colombia")</f>
        <v>Colombia</v>
      </c>
      <c r="G1169" s="1" t="str">
        <f ca="1">IFERROR(__xludf.DUMMYFUNCTION("""COMPUTED_VALUE"""),"5.25 Colombia")</f>
        <v>5.25 Colombia</v>
      </c>
      <c r="H1169" s="1" t="str">
        <f ca="1">IFERROR(__xludf.DUMMYFUNCTION("""COMPUTED_VALUE"""),"Human Rights Defenders, Individuals At Risk")</f>
        <v>Human Rights Defenders, Individuals At Risk</v>
      </c>
      <c r="I1169" s="1" t="str">
        <f ca="1">IFERROR(__xludf.DUMMYFUNCTION("""COMPUTED_VALUE"""),"2025")</f>
        <v>2025</v>
      </c>
      <c r="J1169" s="1" t="str">
        <f ca="1">IFERROR(__xludf.DUMMYFUNCTION("""COMPUTED_VALUE"""),"Email")</f>
        <v>Email</v>
      </c>
    </row>
    <row r="1170" spans="1:10" ht="13" x14ac:dyDescent="0.15">
      <c r="A1170" s="4">
        <f ca="1">IFERROR(__xludf.DUMMYFUNCTION("""COMPUTED_VALUE"""),79737588)</f>
        <v>79737588</v>
      </c>
      <c r="B1170" s="1" t="str">
        <f ca="1">IFERROR(__xludf.DUMMYFUNCTION("""COMPUTED_VALUE"""),"nasreenm@hushmail.com")</f>
        <v>nasreenm@hushmail.com</v>
      </c>
      <c r="C1170" s="4" t="str">
        <f ca="1">IFERROR(__xludf.DUMMYFUNCTION("""COMPUTED_VALUE"""),"EVERGREEN - UAN Gated Content - Embedded Petition")</f>
        <v>EVERGREEN - UAN Gated Content - Embedded Petition</v>
      </c>
      <c r="D1170" s="5">
        <f ca="1">IFERROR(__xludf.DUMMYFUNCTION("""COMPUTED_VALUE"""),45616)</f>
        <v>45616</v>
      </c>
      <c r="F1170" s="1" t="str">
        <f ca="1">IFERROR(__xludf.DUMMYFUNCTION("""COMPUTED_VALUE"""),"Colombia")</f>
        <v>Colombia</v>
      </c>
      <c r="G1170" s="1" t="str">
        <f ca="1">IFERROR(__xludf.DUMMYFUNCTION("""COMPUTED_VALUE"""),"Third 12.24 Colombia")</f>
        <v>Third 12.24 Colombia</v>
      </c>
      <c r="H1170" s="1" t="str">
        <f ca="1">IFERROR(__xludf.DUMMYFUNCTION("""COMPUTED_VALUE"""),"Human Rights Defenders, Individuals At Risk")</f>
        <v>Human Rights Defenders, Individuals At Risk</v>
      </c>
      <c r="I1170" s="1" t="str">
        <f ca="1">IFERROR(__xludf.DUMMYFUNCTION("""COMPUTED_VALUE"""),"2025")</f>
        <v>2025</v>
      </c>
      <c r="J1170" s="1" t="str">
        <f ca="1">IFERROR(__xludf.DUMMYFUNCTION("""COMPUTED_VALUE"""),"Email")</f>
        <v>Email</v>
      </c>
    </row>
    <row r="1171" spans="1:10" ht="13" x14ac:dyDescent="0.15">
      <c r="A1171" s="4">
        <f ca="1">IFERROR(__xludf.DUMMYFUNCTION("""COMPUTED_VALUE"""),79737588)</f>
        <v>79737588</v>
      </c>
      <c r="B1171" s="1" t="str">
        <f ca="1">IFERROR(__xludf.DUMMYFUNCTION("""COMPUTED_VALUE"""),"nasreenm@hushmail.com")</f>
        <v>nasreenm@hushmail.com</v>
      </c>
      <c r="C1171" s="4" t="str">
        <f ca="1">IFERROR(__xludf.DUMMYFUNCTION("""COMPUTED_VALUE"""),"EVERGREEN - UAN Gated Content - Embedded Petition")</f>
        <v>EVERGREEN - UAN Gated Content - Embedded Petition</v>
      </c>
      <c r="D1171" s="5">
        <f ca="1">IFERROR(__xludf.DUMMYFUNCTION("""COMPUTED_VALUE"""),45685)</f>
        <v>45685</v>
      </c>
      <c r="F1171" s="1" t="str">
        <f ca="1">IFERROR(__xludf.DUMMYFUNCTION("""COMPUTED_VALUE"""),"Iran")</f>
        <v>Iran</v>
      </c>
      <c r="G1171" s="1" t="str">
        <f ca="1">IFERROR(__xludf.DUMMYFUNCTION("""COMPUTED_VALUE"""),"6.25 Iran")</f>
        <v>6.25 Iran</v>
      </c>
      <c r="H1171" s="1" t="str">
        <f ca="1">IFERROR(__xludf.DUMMYFUNCTION("""COMPUTED_VALUE"""),"Death Penalty, Freedom of Expression, Individuals At Risk")</f>
        <v>Death Penalty, Freedom of Expression, Individuals At Risk</v>
      </c>
      <c r="I1171" s="1" t="str">
        <f ca="1">IFERROR(__xludf.DUMMYFUNCTION("""COMPUTED_VALUE"""),"2025")</f>
        <v>2025</v>
      </c>
      <c r="J1171" s="1" t="str">
        <f ca="1">IFERROR(__xludf.DUMMYFUNCTION("""COMPUTED_VALUE"""),"Email")</f>
        <v>Email</v>
      </c>
    </row>
    <row r="1172" spans="1:10" ht="13" x14ac:dyDescent="0.15">
      <c r="A1172" s="4">
        <f ca="1">IFERROR(__xludf.DUMMYFUNCTION("""COMPUTED_VALUE"""),79737588)</f>
        <v>79737588</v>
      </c>
      <c r="B1172" s="1" t="str">
        <f ca="1">IFERROR(__xludf.DUMMYFUNCTION("""COMPUTED_VALUE"""),"nasreenm@hushmail.com")</f>
        <v>nasreenm@hushmail.com</v>
      </c>
      <c r="C1172" s="4" t="str">
        <f ca="1">IFERROR(__xludf.DUMMYFUNCTION("""COMPUTED_VALUE"""),"EVERGREEN - UAN Gated Content - Embedded Petition")</f>
        <v>EVERGREEN - UAN Gated Content - Embedded Petition</v>
      </c>
      <c r="D1172" s="5">
        <f ca="1">IFERROR(__xludf.DUMMYFUNCTION("""COMPUTED_VALUE"""),45680)</f>
        <v>45680</v>
      </c>
      <c r="F1172" s="1" t="str">
        <f ca="1">IFERROR(__xludf.DUMMYFUNCTION("""COMPUTED_VALUE"""),"Tunisia")</f>
        <v>Tunisia</v>
      </c>
      <c r="G1172" s="1" t="str">
        <f ca="1">IFERROR(__xludf.DUMMYFUNCTION("""COMPUTED_VALUE"""),"Second 76.24 Tunisia")</f>
        <v>Second 76.24 Tunisia</v>
      </c>
      <c r="H1172" s="1" t="str">
        <f ca="1">IFERROR(__xludf.DUMMYFUNCTION("""COMPUTED_VALUE"""),"Freedom of Expression, Human Rights Defenders")</f>
        <v>Freedom of Expression, Human Rights Defenders</v>
      </c>
      <c r="I1172" s="1" t="str">
        <f ca="1">IFERROR(__xludf.DUMMYFUNCTION("""COMPUTED_VALUE"""),"2025")</f>
        <v>2025</v>
      </c>
      <c r="J1172" s="1" t="str">
        <f ca="1">IFERROR(__xludf.DUMMYFUNCTION("""COMPUTED_VALUE"""),"Email")</f>
        <v>Email</v>
      </c>
    </row>
    <row r="1173" spans="1:10" ht="13" x14ac:dyDescent="0.15">
      <c r="A1173" s="4">
        <f ca="1">IFERROR(__xludf.DUMMYFUNCTION("""COMPUTED_VALUE"""),80182176)</f>
        <v>80182176</v>
      </c>
      <c r="B1173" s="1" t="str">
        <f ca="1">IFERROR(__xludf.DUMMYFUNCTION("""COMPUTED_VALUE"""),"rae33710@gmail.com")</f>
        <v>rae33710@gmail.com</v>
      </c>
      <c r="C1173" s="4" t="str">
        <f ca="1">IFERROR(__xludf.DUMMYFUNCTION("""COMPUTED_VALUE"""),"EVERGREEN - UAN Gated Content - Embedded Petition")</f>
        <v>EVERGREEN - UAN Gated Content - Embedded Petition</v>
      </c>
      <c r="D1173" s="5">
        <f ca="1">IFERROR(__xludf.DUMMYFUNCTION("""COMPUTED_VALUE"""),45677)</f>
        <v>45677</v>
      </c>
      <c r="F1173" s="1" t="str">
        <f ca="1">IFERROR(__xludf.DUMMYFUNCTION("""COMPUTED_VALUE"""),"Venezuela")</f>
        <v>Venezuela</v>
      </c>
      <c r="G1173" s="1" t="str">
        <f ca="1">IFERROR(__xludf.DUMMYFUNCTION("""COMPUTED_VALUE"""),"1.25 Venezuela")</f>
        <v>1.25 Venezuela</v>
      </c>
      <c r="H1173" s="1" t="str">
        <f ca="1">IFERROR(__xludf.DUMMYFUNCTION("""COMPUTED_VALUE"""),"Human Rights Defenders, Individuals At Risk")</f>
        <v>Human Rights Defenders, Individuals At Risk</v>
      </c>
      <c r="I1173" s="1" t="str">
        <f ca="1">IFERROR(__xludf.DUMMYFUNCTION("""COMPUTED_VALUE"""),"2025")</f>
        <v>2025</v>
      </c>
      <c r="J1173" s="1" t="str">
        <f ca="1">IFERROR(__xludf.DUMMYFUNCTION("""COMPUTED_VALUE"""),"Letter")</f>
        <v>Letter</v>
      </c>
    </row>
    <row r="1174" spans="1:10" ht="13" x14ac:dyDescent="0.15">
      <c r="A1174" s="4">
        <f ca="1">IFERROR(__xludf.DUMMYFUNCTION("""COMPUTED_VALUE"""),80182176)</f>
        <v>80182176</v>
      </c>
      <c r="B1174" s="1" t="str">
        <f ca="1">IFERROR(__xludf.DUMMYFUNCTION("""COMPUTED_VALUE"""),"rae33710@gmail.com")</f>
        <v>rae33710@gmail.com</v>
      </c>
      <c r="C1174" s="4" t="str">
        <f ca="1">IFERROR(__xludf.DUMMYFUNCTION("""COMPUTED_VALUE"""),"EVERGREEN - UAN Gated Content - Embedded Petition")</f>
        <v>EVERGREEN - UAN Gated Content - Embedded Petition</v>
      </c>
      <c r="D1174" s="5">
        <f ca="1">IFERROR(__xludf.DUMMYFUNCTION("""COMPUTED_VALUE"""),45694)</f>
        <v>45694</v>
      </c>
      <c r="F1174" s="1" t="str">
        <f ca="1">IFERROR(__xludf.DUMMYFUNCTION("""COMPUTED_VALUE"""),"Azerbaijan")</f>
        <v>Azerbaijan</v>
      </c>
      <c r="G1174" s="1" t="str">
        <f ca="1">IFERROR(__xludf.DUMMYFUNCTION("""COMPUTED_VALUE"""),"2.25 Azerbaijan")</f>
        <v>2.25 Azerbaijan</v>
      </c>
      <c r="H1174" s="1" t="str">
        <f ca="1">IFERROR(__xludf.DUMMYFUNCTION("""COMPUTED_VALUE"""),"Freedom of Expression, Human Rights Defenders")</f>
        <v>Freedom of Expression, Human Rights Defenders</v>
      </c>
      <c r="I1174" s="1" t="str">
        <f ca="1">IFERROR(__xludf.DUMMYFUNCTION("""COMPUTED_VALUE"""),"2025")</f>
        <v>2025</v>
      </c>
      <c r="J1174" s="1" t="str">
        <f ca="1">IFERROR(__xludf.DUMMYFUNCTION("""COMPUTED_VALUE"""),"Email")</f>
        <v>Email</v>
      </c>
    </row>
    <row r="1175" spans="1:10" ht="13" x14ac:dyDescent="0.15">
      <c r="A1175" s="4">
        <f ca="1">IFERROR(__xludf.DUMMYFUNCTION("""COMPUTED_VALUE"""),80267018)</f>
        <v>80267018</v>
      </c>
      <c r="B1175" s="1" t="str">
        <f ca="1">IFERROR(__xludf.DUMMYFUNCTION("""COMPUTED_VALUE"""),"jjsuhr621953@gmail.com")</f>
        <v>jjsuhr621953@gmail.com</v>
      </c>
      <c r="C1175" s="4" t="str">
        <f ca="1">IFERROR(__xludf.DUMMYFUNCTION("""COMPUTED_VALUE"""),"EVERGREEN - UAN Gated Content - Embedded Petition")</f>
        <v>EVERGREEN - UAN Gated Content - Embedded Petition</v>
      </c>
      <c r="D1175" s="5">
        <f ca="1">IFERROR(__xludf.DUMMYFUNCTION("""COMPUTED_VALUE"""),45684)</f>
        <v>45684</v>
      </c>
      <c r="F1175" s="1" t="str">
        <f ca="1">IFERROR(__xludf.DUMMYFUNCTION("""COMPUTED_VALUE"""),"Israel and Occupied Palestinian Territories")</f>
        <v>Israel and Occupied Palestinian Territories</v>
      </c>
      <c r="G1175" s="1" t="str">
        <f ca="1">IFERROR(__xludf.DUMMYFUNCTION("""COMPUTED_VALUE"""),"3.25 IOPT")</f>
        <v>3.25 IOPT</v>
      </c>
      <c r="H1175" s="1" t="str">
        <f ca="1">IFERROR(__xludf.DUMMYFUNCTION("""COMPUTED_VALUE"""),"Freedom of Expression, Individuals At Risk")</f>
        <v>Freedom of Expression, Individuals At Risk</v>
      </c>
      <c r="I1175" s="1" t="str">
        <f ca="1">IFERROR(__xludf.DUMMYFUNCTION("""COMPUTED_VALUE"""),"2025")</f>
        <v>2025</v>
      </c>
      <c r="J1175" s="1" t="str">
        <f ca="1">IFERROR(__xludf.DUMMYFUNCTION("""COMPUTED_VALUE"""),"Email")</f>
        <v>Email</v>
      </c>
    </row>
    <row r="1176" spans="1:10" ht="13" x14ac:dyDescent="0.15">
      <c r="A1176" s="4">
        <f ca="1">IFERROR(__xludf.DUMMYFUNCTION("""COMPUTED_VALUE"""),80296899)</f>
        <v>80296899</v>
      </c>
      <c r="B1176" s="1" t="str">
        <f ca="1">IFERROR(__xludf.DUMMYFUNCTION("""COMPUTED_VALUE"""),"svondehn@hotmail.com")</f>
        <v>svondehn@hotmail.com</v>
      </c>
      <c r="C1176" s="4" t="str">
        <f ca="1">IFERROR(__xludf.DUMMYFUNCTION("""COMPUTED_VALUE"""),"EVERGREEN - UAN Gated Content - Embedded Petition")</f>
        <v>EVERGREEN - UAN Gated Content - Embedded Petition</v>
      </c>
      <c r="D1176" s="5">
        <f ca="1">IFERROR(__xludf.DUMMYFUNCTION("""COMPUTED_VALUE"""),45673)</f>
        <v>45673</v>
      </c>
      <c r="F1176" s="1" t="str">
        <f ca="1">IFERROR(__xludf.DUMMYFUNCTION("""COMPUTED_VALUE"""),"USA")</f>
        <v>USA</v>
      </c>
      <c r="G1176" s="1" t="str">
        <f ca="1">IFERROR(__xludf.DUMMYFUNCTION("""COMPUTED_VALUE"""),"4.25 USA")</f>
        <v>4.25 USA</v>
      </c>
      <c r="H1176" s="1" t="str">
        <f ca="1">IFERROR(__xludf.DUMMYFUNCTION("""COMPUTED_VALUE"""),"Individuals At Risk, Refugee and Migrant Rights")</f>
        <v>Individuals At Risk, Refugee and Migrant Rights</v>
      </c>
      <c r="I1176" s="1" t="str">
        <f ca="1">IFERROR(__xludf.DUMMYFUNCTION("""COMPUTED_VALUE"""),"2025")</f>
        <v>2025</v>
      </c>
      <c r="J1176" s="1" t="str">
        <f ca="1">IFERROR(__xludf.DUMMYFUNCTION("""COMPUTED_VALUE"""),"Letter")</f>
        <v>Letter</v>
      </c>
    </row>
    <row r="1177" spans="1:10" ht="13" x14ac:dyDescent="0.15">
      <c r="A1177" s="4">
        <f ca="1">IFERROR(__xludf.DUMMYFUNCTION("""COMPUTED_VALUE"""),80338976)</f>
        <v>80338976</v>
      </c>
      <c r="B1177" s="1" t="str">
        <f ca="1">IFERROR(__xludf.DUMMYFUNCTION("""COMPUTED_VALUE"""),"lccleary@gmail.com")</f>
        <v>lccleary@gmail.com</v>
      </c>
      <c r="C1177" s="4" t="str">
        <f ca="1">IFERROR(__xludf.DUMMYFUNCTION("""COMPUTED_VALUE"""),"EVERGREEN - UAN Gated Content - Embedded Petition")</f>
        <v>EVERGREEN - UAN Gated Content - Embedded Petition</v>
      </c>
      <c r="D1177" s="5">
        <f ca="1">IFERROR(__xludf.DUMMYFUNCTION("""COMPUTED_VALUE"""),45631)</f>
        <v>45631</v>
      </c>
      <c r="F1177" s="1" t="str">
        <f ca="1">IFERROR(__xludf.DUMMYFUNCTION("""COMPUTED_VALUE"""),"Iran")</f>
        <v>Iran</v>
      </c>
      <c r="G1177" s="1" t="str">
        <f ca="1">IFERROR(__xludf.DUMMYFUNCTION("""COMPUTED_VALUE"""),"Seventh 103.22 Iran")</f>
        <v>Seventh 103.22 Iran</v>
      </c>
      <c r="H1177" s="1" t="str">
        <f ca="1">IFERROR(__xludf.DUMMYFUNCTION("""COMPUTED_VALUE"""),"Death Penalty, Freedom of Expression, Individuals At Risk")</f>
        <v>Death Penalty, Freedom of Expression, Individuals At Risk</v>
      </c>
      <c r="I1177" s="1" t="str">
        <f ca="1">IFERROR(__xludf.DUMMYFUNCTION("""COMPUTED_VALUE"""),"2024")</f>
        <v>2024</v>
      </c>
      <c r="J1177" s="1" t="str">
        <f ca="1">IFERROR(__xludf.DUMMYFUNCTION("""COMPUTED_VALUE"""),"Email")</f>
        <v>Email</v>
      </c>
    </row>
    <row r="1178" spans="1:10" ht="13" x14ac:dyDescent="0.15">
      <c r="A1178" s="4">
        <f ca="1">IFERROR(__xludf.DUMMYFUNCTION("""COMPUTED_VALUE"""),80338976)</f>
        <v>80338976</v>
      </c>
      <c r="B1178" s="1" t="str">
        <f ca="1">IFERROR(__xludf.DUMMYFUNCTION("""COMPUTED_VALUE"""),"lccleary@gmail.com")</f>
        <v>lccleary@gmail.com</v>
      </c>
      <c r="C1178" s="4" t="str">
        <f ca="1">IFERROR(__xludf.DUMMYFUNCTION("""COMPUTED_VALUE"""),"EVERGREEN - UAN Gated Content - Embedded Petition")</f>
        <v>EVERGREEN - UAN Gated Content - Embedded Petition</v>
      </c>
      <c r="D1178" s="5">
        <f ca="1">IFERROR(__xludf.DUMMYFUNCTION("""COMPUTED_VALUE"""),45658)</f>
        <v>45658</v>
      </c>
      <c r="F1178" s="1" t="str">
        <f ca="1">IFERROR(__xludf.DUMMYFUNCTION("""COMPUTED_VALUE"""),"Egypt")</f>
        <v>Egypt</v>
      </c>
      <c r="G1178" s="1" t="str">
        <f ca="1">IFERROR(__xludf.DUMMYFUNCTION("""COMPUTED_VALUE"""),"Third 73.23 Egypt")</f>
        <v>Third 73.23 Egypt</v>
      </c>
      <c r="H1178" s="1" t="str">
        <f ca="1">IFERROR(__xludf.DUMMYFUNCTION("""COMPUTED_VALUE"""),"Individuals At Risk")</f>
        <v>Individuals At Risk</v>
      </c>
      <c r="I1178" s="1" t="str">
        <f ca="1">IFERROR(__xludf.DUMMYFUNCTION("""COMPUTED_VALUE"""),"2024")</f>
        <v>2024</v>
      </c>
      <c r="J1178" s="1" t="str">
        <f ca="1">IFERROR(__xludf.DUMMYFUNCTION("""COMPUTED_VALUE"""),"Email")</f>
        <v>Email</v>
      </c>
    </row>
    <row r="1179" spans="1:10" ht="13" x14ac:dyDescent="0.15">
      <c r="A1179" s="4">
        <f ca="1">IFERROR(__xludf.DUMMYFUNCTION("""COMPUTED_VALUE"""),80338976)</f>
        <v>80338976</v>
      </c>
      <c r="B1179" s="1" t="str">
        <f ca="1">IFERROR(__xludf.DUMMYFUNCTION("""COMPUTED_VALUE"""),"lccleary@gmail.com")</f>
        <v>lccleary@gmail.com</v>
      </c>
      <c r="C1179" s="4" t="str">
        <f ca="1">IFERROR(__xludf.DUMMYFUNCTION("""COMPUTED_VALUE"""),"UAN mid-page Lightbox - Step 1 of 4 - Landing Page")</f>
        <v>UAN mid-page Lightbox - Step 1 of 4 - Landing Page</v>
      </c>
      <c r="D1179" s="5">
        <f ca="1">IFERROR(__xludf.DUMMYFUNCTION("""COMPUTED_VALUE"""),45658)</f>
        <v>45658</v>
      </c>
      <c r="F1179" s="1" t="str">
        <f ca="1">IFERROR(__xludf.DUMMYFUNCTION("""COMPUTED_VALUE"""),"Tunisia")</f>
        <v>Tunisia</v>
      </c>
      <c r="G1179" s="1" t="str">
        <f ca="1">IFERROR(__xludf.DUMMYFUNCTION("""COMPUTED_VALUE"""),"Second 43.24 Tunisia")</f>
        <v>Second 43.24 Tunisia</v>
      </c>
      <c r="H1179" s="1" t="str">
        <f ca="1">IFERROR(__xludf.DUMMYFUNCTION("""COMPUTED_VALUE"""),"Freedom of Expression, Individuals At Risk")</f>
        <v>Freedom of Expression, Individuals At Risk</v>
      </c>
      <c r="I1179" s="1" t="str">
        <f ca="1">IFERROR(__xludf.DUMMYFUNCTION("""COMPUTED_VALUE"""),"2024")</f>
        <v>2024</v>
      </c>
      <c r="J1179" s="1" t="str">
        <f ca="1">IFERROR(__xludf.DUMMYFUNCTION("""COMPUTED_VALUE"""),"Email")</f>
        <v>Email</v>
      </c>
    </row>
    <row r="1180" spans="1:10" ht="13" x14ac:dyDescent="0.15">
      <c r="A1180" s="4">
        <f ca="1">IFERROR(__xludf.DUMMYFUNCTION("""COMPUTED_VALUE"""),80338976)</f>
        <v>80338976</v>
      </c>
      <c r="B1180" s="1" t="str">
        <f ca="1">IFERROR(__xludf.DUMMYFUNCTION("""COMPUTED_VALUE"""),"lccleary@gmail.com")</f>
        <v>lccleary@gmail.com</v>
      </c>
      <c r="C1180" s="4" t="str">
        <f ca="1">IFERROR(__xludf.DUMMYFUNCTION("""COMPUTED_VALUE"""),"UAN mid-page Lightbox - Step 2 of 4 - More personal info fields")</f>
        <v>UAN mid-page Lightbox - Step 2 of 4 - More personal info fields</v>
      </c>
      <c r="D1180" s="5">
        <f ca="1">IFERROR(__xludf.DUMMYFUNCTION("""COMPUTED_VALUE"""),45658)</f>
        <v>45658</v>
      </c>
      <c r="F1180" s="1" t="str">
        <f ca="1">IFERROR(__xludf.DUMMYFUNCTION("""COMPUTED_VALUE"""),"Turkiye")</f>
        <v>Turkiye</v>
      </c>
      <c r="G1180" s="1" t="str">
        <f ca="1">IFERROR(__xludf.DUMMYFUNCTION("""COMPUTED_VALUE"""),"109.24 Türkiye")</f>
        <v>109.24 Türkiye</v>
      </c>
      <c r="H1180" s="1" t="str">
        <f ca="1">IFERROR(__xludf.DUMMYFUNCTION("""COMPUTED_VALUE"""),"Human Rights Defenders, Individuals At Risk")</f>
        <v>Human Rights Defenders, Individuals At Risk</v>
      </c>
      <c r="I1180" s="1" t="str">
        <f ca="1">IFERROR(__xludf.DUMMYFUNCTION("""COMPUTED_VALUE"""),"2024")</f>
        <v>2024</v>
      </c>
      <c r="J1180" s="1" t="str">
        <f ca="1">IFERROR(__xludf.DUMMYFUNCTION("""COMPUTED_VALUE"""),"Email")</f>
        <v>Email</v>
      </c>
    </row>
    <row r="1181" spans="1:10" ht="13" x14ac:dyDescent="0.15">
      <c r="A1181" s="4">
        <f ca="1">IFERROR(__xludf.DUMMYFUNCTION("""COMPUTED_VALUE"""),80338976)</f>
        <v>80338976</v>
      </c>
      <c r="B1181" s="1" t="str">
        <f ca="1">IFERROR(__xludf.DUMMYFUNCTION("""COMPUTED_VALUE"""),"lccleary@gmail.com")</f>
        <v>lccleary@gmail.com</v>
      </c>
      <c r="C1181" s="4" t="str">
        <f ca="1">IFERROR(__xludf.DUMMYFUNCTION("""COMPUTED_VALUE"""),"UAN mid-page Lightbox - Step 3 of 4 - More opt-ins")</f>
        <v>UAN mid-page Lightbox - Step 3 of 4 - More opt-ins</v>
      </c>
      <c r="D1181" s="5">
        <f ca="1">IFERROR(__xludf.DUMMYFUNCTION("""COMPUTED_VALUE"""),45658)</f>
        <v>45658</v>
      </c>
      <c r="F1181" s="1" t="str">
        <f ca="1">IFERROR(__xludf.DUMMYFUNCTION("""COMPUTED_VALUE"""),"Niger")</f>
        <v>Niger</v>
      </c>
      <c r="G1181" s="1" t="str">
        <f ca="1">IFERROR(__xludf.DUMMYFUNCTION("""COMPUTED_VALUE"""),"103.24 Niger")</f>
        <v>103.24 Niger</v>
      </c>
      <c r="H1181" s="1" t="str">
        <f ca="1">IFERROR(__xludf.DUMMYFUNCTION("""COMPUTED_VALUE"""),"Freedom of Expression, Human Rights Defenders")</f>
        <v>Freedom of Expression, Human Rights Defenders</v>
      </c>
      <c r="I1181" s="1" t="str">
        <f ca="1">IFERROR(__xludf.DUMMYFUNCTION("""COMPUTED_VALUE"""),"2024")</f>
        <v>2024</v>
      </c>
      <c r="J1181" s="1" t="str">
        <f ca="1">IFERROR(__xludf.DUMMYFUNCTION("""COMPUTED_VALUE"""),"Email")</f>
        <v>Email</v>
      </c>
    </row>
    <row r="1182" spans="1:10" ht="13" x14ac:dyDescent="0.15">
      <c r="A1182" s="4">
        <f ca="1">IFERROR(__xludf.DUMMYFUNCTION("""COMPUTED_VALUE"""),85305684)</f>
        <v>85305684</v>
      </c>
      <c r="B1182" s="1" t="str">
        <f ca="1">IFERROR(__xludf.DUMMYFUNCTION("""COMPUTED_VALUE"""),"johnjbalza@gmail.com")</f>
        <v>johnjbalza@gmail.com</v>
      </c>
      <c r="C1182" s="4" t="str">
        <f ca="1">IFERROR(__xludf.DUMMYFUNCTION("""COMPUTED_VALUE"""),"EVERGREEN - UAN Gated Content - Embedded Petition")</f>
        <v>EVERGREEN - UAN Gated Content - Embedded Petition</v>
      </c>
      <c r="D1182" s="5">
        <f ca="1">IFERROR(__xludf.DUMMYFUNCTION("""COMPUTED_VALUE"""),45616)</f>
        <v>45616</v>
      </c>
      <c r="F1182" s="1" t="str">
        <f ca="1">IFERROR(__xludf.DUMMYFUNCTION("""COMPUTED_VALUE"""),"Uganda")</f>
        <v>Uganda</v>
      </c>
      <c r="G1182" s="1" t="str">
        <f ca="1">IFERROR(__xludf.DUMMYFUNCTION("""COMPUTED_VALUE"""),"100.24 Uganda")</f>
        <v>100.24 Uganda</v>
      </c>
      <c r="H1182" s="1" t="str">
        <f ca="1">IFERROR(__xludf.DUMMYFUNCTION("""COMPUTED_VALUE"""),"Freedom of Expression")</f>
        <v>Freedom of Expression</v>
      </c>
      <c r="I1182" s="1" t="str">
        <f ca="1">IFERROR(__xludf.DUMMYFUNCTION("""COMPUTED_VALUE"""),"2024")</f>
        <v>2024</v>
      </c>
      <c r="J1182" s="1" t="str">
        <f ca="1">IFERROR(__xludf.DUMMYFUNCTION("""COMPUTED_VALUE"""),"Email")</f>
        <v>Email</v>
      </c>
    </row>
    <row r="1183" spans="1:10" ht="13" x14ac:dyDescent="0.15">
      <c r="A1183" s="4">
        <f ca="1">IFERROR(__xludf.DUMMYFUNCTION("""COMPUTED_VALUE"""),86825629)</f>
        <v>86825629</v>
      </c>
      <c r="B1183" s="1" t="str">
        <f ca="1">IFERROR(__xludf.DUMMYFUNCTION("""COMPUTED_VALUE"""),"reidrussell24@gmail.com")</f>
        <v>reidrussell24@gmail.com</v>
      </c>
      <c r="C1183" s="4" t="str">
        <f ca="1">IFERROR(__xludf.DUMMYFUNCTION("""COMPUTED_VALUE"""),"EVERGREEN - UAN Gated Content - Embedded Petition")</f>
        <v>EVERGREEN - UAN Gated Content - Embedded Petition</v>
      </c>
      <c r="D1183" s="5">
        <f ca="1">IFERROR(__xludf.DUMMYFUNCTION("""COMPUTED_VALUE"""),45698)</f>
        <v>45698</v>
      </c>
      <c r="F1183" s="1" t="str">
        <f ca="1">IFERROR(__xludf.DUMMYFUNCTION("""COMPUTED_VALUE"""),"Venezuela")</f>
        <v>Venezuela</v>
      </c>
      <c r="G1183" s="1" t="str">
        <f ca="1">IFERROR(__xludf.DUMMYFUNCTION("""COMPUTED_VALUE"""),"97.24 Venezuela")</f>
        <v>97.24 Venezuela</v>
      </c>
      <c r="H1183" s="1" t="str">
        <f ca="1">IFERROR(__xludf.DUMMYFUNCTION("""COMPUTED_VALUE"""),"Freedom of Expression")</f>
        <v>Freedom of Expression</v>
      </c>
      <c r="I1183" s="1" t="str">
        <f ca="1">IFERROR(__xludf.DUMMYFUNCTION("""COMPUTED_VALUE"""),"2024")</f>
        <v>2024</v>
      </c>
      <c r="J1183" s="1" t="str">
        <f ca="1">IFERROR(__xludf.DUMMYFUNCTION("""COMPUTED_VALUE"""),"Letter")</f>
        <v>Letter</v>
      </c>
    </row>
    <row r="1184" spans="1:10" ht="13" x14ac:dyDescent="0.15">
      <c r="A1184" s="4">
        <f ca="1">IFERROR(__xludf.DUMMYFUNCTION("""COMPUTED_VALUE"""),86825629)</f>
        <v>86825629</v>
      </c>
      <c r="B1184" s="1" t="str">
        <f ca="1">IFERROR(__xludf.DUMMYFUNCTION("""COMPUTED_VALUE"""),"reidrussell24@gmail.com")</f>
        <v>reidrussell24@gmail.com</v>
      </c>
      <c r="C1184" s="4" t="str">
        <f ca="1">IFERROR(__xludf.DUMMYFUNCTION("""COMPUTED_VALUE"""),"EVERGREEN - UAN Gated Content - Embedded Petition")</f>
        <v>EVERGREEN - UAN Gated Content - Embedded Petition</v>
      </c>
      <c r="D1184" s="5">
        <f ca="1">IFERROR(__xludf.DUMMYFUNCTION("""COMPUTED_VALUE"""),45700)</f>
        <v>45700</v>
      </c>
      <c r="F1184" s="1" t="str">
        <f ca="1">IFERROR(__xludf.DUMMYFUNCTION("""COMPUTED_VALUE"""),"Iran")</f>
        <v>Iran</v>
      </c>
      <c r="G1184" s="1" t="str">
        <f ca="1">IFERROR(__xludf.DUMMYFUNCTION("""COMPUTED_VALUE"""),"101.24 Iran")</f>
        <v>101.24 Iran</v>
      </c>
      <c r="H1184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1184" s="1" t="str">
        <f ca="1">IFERROR(__xludf.DUMMYFUNCTION("""COMPUTED_VALUE"""),"2024")</f>
        <v>2024</v>
      </c>
      <c r="J1184" s="1" t="str">
        <f ca="1">IFERROR(__xludf.DUMMYFUNCTION("""COMPUTED_VALUE"""),"Email")</f>
        <v>Email</v>
      </c>
    </row>
    <row r="1185" spans="1:10" ht="13" x14ac:dyDescent="0.15">
      <c r="A1185" s="4">
        <f ca="1">IFERROR(__xludf.DUMMYFUNCTION("""COMPUTED_VALUE"""),86825629)</f>
        <v>86825629</v>
      </c>
      <c r="B1185" s="1" t="str">
        <f ca="1">IFERROR(__xludf.DUMMYFUNCTION("""COMPUTED_VALUE"""),"reidrussell24@gmail.com")</f>
        <v>reidrussell24@gmail.com</v>
      </c>
      <c r="C1185" s="4" t="str">
        <f ca="1">IFERROR(__xludf.DUMMYFUNCTION("""COMPUTED_VALUE"""),"EVERGREEN - UAN Gated Content - Embedded Petition")</f>
        <v>EVERGREEN - UAN Gated Content - Embedded Petition</v>
      </c>
      <c r="D1185" s="5">
        <f ca="1">IFERROR(__xludf.DUMMYFUNCTION("""COMPUTED_VALUE"""),45698)</f>
        <v>45698</v>
      </c>
      <c r="F1185" s="1" t="str">
        <f ca="1">IFERROR(__xludf.DUMMYFUNCTION("""COMPUTED_VALUE"""),"Saudi Arabia")</f>
        <v>Saudi Arabia</v>
      </c>
      <c r="G1185" s="1" t="str">
        <f ca="1">IFERROR(__xludf.DUMMYFUNCTION("""COMPUTED_VALUE"""),"104.24 Saudi Arabia")</f>
        <v>104.24 Saudi Arabia</v>
      </c>
      <c r="H1185" s="1" t="str">
        <f ca="1">IFERROR(__xludf.DUMMYFUNCTION("""COMPUTED_VALUE"""),"Individuals At Risk, Refugee and Migrant Rights")</f>
        <v>Individuals At Risk, Refugee and Migrant Rights</v>
      </c>
      <c r="I1185" s="1" t="str">
        <f ca="1">IFERROR(__xludf.DUMMYFUNCTION("""COMPUTED_VALUE"""),"2024")</f>
        <v>2024</v>
      </c>
      <c r="J1185" s="1" t="str">
        <f ca="1">IFERROR(__xludf.DUMMYFUNCTION("""COMPUTED_VALUE"""),"Email")</f>
        <v>Email</v>
      </c>
    </row>
    <row r="1186" spans="1:10" ht="13" x14ac:dyDescent="0.15">
      <c r="A1186" s="4">
        <f ca="1">IFERROR(__xludf.DUMMYFUNCTION("""COMPUTED_VALUE"""),88395854)</f>
        <v>88395854</v>
      </c>
      <c r="B1186" s="1" t="str">
        <f ca="1">IFERROR(__xludf.DUMMYFUNCTION("""COMPUTED_VALUE"""),"agoldberg16@nyc.rr.com")</f>
        <v>agoldberg16@nyc.rr.com</v>
      </c>
      <c r="C1186" s="4" t="str">
        <f ca="1">IFERROR(__xludf.DUMMYFUNCTION("""COMPUTED_VALUE"""),"EVERGREEN - UAN Gated Content - Embedded Petition")</f>
        <v>EVERGREEN - UAN Gated Content - Embedded Petition</v>
      </c>
      <c r="D1186" s="5">
        <f ca="1">IFERROR(__xludf.DUMMYFUNCTION("""COMPUTED_VALUE"""),45700)</f>
        <v>45700</v>
      </c>
      <c r="F1186" s="1" t="str">
        <f ca="1">IFERROR(__xludf.DUMMYFUNCTION("""COMPUTED_VALUE"""),"China")</f>
        <v>China</v>
      </c>
      <c r="G1186" s="1" t="str">
        <f ca="1">IFERROR(__xludf.DUMMYFUNCTION("""COMPUTED_VALUE"""),"106.24 China")</f>
        <v>106.24 China</v>
      </c>
      <c r="H1186" s="1" t="str">
        <f ca="1">IFERROR(__xludf.DUMMYFUNCTION("""COMPUTED_VALUE"""),"Freedom of Expression, Individuals At Risk")</f>
        <v>Freedom of Expression, Individuals At Risk</v>
      </c>
      <c r="I1186" s="1" t="str">
        <f ca="1">IFERROR(__xludf.DUMMYFUNCTION("""COMPUTED_VALUE"""),"2024")</f>
        <v>2024</v>
      </c>
      <c r="J1186" s="1" t="str">
        <f ca="1">IFERROR(__xludf.DUMMYFUNCTION("""COMPUTED_VALUE"""),"Email")</f>
        <v>Email</v>
      </c>
    </row>
    <row r="1187" spans="1:10" ht="13" x14ac:dyDescent="0.15">
      <c r="A1187" s="4">
        <f ca="1">IFERROR(__xludf.DUMMYFUNCTION("""COMPUTED_VALUE"""),88395854)</f>
        <v>88395854</v>
      </c>
      <c r="B1187" s="1" t="str">
        <f ca="1">IFERROR(__xludf.DUMMYFUNCTION("""COMPUTED_VALUE"""),"agoldberg16@nyc.rr.com")</f>
        <v>agoldberg16@nyc.rr.com</v>
      </c>
      <c r="C1187" s="4" t="str">
        <f ca="1">IFERROR(__xludf.DUMMYFUNCTION("""COMPUTED_VALUE"""),"EVERGREEN - UAN Gated Content - Embedded Petition")</f>
        <v>EVERGREEN - UAN Gated Content - Embedded Petition</v>
      </c>
      <c r="D1187" s="5">
        <f ca="1">IFERROR(__xludf.DUMMYFUNCTION("""COMPUTED_VALUE"""),45700)</f>
        <v>45700</v>
      </c>
      <c r="F1187" s="1" t="str">
        <f ca="1">IFERROR(__xludf.DUMMYFUNCTION("""COMPUTED_VALUE"""),"Venezuela")</f>
        <v>Venezuela</v>
      </c>
      <c r="G1187" s="1" t="str">
        <f ca="1">IFERROR(__xludf.DUMMYFUNCTION("""COMPUTED_VALUE"""),"1.25 Venezuela")</f>
        <v>1.25 Venezuela</v>
      </c>
      <c r="H1187" s="1" t="str">
        <f ca="1">IFERROR(__xludf.DUMMYFUNCTION("""COMPUTED_VALUE"""),"Human Rights Defenders, Individuals At Risk")</f>
        <v>Human Rights Defenders, Individuals At Risk</v>
      </c>
      <c r="I1187" s="1" t="str">
        <f ca="1">IFERROR(__xludf.DUMMYFUNCTION("""COMPUTED_VALUE"""),"2025")</f>
        <v>2025</v>
      </c>
      <c r="J1187" s="1" t="str">
        <f ca="1">IFERROR(__xludf.DUMMYFUNCTION("""COMPUTED_VALUE"""),"Letter")</f>
        <v>Letter</v>
      </c>
    </row>
    <row r="1188" spans="1:10" ht="13" x14ac:dyDescent="0.15">
      <c r="A1188" s="4">
        <f ca="1">IFERROR(__xludf.DUMMYFUNCTION("""COMPUTED_VALUE"""),88395854)</f>
        <v>88395854</v>
      </c>
      <c r="B1188" s="1" t="str">
        <f ca="1">IFERROR(__xludf.DUMMYFUNCTION("""COMPUTED_VALUE"""),"agoldberg16@nyc.rr.com")</f>
        <v>agoldberg16@nyc.rr.com</v>
      </c>
      <c r="C1188" s="4" t="str">
        <f ca="1">IFERROR(__xludf.DUMMYFUNCTION("""COMPUTED_VALUE"""),"EVERGREEN - UAN Gated Content - Embedded Petition")</f>
        <v>EVERGREEN - UAN Gated Content - Embedded Petition</v>
      </c>
      <c r="D1188" s="5">
        <f ca="1">IFERROR(__xludf.DUMMYFUNCTION("""COMPUTED_VALUE"""),45700)</f>
        <v>45700</v>
      </c>
      <c r="F1188" s="1" t="str">
        <f ca="1">IFERROR(__xludf.DUMMYFUNCTION("""COMPUTED_VALUE"""),"Azerbaijan")</f>
        <v>Azerbaijan</v>
      </c>
      <c r="G1188" s="1" t="str">
        <f ca="1">IFERROR(__xludf.DUMMYFUNCTION("""COMPUTED_VALUE"""),"2.25 Azerbaijan")</f>
        <v>2.25 Azerbaijan</v>
      </c>
      <c r="H1188" s="1" t="str">
        <f ca="1">IFERROR(__xludf.DUMMYFUNCTION("""COMPUTED_VALUE"""),"Freedom of Expression, Human Rights Defenders")</f>
        <v>Freedom of Expression, Human Rights Defenders</v>
      </c>
      <c r="I1188" s="1" t="str">
        <f ca="1">IFERROR(__xludf.DUMMYFUNCTION("""COMPUTED_VALUE"""),"2025")</f>
        <v>2025</v>
      </c>
      <c r="J1188" s="1" t="str">
        <f ca="1">IFERROR(__xludf.DUMMYFUNCTION("""COMPUTED_VALUE"""),"Email")</f>
        <v>Email</v>
      </c>
    </row>
    <row r="1189" spans="1:10" ht="13" x14ac:dyDescent="0.15">
      <c r="A1189" s="4">
        <f ca="1">IFERROR(__xludf.DUMMYFUNCTION("""COMPUTED_VALUE"""),88395854)</f>
        <v>88395854</v>
      </c>
      <c r="B1189" s="1" t="str">
        <f ca="1">IFERROR(__xludf.DUMMYFUNCTION("""COMPUTED_VALUE"""),"agoldberg16@nyc.rr.com")</f>
        <v>agoldberg16@nyc.rr.com</v>
      </c>
      <c r="C1189" s="4" t="str">
        <f ca="1">IFERROR(__xludf.DUMMYFUNCTION("""COMPUTED_VALUE"""),"EVERGREEN - UAN Gated Content - Embedded Petition")</f>
        <v>EVERGREEN - UAN Gated Content - Embedded Petition</v>
      </c>
      <c r="D1189" s="5">
        <f ca="1">IFERROR(__xludf.DUMMYFUNCTION("""COMPUTED_VALUE"""),45700)</f>
        <v>45700</v>
      </c>
      <c r="F1189" s="1" t="str">
        <f ca="1">IFERROR(__xludf.DUMMYFUNCTION("""COMPUTED_VALUE"""),"Uganda")</f>
        <v>Uganda</v>
      </c>
      <c r="G1189" s="1" t="str">
        <f ca="1">IFERROR(__xludf.DUMMYFUNCTION("""COMPUTED_VALUE"""),"100.24 Uganda")</f>
        <v>100.24 Uganda</v>
      </c>
      <c r="H1189" s="1" t="str">
        <f ca="1">IFERROR(__xludf.DUMMYFUNCTION("""COMPUTED_VALUE"""),"Freedom of Expression")</f>
        <v>Freedom of Expression</v>
      </c>
      <c r="I1189" s="1" t="str">
        <f ca="1">IFERROR(__xludf.DUMMYFUNCTION("""COMPUTED_VALUE"""),"2024")</f>
        <v>2024</v>
      </c>
      <c r="J1189" s="1" t="str">
        <f ca="1">IFERROR(__xludf.DUMMYFUNCTION("""COMPUTED_VALUE"""),"Email")</f>
        <v>Email</v>
      </c>
    </row>
    <row r="1190" spans="1:10" ht="13" x14ac:dyDescent="0.15">
      <c r="A1190" s="4">
        <f ca="1">IFERROR(__xludf.DUMMYFUNCTION("""COMPUTED_VALUE"""),88395854)</f>
        <v>88395854</v>
      </c>
      <c r="B1190" s="1" t="str">
        <f ca="1">IFERROR(__xludf.DUMMYFUNCTION("""COMPUTED_VALUE"""),"agoldberg16@nyc.rr.com")</f>
        <v>agoldberg16@nyc.rr.com</v>
      </c>
      <c r="C1190" s="4" t="str">
        <f ca="1">IFERROR(__xludf.DUMMYFUNCTION("""COMPUTED_VALUE"""),"EVERGREEN - UAN Gated Content - Embedded Petition")</f>
        <v>EVERGREEN - UAN Gated Content - Embedded Petition</v>
      </c>
      <c r="D1190" s="5">
        <f ca="1">IFERROR(__xludf.DUMMYFUNCTION("""COMPUTED_VALUE"""),45700)</f>
        <v>45700</v>
      </c>
      <c r="F1190" s="1" t="str">
        <f ca="1">IFERROR(__xludf.DUMMYFUNCTION("""COMPUTED_VALUE"""),"Venezuela")</f>
        <v>Venezuela</v>
      </c>
      <c r="G1190" s="1" t="str">
        <f ca="1">IFERROR(__xludf.DUMMYFUNCTION("""COMPUTED_VALUE"""),"97.24 Venezuela")</f>
        <v>97.24 Venezuela</v>
      </c>
      <c r="H1190" s="1" t="str">
        <f ca="1">IFERROR(__xludf.DUMMYFUNCTION("""COMPUTED_VALUE"""),"Freedom of Expression")</f>
        <v>Freedom of Expression</v>
      </c>
      <c r="I1190" s="1" t="str">
        <f ca="1">IFERROR(__xludf.DUMMYFUNCTION("""COMPUTED_VALUE"""),"2024")</f>
        <v>2024</v>
      </c>
      <c r="J1190" s="1" t="str">
        <f ca="1">IFERROR(__xludf.DUMMYFUNCTION("""COMPUTED_VALUE"""),"Letter")</f>
        <v>Letter</v>
      </c>
    </row>
    <row r="1191" spans="1:10" ht="13" x14ac:dyDescent="0.15">
      <c r="A1191" s="4">
        <f ca="1">IFERROR(__xludf.DUMMYFUNCTION("""COMPUTED_VALUE"""),89953352)</f>
        <v>89953352</v>
      </c>
      <c r="B1191" s="1" t="str">
        <f ca="1">IFERROR(__xludf.DUMMYFUNCTION("""COMPUTED_VALUE"""),"adahle48@gmail.com")</f>
        <v>adahle48@gmail.com</v>
      </c>
      <c r="C1191" s="4" t="str">
        <f ca="1">IFERROR(__xludf.DUMMYFUNCTION("""COMPUTED_VALUE"""),"EVERGREEN - UAN Gated Content - Embedded Petition")</f>
        <v>EVERGREEN - UAN Gated Content - Embedded Petition</v>
      </c>
      <c r="D1191" s="5">
        <f ca="1">IFERROR(__xludf.DUMMYFUNCTION("""COMPUTED_VALUE"""),45677)</f>
        <v>45677</v>
      </c>
      <c r="F1191" s="1" t="str">
        <f ca="1">IFERROR(__xludf.DUMMYFUNCTION("""COMPUTED_VALUE"""),"China")</f>
        <v>China</v>
      </c>
      <c r="G1191" s="1" t="str">
        <f ca="1">IFERROR(__xludf.DUMMYFUNCTION("""COMPUTED_VALUE"""),"98.24 China")</f>
        <v>98.24 China</v>
      </c>
      <c r="H1191" s="1" t="str">
        <f ca="1">IFERROR(__xludf.DUMMYFUNCTION("""COMPUTED_VALUE"""),"Freedom of Expression, Individuals At Risk")</f>
        <v>Freedom of Expression, Individuals At Risk</v>
      </c>
      <c r="I1191" s="1" t="str">
        <f ca="1">IFERROR(__xludf.DUMMYFUNCTION("""COMPUTED_VALUE"""),"2024")</f>
        <v>2024</v>
      </c>
      <c r="J1191" s="1" t="str">
        <f ca="1">IFERROR(__xludf.DUMMYFUNCTION("""COMPUTED_VALUE"""),"Letter")</f>
        <v>Letter</v>
      </c>
    </row>
    <row r="1192" spans="1:10" ht="13" x14ac:dyDescent="0.15">
      <c r="A1192" s="4">
        <f ca="1">IFERROR(__xludf.DUMMYFUNCTION("""COMPUTED_VALUE"""),89953352)</f>
        <v>89953352</v>
      </c>
      <c r="B1192" s="1" t="str">
        <f ca="1">IFERROR(__xludf.DUMMYFUNCTION("""COMPUTED_VALUE"""),"adahle48@gmail.com")</f>
        <v>adahle48@gmail.com</v>
      </c>
      <c r="C1192" s="4" t="str">
        <f ca="1">IFERROR(__xludf.DUMMYFUNCTION("""COMPUTED_VALUE"""),"EVERGREEN - UAN Gated Content - Embedded Petition")</f>
        <v>EVERGREEN - UAN Gated Content - Embedded Petition</v>
      </c>
      <c r="D1192" s="5">
        <f ca="1">IFERROR(__xludf.DUMMYFUNCTION("""COMPUTED_VALUE"""),45677)</f>
        <v>45677</v>
      </c>
      <c r="F1192" s="1" t="str">
        <f ca="1">IFERROR(__xludf.DUMMYFUNCTION("""COMPUTED_VALUE"""),"Egypt")</f>
        <v>Egypt</v>
      </c>
      <c r="G1192" s="1" t="str">
        <f ca="1">IFERROR(__xludf.DUMMYFUNCTION("""COMPUTED_VALUE"""),"Third 73.23 Egypt")</f>
        <v>Third 73.23 Egypt</v>
      </c>
      <c r="H1192" s="1" t="str">
        <f ca="1">IFERROR(__xludf.DUMMYFUNCTION("""COMPUTED_VALUE"""),"Individuals At Risk")</f>
        <v>Individuals At Risk</v>
      </c>
      <c r="I1192" s="1" t="str">
        <f ca="1">IFERROR(__xludf.DUMMYFUNCTION("""COMPUTED_VALUE"""),"2024")</f>
        <v>2024</v>
      </c>
      <c r="J1192" s="1" t="str">
        <f ca="1">IFERROR(__xludf.DUMMYFUNCTION("""COMPUTED_VALUE"""),"Email")</f>
        <v>Email</v>
      </c>
    </row>
    <row r="1193" spans="1:10" ht="13" x14ac:dyDescent="0.15">
      <c r="A1193" s="4">
        <f ca="1">IFERROR(__xludf.DUMMYFUNCTION("""COMPUTED_VALUE"""),89953352)</f>
        <v>89953352</v>
      </c>
      <c r="B1193" s="1" t="str">
        <f ca="1">IFERROR(__xludf.DUMMYFUNCTION("""COMPUTED_VALUE"""),"adahle48@gmail.com")</f>
        <v>adahle48@gmail.com</v>
      </c>
      <c r="C1193" s="4" t="str">
        <f ca="1">IFERROR(__xludf.DUMMYFUNCTION("""COMPUTED_VALUE"""),"EVERGREEN - UAN Gated Content - Embedded Petition")</f>
        <v>EVERGREEN - UAN Gated Content - Embedded Petition</v>
      </c>
      <c r="D1193" s="5">
        <f ca="1">IFERROR(__xludf.DUMMYFUNCTION("""COMPUTED_VALUE"""),45678)</f>
        <v>45678</v>
      </c>
      <c r="F1193" s="1" t="str">
        <f ca="1">IFERROR(__xludf.DUMMYFUNCTION("""COMPUTED_VALUE"""),"Turkiye")</f>
        <v>Turkiye</v>
      </c>
      <c r="G1193" s="1" t="str">
        <f ca="1">IFERROR(__xludf.DUMMYFUNCTION("""COMPUTED_VALUE"""),"109.24 Türkiye")</f>
        <v>109.24 Türkiye</v>
      </c>
      <c r="H1193" s="1" t="str">
        <f ca="1">IFERROR(__xludf.DUMMYFUNCTION("""COMPUTED_VALUE"""),"Human Rights Defenders, Individuals At Risk")</f>
        <v>Human Rights Defenders, Individuals At Risk</v>
      </c>
      <c r="I1193" s="1" t="str">
        <f ca="1">IFERROR(__xludf.DUMMYFUNCTION("""COMPUTED_VALUE"""),"2024")</f>
        <v>2024</v>
      </c>
      <c r="J1193" s="1" t="str">
        <f ca="1">IFERROR(__xludf.DUMMYFUNCTION("""COMPUTED_VALUE"""),"Email")</f>
        <v>Email</v>
      </c>
    </row>
    <row r="1194" spans="1:10" ht="13" x14ac:dyDescent="0.15">
      <c r="A1194" s="4">
        <f ca="1">IFERROR(__xludf.DUMMYFUNCTION("""COMPUTED_VALUE"""),90641209)</f>
        <v>90641209</v>
      </c>
      <c r="B1194" s="1" t="str">
        <f ca="1">IFERROR(__xludf.DUMMYFUNCTION("""COMPUTED_VALUE"""),"sisterpamop@gmail.com")</f>
        <v>sisterpamop@gmail.com</v>
      </c>
      <c r="C1194" s="4" t="str">
        <f ca="1">IFERROR(__xludf.DUMMYFUNCTION("""COMPUTED_VALUE"""),"EVERGREEN - UAN Gated Content - Embedded Petition")</f>
        <v>EVERGREEN - UAN Gated Content - Embedded Petition</v>
      </c>
      <c r="D1194" s="5">
        <f ca="1">IFERROR(__xludf.DUMMYFUNCTION("""COMPUTED_VALUE"""),45696)</f>
        <v>45696</v>
      </c>
      <c r="F1194" s="1" t="str">
        <f ca="1">IFERROR(__xludf.DUMMYFUNCTION("""COMPUTED_VALUE"""),"Niger")</f>
        <v>Niger</v>
      </c>
      <c r="G1194" s="1" t="str">
        <f ca="1">IFERROR(__xludf.DUMMYFUNCTION("""COMPUTED_VALUE"""),"103.24 Niger")</f>
        <v>103.24 Niger</v>
      </c>
      <c r="H1194" s="1" t="str">
        <f ca="1">IFERROR(__xludf.DUMMYFUNCTION("""COMPUTED_VALUE"""),"Freedom of Expression, Human Rights Defenders")</f>
        <v>Freedom of Expression, Human Rights Defenders</v>
      </c>
      <c r="I1194" s="1" t="str">
        <f ca="1">IFERROR(__xludf.DUMMYFUNCTION("""COMPUTED_VALUE"""),"2024")</f>
        <v>2024</v>
      </c>
      <c r="J1194" s="1" t="str">
        <f ca="1">IFERROR(__xludf.DUMMYFUNCTION("""COMPUTED_VALUE"""),"Email")</f>
        <v>Email</v>
      </c>
    </row>
    <row r="1195" spans="1:10" ht="13" x14ac:dyDescent="0.15">
      <c r="A1195" s="4">
        <f ca="1">IFERROR(__xludf.DUMMYFUNCTION("""COMPUTED_VALUE"""),95069175)</f>
        <v>95069175</v>
      </c>
      <c r="B1195" s="1" t="str">
        <f ca="1">IFERROR(__xludf.DUMMYFUNCTION("""COMPUTED_VALUE"""),"sadie8882@gmail.com")</f>
        <v>sadie8882@gmail.com</v>
      </c>
      <c r="C1195" s="4" t="str">
        <f ca="1">IFERROR(__xludf.DUMMYFUNCTION("""COMPUTED_VALUE"""),"EVERGREEN - UAN Gated Content - Embedded Petition")</f>
        <v>EVERGREEN - UAN Gated Content - Embedded Petition</v>
      </c>
      <c r="D1195" s="5">
        <f ca="1">IFERROR(__xludf.DUMMYFUNCTION("""COMPUTED_VALUE"""),45636)</f>
        <v>45636</v>
      </c>
      <c r="F1195" s="1" t="str">
        <f ca="1">IFERROR(__xludf.DUMMYFUNCTION("""COMPUTED_VALUE"""),"Tunisia")</f>
        <v>Tunisia</v>
      </c>
      <c r="G1195" s="1" t="str">
        <f ca="1">IFERROR(__xludf.DUMMYFUNCTION("""COMPUTED_VALUE"""),"Second 43.24 Tunisia")</f>
        <v>Second 43.24 Tunisia</v>
      </c>
      <c r="H1195" s="1" t="str">
        <f ca="1">IFERROR(__xludf.DUMMYFUNCTION("""COMPUTED_VALUE"""),"Freedom of Expression, Individuals At Risk")</f>
        <v>Freedom of Expression, Individuals At Risk</v>
      </c>
      <c r="I1195" s="1" t="str">
        <f ca="1">IFERROR(__xludf.DUMMYFUNCTION("""COMPUTED_VALUE"""),"2024")</f>
        <v>2024</v>
      </c>
      <c r="J1195" s="1" t="str">
        <f ca="1">IFERROR(__xludf.DUMMYFUNCTION("""COMPUTED_VALUE"""),"Email")</f>
        <v>Email</v>
      </c>
    </row>
    <row r="1196" spans="1:10" ht="13" x14ac:dyDescent="0.15">
      <c r="A1196" s="4">
        <f ca="1">IFERROR(__xludf.DUMMYFUNCTION("""COMPUTED_VALUE"""),95309197)</f>
        <v>95309197</v>
      </c>
      <c r="B1196" s="1" t="str">
        <f ca="1">IFERROR(__xludf.DUMMYFUNCTION("""COMPUTED_VALUE"""),"r_e_rutkowski@att.net")</f>
        <v>r_e_rutkowski@att.net</v>
      </c>
      <c r="C1196" s="4" t="str">
        <f ca="1">IFERROR(__xludf.DUMMYFUNCTION("""COMPUTED_VALUE"""),"EVERGREEN - UAN Gated Content - Embedded Petition")</f>
        <v>EVERGREEN - UAN Gated Content - Embedded Petition</v>
      </c>
      <c r="D1196" s="5">
        <f ca="1">IFERROR(__xludf.DUMMYFUNCTION("""COMPUTED_VALUE"""),45636)</f>
        <v>45636</v>
      </c>
      <c r="F1196" s="1" t="str">
        <f ca="1">IFERROR(__xludf.DUMMYFUNCTION("""COMPUTED_VALUE"""),"China")</f>
        <v>China</v>
      </c>
      <c r="G1196" s="1" t="str">
        <f ca="1">IFERROR(__xludf.DUMMYFUNCTION("""COMPUTED_VALUE"""),"106.24 China")</f>
        <v>106.24 China</v>
      </c>
      <c r="H1196" s="1" t="str">
        <f ca="1">IFERROR(__xludf.DUMMYFUNCTION("""COMPUTED_VALUE"""),"Freedom of Expression, Individuals At Risk")</f>
        <v>Freedom of Expression, Individuals At Risk</v>
      </c>
      <c r="I1196" s="1" t="str">
        <f ca="1">IFERROR(__xludf.DUMMYFUNCTION("""COMPUTED_VALUE"""),"2024")</f>
        <v>2024</v>
      </c>
      <c r="J1196" s="1" t="str">
        <f ca="1">IFERROR(__xludf.DUMMYFUNCTION("""COMPUTED_VALUE"""),"Email")</f>
        <v>Email</v>
      </c>
    </row>
    <row r="1197" spans="1:10" ht="13" x14ac:dyDescent="0.15">
      <c r="A1197" s="4">
        <f ca="1">IFERROR(__xludf.DUMMYFUNCTION("""COMPUTED_VALUE"""),95482221)</f>
        <v>95482221</v>
      </c>
      <c r="B1197" s="1" t="str">
        <f ca="1">IFERROR(__xludf.DUMMYFUNCTION("""COMPUTED_VALUE"""),"jesaitisl@gmail.com")</f>
        <v>jesaitisl@gmail.com</v>
      </c>
      <c r="C1197" s="4" t="str">
        <f ca="1">IFERROR(__xludf.DUMMYFUNCTION("""COMPUTED_VALUE"""),"EVERGREEN - UAN Gated Content - Embedded Petition")</f>
        <v>EVERGREEN - UAN Gated Content - Embedded Petition</v>
      </c>
      <c r="D1197" s="5">
        <f ca="1">IFERROR(__xludf.DUMMYFUNCTION("""COMPUTED_VALUE"""),45616)</f>
        <v>45616</v>
      </c>
      <c r="F1197" s="1" t="str">
        <f ca="1">IFERROR(__xludf.DUMMYFUNCTION("""COMPUTED_VALUE"""),"Saudi Arabia")</f>
        <v>Saudi Arabia</v>
      </c>
      <c r="G1197" s="1" t="str">
        <f ca="1">IFERROR(__xludf.DUMMYFUNCTION("""COMPUTED_VALUE"""),"104.24 Saudi Arabia")</f>
        <v>104.24 Saudi Arabia</v>
      </c>
      <c r="H1197" s="1" t="str">
        <f ca="1">IFERROR(__xludf.DUMMYFUNCTION("""COMPUTED_VALUE"""),"Individuals At Risk, Refugee and Migrant Rights")</f>
        <v>Individuals At Risk, Refugee and Migrant Rights</v>
      </c>
      <c r="I1197" s="1" t="str">
        <f ca="1">IFERROR(__xludf.DUMMYFUNCTION("""COMPUTED_VALUE"""),"2024")</f>
        <v>2024</v>
      </c>
      <c r="J1197" s="1" t="str">
        <f ca="1">IFERROR(__xludf.DUMMYFUNCTION("""COMPUTED_VALUE"""),"Email")</f>
        <v>Email</v>
      </c>
    </row>
    <row r="1198" spans="1:10" ht="13" x14ac:dyDescent="0.15">
      <c r="A1198" s="4">
        <f ca="1">IFERROR(__xludf.DUMMYFUNCTION("""COMPUTED_VALUE"""),97330329)</f>
        <v>97330329</v>
      </c>
      <c r="B1198" s="1" t="str">
        <f ca="1">IFERROR(__xludf.DUMMYFUNCTION("""COMPUTED_VALUE"""),"mslattery0404@gmail.com")</f>
        <v>mslattery0404@gmail.com</v>
      </c>
      <c r="C1198" s="4" t="str">
        <f ca="1">IFERROR(__xludf.DUMMYFUNCTION("""COMPUTED_VALUE"""),"EVERGREEN - UAN Gated Content - Embedded Petition")</f>
        <v>EVERGREEN - UAN Gated Content - Embedded Petition</v>
      </c>
      <c r="D1198" s="5">
        <f ca="1">IFERROR(__xludf.DUMMYFUNCTION("""COMPUTED_VALUE"""),45694)</f>
        <v>45694</v>
      </c>
      <c r="F1198" s="1" t="str">
        <f ca="1">IFERROR(__xludf.DUMMYFUNCTION("""COMPUTED_VALUE"""),"Egypt")</f>
        <v>Egypt</v>
      </c>
      <c r="G1198" s="1" t="str">
        <f ca="1">IFERROR(__xludf.DUMMYFUNCTION("""COMPUTED_VALUE"""),"Fourth 29.23 Egypt")</f>
        <v>Fourth 29.23 Egypt</v>
      </c>
      <c r="H1198" s="1" t="str">
        <f ca="1">IFERROR(__xludf.DUMMYFUNCTION("""COMPUTED_VALUE"""),"Freedom of Expression, Individuals At Risk, Right to Protest")</f>
        <v>Freedom of Expression, Individuals At Risk, Right to Protest</v>
      </c>
      <c r="I1198" s="1" t="str">
        <f ca="1">IFERROR(__xludf.DUMMYFUNCTION("""COMPUTED_VALUE"""),"2024")</f>
        <v>2024</v>
      </c>
      <c r="J1198" s="1" t="str">
        <f ca="1">IFERROR(__xludf.DUMMYFUNCTION("""COMPUTED_VALUE"""),"Email")</f>
        <v>Email</v>
      </c>
    </row>
    <row r="1199" spans="1:10" ht="13" x14ac:dyDescent="0.15">
      <c r="A1199" s="4">
        <f ca="1">IFERROR(__xludf.DUMMYFUNCTION("""COMPUTED_VALUE"""),100847660)</f>
        <v>100847660</v>
      </c>
      <c r="B1199" s="1" t="str">
        <f ca="1">IFERROR(__xludf.DUMMYFUNCTION("""COMPUTED_VALUE"""),"khernd@gmail.com")</f>
        <v>khernd@gmail.com</v>
      </c>
      <c r="C1199" s="4" t="str">
        <f ca="1">IFERROR(__xludf.DUMMYFUNCTION("""COMPUTED_VALUE"""),"EVERGREEN - UAN Gated Content - Embedded Petition")</f>
        <v>EVERGREEN - UAN Gated Content - Embedded Petition</v>
      </c>
      <c r="D1199" s="5">
        <f ca="1">IFERROR(__xludf.DUMMYFUNCTION("""COMPUTED_VALUE"""),45616)</f>
        <v>45616</v>
      </c>
      <c r="F1199" s="1" t="str">
        <f ca="1">IFERROR(__xludf.DUMMYFUNCTION("""COMPUTED_VALUE"""),"Russian Federation")</f>
        <v>Russian Federation</v>
      </c>
      <c r="G1199" s="1" t="str">
        <f ca="1">IFERROR(__xludf.DUMMYFUNCTION("""COMPUTED_VALUE"""),"102.24 Russia")</f>
        <v>102.24 Russia</v>
      </c>
      <c r="H1199" s="1" t="str">
        <f ca="1">IFERROR(__xludf.DUMMYFUNCTION("""COMPUTED_VALUE"""),"Freedom of Expression, Individuals At Risk, Right to Protest")</f>
        <v>Freedom of Expression, Individuals At Risk, Right to Protest</v>
      </c>
      <c r="I1199" s="1" t="str">
        <f ca="1">IFERROR(__xludf.DUMMYFUNCTION("""COMPUTED_VALUE"""),"2024")</f>
        <v>2024</v>
      </c>
      <c r="J1199" s="1" t="str">
        <f ca="1">IFERROR(__xludf.DUMMYFUNCTION("""COMPUTED_VALUE"""),"Email")</f>
        <v>Email</v>
      </c>
    </row>
    <row r="1200" spans="1:10" ht="13" x14ac:dyDescent="0.15">
      <c r="A1200" s="4">
        <f ca="1">IFERROR(__xludf.DUMMYFUNCTION("""COMPUTED_VALUE"""),100852661)</f>
        <v>100852661</v>
      </c>
      <c r="B1200" s="1" t="str">
        <f ca="1">IFERROR(__xludf.DUMMYFUNCTION("""COMPUTED_VALUE"""),"gregfest@cltel.net")</f>
        <v>gregfest@cltel.net</v>
      </c>
      <c r="C1200" s="4" t="str">
        <f ca="1">IFERROR(__xludf.DUMMYFUNCTION("""COMPUTED_VALUE"""),"EVERGREEN - UAN Gated Content - Embedded Petition")</f>
        <v>EVERGREEN - UAN Gated Content - Embedded Petition</v>
      </c>
      <c r="D1200" s="5">
        <f ca="1">IFERROR(__xludf.DUMMYFUNCTION("""COMPUTED_VALUE"""),45677)</f>
        <v>45677</v>
      </c>
      <c r="F1200" s="1" t="str">
        <f ca="1">IFERROR(__xludf.DUMMYFUNCTION("""COMPUTED_VALUE"""),"Iran")</f>
        <v>Iran</v>
      </c>
      <c r="G1200" s="1" t="str">
        <f ca="1">IFERROR(__xludf.DUMMYFUNCTION("""COMPUTED_VALUE"""),"101.24 Iran")</f>
        <v>101.24 Iran</v>
      </c>
      <c r="H1200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1200" s="1" t="str">
        <f ca="1">IFERROR(__xludf.DUMMYFUNCTION("""COMPUTED_VALUE"""),"2024")</f>
        <v>2024</v>
      </c>
      <c r="J1200" s="1" t="str">
        <f ca="1">IFERROR(__xludf.DUMMYFUNCTION("""COMPUTED_VALUE"""),"Email")</f>
        <v>Email</v>
      </c>
    </row>
    <row r="1201" spans="1:10" ht="13" x14ac:dyDescent="0.15">
      <c r="A1201" s="4">
        <f ca="1">IFERROR(__xludf.DUMMYFUNCTION("""COMPUTED_VALUE"""),101796544)</f>
        <v>101796544</v>
      </c>
      <c r="B1201" s="1" t="str">
        <f ca="1">IFERROR(__xludf.DUMMYFUNCTION("""COMPUTED_VALUE"""),"stluc2.4@gmail.com")</f>
        <v>stluc2.4@gmail.com</v>
      </c>
      <c r="C1201" s="4" t="str">
        <f ca="1">IFERROR(__xludf.DUMMYFUNCTION("""COMPUTED_VALUE"""),"EVERGREEN - UAN Gated Content - Embedded Petition")</f>
        <v>EVERGREEN - UAN Gated Content - Embedded Petition</v>
      </c>
      <c r="D1201" s="5">
        <f ca="1">IFERROR(__xludf.DUMMYFUNCTION("""COMPUTED_VALUE"""),45697)</f>
        <v>45697</v>
      </c>
      <c r="F1201" s="1" t="str">
        <f ca="1">IFERROR(__xludf.DUMMYFUNCTION("""COMPUTED_VALUE"""),"Iran")</f>
        <v>Iran</v>
      </c>
      <c r="G1201" s="1" t="str">
        <f ca="1">IFERROR(__xludf.DUMMYFUNCTION("""COMPUTED_VALUE"""),"101.24 Iran")</f>
        <v>101.24 Iran</v>
      </c>
      <c r="H1201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1201" s="1" t="str">
        <f ca="1">IFERROR(__xludf.DUMMYFUNCTION("""COMPUTED_VALUE"""),"2024")</f>
        <v>2024</v>
      </c>
      <c r="J1201" s="1" t="str">
        <f ca="1">IFERROR(__xludf.DUMMYFUNCTION("""COMPUTED_VALUE"""),"Email")</f>
        <v>Email</v>
      </c>
    </row>
    <row r="1202" spans="1:10" ht="13" x14ac:dyDescent="0.15">
      <c r="A1202" s="4">
        <f ca="1">IFERROR(__xludf.DUMMYFUNCTION("""COMPUTED_VALUE"""),103712330)</f>
        <v>103712330</v>
      </c>
      <c r="B1202" s="1" t="str">
        <f ca="1">IFERROR(__xludf.DUMMYFUNCTION("""COMPUTED_VALUE"""),"rmarshall@fastmail.com")</f>
        <v>rmarshall@fastmail.com</v>
      </c>
      <c r="C1202" s="4" t="str">
        <f ca="1">IFERROR(__xludf.DUMMYFUNCTION("""COMPUTED_VALUE"""),"EVERGREEN - UAN Gated Content - Embedded Petition")</f>
        <v>EVERGREEN - UAN Gated Content - Embedded Petition</v>
      </c>
      <c r="D1202" s="5">
        <f ca="1">IFERROR(__xludf.DUMMYFUNCTION("""COMPUTED_VALUE"""),45702)</f>
        <v>45702</v>
      </c>
      <c r="F1202" s="1" t="str">
        <f ca="1">IFERROR(__xludf.DUMMYFUNCTION("""COMPUTED_VALUE"""),"Egypt")</f>
        <v>Egypt</v>
      </c>
      <c r="G1202" s="1" t="str">
        <f ca="1">IFERROR(__xludf.DUMMYFUNCTION("""COMPUTED_VALUE"""),"Ninth 190.18 Egypt")</f>
        <v>Ninth 190.18 Egypt</v>
      </c>
      <c r="H1202" s="1" t="str">
        <f ca="1">IFERROR(__xludf.DUMMYFUNCTION("""COMPUTED_VALUE"""),"Freedom of Expression, Individuals At Risk")</f>
        <v>Freedom of Expression, Individuals At Risk</v>
      </c>
      <c r="I1202" s="1" t="str">
        <f ca="1">IFERROR(__xludf.DUMMYFUNCTION("""COMPUTED_VALUE"""),"2024")</f>
        <v>2024</v>
      </c>
      <c r="J1202" s="1" t="str">
        <f ca="1">IFERROR(__xludf.DUMMYFUNCTION("""COMPUTED_VALUE"""),"Letter")</f>
        <v>Letter</v>
      </c>
    </row>
    <row r="1203" spans="1:10" ht="13" x14ac:dyDescent="0.15">
      <c r="A1203" s="4">
        <f ca="1">IFERROR(__xludf.DUMMYFUNCTION("""COMPUTED_VALUE"""),103712330)</f>
        <v>103712330</v>
      </c>
      <c r="B1203" s="1" t="str">
        <f ca="1">IFERROR(__xludf.DUMMYFUNCTION("""COMPUTED_VALUE"""),"rmarshall@fastmail.com")</f>
        <v>rmarshall@fastmail.com</v>
      </c>
      <c r="C1203" s="4" t="str">
        <f ca="1">IFERROR(__xludf.DUMMYFUNCTION("""COMPUTED_VALUE"""),"EVERGREEN - UAN Gated Content - Embedded Petition")</f>
        <v>EVERGREEN - UAN Gated Content - Embedded Petition</v>
      </c>
      <c r="D1203" s="5">
        <f ca="1">IFERROR(__xludf.DUMMYFUNCTION("""COMPUTED_VALUE"""),45702)</f>
        <v>45702</v>
      </c>
      <c r="F1203" s="1" t="str">
        <f ca="1">IFERROR(__xludf.DUMMYFUNCTION("""COMPUTED_VALUE"""),"Saudi Arabia")</f>
        <v>Saudi Arabia</v>
      </c>
      <c r="G1203" s="1" t="str">
        <f ca="1">IFERROR(__xludf.DUMMYFUNCTION("""COMPUTED_VALUE"""),"Second 85.23 Saudi Arabia")</f>
        <v>Second 85.23 Saudi Arabia</v>
      </c>
      <c r="H1203" s="1" t="str">
        <f ca="1">IFERROR(__xludf.DUMMYFUNCTION("""COMPUTED_VALUE"""),"Freedom of Expression")</f>
        <v>Freedom of Expression</v>
      </c>
      <c r="I1203" s="1" t="str">
        <f ca="1">IFERROR(__xludf.DUMMYFUNCTION("""COMPUTED_VALUE"""),"2024")</f>
        <v>2024</v>
      </c>
      <c r="J1203" s="1" t="str">
        <f ca="1">IFERROR(__xludf.DUMMYFUNCTION("""COMPUTED_VALUE"""),"Letter")</f>
        <v>Letter</v>
      </c>
    </row>
    <row r="1204" spans="1:10" ht="13" x14ac:dyDescent="0.15">
      <c r="A1204" s="4">
        <f ca="1">IFERROR(__xludf.DUMMYFUNCTION("""COMPUTED_VALUE"""),103712330)</f>
        <v>103712330</v>
      </c>
      <c r="B1204" s="1" t="str">
        <f ca="1">IFERROR(__xludf.DUMMYFUNCTION("""COMPUTED_VALUE"""),"rmarshall@fastmail.com")</f>
        <v>rmarshall@fastmail.com</v>
      </c>
      <c r="C1204" s="4" t="str">
        <f ca="1">IFERROR(__xludf.DUMMYFUNCTION("""COMPUTED_VALUE"""),"EVERGREEN - UAN Gated Content - Embedded Petition")</f>
        <v>EVERGREEN - UAN Gated Content - Embedded Petition</v>
      </c>
      <c r="D1204" s="5">
        <f ca="1">IFERROR(__xludf.DUMMYFUNCTION("""COMPUTED_VALUE"""),45633)</f>
        <v>45633</v>
      </c>
      <c r="F1204" s="1" t="str">
        <f ca="1">IFERROR(__xludf.DUMMYFUNCTION("""COMPUTED_VALUE"""),"Egypt")</f>
        <v>Egypt</v>
      </c>
      <c r="G1204" s="1" t="str">
        <f ca="1">IFERROR(__xludf.DUMMYFUNCTION("""COMPUTED_VALUE"""),"Ninth 190.18 Egypt")</f>
        <v>Ninth 190.18 Egypt</v>
      </c>
      <c r="H1204" s="1" t="str">
        <f ca="1">IFERROR(__xludf.DUMMYFUNCTION("""COMPUTED_VALUE"""),"Freedom of Expression, Individuals At Risk")</f>
        <v>Freedom of Expression, Individuals At Risk</v>
      </c>
      <c r="I1204" s="1" t="str">
        <f ca="1">IFERROR(__xludf.DUMMYFUNCTION("""COMPUTED_VALUE"""),"2024")</f>
        <v>2024</v>
      </c>
      <c r="J1204" s="1" t="str">
        <f ca="1">IFERROR(__xludf.DUMMYFUNCTION("""COMPUTED_VALUE"""),"Letter")</f>
        <v>Letter</v>
      </c>
    </row>
    <row r="1205" spans="1:10" ht="13" x14ac:dyDescent="0.15">
      <c r="A1205" s="4">
        <f ca="1">IFERROR(__xludf.DUMMYFUNCTION("""COMPUTED_VALUE"""),104935454)</f>
        <v>104935454</v>
      </c>
      <c r="B1205" s="1" t="str">
        <f ca="1">IFERROR(__xludf.DUMMYFUNCTION("""COMPUTED_VALUE"""),"luismesquitafonseca@hotmail.com")</f>
        <v>luismesquitafonseca@hotmail.com</v>
      </c>
      <c r="C1205" s="4" t="str">
        <f ca="1">IFERROR(__xludf.DUMMYFUNCTION("""COMPUTED_VALUE"""),"EVERGREEN - UAN Gated Content - Embedded Petition")</f>
        <v>EVERGREEN - UAN Gated Content - Embedded Petition</v>
      </c>
      <c r="D1205" s="5">
        <f ca="1">IFERROR(__xludf.DUMMYFUNCTION("""COMPUTED_VALUE"""),45694)</f>
        <v>45694</v>
      </c>
      <c r="F1205" s="1" t="str">
        <f ca="1">IFERROR(__xludf.DUMMYFUNCTION("""COMPUTED_VALUE"""),"Saudi Arabia")</f>
        <v>Saudi Arabia</v>
      </c>
      <c r="G1205" s="1" t="str">
        <f ca="1">IFERROR(__xludf.DUMMYFUNCTION("""COMPUTED_VALUE"""),"Second 85.23 Saudi Arabia")</f>
        <v>Second 85.23 Saudi Arabia</v>
      </c>
      <c r="H1205" s="1" t="str">
        <f ca="1">IFERROR(__xludf.DUMMYFUNCTION("""COMPUTED_VALUE"""),"Freedom of Expression")</f>
        <v>Freedom of Expression</v>
      </c>
      <c r="I1205" s="1" t="str">
        <f ca="1">IFERROR(__xludf.DUMMYFUNCTION("""COMPUTED_VALUE"""),"2024")</f>
        <v>2024</v>
      </c>
      <c r="J1205" s="1" t="str">
        <f ca="1">IFERROR(__xludf.DUMMYFUNCTION("""COMPUTED_VALUE"""),"Letter")</f>
        <v>Letter</v>
      </c>
    </row>
    <row r="1206" spans="1:10" ht="13" x14ac:dyDescent="0.15">
      <c r="A1206" s="4">
        <f ca="1">IFERROR(__xludf.DUMMYFUNCTION("""COMPUTED_VALUE"""),106012094)</f>
        <v>106012094</v>
      </c>
      <c r="B1206" s="1" t="str">
        <f ca="1">IFERROR(__xludf.DUMMYFUNCTION("""COMPUTED_VALUE"""),"jnkpauley@gmail.com")</f>
        <v>jnkpauley@gmail.com</v>
      </c>
      <c r="C1206" s="4" t="str">
        <f ca="1">IFERROR(__xludf.DUMMYFUNCTION("""COMPUTED_VALUE"""),"EVERGREEN - UAN Gated Content - Embedded Petition")</f>
        <v>EVERGREEN - UAN Gated Content - Embedded Petition</v>
      </c>
      <c r="D1206" s="5">
        <f ca="1">IFERROR(__xludf.DUMMYFUNCTION("""COMPUTED_VALUE"""),45694)</f>
        <v>45694</v>
      </c>
      <c r="F1206" s="1" t="str">
        <f ca="1">IFERROR(__xludf.DUMMYFUNCTION("""COMPUTED_VALUE"""),"Russian Federation")</f>
        <v>Russian Federation</v>
      </c>
      <c r="G1206" s="1" t="str">
        <f ca="1">IFERROR(__xludf.DUMMYFUNCTION("""COMPUTED_VALUE"""),"Second 23.24 Russia")</f>
        <v>Second 23.24 Russia</v>
      </c>
      <c r="H1206" s="1" t="str">
        <f ca="1">IFERROR(__xludf.DUMMYFUNCTION("""COMPUTED_VALUE"""),"Freedom of Expression")</f>
        <v>Freedom of Expression</v>
      </c>
      <c r="I1206" s="1" t="str">
        <f ca="1">IFERROR(__xludf.DUMMYFUNCTION("""COMPUTED_VALUE"""),"2024")</f>
        <v>2024</v>
      </c>
      <c r="J1206" s="1" t="str">
        <f ca="1">IFERROR(__xludf.DUMMYFUNCTION("""COMPUTED_VALUE"""),"Letter")</f>
        <v>Letter</v>
      </c>
    </row>
    <row r="1207" spans="1:10" ht="13" x14ac:dyDescent="0.15">
      <c r="A1207" s="4">
        <f ca="1">IFERROR(__xludf.DUMMYFUNCTION("""COMPUTED_VALUE"""),108543739)</f>
        <v>108543739</v>
      </c>
      <c r="B1207" s="1" t="str">
        <f ca="1">IFERROR(__xludf.DUMMYFUNCTION("""COMPUTED_VALUE"""),"cclaireham@gmail.com")</f>
        <v>cclaireham@gmail.com</v>
      </c>
      <c r="C1207" s="4" t="str">
        <f ca="1">IFERROR(__xludf.DUMMYFUNCTION("""COMPUTED_VALUE"""),"EVERGREEN - UAN Gated Content - Embedded Petition")</f>
        <v>EVERGREEN - UAN Gated Content - Embedded Petition</v>
      </c>
      <c r="D1207" s="5">
        <f ca="1">IFERROR(__xludf.DUMMYFUNCTION("""COMPUTED_VALUE"""),45700)</f>
        <v>45700</v>
      </c>
      <c r="F1207" s="1" t="str">
        <f ca="1">IFERROR(__xludf.DUMMYFUNCTION("""COMPUTED_VALUE"""),"China")</f>
        <v>China</v>
      </c>
      <c r="G1207" s="1" t="str">
        <f ca="1">IFERROR(__xludf.DUMMYFUNCTION("""COMPUTED_VALUE"""),"98.24 China")</f>
        <v>98.24 China</v>
      </c>
      <c r="H1207" s="1" t="str">
        <f ca="1">IFERROR(__xludf.DUMMYFUNCTION("""COMPUTED_VALUE"""),"Freedom of Expression, Individuals At Risk")</f>
        <v>Freedom of Expression, Individuals At Risk</v>
      </c>
      <c r="I1207" s="1" t="str">
        <f ca="1">IFERROR(__xludf.DUMMYFUNCTION("""COMPUTED_VALUE"""),"2024")</f>
        <v>2024</v>
      </c>
      <c r="J1207" s="1" t="str">
        <f ca="1">IFERROR(__xludf.DUMMYFUNCTION("""COMPUTED_VALUE"""),"Letter")</f>
        <v>Letter</v>
      </c>
    </row>
    <row r="1208" spans="1:10" ht="13" x14ac:dyDescent="0.15">
      <c r="A1208" s="4">
        <f ca="1">IFERROR(__xludf.DUMMYFUNCTION("""COMPUTED_VALUE"""),111279340)</f>
        <v>111279340</v>
      </c>
      <c r="B1208" s="1" t="str">
        <f ca="1">IFERROR(__xludf.DUMMYFUNCTION("""COMPUTED_VALUE"""),"pbchmelik@icloud.com")</f>
        <v>pbchmelik@icloud.com</v>
      </c>
      <c r="C1208" s="4" t="str">
        <f ca="1">IFERROR(__xludf.DUMMYFUNCTION("""COMPUTED_VALUE"""),"EVERGREEN - UAN Gated Content - Embedded Petition")</f>
        <v>EVERGREEN - UAN Gated Content - Embedded Petition</v>
      </c>
      <c r="D1208" s="5">
        <f ca="1">IFERROR(__xludf.DUMMYFUNCTION("""COMPUTED_VALUE"""),45635)</f>
        <v>45635</v>
      </c>
      <c r="F1208" s="1" t="str">
        <f ca="1">IFERROR(__xludf.DUMMYFUNCTION("""COMPUTED_VALUE"""),"Uganda")</f>
        <v>Uganda</v>
      </c>
      <c r="G1208" s="1" t="str">
        <f ca="1">IFERROR(__xludf.DUMMYFUNCTION("""COMPUTED_VALUE"""),"9.25 Uganda")</f>
        <v>9.25 Uganda</v>
      </c>
      <c r="H1208" s="1" t="str">
        <f ca="1">IFERROR(__xludf.DUMMYFUNCTION("""COMPUTED_VALUE"""),"Freedom of Expression, Human Rights Defenders")</f>
        <v>Freedom of Expression, Human Rights Defenders</v>
      </c>
      <c r="I1208" s="1" t="str">
        <f ca="1">IFERROR(__xludf.DUMMYFUNCTION("""COMPUTED_VALUE"""),"2025")</f>
        <v>2025</v>
      </c>
      <c r="J1208" s="1" t="str">
        <f ca="1">IFERROR(__xludf.DUMMYFUNCTION("""COMPUTED_VALUE"""),"Email")</f>
        <v>Email</v>
      </c>
    </row>
    <row r="1209" spans="1:10" ht="13" x14ac:dyDescent="0.15">
      <c r="A1209" s="4">
        <f ca="1">IFERROR(__xludf.DUMMYFUNCTION("""COMPUTED_VALUE"""),111279340)</f>
        <v>111279340</v>
      </c>
      <c r="B1209" s="1" t="str">
        <f ca="1">IFERROR(__xludf.DUMMYFUNCTION("""COMPUTED_VALUE"""),"pbchmelik@icloud.com")</f>
        <v>pbchmelik@icloud.com</v>
      </c>
      <c r="C1209" s="4" t="str">
        <f ca="1">IFERROR(__xludf.DUMMYFUNCTION("""COMPUTED_VALUE"""),"EVERGREEN - UAN Gated Content - Embedded Petition")</f>
        <v>EVERGREEN - UAN Gated Content - Embedded Petition</v>
      </c>
      <c r="D1209" s="5">
        <f ca="1">IFERROR(__xludf.DUMMYFUNCTION("""COMPUTED_VALUE"""),45631)</f>
        <v>45631</v>
      </c>
      <c r="F1209" s="1" t="str">
        <f ca="1">IFERROR(__xludf.DUMMYFUNCTION("""COMPUTED_VALUE"""),"Iran")</f>
        <v>Iran</v>
      </c>
      <c r="G1209" s="1" t="str">
        <f ca="1">IFERROR(__xludf.DUMMYFUNCTION("""COMPUTED_VALUE"""),"10.25 Iran")</f>
        <v>10.25 Iran</v>
      </c>
      <c r="H1209" s="1" t="str">
        <f ca="1">IFERROR(__xludf.DUMMYFUNCTION("""COMPUTED_VALUE"""),"Death Penalty, Individuals At Risk")</f>
        <v>Death Penalty, Individuals At Risk</v>
      </c>
      <c r="I1209" s="1" t="str">
        <f ca="1">IFERROR(__xludf.DUMMYFUNCTION("""COMPUTED_VALUE"""),"2025")</f>
        <v>2025</v>
      </c>
      <c r="J1209" s="1" t="str">
        <f ca="1">IFERROR(__xludf.DUMMYFUNCTION("""COMPUTED_VALUE"""),"Email")</f>
        <v>Email</v>
      </c>
    </row>
    <row r="1210" spans="1:10" ht="13" x14ac:dyDescent="0.15">
      <c r="A1210" s="4">
        <f ca="1">IFERROR(__xludf.DUMMYFUNCTION("""COMPUTED_VALUE"""),111279340)</f>
        <v>111279340</v>
      </c>
      <c r="B1210" s="1" t="str">
        <f ca="1">IFERROR(__xludf.DUMMYFUNCTION("""COMPUTED_VALUE"""),"pbchmelik@icloud.com")</f>
        <v>pbchmelik@icloud.com</v>
      </c>
      <c r="C1210" s="4" t="str">
        <f ca="1">IFERROR(__xludf.DUMMYFUNCTION("""COMPUTED_VALUE"""),"EVERGREEN - UAN Gated Content - Embedded Petition")</f>
        <v>EVERGREEN - UAN Gated Content - Embedded Petition</v>
      </c>
      <c r="D1210" s="5">
        <f ca="1">IFERROR(__xludf.DUMMYFUNCTION("""COMPUTED_VALUE"""),45629)</f>
        <v>45629</v>
      </c>
      <c r="F1210" s="1" t="str">
        <f ca="1">IFERROR(__xludf.DUMMYFUNCTION("""COMPUTED_VALUE"""),"Egypt")</f>
        <v>Egypt</v>
      </c>
      <c r="G1210" s="1" t="str">
        <f ca="1">IFERROR(__xludf.DUMMYFUNCTION("""COMPUTED_VALUE"""),"Second 80.23 Egypt")</f>
        <v>Second 80.23 Egypt</v>
      </c>
      <c r="H1210" s="1" t="str">
        <f ca="1">IFERROR(__xludf.DUMMYFUNCTION("""COMPUTED_VALUE"""),"Health, Individuals At Risk")</f>
        <v>Health, Individuals At Risk</v>
      </c>
      <c r="I1210" s="1" t="str">
        <f ca="1">IFERROR(__xludf.DUMMYFUNCTION("""COMPUTED_VALUE"""),"2025")</f>
        <v>2025</v>
      </c>
      <c r="J1210" s="1" t="str">
        <f ca="1">IFERROR(__xludf.DUMMYFUNCTION("""COMPUTED_VALUE"""),"Email")</f>
        <v>Email</v>
      </c>
    </row>
    <row r="1211" spans="1:10" ht="13" x14ac:dyDescent="0.15">
      <c r="A1211" s="4">
        <f ca="1">IFERROR(__xludf.DUMMYFUNCTION("""COMPUTED_VALUE"""),111279340)</f>
        <v>111279340</v>
      </c>
      <c r="B1211" s="1" t="str">
        <f ca="1">IFERROR(__xludf.DUMMYFUNCTION("""COMPUTED_VALUE"""),"pbchmelik@icloud.com")</f>
        <v>pbchmelik@icloud.com</v>
      </c>
      <c r="C1211" s="4" t="str">
        <f ca="1">IFERROR(__xludf.DUMMYFUNCTION("""COMPUTED_VALUE"""),"EVERGREEN - UAN Gated Content - Embedded Petition")</f>
        <v>EVERGREEN - UAN Gated Content - Embedded Petition</v>
      </c>
      <c r="D1211" s="5">
        <f ca="1">IFERROR(__xludf.DUMMYFUNCTION("""COMPUTED_VALUE"""),45622)</f>
        <v>45622</v>
      </c>
      <c r="F1211" s="1" t="str">
        <f ca="1">IFERROR(__xludf.DUMMYFUNCTION("""COMPUTED_VALUE"""),"Libya")</f>
        <v>Libya</v>
      </c>
      <c r="G1211" s="1" t="str">
        <f ca="1">IFERROR(__xludf.DUMMYFUNCTION("""COMPUTED_VALUE"""),"12.25 Libya")</f>
        <v>12.25 Libya</v>
      </c>
      <c r="H1211" s="1" t="str">
        <f ca="1">IFERROR(__xludf.DUMMYFUNCTION("""COMPUTED_VALUE"""),"Freedom of Expression, Health, Individuals At Risk")</f>
        <v>Freedom of Expression, Health, Individuals At Risk</v>
      </c>
      <c r="I1211" s="1" t="str">
        <f ca="1">IFERROR(__xludf.DUMMYFUNCTION("""COMPUTED_VALUE"""),"2025")</f>
        <v>2025</v>
      </c>
      <c r="J1211" s="1" t="str">
        <f ca="1">IFERROR(__xludf.DUMMYFUNCTION("""COMPUTED_VALUE"""),"Email")</f>
        <v>Email</v>
      </c>
    </row>
    <row r="1212" spans="1:10" ht="13" x14ac:dyDescent="0.15">
      <c r="A1212" s="4">
        <f ca="1">IFERROR(__xludf.DUMMYFUNCTION("""COMPUTED_VALUE"""),111279340)</f>
        <v>111279340</v>
      </c>
      <c r="B1212" s="1" t="str">
        <f ca="1">IFERROR(__xludf.DUMMYFUNCTION("""COMPUTED_VALUE"""),"pbchmelik@icloud.com")</f>
        <v>pbchmelik@icloud.com</v>
      </c>
      <c r="C1212" s="4" t="str">
        <f ca="1">IFERROR(__xludf.DUMMYFUNCTION("""COMPUTED_VALUE"""),"EVERGREEN - UAN Gated Content - Embedded Petition")</f>
        <v>EVERGREEN - UAN Gated Content - Embedded Petition</v>
      </c>
      <c r="D1212" s="5">
        <f ca="1">IFERROR(__xludf.DUMMYFUNCTION("""COMPUTED_VALUE"""),45694)</f>
        <v>45694</v>
      </c>
      <c r="F1212" s="1" t="str">
        <f ca="1">IFERROR(__xludf.DUMMYFUNCTION("""COMPUTED_VALUE"""),"Saudi Arabia")</f>
        <v>Saudi Arabia</v>
      </c>
      <c r="G1212" s="1" t="str">
        <f ca="1">IFERROR(__xludf.DUMMYFUNCTION("""COMPUTED_VALUE"""),"Fifth 257.12")</f>
        <v>Fifth 257.12</v>
      </c>
      <c r="H1212" s="1" t="str">
        <f ca="1">IFERROR(__xludf.DUMMYFUNCTION("""COMPUTED_VALUE"""),"Freedom of Expression, Human Rights Defenders")</f>
        <v>Freedom of Expression, Human Rights Defenders</v>
      </c>
      <c r="I1212" s="1" t="str">
        <f ca="1">IFERROR(__xludf.DUMMYFUNCTION("""COMPUTED_VALUE"""),"2025")</f>
        <v>2025</v>
      </c>
      <c r="J1212" s="1" t="str">
        <f ca="1">IFERROR(__xludf.DUMMYFUNCTION("""COMPUTED_VALUE"""),"Email")</f>
        <v>Email</v>
      </c>
    </row>
    <row r="1213" spans="1:10" ht="13" x14ac:dyDescent="0.15">
      <c r="A1213" s="4">
        <f ca="1">IFERROR(__xludf.DUMMYFUNCTION("""COMPUTED_VALUE"""),111279340)</f>
        <v>111279340</v>
      </c>
      <c r="B1213" s="1" t="str">
        <f ca="1">IFERROR(__xludf.DUMMYFUNCTION("""COMPUTED_VALUE"""),"pbchmelik@icloud.com")</f>
        <v>pbchmelik@icloud.com</v>
      </c>
      <c r="C1213" s="4" t="str">
        <f ca="1">IFERROR(__xludf.DUMMYFUNCTION("""COMPUTED_VALUE"""),"EVERGREEN - UAN Gated Content - Embedded Petition")</f>
        <v>EVERGREEN - UAN Gated Content - Embedded Petition</v>
      </c>
      <c r="D1213" s="5">
        <f ca="1">IFERROR(__xludf.DUMMYFUNCTION("""COMPUTED_VALUE"""),45690)</f>
        <v>45690</v>
      </c>
      <c r="F1213" s="1" t="str">
        <f ca="1">IFERROR(__xludf.DUMMYFUNCTION("""COMPUTED_VALUE"""),"Venezuela")</f>
        <v>Venezuela</v>
      </c>
      <c r="G1213" s="1" t="str">
        <f ca="1">IFERROR(__xludf.DUMMYFUNCTION("""COMPUTED_VALUE"""),"97.24 Venezuela")</f>
        <v>97.24 Venezuela</v>
      </c>
      <c r="H1213" s="1" t="str">
        <f ca="1">IFERROR(__xludf.DUMMYFUNCTION("""COMPUTED_VALUE"""),"Freedom of Expression")</f>
        <v>Freedom of Expression</v>
      </c>
      <c r="I1213" s="1" t="str">
        <f ca="1">IFERROR(__xludf.DUMMYFUNCTION("""COMPUTED_VALUE"""),"2024")</f>
        <v>2024</v>
      </c>
      <c r="J1213" s="1" t="str">
        <f ca="1">IFERROR(__xludf.DUMMYFUNCTION("""COMPUTED_VALUE"""),"Letter")</f>
        <v>Letter</v>
      </c>
    </row>
    <row r="1214" spans="1:10" ht="13" x14ac:dyDescent="0.15">
      <c r="A1214" s="4">
        <f ca="1">IFERROR(__xludf.DUMMYFUNCTION("""COMPUTED_VALUE"""),111279340)</f>
        <v>111279340</v>
      </c>
      <c r="B1214" s="1" t="str">
        <f ca="1">IFERROR(__xludf.DUMMYFUNCTION("""COMPUTED_VALUE"""),"pbchmelik@icloud.com")</f>
        <v>pbchmelik@icloud.com</v>
      </c>
      <c r="C1214" s="4" t="str">
        <f ca="1">IFERROR(__xludf.DUMMYFUNCTION("""COMPUTED_VALUE"""),"EVERGREEN - UAN Gated Content - Embedded Petition")</f>
        <v>EVERGREEN - UAN Gated Content - Embedded Petition</v>
      </c>
      <c r="D1214" s="5">
        <f ca="1">IFERROR(__xludf.DUMMYFUNCTION("""COMPUTED_VALUE"""),45690)</f>
        <v>45690</v>
      </c>
      <c r="F1214" s="1" t="str">
        <f ca="1">IFERROR(__xludf.DUMMYFUNCTION("""COMPUTED_VALUE"""),"Afghanistan")</f>
        <v>Afghanistan</v>
      </c>
      <c r="G1214" s="1" t="str">
        <f ca="1">IFERROR(__xludf.DUMMYFUNCTION("""COMPUTED_VALUE"""),"11.25 Afghanistan")</f>
        <v>11.25 Afghanistan</v>
      </c>
      <c r="H1214" s="1" t="str">
        <f ca="1">IFERROR(__xludf.DUMMYFUNCTION("""COMPUTED_VALUE"""),"Freedom of Expression, Health, Individuals At Risk")</f>
        <v>Freedom of Expression, Health, Individuals At Risk</v>
      </c>
      <c r="I1214" s="1" t="str">
        <f ca="1">IFERROR(__xludf.DUMMYFUNCTION("""COMPUTED_VALUE"""),"2025")</f>
        <v>2025</v>
      </c>
      <c r="J1214" s="1" t="str">
        <f ca="1">IFERROR(__xludf.DUMMYFUNCTION("""COMPUTED_VALUE"""),"Email")</f>
        <v>Email</v>
      </c>
    </row>
    <row r="1215" spans="1:10" ht="13" x14ac:dyDescent="0.15">
      <c r="A1215" s="4">
        <f ca="1">IFERROR(__xludf.DUMMYFUNCTION("""COMPUTED_VALUE"""),111279340)</f>
        <v>111279340</v>
      </c>
      <c r="B1215" s="1" t="str">
        <f ca="1">IFERROR(__xludf.DUMMYFUNCTION("""COMPUTED_VALUE"""),"pbchmelik@icloud.com")</f>
        <v>pbchmelik@icloud.com</v>
      </c>
      <c r="C1215" s="4" t="str">
        <f ca="1">IFERROR(__xludf.DUMMYFUNCTION("""COMPUTED_VALUE"""),"EVERGREEN - UAN Gated Content - Embedded Petition")</f>
        <v>EVERGREEN - UAN Gated Content - Embedded Petition</v>
      </c>
      <c r="D1215" s="5">
        <f ca="1">IFERROR(__xludf.DUMMYFUNCTION("""COMPUTED_VALUE"""),45687)</f>
        <v>45687</v>
      </c>
      <c r="F1215" s="1" t="str">
        <f ca="1">IFERROR(__xludf.DUMMYFUNCTION("""COMPUTED_VALUE"""),"Libya")</f>
        <v>Libya</v>
      </c>
      <c r="G1215" s="1" t="str">
        <f ca="1">IFERROR(__xludf.DUMMYFUNCTION("""COMPUTED_VALUE"""),"12.25 Libya")</f>
        <v>12.25 Libya</v>
      </c>
      <c r="H1215" s="1" t="str">
        <f ca="1">IFERROR(__xludf.DUMMYFUNCTION("""COMPUTED_VALUE"""),"Freedom of Expression, Health, Individuals At Risk")</f>
        <v>Freedom of Expression, Health, Individuals At Risk</v>
      </c>
      <c r="I1215" s="1" t="str">
        <f ca="1">IFERROR(__xludf.DUMMYFUNCTION("""COMPUTED_VALUE"""),"2025")</f>
        <v>2025</v>
      </c>
      <c r="J1215" s="1" t="str">
        <f ca="1">IFERROR(__xludf.DUMMYFUNCTION("""COMPUTED_VALUE"""),"Email")</f>
        <v>Email</v>
      </c>
    </row>
    <row r="1216" spans="1:10" ht="13" x14ac:dyDescent="0.15">
      <c r="A1216" s="4">
        <f ca="1">IFERROR(__xludf.DUMMYFUNCTION("""COMPUTED_VALUE"""),111279340)</f>
        <v>111279340</v>
      </c>
      <c r="B1216" s="1" t="str">
        <f ca="1">IFERROR(__xludf.DUMMYFUNCTION("""COMPUTED_VALUE"""),"pbchmelik@icloud.com")</f>
        <v>pbchmelik@icloud.com</v>
      </c>
      <c r="C1216" s="4" t="str">
        <f ca="1">IFERROR(__xludf.DUMMYFUNCTION("""COMPUTED_VALUE"""),"EVERGREEN - UAN Gated Content - Embedded Petition")</f>
        <v>EVERGREEN - UAN Gated Content - Embedded Petition</v>
      </c>
      <c r="D1216" s="5">
        <f ca="1">IFERROR(__xludf.DUMMYFUNCTION("""COMPUTED_VALUE"""),45678)</f>
        <v>45678</v>
      </c>
      <c r="F1216" s="1" t="str">
        <f ca="1">IFERROR(__xludf.DUMMYFUNCTION("""COMPUTED_VALUE"""),"Venezuela")</f>
        <v>Venezuela</v>
      </c>
      <c r="G1216" s="1" t="str">
        <f ca="1">IFERROR(__xludf.DUMMYFUNCTION("""COMPUTED_VALUE"""),"1.25 Venezuela")</f>
        <v>1.25 Venezuela</v>
      </c>
      <c r="H1216" s="1" t="str">
        <f ca="1">IFERROR(__xludf.DUMMYFUNCTION("""COMPUTED_VALUE"""),"Human Rights Defenders, Individuals At Risk")</f>
        <v>Human Rights Defenders, Individuals At Risk</v>
      </c>
      <c r="I1216" s="1" t="str">
        <f ca="1">IFERROR(__xludf.DUMMYFUNCTION("""COMPUTED_VALUE"""),"2025")</f>
        <v>2025</v>
      </c>
      <c r="J1216" s="1" t="str">
        <f ca="1">IFERROR(__xludf.DUMMYFUNCTION("""COMPUTED_VALUE"""),"Letter")</f>
        <v>Letter</v>
      </c>
    </row>
    <row r="1217" spans="1:10" ht="13" x14ac:dyDescent="0.15">
      <c r="A1217" s="4">
        <f ca="1">IFERROR(__xludf.DUMMYFUNCTION("""COMPUTED_VALUE"""),113364663)</f>
        <v>113364663</v>
      </c>
      <c r="B1217" s="1" t="str">
        <f ca="1">IFERROR(__xludf.DUMMYFUNCTION("""COMPUTED_VALUE"""),"sfinlan@bu.edu")</f>
        <v>sfinlan@bu.edu</v>
      </c>
      <c r="C1217" s="4" t="str">
        <f ca="1">IFERROR(__xludf.DUMMYFUNCTION("""COMPUTED_VALUE"""),"EVERGREEN - UAN Gated Content - Embedded Petition")</f>
        <v>EVERGREEN - UAN Gated Content - Embedded Petition</v>
      </c>
      <c r="D1217" s="5">
        <f ca="1">IFERROR(__xludf.DUMMYFUNCTION("""COMPUTED_VALUE"""),45696)</f>
        <v>45696</v>
      </c>
      <c r="F1217" s="1" t="str">
        <f ca="1">IFERROR(__xludf.DUMMYFUNCTION("""COMPUTED_VALUE"""),"USA")</f>
        <v>USA</v>
      </c>
      <c r="G1217" s="1" t="str">
        <f ca="1">IFERROR(__xludf.DUMMYFUNCTION("""COMPUTED_VALUE"""),"105.24 USA")</f>
        <v>105.24 USA</v>
      </c>
      <c r="H1217" s="1" t="str">
        <f ca="1">IFERROR(__xludf.DUMMYFUNCTION("""COMPUTED_VALUE"""),"Death Penalty")</f>
        <v>Death Penalty</v>
      </c>
      <c r="I1217" s="1" t="str">
        <f ca="1">IFERROR(__xludf.DUMMYFUNCTION("""COMPUTED_VALUE"""),"2024")</f>
        <v>2024</v>
      </c>
      <c r="J1217" s="1" t="str">
        <f ca="1">IFERROR(__xludf.DUMMYFUNCTION("""COMPUTED_VALUE"""),"Email")</f>
        <v>Email</v>
      </c>
    </row>
    <row r="1218" spans="1:10" ht="13" x14ac:dyDescent="0.15">
      <c r="A1218" s="4">
        <f ca="1">IFERROR(__xludf.DUMMYFUNCTION("""COMPUTED_VALUE"""),113364663)</f>
        <v>113364663</v>
      </c>
      <c r="B1218" s="1" t="str">
        <f ca="1">IFERROR(__xludf.DUMMYFUNCTION("""COMPUTED_VALUE"""),"sfinlan@bu.edu")</f>
        <v>sfinlan@bu.edu</v>
      </c>
      <c r="C1218" s="4" t="str">
        <f ca="1">IFERROR(__xludf.DUMMYFUNCTION("""COMPUTED_VALUE"""),"EVERGREEN - UAN Gated Content - Embedded Petition")</f>
        <v>EVERGREEN - UAN Gated Content - Embedded Petition</v>
      </c>
      <c r="D1218" s="5">
        <f ca="1">IFERROR(__xludf.DUMMYFUNCTION("""COMPUTED_VALUE"""),45636)</f>
        <v>45636</v>
      </c>
      <c r="F1218" s="1" t="str">
        <f ca="1">IFERROR(__xludf.DUMMYFUNCTION("""COMPUTED_VALUE"""),"USA")</f>
        <v>USA</v>
      </c>
      <c r="G1218" s="1" t="str">
        <f ca="1">IFERROR(__xludf.DUMMYFUNCTION("""COMPUTED_VALUE"""),"105.24 USA")</f>
        <v>105.24 USA</v>
      </c>
      <c r="H1218" s="1" t="str">
        <f ca="1">IFERROR(__xludf.DUMMYFUNCTION("""COMPUTED_VALUE"""),"Death Penalty")</f>
        <v>Death Penalty</v>
      </c>
      <c r="I1218" s="1" t="str">
        <f ca="1">IFERROR(__xludf.DUMMYFUNCTION("""COMPUTED_VALUE"""),"2024")</f>
        <v>2024</v>
      </c>
      <c r="J1218" s="1" t="str">
        <f ca="1">IFERROR(__xludf.DUMMYFUNCTION("""COMPUTED_VALUE"""),"Email")</f>
        <v>Email</v>
      </c>
    </row>
    <row r="1219" spans="1:10" ht="13" x14ac:dyDescent="0.15">
      <c r="A1219" s="4">
        <f ca="1">IFERROR(__xludf.DUMMYFUNCTION("""COMPUTED_VALUE"""),113364663)</f>
        <v>113364663</v>
      </c>
      <c r="B1219" s="1" t="str">
        <f ca="1">IFERROR(__xludf.DUMMYFUNCTION("""COMPUTED_VALUE"""),"sfinlan@bu.edu")</f>
        <v>sfinlan@bu.edu</v>
      </c>
      <c r="C1219" s="4" t="str">
        <f ca="1">IFERROR(__xludf.DUMMYFUNCTION("""COMPUTED_VALUE"""),"EVERGREEN - UAN Gated Content - Embedded Petition")</f>
        <v>EVERGREEN - UAN Gated Content - Embedded Petition</v>
      </c>
      <c r="D1219" s="5">
        <f ca="1">IFERROR(__xludf.DUMMYFUNCTION("""COMPUTED_VALUE"""),45679)</f>
        <v>45679</v>
      </c>
      <c r="F1219" s="1" t="str">
        <f ca="1">IFERROR(__xludf.DUMMYFUNCTION("""COMPUTED_VALUE"""),"Iran")</f>
        <v>Iran</v>
      </c>
      <c r="G1219" s="1" t="str">
        <f ca="1">IFERROR(__xludf.DUMMYFUNCTION("""COMPUTED_VALUE"""),"101.24 Iran")</f>
        <v>101.24 Iran</v>
      </c>
      <c r="H1219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1219" s="1" t="str">
        <f ca="1">IFERROR(__xludf.DUMMYFUNCTION("""COMPUTED_VALUE"""),"2024")</f>
        <v>2024</v>
      </c>
      <c r="J1219" s="1" t="str">
        <f ca="1">IFERROR(__xludf.DUMMYFUNCTION("""COMPUTED_VALUE"""),"Email")</f>
        <v>Email</v>
      </c>
    </row>
    <row r="1220" spans="1:10" ht="13" x14ac:dyDescent="0.15">
      <c r="A1220" s="4">
        <f ca="1">IFERROR(__xludf.DUMMYFUNCTION("""COMPUTED_VALUE"""),113364663)</f>
        <v>113364663</v>
      </c>
      <c r="B1220" s="1" t="str">
        <f ca="1">IFERROR(__xludf.DUMMYFUNCTION("""COMPUTED_VALUE"""),"sfinlan@bu.edu")</f>
        <v>sfinlan@bu.edu</v>
      </c>
      <c r="C1220" s="4" t="str">
        <f ca="1">IFERROR(__xludf.DUMMYFUNCTION("""COMPUTED_VALUE"""),"EVERGREEN - UAN Gated Content - Embedded Petition")</f>
        <v>EVERGREEN - UAN Gated Content - Embedded Petition</v>
      </c>
      <c r="D1220" s="5">
        <f ca="1">IFERROR(__xludf.DUMMYFUNCTION("""COMPUTED_VALUE"""),45636)</f>
        <v>45636</v>
      </c>
      <c r="F1220" s="1" t="str">
        <f ca="1">IFERROR(__xludf.DUMMYFUNCTION("""COMPUTED_VALUE"""),"Russian Federation")</f>
        <v>Russian Federation</v>
      </c>
      <c r="G1220" s="1" t="str">
        <f ca="1">IFERROR(__xludf.DUMMYFUNCTION("""COMPUTED_VALUE"""),"Second 23.24 Russia")</f>
        <v>Second 23.24 Russia</v>
      </c>
      <c r="H1220" s="1" t="str">
        <f ca="1">IFERROR(__xludf.DUMMYFUNCTION("""COMPUTED_VALUE"""),"Freedom of Expression")</f>
        <v>Freedom of Expression</v>
      </c>
      <c r="I1220" s="1" t="str">
        <f ca="1">IFERROR(__xludf.DUMMYFUNCTION("""COMPUTED_VALUE"""),"2024")</f>
        <v>2024</v>
      </c>
      <c r="J1220" s="1" t="str">
        <f ca="1">IFERROR(__xludf.DUMMYFUNCTION("""COMPUTED_VALUE"""),"Letter")</f>
        <v>Letter</v>
      </c>
    </row>
    <row r="1221" spans="1:10" ht="13" x14ac:dyDescent="0.15">
      <c r="A1221" s="4">
        <f ca="1">IFERROR(__xludf.DUMMYFUNCTION("""COMPUTED_VALUE"""),113668735)</f>
        <v>113668735</v>
      </c>
      <c r="B1221" s="1" t="str">
        <f ca="1">IFERROR(__xludf.DUMMYFUNCTION("""COMPUTED_VALUE"""),"blsbrown@yahoo.com")</f>
        <v>blsbrown@yahoo.com</v>
      </c>
      <c r="C1221" s="4" t="str">
        <f ca="1">IFERROR(__xludf.DUMMYFUNCTION("""COMPUTED_VALUE"""),"EVERGREEN - UAN Gated Content - Embedded Petition")</f>
        <v>EVERGREEN - UAN Gated Content - Embedded Petition</v>
      </c>
      <c r="D1221" s="5">
        <f ca="1">IFERROR(__xludf.DUMMYFUNCTION("""COMPUTED_VALUE"""),45695)</f>
        <v>45695</v>
      </c>
      <c r="F1221" s="1" t="str">
        <f ca="1">IFERROR(__xludf.DUMMYFUNCTION("""COMPUTED_VALUE"""),"Egypt")</f>
        <v>Egypt</v>
      </c>
      <c r="G1221" s="1" t="str">
        <f ca="1">IFERROR(__xludf.DUMMYFUNCTION("""COMPUTED_VALUE"""),"Ninth 190.18 Egypt")</f>
        <v>Ninth 190.18 Egypt</v>
      </c>
      <c r="H1221" s="1" t="str">
        <f ca="1">IFERROR(__xludf.DUMMYFUNCTION("""COMPUTED_VALUE"""),"Freedom of Expression, Individuals At Risk")</f>
        <v>Freedom of Expression, Individuals At Risk</v>
      </c>
      <c r="I1221" s="1" t="str">
        <f ca="1">IFERROR(__xludf.DUMMYFUNCTION("""COMPUTED_VALUE"""),"2024")</f>
        <v>2024</v>
      </c>
      <c r="J1221" s="1" t="str">
        <f ca="1">IFERROR(__xludf.DUMMYFUNCTION("""COMPUTED_VALUE"""),"Letter")</f>
        <v>Letter</v>
      </c>
    </row>
    <row r="1222" spans="1:10" ht="13" x14ac:dyDescent="0.15">
      <c r="A1222" s="4">
        <f ca="1">IFERROR(__xludf.DUMMYFUNCTION("""COMPUTED_VALUE"""),114167972)</f>
        <v>114167972</v>
      </c>
      <c r="B1222" s="1" t="str">
        <f ca="1">IFERROR(__xludf.DUMMYFUNCTION("""COMPUTED_VALUE"""),"mattrector26@gmail.com")</f>
        <v>mattrector26@gmail.com</v>
      </c>
      <c r="C1222" s="4" t="str">
        <f ca="1">IFERROR(__xludf.DUMMYFUNCTION("""COMPUTED_VALUE"""),"EVERGREEN - UAN Gated Content - Embedded Petition")</f>
        <v>EVERGREEN - UAN Gated Content - Embedded Petition</v>
      </c>
      <c r="D1222" s="5">
        <f ca="1">IFERROR(__xludf.DUMMYFUNCTION("""COMPUTED_VALUE"""),45686)</f>
        <v>45686</v>
      </c>
      <c r="F1222" s="1" t="str">
        <f ca="1">IFERROR(__xludf.DUMMYFUNCTION("""COMPUTED_VALUE"""),"USA")</f>
        <v>USA</v>
      </c>
      <c r="G1222" s="1" t="str">
        <f ca="1">IFERROR(__xludf.DUMMYFUNCTION("""COMPUTED_VALUE"""),"4.25 USA")</f>
        <v>4.25 USA</v>
      </c>
      <c r="H1222" s="1" t="str">
        <f ca="1">IFERROR(__xludf.DUMMYFUNCTION("""COMPUTED_VALUE"""),"Individuals At Risk, Refugee and Migrant Rights")</f>
        <v>Individuals At Risk, Refugee and Migrant Rights</v>
      </c>
      <c r="I1222" s="1" t="str">
        <f ca="1">IFERROR(__xludf.DUMMYFUNCTION("""COMPUTED_VALUE"""),"2025")</f>
        <v>2025</v>
      </c>
      <c r="J1222" s="1" t="str">
        <f ca="1">IFERROR(__xludf.DUMMYFUNCTION("""COMPUTED_VALUE"""),"Letter")</f>
        <v>Letter</v>
      </c>
    </row>
    <row r="1223" spans="1:10" ht="13" x14ac:dyDescent="0.15">
      <c r="A1223" s="4">
        <f ca="1">IFERROR(__xludf.DUMMYFUNCTION("""COMPUTED_VALUE"""),114167972)</f>
        <v>114167972</v>
      </c>
      <c r="B1223" s="1" t="str">
        <f ca="1">IFERROR(__xludf.DUMMYFUNCTION("""COMPUTED_VALUE"""),"mattrector26@gmail.com")</f>
        <v>mattrector26@gmail.com</v>
      </c>
      <c r="C1223" s="4" t="str">
        <f ca="1">IFERROR(__xludf.DUMMYFUNCTION("""COMPUTED_VALUE"""),"EVERGREEN - UAN Gated Content - Embedded Petition")</f>
        <v>EVERGREEN - UAN Gated Content - Embedded Petition</v>
      </c>
      <c r="D1223" s="5">
        <f ca="1">IFERROR(__xludf.DUMMYFUNCTION("""COMPUTED_VALUE"""),45694)</f>
        <v>45694</v>
      </c>
      <c r="F1223" s="1" t="str">
        <f ca="1">IFERROR(__xludf.DUMMYFUNCTION("""COMPUTED_VALUE"""),"Iran")</f>
        <v>Iran</v>
      </c>
      <c r="G1223" s="1" t="str">
        <f ca="1">IFERROR(__xludf.DUMMYFUNCTION("""COMPUTED_VALUE"""),"Seventh 103.22 Iran")</f>
        <v>Seventh 103.22 Iran</v>
      </c>
      <c r="H1223" s="1" t="str">
        <f ca="1">IFERROR(__xludf.DUMMYFUNCTION("""COMPUTED_VALUE"""),"Death Penalty, Freedom of Expression, Individuals At Risk")</f>
        <v>Death Penalty, Freedom of Expression, Individuals At Risk</v>
      </c>
      <c r="I1223" s="1" t="str">
        <f ca="1">IFERROR(__xludf.DUMMYFUNCTION("""COMPUTED_VALUE"""),"2024")</f>
        <v>2024</v>
      </c>
      <c r="J1223" s="1" t="str">
        <f ca="1">IFERROR(__xludf.DUMMYFUNCTION("""COMPUTED_VALUE"""),"Email")</f>
        <v>Email</v>
      </c>
    </row>
    <row r="1224" spans="1:10" ht="13" x14ac:dyDescent="0.15">
      <c r="A1224" s="4">
        <f ca="1">IFERROR(__xludf.DUMMYFUNCTION("""COMPUTED_VALUE"""),115371035)</f>
        <v>115371035</v>
      </c>
      <c r="B1224" s="1" t="str">
        <f ca="1">IFERROR(__xludf.DUMMYFUNCTION("""COMPUTED_VALUE"""),"amnestykc@gmail.com")</f>
        <v>amnestykc@gmail.com</v>
      </c>
      <c r="C1224" s="4" t="str">
        <f ca="1">IFERROR(__xludf.DUMMYFUNCTION("""COMPUTED_VALUE"""),"EVERGREEN - UAN Gated Content - Embedded Petition")</f>
        <v>EVERGREEN - UAN Gated Content - Embedded Petition</v>
      </c>
      <c r="D1224" s="5">
        <f ca="1">IFERROR(__xludf.DUMMYFUNCTION("""COMPUTED_VALUE"""),45705)</f>
        <v>45705</v>
      </c>
      <c r="F1224" s="1" t="str">
        <f ca="1">IFERROR(__xludf.DUMMYFUNCTION("""COMPUTED_VALUE"""),"Niger")</f>
        <v>Niger</v>
      </c>
      <c r="G1224" s="1" t="str">
        <f ca="1">IFERROR(__xludf.DUMMYFUNCTION("""COMPUTED_VALUE"""),"103.24 Niger")</f>
        <v>103.24 Niger</v>
      </c>
      <c r="H1224" s="1" t="str">
        <f ca="1">IFERROR(__xludf.DUMMYFUNCTION("""COMPUTED_VALUE"""),"Freedom of Expression, Human Rights Defenders")</f>
        <v>Freedom of Expression, Human Rights Defenders</v>
      </c>
      <c r="I1224" s="1" t="str">
        <f ca="1">IFERROR(__xludf.DUMMYFUNCTION("""COMPUTED_VALUE"""),"2024")</f>
        <v>2024</v>
      </c>
      <c r="J1224" s="1" t="str">
        <f ca="1">IFERROR(__xludf.DUMMYFUNCTION("""COMPUTED_VALUE"""),"Email")</f>
        <v>Email</v>
      </c>
    </row>
    <row r="1225" spans="1:10" ht="13" x14ac:dyDescent="0.15">
      <c r="A1225" s="4">
        <f ca="1">IFERROR(__xludf.DUMMYFUNCTION("""COMPUTED_VALUE"""),115371035)</f>
        <v>115371035</v>
      </c>
      <c r="B1225" s="1" t="str">
        <f ca="1">IFERROR(__xludf.DUMMYFUNCTION("""COMPUTED_VALUE"""),"amnestykc@gmail.com")</f>
        <v>amnestykc@gmail.com</v>
      </c>
      <c r="C1225" s="4" t="str">
        <f ca="1">IFERROR(__xludf.DUMMYFUNCTION("""COMPUTED_VALUE"""),"EVERGREEN - UAN Gated Content - Embedded Petition")</f>
        <v>EVERGREEN - UAN Gated Content - Embedded Petition</v>
      </c>
      <c r="D1225" s="5">
        <f ca="1">IFERROR(__xludf.DUMMYFUNCTION("""COMPUTED_VALUE"""),45707)</f>
        <v>45707</v>
      </c>
      <c r="F1225" s="1" t="str">
        <f ca="1">IFERROR(__xludf.DUMMYFUNCTION("""COMPUTED_VALUE"""),"Egypt")</f>
        <v>Egypt</v>
      </c>
      <c r="G1225" s="1" t="str">
        <f ca="1">IFERROR(__xludf.DUMMYFUNCTION("""COMPUTED_VALUE"""),"Fourth 29.23 Egypt")</f>
        <v>Fourth 29.23 Egypt</v>
      </c>
      <c r="H1225" s="1" t="str">
        <f ca="1">IFERROR(__xludf.DUMMYFUNCTION("""COMPUTED_VALUE"""),"Freedom of Expression, Individuals At Risk, Right to Protest")</f>
        <v>Freedom of Expression, Individuals At Risk, Right to Protest</v>
      </c>
      <c r="I1225" s="1" t="str">
        <f ca="1">IFERROR(__xludf.DUMMYFUNCTION("""COMPUTED_VALUE"""),"2024")</f>
        <v>2024</v>
      </c>
      <c r="J1225" s="1" t="str">
        <f ca="1">IFERROR(__xludf.DUMMYFUNCTION("""COMPUTED_VALUE"""),"Email")</f>
        <v>Email</v>
      </c>
    </row>
    <row r="1226" spans="1:10" ht="13" x14ac:dyDescent="0.15">
      <c r="A1226" s="4">
        <f ca="1">IFERROR(__xludf.DUMMYFUNCTION("""COMPUTED_VALUE"""),115371035)</f>
        <v>115371035</v>
      </c>
      <c r="B1226" s="1" t="str">
        <f ca="1">IFERROR(__xludf.DUMMYFUNCTION("""COMPUTED_VALUE"""),"amnestykc@gmail.com")</f>
        <v>amnestykc@gmail.com</v>
      </c>
      <c r="C1226" s="4" t="str">
        <f ca="1">IFERROR(__xludf.DUMMYFUNCTION("""COMPUTED_VALUE"""),"EVERGREEN - UAN Gated Content - Embedded Petition")</f>
        <v>EVERGREEN - UAN Gated Content - Embedded Petition</v>
      </c>
      <c r="D1226" s="5">
        <f ca="1">IFERROR(__xludf.DUMMYFUNCTION("""COMPUTED_VALUE"""),45707)</f>
        <v>45707</v>
      </c>
      <c r="F1226" s="1" t="str">
        <f ca="1">IFERROR(__xludf.DUMMYFUNCTION("""COMPUTED_VALUE"""),"Iran")</f>
        <v>Iran</v>
      </c>
      <c r="G1226" s="1" t="str">
        <f ca="1">IFERROR(__xludf.DUMMYFUNCTION("""COMPUTED_VALUE"""),"Seventh 103.22 Iran")</f>
        <v>Seventh 103.22 Iran</v>
      </c>
      <c r="H1226" s="1" t="str">
        <f ca="1">IFERROR(__xludf.DUMMYFUNCTION("""COMPUTED_VALUE"""),"Death Penalty, Freedom of Expression, Individuals At Risk")</f>
        <v>Death Penalty, Freedom of Expression, Individuals At Risk</v>
      </c>
      <c r="I1226" s="1" t="str">
        <f ca="1">IFERROR(__xludf.DUMMYFUNCTION("""COMPUTED_VALUE"""),"2024")</f>
        <v>2024</v>
      </c>
      <c r="J1226" s="1" t="str">
        <f ca="1">IFERROR(__xludf.DUMMYFUNCTION("""COMPUTED_VALUE"""),"Email")</f>
        <v>Email</v>
      </c>
    </row>
    <row r="1227" spans="1:10" ht="13" x14ac:dyDescent="0.15">
      <c r="A1227" s="4">
        <f ca="1">IFERROR(__xludf.DUMMYFUNCTION("""COMPUTED_VALUE"""),115371035)</f>
        <v>115371035</v>
      </c>
      <c r="B1227" s="1" t="str">
        <f ca="1">IFERROR(__xludf.DUMMYFUNCTION("""COMPUTED_VALUE"""),"amnestykc@gmail.com")</f>
        <v>amnestykc@gmail.com</v>
      </c>
      <c r="C1227" s="4" t="str">
        <f ca="1">IFERROR(__xludf.DUMMYFUNCTION("""COMPUTED_VALUE"""),"EVERGREEN - UAN Gated Content - Embedded Petition")</f>
        <v>EVERGREEN - UAN Gated Content - Embedded Petition</v>
      </c>
      <c r="D1227" s="5">
        <f ca="1">IFERROR(__xludf.DUMMYFUNCTION("""COMPUTED_VALUE"""),45706)</f>
        <v>45706</v>
      </c>
      <c r="F1227" s="1" t="str">
        <f ca="1">IFERROR(__xludf.DUMMYFUNCTION("""COMPUTED_VALUE"""),"Iran")</f>
        <v>Iran</v>
      </c>
      <c r="G1227" s="1" t="str">
        <f ca="1">IFERROR(__xludf.DUMMYFUNCTION("""COMPUTED_VALUE"""),"Seventh 103.22 Iran")</f>
        <v>Seventh 103.22 Iran</v>
      </c>
      <c r="H1227" s="1" t="str">
        <f ca="1">IFERROR(__xludf.DUMMYFUNCTION("""COMPUTED_VALUE"""),"Death Penalty, Freedom of Expression, Individuals At Risk")</f>
        <v>Death Penalty, Freedom of Expression, Individuals At Risk</v>
      </c>
      <c r="I1227" s="1" t="str">
        <f ca="1">IFERROR(__xludf.DUMMYFUNCTION("""COMPUTED_VALUE"""),"2024")</f>
        <v>2024</v>
      </c>
      <c r="J1227" s="1" t="str">
        <f ca="1">IFERROR(__xludf.DUMMYFUNCTION("""COMPUTED_VALUE"""),"Email")</f>
        <v>Email</v>
      </c>
    </row>
    <row r="1228" spans="1:10" ht="13" x14ac:dyDescent="0.15">
      <c r="A1228" s="4">
        <f ca="1">IFERROR(__xludf.DUMMYFUNCTION("""COMPUTED_VALUE"""),115371035)</f>
        <v>115371035</v>
      </c>
      <c r="B1228" s="1" t="str">
        <f ca="1">IFERROR(__xludf.DUMMYFUNCTION("""COMPUTED_VALUE"""),"amnestykc@gmail.com")</f>
        <v>amnestykc@gmail.com</v>
      </c>
      <c r="C1228" s="4" t="str">
        <f ca="1">IFERROR(__xludf.DUMMYFUNCTION("""COMPUTED_VALUE"""),"UAN mid-page Lightbox - Step 1 of 4 - Landing Page")</f>
        <v>UAN mid-page Lightbox - Step 1 of 4 - Landing Page</v>
      </c>
      <c r="D1228" s="5">
        <f ca="1">IFERROR(__xludf.DUMMYFUNCTION("""COMPUTED_VALUE"""),45706)</f>
        <v>45706</v>
      </c>
      <c r="F1228" s="1" t="str">
        <f ca="1">IFERROR(__xludf.DUMMYFUNCTION("""COMPUTED_VALUE"""),"Russian Federation")</f>
        <v>Russian Federation</v>
      </c>
      <c r="G1228" s="1" t="str">
        <f ca="1">IFERROR(__xludf.DUMMYFUNCTION("""COMPUTED_VALUE"""),"102.24 Russia")</f>
        <v>102.24 Russia</v>
      </c>
      <c r="H1228" s="1" t="str">
        <f ca="1">IFERROR(__xludf.DUMMYFUNCTION("""COMPUTED_VALUE"""),"Freedom of Expression, Individuals At Risk, Right to Protest")</f>
        <v>Freedom of Expression, Individuals At Risk, Right to Protest</v>
      </c>
      <c r="I1228" s="1" t="str">
        <f ca="1">IFERROR(__xludf.DUMMYFUNCTION("""COMPUTED_VALUE"""),"2024")</f>
        <v>2024</v>
      </c>
      <c r="J1228" s="1" t="str">
        <f ca="1">IFERROR(__xludf.DUMMYFUNCTION("""COMPUTED_VALUE"""),"Email")</f>
        <v>Email</v>
      </c>
    </row>
    <row r="1229" spans="1:10" ht="13" x14ac:dyDescent="0.15">
      <c r="A1229" s="4">
        <f ca="1">IFERROR(__xludf.DUMMYFUNCTION("""COMPUTED_VALUE"""),115371035)</f>
        <v>115371035</v>
      </c>
      <c r="B1229" s="1" t="str">
        <f ca="1">IFERROR(__xludf.DUMMYFUNCTION("""COMPUTED_VALUE"""),"amnestykc@gmail.com")</f>
        <v>amnestykc@gmail.com</v>
      </c>
      <c r="C1229" s="4" t="str">
        <f ca="1">IFERROR(__xludf.DUMMYFUNCTION("""COMPUTED_VALUE"""),"UAN mid-page Lightbox - Step 2 of 4 - More personal info fields")</f>
        <v>UAN mid-page Lightbox - Step 2 of 4 - More personal info fields</v>
      </c>
      <c r="D1229" s="5">
        <f ca="1">IFERROR(__xludf.DUMMYFUNCTION("""COMPUTED_VALUE"""),45706)</f>
        <v>45706</v>
      </c>
      <c r="F1229" s="1" t="str">
        <f ca="1">IFERROR(__xludf.DUMMYFUNCTION("""COMPUTED_VALUE"""),"Russian Federation")</f>
        <v>Russian Federation</v>
      </c>
      <c r="G1229" s="1" t="str">
        <f ca="1">IFERROR(__xludf.DUMMYFUNCTION("""COMPUTED_VALUE"""),"Second 23.24 Russia")</f>
        <v>Second 23.24 Russia</v>
      </c>
      <c r="H1229" s="1" t="str">
        <f ca="1">IFERROR(__xludf.DUMMYFUNCTION("""COMPUTED_VALUE"""),"Freedom of Expression")</f>
        <v>Freedom of Expression</v>
      </c>
      <c r="I1229" s="1" t="str">
        <f ca="1">IFERROR(__xludf.DUMMYFUNCTION("""COMPUTED_VALUE"""),"2024")</f>
        <v>2024</v>
      </c>
      <c r="J1229" s="1" t="str">
        <f ca="1">IFERROR(__xludf.DUMMYFUNCTION("""COMPUTED_VALUE"""),"Letter")</f>
        <v>Letter</v>
      </c>
    </row>
    <row r="1230" spans="1:10" ht="13" x14ac:dyDescent="0.15">
      <c r="A1230" s="4">
        <f ca="1">IFERROR(__xludf.DUMMYFUNCTION("""COMPUTED_VALUE"""),117019199)</f>
        <v>117019199</v>
      </c>
      <c r="B1230" s="1" t="str">
        <f ca="1">IFERROR(__xludf.DUMMYFUNCTION("""COMPUTED_VALUE"""),"eperryire@gmail.com")</f>
        <v>eperryire@gmail.com</v>
      </c>
      <c r="C1230" s="4" t="str">
        <f ca="1">IFERROR(__xludf.DUMMYFUNCTION("""COMPUTED_VALUE"""),"EVERGREEN - UAN Gated Content - Embedded Petition")</f>
        <v>EVERGREEN - UAN Gated Content - Embedded Petition</v>
      </c>
      <c r="D1230" s="5">
        <f ca="1">IFERROR(__xludf.DUMMYFUNCTION("""COMPUTED_VALUE"""),45631)</f>
        <v>45631</v>
      </c>
      <c r="F1230" s="1" t="str">
        <f ca="1">IFERROR(__xludf.DUMMYFUNCTION("""COMPUTED_VALUE"""),"Azerbaijan")</f>
        <v>Azerbaijan</v>
      </c>
      <c r="G1230" s="1" t="str">
        <f ca="1">IFERROR(__xludf.DUMMYFUNCTION("""COMPUTED_VALUE"""),"2.25 Azerbaijan")</f>
        <v>2.25 Azerbaijan</v>
      </c>
      <c r="H1230" s="1" t="str">
        <f ca="1">IFERROR(__xludf.DUMMYFUNCTION("""COMPUTED_VALUE"""),"Freedom of Expression, Human Rights Defenders")</f>
        <v>Freedom of Expression, Human Rights Defenders</v>
      </c>
      <c r="I1230" s="1" t="str">
        <f ca="1">IFERROR(__xludf.DUMMYFUNCTION("""COMPUTED_VALUE"""),"2025")</f>
        <v>2025</v>
      </c>
      <c r="J1230" s="1" t="str">
        <f ca="1">IFERROR(__xludf.DUMMYFUNCTION("""COMPUTED_VALUE"""),"Email")</f>
        <v>Email</v>
      </c>
    </row>
    <row r="1231" spans="1:10" ht="13" x14ac:dyDescent="0.15">
      <c r="A1231" s="4">
        <f ca="1">IFERROR(__xludf.DUMMYFUNCTION("""COMPUTED_VALUE"""),117019199)</f>
        <v>117019199</v>
      </c>
      <c r="B1231" s="1" t="str">
        <f ca="1">IFERROR(__xludf.DUMMYFUNCTION("""COMPUTED_VALUE"""),"eperryire@gmail.com")</f>
        <v>eperryire@gmail.com</v>
      </c>
      <c r="C1231" s="4" t="str">
        <f ca="1">IFERROR(__xludf.DUMMYFUNCTION("""COMPUTED_VALUE"""),"EVERGREEN - UAN Gated Content - Embedded Petition")</f>
        <v>EVERGREEN - UAN Gated Content - Embedded Petition</v>
      </c>
      <c r="D1231" s="5">
        <f ca="1">IFERROR(__xludf.DUMMYFUNCTION("""COMPUTED_VALUE"""),45706)</f>
        <v>45706</v>
      </c>
      <c r="F1231" s="1" t="str">
        <f ca="1">IFERROR(__xludf.DUMMYFUNCTION("""COMPUTED_VALUE"""),"Russian Federation")</f>
        <v>Russian Federation</v>
      </c>
      <c r="G1231" s="1" t="str">
        <f ca="1">IFERROR(__xludf.DUMMYFUNCTION("""COMPUTED_VALUE"""),"Second 23.24 Russia")</f>
        <v>Second 23.24 Russia</v>
      </c>
      <c r="H1231" s="1" t="str">
        <f ca="1">IFERROR(__xludf.DUMMYFUNCTION("""COMPUTED_VALUE"""),"Freedom of Expression")</f>
        <v>Freedom of Expression</v>
      </c>
      <c r="I1231" s="1" t="str">
        <f ca="1">IFERROR(__xludf.DUMMYFUNCTION("""COMPUTED_VALUE"""),"2024")</f>
        <v>2024</v>
      </c>
      <c r="J1231" s="1" t="str">
        <f ca="1">IFERROR(__xludf.DUMMYFUNCTION("""COMPUTED_VALUE"""),"Letter")</f>
        <v>Letter</v>
      </c>
    </row>
    <row r="1232" spans="1:10" ht="13" x14ac:dyDescent="0.15">
      <c r="A1232" s="4">
        <f ca="1">IFERROR(__xludf.DUMMYFUNCTION("""COMPUTED_VALUE"""),117019199)</f>
        <v>117019199</v>
      </c>
      <c r="B1232" s="1" t="str">
        <f ca="1">IFERROR(__xludf.DUMMYFUNCTION("""COMPUTED_VALUE"""),"eperryire@gmail.com")</f>
        <v>eperryire@gmail.com</v>
      </c>
      <c r="C1232" s="4" t="str">
        <f ca="1">IFERROR(__xludf.DUMMYFUNCTION("""COMPUTED_VALUE"""),"EVERGREEN - UAN Gated Content - Embedded Petition")</f>
        <v>EVERGREEN - UAN Gated Content - Embedded Petition</v>
      </c>
      <c r="D1232" s="5">
        <f ca="1">IFERROR(__xludf.DUMMYFUNCTION("""COMPUTED_VALUE"""),45706)</f>
        <v>45706</v>
      </c>
      <c r="F1232" s="1" t="str">
        <f ca="1">IFERROR(__xludf.DUMMYFUNCTION("""COMPUTED_VALUE"""),"Egypt")</f>
        <v>Egypt</v>
      </c>
      <c r="G1232" s="1" t="str">
        <f ca="1">IFERROR(__xludf.DUMMYFUNCTION("""COMPUTED_VALUE"""),"Ninth 190.18 Egypt")</f>
        <v>Ninth 190.18 Egypt</v>
      </c>
      <c r="H1232" s="1" t="str">
        <f ca="1">IFERROR(__xludf.DUMMYFUNCTION("""COMPUTED_VALUE"""),"Freedom of Expression, Individuals At Risk")</f>
        <v>Freedom of Expression, Individuals At Risk</v>
      </c>
      <c r="I1232" s="1" t="str">
        <f ca="1">IFERROR(__xludf.DUMMYFUNCTION("""COMPUTED_VALUE"""),"2024")</f>
        <v>2024</v>
      </c>
      <c r="J1232" s="1" t="str">
        <f ca="1">IFERROR(__xludf.DUMMYFUNCTION("""COMPUTED_VALUE"""),"Letter")</f>
        <v>Letter</v>
      </c>
    </row>
    <row r="1233" spans="1:10" ht="13" x14ac:dyDescent="0.15">
      <c r="A1233" s="4">
        <f ca="1">IFERROR(__xludf.DUMMYFUNCTION("""COMPUTED_VALUE"""),117019199)</f>
        <v>117019199</v>
      </c>
      <c r="B1233" s="1" t="str">
        <f ca="1">IFERROR(__xludf.DUMMYFUNCTION("""COMPUTED_VALUE"""),"eperryire@gmail.com")</f>
        <v>eperryire@gmail.com</v>
      </c>
      <c r="C1233" s="4" t="str">
        <f ca="1">IFERROR(__xludf.DUMMYFUNCTION("""COMPUTED_VALUE"""),"EVERGREEN - UAN Gated Content - Embedded Petition")</f>
        <v>EVERGREEN - UAN Gated Content - Embedded Petition</v>
      </c>
      <c r="D1233" s="5">
        <f ca="1">IFERROR(__xludf.DUMMYFUNCTION("""COMPUTED_VALUE"""),45664)</f>
        <v>45664</v>
      </c>
      <c r="F1233" s="1" t="str">
        <f ca="1">IFERROR(__xludf.DUMMYFUNCTION("""COMPUTED_VALUE"""),"China")</f>
        <v>China</v>
      </c>
      <c r="G1233" s="1" t="str">
        <f ca="1">IFERROR(__xludf.DUMMYFUNCTION("""COMPUTED_VALUE"""),"106.24 China")</f>
        <v>106.24 China</v>
      </c>
      <c r="H1233" s="1" t="str">
        <f ca="1">IFERROR(__xludf.DUMMYFUNCTION("""COMPUTED_VALUE"""),"Freedom of Expression, Individuals At Risk")</f>
        <v>Freedom of Expression, Individuals At Risk</v>
      </c>
      <c r="I1233" s="1" t="str">
        <f ca="1">IFERROR(__xludf.DUMMYFUNCTION("""COMPUTED_VALUE"""),"2024")</f>
        <v>2024</v>
      </c>
      <c r="J1233" s="1" t="str">
        <f ca="1">IFERROR(__xludf.DUMMYFUNCTION("""COMPUTED_VALUE"""),"Email")</f>
        <v>Email</v>
      </c>
    </row>
    <row r="1234" spans="1:10" ht="13" x14ac:dyDescent="0.15">
      <c r="A1234" s="4">
        <f ca="1">IFERROR(__xludf.DUMMYFUNCTION("""COMPUTED_VALUE"""),117505282)</f>
        <v>117505282</v>
      </c>
      <c r="B1234" s="1" t="str">
        <f ca="1">IFERROR(__xludf.DUMMYFUNCTION("""COMPUTED_VALUE"""),"denisemarlowe5729@gmail.com")</f>
        <v>denisemarlowe5729@gmail.com</v>
      </c>
      <c r="C1234" s="4" t="str">
        <f ca="1">IFERROR(__xludf.DUMMYFUNCTION("""COMPUTED_VALUE"""),"EVERGREEN - UAN Gated Content - Embedded Petition")</f>
        <v>EVERGREEN - UAN Gated Content - Embedded Petition</v>
      </c>
      <c r="D1234" s="5">
        <f ca="1">IFERROR(__xludf.DUMMYFUNCTION("""COMPUTED_VALUE"""),45636)</f>
        <v>45636</v>
      </c>
      <c r="F1234" s="1" t="str">
        <f ca="1">IFERROR(__xludf.DUMMYFUNCTION("""COMPUTED_VALUE"""),"Singapore")</f>
        <v>Singapore</v>
      </c>
      <c r="G1234" s="1" t="str">
        <f ca="1">IFERROR(__xludf.DUMMYFUNCTION("""COMPUTED_VALUE"""),"107.24 Singapore")</f>
        <v>107.24 Singapore</v>
      </c>
      <c r="H1234" s="1" t="str">
        <f ca="1">IFERROR(__xludf.DUMMYFUNCTION("""COMPUTED_VALUE"""),"Death Penalty")</f>
        <v>Death Penalty</v>
      </c>
      <c r="I1234" s="1" t="str">
        <f ca="1">IFERROR(__xludf.DUMMYFUNCTION("""COMPUTED_VALUE"""),"2024")</f>
        <v>2024</v>
      </c>
      <c r="J1234" s="1" t="str">
        <f ca="1">IFERROR(__xludf.DUMMYFUNCTION("""COMPUTED_VALUE"""),"Email")</f>
        <v>Email</v>
      </c>
    </row>
    <row r="1235" spans="1:10" ht="13" x14ac:dyDescent="0.15">
      <c r="A1235" s="4">
        <f ca="1">IFERROR(__xludf.DUMMYFUNCTION("""COMPUTED_VALUE"""),117505282)</f>
        <v>117505282</v>
      </c>
      <c r="B1235" s="1" t="str">
        <f ca="1">IFERROR(__xludf.DUMMYFUNCTION("""COMPUTED_VALUE"""),"denisemarlowe5729@gmail.com")</f>
        <v>denisemarlowe5729@gmail.com</v>
      </c>
      <c r="C1235" s="4" t="str">
        <f ca="1">IFERROR(__xludf.DUMMYFUNCTION("""COMPUTED_VALUE"""),"EVERGREEN - UAN Gated Content - Embedded Petition")</f>
        <v>EVERGREEN - UAN Gated Content - Embedded Petition</v>
      </c>
      <c r="D1235" s="5">
        <f ca="1">IFERROR(__xludf.DUMMYFUNCTION("""COMPUTED_VALUE"""),45636)</f>
        <v>45636</v>
      </c>
      <c r="F1235" s="1" t="str">
        <f ca="1">IFERROR(__xludf.DUMMYFUNCTION("""COMPUTED_VALUE"""),"Tunisia")</f>
        <v>Tunisia</v>
      </c>
      <c r="G1235" s="1" t="str">
        <f ca="1">IFERROR(__xludf.DUMMYFUNCTION("""COMPUTED_VALUE"""),"Second 76.24 Tunisia")</f>
        <v>Second 76.24 Tunisia</v>
      </c>
      <c r="H1235" s="1" t="str">
        <f ca="1">IFERROR(__xludf.DUMMYFUNCTION("""COMPUTED_VALUE"""),"Freedom of Expression, Human Rights Defenders")</f>
        <v>Freedom of Expression, Human Rights Defenders</v>
      </c>
      <c r="I1235" s="1" t="str">
        <f ca="1">IFERROR(__xludf.DUMMYFUNCTION("""COMPUTED_VALUE"""),"2025")</f>
        <v>2025</v>
      </c>
      <c r="J1235" s="1" t="str">
        <f ca="1">IFERROR(__xludf.DUMMYFUNCTION("""COMPUTED_VALUE"""),"Email")</f>
        <v>Email</v>
      </c>
    </row>
    <row r="1236" spans="1:10" ht="13" x14ac:dyDescent="0.15">
      <c r="A1236" s="4">
        <f ca="1">IFERROR(__xludf.DUMMYFUNCTION("""COMPUTED_VALUE"""),117505282)</f>
        <v>117505282</v>
      </c>
      <c r="B1236" s="1" t="str">
        <f ca="1">IFERROR(__xludf.DUMMYFUNCTION("""COMPUTED_VALUE"""),"denisemarlowe5729@gmail.com")</f>
        <v>denisemarlowe5729@gmail.com</v>
      </c>
      <c r="C1236" s="4" t="str">
        <f ca="1">IFERROR(__xludf.DUMMYFUNCTION("""COMPUTED_VALUE"""),"EVERGREEN - UAN Gated Content - Embedded Petition")</f>
        <v>EVERGREEN - UAN Gated Content - Embedded Petition</v>
      </c>
      <c r="D1236" s="5">
        <f ca="1">IFERROR(__xludf.DUMMYFUNCTION("""COMPUTED_VALUE"""),45694)</f>
        <v>45694</v>
      </c>
      <c r="F1236" s="1" t="str">
        <f ca="1">IFERROR(__xludf.DUMMYFUNCTION("""COMPUTED_VALUE"""),"Tunisia")</f>
        <v>Tunisia</v>
      </c>
      <c r="G1236" s="1" t="str">
        <f ca="1">IFERROR(__xludf.DUMMYFUNCTION("""COMPUTED_VALUE"""),"Second 76.24 Tunisia")</f>
        <v>Second 76.24 Tunisia</v>
      </c>
      <c r="H1236" s="1" t="str">
        <f ca="1">IFERROR(__xludf.DUMMYFUNCTION("""COMPUTED_VALUE"""),"Freedom of Expression, Human Rights Defenders")</f>
        <v>Freedom of Expression, Human Rights Defenders</v>
      </c>
      <c r="I1236" s="1" t="str">
        <f ca="1">IFERROR(__xludf.DUMMYFUNCTION("""COMPUTED_VALUE"""),"2025")</f>
        <v>2025</v>
      </c>
      <c r="J1236" s="1" t="str">
        <f ca="1">IFERROR(__xludf.DUMMYFUNCTION("""COMPUTED_VALUE"""),"Email")</f>
        <v>Email</v>
      </c>
    </row>
    <row r="1237" spans="1:10" ht="13" x14ac:dyDescent="0.15">
      <c r="A1237" s="4">
        <f ca="1">IFERROR(__xludf.DUMMYFUNCTION("""COMPUTED_VALUE"""),118188099)</f>
        <v>118188099</v>
      </c>
      <c r="B1237" s="1" t="str">
        <f ca="1">IFERROR(__xludf.DUMMYFUNCTION("""COMPUTED_VALUE"""),"captainirons@gmail.com")</f>
        <v>captainirons@gmail.com</v>
      </c>
      <c r="C1237" s="4" t="str">
        <f ca="1">IFERROR(__xludf.DUMMYFUNCTION("""COMPUTED_VALUE"""),"EVERGREEN - UAN Gated Content - Embedded Petition")</f>
        <v>EVERGREEN - UAN Gated Content - Embedded Petition</v>
      </c>
      <c r="D1237" s="5">
        <f ca="1">IFERROR(__xludf.DUMMYFUNCTION("""COMPUTED_VALUE"""),45640)</f>
        <v>45640</v>
      </c>
      <c r="F1237" s="1" t="str">
        <f ca="1">IFERROR(__xludf.DUMMYFUNCTION("""COMPUTED_VALUE"""),"USA")</f>
        <v>USA</v>
      </c>
      <c r="G1237" s="1" t="str">
        <f ca="1">IFERROR(__xludf.DUMMYFUNCTION("""COMPUTED_VALUE"""),"4.25 USA")</f>
        <v>4.25 USA</v>
      </c>
      <c r="H1237" s="1" t="str">
        <f ca="1">IFERROR(__xludf.DUMMYFUNCTION("""COMPUTED_VALUE"""),"Individuals At Risk, Refugee and Migrant Rights")</f>
        <v>Individuals At Risk, Refugee and Migrant Rights</v>
      </c>
      <c r="I1237" s="1" t="str">
        <f ca="1">IFERROR(__xludf.DUMMYFUNCTION("""COMPUTED_VALUE"""),"2025")</f>
        <v>2025</v>
      </c>
      <c r="J1237" s="1" t="str">
        <f ca="1">IFERROR(__xludf.DUMMYFUNCTION("""COMPUTED_VALUE"""),"Letter")</f>
        <v>Letter</v>
      </c>
    </row>
    <row r="1238" spans="1:10" ht="13" x14ac:dyDescent="0.15">
      <c r="A1238" s="4">
        <f ca="1">IFERROR(__xludf.DUMMYFUNCTION("""COMPUTED_VALUE"""),118188099)</f>
        <v>118188099</v>
      </c>
      <c r="B1238" s="1" t="str">
        <f ca="1">IFERROR(__xludf.DUMMYFUNCTION("""COMPUTED_VALUE"""),"captainirons@gmail.com")</f>
        <v>captainirons@gmail.com</v>
      </c>
      <c r="C1238" s="4" t="str">
        <f ca="1">IFERROR(__xludf.DUMMYFUNCTION("""COMPUTED_VALUE"""),"EVERGREEN - Website Email Capture Form - UAN Pre-Footer")</f>
        <v>EVERGREEN - Website Email Capture Form - UAN Pre-Footer</v>
      </c>
      <c r="D1238" s="5">
        <f ca="1">IFERROR(__xludf.DUMMYFUNCTION("""COMPUTED_VALUE"""),45641)</f>
        <v>45641</v>
      </c>
      <c r="F1238" s="1" t="str">
        <f ca="1">IFERROR(__xludf.DUMMYFUNCTION("""COMPUTED_VALUE"""),"USA")</f>
        <v>USA</v>
      </c>
      <c r="G1238" s="1" t="str">
        <f ca="1">IFERROR(__xludf.DUMMYFUNCTION("""COMPUTED_VALUE"""),"105.24 USA")</f>
        <v>105.24 USA</v>
      </c>
      <c r="H1238" s="1" t="str">
        <f ca="1">IFERROR(__xludf.DUMMYFUNCTION("""COMPUTED_VALUE"""),"Death Penalty")</f>
        <v>Death Penalty</v>
      </c>
      <c r="I1238" s="1" t="str">
        <f ca="1">IFERROR(__xludf.DUMMYFUNCTION("""COMPUTED_VALUE"""),"2024")</f>
        <v>2024</v>
      </c>
      <c r="J1238" s="1" t="str">
        <f ca="1">IFERROR(__xludf.DUMMYFUNCTION("""COMPUTED_VALUE"""),"Email")</f>
        <v>Email</v>
      </c>
    </row>
    <row r="1239" spans="1:10" ht="13" x14ac:dyDescent="0.15">
      <c r="A1239" s="4">
        <f ca="1">IFERROR(__xludf.DUMMYFUNCTION("""COMPUTED_VALUE"""),118274883)</f>
        <v>118274883</v>
      </c>
      <c r="B1239" s="1" t="str">
        <f ca="1">IFERROR(__xludf.DUMMYFUNCTION("""COMPUTED_VALUE"""),"sashasampaio@gmail.com")</f>
        <v>sashasampaio@gmail.com</v>
      </c>
      <c r="C1239" s="4" t="str">
        <f ca="1">IFERROR(__xludf.DUMMYFUNCTION("""COMPUTED_VALUE"""),"EVERGREEN - UAN Gated Content - Embedded Petition")</f>
        <v>EVERGREEN - UAN Gated Content - Embedded Petition</v>
      </c>
      <c r="D1239" s="5">
        <f ca="1">IFERROR(__xludf.DUMMYFUNCTION("""COMPUTED_VALUE"""),45700)</f>
        <v>45700</v>
      </c>
      <c r="F1239" s="1" t="str">
        <f ca="1">IFERROR(__xludf.DUMMYFUNCTION("""COMPUTED_VALUE"""),"China")</f>
        <v>China</v>
      </c>
      <c r="G1239" s="1" t="str">
        <f ca="1">IFERROR(__xludf.DUMMYFUNCTION("""COMPUTED_VALUE"""),"98.24 China")</f>
        <v>98.24 China</v>
      </c>
      <c r="H1239" s="1" t="str">
        <f ca="1">IFERROR(__xludf.DUMMYFUNCTION("""COMPUTED_VALUE"""),"Freedom of Expression, Individuals At Risk")</f>
        <v>Freedom of Expression, Individuals At Risk</v>
      </c>
      <c r="I1239" s="1" t="str">
        <f ca="1">IFERROR(__xludf.DUMMYFUNCTION("""COMPUTED_VALUE"""),"2024")</f>
        <v>2024</v>
      </c>
      <c r="J1239" s="1" t="str">
        <f ca="1">IFERROR(__xludf.DUMMYFUNCTION("""COMPUTED_VALUE"""),"Letter")</f>
        <v>Letter</v>
      </c>
    </row>
    <row r="1240" spans="1:10" ht="13" x14ac:dyDescent="0.15">
      <c r="A1240" s="4">
        <f ca="1">IFERROR(__xludf.DUMMYFUNCTION("""COMPUTED_VALUE"""),118283878)</f>
        <v>118283878</v>
      </c>
      <c r="B1240" s="1" t="str">
        <f ca="1">IFERROR(__xludf.DUMMYFUNCTION("""COMPUTED_VALUE"""),"lorilstefano@gmail.com")</f>
        <v>lorilstefano@gmail.com</v>
      </c>
      <c r="C1240" s="4" t="str">
        <f ca="1">IFERROR(__xludf.DUMMYFUNCTION("""COMPUTED_VALUE"""),"EVERGREEN - UAN Gated Content - Embedded Petition")</f>
        <v>EVERGREEN - UAN Gated Content - Embedded Petition</v>
      </c>
      <c r="D1240" s="5">
        <f ca="1">IFERROR(__xludf.DUMMYFUNCTION("""COMPUTED_VALUE"""),45694)</f>
        <v>45694</v>
      </c>
      <c r="F1240" s="1" t="str">
        <f ca="1">IFERROR(__xludf.DUMMYFUNCTION("""COMPUTED_VALUE"""),"Israel and Occupied Palestinian Territories")</f>
        <v>Israel and Occupied Palestinian Territories</v>
      </c>
      <c r="G1240" s="1" t="str">
        <f ca="1">IFERROR(__xludf.DUMMYFUNCTION("""COMPUTED_VALUE"""),"3.25 IOPT")</f>
        <v>3.25 IOPT</v>
      </c>
      <c r="H1240" s="1" t="str">
        <f ca="1">IFERROR(__xludf.DUMMYFUNCTION("""COMPUTED_VALUE"""),"Freedom of Expression, Individuals At Risk")</f>
        <v>Freedom of Expression, Individuals At Risk</v>
      </c>
      <c r="I1240" s="1" t="str">
        <f ca="1">IFERROR(__xludf.DUMMYFUNCTION("""COMPUTED_VALUE"""),"2025")</f>
        <v>2025</v>
      </c>
      <c r="J1240" s="1" t="str">
        <f ca="1">IFERROR(__xludf.DUMMYFUNCTION("""COMPUTED_VALUE"""),"Email")</f>
        <v>Email</v>
      </c>
    </row>
    <row r="1241" spans="1:10" ht="13" x14ac:dyDescent="0.15">
      <c r="A1241" s="4">
        <f ca="1">IFERROR(__xludf.DUMMYFUNCTION("""COMPUTED_VALUE"""),118293070)</f>
        <v>118293070</v>
      </c>
      <c r="B1241" s="1" t="str">
        <f ca="1">IFERROR(__xludf.DUMMYFUNCTION("""COMPUTED_VALUE"""),"mstuhlreyer@ihmsisters.org")</f>
        <v>mstuhlreyer@ihmsisters.org</v>
      </c>
      <c r="C1241" s="4" t="str">
        <f ca="1">IFERROR(__xludf.DUMMYFUNCTION("""COMPUTED_VALUE"""),"EVERGREEN - UAN Gated Content - Embedded Petition")</f>
        <v>EVERGREEN - UAN Gated Content - Embedded Petition</v>
      </c>
      <c r="D1241" s="5">
        <f ca="1">IFERROR(__xludf.DUMMYFUNCTION("""COMPUTED_VALUE"""),45694)</f>
        <v>45694</v>
      </c>
      <c r="F1241" s="1" t="str">
        <f ca="1">IFERROR(__xludf.DUMMYFUNCTION("""COMPUTED_VALUE"""),"Tunisia")</f>
        <v>Tunisia</v>
      </c>
      <c r="G1241" s="1" t="str">
        <f ca="1">IFERROR(__xludf.DUMMYFUNCTION("""COMPUTED_VALUE"""),"Second 43.24 Tunisia")</f>
        <v>Second 43.24 Tunisia</v>
      </c>
      <c r="H1241" s="1" t="str">
        <f ca="1">IFERROR(__xludf.DUMMYFUNCTION("""COMPUTED_VALUE"""),"Freedom of Expression, Individuals At Risk")</f>
        <v>Freedom of Expression, Individuals At Risk</v>
      </c>
      <c r="I1241" s="1" t="str">
        <f ca="1">IFERROR(__xludf.DUMMYFUNCTION("""COMPUTED_VALUE"""),"2024")</f>
        <v>2024</v>
      </c>
      <c r="J1241" s="1" t="str">
        <f ca="1">IFERROR(__xludf.DUMMYFUNCTION("""COMPUTED_VALUE"""),"Email")</f>
        <v>Email</v>
      </c>
    </row>
    <row r="1242" spans="1:10" ht="13" x14ac:dyDescent="0.15">
      <c r="A1242" s="4">
        <f ca="1">IFERROR(__xludf.DUMMYFUNCTION("""COMPUTED_VALUE"""),118295600)</f>
        <v>118295600</v>
      </c>
      <c r="B1242" s="1" t="str">
        <f ca="1">IFERROR(__xludf.DUMMYFUNCTION("""COMPUTED_VALUE"""),"yogablu@gmail.com")</f>
        <v>yogablu@gmail.com</v>
      </c>
      <c r="C1242" s="4" t="str">
        <f ca="1">IFERROR(__xludf.DUMMYFUNCTION("""COMPUTED_VALUE"""),"EVERGREEN - UAN Gated Content - Embedded Petition")</f>
        <v>EVERGREEN - UAN Gated Content - Embedded Petition</v>
      </c>
      <c r="D1242" s="5">
        <f ca="1">IFERROR(__xludf.DUMMYFUNCTION("""COMPUTED_VALUE"""),45694)</f>
        <v>45694</v>
      </c>
      <c r="F1242" s="1" t="str">
        <f ca="1">IFERROR(__xludf.DUMMYFUNCTION("""COMPUTED_VALUE"""),"Tunisia")</f>
        <v>Tunisia</v>
      </c>
      <c r="G1242" s="1" t="str">
        <f ca="1">IFERROR(__xludf.DUMMYFUNCTION("""COMPUTED_VALUE"""),"Second 76.24 Tunisia")</f>
        <v>Second 76.24 Tunisia</v>
      </c>
      <c r="H1242" s="1" t="str">
        <f ca="1">IFERROR(__xludf.DUMMYFUNCTION("""COMPUTED_VALUE"""),"Freedom of Expression, Human Rights Defenders")</f>
        <v>Freedom of Expression, Human Rights Defenders</v>
      </c>
      <c r="I1242" s="1" t="str">
        <f ca="1">IFERROR(__xludf.DUMMYFUNCTION("""COMPUTED_VALUE"""),"2025")</f>
        <v>2025</v>
      </c>
      <c r="J1242" s="1" t="str">
        <f ca="1">IFERROR(__xludf.DUMMYFUNCTION("""COMPUTED_VALUE"""),"Email")</f>
        <v>Email</v>
      </c>
    </row>
    <row r="1243" spans="1:10" ht="13" x14ac:dyDescent="0.15">
      <c r="A1243" s="4">
        <f ca="1">IFERROR(__xludf.DUMMYFUNCTION("""COMPUTED_VALUE"""),118295697)</f>
        <v>118295697</v>
      </c>
      <c r="B1243" s="1" t="str">
        <f ca="1">IFERROR(__xludf.DUMMYFUNCTION("""COMPUTED_VALUE"""),"hbrogers@yahoo.com")</f>
        <v>hbrogers@yahoo.com</v>
      </c>
      <c r="C1243" s="4" t="str">
        <f ca="1">IFERROR(__xludf.DUMMYFUNCTION("""COMPUTED_VALUE"""),"EVERGREEN - UAN Gated Content - Embedded Petition")</f>
        <v>EVERGREEN - UAN Gated Content - Embedded Petition</v>
      </c>
      <c r="D1243" s="5">
        <f ca="1">IFERROR(__xludf.DUMMYFUNCTION("""COMPUTED_VALUE"""),45697)</f>
        <v>45697</v>
      </c>
      <c r="F1243" s="1" t="str">
        <f ca="1">IFERROR(__xludf.DUMMYFUNCTION("""COMPUTED_VALUE"""),"Tunisia")</f>
        <v>Tunisia</v>
      </c>
      <c r="G1243" s="1" t="str">
        <f ca="1">IFERROR(__xludf.DUMMYFUNCTION("""COMPUTED_VALUE"""),"Second 76.24 Tunisia")</f>
        <v>Second 76.24 Tunisia</v>
      </c>
      <c r="H1243" s="1" t="str">
        <f ca="1">IFERROR(__xludf.DUMMYFUNCTION("""COMPUTED_VALUE"""),"Freedom of Expression, Human Rights Defenders")</f>
        <v>Freedom of Expression, Human Rights Defenders</v>
      </c>
      <c r="I1243" s="1" t="str">
        <f ca="1">IFERROR(__xludf.DUMMYFUNCTION("""COMPUTED_VALUE"""),"2025")</f>
        <v>2025</v>
      </c>
      <c r="J1243" s="1" t="str">
        <f ca="1">IFERROR(__xludf.DUMMYFUNCTION("""COMPUTED_VALUE"""),"Email")</f>
        <v>Email</v>
      </c>
    </row>
    <row r="1244" spans="1:10" ht="13" x14ac:dyDescent="0.15">
      <c r="A1244" s="4">
        <f ca="1">IFERROR(__xludf.DUMMYFUNCTION("""COMPUTED_VALUE"""),118429002)</f>
        <v>118429002</v>
      </c>
      <c r="B1244" s="1" t="str">
        <f ca="1">IFERROR(__xludf.DUMMYFUNCTION("""COMPUTED_VALUE"""),"alexeritrea1@yahoo.co.uk")</f>
        <v>alexeritrea1@yahoo.co.uk</v>
      </c>
      <c r="C1244" s="4" t="str">
        <f ca="1">IFERROR(__xludf.DUMMYFUNCTION("""COMPUTED_VALUE"""),"EVERGREEN - UAN Gated Content - Embedded Petition")</f>
        <v>EVERGREEN - UAN Gated Content - Embedded Petition</v>
      </c>
      <c r="D1244" s="5">
        <f ca="1">IFERROR(__xludf.DUMMYFUNCTION("""COMPUTED_VALUE"""),45694)</f>
        <v>45694</v>
      </c>
      <c r="F1244" s="1" t="str">
        <f ca="1">IFERROR(__xludf.DUMMYFUNCTION("""COMPUTED_VALUE"""),"USA")</f>
        <v>USA</v>
      </c>
      <c r="G1244" s="1" t="str">
        <f ca="1">IFERROR(__xludf.DUMMYFUNCTION("""COMPUTED_VALUE"""),"105.24 USA")</f>
        <v>105.24 USA</v>
      </c>
      <c r="H1244" s="1" t="str">
        <f ca="1">IFERROR(__xludf.DUMMYFUNCTION("""COMPUTED_VALUE"""),"Death Penalty")</f>
        <v>Death Penalty</v>
      </c>
      <c r="I1244" s="1" t="str">
        <f ca="1">IFERROR(__xludf.DUMMYFUNCTION("""COMPUTED_VALUE"""),"2024")</f>
        <v>2024</v>
      </c>
      <c r="J1244" s="1" t="str">
        <f ca="1">IFERROR(__xludf.DUMMYFUNCTION("""COMPUTED_VALUE"""),"Email")</f>
        <v>Email</v>
      </c>
    </row>
    <row r="1245" spans="1:10" ht="13" x14ac:dyDescent="0.15">
      <c r="A1245" s="4">
        <f ca="1">IFERROR(__xludf.DUMMYFUNCTION("""COMPUTED_VALUE"""),118779909)</f>
        <v>118779909</v>
      </c>
      <c r="B1245" s="1" t="str">
        <f ca="1">IFERROR(__xludf.DUMMYFUNCTION("""COMPUTED_VALUE"""),"sdelturk@outlook.com")</f>
        <v>sdelturk@outlook.com</v>
      </c>
      <c r="C1245" s="4" t="str">
        <f ca="1">IFERROR(__xludf.DUMMYFUNCTION("""COMPUTED_VALUE"""),"EVERGREEN - UAN Gated Content - Embedded Petition")</f>
        <v>EVERGREEN - UAN Gated Content - Embedded Petition</v>
      </c>
      <c r="D1245" s="5">
        <f ca="1">IFERROR(__xludf.DUMMYFUNCTION("""COMPUTED_VALUE"""),45697)</f>
        <v>45697</v>
      </c>
      <c r="F1245" s="1" t="str">
        <f ca="1">IFERROR(__xludf.DUMMYFUNCTION("""COMPUTED_VALUE"""),"Tunisia")</f>
        <v>Tunisia</v>
      </c>
      <c r="G1245" s="1" t="str">
        <f ca="1">IFERROR(__xludf.DUMMYFUNCTION("""COMPUTED_VALUE"""),"Second 76.24 Tunisia")</f>
        <v>Second 76.24 Tunisia</v>
      </c>
      <c r="H1245" s="1" t="str">
        <f ca="1">IFERROR(__xludf.DUMMYFUNCTION("""COMPUTED_VALUE"""),"Freedom of Expression, Human Rights Defenders")</f>
        <v>Freedom of Expression, Human Rights Defenders</v>
      </c>
      <c r="I1245" s="1" t="str">
        <f ca="1">IFERROR(__xludf.DUMMYFUNCTION("""COMPUTED_VALUE"""),"2025")</f>
        <v>2025</v>
      </c>
      <c r="J1245" s="1" t="str">
        <f ca="1">IFERROR(__xludf.DUMMYFUNCTION("""COMPUTED_VALUE"""),"Email")</f>
        <v>Email</v>
      </c>
    </row>
    <row r="1246" spans="1:10" ht="13" x14ac:dyDescent="0.15">
      <c r="A1246" s="4">
        <f ca="1">IFERROR(__xludf.DUMMYFUNCTION("""COMPUTED_VALUE"""),118788101)</f>
        <v>118788101</v>
      </c>
      <c r="B1246" s="1" t="str">
        <f ca="1">IFERROR(__xludf.DUMMYFUNCTION("""COMPUTED_VALUE"""),"gemmadee2003@gmail.com")</f>
        <v>gemmadee2003@gmail.com</v>
      </c>
      <c r="C1246" s="4" t="str">
        <f ca="1">IFERROR(__xludf.DUMMYFUNCTION("""COMPUTED_VALUE"""),"EVERGREEN - UAN Gated Content - Embedded Petition")</f>
        <v>EVERGREEN - UAN Gated Content - Embedded Petition</v>
      </c>
      <c r="D1246" s="5">
        <f ca="1">IFERROR(__xludf.DUMMYFUNCTION("""COMPUTED_VALUE"""),45677)</f>
        <v>45677</v>
      </c>
      <c r="F1246" s="1" t="str">
        <f ca="1">IFERROR(__xludf.DUMMYFUNCTION("""COMPUTED_VALUE"""),"Tunisia")</f>
        <v>Tunisia</v>
      </c>
      <c r="G1246" s="1" t="str">
        <f ca="1">IFERROR(__xludf.DUMMYFUNCTION("""COMPUTED_VALUE"""),"Second 76.24 Tunisia")</f>
        <v>Second 76.24 Tunisia</v>
      </c>
      <c r="H1246" s="1" t="str">
        <f ca="1">IFERROR(__xludf.DUMMYFUNCTION("""COMPUTED_VALUE"""),"Freedom of Expression, Human Rights Defenders")</f>
        <v>Freedom of Expression, Human Rights Defenders</v>
      </c>
      <c r="I1246" s="1" t="str">
        <f ca="1">IFERROR(__xludf.DUMMYFUNCTION("""COMPUTED_VALUE"""),"2025")</f>
        <v>2025</v>
      </c>
      <c r="J1246" s="1" t="str">
        <f ca="1">IFERROR(__xludf.DUMMYFUNCTION("""COMPUTED_VALUE"""),"Email")</f>
        <v>Email</v>
      </c>
    </row>
    <row r="1247" spans="1:10" ht="13" x14ac:dyDescent="0.15">
      <c r="A1247" s="4">
        <f ca="1">IFERROR(__xludf.DUMMYFUNCTION("""COMPUTED_VALUE"""),118788101)</f>
        <v>118788101</v>
      </c>
      <c r="B1247" s="1" t="str">
        <f ca="1">IFERROR(__xludf.DUMMYFUNCTION("""COMPUTED_VALUE"""),"gemmadee2003@gmail.com")</f>
        <v>gemmadee2003@gmail.com</v>
      </c>
      <c r="C1247" s="4" t="str">
        <f ca="1">IFERROR(__xludf.DUMMYFUNCTION("""COMPUTED_VALUE"""),"EVERGREEN - UAN Gated Content - Embedded Petition")</f>
        <v>EVERGREEN - UAN Gated Content - Embedded Petition</v>
      </c>
      <c r="D1247" s="5">
        <f ca="1">IFERROR(__xludf.DUMMYFUNCTION("""COMPUTED_VALUE"""),45698)</f>
        <v>45698</v>
      </c>
      <c r="F1247" s="1" t="str">
        <f ca="1">IFERROR(__xludf.DUMMYFUNCTION("""COMPUTED_VALUE"""),"Dominican Republic")</f>
        <v>Dominican Republic</v>
      </c>
      <c r="G1247" s="1" t="str">
        <f ca="1">IFERROR(__xludf.DUMMYFUNCTION("""COMPUTED_VALUE"""),"88.24 Dominican Republic")</f>
        <v>88.24 Dominican Republic</v>
      </c>
      <c r="H1247" s="1" t="str">
        <f ca="1">IFERROR(__xludf.DUMMYFUNCTION("""COMPUTED_VALUE"""),"Individuals At Risk, Refugee and Migrant Rights")</f>
        <v>Individuals At Risk, Refugee and Migrant Rights</v>
      </c>
      <c r="I1247" s="1" t="str">
        <f ca="1">IFERROR(__xludf.DUMMYFUNCTION("""COMPUTED_VALUE"""),"2024")</f>
        <v>2024</v>
      </c>
      <c r="J1247" s="1" t="str">
        <f ca="1">IFERROR(__xludf.DUMMYFUNCTION("""COMPUTED_VALUE"""),"Letter")</f>
        <v>Letter</v>
      </c>
    </row>
    <row r="1248" spans="1:10" ht="13" x14ac:dyDescent="0.15">
      <c r="A1248" s="4">
        <f ca="1">IFERROR(__xludf.DUMMYFUNCTION("""COMPUTED_VALUE"""),119184246)</f>
        <v>119184246</v>
      </c>
      <c r="B1248" s="1" t="str">
        <f ca="1">IFERROR(__xludf.DUMMYFUNCTION("""COMPUTED_VALUE"""),"ddonahue60@gmail.com")</f>
        <v>ddonahue60@gmail.com</v>
      </c>
      <c r="C1248" s="4" t="str">
        <f ca="1">IFERROR(__xludf.DUMMYFUNCTION("""COMPUTED_VALUE"""),"EVERGREEN - UAN Gated Content - Embedded Petition")</f>
        <v>EVERGREEN - UAN Gated Content - Embedded Petition</v>
      </c>
      <c r="D1248" s="5">
        <f ca="1">IFERROR(__xludf.DUMMYFUNCTION("""COMPUTED_VALUE"""),45695)</f>
        <v>45695</v>
      </c>
      <c r="F1248" s="1" t="str">
        <f ca="1">IFERROR(__xludf.DUMMYFUNCTION("""COMPUTED_VALUE"""),"USA")</f>
        <v>USA</v>
      </c>
      <c r="G1248" s="1" t="str">
        <f ca="1">IFERROR(__xludf.DUMMYFUNCTION("""COMPUTED_VALUE"""),"4.25 USA")</f>
        <v>4.25 USA</v>
      </c>
      <c r="H1248" s="1" t="str">
        <f ca="1">IFERROR(__xludf.DUMMYFUNCTION("""COMPUTED_VALUE"""),"Individuals At Risk, Refugee and Migrant Rights")</f>
        <v>Individuals At Risk, Refugee and Migrant Rights</v>
      </c>
      <c r="I1248" s="1" t="str">
        <f ca="1">IFERROR(__xludf.DUMMYFUNCTION("""COMPUTED_VALUE"""),"2025")</f>
        <v>2025</v>
      </c>
      <c r="J1248" s="1" t="str">
        <f ca="1">IFERROR(__xludf.DUMMYFUNCTION("""COMPUTED_VALUE"""),"Letter")</f>
        <v>Letter</v>
      </c>
    </row>
    <row r="1249" spans="1:10" ht="13" x14ac:dyDescent="0.15">
      <c r="A1249" s="4">
        <f ca="1">IFERROR(__xludf.DUMMYFUNCTION("""COMPUTED_VALUE"""),119568159)</f>
        <v>119568159</v>
      </c>
      <c r="B1249" s="1" t="str">
        <f ca="1">IFERROR(__xludf.DUMMYFUNCTION("""COMPUTED_VALUE"""),"chip.lee54@yahoo.com")</f>
        <v>chip.lee54@yahoo.com</v>
      </c>
      <c r="C1249" s="4" t="str">
        <f ca="1">IFERROR(__xludf.DUMMYFUNCTION("""COMPUTED_VALUE"""),"EVERGREEN - UAN Gated Content - Embedded Petition")</f>
        <v>EVERGREEN - UAN Gated Content - Embedded Petition</v>
      </c>
      <c r="D1249" s="5">
        <f ca="1">IFERROR(__xludf.DUMMYFUNCTION("""COMPUTED_VALUE"""),45694)</f>
        <v>45694</v>
      </c>
      <c r="F1249" s="1" t="str">
        <f ca="1">IFERROR(__xludf.DUMMYFUNCTION("""COMPUTED_VALUE"""),"Israel and Occupied Palestinian Territories")</f>
        <v>Israel and Occupied Palestinian Territories</v>
      </c>
      <c r="G1249" s="1" t="str">
        <f ca="1">IFERROR(__xludf.DUMMYFUNCTION("""COMPUTED_VALUE"""),"3.25 IOPT")</f>
        <v>3.25 IOPT</v>
      </c>
      <c r="H1249" s="1" t="str">
        <f ca="1">IFERROR(__xludf.DUMMYFUNCTION("""COMPUTED_VALUE"""),"Freedom of Expression, Individuals At Risk")</f>
        <v>Freedom of Expression, Individuals At Risk</v>
      </c>
      <c r="I1249" s="1" t="str">
        <f ca="1">IFERROR(__xludf.DUMMYFUNCTION("""COMPUTED_VALUE"""),"2025")</f>
        <v>2025</v>
      </c>
      <c r="J1249" s="1" t="str">
        <f ca="1">IFERROR(__xludf.DUMMYFUNCTION("""COMPUTED_VALUE"""),"Email")</f>
        <v>Email</v>
      </c>
    </row>
    <row r="1250" spans="1:10" ht="13" x14ac:dyDescent="0.15">
      <c r="A1250" s="4">
        <f ca="1">IFERROR(__xludf.DUMMYFUNCTION("""COMPUTED_VALUE"""),119619422)</f>
        <v>119619422</v>
      </c>
      <c r="B1250" s="1" t="str">
        <f ca="1">IFERROR(__xludf.DUMMYFUNCTION("""COMPUTED_VALUE"""),"ecollin7@gmail.com")</f>
        <v>ecollin7@gmail.com</v>
      </c>
      <c r="C1250" s="4" t="str">
        <f ca="1">IFERROR(__xludf.DUMMYFUNCTION("""COMPUTED_VALUE"""),"EVERGREEN - UAN Gated Content - Embedded Petition")</f>
        <v>EVERGREEN - UAN Gated Content - Embedded Petition</v>
      </c>
      <c r="D1250" s="5">
        <f ca="1">IFERROR(__xludf.DUMMYFUNCTION("""COMPUTED_VALUE"""),45690)</f>
        <v>45690</v>
      </c>
      <c r="F1250" s="1" t="str">
        <f ca="1">IFERROR(__xludf.DUMMYFUNCTION("""COMPUTED_VALUE"""),"Tunisia")</f>
        <v>Tunisia</v>
      </c>
      <c r="G1250" s="1" t="str">
        <f ca="1">IFERROR(__xludf.DUMMYFUNCTION("""COMPUTED_VALUE"""),"Second 76.24 Tunisia")</f>
        <v>Second 76.24 Tunisia</v>
      </c>
      <c r="H1250" s="1" t="str">
        <f ca="1">IFERROR(__xludf.DUMMYFUNCTION("""COMPUTED_VALUE"""),"Freedom of Expression, Human Rights Defenders")</f>
        <v>Freedom of Expression, Human Rights Defenders</v>
      </c>
      <c r="I1250" s="1" t="str">
        <f ca="1">IFERROR(__xludf.DUMMYFUNCTION("""COMPUTED_VALUE"""),"2025")</f>
        <v>2025</v>
      </c>
      <c r="J1250" s="1" t="str">
        <f ca="1">IFERROR(__xludf.DUMMYFUNCTION("""COMPUTED_VALUE"""),"Email")</f>
        <v>Email</v>
      </c>
    </row>
    <row r="1251" spans="1:10" ht="13" x14ac:dyDescent="0.15">
      <c r="A1251" s="4">
        <f ca="1">IFERROR(__xludf.DUMMYFUNCTION("""COMPUTED_VALUE"""),119806655)</f>
        <v>119806655</v>
      </c>
      <c r="B1251" s="1" t="str">
        <f ca="1">IFERROR(__xludf.DUMMYFUNCTION("""COMPUTED_VALUE"""),"dasred@msn.com")</f>
        <v>dasred@msn.com</v>
      </c>
      <c r="C1251" s="4" t="str">
        <f ca="1">IFERROR(__xludf.DUMMYFUNCTION("""COMPUTED_VALUE"""),"EVERGREEN - UAN Gated Content - Embedded Petition")</f>
        <v>EVERGREEN - UAN Gated Content - Embedded Petition</v>
      </c>
      <c r="D1251" s="5">
        <f ca="1">IFERROR(__xludf.DUMMYFUNCTION("""COMPUTED_VALUE"""),45694)</f>
        <v>45694</v>
      </c>
      <c r="F1251" s="1" t="str">
        <f ca="1">IFERROR(__xludf.DUMMYFUNCTION("""COMPUTED_VALUE"""),"Tunisia")</f>
        <v>Tunisia</v>
      </c>
      <c r="G1251" s="1" t="str">
        <f ca="1">IFERROR(__xludf.DUMMYFUNCTION("""COMPUTED_VALUE"""),"Second 76.24 Tunisia")</f>
        <v>Second 76.24 Tunisia</v>
      </c>
      <c r="H1251" s="1" t="str">
        <f ca="1">IFERROR(__xludf.DUMMYFUNCTION("""COMPUTED_VALUE"""),"Freedom of Expression, Human Rights Defenders")</f>
        <v>Freedom of Expression, Human Rights Defenders</v>
      </c>
      <c r="I1251" s="1" t="str">
        <f ca="1">IFERROR(__xludf.DUMMYFUNCTION("""COMPUTED_VALUE"""),"2025")</f>
        <v>2025</v>
      </c>
      <c r="J1251" s="1" t="str">
        <f ca="1">IFERROR(__xludf.DUMMYFUNCTION("""COMPUTED_VALUE"""),"Email")</f>
        <v>Email</v>
      </c>
    </row>
    <row r="1252" spans="1:10" ht="13" x14ac:dyDescent="0.15">
      <c r="A1252" s="4">
        <f ca="1">IFERROR(__xludf.DUMMYFUNCTION("""COMPUTED_VALUE"""),119808753)</f>
        <v>119808753</v>
      </c>
      <c r="B1252" s="1" t="str">
        <f ca="1">IFERROR(__xludf.DUMMYFUNCTION("""COMPUTED_VALUE"""),"tmmacc15@aol.com")</f>
        <v>tmmacc15@aol.com</v>
      </c>
      <c r="C1252" s="4" t="str">
        <f ca="1">IFERROR(__xludf.DUMMYFUNCTION("""COMPUTED_VALUE"""),"EVERGREEN - UAN Gated Content - Embedded Petition")</f>
        <v>EVERGREEN - UAN Gated Content - Embedded Petition</v>
      </c>
      <c r="D1252" s="5">
        <f ca="1">IFERROR(__xludf.DUMMYFUNCTION("""COMPUTED_VALUE"""),45695)</f>
        <v>45695</v>
      </c>
      <c r="F1252" s="1" t="str">
        <f ca="1">IFERROR(__xludf.DUMMYFUNCTION("""COMPUTED_VALUE"""),"Israel and Occupied Palestinian Territories")</f>
        <v>Israel and Occupied Palestinian Territories</v>
      </c>
      <c r="G1252" s="1" t="str">
        <f ca="1">IFERROR(__xludf.DUMMYFUNCTION("""COMPUTED_VALUE"""),"3.25 IOPT")</f>
        <v>3.25 IOPT</v>
      </c>
      <c r="H1252" s="1" t="str">
        <f ca="1">IFERROR(__xludf.DUMMYFUNCTION("""COMPUTED_VALUE"""),"Freedom of Expression, Individuals At Risk")</f>
        <v>Freedom of Expression, Individuals At Risk</v>
      </c>
      <c r="I1252" s="1" t="str">
        <f ca="1">IFERROR(__xludf.DUMMYFUNCTION("""COMPUTED_VALUE"""),"2025")</f>
        <v>2025</v>
      </c>
      <c r="J1252" s="1" t="str">
        <f ca="1">IFERROR(__xludf.DUMMYFUNCTION("""COMPUTED_VALUE"""),"Email")</f>
        <v>Email</v>
      </c>
    </row>
    <row r="1253" spans="1:10" ht="13" x14ac:dyDescent="0.15">
      <c r="A1253" s="4">
        <f ca="1">IFERROR(__xludf.DUMMYFUNCTION("""COMPUTED_VALUE"""),119814476)</f>
        <v>119814476</v>
      </c>
      <c r="B1253" s="1" t="str">
        <f ca="1">IFERROR(__xludf.DUMMYFUNCTION("""COMPUTED_VALUE"""),"mkboz1313@gmail.com")</f>
        <v>mkboz1313@gmail.com</v>
      </c>
      <c r="C1253" s="4" t="str">
        <f ca="1">IFERROR(__xludf.DUMMYFUNCTION("""COMPUTED_VALUE"""),"EVERGREEN - UAN Gated Content - Embedded Petition")</f>
        <v>EVERGREEN - UAN Gated Content - Embedded Petition</v>
      </c>
      <c r="D1253" s="5">
        <f ca="1">IFERROR(__xludf.DUMMYFUNCTION("""COMPUTED_VALUE"""),45682)</f>
        <v>45682</v>
      </c>
      <c r="F1253" s="1" t="str">
        <f ca="1">IFERROR(__xludf.DUMMYFUNCTION("""COMPUTED_VALUE"""),"USA")</f>
        <v>USA</v>
      </c>
      <c r="G1253" s="1" t="str">
        <f ca="1">IFERROR(__xludf.DUMMYFUNCTION("""COMPUTED_VALUE"""),"4.25 USA")</f>
        <v>4.25 USA</v>
      </c>
      <c r="H1253" s="1" t="str">
        <f ca="1">IFERROR(__xludf.DUMMYFUNCTION("""COMPUTED_VALUE"""),"Individuals At Risk, Refugee and Migrant Rights")</f>
        <v>Individuals At Risk, Refugee and Migrant Rights</v>
      </c>
      <c r="I1253" s="1" t="str">
        <f ca="1">IFERROR(__xludf.DUMMYFUNCTION("""COMPUTED_VALUE"""),"2025")</f>
        <v>2025</v>
      </c>
      <c r="J1253" s="1" t="str">
        <f ca="1">IFERROR(__xludf.DUMMYFUNCTION("""COMPUTED_VALUE"""),"Letter")</f>
        <v>Letter</v>
      </c>
    </row>
    <row r="1254" spans="1:10" ht="13" x14ac:dyDescent="0.15">
      <c r="A1254" s="4">
        <f ca="1">IFERROR(__xludf.DUMMYFUNCTION("""COMPUTED_VALUE"""),119857509)</f>
        <v>119857509</v>
      </c>
      <c r="B1254" s="1" t="str">
        <f ca="1">IFERROR(__xludf.DUMMYFUNCTION("""COMPUTED_VALUE"""),"stevepastis@yahoo.com")</f>
        <v>stevepastis@yahoo.com</v>
      </c>
      <c r="C1254" s="4" t="str">
        <f ca="1">IFERROR(__xludf.DUMMYFUNCTION("""COMPUTED_VALUE"""),"EVERGREEN - UAN Gated Content - Embedded Petition")</f>
        <v>EVERGREEN - UAN Gated Content - Embedded Petition</v>
      </c>
      <c r="D1254" s="5">
        <f ca="1">IFERROR(__xludf.DUMMYFUNCTION("""COMPUTED_VALUE"""),45697)</f>
        <v>45697</v>
      </c>
      <c r="F1254" s="1" t="str">
        <f ca="1">IFERROR(__xludf.DUMMYFUNCTION("""COMPUTED_VALUE"""),"Dominican Republic")</f>
        <v>Dominican Republic</v>
      </c>
      <c r="G1254" s="1" t="str">
        <f ca="1">IFERROR(__xludf.DUMMYFUNCTION("""COMPUTED_VALUE"""),"88.24 Dominican Republic")</f>
        <v>88.24 Dominican Republic</v>
      </c>
      <c r="H1254" s="1" t="str">
        <f ca="1">IFERROR(__xludf.DUMMYFUNCTION("""COMPUTED_VALUE"""),"Individuals At Risk, Refugee and Migrant Rights")</f>
        <v>Individuals At Risk, Refugee and Migrant Rights</v>
      </c>
      <c r="I1254" s="1" t="str">
        <f ca="1">IFERROR(__xludf.DUMMYFUNCTION("""COMPUTED_VALUE"""),"2024")</f>
        <v>2024</v>
      </c>
      <c r="J1254" s="1" t="str">
        <f ca="1">IFERROR(__xludf.DUMMYFUNCTION("""COMPUTED_VALUE"""),"Letter")</f>
        <v>Letter</v>
      </c>
    </row>
    <row r="1255" spans="1:10" ht="13" x14ac:dyDescent="0.15">
      <c r="A1255" s="4">
        <f ca="1">IFERROR(__xludf.DUMMYFUNCTION("""COMPUTED_VALUE"""),119857509)</f>
        <v>119857509</v>
      </c>
      <c r="B1255" s="1" t="str">
        <f ca="1">IFERROR(__xludf.DUMMYFUNCTION("""COMPUTED_VALUE"""),"stevepastis@yahoo.com")</f>
        <v>stevepastis@yahoo.com</v>
      </c>
      <c r="C1255" s="4" t="str">
        <f ca="1">IFERROR(__xludf.DUMMYFUNCTION("""COMPUTED_VALUE"""),"EVERGREEN - UAN Gated Content - Embedded Petition")</f>
        <v>EVERGREEN - UAN Gated Content - Embedded Petition</v>
      </c>
      <c r="D1255" s="5">
        <f ca="1">IFERROR(__xludf.DUMMYFUNCTION("""COMPUTED_VALUE"""),45697)</f>
        <v>45697</v>
      </c>
      <c r="F1255" s="1" t="str">
        <f ca="1">IFERROR(__xludf.DUMMYFUNCTION("""COMPUTED_VALUE"""),"China")</f>
        <v>China</v>
      </c>
      <c r="G1255" s="1" t="str">
        <f ca="1">IFERROR(__xludf.DUMMYFUNCTION("""COMPUTED_VALUE"""),"98.24 China")</f>
        <v>98.24 China</v>
      </c>
      <c r="H1255" s="1" t="str">
        <f ca="1">IFERROR(__xludf.DUMMYFUNCTION("""COMPUTED_VALUE"""),"Freedom of Expression, Individuals At Risk")</f>
        <v>Freedom of Expression, Individuals At Risk</v>
      </c>
      <c r="I1255" s="1" t="str">
        <f ca="1">IFERROR(__xludf.DUMMYFUNCTION("""COMPUTED_VALUE"""),"2024")</f>
        <v>2024</v>
      </c>
      <c r="J1255" s="1" t="str">
        <f ca="1">IFERROR(__xludf.DUMMYFUNCTION("""COMPUTED_VALUE"""),"Letter")</f>
        <v>Letter</v>
      </c>
    </row>
    <row r="1256" spans="1:10" ht="13" x14ac:dyDescent="0.15">
      <c r="A1256" s="4">
        <f ca="1">IFERROR(__xludf.DUMMYFUNCTION("""COMPUTED_VALUE"""),119857509)</f>
        <v>119857509</v>
      </c>
      <c r="B1256" s="1" t="str">
        <f ca="1">IFERROR(__xludf.DUMMYFUNCTION("""COMPUTED_VALUE"""),"stevepastis@yahoo.com")</f>
        <v>stevepastis@yahoo.com</v>
      </c>
      <c r="C1256" s="4" t="str">
        <f ca="1">IFERROR(__xludf.DUMMYFUNCTION("""COMPUTED_VALUE"""),"EVERGREEN - UAN Gated Content - Embedded Petition")</f>
        <v>EVERGREEN - UAN Gated Content - Embedded Petition</v>
      </c>
      <c r="D1256" s="5">
        <f ca="1">IFERROR(__xludf.DUMMYFUNCTION("""COMPUTED_VALUE"""),45697)</f>
        <v>45697</v>
      </c>
      <c r="F1256" s="1" t="str">
        <f ca="1">IFERROR(__xludf.DUMMYFUNCTION("""COMPUTED_VALUE"""),"Iran")</f>
        <v>Iran</v>
      </c>
      <c r="G1256" s="1" t="str">
        <f ca="1">IFERROR(__xludf.DUMMYFUNCTION("""COMPUTED_VALUE"""),"101.24 Iran")</f>
        <v>101.24 Iran</v>
      </c>
      <c r="H1256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1256" s="1" t="str">
        <f ca="1">IFERROR(__xludf.DUMMYFUNCTION("""COMPUTED_VALUE"""),"2024")</f>
        <v>2024</v>
      </c>
      <c r="J1256" s="1" t="str">
        <f ca="1">IFERROR(__xludf.DUMMYFUNCTION("""COMPUTED_VALUE"""),"Email")</f>
        <v>Email</v>
      </c>
    </row>
    <row r="1257" spans="1:10" ht="13" x14ac:dyDescent="0.15">
      <c r="A1257" s="4">
        <f ca="1">IFERROR(__xludf.DUMMYFUNCTION("""COMPUTED_VALUE"""),119857509)</f>
        <v>119857509</v>
      </c>
      <c r="B1257" s="1" t="str">
        <f ca="1">IFERROR(__xludf.DUMMYFUNCTION("""COMPUTED_VALUE"""),"stevepastis@yahoo.com")</f>
        <v>stevepastis@yahoo.com</v>
      </c>
      <c r="C1257" s="4" t="str">
        <f ca="1">IFERROR(__xludf.DUMMYFUNCTION("""COMPUTED_VALUE"""),"EVERGREEN - UAN Gated Content - Embedded Petition")</f>
        <v>EVERGREEN - UAN Gated Content - Embedded Petition</v>
      </c>
      <c r="D1257" s="5">
        <f ca="1">IFERROR(__xludf.DUMMYFUNCTION("""COMPUTED_VALUE"""),45697)</f>
        <v>45697</v>
      </c>
      <c r="F1257" s="1" t="str">
        <f ca="1">IFERROR(__xludf.DUMMYFUNCTION("""COMPUTED_VALUE"""),"Uganda")</f>
        <v>Uganda</v>
      </c>
      <c r="G1257" s="1" t="str">
        <f ca="1">IFERROR(__xludf.DUMMYFUNCTION("""COMPUTED_VALUE"""),"100.24 Uganda")</f>
        <v>100.24 Uganda</v>
      </c>
      <c r="H1257" s="1" t="str">
        <f ca="1">IFERROR(__xludf.DUMMYFUNCTION("""COMPUTED_VALUE"""),"Freedom of Expression")</f>
        <v>Freedom of Expression</v>
      </c>
      <c r="I1257" s="1" t="str">
        <f ca="1">IFERROR(__xludf.DUMMYFUNCTION("""COMPUTED_VALUE"""),"2024")</f>
        <v>2024</v>
      </c>
      <c r="J1257" s="1" t="str">
        <f ca="1">IFERROR(__xludf.DUMMYFUNCTION("""COMPUTED_VALUE"""),"Email")</f>
        <v>Email</v>
      </c>
    </row>
    <row r="1258" spans="1:10" ht="13" x14ac:dyDescent="0.15">
      <c r="A1258" s="4">
        <f ca="1">IFERROR(__xludf.DUMMYFUNCTION("""COMPUTED_VALUE"""),119857509)</f>
        <v>119857509</v>
      </c>
      <c r="B1258" s="1" t="str">
        <f ca="1">IFERROR(__xludf.DUMMYFUNCTION("""COMPUTED_VALUE"""),"stevepastis@yahoo.com")</f>
        <v>stevepastis@yahoo.com</v>
      </c>
      <c r="C1258" s="4" t="str">
        <f ca="1">IFERROR(__xludf.DUMMYFUNCTION("""COMPUTED_VALUE"""),"EVERGREEN - UAN Gated Content - Embedded Petition")</f>
        <v>EVERGREEN - UAN Gated Content - Embedded Petition</v>
      </c>
      <c r="D1258" s="5">
        <f ca="1">IFERROR(__xludf.DUMMYFUNCTION("""COMPUTED_VALUE"""),45697)</f>
        <v>45697</v>
      </c>
      <c r="F1258" s="1" t="str">
        <f ca="1">IFERROR(__xludf.DUMMYFUNCTION("""COMPUTED_VALUE"""),"Egypt")</f>
        <v>Egypt</v>
      </c>
      <c r="G1258" s="1" t="str">
        <f ca="1">IFERROR(__xludf.DUMMYFUNCTION("""COMPUTED_VALUE"""),"Fourth 29.23 Egypt")</f>
        <v>Fourth 29.23 Egypt</v>
      </c>
      <c r="H1258" s="1" t="str">
        <f ca="1">IFERROR(__xludf.DUMMYFUNCTION("""COMPUTED_VALUE"""),"Freedom of Expression, Individuals At Risk, Right to Protest")</f>
        <v>Freedom of Expression, Individuals At Risk, Right to Protest</v>
      </c>
      <c r="I1258" s="1" t="str">
        <f ca="1">IFERROR(__xludf.DUMMYFUNCTION("""COMPUTED_VALUE"""),"2024")</f>
        <v>2024</v>
      </c>
      <c r="J1258" s="1" t="str">
        <f ca="1">IFERROR(__xludf.DUMMYFUNCTION("""COMPUTED_VALUE"""),"Email")</f>
        <v>Email</v>
      </c>
    </row>
    <row r="1259" spans="1:10" ht="13" x14ac:dyDescent="0.15">
      <c r="A1259" s="4">
        <f ca="1">IFERROR(__xludf.DUMMYFUNCTION("""COMPUTED_VALUE"""),119857509)</f>
        <v>119857509</v>
      </c>
      <c r="B1259" s="1" t="str">
        <f ca="1">IFERROR(__xludf.DUMMYFUNCTION("""COMPUTED_VALUE"""),"stevepastis@yahoo.com")</f>
        <v>stevepastis@yahoo.com</v>
      </c>
      <c r="C1259" s="4" t="str">
        <f ca="1">IFERROR(__xludf.DUMMYFUNCTION("""COMPUTED_VALUE"""),"EVERGREEN - UAN Gated Content - Embedded Petition")</f>
        <v>EVERGREEN - UAN Gated Content - Embedded Petition</v>
      </c>
      <c r="D1259" s="5">
        <f ca="1">IFERROR(__xludf.DUMMYFUNCTION("""COMPUTED_VALUE"""),45697)</f>
        <v>45697</v>
      </c>
      <c r="F1259" s="1" t="str">
        <f ca="1">IFERROR(__xludf.DUMMYFUNCTION("""COMPUTED_VALUE"""),"Saudi Arabia")</f>
        <v>Saudi Arabia</v>
      </c>
      <c r="G1259" s="1" t="str">
        <f ca="1">IFERROR(__xludf.DUMMYFUNCTION("""COMPUTED_VALUE"""),"104.24 Saudi Arabia")</f>
        <v>104.24 Saudi Arabia</v>
      </c>
      <c r="H1259" s="1" t="str">
        <f ca="1">IFERROR(__xludf.DUMMYFUNCTION("""COMPUTED_VALUE"""),"Individuals At Risk, Refugee and Migrant Rights")</f>
        <v>Individuals At Risk, Refugee and Migrant Rights</v>
      </c>
      <c r="I1259" s="1" t="str">
        <f ca="1">IFERROR(__xludf.DUMMYFUNCTION("""COMPUTED_VALUE"""),"2024")</f>
        <v>2024</v>
      </c>
      <c r="J1259" s="1" t="str">
        <f ca="1">IFERROR(__xludf.DUMMYFUNCTION("""COMPUTED_VALUE"""),"Email")</f>
        <v>Email</v>
      </c>
    </row>
    <row r="1260" spans="1:10" ht="13" x14ac:dyDescent="0.15">
      <c r="A1260" s="4">
        <f ca="1">IFERROR(__xludf.DUMMYFUNCTION("""COMPUTED_VALUE"""),119857509)</f>
        <v>119857509</v>
      </c>
      <c r="B1260" s="1" t="str">
        <f ca="1">IFERROR(__xludf.DUMMYFUNCTION("""COMPUTED_VALUE"""),"stevepastis@yahoo.com")</f>
        <v>stevepastis@yahoo.com</v>
      </c>
      <c r="C1260" s="4" t="str">
        <f ca="1">IFERROR(__xludf.DUMMYFUNCTION("""COMPUTED_VALUE"""),"EVERGREEN - UAN Gated Content - Embedded Petition")</f>
        <v>EVERGREEN - UAN Gated Content - Embedded Petition</v>
      </c>
      <c r="D1260" s="5">
        <f ca="1">IFERROR(__xludf.DUMMYFUNCTION("""COMPUTED_VALUE"""),45682)</f>
        <v>45682</v>
      </c>
      <c r="F1260" s="1" t="str">
        <f ca="1">IFERROR(__xludf.DUMMYFUNCTION("""COMPUTED_VALUE"""),"Singapore")</f>
        <v>Singapore</v>
      </c>
      <c r="G1260" s="1" t="str">
        <f ca="1">IFERROR(__xludf.DUMMYFUNCTION("""COMPUTED_VALUE"""),"107.24 Singapore")</f>
        <v>107.24 Singapore</v>
      </c>
      <c r="H1260" s="1" t="str">
        <f ca="1">IFERROR(__xludf.DUMMYFUNCTION("""COMPUTED_VALUE"""),"Death Penalty")</f>
        <v>Death Penalty</v>
      </c>
      <c r="I1260" s="1" t="str">
        <f ca="1">IFERROR(__xludf.DUMMYFUNCTION("""COMPUTED_VALUE"""),"2024")</f>
        <v>2024</v>
      </c>
      <c r="J1260" s="1" t="str">
        <f ca="1">IFERROR(__xludf.DUMMYFUNCTION("""COMPUTED_VALUE"""),"Email")</f>
        <v>Email</v>
      </c>
    </row>
    <row r="1261" spans="1:10" ht="13" x14ac:dyDescent="0.15">
      <c r="A1261" s="4">
        <f ca="1">IFERROR(__xludf.DUMMYFUNCTION("""COMPUTED_VALUE"""),119857509)</f>
        <v>119857509</v>
      </c>
      <c r="B1261" s="1" t="str">
        <f ca="1">IFERROR(__xludf.DUMMYFUNCTION("""COMPUTED_VALUE"""),"stevepastis@yahoo.com")</f>
        <v>stevepastis@yahoo.com</v>
      </c>
      <c r="C1261" s="4" t="str">
        <f ca="1">IFERROR(__xludf.DUMMYFUNCTION("""COMPUTED_VALUE"""),"EVERGREEN - UAN Gated Content - Embedded Petition")</f>
        <v>EVERGREEN - UAN Gated Content - Embedded Petition</v>
      </c>
      <c r="D1261" s="5">
        <f ca="1">IFERROR(__xludf.DUMMYFUNCTION("""COMPUTED_VALUE"""),45685)</f>
        <v>45685</v>
      </c>
      <c r="F1261" s="1" t="str">
        <f ca="1">IFERROR(__xludf.DUMMYFUNCTION("""COMPUTED_VALUE"""),"China")</f>
        <v>China</v>
      </c>
      <c r="G1261" s="1" t="str">
        <f ca="1">IFERROR(__xludf.DUMMYFUNCTION("""COMPUTED_VALUE"""),"106.24 China")</f>
        <v>106.24 China</v>
      </c>
      <c r="H1261" s="1" t="str">
        <f ca="1">IFERROR(__xludf.DUMMYFUNCTION("""COMPUTED_VALUE"""),"Freedom of Expression, Individuals At Risk")</f>
        <v>Freedom of Expression, Individuals At Risk</v>
      </c>
      <c r="I1261" s="1" t="str">
        <f ca="1">IFERROR(__xludf.DUMMYFUNCTION("""COMPUTED_VALUE"""),"2024")</f>
        <v>2024</v>
      </c>
      <c r="J1261" s="1" t="str">
        <f ca="1">IFERROR(__xludf.DUMMYFUNCTION("""COMPUTED_VALUE"""),"Email")</f>
        <v>Email</v>
      </c>
    </row>
    <row r="1262" spans="1:10" ht="13" x14ac:dyDescent="0.15">
      <c r="A1262" s="4">
        <f ca="1">IFERROR(__xludf.DUMMYFUNCTION("""COMPUTED_VALUE"""),119857509)</f>
        <v>119857509</v>
      </c>
      <c r="B1262" s="1" t="str">
        <f ca="1">IFERROR(__xludf.DUMMYFUNCTION("""COMPUTED_VALUE"""),"stevepastis@yahoo.com")</f>
        <v>stevepastis@yahoo.com</v>
      </c>
      <c r="C1262" s="4" t="str">
        <f ca="1">IFERROR(__xludf.DUMMYFUNCTION("""COMPUTED_VALUE"""),"EVERGREEN - UAN Gated Content - Embedded Petition")</f>
        <v>EVERGREEN - UAN Gated Content - Embedded Petition</v>
      </c>
      <c r="D1262" s="5">
        <f ca="1">IFERROR(__xludf.DUMMYFUNCTION("""COMPUTED_VALUE"""),45685)</f>
        <v>45685</v>
      </c>
      <c r="F1262" s="1" t="str">
        <f ca="1">IFERROR(__xludf.DUMMYFUNCTION("""COMPUTED_VALUE"""),"Turkiye")</f>
        <v>Turkiye</v>
      </c>
      <c r="G1262" s="1" t="str">
        <f ca="1">IFERROR(__xludf.DUMMYFUNCTION("""COMPUTED_VALUE"""),"109.24 Türkiye")</f>
        <v>109.24 Türkiye</v>
      </c>
      <c r="H1262" s="1" t="str">
        <f ca="1">IFERROR(__xludf.DUMMYFUNCTION("""COMPUTED_VALUE"""),"Human Rights Defenders, Individuals At Risk")</f>
        <v>Human Rights Defenders, Individuals At Risk</v>
      </c>
      <c r="I1262" s="1" t="str">
        <f ca="1">IFERROR(__xludf.DUMMYFUNCTION("""COMPUTED_VALUE"""),"2024")</f>
        <v>2024</v>
      </c>
      <c r="J1262" s="1" t="str">
        <f ca="1">IFERROR(__xludf.DUMMYFUNCTION("""COMPUTED_VALUE"""),"Email")</f>
        <v>Email</v>
      </c>
    </row>
    <row r="1263" spans="1:10" ht="13" x14ac:dyDescent="0.15">
      <c r="A1263" s="4">
        <f ca="1">IFERROR(__xludf.DUMMYFUNCTION("""COMPUTED_VALUE"""),119857509)</f>
        <v>119857509</v>
      </c>
      <c r="B1263" s="1" t="str">
        <f ca="1">IFERROR(__xludf.DUMMYFUNCTION("""COMPUTED_VALUE"""),"stevepastis@yahoo.com")</f>
        <v>stevepastis@yahoo.com</v>
      </c>
      <c r="C1263" s="4" t="str">
        <f ca="1">IFERROR(__xludf.DUMMYFUNCTION("""COMPUTED_VALUE"""),"EVERGREEN - UAN Gated Content - Embedded Petition")</f>
        <v>EVERGREEN - UAN Gated Content - Embedded Petition</v>
      </c>
      <c r="D1263" s="5">
        <f ca="1">IFERROR(__xludf.DUMMYFUNCTION("""COMPUTED_VALUE"""),45685)</f>
        <v>45685</v>
      </c>
      <c r="F1263" s="1" t="str">
        <f ca="1">IFERROR(__xludf.DUMMYFUNCTION("""COMPUTED_VALUE"""),"Egypt")</f>
        <v>Egypt</v>
      </c>
      <c r="G1263" s="1" t="str">
        <f ca="1">IFERROR(__xludf.DUMMYFUNCTION("""COMPUTED_VALUE"""),"Third 73.23 Egypt")</f>
        <v>Third 73.23 Egypt</v>
      </c>
      <c r="H1263" s="1" t="str">
        <f ca="1">IFERROR(__xludf.DUMMYFUNCTION("""COMPUTED_VALUE"""),"Individuals At Risk")</f>
        <v>Individuals At Risk</v>
      </c>
      <c r="I1263" s="1" t="str">
        <f ca="1">IFERROR(__xludf.DUMMYFUNCTION("""COMPUTED_VALUE"""),"2024")</f>
        <v>2024</v>
      </c>
      <c r="J1263" s="1" t="str">
        <f ca="1">IFERROR(__xludf.DUMMYFUNCTION("""COMPUTED_VALUE"""),"Email")</f>
        <v>Email</v>
      </c>
    </row>
    <row r="1264" spans="1:10" ht="13" x14ac:dyDescent="0.15">
      <c r="A1264" s="4">
        <f ca="1">IFERROR(__xludf.DUMMYFUNCTION("""COMPUTED_VALUE"""),119857509)</f>
        <v>119857509</v>
      </c>
      <c r="B1264" s="1" t="str">
        <f ca="1">IFERROR(__xludf.DUMMYFUNCTION("""COMPUTED_VALUE"""),"stevepastis@yahoo.com")</f>
        <v>stevepastis@yahoo.com</v>
      </c>
      <c r="C1264" s="4" t="str">
        <f ca="1">IFERROR(__xludf.DUMMYFUNCTION("""COMPUTED_VALUE"""),"EVERGREEN - UAN Gated Content - Embedded Petition")</f>
        <v>EVERGREEN - UAN Gated Content - Embedded Petition</v>
      </c>
      <c r="D1264" s="5">
        <f ca="1">IFERROR(__xludf.DUMMYFUNCTION("""COMPUTED_VALUE"""),45691)</f>
        <v>45691</v>
      </c>
      <c r="F1264" s="1" t="str">
        <f ca="1">IFERROR(__xludf.DUMMYFUNCTION("""COMPUTED_VALUE"""),"Iran")</f>
        <v>Iran</v>
      </c>
      <c r="G1264" s="1" t="str">
        <f ca="1">IFERROR(__xludf.DUMMYFUNCTION("""COMPUTED_VALUE"""),"Seventh 103.22 Iran")</f>
        <v>Seventh 103.22 Iran</v>
      </c>
      <c r="H1264" s="1" t="str">
        <f ca="1">IFERROR(__xludf.DUMMYFUNCTION("""COMPUTED_VALUE"""),"Death Penalty, Freedom of Expression, Individuals At Risk")</f>
        <v>Death Penalty, Freedom of Expression, Individuals At Risk</v>
      </c>
      <c r="I1264" s="1" t="str">
        <f ca="1">IFERROR(__xludf.DUMMYFUNCTION("""COMPUTED_VALUE"""),"2024")</f>
        <v>2024</v>
      </c>
      <c r="J1264" s="1" t="str">
        <f ca="1">IFERROR(__xludf.DUMMYFUNCTION("""COMPUTED_VALUE"""),"Email")</f>
        <v>Email</v>
      </c>
    </row>
    <row r="1265" spans="1:10" ht="13" x14ac:dyDescent="0.15">
      <c r="A1265" s="4">
        <f ca="1">IFERROR(__xludf.DUMMYFUNCTION("""COMPUTED_VALUE"""),119857509)</f>
        <v>119857509</v>
      </c>
      <c r="B1265" s="1" t="str">
        <f ca="1">IFERROR(__xludf.DUMMYFUNCTION("""COMPUTED_VALUE"""),"stevepastis@yahoo.com")</f>
        <v>stevepastis@yahoo.com</v>
      </c>
      <c r="C1265" s="4" t="str">
        <f ca="1">IFERROR(__xludf.DUMMYFUNCTION("""COMPUTED_VALUE"""),"EVERGREEN - UAN Gated Content - Embedded Petition")</f>
        <v>EVERGREEN - UAN Gated Content - Embedded Petition</v>
      </c>
      <c r="D1265" s="5">
        <f ca="1">IFERROR(__xludf.DUMMYFUNCTION("""COMPUTED_VALUE"""),45691)</f>
        <v>45691</v>
      </c>
      <c r="F1265" s="1" t="str">
        <f ca="1">IFERROR(__xludf.DUMMYFUNCTION("""COMPUTED_VALUE"""),"USA")</f>
        <v>USA</v>
      </c>
      <c r="G1265" s="1" t="str">
        <f ca="1">IFERROR(__xludf.DUMMYFUNCTION("""COMPUTED_VALUE"""),"Fourth 55.24 USA")</f>
        <v>Fourth 55.24 USA</v>
      </c>
      <c r="H1265" s="1" t="str">
        <f ca="1">IFERROR(__xludf.DUMMYFUNCTION("""COMPUTED_VALUE"""),"Climate Justice, Individuals At Risk")</f>
        <v>Climate Justice, Individuals At Risk</v>
      </c>
      <c r="I1265" s="1" t="str">
        <f ca="1">IFERROR(__xludf.DUMMYFUNCTION("""COMPUTED_VALUE"""),"2025")</f>
        <v>2025</v>
      </c>
      <c r="J1265" s="1" t="str">
        <f ca="1">IFERROR(__xludf.DUMMYFUNCTION("""COMPUTED_VALUE"""),"Email")</f>
        <v>Email</v>
      </c>
    </row>
    <row r="1266" spans="1:10" ht="13" x14ac:dyDescent="0.15">
      <c r="A1266" s="4">
        <f ca="1">IFERROR(__xludf.DUMMYFUNCTION("""COMPUTED_VALUE"""),119857509)</f>
        <v>119857509</v>
      </c>
      <c r="B1266" s="1" t="str">
        <f ca="1">IFERROR(__xludf.DUMMYFUNCTION("""COMPUTED_VALUE"""),"stevepastis@yahoo.com")</f>
        <v>stevepastis@yahoo.com</v>
      </c>
      <c r="C1266" s="4" t="str">
        <f ca="1">IFERROR(__xludf.DUMMYFUNCTION("""COMPUTED_VALUE"""),"EVERGREEN - UAN Gated Content - Embedded Petition")</f>
        <v>EVERGREEN - UAN Gated Content - Embedded Petition</v>
      </c>
      <c r="D1266" s="5">
        <f ca="1">IFERROR(__xludf.DUMMYFUNCTION("""COMPUTED_VALUE"""),45676)</f>
        <v>45676</v>
      </c>
      <c r="F1266" s="1" t="str">
        <f ca="1">IFERROR(__xludf.DUMMYFUNCTION("""COMPUTED_VALUE"""),"Azerbaijan")</f>
        <v>Azerbaijan</v>
      </c>
      <c r="G1266" s="1" t="str">
        <f ca="1">IFERROR(__xludf.DUMMYFUNCTION("""COMPUTED_VALUE"""),"2.25 Azerbaijan")</f>
        <v>2.25 Azerbaijan</v>
      </c>
      <c r="H1266" s="1" t="str">
        <f ca="1">IFERROR(__xludf.DUMMYFUNCTION("""COMPUTED_VALUE"""),"Freedom of Expression, Human Rights Defenders")</f>
        <v>Freedom of Expression, Human Rights Defenders</v>
      </c>
      <c r="I1266" s="1" t="str">
        <f ca="1">IFERROR(__xludf.DUMMYFUNCTION("""COMPUTED_VALUE"""),"2025")</f>
        <v>2025</v>
      </c>
      <c r="J1266" s="1" t="str">
        <f ca="1">IFERROR(__xludf.DUMMYFUNCTION("""COMPUTED_VALUE"""),"Email")</f>
        <v>Email</v>
      </c>
    </row>
    <row r="1267" spans="1:10" ht="13" x14ac:dyDescent="0.15">
      <c r="A1267" s="4">
        <f ca="1">IFERROR(__xludf.DUMMYFUNCTION("""COMPUTED_VALUE"""),119857509)</f>
        <v>119857509</v>
      </c>
      <c r="B1267" s="1" t="str">
        <f ca="1">IFERROR(__xludf.DUMMYFUNCTION("""COMPUTED_VALUE"""),"stevepastis@yahoo.com")</f>
        <v>stevepastis@yahoo.com</v>
      </c>
      <c r="C1267" s="4" t="str">
        <f ca="1">IFERROR(__xludf.DUMMYFUNCTION("""COMPUTED_VALUE"""),"EVERGREEN - UAN Gated Content - Embedded Petition")</f>
        <v>EVERGREEN - UAN Gated Content - Embedded Petition</v>
      </c>
      <c r="D1267" s="5">
        <f ca="1">IFERROR(__xludf.DUMMYFUNCTION("""COMPUTED_VALUE"""),45676)</f>
        <v>45676</v>
      </c>
      <c r="F1267" s="1" t="str">
        <f ca="1">IFERROR(__xludf.DUMMYFUNCTION("""COMPUTED_VALUE"""),"Mexico")</f>
        <v>Mexico</v>
      </c>
      <c r="G1267" s="1" t="str">
        <f ca="1">IFERROR(__xludf.DUMMYFUNCTION("""COMPUTED_VALUE"""),"92.24 Mexico")</f>
        <v>92.24 Mexico</v>
      </c>
      <c r="H1267" s="1" t="str">
        <f ca="1">IFERROR(__xludf.DUMMYFUNCTION("""COMPUTED_VALUE"""),"Human Rights Defenders")</f>
        <v>Human Rights Defenders</v>
      </c>
      <c r="I1267" s="1" t="str">
        <f ca="1">IFERROR(__xludf.DUMMYFUNCTION("""COMPUTED_VALUE"""),"2024")</f>
        <v>2024</v>
      </c>
      <c r="J1267" s="1" t="str">
        <f ca="1">IFERROR(__xludf.DUMMYFUNCTION("""COMPUTED_VALUE"""),"Email")</f>
        <v>Email</v>
      </c>
    </row>
    <row r="1268" spans="1:10" ht="13" x14ac:dyDescent="0.15">
      <c r="A1268" s="4">
        <f ca="1">IFERROR(__xludf.DUMMYFUNCTION("""COMPUTED_VALUE"""),119857509)</f>
        <v>119857509</v>
      </c>
      <c r="B1268" s="1" t="str">
        <f ca="1">IFERROR(__xludf.DUMMYFUNCTION("""COMPUTED_VALUE"""),"stevepastis@yahoo.com")</f>
        <v>stevepastis@yahoo.com</v>
      </c>
      <c r="C1268" s="4" t="str">
        <f ca="1">IFERROR(__xludf.DUMMYFUNCTION("""COMPUTED_VALUE"""),"EVERGREEN - UAN Gated Content - Embedded Petition")</f>
        <v>EVERGREEN - UAN Gated Content - Embedded Petition</v>
      </c>
      <c r="D1268" s="5">
        <f ca="1">IFERROR(__xludf.DUMMYFUNCTION("""COMPUTED_VALUE"""),45678)</f>
        <v>45678</v>
      </c>
      <c r="F1268" s="1" t="str">
        <f ca="1">IFERROR(__xludf.DUMMYFUNCTION("""COMPUTED_VALUE"""),"Tunisia")</f>
        <v>Tunisia</v>
      </c>
      <c r="G1268" s="1" t="str">
        <f ca="1">IFERROR(__xludf.DUMMYFUNCTION("""COMPUTED_VALUE"""),"Second 76.24 Tunisia")</f>
        <v>Second 76.24 Tunisia</v>
      </c>
      <c r="H1268" s="1" t="str">
        <f ca="1">IFERROR(__xludf.DUMMYFUNCTION("""COMPUTED_VALUE"""),"Freedom of Expression, Human Rights Defenders")</f>
        <v>Freedom of Expression, Human Rights Defenders</v>
      </c>
      <c r="I1268" s="1" t="str">
        <f ca="1">IFERROR(__xludf.DUMMYFUNCTION("""COMPUTED_VALUE"""),"2025")</f>
        <v>2025</v>
      </c>
      <c r="J1268" s="1" t="str">
        <f ca="1">IFERROR(__xludf.DUMMYFUNCTION("""COMPUTED_VALUE"""),"Email")</f>
        <v>Email</v>
      </c>
    </row>
    <row r="1269" spans="1:10" ht="13" x14ac:dyDescent="0.15">
      <c r="A1269" s="4">
        <f ca="1">IFERROR(__xludf.DUMMYFUNCTION("""COMPUTED_VALUE"""),119857509)</f>
        <v>119857509</v>
      </c>
      <c r="B1269" s="1" t="str">
        <f ca="1">IFERROR(__xludf.DUMMYFUNCTION("""COMPUTED_VALUE"""),"stevepastis@yahoo.com")</f>
        <v>stevepastis@yahoo.com</v>
      </c>
      <c r="C1269" s="4" t="str">
        <f ca="1">IFERROR(__xludf.DUMMYFUNCTION("""COMPUTED_VALUE"""),"EVERGREEN - UAN Gated Content - Embedded Petition")</f>
        <v>EVERGREEN - UAN Gated Content - Embedded Petition</v>
      </c>
      <c r="D1269" s="5">
        <f ca="1">IFERROR(__xludf.DUMMYFUNCTION("""COMPUTED_VALUE"""),45678)</f>
        <v>45678</v>
      </c>
      <c r="F1269" s="1" t="str">
        <f ca="1">IFERROR(__xludf.DUMMYFUNCTION("""COMPUTED_VALUE"""),"Egypt")</f>
        <v>Egypt</v>
      </c>
      <c r="G1269" s="1" t="str">
        <f ca="1">IFERROR(__xludf.DUMMYFUNCTION("""COMPUTED_VALUE"""),"Ninth 190.18 Egypt")</f>
        <v>Ninth 190.18 Egypt</v>
      </c>
      <c r="H1269" s="1" t="str">
        <f ca="1">IFERROR(__xludf.DUMMYFUNCTION("""COMPUTED_VALUE"""),"Freedom of Expression, Individuals At Risk")</f>
        <v>Freedom of Expression, Individuals At Risk</v>
      </c>
      <c r="I1269" s="1" t="str">
        <f ca="1">IFERROR(__xludf.DUMMYFUNCTION("""COMPUTED_VALUE"""),"2024")</f>
        <v>2024</v>
      </c>
      <c r="J1269" s="1" t="str">
        <f ca="1">IFERROR(__xludf.DUMMYFUNCTION("""COMPUTED_VALUE"""),"Letter")</f>
        <v>Letter</v>
      </c>
    </row>
    <row r="1270" spans="1:10" ht="13" x14ac:dyDescent="0.15">
      <c r="A1270" s="4">
        <f ca="1">IFERROR(__xludf.DUMMYFUNCTION("""COMPUTED_VALUE"""),119857509)</f>
        <v>119857509</v>
      </c>
      <c r="B1270" s="1" t="str">
        <f ca="1">IFERROR(__xludf.DUMMYFUNCTION("""COMPUTED_VALUE"""),"stevepastis@yahoo.com")</f>
        <v>stevepastis@yahoo.com</v>
      </c>
      <c r="C1270" s="4" t="str">
        <f ca="1">IFERROR(__xludf.DUMMYFUNCTION("""COMPUTED_VALUE"""),"EVERGREEN - UAN Gated Content - Embedded Petition")</f>
        <v>EVERGREEN - UAN Gated Content - Embedded Petition</v>
      </c>
      <c r="D1270" s="5">
        <f ca="1">IFERROR(__xludf.DUMMYFUNCTION("""COMPUTED_VALUE"""),45659)</f>
        <v>45659</v>
      </c>
      <c r="F1270" s="1" t="str">
        <f ca="1">IFERROR(__xludf.DUMMYFUNCTION("""COMPUTED_VALUE"""),"Saudi Arabia")</f>
        <v>Saudi Arabia</v>
      </c>
      <c r="G1270" s="1" t="str">
        <f ca="1">IFERROR(__xludf.DUMMYFUNCTION("""COMPUTED_VALUE"""),"Second 85.23 Saudi Arabia")</f>
        <v>Second 85.23 Saudi Arabia</v>
      </c>
      <c r="H1270" s="1" t="str">
        <f ca="1">IFERROR(__xludf.DUMMYFUNCTION("""COMPUTED_VALUE"""),"Freedom of Expression")</f>
        <v>Freedom of Expression</v>
      </c>
      <c r="I1270" s="1" t="str">
        <f ca="1">IFERROR(__xludf.DUMMYFUNCTION("""COMPUTED_VALUE"""),"2024")</f>
        <v>2024</v>
      </c>
      <c r="J1270" s="1" t="str">
        <f ca="1">IFERROR(__xludf.DUMMYFUNCTION("""COMPUTED_VALUE"""),"Letter")</f>
        <v>Letter</v>
      </c>
    </row>
    <row r="1271" spans="1:10" ht="13" x14ac:dyDescent="0.15">
      <c r="A1271" s="4">
        <f ca="1">IFERROR(__xludf.DUMMYFUNCTION("""COMPUTED_VALUE"""),119857509)</f>
        <v>119857509</v>
      </c>
      <c r="B1271" s="1" t="str">
        <f ca="1">IFERROR(__xludf.DUMMYFUNCTION("""COMPUTED_VALUE"""),"stevepastis@yahoo.com")</f>
        <v>stevepastis@yahoo.com</v>
      </c>
      <c r="C1271" s="4" t="str">
        <f ca="1">IFERROR(__xludf.DUMMYFUNCTION("""COMPUTED_VALUE"""),"EVERGREEN - UAN Gated Content - Embedded Petition")</f>
        <v>EVERGREEN - UAN Gated Content - Embedded Petition</v>
      </c>
      <c r="D1271" s="5">
        <f ca="1">IFERROR(__xludf.DUMMYFUNCTION("""COMPUTED_VALUE"""),45654)</f>
        <v>45654</v>
      </c>
      <c r="F1271" s="1" t="str">
        <f ca="1">IFERROR(__xludf.DUMMYFUNCTION("""COMPUTED_VALUE"""),"Honduras")</f>
        <v>Honduras</v>
      </c>
      <c r="G1271" s="1" t="str">
        <f ca="1">IFERROR(__xludf.DUMMYFUNCTION("""COMPUTED_VALUE"""),"Second 85.24 Honduras")</f>
        <v>Second 85.24 Honduras</v>
      </c>
      <c r="H1271" s="1" t="str">
        <f ca="1">IFERROR(__xludf.DUMMYFUNCTION("""COMPUTED_VALUE"""),"Climate Justice, Human Rights Defenders, Right to Protest")</f>
        <v>Climate Justice, Human Rights Defenders, Right to Protest</v>
      </c>
      <c r="I1271" s="1" t="str">
        <f ca="1">IFERROR(__xludf.DUMMYFUNCTION("""COMPUTED_VALUE"""),"2024")</f>
        <v>2024</v>
      </c>
      <c r="J1271" s="1" t="str">
        <f ca="1">IFERROR(__xludf.DUMMYFUNCTION("""COMPUTED_VALUE"""),"Email")</f>
        <v>Email</v>
      </c>
    </row>
    <row r="1272" spans="1:10" ht="13" x14ac:dyDescent="0.15">
      <c r="A1272" s="4">
        <f ca="1">IFERROR(__xludf.DUMMYFUNCTION("""COMPUTED_VALUE"""),119857509)</f>
        <v>119857509</v>
      </c>
      <c r="B1272" s="1" t="str">
        <f ca="1">IFERROR(__xludf.DUMMYFUNCTION("""COMPUTED_VALUE"""),"stevepastis@yahoo.com")</f>
        <v>stevepastis@yahoo.com</v>
      </c>
      <c r="C1272" s="4" t="str">
        <f ca="1">IFERROR(__xludf.DUMMYFUNCTION("""COMPUTED_VALUE"""),"EVERGREEN - UAN Gated Content - Embedded Petition")</f>
        <v>EVERGREEN - UAN Gated Content - Embedded Petition</v>
      </c>
      <c r="D1272" s="5">
        <f ca="1">IFERROR(__xludf.DUMMYFUNCTION("""COMPUTED_VALUE"""),45654)</f>
        <v>45654</v>
      </c>
      <c r="F1272" s="1" t="str">
        <f ca="1">IFERROR(__xludf.DUMMYFUNCTION("""COMPUTED_VALUE"""),"Tunisia")</f>
        <v>Tunisia</v>
      </c>
      <c r="G1272" s="1" t="str">
        <f ca="1">IFERROR(__xludf.DUMMYFUNCTION("""COMPUTED_VALUE"""),"Second 76.24 Tunisia")</f>
        <v>Second 76.24 Tunisia</v>
      </c>
      <c r="H1272" s="1" t="str">
        <f ca="1">IFERROR(__xludf.DUMMYFUNCTION("""COMPUTED_VALUE"""),"Freedom of Expression, Human Rights Defenders")</f>
        <v>Freedom of Expression, Human Rights Defenders</v>
      </c>
      <c r="I1272" s="1" t="str">
        <f ca="1">IFERROR(__xludf.DUMMYFUNCTION("""COMPUTED_VALUE"""),"2025")</f>
        <v>2025</v>
      </c>
      <c r="J1272" s="1" t="str">
        <f ca="1">IFERROR(__xludf.DUMMYFUNCTION("""COMPUTED_VALUE"""),"Email")</f>
        <v>Email</v>
      </c>
    </row>
    <row r="1273" spans="1:10" ht="13" x14ac:dyDescent="0.15">
      <c r="A1273" s="4">
        <f ca="1">IFERROR(__xludf.DUMMYFUNCTION("""COMPUTED_VALUE"""),119857509)</f>
        <v>119857509</v>
      </c>
      <c r="B1273" s="1" t="str">
        <f ca="1">IFERROR(__xludf.DUMMYFUNCTION("""COMPUTED_VALUE"""),"stevepastis@yahoo.com")</f>
        <v>stevepastis@yahoo.com</v>
      </c>
      <c r="C1273" s="4" t="str">
        <f ca="1">IFERROR(__xludf.DUMMYFUNCTION("""COMPUTED_VALUE"""),"EVERGREEN - UAN Gated Content - Embedded Petition")</f>
        <v>EVERGREEN - UAN Gated Content - Embedded Petition</v>
      </c>
      <c r="D1273" s="5">
        <f ca="1">IFERROR(__xludf.DUMMYFUNCTION("""COMPUTED_VALUE"""),45654)</f>
        <v>45654</v>
      </c>
      <c r="F1273" s="1" t="str">
        <f ca="1">IFERROR(__xludf.DUMMYFUNCTION("""COMPUTED_VALUE"""),"Iran")</f>
        <v>Iran</v>
      </c>
      <c r="G1273" s="1" t="str">
        <f ca="1">IFERROR(__xludf.DUMMYFUNCTION("""COMPUTED_VALUE"""),"Seventh 103.22 Iran")</f>
        <v>Seventh 103.22 Iran</v>
      </c>
      <c r="H1273" s="1" t="str">
        <f ca="1">IFERROR(__xludf.DUMMYFUNCTION("""COMPUTED_VALUE"""),"Death Penalty, Freedom of Expression, Individuals At Risk")</f>
        <v>Death Penalty, Freedom of Expression, Individuals At Risk</v>
      </c>
      <c r="I1273" s="1" t="str">
        <f ca="1">IFERROR(__xludf.DUMMYFUNCTION("""COMPUTED_VALUE"""),"2024")</f>
        <v>2024</v>
      </c>
      <c r="J1273" s="1" t="str">
        <f ca="1">IFERROR(__xludf.DUMMYFUNCTION("""COMPUTED_VALUE"""),"Email")</f>
        <v>Email</v>
      </c>
    </row>
    <row r="1274" spans="1:10" ht="13" x14ac:dyDescent="0.15">
      <c r="A1274" s="4">
        <f ca="1">IFERROR(__xludf.DUMMYFUNCTION("""COMPUTED_VALUE"""),119857509)</f>
        <v>119857509</v>
      </c>
      <c r="B1274" s="1" t="str">
        <f ca="1">IFERROR(__xludf.DUMMYFUNCTION("""COMPUTED_VALUE"""),"stevepastis@yahoo.com")</f>
        <v>stevepastis@yahoo.com</v>
      </c>
      <c r="C1274" s="4" t="str">
        <f ca="1">IFERROR(__xludf.DUMMYFUNCTION("""COMPUTED_VALUE"""),"EVERGREEN - UAN Gated Content - Embedded Petition")</f>
        <v>EVERGREEN - UAN Gated Content - Embedded Petition</v>
      </c>
      <c r="D1274" s="5">
        <f ca="1">IFERROR(__xludf.DUMMYFUNCTION("""COMPUTED_VALUE"""),45654)</f>
        <v>45654</v>
      </c>
      <c r="F1274" s="1" t="str">
        <f ca="1">IFERROR(__xludf.DUMMYFUNCTION("""COMPUTED_VALUE"""),"Saudi Arabia")</f>
        <v>Saudi Arabia</v>
      </c>
      <c r="G1274" s="1" t="str">
        <f ca="1">IFERROR(__xludf.DUMMYFUNCTION("""COMPUTED_VALUE"""),"Fifth 257.12")</f>
        <v>Fifth 257.12</v>
      </c>
      <c r="H1274" s="1" t="str">
        <f ca="1">IFERROR(__xludf.DUMMYFUNCTION("""COMPUTED_VALUE"""),"Freedom of Expression, Human Rights Defenders")</f>
        <v>Freedom of Expression, Human Rights Defenders</v>
      </c>
      <c r="I1274" s="1" t="str">
        <f ca="1">IFERROR(__xludf.DUMMYFUNCTION("""COMPUTED_VALUE"""),"2025")</f>
        <v>2025</v>
      </c>
      <c r="J1274" s="1" t="str">
        <f ca="1">IFERROR(__xludf.DUMMYFUNCTION("""COMPUTED_VALUE"""),"Email")</f>
        <v>Email</v>
      </c>
    </row>
    <row r="1275" spans="1:10" ht="13" x14ac:dyDescent="0.15">
      <c r="A1275" s="4">
        <f ca="1">IFERROR(__xludf.DUMMYFUNCTION("""COMPUTED_VALUE"""),119857509)</f>
        <v>119857509</v>
      </c>
      <c r="B1275" s="1" t="str">
        <f ca="1">IFERROR(__xludf.DUMMYFUNCTION("""COMPUTED_VALUE"""),"stevepastis@yahoo.com")</f>
        <v>stevepastis@yahoo.com</v>
      </c>
      <c r="C1275" s="4" t="str">
        <f ca="1">IFERROR(__xludf.DUMMYFUNCTION("""COMPUTED_VALUE"""),"EVERGREEN - UAN Gated Content - Embedded Petition")</f>
        <v>EVERGREEN - UAN Gated Content - Embedded Petition</v>
      </c>
      <c r="D1275" s="5">
        <f ca="1">IFERROR(__xludf.DUMMYFUNCTION("""COMPUTED_VALUE"""),45654)</f>
        <v>45654</v>
      </c>
      <c r="F1275" s="1" t="str">
        <f ca="1">IFERROR(__xludf.DUMMYFUNCTION("""COMPUTED_VALUE"""),"Uganda")</f>
        <v>Uganda</v>
      </c>
      <c r="G1275" s="1" t="str">
        <f ca="1">IFERROR(__xludf.DUMMYFUNCTION("""COMPUTED_VALUE"""),"9.25 Uganda")</f>
        <v>9.25 Uganda</v>
      </c>
      <c r="H1275" s="1" t="str">
        <f ca="1">IFERROR(__xludf.DUMMYFUNCTION("""COMPUTED_VALUE"""),"Freedom of Expression, Human Rights Defenders")</f>
        <v>Freedom of Expression, Human Rights Defenders</v>
      </c>
      <c r="I1275" s="1" t="str">
        <f ca="1">IFERROR(__xludf.DUMMYFUNCTION("""COMPUTED_VALUE"""),"2025")</f>
        <v>2025</v>
      </c>
      <c r="J1275" s="1" t="str">
        <f ca="1">IFERROR(__xludf.DUMMYFUNCTION("""COMPUTED_VALUE"""),"Email")</f>
        <v>Email</v>
      </c>
    </row>
    <row r="1276" spans="1:10" ht="13" x14ac:dyDescent="0.15">
      <c r="A1276" s="4">
        <f ca="1">IFERROR(__xludf.DUMMYFUNCTION("""COMPUTED_VALUE"""),119857509)</f>
        <v>119857509</v>
      </c>
      <c r="B1276" s="1" t="str">
        <f ca="1">IFERROR(__xludf.DUMMYFUNCTION("""COMPUTED_VALUE"""),"stevepastis@yahoo.com")</f>
        <v>stevepastis@yahoo.com</v>
      </c>
      <c r="C1276" s="4" t="str">
        <f ca="1">IFERROR(__xludf.DUMMYFUNCTION("""COMPUTED_VALUE"""),"EVERGREEN - UAN Gated Content - Embedded Petition")</f>
        <v>EVERGREEN - UAN Gated Content - Embedded Petition</v>
      </c>
      <c r="D1276" s="5">
        <f ca="1">IFERROR(__xludf.DUMMYFUNCTION("""COMPUTED_VALUE"""),45654)</f>
        <v>45654</v>
      </c>
      <c r="F1276" s="1" t="str">
        <f ca="1">IFERROR(__xludf.DUMMYFUNCTION("""COMPUTED_VALUE"""),"Egypt")</f>
        <v>Egypt</v>
      </c>
      <c r="G1276" s="1" t="str">
        <f ca="1">IFERROR(__xludf.DUMMYFUNCTION("""COMPUTED_VALUE"""),"Second 80.23 Egypt")</f>
        <v>Second 80.23 Egypt</v>
      </c>
      <c r="H1276" s="1" t="str">
        <f ca="1">IFERROR(__xludf.DUMMYFUNCTION("""COMPUTED_VALUE"""),"Health, Individuals At Risk")</f>
        <v>Health, Individuals At Risk</v>
      </c>
      <c r="I1276" s="1" t="str">
        <f ca="1">IFERROR(__xludf.DUMMYFUNCTION("""COMPUTED_VALUE"""),"2025")</f>
        <v>2025</v>
      </c>
      <c r="J1276" s="1" t="str">
        <f ca="1">IFERROR(__xludf.DUMMYFUNCTION("""COMPUTED_VALUE"""),"Email")</f>
        <v>Email</v>
      </c>
    </row>
    <row r="1277" spans="1:10" ht="13" x14ac:dyDescent="0.15">
      <c r="A1277" s="4">
        <f ca="1">IFERROR(__xludf.DUMMYFUNCTION("""COMPUTED_VALUE"""),119857509)</f>
        <v>119857509</v>
      </c>
      <c r="B1277" s="1" t="str">
        <f ca="1">IFERROR(__xludf.DUMMYFUNCTION("""COMPUTED_VALUE"""),"stevepastis@yahoo.com")</f>
        <v>stevepastis@yahoo.com</v>
      </c>
      <c r="C1277" s="4" t="str">
        <f ca="1">IFERROR(__xludf.DUMMYFUNCTION("""COMPUTED_VALUE"""),"EVERGREEN - UAN Gated Content - Embedded Petition")</f>
        <v>EVERGREEN - UAN Gated Content - Embedded Petition</v>
      </c>
      <c r="D1277" s="5">
        <f ca="1">IFERROR(__xludf.DUMMYFUNCTION("""COMPUTED_VALUE"""),45654)</f>
        <v>45654</v>
      </c>
      <c r="F1277" s="1" t="str">
        <f ca="1">IFERROR(__xludf.DUMMYFUNCTION("""COMPUTED_VALUE"""),"Egypt")</f>
        <v>Egypt</v>
      </c>
      <c r="G1277" s="1" t="str">
        <f ca="1">IFERROR(__xludf.DUMMYFUNCTION("""COMPUTED_VALUE"""),"Second 80.23 Egypt")</f>
        <v>Second 80.23 Egypt</v>
      </c>
      <c r="H1277" s="1" t="str">
        <f ca="1">IFERROR(__xludf.DUMMYFUNCTION("""COMPUTED_VALUE"""),"Health, Individuals At Risk")</f>
        <v>Health, Individuals At Risk</v>
      </c>
      <c r="I1277" s="1" t="str">
        <f ca="1">IFERROR(__xludf.DUMMYFUNCTION("""COMPUTED_VALUE"""),"2025")</f>
        <v>2025</v>
      </c>
      <c r="J1277" s="1" t="str">
        <f ca="1">IFERROR(__xludf.DUMMYFUNCTION("""COMPUTED_VALUE"""),"Email")</f>
        <v>Email</v>
      </c>
    </row>
    <row r="1278" spans="1:10" ht="13" x14ac:dyDescent="0.15">
      <c r="A1278" s="4">
        <f ca="1">IFERROR(__xludf.DUMMYFUNCTION("""COMPUTED_VALUE"""),119857509)</f>
        <v>119857509</v>
      </c>
      <c r="B1278" s="1" t="str">
        <f ca="1">IFERROR(__xludf.DUMMYFUNCTION("""COMPUTED_VALUE"""),"stevepastis@yahoo.com")</f>
        <v>stevepastis@yahoo.com</v>
      </c>
      <c r="C1278" s="4" t="str">
        <f ca="1">IFERROR(__xludf.DUMMYFUNCTION("""COMPUTED_VALUE"""),"EVERGREEN - UAN Gated Content - Embedded Petition")</f>
        <v>EVERGREEN - UAN Gated Content - Embedded Petition</v>
      </c>
      <c r="D1278" s="5">
        <f ca="1">IFERROR(__xludf.DUMMYFUNCTION("""COMPUTED_VALUE"""),45654)</f>
        <v>45654</v>
      </c>
      <c r="F1278" s="1" t="str">
        <f ca="1">IFERROR(__xludf.DUMMYFUNCTION("""COMPUTED_VALUE"""),"Uganda")</f>
        <v>Uganda</v>
      </c>
      <c r="G1278" s="1" t="str">
        <f ca="1">IFERROR(__xludf.DUMMYFUNCTION("""COMPUTED_VALUE"""),"9.25 Uganda")</f>
        <v>9.25 Uganda</v>
      </c>
      <c r="H1278" s="1" t="str">
        <f ca="1">IFERROR(__xludf.DUMMYFUNCTION("""COMPUTED_VALUE"""),"Freedom of Expression, Human Rights Defenders")</f>
        <v>Freedom of Expression, Human Rights Defenders</v>
      </c>
      <c r="I1278" s="1" t="str">
        <f ca="1">IFERROR(__xludf.DUMMYFUNCTION("""COMPUTED_VALUE"""),"2025")</f>
        <v>2025</v>
      </c>
      <c r="J1278" s="1" t="str">
        <f ca="1">IFERROR(__xludf.DUMMYFUNCTION("""COMPUTED_VALUE"""),"Email")</f>
        <v>Email</v>
      </c>
    </row>
    <row r="1279" spans="1:10" ht="13" x14ac:dyDescent="0.15">
      <c r="A1279" s="4">
        <f ca="1">IFERROR(__xludf.DUMMYFUNCTION("""COMPUTED_VALUE"""),119857509)</f>
        <v>119857509</v>
      </c>
      <c r="B1279" s="1" t="str">
        <f ca="1">IFERROR(__xludf.DUMMYFUNCTION("""COMPUTED_VALUE"""),"stevepastis@yahoo.com")</f>
        <v>stevepastis@yahoo.com</v>
      </c>
      <c r="C1279" s="4" t="str">
        <f ca="1">IFERROR(__xludf.DUMMYFUNCTION("""COMPUTED_VALUE"""),"EVERGREEN - UAN Gated Content - Embedded Petition")</f>
        <v>EVERGREEN - UAN Gated Content - Embedded Petition</v>
      </c>
      <c r="D1279" s="5">
        <f ca="1">IFERROR(__xludf.DUMMYFUNCTION("""COMPUTED_VALUE"""),45654)</f>
        <v>45654</v>
      </c>
      <c r="F1279" s="1" t="str">
        <f ca="1">IFERROR(__xludf.DUMMYFUNCTION("""COMPUTED_VALUE"""),"Saudi Arabia")</f>
        <v>Saudi Arabia</v>
      </c>
      <c r="G1279" s="1" t="str">
        <f ca="1">IFERROR(__xludf.DUMMYFUNCTION("""COMPUTED_VALUE"""),"Fifth 257.12")</f>
        <v>Fifth 257.12</v>
      </c>
      <c r="H1279" s="1" t="str">
        <f ca="1">IFERROR(__xludf.DUMMYFUNCTION("""COMPUTED_VALUE"""),"Freedom of Expression, Human Rights Defenders")</f>
        <v>Freedom of Expression, Human Rights Defenders</v>
      </c>
      <c r="I1279" s="1" t="str">
        <f ca="1">IFERROR(__xludf.DUMMYFUNCTION("""COMPUTED_VALUE"""),"2025")</f>
        <v>2025</v>
      </c>
      <c r="J1279" s="1" t="str">
        <f ca="1">IFERROR(__xludf.DUMMYFUNCTION("""COMPUTED_VALUE"""),"Email")</f>
        <v>Email</v>
      </c>
    </row>
    <row r="1280" spans="1:10" ht="13" x14ac:dyDescent="0.15">
      <c r="A1280" s="4">
        <f ca="1">IFERROR(__xludf.DUMMYFUNCTION("""COMPUTED_VALUE"""),119857509)</f>
        <v>119857509</v>
      </c>
      <c r="B1280" s="1" t="str">
        <f ca="1">IFERROR(__xludf.DUMMYFUNCTION("""COMPUTED_VALUE"""),"stevepastis@yahoo.com")</f>
        <v>stevepastis@yahoo.com</v>
      </c>
      <c r="C1280" s="4" t="str">
        <f ca="1">IFERROR(__xludf.DUMMYFUNCTION("""COMPUTED_VALUE"""),"EVERGREEN - UAN Gated Content - Embedded Petition")</f>
        <v>EVERGREEN - UAN Gated Content - Embedded Petition</v>
      </c>
      <c r="D1280" s="5">
        <f ca="1">IFERROR(__xludf.DUMMYFUNCTION("""COMPUTED_VALUE"""),45671)</f>
        <v>45671</v>
      </c>
      <c r="F1280" s="1" t="str">
        <f ca="1">IFERROR(__xludf.DUMMYFUNCTION("""COMPUTED_VALUE"""),"Saudi Arabia")</f>
        <v>Saudi Arabia</v>
      </c>
      <c r="G1280" s="1" t="str">
        <f ca="1">IFERROR(__xludf.DUMMYFUNCTION("""COMPUTED_VALUE"""),"Fifth 257.12")</f>
        <v>Fifth 257.12</v>
      </c>
      <c r="H1280" s="1" t="str">
        <f ca="1">IFERROR(__xludf.DUMMYFUNCTION("""COMPUTED_VALUE"""),"Freedom of Expression, Human Rights Defenders")</f>
        <v>Freedom of Expression, Human Rights Defenders</v>
      </c>
      <c r="I1280" s="1" t="str">
        <f ca="1">IFERROR(__xludf.DUMMYFUNCTION("""COMPUTED_VALUE"""),"2025")</f>
        <v>2025</v>
      </c>
      <c r="J1280" s="1" t="str">
        <f ca="1">IFERROR(__xludf.DUMMYFUNCTION("""COMPUTED_VALUE"""),"Email")</f>
        <v>Email</v>
      </c>
    </row>
    <row r="1281" spans="1:10" ht="13" x14ac:dyDescent="0.15">
      <c r="A1281" s="4">
        <f ca="1">IFERROR(__xludf.DUMMYFUNCTION("""COMPUTED_VALUE"""),119857509)</f>
        <v>119857509</v>
      </c>
      <c r="B1281" s="1" t="str">
        <f ca="1">IFERROR(__xludf.DUMMYFUNCTION("""COMPUTED_VALUE"""),"stevepastis@yahoo.com")</f>
        <v>stevepastis@yahoo.com</v>
      </c>
      <c r="C1281" s="4" t="str">
        <f ca="1">IFERROR(__xludf.DUMMYFUNCTION("""COMPUTED_VALUE"""),"EVERGREEN - UAN Gated Content - Embedded Petition")</f>
        <v>EVERGREEN - UAN Gated Content - Embedded Petition</v>
      </c>
      <c r="D1281" s="5">
        <f ca="1">IFERROR(__xludf.DUMMYFUNCTION("""COMPUTED_VALUE"""),45671)</f>
        <v>45671</v>
      </c>
      <c r="F1281" s="1" t="str">
        <f ca="1">IFERROR(__xludf.DUMMYFUNCTION("""COMPUTED_VALUE"""),"Uganda")</f>
        <v>Uganda</v>
      </c>
      <c r="G1281" s="1" t="str">
        <f ca="1">IFERROR(__xludf.DUMMYFUNCTION("""COMPUTED_VALUE"""),"9.25 Uganda")</f>
        <v>9.25 Uganda</v>
      </c>
      <c r="H1281" s="1" t="str">
        <f ca="1">IFERROR(__xludf.DUMMYFUNCTION("""COMPUTED_VALUE"""),"Freedom of Expression, Human Rights Defenders")</f>
        <v>Freedom of Expression, Human Rights Defenders</v>
      </c>
      <c r="I1281" s="1" t="str">
        <f ca="1">IFERROR(__xludf.DUMMYFUNCTION("""COMPUTED_VALUE"""),"2025")</f>
        <v>2025</v>
      </c>
      <c r="J1281" s="1" t="str">
        <f ca="1">IFERROR(__xludf.DUMMYFUNCTION("""COMPUTED_VALUE"""),"Email")</f>
        <v>Email</v>
      </c>
    </row>
    <row r="1282" spans="1:10" ht="13" x14ac:dyDescent="0.15">
      <c r="A1282" s="4">
        <f ca="1">IFERROR(__xludf.DUMMYFUNCTION("""COMPUTED_VALUE"""),119857509)</f>
        <v>119857509</v>
      </c>
      <c r="B1282" s="1" t="str">
        <f ca="1">IFERROR(__xludf.DUMMYFUNCTION("""COMPUTED_VALUE"""),"stevepastis@yahoo.com")</f>
        <v>stevepastis@yahoo.com</v>
      </c>
      <c r="C1282" s="4" t="str">
        <f ca="1">IFERROR(__xludf.DUMMYFUNCTION("""COMPUTED_VALUE"""),"EVERGREEN - UAN Gated Content - Embedded Petition")</f>
        <v>EVERGREEN - UAN Gated Content - Embedded Petition</v>
      </c>
      <c r="D1282" s="5">
        <f ca="1">IFERROR(__xludf.DUMMYFUNCTION("""COMPUTED_VALUE"""),45651)</f>
        <v>45651</v>
      </c>
      <c r="F1282" s="1" t="str">
        <f ca="1">IFERROR(__xludf.DUMMYFUNCTION("""COMPUTED_VALUE"""),"Tunisia")</f>
        <v>Tunisia</v>
      </c>
      <c r="G1282" s="1" t="str">
        <f ca="1">IFERROR(__xludf.DUMMYFUNCTION("""COMPUTED_VALUE"""),"Second 76.24 Tunisia")</f>
        <v>Second 76.24 Tunisia</v>
      </c>
      <c r="H1282" s="1" t="str">
        <f ca="1">IFERROR(__xludf.DUMMYFUNCTION("""COMPUTED_VALUE"""),"Freedom of Expression, Human Rights Defenders")</f>
        <v>Freedom of Expression, Human Rights Defenders</v>
      </c>
      <c r="I1282" s="1" t="str">
        <f ca="1">IFERROR(__xludf.DUMMYFUNCTION("""COMPUTED_VALUE"""),"2025")</f>
        <v>2025</v>
      </c>
      <c r="J1282" s="1" t="str">
        <f ca="1">IFERROR(__xludf.DUMMYFUNCTION("""COMPUTED_VALUE"""),"Email")</f>
        <v>Email</v>
      </c>
    </row>
    <row r="1283" spans="1:10" ht="13" x14ac:dyDescent="0.15">
      <c r="A1283" s="4">
        <f ca="1">IFERROR(__xludf.DUMMYFUNCTION("""COMPUTED_VALUE"""),119857509)</f>
        <v>119857509</v>
      </c>
      <c r="B1283" s="1" t="str">
        <f ca="1">IFERROR(__xludf.DUMMYFUNCTION("""COMPUTED_VALUE"""),"stevepastis@yahoo.com")</f>
        <v>stevepastis@yahoo.com</v>
      </c>
      <c r="C1283" s="4" t="str">
        <f ca="1">IFERROR(__xludf.DUMMYFUNCTION("""COMPUTED_VALUE"""),"EVERGREEN - UAN Gated Content - Embedded Petition")</f>
        <v>EVERGREEN - UAN Gated Content - Embedded Petition</v>
      </c>
      <c r="D1283" s="5">
        <f ca="1">IFERROR(__xludf.DUMMYFUNCTION("""COMPUTED_VALUE"""),45641)</f>
        <v>45641</v>
      </c>
      <c r="F1283" s="1" t="str">
        <f ca="1">IFERROR(__xludf.DUMMYFUNCTION("""COMPUTED_VALUE"""),"USA")</f>
        <v>USA</v>
      </c>
      <c r="G1283" s="1" t="str">
        <f ca="1">IFERROR(__xludf.DUMMYFUNCTION("""COMPUTED_VALUE"""),"105.24 USA")</f>
        <v>105.24 USA</v>
      </c>
      <c r="H1283" s="1" t="str">
        <f ca="1">IFERROR(__xludf.DUMMYFUNCTION("""COMPUTED_VALUE"""),"Death Penalty")</f>
        <v>Death Penalty</v>
      </c>
      <c r="I1283" s="1" t="str">
        <f ca="1">IFERROR(__xludf.DUMMYFUNCTION("""COMPUTED_VALUE"""),"2024")</f>
        <v>2024</v>
      </c>
      <c r="J1283" s="1" t="str">
        <f ca="1">IFERROR(__xludf.DUMMYFUNCTION("""COMPUTED_VALUE"""),"Email")</f>
        <v>Email</v>
      </c>
    </row>
    <row r="1284" spans="1:10" ht="13" x14ac:dyDescent="0.15">
      <c r="A1284" s="4">
        <f ca="1">IFERROR(__xludf.DUMMYFUNCTION("""COMPUTED_VALUE"""),119857509)</f>
        <v>119857509</v>
      </c>
      <c r="B1284" s="1" t="str">
        <f ca="1">IFERROR(__xludf.DUMMYFUNCTION("""COMPUTED_VALUE"""),"stevepastis@yahoo.com")</f>
        <v>stevepastis@yahoo.com</v>
      </c>
      <c r="C1284" s="4" t="str">
        <f ca="1">IFERROR(__xludf.DUMMYFUNCTION("""COMPUTED_VALUE"""),"EVERGREEN - UAN Gated Content - Embedded Petition")</f>
        <v>EVERGREEN - UAN Gated Content - Embedded Petition</v>
      </c>
      <c r="D1284" s="5">
        <f ca="1">IFERROR(__xludf.DUMMYFUNCTION("""COMPUTED_VALUE"""),45641)</f>
        <v>45641</v>
      </c>
      <c r="F1284" s="1" t="str">
        <f ca="1">IFERROR(__xludf.DUMMYFUNCTION("""COMPUTED_VALUE"""),"Israel and Occupied Palestinian Territories")</f>
        <v>Israel and Occupied Palestinian Territories</v>
      </c>
      <c r="G1284" s="1" t="str">
        <f ca="1">IFERROR(__xludf.DUMMYFUNCTION("""COMPUTED_VALUE"""),"3.25 IOPT")</f>
        <v>3.25 IOPT</v>
      </c>
      <c r="H1284" s="1" t="str">
        <f ca="1">IFERROR(__xludf.DUMMYFUNCTION("""COMPUTED_VALUE"""),"Freedom of Expression, Individuals At Risk")</f>
        <v>Freedom of Expression, Individuals At Risk</v>
      </c>
      <c r="I1284" s="1" t="str">
        <f ca="1">IFERROR(__xludf.DUMMYFUNCTION("""COMPUTED_VALUE"""),"2025")</f>
        <v>2025</v>
      </c>
      <c r="J1284" s="1" t="str">
        <f ca="1">IFERROR(__xludf.DUMMYFUNCTION("""COMPUTED_VALUE"""),"Email")</f>
        <v>Email</v>
      </c>
    </row>
    <row r="1285" spans="1:10" ht="13" x14ac:dyDescent="0.15">
      <c r="A1285" s="4">
        <f ca="1">IFERROR(__xludf.DUMMYFUNCTION("""COMPUTED_VALUE"""),119857509)</f>
        <v>119857509</v>
      </c>
      <c r="B1285" s="1" t="str">
        <f ca="1">IFERROR(__xludf.DUMMYFUNCTION("""COMPUTED_VALUE"""),"stevepastis@yahoo.com")</f>
        <v>stevepastis@yahoo.com</v>
      </c>
      <c r="C1285" s="4" t="str">
        <f ca="1">IFERROR(__xludf.DUMMYFUNCTION("""COMPUTED_VALUE"""),"EVERGREEN - UAN Gated Content - Embedded Petition")</f>
        <v>EVERGREEN - UAN Gated Content - Embedded Petition</v>
      </c>
      <c r="D1285" s="5">
        <f ca="1">IFERROR(__xludf.DUMMYFUNCTION("""COMPUTED_VALUE"""),45651)</f>
        <v>45651</v>
      </c>
      <c r="F1285" s="1" t="str">
        <f ca="1">IFERROR(__xludf.DUMMYFUNCTION("""COMPUTED_VALUE"""),"Turkiye")</f>
        <v>Turkiye</v>
      </c>
      <c r="G1285" s="1" t="str">
        <f ca="1">IFERROR(__xludf.DUMMYFUNCTION("""COMPUTED_VALUE"""),"109.24 Türkiye")</f>
        <v>109.24 Türkiye</v>
      </c>
      <c r="H1285" s="1" t="str">
        <f ca="1">IFERROR(__xludf.DUMMYFUNCTION("""COMPUTED_VALUE"""),"Human Rights Defenders, Individuals At Risk")</f>
        <v>Human Rights Defenders, Individuals At Risk</v>
      </c>
      <c r="I1285" s="1" t="str">
        <f ca="1">IFERROR(__xludf.DUMMYFUNCTION("""COMPUTED_VALUE"""),"2024")</f>
        <v>2024</v>
      </c>
      <c r="J1285" s="1" t="str">
        <f ca="1">IFERROR(__xludf.DUMMYFUNCTION("""COMPUTED_VALUE"""),"Email")</f>
        <v>Email</v>
      </c>
    </row>
    <row r="1286" spans="1:10" ht="13" x14ac:dyDescent="0.15">
      <c r="A1286" s="4">
        <f ca="1">IFERROR(__xludf.DUMMYFUNCTION("""COMPUTED_VALUE"""),119857509)</f>
        <v>119857509</v>
      </c>
      <c r="B1286" s="1" t="str">
        <f ca="1">IFERROR(__xludf.DUMMYFUNCTION("""COMPUTED_VALUE"""),"stevepastis@yahoo.com")</f>
        <v>stevepastis@yahoo.com</v>
      </c>
      <c r="C1286" s="4" t="str">
        <f ca="1">IFERROR(__xludf.DUMMYFUNCTION("""COMPUTED_VALUE"""),"EVERGREEN - UAN Gated Content - Embedded Petition")</f>
        <v>EVERGREEN - UAN Gated Content - Embedded Petition</v>
      </c>
      <c r="D1286" s="5">
        <f ca="1">IFERROR(__xludf.DUMMYFUNCTION("""COMPUTED_VALUE"""),45651)</f>
        <v>45651</v>
      </c>
      <c r="F1286" s="1" t="str">
        <f ca="1">IFERROR(__xludf.DUMMYFUNCTION("""COMPUTED_VALUE"""),"Tunisia")</f>
        <v>Tunisia</v>
      </c>
      <c r="G1286" s="1" t="str">
        <f ca="1">IFERROR(__xludf.DUMMYFUNCTION("""COMPUTED_VALUE"""),"Second 43.24 Tunisia")</f>
        <v>Second 43.24 Tunisia</v>
      </c>
      <c r="H1286" s="1" t="str">
        <f ca="1">IFERROR(__xludf.DUMMYFUNCTION("""COMPUTED_VALUE"""),"Freedom of Expression, Individuals At Risk")</f>
        <v>Freedom of Expression, Individuals At Risk</v>
      </c>
      <c r="I1286" s="1" t="str">
        <f ca="1">IFERROR(__xludf.DUMMYFUNCTION("""COMPUTED_VALUE"""),"2024")</f>
        <v>2024</v>
      </c>
      <c r="J1286" s="1" t="str">
        <f ca="1">IFERROR(__xludf.DUMMYFUNCTION("""COMPUTED_VALUE"""),"Email")</f>
        <v>Email</v>
      </c>
    </row>
    <row r="1287" spans="1:10" ht="13" x14ac:dyDescent="0.15">
      <c r="A1287" s="4">
        <f ca="1">IFERROR(__xludf.DUMMYFUNCTION("""COMPUTED_VALUE"""),119857509)</f>
        <v>119857509</v>
      </c>
      <c r="B1287" s="1" t="str">
        <f ca="1">IFERROR(__xludf.DUMMYFUNCTION("""COMPUTED_VALUE"""),"stevepastis@yahoo.com")</f>
        <v>stevepastis@yahoo.com</v>
      </c>
      <c r="C1287" s="4" t="str">
        <f ca="1">IFERROR(__xludf.DUMMYFUNCTION("""COMPUTED_VALUE"""),"EVERGREEN - UAN Gated Content - Embedded Petition")</f>
        <v>EVERGREEN - UAN Gated Content - Embedded Petition</v>
      </c>
      <c r="D1287" s="5">
        <f ca="1">IFERROR(__xludf.DUMMYFUNCTION("""COMPUTED_VALUE"""),45651)</f>
        <v>45651</v>
      </c>
      <c r="F1287" s="1" t="str">
        <f ca="1">IFERROR(__xludf.DUMMYFUNCTION("""COMPUTED_VALUE"""),"Venezuela")</f>
        <v>Venezuela</v>
      </c>
      <c r="G1287" s="1" t="str">
        <f ca="1">IFERROR(__xludf.DUMMYFUNCTION("""COMPUTED_VALUE"""),"1.25 Venezuela")</f>
        <v>1.25 Venezuela</v>
      </c>
      <c r="H1287" s="1" t="str">
        <f ca="1">IFERROR(__xludf.DUMMYFUNCTION("""COMPUTED_VALUE"""),"Human Rights Defenders, Individuals At Risk")</f>
        <v>Human Rights Defenders, Individuals At Risk</v>
      </c>
      <c r="I1287" s="1" t="str">
        <f ca="1">IFERROR(__xludf.DUMMYFUNCTION("""COMPUTED_VALUE"""),"2025")</f>
        <v>2025</v>
      </c>
      <c r="J1287" s="1" t="str">
        <f ca="1">IFERROR(__xludf.DUMMYFUNCTION("""COMPUTED_VALUE"""),"Letter")</f>
        <v>Letter</v>
      </c>
    </row>
    <row r="1288" spans="1:10" ht="13" x14ac:dyDescent="0.15">
      <c r="A1288" s="4">
        <f ca="1">IFERROR(__xludf.DUMMYFUNCTION("""COMPUTED_VALUE"""),119857509)</f>
        <v>119857509</v>
      </c>
      <c r="B1288" s="1" t="str">
        <f ca="1">IFERROR(__xludf.DUMMYFUNCTION("""COMPUTED_VALUE"""),"stevepastis@yahoo.com")</f>
        <v>stevepastis@yahoo.com</v>
      </c>
      <c r="C1288" s="4" t="str">
        <f ca="1">IFERROR(__xludf.DUMMYFUNCTION("""COMPUTED_VALUE"""),"EVERGREEN - UAN Gated Content - Embedded Petition")</f>
        <v>EVERGREEN - UAN Gated Content - Embedded Petition</v>
      </c>
      <c r="D1288" s="5">
        <f ca="1">IFERROR(__xludf.DUMMYFUNCTION("""COMPUTED_VALUE"""),45651)</f>
        <v>45651</v>
      </c>
      <c r="F1288" s="1" t="str">
        <f ca="1">IFERROR(__xludf.DUMMYFUNCTION("""COMPUTED_VALUE"""),"Azerbaijan")</f>
        <v>Azerbaijan</v>
      </c>
      <c r="G1288" s="1" t="str">
        <f ca="1">IFERROR(__xludf.DUMMYFUNCTION("""COMPUTED_VALUE"""),"2.25 Azerbaijan")</f>
        <v>2.25 Azerbaijan</v>
      </c>
      <c r="H1288" s="1" t="str">
        <f ca="1">IFERROR(__xludf.DUMMYFUNCTION("""COMPUTED_VALUE"""),"Freedom of Expression, Human Rights Defenders")</f>
        <v>Freedom of Expression, Human Rights Defenders</v>
      </c>
      <c r="I1288" s="1" t="str">
        <f ca="1">IFERROR(__xludf.DUMMYFUNCTION("""COMPUTED_VALUE"""),"2025")</f>
        <v>2025</v>
      </c>
      <c r="J1288" s="1" t="str">
        <f ca="1">IFERROR(__xludf.DUMMYFUNCTION("""COMPUTED_VALUE"""),"Email")</f>
        <v>Email</v>
      </c>
    </row>
    <row r="1289" spans="1:10" ht="13" x14ac:dyDescent="0.15">
      <c r="A1289" s="4">
        <f ca="1">IFERROR(__xludf.DUMMYFUNCTION("""COMPUTED_VALUE"""),119857509)</f>
        <v>119857509</v>
      </c>
      <c r="B1289" s="1" t="str">
        <f ca="1">IFERROR(__xludf.DUMMYFUNCTION("""COMPUTED_VALUE"""),"stevepastis@yahoo.com")</f>
        <v>stevepastis@yahoo.com</v>
      </c>
      <c r="C1289" s="4" t="str">
        <f ca="1">IFERROR(__xludf.DUMMYFUNCTION("""COMPUTED_VALUE"""),"EVERGREEN - UAN Gated Content - Embedded Petition")</f>
        <v>EVERGREEN - UAN Gated Content - Embedded Petition</v>
      </c>
      <c r="D1289" s="5">
        <f ca="1">IFERROR(__xludf.DUMMYFUNCTION("""COMPUTED_VALUE"""),45651)</f>
        <v>45651</v>
      </c>
      <c r="F1289" s="1" t="str">
        <f ca="1">IFERROR(__xludf.DUMMYFUNCTION("""COMPUTED_VALUE"""),"Turkiye")</f>
        <v>Turkiye</v>
      </c>
      <c r="G1289" s="1" t="str">
        <f ca="1">IFERROR(__xludf.DUMMYFUNCTION("""COMPUTED_VALUE"""),"109.24 Türkiye")</f>
        <v>109.24 Türkiye</v>
      </c>
      <c r="H1289" s="1" t="str">
        <f ca="1">IFERROR(__xludf.DUMMYFUNCTION("""COMPUTED_VALUE"""),"Human Rights Defenders, Individuals At Risk")</f>
        <v>Human Rights Defenders, Individuals At Risk</v>
      </c>
      <c r="I1289" s="1" t="str">
        <f ca="1">IFERROR(__xludf.DUMMYFUNCTION("""COMPUTED_VALUE"""),"2024")</f>
        <v>2024</v>
      </c>
      <c r="J1289" s="1" t="str">
        <f ca="1">IFERROR(__xludf.DUMMYFUNCTION("""COMPUTED_VALUE"""),"Email")</f>
        <v>Email</v>
      </c>
    </row>
    <row r="1290" spans="1:10" ht="13" x14ac:dyDescent="0.15">
      <c r="A1290" s="4">
        <f ca="1">IFERROR(__xludf.DUMMYFUNCTION("""COMPUTED_VALUE"""),119857509)</f>
        <v>119857509</v>
      </c>
      <c r="B1290" s="1" t="str">
        <f ca="1">IFERROR(__xludf.DUMMYFUNCTION("""COMPUTED_VALUE"""),"stevepastis@yahoo.com")</f>
        <v>stevepastis@yahoo.com</v>
      </c>
      <c r="C1290" s="4" t="str">
        <f ca="1">IFERROR(__xludf.DUMMYFUNCTION("""COMPUTED_VALUE"""),"EVERGREEN - UAN Gated Content - Embedded Petition")</f>
        <v>EVERGREEN - UAN Gated Content - Embedded Petition</v>
      </c>
      <c r="D1290" s="5">
        <f ca="1">IFERROR(__xludf.DUMMYFUNCTION("""COMPUTED_VALUE"""),45651)</f>
        <v>45651</v>
      </c>
      <c r="F1290" s="1" t="str">
        <f ca="1">IFERROR(__xludf.DUMMYFUNCTION("""COMPUTED_VALUE"""),"Singapore")</f>
        <v>Singapore</v>
      </c>
      <c r="G1290" s="1" t="str">
        <f ca="1">IFERROR(__xludf.DUMMYFUNCTION("""COMPUTED_VALUE"""),"107.24 Singapore")</f>
        <v>107.24 Singapore</v>
      </c>
      <c r="H1290" s="1" t="str">
        <f ca="1">IFERROR(__xludf.DUMMYFUNCTION("""COMPUTED_VALUE"""),"Death Penalty")</f>
        <v>Death Penalty</v>
      </c>
      <c r="I1290" s="1" t="str">
        <f ca="1">IFERROR(__xludf.DUMMYFUNCTION("""COMPUTED_VALUE"""),"2024")</f>
        <v>2024</v>
      </c>
      <c r="J1290" s="1" t="str">
        <f ca="1">IFERROR(__xludf.DUMMYFUNCTION("""COMPUTED_VALUE"""),"Email")</f>
        <v>Email</v>
      </c>
    </row>
    <row r="1291" spans="1:10" ht="13" x14ac:dyDescent="0.15">
      <c r="A1291" s="4">
        <f ca="1">IFERROR(__xludf.DUMMYFUNCTION("""COMPUTED_VALUE"""),119857509)</f>
        <v>119857509</v>
      </c>
      <c r="B1291" s="1" t="str">
        <f ca="1">IFERROR(__xludf.DUMMYFUNCTION("""COMPUTED_VALUE"""),"stevepastis@yahoo.com")</f>
        <v>stevepastis@yahoo.com</v>
      </c>
      <c r="C1291" s="4" t="str">
        <f ca="1">IFERROR(__xludf.DUMMYFUNCTION("""COMPUTED_VALUE"""),"EVERGREEN - UAN Gated Content - Embedded Petition")</f>
        <v>EVERGREEN - UAN Gated Content - Embedded Petition</v>
      </c>
      <c r="D1291" s="5">
        <f ca="1">IFERROR(__xludf.DUMMYFUNCTION("""COMPUTED_VALUE"""),45651)</f>
        <v>45651</v>
      </c>
      <c r="F1291" s="1" t="str">
        <f ca="1">IFERROR(__xludf.DUMMYFUNCTION("""COMPUTED_VALUE"""),"Tunisia")</f>
        <v>Tunisia</v>
      </c>
      <c r="G1291" s="1" t="str">
        <f ca="1">IFERROR(__xludf.DUMMYFUNCTION("""COMPUTED_VALUE"""),"Second 43.24 Tunisia")</f>
        <v>Second 43.24 Tunisia</v>
      </c>
      <c r="H1291" s="1" t="str">
        <f ca="1">IFERROR(__xludf.DUMMYFUNCTION("""COMPUTED_VALUE"""),"Freedom of Expression, Individuals At Risk")</f>
        <v>Freedom of Expression, Individuals At Risk</v>
      </c>
      <c r="I1291" s="1" t="str">
        <f ca="1">IFERROR(__xludf.DUMMYFUNCTION("""COMPUTED_VALUE"""),"2024")</f>
        <v>2024</v>
      </c>
      <c r="J1291" s="1" t="str">
        <f ca="1">IFERROR(__xludf.DUMMYFUNCTION("""COMPUTED_VALUE"""),"Email")</f>
        <v>Email</v>
      </c>
    </row>
    <row r="1292" spans="1:10" ht="13" x14ac:dyDescent="0.15">
      <c r="A1292" s="4">
        <f ca="1">IFERROR(__xludf.DUMMYFUNCTION("""COMPUTED_VALUE"""),119857509)</f>
        <v>119857509</v>
      </c>
      <c r="B1292" s="1" t="str">
        <f ca="1">IFERROR(__xludf.DUMMYFUNCTION("""COMPUTED_VALUE"""),"stevepastis@yahoo.com")</f>
        <v>stevepastis@yahoo.com</v>
      </c>
      <c r="C1292" s="4" t="str">
        <f ca="1">IFERROR(__xludf.DUMMYFUNCTION("""COMPUTED_VALUE"""),"EVERGREEN - UAN Gated Content - Embedded Petition")</f>
        <v>EVERGREEN - UAN Gated Content - Embedded Petition</v>
      </c>
      <c r="D1292" s="5">
        <f ca="1">IFERROR(__xludf.DUMMYFUNCTION("""COMPUTED_VALUE"""),45651)</f>
        <v>45651</v>
      </c>
      <c r="F1292" s="1" t="str">
        <f ca="1">IFERROR(__xludf.DUMMYFUNCTION("""COMPUTED_VALUE"""),"Egypt")</f>
        <v>Egypt</v>
      </c>
      <c r="G1292" s="1" t="str">
        <f ca="1">IFERROR(__xludf.DUMMYFUNCTION("""COMPUTED_VALUE"""),"Fourth 29.23 Egypt")</f>
        <v>Fourth 29.23 Egypt</v>
      </c>
      <c r="H1292" s="1" t="str">
        <f ca="1">IFERROR(__xludf.DUMMYFUNCTION("""COMPUTED_VALUE"""),"Freedom of Expression, Individuals At Risk, Right to Protest")</f>
        <v>Freedom of Expression, Individuals At Risk, Right to Protest</v>
      </c>
      <c r="I1292" s="1" t="str">
        <f ca="1">IFERROR(__xludf.DUMMYFUNCTION("""COMPUTED_VALUE"""),"2024")</f>
        <v>2024</v>
      </c>
      <c r="J1292" s="1" t="str">
        <f ca="1">IFERROR(__xludf.DUMMYFUNCTION("""COMPUTED_VALUE"""),"Email")</f>
        <v>Email</v>
      </c>
    </row>
    <row r="1293" spans="1:10" ht="13" x14ac:dyDescent="0.15">
      <c r="A1293" s="4">
        <f ca="1">IFERROR(__xludf.DUMMYFUNCTION("""COMPUTED_VALUE"""),119857509)</f>
        <v>119857509</v>
      </c>
      <c r="B1293" s="1" t="str">
        <f ca="1">IFERROR(__xludf.DUMMYFUNCTION("""COMPUTED_VALUE"""),"stevepastis@yahoo.com")</f>
        <v>stevepastis@yahoo.com</v>
      </c>
      <c r="C1293" s="4" t="str">
        <f ca="1">IFERROR(__xludf.DUMMYFUNCTION("""COMPUTED_VALUE"""),"EVERGREEN - UAN Gated Content - Embedded Petition")</f>
        <v>EVERGREEN - UAN Gated Content - Embedded Petition</v>
      </c>
      <c r="D1293" s="5">
        <f ca="1">IFERROR(__xludf.DUMMYFUNCTION("""COMPUTED_VALUE"""),45651)</f>
        <v>45651</v>
      </c>
      <c r="F1293" s="1" t="str">
        <f ca="1">IFERROR(__xludf.DUMMYFUNCTION("""COMPUTED_VALUE"""),"Dominican Republic")</f>
        <v>Dominican Republic</v>
      </c>
      <c r="G1293" s="1" t="str">
        <f ca="1">IFERROR(__xludf.DUMMYFUNCTION("""COMPUTED_VALUE"""),"88.24 Dominican Republic")</f>
        <v>88.24 Dominican Republic</v>
      </c>
      <c r="H1293" s="1" t="str">
        <f ca="1">IFERROR(__xludf.DUMMYFUNCTION("""COMPUTED_VALUE"""),"Individuals At Risk, Refugee and Migrant Rights")</f>
        <v>Individuals At Risk, Refugee and Migrant Rights</v>
      </c>
      <c r="I1293" s="1" t="str">
        <f ca="1">IFERROR(__xludf.DUMMYFUNCTION("""COMPUTED_VALUE"""),"2024")</f>
        <v>2024</v>
      </c>
      <c r="J1293" s="1" t="str">
        <f ca="1">IFERROR(__xludf.DUMMYFUNCTION("""COMPUTED_VALUE"""),"Letter")</f>
        <v>Letter</v>
      </c>
    </row>
    <row r="1294" spans="1:10" ht="13" x14ac:dyDescent="0.15">
      <c r="A1294" s="4">
        <f ca="1">IFERROR(__xludf.DUMMYFUNCTION("""COMPUTED_VALUE"""),119857509)</f>
        <v>119857509</v>
      </c>
      <c r="B1294" s="1" t="str">
        <f ca="1">IFERROR(__xludf.DUMMYFUNCTION("""COMPUTED_VALUE"""),"stevepastis@yahoo.com")</f>
        <v>stevepastis@yahoo.com</v>
      </c>
      <c r="C1294" s="4" t="str">
        <f ca="1">IFERROR(__xludf.DUMMYFUNCTION("""COMPUTED_VALUE"""),"EVERGREEN - UAN Gated Content - Embedded Petition")</f>
        <v>EVERGREEN - UAN Gated Content - Embedded Petition</v>
      </c>
      <c r="D1294" s="5">
        <f ca="1">IFERROR(__xludf.DUMMYFUNCTION("""COMPUTED_VALUE"""),45651)</f>
        <v>45651</v>
      </c>
      <c r="F1294" s="1" t="str">
        <f ca="1">IFERROR(__xludf.DUMMYFUNCTION("""COMPUTED_VALUE"""),"Venezuela")</f>
        <v>Venezuela</v>
      </c>
      <c r="G1294" s="1" t="str">
        <f ca="1">IFERROR(__xludf.DUMMYFUNCTION("""COMPUTED_VALUE"""),"1.25 Venezuela")</f>
        <v>1.25 Venezuela</v>
      </c>
      <c r="H1294" s="1" t="str">
        <f ca="1">IFERROR(__xludf.DUMMYFUNCTION("""COMPUTED_VALUE"""),"Human Rights Defenders, Individuals At Risk")</f>
        <v>Human Rights Defenders, Individuals At Risk</v>
      </c>
      <c r="I1294" s="1" t="str">
        <f ca="1">IFERROR(__xludf.DUMMYFUNCTION("""COMPUTED_VALUE"""),"2025")</f>
        <v>2025</v>
      </c>
      <c r="J1294" s="1" t="str">
        <f ca="1">IFERROR(__xludf.DUMMYFUNCTION("""COMPUTED_VALUE"""),"Letter")</f>
        <v>Letter</v>
      </c>
    </row>
    <row r="1295" spans="1:10" ht="13" x14ac:dyDescent="0.15">
      <c r="A1295" s="4">
        <f ca="1">IFERROR(__xludf.DUMMYFUNCTION("""COMPUTED_VALUE"""),119857509)</f>
        <v>119857509</v>
      </c>
      <c r="B1295" s="1" t="str">
        <f ca="1">IFERROR(__xludf.DUMMYFUNCTION("""COMPUTED_VALUE"""),"stevepastis@yahoo.com")</f>
        <v>stevepastis@yahoo.com</v>
      </c>
      <c r="C1295" s="4" t="str">
        <f ca="1">IFERROR(__xludf.DUMMYFUNCTION("""COMPUTED_VALUE"""),"EVERGREEN - UAN Gated Content - Embedded Petition")</f>
        <v>EVERGREEN - UAN Gated Content - Embedded Petition</v>
      </c>
      <c r="D1295" s="5">
        <f ca="1">IFERROR(__xludf.DUMMYFUNCTION("""COMPUTED_VALUE"""),45618)</f>
        <v>45618</v>
      </c>
      <c r="F1295" s="1" t="str">
        <f ca="1">IFERROR(__xludf.DUMMYFUNCTION("""COMPUTED_VALUE"""),"China")</f>
        <v>China</v>
      </c>
      <c r="G1295" s="1" t="str">
        <f ca="1">IFERROR(__xludf.DUMMYFUNCTION("""COMPUTED_VALUE"""),"106.24 China")</f>
        <v>106.24 China</v>
      </c>
      <c r="H1295" s="1" t="str">
        <f ca="1">IFERROR(__xludf.DUMMYFUNCTION("""COMPUTED_VALUE"""),"Freedom of Expression, Individuals At Risk")</f>
        <v>Freedom of Expression, Individuals At Risk</v>
      </c>
      <c r="I1295" s="1" t="str">
        <f ca="1">IFERROR(__xludf.DUMMYFUNCTION("""COMPUTED_VALUE"""),"2024")</f>
        <v>2024</v>
      </c>
      <c r="J1295" s="1" t="str">
        <f ca="1">IFERROR(__xludf.DUMMYFUNCTION("""COMPUTED_VALUE"""),"Email")</f>
        <v>Email</v>
      </c>
    </row>
    <row r="1296" spans="1:10" ht="13" x14ac:dyDescent="0.15">
      <c r="A1296" s="4">
        <f ca="1">IFERROR(__xludf.DUMMYFUNCTION("""COMPUTED_VALUE"""),119857509)</f>
        <v>119857509</v>
      </c>
      <c r="B1296" s="1" t="str">
        <f ca="1">IFERROR(__xludf.DUMMYFUNCTION("""COMPUTED_VALUE"""),"stevepastis@yahoo.com")</f>
        <v>stevepastis@yahoo.com</v>
      </c>
      <c r="C1296" s="4" t="str">
        <f ca="1">IFERROR(__xludf.DUMMYFUNCTION("""COMPUTED_VALUE"""),"EVERGREEN - UAN Gated Content - Embedded Petition")</f>
        <v>EVERGREEN - UAN Gated Content - Embedded Petition</v>
      </c>
      <c r="D1296" s="5">
        <f ca="1">IFERROR(__xludf.DUMMYFUNCTION("""COMPUTED_VALUE"""),45618)</f>
        <v>45618</v>
      </c>
      <c r="F1296" s="1" t="str">
        <f ca="1">IFERROR(__xludf.DUMMYFUNCTION("""COMPUTED_VALUE"""),"China")</f>
        <v>China</v>
      </c>
      <c r="G1296" s="1" t="str">
        <f ca="1">IFERROR(__xludf.DUMMYFUNCTION("""COMPUTED_VALUE"""),"98.24 China")</f>
        <v>98.24 China</v>
      </c>
      <c r="H1296" s="1" t="str">
        <f ca="1">IFERROR(__xludf.DUMMYFUNCTION("""COMPUTED_VALUE"""),"Freedom of Expression, Individuals At Risk")</f>
        <v>Freedom of Expression, Individuals At Risk</v>
      </c>
      <c r="I1296" s="1" t="str">
        <f ca="1">IFERROR(__xludf.DUMMYFUNCTION("""COMPUTED_VALUE"""),"2024")</f>
        <v>2024</v>
      </c>
      <c r="J1296" s="1" t="str">
        <f ca="1">IFERROR(__xludf.DUMMYFUNCTION("""COMPUTED_VALUE"""),"Letter")</f>
        <v>Letter</v>
      </c>
    </row>
    <row r="1297" spans="1:10" ht="13" x14ac:dyDescent="0.15">
      <c r="A1297" s="4">
        <f ca="1">IFERROR(__xludf.DUMMYFUNCTION("""COMPUTED_VALUE"""),119857509)</f>
        <v>119857509</v>
      </c>
      <c r="B1297" s="1" t="str">
        <f ca="1">IFERROR(__xludf.DUMMYFUNCTION("""COMPUTED_VALUE"""),"stevepastis@yahoo.com")</f>
        <v>stevepastis@yahoo.com</v>
      </c>
      <c r="C1297" s="4" t="str">
        <f ca="1">IFERROR(__xludf.DUMMYFUNCTION("""COMPUTED_VALUE"""),"EVERGREEN - UAN Gated Content - Embedded Petition")</f>
        <v>EVERGREEN - UAN Gated Content - Embedded Petition</v>
      </c>
      <c r="D1297" s="5">
        <f ca="1">IFERROR(__xludf.DUMMYFUNCTION("""COMPUTED_VALUE"""),45620)</f>
        <v>45620</v>
      </c>
      <c r="F1297" s="1" t="str">
        <f ca="1">IFERROR(__xludf.DUMMYFUNCTION("""COMPUTED_VALUE"""),"Saudi Arabia")</f>
        <v>Saudi Arabia</v>
      </c>
      <c r="G1297" s="1" t="str">
        <f ca="1">IFERROR(__xludf.DUMMYFUNCTION("""COMPUTED_VALUE"""),"Second 85.23 Saudi Arabia")</f>
        <v>Second 85.23 Saudi Arabia</v>
      </c>
      <c r="H1297" s="1" t="str">
        <f ca="1">IFERROR(__xludf.DUMMYFUNCTION("""COMPUTED_VALUE"""),"Freedom of Expression")</f>
        <v>Freedom of Expression</v>
      </c>
      <c r="I1297" s="1" t="str">
        <f ca="1">IFERROR(__xludf.DUMMYFUNCTION("""COMPUTED_VALUE"""),"2024")</f>
        <v>2024</v>
      </c>
      <c r="J1297" s="1" t="str">
        <f ca="1">IFERROR(__xludf.DUMMYFUNCTION("""COMPUTED_VALUE"""),"Letter")</f>
        <v>Letter</v>
      </c>
    </row>
    <row r="1298" spans="1:10" ht="13" x14ac:dyDescent="0.15">
      <c r="A1298" s="4">
        <f ca="1">IFERROR(__xludf.DUMMYFUNCTION("""COMPUTED_VALUE"""),119857509)</f>
        <v>119857509</v>
      </c>
      <c r="B1298" s="1" t="str">
        <f ca="1">IFERROR(__xludf.DUMMYFUNCTION("""COMPUTED_VALUE"""),"stevepastis@yahoo.com")</f>
        <v>stevepastis@yahoo.com</v>
      </c>
      <c r="C1298" s="4" t="str">
        <f ca="1">IFERROR(__xludf.DUMMYFUNCTION("""COMPUTED_VALUE"""),"EVERGREEN - UAN Gated Content - Embedded Petition")</f>
        <v>EVERGREEN - UAN Gated Content - Embedded Petition</v>
      </c>
      <c r="D1298" s="5">
        <f ca="1">IFERROR(__xludf.DUMMYFUNCTION("""COMPUTED_VALUE"""),45620)</f>
        <v>45620</v>
      </c>
      <c r="F1298" s="1" t="str">
        <f ca="1">IFERROR(__xludf.DUMMYFUNCTION("""COMPUTED_VALUE"""),"Niger")</f>
        <v>Niger</v>
      </c>
      <c r="G1298" s="1" t="str">
        <f ca="1">IFERROR(__xludf.DUMMYFUNCTION("""COMPUTED_VALUE"""),"103.24 Niger")</f>
        <v>103.24 Niger</v>
      </c>
      <c r="H1298" s="1" t="str">
        <f ca="1">IFERROR(__xludf.DUMMYFUNCTION("""COMPUTED_VALUE"""),"Freedom of Expression, Human Rights Defenders")</f>
        <v>Freedom of Expression, Human Rights Defenders</v>
      </c>
      <c r="I1298" s="1" t="str">
        <f ca="1">IFERROR(__xludf.DUMMYFUNCTION("""COMPUTED_VALUE"""),"2024")</f>
        <v>2024</v>
      </c>
      <c r="J1298" s="1" t="str">
        <f ca="1">IFERROR(__xludf.DUMMYFUNCTION("""COMPUTED_VALUE"""),"Email")</f>
        <v>Email</v>
      </c>
    </row>
    <row r="1299" spans="1:10" ht="13" x14ac:dyDescent="0.15">
      <c r="A1299" s="4">
        <f ca="1">IFERROR(__xludf.DUMMYFUNCTION("""COMPUTED_VALUE"""),119857509)</f>
        <v>119857509</v>
      </c>
      <c r="B1299" s="1" t="str">
        <f ca="1">IFERROR(__xludf.DUMMYFUNCTION("""COMPUTED_VALUE"""),"stevepastis@yahoo.com")</f>
        <v>stevepastis@yahoo.com</v>
      </c>
      <c r="C1299" s="4" t="str">
        <f ca="1">IFERROR(__xludf.DUMMYFUNCTION("""COMPUTED_VALUE"""),"EVERGREEN - UAN Gated Content - Embedded Petition")</f>
        <v>EVERGREEN - UAN Gated Content - Embedded Petition</v>
      </c>
      <c r="D1299" s="5">
        <f ca="1">IFERROR(__xludf.DUMMYFUNCTION("""COMPUTED_VALUE"""),45631)</f>
        <v>45631</v>
      </c>
      <c r="F1299" s="1" t="str">
        <f ca="1">IFERROR(__xludf.DUMMYFUNCTION("""COMPUTED_VALUE"""),"Iran")</f>
        <v>Iran</v>
      </c>
      <c r="G1299" s="1" t="str">
        <f ca="1">IFERROR(__xludf.DUMMYFUNCTION("""COMPUTED_VALUE"""),"Seventh 103.22 Iran")</f>
        <v>Seventh 103.22 Iran</v>
      </c>
      <c r="H1299" s="1" t="str">
        <f ca="1">IFERROR(__xludf.DUMMYFUNCTION("""COMPUTED_VALUE"""),"Death Penalty, Freedom of Expression, Individuals At Risk")</f>
        <v>Death Penalty, Freedom of Expression, Individuals At Risk</v>
      </c>
      <c r="I1299" s="1" t="str">
        <f ca="1">IFERROR(__xludf.DUMMYFUNCTION("""COMPUTED_VALUE"""),"2024")</f>
        <v>2024</v>
      </c>
      <c r="J1299" s="1" t="str">
        <f ca="1">IFERROR(__xludf.DUMMYFUNCTION("""COMPUTED_VALUE"""),"Email")</f>
        <v>Email</v>
      </c>
    </row>
    <row r="1300" spans="1:10" ht="13" x14ac:dyDescent="0.15">
      <c r="A1300" s="4">
        <f ca="1">IFERROR(__xludf.DUMMYFUNCTION("""COMPUTED_VALUE"""),119857509)</f>
        <v>119857509</v>
      </c>
      <c r="B1300" s="1" t="str">
        <f ca="1">IFERROR(__xludf.DUMMYFUNCTION("""COMPUTED_VALUE"""),"stevepastis@yahoo.com")</f>
        <v>stevepastis@yahoo.com</v>
      </c>
      <c r="C1300" s="4" t="str">
        <f ca="1">IFERROR(__xludf.DUMMYFUNCTION("""COMPUTED_VALUE"""),"EVERGREEN - UAN Gated Content - Embedded Petition")</f>
        <v>EVERGREEN - UAN Gated Content - Embedded Petition</v>
      </c>
      <c r="D1300" s="5">
        <f ca="1">IFERROR(__xludf.DUMMYFUNCTION("""COMPUTED_VALUE"""),45635)</f>
        <v>45635</v>
      </c>
      <c r="F1300" s="1" t="str">
        <f ca="1">IFERROR(__xludf.DUMMYFUNCTION("""COMPUTED_VALUE"""),"Turkiye")</f>
        <v>Turkiye</v>
      </c>
      <c r="G1300" s="1" t="str">
        <f ca="1">IFERROR(__xludf.DUMMYFUNCTION("""COMPUTED_VALUE"""),"109.24 Türkiye")</f>
        <v>109.24 Türkiye</v>
      </c>
      <c r="H1300" s="1" t="str">
        <f ca="1">IFERROR(__xludf.DUMMYFUNCTION("""COMPUTED_VALUE"""),"Human Rights Defenders, Individuals At Risk")</f>
        <v>Human Rights Defenders, Individuals At Risk</v>
      </c>
      <c r="I1300" s="1" t="str">
        <f ca="1">IFERROR(__xludf.DUMMYFUNCTION("""COMPUTED_VALUE"""),"2024")</f>
        <v>2024</v>
      </c>
      <c r="J1300" s="1" t="str">
        <f ca="1">IFERROR(__xludf.DUMMYFUNCTION("""COMPUTED_VALUE"""),"Email")</f>
        <v>Email</v>
      </c>
    </row>
    <row r="1301" spans="1:10" ht="13" x14ac:dyDescent="0.15">
      <c r="A1301" s="4">
        <f ca="1">IFERROR(__xludf.DUMMYFUNCTION("""COMPUTED_VALUE"""),119857509)</f>
        <v>119857509</v>
      </c>
      <c r="B1301" s="1" t="str">
        <f ca="1">IFERROR(__xludf.DUMMYFUNCTION("""COMPUTED_VALUE"""),"stevepastis@yahoo.com")</f>
        <v>stevepastis@yahoo.com</v>
      </c>
      <c r="C1301" s="4" t="str">
        <f ca="1">IFERROR(__xludf.DUMMYFUNCTION("""COMPUTED_VALUE"""),"EVERGREEN - UAN Gated Content - Embedded Petition")</f>
        <v>EVERGREEN - UAN Gated Content - Embedded Petition</v>
      </c>
      <c r="D1301" s="5">
        <f ca="1">IFERROR(__xludf.DUMMYFUNCTION("""COMPUTED_VALUE"""),45697)</f>
        <v>45697</v>
      </c>
      <c r="F1301" s="1" t="str">
        <f ca="1">IFERROR(__xludf.DUMMYFUNCTION("""COMPUTED_VALUE"""),"Iran")</f>
        <v>Iran</v>
      </c>
      <c r="G1301" s="1" t="str">
        <f ca="1">IFERROR(__xludf.DUMMYFUNCTION("""COMPUTED_VALUE"""),"Seventh 103.22 Iran")</f>
        <v>Seventh 103.22 Iran</v>
      </c>
      <c r="H1301" s="1" t="str">
        <f ca="1">IFERROR(__xludf.DUMMYFUNCTION("""COMPUTED_VALUE"""),"Death Penalty, Freedom of Expression, Individuals At Risk")</f>
        <v>Death Penalty, Freedom of Expression, Individuals At Risk</v>
      </c>
      <c r="I1301" s="1" t="str">
        <f ca="1">IFERROR(__xludf.DUMMYFUNCTION("""COMPUTED_VALUE"""),"2024")</f>
        <v>2024</v>
      </c>
      <c r="J1301" s="1" t="str">
        <f ca="1">IFERROR(__xludf.DUMMYFUNCTION("""COMPUTED_VALUE"""),"Email")</f>
        <v>Email</v>
      </c>
    </row>
    <row r="1302" spans="1:10" ht="13" x14ac:dyDescent="0.15">
      <c r="A1302" s="4">
        <f ca="1">IFERROR(__xludf.DUMMYFUNCTION("""COMPUTED_VALUE"""),119857509)</f>
        <v>119857509</v>
      </c>
      <c r="B1302" s="1" t="str">
        <f ca="1">IFERROR(__xludf.DUMMYFUNCTION("""COMPUTED_VALUE"""),"stevepastis@yahoo.com")</f>
        <v>stevepastis@yahoo.com</v>
      </c>
      <c r="C1302" s="4" t="str">
        <f ca="1">IFERROR(__xludf.DUMMYFUNCTION("""COMPUTED_VALUE"""),"EVERGREEN - UAN Gated Content - Embedded Petition")</f>
        <v>EVERGREEN - UAN Gated Content - Embedded Petition</v>
      </c>
      <c r="D1302" s="5">
        <f ca="1">IFERROR(__xludf.DUMMYFUNCTION("""COMPUTED_VALUE"""),45697)</f>
        <v>45697</v>
      </c>
      <c r="F1302" s="1" t="str">
        <f ca="1">IFERROR(__xludf.DUMMYFUNCTION("""COMPUTED_VALUE"""),"Tunisia")</f>
        <v>Tunisia</v>
      </c>
      <c r="G1302" s="1" t="str">
        <f ca="1">IFERROR(__xludf.DUMMYFUNCTION("""COMPUTED_VALUE"""),"Second 76.24 Tunisia")</f>
        <v>Second 76.24 Tunisia</v>
      </c>
      <c r="H1302" s="1" t="str">
        <f ca="1">IFERROR(__xludf.DUMMYFUNCTION("""COMPUTED_VALUE"""),"Freedom of Expression, Human Rights Defenders")</f>
        <v>Freedom of Expression, Human Rights Defenders</v>
      </c>
      <c r="I1302" s="1" t="str">
        <f ca="1">IFERROR(__xludf.DUMMYFUNCTION("""COMPUTED_VALUE"""),"2025")</f>
        <v>2025</v>
      </c>
      <c r="J1302" s="1" t="str">
        <f ca="1">IFERROR(__xludf.DUMMYFUNCTION("""COMPUTED_VALUE"""),"Email")</f>
        <v>Email</v>
      </c>
    </row>
    <row r="1303" spans="1:10" ht="13" x14ac:dyDescent="0.15">
      <c r="A1303" s="4">
        <f ca="1">IFERROR(__xludf.DUMMYFUNCTION("""COMPUTED_VALUE"""),119857509)</f>
        <v>119857509</v>
      </c>
      <c r="B1303" s="1" t="str">
        <f ca="1">IFERROR(__xludf.DUMMYFUNCTION("""COMPUTED_VALUE"""),"stevepastis@yahoo.com")</f>
        <v>stevepastis@yahoo.com</v>
      </c>
      <c r="C1303" s="4" t="str">
        <f ca="1">IFERROR(__xludf.DUMMYFUNCTION("""COMPUTED_VALUE"""),"EVERGREEN - UAN Gated Content - Embedded Petition")</f>
        <v>EVERGREEN - UAN Gated Content - Embedded Petition</v>
      </c>
      <c r="D1303" s="5">
        <f ca="1">IFERROR(__xludf.DUMMYFUNCTION("""COMPUTED_VALUE"""),45697)</f>
        <v>45697</v>
      </c>
      <c r="F1303" s="1" t="str">
        <f ca="1">IFERROR(__xludf.DUMMYFUNCTION("""COMPUTED_VALUE"""),"USA")</f>
        <v>USA</v>
      </c>
      <c r="G1303" s="1" t="str">
        <f ca="1">IFERROR(__xludf.DUMMYFUNCTION("""COMPUTED_VALUE"""),"96.24 USA")</f>
        <v>96.24 USA</v>
      </c>
      <c r="H1303" s="1" t="str">
        <f ca="1">IFERROR(__xludf.DUMMYFUNCTION("""COMPUTED_VALUE"""),"Death Penalty")</f>
        <v>Death Penalty</v>
      </c>
      <c r="I1303" s="1" t="str">
        <f ca="1">IFERROR(__xludf.DUMMYFUNCTION("""COMPUTED_VALUE"""),"2024")</f>
        <v>2024</v>
      </c>
      <c r="J1303" s="1" t="str">
        <f ca="1">IFERROR(__xludf.DUMMYFUNCTION("""COMPUTED_VALUE"""),"Email")</f>
        <v>Email</v>
      </c>
    </row>
    <row r="1304" spans="1:10" ht="13" x14ac:dyDescent="0.15">
      <c r="A1304" s="4">
        <f ca="1">IFERROR(__xludf.DUMMYFUNCTION("""COMPUTED_VALUE"""),119857509)</f>
        <v>119857509</v>
      </c>
      <c r="B1304" s="1" t="str">
        <f ca="1">IFERROR(__xludf.DUMMYFUNCTION("""COMPUTED_VALUE"""),"stevepastis@yahoo.com")</f>
        <v>stevepastis@yahoo.com</v>
      </c>
      <c r="C1304" s="4" t="str">
        <f ca="1">IFERROR(__xludf.DUMMYFUNCTION("""COMPUTED_VALUE"""),"EVERGREEN - UAN Gated Content - Embedded Petition")</f>
        <v>EVERGREEN - UAN Gated Content - Embedded Petition</v>
      </c>
      <c r="D1304" s="5">
        <f ca="1">IFERROR(__xludf.DUMMYFUNCTION("""COMPUTED_VALUE"""),45697)</f>
        <v>45697</v>
      </c>
      <c r="F1304" s="1" t="str">
        <f ca="1">IFERROR(__xludf.DUMMYFUNCTION("""COMPUTED_VALUE"""),"USA")</f>
        <v>USA</v>
      </c>
      <c r="G1304" s="1" t="str">
        <f ca="1">IFERROR(__xludf.DUMMYFUNCTION("""COMPUTED_VALUE"""),"4.25 USA")</f>
        <v>4.25 USA</v>
      </c>
      <c r="H1304" s="1" t="str">
        <f ca="1">IFERROR(__xludf.DUMMYFUNCTION("""COMPUTED_VALUE"""),"Individuals At Risk, Refugee and Migrant Rights")</f>
        <v>Individuals At Risk, Refugee and Migrant Rights</v>
      </c>
      <c r="I1304" s="1" t="str">
        <f ca="1">IFERROR(__xludf.DUMMYFUNCTION("""COMPUTED_VALUE"""),"2025")</f>
        <v>2025</v>
      </c>
      <c r="J1304" s="1" t="str">
        <f ca="1">IFERROR(__xludf.DUMMYFUNCTION("""COMPUTED_VALUE"""),"Letter")</f>
        <v>Letter</v>
      </c>
    </row>
    <row r="1305" spans="1:10" ht="13" x14ac:dyDescent="0.15">
      <c r="A1305" s="4">
        <f ca="1">IFERROR(__xludf.DUMMYFUNCTION("""COMPUTED_VALUE"""),119857509)</f>
        <v>119857509</v>
      </c>
      <c r="B1305" s="1" t="str">
        <f ca="1">IFERROR(__xludf.DUMMYFUNCTION("""COMPUTED_VALUE"""),"stevepastis@yahoo.com")</f>
        <v>stevepastis@yahoo.com</v>
      </c>
      <c r="C1305" s="4" t="str">
        <f ca="1">IFERROR(__xludf.DUMMYFUNCTION("""COMPUTED_VALUE"""),"EVERGREEN - UAN Gated Content - Embedded Petition")</f>
        <v>EVERGREEN - UAN Gated Content - Embedded Petition</v>
      </c>
      <c r="D1305" s="5">
        <f ca="1">IFERROR(__xludf.DUMMYFUNCTION("""COMPUTED_VALUE"""),45697)</f>
        <v>45697</v>
      </c>
      <c r="F1305" s="1" t="str">
        <f ca="1">IFERROR(__xludf.DUMMYFUNCTION("""COMPUTED_VALUE"""),"Tunisia")</f>
        <v>Tunisia</v>
      </c>
      <c r="G1305" s="1" t="str">
        <f ca="1">IFERROR(__xludf.DUMMYFUNCTION("""COMPUTED_VALUE"""),"Second 76.24 Tunisia")</f>
        <v>Second 76.24 Tunisia</v>
      </c>
      <c r="H1305" s="1" t="str">
        <f ca="1">IFERROR(__xludf.DUMMYFUNCTION("""COMPUTED_VALUE"""),"Freedom of Expression, Human Rights Defenders")</f>
        <v>Freedom of Expression, Human Rights Defenders</v>
      </c>
      <c r="I1305" s="1" t="str">
        <f ca="1">IFERROR(__xludf.DUMMYFUNCTION("""COMPUTED_VALUE"""),"2025")</f>
        <v>2025</v>
      </c>
      <c r="J1305" s="1" t="str">
        <f ca="1">IFERROR(__xludf.DUMMYFUNCTION("""COMPUTED_VALUE"""),"Email")</f>
        <v>Email</v>
      </c>
    </row>
    <row r="1306" spans="1:10" ht="13" x14ac:dyDescent="0.15">
      <c r="A1306" s="4">
        <f ca="1">IFERROR(__xludf.DUMMYFUNCTION("""COMPUTED_VALUE"""),119857509)</f>
        <v>119857509</v>
      </c>
      <c r="B1306" s="1" t="str">
        <f ca="1">IFERROR(__xludf.DUMMYFUNCTION("""COMPUTED_VALUE"""),"stevepastis@yahoo.com")</f>
        <v>stevepastis@yahoo.com</v>
      </c>
      <c r="C1306" s="4" t="str">
        <f ca="1">IFERROR(__xludf.DUMMYFUNCTION("""COMPUTED_VALUE"""),"EVERGREEN - UAN Gated Content - Embedded Petition")</f>
        <v>EVERGREEN - UAN Gated Content - Embedded Petition</v>
      </c>
      <c r="D1306" s="5">
        <f ca="1">IFERROR(__xludf.DUMMYFUNCTION("""COMPUTED_VALUE"""),45635)</f>
        <v>45635</v>
      </c>
      <c r="F1306" s="1" t="str">
        <f ca="1">IFERROR(__xludf.DUMMYFUNCTION("""COMPUTED_VALUE"""),"Tunisia")</f>
        <v>Tunisia</v>
      </c>
      <c r="G1306" s="1" t="str">
        <f ca="1">IFERROR(__xludf.DUMMYFUNCTION("""COMPUTED_VALUE"""),"Second 76.24 Tunisia")</f>
        <v>Second 76.24 Tunisia</v>
      </c>
      <c r="H1306" s="1" t="str">
        <f ca="1">IFERROR(__xludf.DUMMYFUNCTION("""COMPUTED_VALUE"""),"Freedom of Expression, Human Rights Defenders")</f>
        <v>Freedom of Expression, Human Rights Defenders</v>
      </c>
      <c r="I1306" s="1" t="str">
        <f ca="1">IFERROR(__xludf.DUMMYFUNCTION("""COMPUTED_VALUE"""),"2025")</f>
        <v>2025</v>
      </c>
      <c r="J1306" s="1" t="str">
        <f ca="1">IFERROR(__xludf.DUMMYFUNCTION("""COMPUTED_VALUE"""),"Email")</f>
        <v>Email</v>
      </c>
    </row>
    <row r="1307" spans="1:10" ht="13" x14ac:dyDescent="0.15">
      <c r="A1307" s="4">
        <f ca="1">IFERROR(__xludf.DUMMYFUNCTION("""COMPUTED_VALUE"""),119857509)</f>
        <v>119857509</v>
      </c>
      <c r="B1307" s="1" t="str">
        <f ca="1">IFERROR(__xludf.DUMMYFUNCTION("""COMPUTED_VALUE"""),"stevepastis@yahoo.com")</f>
        <v>stevepastis@yahoo.com</v>
      </c>
      <c r="C1307" s="4" t="str">
        <f ca="1">IFERROR(__xludf.DUMMYFUNCTION("""COMPUTED_VALUE"""),"EVERGREEN - UAN Gated Content - Embedded Petition")</f>
        <v>EVERGREEN - UAN Gated Content - Embedded Petition</v>
      </c>
      <c r="D1307" s="5">
        <f ca="1">IFERROR(__xludf.DUMMYFUNCTION("""COMPUTED_VALUE"""),45697)</f>
        <v>45697</v>
      </c>
      <c r="F1307" s="1" t="str">
        <f ca="1">IFERROR(__xludf.DUMMYFUNCTION("""COMPUTED_VALUE"""),"Iran")</f>
        <v>Iran</v>
      </c>
      <c r="G1307" s="1" t="str">
        <f ca="1">IFERROR(__xludf.DUMMYFUNCTION("""COMPUTED_VALUE"""),"Seventh 103.22 Iran")</f>
        <v>Seventh 103.22 Iran</v>
      </c>
      <c r="H1307" s="1" t="str">
        <f ca="1">IFERROR(__xludf.DUMMYFUNCTION("""COMPUTED_VALUE"""),"Death Penalty, Freedom of Expression, Individuals At Risk")</f>
        <v>Death Penalty, Freedom of Expression, Individuals At Risk</v>
      </c>
      <c r="I1307" s="1" t="str">
        <f ca="1">IFERROR(__xludf.DUMMYFUNCTION("""COMPUTED_VALUE"""),"2024")</f>
        <v>2024</v>
      </c>
      <c r="J1307" s="1" t="str">
        <f ca="1">IFERROR(__xludf.DUMMYFUNCTION("""COMPUTED_VALUE"""),"Email")</f>
        <v>Email</v>
      </c>
    </row>
    <row r="1308" spans="1:10" ht="13" x14ac:dyDescent="0.15">
      <c r="A1308" s="4">
        <f ca="1">IFERROR(__xludf.DUMMYFUNCTION("""COMPUTED_VALUE"""),120113464)</f>
        <v>120113464</v>
      </c>
      <c r="B1308" s="1" t="str">
        <f ca="1">IFERROR(__xludf.DUMMYFUNCTION("""COMPUTED_VALUE"""),"jagsingh@comcast.net")</f>
        <v>jagsingh@comcast.net</v>
      </c>
      <c r="C1308" s="4" t="str">
        <f ca="1">IFERROR(__xludf.DUMMYFUNCTION("""COMPUTED_VALUE"""),"EVERGREEN - UAN Gated Content - Embedded Petition")</f>
        <v>EVERGREEN - UAN Gated Content - Embedded Petition</v>
      </c>
      <c r="D1308" s="5">
        <f ca="1">IFERROR(__xludf.DUMMYFUNCTION("""COMPUTED_VALUE"""),45707)</f>
        <v>45707</v>
      </c>
      <c r="F1308" s="1" t="str">
        <f ca="1">IFERROR(__xludf.DUMMYFUNCTION("""COMPUTED_VALUE"""),"Israel and Occupied Palestinian Territories")</f>
        <v>Israel and Occupied Palestinian Territories</v>
      </c>
      <c r="G1308" s="1" t="str">
        <f ca="1">IFERROR(__xludf.DUMMYFUNCTION("""COMPUTED_VALUE"""),"3.25 IOPT")</f>
        <v>3.25 IOPT</v>
      </c>
      <c r="H1308" s="1" t="str">
        <f ca="1">IFERROR(__xludf.DUMMYFUNCTION("""COMPUTED_VALUE"""),"Freedom of Expression, Individuals At Risk")</f>
        <v>Freedom of Expression, Individuals At Risk</v>
      </c>
      <c r="I1308" s="1" t="str">
        <f ca="1">IFERROR(__xludf.DUMMYFUNCTION("""COMPUTED_VALUE"""),"2025")</f>
        <v>2025</v>
      </c>
      <c r="J1308" s="1" t="str">
        <f ca="1">IFERROR(__xludf.DUMMYFUNCTION("""COMPUTED_VALUE"""),"Email")</f>
        <v>Email</v>
      </c>
    </row>
    <row r="1309" spans="1:10" ht="13" x14ac:dyDescent="0.15">
      <c r="A1309" s="4">
        <f ca="1">IFERROR(__xludf.DUMMYFUNCTION("""COMPUTED_VALUE"""),120113464)</f>
        <v>120113464</v>
      </c>
      <c r="B1309" s="1" t="str">
        <f ca="1">IFERROR(__xludf.DUMMYFUNCTION("""COMPUTED_VALUE"""),"jagsingh@comcast.net")</f>
        <v>jagsingh@comcast.net</v>
      </c>
      <c r="C1309" s="4" t="str">
        <f ca="1">IFERROR(__xludf.DUMMYFUNCTION("""COMPUTED_VALUE"""),"EVERGREEN - UAN Gated Content - Embedded Petition")</f>
        <v>EVERGREEN - UAN Gated Content - Embedded Petition</v>
      </c>
      <c r="D1309" s="5">
        <f ca="1">IFERROR(__xludf.DUMMYFUNCTION("""COMPUTED_VALUE"""),45672)</f>
        <v>45672</v>
      </c>
      <c r="F1309" s="1" t="str">
        <f ca="1">IFERROR(__xludf.DUMMYFUNCTION("""COMPUTED_VALUE"""),"China")</f>
        <v>China</v>
      </c>
      <c r="G1309" s="1" t="str">
        <f ca="1">IFERROR(__xludf.DUMMYFUNCTION("""COMPUTED_VALUE"""),"98.24 China")</f>
        <v>98.24 China</v>
      </c>
      <c r="H1309" s="1" t="str">
        <f ca="1">IFERROR(__xludf.DUMMYFUNCTION("""COMPUTED_VALUE"""),"Freedom of Expression, Individuals At Risk")</f>
        <v>Freedom of Expression, Individuals At Risk</v>
      </c>
      <c r="I1309" s="1" t="str">
        <f ca="1">IFERROR(__xludf.DUMMYFUNCTION("""COMPUTED_VALUE"""),"2024")</f>
        <v>2024</v>
      </c>
      <c r="J1309" s="1" t="str">
        <f ca="1">IFERROR(__xludf.DUMMYFUNCTION("""COMPUTED_VALUE"""),"Letter")</f>
        <v>Letter</v>
      </c>
    </row>
    <row r="1310" spans="1:10" ht="13" x14ac:dyDescent="0.15">
      <c r="A1310" s="4">
        <f ca="1">IFERROR(__xludf.DUMMYFUNCTION("""COMPUTED_VALUE"""),120113464)</f>
        <v>120113464</v>
      </c>
      <c r="B1310" s="1" t="str">
        <f ca="1">IFERROR(__xludf.DUMMYFUNCTION("""COMPUTED_VALUE"""),"jagsingh@comcast.net")</f>
        <v>jagsingh@comcast.net</v>
      </c>
      <c r="C1310" s="4" t="str">
        <f ca="1">IFERROR(__xludf.DUMMYFUNCTION("""COMPUTED_VALUE"""),"EVERGREEN - UAN Gated Content - Embedded Petition")</f>
        <v>EVERGREEN - UAN Gated Content - Embedded Petition</v>
      </c>
      <c r="D1310" s="5">
        <f ca="1">IFERROR(__xludf.DUMMYFUNCTION("""COMPUTED_VALUE"""),45636)</f>
        <v>45636</v>
      </c>
      <c r="F1310" s="1" t="str">
        <f ca="1">IFERROR(__xludf.DUMMYFUNCTION("""COMPUTED_VALUE"""),"Egypt")</f>
        <v>Egypt</v>
      </c>
      <c r="G1310" s="1" t="str">
        <f ca="1">IFERROR(__xludf.DUMMYFUNCTION("""COMPUTED_VALUE"""),"Third 73.23 Egypt")</f>
        <v>Third 73.23 Egypt</v>
      </c>
      <c r="H1310" s="1" t="str">
        <f ca="1">IFERROR(__xludf.DUMMYFUNCTION("""COMPUTED_VALUE"""),"Individuals At Risk")</f>
        <v>Individuals At Risk</v>
      </c>
      <c r="I1310" s="1" t="str">
        <f ca="1">IFERROR(__xludf.DUMMYFUNCTION("""COMPUTED_VALUE"""),"2024")</f>
        <v>2024</v>
      </c>
      <c r="J1310" s="1" t="str">
        <f ca="1">IFERROR(__xludf.DUMMYFUNCTION("""COMPUTED_VALUE"""),"Email")</f>
        <v>Email</v>
      </c>
    </row>
    <row r="1311" spans="1:10" ht="13" x14ac:dyDescent="0.15">
      <c r="A1311" s="4">
        <f ca="1">IFERROR(__xludf.DUMMYFUNCTION("""COMPUTED_VALUE"""),120113464)</f>
        <v>120113464</v>
      </c>
      <c r="B1311" s="1" t="str">
        <f ca="1">IFERROR(__xludf.DUMMYFUNCTION("""COMPUTED_VALUE"""),"jagsingh@comcast.net")</f>
        <v>jagsingh@comcast.net</v>
      </c>
      <c r="C1311" s="4" t="str">
        <f ca="1">IFERROR(__xludf.DUMMYFUNCTION("""COMPUTED_VALUE"""),"EVERGREEN - UAN Gated Content - Embedded Petition")</f>
        <v>EVERGREEN - UAN Gated Content - Embedded Petition</v>
      </c>
      <c r="D1311" s="5">
        <f ca="1">IFERROR(__xludf.DUMMYFUNCTION("""COMPUTED_VALUE"""),45636)</f>
        <v>45636</v>
      </c>
      <c r="F1311" s="1" t="str">
        <f ca="1">IFERROR(__xludf.DUMMYFUNCTION("""COMPUTED_VALUE"""),"Turkiye")</f>
        <v>Turkiye</v>
      </c>
      <c r="G1311" s="1" t="str">
        <f ca="1">IFERROR(__xludf.DUMMYFUNCTION("""COMPUTED_VALUE"""),"109.24 Türkiye")</f>
        <v>109.24 Türkiye</v>
      </c>
      <c r="H1311" s="1" t="str">
        <f ca="1">IFERROR(__xludf.DUMMYFUNCTION("""COMPUTED_VALUE"""),"Human Rights Defenders, Individuals At Risk")</f>
        <v>Human Rights Defenders, Individuals At Risk</v>
      </c>
      <c r="I1311" s="1" t="str">
        <f ca="1">IFERROR(__xludf.DUMMYFUNCTION("""COMPUTED_VALUE"""),"2024")</f>
        <v>2024</v>
      </c>
      <c r="J1311" s="1" t="str">
        <f ca="1">IFERROR(__xludf.DUMMYFUNCTION("""COMPUTED_VALUE"""),"Email")</f>
        <v>Email</v>
      </c>
    </row>
    <row r="1312" spans="1:10" ht="13" x14ac:dyDescent="0.15">
      <c r="A1312" s="4">
        <f ca="1">IFERROR(__xludf.DUMMYFUNCTION("""COMPUTED_VALUE"""),120113464)</f>
        <v>120113464</v>
      </c>
      <c r="B1312" s="1" t="str">
        <f ca="1">IFERROR(__xludf.DUMMYFUNCTION("""COMPUTED_VALUE"""),"jagsingh@comcast.net")</f>
        <v>jagsingh@comcast.net</v>
      </c>
      <c r="C1312" s="4" t="str">
        <f ca="1">IFERROR(__xludf.DUMMYFUNCTION("""COMPUTED_VALUE"""),"EVERGREEN - UAN Gated Content - Embedded Petition")</f>
        <v>EVERGREEN - UAN Gated Content - Embedded Petition</v>
      </c>
      <c r="D1312" s="5">
        <f ca="1">IFERROR(__xludf.DUMMYFUNCTION("""COMPUTED_VALUE"""),45635)</f>
        <v>45635</v>
      </c>
      <c r="F1312" s="1" t="str">
        <f ca="1">IFERROR(__xludf.DUMMYFUNCTION("""COMPUTED_VALUE"""),"Venezuela")</f>
        <v>Venezuela</v>
      </c>
      <c r="G1312" s="1" t="str">
        <f ca="1">IFERROR(__xludf.DUMMYFUNCTION("""COMPUTED_VALUE"""),"97.24 Venezuela")</f>
        <v>97.24 Venezuela</v>
      </c>
      <c r="H1312" s="1" t="str">
        <f ca="1">IFERROR(__xludf.DUMMYFUNCTION("""COMPUTED_VALUE"""),"Freedom of Expression")</f>
        <v>Freedom of Expression</v>
      </c>
      <c r="I1312" s="1" t="str">
        <f ca="1">IFERROR(__xludf.DUMMYFUNCTION("""COMPUTED_VALUE"""),"2024")</f>
        <v>2024</v>
      </c>
      <c r="J1312" s="1" t="str">
        <f ca="1">IFERROR(__xludf.DUMMYFUNCTION("""COMPUTED_VALUE"""),"Letter")</f>
        <v>Letter</v>
      </c>
    </row>
    <row r="1313" spans="1:10" ht="13" x14ac:dyDescent="0.15">
      <c r="A1313" s="4">
        <f ca="1">IFERROR(__xludf.DUMMYFUNCTION("""COMPUTED_VALUE"""),120113464)</f>
        <v>120113464</v>
      </c>
      <c r="B1313" s="1" t="str">
        <f ca="1">IFERROR(__xludf.DUMMYFUNCTION("""COMPUTED_VALUE"""),"jagsingh@comcast.net")</f>
        <v>jagsingh@comcast.net</v>
      </c>
      <c r="C1313" s="4" t="str">
        <f ca="1">IFERROR(__xludf.DUMMYFUNCTION("""COMPUTED_VALUE"""),"EVERGREEN - UAN Gated Content - Embedded Petition")</f>
        <v>EVERGREEN - UAN Gated Content - Embedded Petition</v>
      </c>
      <c r="D1313" s="5">
        <f ca="1">IFERROR(__xludf.DUMMYFUNCTION("""COMPUTED_VALUE"""),45630)</f>
        <v>45630</v>
      </c>
      <c r="F1313" s="1" t="str">
        <f ca="1">IFERROR(__xludf.DUMMYFUNCTION("""COMPUTED_VALUE"""),"Tunisia")</f>
        <v>Tunisia</v>
      </c>
      <c r="G1313" s="1" t="str">
        <f ca="1">IFERROR(__xludf.DUMMYFUNCTION("""COMPUTED_VALUE"""),"Second 76.24 Tunisia")</f>
        <v>Second 76.24 Tunisia</v>
      </c>
      <c r="H1313" s="1" t="str">
        <f ca="1">IFERROR(__xludf.DUMMYFUNCTION("""COMPUTED_VALUE"""),"Freedom of Expression, Human Rights Defenders")</f>
        <v>Freedom of Expression, Human Rights Defenders</v>
      </c>
      <c r="I1313" s="1" t="str">
        <f ca="1">IFERROR(__xludf.DUMMYFUNCTION("""COMPUTED_VALUE"""),"2025")</f>
        <v>2025</v>
      </c>
      <c r="J1313" s="1" t="str">
        <f ca="1">IFERROR(__xludf.DUMMYFUNCTION("""COMPUTED_VALUE"""),"Email")</f>
        <v>Email</v>
      </c>
    </row>
    <row r="1314" spans="1:10" ht="13" x14ac:dyDescent="0.15">
      <c r="A1314" s="4">
        <f ca="1">IFERROR(__xludf.DUMMYFUNCTION("""COMPUTED_VALUE"""),120113464)</f>
        <v>120113464</v>
      </c>
      <c r="B1314" s="1" t="str">
        <f ca="1">IFERROR(__xludf.DUMMYFUNCTION("""COMPUTED_VALUE"""),"jagsingh@comcast.net")</f>
        <v>jagsingh@comcast.net</v>
      </c>
      <c r="C1314" s="4" t="str">
        <f ca="1">IFERROR(__xludf.DUMMYFUNCTION("""COMPUTED_VALUE"""),"EVERGREEN - UAN Gated Content - Embedded Petition")</f>
        <v>EVERGREEN - UAN Gated Content - Embedded Petition</v>
      </c>
      <c r="D1314" s="5">
        <f ca="1">IFERROR(__xludf.DUMMYFUNCTION("""COMPUTED_VALUE"""),45642)</f>
        <v>45642</v>
      </c>
      <c r="F1314" s="1" t="str">
        <f ca="1">IFERROR(__xludf.DUMMYFUNCTION("""COMPUTED_VALUE"""),"Venezuela")</f>
        <v>Venezuela</v>
      </c>
      <c r="G1314" s="1" t="str">
        <f ca="1">IFERROR(__xludf.DUMMYFUNCTION("""COMPUTED_VALUE"""),"1.25 Venezuela")</f>
        <v>1.25 Venezuela</v>
      </c>
      <c r="H1314" s="1" t="str">
        <f ca="1">IFERROR(__xludf.DUMMYFUNCTION("""COMPUTED_VALUE"""),"Human Rights Defenders, Individuals At Risk")</f>
        <v>Human Rights Defenders, Individuals At Risk</v>
      </c>
      <c r="I1314" s="1" t="str">
        <f ca="1">IFERROR(__xludf.DUMMYFUNCTION("""COMPUTED_VALUE"""),"2025")</f>
        <v>2025</v>
      </c>
      <c r="J1314" s="1" t="str">
        <f ca="1">IFERROR(__xludf.DUMMYFUNCTION("""COMPUTED_VALUE"""),"Letter")</f>
        <v>Letter</v>
      </c>
    </row>
    <row r="1315" spans="1:10" ht="13" x14ac:dyDescent="0.15">
      <c r="A1315" s="4">
        <f ca="1">IFERROR(__xludf.DUMMYFUNCTION("""COMPUTED_VALUE"""),120113464)</f>
        <v>120113464</v>
      </c>
      <c r="B1315" s="1" t="str">
        <f ca="1">IFERROR(__xludf.DUMMYFUNCTION("""COMPUTED_VALUE"""),"jagsingh@comcast.net")</f>
        <v>jagsingh@comcast.net</v>
      </c>
      <c r="C1315" s="4" t="str">
        <f ca="1">IFERROR(__xludf.DUMMYFUNCTION("""COMPUTED_VALUE"""),"EVERGREEN - UAN Gated Content - Embedded Petition")</f>
        <v>EVERGREEN - UAN Gated Content - Embedded Petition</v>
      </c>
      <c r="D1315" s="5">
        <f ca="1">IFERROR(__xludf.DUMMYFUNCTION("""COMPUTED_VALUE"""),45679)</f>
        <v>45679</v>
      </c>
      <c r="F1315" s="1" t="str">
        <f ca="1">IFERROR(__xludf.DUMMYFUNCTION("""COMPUTED_VALUE"""),"Tunisia")</f>
        <v>Tunisia</v>
      </c>
      <c r="G1315" s="1" t="str">
        <f ca="1">IFERROR(__xludf.DUMMYFUNCTION("""COMPUTED_VALUE"""),"Second 76.24 Tunisia")</f>
        <v>Second 76.24 Tunisia</v>
      </c>
      <c r="H1315" s="1" t="str">
        <f ca="1">IFERROR(__xludf.DUMMYFUNCTION("""COMPUTED_VALUE"""),"Freedom of Expression, Human Rights Defenders")</f>
        <v>Freedom of Expression, Human Rights Defenders</v>
      </c>
      <c r="I1315" s="1" t="str">
        <f ca="1">IFERROR(__xludf.DUMMYFUNCTION("""COMPUTED_VALUE"""),"2025")</f>
        <v>2025</v>
      </c>
      <c r="J1315" s="1" t="str">
        <f ca="1">IFERROR(__xludf.DUMMYFUNCTION("""COMPUTED_VALUE"""),"Email")</f>
        <v>Email</v>
      </c>
    </row>
    <row r="1316" spans="1:10" ht="13" x14ac:dyDescent="0.15">
      <c r="A1316" s="4">
        <f ca="1">IFERROR(__xludf.DUMMYFUNCTION("""COMPUTED_VALUE"""),120113464)</f>
        <v>120113464</v>
      </c>
      <c r="B1316" s="1" t="str">
        <f ca="1">IFERROR(__xludf.DUMMYFUNCTION("""COMPUTED_VALUE"""),"jagsingh@comcast.net")</f>
        <v>jagsingh@comcast.net</v>
      </c>
      <c r="C1316" s="4" t="str">
        <f ca="1">IFERROR(__xludf.DUMMYFUNCTION("""COMPUTED_VALUE"""),"EVERGREEN - UAN Gated Content - Embedded Petition")</f>
        <v>EVERGREEN - UAN Gated Content - Embedded Petition</v>
      </c>
      <c r="D1316" s="5">
        <f ca="1">IFERROR(__xludf.DUMMYFUNCTION("""COMPUTED_VALUE"""),45658)</f>
        <v>45658</v>
      </c>
      <c r="F1316" s="1" t="str">
        <f ca="1">IFERROR(__xludf.DUMMYFUNCTION("""COMPUTED_VALUE"""),"USA")</f>
        <v>USA</v>
      </c>
      <c r="G1316" s="1" t="str">
        <f ca="1">IFERROR(__xludf.DUMMYFUNCTION("""COMPUTED_VALUE"""),"4.25 USA")</f>
        <v>4.25 USA</v>
      </c>
      <c r="H1316" s="1" t="str">
        <f ca="1">IFERROR(__xludf.DUMMYFUNCTION("""COMPUTED_VALUE"""),"Individuals At Risk, Refugee and Migrant Rights")</f>
        <v>Individuals At Risk, Refugee and Migrant Rights</v>
      </c>
      <c r="I1316" s="1" t="str">
        <f ca="1">IFERROR(__xludf.DUMMYFUNCTION("""COMPUTED_VALUE"""),"2025")</f>
        <v>2025</v>
      </c>
      <c r="J1316" s="1" t="str">
        <f ca="1">IFERROR(__xludf.DUMMYFUNCTION("""COMPUTED_VALUE"""),"Letter")</f>
        <v>Letter</v>
      </c>
    </row>
    <row r="1317" spans="1:10" ht="13" x14ac:dyDescent="0.15">
      <c r="A1317" s="4">
        <f ca="1">IFERROR(__xludf.DUMMYFUNCTION("""COMPUTED_VALUE"""),120113464)</f>
        <v>120113464</v>
      </c>
      <c r="B1317" s="1" t="str">
        <f ca="1">IFERROR(__xludf.DUMMYFUNCTION("""COMPUTED_VALUE"""),"jagsingh@comcast.net")</f>
        <v>jagsingh@comcast.net</v>
      </c>
      <c r="C1317" s="4" t="str">
        <f ca="1">IFERROR(__xludf.DUMMYFUNCTION("""COMPUTED_VALUE"""),"EVERGREEN - UAN Gated Content - Embedded Petition")</f>
        <v>EVERGREEN - UAN Gated Content - Embedded Petition</v>
      </c>
      <c r="D1317" s="5">
        <f ca="1">IFERROR(__xludf.DUMMYFUNCTION("""COMPUTED_VALUE"""),45659)</f>
        <v>45659</v>
      </c>
      <c r="F1317" s="1" t="str">
        <f ca="1">IFERROR(__xludf.DUMMYFUNCTION("""COMPUTED_VALUE"""),"USA")</f>
        <v>USA</v>
      </c>
      <c r="G1317" s="1" t="str">
        <f ca="1">IFERROR(__xludf.DUMMYFUNCTION("""COMPUTED_VALUE"""),"4.25 USA")</f>
        <v>4.25 USA</v>
      </c>
      <c r="H1317" s="1" t="str">
        <f ca="1">IFERROR(__xludf.DUMMYFUNCTION("""COMPUTED_VALUE"""),"Individuals At Risk, Refugee and Migrant Rights")</f>
        <v>Individuals At Risk, Refugee and Migrant Rights</v>
      </c>
      <c r="I1317" s="1" t="str">
        <f ca="1">IFERROR(__xludf.DUMMYFUNCTION("""COMPUTED_VALUE"""),"2025")</f>
        <v>2025</v>
      </c>
      <c r="J1317" s="1" t="str">
        <f ca="1">IFERROR(__xludf.DUMMYFUNCTION("""COMPUTED_VALUE"""),"Letter")</f>
        <v>Letter</v>
      </c>
    </row>
    <row r="1318" spans="1:10" ht="13" x14ac:dyDescent="0.15">
      <c r="A1318" s="4">
        <f ca="1">IFERROR(__xludf.DUMMYFUNCTION("""COMPUTED_VALUE"""),120113464)</f>
        <v>120113464</v>
      </c>
      <c r="B1318" s="1" t="str">
        <f ca="1">IFERROR(__xludf.DUMMYFUNCTION("""COMPUTED_VALUE"""),"jagsingh@comcast.net")</f>
        <v>jagsingh@comcast.net</v>
      </c>
      <c r="C1318" s="4" t="str">
        <f ca="1">IFERROR(__xludf.DUMMYFUNCTION("""COMPUTED_VALUE"""),"EVERGREEN - UAN Gated Content - Embedded Petition")</f>
        <v>EVERGREEN - UAN Gated Content - Embedded Petition</v>
      </c>
      <c r="D1318" s="5">
        <f ca="1">IFERROR(__xludf.DUMMYFUNCTION("""COMPUTED_VALUE"""),45664)</f>
        <v>45664</v>
      </c>
      <c r="F1318" s="1" t="str">
        <f ca="1">IFERROR(__xludf.DUMMYFUNCTION("""COMPUTED_VALUE"""),"Tunisia")</f>
        <v>Tunisia</v>
      </c>
      <c r="G1318" s="1" t="str">
        <f ca="1">IFERROR(__xludf.DUMMYFUNCTION("""COMPUTED_VALUE"""),"Second 76.24 Tunisia")</f>
        <v>Second 76.24 Tunisia</v>
      </c>
      <c r="H1318" s="1" t="str">
        <f ca="1">IFERROR(__xludf.DUMMYFUNCTION("""COMPUTED_VALUE"""),"Freedom of Expression, Human Rights Defenders")</f>
        <v>Freedom of Expression, Human Rights Defenders</v>
      </c>
      <c r="I1318" s="1" t="str">
        <f ca="1">IFERROR(__xludf.DUMMYFUNCTION("""COMPUTED_VALUE"""),"2025")</f>
        <v>2025</v>
      </c>
      <c r="J1318" s="1" t="str">
        <f ca="1">IFERROR(__xludf.DUMMYFUNCTION("""COMPUTED_VALUE"""),"Email")</f>
        <v>Email</v>
      </c>
    </row>
    <row r="1319" spans="1:10" ht="13" x14ac:dyDescent="0.15">
      <c r="A1319" s="4">
        <f ca="1">IFERROR(__xludf.DUMMYFUNCTION("""COMPUTED_VALUE"""),120113464)</f>
        <v>120113464</v>
      </c>
      <c r="B1319" s="1" t="str">
        <f ca="1">IFERROR(__xludf.DUMMYFUNCTION("""COMPUTED_VALUE"""),"jagsingh@comcast.net")</f>
        <v>jagsingh@comcast.net</v>
      </c>
      <c r="C1319" s="4" t="str">
        <f ca="1">IFERROR(__xludf.DUMMYFUNCTION("""COMPUTED_VALUE"""),"EVERGREEN - UAN Gated Content - Embedded Petition")</f>
        <v>EVERGREEN - UAN Gated Content - Embedded Petition</v>
      </c>
      <c r="D1319" s="5">
        <f ca="1">IFERROR(__xludf.DUMMYFUNCTION("""COMPUTED_VALUE"""),45665)</f>
        <v>45665</v>
      </c>
      <c r="F1319" s="1" t="str">
        <f ca="1">IFERROR(__xludf.DUMMYFUNCTION("""COMPUTED_VALUE"""),"USA")</f>
        <v>USA</v>
      </c>
      <c r="G1319" s="1" t="str">
        <f ca="1">IFERROR(__xludf.DUMMYFUNCTION("""COMPUTED_VALUE"""),"4.25 USA")</f>
        <v>4.25 USA</v>
      </c>
      <c r="H1319" s="1" t="str">
        <f ca="1">IFERROR(__xludf.DUMMYFUNCTION("""COMPUTED_VALUE"""),"Individuals At Risk, Refugee and Migrant Rights")</f>
        <v>Individuals At Risk, Refugee and Migrant Rights</v>
      </c>
      <c r="I1319" s="1" t="str">
        <f ca="1">IFERROR(__xludf.DUMMYFUNCTION("""COMPUTED_VALUE"""),"2025")</f>
        <v>2025</v>
      </c>
      <c r="J1319" s="1" t="str">
        <f ca="1">IFERROR(__xludf.DUMMYFUNCTION("""COMPUTED_VALUE"""),"Letter")</f>
        <v>Letter</v>
      </c>
    </row>
    <row r="1320" spans="1:10" ht="13" x14ac:dyDescent="0.15">
      <c r="A1320" s="4">
        <f ca="1">IFERROR(__xludf.DUMMYFUNCTION("""COMPUTED_VALUE"""),120113464)</f>
        <v>120113464</v>
      </c>
      <c r="B1320" s="1" t="str">
        <f ca="1">IFERROR(__xludf.DUMMYFUNCTION("""COMPUTED_VALUE"""),"jagsingh@comcast.net")</f>
        <v>jagsingh@comcast.net</v>
      </c>
      <c r="C1320" s="4" t="str">
        <f ca="1">IFERROR(__xludf.DUMMYFUNCTION("""COMPUTED_VALUE"""),"EVERGREEN - UAN Gated Content - Embedded Petition")</f>
        <v>EVERGREEN - UAN Gated Content - Embedded Petition</v>
      </c>
      <c r="D1320" s="5">
        <f ca="1">IFERROR(__xludf.DUMMYFUNCTION("""COMPUTED_VALUE"""),45667)</f>
        <v>45667</v>
      </c>
      <c r="F1320" s="1" t="str">
        <f ca="1">IFERROR(__xludf.DUMMYFUNCTION("""COMPUTED_VALUE"""),"Iran")</f>
        <v>Iran</v>
      </c>
      <c r="G1320" s="1" t="str">
        <f ca="1">IFERROR(__xludf.DUMMYFUNCTION("""COMPUTED_VALUE"""),"10.25 Iran")</f>
        <v>10.25 Iran</v>
      </c>
      <c r="H1320" s="1" t="str">
        <f ca="1">IFERROR(__xludf.DUMMYFUNCTION("""COMPUTED_VALUE"""),"Death Penalty, Individuals At Risk")</f>
        <v>Death Penalty, Individuals At Risk</v>
      </c>
      <c r="I1320" s="1" t="str">
        <f ca="1">IFERROR(__xludf.DUMMYFUNCTION("""COMPUTED_VALUE"""),"2025")</f>
        <v>2025</v>
      </c>
      <c r="J1320" s="1" t="str">
        <f ca="1">IFERROR(__xludf.DUMMYFUNCTION("""COMPUTED_VALUE"""),"Email")</f>
        <v>Email</v>
      </c>
    </row>
    <row r="1321" spans="1:10" ht="13" x14ac:dyDescent="0.15">
      <c r="A1321" s="4">
        <f ca="1">IFERROR(__xludf.DUMMYFUNCTION("""COMPUTED_VALUE"""),120113464)</f>
        <v>120113464</v>
      </c>
      <c r="B1321" s="1" t="str">
        <f ca="1">IFERROR(__xludf.DUMMYFUNCTION("""COMPUTED_VALUE"""),"jagsingh@comcast.net")</f>
        <v>jagsingh@comcast.net</v>
      </c>
      <c r="C1321" s="4" t="str">
        <f ca="1">IFERROR(__xludf.DUMMYFUNCTION("""COMPUTED_VALUE"""),"EVERGREEN - UAN Gated Content - Embedded Petition")</f>
        <v>EVERGREEN - UAN Gated Content - Embedded Petition</v>
      </c>
      <c r="D1321" s="5">
        <f ca="1">IFERROR(__xludf.DUMMYFUNCTION("""COMPUTED_VALUE"""),45667)</f>
        <v>45667</v>
      </c>
      <c r="F1321" s="1" t="str">
        <f ca="1">IFERROR(__xludf.DUMMYFUNCTION("""COMPUTED_VALUE"""),"Saudi Arabia")</f>
        <v>Saudi Arabia</v>
      </c>
      <c r="G1321" s="1" t="str">
        <f ca="1">IFERROR(__xludf.DUMMYFUNCTION("""COMPUTED_VALUE"""),"Fifth 257.12")</f>
        <v>Fifth 257.12</v>
      </c>
      <c r="H1321" s="1" t="str">
        <f ca="1">IFERROR(__xludf.DUMMYFUNCTION("""COMPUTED_VALUE"""),"Freedom of Expression, Human Rights Defenders")</f>
        <v>Freedom of Expression, Human Rights Defenders</v>
      </c>
      <c r="I1321" s="1" t="str">
        <f ca="1">IFERROR(__xludf.DUMMYFUNCTION("""COMPUTED_VALUE"""),"2025")</f>
        <v>2025</v>
      </c>
      <c r="J1321" s="1" t="str">
        <f ca="1">IFERROR(__xludf.DUMMYFUNCTION("""COMPUTED_VALUE"""),"Email")</f>
        <v>Email</v>
      </c>
    </row>
    <row r="1322" spans="1:10" ht="13" x14ac:dyDescent="0.15">
      <c r="A1322" s="4">
        <f ca="1">IFERROR(__xludf.DUMMYFUNCTION("""COMPUTED_VALUE"""),120113464)</f>
        <v>120113464</v>
      </c>
      <c r="B1322" s="1" t="str">
        <f ca="1">IFERROR(__xludf.DUMMYFUNCTION("""COMPUTED_VALUE"""),"jagsingh@comcast.net")</f>
        <v>jagsingh@comcast.net</v>
      </c>
      <c r="C1322" s="4" t="str">
        <f ca="1">IFERROR(__xludf.DUMMYFUNCTION("""COMPUTED_VALUE"""),"EVERGREEN - UAN Gated Content - Embedded Petition")</f>
        <v>EVERGREEN - UAN Gated Content - Embedded Petition</v>
      </c>
      <c r="D1322" s="5">
        <f ca="1">IFERROR(__xludf.DUMMYFUNCTION("""COMPUTED_VALUE"""),45636)</f>
        <v>45636</v>
      </c>
      <c r="F1322" s="1" t="str">
        <f ca="1">IFERROR(__xludf.DUMMYFUNCTION("""COMPUTED_VALUE"""),"Libya")</f>
        <v>Libya</v>
      </c>
      <c r="G1322" s="1" t="str">
        <f ca="1">IFERROR(__xludf.DUMMYFUNCTION("""COMPUTED_VALUE"""),"12.25 Libya")</f>
        <v>12.25 Libya</v>
      </c>
      <c r="H1322" s="1" t="str">
        <f ca="1">IFERROR(__xludf.DUMMYFUNCTION("""COMPUTED_VALUE"""),"Freedom of Expression, Health, Individuals At Risk")</f>
        <v>Freedom of Expression, Health, Individuals At Risk</v>
      </c>
      <c r="I1322" s="1" t="str">
        <f ca="1">IFERROR(__xludf.DUMMYFUNCTION("""COMPUTED_VALUE"""),"2025")</f>
        <v>2025</v>
      </c>
      <c r="J1322" s="1" t="str">
        <f ca="1">IFERROR(__xludf.DUMMYFUNCTION("""COMPUTED_VALUE"""),"Email")</f>
        <v>Email</v>
      </c>
    </row>
    <row r="1323" spans="1:10" ht="13" x14ac:dyDescent="0.15">
      <c r="A1323" s="4">
        <f ca="1">IFERROR(__xludf.DUMMYFUNCTION("""COMPUTED_VALUE"""),120113464)</f>
        <v>120113464</v>
      </c>
      <c r="B1323" s="1" t="str">
        <f ca="1">IFERROR(__xludf.DUMMYFUNCTION("""COMPUTED_VALUE"""),"jagsingh@comcast.net")</f>
        <v>jagsingh@comcast.net</v>
      </c>
      <c r="C1323" s="4" t="str">
        <f ca="1">IFERROR(__xludf.DUMMYFUNCTION("""COMPUTED_VALUE"""),"EVERGREEN - UAN Gated Content - Embedded Petition")</f>
        <v>EVERGREEN - UAN Gated Content - Embedded Petition</v>
      </c>
      <c r="D1323" s="5">
        <f ca="1">IFERROR(__xludf.DUMMYFUNCTION("""COMPUTED_VALUE"""),45672)</f>
        <v>45672</v>
      </c>
      <c r="F1323" s="1" t="str">
        <f ca="1">IFERROR(__xludf.DUMMYFUNCTION("""COMPUTED_VALUE"""),"Tunisia")</f>
        <v>Tunisia</v>
      </c>
      <c r="G1323" s="1" t="str">
        <f ca="1">IFERROR(__xludf.DUMMYFUNCTION("""COMPUTED_VALUE"""),"Second 76.24 Tunisia")</f>
        <v>Second 76.24 Tunisia</v>
      </c>
      <c r="H1323" s="1" t="str">
        <f ca="1">IFERROR(__xludf.DUMMYFUNCTION("""COMPUTED_VALUE"""),"Freedom of Expression, Human Rights Defenders")</f>
        <v>Freedom of Expression, Human Rights Defenders</v>
      </c>
      <c r="I1323" s="1" t="str">
        <f ca="1">IFERROR(__xludf.DUMMYFUNCTION("""COMPUTED_VALUE"""),"2025")</f>
        <v>2025</v>
      </c>
      <c r="J1323" s="1" t="str">
        <f ca="1">IFERROR(__xludf.DUMMYFUNCTION("""COMPUTED_VALUE"""),"Email")</f>
        <v>Email</v>
      </c>
    </row>
    <row r="1324" spans="1:10" ht="13" x14ac:dyDescent="0.15">
      <c r="A1324" s="4">
        <f ca="1">IFERROR(__xludf.DUMMYFUNCTION("""COMPUTED_VALUE"""),120113464)</f>
        <v>120113464</v>
      </c>
      <c r="B1324" s="1" t="str">
        <f ca="1">IFERROR(__xludf.DUMMYFUNCTION("""COMPUTED_VALUE"""),"jagsingh@comcast.net")</f>
        <v>jagsingh@comcast.net</v>
      </c>
      <c r="C1324" s="4" t="str">
        <f ca="1">IFERROR(__xludf.DUMMYFUNCTION("""COMPUTED_VALUE"""),"EVERGREEN - UAN Gated Content - Embedded Petition")</f>
        <v>EVERGREEN - UAN Gated Content - Embedded Petition</v>
      </c>
      <c r="D1324" s="5">
        <f ca="1">IFERROR(__xludf.DUMMYFUNCTION("""COMPUTED_VALUE"""),45637)</f>
        <v>45637</v>
      </c>
      <c r="F1324" s="1" t="str">
        <f ca="1">IFERROR(__xludf.DUMMYFUNCTION("""COMPUTED_VALUE"""),"Tunisia")</f>
        <v>Tunisia</v>
      </c>
      <c r="G1324" s="1" t="str">
        <f ca="1">IFERROR(__xludf.DUMMYFUNCTION("""COMPUTED_VALUE"""),"Second 76.24 Tunisia")</f>
        <v>Second 76.24 Tunisia</v>
      </c>
      <c r="H1324" s="1" t="str">
        <f ca="1">IFERROR(__xludf.DUMMYFUNCTION("""COMPUTED_VALUE"""),"Freedom of Expression, Human Rights Defenders")</f>
        <v>Freedom of Expression, Human Rights Defenders</v>
      </c>
      <c r="I1324" s="1" t="str">
        <f ca="1">IFERROR(__xludf.DUMMYFUNCTION("""COMPUTED_VALUE"""),"2025")</f>
        <v>2025</v>
      </c>
      <c r="J1324" s="1" t="str">
        <f ca="1">IFERROR(__xludf.DUMMYFUNCTION("""COMPUTED_VALUE"""),"Email")</f>
        <v>Email</v>
      </c>
    </row>
    <row r="1325" spans="1:10" ht="13" x14ac:dyDescent="0.15">
      <c r="A1325" s="4">
        <f ca="1">IFERROR(__xludf.DUMMYFUNCTION("""COMPUTED_VALUE"""),120113464)</f>
        <v>120113464</v>
      </c>
      <c r="B1325" s="1" t="str">
        <f ca="1">IFERROR(__xludf.DUMMYFUNCTION("""COMPUTED_VALUE"""),"jagsingh@comcast.net")</f>
        <v>jagsingh@comcast.net</v>
      </c>
      <c r="C1325" s="4" t="str">
        <f ca="1">IFERROR(__xludf.DUMMYFUNCTION("""COMPUTED_VALUE"""),"EVERGREEN - UAN Gated Content - Embedded Petition")</f>
        <v>EVERGREEN - UAN Gated Content - Embedded Petition</v>
      </c>
      <c r="D1325" s="5">
        <f ca="1">IFERROR(__xludf.DUMMYFUNCTION("""COMPUTED_VALUE"""),45637)</f>
        <v>45637</v>
      </c>
      <c r="F1325" s="1" t="str">
        <f ca="1">IFERROR(__xludf.DUMMYFUNCTION("""COMPUTED_VALUE"""),"USA")</f>
        <v>USA</v>
      </c>
      <c r="G1325" s="1" t="str">
        <f ca="1">IFERROR(__xludf.DUMMYFUNCTION("""COMPUTED_VALUE"""),"4.25 USA")</f>
        <v>4.25 USA</v>
      </c>
      <c r="H1325" s="1" t="str">
        <f ca="1">IFERROR(__xludf.DUMMYFUNCTION("""COMPUTED_VALUE"""),"Individuals At Risk, Refugee and Migrant Rights")</f>
        <v>Individuals At Risk, Refugee and Migrant Rights</v>
      </c>
      <c r="I1325" s="1" t="str">
        <f ca="1">IFERROR(__xludf.DUMMYFUNCTION("""COMPUTED_VALUE"""),"2025")</f>
        <v>2025</v>
      </c>
      <c r="J1325" s="1" t="str">
        <f ca="1">IFERROR(__xludf.DUMMYFUNCTION("""COMPUTED_VALUE"""),"Letter")</f>
        <v>Letter</v>
      </c>
    </row>
    <row r="1326" spans="1:10" ht="13" x14ac:dyDescent="0.15">
      <c r="A1326" s="4">
        <f ca="1">IFERROR(__xludf.DUMMYFUNCTION("""COMPUTED_VALUE"""),120113464)</f>
        <v>120113464</v>
      </c>
      <c r="B1326" s="1" t="str">
        <f ca="1">IFERROR(__xludf.DUMMYFUNCTION("""COMPUTED_VALUE"""),"jagsingh@comcast.net")</f>
        <v>jagsingh@comcast.net</v>
      </c>
      <c r="C1326" s="4" t="str">
        <f ca="1">IFERROR(__xludf.DUMMYFUNCTION("""COMPUTED_VALUE"""),"EVERGREEN - UAN Gated Content - Embedded Petition")</f>
        <v>EVERGREEN - UAN Gated Content - Embedded Petition</v>
      </c>
      <c r="D1326" s="5">
        <f ca="1">IFERROR(__xludf.DUMMYFUNCTION("""COMPUTED_VALUE"""),45640)</f>
        <v>45640</v>
      </c>
      <c r="F1326" s="1" t="str">
        <f ca="1">IFERROR(__xludf.DUMMYFUNCTION("""COMPUTED_VALUE"""),"Iran")</f>
        <v>Iran</v>
      </c>
      <c r="G1326" s="1" t="str">
        <f ca="1">IFERROR(__xludf.DUMMYFUNCTION("""COMPUTED_VALUE"""),"Seventh 103.22 Iran")</f>
        <v>Seventh 103.22 Iran</v>
      </c>
      <c r="H1326" s="1" t="str">
        <f ca="1">IFERROR(__xludf.DUMMYFUNCTION("""COMPUTED_VALUE"""),"Death Penalty, Freedom of Expression, Individuals At Risk")</f>
        <v>Death Penalty, Freedom of Expression, Individuals At Risk</v>
      </c>
      <c r="I1326" s="1" t="str">
        <f ca="1">IFERROR(__xludf.DUMMYFUNCTION("""COMPUTED_VALUE"""),"2024")</f>
        <v>2024</v>
      </c>
      <c r="J1326" s="1" t="str">
        <f ca="1">IFERROR(__xludf.DUMMYFUNCTION("""COMPUTED_VALUE"""),"Email")</f>
        <v>Email</v>
      </c>
    </row>
    <row r="1327" spans="1:10" ht="13" x14ac:dyDescent="0.15">
      <c r="A1327" s="4">
        <f ca="1">IFERROR(__xludf.DUMMYFUNCTION("""COMPUTED_VALUE"""),120113464)</f>
        <v>120113464</v>
      </c>
      <c r="B1327" s="1" t="str">
        <f ca="1">IFERROR(__xludf.DUMMYFUNCTION("""COMPUTED_VALUE"""),"jagsingh@comcast.net")</f>
        <v>jagsingh@comcast.net</v>
      </c>
      <c r="C1327" s="4" t="str">
        <f ca="1">IFERROR(__xludf.DUMMYFUNCTION("""COMPUTED_VALUE"""),"EVERGREEN - UAN Gated Content - Embedded Petition")</f>
        <v>EVERGREEN - UAN Gated Content - Embedded Petition</v>
      </c>
      <c r="D1327" s="5">
        <f ca="1">IFERROR(__xludf.DUMMYFUNCTION("""COMPUTED_VALUE"""),45640)</f>
        <v>45640</v>
      </c>
      <c r="F1327" s="1" t="str">
        <f ca="1">IFERROR(__xludf.DUMMYFUNCTION("""COMPUTED_VALUE"""),"Israel and Occupied Palestinian Territories")</f>
        <v>Israel and Occupied Palestinian Territories</v>
      </c>
      <c r="G1327" s="1" t="str">
        <f ca="1">IFERROR(__xludf.DUMMYFUNCTION("""COMPUTED_VALUE"""),"3.25 IOPT")</f>
        <v>3.25 IOPT</v>
      </c>
      <c r="H1327" s="1" t="str">
        <f ca="1">IFERROR(__xludf.DUMMYFUNCTION("""COMPUTED_VALUE"""),"Freedom of Expression, Individuals At Risk")</f>
        <v>Freedom of Expression, Individuals At Risk</v>
      </c>
      <c r="I1327" s="1" t="str">
        <f ca="1">IFERROR(__xludf.DUMMYFUNCTION("""COMPUTED_VALUE"""),"2025")</f>
        <v>2025</v>
      </c>
      <c r="J1327" s="1" t="str">
        <f ca="1">IFERROR(__xludf.DUMMYFUNCTION("""COMPUTED_VALUE"""),"Email")</f>
        <v>Email</v>
      </c>
    </row>
    <row r="1328" spans="1:10" ht="13" x14ac:dyDescent="0.15">
      <c r="A1328" s="4">
        <f ca="1">IFERROR(__xludf.DUMMYFUNCTION("""COMPUTED_VALUE"""),120113492)</f>
        <v>120113492</v>
      </c>
      <c r="B1328" s="1" t="str">
        <f ca="1">IFERROR(__xludf.DUMMYFUNCTION("""COMPUTED_VALUE"""),"elagamytarek@yahoo.com")</f>
        <v>elagamytarek@yahoo.com</v>
      </c>
      <c r="C1328" s="4" t="str">
        <f ca="1">IFERROR(__xludf.DUMMYFUNCTION("""COMPUTED_VALUE"""),"EVERGREEN - UAN Gated Content - Embedded Petition")</f>
        <v>EVERGREEN - UAN Gated Content - Embedded Petition</v>
      </c>
      <c r="D1328" s="5">
        <f ca="1">IFERROR(__xludf.DUMMYFUNCTION("""COMPUTED_VALUE"""),45694)</f>
        <v>45694</v>
      </c>
      <c r="F1328" s="1" t="str">
        <f ca="1">IFERROR(__xludf.DUMMYFUNCTION("""COMPUTED_VALUE"""),"Tunisia")</f>
        <v>Tunisia</v>
      </c>
      <c r="G1328" s="1" t="str">
        <f ca="1">IFERROR(__xludf.DUMMYFUNCTION("""COMPUTED_VALUE"""),"Second 76.24 Tunisia")</f>
        <v>Second 76.24 Tunisia</v>
      </c>
      <c r="H1328" s="1" t="str">
        <f ca="1">IFERROR(__xludf.DUMMYFUNCTION("""COMPUTED_VALUE"""),"Freedom of Expression, Human Rights Defenders")</f>
        <v>Freedom of Expression, Human Rights Defenders</v>
      </c>
      <c r="I1328" s="1" t="str">
        <f ca="1">IFERROR(__xludf.DUMMYFUNCTION("""COMPUTED_VALUE"""),"2025")</f>
        <v>2025</v>
      </c>
      <c r="J1328" s="1" t="str">
        <f ca="1">IFERROR(__xludf.DUMMYFUNCTION("""COMPUTED_VALUE"""),"Email")</f>
        <v>Email</v>
      </c>
    </row>
    <row r="1329" spans="1:10" ht="13" x14ac:dyDescent="0.15">
      <c r="A1329" s="4">
        <f ca="1">IFERROR(__xludf.DUMMYFUNCTION("""COMPUTED_VALUE"""),120418912)</f>
        <v>120418912</v>
      </c>
      <c r="B1329" s="1" t="str">
        <f ca="1">IFERROR(__xludf.DUMMYFUNCTION("""COMPUTED_VALUE"""),"jimcorriere@yahoo.com")</f>
        <v>jimcorriere@yahoo.com</v>
      </c>
      <c r="C1329" s="4" t="str">
        <f ca="1">IFERROR(__xludf.DUMMYFUNCTION("""COMPUTED_VALUE"""),"EVERGREEN - UAN Gated Content - Embedded Petition")</f>
        <v>EVERGREEN - UAN Gated Content - Embedded Petition</v>
      </c>
      <c r="D1329" s="5">
        <f ca="1">IFERROR(__xludf.DUMMYFUNCTION("""COMPUTED_VALUE"""),45694)</f>
        <v>45694</v>
      </c>
      <c r="F1329" s="1" t="str">
        <f ca="1">IFERROR(__xludf.DUMMYFUNCTION("""COMPUTED_VALUE"""),"Tunisia")</f>
        <v>Tunisia</v>
      </c>
      <c r="G1329" s="1" t="str">
        <f ca="1">IFERROR(__xludf.DUMMYFUNCTION("""COMPUTED_VALUE"""),"Second 76.24 Tunisia")</f>
        <v>Second 76.24 Tunisia</v>
      </c>
      <c r="H1329" s="1" t="str">
        <f ca="1">IFERROR(__xludf.DUMMYFUNCTION("""COMPUTED_VALUE"""),"Freedom of Expression, Human Rights Defenders")</f>
        <v>Freedom of Expression, Human Rights Defenders</v>
      </c>
      <c r="I1329" s="1" t="str">
        <f ca="1">IFERROR(__xludf.DUMMYFUNCTION("""COMPUTED_VALUE"""),"2025")</f>
        <v>2025</v>
      </c>
      <c r="J1329" s="1" t="str">
        <f ca="1">IFERROR(__xludf.DUMMYFUNCTION("""COMPUTED_VALUE"""),"Email")</f>
        <v>Email</v>
      </c>
    </row>
    <row r="1330" spans="1:10" ht="13" x14ac:dyDescent="0.15">
      <c r="A1330" s="4">
        <f ca="1">IFERROR(__xludf.DUMMYFUNCTION("""COMPUTED_VALUE"""),120578233)</f>
        <v>120578233</v>
      </c>
      <c r="B1330" s="1" t="str">
        <f ca="1">IFERROR(__xludf.DUMMYFUNCTION("""COMPUTED_VALUE"""),"csimonian@fastmail.net")</f>
        <v>csimonian@fastmail.net</v>
      </c>
      <c r="C1330" s="4" t="str">
        <f ca="1">IFERROR(__xludf.DUMMYFUNCTION("""COMPUTED_VALUE"""),"EVERGREEN - UAN Gated Content - Embedded Petition")</f>
        <v>EVERGREEN - UAN Gated Content - Embedded Petition</v>
      </c>
      <c r="D1330" s="5">
        <f ca="1">IFERROR(__xludf.DUMMYFUNCTION("""COMPUTED_VALUE"""),45690)</f>
        <v>45690</v>
      </c>
      <c r="F1330" s="1" t="str">
        <f ca="1">IFERROR(__xludf.DUMMYFUNCTION("""COMPUTED_VALUE"""),"Venezuela")</f>
        <v>Venezuela</v>
      </c>
      <c r="G1330" s="1" t="str">
        <f ca="1">IFERROR(__xludf.DUMMYFUNCTION("""COMPUTED_VALUE"""),"1.25 Venezuela")</f>
        <v>1.25 Venezuela</v>
      </c>
      <c r="H1330" s="1" t="str">
        <f ca="1">IFERROR(__xludf.DUMMYFUNCTION("""COMPUTED_VALUE"""),"Human Rights Defenders, Individuals At Risk")</f>
        <v>Human Rights Defenders, Individuals At Risk</v>
      </c>
      <c r="I1330" s="1" t="str">
        <f ca="1">IFERROR(__xludf.DUMMYFUNCTION("""COMPUTED_VALUE"""),"2025")</f>
        <v>2025</v>
      </c>
      <c r="J1330" s="1" t="str">
        <f ca="1">IFERROR(__xludf.DUMMYFUNCTION("""COMPUTED_VALUE"""),"Letter")</f>
        <v>Letter</v>
      </c>
    </row>
    <row r="1331" spans="1:10" ht="13" x14ac:dyDescent="0.15">
      <c r="A1331" s="4">
        <f ca="1">IFERROR(__xludf.DUMMYFUNCTION("""COMPUTED_VALUE"""),120680752)</f>
        <v>120680752</v>
      </c>
      <c r="B1331" s="1" t="str">
        <f ca="1">IFERROR(__xludf.DUMMYFUNCTION("""COMPUTED_VALUE"""),"kwandawn@gmail.com")</f>
        <v>kwandawn@gmail.com</v>
      </c>
      <c r="C1331" s="4" t="str">
        <f ca="1">IFERROR(__xludf.DUMMYFUNCTION("""COMPUTED_VALUE"""),"EVERGREEN - UAN Gated Content - Embedded Petition")</f>
        <v>EVERGREEN - UAN Gated Content - Embedded Petition</v>
      </c>
      <c r="D1331" s="5">
        <f ca="1">IFERROR(__xludf.DUMMYFUNCTION("""COMPUTED_VALUE"""),45636)</f>
        <v>45636</v>
      </c>
      <c r="F1331" s="1" t="str">
        <f ca="1">IFERROR(__xludf.DUMMYFUNCTION("""COMPUTED_VALUE"""),"Tunisia")</f>
        <v>Tunisia</v>
      </c>
      <c r="G1331" s="1" t="str">
        <f ca="1">IFERROR(__xludf.DUMMYFUNCTION("""COMPUTED_VALUE"""),"Second 76.24 Tunisia")</f>
        <v>Second 76.24 Tunisia</v>
      </c>
      <c r="H1331" s="1" t="str">
        <f ca="1">IFERROR(__xludf.DUMMYFUNCTION("""COMPUTED_VALUE"""),"Freedom of Expression, Human Rights Defenders")</f>
        <v>Freedom of Expression, Human Rights Defenders</v>
      </c>
      <c r="I1331" s="1" t="str">
        <f ca="1">IFERROR(__xludf.DUMMYFUNCTION("""COMPUTED_VALUE"""),"2025")</f>
        <v>2025</v>
      </c>
      <c r="J1331" s="1" t="str">
        <f ca="1">IFERROR(__xludf.DUMMYFUNCTION("""COMPUTED_VALUE"""),"Email")</f>
        <v>Email</v>
      </c>
    </row>
    <row r="1332" spans="1:10" ht="13" x14ac:dyDescent="0.15">
      <c r="A1332" s="4">
        <f ca="1">IFERROR(__xludf.DUMMYFUNCTION("""COMPUTED_VALUE"""),120680752)</f>
        <v>120680752</v>
      </c>
      <c r="B1332" s="1" t="str">
        <f ca="1">IFERROR(__xludf.DUMMYFUNCTION("""COMPUTED_VALUE"""),"kwandawn@gmail.com")</f>
        <v>kwandawn@gmail.com</v>
      </c>
      <c r="C1332" s="4" t="str">
        <f ca="1">IFERROR(__xludf.DUMMYFUNCTION("""COMPUTED_VALUE"""),"EVERGREEN - UAN Gated Content - Embedded Petition")</f>
        <v>EVERGREEN - UAN Gated Content - Embedded Petition</v>
      </c>
      <c r="D1332" s="5">
        <f ca="1">IFERROR(__xludf.DUMMYFUNCTION("""COMPUTED_VALUE"""),45643)</f>
        <v>45643</v>
      </c>
      <c r="F1332" s="1" t="str">
        <f ca="1">IFERROR(__xludf.DUMMYFUNCTION("""COMPUTED_VALUE"""),"USA")</f>
        <v>USA</v>
      </c>
      <c r="G1332" s="1" t="str">
        <f ca="1">IFERROR(__xludf.DUMMYFUNCTION("""COMPUTED_VALUE"""),"4.25 USA")</f>
        <v>4.25 USA</v>
      </c>
      <c r="H1332" s="1" t="str">
        <f ca="1">IFERROR(__xludf.DUMMYFUNCTION("""COMPUTED_VALUE"""),"Individuals At Risk, Refugee and Migrant Rights")</f>
        <v>Individuals At Risk, Refugee and Migrant Rights</v>
      </c>
      <c r="I1332" s="1" t="str">
        <f ca="1">IFERROR(__xludf.DUMMYFUNCTION("""COMPUTED_VALUE"""),"2025")</f>
        <v>2025</v>
      </c>
      <c r="J1332" s="1" t="str">
        <f ca="1">IFERROR(__xludf.DUMMYFUNCTION("""COMPUTED_VALUE"""),"Letter")</f>
        <v>Letter</v>
      </c>
    </row>
    <row r="1333" spans="1:10" ht="13" x14ac:dyDescent="0.15">
      <c r="A1333" s="4">
        <f ca="1">IFERROR(__xludf.DUMMYFUNCTION("""COMPUTED_VALUE"""),120680752)</f>
        <v>120680752</v>
      </c>
      <c r="B1333" s="1" t="str">
        <f ca="1">IFERROR(__xludf.DUMMYFUNCTION("""COMPUTED_VALUE"""),"kwandawn@gmail.com")</f>
        <v>kwandawn@gmail.com</v>
      </c>
      <c r="C1333" s="4" t="str">
        <f ca="1">IFERROR(__xludf.DUMMYFUNCTION("""COMPUTED_VALUE"""),"EVERGREEN - UAN Gated Content - Embedded Petition")</f>
        <v>EVERGREEN - UAN Gated Content - Embedded Petition</v>
      </c>
      <c r="D1333" s="5">
        <f ca="1">IFERROR(__xludf.DUMMYFUNCTION("""COMPUTED_VALUE"""),45673)</f>
        <v>45673</v>
      </c>
      <c r="F1333" s="1" t="str">
        <f ca="1">IFERROR(__xludf.DUMMYFUNCTION("""COMPUTED_VALUE"""),"USA")</f>
        <v>USA</v>
      </c>
      <c r="G1333" s="1" t="str">
        <f ca="1">IFERROR(__xludf.DUMMYFUNCTION("""COMPUTED_VALUE"""),"4.25 USA")</f>
        <v>4.25 USA</v>
      </c>
      <c r="H1333" s="1" t="str">
        <f ca="1">IFERROR(__xludf.DUMMYFUNCTION("""COMPUTED_VALUE"""),"Individuals At Risk, Refugee and Migrant Rights")</f>
        <v>Individuals At Risk, Refugee and Migrant Rights</v>
      </c>
      <c r="I1333" s="1" t="str">
        <f ca="1">IFERROR(__xludf.DUMMYFUNCTION("""COMPUTED_VALUE"""),"2025")</f>
        <v>2025</v>
      </c>
      <c r="J1333" s="1" t="str">
        <f ca="1">IFERROR(__xludf.DUMMYFUNCTION("""COMPUTED_VALUE"""),"Letter")</f>
        <v>Letter</v>
      </c>
    </row>
    <row r="1334" spans="1:10" ht="13" x14ac:dyDescent="0.15">
      <c r="A1334" s="4">
        <f ca="1">IFERROR(__xludf.DUMMYFUNCTION("""COMPUTED_VALUE"""),121280949)</f>
        <v>121280949</v>
      </c>
      <c r="B1334" s="1" t="str">
        <f ca="1">IFERROR(__xludf.DUMMYFUNCTION("""COMPUTED_VALUE"""),"bha19@comcast.net")</f>
        <v>bha19@comcast.net</v>
      </c>
      <c r="C1334" s="4" t="str">
        <f ca="1">IFERROR(__xludf.DUMMYFUNCTION("""COMPUTED_VALUE"""),"EVERGREEN - UAN Gated Content - Embedded Petition")</f>
        <v>EVERGREEN - UAN Gated Content - Embedded Petition</v>
      </c>
      <c r="D1334" s="5">
        <f ca="1">IFERROR(__xludf.DUMMYFUNCTION("""COMPUTED_VALUE"""),45650)</f>
        <v>45650</v>
      </c>
      <c r="F1334" s="1" t="str">
        <f ca="1">IFERROR(__xludf.DUMMYFUNCTION("""COMPUTED_VALUE"""),"Tunisia")</f>
        <v>Tunisia</v>
      </c>
      <c r="G1334" s="1" t="str">
        <f ca="1">IFERROR(__xludf.DUMMYFUNCTION("""COMPUTED_VALUE"""),"Second 76.24 Tunisia")</f>
        <v>Second 76.24 Tunisia</v>
      </c>
      <c r="H1334" s="1" t="str">
        <f ca="1">IFERROR(__xludf.DUMMYFUNCTION("""COMPUTED_VALUE"""),"Freedom of Expression, Human Rights Defenders")</f>
        <v>Freedom of Expression, Human Rights Defenders</v>
      </c>
      <c r="I1334" s="1" t="str">
        <f ca="1">IFERROR(__xludf.DUMMYFUNCTION("""COMPUTED_VALUE"""),"2025")</f>
        <v>2025</v>
      </c>
      <c r="J1334" s="1" t="str">
        <f ca="1">IFERROR(__xludf.DUMMYFUNCTION("""COMPUTED_VALUE"""),"Email")</f>
        <v>Email</v>
      </c>
    </row>
    <row r="1335" spans="1:10" ht="13" x14ac:dyDescent="0.15">
      <c r="A1335" s="4">
        <f ca="1">IFERROR(__xludf.DUMMYFUNCTION("""COMPUTED_VALUE"""),121481416)</f>
        <v>121481416</v>
      </c>
      <c r="B1335" s="1" t="str">
        <f ca="1">IFERROR(__xludf.DUMMYFUNCTION("""COMPUTED_VALUE"""),"annemariesaxe@gmail.com")</f>
        <v>annemariesaxe@gmail.com</v>
      </c>
      <c r="C1335" s="4" t="str">
        <f ca="1">IFERROR(__xludf.DUMMYFUNCTION("""COMPUTED_VALUE"""),"EVERGREEN - UAN Gated Content - Embedded Petition")</f>
        <v>EVERGREEN - UAN Gated Content - Embedded Petition</v>
      </c>
      <c r="D1335" s="5">
        <f ca="1">IFERROR(__xludf.DUMMYFUNCTION("""COMPUTED_VALUE"""),45694)</f>
        <v>45694</v>
      </c>
      <c r="F1335" s="1" t="str">
        <f ca="1">IFERROR(__xludf.DUMMYFUNCTION("""COMPUTED_VALUE"""),"USA")</f>
        <v>USA</v>
      </c>
      <c r="G1335" s="1" t="str">
        <f ca="1">IFERROR(__xludf.DUMMYFUNCTION("""COMPUTED_VALUE"""),"4.25 USA")</f>
        <v>4.25 USA</v>
      </c>
      <c r="H1335" s="1" t="str">
        <f ca="1">IFERROR(__xludf.DUMMYFUNCTION("""COMPUTED_VALUE"""),"Individuals At Risk, Refugee and Migrant Rights")</f>
        <v>Individuals At Risk, Refugee and Migrant Rights</v>
      </c>
      <c r="I1335" s="1" t="str">
        <f ca="1">IFERROR(__xludf.DUMMYFUNCTION("""COMPUTED_VALUE"""),"2025")</f>
        <v>2025</v>
      </c>
      <c r="J1335" s="1" t="str">
        <f ca="1">IFERROR(__xludf.DUMMYFUNCTION("""COMPUTED_VALUE"""),"Letter")</f>
        <v>Letter</v>
      </c>
    </row>
    <row r="1336" spans="1:10" ht="13" x14ac:dyDescent="0.15">
      <c r="A1336" s="4">
        <f ca="1">IFERROR(__xludf.DUMMYFUNCTION("""COMPUTED_VALUE"""),121714432)</f>
        <v>121714432</v>
      </c>
      <c r="B1336" s="1" t="str">
        <f ca="1">IFERROR(__xludf.DUMMYFUNCTION("""COMPUTED_VALUE"""),"patience.robbins@gmail.com")</f>
        <v>patience.robbins@gmail.com</v>
      </c>
      <c r="C1336" s="4" t="str">
        <f ca="1">IFERROR(__xludf.DUMMYFUNCTION("""COMPUTED_VALUE"""),"EVERGREEN - UAN Gated Content - Embedded Petition")</f>
        <v>EVERGREEN - UAN Gated Content - Embedded Petition</v>
      </c>
      <c r="D1336" s="5">
        <f ca="1">IFERROR(__xludf.DUMMYFUNCTION("""COMPUTED_VALUE"""),45694)</f>
        <v>45694</v>
      </c>
      <c r="F1336" s="1" t="str">
        <f ca="1">IFERROR(__xludf.DUMMYFUNCTION("""COMPUTED_VALUE"""),"Iran")</f>
        <v>Iran</v>
      </c>
      <c r="G1336" s="1" t="str">
        <f ca="1">IFERROR(__xludf.DUMMYFUNCTION("""COMPUTED_VALUE"""),"Seventh 103.22 Iran")</f>
        <v>Seventh 103.22 Iran</v>
      </c>
      <c r="H1336" s="1" t="str">
        <f ca="1">IFERROR(__xludf.DUMMYFUNCTION("""COMPUTED_VALUE"""),"Death Penalty, Freedom of Expression, Individuals At Risk")</f>
        <v>Death Penalty, Freedom of Expression, Individuals At Risk</v>
      </c>
      <c r="I1336" s="1" t="str">
        <f ca="1">IFERROR(__xludf.DUMMYFUNCTION("""COMPUTED_VALUE"""),"2024")</f>
        <v>2024</v>
      </c>
      <c r="J1336" s="1" t="str">
        <f ca="1">IFERROR(__xludf.DUMMYFUNCTION("""COMPUTED_VALUE"""),"Email")</f>
        <v>Email</v>
      </c>
    </row>
    <row r="1337" spans="1:10" ht="13" x14ac:dyDescent="0.15">
      <c r="A1337" s="4">
        <f ca="1">IFERROR(__xludf.DUMMYFUNCTION("""COMPUTED_VALUE"""),121714432)</f>
        <v>121714432</v>
      </c>
      <c r="B1337" s="1" t="str">
        <f ca="1">IFERROR(__xludf.DUMMYFUNCTION("""COMPUTED_VALUE"""),"patience.robbins@gmail.com")</f>
        <v>patience.robbins@gmail.com</v>
      </c>
      <c r="C1337" s="4" t="str">
        <f ca="1">IFERROR(__xludf.DUMMYFUNCTION("""COMPUTED_VALUE"""),"EVERGREEN - UAN Gated Content - Embedded Petition")</f>
        <v>EVERGREEN - UAN Gated Content - Embedded Petition</v>
      </c>
      <c r="D1337" s="5">
        <f ca="1">IFERROR(__xludf.DUMMYFUNCTION("""COMPUTED_VALUE"""),45636)</f>
        <v>45636</v>
      </c>
      <c r="F1337" s="1" t="str">
        <f ca="1">IFERROR(__xludf.DUMMYFUNCTION("""COMPUTED_VALUE"""),"Niger")</f>
        <v>Niger</v>
      </c>
      <c r="G1337" s="1" t="str">
        <f ca="1">IFERROR(__xludf.DUMMYFUNCTION("""COMPUTED_VALUE"""),"103.24 Niger")</f>
        <v>103.24 Niger</v>
      </c>
      <c r="H1337" s="1" t="str">
        <f ca="1">IFERROR(__xludf.DUMMYFUNCTION("""COMPUTED_VALUE"""),"Freedom of Expression, Human Rights Defenders")</f>
        <v>Freedom of Expression, Human Rights Defenders</v>
      </c>
      <c r="I1337" s="1" t="str">
        <f ca="1">IFERROR(__xludf.DUMMYFUNCTION("""COMPUTED_VALUE"""),"2024")</f>
        <v>2024</v>
      </c>
      <c r="J1337" s="1" t="str">
        <f ca="1">IFERROR(__xludf.DUMMYFUNCTION("""COMPUTED_VALUE"""),"Email")</f>
        <v>Email</v>
      </c>
    </row>
    <row r="1338" spans="1:10" ht="13" x14ac:dyDescent="0.15">
      <c r="A1338" s="4">
        <f ca="1">IFERROR(__xludf.DUMMYFUNCTION("""COMPUTED_VALUE"""),122173299)</f>
        <v>122173299</v>
      </c>
      <c r="B1338" s="1" t="str">
        <f ca="1">IFERROR(__xludf.DUMMYFUNCTION("""COMPUTED_VALUE"""),"conderc@me.com")</f>
        <v>conderc@me.com</v>
      </c>
      <c r="C1338" s="4" t="str">
        <f ca="1">IFERROR(__xludf.DUMMYFUNCTION("""COMPUTED_VALUE"""),"EVERGREEN - UAN Gated Content - Embedded Petition")</f>
        <v>EVERGREEN - UAN Gated Content - Embedded Petition</v>
      </c>
      <c r="D1338" s="5">
        <f ca="1">IFERROR(__xludf.DUMMYFUNCTION("""COMPUTED_VALUE"""),45694)</f>
        <v>45694</v>
      </c>
      <c r="F1338" s="1" t="str">
        <f ca="1">IFERROR(__xludf.DUMMYFUNCTION("""COMPUTED_VALUE"""),"Niger")</f>
        <v>Niger</v>
      </c>
      <c r="G1338" s="1" t="str">
        <f ca="1">IFERROR(__xludf.DUMMYFUNCTION("""COMPUTED_VALUE"""),"103.24 Niger")</f>
        <v>103.24 Niger</v>
      </c>
      <c r="H1338" s="1" t="str">
        <f ca="1">IFERROR(__xludf.DUMMYFUNCTION("""COMPUTED_VALUE"""),"Freedom of Expression, Human Rights Defenders")</f>
        <v>Freedom of Expression, Human Rights Defenders</v>
      </c>
      <c r="I1338" s="1" t="str">
        <f ca="1">IFERROR(__xludf.DUMMYFUNCTION("""COMPUTED_VALUE"""),"2024")</f>
        <v>2024</v>
      </c>
      <c r="J1338" s="1" t="str">
        <f ca="1">IFERROR(__xludf.DUMMYFUNCTION("""COMPUTED_VALUE"""),"Email")</f>
        <v>Email</v>
      </c>
    </row>
    <row r="1339" spans="1:10" ht="13" x14ac:dyDescent="0.15">
      <c r="A1339" s="4">
        <f ca="1">IFERROR(__xludf.DUMMYFUNCTION("""COMPUTED_VALUE"""),122173299)</f>
        <v>122173299</v>
      </c>
      <c r="B1339" s="1" t="str">
        <f ca="1">IFERROR(__xludf.DUMMYFUNCTION("""COMPUTED_VALUE"""),"conderc@me.com")</f>
        <v>conderc@me.com</v>
      </c>
      <c r="C1339" s="4" t="str">
        <f ca="1">IFERROR(__xludf.DUMMYFUNCTION("""COMPUTED_VALUE"""),"EVERGREEN - UAN Gated Content - Embedded Petition")</f>
        <v>EVERGREEN - UAN Gated Content - Embedded Petition</v>
      </c>
      <c r="D1339" s="5">
        <f ca="1">IFERROR(__xludf.DUMMYFUNCTION("""COMPUTED_VALUE"""),45694)</f>
        <v>45694</v>
      </c>
      <c r="F1339" s="1" t="str">
        <f ca="1">IFERROR(__xludf.DUMMYFUNCTION("""COMPUTED_VALUE"""),"Tunisia")</f>
        <v>Tunisia</v>
      </c>
      <c r="G1339" s="1" t="str">
        <f ca="1">IFERROR(__xludf.DUMMYFUNCTION("""COMPUTED_VALUE"""),"Second 76.24 Tunisia")</f>
        <v>Second 76.24 Tunisia</v>
      </c>
      <c r="H1339" s="1" t="str">
        <f ca="1">IFERROR(__xludf.DUMMYFUNCTION("""COMPUTED_VALUE"""),"Freedom of Expression, Human Rights Defenders")</f>
        <v>Freedom of Expression, Human Rights Defenders</v>
      </c>
      <c r="I1339" s="1" t="str">
        <f ca="1">IFERROR(__xludf.DUMMYFUNCTION("""COMPUTED_VALUE"""),"2025")</f>
        <v>2025</v>
      </c>
      <c r="J1339" s="1" t="str">
        <f ca="1">IFERROR(__xludf.DUMMYFUNCTION("""COMPUTED_VALUE"""),"Email")</f>
        <v>Email</v>
      </c>
    </row>
    <row r="1340" spans="1:10" ht="13" x14ac:dyDescent="0.15">
      <c r="A1340" s="4">
        <f ca="1">IFERROR(__xludf.DUMMYFUNCTION("""COMPUTED_VALUE"""),122173299)</f>
        <v>122173299</v>
      </c>
      <c r="B1340" s="1" t="str">
        <f ca="1">IFERROR(__xludf.DUMMYFUNCTION("""COMPUTED_VALUE"""),"conderc@me.com")</f>
        <v>conderc@me.com</v>
      </c>
      <c r="C1340" s="4" t="str">
        <f ca="1">IFERROR(__xludf.DUMMYFUNCTION("""COMPUTED_VALUE"""),"EVERGREEN - UAN Gated Content - Embedded Petition")</f>
        <v>EVERGREEN - UAN Gated Content - Embedded Petition</v>
      </c>
      <c r="D1340" s="5">
        <f ca="1">IFERROR(__xludf.DUMMYFUNCTION("""COMPUTED_VALUE"""),45623)</f>
        <v>45623</v>
      </c>
      <c r="F1340" s="1" t="str">
        <f ca="1">IFERROR(__xludf.DUMMYFUNCTION("""COMPUTED_VALUE"""),"USA")</f>
        <v>USA</v>
      </c>
      <c r="G1340" s="1" t="str">
        <f ca="1">IFERROR(__xludf.DUMMYFUNCTION("""COMPUTED_VALUE"""),"96.24 USA")</f>
        <v>96.24 USA</v>
      </c>
      <c r="H1340" s="1" t="str">
        <f ca="1">IFERROR(__xludf.DUMMYFUNCTION("""COMPUTED_VALUE"""),"Death Penalty")</f>
        <v>Death Penalty</v>
      </c>
      <c r="I1340" s="1" t="str">
        <f ca="1">IFERROR(__xludf.DUMMYFUNCTION("""COMPUTED_VALUE"""),"2024")</f>
        <v>2024</v>
      </c>
      <c r="J1340" s="1" t="str">
        <f ca="1">IFERROR(__xludf.DUMMYFUNCTION("""COMPUTED_VALUE"""),"Email")</f>
        <v>Email</v>
      </c>
    </row>
    <row r="1341" spans="1:10" ht="13" x14ac:dyDescent="0.15">
      <c r="A1341" s="4">
        <f ca="1">IFERROR(__xludf.DUMMYFUNCTION("""COMPUTED_VALUE"""),122358189)</f>
        <v>122358189</v>
      </c>
      <c r="B1341" s="1" t="str">
        <f ca="1">IFERROR(__xludf.DUMMYFUNCTION("""COMPUTED_VALUE"""),"querido@queridomundo.com")</f>
        <v>querido@queridomundo.com</v>
      </c>
      <c r="C1341" s="4" t="str">
        <f ca="1">IFERROR(__xludf.DUMMYFUNCTION("""COMPUTED_VALUE"""),"EVERGREEN - UAN Gated Content - Embedded Petition")</f>
        <v>EVERGREEN - UAN Gated Content - Embedded Petition</v>
      </c>
      <c r="D1341" s="5">
        <f ca="1">IFERROR(__xludf.DUMMYFUNCTION("""COMPUTED_VALUE"""),45679)</f>
        <v>45679</v>
      </c>
      <c r="F1341" s="1" t="str">
        <f ca="1">IFERROR(__xludf.DUMMYFUNCTION("""COMPUTED_VALUE"""),"Dominican Republic")</f>
        <v>Dominican Republic</v>
      </c>
      <c r="G1341" s="1" t="str">
        <f ca="1">IFERROR(__xludf.DUMMYFUNCTION("""COMPUTED_VALUE"""),"88.24 Dominican Republic")</f>
        <v>88.24 Dominican Republic</v>
      </c>
      <c r="H1341" s="1" t="str">
        <f ca="1">IFERROR(__xludf.DUMMYFUNCTION("""COMPUTED_VALUE"""),"Individuals At Risk, Refugee and Migrant Rights")</f>
        <v>Individuals At Risk, Refugee and Migrant Rights</v>
      </c>
      <c r="I1341" s="1" t="str">
        <f ca="1">IFERROR(__xludf.DUMMYFUNCTION("""COMPUTED_VALUE"""),"2024")</f>
        <v>2024</v>
      </c>
      <c r="J1341" s="1" t="str">
        <f ca="1">IFERROR(__xludf.DUMMYFUNCTION("""COMPUTED_VALUE"""),"Letter")</f>
        <v>Letter</v>
      </c>
    </row>
    <row r="1342" spans="1:10" ht="13" x14ac:dyDescent="0.15">
      <c r="A1342" s="4">
        <f ca="1">IFERROR(__xludf.DUMMYFUNCTION("""COMPUTED_VALUE"""),122524473)</f>
        <v>122524473</v>
      </c>
      <c r="B1342" s="1" t="str">
        <f ca="1">IFERROR(__xludf.DUMMYFUNCTION("""COMPUTED_VALUE"""),"dianne.smith.rn@gmail.com")</f>
        <v>dianne.smith.rn@gmail.com</v>
      </c>
      <c r="C1342" s="4" t="str">
        <f ca="1">IFERROR(__xludf.DUMMYFUNCTION("""COMPUTED_VALUE"""),"EVERGREEN - UAN Gated Content - Embedded Petition")</f>
        <v>EVERGREEN - UAN Gated Content - Embedded Petition</v>
      </c>
      <c r="D1342" s="5">
        <f ca="1">IFERROR(__xludf.DUMMYFUNCTION("""COMPUTED_VALUE"""),45673)</f>
        <v>45673</v>
      </c>
      <c r="F1342" s="1" t="str">
        <f ca="1">IFERROR(__xludf.DUMMYFUNCTION("""COMPUTED_VALUE"""),"Egypt")</f>
        <v>Egypt</v>
      </c>
      <c r="G1342" s="1" t="str">
        <f ca="1">IFERROR(__xludf.DUMMYFUNCTION("""COMPUTED_VALUE"""),"Third 73.23 Egypt")</f>
        <v>Third 73.23 Egypt</v>
      </c>
      <c r="H1342" s="1" t="str">
        <f ca="1">IFERROR(__xludf.DUMMYFUNCTION("""COMPUTED_VALUE"""),"Individuals At Risk")</f>
        <v>Individuals At Risk</v>
      </c>
      <c r="I1342" s="1" t="str">
        <f ca="1">IFERROR(__xludf.DUMMYFUNCTION("""COMPUTED_VALUE"""),"2024")</f>
        <v>2024</v>
      </c>
      <c r="J1342" s="1" t="str">
        <f ca="1">IFERROR(__xludf.DUMMYFUNCTION("""COMPUTED_VALUE"""),"Email")</f>
        <v>Email</v>
      </c>
    </row>
    <row r="1343" spans="1:10" ht="13" x14ac:dyDescent="0.15">
      <c r="A1343" s="4">
        <f ca="1">IFERROR(__xludf.DUMMYFUNCTION("""COMPUTED_VALUE"""),122626488)</f>
        <v>122626488</v>
      </c>
      <c r="B1343" s="1" t="str">
        <f ca="1">IFERROR(__xludf.DUMMYFUNCTION("""COMPUTED_VALUE"""),"navarrochristine@hotmail.com")</f>
        <v>navarrochristine@hotmail.com</v>
      </c>
      <c r="C1343" s="4" t="str">
        <f ca="1">IFERROR(__xludf.DUMMYFUNCTION("""COMPUTED_VALUE"""),"EVERGREEN - UAN Gated Content - Embedded Petition")</f>
        <v>EVERGREEN - UAN Gated Content - Embedded Petition</v>
      </c>
      <c r="D1343" s="5">
        <f ca="1">IFERROR(__xludf.DUMMYFUNCTION("""COMPUTED_VALUE"""),45694)</f>
        <v>45694</v>
      </c>
      <c r="F1343" s="1" t="str">
        <f ca="1">IFERROR(__xludf.DUMMYFUNCTION("""COMPUTED_VALUE"""),"Israel and Occupied Palestinian Territories")</f>
        <v>Israel and Occupied Palestinian Territories</v>
      </c>
      <c r="G1343" s="1" t="str">
        <f ca="1">IFERROR(__xludf.DUMMYFUNCTION("""COMPUTED_VALUE"""),"3.25 IOPT")</f>
        <v>3.25 IOPT</v>
      </c>
      <c r="H1343" s="1" t="str">
        <f ca="1">IFERROR(__xludf.DUMMYFUNCTION("""COMPUTED_VALUE"""),"Freedom of Expression, Individuals At Risk")</f>
        <v>Freedom of Expression, Individuals At Risk</v>
      </c>
      <c r="I1343" s="1" t="str">
        <f ca="1">IFERROR(__xludf.DUMMYFUNCTION("""COMPUTED_VALUE"""),"2025")</f>
        <v>2025</v>
      </c>
      <c r="J1343" s="1" t="str">
        <f ca="1">IFERROR(__xludf.DUMMYFUNCTION("""COMPUTED_VALUE"""),"Email")</f>
        <v>Email</v>
      </c>
    </row>
    <row r="1344" spans="1:10" ht="13" x14ac:dyDescent="0.15">
      <c r="A1344" s="4">
        <f ca="1">IFERROR(__xludf.DUMMYFUNCTION("""COMPUTED_VALUE"""),123194952)</f>
        <v>123194952</v>
      </c>
      <c r="B1344" s="1" t="str">
        <f ca="1">IFERROR(__xludf.DUMMYFUNCTION("""COMPUTED_VALUE"""),"prolixities@yahoo.com")</f>
        <v>prolixities@yahoo.com</v>
      </c>
      <c r="C1344" s="4" t="str">
        <f ca="1">IFERROR(__xludf.DUMMYFUNCTION("""COMPUTED_VALUE"""),"EVERGREEN - UAN Gated Content - Embedded Petition")</f>
        <v>EVERGREEN - UAN Gated Content - Embedded Petition</v>
      </c>
      <c r="D1344" s="5">
        <f ca="1">IFERROR(__xludf.DUMMYFUNCTION("""COMPUTED_VALUE"""),45694)</f>
        <v>45694</v>
      </c>
      <c r="F1344" s="1" t="str">
        <f ca="1">IFERROR(__xludf.DUMMYFUNCTION("""COMPUTED_VALUE"""),"Azerbaijan")</f>
        <v>Azerbaijan</v>
      </c>
      <c r="G1344" s="1" t="str">
        <f ca="1">IFERROR(__xludf.DUMMYFUNCTION("""COMPUTED_VALUE"""),"2.25 Azerbaijan")</f>
        <v>2.25 Azerbaijan</v>
      </c>
      <c r="H1344" s="1" t="str">
        <f ca="1">IFERROR(__xludf.DUMMYFUNCTION("""COMPUTED_VALUE"""),"Freedom of Expression, Human Rights Defenders")</f>
        <v>Freedom of Expression, Human Rights Defenders</v>
      </c>
      <c r="I1344" s="1" t="str">
        <f ca="1">IFERROR(__xludf.DUMMYFUNCTION("""COMPUTED_VALUE"""),"2025")</f>
        <v>2025</v>
      </c>
      <c r="J1344" s="1" t="str">
        <f ca="1">IFERROR(__xludf.DUMMYFUNCTION("""COMPUTED_VALUE"""),"Email")</f>
        <v>Email</v>
      </c>
    </row>
    <row r="1345" spans="1:10" ht="13" x14ac:dyDescent="0.15">
      <c r="A1345" s="4">
        <f ca="1">IFERROR(__xludf.DUMMYFUNCTION("""COMPUTED_VALUE"""),123215564)</f>
        <v>123215564</v>
      </c>
      <c r="B1345" s="1" t="str">
        <f ca="1">IFERROR(__xludf.DUMMYFUNCTION("""COMPUTED_VALUE"""),"frephill@icloud.com")</f>
        <v>frephill@icloud.com</v>
      </c>
      <c r="C1345" s="4" t="str">
        <f ca="1">IFERROR(__xludf.DUMMYFUNCTION("""COMPUTED_VALUE"""),"EVERGREEN - UAN Gated Content - Embedded Petition")</f>
        <v>EVERGREEN - UAN Gated Content - Embedded Petition</v>
      </c>
      <c r="D1345" s="5">
        <f ca="1">IFERROR(__xludf.DUMMYFUNCTION("""COMPUTED_VALUE"""),45673)</f>
        <v>45673</v>
      </c>
      <c r="F1345" s="1" t="str">
        <f ca="1">IFERROR(__xludf.DUMMYFUNCTION("""COMPUTED_VALUE"""),"Venezuela")</f>
        <v>Venezuela</v>
      </c>
      <c r="G1345" s="1" t="str">
        <f ca="1">IFERROR(__xludf.DUMMYFUNCTION("""COMPUTED_VALUE"""),"1.25 Venezuela")</f>
        <v>1.25 Venezuela</v>
      </c>
      <c r="H1345" s="1" t="str">
        <f ca="1">IFERROR(__xludf.DUMMYFUNCTION("""COMPUTED_VALUE"""),"Human Rights Defenders, Individuals At Risk")</f>
        <v>Human Rights Defenders, Individuals At Risk</v>
      </c>
      <c r="I1345" s="1" t="str">
        <f ca="1">IFERROR(__xludf.DUMMYFUNCTION("""COMPUTED_VALUE"""),"2025")</f>
        <v>2025</v>
      </c>
      <c r="J1345" s="1" t="str">
        <f ca="1">IFERROR(__xludf.DUMMYFUNCTION("""COMPUTED_VALUE"""),"Letter")</f>
        <v>Letter</v>
      </c>
    </row>
    <row r="1346" spans="1:10" ht="13" x14ac:dyDescent="0.15">
      <c r="A1346" s="4">
        <f ca="1">IFERROR(__xludf.DUMMYFUNCTION("""COMPUTED_VALUE"""),124050476)</f>
        <v>124050476</v>
      </c>
      <c r="B1346" s="1" t="str">
        <f ca="1">IFERROR(__xludf.DUMMYFUNCTION("""COMPUTED_VALUE"""),"rebecca.saclolo@gmail.com")</f>
        <v>rebecca.saclolo@gmail.com</v>
      </c>
      <c r="C1346" s="4" t="str">
        <f ca="1">IFERROR(__xludf.DUMMYFUNCTION("""COMPUTED_VALUE"""),"EVERGREEN - UAN Gated Content - Embedded Petition")</f>
        <v>EVERGREEN - UAN Gated Content - Embedded Petition</v>
      </c>
      <c r="D1346" s="5">
        <f ca="1">IFERROR(__xludf.DUMMYFUNCTION("""COMPUTED_VALUE"""),45696)</f>
        <v>45696</v>
      </c>
      <c r="F1346" s="1" t="str">
        <f ca="1">IFERROR(__xludf.DUMMYFUNCTION("""COMPUTED_VALUE"""),"Uganda")</f>
        <v>Uganda</v>
      </c>
      <c r="G1346" s="1" t="str">
        <f ca="1">IFERROR(__xludf.DUMMYFUNCTION("""COMPUTED_VALUE"""),"9.25 Uganda")</f>
        <v>9.25 Uganda</v>
      </c>
      <c r="H1346" s="1" t="str">
        <f ca="1">IFERROR(__xludf.DUMMYFUNCTION("""COMPUTED_VALUE"""),"Freedom of Expression, Human Rights Defenders")</f>
        <v>Freedom of Expression, Human Rights Defenders</v>
      </c>
      <c r="I1346" s="1" t="str">
        <f ca="1">IFERROR(__xludf.DUMMYFUNCTION("""COMPUTED_VALUE"""),"2025")</f>
        <v>2025</v>
      </c>
      <c r="J1346" s="1" t="str">
        <f ca="1">IFERROR(__xludf.DUMMYFUNCTION("""COMPUTED_VALUE"""),"Email")</f>
        <v>Email</v>
      </c>
    </row>
    <row r="1347" spans="1:10" ht="13" x14ac:dyDescent="0.15">
      <c r="A1347" s="4">
        <f ca="1">IFERROR(__xludf.DUMMYFUNCTION("""COMPUTED_VALUE"""),124091599)</f>
        <v>124091599</v>
      </c>
      <c r="B1347" s="1" t="str">
        <f ca="1">IFERROR(__xludf.DUMMYFUNCTION("""COMPUTED_VALUE"""),"shirley.vernick@gmail.com")</f>
        <v>shirley.vernick@gmail.com</v>
      </c>
      <c r="C1347" s="4" t="str">
        <f ca="1">IFERROR(__xludf.DUMMYFUNCTION("""COMPUTED_VALUE"""),"EVERGREEN - UAN Gated Content - Embedded Petition")</f>
        <v>EVERGREEN - UAN Gated Content - Embedded Petition</v>
      </c>
      <c r="D1347" s="5">
        <f ca="1">IFERROR(__xludf.DUMMYFUNCTION("""COMPUTED_VALUE"""),45680)</f>
        <v>45680</v>
      </c>
      <c r="F1347" s="1" t="str">
        <f ca="1">IFERROR(__xludf.DUMMYFUNCTION("""COMPUTED_VALUE"""),"Iran")</f>
        <v>Iran</v>
      </c>
      <c r="G1347" s="1" t="str">
        <f ca="1">IFERROR(__xludf.DUMMYFUNCTION("""COMPUTED_VALUE"""),"10.25 Iran")</f>
        <v>10.25 Iran</v>
      </c>
      <c r="H1347" s="1" t="str">
        <f ca="1">IFERROR(__xludf.DUMMYFUNCTION("""COMPUTED_VALUE"""),"Death Penalty, Individuals At Risk")</f>
        <v>Death Penalty, Individuals At Risk</v>
      </c>
      <c r="I1347" s="1" t="str">
        <f ca="1">IFERROR(__xludf.DUMMYFUNCTION("""COMPUTED_VALUE"""),"2025")</f>
        <v>2025</v>
      </c>
      <c r="J1347" s="1" t="str">
        <f ca="1">IFERROR(__xludf.DUMMYFUNCTION("""COMPUTED_VALUE"""),"Email")</f>
        <v>Email</v>
      </c>
    </row>
    <row r="1348" spans="1:10" ht="13" x14ac:dyDescent="0.15">
      <c r="A1348" s="4">
        <f ca="1">IFERROR(__xludf.DUMMYFUNCTION("""COMPUTED_VALUE"""),124091599)</f>
        <v>124091599</v>
      </c>
      <c r="B1348" s="1" t="str">
        <f ca="1">IFERROR(__xludf.DUMMYFUNCTION("""COMPUTED_VALUE"""),"shirley.vernick@gmail.com")</f>
        <v>shirley.vernick@gmail.com</v>
      </c>
      <c r="C1348" s="4" t="str">
        <f ca="1">IFERROR(__xludf.DUMMYFUNCTION("""COMPUTED_VALUE"""),"EVERGREEN - UAN Gated Content - Embedded Petition")</f>
        <v>EVERGREEN - UAN Gated Content - Embedded Petition</v>
      </c>
      <c r="D1348" s="5">
        <f ca="1">IFERROR(__xludf.DUMMYFUNCTION("""COMPUTED_VALUE"""),45678)</f>
        <v>45678</v>
      </c>
      <c r="F1348" s="1" t="str">
        <f ca="1">IFERROR(__xludf.DUMMYFUNCTION("""COMPUTED_VALUE"""),"Egypt")</f>
        <v>Egypt</v>
      </c>
      <c r="G1348" s="1" t="str">
        <f ca="1">IFERROR(__xludf.DUMMYFUNCTION("""COMPUTED_VALUE"""),"Second 80.23 Egypt")</f>
        <v>Second 80.23 Egypt</v>
      </c>
      <c r="H1348" s="1" t="str">
        <f ca="1">IFERROR(__xludf.DUMMYFUNCTION("""COMPUTED_VALUE"""),"Health, Individuals At Risk")</f>
        <v>Health, Individuals At Risk</v>
      </c>
      <c r="I1348" s="1" t="str">
        <f ca="1">IFERROR(__xludf.DUMMYFUNCTION("""COMPUTED_VALUE"""),"2025")</f>
        <v>2025</v>
      </c>
      <c r="J1348" s="1" t="str">
        <f ca="1">IFERROR(__xludf.DUMMYFUNCTION("""COMPUTED_VALUE"""),"Email")</f>
        <v>Email</v>
      </c>
    </row>
    <row r="1349" spans="1:10" ht="13" x14ac:dyDescent="0.15">
      <c r="A1349" s="4">
        <f ca="1">IFERROR(__xludf.DUMMYFUNCTION("""COMPUTED_VALUE"""),124091599)</f>
        <v>124091599</v>
      </c>
      <c r="B1349" s="1" t="str">
        <f ca="1">IFERROR(__xludf.DUMMYFUNCTION("""COMPUTED_VALUE"""),"shirley.vernick@gmail.com")</f>
        <v>shirley.vernick@gmail.com</v>
      </c>
      <c r="C1349" s="4" t="str">
        <f ca="1">IFERROR(__xludf.DUMMYFUNCTION("""COMPUTED_VALUE"""),"EVERGREEN - UAN Gated Content - Embedded Petition")</f>
        <v>EVERGREEN - UAN Gated Content - Embedded Petition</v>
      </c>
      <c r="D1349" s="5">
        <f ca="1">IFERROR(__xludf.DUMMYFUNCTION("""COMPUTED_VALUE"""),45678)</f>
        <v>45678</v>
      </c>
      <c r="F1349" s="1" t="str">
        <f ca="1">IFERROR(__xludf.DUMMYFUNCTION("""COMPUTED_VALUE"""),"Libya")</f>
        <v>Libya</v>
      </c>
      <c r="G1349" s="1" t="str">
        <f ca="1">IFERROR(__xludf.DUMMYFUNCTION("""COMPUTED_VALUE"""),"12.25 Libya")</f>
        <v>12.25 Libya</v>
      </c>
      <c r="H1349" s="1" t="str">
        <f ca="1">IFERROR(__xludf.DUMMYFUNCTION("""COMPUTED_VALUE"""),"Freedom of Expression, Health, Individuals At Risk")</f>
        <v>Freedom of Expression, Health, Individuals At Risk</v>
      </c>
      <c r="I1349" s="1" t="str">
        <f ca="1">IFERROR(__xludf.DUMMYFUNCTION("""COMPUTED_VALUE"""),"2025")</f>
        <v>2025</v>
      </c>
      <c r="J1349" s="1" t="str">
        <f ca="1">IFERROR(__xludf.DUMMYFUNCTION("""COMPUTED_VALUE"""),"Email")</f>
        <v>Email</v>
      </c>
    </row>
    <row r="1350" spans="1:10" ht="13" x14ac:dyDescent="0.15">
      <c r="A1350" s="4">
        <f ca="1">IFERROR(__xludf.DUMMYFUNCTION("""COMPUTED_VALUE"""),124091599)</f>
        <v>124091599</v>
      </c>
      <c r="B1350" s="1" t="str">
        <f ca="1">IFERROR(__xludf.DUMMYFUNCTION("""COMPUTED_VALUE"""),"shirley.vernick@gmail.com")</f>
        <v>shirley.vernick@gmail.com</v>
      </c>
      <c r="C1350" s="4" t="str">
        <f ca="1">IFERROR(__xludf.DUMMYFUNCTION("""COMPUTED_VALUE"""),"EVERGREEN - UAN Gated Content - Embedded Petition")</f>
        <v>EVERGREEN - UAN Gated Content - Embedded Petition</v>
      </c>
      <c r="D1350" s="5">
        <f ca="1">IFERROR(__xludf.DUMMYFUNCTION("""COMPUTED_VALUE"""),45678)</f>
        <v>45678</v>
      </c>
      <c r="F1350" s="1" t="str">
        <f ca="1">IFERROR(__xludf.DUMMYFUNCTION("""COMPUTED_VALUE"""),"Afghanistan")</f>
        <v>Afghanistan</v>
      </c>
      <c r="G1350" s="1" t="str">
        <f ca="1">IFERROR(__xludf.DUMMYFUNCTION("""COMPUTED_VALUE"""),"11.25 Afghanistan")</f>
        <v>11.25 Afghanistan</v>
      </c>
      <c r="H1350" s="1" t="str">
        <f ca="1">IFERROR(__xludf.DUMMYFUNCTION("""COMPUTED_VALUE"""),"Freedom of Expression, Health, Individuals At Risk")</f>
        <v>Freedom of Expression, Health, Individuals At Risk</v>
      </c>
      <c r="I1350" s="1" t="str">
        <f ca="1">IFERROR(__xludf.DUMMYFUNCTION("""COMPUTED_VALUE"""),"2025")</f>
        <v>2025</v>
      </c>
      <c r="J1350" s="1" t="str">
        <f ca="1">IFERROR(__xludf.DUMMYFUNCTION("""COMPUTED_VALUE"""),"Email")</f>
        <v>Email</v>
      </c>
    </row>
    <row r="1351" spans="1:10" ht="13" x14ac:dyDescent="0.15">
      <c r="A1351" s="4">
        <f ca="1">IFERROR(__xludf.DUMMYFUNCTION("""COMPUTED_VALUE"""),124091599)</f>
        <v>124091599</v>
      </c>
      <c r="B1351" s="1" t="str">
        <f ca="1">IFERROR(__xludf.DUMMYFUNCTION("""COMPUTED_VALUE"""),"shirley.vernick@gmail.com")</f>
        <v>shirley.vernick@gmail.com</v>
      </c>
      <c r="C1351" s="4" t="str">
        <f ca="1">IFERROR(__xludf.DUMMYFUNCTION("""COMPUTED_VALUE"""),"EVERGREEN - UAN Gated Content - Embedded Petition")</f>
        <v>EVERGREEN - UAN Gated Content - Embedded Petition</v>
      </c>
      <c r="D1351" s="5">
        <f ca="1">IFERROR(__xludf.DUMMYFUNCTION("""COMPUTED_VALUE"""),45678)</f>
        <v>45678</v>
      </c>
      <c r="F1351" s="1" t="str">
        <f ca="1">IFERROR(__xludf.DUMMYFUNCTION("""COMPUTED_VALUE"""),"Saudi Arabia")</f>
        <v>Saudi Arabia</v>
      </c>
      <c r="G1351" s="1" t="str">
        <f ca="1">IFERROR(__xludf.DUMMYFUNCTION("""COMPUTED_VALUE"""),"Fifth 257.12")</f>
        <v>Fifth 257.12</v>
      </c>
      <c r="H1351" s="1" t="str">
        <f ca="1">IFERROR(__xludf.DUMMYFUNCTION("""COMPUTED_VALUE"""),"Freedom of Expression, Human Rights Defenders")</f>
        <v>Freedom of Expression, Human Rights Defenders</v>
      </c>
      <c r="I1351" s="1" t="str">
        <f ca="1">IFERROR(__xludf.DUMMYFUNCTION("""COMPUTED_VALUE"""),"2025")</f>
        <v>2025</v>
      </c>
      <c r="J1351" s="1" t="str">
        <f ca="1">IFERROR(__xludf.DUMMYFUNCTION("""COMPUTED_VALUE"""),"Email")</f>
        <v>Email</v>
      </c>
    </row>
    <row r="1352" spans="1:10" ht="13" x14ac:dyDescent="0.15">
      <c r="A1352" s="4">
        <f ca="1">IFERROR(__xludf.DUMMYFUNCTION("""COMPUTED_VALUE"""),124091599)</f>
        <v>124091599</v>
      </c>
      <c r="B1352" s="1" t="str">
        <f ca="1">IFERROR(__xludf.DUMMYFUNCTION("""COMPUTED_VALUE"""),"shirley.vernick@gmail.com")</f>
        <v>shirley.vernick@gmail.com</v>
      </c>
      <c r="C1352" s="4" t="str">
        <f ca="1">IFERROR(__xludf.DUMMYFUNCTION("""COMPUTED_VALUE"""),"EVERGREEN - UAN Gated Content - Embedded Petition")</f>
        <v>EVERGREEN - UAN Gated Content - Embedded Petition</v>
      </c>
      <c r="D1352" s="5">
        <f ca="1">IFERROR(__xludf.DUMMYFUNCTION("""COMPUTED_VALUE"""),45675)</f>
        <v>45675</v>
      </c>
      <c r="F1352" s="1" t="str">
        <f ca="1">IFERROR(__xludf.DUMMYFUNCTION("""COMPUTED_VALUE"""),"USA")</f>
        <v>USA</v>
      </c>
      <c r="G1352" s="1" t="str">
        <f ca="1">IFERROR(__xludf.DUMMYFUNCTION("""COMPUTED_VALUE"""),"4.25 USA")</f>
        <v>4.25 USA</v>
      </c>
      <c r="H1352" s="1" t="str">
        <f ca="1">IFERROR(__xludf.DUMMYFUNCTION("""COMPUTED_VALUE"""),"Individuals At Risk, Refugee and Migrant Rights")</f>
        <v>Individuals At Risk, Refugee and Migrant Rights</v>
      </c>
      <c r="I1352" s="1" t="str">
        <f ca="1">IFERROR(__xludf.DUMMYFUNCTION("""COMPUTED_VALUE"""),"2025")</f>
        <v>2025</v>
      </c>
      <c r="J1352" s="1" t="str">
        <f ca="1">IFERROR(__xludf.DUMMYFUNCTION("""COMPUTED_VALUE"""),"Letter")</f>
        <v>Letter</v>
      </c>
    </row>
    <row r="1353" spans="1:10" ht="13" x14ac:dyDescent="0.15">
      <c r="A1353" s="4">
        <f ca="1">IFERROR(__xludf.DUMMYFUNCTION("""COMPUTED_VALUE"""),124091599)</f>
        <v>124091599</v>
      </c>
      <c r="B1353" s="1" t="str">
        <f ca="1">IFERROR(__xludf.DUMMYFUNCTION("""COMPUTED_VALUE"""),"shirley.vernick@gmail.com")</f>
        <v>shirley.vernick@gmail.com</v>
      </c>
      <c r="C1353" s="4" t="str">
        <f ca="1">IFERROR(__xludf.DUMMYFUNCTION("""COMPUTED_VALUE"""),"EVERGREEN - UAN Gated Content - Embedded Petition")</f>
        <v>EVERGREEN - UAN Gated Content - Embedded Petition</v>
      </c>
      <c r="D1353" s="5">
        <f ca="1">IFERROR(__xludf.DUMMYFUNCTION("""COMPUTED_VALUE"""),45675)</f>
        <v>45675</v>
      </c>
      <c r="F1353" s="1" t="str">
        <f ca="1">IFERROR(__xludf.DUMMYFUNCTION("""COMPUTED_VALUE"""),"Iran")</f>
        <v>Iran</v>
      </c>
      <c r="G1353" s="1" t="str">
        <f ca="1">IFERROR(__xludf.DUMMYFUNCTION("""COMPUTED_VALUE"""),"Seventh 103.22 Iran")</f>
        <v>Seventh 103.22 Iran</v>
      </c>
      <c r="H1353" s="1" t="str">
        <f ca="1">IFERROR(__xludf.DUMMYFUNCTION("""COMPUTED_VALUE"""),"Death Penalty, Freedom of Expression, Individuals At Risk")</f>
        <v>Death Penalty, Freedom of Expression, Individuals At Risk</v>
      </c>
      <c r="I1353" s="1" t="str">
        <f ca="1">IFERROR(__xludf.DUMMYFUNCTION("""COMPUTED_VALUE"""),"2024")</f>
        <v>2024</v>
      </c>
      <c r="J1353" s="1" t="str">
        <f ca="1">IFERROR(__xludf.DUMMYFUNCTION("""COMPUTED_VALUE"""),"Email")</f>
        <v>Email</v>
      </c>
    </row>
    <row r="1354" spans="1:10" ht="13" x14ac:dyDescent="0.15">
      <c r="A1354" s="4">
        <f ca="1">IFERROR(__xludf.DUMMYFUNCTION("""COMPUTED_VALUE"""),124091599)</f>
        <v>124091599</v>
      </c>
      <c r="B1354" s="1" t="str">
        <f ca="1">IFERROR(__xludf.DUMMYFUNCTION("""COMPUTED_VALUE"""),"shirley.vernick@gmail.com")</f>
        <v>shirley.vernick@gmail.com</v>
      </c>
      <c r="C1354" s="4" t="str">
        <f ca="1">IFERROR(__xludf.DUMMYFUNCTION("""COMPUTED_VALUE"""),"EVERGREEN - UAN Gated Content - Embedded Petition")</f>
        <v>EVERGREEN - UAN Gated Content - Embedded Petition</v>
      </c>
      <c r="D1354" s="5">
        <f ca="1">IFERROR(__xludf.DUMMYFUNCTION("""COMPUTED_VALUE"""),45675)</f>
        <v>45675</v>
      </c>
      <c r="F1354" s="1" t="str">
        <f ca="1">IFERROR(__xludf.DUMMYFUNCTION("""COMPUTED_VALUE"""),"USA")</f>
        <v>USA</v>
      </c>
      <c r="G1354" s="1" t="str">
        <f ca="1">IFERROR(__xludf.DUMMYFUNCTION("""COMPUTED_VALUE"""),"105.24 USA")</f>
        <v>105.24 USA</v>
      </c>
      <c r="H1354" s="1" t="str">
        <f ca="1">IFERROR(__xludf.DUMMYFUNCTION("""COMPUTED_VALUE"""),"Death Penalty")</f>
        <v>Death Penalty</v>
      </c>
      <c r="I1354" s="1" t="str">
        <f ca="1">IFERROR(__xludf.DUMMYFUNCTION("""COMPUTED_VALUE"""),"2024")</f>
        <v>2024</v>
      </c>
      <c r="J1354" s="1" t="str">
        <f ca="1">IFERROR(__xludf.DUMMYFUNCTION("""COMPUTED_VALUE"""),"Email")</f>
        <v>Email</v>
      </c>
    </row>
    <row r="1355" spans="1:10" ht="13" x14ac:dyDescent="0.15">
      <c r="A1355" s="4">
        <f ca="1">IFERROR(__xludf.DUMMYFUNCTION("""COMPUTED_VALUE"""),124091599)</f>
        <v>124091599</v>
      </c>
      <c r="B1355" s="1" t="str">
        <f ca="1">IFERROR(__xludf.DUMMYFUNCTION("""COMPUTED_VALUE"""),"shirley.vernick@gmail.com")</f>
        <v>shirley.vernick@gmail.com</v>
      </c>
      <c r="C1355" s="4" t="str">
        <f ca="1">IFERROR(__xludf.DUMMYFUNCTION("""COMPUTED_VALUE"""),"EVERGREEN - UAN Gated Content - Embedded Petition")</f>
        <v>EVERGREEN - UAN Gated Content - Embedded Petition</v>
      </c>
      <c r="D1355" s="5">
        <f ca="1">IFERROR(__xludf.DUMMYFUNCTION("""COMPUTED_VALUE"""),45675)</f>
        <v>45675</v>
      </c>
      <c r="F1355" s="1" t="str">
        <f ca="1">IFERROR(__xludf.DUMMYFUNCTION("""COMPUTED_VALUE"""),"USA")</f>
        <v>USA</v>
      </c>
      <c r="G1355" s="1" t="str">
        <f ca="1">IFERROR(__xludf.DUMMYFUNCTION("""COMPUTED_VALUE"""),"4.25 USA")</f>
        <v>4.25 USA</v>
      </c>
      <c r="H1355" s="1" t="str">
        <f ca="1">IFERROR(__xludf.DUMMYFUNCTION("""COMPUTED_VALUE"""),"Individuals At Risk, Refugee and Migrant Rights")</f>
        <v>Individuals At Risk, Refugee and Migrant Rights</v>
      </c>
      <c r="I1355" s="1" t="str">
        <f ca="1">IFERROR(__xludf.DUMMYFUNCTION("""COMPUTED_VALUE"""),"2025")</f>
        <v>2025</v>
      </c>
      <c r="J1355" s="1" t="str">
        <f ca="1">IFERROR(__xludf.DUMMYFUNCTION("""COMPUTED_VALUE"""),"Letter")</f>
        <v>Letter</v>
      </c>
    </row>
    <row r="1356" spans="1:10" ht="13" x14ac:dyDescent="0.15">
      <c r="A1356" s="4">
        <f ca="1">IFERROR(__xludf.DUMMYFUNCTION("""COMPUTED_VALUE"""),124091599)</f>
        <v>124091599</v>
      </c>
      <c r="B1356" s="1" t="str">
        <f ca="1">IFERROR(__xludf.DUMMYFUNCTION("""COMPUTED_VALUE"""),"shirley.vernick@gmail.com")</f>
        <v>shirley.vernick@gmail.com</v>
      </c>
      <c r="C1356" s="4" t="str">
        <f ca="1">IFERROR(__xludf.DUMMYFUNCTION("""COMPUTED_VALUE"""),"EVERGREEN - UAN Gated Content - Embedded Petition")</f>
        <v>EVERGREEN - UAN Gated Content - Embedded Petition</v>
      </c>
      <c r="D1356" s="5">
        <f ca="1">IFERROR(__xludf.DUMMYFUNCTION("""COMPUTED_VALUE"""),45675)</f>
        <v>45675</v>
      </c>
      <c r="F1356" s="1" t="str">
        <f ca="1">IFERROR(__xludf.DUMMYFUNCTION("""COMPUTED_VALUE"""),"Iran")</f>
        <v>Iran</v>
      </c>
      <c r="G1356" s="1" t="str">
        <f ca="1">IFERROR(__xludf.DUMMYFUNCTION("""COMPUTED_VALUE"""),"Seventh 103.22 Iran")</f>
        <v>Seventh 103.22 Iran</v>
      </c>
      <c r="H1356" s="1" t="str">
        <f ca="1">IFERROR(__xludf.DUMMYFUNCTION("""COMPUTED_VALUE"""),"Death Penalty, Freedom of Expression, Individuals At Risk")</f>
        <v>Death Penalty, Freedom of Expression, Individuals At Risk</v>
      </c>
      <c r="I1356" s="1" t="str">
        <f ca="1">IFERROR(__xludf.DUMMYFUNCTION("""COMPUTED_VALUE"""),"2024")</f>
        <v>2024</v>
      </c>
      <c r="J1356" s="1" t="str">
        <f ca="1">IFERROR(__xludf.DUMMYFUNCTION("""COMPUTED_VALUE"""),"Email")</f>
        <v>Email</v>
      </c>
    </row>
    <row r="1357" spans="1:10" ht="13" x14ac:dyDescent="0.15">
      <c r="A1357" s="4">
        <f ca="1">IFERROR(__xludf.DUMMYFUNCTION("""COMPUTED_VALUE"""),124091599)</f>
        <v>124091599</v>
      </c>
      <c r="B1357" s="1" t="str">
        <f ca="1">IFERROR(__xludf.DUMMYFUNCTION("""COMPUTED_VALUE"""),"shirley.vernick@gmail.com")</f>
        <v>shirley.vernick@gmail.com</v>
      </c>
      <c r="C1357" s="4" t="str">
        <f ca="1">IFERROR(__xludf.DUMMYFUNCTION("""COMPUTED_VALUE"""),"EVERGREEN - UAN Gated Content - Embedded Petition")</f>
        <v>EVERGREEN - UAN Gated Content - Embedded Petition</v>
      </c>
      <c r="D1357" s="5">
        <f ca="1">IFERROR(__xludf.DUMMYFUNCTION("""COMPUTED_VALUE"""),45675)</f>
        <v>45675</v>
      </c>
      <c r="F1357" s="1" t="str">
        <f ca="1">IFERROR(__xludf.DUMMYFUNCTION("""COMPUTED_VALUE"""),"Venezuela")</f>
        <v>Venezuela</v>
      </c>
      <c r="G1357" s="1" t="str">
        <f ca="1">IFERROR(__xludf.DUMMYFUNCTION("""COMPUTED_VALUE"""),"1.25 Venezuela")</f>
        <v>1.25 Venezuela</v>
      </c>
      <c r="H1357" s="1" t="str">
        <f ca="1">IFERROR(__xludf.DUMMYFUNCTION("""COMPUTED_VALUE"""),"Human Rights Defenders, Individuals At Risk")</f>
        <v>Human Rights Defenders, Individuals At Risk</v>
      </c>
      <c r="I1357" s="1" t="str">
        <f ca="1">IFERROR(__xludf.DUMMYFUNCTION("""COMPUTED_VALUE"""),"2025")</f>
        <v>2025</v>
      </c>
      <c r="J1357" s="1" t="str">
        <f ca="1">IFERROR(__xludf.DUMMYFUNCTION("""COMPUTED_VALUE"""),"Letter")</f>
        <v>Letter</v>
      </c>
    </row>
    <row r="1358" spans="1:10" ht="13" x14ac:dyDescent="0.15">
      <c r="A1358" s="4">
        <f ca="1">IFERROR(__xludf.DUMMYFUNCTION("""COMPUTED_VALUE"""),124091599)</f>
        <v>124091599</v>
      </c>
      <c r="B1358" s="1" t="str">
        <f ca="1">IFERROR(__xludf.DUMMYFUNCTION("""COMPUTED_VALUE"""),"shirley.vernick@gmail.com")</f>
        <v>shirley.vernick@gmail.com</v>
      </c>
      <c r="C1358" s="4" t="str">
        <f ca="1">IFERROR(__xludf.DUMMYFUNCTION("""COMPUTED_VALUE"""),"EVERGREEN - UAN Gated Content - Embedded Petition")</f>
        <v>EVERGREEN - UAN Gated Content - Embedded Petition</v>
      </c>
      <c r="D1358" s="5">
        <f ca="1">IFERROR(__xludf.DUMMYFUNCTION("""COMPUTED_VALUE"""),45675)</f>
        <v>45675</v>
      </c>
      <c r="F1358" s="1" t="str">
        <f ca="1">IFERROR(__xludf.DUMMYFUNCTION("""COMPUTED_VALUE"""),"Venezuela")</f>
        <v>Venezuela</v>
      </c>
      <c r="G1358" s="1" t="str">
        <f ca="1">IFERROR(__xludf.DUMMYFUNCTION("""COMPUTED_VALUE"""),"1.25 Venezuela")</f>
        <v>1.25 Venezuela</v>
      </c>
      <c r="H1358" s="1" t="str">
        <f ca="1">IFERROR(__xludf.DUMMYFUNCTION("""COMPUTED_VALUE"""),"Human Rights Defenders, Individuals At Risk")</f>
        <v>Human Rights Defenders, Individuals At Risk</v>
      </c>
      <c r="I1358" s="1" t="str">
        <f ca="1">IFERROR(__xludf.DUMMYFUNCTION("""COMPUTED_VALUE"""),"2025")</f>
        <v>2025</v>
      </c>
      <c r="J1358" s="1" t="str">
        <f ca="1">IFERROR(__xludf.DUMMYFUNCTION("""COMPUTED_VALUE"""),"Letter")</f>
        <v>Letter</v>
      </c>
    </row>
    <row r="1359" spans="1:10" ht="13" x14ac:dyDescent="0.15">
      <c r="A1359" s="4">
        <f ca="1">IFERROR(__xludf.DUMMYFUNCTION("""COMPUTED_VALUE"""),124091599)</f>
        <v>124091599</v>
      </c>
      <c r="B1359" s="1" t="str">
        <f ca="1">IFERROR(__xludf.DUMMYFUNCTION("""COMPUTED_VALUE"""),"shirley.vernick@gmail.com")</f>
        <v>shirley.vernick@gmail.com</v>
      </c>
      <c r="C1359" s="4" t="str">
        <f ca="1">IFERROR(__xludf.DUMMYFUNCTION("""COMPUTED_VALUE"""),"EVERGREEN - UAN Gated Content - Embedded Petition")</f>
        <v>EVERGREEN - UAN Gated Content - Embedded Petition</v>
      </c>
      <c r="D1359" s="5">
        <f ca="1">IFERROR(__xludf.DUMMYFUNCTION("""COMPUTED_VALUE"""),45675)</f>
        <v>45675</v>
      </c>
      <c r="F1359" s="1" t="str">
        <f ca="1">IFERROR(__xludf.DUMMYFUNCTION("""COMPUTED_VALUE"""),"USA")</f>
        <v>USA</v>
      </c>
      <c r="G1359" s="1" t="str">
        <f ca="1">IFERROR(__xludf.DUMMYFUNCTION("""COMPUTED_VALUE"""),"105.24 USA")</f>
        <v>105.24 USA</v>
      </c>
      <c r="H1359" s="1" t="str">
        <f ca="1">IFERROR(__xludf.DUMMYFUNCTION("""COMPUTED_VALUE"""),"Death Penalty")</f>
        <v>Death Penalty</v>
      </c>
      <c r="I1359" s="1" t="str">
        <f ca="1">IFERROR(__xludf.DUMMYFUNCTION("""COMPUTED_VALUE"""),"2024")</f>
        <v>2024</v>
      </c>
      <c r="J1359" s="1" t="str">
        <f ca="1">IFERROR(__xludf.DUMMYFUNCTION("""COMPUTED_VALUE"""),"Email")</f>
        <v>Email</v>
      </c>
    </row>
    <row r="1360" spans="1:10" ht="13" x14ac:dyDescent="0.15">
      <c r="A1360" s="4">
        <f ca="1">IFERROR(__xludf.DUMMYFUNCTION("""COMPUTED_VALUE"""),124091599)</f>
        <v>124091599</v>
      </c>
      <c r="B1360" s="1" t="str">
        <f ca="1">IFERROR(__xludf.DUMMYFUNCTION("""COMPUTED_VALUE"""),"shirley.vernick@gmail.com")</f>
        <v>shirley.vernick@gmail.com</v>
      </c>
      <c r="C1360" s="4" t="str">
        <f ca="1">IFERROR(__xludf.DUMMYFUNCTION("""COMPUTED_VALUE"""),"EVERGREEN - UAN Gated Content - Embedded Petition")</f>
        <v>EVERGREEN - UAN Gated Content - Embedded Petition</v>
      </c>
      <c r="D1360" s="5">
        <f ca="1">IFERROR(__xludf.DUMMYFUNCTION("""COMPUTED_VALUE"""),45687)</f>
        <v>45687</v>
      </c>
      <c r="F1360" s="1" t="str">
        <f ca="1">IFERROR(__xludf.DUMMYFUNCTION("""COMPUTED_VALUE"""),"Iran")</f>
        <v>Iran</v>
      </c>
      <c r="G1360" s="1" t="str">
        <f ca="1">IFERROR(__xludf.DUMMYFUNCTION("""COMPUTED_VALUE"""),"101.24 Iran")</f>
        <v>101.24 Iran</v>
      </c>
      <c r="H1360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1360" s="1" t="str">
        <f ca="1">IFERROR(__xludf.DUMMYFUNCTION("""COMPUTED_VALUE"""),"2024")</f>
        <v>2024</v>
      </c>
      <c r="J1360" s="1" t="str">
        <f ca="1">IFERROR(__xludf.DUMMYFUNCTION("""COMPUTED_VALUE"""),"Email")</f>
        <v>Email</v>
      </c>
    </row>
    <row r="1361" spans="1:10" ht="13" x14ac:dyDescent="0.15">
      <c r="A1361" s="4">
        <f ca="1">IFERROR(__xludf.DUMMYFUNCTION("""COMPUTED_VALUE"""),124091599)</f>
        <v>124091599</v>
      </c>
      <c r="B1361" s="1" t="str">
        <f ca="1">IFERROR(__xludf.DUMMYFUNCTION("""COMPUTED_VALUE"""),"shirley.vernick@gmail.com")</f>
        <v>shirley.vernick@gmail.com</v>
      </c>
      <c r="C1361" s="4" t="str">
        <f ca="1">IFERROR(__xludf.DUMMYFUNCTION("""COMPUTED_VALUE"""),"EVERGREEN - UAN Gated Content - Embedded Petition")</f>
        <v>EVERGREEN - UAN Gated Content - Embedded Petition</v>
      </c>
      <c r="D1361" s="5">
        <f ca="1">IFERROR(__xludf.DUMMYFUNCTION("""COMPUTED_VALUE"""),45694)</f>
        <v>45694</v>
      </c>
      <c r="F1361" s="1" t="str">
        <f ca="1">IFERROR(__xludf.DUMMYFUNCTION("""COMPUTED_VALUE"""),"China")</f>
        <v>China</v>
      </c>
      <c r="G1361" s="1" t="str">
        <f ca="1">IFERROR(__xludf.DUMMYFUNCTION("""COMPUTED_VALUE"""),"98.24 China")</f>
        <v>98.24 China</v>
      </c>
      <c r="H1361" s="1" t="str">
        <f ca="1">IFERROR(__xludf.DUMMYFUNCTION("""COMPUTED_VALUE"""),"Freedom of Expression, Individuals At Risk")</f>
        <v>Freedom of Expression, Individuals At Risk</v>
      </c>
      <c r="I1361" s="1" t="str">
        <f ca="1">IFERROR(__xludf.DUMMYFUNCTION("""COMPUTED_VALUE"""),"2024")</f>
        <v>2024</v>
      </c>
      <c r="J1361" s="1" t="str">
        <f ca="1">IFERROR(__xludf.DUMMYFUNCTION("""COMPUTED_VALUE"""),"Letter")</f>
        <v>Letter</v>
      </c>
    </row>
    <row r="1362" spans="1:10" ht="13" x14ac:dyDescent="0.15">
      <c r="A1362" s="4">
        <f ca="1">IFERROR(__xludf.DUMMYFUNCTION("""COMPUTED_VALUE"""),124091599)</f>
        <v>124091599</v>
      </c>
      <c r="B1362" s="1" t="str">
        <f ca="1">IFERROR(__xludf.DUMMYFUNCTION("""COMPUTED_VALUE"""),"shirley.vernick@gmail.com")</f>
        <v>shirley.vernick@gmail.com</v>
      </c>
      <c r="C1362" s="4" t="str">
        <f ca="1">IFERROR(__xludf.DUMMYFUNCTION("""COMPUTED_VALUE"""),"EVERGREEN - UAN Gated Content - Embedded Petition")</f>
        <v>EVERGREEN - UAN Gated Content - Embedded Petition</v>
      </c>
      <c r="D1362" s="5">
        <f ca="1">IFERROR(__xludf.DUMMYFUNCTION("""COMPUTED_VALUE"""),45680)</f>
        <v>45680</v>
      </c>
      <c r="F1362" s="1" t="str">
        <f ca="1">IFERROR(__xludf.DUMMYFUNCTION("""COMPUTED_VALUE"""),"Egypt")</f>
        <v>Egypt</v>
      </c>
      <c r="G1362" s="1" t="str">
        <f ca="1">IFERROR(__xludf.DUMMYFUNCTION("""COMPUTED_VALUE"""),"Ninth 190.18 Egypt")</f>
        <v>Ninth 190.18 Egypt</v>
      </c>
      <c r="H1362" s="1" t="str">
        <f ca="1">IFERROR(__xludf.DUMMYFUNCTION("""COMPUTED_VALUE"""),"Freedom of Expression, Individuals At Risk")</f>
        <v>Freedom of Expression, Individuals At Risk</v>
      </c>
      <c r="I1362" s="1" t="str">
        <f ca="1">IFERROR(__xludf.DUMMYFUNCTION("""COMPUTED_VALUE"""),"2024")</f>
        <v>2024</v>
      </c>
      <c r="J1362" s="1" t="str">
        <f ca="1">IFERROR(__xludf.DUMMYFUNCTION("""COMPUTED_VALUE"""),"Letter")</f>
        <v>Letter</v>
      </c>
    </row>
    <row r="1363" spans="1:10" ht="13" x14ac:dyDescent="0.15">
      <c r="A1363" s="4">
        <f ca="1">IFERROR(__xludf.DUMMYFUNCTION("""COMPUTED_VALUE"""),124091599)</f>
        <v>124091599</v>
      </c>
      <c r="B1363" s="1" t="str">
        <f ca="1">IFERROR(__xludf.DUMMYFUNCTION("""COMPUTED_VALUE"""),"shirley.vernick@gmail.com")</f>
        <v>shirley.vernick@gmail.com</v>
      </c>
      <c r="C1363" s="4" t="str">
        <f ca="1">IFERROR(__xludf.DUMMYFUNCTION("""COMPUTED_VALUE"""),"EVERGREEN - UAN Gated Content - Embedded Petition")</f>
        <v>EVERGREEN - UAN Gated Content - Embedded Petition</v>
      </c>
      <c r="D1363" s="5">
        <f ca="1">IFERROR(__xludf.DUMMYFUNCTION("""COMPUTED_VALUE"""),45680)</f>
        <v>45680</v>
      </c>
      <c r="F1363" s="1" t="str">
        <f ca="1">IFERROR(__xludf.DUMMYFUNCTION("""COMPUTED_VALUE"""),"Venezuela")</f>
        <v>Venezuela</v>
      </c>
      <c r="G1363" s="1" t="str">
        <f ca="1">IFERROR(__xludf.DUMMYFUNCTION("""COMPUTED_VALUE"""),"97.24 Venezuela")</f>
        <v>97.24 Venezuela</v>
      </c>
      <c r="H1363" s="1" t="str">
        <f ca="1">IFERROR(__xludf.DUMMYFUNCTION("""COMPUTED_VALUE"""),"Freedom of Expression")</f>
        <v>Freedom of Expression</v>
      </c>
      <c r="I1363" s="1" t="str">
        <f ca="1">IFERROR(__xludf.DUMMYFUNCTION("""COMPUTED_VALUE"""),"2024")</f>
        <v>2024</v>
      </c>
      <c r="J1363" s="1" t="str">
        <f ca="1">IFERROR(__xludf.DUMMYFUNCTION("""COMPUTED_VALUE"""),"Letter")</f>
        <v>Letter</v>
      </c>
    </row>
    <row r="1364" spans="1:10" ht="13" x14ac:dyDescent="0.15">
      <c r="A1364" s="4">
        <f ca="1">IFERROR(__xludf.DUMMYFUNCTION("""COMPUTED_VALUE"""),124091599)</f>
        <v>124091599</v>
      </c>
      <c r="B1364" s="1" t="str">
        <f ca="1">IFERROR(__xludf.DUMMYFUNCTION("""COMPUTED_VALUE"""),"shirley.vernick@gmail.com")</f>
        <v>shirley.vernick@gmail.com</v>
      </c>
      <c r="C1364" s="4" t="str">
        <f ca="1">IFERROR(__xludf.DUMMYFUNCTION("""COMPUTED_VALUE"""),"EVERGREEN - UAN Gated Content - Embedded Petition")</f>
        <v>EVERGREEN - UAN Gated Content - Embedded Petition</v>
      </c>
      <c r="D1364" s="5">
        <f ca="1">IFERROR(__xludf.DUMMYFUNCTION("""COMPUTED_VALUE"""),45684)</f>
        <v>45684</v>
      </c>
      <c r="F1364" s="1" t="str">
        <f ca="1">IFERROR(__xludf.DUMMYFUNCTION("""COMPUTED_VALUE"""),"USA")</f>
        <v>USA</v>
      </c>
      <c r="G1364" s="1" t="str">
        <f ca="1">IFERROR(__xludf.DUMMYFUNCTION("""COMPUTED_VALUE"""),"105.24 USA")</f>
        <v>105.24 USA</v>
      </c>
      <c r="H1364" s="1" t="str">
        <f ca="1">IFERROR(__xludf.DUMMYFUNCTION("""COMPUTED_VALUE"""),"Death Penalty")</f>
        <v>Death Penalty</v>
      </c>
      <c r="I1364" s="1" t="str">
        <f ca="1">IFERROR(__xludf.DUMMYFUNCTION("""COMPUTED_VALUE"""),"2024")</f>
        <v>2024</v>
      </c>
      <c r="J1364" s="1" t="str">
        <f ca="1">IFERROR(__xludf.DUMMYFUNCTION("""COMPUTED_VALUE"""),"Email")</f>
        <v>Email</v>
      </c>
    </row>
    <row r="1365" spans="1:10" ht="13" x14ac:dyDescent="0.15">
      <c r="A1365" s="4">
        <f ca="1">IFERROR(__xludf.DUMMYFUNCTION("""COMPUTED_VALUE"""),124197325)</f>
        <v>124197325</v>
      </c>
      <c r="B1365" s="1" t="str">
        <f ca="1">IFERROR(__xludf.DUMMYFUNCTION("""COMPUTED_VALUE"""),"b_margay@yahoo.com")</f>
        <v>b_margay@yahoo.com</v>
      </c>
      <c r="C1365" s="4" t="str">
        <f ca="1">IFERROR(__xludf.DUMMYFUNCTION("""COMPUTED_VALUE"""),"EVERGREEN - UAN Gated Content - Embedded Petition")</f>
        <v>EVERGREEN - UAN Gated Content - Embedded Petition</v>
      </c>
      <c r="D1365" s="5">
        <f ca="1">IFERROR(__xludf.DUMMYFUNCTION("""COMPUTED_VALUE"""),45694)</f>
        <v>45694</v>
      </c>
      <c r="F1365" s="1" t="str">
        <f ca="1">IFERROR(__xludf.DUMMYFUNCTION("""COMPUTED_VALUE"""),"Tunisia")</f>
        <v>Tunisia</v>
      </c>
      <c r="G1365" s="1" t="str">
        <f ca="1">IFERROR(__xludf.DUMMYFUNCTION("""COMPUTED_VALUE"""),"Second 76.24 Tunisia")</f>
        <v>Second 76.24 Tunisia</v>
      </c>
      <c r="H1365" s="1" t="str">
        <f ca="1">IFERROR(__xludf.DUMMYFUNCTION("""COMPUTED_VALUE"""),"Freedom of Expression, Human Rights Defenders")</f>
        <v>Freedom of Expression, Human Rights Defenders</v>
      </c>
      <c r="I1365" s="1" t="str">
        <f ca="1">IFERROR(__xludf.DUMMYFUNCTION("""COMPUTED_VALUE"""),"2025")</f>
        <v>2025</v>
      </c>
      <c r="J1365" s="1" t="str">
        <f ca="1">IFERROR(__xludf.DUMMYFUNCTION("""COMPUTED_VALUE"""),"Email")</f>
        <v>Email</v>
      </c>
    </row>
    <row r="1366" spans="1:10" ht="13" x14ac:dyDescent="0.15">
      <c r="A1366" s="4">
        <f ca="1">IFERROR(__xludf.DUMMYFUNCTION("""COMPUTED_VALUE"""),124197325)</f>
        <v>124197325</v>
      </c>
      <c r="B1366" s="1" t="str">
        <f ca="1">IFERROR(__xludf.DUMMYFUNCTION("""COMPUTED_VALUE"""),"b_margay@yahoo.com")</f>
        <v>b_margay@yahoo.com</v>
      </c>
      <c r="C1366" s="4" t="str">
        <f ca="1">IFERROR(__xludf.DUMMYFUNCTION("""COMPUTED_VALUE"""),"EVERGREEN - UAN Gated Content - Embedded Petition")</f>
        <v>EVERGREEN - UAN Gated Content - Embedded Petition</v>
      </c>
      <c r="D1366" s="5">
        <f ca="1">IFERROR(__xludf.DUMMYFUNCTION("""COMPUTED_VALUE"""),45675)</f>
        <v>45675</v>
      </c>
      <c r="F1366" s="1" t="str">
        <f ca="1">IFERROR(__xludf.DUMMYFUNCTION("""COMPUTED_VALUE"""),"Israel and Occupied Palestinian Territories")</f>
        <v>Israel and Occupied Palestinian Territories</v>
      </c>
      <c r="G1366" s="1" t="str">
        <f ca="1">IFERROR(__xludf.DUMMYFUNCTION("""COMPUTED_VALUE"""),"3.25 IOPT")</f>
        <v>3.25 IOPT</v>
      </c>
      <c r="H1366" s="1" t="str">
        <f ca="1">IFERROR(__xludf.DUMMYFUNCTION("""COMPUTED_VALUE"""),"Freedom of Expression, Individuals At Risk")</f>
        <v>Freedom of Expression, Individuals At Risk</v>
      </c>
      <c r="I1366" s="1" t="str">
        <f ca="1">IFERROR(__xludf.DUMMYFUNCTION("""COMPUTED_VALUE"""),"2025")</f>
        <v>2025</v>
      </c>
      <c r="J1366" s="1" t="str">
        <f ca="1">IFERROR(__xludf.DUMMYFUNCTION("""COMPUTED_VALUE"""),"Email")</f>
        <v>Email</v>
      </c>
    </row>
    <row r="1367" spans="1:10" ht="13" x14ac:dyDescent="0.15">
      <c r="A1367" s="4">
        <f ca="1">IFERROR(__xludf.DUMMYFUNCTION("""COMPUTED_VALUE"""),124231681)</f>
        <v>124231681</v>
      </c>
      <c r="B1367" s="1" t="str">
        <f ca="1">IFERROR(__xludf.DUMMYFUNCTION("""COMPUTED_VALUE"""),"debby20878@yahoo.com")</f>
        <v>debby20878@yahoo.com</v>
      </c>
      <c r="C1367" s="4" t="str">
        <f ca="1">IFERROR(__xludf.DUMMYFUNCTION("""COMPUTED_VALUE"""),"EVERGREEN - UAN Gated Content - Embedded Petition")</f>
        <v>EVERGREEN - UAN Gated Content - Embedded Petition</v>
      </c>
      <c r="D1367" s="5">
        <f ca="1">IFERROR(__xludf.DUMMYFUNCTION("""COMPUTED_VALUE"""),45705)</f>
        <v>45705</v>
      </c>
      <c r="F1367" s="1" t="str">
        <f ca="1">IFERROR(__xludf.DUMMYFUNCTION("""COMPUTED_VALUE"""),"Tunisia")</f>
        <v>Tunisia</v>
      </c>
      <c r="G1367" s="1" t="str">
        <f ca="1">IFERROR(__xludf.DUMMYFUNCTION("""COMPUTED_VALUE"""),"Second 76.24 Tunisia")</f>
        <v>Second 76.24 Tunisia</v>
      </c>
      <c r="H1367" s="1" t="str">
        <f ca="1">IFERROR(__xludf.DUMMYFUNCTION("""COMPUTED_VALUE"""),"Freedom of Expression, Human Rights Defenders")</f>
        <v>Freedom of Expression, Human Rights Defenders</v>
      </c>
      <c r="I1367" s="1" t="str">
        <f ca="1">IFERROR(__xludf.DUMMYFUNCTION("""COMPUTED_VALUE"""),"2025")</f>
        <v>2025</v>
      </c>
      <c r="J1367" s="1" t="str">
        <f ca="1">IFERROR(__xludf.DUMMYFUNCTION("""COMPUTED_VALUE"""),"Email")</f>
        <v>Email</v>
      </c>
    </row>
    <row r="1368" spans="1:10" ht="13" x14ac:dyDescent="0.15">
      <c r="A1368" s="4">
        <f ca="1">IFERROR(__xludf.DUMMYFUNCTION("""COMPUTED_VALUE"""),124365896)</f>
        <v>124365896</v>
      </c>
      <c r="B1368" s="1" t="str">
        <f ca="1">IFERROR(__xludf.DUMMYFUNCTION("""COMPUTED_VALUE"""),"azanella@jsd.claremont.edu")</f>
        <v>azanella@jsd.claremont.edu</v>
      </c>
      <c r="C1368" s="4" t="str">
        <f ca="1">IFERROR(__xludf.DUMMYFUNCTION("""COMPUTED_VALUE"""),"EVERGREEN - UAN Gated Content - Embedded Petition")</f>
        <v>EVERGREEN - UAN Gated Content - Embedded Petition</v>
      </c>
      <c r="D1368" s="5">
        <f ca="1">IFERROR(__xludf.DUMMYFUNCTION("""COMPUTED_VALUE"""),45700)</f>
        <v>45700</v>
      </c>
      <c r="F1368" s="1" t="str">
        <f ca="1">IFERROR(__xludf.DUMMYFUNCTION("""COMPUTED_VALUE"""),"Tunisia")</f>
        <v>Tunisia</v>
      </c>
      <c r="G1368" s="1" t="str">
        <f ca="1">IFERROR(__xludf.DUMMYFUNCTION("""COMPUTED_VALUE"""),"Second 76.24 Tunisia")</f>
        <v>Second 76.24 Tunisia</v>
      </c>
      <c r="H1368" s="1" t="str">
        <f ca="1">IFERROR(__xludf.DUMMYFUNCTION("""COMPUTED_VALUE"""),"Freedom of Expression, Human Rights Defenders")</f>
        <v>Freedom of Expression, Human Rights Defenders</v>
      </c>
      <c r="I1368" s="1" t="str">
        <f ca="1">IFERROR(__xludf.DUMMYFUNCTION("""COMPUTED_VALUE"""),"2025")</f>
        <v>2025</v>
      </c>
      <c r="J1368" s="1" t="str">
        <f ca="1">IFERROR(__xludf.DUMMYFUNCTION("""COMPUTED_VALUE"""),"Email")</f>
        <v>Email</v>
      </c>
    </row>
    <row r="1369" spans="1:10" ht="13" x14ac:dyDescent="0.15">
      <c r="A1369" s="4">
        <f ca="1">IFERROR(__xludf.DUMMYFUNCTION("""COMPUTED_VALUE"""),124365896)</f>
        <v>124365896</v>
      </c>
      <c r="B1369" s="1" t="str">
        <f ca="1">IFERROR(__xludf.DUMMYFUNCTION("""COMPUTED_VALUE"""),"azanella@jsd.claremont.edu")</f>
        <v>azanella@jsd.claremont.edu</v>
      </c>
      <c r="C1369" s="4" t="str">
        <f ca="1">IFERROR(__xludf.DUMMYFUNCTION("""COMPUTED_VALUE"""),"EVERGREEN - UAN Gated Content - Embedded Petition")</f>
        <v>EVERGREEN - UAN Gated Content - Embedded Petition</v>
      </c>
      <c r="D1369" s="5">
        <f ca="1">IFERROR(__xludf.DUMMYFUNCTION("""COMPUTED_VALUE"""),45699)</f>
        <v>45699</v>
      </c>
      <c r="F1369" s="1" t="str">
        <f ca="1">IFERROR(__xludf.DUMMYFUNCTION("""COMPUTED_VALUE"""),"Iran")</f>
        <v>Iran</v>
      </c>
      <c r="G1369" s="1" t="str">
        <f ca="1">IFERROR(__xludf.DUMMYFUNCTION("""COMPUTED_VALUE"""),"10.25 Iran")</f>
        <v>10.25 Iran</v>
      </c>
      <c r="H1369" s="1" t="str">
        <f ca="1">IFERROR(__xludf.DUMMYFUNCTION("""COMPUTED_VALUE"""),"Death Penalty, Individuals At Risk")</f>
        <v>Death Penalty, Individuals At Risk</v>
      </c>
      <c r="I1369" s="1" t="str">
        <f ca="1">IFERROR(__xludf.DUMMYFUNCTION("""COMPUTED_VALUE"""),"2025")</f>
        <v>2025</v>
      </c>
      <c r="J1369" s="1" t="str">
        <f ca="1">IFERROR(__xludf.DUMMYFUNCTION("""COMPUTED_VALUE"""),"Email")</f>
        <v>Email</v>
      </c>
    </row>
    <row r="1370" spans="1:10" ht="13" x14ac:dyDescent="0.15">
      <c r="A1370" s="4">
        <f ca="1">IFERROR(__xludf.DUMMYFUNCTION("""COMPUTED_VALUE"""),124365896)</f>
        <v>124365896</v>
      </c>
      <c r="B1370" s="1" t="str">
        <f ca="1">IFERROR(__xludf.DUMMYFUNCTION("""COMPUTED_VALUE"""),"azanella@jsd.claremont.edu")</f>
        <v>azanella@jsd.claremont.edu</v>
      </c>
      <c r="C1370" s="4" t="str">
        <f ca="1">IFERROR(__xludf.DUMMYFUNCTION("""COMPUTED_VALUE"""),"EVERGREEN - UAN Gated Content - Embedded Petition")</f>
        <v>EVERGREEN - UAN Gated Content - Embedded Petition</v>
      </c>
      <c r="D1370" s="5">
        <f ca="1">IFERROR(__xludf.DUMMYFUNCTION("""COMPUTED_VALUE"""),45700)</f>
        <v>45700</v>
      </c>
      <c r="F1370" s="1" t="str">
        <f ca="1">IFERROR(__xludf.DUMMYFUNCTION("""COMPUTED_VALUE"""),"Iran")</f>
        <v>Iran</v>
      </c>
      <c r="G1370" s="1" t="str">
        <f ca="1">IFERROR(__xludf.DUMMYFUNCTION("""COMPUTED_VALUE"""),"6.25 Iran")</f>
        <v>6.25 Iran</v>
      </c>
      <c r="H1370" s="1" t="str">
        <f ca="1">IFERROR(__xludf.DUMMYFUNCTION("""COMPUTED_VALUE"""),"Death Penalty, Freedom of Expression, Individuals At Risk")</f>
        <v>Death Penalty, Freedom of Expression, Individuals At Risk</v>
      </c>
      <c r="I1370" s="1" t="str">
        <f ca="1">IFERROR(__xludf.DUMMYFUNCTION("""COMPUTED_VALUE"""),"2025")</f>
        <v>2025</v>
      </c>
      <c r="J1370" s="1" t="str">
        <f ca="1">IFERROR(__xludf.DUMMYFUNCTION("""COMPUTED_VALUE"""),"Email")</f>
        <v>Email</v>
      </c>
    </row>
    <row r="1371" spans="1:10" ht="13" x14ac:dyDescent="0.15">
      <c r="A1371" s="4">
        <f ca="1">IFERROR(__xludf.DUMMYFUNCTION("""COMPUTED_VALUE"""),124365896)</f>
        <v>124365896</v>
      </c>
      <c r="B1371" s="1" t="str">
        <f ca="1">IFERROR(__xludf.DUMMYFUNCTION("""COMPUTED_VALUE"""),"azanella@jsd.claremont.edu")</f>
        <v>azanella@jsd.claremont.edu</v>
      </c>
      <c r="C1371" s="4" t="str">
        <f ca="1">IFERROR(__xludf.DUMMYFUNCTION("""COMPUTED_VALUE"""),"EVERGREEN - UAN Gated Content - Embedded Petition")</f>
        <v>EVERGREEN - UAN Gated Content - Embedded Petition</v>
      </c>
      <c r="D1371" s="5">
        <f ca="1">IFERROR(__xludf.DUMMYFUNCTION("""COMPUTED_VALUE"""),45699)</f>
        <v>45699</v>
      </c>
      <c r="F1371" s="1" t="str">
        <f ca="1">IFERROR(__xludf.DUMMYFUNCTION("""COMPUTED_VALUE"""),"Turkiye")</f>
        <v>Turkiye</v>
      </c>
      <c r="G1371" s="1" t="str">
        <f ca="1">IFERROR(__xludf.DUMMYFUNCTION("""COMPUTED_VALUE"""),"Second 109.24 Türkiye")</f>
        <v>Second 109.24 Türkiye</v>
      </c>
      <c r="H1371" s="1" t="str">
        <f ca="1">IFERROR(__xludf.DUMMYFUNCTION("""COMPUTED_VALUE"""),"Human Rights Defenders")</f>
        <v>Human Rights Defenders</v>
      </c>
      <c r="I1371" s="1" t="str">
        <f ca="1">IFERROR(__xludf.DUMMYFUNCTION("""COMPUTED_VALUE"""),"2025")</f>
        <v>2025</v>
      </c>
      <c r="J1371" s="1" t="str">
        <f ca="1">IFERROR(__xludf.DUMMYFUNCTION("""COMPUTED_VALUE"""),"Email")</f>
        <v>Email</v>
      </c>
    </row>
    <row r="1372" spans="1:10" ht="13" x14ac:dyDescent="0.15">
      <c r="A1372" s="4">
        <f ca="1">IFERROR(__xludf.DUMMYFUNCTION("""COMPUTED_VALUE"""),124365896)</f>
        <v>124365896</v>
      </c>
      <c r="B1372" s="1" t="str">
        <f ca="1">IFERROR(__xludf.DUMMYFUNCTION("""COMPUTED_VALUE"""),"azanella@jsd.claremont.edu")</f>
        <v>azanella@jsd.claremont.edu</v>
      </c>
      <c r="C1372" s="4" t="str">
        <f ca="1">IFERROR(__xludf.DUMMYFUNCTION("""COMPUTED_VALUE"""),"EVERGREEN - UAN Gated Content - Embedded Petition")</f>
        <v>EVERGREEN - UAN Gated Content - Embedded Petition</v>
      </c>
      <c r="D1372" s="5">
        <f ca="1">IFERROR(__xludf.DUMMYFUNCTION("""COMPUTED_VALUE"""),45702)</f>
        <v>45702</v>
      </c>
      <c r="F1372" s="1" t="str">
        <f ca="1">IFERROR(__xludf.DUMMYFUNCTION("""COMPUTED_VALUE"""),"USA")</f>
        <v>USA</v>
      </c>
      <c r="G1372" s="1" t="str">
        <f ca="1">IFERROR(__xludf.DUMMYFUNCTION("""COMPUTED_VALUE"""),"4.25 USA")</f>
        <v>4.25 USA</v>
      </c>
      <c r="H1372" s="1" t="str">
        <f ca="1">IFERROR(__xludf.DUMMYFUNCTION("""COMPUTED_VALUE"""),"Individuals At Risk, Refugee and Migrant Rights")</f>
        <v>Individuals At Risk, Refugee and Migrant Rights</v>
      </c>
      <c r="I1372" s="1" t="str">
        <f ca="1">IFERROR(__xludf.DUMMYFUNCTION("""COMPUTED_VALUE"""),"2025")</f>
        <v>2025</v>
      </c>
      <c r="J1372" s="1" t="str">
        <f ca="1">IFERROR(__xludf.DUMMYFUNCTION("""COMPUTED_VALUE"""),"Letter")</f>
        <v>Letter</v>
      </c>
    </row>
    <row r="1373" spans="1:10" ht="13" x14ac:dyDescent="0.15">
      <c r="A1373" s="4">
        <f ca="1">IFERROR(__xludf.DUMMYFUNCTION("""COMPUTED_VALUE"""),124365896)</f>
        <v>124365896</v>
      </c>
      <c r="B1373" s="1" t="str">
        <f ca="1">IFERROR(__xludf.DUMMYFUNCTION("""COMPUTED_VALUE"""),"azanella@jsd.claremont.edu")</f>
        <v>azanella@jsd.claremont.edu</v>
      </c>
      <c r="C1373" s="4" t="str">
        <f ca="1">IFERROR(__xludf.DUMMYFUNCTION("""COMPUTED_VALUE"""),"EVERGREEN - UAN Gated Content - Embedded Petition")</f>
        <v>EVERGREEN - UAN Gated Content - Embedded Petition</v>
      </c>
      <c r="D1373" s="5">
        <f ca="1">IFERROR(__xludf.DUMMYFUNCTION("""COMPUTED_VALUE"""),45701)</f>
        <v>45701</v>
      </c>
      <c r="F1373" s="1" t="str">
        <f ca="1">IFERROR(__xludf.DUMMYFUNCTION("""COMPUTED_VALUE"""),"Iran")</f>
        <v>Iran</v>
      </c>
      <c r="G1373" s="1" t="str">
        <f ca="1">IFERROR(__xludf.DUMMYFUNCTION("""COMPUTED_VALUE"""),"Seventh 103.22 Iran")</f>
        <v>Seventh 103.22 Iran</v>
      </c>
      <c r="H1373" s="1" t="str">
        <f ca="1">IFERROR(__xludf.DUMMYFUNCTION("""COMPUTED_VALUE"""),"Death Penalty, Freedom of Expression, Individuals At Risk")</f>
        <v>Death Penalty, Freedom of Expression, Individuals At Risk</v>
      </c>
      <c r="I1373" s="1" t="str">
        <f ca="1">IFERROR(__xludf.DUMMYFUNCTION("""COMPUTED_VALUE"""),"2024")</f>
        <v>2024</v>
      </c>
      <c r="J1373" s="1" t="str">
        <f ca="1">IFERROR(__xludf.DUMMYFUNCTION("""COMPUTED_VALUE"""),"Email")</f>
        <v>Email</v>
      </c>
    </row>
    <row r="1374" spans="1:10" ht="13" x14ac:dyDescent="0.15">
      <c r="A1374" s="4">
        <f ca="1">IFERROR(__xludf.DUMMYFUNCTION("""COMPUTED_VALUE"""),124365896)</f>
        <v>124365896</v>
      </c>
      <c r="B1374" s="1" t="str">
        <f ca="1">IFERROR(__xludf.DUMMYFUNCTION("""COMPUTED_VALUE"""),"azanella@jsd.claremont.edu")</f>
        <v>azanella@jsd.claremont.edu</v>
      </c>
      <c r="C1374" s="4" t="str">
        <f ca="1">IFERROR(__xludf.DUMMYFUNCTION("""COMPUTED_VALUE"""),"EVERGREEN - UAN Gated Content - Embedded Petition")</f>
        <v>EVERGREEN - UAN Gated Content - Embedded Petition</v>
      </c>
      <c r="D1374" s="5">
        <f ca="1">IFERROR(__xludf.DUMMYFUNCTION("""COMPUTED_VALUE"""),45700)</f>
        <v>45700</v>
      </c>
      <c r="F1374" s="1" t="str">
        <f ca="1">IFERROR(__xludf.DUMMYFUNCTION("""COMPUTED_VALUE"""),"Iran")</f>
        <v>Iran</v>
      </c>
      <c r="G1374" s="1" t="str">
        <f ca="1">IFERROR(__xludf.DUMMYFUNCTION("""COMPUTED_VALUE"""),"Seventh 103.22 Iran")</f>
        <v>Seventh 103.22 Iran</v>
      </c>
      <c r="H1374" s="1" t="str">
        <f ca="1">IFERROR(__xludf.DUMMYFUNCTION("""COMPUTED_VALUE"""),"Death Penalty, Freedom of Expression, Individuals At Risk")</f>
        <v>Death Penalty, Freedom of Expression, Individuals At Risk</v>
      </c>
      <c r="I1374" s="1" t="str">
        <f ca="1">IFERROR(__xludf.DUMMYFUNCTION("""COMPUTED_VALUE"""),"2024")</f>
        <v>2024</v>
      </c>
      <c r="J1374" s="1" t="str">
        <f ca="1">IFERROR(__xludf.DUMMYFUNCTION("""COMPUTED_VALUE"""),"Email")</f>
        <v>Email</v>
      </c>
    </row>
    <row r="1375" spans="1:10" ht="13" x14ac:dyDescent="0.15">
      <c r="A1375" s="4">
        <f ca="1">IFERROR(__xludf.DUMMYFUNCTION("""COMPUTED_VALUE"""),124432460)</f>
        <v>124432460</v>
      </c>
      <c r="B1375" s="1" t="str">
        <f ca="1">IFERROR(__xludf.DUMMYFUNCTION("""COMPUTED_VALUE"""),"jilevy55@gmail.com")</f>
        <v>jilevy55@gmail.com</v>
      </c>
      <c r="C1375" s="4" t="str">
        <f ca="1">IFERROR(__xludf.DUMMYFUNCTION("""COMPUTED_VALUE"""),"EVERGREEN - UAN Gated Content - Embedded Petition")</f>
        <v>EVERGREEN - UAN Gated Content - Embedded Petition</v>
      </c>
      <c r="D1375" s="5">
        <f ca="1">IFERROR(__xludf.DUMMYFUNCTION("""COMPUTED_VALUE"""),45694)</f>
        <v>45694</v>
      </c>
      <c r="F1375" s="1" t="str">
        <f ca="1">IFERROR(__xludf.DUMMYFUNCTION("""COMPUTED_VALUE"""),"USA")</f>
        <v>USA</v>
      </c>
      <c r="G1375" s="1" t="str">
        <f ca="1">IFERROR(__xludf.DUMMYFUNCTION("""COMPUTED_VALUE"""),"105.24 USA")</f>
        <v>105.24 USA</v>
      </c>
      <c r="H1375" s="1" t="str">
        <f ca="1">IFERROR(__xludf.DUMMYFUNCTION("""COMPUTED_VALUE"""),"Death Penalty")</f>
        <v>Death Penalty</v>
      </c>
      <c r="I1375" s="1" t="str">
        <f ca="1">IFERROR(__xludf.DUMMYFUNCTION("""COMPUTED_VALUE"""),"2024")</f>
        <v>2024</v>
      </c>
      <c r="J1375" s="1" t="str">
        <f ca="1">IFERROR(__xludf.DUMMYFUNCTION("""COMPUTED_VALUE"""),"Email")</f>
        <v>Email</v>
      </c>
    </row>
    <row r="1376" spans="1:10" ht="13" x14ac:dyDescent="0.15">
      <c r="A1376" s="4">
        <f ca="1">IFERROR(__xludf.DUMMYFUNCTION("""COMPUTED_VALUE"""),124926707)</f>
        <v>124926707</v>
      </c>
      <c r="B1376" s="1" t="str">
        <f ca="1">IFERROR(__xludf.DUMMYFUNCTION("""COMPUTED_VALUE"""),"mltessler88@gmail.com")</f>
        <v>mltessler88@gmail.com</v>
      </c>
      <c r="C1376" s="4" t="str">
        <f ca="1">IFERROR(__xludf.DUMMYFUNCTION("""COMPUTED_VALUE"""),"EVERGREEN - UAN Gated Content - Embedded Petition")</f>
        <v>EVERGREEN - UAN Gated Content - Embedded Petition</v>
      </c>
      <c r="D1376" s="5">
        <f ca="1">IFERROR(__xludf.DUMMYFUNCTION("""COMPUTED_VALUE"""),45636)</f>
        <v>45636</v>
      </c>
      <c r="F1376" s="1" t="str">
        <f ca="1">IFERROR(__xludf.DUMMYFUNCTION("""COMPUTED_VALUE"""),"USA")</f>
        <v>USA</v>
      </c>
      <c r="G1376" s="1" t="str">
        <f ca="1">IFERROR(__xludf.DUMMYFUNCTION("""COMPUTED_VALUE"""),"Fourth 55.24 USA")</f>
        <v>Fourth 55.24 USA</v>
      </c>
      <c r="H1376" s="1" t="str">
        <f ca="1">IFERROR(__xludf.DUMMYFUNCTION("""COMPUTED_VALUE"""),"Climate Justice, Individuals At Risk")</f>
        <v>Climate Justice, Individuals At Risk</v>
      </c>
      <c r="I1376" s="1" t="str">
        <f ca="1">IFERROR(__xludf.DUMMYFUNCTION("""COMPUTED_VALUE"""),"2025")</f>
        <v>2025</v>
      </c>
      <c r="J1376" s="1" t="str">
        <f ca="1">IFERROR(__xludf.DUMMYFUNCTION("""COMPUTED_VALUE"""),"Email")</f>
        <v>Email</v>
      </c>
    </row>
    <row r="1377" spans="1:10" ht="13" x14ac:dyDescent="0.15">
      <c r="A1377" s="4">
        <f ca="1">IFERROR(__xludf.DUMMYFUNCTION("""COMPUTED_VALUE"""),124926707)</f>
        <v>124926707</v>
      </c>
      <c r="B1377" s="1" t="str">
        <f ca="1">IFERROR(__xludf.DUMMYFUNCTION("""COMPUTED_VALUE"""),"mltessler88@gmail.com")</f>
        <v>mltessler88@gmail.com</v>
      </c>
      <c r="C1377" s="4" t="str">
        <f ca="1">IFERROR(__xludf.DUMMYFUNCTION("""COMPUTED_VALUE"""),"EVERGREEN - Website Email Capture Form - UAN Pre-Footer")</f>
        <v>EVERGREEN - Website Email Capture Form - UAN Pre-Footer</v>
      </c>
      <c r="D1377" s="5">
        <f ca="1">IFERROR(__xludf.DUMMYFUNCTION("""COMPUTED_VALUE"""),45655)</f>
        <v>45655</v>
      </c>
      <c r="F1377" s="1" t="str">
        <f ca="1">IFERROR(__xludf.DUMMYFUNCTION("""COMPUTED_VALUE"""),"Israel and Occupied Palestinian Territories")</f>
        <v>Israel and Occupied Palestinian Territories</v>
      </c>
      <c r="G1377" s="1" t="str">
        <f ca="1">IFERROR(__xludf.DUMMYFUNCTION("""COMPUTED_VALUE"""),"3.25 IOPT")</f>
        <v>3.25 IOPT</v>
      </c>
      <c r="H1377" s="1" t="str">
        <f ca="1">IFERROR(__xludf.DUMMYFUNCTION("""COMPUTED_VALUE"""),"Freedom of Expression, Individuals At Risk")</f>
        <v>Freedom of Expression, Individuals At Risk</v>
      </c>
      <c r="I1377" s="1" t="str">
        <f ca="1">IFERROR(__xludf.DUMMYFUNCTION("""COMPUTED_VALUE"""),"2025")</f>
        <v>2025</v>
      </c>
      <c r="J1377" s="1" t="str">
        <f ca="1">IFERROR(__xludf.DUMMYFUNCTION("""COMPUTED_VALUE"""),"Email")</f>
        <v>Email</v>
      </c>
    </row>
    <row r="1378" spans="1:10" ht="13" x14ac:dyDescent="0.15">
      <c r="A1378" s="4">
        <f ca="1">IFERROR(__xludf.DUMMYFUNCTION("""COMPUTED_VALUE"""),124926707)</f>
        <v>124926707</v>
      </c>
      <c r="B1378" s="1" t="str">
        <f ca="1">IFERROR(__xludf.DUMMYFUNCTION("""COMPUTED_VALUE"""),"mltessler88@gmail.com")</f>
        <v>mltessler88@gmail.com</v>
      </c>
      <c r="C1378" s="4" t="str">
        <f ca="1">IFERROR(__xludf.DUMMYFUNCTION("""COMPUTED_VALUE"""),"EVERGREEN - Website Email Capture Form - UAN Pre-Footer")</f>
        <v>EVERGREEN - Website Email Capture Form - UAN Pre-Footer</v>
      </c>
      <c r="D1378" s="5">
        <f ca="1">IFERROR(__xludf.DUMMYFUNCTION("""COMPUTED_VALUE"""),45675)</f>
        <v>45675</v>
      </c>
      <c r="F1378" s="1" t="str">
        <f ca="1">IFERROR(__xludf.DUMMYFUNCTION("""COMPUTED_VALUE"""),"Canada")</f>
        <v>Canada</v>
      </c>
      <c r="G1378" s="1" t="str">
        <f ca="1">IFERROR(__xludf.DUMMYFUNCTION("""COMPUTED_VALUE"""),"99.24 Canada")</f>
        <v>99.24 Canada</v>
      </c>
      <c r="H1378" s="1" t="str">
        <f ca="1">IFERROR(__xludf.DUMMYFUNCTION("""COMPUTED_VALUE"""),"Climate Justice, Indigenous Rights, Right to Protest")</f>
        <v>Climate Justice, Indigenous Rights, Right to Protest</v>
      </c>
      <c r="I1378" s="1" t="str">
        <f ca="1">IFERROR(__xludf.DUMMYFUNCTION("""COMPUTED_VALUE"""),"2024")</f>
        <v>2024</v>
      </c>
      <c r="J1378" s="1" t="str">
        <f ca="1">IFERROR(__xludf.DUMMYFUNCTION("""COMPUTED_VALUE"""),"Letter")</f>
        <v>Letter</v>
      </c>
    </row>
    <row r="1379" spans="1:10" ht="13" x14ac:dyDescent="0.15">
      <c r="A1379" s="4">
        <f ca="1">IFERROR(__xludf.DUMMYFUNCTION("""COMPUTED_VALUE"""),125096057)</f>
        <v>125096057</v>
      </c>
      <c r="B1379" s="1" t="str">
        <f ca="1">IFERROR(__xludf.DUMMYFUNCTION("""COMPUTED_VALUE"""),"luckydog@tutamail.com")</f>
        <v>luckydog@tutamail.com</v>
      </c>
      <c r="C1379" s="4" t="str">
        <f ca="1">IFERROR(__xludf.DUMMYFUNCTION("""COMPUTED_VALUE"""),"EVERGREEN - UAN Gated Content - Embedded Petition")</f>
        <v>EVERGREEN - UAN Gated Content - Embedded Petition</v>
      </c>
      <c r="D1379" s="5">
        <f ca="1">IFERROR(__xludf.DUMMYFUNCTION("""COMPUTED_VALUE"""),45680)</f>
        <v>45680</v>
      </c>
      <c r="F1379" s="1" t="str">
        <f ca="1">IFERROR(__xludf.DUMMYFUNCTION("""COMPUTED_VALUE"""),"Iran")</f>
        <v>Iran</v>
      </c>
      <c r="G1379" s="1" t="str">
        <f ca="1">IFERROR(__xludf.DUMMYFUNCTION("""COMPUTED_VALUE"""),"101.24 Iran")</f>
        <v>101.24 Iran</v>
      </c>
      <c r="H1379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1379" s="1" t="str">
        <f ca="1">IFERROR(__xludf.DUMMYFUNCTION("""COMPUTED_VALUE"""),"2024")</f>
        <v>2024</v>
      </c>
      <c r="J1379" s="1" t="str">
        <f ca="1">IFERROR(__xludf.DUMMYFUNCTION("""COMPUTED_VALUE"""),"Email")</f>
        <v>Email</v>
      </c>
    </row>
    <row r="1380" spans="1:10" ht="13" x14ac:dyDescent="0.15">
      <c r="A1380" s="4">
        <f ca="1">IFERROR(__xludf.DUMMYFUNCTION("""COMPUTED_VALUE"""),125096057)</f>
        <v>125096057</v>
      </c>
      <c r="B1380" s="1" t="str">
        <f ca="1">IFERROR(__xludf.DUMMYFUNCTION("""COMPUTED_VALUE"""),"luckydog@tutamail.com")</f>
        <v>luckydog@tutamail.com</v>
      </c>
      <c r="C1380" s="4" t="str">
        <f ca="1">IFERROR(__xludf.DUMMYFUNCTION("""COMPUTED_VALUE"""),"EVERGREEN - UAN Gated Content - Embedded Petition")</f>
        <v>EVERGREEN - UAN Gated Content - Embedded Petition</v>
      </c>
      <c r="D1380" s="5">
        <f ca="1">IFERROR(__xludf.DUMMYFUNCTION("""COMPUTED_VALUE"""),45652)</f>
        <v>45652</v>
      </c>
      <c r="F1380" s="1" t="str">
        <f ca="1">IFERROR(__xludf.DUMMYFUNCTION("""COMPUTED_VALUE"""),"")</f>
        <v/>
      </c>
      <c r="G1380" s="1" t="str">
        <f ca="1">IFERROR(__xludf.DUMMYFUNCTION("""COMPUTED_VALUE"""),"104.24 Saudi Arabia")</f>
        <v>104.24 Saudi Arabia</v>
      </c>
      <c r="H1380" s="1" t="str">
        <f ca="1">IFERROR(__xludf.DUMMYFUNCTION("""COMPUTED_VALUE"""),"")</f>
        <v/>
      </c>
      <c r="I1380" s="1" t="str">
        <f ca="1">IFERROR(__xludf.DUMMYFUNCTION("""COMPUTED_VALUE"""),"2024")</f>
        <v>2024</v>
      </c>
      <c r="J1380" s="1" t="str">
        <f ca="1">IFERROR(__xludf.DUMMYFUNCTION("""COMPUTED_VALUE"""),"Letter")</f>
        <v>Letter</v>
      </c>
    </row>
    <row r="1381" spans="1:10" ht="13" x14ac:dyDescent="0.15">
      <c r="A1381" s="4">
        <f ca="1">IFERROR(__xludf.DUMMYFUNCTION("""COMPUTED_VALUE"""),125096057)</f>
        <v>125096057</v>
      </c>
      <c r="B1381" s="1" t="str">
        <f ca="1">IFERROR(__xludf.DUMMYFUNCTION("""COMPUTED_VALUE"""),"luckydog@tutamail.com")</f>
        <v>luckydog@tutamail.com</v>
      </c>
      <c r="C1381" s="4" t="str">
        <f ca="1">IFERROR(__xludf.DUMMYFUNCTION("""COMPUTED_VALUE"""),"EVERGREEN - UAN Gated Content - Embedded Petition")</f>
        <v>EVERGREEN - UAN Gated Content - Embedded Petition</v>
      </c>
      <c r="D1381" s="5">
        <f ca="1">IFERROR(__xludf.DUMMYFUNCTION("""COMPUTED_VALUE"""),45652)</f>
        <v>45652</v>
      </c>
      <c r="F1381" s="1" t="str">
        <f ca="1">IFERROR(__xludf.DUMMYFUNCTION("""COMPUTED_VALUE"""),"Singapore")</f>
        <v>Singapore</v>
      </c>
      <c r="G1381" s="1" t="str">
        <f ca="1">IFERROR(__xludf.DUMMYFUNCTION("""COMPUTED_VALUE"""),"107.24 Singapore")</f>
        <v>107.24 Singapore</v>
      </c>
      <c r="H1381" s="1" t="str">
        <f ca="1">IFERROR(__xludf.DUMMYFUNCTION("""COMPUTED_VALUE"""),"Death Penalty")</f>
        <v>Death Penalty</v>
      </c>
      <c r="I1381" s="1" t="str">
        <f ca="1">IFERROR(__xludf.DUMMYFUNCTION("""COMPUTED_VALUE"""),"2024")</f>
        <v>2024</v>
      </c>
      <c r="J1381" s="1" t="str">
        <f ca="1">IFERROR(__xludf.DUMMYFUNCTION("""COMPUTED_VALUE"""),"Email")</f>
        <v>Email</v>
      </c>
    </row>
    <row r="1382" spans="1:10" ht="13" x14ac:dyDescent="0.15">
      <c r="A1382" s="4">
        <f ca="1">IFERROR(__xludf.DUMMYFUNCTION("""COMPUTED_VALUE"""),125096057)</f>
        <v>125096057</v>
      </c>
      <c r="B1382" s="1" t="str">
        <f ca="1">IFERROR(__xludf.DUMMYFUNCTION("""COMPUTED_VALUE"""),"luckydog@tutamail.com")</f>
        <v>luckydog@tutamail.com</v>
      </c>
      <c r="C1382" s="4" t="str">
        <f ca="1">IFERROR(__xludf.DUMMYFUNCTION("""COMPUTED_VALUE"""),"EVERGREEN - UAN Gated Content - Embedded Petition")</f>
        <v>EVERGREEN - UAN Gated Content - Embedded Petition</v>
      </c>
      <c r="D1382" s="5">
        <f ca="1">IFERROR(__xludf.DUMMYFUNCTION("""COMPUTED_VALUE"""),45680)</f>
        <v>45680</v>
      </c>
      <c r="F1382" s="1" t="str">
        <f ca="1">IFERROR(__xludf.DUMMYFUNCTION("""COMPUTED_VALUE"""),"Canada")</f>
        <v>Canada</v>
      </c>
      <c r="G1382" s="1" t="str">
        <f ca="1">IFERROR(__xludf.DUMMYFUNCTION("""COMPUTED_VALUE"""),"99.24 Canada")</f>
        <v>99.24 Canada</v>
      </c>
      <c r="H1382" s="1" t="str">
        <f ca="1">IFERROR(__xludf.DUMMYFUNCTION("""COMPUTED_VALUE"""),"Climate Justice, Indigenous Rights, Right to Protest")</f>
        <v>Climate Justice, Indigenous Rights, Right to Protest</v>
      </c>
      <c r="I1382" s="1" t="str">
        <f ca="1">IFERROR(__xludf.DUMMYFUNCTION("""COMPUTED_VALUE"""),"2024")</f>
        <v>2024</v>
      </c>
      <c r="J1382" s="1" t="str">
        <f ca="1">IFERROR(__xludf.DUMMYFUNCTION("""COMPUTED_VALUE"""),"Letter")</f>
        <v>Letter</v>
      </c>
    </row>
    <row r="1383" spans="1:10" ht="13" x14ac:dyDescent="0.15">
      <c r="A1383" s="4">
        <f ca="1">IFERROR(__xludf.DUMMYFUNCTION("""COMPUTED_VALUE"""),125096057)</f>
        <v>125096057</v>
      </c>
      <c r="B1383" s="1" t="str">
        <f ca="1">IFERROR(__xludf.DUMMYFUNCTION("""COMPUTED_VALUE"""),"luckydog@tutamail.com")</f>
        <v>luckydog@tutamail.com</v>
      </c>
      <c r="C1383" s="4" t="str">
        <f ca="1">IFERROR(__xludf.DUMMYFUNCTION("""COMPUTED_VALUE"""),"EVERGREEN - UAN Gated Content - Embedded Petition")</f>
        <v>EVERGREEN - UAN Gated Content - Embedded Petition</v>
      </c>
      <c r="D1383" s="5">
        <f ca="1">IFERROR(__xludf.DUMMYFUNCTION("""COMPUTED_VALUE"""),45680)</f>
        <v>45680</v>
      </c>
      <c r="F1383" s="1" t="str">
        <f ca="1">IFERROR(__xludf.DUMMYFUNCTION("""COMPUTED_VALUE"""),"Egypt")</f>
        <v>Egypt</v>
      </c>
      <c r="G1383" s="1" t="str">
        <f ca="1">IFERROR(__xludf.DUMMYFUNCTION("""COMPUTED_VALUE"""),"Ninth 190.18 Egypt")</f>
        <v>Ninth 190.18 Egypt</v>
      </c>
      <c r="H1383" s="1" t="str">
        <f ca="1">IFERROR(__xludf.DUMMYFUNCTION("""COMPUTED_VALUE"""),"Freedom of Expression, Individuals At Risk")</f>
        <v>Freedom of Expression, Individuals At Risk</v>
      </c>
      <c r="I1383" s="1" t="str">
        <f ca="1">IFERROR(__xludf.DUMMYFUNCTION("""COMPUTED_VALUE"""),"2024")</f>
        <v>2024</v>
      </c>
      <c r="J1383" s="1" t="str">
        <f ca="1">IFERROR(__xludf.DUMMYFUNCTION("""COMPUTED_VALUE"""),"Letter")</f>
        <v>Letter</v>
      </c>
    </row>
    <row r="1384" spans="1:10" ht="13" x14ac:dyDescent="0.15">
      <c r="A1384" s="4">
        <f ca="1">IFERROR(__xludf.DUMMYFUNCTION("""COMPUTED_VALUE"""),125096057)</f>
        <v>125096057</v>
      </c>
      <c r="B1384" s="1" t="str">
        <f ca="1">IFERROR(__xludf.DUMMYFUNCTION("""COMPUTED_VALUE"""),"luckydog@tutamail.com")</f>
        <v>luckydog@tutamail.com</v>
      </c>
      <c r="C1384" s="4" t="str">
        <f ca="1">IFERROR(__xludf.DUMMYFUNCTION("""COMPUTED_VALUE"""),"EVERGREEN - UAN Gated Content - Embedded Petition")</f>
        <v>EVERGREEN - UAN Gated Content - Embedded Petition</v>
      </c>
      <c r="D1384" s="5">
        <f ca="1">IFERROR(__xludf.DUMMYFUNCTION("""COMPUTED_VALUE"""),45680)</f>
        <v>45680</v>
      </c>
      <c r="F1384" s="1" t="str">
        <f ca="1">IFERROR(__xludf.DUMMYFUNCTION("""COMPUTED_VALUE"""),"Egypt")</f>
        <v>Egypt</v>
      </c>
      <c r="G1384" s="1" t="str">
        <f ca="1">IFERROR(__xludf.DUMMYFUNCTION("""COMPUTED_VALUE"""),"Ninth 190.18 Egypt")</f>
        <v>Ninth 190.18 Egypt</v>
      </c>
      <c r="H1384" s="1" t="str">
        <f ca="1">IFERROR(__xludf.DUMMYFUNCTION("""COMPUTED_VALUE"""),"Freedom of Expression, Individuals At Risk")</f>
        <v>Freedom of Expression, Individuals At Risk</v>
      </c>
      <c r="I1384" s="1" t="str">
        <f ca="1">IFERROR(__xludf.DUMMYFUNCTION("""COMPUTED_VALUE"""),"2024")</f>
        <v>2024</v>
      </c>
      <c r="J1384" s="1" t="str">
        <f ca="1">IFERROR(__xludf.DUMMYFUNCTION("""COMPUTED_VALUE"""),"Letter")</f>
        <v>Letter</v>
      </c>
    </row>
    <row r="1385" spans="1:10" ht="13" x14ac:dyDescent="0.15">
      <c r="A1385" s="4">
        <f ca="1">IFERROR(__xludf.DUMMYFUNCTION("""COMPUTED_VALUE"""),125096057)</f>
        <v>125096057</v>
      </c>
      <c r="B1385" s="1" t="str">
        <f ca="1">IFERROR(__xludf.DUMMYFUNCTION("""COMPUTED_VALUE"""),"luckydog@tutamail.com")</f>
        <v>luckydog@tutamail.com</v>
      </c>
      <c r="C1385" s="4" t="str">
        <f ca="1">IFERROR(__xludf.DUMMYFUNCTION("""COMPUTED_VALUE"""),"EVERGREEN - UAN Gated Content - Embedded Petition")</f>
        <v>EVERGREEN - UAN Gated Content - Embedded Petition</v>
      </c>
      <c r="D1385" s="5">
        <f ca="1">IFERROR(__xludf.DUMMYFUNCTION("""COMPUTED_VALUE"""),45680)</f>
        <v>45680</v>
      </c>
      <c r="F1385" s="1" t="str">
        <f ca="1">IFERROR(__xludf.DUMMYFUNCTION("""COMPUTED_VALUE"""),"Saudi Arabia")</f>
        <v>Saudi Arabia</v>
      </c>
      <c r="G1385" s="1" t="str">
        <f ca="1">IFERROR(__xludf.DUMMYFUNCTION("""COMPUTED_VALUE"""),"Second 85.23 Saudi Arabia")</f>
        <v>Second 85.23 Saudi Arabia</v>
      </c>
      <c r="H1385" s="1" t="str">
        <f ca="1">IFERROR(__xludf.DUMMYFUNCTION("""COMPUTED_VALUE"""),"Freedom of Expression")</f>
        <v>Freedom of Expression</v>
      </c>
      <c r="I1385" s="1" t="str">
        <f ca="1">IFERROR(__xludf.DUMMYFUNCTION("""COMPUTED_VALUE"""),"2024")</f>
        <v>2024</v>
      </c>
      <c r="J1385" s="1" t="str">
        <f ca="1">IFERROR(__xludf.DUMMYFUNCTION("""COMPUTED_VALUE"""),"Letter")</f>
        <v>Letter</v>
      </c>
    </row>
    <row r="1386" spans="1:10" ht="13" x14ac:dyDescent="0.15">
      <c r="A1386" s="4">
        <f ca="1">IFERROR(__xludf.DUMMYFUNCTION("""COMPUTED_VALUE"""),125096057)</f>
        <v>125096057</v>
      </c>
      <c r="B1386" s="1" t="str">
        <f ca="1">IFERROR(__xludf.DUMMYFUNCTION("""COMPUTED_VALUE"""),"luckydog@tutamail.com")</f>
        <v>luckydog@tutamail.com</v>
      </c>
      <c r="C1386" s="4" t="str">
        <f ca="1">IFERROR(__xludf.DUMMYFUNCTION("""COMPUTED_VALUE"""),"EVERGREEN - UAN Gated Content - Embedded Petition")</f>
        <v>EVERGREEN - UAN Gated Content - Embedded Petition</v>
      </c>
      <c r="D1386" s="5">
        <f ca="1">IFERROR(__xludf.DUMMYFUNCTION("""COMPUTED_VALUE"""),45681)</f>
        <v>45681</v>
      </c>
      <c r="F1386" s="1" t="str">
        <f ca="1">IFERROR(__xludf.DUMMYFUNCTION("""COMPUTED_VALUE"""),"Saudi Arabia")</f>
        <v>Saudi Arabia</v>
      </c>
      <c r="G1386" s="1" t="str">
        <f ca="1">IFERROR(__xludf.DUMMYFUNCTION("""COMPUTED_VALUE"""),"Fifth 257.12")</f>
        <v>Fifth 257.12</v>
      </c>
      <c r="H1386" s="1" t="str">
        <f ca="1">IFERROR(__xludf.DUMMYFUNCTION("""COMPUTED_VALUE"""),"Freedom of Expression, Human Rights Defenders")</f>
        <v>Freedom of Expression, Human Rights Defenders</v>
      </c>
      <c r="I1386" s="1" t="str">
        <f ca="1">IFERROR(__xludf.DUMMYFUNCTION("""COMPUTED_VALUE"""),"2025")</f>
        <v>2025</v>
      </c>
      <c r="J1386" s="1" t="str">
        <f ca="1">IFERROR(__xludf.DUMMYFUNCTION("""COMPUTED_VALUE"""),"Email")</f>
        <v>Email</v>
      </c>
    </row>
    <row r="1387" spans="1:10" ht="13" x14ac:dyDescent="0.15">
      <c r="A1387" s="4">
        <f ca="1">IFERROR(__xludf.DUMMYFUNCTION("""COMPUTED_VALUE"""),125096057)</f>
        <v>125096057</v>
      </c>
      <c r="B1387" s="1" t="str">
        <f ca="1">IFERROR(__xludf.DUMMYFUNCTION("""COMPUTED_VALUE"""),"luckydog@tutamail.com")</f>
        <v>luckydog@tutamail.com</v>
      </c>
      <c r="C1387" s="4" t="str">
        <f ca="1">IFERROR(__xludf.DUMMYFUNCTION("""COMPUTED_VALUE"""),"EVERGREEN - UAN Gated Content - Embedded Petition")</f>
        <v>EVERGREEN - UAN Gated Content - Embedded Petition</v>
      </c>
      <c r="D1387" s="5">
        <f ca="1">IFERROR(__xludf.DUMMYFUNCTION("""COMPUTED_VALUE"""),45681)</f>
        <v>45681</v>
      </c>
      <c r="F1387" s="1" t="str">
        <f ca="1">IFERROR(__xludf.DUMMYFUNCTION("""COMPUTED_VALUE"""),"Libya")</f>
        <v>Libya</v>
      </c>
      <c r="G1387" s="1" t="str">
        <f ca="1">IFERROR(__xludf.DUMMYFUNCTION("""COMPUTED_VALUE"""),"12.25 Libya")</f>
        <v>12.25 Libya</v>
      </c>
      <c r="H1387" s="1" t="str">
        <f ca="1">IFERROR(__xludf.DUMMYFUNCTION("""COMPUTED_VALUE"""),"Freedom of Expression, Health, Individuals At Risk")</f>
        <v>Freedom of Expression, Health, Individuals At Risk</v>
      </c>
      <c r="I1387" s="1" t="str">
        <f ca="1">IFERROR(__xludf.DUMMYFUNCTION("""COMPUTED_VALUE"""),"2025")</f>
        <v>2025</v>
      </c>
      <c r="J1387" s="1" t="str">
        <f ca="1">IFERROR(__xludf.DUMMYFUNCTION("""COMPUTED_VALUE"""),"Email")</f>
        <v>Email</v>
      </c>
    </row>
    <row r="1388" spans="1:10" ht="13" x14ac:dyDescent="0.15">
      <c r="A1388" s="4">
        <f ca="1">IFERROR(__xludf.DUMMYFUNCTION("""COMPUTED_VALUE"""),125096057)</f>
        <v>125096057</v>
      </c>
      <c r="B1388" s="1" t="str">
        <f ca="1">IFERROR(__xludf.DUMMYFUNCTION("""COMPUTED_VALUE"""),"luckydog@tutamail.com")</f>
        <v>luckydog@tutamail.com</v>
      </c>
      <c r="C1388" s="4" t="str">
        <f ca="1">IFERROR(__xludf.DUMMYFUNCTION("""COMPUTED_VALUE"""),"EVERGREEN - UAN Gated Content - Embedded Petition")</f>
        <v>EVERGREEN - UAN Gated Content - Embedded Petition</v>
      </c>
      <c r="D1388" s="5">
        <f ca="1">IFERROR(__xludf.DUMMYFUNCTION("""COMPUTED_VALUE"""),45681)</f>
        <v>45681</v>
      </c>
      <c r="F1388" s="1" t="str">
        <f ca="1">IFERROR(__xludf.DUMMYFUNCTION("""COMPUTED_VALUE"""),"Saudi Arabia")</f>
        <v>Saudi Arabia</v>
      </c>
      <c r="G1388" s="1" t="str">
        <f ca="1">IFERROR(__xludf.DUMMYFUNCTION("""COMPUTED_VALUE"""),"Second 85.23 Saudi Arabia")</f>
        <v>Second 85.23 Saudi Arabia</v>
      </c>
      <c r="H1388" s="1" t="str">
        <f ca="1">IFERROR(__xludf.DUMMYFUNCTION("""COMPUTED_VALUE"""),"Freedom of Expression")</f>
        <v>Freedom of Expression</v>
      </c>
      <c r="I1388" s="1" t="str">
        <f ca="1">IFERROR(__xludf.DUMMYFUNCTION("""COMPUTED_VALUE"""),"2024")</f>
        <v>2024</v>
      </c>
      <c r="J1388" s="1" t="str">
        <f ca="1">IFERROR(__xludf.DUMMYFUNCTION("""COMPUTED_VALUE"""),"Letter")</f>
        <v>Letter</v>
      </c>
    </row>
    <row r="1389" spans="1:10" ht="13" x14ac:dyDescent="0.15">
      <c r="A1389" s="4">
        <f ca="1">IFERROR(__xludf.DUMMYFUNCTION("""COMPUTED_VALUE"""),125096057)</f>
        <v>125096057</v>
      </c>
      <c r="B1389" s="1" t="str">
        <f ca="1">IFERROR(__xludf.DUMMYFUNCTION("""COMPUTED_VALUE"""),"luckydog@tutamail.com")</f>
        <v>luckydog@tutamail.com</v>
      </c>
      <c r="C1389" s="4" t="str">
        <f ca="1">IFERROR(__xludf.DUMMYFUNCTION("""COMPUTED_VALUE"""),"EVERGREEN - UAN Gated Content - Embedded Petition")</f>
        <v>EVERGREEN - UAN Gated Content - Embedded Petition</v>
      </c>
      <c r="D1389" s="5">
        <f ca="1">IFERROR(__xludf.DUMMYFUNCTION("""COMPUTED_VALUE"""),45681)</f>
        <v>45681</v>
      </c>
      <c r="F1389" s="1" t="str">
        <f ca="1">IFERROR(__xludf.DUMMYFUNCTION("""COMPUTED_VALUE"""),"Tunisia")</f>
        <v>Tunisia</v>
      </c>
      <c r="G1389" s="1" t="str">
        <f ca="1">IFERROR(__xludf.DUMMYFUNCTION("""COMPUTED_VALUE"""),"Second 76.24 Tunisia")</f>
        <v>Second 76.24 Tunisia</v>
      </c>
      <c r="H1389" s="1" t="str">
        <f ca="1">IFERROR(__xludf.DUMMYFUNCTION("""COMPUTED_VALUE"""),"Freedom of Expression, Human Rights Defenders")</f>
        <v>Freedom of Expression, Human Rights Defenders</v>
      </c>
      <c r="I1389" s="1" t="str">
        <f ca="1">IFERROR(__xludf.DUMMYFUNCTION("""COMPUTED_VALUE"""),"2025")</f>
        <v>2025</v>
      </c>
      <c r="J1389" s="1" t="str">
        <f ca="1">IFERROR(__xludf.DUMMYFUNCTION("""COMPUTED_VALUE"""),"Email")</f>
        <v>Email</v>
      </c>
    </row>
    <row r="1390" spans="1:10" ht="13" x14ac:dyDescent="0.15">
      <c r="A1390" s="4">
        <f ca="1">IFERROR(__xludf.DUMMYFUNCTION("""COMPUTED_VALUE"""),125096057)</f>
        <v>125096057</v>
      </c>
      <c r="B1390" s="1" t="str">
        <f ca="1">IFERROR(__xludf.DUMMYFUNCTION("""COMPUTED_VALUE"""),"luckydog@tutamail.com")</f>
        <v>luckydog@tutamail.com</v>
      </c>
      <c r="C1390" s="4" t="str">
        <f ca="1">IFERROR(__xludf.DUMMYFUNCTION("""COMPUTED_VALUE"""),"EVERGREEN - UAN Gated Content - Embedded Petition")</f>
        <v>EVERGREEN - UAN Gated Content - Embedded Petition</v>
      </c>
      <c r="D1390" s="5">
        <f ca="1">IFERROR(__xludf.DUMMYFUNCTION("""COMPUTED_VALUE"""),45684)</f>
        <v>45684</v>
      </c>
      <c r="F1390" s="1" t="str">
        <f ca="1">IFERROR(__xludf.DUMMYFUNCTION("""COMPUTED_VALUE"""),"USA")</f>
        <v>USA</v>
      </c>
      <c r="G1390" s="1" t="str">
        <f ca="1">IFERROR(__xludf.DUMMYFUNCTION("""COMPUTED_VALUE"""),"105.24 USA")</f>
        <v>105.24 USA</v>
      </c>
      <c r="H1390" s="1" t="str">
        <f ca="1">IFERROR(__xludf.DUMMYFUNCTION("""COMPUTED_VALUE"""),"Death Penalty")</f>
        <v>Death Penalty</v>
      </c>
      <c r="I1390" s="1" t="str">
        <f ca="1">IFERROR(__xludf.DUMMYFUNCTION("""COMPUTED_VALUE"""),"2024")</f>
        <v>2024</v>
      </c>
      <c r="J1390" s="1" t="str">
        <f ca="1">IFERROR(__xludf.DUMMYFUNCTION("""COMPUTED_VALUE"""),"Email")</f>
        <v>Email</v>
      </c>
    </row>
    <row r="1391" spans="1:10" ht="13" x14ac:dyDescent="0.15">
      <c r="A1391" s="4">
        <f ca="1">IFERROR(__xludf.DUMMYFUNCTION("""COMPUTED_VALUE"""),125096057)</f>
        <v>125096057</v>
      </c>
      <c r="B1391" s="1" t="str">
        <f ca="1">IFERROR(__xludf.DUMMYFUNCTION("""COMPUTED_VALUE"""),"luckydog@tutamail.com")</f>
        <v>luckydog@tutamail.com</v>
      </c>
      <c r="C1391" s="4" t="str">
        <f ca="1">IFERROR(__xludf.DUMMYFUNCTION("""COMPUTED_VALUE"""),"EVERGREEN - UAN Gated Content - Embedded Petition")</f>
        <v>EVERGREEN - UAN Gated Content - Embedded Petition</v>
      </c>
      <c r="D1391" s="5">
        <f ca="1">IFERROR(__xludf.DUMMYFUNCTION("""COMPUTED_VALUE"""),45684)</f>
        <v>45684</v>
      </c>
      <c r="F1391" s="1" t="str">
        <f ca="1">IFERROR(__xludf.DUMMYFUNCTION("""COMPUTED_VALUE"""),"USA")</f>
        <v>USA</v>
      </c>
      <c r="G1391" s="1" t="str">
        <f ca="1">IFERROR(__xludf.DUMMYFUNCTION("""COMPUTED_VALUE"""),"96.24 USA")</f>
        <v>96.24 USA</v>
      </c>
      <c r="H1391" s="1" t="str">
        <f ca="1">IFERROR(__xludf.DUMMYFUNCTION("""COMPUTED_VALUE"""),"Death Penalty")</f>
        <v>Death Penalty</v>
      </c>
      <c r="I1391" s="1" t="str">
        <f ca="1">IFERROR(__xludf.DUMMYFUNCTION("""COMPUTED_VALUE"""),"2024")</f>
        <v>2024</v>
      </c>
      <c r="J1391" s="1" t="str">
        <f ca="1">IFERROR(__xludf.DUMMYFUNCTION("""COMPUTED_VALUE"""),"Email")</f>
        <v>Email</v>
      </c>
    </row>
    <row r="1392" spans="1:10" ht="13" x14ac:dyDescent="0.15">
      <c r="A1392" s="4">
        <f ca="1">IFERROR(__xludf.DUMMYFUNCTION("""COMPUTED_VALUE"""),125096057)</f>
        <v>125096057</v>
      </c>
      <c r="B1392" s="1" t="str">
        <f ca="1">IFERROR(__xludf.DUMMYFUNCTION("""COMPUTED_VALUE"""),"luckydog@tutamail.com")</f>
        <v>luckydog@tutamail.com</v>
      </c>
      <c r="C1392" s="4" t="str">
        <f ca="1">IFERROR(__xludf.DUMMYFUNCTION("""COMPUTED_VALUE"""),"EVERGREEN - UAN Gated Content - Embedded Petition")</f>
        <v>EVERGREEN - UAN Gated Content - Embedded Petition</v>
      </c>
      <c r="D1392" s="5">
        <f ca="1">IFERROR(__xludf.DUMMYFUNCTION("""COMPUTED_VALUE"""),45681)</f>
        <v>45681</v>
      </c>
      <c r="F1392" s="1" t="str">
        <f ca="1">IFERROR(__xludf.DUMMYFUNCTION("""COMPUTED_VALUE"""),"USA")</f>
        <v>USA</v>
      </c>
      <c r="G1392" s="1" t="str">
        <f ca="1">IFERROR(__xludf.DUMMYFUNCTION("""COMPUTED_VALUE"""),"4.25 USA")</f>
        <v>4.25 USA</v>
      </c>
      <c r="H1392" s="1" t="str">
        <f ca="1">IFERROR(__xludf.DUMMYFUNCTION("""COMPUTED_VALUE"""),"Individuals At Risk, Refugee and Migrant Rights")</f>
        <v>Individuals At Risk, Refugee and Migrant Rights</v>
      </c>
      <c r="I1392" s="1" t="str">
        <f ca="1">IFERROR(__xludf.DUMMYFUNCTION("""COMPUTED_VALUE"""),"2025")</f>
        <v>2025</v>
      </c>
      <c r="J1392" s="1" t="str">
        <f ca="1">IFERROR(__xludf.DUMMYFUNCTION("""COMPUTED_VALUE"""),"Letter")</f>
        <v>Letter</v>
      </c>
    </row>
    <row r="1393" spans="1:10" ht="13" x14ac:dyDescent="0.15">
      <c r="A1393" s="4">
        <f ca="1">IFERROR(__xludf.DUMMYFUNCTION("""COMPUTED_VALUE"""),125096057)</f>
        <v>125096057</v>
      </c>
      <c r="B1393" s="1" t="str">
        <f ca="1">IFERROR(__xludf.DUMMYFUNCTION("""COMPUTED_VALUE"""),"luckydog@tutamail.com")</f>
        <v>luckydog@tutamail.com</v>
      </c>
      <c r="C1393" s="4" t="str">
        <f ca="1">IFERROR(__xludf.DUMMYFUNCTION("""COMPUTED_VALUE"""),"EVERGREEN - UAN Gated Content - Embedded Petition")</f>
        <v>EVERGREEN - UAN Gated Content - Embedded Petition</v>
      </c>
      <c r="D1393" s="5">
        <f ca="1">IFERROR(__xludf.DUMMYFUNCTION("""COMPUTED_VALUE"""),45680)</f>
        <v>45680</v>
      </c>
      <c r="F1393" s="1" t="str">
        <f ca="1">IFERROR(__xludf.DUMMYFUNCTION("""COMPUTED_VALUE"""),"China")</f>
        <v>China</v>
      </c>
      <c r="G1393" s="1" t="str">
        <f ca="1">IFERROR(__xludf.DUMMYFUNCTION("""COMPUTED_VALUE"""),"98.24 China")</f>
        <v>98.24 China</v>
      </c>
      <c r="H1393" s="1" t="str">
        <f ca="1">IFERROR(__xludf.DUMMYFUNCTION("""COMPUTED_VALUE"""),"Freedom of Expression, Individuals At Risk")</f>
        <v>Freedom of Expression, Individuals At Risk</v>
      </c>
      <c r="I1393" s="1" t="str">
        <f ca="1">IFERROR(__xludf.DUMMYFUNCTION("""COMPUTED_VALUE"""),"2024")</f>
        <v>2024</v>
      </c>
      <c r="J1393" s="1" t="str">
        <f ca="1">IFERROR(__xludf.DUMMYFUNCTION("""COMPUTED_VALUE"""),"Letter")</f>
        <v>Letter</v>
      </c>
    </row>
    <row r="1394" spans="1:10" ht="13" x14ac:dyDescent="0.15">
      <c r="A1394" s="4">
        <f ca="1">IFERROR(__xludf.DUMMYFUNCTION("""COMPUTED_VALUE"""),125096057)</f>
        <v>125096057</v>
      </c>
      <c r="B1394" s="1" t="str">
        <f ca="1">IFERROR(__xludf.DUMMYFUNCTION("""COMPUTED_VALUE"""),"luckydog@tutamail.com")</f>
        <v>luckydog@tutamail.com</v>
      </c>
      <c r="C1394" s="4" t="str">
        <f ca="1">IFERROR(__xludf.DUMMYFUNCTION("""COMPUTED_VALUE"""),"EVERGREEN - UAN Gated Content - Embedded Petition")</f>
        <v>EVERGREEN - UAN Gated Content - Embedded Petition</v>
      </c>
      <c r="D1394" s="5">
        <f ca="1">IFERROR(__xludf.DUMMYFUNCTION("""COMPUTED_VALUE"""),45664)</f>
        <v>45664</v>
      </c>
      <c r="F1394" s="1" t="str">
        <f ca="1">IFERROR(__xludf.DUMMYFUNCTION("""COMPUTED_VALUE"""),"USA")</f>
        <v>USA</v>
      </c>
      <c r="G1394" s="1" t="str">
        <f ca="1">IFERROR(__xludf.DUMMYFUNCTION("""COMPUTED_VALUE"""),"4.25 USA")</f>
        <v>4.25 USA</v>
      </c>
      <c r="H1394" s="1" t="str">
        <f ca="1">IFERROR(__xludf.DUMMYFUNCTION("""COMPUTED_VALUE"""),"Individuals At Risk, Refugee and Migrant Rights")</f>
        <v>Individuals At Risk, Refugee and Migrant Rights</v>
      </c>
      <c r="I1394" s="1" t="str">
        <f ca="1">IFERROR(__xludf.DUMMYFUNCTION("""COMPUTED_VALUE"""),"2025")</f>
        <v>2025</v>
      </c>
      <c r="J1394" s="1" t="str">
        <f ca="1">IFERROR(__xludf.DUMMYFUNCTION("""COMPUTED_VALUE"""),"Letter")</f>
        <v>Letter</v>
      </c>
    </row>
    <row r="1395" spans="1:10" ht="13" x14ac:dyDescent="0.15">
      <c r="A1395" s="4">
        <f ca="1">IFERROR(__xludf.DUMMYFUNCTION("""COMPUTED_VALUE"""),125096057)</f>
        <v>125096057</v>
      </c>
      <c r="B1395" s="1" t="str">
        <f ca="1">IFERROR(__xludf.DUMMYFUNCTION("""COMPUTED_VALUE"""),"luckydog@tutamail.com")</f>
        <v>luckydog@tutamail.com</v>
      </c>
      <c r="C1395" s="4" t="str">
        <f ca="1">IFERROR(__xludf.DUMMYFUNCTION("""COMPUTED_VALUE"""),"EVERGREEN - UAN Gated Content - Embedded Petition")</f>
        <v>EVERGREEN - UAN Gated Content - Embedded Petition</v>
      </c>
      <c r="D1395" s="5">
        <f ca="1">IFERROR(__xludf.DUMMYFUNCTION("""COMPUTED_VALUE"""),45664)</f>
        <v>45664</v>
      </c>
      <c r="F1395" s="1" t="str">
        <f ca="1">IFERROR(__xludf.DUMMYFUNCTION("""COMPUTED_VALUE"""),"Egypt")</f>
        <v>Egypt</v>
      </c>
      <c r="G1395" s="1" t="str">
        <f ca="1">IFERROR(__xludf.DUMMYFUNCTION("""COMPUTED_VALUE"""),"Ninth 190.18 Egypt")</f>
        <v>Ninth 190.18 Egypt</v>
      </c>
      <c r="H1395" s="1" t="str">
        <f ca="1">IFERROR(__xludf.DUMMYFUNCTION("""COMPUTED_VALUE"""),"Freedom of Expression, Individuals At Risk")</f>
        <v>Freedom of Expression, Individuals At Risk</v>
      </c>
      <c r="I1395" s="1" t="str">
        <f ca="1">IFERROR(__xludf.DUMMYFUNCTION("""COMPUTED_VALUE"""),"2024")</f>
        <v>2024</v>
      </c>
      <c r="J1395" s="1" t="str">
        <f ca="1">IFERROR(__xludf.DUMMYFUNCTION("""COMPUTED_VALUE"""),"Letter")</f>
        <v>Letter</v>
      </c>
    </row>
    <row r="1396" spans="1:10" ht="13" x14ac:dyDescent="0.15">
      <c r="A1396" s="4">
        <f ca="1">IFERROR(__xludf.DUMMYFUNCTION("""COMPUTED_VALUE"""),125096057)</f>
        <v>125096057</v>
      </c>
      <c r="B1396" s="1" t="str">
        <f ca="1">IFERROR(__xludf.DUMMYFUNCTION("""COMPUTED_VALUE"""),"luckydog@tutamail.com")</f>
        <v>luckydog@tutamail.com</v>
      </c>
      <c r="C1396" s="4" t="str">
        <f ca="1">IFERROR(__xludf.DUMMYFUNCTION("""COMPUTED_VALUE"""),"EVERGREEN - UAN Gated Content - Embedded Petition")</f>
        <v>EVERGREEN - UAN Gated Content - Embedded Petition</v>
      </c>
      <c r="D1396" s="5">
        <f ca="1">IFERROR(__xludf.DUMMYFUNCTION("""COMPUTED_VALUE"""),45664)</f>
        <v>45664</v>
      </c>
      <c r="F1396" s="1" t="str">
        <f ca="1">IFERROR(__xludf.DUMMYFUNCTION("""COMPUTED_VALUE"""),"Tunisia")</f>
        <v>Tunisia</v>
      </c>
      <c r="G1396" s="1" t="str">
        <f ca="1">IFERROR(__xludf.DUMMYFUNCTION("""COMPUTED_VALUE"""),"Second 76.24 Tunisia")</f>
        <v>Second 76.24 Tunisia</v>
      </c>
      <c r="H1396" s="1" t="str">
        <f ca="1">IFERROR(__xludf.DUMMYFUNCTION("""COMPUTED_VALUE"""),"Freedom of Expression, Human Rights Defenders")</f>
        <v>Freedom of Expression, Human Rights Defenders</v>
      </c>
      <c r="I1396" s="1" t="str">
        <f ca="1">IFERROR(__xludf.DUMMYFUNCTION("""COMPUTED_VALUE"""),"2025")</f>
        <v>2025</v>
      </c>
      <c r="J1396" s="1" t="str">
        <f ca="1">IFERROR(__xludf.DUMMYFUNCTION("""COMPUTED_VALUE"""),"Email")</f>
        <v>Email</v>
      </c>
    </row>
    <row r="1397" spans="1:10" ht="13" x14ac:dyDescent="0.15">
      <c r="A1397" s="4">
        <f ca="1">IFERROR(__xludf.DUMMYFUNCTION("""COMPUTED_VALUE"""),125096057)</f>
        <v>125096057</v>
      </c>
      <c r="B1397" s="1" t="str">
        <f ca="1">IFERROR(__xludf.DUMMYFUNCTION("""COMPUTED_VALUE"""),"luckydog@tutamail.com")</f>
        <v>luckydog@tutamail.com</v>
      </c>
      <c r="C1397" s="4" t="str">
        <f ca="1">IFERROR(__xludf.DUMMYFUNCTION("""COMPUTED_VALUE"""),"EVERGREEN - UAN Gated Content - Embedded Petition")</f>
        <v>EVERGREEN - UAN Gated Content - Embedded Petition</v>
      </c>
      <c r="D1397" s="5">
        <f ca="1">IFERROR(__xludf.DUMMYFUNCTION("""COMPUTED_VALUE"""),45664)</f>
        <v>45664</v>
      </c>
      <c r="F1397" s="1" t="str">
        <f ca="1">IFERROR(__xludf.DUMMYFUNCTION("""COMPUTED_VALUE"""),"Venezuela")</f>
        <v>Venezuela</v>
      </c>
      <c r="G1397" s="1" t="str">
        <f ca="1">IFERROR(__xludf.DUMMYFUNCTION("""COMPUTED_VALUE"""),"97.24 Venezuela")</f>
        <v>97.24 Venezuela</v>
      </c>
      <c r="H1397" s="1" t="str">
        <f ca="1">IFERROR(__xludf.DUMMYFUNCTION("""COMPUTED_VALUE"""),"Freedom of Expression")</f>
        <v>Freedom of Expression</v>
      </c>
      <c r="I1397" s="1" t="str">
        <f ca="1">IFERROR(__xludf.DUMMYFUNCTION("""COMPUTED_VALUE"""),"2024")</f>
        <v>2024</v>
      </c>
      <c r="J1397" s="1" t="str">
        <f ca="1">IFERROR(__xludf.DUMMYFUNCTION("""COMPUTED_VALUE"""),"Letter")</f>
        <v>Letter</v>
      </c>
    </row>
    <row r="1398" spans="1:10" ht="13" x14ac:dyDescent="0.15">
      <c r="A1398" s="4">
        <f ca="1">IFERROR(__xludf.DUMMYFUNCTION("""COMPUTED_VALUE"""),125152026)</f>
        <v>125152026</v>
      </c>
      <c r="B1398" s="1" t="str">
        <f ca="1">IFERROR(__xludf.DUMMYFUNCTION("""COMPUTED_VALUE"""),"sujamthe@gmail.com")</f>
        <v>sujamthe@gmail.com</v>
      </c>
      <c r="C1398" s="4" t="str">
        <f ca="1">IFERROR(__xludf.DUMMYFUNCTION("""COMPUTED_VALUE"""),"EVERGREEN - UAN Gated Content - Embedded Petition")</f>
        <v>EVERGREEN - UAN Gated Content - Embedded Petition</v>
      </c>
      <c r="D1398" s="5">
        <f ca="1">IFERROR(__xludf.DUMMYFUNCTION("""COMPUTED_VALUE"""),45694)</f>
        <v>45694</v>
      </c>
      <c r="F1398" s="1" t="str">
        <f ca="1">IFERROR(__xludf.DUMMYFUNCTION("""COMPUTED_VALUE"""),"Tunisia")</f>
        <v>Tunisia</v>
      </c>
      <c r="G1398" s="1" t="str">
        <f ca="1">IFERROR(__xludf.DUMMYFUNCTION("""COMPUTED_VALUE"""),"Second 76.24 Tunisia")</f>
        <v>Second 76.24 Tunisia</v>
      </c>
      <c r="H1398" s="1" t="str">
        <f ca="1">IFERROR(__xludf.DUMMYFUNCTION("""COMPUTED_VALUE"""),"Freedom of Expression, Human Rights Defenders")</f>
        <v>Freedom of Expression, Human Rights Defenders</v>
      </c>
      <c r="I1398" s="1" t="str">
        <f ca="1">IFERROR(__xludf.DUMMYFUNCTION("""COMPUTED_VALUE"""),"2025")</f>
        <v>2025</v>
      </c>
      <c r="J1398" s="1" t="str">
        <f ca="1">IFERROR(__xludf.DUMMYFUNCTION("""COMPUTED_VALUE"""),"Email")</f>
        <v>Email</v>
      </c>
    </row>
    <row r="1399" spans="1:10" ht="13" x14ac:dyDescent="0.15">
      <c r="A1399" s="4">
        <f ca="1">IFERROR(__xludf.DUMMYFUNCTION("""COMPUTED_VALUE"""),125225643)</f>
        <v>125225643</v>
      </c>
      <c r="B1399" s="1" t="str">
        <f ca="1">IFERROR(__xludf.DUMMYFUNCTION("""COMPUTED_VALUE"""),"jamiek@netidea.com")</f>
        <v>jamiek@netidea.com</v>
      </c>
      <c r="C1399" s="4" t="str">
        <f ca="1">IFERROR(__xludf.DUMMYFUNCTION("""COMPUTED_VALUE"""),"EVERGREEN - UAN Gated Content - Embedded Petition")</f>
        <v>EVERGREEN - UAN Gated Content - Embedded Petition</v>
      </c>
      <c r="D1399" s="5">
        <f ca="1">IFERROR(__xludf.DUMMYFUNCTION("""COMPUTED_VALUE"""),45616)</f>
        <v>45616</v>
      </c>
      <c r="F1399" s="1" t="str">
        <f ca="1">IFERROR(__xludf.DUMMYFUNCTION("""COMPUTED_VALUE"""),"Tunisia")</f>
        <v>Tunisia</v>
      </c>
      <c r="G1399" s="1" t="str">
        <f ca="1">IFERROR(__xludf.DUMMYFUNCTION("""COMPUTED_VALUE"""),"Second 76.24 Tunisia")</f>
        <v>Second 76.24 Tunisia</v>
      </c>
      <c r="H1399" s="1" t="str">
        <f ca="1">IFERROR(__xludf.DUMMYFUNCTION("""COMPUTED_VALUE"""),"Freedom of Expression, Human Rights Defenders")</f>
        <v>Freedom of Expression, Human Rights Defenders</v>
      </c>
      <c r="I1399" s="1" t="str">
        <f ca="1">IFERROR(__xludf.DUMMYFUNCTION("""COMPUTED_VALUE"""),"2025")</f>
        <v>2025</v>
      </c>
      <c r="J1399" s="1" t="str">
        <f ca="1">IFERROR(__xludf.DUMMYFUNCTION("""COMPUTED_VALUE"""),"Email")</f>
        <v>Email</v>
      </c>
    </row>
    <row r="1400" spans="1:10" ht="13" x14ac:dyDescent="0.15">
      <c r="A1400" s="4">
        <f ca="1">IFERROR(__xludf.DUMMYFUNCTION("""COMPUTED_VALUE"""),125278096)</f>
        <v>125278096</v>
      </c>
      <c r="B1400" s="1" t="str">
        <f ca="1">IFERROR(__xludf.DUMMYFUNCTION("""COMPUTED_VALUE"""),"pheralicious@yahoo.com")</f>
        <v>pheralicious@yahoo.com</v>
      </c>
      <c r="C1400" s="4" t="str">
        <f ca="1">IFERROR(__xludf.DUMMYFUNCTION("""COMPUTED_VALUE"""),"EVERGREEN - UAN Gated Content - Embedded Petition")</f>
        <v>EVERGREEN - UAN Gated Content - Embedded Petition</v>
      </c>
      <c r="D1400" s="5">
        <f ca="1">IFERROR(__xludf.DUMMYFUNCTION("""COMPUTED_VALUE"""),45678)</f>
        <v>45678</v>
      </c>
      <c r="F1400" s="1" t="str">
        <f ca="1">IFERROR(__xludf.DUMMYFUNCTION("""COMPUTED_VALUE"""),"Tunisia")</f>
        <v>Tunisia</v>
      </c>
      <c r="G1400" s="1" t="str">
        <f ca="1">IFERROR(__xludf.DUMMYFUNCTION("""COMPUTED_VALUE"""),"Second 76.24 Tunisia")</f>
        <v>Second 76.24 Tunisia</v>
      </c>
      <c r="H1400" s="1" t="str">
        <f ca="1">IFERROR(__xludf.DUMMYFUNCTION("""COMPUTED_VALUE"""),"Freedom of Expression, Human Rights Defenders")</f>
        <v>Freedom of Expression, Human Rights Defenders</v>
      </c>
      <c r="I1400" s="1" t="str">
        <f ca="1">IFERROR(__xludf.DUMMYFUNCTION("""COMPUTED_VALUE"""),"2025")</f>
        <v>2025</v>
      </c>
      <c r="J1400" s="1" t="str">
        <f ca="1">IFERROR(__xludf.DUMMYFUNCTION("""COMPUTED_VALUE"""),"Email")</f>
        <v>Email</v>
      </c>
    </row>
    <row r="1401" spans="1:10" ht="13" x14ac:dyDescent="0.15">
      <c r="A1401" s="4">
        <f ca="1">IFERROR(__xludf.DUMMYFUNCTION("""COMPUTED_VALUE"""),126182769)</f>
        <v>126182769</v>
      </c>
      <c r="B1401" s="1" t="str">
        <f ca="1">IFERROR(__xludf.DUMMYFUNCTION("""COMPUTED_VALUE"""),"kii081682@gmail.com")</f>
        <v>kii081682@gmail.com</v>
      </c>
      <c r="C1401" s="4" t="str">
        <f ca="1">IFERROR(__xludf.DUMMYFUNCTION("""COMPUTED_VALUE"""),"EVERGREEN - UAN Gated Content - Embedded Petition")</f>
        <v>EVERGREEN - UAN Gated Content - Embedded Petition</v>
      </c>
      <c r="D1401" s="5">
        <f ca="1">IFERROR(__xludf.DUMMYFUNCTION("""COMPUTED_VALUE"""),45694)</f>
        <v>45694</v>
      </c>
      <c r="F1401" s="1" t="str">
        <f ca="1">IFERROR(__xludf.DUMMYFUNCTION("""COMPUTED_VALUE"""),"Tunisia")</f>
        <v>Tunisia</v>
      </c>
      <c r="G1401" s="1" t="str">
        <f ca="1">IFERROR(__xludf.DUMMYFUNCTION("""COMPUTED_VALUE"""),"Second 76.24 Tunisia")</f>
        <v>Second 76.24 Tunisia</v>
      </c>
      <c r="H1401" s="1" t="str">
        <f ca="1">IFERROR(__xludf.DUMMYFUNCTION("""COMPUTED_VALUE"""),"Freedom of Expression, Human Rights Defenders")</f>
        <v>Freedom of Expression, Human Rights Defenders</v>
      </c>
      <c r="I1401" s="1" t="str">
        <f ca="1">IFERROR(__xludf.DUMMYFUNCTION("""COMPUTED_VALUE"""),"2025")</f>
        <v>2025</v>
      </c>
      <c r="J1401" s="1" t="str">
        <f ca="1">IFERROR(__xludf.DUMMYFUNCTION("""COMPUTED_VALUE"""),"Email")</f>
        <v>Email</v>
      </c>
    </row>
    <row r="1402" spans="1:10" ht="13" x14ac:dyDescent="0.15">
      <c r="A1402" s="4">
        <f ca="1">IFERROR(__xludf.DUMMYFUNCTION("""COMPUTED_VALUE"""),127660598)</f>
        <v>127660598</v>
      </c>
      <c r="B1402" s="1" t="str">
        <f ca="1">IFERROR(__xludf.DUMMYFUNCTION("""COMPUTED_VALUE"""),"jpmasiello@aol.com")</f>
        <v>jpmasiello@aol.com</v>
      </c>
      <c r="C1402" s="4" t="str">
        <f ca="1">IFERROR(__xludf.DUMMYFUNCTION("""COMPUTED_VALUE"""),"EVERGREEN - UAN Gated Content - Embedded Petition")</f>
        <v>EVERGREEN - UAN Gated Content - Embedded Petition</v>
      </c>
      <c r="D1402" s="5">
        <f ca="1">IFERROR(__xludf.DUMMYFUNCTION("""COMPUTED_VALUE"""),45694)</f>
        <v>45694</v>
      </c>
      <c r="F1402" s="1" t="str">
        <f ca="1">IFERROR(__xludf.DUMMYFUNCTION("""COMPUTED_VALUE"""),"Tunisia")</f>
        <v>Tunisia</v>
      </c>
      <c r="G1402" s="1" t="str">
        <f ca="1">IFERROR(__xludf.DUMMYFUNCTION("""COMPUTED_VALUE"""),"Second 76.24 Tunisia")</f>
        <v>Second 76.24 Tunisia</v>
      </c>
      <c r="H1402" s="1" t="str">
        <f ca="1">IFERROR(__xludf.DUMMYFUNCTION("""COMPUTED_VALUE"""),"Freedom of Expression, Human Rights Defenders")</f>
        <v>Freedom of Expression, Human Rights Defenders</v>
      </c>
      <c r="I1402" s="1" t="str">
        <f ca="1">IFERROR(__xludf.DUMMYFUNCTION("""COMPUTED_VALUE"""),"2025")</f>
        <v>2025</v>
      </c>
      <c r="J1402" s="1" t="str">
        <f ca="1">IFERROR(__xludf.DUMMYFUNCTION("""COMPUTED_VALUE"""),"Email")</f>
        <v>Email</v>
      </c>
    </row>
    <row r="1403" spans="1:10" ht="13" x14ac:dyDescent="0.15">
      <c r="A1403" s="4">
        <f ca="1">IFERROR(__xludf.DUMMYFUNCTION("""COMPUTED_VALUE"""),127693417)</f>
        <v>127693417</v>
      </c>
      <c r="B1403" s="1" t="str">
        <f ca="1">IFERROR(__xludf.DUMMYFUNCTION("""COMPUTED_VALUE"""),"swetstein21@gmail.com")</f>
        <v>swetstein21@gmail.com</v>
      </c>
      <c r="C1403" s="4" t="str">
        <f ca="1">IFERROR(__xludf.DUMMYFUNCTION("""COMPUTED_VALUE"""),"EVERGREEN - UAN Gated Content - Embedded Petition")</f>
        <v>EVERGREEN - UAN Gated Content - Embedded Petition</v>
      </c>
      <c r="D1403" s="5">
        <f ca="1">IFERROR(__xludf.DUMMYFUNCTION("""COMPUTED_VALUE"""),45675)</f>
        <v>45675</v>
      </c>
      <c r="F1403" s="1" t="str">
        <f ca="1">IFERROR(__xludf.DUMMYFUNCTION("""COMPUTED_VALUE"""),"Tunisia")</f>
        <v>Tunisia</v>
      </c>
      <c r="G1403" s="1" t="str">
        <f ca="1">IFERROR(__xludf.DUMMYFUNCTION("""COMPUTED_VALUE"""),"Second 76.24 Tunisia")</f>
        <v>Second 76.24 Tunisia</v>
      </c>
      <c r="H1403" s="1" t="str">
        <f ca="1">IFERROR(__xludf.DUMMYFUNCTION("""COMPUTED_VALUE"""),"Freedom of Expression, Human Rights Defenders")</f>
        <v>Freedom of Expression, Human Rights Defenders</v>
      </c>
      <c r="I1403" s="1" t="str">
        <f ca="1">IFERROR(__xludf.DUMMYFUNCTION("""COMPUTED_VALUE"""),"2025")</f>
        <v>2025</v>
      </c>
      <c r="J1403" s="1" t="str">
        <f ca="1">IFERROR(__xludf.DUMMYFUNCTION("""COMPUTED_VALUE"""),"Email")</f>
        <v>Email</v>
      </c>
    </row>
    <row r="1404" spans="1:10" ht="13" x14ac:dyDescent="0.15">
      <c r="A1404" s="4">
        <f ca="1">IFERROR(__xludf.DUMMYFUNCTION("""COMPUTED_VALUE"""),127693417)</f>
        <v>127693417</v>
      </c>
      <c r="B1404" s="1" t="str">
        <f ca="1">IFERROR(__xludf.DUMMYFUNCTION("""COMPUTED_VALUE"""),"swetstein21@gmail.com")</f>
        <v>swetstein21@gmail.com</v>
      </c>
      <c r="C1404" s="4" t="str">
        <f ca="1">IFERROR(__xludf.DUMMYFUNCTION("""COMPUTED_VALUE"""),"EVERGREEN - UAN Gated Content - Embedded Petition")</f>
        <v>EVERGREEN - UAN Gated Content - Embedded Petition</v>
      </c>
      <c r="D1404" s="5">
        <f ca="1">IFERROR(__xludf.DUMMYFUNCTION("""COMPUTED_VALUE"""),45672)</f>
        <v>45672</v>
      </c>
      <c r="F1404" s="1" t="str">
        <f ca="1">IFERROR(__xludf.DUMMYFUNCTION("""COMPUTED_VALUE"""),"Tunisia")</f>
        <v>Tunisia</v>
      </c>
      <c r="G1404" s="1" t="str">
        <f ca="1">IFERROR(__xludf.DUMMYFUNCTION("""COMPUTED_VALUE"""),"Second 76.24 Tunisia")</f>
        <v>Second 76.24 Tunisia</v>
      </c>
      <c r="H1404" s="1" t="str">
        <f ca="1">IFERROR(__xludf.DUMMYFUNCTION("""COMPUTED_VALUE"""),"Freedom of Expression, Human Rights Defenders")</f>
        <v>Freedom of Expression, Human Rights Defenders</v>
      </c>
      <c r="I1404" s="1" t="str">
        <f ca="1">IFERROR(__xludf.DUMMYFUNCTION("""COMPUTED_VALUE"""),"2025")</f>
        <v>2025</v>
      </c>
      <c r="J1404" s="1" t="str">
        <f ca="1">IFERROR(__xludf.DUMMYFUNCTION("""COMPUTED_VALUE"""),"Email")</f>
        <v>Email</v>
      </c>
    </row>
    <row r="1405" spans="1:10" ht="13" x14ac:dyDescent="0.15">
      <c r="A1405" s="4">
        <f ca="1">IFERROR(__xludf.DUMMYFUNCTION("""COMPUTED_VALUE"""),127693417)</f>
        <v>127693417</v>
      </c>
      <c r="B1405" s="1" t="str">
        <f ca="1">IFERROR(__xludf.DUMMYFUNCTION("""COMPUTED_VALUE"""),"swetstein21@gmail.com")</f>
        <v>swetstein21@gmail.com</v>
      </c>
      <c r="C1405" s="4" t="str">
        <f ca="1">IFERROR(__xludf.DUMMYFUNCTION("""COMPUTED_VALUE"""),"EVERGREEN - UAN Gated Content - Embedded Petition")</f>
        <v>EVERGREEN - UAN Gated Content - Embedded Petition</v>
      </c>
      <c r="D1405" s="5">
        <f ca="1">IFERROR(__xludf.DUMMYFUNCTION("""COMPUTED_VALUE"""),45633)</f>
        <v>45633</v>
      </c>
      <c r="F1405" s="1" t="str">
        <f ca="1">IFERROR(__xludf.DUMMYFUNCTION("""COMPUTED_VALUE"""),"USA")</f>
        <v>USA</v>
      </c>
      <c r="G1405" s="1" t="str">
        <f ca="1">IFERROR(__xludf.DUMMYFUNCTION("""COMPUTED_VALUE"""),"4.25 USA")</f>
        <v>4.25 USA</v>
      </c>
      <c r="H1405" s="1" t="str">
        <f ca="1">IFERROR(__xludf.DUMMYFUNCTION("""COMPUTED_VALUE"""),"Individuals At Risk, Refugee and Migrant Rights")</f>
        <v>Individuals At Risk, Refugee and Migrant Rights</v>
      </c>
      <c r="I1405" s="1" t="str">
        <f ca="1">IFERROR(__xludf.DUMMYFUNCTION("""COMPUTED_VALUE"""),"2025")</f>
        <v>2025</v>
      </c>
      <c r="J1405" s="1" t="str">
        <f ca="1">IFERROR(__xludf.DUMMYFUNCTION("""COMPUTED_VALUE"""),"Letter")</f>
        <v>Letter</v>
      </c>
    </row>
    <row r="1406" spans="1:10" ht="13" x14ac:dyDescent="0.15">
      <c r="A1406" s="4">
        <f ca="1">IFERROR(__xludf.DUMMYFUNCTION("""COMPUTED_VALUE"""),127693417)</f>
        <v>127693417</v>
      </c>
      <c r="B1406" s="1" t="str">
        <f ca="1">IFERROR(__xludf.DUMMYFUNCTION("""COMPUTED_VALUE"""),"swetstein21@gmail.com")</f>
        <v>swetstein21@gmail.com</v>
      </c>
      <c r="C1406" s="4" t="str">
        <f ca="1">IFERROR(__xludf.DUMMYFUNCTION("""COMPUTED_VALUE"""),"EVERGREEN - UAN Gated Content - Embedded Petition")</f>
        <v>EVERGREEN - UAN Gated Content - Embedded Petition</v>
      </c>
      <c r="D1406" s="5">
        <f ca="1">IFERROR(__xludf.DUMMYFUNCTION("""COMPUTED_VALUE"""),45651)</f>
        <v>45651</v>
      </c>
      <c r="F1406" s="1" t="str">
        <f ca="1">IFERROR(__xludf.DUMMYFUNCTION("""COMPUTED_VALUE"""),"Tunisia")</f>
        <v>Tunisia</v>
      </c>
      <c r="G1406" s="1" t="str">
        <f ca="1">IFERROR(__xludf.DUMMYFUNCTION("""COMPUTED_VALUE"""),"Second 76.24 Tunisia")</f>
        <v>Second 76.24 Tunisia</v>
      </c>
      <c r="H1406" s="1" t="str">
        <f ca="1">IFERROR(__xludf.DUMMYFUNCTION("""COMPUTED_VALUE"""),"Freedom of Expression, Human Rights Defenders")</f>
        <v>Freedom of Expression, Human Rights Defenders</v>
      </c>
      <c r="I1406" s="1" t="str">
        <f ca="1">IFERROR(__xludf.DUMMYFUNCTION("""COMPUTED_VALUE"""),"2025")</f>
        <v>2025</v>
      </c>
      <c r="J1406" s="1" t="str">
        <f ca="1">IFERROR(__xludf.DUMMYFUNCTION("""COMPUTED_VALUE"""),"Email")</f>
        <v>Email</v>
      </c>
    </row>
    <row r="1407" spans="1:10" ht="13" x14ac:dyDescent="0.15">
      <c r="A1407" s="4">
        <f ca="1">IFERROR(__xludf.DUMMYFUNCTION("""COMPUTED_VALUE"""),127693417)</f>
        <v>127693417</v>
      </c>
      <c r="B1407" s="1" t="str">
        <f ca="1">IFERROR(__xludf.DUMMYFUNCTION("""COMPUTED_VALUE"""),"swetstein21@gmail.com")</f>
        <v>swetstein21@gmail.com</v>
      </c>
      <c r="C1407" s="4" t="str">
        <f ca="1">IFERROR(__xludf.DUMMYFUNCTION("""COMPUTED_VALUE"""),"EVERGREEN - UAN Gated Content - Embedded Petition")</f>
        <v>EVERGREEN - UAN Gated Content - Embedded Petition</v>
      </c>
      <c r="D1407" s="5">
        <f ca="1">IFERROR(__xludf.DUMMYFUNCTION("""COMPUTED_VALUE"""),45651)</f>
        <v>45651</v>
      </c>
      <c r="F1407" s="1" t="str">
        <f ca="1">IFERROR(__xludf.DUMMYFUNCTION("""COMPUTED_VALUE"""),"Tunisia")</f>
        <v>Tunisia</v>
      </c>
      <c r="G1407" s="1" t="str">
        <f ca="1">IFERROR(__xludf.DUMMYFUNCTION("""COMPUTED_VALUE"""),"Second 76.24 Tunisia")</f>
        <v>Second 76.24 Tunisia</v>
      </c>
      <c r="H1407" s="1" t="str">
        <f ca="1">IFERROR(__xludf.DUMMYFUNCTION("""COMPUTED_VALUE"""),"Freedom of Expression, Human Rights Defenders")</f>
        <v>Freedom of Expression, Human Rights Defenders</v>
      </c>
      <c r="I1407" s="1" t="str">
        <f ca="1">IFERROR(__xludf.DUMMYFUNCTION("""COMPUTED_VALUE"""),"2025")</f>
        <v>2025</v>
      </c>
      <c r="J1407" s="1" t="str">
        <f ca="1">IFERROR(__xludf.DUMMYFUNCTION("""COMPUTED_VALUE"""),"Email")</f>
        <v>Email</v>
      </c>
    </row>
    <row r="1408" spans="1:10" ht="13" x14ac:dyDescent="0.15">
      <c r="A1408" s="4">
        <f ca="1">IFERROR(__xludf.DUMMYFUNCTION("""COMPUTED_VALUE"""),127693417)</f>
        <v>127693417</v>
      </c>
      <c r="B1408" s="1" t="str">
        <f ca="1">IFERROR(__xludf.DUMMYFUNCTION("""COMPUTED_VALUE"""),"swetstein21@gmail.com")</f>
        <v>swetstein21@gmail.com</v>
      </c>
      <c r="C1408" s="4" t="str">
        <f ca="1">IFERROR(__xludf.DUMMYFUNCTION("""COMPUTED_VALUE"""),"EVERGREEN - UAN Gated Content - Embedded Petition")</f>
        <v>EVERGREEN - UAN Gated Content - Embedded Petition</v>
      </c>
      <c r="D1408" s="5">
        <f ca="1">IFERROR(__xludf.DUMMYFUNCTION("""COMPUTED_VALUE"""),45633)</f>
        <v>45633</v>
      </c>
      <c r="F1408" s="1" t="str">
        <f ca="1">IFERROR(__xludf.DUMMYFUNCTION("""COMPUTED_VALUE"""),"Tunisia")</f>
        <v>Tunisia</v>
      </c>
      <c r="G1408" s="1" t="str">
        <f ca="1">IFERROR(__xludf.DUMMYFUNCTION("""COMPUTED_VALUE"""),"Second 76.24 Tunisia")</f>
        <v>Second 76.24 Tunisia</v>
      </c>
      <c r="H1408" s="1" t="str">
        <f ca="1">IFERROR(__xludf.DUMMYFUNCTION("""COMPUTED_VALUE"""),"Freedom of Expression, Human Rights Defenders")</f>
        <v>Freedom of Expression, Human Rights Defenders</v>
      </c>
      <c r="I1408" s="1" t="str">
        <f ca="1">IFERROR(__xludf.DUMMYFUNCTION("""COMPUTED_VALUE"""),"2025")</f>
        <v>2025</v>
      </c>
      <c r="J1408" s="1" t="str">
        <f ca="1">IFERROR(__xludf.DUMMYFUNCTION("""COMPUTED_VALUE"""),"Email")</f>
        <v>Email</v>
      </c>
    </row>
    <row r="1409" spans="1:10" ht="13" x14ac:dyDescent="0.15">
      <c r="A1409" s="4">
        <f ca="1">IFERROR(__xludf.DUMMYFUNCTION("""COMPUTED_VALUE"""),127693417)</f>
        <v>127693417</v>
      </c>
      <c r="B1409" s="1" t="str">
        <f ca="1">IFERROR(__xludf.DUMMYFUNCTION("""COMPUTED_VALUE"""),"swetstein21@gmail.com")</f>
        <v>swetstein21@gmail.com</v>
      </c>
      <c r="C1409" s="4" t="str">
        <f ca="1">IFERROR(__xludf.DUMMYFUNCTION("""COMPUTED_VALUE"""),"EVERGREEN - UAN Gated Content - Embedded Petition")</f>
        <v>EVERGREEN - UAN Gated Content - Embedded Petition</v>
      </c>
      <c r="D1409" s="5">
        <f ca="1">IFERROR(__xludf.DUMMYFUNCTION("""COMPUTED_VALUE"""),45694)</f>
        <v>45694</v>
      </c>
      <c r="F1409" s="1" t="str">
        <f ca="1">IFERROR(__xludf.DUMMYFUNCTION("""COMPUTED_VALUE"""),"Iran")</f>
        <v>Iran</v>
      </c>
      <c r="G1409" s="1" t="str">
        <f ca="1">IFERROR(__xludf.DUMMYFUNCTION("""COMPUTED_VALUE"""),"Seventh 103.22 Iran")</f>
        <v>Seventh 103.22 Iran</v>
      </c>
      <c r="H1409" s="1" t="str">
        <f ca="1">IFERROR(__xludf.DUMMYFUNCTION("""COMPUTED_VALUE"""),"Death Penalty, Freedom of Expression, Individuals At Risk")</f>
        <v>Death Penalty, Freedom of Expression, Individuals At Risk</v>
      </c>
      <c r="I1409" s="1" t="str">
        <f ca="1">IFERROR(__xludf.DUMMYFUNCTION("""COMPUTED_VALUE"""),"2024")</f>
        <v>2024</v>
      </c>
      <c r="J1409" s="1" t="str">
        <f ca="1">IFERROR(__xludf.DUMMYFUNCTION("""COMPUTED_VALUE"""),"Email")</f>
        <v>Email</v>
      </c>
    </row>
    <row r="1410" spans="1:10" ht="13" x14ac:dyDescent="0.15">
      <c r="A1410" s="4">
        <f ca="1">IFERROR(__xludf.DUMMYFUNCTION("""COMPUTED_VALUE"""),127693417)</f>
        <v>127693417</v>
      </c>
      <c r="B1410" s="1" t="str">
        <f ca="1">IFERROR(__xludf.DUMMYFUNCTION("""COMPUTED_VALUE"""),"swetstein21@gmail.com")</f>
        <v>swetstein21@gmail.com</v>
      </c>
      <c r="C1410" s="4" t="str">
        <f ca="1">IFERROR(__xludf.DUMMYFUNCTION("""COMPUTED_VALUE"""),"EVERGREEN - UAN Gated Content - Embedded Petition")</f>
        <v>EVERGREEN - UAN Gated Content - Embedded Petition</v>
      </c>
      <c r="D1410" s="5">
        <f ca="1">IFERROR(__xludf.DUMMYFUNCTION("""COMPUTED_VALUE"""),45672)</f>
        <v>45672</v>
      </c>
      <c r="F1410" s="1" t="str">
        <f ca="1">IFERROR(__xludf.DUMMYFUNCTION("""COMPUTED_VALUE"""),"Israel and Occupied Palestinian Territories")</f>
        <v>Israel and Occupied Palestinian Territories</v>
      </c>
      <c r="G1410" s="1" t="str">
        <f ca="1">IFERROR(__xludf.DUMMYFUNCTION("""COMPUTED_VALUE"""),"3.25 IOPT")</f>
        <v>3.25 IOPT</v>
      </c>
      <c r="H1410" s="1" t="str">
        <f ca="1">IFERROR(__xludf.DUMMYFUNCTION("""COMPUTED_VALUE"""),"Freedom of Expression, Individuals At Risk")</f>
        <v>Freedom of Expression, Individuals At Risk</v>
      </c>
      <c r="I1410" s="1" t="str">
        <f ca="1">IFERROR(__xludf.DUMMYFUNCTION("""COMPUTED_VALUE"""),"2025")</f>
        <v>2025</v>
      </c>
      <c r="J1410" s="1" t="str">
        <f ca="1">IFERROR(__xludf.DUMMYFUNCTION("""COMPUTED_VALUE"""),"Email")</f>
        <v>Email</v>
      </c>
    </row>
    <row r="1411" spans="1:10" ht="13" x14ac:dyDescent="0.15">
      <c r="A1411" s="4">
        <f ca="1">IFERROR(__xludf.DUMMYFUNCTION("""COMPUTED_VALUE"""),128007191)</f>
        <v>128007191</v>
      </c>
      <c r="B1411" s="1" t="str">
        <f ca="1">IFERROR(__xludf.DUMMYFUNCTION("""COMPUTED_VALUE"""),"lwlmon@aol.com")</f>
        <v>lwlmon@aol.com</v>
      </c>
      <c r="C1411" s="4" t="str">
        <f ca="1">IFERROR(__xludf.DUMMYFUNCTION("""COMPUTED_VALUE"""),"EVERGREEN - UAN Gated Content - Embedded Petition")</f>
        <v>EVERGREEN - UAN Gated Content - Embedded Petition</v>
      </c>
      <c r="D1411" s="5">
        <f ca="1">IFERROR(__xludf.DUMMYFUNCTION("""COMPUTED_VALUE"""),45694)</f>
        <v>45694</v>
      </c>
      <c r="F1411" s="1" t="str">
        <f ca="1">IFERROR(__xludf.DUMMYFUNCTION("""COMPUTED_VALUE"""),"Tunisia")</f>
        <v>Tunisia</v>
      </c>
      <c r="G1411" s="1" t="str">
        <f ca="1">IFERROR(__xludf.DUMMYFUNCTION("""COMPUTED_VALUE"""),"Second 76.24 Tunisia")</f>
        <v>Second 76.24 Tunisia</v>
      </c>
      <c r="H1411" s="1" t="str">
        <f ca="1">IFERROR(__xludf.DUMMYFUNCTION("""COMPUTED_VALUE"""),"Freedom of Expression, Human Rights Defenders")</f>
        <v>Freedom of Expression, Human Rights Defenders</v>
      </c>
      <c r="I1411" s="1" t="str">
        <f ca="1">IFERROR(__xludf.DUMMYFUNCTION("""COMPUTED_VALUE"""),"2025")</f>
        <v>2025</v>
      </c>
      <c r="J1411" s="1" t="str">
        <f ca="1">IFERROR(__xludf.DUMMYFUNCTION("""COMPUTED_VALUE"""),"Email")</f>
        <v>Email</v>
      </c>
    </row>
    <row r="1412" spans="1:10" ht="13" x14ac:dyDescent="0.15">
      <c r="A1412" s="4">
        <f ca="1">IFERROR(__xludf.DUMMYFUNCTION("""COMPUTED_VALUE"""),128007191)</f>
        <v>128007191</v>
      </c>
      <c r="B1412" s="1" t="str">
        <f ca="1">IFERROR(__xludf.DUMMYFUNCTION("""COMPUTED_VALUE"""),"lwlmon@aol.com")</f>
        <v>lwlmon@aol.com</v>
      </c>
      <c r="C1412" s="4" t="str">
        <f ca="1">IFERROR(__xludf.DUMMYFUNCTION("""COMPUTED_VALUE"""),"EVERGREEN - UAN Gated Content - Embedded Petition")</f>
        <v>EVERGREEN - UAN Gated Content - Embedded Petition</v>
      </c>
      <c r="D1412" s="5">
        <f ca="1">IFERROR(__xludf.DUMMYFUNCTION("""COMPUTED_VALUE"""),45694)</f>
        <v>45694</v>
      </c>
      <c r="F1412" s="1" t="str">
        <f ca="1">IFERROR(__xludf.DUMMYFUNCTION("""COMPUTED_VALUE"""),"Niger")</f>
        <v>Niger</v>
      </c>
      <c r="G1412" s="1" t="str">
        <f ca="1">IFERROR(__xludf.DUMMYFUNCTION("""COMPUTED_VALUE"""),"103.24 Niger")</f>
        <v>103.24 Niger</v>
      </c>
      <c r="H1412" s="1" t="str">
        <f ca="1">IFERROR(__xludf.DUMMYFUNCTION("""COMPUTED_VALUE"""),"Freedom of Expression, Human Rights Defenders")</f>
        <v>Freedom of Expression, Human Rights Defenders</v>
      </c>
      <c r="I1412" s="1" t="str">
        <f ca="1">IFERROR(__xludf.DUMMYFUNCTION("""COMPUTED_VALUE"""),"2024")</f>
        <v>2024</v>
      </c>
      <c r="J1412" s="1" t="str">
        <f ca="1">IFERROR(__xludf.DUMMYFUNCTION("""COMPUTED_VALUE"""),"Email")</f>
        <v>Email</v>
      </c>
    </row>
    <row r="1413" spans="1:10" ht="13" x14ac:dyDescent="0.15">
      <c r="A1413" s="4">
        <f ca="1">IFERROR(__xludf.DUMMYFUNCTION("""COMPUTED_VALUE"""),128077216)</f>
        <v>128077216</v>
      </c>
      <c r="B1413" s="1" t="str">
        <f ca="1">IFERROR(__xludf.DUMMYFUNCTION("""COMPUTED_VALUE"""),"pepperlafreniere@gmail.com")</f>
        <v>pepperlafreniere@gmail.com</v>
      </c>
      <c r="C1413" s="4" t="str">
        <f ca="1">IFERROR(__xludf.DUMMYFUNCTION("""COMPUTED_VALUE"""),"EVERGREEN - UAN Gated Content - Embedded Petition")</f>
        <v>EVERGREEN - UAN Gated Content - Embedded Petition</v>
      </c>
      <c r="D1413" s="5">
        <f ca="1">IFERROR(__xludf.DUMMYFUNCTION("""COMPUTED_VALUE"""),45679)</f>
        <v>45679</v>
      </c>
      <c r="F1413" s="1" t="str">
        <f ca="1">IFERROR(__xludf.DUMMYFUNCTION("""COMPUTED_VALUE"""),"Egypt")</f>
        <v>Egypt</v>
      </c>
      <c r="G1413" s="1" t="str">
        <f ca="1">IFERROR(__xludf.DUMMYFUNCTION("""COMPUTED_VALUE"""),"Ninth 190.18 Egypt")</f>
        <v>Ninth 190.18 Egypt</v>
      </c>
      <c r="H1413" s="1" t="str">
        <f ca="1">IFERROR(__xludf.DUMMYFUNCTION("""COMPUTED_VALUE"""),"Freedom of Expression, Individuals At Risk")</f>
        <v>Freedom of Expression, Individuals At Risk</v>
      </c>
      <c r="I1413" s="1" t="str">
        <f ca="1">IFERROR(__xludf.DUMMYFUNCTION("""COMPUTED_VALUE"""),"2024")</f>
        <v>2024</v>
      </c>
      <c r="J1413" s="1" t="str">
        <f ca="1">IFERROR(__xludf.DUMMYFUNCTION("""COMPUTED_VALUE"""),"Letter")</f>
        <v>Letter</v>
      </c>
    </row>
    <row r="1414" spans="1:10" ht="13" x14ac:dyDescent="0.15">
      <c r="A1414" s="4">
        <f ca="1">IFERROR(__xludf.DUMMYFUNCTION("""COMPUTED_VALUE"""),128411593)</f>
        <v>128411593</v>
      </c>
      <c r="B1414" s="1" t="str">
        <f ca="1">IFERROR(__xludf.DUMMYFUNCTION("""COMPUTED_VALUE"""),"mandrpanes@gmail.com")</f>
        <v>mandrpanes@gmail.com</v>
      </c>
      <c r="C1414" s="4" t="str">
        <f ca="1">IFERROR(__xludf.DUMMYFUNCTION("""COMPUTED_VALUE"""),"EVERGREEN - UAN Gated Content - Embedded Petition")</f>
        <v>EVERGREEN - UAN Gated Content - Embedded Petition</v>
      </c>
      <c r="D1414" s="5">
        <f ca="1">IFERROR(__xludf.DUMMYFUNCTION("""COMPUTED_VALUE"""),45695)</f>
        <v>45695</v>
      </c>
      <c r="F1414" s="1" t="str">
        <f ca="1">IFERROR(__xludf.DUMMYFUNCTION("""COMPUTED_VALUE"""),"Tunisia")</f>
        <v>Tunisia</v>
      </c>
      <c r="G1414" s="1" t="str">
        <f ca="1">IFERROR(__xludf.DUMMYFUNCTION("""COMPUTED_VALUE"""),"Second 76.24 Tunisia")</f>
        <v>Second 76.24 Tunisia</v>
      </c>
      <c r="H1414" s="1" t="str">
        <f ca="1">IFERROR(__xludf.DUMMYFUNCTION("""COMPUTED_VALUE"""),"Freedom of Expression, Human Rights Defenders")</f>
        <v>Freedom of Expression, Human Rights Defenders</v>
      </c>
      <c r="I1414" s="1" t="str">
        <f ca="1">IFERROR(__xludf.DUMMYFUNCTION("""COMPUTED_VALUE"""),"2025")</f>
        <v>2025</v>
      </c>
      <c r="J1414" s="1" t="str">
        <f ca="1">IFERROR(__xludf.DUMMYFUNCTION("""COMPUTED_VALUE"""),"Email")</f>
        <v>Email</v>
      </c>
    </row>
    <row r="1415" spans="1:10" ht="13" x14ac:dyDescent="0.15">
      <c r="A1415" s="4">
        <f ca="1">IFERROR(__xludf.DUMMYFUNCTION("""COMPUTED_VALUE"""),128411593)</f>
        <v>128411593</v>
      </c>
      <c r="B1415" s="1" t="str">
        <f ca="1">IFERROR(__xludf.DUMMYFUNCTION("""COMPUTED_VALUE"""),"mandrpanes@gmail.com")</f>
        <v>mandrpanes@gmail.com</v>
      </c>
      <c r="C1415" s="4" t="str">
        <f ca="1">IFERROR(__xludf.DUMMYFUNCTION("""COMPUTED_VALUE"""),"EVERGREEN - UAN Gated Content - Embedded Petition")</f>
        <v>EVERGREEN - UAN Gated Content - Embedded Petition</v>
      </c>
      <c r="D1415" s="5">
        <f ca="1">IFERROR(__xludf.DUMMYFUNCTION("""COMPUTED_VALUE"""),45695)</f>
        <v>45695</v>
      </c>
      <c r="F1415" s="1" t="str">
        <f ca="1">IFERROR(__xludf.DUMMYFUNCTION("""COMPUTED_VALUE"""),"Venezuela")</f>
        <v>Venezuela</v>
      </c>
      <c r="G1415" s="1" t="str">
        <f ca="1">IFERROR(__xludf.DUMMYFUNCTION("""COMPUTED_VALUE"""),"1.25 Venezuela")</f>
        <v>1.25 Venezuela</v>
      </c>
      <c r="H1415" s="1" t="str">
        <f ca="1">IFERROR(__xludf.DUMMYFUNCTION("""COMPUTED_VALUE"""),"Human Rights Defenders, Individuals At Risk")</f>
        <v>Human Rights Defenders, Individuals At Risk</v>
      </c>
      <c r="I1415" s="1" t="str">
        <f ca="1">IFERROR(__xludf.DUMMYFUNCTION("""COMPUTED_VALUE"""),"2025")</f>
        <v>2025</v>
      </c>
      <c r="J1415" s="1" t="str">
        <f ca="1">IFERROR(__xludf.DUMMYFUNCTION("""COMPUTED_VALUE"""),"Letter")</f>
        <v>Letter</v>
      </c>
    </row>
    <row r="1416" spans="1:10" ht="13" x14ac:dyDescent="0.15">
      <c r="A1416" s="4">
        <f ca="1">IFERROR(__xludf.DUMMYFUNCTION("""COMPUTED_VALUE"""),128411593)</f>
        <v>128411593</v>
      </c>
      <c r="B1416" s="1" t="str">
        <f ca="1">IFERROR(__xludf.DUMMYFUNCTION("""COMPUTED_VALUE"""),"mandrpanes@gmail.com")</f>
        <v>mandrpanes@gmail.com</v>
      </c>
      <c r="C1416" s="4" t="str">
        <f ca="1">IFERROR(__xludf.DUMMYFUNCTION("""COMPUTED_VALUE"""),"EVERGREEN - UAN Gated Content - Embedded Petition")</f>
        <v>EVERGREEN - UAN Gated Content - Embedded Petition</v>
      </c>
      <c r="D1416" s="5">
        <f ca="1">IFERROR(__xludf.DUMMYFUNCTION("""COMPUTED_VALUE"""),45700)</f>
        <v>45700</v>
      </c>
      <c r="F1416" s="1" t="str">
        <f ca="1">IFERROR(__xludf.DUMMYFUNCTION("""COMPUTED_VALUE"""),"Iran")</f>
        <v>Iran</v>
      </c>
      <c r="G1416" s="1" t="str">
        <f ca="1">IFERROR(__xludf.DUMMYFUNCTION("""COMPUTED_VALUE"""),"Seventh 103.22 Iran")</f>
        <v>Seventh 103.22 Iran</v>
      </c>
      <c r="H1416" s="1" t="str">
        <f ca="1">IFERROR(__xludf.DUMMYFUNCTION("""COMPUTED_VALUE"""),"Death Penalty, Freedom of Expression, Individuals At Risk")</f>
        <v>Death Penalty, Freedom of Expression, Individuals At Risk</v>
      </c>
      <c r="I1416" s="1" t="str">
        <f ca="1">IFERROR(__xludf.DUMMYFUNCTION("""COMPUTED_VALUE"""),"2024")</f>
        <v>2024</v>
      </c>
      <c r="J1416" s="1" t="str">
        <f ca="1">IFERROR(__xludf.DUMMYFUNCTION("""COMPUTED_VALUE"""),"Email")</f>
        <v>Email</v>
      </c>
    </row>
    <row r="1417" spans="1:10" ht="13" x14ac:dyDescent="0.15">
      <c r="A1417" s="4">
        <f ca="1">IFERROR(__xludf.DUMMYFUNCTION("""COMPUTED_VALUE"""),128411593)</f>
        <v>128411593</v>
      </c>
      <c r="B1417" s="1" t="str">
        <f ca="1">IFERROR(__xludf.DUMMYFUNCTION("""COMPUTED_VALUE"""),"mandrpanes@gmail.com")</f>
        <v>mandrpanes@gmail.com</v>
      </c>
      <c r="C1417" s="4" t="str">
        <f ca="1">IFERROR(__xludf.DUMMYFUNCTION("""COMPUTED_VALUE"""),"EVERGREEN - UAN Gated Content - Embedded Petition")</f>
        <v>EVERGREEN - UAN Gated Content - Embedded Petition</v>
      </c>
      <c r="D1417" s="5">
        <f ca="1">IFERROR(__xludf.DUMMYFUNCTION("""COMPUTED_VALUE"""),45697)</f>
        <v>45697</v>
      </c>
      <c r="F1417" s="1" t="str">
        <f ca="1">IFERROR(__xludf.DUMMYFUNCTION("""COMPUTED_VALUE"""),"Iran")</f>
        <v>Iran</v>
      </c>
      <c r="G1417" s="1" t="str">
        <f ca="1">IFERROR(__xludf.DUMMYFUNCTION("""COMPUTED_VALUE"""),"Seventh 103.22 Iran")</f>
        <v>Seventh 103.22 Iran</v>
      </c>
      <c r="H1417" s="1" t="str">
        <f ca="1">IFERROR(__xludf.DUMMYFUNCTION("""COMPUTED_VALUE"""),"Death Penalty, Freedom of Expression, Individuals At Risk")</f>
        <v>Death Penalty, Freedom of Expression, Individuals At Risk</v>
      </c>
      <c r="I1417" s="1" t="str">
        <f ca="1">IFERROR(__xludf.DUMMYFUNCTION("""COMPUTED_VALUE"""),"2024")</f>
        <v>2024</v>
      </c>
      <c r="J1417" s="1" t="str">
        <f ca="1">IFERROR(__xludf.DUMMYFUNCTION("""COMPUTED_VALUE"""),"Email")</f>
        <v>Email</v>
      </c>
    </row>
    <row r="1418" spans="1:10" ht="13" x14ac:dyDescent="0.15">
      <c r="A1418" s="4">
        <f ca="1">IFERROR(__xludf.DUMMYFUNCTION("""COMPUTED_VALUE"""),128411593)</f>
        <v>128411593</v>
      </c>
      <c r="B1418" s="1" t="str">
        <f ca="1">IFERROR(__xludf.DUMMYFUNCTION("""COMPUTED_VALUE"""),"mandrpanes@gmail.com")</f>
        <v>mandrpanes@gmail.com</v>
      </c>
      <c r="C1418" s="4" t="str">
        <f ca="1">IFERROR(__xludf.DUMMYFUNCTION("""COMPUTED_VALUE"""),"EVERGREEN - UAN Gated Content - Embedded Petition")</f>
        <v>EVERGREEN - UAN Gated Content - Embedded Petition</v>
      </c>
      <c r="D1418" s="5">
        <f ca="1">IFERROR(__xludf.DUMMYFUNCTION("""COMPUTED_VALUE"""),45705)</f>
        <v>45705</v>
      </c>
      <c r="F1418" s="1" t="str">
        <f ca="1">IFERROR(__xludf.DUMMYFUNCTION("""COMPUTED_VALUE"""),"Dominican Republic")</f>
        <v>Dominican Republic</v>
      </c>
      <c r="G1418" s="1" t="str">
        <f ca="1">IFERROR(__xludf.DUMMYFUNCTION("""COMPUTED_VALUE"""),"88.24 Dominican Republic")</f>
        <v>88.24 Dominican Republic</v>
      </c>
      <c r="H1418" s="1" t="str">
        <f ca="1">IFERROR(__xludf.DUMMYFUNCTION("""COMPUTED_VALUE"""),"Individuals At Risk, Refugee and Migrant Rights")</f>
        <v>Individuals At Risk, Refugee and Migrant Rights</v>
      </c>
      <c r="I1418" s="1" t="str">
        <f ca="1">IFERROR(__xludf.DUMMYFUNCTION("""COMPUTED_VALUE"""),"2024")</f>
        <v>2024</v>
      </c>
      <c r="J1418" s="1" t="str">
        <f ca="1">IFERROR(__xludf.DUMMYFUNCTION("""COMPUTED_VALUE"""),"Letter")</f>
        <v>Letter</v>
      </c>
    </row>
    <row r="1419" spans="1:10" ht="13" x14ac:dyDescent="0.15">
      <c r="A1419" s="4">
        <f ca="1">IFERROR(__xludf.DUMMYFUNCTION("""COMPUTED_VALUE"""),128411593)</f>
        <v>128411593</v>
      </c>
      <c r="B1419" s="1" t="str">
        <f ca="1">IFERROR(__xludf.DUMMYFUNCTION("""COMPUTED_VALUE"""),"mandrpanes@gmail.com")</f>
        <v>mandrpanes@gmail.com</v>
      </c>
      <c r="C1419" s="4" t="str">
        <f ca="1">IFERROR(__xludf.DUMMYFUNCTION("""COMPUTED_VALUE"""),"EVERGREEN - UAN Gated Content - Embedded Petition")</f>
        <v>EVERGREEN - UAN Gated Content - Embedded Petition</v>
      </c>
      <c r="D1419" s="5">
        <f ca="1">IFERROR(__xludf.DUMMYFUNCTION("""COMPUTED_VALUE"""),45695)</f>
        <v>45695</v>
      </c>
      <c r="F1419" s="1" t="str">
        <f ca="1">IFERROR(__xludf.DUMMYFUNCTION("""COMPUTED_VALUE"""),"Dominican Republic")</f>
        <v>Dominican Republic</v>
      </c>
      <c r="G1419" s="1" t="str">
        <f ca="1">IFERROR(__xludf.DUMMYFUNCTION("""COMPUTED_VALUE"""),"88.24 Dominican Republic")</f>
        <v>88.24 Dominican Republic</v>
      </c>
      <c r="H1419" s="1" t="str">
        <f ca="1">IFERROR(__xludf.DUMMYFUNCTION("""COMPUTED_VALUE"""),"Individuals At Risk, Refugee and Migrant Rights")</f>
        <v>Individuals At Risk, Refugee and Migrant Rights</v>
      </c>
      <c r="I1419" s="1" t="str">
        <f ca="1">IFERROR(__xludf.DUMMYFUNCTION("""COMPUTED_VALUE"""),"2024")</f>
        <v>2024</v>
      </c>
      <c r="J1419" s="1" t="str">
        <f ca="1">IFERROR(__xludf.DUMMYFUNCTION("""COMPUTED_VALUE"""),"Letter")</f>
        <v>Letter</v>
      </c>
    </row>
    <row r="1420" spans="1:10" ht="13" x14ac:dyDescent="0.15">
      <c r="A1420" s="4">
        <f ca="1">IFERROR(__xludf.DUMMYFUNCTION("""COMPUTED_VALUE"""),128464291)</f>
        <v>128464291</v>
      </c>
      <c r="B1420" s="1" t="str">
        <f ca="1">IFERROR(__xludf.DUMMYFUNCTION("""COMPUTED_VALUE"""),"gemk65@mailbox.org")</f>
        <v>gemk65@mailbox.org</v>
      </c>
      <c r="C1420" s="4" t="str">
        <f ca="1">IFERROR(__xludf.DUMMYFUNCTION("""COMPUTED_VALUE"""),"EVERGREEN - UAN Gated Content - Embedded Petition")</f>
        <v>EVERGREEN - UAN Gated Content - Embedded Petition</v>
      </c>
      <c r="D1420" s="5">
        <f ca="1">IFERROR(__xludf.DUMMYFUNCTION("""COMPUTED_VALUE"""),45694)</f>
        <v>45694</v>
      </c>
      <c r="F1420" s="1" t="str">
        <f ca="1">IFERROR(__xludf.DUMMYFUNCTION("""COMPUTED_VALUE"""),"USA")</f>
        <v>USA</v>
      </c>
      <c r="G1420" s="1" t="str">
        <f ca="1">IFERROR(__xludf.DUMMYFUNCTION("""COMPUTED_VALUE"""),"105.24 USA")</f>
        <v>105.24 USA</v>
      </c>
      <c r="H1420" s="1" t="str">
        <f ca="1">IFERROR(__xludf.DUMMYFUNCTION("""COMPUTED_VALUE"""),"Death Penalty")</f>
        <v>Death Penalty</v>
      </c>
      <c r="I1420" s="1" t="str">
        <f ca="1">IFERROR(__xludf.DUMMYFUNCTION("""COMPUTED_VALUE"""),"2024")</f>
        <v>2024</v>
      </c>
      <c r="J1420" s="1" t="str">
        <f ca="1">IFERROR(__xludf.DUMMYFUNCTION("""COMPUTED_VALUE"""),"Email")</f>
        <v>Email</v>
      </c>
    </row>
    <row r="1421" spans="1:10" ht="13" x14ac:dyDescent="0.15">
      <c r="A1421" s="4">
        <f ca="1">IFERROR(__xludf.DUMMYFUNCTION("""COMPUTED_VALUE"""),130466319)</f>
        <v>130466319</v>
      </c>
      <c r="B1421" s="1" t="str">
        <f ca="1">IFERROR(__xludf.DUMMYFUNCTION("""COMPUTED_VALUE"""),"a3sth3tic@hotmail.com")</f>
        <v>a3sth3tic@hotmail.com</v>
      </c>
      <c r="C1421" s="4" t="str">
        <f ca="1">IFERROR(__xludf.DUMMYFUNCTION("""COMPUTED_VALUE"""),"EVERGREEN - UAN Gated Content - Embedded Petition")</f>
        <v>EVERGREEN - UAN Gated Content - Embedded Petition</v>
      </c>
      <c r="D1421" s="5">
        <f ca="1">IFERROR(__xludf.DUMMYFUNCTION("""COMPUTED_VALUE"""),45691)</f>
        <v>45691</v>
      </c>
      <c r="F1421" s="1" t="str">
        <f ca="1">IFERROR(__xludf.DUMMYFUNCTION("""COMPUTED_VALUE"""),"USA")</f>
        <v>USA</v>
      </c>
      <c r="G1421" s="1" t="str">
        <f ca="1">IFERROR(__xludf.DUMMYFUNCTION("""COMPUTED_VALUE"""),"105.24 USA")</f>
        <v>105.24 USA</v>
      </c>
      <c r="H1421" s="1" t="str">
        <f ca="1">IFERROR(__xludf.DUMMYFUNCTION("""COMPUTED_VALUE"""),"Death Penalty")</f>
        <v>Death Penalty</v>
      </c>
      <c r="I1421" s="1" t="str">
        <f ca="1">IFERROR(__xludf.DUMMYFUNCTION("""COMPUTED_VALUE"""),"2024")</f>
        <v>2024</v>
      </c>
      <c r="J1421" s="1" t="str">
        <f ca="1">IFERROR(__xludf.DUMMYFUNCTION("""COMPUTED_VALUE"""),"Email")</f>
        <v>Email</v>
      </c>
    </row>
    <row r="1422" spans="1:10" ht="13" x14ac:dyDescent="0.15">
      <c r="A1422" s="4">
        <f ca="1">IFERROR(__xludf.DUMMYFUNCTION("""COMPUTED_VALUE"""),130466443)</f>
        <v>130466443</v>
      </c>
      <c r="B1422" s="1" t="str">
        <f ca="1">IFERROR(__xludf.DUMMYFUNCTION("""COMPUTED_VALUE"""),"timlietzke@gmail.com")</f>
        <v>timlietzke@gmail.com</v>
      </c>
      <c r="C1422" s="4" t="str">
        <f ca="1">IFERROR(__xludf.DUMMYFUNCTION("""COMPUTED_VALUE"""),"EVERGREEN - UAN Gated Content - Embedded Petition")</f>
        <v>EVERGREEN - UAN Gated Content - Embedded Petition</v>
      </c>
      <c r="D1422" s="5">
        <f ca="1">IFERROR(__xludf.DUMMYFUNCTION("""COMPUTED_VALUE"""),45657)</f>
        <v>45657</v>
      </c>
      <c r="F1422" s="1" t="str">
        <f ca="1">IFERROR(__xludf.DUMMYFUNCTION("""COMPUTED_VALUE"""),"Tunisia")</f>
        <v>Tunisia</v>
      </c>
      <c r="G1422" s="1" t="str">
        <f ca="1">IFERROR(__xludf.DUMMYFUNCTION("""COMPUTED_VALUE"""),"Second 76.24 Tunisia")</f>
        <v>Second 76.24 Tunisia</v>
      </c>
      <c r="H1422" s="1" t="str">
        <f ca="1">IFERROR(__xludf.DUMMYFUNCTION("""COMPUTED_VALUE"""),"Freedom of Expression, Human Rights Defenders")</f>
        <v>Freedom of Expression, Human Rights Defenders</v>
      </c>
      <c r="I1422" s="1" t="str">
        <f ca="1">IFERROR(__xludf.DUMMYFUNCTION("""COMPUTED_VALUE"""),"2025")</f>
        <v>2025</v>
      </c>
      <c r="J1422" s="1" t="str">
        <f ca="1">IFERROR(__xludf.DUMMYFUNCTION("""COMPUTED_VALUE"""),"Email")</f>
        <v>Email</v>
      </c>
    </row>
    <row r="1423" spans="1:10" ht="13" x14ac:dyDescent="0.15">
      <c r="A1423" s="4">
        <f ca="1">IFERROR(__xludf.DUMMYFUNCTION("""COMPUTED_VALUE"""),130963270)</f>
        <v>130963270</v>
      </c>
      <c r="B1423" s="1" t="str">
        <f ca="1">IFERROR(__xludf.DUMMYFUNCTION("""COMPUTED_VALUE"""),"georginashanley@gmail.com")</f>
        <v>georginashanley@gmail.com</v>
      </c>
      <c r="C1423" s="4" t="str">
        <f ca="1">IFERROR(__xludf.DUMMYFUNCTION("""COMPUTED_VALUE"""),"EVERGREEN - UAN Gated Content - Embedded Petition")</f>
        <v>EVERGREEN - UAN Gated Content - Embedded Petition</v>
      </c>
      <c r="D1423" s="5">
        <f ca="1">IFERROR(__xludf.DUMMYFUNCTION("""COMPUTED_VALUE"""),45673)</f>
        <v>45673</v>
      </c>
      <c r="F1423" s="1" t="str">
        <f ca="1">IFERROR(__xludf.DUMMYFUNCTION("""COMPUTED_VALUE"""),"Niger")</f>
        <v>Niger</v>
      </c>
      <c r="G1423" s="1" t="str">
        <f ca="1">IFERROR(__xludf.DUMMYFUNCTION("""COMPUTED_VALUE"""),"103.24 Niger")</f>
        <v>103.24 Niger</v>
      </c>
      <c r="H1423" s="1" t="str">
        <f ca="1">IFERROR(__xludf.DUMMYFUNCTION("""COMPUTED_VALUE"""),"Freedom of Expression, Human Rights Defenders")</f>
        <v>Freedom of Expression, Human Rights Defenders</v>
      </c>
      <c r="I1423" s="1" t="str">
        <f ca="1">IFERROR(__xludf.DUMMYFUNCTION("""COMPUTED_VALUE"""),"2024")</f>
        <v>2024</v>
      </c>
      <c r="J1423" s="1" t="str">
        <f ca="1">IFERROR(__xludf.DUMMYFUNCTION("""COMPUTED_VALUE"""),"Email")</f>
        <v>Email</v>
      </c>
    </row>
    <row r="1424" spans="1:10" ht="13" x14ac:dyDescent="0.15">
      <c r="A1424" s="4">
        <f ca="1">IFERROR(__xludf.DUMMYFUNCTION("""COMPUTED_VALUE"""),131805566)</f>
        <v>131805566</v>
      </c>
      <c r="B1424" s="1" t="str">
        <f ca="1">IFERROR(__xludf.DUMMYFUNCTION("""COMPUTED_VALUE"""),"renee.enteen@gmail.com")</f>
        <v>renee.enteen@gmail.com</v>
      </c>
      <c r="C1424" s="4" t="str">
        <f ca="1">IFERROR(__xludf.DUMMYFUNCTION("""COMPUTED_VALUE"""),"EVERGREEN - UAN Gated Content - Embedded Petition")</f>
        <v>EVERGREEN - UAN Gated Content - Embedded Petition</v>
      </c>
      <c r="D1424" s="5">
        <f ca="1">IFERROR(__xludf.DUMMYFUNCTION("""COMPUTED_VALUE"""),45694)</f>
        <v>45694</v>
      </c>
      <c r="F1424" s="1" t="str">
        <f ca="1">IFERROR(__xludf.DUMMYFUNCTION("""COMPUTED_VALUE"""),"Iran")</f>
        <v>Iran</v>
      </c>
      <c r="G1424" s="1" t="str">
        <f ca="1">IFERROR(__xludf.DUMMYFUNCTION("""COMPUTED_VALUE"""),"Seventh 103.22 Iran")</f>
        <v>Seventh 103.22 Iran</v>
      </c>
      <c r="H1424" s="1" t="str">
        <f ca="1">IFERROR(__xludf.DUMMYFUNCTION("""COMPUTED_VALUE"""),"Death Penalty, Freedom of Expression, Individuals At Risk")</f>
        <v>Death Penalty, Freedom of Expression, Individuals At Risk</v>
      </c>
      <c r="I1424" s="1" t="str">
        <f ca="1">IFERROR(__xludf.DUMMYFUNCTION("""COMPUTED_VALUE"""),"2024")</f>
        <v>2024</v>
      </c>
      <c r="J1424" s="1" t="str">
        <f ca="1">IFERROR(__xludf.DUMMYFUNCTION("""COMPUTED_VALUE"""),"Email")</f>
        <v>Email</v>
      </c>
    </row>
    <row r="1425" spans="1:10" ht="13" x14ac:dyDescent="0.15">
      <c r="A1425" s="4">
        <f ca="1">IFERROR(__xludf.DUMMYFUNCTION("""COMPUTED_VALUE"""),134510762)</f>
        <v>134510762</v>
      </c>
      <c r="B1425" s="1" t="str">
        <f ca="1">IFERROR(__xludf.DUMMYFUNCTION("""COMPUTED_VALUE"""),"indiacruz65@gmail.com")</f>
        <v>indiacruz65@gmail.com</v>
      </c>
      <c r="C1425" s="4" t="str">
        <f ca="1">IFERROR(__xludf.DUMMYFUNCTION("""COMPUTED_VALUE"""),"EVERGREEN - UAN Gated Content - Embedded Petition")</f>
        <v>EVERGREEN - UAN Gated Content - Embedded Petition</v>
      </c>
      <c r="D1425" s="5">
        <f ca="1">IFERROR(__xludf.DUMMYFUNCTION("""COMPUTED_VALUE"""),45695)</f>
        <v>45695</v>
      </c>
      <c r="F1425" s="1" t="str">
        <f ca="1">IFERROR(__xludf.DUMMYFUNCTION("""COMPUTED_VALUE"""),"Tunisia")</f>
        <v>Tunisia</v>
      </c>
      <c r="G1425" s="1" t="str">
        <f ca="1">IFERROR(__xludf.DUMMYFUNCTION("""COMPUTED_VALUE"""),"Second 76.24 Tunisia")</f>
        <v>Second 76.24 Tunisia</v>
      </c>
      <c r="H1425" s="1" t="str">
        <f ca="1">IFERROR(__xludf.DUMMYFUNCTION("""COMPUTED_VALUE"""),"Freedom of Expression, Human Rights Defenders")</f>
        <v>Freedom of Expression, Human Rights Defenders</v>
      </c>
      <c r="I1425" s="1" t="str">
        <f ca="1">IFERROR(__xludf.DUMMYFUNCTION("""COMPUTED_VALUE"""),"2025")</f>
        <v>2025</v>
      </c>
      <c r="J1425" s="1" t="str">
        <f ca="1">IFERROR(__xludf.DUMMYFUNCTION("""COMPUTED_VALUE"""),"Email")</f>
        <v>Email</v>
      </c>
    </row>
    <row r="1426" spans="1:10" ht="13" x14ac:dyDescent="0.15">
      <c r="A1426" s="4">
        <f ca="1">IFERROR(__xludf.DUMMYFUNCTION("""COMPUTED_VALUE"""),135292365)</f>
        <v>135292365</v>
      </c>
      <c r="B1426" s="1" t="str">
        <f ca="1">IFERROR(__xludf.DUMMYFUNCTION("""COMPUTED_VALUE"""),"dstemarie39@gmail.com")</f>
        <v>dstemarie39@gmail.com</v>
      </c>
      <c r="C1426" s="4" t="str">
        <f ca="1">IFERROR(__xludf.DUMMYFUNCTION("""COMPUTED_VALUE"""),"EVERGREEN - UAN Gated Content - Embedded Petition")</f>
        <v>EVERGREEN - UAN Gated Content - Embedded Petition</v>
      </c>
      <c r="D1426" s="5">
        <f ca="1">IFERROR(__xludf.DUMMYFUNCTION("""COMPUTED_VALUE"""),45692)</f>
        <v>45692</v>
      </c>
      <c r="F1426" s="1" t="str">
        <f ca="1">IFERROR(__xludf.DUMMYFUNCTION("""COMPUTED_VALUE"""),"Israel and Occupied Palestinian Territories")</f>
        <v>Israel and Occupied Palestinian Territories</v>
      </c>
      <c r="G1426" s="1" t="str">
        <f ca="1">IFERROR(__xludf.DUMMYFUNCTION("""COMPUTED_VALUE"""),"3.25 IOPT")</f>
        <v>3.25 IOPT</v>
      </c>
      <c r="H1426" s="1" t="str">
        <f ca="1">IFERROR(__xludf.DUMMYFUNCTION("""COMPUTED_VALUE"""),"Freedom of Expression, Individuals At Risk")</f>
        <v>Freedom of Expression, Individuals At Risk</v>
      </c>
      <c r="I1426" s="1" t="str">
        <f ca="1">IFERROR(__xludf.DUMMYFUNCTION("""COMPUTED_VALUE"""),"2025")</f>
        <v>2025</v>
      </c>
      <c r="J1426" s="1" t="str">
        <f ca="1">IFERROR(__xludf.DUMMYFUNCTION("""COMPUTED_VALUE"""),"Email")</f>
        <v>Email</v>
      </c>
    </row>
    <row r="1427" spans="1:10" ht="13" x14ac:dyDescent="0.15">
      <c r="A1427" s="4">
        <f ca="1">IFERROR(__xludf.DUMMYFUNCTION("""COMPUTED_VALUE"""),135292365)</f>
        <v>135292365</v>
      </c>
      <c r="B1427" s="1" t="str">
        <f ca="1">IFERROR(__xludf.DUMMYFUNCTION("""COMPUTED_VALUE"""),"dstemarie39@gmail.com")</f>
        <v>dstemarie39@gmail.com</v>
      </c>
      <c r="C1427" s="4" t="str">
        <f ca="1">IFERROR(__xludf.DUMMYFUNCTION("""COMPUTED_VALUE"""),"EVERGREEN - UAN Gated Content - Embedded Petition")</f>
        <v>EVERGREEN - UAN Gated Content - Embedded Petition</v>
      </c>
      <c r="D1427" s="5">
        <f ca="1">IFERROR(__xludf.DUMMYFUNCTION("""COMPUTED_VALUE"""),45694)</f>
        <v>45694</v>
      </c>
      <c r="F1427" s="1" t="str">
        <f ca="1">IFERROR(__xludf.DUMMYFUNCTION("""COMPUTED_VALUE"""),"Saudi Arabia")</f>
        <v>Saudi Arabia</v>
      </c>
      <c r="G1427" s="1" t="str">
        <f ca="1">IFERROR(__xludf.DUMMYFUNCTION("""COMPUTED_VALUE"""),"Fifth 257.12")</f>
        <v>Fifth 257.12</v>
      </c>
      <c r="H1427" s="1" t="str">
        <f ca="1">IFERROR(__xludf.DUMMYFUNCTION("""COMPUTED_VALUE"""),"Freedom of Expression, Human Rights Defenders")</f>
        <v>Freedom of Expression, Human Rights Defenders</v>
      </c>
      <c r="I1427" s="1" t="str">
        <f ca="1">IFERROR(__xludf.DUMMYFUNCTION("""COMPUTED_VALUE"""),"2025")</f>
        <v>2025</v>
      </c>
      <c r="J1427" s="1" t="str">
        <f ca="1">IFERROR(__xludf.DUMMYFUNCTION("""COMPUTED_VALUE"""),"Email")</f>
        <v>Email</v>
      </c>
    </row>
    <row r="1428" spans="1:10" ht="13" x14ac:dyDescent="0.15">
      <c r="A1428" s="4">
        <f ca="1">IFERROR(__xludf.DUMMYFUNCTION("""COMPUTED_VALUE"""),135292365)</f>
        <v>135292365</v>
      </c>
      <c r="B1428" s="1" t="str">
        <f ca="1">IFERROR(__xludf.DUMMYFUNCTION("""COMPUTED_VALUE"""),"dstemarie39@gmail.com")</f>
        <v>dstemarie39@gmail.com</v>
      </c>
      <c r="C1428" s="4" t="str">
        <f ca="1">IFERROR(__xludf.DUMMYFUNCTION("""COMPUTED_VALUE"""),"EVERGREEN - UAN Gated Content - Embedded Petition")</f>
        <v>EVERGREEN - UAN Gated Content - Embedded Petition</v>
      </c>
      <c r="D1428" s="5">
        <f ca="1">IFERROR(__xludf.DUMMYFUNCTION("""COMPUTED_VALUE"""),45692)</f>
        <v>45692</v>
      </c>
      <c r="F1428" s="1" t="str">
        <f ca="1">IFERROR(__xludf.DUMMYFUNCTION("""COMPUTED_VALUE"""),"Azerbaijan")</f>
        <v>Azerbaijan</v>
      </c>
      <c r="G1428" s="1" t="str">
        <f ca="1">IFERROR(__xludf.DUMMYFUNCTION("""COMPUTED_VALUE"""),"2.25 Azerbaijan")</f>
        <v>2.25 Azerbaijan</v>
      </c>
      <c r="H1428" s="1" t="str">
        <f ca="1">IFERROR(__xludf.DUMMYFUNCTION("""COMPUTED_VALUE"""),"Freedom of Expression, Human Rights Defenders")</f>
        <v>Freedom of Expression, Human Rights Defenders</v>
      </c>
      <c r="I1428" s="1" t="str">
        <f ca="1">IFERROR(__xludf.DUMMYFUNCTION("""COMPUTED_VALUE"""),"2025")</f>
        <v>2025</v>
      </c>
      <c r="J1428" s="1" t="str">
        <f ca="1">IFERROR(__xludf.DUMMYFUNCTION("""COMPUTED_VALUE"""),"Email")</f>
        <v>Email</v>
      </c>
    </row>
    <row r="1429" spans="1:10" ht="13" x14ac:dyDescent="0.15">
      <c r="A1429" s="4">
        <f ca="1">IFERROR(__xludf.DUMMYFUNCTION("""COMPUTED_VALUE"""),135702714)</f>
        <v>135702714</v>
      </c>
      <c r="B1429" s="1" t="str">
        <f ca="1">IFERROR(__xludf.DUMMYFUNCTION("""COMPUTED_VALUE"""),"alexhowe333@gmail.com")</f>
        <v>alexhowe333@gmail.com</v>
      </c>
      <c r="C1429" s="4" t="str">
        <f ca="1">IFERROR(__xludf.DUMMYFUNCTION("""COMPUTED_VALUE"""),"EVERGREEN - UAN Gated Content - Embedded Petition")</f>
        <v>EVERGREEN - UAN Gated Content - Embedded Petition</v>
      </c>
      <c r="D1429" s="5">
        <f ca="1">IFERROR(__xludf.DUMMYFUNCTION("""COMPUTED_VALUE"""),45679)</f>
        <v>45679</v>
      </c>
      <c r="F1429" s="1" t="str">
        <f ca="1">IFERROR(__xludf.DUMMYFUNCTION("""COMPUTED_VALUE"""),"Azerbaijan")</f>
        <v>Azerbaijan</v>
      </c>
      <c r="G1429" s="1" t="str">
        <f ca="1">IFERROR(__xludf.DUMMYFUNCTION("""COMPUTED_VALUE"""),"2.25 Azerbaijan")</f>
        <v>2.25 Azerbaijan</v>
      </c>
      <c r="H1429" s="1" t="str">
        <f ca="1">IFERROR(__xludf.DUMMYFUNCTION("""COMPUTED_VALUE"""),"Freedom of Expression, Human Rights Defenders")</f>
        <v>Freedom of Expression, Human Rights Defenders</v>
      </c>
      <c r="I1429" s="1" t="str">
        <f ca="1">IFERROR(__xludf.DUMMYFUNCTION("""COMPUTED_VALUE"""),"2025")</f>
        <v>2025</v>
      </c>
      <c r="J1429" s="1" t="str">
        <f ca="1">IFERROR(__xludf.DUMMYFUNCTION("""COMPUTED_VALUE"""),"Email")</f>
        <v>Email</v>
      </c>
    </row>
    <row r="1430" spans="1:10" ht="13" x14ac:dyDescent="0.15">
      <c r="A1430" s="4">
        <f ca="1">IFERROR(__xludf.DUMMYFUNCTION("""COMPUTED_VALUE"""),135702714)</f>
        <v>135702714</v>
      </c>
      <c r="B1430" s="1" t="str">
        <f ca="1">IFERROR(__xludf.DUMMYFUNCTION("""COMPUTED_VALUE"""),"alexhowe333@gmail.com")</f>
        <v>alexhowe333@gmail.com</v>
      </c>
      <c r="C1430" s="4" t="str">
        <f ca="1">IFERROR(__xludf.DUMMYFUNCTION("""COMPUTED_VALUE"""),"EVERGREEN - UAN Gated Content - Embedded Petition")</f>
        <v>EVERGREEN - UAN Gated Content - Embedded Petition</v>
      </c>
      <c r="D1430" s="5">
        <f ca="1">IFERROR(__xludf.DUMMYFUNCTION("""COMPUTED_VALUE"""),45703)</f>
        <v>45703</v>
      </c>
      <c r="F1430" s="1" t="str">
        <f ca="1">IFERROR(__xludf.DUMMYFUNCTION("""COMPUTED_VALUE"""),"Iran")</f>
        <v>Iran</v>
      </c>
      <c r="G1430" s="1" t="str">
        <f ca="1">IFERROR(__xludf.DUMMYFUNCTION("""COMPUTED_VALUE"""),"Seventh 103.22 Iran")</f>
        <v>Seventh 103.22 Iran</v>
      </c>
      <c r="H1430" s="1" t="str">
        <f ca="1">IFERROR(__xludf.DUMMYFUNCTION("""COMPUTED_VALUE"""),"Death Penalty, Freedom of Expression, Individuals At Risk")</f>
        <v>Death Penalty, Freedom of Expression, Individuals At Risk</v>
      </c>
      <c r="I1430" s="1" t="str">
        <f ca="1">IFERROR(__xludf.DUMMYFUNCTION("""COMPUTED_VALUE"""),"2024")</f>
        <v>2024</v>
      </c>
      <c r="J1430" s="1" t="str">
        <f ca="1">IFERROR(__xludf.DUMMYFUNCTION("""COMPUTED_VALUE"""),"Email")</f>
        <v>Email</v>
      </c>
    </row>
    <row r="1431" spans="1:10" ht="13" x14ac:dyDescent="0.15">
      <c r="A1431" s="4">
        <f ca="1">IFERROR(__xludf.DUMMYFUNCTION("""COMPUTED_VALUE"""),135702714)</f>
        <v>135702714</v>
      </c>
      <c r="B1431" s="1" t="str">
        <f ca="1">IFERROR(__xludf.DUMMYFUNCTION("""COMPUTED_VALUE"""),"alexhowe333@gmail.com")</f>
        <v>alexhowe333@gmail.com</v>
      </c>
      <c r="C1431" s="4" t="str">
        <f ca="1">IFERROR(__xludf.DUMMYFUNCTION("""COMPUTED_VALUE"""),"EVERGREEN - UAN Gated Content - Embedded Petition")</f>
        <v>EVERGREEN - UAN Gated Content - Embedded Petition</v>
      </c>
      <c r="D1431" s="5">
        <f ca="1">IFERROR(__xludf.DUMMYFUNCTION("""COMPUTED_VALUE"""),45692)</f>
        <v>45692</v>
      </c>
      <c r="F1431" s="1" t="str">
        <f ca="1">IFERROR(__xludf.DUMMYFUNCTION("""COMPUTED_VALUE"""),"Tunisia")</f>
        <v>Tunisia</v>
      </c>
      <c r="G1431" s="1" t="str">
        <f ca="1">IFERROR(__xludf.DUMMYFUNCTION("""COMPUTED_VALUE"""),"Second 76.24 Tunisia")</f>
        <v>Second 76.24 Tunisia</v>
      </c>
      <c r="H1431" s="1" t="str">
        <f ca="1">IFERROR(__xludf.DUMMYFUNCTION("""COMPUTED_VALUE"""),"Freedom of Expression, Human Rights Defenders")</f>
        <v>Freedom of Expression, Human Rights Defenders</v>
      </c>
      <c r="I1431" s="1" t="str">
        <f ca="1">IFERROR(__xludf.DUMMYFUNCTION("""COMPUTED_VALUE"""),"2025")</f>
        <v>2025</v>
      </c>
      <c r="J1431" s="1" t="str">
        <f ca="1">IFERROR(__xludf.DUMMYFUNCTION("""COMPUTED_VALUE"""),"Email")</f>
        <v>Email</v>
      </c>
    </row>
    <row r="1432" spans="1:10" ht="13" x14ac:dyDescent="0.15">
      <c r="A1432" s="4">
        <f ca="1">IFERROR(__xludf.DUMMYFUNCTION("""COMPUTED_VALUE"""),135702714)</f>
        <v>135702714</v>
      </c>
      <c r="B1432" s="1" t="str">
        <f ca="1">IFERROR(__xludf.DUMMYFUNCTION("""COMPUTED_VALUE"""),"alexhowe333@gmail.com")</f>
        <v>alexhowe333@gmail.com</v>
      </c>
      <c r="C1432" s="4" t="str">
        <f ca="1">IFERROR(__xludf.DUMMYFUNCTION("""COMPUTED_VALUE"""),"EVERGREEN - UAN Gated Content - Embedded Petition")</f>
        <v>EVERGREEN - UAN Gated Content - Embedded Petition</v>
      </c>
      <c r="D1432" s="5">
        <f ca="1">IFERROR(__xludf.DUMMYFUNCTION("""COMPUTED_VALUE"""),45682)</f>
        <v>45682</v>
      </c>
      <c r="F1432" s="1" t="str">
        <f ca="1">IFERROR(__xludf.DUMMYFUNCTION("""COMPUTED_VALUE"""),"Uganda")</f>
        <v>Uganda</v>
      </c>
      <c r="G1432" s="1" t="str">
        <f ca="1">IFERROR(__xludf.DUMMYFUNCTION("""COMPUTED_VALUE"""),"100.24 Uganda")</f>
        <v>100.24 Uganda</v>
      </c>
      <c r="H1432" s="1" t="str">
        <f ca="1">IFERROR(__xludf.DUMMYFUNCTION("""COMPUTED_VALUE"""),"Freedom of Expression")</f>
        <v>Freedom of Expression</v>
      </c>
      <c r="I1432" s="1" t="str">
        <f ca="1">IFERROR(__xludf.DUMMYFUNCTION("""COMPUTED_VALUE"""),"2024")</f>
        <v>2024</v>
      </c>
      <c r="J1432" s="1" t="str">
        <f ca="1">IFERROR(__xludf.DUMMYFUNCTION("""COMPUTED_VALUE"""),"Email")</f>
        <v>Email</v>
      </c>
    </row>
    <row r="1433" spans="1:10" ht="13" x14ac:dyDescent="0.15">
      <c r="A1433" s="4">
        <f ca="1">IFERROR(__xludf.DUMMYFUNCTION("""COMPUTED_VALUE"""),135702714)</f>
        <v>135702714</v>
      </c>
      <c r="B1433" s="1" t="str">
        <f ca="1">IFERROR(__xludf.DUMMYFUNCTION("""COMPUTED_VALUE"""),"alexhowe333@gmail.com")</f>
        <v>alexhowe333@gmail.com</v>
      </c>
      <c r="C1433" s="4" t="str">
        <f ca="1">IFERROR(__xludf.DUMMYFUNCTION("""COMPUTED_VALUE"""),"EVERGREEN - UAN Gated Content - Embedded Petition")</f>
        <v>EVERGREEN - UAN Gated Content - Embedded Petition</v>
      </c>
      <c r="D1433" s="5">
        <f ca="1">IFERROR(__xludf.DUMMYFUNCTION("""COMPUTED_VALUE"""),45686)</f>
        <v>45686</v>
      </c>
      <c r="F1433" s="1" t="str">
        <f ca="1">IFERROR(__xludf.DUMMYFUNCTION("""COMPUTED_VALUE"""),"Iran")</f>
        <v>Iran</v>
      </c>
      <c r="G1433" s="1" t="str">
        <f ca="1">IFERROR(__xludf.DUMMYFUNCTION("""COMPUTED_VALUE"""),"Seventh 103.22 Iran")</f>
        <v>Seventh 103.22 Iran</v>
      </c>
      <c r="H1433" s="1" t="str">
        <f ca="1">IFERROR(__xludf.DUMMYFUNCTION("""COMPUTED_VALUE"""),"Death Penalty, Freedom of Expression, Individuals At Risk")</f>
        <v>Death Penalty, Freedom of Expression, Individuals At Risk</v>
      </c>
      <c r="I1433" s="1" t="str">
        <f ca="1">IFERROR(__xludf.DUMMYFUNCTION("""COMPUTED_VALUE"""),"2024")</f>
        <v>2024</v>
      </c>
      <c r="J1433" s="1" t="str">
        <f ca="1">IFERROR(__xludf.DUMMYFUNCTION("""COMPUTED_VALUE"""),"Email")</f>
        <v>Email</v>
      </c>
    </row>
    <row r="1434" spans="1:10" ht="13" x14ac:dyDescent="0.15">
      <c r="A1434" s="4">
        <f ca="1">IFERROR(__xludf.DUMMYFUNCTION("""COMPUTED_VALUE"""),135702714)</f>
        <v>135702714</v>
      </c>
      <c r="B1434" s="1" t="str">
        <f ca="1">IFERROR(__xludf.DUMMYFUNCTION("""COMPUTED_VALUE"""),"alexhowe333@gmail.com")</f>
        <v>alexhowe333@gmail.com</v>
      </c>
      <c r="C1434" s="4" t="str">
        <f ca="1">IFERROR(__xludf.DUMMYFUNCTION("""COMPUTED_VALUE"""),"EVERGREEN - UAN Gated Content - Embedded Petition")</f>
        <v>EVERGREEN - UAN Gated Content - Embedded Petition</v>
      </c>
      <c r="D1434" s="5">
        <f ca="1">IFERROR(__xludf.DUMMYFUNCTION("""COMPUTED_VALUE"""),45690)</f>
        <v>45690</v>
      </c>
      <c r="F1434" s="1" t="str">
        <f ca="1">IFERROR(__xludf.DUMMYFUNCTION("""COMPUTED_VALUE"""),"Tunisia")</f>
        <v>Tunisia</v>
      </c>
      <c r="G1434" s="1" t="str">
        <f ca="1">IFERROR(__xludf.DUMMYFUNCTION("""COMPUTED_VALUE"""),"Second 76.24 Tunisia")</f>
        <v>Second 76.24 Tunisia</v>
      </c>
      <c r="H1434" s="1" t="str">
        <f ca="1">IFERROR(__xludf.DUMMYFUNCTION("""COMPUTED_VALUE"""),"Freedom of Expression, Human Rights Defenders")</f>
        <v>Freedom of Expression, Human Rights Defenders</v>
      </c>
      <c r="I1434" s="1" t="str">
        <f ca="1">IFERROR(__xludf.DUMMYFUNCTION("""COMPUTED_VALUE"""),"2025")</f>
        <v>2025</v>
      </c>
      <c r="J1434" s="1" t="str">
        <f ca="1">IFERROR(__xludf.DUMMYFUNCTION("""COMPUTED_VALUE"""),"Email")</f>
        <v>Email</v>
      </c>
    </row>
    <row r="1435" spans="1:10" ht="13" x14ac:dyDescent="0.15">
      <c r="A1435" s="4">
        <f ca="1">IFERROR(__xludf.DUMMYFUNCTION("""COMPUTED_VALUE"""),135727591)</f>
        <v>135727591</v>
      </c>
      <c r="B1435" s="1" t="str">
        <f ca="1">IFERROR(__xludf.DUMMYFUNCTION("""COMPUTED_VALUE"""),"jackdavidm@gmail.com")</f>
        <v>jackdavidm@gmail.com</v>
      </c>
      <c r="C1435" s="4" t="str">
        <f ca="1">IFERROR(__xludf.DUMMYFUNCTION("""COMPUTED_VALUE"""),"EVERGREEN - UAN Gated Content - Embedded Petition")</f>
        <v>EVERGREEN - UAN Gated Content - Embedded Petition</v>
      </c>
      <c r="D1435" s="5">
        <f ca="1">IFERROR(__xludf.DUMMYFUNCTION("""COMPUTED_VALUE"""),45694)</f>
        <v>45694</v>
      </c>
      <c r="F1435" s="1" t="str">
        <f ca="1">IFERROR(__xludf.DUMMYFUNCTION("""COMPUTED_VALUE"""),"Tunisia")</f>
        <v>Tunisia</v>
      </c>
      <c r="G1435" s="1" t="str">
        <f ca="1">IFERROR(__xludf.DUMMYFUNCTION("""COMPUTED_VALUE"""),"Second 76.24 Tunisia")</f>
        <v>Second 76.24 Tunisia</v>
      </c>
      <c r="H1435" s="1" t="str">
        <f ca="1">IFERROR(__xludf.DUMMYFUNCTION("""COMPUTED_VALUE"""),"Freedom of Expression, Human Rights Defenders")</f>
        <v>Freedom of Expression, Human Rights Defenders</v>
      </c>
      <c r="I1435" s="1" t="str">
        <f ca="1">IFERROR(__xludf.DUMMYFUNCTION("""COMPUTED_VALUE"""),"2025")</f>
        <v>2025</v>
      </c>
      <c r="J1435" s="1" t="str">
        <f ca="1">IFERROR(__xludf.DUMMYFUNCTION("""COMPUTED_VALUE"""),"Email")</f>
        <v>Email</v>
      </c>
    </row>
    <row r="1436" spans="1:10" ht="13" x14ac:dyDescent="0.15">
      <c r="A1436" s="4">
        <f ca="1">IFERROR(__xludf.DUMMYFUNCTION("""COMPUTED_VALUE"""),135727591)</f>
        <v>135727591</v>
      </c>
      <c r="B1436" s="1" t="str">
        <f ca="1">IFERROR(__xludf.DUMMYFUNCTION("""COMPUTED_VALUE"""),"jackdavidm@gmail.com")</f>
        <v>jackdavidm@gmail.com</v>
      </c>
      <c r="C1436" s="4" t="str">
        <f ca="1">IFERROR(__xludf.DUMMYFUNCTION("""COMPUTED_VALUE"""),"EVERGREEN - UAN Gated Content - Embedded Petition")</f>
        <v>EVERGREEN - UAN Gated Content - Embedded Petition</v>
      </c>
      <c r="D1436" s="5">
        <f ca="1">IFERROR(__xludf.DUMMYFUNCTION("""COMPUTED_VALUE"""),45616)</f>
        <v>45616</v>
      </c>
      <c r="F1436" s="1" t="str">
        <f ca="1">IFERROR(__xludf.DUMMYFUNCTION("""COMPUTED_VALUE"""),"USA")</f>
        <v>USA</v>
      </c>
      <c r="G1436" s="1" t="str">
        <f ca="1">IFERROR(__xludf.DUMMYFUNCTION("""COMPUTED_VALUE"""),"105.24 USA")</f>
        <v>105.24 USA</v>
      </c>
      <c r="H1436" s="1" t="str">
        <f ca="1">IFERROR(__xludf.DUMMYFUNCTION("""COMPUTED_VALUE"""),"Death Penalty")</f>
        <v>Death Penalty</v>
      </c>
      <c r="I1436" s="1" t="str">
        <f ca="1">IFERROR(__xludf.DUMMYFUNCTION("""COMPUTED_VALUE"""),"2024")</f>
        <v>2024</v>
      </c>
      <c r="J1436" s="1" t="str">
        <f ca="1">IFERROR(__xludf.DUMMYFUNCTION("""COMPUTED_VALUE"""),"Email")</f>
        <v>Email</v>
      </c>
    </row>
    <row r="1437" spans="1:10" ht="13" x14ac:dyDescent="0.15">
      <c r="A1437" s="4">
        <f ca="1">IFERROR(__xludf.DUMMYFUNCTION("""COMPUTED_VALUE"""),135727591)</f>
        <v>135727591</v>
      </c>
      <c r="B1437" s="1" t="str">
        <f ca="1">IFERROR(__xludf.DUMMYFUNCTION("""COMPUTED_VALUE"""),"jackdavidm@gmail.com")</f>
        <v>jackdavidm@gmail.com</v>
      </c>
      <c r="C1437" s="4" t="str">
        <f ca="1">IFERROR(__xludf.DUMMYFUNCTION("""COMPUTED_VALUE"""),"EVERGREEN - UAN Gated Content - Embedded Petition")</f>
        <v>EVERGREEN - UAN Gated Content - Embedded Petition</v>
      </c>
      <c r="D1437" s="5">
        <f ca="1">IFERROR(__xludf.DUMMYFUNCTION("""COMPUTED_VALUE"""),45616)</f>
        <v>45616</v>
      </c>
      <c r="F1437" s="1" t="str">
        <f ca="1">IFERROR(__xludf.DUMMYFUNCTION("""COMPUTED_VALUE"""),"Niger")</f>
        <v>Niger</v>
      </c>
      <c r="G1437" s="1" t="str">
        <f ca="1">IFERROR(__xludf.DUMMYFUNCTION("""COMPUTED_VALUE"""),"103.24 Niger")</f>
        <v>103.24 Niger</v>
      </c>
      <c r="H1437" s="1" t="str">
        <f ca="1">IFERROR(__xludf.DUMMYFUNCTION("""COMPUTED_VALUE"""),"Freedom of Expression, Human Rights Defenders")</f>
        <v>Freedom of Expression, Human Rights Defenders</v>
      </c>
      <c r="I1437" s="1" t="str">
        <f ca="1">IFERROR(__xludf.DUMMYFUNCTION("""COMPUTED_VALUE"""),"2024")</f>
        <v>2024</v>
      </c>
      <c r="J1437" s="1" t="str">
        <f ca="1">IFERROR(__xludf.DUMMYFUNCTION("""COMPUTED_VALUE"""),"Email")</f>
        <v>Email</v>
      </c>
    </row>
    <row r="1438" spans="1:10" ht="13" x14ac:dyDescent="0.15">
      <c r="A1438" s="4">
        <f ca="1">IFERROR(__xludf.DUMMYFUNCTION("""COMPUTED_VALUE"""),135729680)</f>
        <v>135729680</v>
      </c>
      <c r="B1438" s="1" t="str">
        <f ca="1">IFERROR(__xludf.DUMMYFUNCTION("""COMPUTED_VALUE"""),"rreichmann76@gmail.com")</f>
        <v>rreichmann76@gmail.com</v>
      </c>
      <c r="C1438" s="4" t="str">
        <f ca="1">IFERROR(__xludf.DUMMYFUNCTION("""COMPUTED_VALUE"""),"EVERGREEN - UAN Gated Content - Embedded Petition")</f>
        <v>EVERGREEN - UAN Gated Content - Embedded Petition</v>
      </c>
      <c r="D1438" s="5">
        <f ca="1">IFERROR(__xludf.DUMMYFUNCTION("""COMPUTED_VALUE"""),45677)</f>
        <v>45677</v>
      </c>
      <c r="F1438" s="1" t="str">
        <f ca="1">IFERROR(__xludf.DUMMYFUNCTION("""COMPUTED_VALUE"""),"Tunisia")</f>
        <v>Tunisia</v>
      </c>
      <c r="G1438" s="1" t="str">
        <f ca="1">IFERROR(__xludf.DUMMYFUNCTION("""COMPUTED_VALUE"""),"Second 76.24 Tunisia")</f>
        <v>Second 76.24 Tunisia</v>
      </c>
      <c r="H1438" s="1" t="str">
        <f ca="1">IFERROR(__xludf.DUMMYFUNCTION("""COMPUTED_VALUE"""),"Freedom of Expression, Human Rights Defenders")</f>
        <v>Freedom of Expression, Human Rights Defenders</v>
      </c>
      <c r="I1438" s="1" t="str">
        <f ca="1">IFERROR(__xludf.DUMMYFUNCTION("""COMPUTED_VALUE"""),"2025")</f>
        <v>2025</v>
      </c>
      <c r="J1438" s="1" t="str">
        <f ca="1">IFERROR(__xludf.DUMMYFUNCTION("""COMPUTED_VALUE"""),"Email")</f>
        <v>Email</v>
      </c>
    </row>
    <row r="1439" spans="1:10" ht="13" x14ac:dyDescent="0.15">
      <c r="A1439" s="4">
        <f ca="1">IFERROR(__xludf.DUMMYFUNCTION("""COMPUTED_VALUE"""),135729680)</f>
        <v>135729680</v>
      </c>
      <c r="B1439" s="1" t="str">
        <f ca="1">IFERROR(__xludf.DUMMYFUNCTION("""COMPUTED_VALUE"""),"rreichmann76@gmail.com")</f>
        <v>rreichmann76@gmail.com</v>
      </c>
      <c r="C1439" s="4" t="str">
        <f ca="1">IFERROR(__xludf.DUMMYFUNCTION("""COMPUTED_VALUE"""),"EVERGREEN - UAN Gated Content - Embedded Petition")</f>
        <v>EVERGREEN - UAN Gated Content - Embedded Petition</v>
      </c>
      <c r="D1439" s="5">
        <f ca="1">IFERROR(__xludf.DUMMYFUNCTION("""COMPUTED_VALUE"""),45677)</f>
        <v>45677</v>
      </c>
      <c r="F1439" s="1" t="str">
        <f ca="1">IFERROR(__xludf.DUMMYFUNCTION("""COMPUTED_VALUE"""),"Tunisia")</f>
        <v>Tunisia</v>
      </c>
      <c r="G1439" s="1" t="str">
        <f ca="1">IFERROR(__xludf.DUMMYFUNCTION("""COMPUTED_VALUE"""),"Second 76.24 Tunisia")</f>
        <v>Second 76.24 Tunisia</v>
      </c>
      <c r="H1439" s="1" t="str">
        <f ca="1">IFERROR(__xludf.DUMMYFUNCTION("""COMPUTED_VALUE"""),"Freedom of Expression, Human Rights Defenders")</f>
        <v>Freedom of Expression, Human Rights Defenders</v>
      </c>
      <c r="I1439" s="1" t="str">
        <f ca="1">IFERROR(__xludf.DUMMYFUNCTION("""COMPUTED_VALUE"""),"2025")</f>
        <v>2025</v>
      </c>
      <c r="J1439" s="1" t="str">
        <f ca="1">IFERROR(__xludf.DUMMYFUNCTION("""COMPUTED_VALUE"""),"Email")</f>
        <v>Email</v>
      </c>
    </row>
    <row r="1440" spans="1:10" ht="13" x14ac:dyDescent="0.15">
      <c r="A1440" s="4">
        <f ca="1">IFERROR(__xludf.DUMMYFUNCTION("""COMPUTED_VALUE"""),135729680)</f>
        <v>135729680</v>
      </c>
      <c r="B1440" s="1" t="str">
        <f ca="1">IFERROR(__xludf.DUMMYFUNCTION("""COMPUTED_VALUE"""),"rreichmann76@gmail.com")</f>
        <v>rreichmann76@gmail.com</v>
      </c>
      <c r="C1440" s="4" t="str">
        <f ca="1">IFERROR(__xludf.DUMMYFUNCTION("""COMPUTED_VALUE"""),"EVERGREEN - UAN Gated Content - Embedded Petition")</f>
        <v>EVERGREEN - UAN Gated Content - Embedded Petition</v>
      </c>
      <c r="D1440" s="5">
        <f ca="1">IFERROR(__xludf.DUMMYFUNCTION("""COMPUTED_VALUE"""),45677)</f>
        <v>45677</v>
      </c>
      <c r="F1440" s="1" t="str">
        <f ca="1">IFERROR(__xludf.DUMMYFUNCTION("""COMPUTED_VALUE"""),"Tunisia")</f>
        <v>Tunisia</v>
      </c>
      <c r="G1440" s="1" t="str">
        <f ca="1">IFERROR(__xludf.DUMMYFUNCTION("""COMPUTED_VALUE"""),"Second 76.24 Tunisia")</f>
        <v>Second 76.24 Tunisia</v>
      </c>
      <c r="H1440" s="1" t="str">
        <f ca="1">IFERROR(__xludf.DUMMYFUNCTION("""COMPUTED_VALUE"""),"Freedom of Expression, Human Rights Defenders")</f>
        <v>Freedom of Expression, Human Rights Defenders</v>
      </c>
      <c r="I1440" s="1" t="str">
        <f ca="1">IFERROR(__xludf.DUMMYFUNCTION("""COMPUTED_VALUE"""),"2025")</f>
        <v>2025</v>
      </c>
      <c r="J1440" s="1" t="str">
        <f ca="1">IFERROR(__xludf.DUMMYFUNCTION("""COMPUTED_VALUE"""),"Email")</f>
        <v>Email</v>
      </c>
    </row>
    <row r="1441" spans="1:10" ht="13" x14ac:dyDescent="0.15">
      <c r="A1441" s="4">
        <f ca="1">IFERROR(__xludf.DUMMYFUNCTION("""COMPUTED_VALUE"""),135729680)</f>
        <v>135729680</v>
      </c>
      <c r="B1441" s="1" t="str">
        <f ca="1">IFERROR(__xludf.DUMMYFUNCTION("""COMPUTED_VALUE"""),"rreichmann76@gmail.com")</f>
        <v>rreichmann76@gmail.com</v>
      </c>
      <c r="C1441" s="4" t="str">
        <f ca="1">IFERROR(__xludf.DUMMYFUNCTION("""COMPUTED_VALUE"""),"EVERGREEN - UAN Gated Content - Embedded Petition")</f>
        <v>EVERGREEN - UAN Gated Content - Embedded Petition</v>
      </c>
      <c r="D1441" s="5">
        <f ca="1">IFERROR(__xludf.DUMMYFUNCTION("""COMPUTED_VALUE"""),45677)</f>
        <v>45677</v>
      </c>
      <c r="F1441" s="1" t="str">
        <f ca="1">IFERROR(__xludf.DUMMYFUNCTION("""COMPUTED_VALUE"""),"Niger")</f>
        <v>Niger</v>
      </c>
      <c r="G1441" s="1" t="str">
        <f ca="1">IFERROR(__xludf.DUMMYFUNCTION("""COMPUTED_VALUE"""),"103.24 Niger")</f>
        <v>103.24 Niger</v>
      </c>
      <c r="H1441" s="1" t="str">
        <f ca="1">IFERROR(__xludf.DUMMYFUNCTION("""COMPUTED_VALUE"""),"Freedom of Expression, Human Rights Defenders")</f>
        <v>Freedom of Expression, Human Rights Defenders</v>
      </c>
      <c r="I1441" s="1" t="str">
        <f ca="1">IFERROR(__xludf.DUMMYFUNCTION("""COMPUTED_VALUE"""),"2024")</f>
        <v>2024</v>
      </c>
      <c r="J1441" s="1" t="str">
        <f ca="1">IFERROR(__xludf.DUMMYFUNCTION("""COMPUTED_VALUE"""),"Email")</f>
        <v>Email</v>
      </c>
    </row>
    <row r="1442" spans="1:10" ht="13" x14ac:dyDescent="0.15">
      <c r="A1442" s="4">
        <f ca="1">IFERROR(__xludf.DUMMYFUNCTION("""COMPUTED_VALUE"""),135729680)</f>
        <v>135729680</v>
      </c>
      <c r="B1442" s="1" t="str">
        <f ca="1">IFERROR(__xludf.DUMMYFUNCTION("""COMPUTED_VALUE"""),"rreichmann76@gmail.com")</f>
        <v>rreichmann76@gmail.com</v>
      </c>
      <c r="C1442" s="4" t="str">
        <f ca="1">IFERROR(__xludf.DUMMYFUNCTION("""COMPUTED_VALUE"""),"EVERGREEN - UAN Gated Content - Embedded Petition")</f>
        <v>EVERGREEN - UAN Gated Content - Embedded Petition</v>
      </c>
      <c r="D1442" s="5">
        <f ca="1">IFERROR(__xludf.DUMMYFUNCTION("""COMPUTED_VALUE"""),45697)</f>
        <v>45697</v>
      </c>
      <c r="F1442" s="1" t="str">
        <f ca="1">IFERROR(__xludf.DUMMYFUNCTION("""COMPUTED_VALUE"""),"Niger")</f>
        <v>Niger</v>
      </c>
      <c r="G1442" s="1" t="str">
        <f ca="1">IFERROR(__xludf.DUMMYFUNCTION("""COMPUTED_VALUE"""),"103.24 Niger")</f>
        <v>103.24 Niger</v>
      </c>
      <c r="H1442" s="1" t="str">
        <f ca="1">IFERROR(__xludf.DUMMYFUNCTION("""COMPUTED_VALUE"""),"Freedom of Expression, Human Rights Defenders")</f>
        <v>Freedom of Expression, Human Rights Defenders</v>
      </c>
      <c r="I1442" s="1" t="str">
        <f ca="1">IFERROR(__xludf.DUMMYFUNCTION("""COMPUTED_VALUE"""),"2024")</f>
        <v>2024</v>
      </c>
      <c r="J1442" s="1" t="str">
        <f ca="1">IFERROR(__xludf.DUMMYFUNCTION("""COMPUTED_VALUE"""),"Email")</f>
        <v>Email</v>
      </c>
    </row>
    <row r="1443" spans="1:10" ht="13" x14ac:dyDescent="0.15">
      <c r="A1443" s="4">
        <f ca="1">IFERROR(__xludf.DUMMYFUNCTION("""COMPUTED_VALUE"""),135729680)</f>
        <v>135729680</v>
      </c>
      <c r="B1443" s="1" t="str">
        <f ca="1">IFERROR(__xludf.DUMMYFUNCTION("""COMPUTED_VALUE"""),"rreichmann76@gmail.com")</f>
        <v>rreichmann76@gmail.com</v>
      </c>
      <c r="C1443" s="4" t="str">
        <f ca="1">IFERROR(__xludf.DUMMYFUNCTION("""COMPUTED_VALUE"""),"EVERGREEN - UAN Gated Content - Embedded Petition")</f>
        <v>EVERGREEN - UAN Gated Content - Embedded Petition</v>
      </c>
      <c r="D1443" s="5">
        <f ca="1">IFERROR(__xludf.DUMMYFUNCTION("""COMPUTED_VALUE"""),45697)</f>
        <v>45697</v>
      </c>
      <c r="F1443" s="1" t="str">
        <f ca="1">IFERROR(__xludf.DUMMYFUNCTION("""COMPUTED_VALUE"""),"China")</f>
        <v>China</v>
      </c>
      <c r="G1443" s="1" t="str">
        <f ca="1">IFERROR(__xludf.DUMMYFUNCTION("""COMPUTED_VALUE"""),"106.24 China")</f>
        <v>106.24 China</v>
      </c>
      <c r="H1443" s="1" t="str">
        <f ca="1">IFERROR(__xludf.DUMMYFUNCTION("""COMPUTED_VALUE"""),"Freedom of Expression, Individuals At Risk")</f>
        <v>Freedom of Expression, Individuals At Risk</v>
      </c>
      <c r="I1443" s="1" t="str">
        <f ca="1">IFERROR(__xludf.DUMMYFUNCTION("""COMPUTED_VALUE"""),"2024")</f>
        <v>2024</v>
      </c>
      <c r="J1443" s="1" t="str">
        <f ca="1">IFERROR(__xludf.DUMMYFUNCTION("""COMPUTED_VALUE"""),"Email")</f>
        <v>Email</v>
      </c>
    </row>
    <row r="1444" spans="1:10" ht="13" x14ac:dyDescent="0.15">
      <c r="A1444" s="4">
        <f ca="1">IFERROR(__xludf.DUMMYFUNCTION("""COMPUTED_VALUE"""),135729680)</f>
        <v>135729680</v>
      </c>
      <c r="B1444" s="1" t="str">
        <f ca="1">IFERROR(__xludf.DUMMYFUNCTION("""COMPUTED_VALUE"""),"rreichmann76@gmail.com")</f>
        <v>rreichmann76@gmail.com</v>
      </c>
      <c r="C1444" s="4" t="str">
        <f ca="1">IFERROR(__xludf.DUMMYFUNCTION("""COMPUTED_VALUE"""),"EVERGREEN - UAN Gated Content - Embedded Petition")</f>
        <v>EVERGREEN - UAN Gated Content - Embedded Petition</v>
      </c>
      <c r="D1444" s="5">
        <f ca="1">IFERROR(__xludf.DUMMYFUNCTION("""COMPUTED_VALUE"""),45697)</f>
        <v>45697</v>
      </c>
      <c r="F1444" s="1" t="str">
        <f ca="1">IFERROR(__xludf.DUMMYFUNCTION("""COMPUTED_VALUE"""),"Turkiye")</f>
        <v>Turkiye</v>
      </c>
      <c r="G1444" s="1" t="str">
        <f ca="1">IFERROR(__xludf.DUMMYFUNCTION("""COMPUTED_VALUE"""),"109.24 Türkiye")</f>
        <v>109.24 Türkiye</v>
      </c>
      <c r="H1444" s="1" t="str">
        <f ca="1">IFERROR(__xludf.DUMMYFUNCTION("""COMPUTED_VALUE"""),"Human Rights Defenders, Individuals At Risk")</f>
        <v>Human Rights Defenders, Individuals At Risk</v>
      </c>
      <c r="I1444" s="1" t="str">
        <f ca="1">IFERROR(__xludf.DUMMYFUNCTION("""COMPUTED_VALUE"""),"2024")</f>
        <v>2024</v>
      </c>
      <c r="J1444" s="1" t="str">
        <f ca="1">IFERROR(__xludf.DUMMYFUNCTION("""COMPUTED_VALUE"""),"Email")</f>
        <v>Email</v>
      </c>
    </row>
    <row r="1445" spans="1:10" ht="13" x14ac:dyDescent="0.15">
      <c r="A1445" s="4">
        <f ca="1">IFERROR(__xludf.DUMMYFUNCTION("""COMPUTED_VALUE"""),135729680)</f>
        <v>135729680</v>
      </c>
      <c r="B1445" s="1" t="str">
        <f ca="1">IFERROR(__xludf.DUMMYFUNCTION("""COMPUTED_VALUE"""),"rreichmann76@gmail.com")</f>
        <v>rreichmann76@gmail.com</v>
      </c>
      <c r="C1445" s="4" t="str">
        <f ca="1">IFERROR(__xludf.DUMMYFUNCTION("""COMPUTED_VALUE"""),"EVERGREEN - UAN Gated Content - Embedded Petition")</f>
        <v>EVERGREEN - UAN Gated Content - Embedded Petition</v>
      </c>
      <c r="D1445" s="5">
        <f ca="1">IFERROR(__xludf.DUMMYFUNCTION("""COMPUTED_VALUE"""),45697)</f>
        <v>45697</v>
      </c>
      <c r="F1445" s="1" t="str">
        <f ca="1">IFERROR(__xludf.DUMMYFUNCTION("""COMPUTED_VALUE"""),"USA")</f>
        <v>USA</v>
      </c>
      <c r="G1445" s="1" t="str">
        <f ca="1">IFERROR(__xludf.DUMMYFUNCTION("""COMPUTED_VALUE"""),"4.25 USA")</f>
        <v>4.25 USA</v>
      </c>
      <c r="H1445" s="1" t="str">
        <f ca="1">IFERROR(__xludf.DUMMYFUNCTION("""COMPUTED_VALUE"""),"Individuals At Risk, Refugee and Migrant Rights")</f>
        <v>Individuals At Risk, Refugee and Migrant Rights</v>
      </c>
      <c r="I1445" s="1" t="str">
        <f ca="1">IFERROR(__xludf.DUMMYFUNCTION("""COMPUTED_VALUE"""),"2025")</f>
        <v>2025</v>
      </c>
      <c r="J1445" s="1" t="str">
        <f ca="1">IFERROR(__xludf.DUMMYFUNCTION("""COMPUTED_VALUE"""),"Letter")</f>
        <v>Letter</v>
      </c>
    </row>
    <row r="1446" spans="1:10" ht="13" x14ac:dyDescent="0.15">
      <c r="A1446" s="4">
        <f ca="1">IFERROR(__xludf.DUMMYFUNCTION("""COMPUTED_VALUE"""),135729680)</f>
        <v>135729680</v>
      </c>
      <c r="B1446" s="1" t="str">
        <f ca="1">IFERROR(__xludf.DUMMYFUNCTION("""COMPUTED_VALUE"""),"rreichmann76@gmail.com")</f>
        <v>rreichmann76@gmail.com</v>
      </c>
      <c r="C1446" s="4" t="str">
        <f ca="1">IFERROR(__xludf.DUMMYFUNCTION("""COMPUTED_VALUE"""),"EVERGREEN - UAN Gated Content - Embedded Petition")</f>
        <v>EVERGREEN - UAN Gated Content - Embedded Petition</v>
      </c>
      <c r="D1446" s="5">
        <f ca="1">IFERROR(__xludf.DUMMYFUNCTION("""COMPUTED_VALUE"""),45697)</f>
        <v>45697</v>
      </c>
      <c r="F1446" s="1" t="str">
        <f ca="1">IFERROR(__xludf.DUMMYFUNCTION("""COMPUTED_VALUE"""),"Tunisia")</f>
        <v>Tunisia</v>
      </c>
      <c r="G1446" s="1" t="str">
        <f ca="1">IFERROR(__xludf.DUMMYFUNCTION("""COMPUTED_VALUE"""),"Second 76.24 Tunisia")</f>
        <v>Second 76.24 Tunisia</v>
      </c>
      <c r="H1446" s="1" t="str">
        <f ca="1">IFERROR(__xludf.DUMMYFUNCTION("""COMPUTED_VALUE"""),"Freedom of Expression, Human Rights Defenders")</f>
        <v>Freedom of Expression, Human Rights Defenders</v>
      </c>
      <c r="I1446" s="1" t="str">
        <f ca="1">IFERROR(__xludf.DUMMYFUNCTION("""COMPUTED_VALUE"""),"2025")</f>
        <v>2025</v>
      </c>
      <c r="J1446" s="1" t="str">
        <f ca="1">IFERROR(__xludf.DUMMYFUNCTION("""COMPUTED_VALUE"""),"Email")</f>
        <v>Email</v>
      </c>
    </row>
    <row r="1447" spans="1:10" ht="13" x14ac:dyDescent="0.15">
      <c r="A1447" s="4">
        <f ca="1">IFERROR(__xludf.DUMMYFUNCTION("""COMPUTED_VALUE"""),135729680)</f>
        <v>135729680</v>
      </c>
      <c r="B1447" s="1" t="str">
        <f ca="1">IFERROR(__xludf.DUMMYFUNCTION("""COMPUTED_VALUE"""),"rreichmann76@gmail.com")</f>
        <v>rreichmann76@gmail.com</v>
      </c>
      <c r="C1447" s="4" t="str">
        <f ca="1">IFERROR(__xludf.DUMMYFUNCTION("""COMPUTED_VALUE"""),"EVERGREEN - UAN Gated Content - Embedded Petition")</f>
        <v>EVERGREEN - UAN Gated Content - Embedded Petition</v>
      </c>
      <c r="D1447" s="5">
        <f ca="1">IFERROR(__xludf.DUMMYFUNCTION("""COMPUTED_VALUE"""),45697)</f>
        <v>45697</v>
      </c>
      <c r="F1447" s="1" t="str">
        <f ca="1">IFERROR(__xludf.DUMMYFUNCTION("""COMPUTED_VALUE"""),"Tunisia")</f>
        <v>Tunisia</v>
      </c>
      <c r="G1447" s="1" t="str">
        <f ca="1">IFERROR(__xludf.DUMMYFUNCTION("""COMPUTED_VALUE"""),"Second 76.24 Tunisia")</f>
        <v>Second 76.24 Tunisia</v>
      </c>
      <c r="H1447" s="1" t="str">
        <f ca="1">IFERROR(__xludf.DUMMYFUNCTION("""COMPUTED_VALUE"""),"Freedom of Expression, Human Rights Defenders")</f>
        <v>Freedom of Expression, Human Rights Defenders</v>
      </c>
      <c r="I1447" s="1" t="str">
        <f ca="1">IFERROR(__xludf.DUMMYFUNCTION("""COMPUTED_VALUE"""),"2025")</f>
        <v>2025</v>
      </c>
      <c r="J1447" s="1" t="str">
        <f ca="1">IFERROR(__xludf.DUMMYFUNCTION("""COMPUTED_VALUE"""),"Email")</f>
        <v>Email</v>
      </c>
    </row>
    <row r="1448" spans="1:10" ht="13" x14ac:dyDescent="0.15">
      <c r="A1448" s="4">
        <f ca="1">IFERROR(__xludf.DUMMYFUNCTION("""COMPUTED_VALUE"""),135729680)</f>
        <v>135729680</v>
      </c>
      <c r="B1448" s="1" t="str">
        <f ca="1">IFERROR(__xludf.DUMMYFUNCTION("""COMPUTED_VALUE"""),"rreichmann76@gmail.com")</f>
        <v>rreichmann76@gmail.com</v>
      </c>
      <c r="C1448" s="4" t="str">
        <f ca="1">IFERROR(__xludf.DUMMYFUNCTION("""COMPUTED_VALUE"""),"EVERGREEN - UAN Gated Content - Embedded Petition")</f>
        <v>EVERGREEN - UAN Gated Content - Embedded Petition</v>
      </c>
      <c r="D1448" s="5">
        <f ca="1">IFERROR(__xludf.DUMMYFUNCTION("""COMPUTED_VALUE"""),45707)</f>
        <v>45707</v>
      </c>
      <c r="F1448" s="1" t="str">
        <f ca="1">IFERROR(__xludf.DUMMYFUNCTION("""COMPUTED_VALUE"""),"Uganda")</f>
        <v>Uganda</v>
      </c>
      <c r="G1448" s="1" t="str">
        <f ca="1">IFERROR(__xludf.DUMMYFUNCTION("""COMPUTED_VALUE"""),"100.24 Uganda")</f>
        <v>100.24 Uganda</v>
      </c>
      <c r="H1448" s="1" t="str">
        <f ca="1">IFERROR(__xludf.DUMMYFUNCTION("""COMPUTED_VALUE"""),"Freedom of Expression")</f>
        <v>Freedom of Expression</v>
      </c>
      <c r="I1448" s="1" t="str">
        <f ca="1">IFERROR(__xludf.DUMMYFUNCTION("""COMPUTED_VALUE"""),"2024")</f>
        <v>2024</v>
      </c>
      <c r="J1448" s="1" t="str">
        <f ca="1">IFERROR(__xludf.DUMMYFUNCTION("""COMPUTED_VALUE"""),"Email")</f>
        <v>Email</v>
      </c>
    </row>
    <row r="1449" spans="1:10" ht="13" x14ac:dyDescent="0.15">
      <c r="A1449" s="4">
        <f ca="1">IFERROR(__xludf.DUMMYFUNCTION("""COMPUTED_VALUE"""),135729680)</f>
        <v>135729680</v>
      </c>
      <c r="B1449" s="1" t="str">
        <f ca="1">IFERROR(__xludf.DUMMYFUNCTION("""COMPUTED_VALUE"""),"rreichmann76@gmail.com")</f>
        <v>rreichmann76@gmail.com</v>
      </c>
      <c r="C1449" s="4" t="str">
        <f ca="1">IFERROR(__xludf.DUMMYFUNCTION("""COMPUTED_VALUE"""),"EVERGREEN - UAN Gated Content - Embedded Petition")</f>
        <v>EVERGREEN - UAN Gated Content - Embedded Petition</v>
      </c>
      <c r="D1449" s="5">
        <f ca="1">IFERROR(__xludf.DUMMYFUNCTION("""COMPUTED_VALUE"""),45677)</f>
        <v>45677</v>
      </c>
      <c r="F1449" s="1" t="str">
        <f ca="1">IFERROR(__xludf.DUMMYFUNCTION("""COMPUTED_VALUE"""),"Tunisia")</f>
        <v>Tunisia</v>
      </c>
      <c r="G1449" s="1" t="str">
        <f ca="1">IFERROR(__xludf.DUMMYFUNCTION("""COMPUTED_VALUE"""),"Second 76.24 Tunisia")</f>
        <v>Second 76.24 Tunisia</v>
      </c>
      <c r="H1449" s="1" t="str">
        <f ca="1">IFERROR(__xludf.DUMMYFUNCTION("""COMPUTED_VALUE"""),"Freedom of Expression, Human Rights Defenders")</f>
        <v>Freedom of Expression, Human Rights Defenders</v>
      </c>
      <c r="I1449" s="1" t="str">
        <f ca="1">IFERROR(__xludf.DUMMYFUNCTION("""COMPUTED_VALUE"""),"2025")</f>
        <v>2025</v>
      </c>
      <c r="J1449" s="1" t="str">
        <f ca="1">IFERROR(__xludf.DUMMYFUNCTION("""COMPUTED_VALUE"""),"Email")</f>
        <v>Email</v>
      </c>
    </row>
    <row r="1450" spans="1:10" ht="13" x14ac:dyDescent="0.15">
      <c r="A1450" s="4">
        <f ca="1">IFERROR(__xludf.DUMMYFUNCTION("""COMPUTED_VALUE"""),135729680)</f>
        <v>135729680</v>
      </c>
      <c r="B1450" s="1" t="str">
        <f ca="1">IFERROR(__xludf.DUMMYFUNCTION("""COMPUTED_VALUE"""),"rreichmann76@gmail.com")</f>
        <v>rreichmann76@gmail.com</v>
      </c>
      <c r="C1450" s="4" t="str">
        <f ca="1">IFERROR(__xludf.DUMMYFUNCTION("""COMPUTED_VALUE"""),"EVERGREEN - UAN Gated Content - Embedded Petition")</f>
        <v>EVERGREEN - UAN Gated Content - Embedded Petition</v>
      </c>
      <c r="D1450" s="5">
        <f ca="1">IFERROR(__xludf.DUMMYFUNCTION("""COMPUTED_VALUE"""),45642)</f>
        <v>45642</v>
      </c>
      <c r="F1450" s="1" t="str">
        <f ca="1">IFERROR(__xludf.DUMMYFUNCTION("""COMPUTED_VALUE"""),"Turkiye")</f>
        <v>Turkiye</v>
      </c>
      <c r="G1450" s="1" t="str">
        <f ca="1">IFERROR(__xludf.DUMMYFUNCTION("""COMPUTED_VALUE"""),"Second 109.24 Türkiye")</f>
        <v>Second 109.24 Türkiye</v>
      </c>
      <c r="H1450" s="1" t="str">
        <f ca="1">IFERROR(__xludf.DUMMYFUNCTION("""COMPUTED_VALUE"""),"Human Rights Defenders")</f>
        <v>Human Rights Defenders</v>
      </c>
      <c r="I1450" s="1" t="str">
        <f ca="1">IFERROR(__xludf.DUMMYFUNCTION("""COMPUTED_VALUE"""),"2025")</f>
        <v>2025</v>
      </c>
      <c r="J1450" s="1" t="str">
        <f ca="1">IFERROR(__xludf.DUMMYFUNCTION("""COMPUTED_VALUE"""),"Email")</f>
        <v>Email</v>
      </c>
    </row>
    <row r="1451" spans="1:10" ht="13" x14ac:dyDescent="0.15">
      <c r="A1451" s="4">
        <f ca="1">IFERROR(__xludf.DUMMYFUNCTION("""COMPUTED_VALUE"""),135951287)</f>
        <v>135951287</v>
      </c>
      <c r="B1451" s="1" t="str">
        <f ca="1">IFERROR(__xludf.DUMMYFUNCTION("""COMPUTED_VALUE"""),"dmaclean2@macleanfogg.com")</f>
        <v>dmaclean2@macleanfogg.com</v>
      </c>
      <c r="C1451" s="4" t="str">
        <f ca="1">IFERROR(__xludf.DUMMYFUNCTION("""COMPUTED_VALUE"""),"EVERGREEN - UAN Gated Content - Embedded Petition")</f>
        <v>EVERGREEN - UAN Gated Content - Embedded Petition</v>
      </c>
      <c r="D1451" s="5">
        <f ca="1">IFERROR(__xludf.DUMMYFUNCTION("""COMPUTED_VALUE"""),45679)</f>
        <v>45679</v>
      </c>
      <c r="F1451" s="1" t="str">
        <f ca="1">IFERROR(__xludf.DUMMYFUNCTION("""COMPUTED_VALUE"""),"Colombia")</f>
        <v>Colombia</v>
      </c>
      <c r="G1451" s="1" t="str">
        <f ca="1">IFERROR(__xludf.DUMMYFUNCTION("""COMPUTED_VALUE"""),"Third 12.24 Colombia")</f>
        <v>Third 12.24 Colombia</v>
      </c>
      <c r="H1451" s="1" t="str">
        <f ca="1">IFERROR(__xludf.DUMMYFUNCTION("""COMPUTED_VALUE"""),"Human Rights Defenders, Individuals At Risk")</f>
        <v>Human Rights Defenders, Individuals At Risk</v>
      </c>
      <c r="I1451" s="1" t="str">
        <f ca="1">IFERROR(__xludf.DUMMYFUNCTION("""COMPUTED_VALUE"""),"2025")</f>
        <v>2025</v>
      </c>
      <c r="J1451" s="1" t="str">
        <f ca="1">IFERROR(__xludf.DUMMYFUNCTION("""COMPUTED_VALUE"""),"Email")</f>
        <v>Email</v>
      </c>
    </row>
    <row r="1452" spans="1:10" ht="13" x14ac:dyDescent="0.15">
      <c r="A1452" s="4">
        <f ca="1">IFERROR(__xludf.DUMMYFUNCTION("""COMPUTED_VALUE"""),135951287)</f>
        <v>135951287</v>
      </c>
      <c r="B1452" s="1" t="str">
        <f ca="1">IFERROR(__xludf.DUMMYFUNCTION("""COMPUTED_VALUE"""),"dmaclean2@macleanfogg.com")</f>
        <v>dmaclean2@macleanfogg.com</v>
      </c>
      <c r="C1452" s="4" t="str">
        <f ca="1">IFERROR(__xludf.DUMMYFUNCTION("""COMPUTED_VALUE"""),"EVERGREEN - UAN Gated Content - Embedded Petition")</f>
        <v>EVERGREEN - UAN Gated Content - Embedded Petition</v>
      </c>
      <c r="D1452" s="5">
        <f ca="1">IFERROR(__xludf.DUMMYFUNCTION("""COMPUTED_VALUE"""),45679)</f>
        <v>45679</v>
      </c>
      <c r="F1452" s="1" t="str">
        <f ca="1">IFERROR(__xludf.DUMMYFUNCTION("""COMPUTED_VALUE"""),"Iran")</f>
        <v>Iran</v>
      </c>
      <c r="G1452" s="1" t="str">
        <f ca="1">IFERROR(__xludf.DUMMYFUNCTION("""COMPUTED_VALUE"""),"6.25 Iran")</f>
        <v>6.25 Iran</v>
      </c>
      <c r="H1452" s="1" t="str">
        <f ca="1">IFERROR(__xludf.DUMMYFUNCTION("""COMPUTED_VALUE"""),"Death Penalty, Freedom of Expression, Individuals At Risk")</f>
        <v>Death Penalty, Freedom of Expression, Individuals At Risk</v>
      </c>
      <c r="I1452" s="1" t="str">
        <f ca="1">IFERROR(__xludf.DUMMYFUNCTION("""COMPUTED_VALUE"""),"2025")</f>
        <v>2025</v>
      </c>
      <c r="J1452" s="1" t="str">
        <f ca="1">IFERROR(__xludf.DUMMYFUNCTION("""COMPUTED_VALUE"""),"Email")</f>
        <v>Email</v>
      </c>
    </row>
    <row r="1453" spans="1:10" ht="13" x14ac:dyDescent="0.15">
      <c r="A1453" s="4">
        <f ca="1">IFERROR(__xludf.DUMMYFUNCTION("""COMPUTED_VALUE"""),135951287)</f>
        <v>135951287</v>
      </c>
      <c r="B1453" s="1" t="str">
        <f ca="1">IFERROR(__xludf.DUMMYFUNCTION("""COMPUTED_VALUE"""),"dmaclean2@macleanfogg.com")</f>
        <v>dmaclean2@macleanfogg.com</v>
      </c>
      <c r="C1453" s="4" t="str">
        <f ca="1">IFERROR(__xludf.DUMMYFUNCTION("""COMPUTED_VALUE"""),"EVERGREEN - UAN Gated Content - Embedded Petition")</f>
        <v>EVERGREEN - UAN Gated Content - Embedded Petition</v>
      </c>
      <c r="D1453" s="5">
        <f ca="1">IFERROR(__xludf.DUMMYFUNCTION("""COMPUTED_VALUE"""),45679)</f>
        <v>45679</v>
      </c>
      <c r="F1453" s="1" t="str">
        <f ca="1">IFERROR(__xludf.DUMMYFUNCTION("""COMPUTED_VALUE"""),"Tunisia")</f>
        <v>Tunisia</v>
      </c>
      <c r="G1453" s="1" t="str">
        <f ca="1">IFERROR(__xludf.DUMMYFUNCTION("""COMPUTED_VALUE"""),"Second 76.24 Tunisia")</f>
        <v>Second 76.24 Tunisia</v>
      </c>
      <c r="H1453" s="1" t="str">
        <f ca="1">IFERROR(__xludf.DUMMYFUNCTION("""COMPUTED_VALUE"""),"Freedom of Expression, Human Rights Defenders")</f>
        <v>Freedom of Expression, Human Rights Defenders</v>
      </c>
      <c r="I1453" s="1" t="str">
        <f ca="1">IFERROR(__xludf.DUMMYFUNCTION("""COMPUTED_VALUE"""),"2025")</f>
        <v>2025</v>
      </c>
      <c r="J1453" s="1" t="str">
        <f ca="1">IFERROR(__xludf.DUMMYFUNCTION("""COMPUTED_VALUE"""),"Email")</f>
        <v>Email</v>
      </c>
    </row>
    <row r="1454" spans="1:10" ht="13" x14ac:dyDescent="0.15">
      <c r="A1454" s="4">
        <f ca="1">IFERROR(__xludf.DUMMYFUNCTION("""COMPUTED_VALUE"""),135951287)</f>
        <v>135951287</v>
      </c>
      <c r="B1454" s="1" t="str">
        <f ca="1">IFERROR(__xludf.DUMMYFUNCTION("""COMPUTED_VALUE"""),"dmaclean2@macleanfogg.com")</f>
        <v>dmaclean2@macleanfogg.com</v>
      </c>
      <c r="C1454" s="4" t="str">
        <f ca="1">IFERROR(__xludf.DUMMYFUNCTION("""COMPUTED_VALUE"""),"EVERGREEN - UAN Gated Content - Embedded Petition")</f>
        <v>EVERGREEN - UAN Gated Content - Embedded Petition</v>
      </c>
      <c r="D1454" s="5">
        <f ca="1">IFERROR(__xludf.DUMMYFUNCTION("""COMPUTED_VALUE"""),45679)</f>
        <v>45679</v>
      </c>
      <c r="F1454" s="1" t="str">
        <f ca="1">IFERROR(__xludf.DUMMYFUNCTION("""COMPUTED_VALUE"""),"Iran")</f>
        <v>Iran</v>
      </c>
      <c r="G1454" s="1" t="str">
        <f ca="1">IFERROR(__xludf.DUMMYFUNCTION("""COMPUTED_VALUE"""),"Seventh 103.22 Iran")</f>
        <v>Seventh 103.22 Iran</v>
      </c>
      <c r="H1454" s="1" t="str">
        <f ca="1">IFERROR(__xludf.DUMMYFUNCTION("""COMPUTED_VALUE"""),"Death Penalty, Freedom of Expression, Individuals At Risk")</f>
        <v>Death Penalty, Freedom of Expression, Individuals At Risk</v>
      </c>
      <c r="I1454" s="1" t="str">
        <f ca="1">IFERROR(__xludf.DUMMYFUNCTION("""COMPUTED_VALUE"""),"2024")</f>
        <v>2024</v>
      </c>
      <c r="J1454" s="1" t="str">
        <f ca="1">IFERROR(__xludf.DUMMYFUNCTION("""COMPUTED_VALUE"""),"Email")</f>
        <v>Email</v>
      </c>
    </row>
    <row r="1455" spans="1:10" ht="13" x14ac:dyDescent="0.15">
      <c r="A1455" s="4">
        <f ca="1">IFERROR(__xludf.DUMMYFUNCTION("""COMPUTED_VALUE"""),135951287)</f>
        <v>135951287</v>
      </c>
      <c r="B1455" s="1" t="str">
        <f ca="1">IFERROR(__xludf.DUMMYFUNCTION("""COMPUTED_VALUE"""),"dmaclean2@macleanfogg.com")</f>
        <v>dmaclean2@macleanfogg.com</v>
      </c>
      <c r="C1455" s="4" t="str">
        <f ca="1">IFERROR(__xludf.DUMMYFUNCTION("""COMPUTED_VALUE"""),"EVERGREEN - UAN Gated Content - Embedded Petition")</f>
        <v>EVERGREEN - UAN Gated Content - Embedded Petition</v>
      </c>
      <c r="D1455" s="5">
        <f ca="1">IFERROR(__xludf.DUMMYFUNCTION("""COMPUTED_VALUE"""),45636)</f>
        <v>45636</v>
      </c>
      <c r="F1455" s="1" t="str">
        <f ca="1">IFERROR(__xludf.DUMMYFUNCTION("""COMPUTED_VALUE"""),"Afghanistan")</f>
        <v>Afghanistan</v>
      </c>
      <c r="G1455" s="1" t="str">
        <f ca="1">IFERROR(__xludf.DUMMYFUNCTION("""COMPUTED_VALUE"""),"11.25 Afghanistan")</f>
        <v>11.25 Afghanistan</v>
      </c>
      <c r="H1455" s="1" t="str">
        <f ca="1">IFERROR(__xludf.DUMMYFUNCTION("""COMPUTED_VALUE"""),"Freedom of Expression, Health, Individuals At Risk")</f>
        <v>Freedom of Expression, Health, Individuals At Risk</v>
      </c>
      <c r="I1455" s="1" t="str">
        <f ca="1">IFERROR(__xludf.DUMMYFUNCTION("""COMPUTED_VALUE"""),"2025")</f>
        <v>2025</v>
      </c>
      <c r="J1455" s="1" t="str">
        <f ca="1">IFERROR(__xludf.DUMMYFUNCTION("""COMPUTED_VALUE"""),"Email")</f>
        <v>Email</v>
      </c>
    </row>
    <row r="1456" spans="1:10" ht="13" x14ac:dyDescent="0.15">
      <c r="A1456" s="4">
        <f ca="1">IFERROR(__xludf.DUMMYFUNCTION("""COMPUTED_VALUE"""),135951287)</f>
        <v>135951287</v>
      </c>
      <c r="B1456" s="1" t="str">
        <f ca="1">IFERROR(__xludf.DUMMYFUNCTION("""COMPUTED_VALUE"""),"dmaclean2@macleanfogg.com")</f>
        <v>dmaclean2@macleanfogg.com</v>
      </c>
      <c r="C1456" s="4" t="str">
        <f ca="1">IFERROR(__xludf.DUMMYFUNCTION("""COMPUTED_VALUE"""),"EVERGREEN - UAN Gated Content - Embedded Petition")</f>
        <v>EVERGREEN - UAN Gated Content - Embedded Petition</v>
      </c>
      <c r="D1456" s="5">
        <f ca="1">IFERROR(__xludf.DUMMYFUNCTION("""COMPUTED_VALUE"""),45636)</f>
        <v>45636</v>
      </c>
      <c r="F1456" s="1" t="str">
        <f ca="1">IFERROR(__xludf.DUMMYFUNCTION("""COMPUTED_VALUE"""),"Tunisia")</f>
        <v>Tunisia</v>
      </c>
      <c r="G1456" s="1" t="str">
        <f ca="1">IFERROR(__xludf.DUMMYFUNCTION("""COMPUTED_VALUE"""),"Second 76.24 Tunisia")</f>
        <v>Second 76.24 Tunisia</v>
      </c>
      <c r="H1456" s="1" t="str">
        <f ca="1">IFERROR(__xludf.DUMMYFUNCTION("""COMPUTED_VALUE"""),"Freedom of Expression, Human Rights Defenders")</f>
        <v>Freedom of Expression, Human Rights Defenders</v>
      </c>
      <c r="I1456" s="1" t="str">
        <f ca="1">IFERROR(__xludf.DUMMYFUNCTION("""COMPUTED_VALUE"""),"2025")</f>
        <v>2025</v>
      </c>
      <c r="J1456" s="1" t="str">
        <f ca="1">IFERROR(__xludf.DUMMYFUNCTION("""COMPUTED_VALUE"""),"Email")</f>
        <v>Email</v>
      </c>
    </row>
    <row r="1457" spans="1:10" ht="13" x14ac:dyDescent="0.15">
      <c r="A1457" s="4">
        <f ca="1">IFERROR(__xludf.DUMMYFUNCTION("""COMPUTED_VALUE"""),135951287)</f>
        <v>135951287</v>
      </c>
      <c r="B1457" s="1" t="str">
        <f ca="1">IFERROR(__xludf.DUMMYFUNCTION("""COMPUTED_VALUE"""),"dmaclean2@macleanfogg.com")</f>
        <v>dmaclean2@macleanfogg.com</v>
      </c>
      <c r="C1457" s="4" t="str">
        <f ca="1">IFERROR(__xludf.DUMMYFUNCTION("""COMPUTED_VALUE"""),"EVERGREEN - UAN Gated Content - Embedded Petition")</f>
        <v>EVERGREEN - UAN Gated Content - Embedded Petition</v>
      </c>
      <c r="D1457" s="5">
        <f ca="1">IFERROR(__xludf.DUMMYFUNCTION("""COMPUTED_VALUE"""),45636)</f>
        <v>45636</v>
      </c>
      <c r="F1457" s="1" t="str">
        <f ca="1">IFERROR(__xludf.DUMMYFUNCTION("""COMPUTED_VALUE"""),"Libya")</f>
        <v>Libya</v>
      </c>
      <c r="G1457" s="1" t="str">
        <f ca="1">IFERROR(__xludf.DUMMYFUNCTION("""COMPUTED_VALUE"""),"12.25 Libya")</f>
        <v>12.25 Libya</v>
      </c>
      <c r="H1457" s="1" t="str">
        <f ca="1">IFERROR(__xludf.DUMMYFUNCTION("""COMPUTED_VALUE"""),"Freedom of Expression, Health, Individuals At Risk")</f>
        <v>Freedom of Expression, Health, Individuals At Risk</v>
      </c>
      <c r="I1457" s="1" t="str">
        <f ca="1">IFERROR(__xludf.DUMMYFUNCTION("""COMPUTED_VALUE"""),"2025")</f>
        <v>2025</v>
      </c>
      <c r="J1457" s="1" t="str">
        <f ca="1">IFERROR(__xludf.DUMMYFUNCTION("""COMPUTED_VALUE"""),"Email")</f>
        <v>Email</v>
      </c>
    </row>
    <row r="1458" spans="1:10" ht="13" x14ac:dyDescent="0.15">
      <c r="A1458" s="4">
        <f ca="1">IFERROR(__xludf.DUMMYFUNCTION("""COMPUTED_VALUE"""),135951287)</f>
        <v>135951287</v>
      </c>
      <c r="B1458" s="1" t="str">
        <f ca="1">IFERROR(__xludf.DUMMYFUNCTION("""COMPUTED_VALUE"""),"dmaclean2@macleanfogg.com")</f>
        <v>dmaclean2@macleanfogg.com</v>
      </c>
      <c r="C1458" s="4" t="str">
        <f ca="1">IFERROR(__xludf.DUMMYFUNCTION("""COMPUTED_VALUE"""),"EVERGREEN - UAN Gated Content - Embedded Petition")</f>
        <v>EVERGREEN - UAN Gated Content - Embedded Petition</v>
      </c>
      <c r="D1458" s="5">
        <f ca="1">IFERROR(__xludf.DUMMYFUNCTION("""COMPUTED_VALUE"""),45636)</f>
        <v>45636</v>
      </c>
      <c r="F1458" s="1" t="str">
        <f ca="1">IFERROR(__xludf.DUMMYFUNCTION("""COMPUTED_VALUE"""),"Afghanistan")</f>
        <v>Afghanistan</v>
      </c>
      <c r="G1458" s="1" t="str">
        <f ca="1">IFERROR(__xludf.DUMMYFUNCTION("""COMPUTED_VALUE"""),"11.25 Afghanistan")</f>
        <v>11.25 Afghanistan</v>
      </c>
      <c r="H1458" s="1" t="str">
        <f ca="1">IFERROR(__xludf.DUMMYFUNCTION("""COMPUTED_VALUE"""),"Freedom of Expression, Health, Individuals At Risk")</f>
        <v>Freedom of Expression, Health, Individuals At Risk</v>
      </c>
      <c r="I1458" s="1" t="str">
        <f ca="1">IFERROR(__xludf.DUMMYFUNCTION("""COMPUTED_VALUE"""),"2025")</f>
        <v>2025</v>
      </c>
      <c r="J1458" s="1" t="str">
        <f ca="1">IFERROR(__xludf.DUMMYFUNCTION("""COMPUTED_VALUE"""),"Email")</f>
        <v>Email</v>
      </c>
    </row>
    <row r="1459" spans="1:10" ht="13" x14ac:dyDescent="0.15">
      <c r="A1459" s="4">
        <f ca="1">IFERROR(__xludf.DUMMYFUNCTION("""COMPUTED_VALUE"""),135951287)</f>
        <v>135951287</v>
      </c>
      <c r="B1459" s="1" t="str">
        <f ca="1">IFERROR(__xludf.DUMMYFUNCTION("""COMPUTED_VALUE"""),"dmaclean2@macleanfogg.com")</f>
        <v>dmaclean2@macleanfogg.com</v>
      </c>
      <c r="C1459" s="4" t="str">
        <f ca="1">IFERROR(__xludf.DUMMYFUNCTION("""COMPUTED_VALUE"""),"EVERGREEN - UAN Gated Content - Embedded Petition")</f>
        <v>EVERGREEN - UAN Gated Content - Embedded Petition</v>
      </c>
      <c r="D1459" s="5">
        <f ca="1">IFERROR(__xludf.DUMMYFUNCTION("""COMPUTED_VALUE"""),45636)</f>
        <v>45636</v>
      </c>
      <c r="F1459" s="1" t="str">
        <f ca="1">IFERROR(__xludf.DUMMYFUNCTION("""COMPUTED_VALUE"""),"Iran")</f>
        <v>Iran</v>
      </c>
      <c r="G1459" s="1" t="str">
        <f ca="1">IFERROR(__xludf.DUMMYFUNCTION("""COMPUTED_VALUE"""),"101.24 Iran")</f>
        <v>101.24 Iran</v>
      </c>
      <c r="H1459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1459" s="1" t="str">
        <f ca="1">IFERROR(__xludf.DUMMYFUNCTION("""COMPUTED_VALUE"""),"2024")</f>
        <v>2024</v>
      </c>
      <c r="J1459" s="1" t="str">
        <f ca="1">IFERROR(__xludf.DUMMYFUNCTION("""COMPUTED_VALUE"""),"Email")</f>
        <v>Email</v>
      </c>
    </row>
    <row r="1460" spans="1:10" ht="13" x14ac:dyDescent="0.15">
      <c r="A1460" s="4">
        <f ca="1">IFERROR(__xludf.DUMMYFUNCTION("""COMPUTED_VALUE"""),135951287)</f>
        <v>135951287</v>
      </c>
      <c r="B1460" s="1" t="str">
        <f ca="1">IFERROR(__xludf.DUMMYFUNCTION("""COMPUTED_VALUE"""),"dmaclean2@macleanfogg.com")</f>
        <v>dmaclean2@macleanfogg.com</v>
      </c>
      <c r="C1460" s="4" t="str">
        <f ca="1">IFERROR(__xludf.DUMMYFUNCTION("""COMPUTED_VALUE"""),"EVERGREEN - UAN Gated Content - Embedded Petition")</f>
        <v>EVERGREEN - UAN Gated Content - Embedded Petition</v>
      </c>
      <c r="D1460" s="5">
        <f ca="1">IFERROR(__xludf.DUMMYFUNCTION("""COMPUTED_VALUE"""),45636)</f>
        <v>45636</v>
      </c>
      <c r="F1460" s="1" t="str">
        <f ca="1">IFERROR(__xludf.DUMMYFUNCTION("""COMPUTED_VALUE"""),"Afghanistan")</f>
        <v>Afghanistan</v>
      </c>
      <c r="G1460" s="1" t="str">
        <f ca="1">IFERROR(__xludf.DUMMYFUNCTION("""COMPUTED_VALUE"""),"11.25 Afghanistan")</f>
        <v>11.25 Afghanistan</v>
      </c>
      <c r="H1460" s="1" t="str">
        <f ca="1">IFERROR(__xludf.DUMMYFUNCTION("""COMPUTED_VALUE"""),"Freedom of Expression, Health, Individuals At Risk")</f>
        <v>Freedom of Expression, Health, Individuals At Risk</v>
      </c>
      <c r="I1460" s="1" t="str">
        <f ca="1">IFERROR(__xludf.DUMMYFUNCTION("""COMPUTED_VALUE"""),"2025")</f>
        <v>2025</v>
      </c>
      <c r="J1460" s="1" t="str">
        <f ca="1">IFERROR(__xludf.DUMMYFUNCTION("""COMPUTED_VALUE"""),"Email")</f>
        <v>Email</v>
      </c>
    </row>
    <row r="1461" spans="1:10" ht="13" x14ac:dyDescent="0.15">
      <c r="A1461" s="4">
        <f ca="1">IFERROR(__xludf.DUMMYFUNCTION("""COMPUTED_VALUE"""),135951287)</f>
        <v>135951287</v>
      </c>
      <c r="B1461" s="1" t="str">
        <f ca="1">IFERROR(__xludf.DUMMYFUNCTION("""COMPUTED_VALUE"""),"dmaclean2@macleanfogg.com")</f>
        <v>dmaclean2@macleanfogg.com</v>
      </c>
      <c r="C1461" s="4" t="str">
        <f ca="1">IFERROR(__xludf.DUMMYFUNCTION("""COMPUTED_VALUE"""),"EVERGREEN - UAN Gated Content - Embedded Petition")</f>
        <v>EVERGREEN - UAN Gated Content - Embedded Petition</v>
      </c>
      <c r="D1461" s="5">
        <f ca="1">IFERROR(__xludf.DUMMYFUNCTION("""COMPUTED_VALUE"""),45694)</f>
        <v>45694</v>
      </c>
      <c r="F1461" s="1" t="str">
        <f ca="1">IFERROR(__xludf.DUMMYFUNCTION("""COMPUTED_VALUE"""),"Saudi Arabia")</f>
        <v>Saudi Arabia</v>
      </c>
      <c r="G1461" s="1" t="str">
        <f ca="1">IFERROR(__xludf.DUMMYFUNCTION("""COMPUTED_VALUE"""),"Fifth 257.12")</f>
        <v>Fifth 257.12</v>
      </c>
      <c r="H1461" s="1" t="str">
        <f ca="1">IFERROR(__xludf.DUMMYFUNCTION("""COMPUTED_VALUE"""),"Freedom of Expression, Human Rights Defenders")</f>
        <v>Freedom of Expression, Human Rights Defenders</v>
      </c>
      <c r="I1461" s="1" t="str">
        <f ca="1">IFERROR(__xludf.DUMMYFUNCTION("""COMPUTED_VALUE"""),"2025")</f>
        <v>2025</v>
      </c>
      <c r="J1461" s="1" t="str">
        <f ca="1">IFERROR(__xludf.DUMMYFUNCTION("""COMPUTED_VALUE"""),"Email")</f>
        <v>Email</v>
      </c>
    </row>
    <row r="1462" spans="1:10" ht="13" x14ac:dyDescent="0.15">
      <c r="A1462" s="4">
        <f ca="1">IFERROR(__xludf.DUMMYFUNCTION("""COMPUTED_VALUE"""),135951287)</f>
        <v>135951287</v>
      </c>
      <c r="B1462" s="1" t="str">
        <f ca="1">IFERROR(__xludf.DUMMYFUNCTION("""COMPUTED_VALUE"""),"dmaclean2@macleanfogg.com")</f>
        <v>dmaclean2@macleanfogg.com</v>
      </c>
      <c r="C1462" s="4" t="str">
        <f ca="1">IFERROR(__xludf.DUMMYFUNCTION("""COMPUTED_VALUE"""),"EVERGREEN - UAN Gated Content - Embedded Petition")</f>
        <v>EVERGREEN - UAN Gated Content - Embedded Petition</v>
      </c>
      <c r="D1462" s="5">
        <f ca="1">IFERROR(__xludf.DUMMYFUNCTION("""COMPUTED_VALUE"""),45679)</f>
        <v>45679</v>
      </c>
      <c r="F1462" s="1" t="str">
        <f ca="1">IFERROR(__xludf.DUMMYFUNCTION("""COMPUTED_VALUE"""),"Libya")</f>
        <v>Libya</v>
      </c>
      <c r="G1462" s="1" t="str">
        <f ca="1">IFERROR(__xludf.DUMMYFUNCTION("""COMPUTED_VALUE"""),"12.25 Libya")</f>
        <v>12.25 Libya</v>
      </c>
      <c r="H1462" s="1" t="str">
        <f ca="1">IFERROR(__xludf.DUMMYFUNCTION("""COMPUTED_VALUE"""),"Freedom of Expression, Health, Individuals At Risk")</f>
        <v>Freedom of Expression, Health, Individuals At Risk</v>
      </c>
      <c r="I1462" s="1" t="str">
        <f ca="1">IFERROR(__xludf.DUMMYFUNCTION("""COMPUTED_VALUE"""),"2025")</f>
        <v>2025</v>
      </c>
      <c r="J1462" s="1" t="str">
        <f ca="1">IFERROR(__xludf.DUMMYFUNCTION("""COMPUTED_VALUE"""),"Email")</f>
        <v>Email</v>
      </c>
    </row>
    <row r="1463" spans="1:10" ht="13" x14ac:dyDescent="0.15">
      <c r="A1463" s="4">
        <f ca="1">IFERROR(__xludf.DUMMYFUNCTION("""COMPUTED_VALUE"""),135951287)</f>
        <v>135951287</v>
      </c>
      <c r="B1463" s="1" t="str">
        <f ca="1">IFERROR(__xludf.DUMMYFUNCTION("""COMPUTED_VALUE"""),"dmaclean2@macleanfogg.com")</f>
        <v>dmaclean2@macleanfogg.com</v>
      </c>
      <c r="C1463" s="4" t="str">
        <f ca="1">IFERROR(__xludf.DUMMYFUNCTION("""COMPUTED_VALUE"""),"EVERGREEN - Website Email Capture Form - UAN Pre-Footer")</f>
        <v>EVERGREEN - Website Email Capture Form - UAN Pre-Footer</v>
      </c>
      <c r="D1463" s="5">
        <f ca="1">IFERROR(__xludf.DUMMYFUNCTION("""COMPUTED_VALUE"""),45679)</f>
        <v>45679</v>
      </c>
      <c r="F1463" s="1" t="str">
        <f ca="1">IFERROR(__xludf.DUMMYFUNCTION("""COMPUTED_VALUE"""),"Libya")</f>
        <v>Libya</v>
      </c>
      <c r="G1463" s="1" t="str">
        <f ca="1">IFERROR(__xludf.DUMMYFUNCTION("""COMPUTED_VALUE"""),"12.25 Libya")</f>
        <v>12.25 Libya</v>
      </c>
      <c r="H1463" s="1" t="str">
        <f ca="1">IFERROR(__xludf.DUMMYFUNCTION("""COMPUTED_VALUE"""),"Freedom of Expression, Health, Individuals At Risk")</f>
        <v>Freedom of Expression, Health, Individuals At Risk</v>
      </c>
      <c r="I1463" s="1" t="str">
        <f ca="1">IFERROR(__xludf.DUMMYFUNCTION("""COMPUTED_VALUE"""),"2025")</f>
        <v>2025</v>
      </c>
      <c r="J1463" s="1" t="str">
        <f ca="1">IFERROR(__xludf.DUMMYFUNCTION("""COMPUTED_VALUE"""),"Email")</f>
        <v>Email</v>
      </c>
    </row>
    <row r="1464" spans="1:10" ht="13" x14ac:dyDescent="0.15">
      <c r="A1464" s="4">
        <f ca="1">IFERROR(__xludf.DUMMYFUNCTION("""COMPUTED_VALUE"""),136012659)</f>
        <v>136012659</v>
      </c>
      <c r="B1464" s="1" t="str">
        <f ca="1">IFERROR(__xludf.DUMMYFUNCTION("""COMPUTED_VALUE"""),"mcrowden@aol.com")</f>
        <v>mcrowden@aol.com</v>
      </c>
      <c r="C1464" s="4" t="str">
        <f ca="1">IFERROR(__xludf.DUMMYFUNCTION("""COMPUTED_VALUE"""),"EVERGREEN - UAN Gated Content - Embedded Petition")</f>
        <v>EVERGREEN - UAN Gated Content - Embedded Petition</v>
      </c>
      <c r="D1464" s="5">
        <f ca="1">IFERROR(__xludf.DUMMYFUNCTION("""COMPUTED_VALUE"""),45695)</f>
        <v>45695</v>
      </c>
      <c r="F1464" s="1" t="str">
        <f ca="1">IFERROR(__xludf.DUMMYFUNCTION("""COMPUTED_VALUE"""),"Afghanistan")</f>
        <v>Afghanistan</v>
      </c>
      <c r="G1464" s="1" t="str">
        <f ca="1">IFERROR(__xludf.DUMMYFUNCTION("""COMPUTED_VALUE"""),"7.25 Afghanistan")</f>
        <v>7.25 Afghanistan</v>
      </c>
      <c r="H1464" s="1" t="str">
        <f ca="1">IFERROR(__xludf.DUMMYFUNCTION("""COMPUTED_VALUE"""),"Freedom of Expression, Individuals At Risk, Women's Rights")</f>
        <v>Freedom of Expression, Individuals At Risk, Women's Rights</v>
      </c>
      <c r="I1464" s="1" t="str">
        <f ca="1">IFERROR(__xludf.DUMMYFUNCTION("""COMPUTED_VALUE"""),"2025")</f>
        <v>2025</v>
      </c>
      <c r="J1464" s="1" t="str">
        <f ca="1">IFERROR(__xludf.DUMMYFUNCTION("""COMPUTED_VALUE"""),"Email")</f>
        <v>Email</v>
      </c>
    </row>
    <row r="1465" spans="1:10" ht="13" x14ac:dyDescent="0.15">
      <c r="A1465" s="4">
        <f ca="1">IFERROR(__xludf.DUMMYFUNCTION("""COMPUTED_VALUE"""),136120416)</f>
        <v>136120416</v>
      </c>
      <c r="B1465" s="1" t="str">
        <f ca="1">IFERROR(__xludf.DUMMYFUNCTION("""COMPUTED_VALUE"""),"julieellen56@gmail.com")</f>
        <v>julieellen56@gmail.com</v>
      </c>
      <c r="C1465" s="4" t="str">
        <f ca="1">IFERROR(__xludf.DUMMYFUNCTION("""COMPUTED_VALUE"""),"EVERGREEN - UAN Gated Content - Embedded Petition")</f>
        <v>EVERGREEN - UAN Gated Content - Embedded Petition</v>
      </c>
      <c r="D1465" s="5">
        <f ca="1">IFERROR(__xludf.DUMMYFUNCTION("""COMPUTED_VALUE"""),45694)</f>
        <v>45694</v>
      </c>
      <c r="F1465" s="1" t="str">
        <f ca="1">IFERROR(__xludf.DUMMYFUNCTION("""COMPUTED_VALUE"""),"Tunisia")</f>
        <v>Tunisia</v>
      </c>
      <c r="G1465" s="1" t="str">
        <f ca="1">IFERROR(__xludf.DUMMYFUNCTION("""COMPUTED_VALUE"""),"8.25 Tunisia")</f>
        <v>8.25 Tunisia</v>
      </c>
      <c r="H1465" s="1" t="str">
        <f ca="1">IFERROR(__xludf.DUMMYFUNCTION("""COMPUTED_VALUE"""),"Freedom of Expression")</f>
        <v>Freedom of Expression</v>
      </c>
      <c r="I1465" s="1" t="str">
        <f ca="1">IFERROR(__xludf.DUMMYFUNCTION("""COMPUTED_VALUE"""),"2025")</f>
        <v>2025</v>
      </c>
      <c r="J1465" s="1" t="str">
        <f ca="1">IFERROR(__xludf.DUMMYFUNCTION("""COMPUTED_VALUE"""),"Email")</f>
        <v>Email</v>
      </c>
    </row>
    <row r="1466" spans="1:10" ht="13" x14ac:dyDescent="0.15">
      <c r="A1466" s="4">
        <f ca="1">IFERROR(__xludf.DUMMYFUNCTION("""COMPUTED_VALUE"""),136429130)</f>
        <v>136429130</v>
      </c>
      <c r="B1466" s="1" t="str">
        <f ca="1">IFERROR(__xludf.DUMMYFUNCTION("""COMPUTED_VALUE"""),"fatimachagani@gmail.com")</f>
        <v>fatimachagani@gmail.com</v>
      </c>
      <c r="C1466" s="4" t="str">
        <f ca="1">IFERROR(__xludf.DUMMYFUNCTION("""COMPUTED_VALUE"""),"EVERGREEN - UAN Gated Content - Embedded Petition")</f>
        <v>EVERGREEN - UAN Gated Content - Embedded Petition</v>
      </c>
      <c r="D1466" s="5">
        <f ca="1">IFERROR(__xludf.DUMMYFUNCTION("""COMPUTED_VALUE"""),45703)</f>
        <v>45703</v>
      </c>
      <c r="F1466" s="1" t="str">
        <f ca="1">IFERROR(__xludf.DUMMYFUNCTION("""COMPUTED_VALUE"""),"USA")</f>
        <v>USA</v>
      </c>
      <c r="G1466" s="1" t="str">
        <f ca="1">IFERROR(__xludf.DUMMYFUNCTION("""COMPUTED_VALUE"""),"105.24 USA")</f>
        <v>105.24 USA</v>
      </c>
      <c r="H1466" s="1" t="str">
        <f ca="1">IFERROR(__xludf.DUMMYFUNCTION("""COMPUTED_VALUE"""),"Death Penalty")</f>
        <v>Death Penalty</v>
      </c>
      <c r="I1466" s="1" t="str">
        <f ca="1">IFERROR(__xludf.DUMMYFUNCTION("""COMPUTED_VALUE"""),"2024")</f>
        <v>2024</v>
      </c>
      <c r="J1466" s="1" t="str">
        <f ca="1">IFERROR(__xludf.DUMMYFUNCTION("""COMPUTED_VALUE"""),"Email")</f>
        <v>Email</v>
      </c>
    </row>
    <row r="1467" spans="1:10" ht="13" x14ac:dyDescent="0.15">
      <c r="A1467" s="4">
        <f ca="1">IFERROR(__xludf.DUMMYFUNCTION("""COMPUTED_VALUE"""),136429130)</f>
        <v>136429130</v>
      </c>
      <c r="B1467" s="1" t="str">
        <f ca="1">IFERROR(__xludf.DUMMYFUNCTION("""COMPUTED_VALUE"""),"fatimachagani@gmail.com")</f>
        <v>fatimachagani@gmail.com</v>
      </c>
      <c r="C1467" s="4" t="str">
        <f ca="1">IFERROR(__xludf.DUMMYFUNCTION("""COMPUTED_VALUE"""),"EVERGREEN - UAN Gated Content - Embedded Petition")</f>
        <v>EVERGREEN - UAN Gated Content - Embedded Petition</v>
      </c>
      <c r="D1467" s="5">
        <f ca="1">IFERROR(__xludf.DUMMYFUNCTION("""COMPUTED_VALUE"""),45688)</f>
        <v>45688</v>
      </c>
      <c r="F1467" s="1" t="str">
        <f ca="1">IFERROR(__xludf.DUMMYFUNCTION("""COMPUTED_VALUE"""),"Russian Federation")</f>
        <v>Russian Federation</v>
      </c>
      <c r="G1467" s="1" t="str">
        <f ca="1">IFERROR(__xludf.DUMMYFUNCTION("""COMPUTED_VALUE"""),"102.24 Russia")</f>
        <v>102.24 Russia</v>
      </c>
      <c r="H1467" s="1" t="str">
        <f ca="1">IFERROR(__xludf.DUMMYFUNCTION("""COMPUTED_VALUE"""),"Freedom of Expression, Individuals At Risk, Right to Protest")</f>
        <v>Freedom of Expression, Individuals At Risk, Right to Protest</v>
      </c>
      <c r="I1467" s="1" t="str">
        <f ca="1">IFERROR(__xludf.DUMMYFUNCTION("""COMPUTED_VALUE"""),"2024")</f>
        <v>2024</v>
      </c>
      <c r="J1467" s="1" t="str">
        <f ca="1">IFERROR(__xludf.DUMMYFUNCTION("""COMPUTED_VALUE"""),"Email")</f>
        <v>Email</v>
      </c>
    </row>
    <row r="1468" spans="1:10" ht="13" x14ac:dyDescent="0.15">
      <c r="A1468" s="4">
        <f ca="1">IFERROR(__xludf.DUMMYFUNCTION("""COMPUTED_VALUE"""),136429130)</f>
        <v>136429130</v>
      </c>
      <c r="B1468" s="1" t="str">
        <f ca="1">IFERROR(__xludf.DUMMYFUNCTION("""COMPUTED_VALUE"""),"fatimachagani@gmail.com")</f>
        <v>fatimachagani@gmail.com</v>
      </c>
      <c r="C1468" s="4" t="str">
        <f ca="1">IFERROR(__xludf.DUMMYFUNCTION("""COMPUTED_VALUE"""),"EVERGREEN - UAN Gated Content - Embedded Petition")</f>
        <v>EVERGREEN - UAN Gated Content - Embedded Petition</v>
      </c>
      <c r="D1468" s="5">
        <f ca="1">IFERROR(__xludf.DUMMYFUNCTION("""COMPUTED_VALUE"""),45688)</f>
        <v>45688</v>
      </c>
      <c r="F1468" s="1" t="str">
        <f ca="1">IFERROR(__xludf.DUMMYFUNCTION("""COMPUTED_VALUE"""),"Iran")</f>
        <v>Iran</v>
      </c>
      <c r="G1468" s="1" t="str">
        <f ca="1">IFERROR(__xludf.DUMMYFUNCTION("""COMPUTED_VALUE"""),"Seventh 103.22 Iran")</f>
        <v>Seventh 103.22 Iran</v>
      </c>
      <c r="H1468" s="1" t="str">
        <f ca="1">IFERROR(__xludf.DUMMYFUNCTION("""COMPUTED_VALUE"""),"Death Penalty, Freedom of Expression, Individuals At Risk")</f>
        <v>Death Penalty, Freedom of Expression, Individuals At Risk</v>
      </c>
      <c r="I1468" s="1" t="str">
        <f ca="1">IFERROR(__xludf.DUMMYFUNCTION("""COMPUTED_VALUE"""),"2024")</f>
        <v>2024</v>
      </c>
      <c r="J1468" s="1" t="str">
        <f ca="1">IFERROR(__xludf.DUMMYFUNCTION("""COMPUTED_VALUE"""),"Email")</f>
        <v>Email</v>
      </c>
    </row>
    <row r="1469" spans="1:10" ht="13" x14ac:dyDescent="0.15">
      <c r="A1469" s="4">
        <f ca="1">IFERROR(__xludf.DUMMYFUNCTION("""COMPUTED_VALUE"""),136429130)</f>
        <v>136429130</v>
      </c>
      <c r="B1469" s="1" t="str">
        <f ca="1">IFERROR(__xludf.DUMMYFUNCTION("""COMPUTED_VALUE"""),"fatimachagani@gmail.com")</f>
        <v>fatimachagani@gmail.com</v>
      </c>
      <c r="C1469" s="4" t="str">
        <f ca="1">IFERROR(__xludf.DUMMYFUNCTION("""COMPUTED_VALUE"""),"EVERGREEN - UAN Gated Content - Embedded Petition")</f>
        <v>EVERGREEN - UAN Gated Content - Embedded Petition</v>
      </c>
      <c r="D1469" s="5">
        <f ca="1">IFERROR(__xludf.DUMMYFUNCTION("""COMPUTED_VALUE"""),45679)</f>
        <v>45679</v>
      </c>
      <c r="F1469" s="1" t="str">
        <f ca="1">IFERROR(__xludf.DUMMYFUNCTION("""COMPUTED_VALUE"""),"Venezuela")</f>
        <v>Venezuela</v>
      </c>
      <c r="G1469" s="1" t="str">
        <f ca="1">IFERROR(__xludf.DUMMYFUNCTION("""COMPUTED_VALUE"""),"1.25 Venezuela")</f>
        <v>1.25 Venezuela</v>
      </c>
      <c r="H1469" s="1" t="str">
        <f ca="1">IFERROR(__xludf.DUMMYFUNCTION("""COMPUTED_VALUE"""),"Human Rights Defenders, Individuals At Risk")</f>
        <v>Human Rights Defenders, Individuals At Risk</v>
      </c>
      <c r="I1469" s="1" t="str">
        <f ca="1">IFERROR(__xludf.DUMMYFUNCTION("""COMPUTED_VALUE"""),"2025")</f>
        <v>2025</v>
      </c>
      <c r="J1469" s="1" t="str">
        <f ca="1">IFERROR(__xludf.DUMMYFUNCTION("""COMPUTED_VALUE"""),"Letter")</f>
        <v>Letter</v>
      </c>
    </row>
    <row r="1470" spans="1:10" ht="13" x14ac:dyDescent="0.15">
      <c r="A1470" s="4">
        <f ca="1">IFERROR(__xludf.DUMMYFUNCTION("""COMPUTED_VALUE"""),136429130)</f>
        <v>136429130</v>
      </c>
      <c r="B1470" s="1" t="str">
        <f ca="1">IFERROR(__xludf.DUMMYFUNCTION("""COMPUTED_VALUE"""),"fatimachagani@gmail.com")</f>
        <v>fatimachagani@gmail.com</v>
      </c>
      <c r="C1470" s="4" t="str">
        <f ca="1">IFERROR(__xludf.DUMMYFUNCTION("""COMPUTED_VALUE"""),"EVERGREEN - UAN Gated Content - Embedded Petition")</f>
        <v>EVERGREEN - UAN Gated Content - Embedded Petition</v>
      </c>
      <c r="D1470" s="5">
        <f ca="1">IFERROR(__xludf.DUMMYFUNCTION("""COMPUTED_VALUE"""),45655)</f>
        <v>45655</v>
      </c>
      <c r="F1470" s="1" t="str">
        <f ca="1">IFERROR(__xludf.DUMMYFUNCTION("""COMPUTED_VALUE"""),"Azerbaijan")</f>
        <v>Azerbaijan</v>
      </c>
      <c r="G1470" s="1" t="str">
        <f ca="1">IFERROR(__xludf.DUMMYFUNCTION("""COMPUTED_VALUE"""),"2.25 Azerbaijan")</f>
        <v>2.25 Azerbaijan</v>
      </c>
      <c r="H1470" s="1" t="str">
        <f ca="1">IFERROR(__xludf.DUMMYFUNCTION("""COMPUTED_VALUE"""),"Freedom of Expression, Human Rights Defenders")</f>
        <v>Freedom of Expression, Human Rights Defenders</v>
      </c>
      <c r="I1470" s="1" t="str">
        <f ca="1">IFERROR(__xludf.DUMMYFUNCTION("""COMPUTED_VALUE"""),"2025")</f>
        <v>2025</v>
      </c>
      <c r="J1470" s="1" t="str">
        <f ca="1">IFERROR(__xludf.DUMMYFUNCTION("""COMPUTED_VALUE"""),"Email")</f>
        <v>Email</v>
      </c>
    </row>
    <row r="1471" spans="1:10" ht="13" x14ac:dyDescent="0.15">
      <c r="A1471" s="4">
        <f ca="1">IFERROR(__xludf.DUMMYFUNCTION("""COMPUTED_VALUE"""),136429130)</f>
        <v>136429130</v>
      </c>
      <c r="B1471" s="1" t="str">
        <f ca="1">IFERROR(__xludf.DUMMYFUNCTION("""COMPUTED_VALUE"""),"fatimachagani@gmail.com")</f>
        <v>fatimachagani@gmail.com</v>
      </c>
      <c r="C1471" s="4" t="str">
        <f ca="1">IFERROR(__xludf.DUMMYFUNCTION("""COMPUTED_VALUE"""),"EVERGREEN - UAN Gated Content - Embedded Petition")</f>
        <v>EVERGREEN - UAN Gated Content - Embedded Petition</v>
      </c>
      <c r="D1471" s="5">
        <f ca="1">IFERROR(__xludf.DUMMYFUNCTION("""COMPUTED_VALUE"""),45658)</f>
        <v>45658</v>
      </c>
      <c r="F1471" s="1" t="str">
        <f ca="1">IFERROR(__xludf.DUMMYFUNCTION("""COMPUTED_VALUE"""),"Venezuela")</f>
        <v>Venezuela</v>
      </c>
      <c r="G1471" s="1" t="str">
        <f ca="1">IFERROR(__xludf.DUMMYFUNCTION("""COMPUTED_VALUE"""),"1.25 Venezuela")</f>
        <v>1.25 Venezuela</v>
      </c>
      <c r="H1471" s="1" t="str">
        <f ca="1">IFERROR(__xludf.DUMMYFUNCTION("""COMPUTED_VALUE"""),"Human Rights Defenders, Individuals At Risk")</f>
        <v>Human Rights Defenders, Individuals At Risk</v>
      </c>
      <c r="I1471" s="1" t="str">
        <f ca="1">IFERROR(__xludf.DUMMYFUNCTION("""COMPUTED_VALUE"""),"2025")</f>
        <v>2025</v>
      </c>
      <c r="J1471" s="1" t="str">
        <f ca="1">IFERROR(__xludf.DUMMYFUNCTION("""COMPUTED_VALUE"""),"Letter")</f>
        <v>Letter</v>
      </c>
    </row>
    <row r="1472" spans="1:10" ht="13" x14ac:dyDescent="0.15">
      <c r="A1472" s="4">
        <f ca="1">IFERROR(__xludf.DUMMYFUNCTION("""COMPUTED_VALUE"""),136429130)</f>
        <v>136429130</v>
      </c>
      <c r="B1472" s="1" t="str">
        <f ca="1">IFERROR(__xludf.DUMMYFUNCTION("""COMPUTED_VALUE"""),"fatimachagani@gmail.com")</f>
        <v>fatimachagani@gmail.com</v>
      </c>
      <c r="C1472" s="4" t="str">
        <f ca="1">IFERROR(__xludf.DUMMYFUNCTION("""COMPUTED_VALUE"""),"EVERGREEN - UAN Gated Content - Embedded Petition")</f>
        <v>EVERGREEN - UAN Gated Content - Embedded Petition</v>
      </c>
      <c r="D1472" s="5">
        <f ca="1">IFERROR(__xludf.DUMMYFUNCTION("""COMPUTED_VALUE"""),45633)</f>
        <v>45633</v>
      </c>
      <c r="F1472" s="1" t="str">
        <f ca="1">IFERROR(__xludf.DUMMYFUNCTION("""COMPUTED_VALUE"""),"Israel and Occupied Palestinian Territories")</f>
        <v>Israel and Occupied Palestinian Territories</v>
      </c>
      <c r="G1472" s="1" t="str">
        <f ca="1">IFERROR(__xludf.DUMMYFUNCTION("""COMPUTED_VALUE"""),"3.25 IOPT")</f>
        <v>3.25 IOPT</v>
      </c>
      <c r="H1472" s="1" t="str">
        <f ca="1">IFERROR(__xludf.DUMMYFUNCTION("""COMPUTED_VALUE"""),"Freedom of Expression, Individuals At Risk")</f>
        <v>Freedom of Expression, Individuals At Risk</v>
      </c>
      <c r="I1472" s="1" t="str">
        <f ca="1">IFERROR(__xludf.DUMMYFUNCTION("""COMPUTED_VALUE"""),"2025")</f>
        <v>2025</v>
      </c>
      <c r="J1472" s="1" t="str">
        <f ca="1">IFERROR(__xludf.DUMMYFUNCTION("""COMPUTED_VALUE"""),"Email")</f>
        <v>Email</v>
      </c>
    </row>
    <row r="1473" spans="1:10" ht="13" x14ac:dyDescent="0.15">
      <c r="A1473" s="4">
        <f ca="1">IFERROR(__xludf.DUMMYFUNCTION("""COMPUTED_VALUE"""),136429130)</f>
        <v>136429130</v>
      </c>
      <c r="B1473" s="1" t="str">
        <f ca="1">IFERROR(__xludf.DUMMYFUNCTION("""COMPUTED_VALUE"""),"fatimachagani@gmail.com")</f>
        <v>fatimachagani@gmail.com</v>
      </c>
      <c r="C1473" s="4" t="str">
        <f ca="1">IFERROR(__xludf.DUMMYFUNCTION("""COMPUTED_VALUE"""),"EVERGREEN - UAN Gated Content - Embedded Petition")</f>
        <v>EVERGREEN - UAN Gated Content - Embedded Petition</v>
      </c>
      <c r="D1473" s="5">
        <f ca="1">IFERROR(__xludf.DUMMYFUNCTION("""COMPUTED_VALUE"""),45666)</f>
        <v>45666</v>
      </c>
      <c r="F1473" s="1" t="str">
        <f ca="1">IFERROR(__xludf.DUMMYFUNCTION("""COMPUTED_VALUE"""),"Iran")</f>
        <v>Iran</v>
      </c>
      <c r="G1473" s="1" t="str">
        <f ca="1">IFERROR(__xludf.DUMMYFUNCTION("""COMPUTED_VALUE"""),"Seventh 103.22 Iran")</f>
        <v>Seventh 103.22 Iran</v>
      </c>
      <c r="H1473" s="1" t="str">
        <f ca="1">IFERROR(__xludf.DUMMYFUNCTION("""COMPUTED_VALUE"""),"Death Penalty, Freedom of Expression, Individuals At Risk")</f>
        <v>Death Penalty, Freedom of Expression, Individuals At Risk</v>
      </c>
      <c r="I1473" s="1" t="str">
        <f ca="1">IFERROR(__xludf.DUMMYFUNCTION("""COMPUTED_VALUE"""),"2024")</f>
        <v>2024</v>
      </c>
      <c r="J1473" s="1" t="str">
        <f ca="1">IFERROR(__xludf.DUMMYFUNCTION("""COMPUTED_VALUE"""),"Email")</f>
        <v>Email</v>
      </c>
    </row>
    <row r="1474" spans="1:10" ht="13" x14ac:dyDescent="0.15">
      <c r="A1474" s="4">
        <f ca="1">IFERROR(__xludf.DUMMYFUNCTION("""COMPUTED_VALUE"""),136429130)</f>
        <v>136429130</v>
      </c>
      <c r="B1474" s="1" t="str">
        <f ca="1">IFERROR(__xludf.DUMMYFUNCTION("""COMPUTED_VALUE"""),"fatimachagani@gmail.com")</f>
        <v>fatimachagani@gmail.com</v>
      </c>
      <c r="C1474" s="4" t="str">
        <f ca="1">IFERROR(__xludf.DUMMYFUNCTION("""COMPUTED_VALUE"""),"EVERGREEN - UAN Gated Content - Embedded Petition")</f>
        <v>EVERGREEN - UAN Gated Content - Embedded Petition</v>
      </c>
      <c r="D1474" s="5">
        <f ca="1">IFERROR(__xludf.DUMMYFUNCTION("""COMPUTED_VALUE"""),45672)</f>
        <v>45672</v>
      </c>
      <c r="F1474" s="1" t="str">
        <f ca="1">IFERROR(__xludf.DUMMYFUNCTION("""COMPUTED_VALUE"""),"USA")</f>
        <v>USA</v>
      </c>
      <c r="G1474" s="1" t="str">
        <f ca="1">IFERROR(__xludf.DUMMYFUNCTION("""COMPUTED_VALUE"""),"4.25 USA")</f>
        <v>4.25 USA</v>
      </c>
      <c r="H1474" s="1" t="str">
        <f ca="1">IFERROR(__xludf.DUMMYFUNCTION("""COMPUTED_VALUE"""),"Individuals At Risk, Refugee and Migrant Rights")</f>
        <v>Individuals At Risk, Refugee and Migrant Rights</v>
      </c>
      <c r="I1474" s="1" t="str">
        <f ca="1">IFERROR(__xludf.DUMMYFUNCTION("""COMPUTED_VALUE"""),"2025")</f>
        <v>2025</v>
      </c>
      <c r="J1474" s="1" t="str">
        <f ca="1">IFERROR(__xludf.DUMMYFUNCTION("""COMPUTED_VALUE"""),"Letter")</f>
        <v>Letter</v>
      </c>
    </row>
    <row r="1475" spans="1:10" ht="13" x14ac:dyDescent="0.15">
      <c r="A1475" s="4">
        <f ca="1">IFERROR(__xludf.DUMMYFUNCTION("""COMPUTED_VALUE"""),136429130)</f>
        <v>136429130</v>
      </c>
      <c r="B1475" s="1" t="str">
        <f ca="1">IFERROR(__xludf.DUMMYFUNCTION("""COMPUTED_VALUE"""),"fatimachagani@gmail.com")</f>
        <v>fatimachagani@gmail.com</v>
      </c>
      <c r="C1475" s="4" t="str">
        <f ca="1">IFERROR(__xludf.DUMMYFUNCTION("""COMPUTED_VALUE"""),"EVERGREEN - UAN Gated Content - Embedded Petition")</f>
        <v>EVERGREEN - UAN Gated Content - Embedded Petition</v>
      </c>
      <c r="D1475" s="5">
        <f ca="1">IFERROR(__xludf.DUMMYFUNCTION("""COMPUTED_VALUE"""),45640)</f>
        <v>45640</v>
      </c>
      <c r="F1475" s="1" t="str">
        <f ca="1">IFERROR(__xludf.DUMMYFUNCTION("""COMPUTED_VALUE"""),"Venezuela")</f>
        <v>Venezuela</v>
      </c>
      <c r="G1475" s="1" t="str">
        <f ca="1">IFERROR(__xludf.DUMMYFUNCTION("""COMPUTED_VALUE"""),"1.25 Venezuela")</f>
        <v>1.25 Venezuela</v>
      </c>
      <c r="H1475" s="1" t="str">
        <f ca="1">IFERROR(__xludf.DUMMYFUNCTION("""COMPUTED_VALUE"""),"Human Rights Defenders, Individuals At Risk")</f>
        <v>Human Rights Defenders, Individuals At Risk</v>
      </c>
      <c r="I1475" s="1" t="str">
        <f ca="1">IFERROR(__xludf.DUMMYFUNCTION("""COMPUTED_VALUE"""),"2025")</f>
        <v>2025</v>
      </c>
      <c r="J1475" s="1" t="str">
        <f ca="1">IFERROR(__xludf.DUMMYFUNCTION("""COMPUTED_VALUE"""),"Letter")</f>
        <v>Letter</v>
      </c>
    </row>
    <row r="1476" spans="1:10" ht="13" x14ac:dyDescent="0.15">
      <c r="A1476" s="4">
        <f ca="1">IFERROR(__xludf.DUMMYFUNCTION("""COMPUTED_VALUE"""),136429130)</f>
        <v>136429130</v>
      </c>
      <c r="B1476" s="1" t="str">
        <f ca="1">IFERROR(__xludf.DUMMYFUNCTION("""COMPUTED_VALUE"""),"fatimachagani@gmail.com")</f>
        <v>fatimachagani@gmail.com</v>
      </c>
      <c r="C1476" s="4" t="str">
        <f ca="1">IFERROR(__xludf.DUMMYFUNCTION("""COMPUTED_VALUE"""),"EVERGREEN - UAN Gated Content - Embedded Petition")</f>
        <v>EVERGREEN - UAN Gated Content - Embedded Petition</v>
      </c>
      <c r="D1476" s="5">
        <f ca="1">IFERROR(__xludf.DUMMYFUNCTION("""COMPUTED_VALUE"""),45643)</f>
        <v>45643</v>
      </c>
      <c r="F1476" s="1" t="str">
        <f ca="1">IFERROR(__xludf.DUMMYFUNCTION("""COMPUTED_VALUE"""),"Russian Federation")</f>
        <v>Russian Federation</v>
      </c>
      <c r="G1476" s="1" t="str">
        <f ca="1">IFERROR(__xludf.DUMMYFUNCTION("""COMPUTED_VALUE"""),"102.24 Russia")</f>
        <v>102.24 Russia</v>
      </c>
      <c r="H1476" s="1" t="str">
        <f ca="1">IFERROR(__xludf.DUMMYFUNCTION("""COMPUTED_VALUE"""),"Freedom of Expression, Individuals At Risk, Right to Protest")</f>
        <v>Freedom of Expression, Individuals At Risk, Right to Protest</v>
      </c>
      <c r="I1476" s="1" t="str">
        <f ca="1">IFERROR(__xludf.DUMMYFUNCTION("""COMPUTED_VALUE"""),"2024")</f>
        <v>2024</v>
      </c>
      <c r="J1476" s="1" t="str">
        <f ca="1">IFERROR(__xludf.DUMMYFUNCTION("""COMPUTED_VALUE"""),"Email")</f>
        <v>Email</v>
      </c>
    </row>
    <row r="1477" spans="1:10" ht="13" x14ac:dyDescent="0.15">
      <c r="A1477" s="4">
        <f ca="1">IFERROR(__xludf.DUMMYFUNCTION("""COMPUTED_VALUE"""),136429130)</f>
        <v>136429130</v>
      </c>
      <c r="B1477" s="1" t="str">
        <f ca="1">IFERROR(__xludf.DUMMYFUNCTION("""COMPUTED_VALUE"""),"fatimachagani@gmail.com")</f>
        <v>fatimachagani@gmail.com</v>
      </c>
      <c r="C1477" s="4" t="str">
        <f ca="1">IFERROR(__xludf.DUMMYFUNCTION("""COMPUTED_VALUE"""),"EVERGREEN - UAN Gated Content - Embedded Petition")</f>
        <v>EVERGREEN - UAN Gated Content - Embedded Petition</v>
      </c>
      <c r="D1477" s="5">
        <f ca="1">IFERROR(__xludf.DUMMYFUNCTION("""COMPUTED_VALUE"""),45643)</f>
        <v>45643</v>
      </c>
      <c r="F1477" s="1" t="str">
        <f ca="1">IFERROR(__xludf.DUMMYFUNCTION("""COMPUTED_VALUE"""),"Iran")</f>
        <v>Iran</v>
      </c>
      <c r="G1477" s="1" t="str">
        <f ca="1">IFERROR(__xludf.DUMMYFUNCTION("""COMPUTED_VALUE"""),"Seventh 103.22 Iran")</f>
        <v>Seventh 103.22 Iran</v>
      </c>
      <c r="H1477" s="1" t="str">
        <f ca="1">IFERROR(__xludf.DUMMYFUNCTION("""COMPUTED_VALUE"""),"Death Penalty, Freedom of Expression, Individuals At Risk")</f>
        <v>Death Penalty, Freedom of Expression, Individuals At Risk</v>
      </c>
      <c r="I1477" s="1" t="str">
        <f ca="1">IFERROR(__xludf.DUMMYFUNCTION("""COMPUTED_VALUE"""),"2024")</f>
        <v>2024</v>
      </c>
      <c r="J1477" s="1" t="str">
        <f ca="1">IFERROR(__xludf.DUMMYFUNCTION("""COMPUTED_VALUE"""),"Email")</f>
        <v>Email</v>
      </c>
    </row>
    <row r="1478" spans="1:10" ht="13" x14ac:dyDescent="0.15">
      <c r="A1478" s="4">
        <f ca="1">IFERROR(__xludf.DUMMYFUNCTION("""COMPUTED_VALUE"""),136429130)</f>
        <v>136429130</v>
      </c>
      <c r="B1478" s="1" t="str">
        <f ca="1">IFERROR(__xludf.DUMMYFUNCTION("""COMPUTED_VALUE"""),"fatimachagani@gmail.com")</f>
        <v>fatimachagani@gmail.com</v>
      </c>
      <c r="C1478" s="4" t="str">
        <f ca="1">IFERROR(__xludf.DUMMYFUNCTION("""COMPUTED_VALUE"""),"EVERGREEN - UAN Gated Content - Embedded Petition")</f>
        <v>EVERGREEN - UAN Gated Content - Embedded Petition</v>
      </c>
      <c r="D1478" s="5">
        <f ca="1">IFERROR(__xludf.DUMMYFUNCTION("""COMPUTED_VALUE"""),45649)</f>
        <v>45649</v>
      </c>
      <c r="F1478" s="1" t="str">
        <f ca="1">IFERROR(__xludf.DUMMYFUNCTION("""COMPUTED_VALUE"""),"Egypt")</f>
        <v>Egypt</v>
      </c>
      <c r="G1478" s="1" t="str">
        <f ca="1">IFERROR(__xludf.DUMMYFUNCTION("""COMPUTED_VALUE"""),"Third 73.23 Egypt")</f>
        <v>Third 73.23 Egypt</v>
      </c>
      <c r="H1478" s="1" t="str">
        <f ca="1">IFERROR(__xludf.DUMMYFUNCTION("""COMPUTED_VALUE"""),"Individuals At Risk")</f>
        <v>Individuals At Risk</v>
      </c>
      <c r="I1478" s="1" t="str">
        <f ca="1">IFERROR(__xludf.DUMMYFUNCTION("""COMPUTED_VALUE"""),"2024")</f>
        <v>2024</v>
      </c>
      <c r="J1478" s="1" t="str">
        <f ca="1">IFERROR(__xludf.DUMMYFUNCTION("""COMPUTED_VALUE"""),"Email")</f>
        <v>Email</v>
      </c>
    </row>
    <row r="1479" spans="1:10" ht="13" x14ac:dyDescent="0.15">
      <c r="A1479" s="4">
        <f ca="1">IFERROR(__xludf.DUMMYFUNCTION("""COMPUTED_VALUE"""),136429130)</f>
        <v>136429130</v>
      </c>
      <c r="B1479" s="1" t="str">
        <f ca="1">IFERROR(__xludf.DUMMYFUNCTION("""COMPUTED_VALUE"""),"fatimachagani@gmail.com")</f>
        <v>fatimachagani@gmail.com</v>
      </c>
      <c r="C1479" s="4" t="str">
        <f ca="1">IFERROR(__xludf.DUMMYFUNCTION("""COMPUTED_VALUE"""),"EVERGREEN - UAN Gated Content - Embedded Petition")</f>
        <v>EVERGREEN - UAN Gated Content - Embedded Petition</v>
      </c>
      <c r="D1479" s="5">
        <f ca="1">IFERROR(__xludf.DUMMYFUNCTION("""COMPUTED_VALUE"""),45649)</f>
        <v>45649</v>
      </c>
      <c r="F1479" s="1" t="str">
        <f ca="1">IFERROR(__xludf.DUMMYFUNCTION("""COMPUTED_VALUE"""),"China")</f>
        <v>China</v>
      </c>
      <c r="G1479" s="1" t="str">
        <f ca="1">IFERROR(__xludf.DUMMYFUNCTION("""COMPUTED_VALUE"""),"98.24 China")</f>
        <v>98.24 China</v>
      </c>
      <c r="H1479" s="1" t="str">
        <f ca="1">IFERROR(__xludf.DUMMYFUNCTION("""COMPUTED_VALUE"""),"Freedom of Expression, Individuals At Risk")</f>
        <v>Freedom of Expression, Individuals At Risk</v>
      </c>
      <c r="I1479" s="1" t="str">
        <f ca="1">IFERROR(__xludf.DUMMYFUNCTION("""COMPUTED_VALUE"""),"2024")</f>
        <v>2024</v>
      </c>
      <c r="J1479" s="1" t="str">
        <f ca="1">IFERROR(__xludf.DUMMYFUNCTION("""COMPUTED_VALUE"""),"Letter")</f>
        <v>Letter</v>
      </c>
    </row>
    <row r="1480" spans="1:10" ht="13" x14ac:dyDescent="0.15">
      <c r="A1480" s="4">
        <f ca="1">IFERROR(__xludf.DUMMYFUNCTION("""COMPUTED_VALUE"""),136429130)</f>
        <v>136429130</v>
      </c>
      <c r="B1480" s="1" t="str">
        <f ca="1">IFERROR(__xludf.DUMMYFUNCTION("""COMPUTED_VALUE"""),"fatimachagani@gmail.com")</f>
        <v>fatimachagani@gmail.com</v>
      </c>
      <c r="C1480" s="4" t="str">
        <f ca="1">IFERROR(__xludf.DUMMYFUNCTION("""COMPUTED_VALUE"""),"EVERGREEN - UAN Gated Content - Embedded Petition")</f>
        <v>EVERGREEN - UAN Gated Content - Embedded Petition</v>
      </c>
      <c r="D1480" s="5">
        <f ca="1">IFERROR(__xludf.DUMMYFUNCTION("""COMPUTED_VALUE"""),45623)</f>
        <v>45623</v>
      </c>
      <c r="F1480" s="1" t="str">
        <f ca="1">IFERROR(__xludf.DUMMYFUNCTION("""COMPUTED_VALUE"""),"Egypt")</f>
        <v>Egypt</v>
      </c>
      <c r="G1480" s="1" t="str">
        <f ca="1">IFERROR(__xludf.DUMMYFUNCTION("""COMPUTED_VALUE"""),"Ninth 190.18 Egypt")</f>
        <v>Ninth 190.18 Egypt</v>
      </c>
      <c r="H1480" s="1" t="str">
        <f ca="1">IFERROR(__xludf.DUMMYFUNCTION("""COMPUTED_VALUE"""),"Freedom of Expression, Individuals At Risk")</f>
        <v>Freedom of Expression, Individuals At Risk</v>
      </c>
      <c r="I1480" s="1" t="str">
        <f ca="1">IFERROR(__xludf.DUMMYFUNCTION("""COMPUTED_VALUE"""),"2024")</f>
        <v>2024</v>
      </c>
      <c r="J1480" s="1" t="str">
        <f ca="1">IFERROR(__xludf.DUMMYFUNCTION("""COMPUTED_VALUE"""),"Letter")</f>
        <v>Letter</v>
      </c>
    </row>
    <row r="1481" spans="1:10" ht="13" x14ac:dyDescent="0.15">
      <c r="A1481" s="4">
        <f ca="1">IFERROR(__xludf.DUMMYFUNCTION("""COMPUTED_VALUE"""),136429130)</f>
        <v>136429130</v>
      </c>
      <c r="B1481" s="1" t="str">
        <f ca="1">IFERROR(__xludf.DUMMYFUNCTION("""COMPUTED_VALUE"""),"fatimachagani@gmail.com")</f>
        <v>fatimachagani@gmail.com</v>
      </c>
      <c r="C1481" s="4" t="str">
        <f ca="1">IFERROR(__xludf.DUMMYFUNCTION("""COMPUTED_VALUE"""),"EVERGREEN - UAN Gated Content - Embedded Petition")</f>
        <v>EVERGREEN - UAN Gated Content - Embedded Petition</v>
      </c>
      <c r="D1481" s="5">
        <f ca="1">IFERROR(__xludf.DUMMYFUNCTION("""COMPUTED_VALUE"""),45626)</f>
        <v>45626</v>
      </c>
      <c r="F1481" s="1" t="str">
        <f ca="1">IFERROR(__xludf.DUMMYFUNCTION("""COMPUTED_VALUE"""),"Iran")</f>
        <v>Iran</v>
      </c>
      <c r="G1481" s="1" t="str">
        <f ca="1">IFERROR(__xludf.DUMMYFUNCTION("""COMPUTED_VALUE"""),"Seventh 103.22 Iran")</f>
        <v>Seventh 103.22 Iran</v>
      </c>
      <c r="H1481" s="1" t="str">
        <f ca="1">IFERROR(__xludf.DUMMYFUNCTION("""COMPUTED_VALUE"""),"Death Penalty, Freedom of Expression, Individuals At Risk")</f>
        <v>Death Penalty, Freedom of Expression, Individuals At Risk</v>
      </c>
      <c r="I1481" s="1" t="str">
        <f ca="1">IFERROR(__xludf.DUMMYFUNCTION("""COMPUTED_VALUE"""),"2024")</f>
        <v>2024</v>
      </c>
      <c r="J1481" s="1" t="str">
        <f ca="1">IFERROR(__xludf.DUMMYFUNCTION("""COMPUTED_VALUE"""),"Email")</f>
        <v>Email</v>
      </c>
    </row>
    <row r="1482" spans="1:10" ht="13" x14ac:dyDescent="0.15">
      <c r="A1482" s="4">
        <f ca="1">IFERROR(__xludf.DUMMYFUNCTION("""COMPUTED_VALUE"""),136429130)</f>
        <v>136429130</v>
      </c>
      <c r="B1482" s="1" t="str">
        <f ca="1">IFERROR(__xludf.DUMMYFUNCTION("""COMPUTED_VALUE"""),"fatimachagani@gmail.com")</f>
        <v>fatimachagani@gmail.com</v>
      </c>
      <c r="C1482" s="4" t="str">
        <f ca="1">IFERROR(__xludf.DUMMYFUNCTION("""COMPUTED_VALUE"""),"EVERGREEN - UAN Gated Content - Embedded Petition")</f>
        <v>EVERGREEN - UAN Gated Content - Embedded Petition</v>
      </c>
      <c r="D1482" s="5">
        <f ca="1">IFERROR(__xludf.DUMMYFUNCTION("""COMPUTED_VALUE"""),45626)</f>
        <v>45626</v>
      </c>
      <c r="F1482" s="1" t="str">
        <f ca="1">IFERROR(__xludf.DUMMYFUNCTION("""COMPUTED_VALUE"""),"Tunisia")</f>
        <v>Tunisia</v>
      </c>
      <c r="G1482" s="1" t="str">
        <f ca="1">IFERROR(__xludf.DUMMYFUNCTION("""COMPUTED_VALUE"""),"Second 76.24 Tunisia")</f>
        <v>Second 76.24 Tunisia</v>
      </c>
      <c r="H1482" s="1" t="str">
        <f ca="1">IFERROR(__xludf.DUMMYFUNCTION("""COMPUTED_VALUE"""),"Freedom of Expression, Human Rights Defenders")</f>
        <v>Freedom of Expression, Human Rights Defenders</v>
      </c>
      <c r="I1482" s="1" t="str">
        <f ca="1">IFERROR(__xludf.DUMMYFUNCTION("""COMPUTED_VALUE"""),"2025")</f>
        <v>2025</v>
      </c>
      <c r="J1482" s="1" t="str">
        <f ca="1">IFERROR(__xludf.DUMMYFUNCTION("""COMPUTED_VALUE"""),"Email")</f>
        <v>Email</v>
      </c>
    </row>
    <row r="1483" spans="1:10" ht="13" x14ac:dyDescent="0.15">
      <c r="A1483" s="4">
        <f ca="1">IFERROR(__xludf.DUMMYFUNCTION("""COMPUTED_VALUE"""),136429130)</f>
        <v>136429130</v>
      </c>
      <c r="B1483" s="1" t="str">
        <f ca="1">IFERROR(__xludf.DUMMYFUNCTION("""COMPUTED_VALUE"""),"fatimachagani@gmail.com")</f>
        <v>fatimachagani@gmail.com</v>
      </c>
      <c r="C1483" s="4" t="str">
        <f ca="1">IFERROR(__xludf.DUMMYFUNCTION("""COMPUTED_VALUE"""),"EVERGREEN - UAN Gated Content - Embedded Petition")</f>
        <v>EVERGREEN - UAN Gated Content - Embedded Petition</v>
      </c>
      <c r="D1483" s="5">
        <f ca="1">IFERROR(__xludf.DUMMYFUNCTION("""COMPUTED_VALUE"""),45703)</f>
        <v>45703</v>
      </c>
      <c r="F1483" s="1" t="str">
        <f ca="1">IFERROR(__xludf.DUMMYFUNCTION("""COMPUTED_VALUE"""),"Tunisia")</f>
        <v>Tunisia</v>
      </c>
      <c r="G1483" s="1" t="str">
        <f ca="1">IFERROR(__xludf.DUMMYFUNCTION("""COMPUTED_VALUE"""),"Second 76.24 Tunisia")</f>
        <v>Second 76.24 Tunisia</v>
      </c>
      <c r="H1483" s="1" t="str">
        <f ca="1">IFERROR(__xludf.DUMMYFUNCTION("""COMPUTED_VALUE"""),"Freedom of Expression, Human Rights Defenders")</f>
        <v>Freedom of Expression, Human Rights Defenders</v>
      </c>
      <c r="I1483" s="1" t="str">
        <f ca="1">IFERROR(__xludf.DUMMYFUNCTION("""COMPUTED_VALUE"""),"2025")</f>
        <v>2025</v>
      </c>
      <c r="J1483" s="1" t="str">
        <f ca="1">IFERROR(__xludf.DUMMYFUNCTION("""COMPUTED_VALUE"""),"Email")</f>
        <v>Email</v>
      </c>
    </row>
    <row r="1484" spans="1:10" ht="13" x14ac:dyDescent="0.15">
      <c r="A1484" s="4">
        <f ca="1">IFERROR(__xludf.DUMMYFUNCTION("""COMPUTED_VALUE"""),136429130)</f>
        <v>136429130</v>
      </c>
      <c r="B1484" s="1" t="str">
        <f ca="1">IFERROR(__xludf.DUMMYFUNCTION("""COMPUTED_VALUE"""),"fatimachagani@gmail.com")</f>
        <v>fatimachagani@gmail.com</v>
      </c>
      <c r="C1484" s="4" t="str">
        <f ca="1">IFERROR(__xludf.DUMMYFUNCTION("""COMPUTED_VALUE"""),"EVERGREEN - UAN Gated Content - Embedded Petition")</f>
        <v>EVERGREEN - UAN Gated Content - Embedded Petition</v>
      </c>
      <c r="D1484" s="5">
        <f ca="1">IFERROR(__xludf.DUMMYFUNCTION("""COMPUTED_VALUE"""),45707)</f>
        <v>45707</v>
      </c>
      <c r="F1484" s="1" t="str">
        <f ca="1">IFERROR(__xludf.DUMMYFUNCTION("""COMPUTED_VALUE"""),"Tunisia")</f>
        <v>Tunisia</v>
      </c>
      <c r="G1484" s="1" t="str">
        <f ca="1">IFERROR(__xludf.DUMMYFUNCTION("""COMPUTED_VALUE"""),"Second 76.24 Tunisia")</f>
        <v>Second 76.24 Tunisia</v>
      </c>
      <c r="H1484" s="1" t="str">
        <f ca="1">IFERROR(__xludf.DUMMYFUNCTION("""COMPUTED_VALUE"""),"Freedom of Expression, Human Rights Defenders")</f>
        <v>Freedom of Expression, Human Rights Defenders</v>
      </c>
      <c r="I1484" s="1" t="str">
        <f ca="1">IFERROR(__xludf.DUMMYFUNCTION("""COMPUTED_VALUE"""),"2025")</f>
        <v>2025</v>
      </c>
      <c r="J1484" s="1" t="str">
        <f ca="1">IFERROR(__xludf.DUMMYFUNCTION("""COMPUTED_VALUE"""),"Email")</f>
        <v>Email</v>
      </c>
    </row>
    <row r="1485" spans="1:10" ht="13" x14ac:dyDescent="0.15">
      <c r="A1485" s="4">
        <f ca="1">IFERROR(__xludf.DUMMYFUNCTION("""COMPUTED_VALUE"""),136429130)</f>
        <v>136429130</v>
      </c>
      <c r="B1485" s="1" t="str">
        <f ca="1">IFERROR(__xludf.DUMMYFUNCTION("""COMPUTED_VALUE"""),"fatimachagani@gmail.com")</f>
        <v>fatimachagani@gmail.com</v>
      </c>
      <c r="C1485" s="4" t="str">
        <f ca="1">IFERROR(__xludf.DUMMYFUNCTION("""COMPUTED_VALUE"""),"EVERGREEN - UAN Gated Content - Embedded Petition")</f>
        <v>EVERGREEN - UAN Gated Content - Embedded Petition</v>
      </c>
      <c r="D1485" s="5">
        <f ca="1">IFERROR(__xludf.DUMMYFUNCTION("""COMPUTED_VALUE"""),45662)</f>
        <v>45662</v>
      </c>
      <c r="F1485" s="1" t="str">
        <f ca="1">IFERROR(__xludf.DUMMYFUNCTION("""COMPUTED_VALUE"""),"Tunisia")</f>
        <v>Tunisia</v>
      </c>
      <c r="G1485" s="1" t="str">
        <f ca="1">IFERROR(__xludf.DUMMYFUNCTION("""COMPUTED_VALUE"""),"Second 76.24 Tunisia")</f>
        <v>Second 76.24 Tunisia</v>
      </c>
      <c r="H1485" s="1" t="str">
        <f ca="1">IFERROR(__xludf.DUMMYFUNCTION("""COMPUTED_VALUE"""),"Freedom of Expression, Human Rights Defenders")</f>
        <v>Freedom of Expression, Human Rights Defenders</v>
      </c>
      <c r="I1485" s="1" t="str">
        <f ca="1">IFERROR(__xludf.DUMMYFUNCTION("""COMPUTED_VALUE"""),"2025")</f>
        <v>2025</v>
      </c>
      <c r="J1485" s="1" t="str">
        <f ca="1">IFERROR(__xludf.DUMMYFUNCTION("""COMPUTED_VALUE"""),"Email")</f>
        <v>Email</v>
      </c>
    </row>
    <row r="1486" spans="1:10" ht="13" x14ac:dyDescent="0.15">
      <c r="A1486" s="4">
        <f ca="1">IFERROR(__xludf.DUMMYFUNCTION("""COMPUTED_VALUE"""),137224579)</f>
        <v>137224579</v>
      </c>
      <c r="B1486" s="1" t="str">
        <f ca="1">IFERROR(__xludf.DUMMYFUNCTION("""COMPUTED_VALUE"""),"philad49@att.net")</f>
        <v>philad49@att.net</v>
      </c>
      <c r="C1486" s="4" t="str">
        <f ca="1">IFERROR(__xludf.DUMMYFUNCTION("""COMPUTED_VALUE"""),"EVERGREEN - UAN Gated Content - Embedded Petition")</f>
        <v>EVERGREEN - UAN Gated Content - Embedded Petition</v>
      </c>
      <c r="D1486" s="5">
        <f ca="1">IFERROR(__xludf.DUMMYFUNCTION("""COMPUTED_VALUE"""),45694)</f>
        <v>45694</v>
      </c>
      <c r="F1486" s="1" t="str">
        <f ca="1">IFERROR(__xludf.DUMMYFUNCTION("""COMPUTED_VALUE"""),"Iran")</f>
        <v>Iran</v>
      </c>
      <c r="G1486" s="1" t="str">
        <f ca="1">IFERROR(__xludf.DUMMYFUNCTION("""COMPUTED_VALUE"""),"Seventh 103.22 Iran")</f>
        <v>Seventh 103.22 Iran</v>
      </c>
      <c r="H1486" s="1" t="str">
        <f ca="1">IFERROR(__xludf.DUMMYFUNCTION("""COMPUTED_VALUE"""),"Death Penalty, Freedom of Expression, Individuals At Risk")</f>
        <v>Death Penalty, Freedom of Expression, Individuals At Risk</v>
      </c>
      <c r="I1486" s="1" t="str">
        <f ca="1">IFERROR(__xludf.DUMMYFUNCTION("""COMPUTED_VALUE"""),"2024")</f>
        <v>2024</v>
      </c>
      <c r="J1486" s="1" t="str">
        <f ca="1">IFERROR(__xludf.DUMMYFUNCTION("""COMPUTED_VALUE"""),"Email")</f>
        <v>Email</v>
      </c>
    </row>
    <row r="1487" spans="1:10" ht="13" x14ac:dyDescent="0.15">
      <c r="A1487" s="4">
        <f ca="1">IFERROR(__xludf.DUMMYFUNCTION("""COMPUTED_VALUE"""),137388026)</f>
        <v>137388026</v>
      </c>
      <c r="B1487" s="1" t="str">
        <f ca="1">IFERROR(__xludf.DUMMYFUNCTION("""COMPUTED_VALUE"""),"cabomail@comcast.net")</f>
        <v>cabomail@comcast.net</v>
      </c>
      <c r="C1487" s="4" t="str">
        <f ca="1">IFERROR(__xludf.DUMMYFUNCTION("""COMPUTED_VALUE"""),"EVERGREEN - UAN Gated Content - Embedded Petition")</f>
        <v>EVERGREEN - UAN Gated Content - Embedded Petition</v>
      </c>
      <c r="D1487" s="5">
        <f ca="1">IFERROR(__xludf.DUMMYFUNCTION("""COMPUTED_VALUE"""),45636)</f>
        <v>45636</v>
      </c>
      <c r="F1487" s="1" t="str">
        <f ca="1">IFERROR(__xludf.DUMMYFUNCTION("""COMPUTED_VALUE"""),"USA")</f>
        <v>USA</v>
      </c>
      <c r="G1487" s="1" t="str">
        <f ca="1">IFERROR(__xludf.DUMMYFUNCTION("""COMPUTED_VALUE"""),"4.25 USA")</f>
        <v>4.25 USA</v>
      </c>
      <c r="H1487" s="1" t="str">
        <f ca="1">IFERROR(__xludf.DUMMYFUNCTION("""COMPUTED_VALUE"""),"Individuals At Risk, Refugee and Migrant Rights")</f>
        <v>Individuals At Risk, Refugee and Migrant Rights</v>
      </c>
      <c r="I1487" s="1" t="str">
        <f ca="1">IFERROR(__xludf.DUMMYFUNCTION("""COMPUTED_VALUE"""),"2025")</f>
        <v>2025</v>
      </c>
      <c r="J1487" s="1" t="str">
        <f ca="1">IFERROR(__xludf.DUMMYFUNCTION("""COMPUTED_VALUE"""),"Letter")</f>
        <v>Letter</v>
      </c>
    </row>
    <row r="1488" spans="1:10" ht="13" x14ac:dyDescent="0.15">
      <c r="A1488" s="4">
        <f ca="1">IFERROR(__xludf.DUMMYFUNCTION("""COMPUTED_VALUE"""),137388026)</f>
        <v>137388026</v>
      </c>
      <c r="B1488" s="1" t="str">
        <f ca="1">IFERROR(__xludf.DUMMYFUNCTION("""COMPUTED_VALUE"""),"cabomail@comcast.net")</f>
        <v>cabomail@comcast.net</v>
      </c>
      <c r="C1488" s="4" t="str">
        <f ca="1">IFERROR(__xludf.DUMMYFUNCTION("""COMPUTED_VALUE"""),"EVERGREEN - UAN Gated Content - Embedded Petition")</f>
        <v>EVERGREEN - UAN Gated Content - Embedded Petition</v>
      </c>
      <c r="D1488" s="5">
        <f ca="1">IFERROR(__xludf.DUMMYFUNCTION("""COMPUTED_VALUE"""),45616)</f>
        <v>45616</v>
      </c>
      <c r="F1488" s="1" t="str">
        <f ca="1">IFERROR(__xludf.DUMMYFUNCTION("""COMPUTED_VALUE"""),"USA")</f>
        <v>USA</v>
      </c>
      <c r="G1488" s="1" t="str">
        <f ca="1">IFERROR(__xludf.DUMMYFUNCTION("""COMPUTED_VALUE"""),"4.25 USA")</f>
        <v>4.25 USA</v>
      </c>
      <c r="H1488" s="1" t="str">
        <f ca="1">IFERROR(__xludf.DUMMYFUNCTION("""COMPUTED_VALUE"""),"Individuals At Risk, Refugee and Migrant Rights")</f>
        <v>Individuals At Risk, Refugee and Migrant Rights</v>
      </c>
      <c r="I1488" s="1" t="str">
        <f ca="1">IFERROR(__xludf.DUMMYFUNCTION("""COMPUTED_VALUE"""),"2025")</f>
        <v>2025</v>
      </c>
      <c r="J1488" s="1" t="str">
        <f ca="1">IFERROR(__xludf.DUMMYFUNCTION("""COMPUTED_VALUE"""),"Letter")</f>
        <v>Letter</v>
      </c>
    </row>
    <row r="1489" spans="1:10" ht="13" x14ac:dyDescent="0.15">
      <c r="A1489" s="4">
        <f ca="1">IFERROR(__xludf.DUMMYFUNCTION("""COMPUTED_VALUE"""),137990095)</f>
        <v>137990095</v>
      </c>
      <c r="B1489" s="1" t="str">
        <f ca="1">IFERROR(__xludf.DUMMYFUNCTION("""COMPUTED_VALUE"""),"maryl.ml570@gmail.com")</f>
        <v>maryl.ml570@gmail.com</v>
      </c>
      <c r="C1489" s="4" t="str">
        <f ca="1">IFERROR(__xludf.DUMMYFUNCTION("""COMPUTED_VALUE"""),"EVERGREEN - Website Email Capture Form - UAN Pre-Footer")</f>
        <v>EVERGREEN - Website Email Capture Form - UAN Pre-Footer</v>
      </c>
      <c r="D1489" s="5">
        <f ca="1">IFERROR(__xludf.DUMMYFUNCTION("""COMPUTED_VALUE"""),45692)</f>
        <v>45692</v>
      </c>
      <c r="F1489" s="1" t="str">
        <f ca="1">IFERROR(__xludf.DUMMYFUNCTION("""COMPUTED_VALUE"""),"USA")</f>
        <v>USA</v>
      </c>
      <c r="G1489" s="1" t="str">
        <f ca="1">IFERROR(__xludf.DUMMYFUNCTION("""COMPUTED_VALUE"""),"105.24 USA")</f>
        <v>105.24 USA</v>
      </c>
      <c r="H1489" s="1" t="str">
        <f ca="1">IFERROR(__xludf.DUMMYFUNCTION("""COMPUTED_VALUE"""),"Death Penalty")</f>
        <v>Death Penalty</v>
      </c>
      <c r="I1489" s="1" t="str">
        <f ca="1">IFERROR(__xludf.DUMMYFUNCTION("""COMPUTED_VALUE"""),"2024")</f>
        <v>2024</v>
      </c>
      <c r="J1489" s="1" t="str">
        <f ca="1">IFERROR(__xludf.DUMMYFUNCTION("""COMPUTED_VALUE"""),"Email")</f>
        <v>Email</v>
      </c>
    </row>
    <row r="1490" spans="1:10" ht="13" x14ac:dyDescent="0.15">
      <c r="A1490" s="4">
        <f ca="1">IFERROR(__xludf.DUMMYFUNCTION("""COMPUTED_VALUE"""),138353222)</f>
        <v>138353222</v>
      </c>
      <c r="B1490" s="1" t="str">
        <f ca="1">IFERROR(__xludf.DUMMYFUNCTION("""COMPUTED_VALUE"""),"aprilarleneyahne@gmail.com")</f>
        <v>aprilarleneyahne@gmail.com</v>
      </c>
      <c r="C1490" s="4" t="str">
        <f ca="1">IFERROR(__xludf.DUMMYFUNCTION("""COMPUTED_VALUE"""),"EVERGREEN - UAN Gated Content - Embedded Petition")</f>
        <v>EVERGREEN - UAN Gated Content - Embedded Petition</v>
      </c>
      <c r="D1490" s="5">
        <f ca="1">IFERROR(__xludf.DUMMYFUNCTION("""COMPUTED_VALUE"""),45686)</f>
        <v>45686</v>
      </c>
      <c r="F1490" s="1" t="str">
        <f ca="1">IFERROR(__xludf.DUMMYFUNCTION("""COMPUTED_VALUE"""),"Egypt")</f>
        <v>Egypt</v>
      </c>
      <c r="G1490" s="1" t="str">
        <f ca="1">IFERROR(__xludf.DUMMYFUNCTION("""COMPUTED_VALUE"""),"Ninth 190.18 Egypt")</f>
        <v>Ninth 190.18 Egypt</v>
      </c>
      <c r="H1490" s="1" t="str">
        <f ca="1">IFERROR(__xludf.DUMMYFUNCTION("""COMPUTED_VALUE"""),"Freedom of Expression, Individuals At Risk")</f>
        <v>Freedom of Expression, Individuals At Risk</v>
      </c>
      <c r="I1490" s="1" t="str">
        <f ca="1">IFERROR(__xludf.DUMMYFUNCTION("""COMPUTED_VALUE"""),"2024")</f>
        <v>2024</v>
      </c>
      <c r="J1490" s="1" t="str">
        <f ca="1">IFERROR(__xludf.DUMMYFUNCTION("""COMPUTED_VALUE"""),"Letter")</f>
        <v>Letter</v>
      </c>
    </row>
    <row r="1491" spans="1:10" ht="13" x14ac:dyDescent="0.15">
      <c r="A1491" s="4">
        <f ca="1">IFERROR(__xludf.DUMMYFUNCTION("""COMPUTED_VALUE"""),138418435)</f>
        <v>138418435</v>
      </c>
      <c r="B1491" s="1" t="str">
        <f ca="1">IFERROR(__xludf.DUMMYFUNCTION("""COMPUTED_VALUE"""),"ordersolnit@optonline.net")</f>
        <v>ordersolnit@optonline.net</v>
      </c>
      <c r="C1491" s="4" t="str">
        <f ca="1">IFERROR(__xludf.DUMMYFUNCTION("""COMPUTED_VALUE"""),"EVERGREEN - UAN Gated Content - Embedded Petition")</f>
        <v>EVERGREEN - UAN Gated Content - Embedded Petition</v>
      </c>
      <c r="D1491" s="5">
        <f ca="1">IFERROR(__xludf.DUMMYFUNCTION("""COMPUTED_VALUE"""),45636)</f>
        <v>45636</v>
      </c>
      <c r="F1491" s="1" t="str">
        <f ca="1">IFERROR(__xludf.DUMMYFUNCTION("""COMPUTED_VALUE"""),"Saudi Arabia")</f>
        <v>Saudi Arabia</v>
      </c>
      <c r="G1491" s="1" t="str">
        <f ca="1">IFERROR(__xludf.DUMMYFUNCTION("""COMPUTED_VALUE"""),"Second 85.23 Saudi Arabia")</f>
        <v>Second 85.23 Saudi Arabia</v>
      </c>
      <c r="H1491" s="1" t="str">
        <f ca="1">IFERROR(__xludf.DUMMYFUNCTION("""COMPUTED_VALUE"""),"Freedom of Expression")</f>
        <v>Freedom of Expression</v>
      </c>
      <c r="I1491" s="1" t="str">
        <f ca="1">IFERROR(__xludf.DUMMYFUNCTION("""COMPUTED_VALUE"""),"2024")</f>
        <v>2024</v>
      </c>
      <c r="J1491" s="1" t="str">
        <f ca="1">IFERROR(__xludf.DUMMYFUNCTION("""COMPUTED_VALUE"""),"Letter")</f>
        <v>Letter</v>
      </c>
    </row>
    <row r="1492" spans="1:10" ht="13" x14ac:dyDescent="0.15">
      <c r="A1492" s="4">
        <f ca="1">IFERROR(__xludf.DUMMYFUNCTION("""COMPUTED_VALUE"""),138418435)</f>
        <v>138418435</v>
      </c>
      <c r="B1492" s="1" t="str">
        <f ca="1">IFERROR(__xludf.DUMMYFUNCTION("""COMPUTED_VALUE"""),"ordersolnit@optonline.net")</f>
        <v>ordersolnit@optonline.net</v>
      </c>
      <c r="C1492" s="4" t="str">
        <f ca="1">IFERROR(__xludf.DUMMYFUNCTION("""COMPUTED_VALUE"""),"EVERGREEN - UAN Gated Content - Embedded Petition")</f>
        <v>EVERGREEN - UAN Gated Content - Embedded Petition</v>
      </c>
      <c r="D1492" s="5">
        <f ca="1">IFERROR(__xludf.DUMMYFUNCTION("""COMPUTED_VALUE"""),45701)</f>
        <v>45701</v>
      </c>
      <c r="F1492" s="1" t="str">
        <f ca="1">IFERROR(__xludf.DUMMYFUNCTION("""COMPUTED_VALUE"""),"Dominican Republic")</f>
        <v>Dominican Republic</v>
      </c>
      <c r="G1492" s="1" t="str">
        <f ca="1">IFERROR(__xludf.DUMMYFUNCTION("""COMPUTED_VALUE"""),"88.24 Dominican Republic")</f>
        <v>88.24 Dominican Republic</v>
      </c>
      <c r="H1492" s="1" t="str">
        <f ca="1">IFERROR(__xludf.DUMMYFUNCTION("""COMPUTED_VALUE"""),"Individuals At Risk, Refugee and Migrant Rights")</f>
        <v>Individuals At Risk, Refugee and Migrant Rights</v>
      </c>
      <c r="I1492" s="1" t="str">
        <f ca="1">IFERROR(__xludf.DUMMYFUNCTION("""COMPUTED_VALUE"""),"2024")</f>
        <v>2024</v>
      </c>
      <c r="J1492" s="1" t="str">
        <f ca="1">IFERROR(__xludf.DUMMYFUNCTION("""COMPUTED_VALUE"""),"Letter")</f>
        <v>Letter</v>
      </c>
    </row>
    <row r="1493" spans="1:10" ht="13" x14ac:dyDescent="0.15">
      <c r="A1493" s="4">
        <f ca="1">IFERROR(__xludf.DUMMYFUNCTION("""COMPUTED_VALUE"""),139182238)</f>
        <v>139182238</v>
      </c>
      <c r="B1493" s="1" t="str">
        <f ca="1">IFERROR(__xludf.DUMMYFUNCTION("""COMPUTED_VALUE"""),"amenoartemis@gmail.com")</f>
        <v>amenoartemis@gmail.com</v>
      </c>
      <c r="C1493" s="4" t="str">
        <f ca="1">IFERROR(__xludf.DUMMYFUNCTION("""COMPUTED_VALUE"""),"EVERGREEN - UAN Gated Content - Embedded Petition")</f>
        <v>EVERGREEN - UAN Gated Content - Embedded Petition</v>
      </c>
      <c r="D1493" s="5">
        <f ca="1">IFERROR(__xludf.DUMMYFUNCTION("""COMPUTED_VALUE"""),45637)</f>
        <v>45637</v>
      </c>
      <c r="F1493" s="1" t="str">
        <f ca="1">IFERROR(__xludf.DUMMYFUNCTION("""COMPUTED_VALUE"""),"Israel and Occupied Palestinian Territories")</f>
        <v>Israel and Occupied Palestinian Territories</v>
      </c>
      <c r="G1493" s="1" t="str">
        <f ca="1">IFERROR(__xludf.DUMMYFUNCTION("""COMPUTED_VALUE"""),"3.25 IOPT")</f>
        <v>3.25 IOPT</v>
      </c>
      <c r="H1493" s="1" t="str">
        <f ca="1">IFERROR(__xludf.DUMMYFUNCTION("""COMPUTED_VALUE"""),"Freedom of Expression, Individuals At Risk")</f>
        <v>Freedom of Expression, Individuals At Risk</v>
      </c>
      <c r="I1493" s="1" t="str">
        <f ca="1">IFERROR(__xludf.DUMMYFUNCTION("""COMPUTED_VALUE"""),"2025")</f>
        <v>2025</v>
      </c>
      <c r="J1493" s="1" t="str">
        <f ca="1">IFERROR(__xludf.DUMMYFUNCTION("""COMPUTED_VALUE"""),"Email")</f>
        <v>Email</v>
      </c>
    </row>
    <row r="1494" spans="1:10" ht="13" x14ac:dyDescent="0.15">
      <c r="A1494" s="4">
        <f ca="1">IFERROR(__xludf.DUMMYFUNCTION("""COMPUTED_VALUE"""),139182238)</f>
        <v>139182238</v>
      </c>
      <c r="B1494" s="1" t="str">
        <f ca="1">IFERROR(__xludf.DUMMYFUNCTION("""COMPUTED_VALUE"""),"amenoartemis@gmail.com")</f>
        <v>amenoartemis@gmail.com</v>
      </c>
      <c r="C1494" s="4" t="str">
        <f ca="1">IFERROR(__xludf.DUMMYFUNCTION("""COMPUTED_VALUE"""),"EVERGREEN - UAN Gated Content - Embedded Petition")</f>
        <v>EVERGREEN - UAN Gated Content - Embedded Petition</v>
      </c>
      <c r="D1494" s="5">
        <f ca="1">IFERROR(__xludf.DUMMYFUNCTION("""COMPUTED_VALUE"""),45694)</f>
        <v>45694</v>
      </c>
      <c r="F1494" s="1" t="str">
        <f ca="1">IFERROR(__xludf.DUMMYFUNCTION("""COMPUTED_VALUE"""),"Saudi Arabia")</f>
        <v>Saudi Arabia</v>
      </c>
      <c r="G1494" s="1" t="str">
        <f ca="1">IFERROR(__xludf.DUMMYFUNCTION("""COMPUTED_VALUE"""),"Fifth 257.12")</f>
        <v>Fifth 257.12</v>
      </c>
      <c r="H1494" s="1" t="str">
        <f ca="1">IFERROR(__xludf.DUMMYFUNCTION("""COMPUTED_VALUE"""),"Freedom of Expression, Human Rights Defenders")</f>
        <v>Freedom of Expression, Human Rights Defenders</v>
      </c>
      <c r="I1494" s="1" t="str">
        <f ca="1">IFERROR(__xludf.DUMMYFUNCTION("""COMPUTED_VALUE"""),"2025")</f>
        <v>2025</v>
      </c>
      <c r="J1494" s="1" t="str">
        <f ca="1">IFERROR(__xludf.DUMMYFUNCTION("""COMPUTED_VALUE"""),"Email")</f>
        <v>Email</v>
      </c>
    </row>
    <row r="1495" spans="1:10" ht="13" x14ac:dyDescent="0.15">
      <c r="A1495" s="4">
        <f ca="1">IFERROR(__xludf.DUMMYFUNCTION("""COMPUTED_VALUE"""),139182238)</f>
        <v>139182238</v>
      </c>
      <c r="B1495" s="1" t="str">
        <f ca="1">IFERROR(__xludf.DUMMYFUNCTION("""COMPUTED_VALUE"""),"amenoartemis@gmail.com")</f>
        <v>amenoartemis@gmail.com</v>
      </c>
      <c r="C1495" s="4" t="str">
        <f ca="1">IFERROR(__xludf.DUMMYFUNCTION("""COMPUTED_VALUE"""),"EVERGREEN - UAN Gated Content - Embedded Petition")</f>
        <v>EVERGREEN - UAN Gated Content - Embedded Petition</v>
      </c>
      <c r="D1495" s="5">
        <f ca="1">IFERROR(__xludf.DUMMYFUNCTION("""COMPUTED_VALUE"""),45637)</f>
        <v>45637</v>
      </c>
      <c r="F1495" s="1" t="str">
        <f ca="1">IFERROR(__xludf.DUMMYFUNCTION("""COMPUTED_VALUE"""),"Iran")</f>
        <v>Iran</v>
      </c>
      <c r="G1495" s="1" t="str">
        <f ca="1">IFERROR(__xludf.DUMMYFUNCTION("""COMPUTED_VALUE"""),"101.24 Iran")</f>
        <v>101.24 Iran</v>
      </c>
      <c r="H1495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1495" s="1" t="str">
        <f ca="1">IFERROR(__xludf.DUMMYFUNCTION("""COMPUTED_VALUE"""),"2024")</f>
        <v>2024</v>
      </c>
      <c r="J1495" s="1" t="str">
        <f ca="1">IFERROR(__xludf.DUMMYFUNCTION("""COMPUTED_VALUE"""),"Email")</f>
        <v>Email</v>
      </c>
    </row>
    <row r="1496" spans="1:10" ht="13" x14ac:dyDescent="0.15">
      <c r="A1496" s="4">
        <f ca="1">IFERROR(__xludf.DUMMYFUNCTION("""COMPUTED_VALUE"""),139182238)</f>
        <v>139182238</v>
      </c>
      <c r="B1496" s="1" t="str">
        <f ca="1">IFERROR(__xludf.DUMMYFUNCTION("""COMPUTED_VALUE"""),"amenoartemis@gmail.com")</f>
        <v>amenoartemis@gmail.com</v>
      </c>
      <c r="C1496" s="4" t="str">
        <f ca="1">IFERROR(__xludf.DUMMYFUNCTION("""COMPUTED_VALUE"""),"EVERGREEN - UAN Gated Content - Embedded Petition")</f>
        <v>EVERGREEN - UAN Gated Content - Embedded Petition</v>
      </c>
      <c r="D1496" s="5">
        <f ca="1">IFERROR(__xludf.DUMMYFUNCTION("""COMPUTED_VALUE"""),45637)</f>
        <v>45637</v>
      </c>
      <c r="F1496" s="1" t="str">
        <f ca="1">IFERROR(__xludf.DUMMYFUNCTION("""COMPUTED_VALUE"""),"Afghanistan")</f>
        <v>Afghanistan</v>
      </c>
      <c r="G1496" s="1" t="str">
        <f ca="1">IFERROR(__xludf.DUMMYFUNCTION("""COMPUTED_VALUE"""),"11.25 Afghanistan")</f>
        <v>11.25 Afghanistan</v>
      </c>
      <c r="H1496" s="1" t="str">
        <f ca="1">IFERROR(__xludf.DUMMYFUNCTION("""COMPUTED_VALUE"""),"Freedom of Expression, Health, Individuals At Risk")</f>
        <v>Freedom of Expression, Health, Individuals At Risk</v>
      </c>
      <c r="I1496" s="1" t="str">
        <f ca="1">IFERROR(__xludf.DUMMYFUNCTION("""COMPUTED_VALUE"""),"2025")</f>
        <v>2025</v>
      </c>
      <c r="J1496" s="1" t="str">
        <f ca="1">IFERROR(__xludf.DUMMYFUNCTION("""COMPUTED_VALUE"""),"Email")</f>
        <v>Email</v>
      </c>
    </row>
    <row r="1497" spans="1:10" ht="13" x14ac:dyDescent="0.15">
      <c r="A1497" s="4">
        <f ca="1">IFERROR(__xludf.DUMMYFUNCTION("""COMPUTED_VALUE"""),139182238)</f>
        <v>139182238</v>
      </c>
      <c r="B1497" s="1" t="str">
        <f ca="1">IFERROR(__xludf.DUMMYFUNCTION("""COMPUTED_VALUE"""),"amenoartemis@gmail.com")</f>
        <v>amenoartemis@gmail.com</v>
      </c>
      <c r="C1497" s="4" t="str">
        <f ca="1">IFERROR(__xludf.DUMMYFUNCTION("""COMPUTED_VALUE"""),"EVERGREEN - UAN Gated Content - Embedded Petition")</f>
        <v>EVERGREEN - UAN Gated Content - Embedded Petition</v>
      </c>
      <c r="D1497" s="5">
        <f ca="1">IFERROR(__xludf.DUMMYFUNCTION("""COMPUTED_VALUE"""),45637)</f>
        <v>45637</v>
      </c>
      <c r="F1497" s="1" t="str">
        <f ca="1">IFERROR(__xludf.DUMMYFUNCTION("""COMPUTED_VALUE"""),"Egypt")</f>
        <v>Egypt</v>
      </c>
      <c r="G1497" s="1" t="str">
        <f ca="1">IFERROR(__xludf.DUMMYFUNCTION("""COMPUTED_VALUE"""),"Second 80.23 Egypt")</f>
        <v>Second 80.23 Egypt</v>
      </c>
      <c r="H1497" s="1" t="str">
        <f ca="1">IFERROR(__xludf.DUMMYFUNCTION("""COMPUTED_VALUE"""),"Health, Individuals At Risk")</f>
        <v>Health, Individuals At Risk</v>
      </c>
      <c r="I1497" s="1" t="str">
        <f ca="1">IFERROR(__xludf.DUMMYFUNCTION("""COMPUTED_VALUE"""),"2025")</f>
        <v>2025</v>
      </c>
      <c r="J1497" s="1" t="str">
        <f ca="1">IFERROR(__xludf.DUMMYFUNCTION("""COMPUTED_VALUE"""),"Email")</f>
        <v>Email</v>
      </c>
    </row>
    <row r="1498" spans="1:10" ht="13" x14ac:dyDescent="0.15">
      <c r="A1498" s="4">
        <f ca="1">IFERROR(__xludf.DUMMYFUNCTION("""COMPUTED_VALUE"""),139443425)</f>
        <v>139443425</v>
      </c>
      <c r="B1498" s="1" t="str">
        <f ca="1">IFERROR(__xludf.DUMMYFUNCTION("""COMPUTED_VALUE"""),"annbromig@gmail.com")</f>
        <v>annbromig@gmail.com</v>
      </c>
      <c r="C1498" s="4" t="str">
        <f ca="1">IFERROR(__xludf.DUMMYFUNCTION("""COMPUTED_VALUE"""),"EVERGREEN - UAN Gated Content - Embedded Petition")</f>
        <v>EVERGREEN - UAN Gated Content - Embedded Petition</v>
      </c>
      <c r="D1498" s="5">
        <f ca="1">IFERROR(__xludf.DUMMYFUNCTION("""COMPUTED_VALUE"""),45694)</f>
        <v>45694</v>
      </c>
      <c r="F1498" s="1" t="str">
        <f ca="1">IFERROR(__xludf.DUMMYFUNCTION("""COMPUTED_VALUE"""),"Iran")</f>
        <v>Iran</v>
      </c>
      <c r="G1498" s="1" t="str">
        <f ca="1">IFERROR(__xludf.DUMMYFUNCTION("""COMPUTED_VALUE"""),"10.25 Iran")</f>
        <v>10.25 Iran</v>
      </c>
      <c r="H1498" s="1" t="str">
        <f ca="1">IFERROR(__xludf.DUMMYFUNCTION("""COMPUTED_VALUE"""),"Death Penalty, Individuals At Risk")</f>
        <v>Death Penalty, Individuals At Risk</v>
      </c>
      <c r="I1498" s="1" t="str">
        <f ca="1">IFERROR(__xludf.DUMMYFUNCTION("""COMPUTED_VALUE"""),"2025")</f>
        <v>2025</v>
      </c>
      <c r="J1498" s="1" t="str">
        <f ca="1">IFERROR(__xludf.DUMMYFUNCTION("""COMPUTED_VALUE"""),"Email")</f>
        <v>Email</v>
      </c>
    </row>
    <row r="1499" spans="1:10" ht="13" x14ac:dyDescent="0.15">
      <c r="A1499" s="4">
        <f ca="1">IFERROR(__xludf.DUMMYFUNCTION("""COMPUTED_VALUE"""),140043434)</f>
        <v>140043434</v>
      </c>
      <c r="B1499" s="1" t="str">
        <f ca="1">IFERROR(__xludf.DUMMYFUNCTION("""COMPUTED_VALUE"""),"rroebig119@gmail.com")</f>
        <v>rroebig119@gmail.com</v>
      </c>
      <c r="C1499" s="4" t="str">
        <f ca="1">IFERROR(__xludf.DUMMYFUNCTION("""COMPUTED_VALUE"""),"EVERGREEN - UAN Gated Content - Embedded Petition")</f>
        <v>EVERGREEN - UAN Gated Content - Embedded Petition</v>
      </c>
      <c r="D1499" s="5">
        <f ca="1">IFERROR(__xludf.DUMMYFUNCTION("""COMPUTED_VALUE"""),45694)</f>
        <v>45694</v>
      </c>
      <c r="F1499" s="1" t="str">
        <f ca="1">IFERROR(__xludf.DUMMYFUNCTION("""COMPUTED_VALUE"""),"Turkiye")</f>
        <v>Turkiye</v>
      </c>
      <c r="G1499" s="1" t="str">
        <f ca="1">IFERROR(__xludf.DUMMYFUNCTION("""COMPUTED_VALUE"""),"Second 109.24 Türkiye")</f>
        <v>Second 109.24 Türkiye</v>
      </c>
      <c r="H1499" s="1" t="str">
        <f ca="1">IFERROR(__xludf.DUMMYFUNCTION("""COMPUTED_VALUE"""),"Human Rights Defenders")</f>
        <v>Human Rights Defenders</v>
      </c>
      <c r="I1499" s="1" t="str">
        <f ca="1">IFERROR(__xludf.DUMMYFUNCTION("""COMPUTED_VALUE"""),"2025")</f>
        <v>2025</v>
      </c>
      <c r="J1499" s="1" t="str">
        <f ca="1">IFERROR(__xludf.DUMMYFUNCTION("""COMPUTED_VALUE"""),"Email")</f>
        <v>Email</v>
      </c>
    </row>
    <row r="1500" spans="1:10" ht="13" x14ac:dyDescent="0.15">
      <c r="A1500" s="4">
        <f ca="1">IFERROR(__xludf.DUMMYFUNCTION("""COMPUTED_VALUE"""),140695542)</f>
        <v>140695542</v>
      </c>
      <c r="B1500" s="1" t="str">
        <f ca="1">IFERROR(__xludf.DUMMYFUNCTION("""COMPUTED_VALUE"""),"marklattman@gmail.com")</f>
        <v>marklattman@gmail.com</v>
      </c>
      <c r="C1500" s="4" t="str">
        <f ca="1">IFERROR(__xludf.DUMMYFUNCTION("""COMPUTED_VALUE"""),"EVERGREEN - UAN Gated Content - Embedded Petition")</f>
        <v>EVERGREEN - UAN Gated Content - Embedded Petition</v>
      </c>
      <c r="D1500" s="5">
        <f ca="1">IFERROR(__xludf.DUMMYFUNCTION("""COMPUTED_VALUE"""),45694)</f>
        <v>45694</v>
      </c>
      <c r="F1500" s="1" t="str">
        <f ca="1">IFERROR(__xludf.DUMMYFUNCTION("""COMPUTED_VALUE"""),"Colombia")</f>
        <v>Colombia</v>
      </c>
      <c r="G1500" s="1" t="str">
        <f ca="1">IFERROR(__xludf.DUMMYFUNCTION("""COMPUTED_VALUE"""),"Third 12.24 Colombia")</f>
        <v>Third 12.24 Colombia</v>
      </c>
      <c r="H1500" s="1" t="str">
        <f ca="1">IFERROR(__xludf.DUMMYFUNCTION("""COMPUTED_VALUE"""),"Human Rights Defenders, Individuals At Risk")</f>
        <v>Human Rights Defenders, Individuals At Risk</v>
      </c>
      <c r="I1500" s="1" t="str">
        <f ca="1">IFERROR(__xludf.DUMMYFUNCTION("""COMPUTED_VALUE"""),"2025")</f>
        <v>2025</v>
      </c>
      <c r="J1500" s="1" t="str">
        <f ca="1">IFERROR(__xludf.DUMMYFUNCTION("""COMPUTED_VALUE"""),"Email")</f>
        <v>Email</v>
      </c>
    </row>
    <row r="1501" spans="1:10" ht="13" x14ac:dyDescent="0.15">
      <c r="A1501" s="4">
        <f ca="1">IFERROR(__xludf.DUMMYFUNCTION("""COMPUTED_VALUE"""),142075276)</f>
        <v>142075276</v>
      </c>
      <c r="B1501" s="1" t="str">
        <f ca="1">IFERROR(__xludf.DUMMYFUNCTION("""COMPUTED_VALUE"""),"vdestefano54@gmail.com")</f>
        <v>vdestefano54@gmail.com</v>
      </c>
      <c r="C1501" s="4" t="str">
        <f ca="1">IFERROR(__xludf.DUMMYFUNCTION("""COMPUTED_VALUE"""),"EVERGREEN - Website Email Capture Form - UAN Pre-Footer")</f>
        <v>EVERGREEN - Website Email Capture Form - UAN Pre-Footer</v>
      </c>
      <c r="D1501" s="5">
        <f ca="1">IFERROR(__xludf.DUMMYFUNCTION("""COMPUTED_VALUE"""),45636)</f>
        <v>45636</v>
      </c>
      <c r="F1501" s="1" t="str">
        <f ca="1">IFERROR(__xludf.DUMMYFUNCTION("""COMPUTED_VALUE"""),"Iran")</f>
        <v>Iran</v>
      </c>
      <c r="G1501" s="1" t="str">
        <f ca="1">IFERROR(__xludf.DUMMYFUNCTION("""COMPUTED_VALUE"""),"6.25 Iran")</f>
        <v>6.25 Iran</v>
      </c>
      <c r="H1501" s="1" t="str">
        <f ca="1">IFERROR(__xludf.DUMMYFUNCTION("""COMPUTED_VALUE"""),"Death Penalty, Freedom of Expression, Individuals At Risk")</f>
        <v>Death Penalty, Freedom of Expression, Individuals At Risk</v>
      </c>
      <c r="I1501" s="1" t="str">
        <f ca="1">IFERROR(__xludf.DUMMYFUNCTION("""COMPUTED_VALUE"""),"2025")</f>
        <v>2025</v>
      </c>
      <c r="J1501" s="1" t="str">
        <f ca="1">IFERROR(__xludf.DUMMYFUNCTION("""COMPUTED_VALUE"""),"Email")</f>
        <v>Email</v>
      </c>
    </row>
    <row r="1502" spans="1:10" ht="13" x14ac:dyDescent="0.15">
      <c r="A1502" s="4">
        <f ca="1">IFERROR(__xludf.DUMMYFUNCTION("""COMPUTED_VALUE"""),142746541)</f>
        <v>142746541</v>
      </c>
      <c r="B1502" s="1" t="str">
        <f ca="1">IFERROR(__xludf.DUMMYFUNCTION("""COMPUTED_VALUE"""),"toucheboucher@gmail.com")</f>
        <v>toucheboucher@gmail.com</v>
      </c>
      <c r="C1502" s="4" t="str">
        <f ca="1">IFERROR(__xludf.DUMMYFUNCTION("""COMPUTED_VALUE"""),"EVERGREEN - UAN Gated Content - Embedded Petition")</f>
        <v>EVERGREEN - UAN Gated Content - Embedded Petition</v>
      </c>
      <c r="D1502" s="5">
        <f ca="1">IFERROR(__xludf.DUMMYFUNCTION("""COMPUTED_VALUE"""),45694)</f>
        <v>45694</v>
      </c>
      <c r="F1502" s="1" t="str">
        <f ca="1">IFERROR(__xludf.DUMMYFUNCTION("""COMPUTED_VALUE"""),"Colombia")</f>
        <v>Colombia</v>
      </c>
      <c r="G1502" s="1" t="str">
        <f ca="1">IFERROR(__xludf.DUMMYFUNCTION("""COMPUTED_VALUE"""),"5.25 Colombia")</f>
        <v>5.25 Colombia</v>
      </c>
      <c r="H1502" s="1" t="str">
        <f ca="1">IFERROR(__xludf.DUMMYFUNCTION("""COMPUTED_VALUE"""),"Human Rights Defenders, Individuals At Risk")</f>
        <v>Human Rights Defenders, Individuals At Risk</v>
      </c>
      <c r="I1502" s="1" t="str">
        <f ca="1">IFERROR(__xludf.DUMMYFUNCTION("""COMPUTED_VALUE"""),"2025")</f>
        <v>2025</v>
      </c>
      <c r="J1502" s="1" t="str">
        <f ca="1">IFERROR(__xludf.DUMMYFUNCTION("""COMPUTED_VALUE"""),"Email")</f>
        <v>Email</v>
      </c>
    </row>
    <row r="1503" spans="1:10" ht="13" x14ac:dyDescent="0.15">
      <c r="A1503" s="4">
        <f ca="1">IFERROR(__xludf.DUMMYFUNCTION("""COMPUTED_VALUE"""),142753892)</f>
        <v>142753892</v>
      </c>
      <c r="B1503" s="1" t="str">
        <f ca="1">IFERROR(__xludf.DUMMYFUNCTION("""COMPUTED_VALUE"""),"betzpi@aol.com")</f>
        <v>betzpi@aol.com</v>
      </c>
      <c r="C1503" s="4" t="str">
        <f ca="1">IFERROR(__xludf.DUMMYFUNCTION("""COMPUTED_VALUE"""),"EVERGREEN - UAN Gated Content - Embedded Petition")</f>
        <v>EVERGREEN - UAN Gated Content - Embedded Petition</v>
      </c>
      <c r="D1503" s="5">
        <f ca="1">IFERROR(__xludf.DUMMYFUNCTION("""COMPUTED_VALUE"""),45695)</f>
        <v>45695</v>
      </c>
      <c r="F1503" s="1" t="str">
        <f ca="1">IFERROR(__xludf.DUMMYFUNCTION("""COMPUTED_VALUE"""),"Tunisia")</f>
        <v>Tunisia</v>
      </c>
      <c r="G1503" s="1" t="str">
        <f ca="1">IFERROR(__xludf.DUMMYFUNCTION("""COMPUTED_VALUE"""),"Second 76.24 Tunisia")</f>
        <v>Second 76.24 Tunisia</v>
      </c>
      <c r="H1503" s="1" t="str">
        <f ca="1">IFERROR(__xludf.DUMMYFUNCTION("""COMPUTED_VALUE"""),"Freedom of Expression, Human Rights Defenders")</f>
        <v>Freedom of Expression, Human Rights Defenders</v>
      </c>
      <c r="I1503" s="1" t="str">
        <f ca="1">IFERROR(__xludf.DUMMYFUNCTION("""COMPUTED_VALUE"""),"2025")</f>
        <v>2025</v>
      </c>
      <c r="J1503" s="1" t="str">
        <f ca="1">IFERROR(__xludf.DUMMYFUNCTION("""COMPUTED_VALUE"""),"Email")</f>
        <v>Email</v>
      </c>
    </row>
    <row r="1504" spans="1:10" ht="13" x14ac:dyDescent="0.15">
      <c r="A1504" s="4">
        <f ca="1">IFERROR(__xludf.DUMMYFUNCTION("""COMPUTED_VALUE"""),143032636)</f>
        <v>143032636</v>
      </c>
      <c r="B1504" s="1" t="str">
        <f ca="1">IFERROR(__xludf.DUMMYFUNCTION("""COMPUTED_VALUE"""),"wingscatchfire@gmail.com")</f>
        <v>wingscatchfire@gmail.com</v>
      </c>
      <c r="C1504" s="4" t="str">
        <f ca="1">IFERROR(__xludf.DUMMYFUNCTION("""COMPUTED_VALUE"""),"EVERGREEN - UAN Gated Content - Embedded Petition")</f>
        <v>EVERGREEN - UAN Gated Content - Embedded Petition</v>
      </c>
      <c r="D1504" s="5">
        <f ca="1">IFERROR(__xludf.DUMMYFUNCTION("""COMPUTED_VALUE"""),45694)</f>
        <v>45694</v>
      </c>
      <c r="F1504" s="1" t="str">
        <f ca="1">IFERROR(__xludf.DUMMYFUNCTION("""COMPUTED_VALUE"""),"Uganda")</f>
        <v>Uganda</v>
      </c>
      <c r="G1504" s="1" t="str">
        <f ca="1">IFERROR(__xludf.DUMMYFUNCTION("""COMPUTED_VALUE"""),"9.25 Uganda")</f>
        <v>9.25 Uganda</v>
      </c>
      <c r="H1504" s="1" t="str">
        <f ca="1">IFERROR(__xludf.DUMMYFUNCTION("""COMPUTED_VALUE"""),"Freedom of Expression, Human Rights Defenders")</f>
        <v>Freedom of Expression, Human Rights Defenders</v>
      </c>
      <c r="I1504" s="1" t="str">
        <f ca="1">IFERROR(__xludf.DUMMYFUNCTION("""COMPUTED_VALUE"""),"2025")</f>
        <v>2025</v>
      </c>
      <c r="J1504" s="1" t="str">
        <f ca="1">IFERROR(__xludf.DUMMYFUNCTION("""COMPUTED_VALUE"""),"Email")</f>
        <v>Email</v>
      </c>
    </row>
    <row r="1505" spans="1:10" ht="13" x14ac:dyDescent="0.15">
      <c r="A1505" s="4">
        <f ca="1">IFERROR(__xludf.DUMMYFUNCTION("""COMPUTED_VALUE"""),143231423)</f>
        <v>143231423</v>
      </c>
      <c r="B1505" s="1" t="str">
        <f ca="1">IFERROR(__xludf.DUMMYFUNCTION("""COMPUTED_VALUE"""),"lizeth.gomez@gmail.com")</f>
        <v>lizeth.gomez@gmail.com</v>
      </c>
      <c r="C1505" s="4" t="str">
        <f ca="1">IFERROR(__xludf.DUMMYFUNCTION("""COMPUTED_VALUE"""),"EVERGREEN - UAN Gated Content - Embedded Petition")</f>
        <v>EVERGREEN - UAN Gated Content - Embedded Petition</v>
      </c>
      <c r="D1505" s="5">
        <f ca="1">IFERROR(__xludf.DUMMYFUNCTION("""COMPUTED_VALUE"""),45694)</f>
        <v>45694</v>
      </c>
      <c r="F1505" s="1" t="str">
        <f ca="1">IFERROR(__xludf.DUMMYFUNCTION("""COMPUTED_VALUE"""),"Iran")</f>
        <v>Iran</v>
      </c>
      <c r="G1505" s="1" t="str">
        <f ca="1">IFERROR(__xludf.DUMMYFUNCTION("""COMPUTED_VALUE"""),"Seventh 103.22 Iran")</f>
        <v>Seventh 103.22 Iran</v>
      </c>
      <c r="H1505" s="1" t="str">
        <f ca="1">IFERROR(__xludf.DUMMYFUNCTION("""COMPUTED_VALUE"""),"Death Penalty, Freedom of Expression, Individuals At Risk")</f>
        <v>Death Penalty, Freedom of Expression, Individuals At Risk</v>
      </c>
      <c r="I1505" s="1" t="str">
        <f ca="1">IFERROR(__xludf.DUMMYFUNCTION("""COMPUTED_VALUE"""),"2024")</f>
        <v>2024</v>
      </c>
      <c r="J1505" s="1" t="str">
        <f ca="1">IFERROR(__xludf.DUMMYFUNCTION("""COMPUTED_VALUE"""),"Email")</f>
        <v>Email</v>
      </c>
    </row>
    <row r="1506" spans="1:10" ht="13" x14ac:dyDescent="0.15">
      <c r="A1506" s="4">
        <f ca="1">IFERROR(__xludf.DUMMYFUNCTION("""COMPUTED_VALUE"""),145083380)</f>
        <v>145083380</v>
      </c>
      <c r="B1506" s="1" t="str">
        <f ca="1">IFERROR(__xludf.DUMMYFUNCTION("""COMPUTED_VALUE"""),"pmc.politics@outlook.com")</f>
        <v>pmc.politics@outlook.com</v>
      </c>
      <c r="C1506" s="4" t="str">
        <f ca="1">IFERROR(__xludf.DUMMYFUNCTION("""COMPUTED_VALUE"""),"EVERGREEN - UAN Gated Content - Embedded Petition")</f>
        <v>EVERGREEN - UAN Gated Content - Embedded Petition</v>
      </c>
      <c r="D1506" s="5">
        <f ca="1">IFERROR(__xludf.DUMMYFUNCTION("""COMPUTED_VALUE"""),45691)</f>
        <v>45691</v>
      </c>
      <c r="F1506" s="1" t="str">
        <f ca="1">IFERROR(__xludf.DUMMYFUNCTION("""COMPUTED_VALUE"""),"Venezuela")</f>
        <v>Venezuela</v>
      </c>
      <c r="G1506" s="1" t="str">
        <f ca="1">IFERROR(__xludf.DUMMYFUNCTION("""COMPUTED_VALUE"""),"1.25 Venezuela")</f>
        <v>1.25 Venezuela</v>
      </c>
      <c r="H1506" s="1" t="str">
        <f ca="1">IFERROR(__xludf.DUMMYFUNCTION("""COMPUTED_VALUE"""),"Human Rights Defenders, Individuals At Risk")</f>
        <v>Human Rights Defenders, Individuals At Risk</v>
      </c>
      <c r="I1506" s="1" t="str">
        <f ca="1">IFERROR(__xludf.DUMMYFUNCTION("""COMPUTED_VALUE"""),"2025")</f>
        <v>2025</v>
      </c>
      <c r="J1506" s="1" t="str">
        <f ca="1">IFERROR(__xludf.DUMMYFUNCTION("""COMPUTED_VALUE"""),"Letter")</f>
        <v>Letter</v>
      </c>
    </row>
    <row r="1507" spans="1:10" ht="13" x14ac:dyDescent="0.15">
      <c r="A1507" s="4">
        <f ca="1">IFERROR(__xludf.DUMMYFUNCTION("""COMPUTED_VALUE"""),147576359)</f>
        <v>147576359</v>
      </c>
      <c r="B1507" s="1" t="str">
        <f ca="1">IFERROR(__xludf.DUMMYFUNCTION("""COMPUTED_VALUE"""),"leighjcoffey@gmail.com")</f>
        <v>leighjcoffey@gmail.com</v>
      </c>
      <c r="C1507" s="4" t="str">
        <f ca="1">IFERROR(__xludf.DUMMYFUNCTION("""COMPUTED_VALUE"""),"EVERGREEN - UAN Gated Content - Embedded Petition")</f>
        <v>EVERGREEN - UAN Gated Content - Embedded Petition</v>
      </c>
      <c r="D1507" s="5">
        <f ca="1">IFERROR(__xludf.DUMMYFUNCTION("""COMPUTED_VALUE"""),45697)</f>
        <v>45697</v>
      </c>
      <c r="F1507" s="1" t="str">
        <f ca="1">IFERROR(__xludf.DUMMYFUNCTION("""COMPUTED_VALUE"""),"Azerbaijan")</f>
        <v>Azerbaijan</v>
      </c>
      <c r="G1507" s="1" t="str">
        <f ca="1">IFERROR(__xludf.DUMMYFUNCTION("""COMPUTED_VALUE"""),"2.25 Azerbaijan")</f>
        <v>2.25 Azerbaijan</v>
      </c>
      <c r="H1507" s="1" t="str">
        <f ca="1">IFERROR(__xludf.DUMMYFUNCTION("""COMPUTED_VALUE"""),"Freedom of Expression, Human Rights Defenders")</f>
        <v>Freedom of Expression, Human Rights Defenders</v>
      </c>
      <c r="I1507" s="1" t="str">
        <f ca="1">IFERROR(__xludf.DUMMYFUNCTION("""COMPUTED_VALUE"""),"2025")</f>
        <v>2025</v>
      </c>
      <c r="J1507" s="1" t="str">
        <f ca="1">IFERROR(__xludf.DUMMYFUNCTION("""COMPUTED_VALUE"""),"Email")</f>
        <v>Email</v>
      </c>
    </row>
    <row r="1508" spans="1:10" ht="13" x14ac:dyDescent="0.15">
      <c r="A1508" s="4">
        <f ca="1">IFERROR(__xludf.DUMMYFUNCTION("""COMPUTED_VALUE"""),147576359)</f>
        <v>147576359</v>
      </c>
      <c r="B1508" s="1" t="str">
        <f ca="1">IFERROR(__xludf.DUMMYFUNCTION("""COMPUTED_VALUE"""),"leighjcoffey@gmail.com")</f>
        <v>leighjcoffey@gmail.com</v>
      </c>
      <c r="C1508" s="4" t="str">
        <f ca="1">IFERROR(__xludf.DUMMYFUNCTION("""COMPUTED_VALUE"""),"EVERGREEN - UAN Gated Content - Embedded Petition")</f>
        <v>EVERGREEN - UAN Gated Content - Embedded Petition</v>
      </c>
      <c r="D1508" s="5">
        <f ca="1">IFERROR(__xludf.DUMMYFUNCTION("""COMPUTED_VALUE"""),45694)</f>
        <v>45694</v>
      </c>
      <c r="F1508" s="1" t="str">
        <f ca="1">IFERROR(__xludf.DUMMYFUNCTION("""COMPUTED_VALUE"""),"China")</f>
        <v>China</v>
      </c>
      <c r="G1508" s="1" t="str">
        <f ca="1">IFERROR(__xludf.DUMMYFUNCTION("""COMPUTED_VALUE"""),"106.24 China")</f>
        <v>106.24 China</v>
      </c>
      <c r="H1508" s="1" t="str">
        <f ca="1">IFERROR(__xludf.DUMMYFUNCTION("""COMPUTED_VALUE"""),"Freedom of Expression, Individuals At Risk")</f>
        <v>Freedom of Expression, Individuals At Risk</v>
      </c>
      <c r="I1508" s="1" t="str">
        <f ca="1">IFERROR(__xludf.DUMMYFUNCTION("""COMPUTED_VALUE"""),"2024")</f>
        <v>2024</v>
      </c>
      <c r="J1508" s="1" t="str">
        <f ca="1">IFERROR(__xludf.DUMMYFUNCTION("""COMPUTED_VALUE"""),"Email")</f>
        <v>Email</v>
      </c>
    </row>
    <row r="1509" spans="1:10" ht="13" x14ac:dyDescent="0.15">
      <c r="A1509" s="4">
        <f ca="1">IFERROR(__xludf.DUMMYFUNCTION("""COMPUTED_VALUE"""),149056573)</f>
        <v>149056573</v>
      </c>
      <c r="B1509" s="1" t="str">
        <f ca="1">IFERROR(__xludf.DUMMYFUNCTION("""COMPUTED_VALUE"""),"dodge611@icloud.com")</f>
        <v>dodge611@icloud.com</v>
      </c>
      <c r="C1509" s="4" t="str">
        <f ca="1">IFERROR(__xludf.DUMMYFUNCTION("""COMPUTED_VALUE"""),"EVERGREEN - UAN Gated Content - Embedded Petition")</f>
        <v>EVERGREEN - UAN Gated Content - Embedded Petition</v>
      </c>
      <c r="D1509" s="5">
        <f ca="1">IFERROR(__xludf.DUMMYFUNCTION("""COMPUTED_VALUE"""),45694)</f>
        <v>45694</v>
      </c>
      <c r="F1509" s="1" t="str">
        <f ca="1">IFERROR(__xludf.DUMMYFUNCTION("""COMPUTED_VALUE"""),"Niger")</f>
        <v>Niger</v>
      </c>
      <c r="G1509" s="1" t="str">
        <f ca="1">IFERROR(__xludf.DUMMYFUNCTION("""COMPUTED_VALUE"""),"103.24 Niger")</f>
        <v>103.24 Niger</v>
      </c>
      <c r="H1509" s="1" t="str">
        <f ca="1">IFERROR(__xludf.DUMMYFUNCTION("""COMPUTED_VALUE"""),"Freedom of Expression, Human Rights Defenders")</f>
        <v>Freedom of Expression, Human Rights Defenders</v>
      </c>
      <c r="I1509" s="1" t="str">
        <f ca="1">IFERROR(__xludf.DUMMYFUNCTION("""COMPUTED_VALUE"""),"2024")</f>
        <v>2024</v>
      </c>
      <c r="J1509" s="1" t="str">
        <f ca="1">IFERROR(__xludf.DUMMYFUNCTION("""COMPUTED_VALUE"""),"Email")</f>
        <v>Email</v>
      </c>
    </row>
    <row r="1510" spans="1:10" ht="13" x14ac:dyDescent="0.15">
      <c r="A1510" s="4">
        <f ca="1">IFERROR(__xludf.DUMMYFUNCTION("""COMPUTED_VALUE"""),149802003)</f>
        <v>149802003</v>
      </c>
      <c r="B1510" s="1" t="str">
        <f ca="1">IFERROR(__xludf.DUMMYFUNCTION("""COMPUTED_VALUE"""),"rhlinsey@gmail.com")</f>
        <v>rhlinsey@gmail.com</v>
      </c>
      <c r="C1510" s="4" t="str">
        <f ca="1">IFERROR(__xludf.DUMMYFUNCTION("""COMPUTED_VALUE"""),"EVERGREEN - UAN Gated Content - Embedded Petition")</f>
        <v>EVERGREEN - UAN Gated Content - Embedded Petition</v>
      </c>
      <c r="D1510" s="5">
        <f ca="1">IFERROR(__xludf.DUMMYFUNCTION("""COMPUTED_VALUE"""),45674)</f>
        <v>45674</v>
      </c>
      <c r="F1510" s="1" t="str">
        <f ca="1">IFERROR(__xludf.DUMMYFUNCTION("""COMPUTED_VALUE"""),"Egypt")</f>
        <v>Egypt</v>
      </c>
      <c r="G1510" s="1" t="str">
        <f ca="1">IFERROR(__xludf.DUMMYFUNCTION("""COMPUTED_VALUE"""),"Third 73.23 Egypt")</f>
        <v>Third 73.23 Egypt</v>
      </c>
      <c r="H1510" s="1" t="str">
        <f ca="1">IFERROR(__xludf.DUMMYFUNCTION("""COMPUTED_VALUE"""),"Individuals At Risk")</f>
        <v>Individuals At Risk</v>
      </c>
      <c r="I1510" s="1" t="str">
        <f ca="1">IFERROR(__xludf.DUMMYFUNCTION("""COMPUTED_VALUE"""),"2024")</f>
        <v>2024</v>
      </c>
      <c r="J1510" s="1" t="str">
        <f ca="1">IFERROR(__xludf.DUMMYFUNCTION("""COMPUTED_VALUE"""),"Email")</f>
        <v>Email</v>
      </c>
    </row>
    <row r="1511" spans="1:10" ht="13" x14ac:dyDescent="0.15">
      <c r="A1511" s="4">
        <f ca="1">IFERROR(__xludf.DUMMYFUNCTION("""COMPUTED_VALUE"""),149901183)</f>
        <v>149901183</v>
      </c>
      <c r="B1511" s="1" t="str">
        <f ca="1">IFERROR(__xludf.DUMMYFUNCTION("""COMPUTED_VALUE"""),"gailhazengonsalves@gmail.com")</f>
        <v>gailhazengonsalves@gmail.com</v>
      </c>
      <c r="C1511" s="4" t="str">
        <f ca="1">IFERROR(__xludf.DUMMYFUNCTION("""COMPUTED_VALUE"""),"EVERGREEN - Website Email Capture Form - UAN Pre-Footer")</f>
        <v>EVERGREEN - Website Email Capture Form - UAN Pre-Footer</v>
      </c>
      <c r="D1511" s="5">
        <f ca="1">IFERROR(__xludf.DUMMYFUNCTION("""COMPUTED_VALUE"""),45663)</f>
        <v>45663</v>
      </c>
      <c r="F1511" s="1" t="str">
        <f ca="1">IFERROR(__xludf.DUMMYFUNCTION("""COMPUTED_VALUE"""),"Turkiye")</f>
        <v>Turkiye</v>
      </c>
      <c r="G1511" s="1" t="str">
        <f ca="1">IFERROR(__xludf.DUMMYFUNCTION("""COMPUTED_VALUE"""),"109.24 Türkiye")</f>
        <v>109.24 Türkiye</v>
      </c>
      <c r="H1511" s="1" t="str">
        <f ca="1">IFERROR(__xludf.DUMMYFUNCTION("""COMPUTED_VALUE"""),"Human Rights Defenders, Individuals At Risk")</f>
        <v>Human Rights Defenders, Individuals At Risk</v>
      </c>
      <c r="I1511" s="1" t="str">
        <f ca="1">IFERROR(__xludf.DUMMYFUNCTION("""COMPUTED_VALUE"""),"2024")</f>
        <v>2024</v>
      </c>
      <c r="J1511" s="1" t="str">
        <f ca="1">IFERROR(__xludf.DUMMYFUNCTION("""COMPUTED_VALUE"""),"Email")</f>
        <v>Email</v>
      </c>
    </row>
    <row r="1512" spans="1:10" ht="13" x14ac:dyDescent="0.15">
      <c r="A1512" s="4">
        <f ca="1">IFERROR(__xludf.DUMMYFUNCTION("""COMPUTED_VALUE"""),150000962)</f>
        <v>150000962</v>
      </c>
      <c r="B1512" s="1" t="str">
        <f ca="1">IFERROR(__xludf.DUMMYFUNCTION("""COMPUTED_VALUE"""),"artsy.tayeh@gmail.com")</f>
        <v>artsy.tayeh@gmail.com</v>
      </c>
      <c r="C1512" s="4" t="str">
        <f ca="1">IFERROR(__xludf.DUMMYFUNCTION("""COMPUTED_VALUE"""),"EVERGREEN - UAN Gated Content - Embedded Petition")</f>
        <v>EVERGREEN - UAN Gated Content - Embedded Petition</v>
      </c>
      <c r="D1512" s="5">
        <f ca="1">IFERROR(__xludf.DUMMYFUNCTION("""COMPUTED_VALUE"""),45673)</f>
        <v>45673</v>
      </c>
      <c r="F1512" s="1" t="str">
        <f ca="1">IFERROR(__xludf.DUMMYFUNCTION("""COMPUTED_VALUE"""),"Tunisia")</f>
        <v>Tunisia</v>
      </c>
      <c r="G1512" s="1" t="str">
        <f ca="1">IFERROR(__xludf.DUMMYFUNCTION("""COMPUTED_VALUE"""),"Second 43.24 Tunisia")</f>
        <v>Second 43.24 Tunisia</v>
      </c>
      <c r="H1512" s="1" t="str">
        <f ca="1">IFERROR(__xludf.DUMMYFUNCTION("""COMPUTED_VALUE"""),"Freedom of Expression, Individuals At Risk")</f>
        <v>Freedom of Expression, Individuals At Risk</v>
      </c>
      <c r="I1512" s="1" t="str">
        <f ca="1">IFERROR(__xludf.DUMMYFUNCTION("""COMPUTED_VALUE"""),"2024")</f>
        <v>2024</v>
      </c>
      <c r="J1512" s="1" t="str">
        <f ca="1">IFERROR(__xludf.DUMMYFUNCTION("""COMPUTED_VALUE"""),"Email")</f>
        <v>Email</v>
      </c>
    </row>
    <row r="1513" spans="1:10" ht="13" x14ac:dyDescent="0.15">
      <c r="A1513" s="4">
        <f ca="1">IFERROR(__xludf.DUMMYFUNCTION("""COMPUTED_VALUE"""),150070492)</f>
        <v>150070492</v>
      </c>
      <c r="B1513" s="1" t="str">
        <f ca="1">IFERROR(__xludf.DUMMYFUNCTION("""COMPUTED_VALUE"""),"deanza222@gmail.com")</f>
        <v>deanza222@gmail.com</v>
      </c>
      <c r="C1513" s="4" t="str">
        <f ca="1">IFERROR(__xludf.DUMMYFUNCTION("""COMPUTED_VALUE"""),"EVERGREEN - UAN Gated Content - Embedded Petition")</f>
        <v>EVERGREEN - UAN Gated Content - Embedded Petition</v>
      </c>
      <c r="D1513" s="5">
        <f ca="1">IFERROR(__xludf.DUMMYFUNCTION("""COMPUTED_VALUE"""),45695)</f>
        <v>45695</v>
      </c>
      <c r="F1513" s="1" t="str">
        <f ca="1">IFERROR(__xludf.DUMMYFUNCTION("""COMPUTED_VALUE"""),"Egypt")</f>
        <v>Egypt</v>
      </c>
      <c r="G1513" s="1" t="str">
        <f ca="1">IFERROR(__xludf.DUMMYFUNCTION("""COMPUTED_VALUE"""),"Ninth 190.18 Egypt")</f>
        <v>Ninth 190.18 Egypt</v>
      </c>
      <c r="H1513" s="1" t="str">
        <f ca="1">IFERROR(__xludf.DUMMYFUNCTION("""COMPUTED_VALUE"""),"Freedom of Expression, Individuals At Risk")</f>
        <v>Freedom of Expression, Individuals At Risk</v>
      </c>
      <c r="I1513" s="1" t="str">
        <f ca="1">IFERROR(__xludf.DUMMYFUNCTION("""COMPUTED_VALUE"""),"2024")</f>
        <v>2024</v>
      </c>
      <c r="J1513" s="1" t="str">
        <f ca="1">IFERROR(__xludf.DUMMYFUNCTION("""COMPUTED_VALUE"""),"Letter")</f>
        <v>Letter</v>
      </c>
    </row>
    <row r="1514" spans="1:10" ht="13" x14ac:dyDescent="0.15">
      <c r="A1514" s="4">
        <f ca="1">IFERROR(__xludf.DUMMYFUNCTION("""COMPUTED_VALUE"""),151001318)</f>
        <v>151001318</v>
      </c>
      <c r="B1514" s="1" t="str">
        <f ca="1">IFERROR(__xludf.DUMMYFUNCTION("""COMPUTED_VALUE"""),"ssue1995@gmail.com")</f>
        <v>ssue1995@gmail.com</v>
      </c>
      <c r="C1514" s="4" t="str">
        <f ca="1">IFERROR(__xludf.DUMMYFUNCTION("""COMPUTED_VALUE"""),"EVERGREEN - UAN Gated Content - Embedded Petition")</f>
        <v>EVERGREEN - UAN Gated Content - Embedded Petition</v>
      </c>
      <c r="D1514" s="5">
        <f ca="1">IFERROR(__xludf.DUMMYFUNCTION("""COMPUTED_VALUE"""),45664)</f>
        <v>45664</v>
      </c>
      <c r="F1514" s="1" t="str">
        <f ca="1">IFERROR(__xludf.DUMMYFUNCTION("""COMPUTED_VALUE"""),"Saudi Arabia")</f>
        <v>Saudi Arabia</v>
      </c>
      <c r="G1514" s="1" t="str">
        <f ca="1">IFERROR(__xludf.DUMMYFUNCTION("""COMPUTED_VALUE"""),"Second 85.23 Saudi Arabia")</f>
        <v>Second 85.23 Saudi Arabia</v>
      </c>
      <c r="H1514" s="1" t="str">
        <f ca="1">IFERROR(__xludf.DUMMYFUNCTION("""COMPUTED_VALUE"""),"Freedom of Expression")</f>
        <v>Freedom of Expression</v>
      </c>
      <c r="I1514" s="1" t="str">
        <f ca="1">IFERROR(__xludf.DUMMYFUNCTION("""COMPUTED_VALUE"""),"2024")</f>
        <v>2024</v>
      </c>
      <c r="J1514" s="1" t="str">
        <f ca="1">IFERROR(__xludf.DUMMYFUNCTION("""COMPUTED_VALUE"""),"Letter")</f>
        <v>Letter</v>
      </c>
    </row>
    <row r="1515" spans="1:10" ht="13" x14ac:dyDescent="0.15">
      <c r="A1515" s="4">
        <f ca="1">IFERROR(__xludf.DUMMYFUNCTION("""COMPUTED_VALUE"""),151001318)</f>
        <v>151001318</v>
      </c>
      <c r="B1515" s="1" t="str">
        <f ca="1">IFERROR(__xludf.DUMMYFUNCTION("""COMPUTED_VALUE"""),"ssue1995@gmail.com")</f>
        <v>ssue1995@gmail.com</v>
      </c>
      <c r="C1515" s="4" t="str">
        <f ca="1">IFERROR(__xludf.DUMMYFUNCTION("""COMPUTED_VALUE"""),"EVERGREEN - UAN Gated Content - Embedded Petition")</f>
        <v>EVERGREEN - UAN Gated Content - Embedded Petition</v>
      </c>
      <c r="D1515" s="5">
        <f ca="1">IFERROR(__xludf.DUMMYFUNCTION("""COMPUTED_VALUE"""),45620)</f>
        <v>45620</v>
      </c>
      <c r="F1515" s="1" t="str">
        <f ca="1">IFERROR(__xludf.DUMMYFUNCTION("""COMPUTED_VALUE"""),"Saudi Arabia")</f>
        <v>Saudi Arabia</v>
      </c>
      <c r="G1515" s="1" t="str">
        <f ca="1">IFERROR(__xludf.DUMMYFUNCTION("""COMPUTED_VALUE"""),"Second 85.23 Saudi Arabia")</f>
        <v>Second 85.23 Saudi Arabia</v>
      </c>
      <c r="H1515" s="1" t="str">
        <f ca="1">IFERROR(__xludf.DUMMYFUNCTION("""COMPUTED_VALUE"""),"Freedom of Expression")</f>
        <v>Freedom of Expression</v>
      </c>
      <c r="I1515" s="1" t="str">
        <f ca="1">IFERROR(__xludf.DUMMYFUNCTION("""COMPUTED_VALUE"""),"2024")</f>
        <v>2024</v>
      </c>
      <c r="J1515" s="1" t="str">
        <f ca="1">IFERROR(__xludf.DUMMYFUNCTION("""COMPUTED_VALUE"""),"Letter")</f>
        <v>Letter</v>
      </c>
    </row>
    <row r="1516" spans="1:10" ht="13" x14ac:dyDescent="0.15">
      <c r="A1516" s="4">
        <f ca="1">IFERROR(__xludf.DUMMYFUNCTION("""COMPUTED_VALUE"""),151001318)</f>
        <v>151001318</v>
      </c>
      <c r="B1516" s="1" t="str">
        <f ca="1">IFERROR(__xludf.DUMMYFUNCTION("""COMPUTED_VALUE"""),"ssue1995@gmail.com")</f>
        <v>ssue1995@gmail.com</v>
      </c>
      <c r="C1516" s="4" t="str">
        <f ca="1">IFERROR(__xludf.DUMMYFUNCTION("""COMPUTED_VALUE"""),"EVERGREEN - UAN Gated Content - Embedded Petition")</f>
        <v>EVERGREEN - UAN Gated Content - Embedded Petition</v>
      </c>
      <c r="D1516" s="5">
        <f ca="1">IFERROR(__xludf.DUMMYFUNCTION("""COMPUTED_VALUE"""),45694)</f>
        <v>45694</v>
      </c>
      <c r="F1516" s="1" t="str">
        <f ca="1">IFERROR(__xludf.DUMMYFUNCTION("""COMPUTED_VALUE"""),"Russian Federation")</f>
        <v>Russian Federation</v>
      </c>
      <c r="G1516" s="1" t="str">
        <f ca="1">IFERROR(__xludf.DUMMYFUNCTION("""COMPUTED_VALUE"""),"Second 23.24 Russia")</f>
        <v>Second 23.24 Russia</v>
      </c>
      <c r="H1516" s="1" t="str">
        <f ca="1">IFERROR(__xludf.DUMMYFUNCTION("""COMPUTED_VALUE"""),"Freedom of Expression")</f>
        <v>Freedom of Expression</v>
      </c>
      <c r="I1516" s="1" t="str">
        <f ca="1">IFERROR(__xludf.DUMMYFUNCTION("""COMPUTED_VALUE"""),"2024")</f>
        <v>2024</v>
      </c>
      <c r="J1516" s="1" t="str">
        <f ca="1">IFERROR(__xludf.DUMMYFUNCTION("""COMPUTED_VALUE"""),"Letter")</f>
        <v>Letter</v>
      </c>
    </row>
    <row r="1517" spans="1:10" ht="13" x14ac:dyDescent="0.15">
      <c r="A1517" s="4">
        <f ca="1">IFERROR(__xludf.DUMMYFUNCTION("""COMPUTED_VALUE"""),151001318)</f>
        <v>151001318</v>
      </c>
      <c r="B1517" s="1" t="str">
        <f ca="1">IFERROR(__xludf.DUMMYFUNCTION("""COMPUTED_VALUE"""),"ssue1995@gmail.com")</f>
        <v>ssue1995@gmail.com</v>
      </c>
      <c r="C1517" s="4" t="str">
        <f ca="1">IFERROR(__xludf.DUMMYFUNCTION("""COMPUTED_VALUE"""),"EVERGREEN - UAN Gated Content - Embedded Petition")</f>
        <v>EVERGREEN - UAN Gated Content - Embedded Petition</v>
      </c>
      <c r="D1517" s="5">
        <f ca="1">IFERROR(__xludf.DUMMYFUNCTION("""COMPUTED_VALUE"""),45674)</f>
        <v>45674</v>
      </c>
      <c r="F1517" s="1" t="str">
        <f ca="1">IFERROR(__xludf.DUMMYFUNCTION("""COMPUTED_VALUE"""),"China")</f>
        <v>China</v>
      </c>
      <c r="G1517" s="1" t="str">
        <f ca="1">IFERROR(__xludf.DUMMYFUNCTION("""COMPUTED_VALUE"""),"98.24 China")</f>
        <v>98.24 China</v>
      </c>
      <c r="H1517" s="1" t="str">
        <f ca="1">IFERROR(__xludf.DUMMYFUNCTION("""COMPUTED_VALUE"""),"Freedom of Expression, Individuals At Risk")</f>
        <v>Freedom of Expression, Individuals At Risk</v>
      </c>
      <c r="I1517" s="1" t="str">
        <f ca="1">IFERROR(__xludf.DUMMYFUNCTION("""COMPUTED_VALUE"""),"2024")</f>
        <v>2024</v>
      </c>
      <c r="J1517" s="1" t="str">
        <f ca="1">IFERROR(__xludf.DUMMYFUNCTION("""COMPUTED_VALUE"""),"Letter")</f>
        <v>Letter</v>
      </c>
    </row>
    <row r="1518" spans="1:10" ht="13" x14ac:dyDescent="0.15">
      <c r="A1518" s="4">
        <f ca="1">IFERROR(__xludf.DUMMYFUNCTION("""COMPUTED_VALUE"""),151001318)</f>
        <v>151001318</v>
      </c>
      <c r="B1518" s="1" t="str">
        <f ca="1">IFERROR(__xludf.DUMMYFUNCTION("""COMPUTED_VALUE"""),"ssue1995@gmail.com")</f>
        <v>ssue1995@gmail.com</v>
      </c>
      <c r="C1518" s="4" t="str">
        <f ca="1">IFERROR(__xludf.DUMMYFUNCTION("""COMPUTED_VALUE"""),"EVERGREEN - UAN Gated Content - Embedded Petition")</f>
        <v>EVERGREEN - UAN Gated Content - Embedded Petition</v>
      </c>
      <c r="D1518" s="5">
        <f ca="1">IFERROR(__xludf.DUMMYFUNCTION("""COMPUTED_VALUE"""),45660)</f>
        <v>45660</v>
      </c>
      <c r="F1518" s="1" t="str">
        <f ca="1">IFERROR(__xludf.DUMMYFUNCTION("""COMPUTED_VALUE"""),"Venezuela")</f>
        <v>Venezuela</v>
      </c>
      <c r="G1518" s="1" t="str">
        <f ca="1">IFERROR(__xludf.DUMMYFUNCTION("""COMPUTED_VALUE"""),"97.24 Venezuela")</f>
        <v>97.24 Venezuela</v>
      </c>
      <c r="H1518" s="1" t="str">
        <f ca="1">IFERROR(__xludf.DUMMYFUNCTION("""COMPUTED_VALUE"""),"Freedom of Expression")</f>
        <v>Freedom of Expression</v>
      </c>
      <c r="I1518" s="1" t="str">
        <f ca="1">IFERROR(__xludf.DUMMYFUNCTION("""COMPUTED_VALUE"""),"2024")</f>
        <v>2024</v>
      </c>
      <c r="J1518" s="1" t="str">
        <f ca="1">IFERROR(__xludf.DUMMYFUNCTION("""COMPUTED_VALUE"""),"Letter")</f>
        <v>Letter</v>
      </c>
    </row>
    <row r="1519" spans="1:10" ht="13" x14ac:dyDescent="0.15">
      <c r="A1519" s="4">
        <f ca="1">IFERROR(__xludf.DUMMYFUNCTION("""COMPUTED_VALUE"""),151001318)</f>
        <v>151001318</v>
      </c>
      <c r="B1519" s="1" t="str">
        <f ca="1">IFERROR(__xludf.DUMMYFUNCTION("""COMPUTED_VALUE"""),"ssue1995@gmail.com")</f>
        <v>ssue1995@gmail.com</v>
      </c>
      <c r="C1519" s="4" t="str">
        <f ca="1">IFERROR(__xludf.DUMMYFUNCTION("""COMPUTED_VALUE"""),"EVERGREEN - UAN Gated Content - Embedded Petition")</f>
        <v>EVERGREEN - UAN Gated Content - Embedded Petition</v>
      </c>
      <c r="D1519" s="5">
        <f ca="1">IFERROR(__xludf.DUMMYFUNCTION("""COMPUTED_VALUE"""),45664)</f>
        <v>45664</v>
      </c>
      <c r="F1519" s="1" t="str">
        <f ca="1">IFERROR(__xludf.DUMMYFUNCTION("""COMPUTED_VALUE"""),"Tunisia")</f>
        <v>Tunisia</v>
      </c>
      <c r="G1519" s="1" t="str">
        <f ca="1">IFERROR(__xludf.DUMMYFUNCTION("""COMPUTED_VALUE"""),"Second 76.24 Tunisia")</f>
        <v>Second 76.24 Tunisia</v>
      </c>
      <c r="H1519" s="1" t="str">
        <f ca="1">IFERROR(__xludf.DUMMYFUNCTION("""COMPUTED_VALUE"""),"Freedom of Expression, Human Rights Defenders")</f>
        <v>Freedom of Expression, Human Rights Defenders</v>
      </c>
      <c r="I1519" s="1" t="str">
        <f ca="1">IFERROR(__xludf.DUMMYFUNCTION("""COMPUTED_VALUE"""),"2025")</f>
        <v>2025</v>
      </c>
      <c r="J1519" s="1" t="str">
        <f ca="1">IFERROR(__xludf.DUMMYFUNCTION("""COMPUTED_VALUE"""),"Email")</f>
        <v>Email</v>
      </c>
    </row>
    <row r="1520" spans="1:10" ht="13" x14ac:dyDescent="0.15">
      <c r="A1520" s="4">
        <f ca="1">IFERROR(__xludf.DUMMYFUNCTION("""COMPUTED_VALUE"""),151001318)</f>
        <v>151001318</v>
      </c>
      <c r="B1520" s="1" t="str">
        <f ca="1">IFERROR(__xludf.DUMMYFUNCTION("""COMPUTED_VALUE"""),"ssue1995@gmail.com")</f>
        <v>ssue1995@gmail.com</v>
      </c>
      <c r="C1520" s="4" t="str">
        <f ca="1">IFERROR(__xludf.DUMMYFUNCTION("""COMPUTED_VALUE"""),"EVERGREEN - UAN Gated Content - Embedded Petition")</f>
        <v>EVERGREEN - UAN Gated Content - Embedded Petition</v>
      </c>
      <c r="D1520" s="5">
        <f ca="1">IFERROR(__xludf.DUMMYFUNCTION("""COMPUTED_VALUE"""),45617)</f>
        <v>45617</v>
      </c>
      <c r="F1520" s="1" t="str">
        <f ca="1">IFERROR(__xludf.DUMMYFUNCTION("""COMPUTED_VALUE"""),"Iran")</f>
        <v>Iran</v>
      </c>
      <c r="G1520" s="1" t="str">
        <f ca="1">IFERROR(__xludf.DUMMYFUNCTION("""COMPUTED_VALUE"""),"Seventh 103.22 Iran")</f>
        <v>Seventh 103.22 Iran</v>
      </c>
      <c r="H1520" s="1" t="str">
        <f ca="1">IFERROR(__xludf.DUMMYFUNCTION("""COMPUTED_VALUE"""),"Death Penalty, Freedom of Expression, Individuals At Risk")</f>
        <v>Death Penalty, Freedom of Expression, Individuals At Risk</v>
      </c>
      <c r="I1520" s="1" t="str">
        <f ca="1">IFERROR(__xludf.DUMMYFUNCTION("""COMPUTED_VALUE"""),"2024")</f>
        <v>2024</v>
      </c>
      <c r="J1520" s="1" t="str">
        <f ca="1">IFERROR(__xludf.DUMMYFUNCTION("""COMPUTED_VALUE"""),"Email")</f>
        <v>Email</v>
      </c>
    </row>
    <row r="1521" spans="1:10" ht="13" x14ac:dyDescent="0.15">
      <c r="A1521" s="4">
        <f ca="1">IFERROR(__xludf.DUMMYFUNCTION("""COMPUTED_VALUE"""),151001318)</f>
        <v>151001318</v>
      </c>
      <c r="B1521" s="1" t="str">
        <f ca="1">IFERROR(__xludf.DUMMYFUNCTION("""COMPUTED_VALUE"""),"ssue1995@gmail.com")</f>
        <v>ssue1995@gmail.com</v>
      </c>
      <c r="C1521" s="4" t="str">
        <f ca="1">IFERROR(__xludf.DUMMYFUNCTION("""COMPUTED_VALUE"""),"EVERGREEN - UAN Gated Content - Embedded Petition")</f>
        <v>EVERGREEN - UAN Gated Content - Embedded Petition</v>
      </c>
      <c r="D1521" s="5">
        <f ca="1">IFERROR(__xludf.DUMMYFUNCTION("""COMPUTED_VALUE"""),45617)</f>
        <v>45617</v>
      </c>
      <c r="F1521" s="1" t="str">
        <f ca="1">IFERROR(__xludf.DUMMYFUNCTION("""COMPUTED_VALUE"""),"Saudi Arabia")</f>
        <v>Saudi Arabia</v>
      </c>
      <c r="G1521" s="1" t="str">
        <f ca="1">IFERROR(__xludf.DUMMYFUNCTION("""COMPUTED_VALUE"""),"Fifth 257.12")</f>
        <v>Fifth 257.12</v>
      </c>
      <c r="H1521" s="1" t="str">
        <f ca="1">IFERROR(__xludf.DUMMYFUNCTION("""COMPUTED_VALUE"""),"Freedom of Expression, Human Rights Defenders")</f>
        <v>Freedom of Expression, Human Rights Defenders</v>
      </c>
      <c r="I1521" s="1" t="str">
        <f ca="1">IFERROR(__xludf.DUMMYFUNCTION("""COMPUTED_VALUE"""),"2025")</f>
        <v>2025</v>
      </c>
      <c r="J1521" s="1" t="str">
        <f ca="1">IFERROR(__xludf.DUMMYFUNCTION("""COMPUTED_VALUE"""),"Email")</f>
        <v>Email</v>
      </c>
    </row>
    <row r="1522" spans="1:10" ht="13" x14ac:dyDescent="0.15">
      <c r="A1522" s="4">
        <f ca="1">IFERROR(__xludf.DUMMYFUNCTION("""COMPUTED_VALUE"""),151001318)</f>
        <v>151001318</v>
      </c>
      <c r="B1522" s="1" t="str">
        <f ca="1">IFERROR(__xludf.DUMMYFUNCTION("""COMPUTED_VALUE"""),"ssue1995@gmail.com")</f>
        <v>ssue1995@gmail.com</v>
      </c>
      <c r="C1522" s="4" t="str">
        <f ca="1">IFERROR(__xludf.DUMMYFUNCTION("""COMPUTED_VALUE"""),"EVERGREEN - Website Email Capture Form - UAN Pre-Footer")</f>
        <v>EVERGREEN - Website Email Capture Form - UAN Pre-Footer</v>
      </c>
      <c r="D1522" s="5">
        <f ca="1">IFERROR(__xludf.DUMMYFUNCTION("""COMPUTED_VALUE"""),45639)</f>
        <v>45639</v>
      </c>
      <c r="F1522" s="1" t="str">
        <f ca="1">IFERROR(__xludf.DUMMYFUNCTION("""COMPUTED_VALUE"""),"Tunisia")</f>
        <v>Tunisia</v>
      </c>
      <c r="G1522" s="1" t="str">
        <f ca="1">IFERROR(__xludf.DUMMYFUNCTION("""COMPUTED_VALUE"""),"Second 76.24 Tunisia")</f>
        <v>Second 76.24 Tunisia</v>
      </c>
      <c r="H1522" s="1" t="str">
        <f ca="1">IFERROR(__xludf.DUMMYFUNCTION("""COMPUTED_VALUE"""),"Freedom of Expression, Human Rights Defenders")</f>
        <v>Freedom of Expression, Human Rights Defenders</v>
      </c>
      <c r="I1522" s="1" t="str">
        <f ca="1">IFERROR(__xludf.DUMMYFUNCTION("""COMPUTED_VALUE"""),"2025")</f>
        <v>2025</v>
      </c>
      <c r="J1522" s="1" t="str">
        <f ca="1">IFERROR(__xludf.DUMMYFUNCTION("""COMPUTED_VALUE"""),"Email")</f>
        <v>Email</v>
      </c>
    </row>
    <row r="1523" spans="1:10" ht="13" x14ac:dyDescent="0.15">
      <c r="A1523" s="4">
        <f ca="1">IFERROR(__xludf.DUMMYFUNCTION("""COMPUTED_VALUE"""),151696660)</f>
        <v>151696660</v>
      </c>
      <c r="B1523" s="1" t="str">
        <f ca="1">IFERROR(__xludf.DUMMYFUNCTION("""COMPUTED_VALUE"""),"kcirtap61@gmail.com")</f>
        <v>kcirtap61@gmail.com</v>
      </c>
      <c r="C1523" s="4" t="str">
        <f ca="1">IFERROR(__xludf.DUMMYFUNCTION("""COMPUTED_VALUE"""),"EVERGREEN - UAN Gated Content - Embedded Petition")</f>
        <v>EVERGREEN - UAN Gated Content - Embedded Petition</v>
      </c>
      <c r="D1523" s="5">
        <f ca="1">IFERROR(__xludf.DUMMYFUNCTION("""COMPUTED_VALUE"""),45636)</f>
        <v>45636</v>
      </c>
      <c r="F1523" s="1" t="str">
        <f ca="1">IFERROR(__xludf.DUMMYFUNCTION("""COMPUTED_VALUE"""),"Tunisia")</f>
        <v>Tunisia</v>
      </c>
      <c r="G1523" s="1" t="str">
        <f ca="1">IFERROR(__xludf.DUMMYFUNCTION("""COMPUTED_VALUE"""),"Second 76.24 Tunisia")</f>
        <v>Second 76.24 Tunisia</v>
      </c>
      <c r="H1523" s="1" t="str">
        <f ca="1">IFERROR(__xludf.DUMMYFUNCTION("""COMPUTED_VALUE"""),"Freedom of Expression, Human Rights Defenders")</f>
        <v>Freedom of Expression, Human Rights Defenders</v>
      </c>
      <c r="I1523" s="1" t="str">
        <f ca="1">IFERROR(__xludf.DUMMYFUNCTION("""COMPUTED_VALUE"""),"2025")</f>
        <v>2025</v>
      </c>
      <c r="J1523" s="1" t="str">
        <f ca="1">IFERROR(__xludf.DUMMYFUNCTION("""COMPUTED_VALUE"""),"Email")</f>
        <v>Email</v>
      </c>
    </row>
    <row r="1524" spans="1:10" ht="13" x14ac:dyDescent="0.15">
      <c r="A1524" s="4">
        <f ca="1">IFERROR(__xludf.DUMMYFUNCTION("""COMPUTED_VALUE"""),154613277)</f>
        <v>154613277</v>
      </c>
      <c r="B1524" s="1" t="str">
        <f ca="1">IFERROR(__xludf.DUMMYFUNCTION("""COMPUTED_VALUE"""),"ann.v.stevenson@gmail.com")</f>
        <v>ann.v.stevenson@gmail.com</v>
      </c>
      <c r="C1524" s="4" t="str">
        <f ca="1">IFERROR(__xludf.DUMMYFUNCTION("""COMPUTED_VALUE"""),"EVERGREEN - UAN Gated Content - Embedded Petition")</f>
        <v>EVERGREEN - UAN Gated Content - Embedded Petition</v>
      </c>
      <c r="D1524" s="5">
        <f ca="1">IFERROR(__xludf.DUMMYFUNCTION("""COMPUTED_VALUE"""),45638)</f>
        <v>45638</v>
      </c>
      <c r="F1524" s="1" t="str">
        <f ca="1">IFERROR(__xludf.DUMMYFUNCTION("""COMPUTED_VALUE"""),"USA")</f>
        <v>USA</v>
      </c>
      <c r="G1524" s="1" t="str">
        <f ca="1">IFERROR(__xludf.DUMMYFUNCTION("""COMPUTED_VALUE"""),"105.24 USA")</f>
        <v>105.24 USA</v>
      </c>
      <c r="H1524" s="1" t="str">
        <f ca="1">IFERROR(__xludf.DUMMYFUNCTION("""COMPUTED_VALUE"""),"Death Penalty")</f>
        <v>Death Penalty</v>
      </c>
      <c r="I1524" s="1" t="str">
        <f ca="1">IFERROR(__xludf.DUMMYFUNCTION("""COMPUTED_VALUE"""),"2024")</f>
        <v>2024</v>
      </c>
      <c r="J1524" s="1" t="str">
        <f ca="1">IFERROR(__xludf.DUMMYFUNCTION("""COMPUTED_VALUE"""),"Email")</f>
        <v>Email</v>
      </c>
    </row>
    <row r="1525" spans="1:10" ht="13" x14ac:dyDescent="0.15">
      <c r="A1525" s="4">
        <f ca="1">IFERROR(__xludf.DUMMYFUNCTION("""COMPUTED_VALUE"""),154768599)</f>
        <v>154768599</v>
      </c>
      <c r="B1525" s="1" t="str">
        <f ca="1">IFERROR(__xludf.DUMMYFUNCTION("""COMPUTED_VALUE"""),"kims.opin@gmail.com")</f>
        <v>kims.opin@gmail.com</v>
      </c>
      <c r="C1525" s="4" t="str">
        <f ca="1">IFERROR(__xludf.DUMMYFUNCTION("""COMPUTED_VALUE"""),"EVERGREEN - UAN Gated Content - Embedded Petition")</f>
        <v>EVERGREEN - UAN Gated Content - Embedded Petition</v>
      </c>
      <c r="D1525" s="5">
        <f ca="1">IFERROR(__xludf.DUMMYFUNCTION("""COMPUTED_VALUE"""),45697)</f>
        <v>45697</v>
      </c>
      <c r="F1525" s="1" t="str">
        <f ca="1">IFERROR(__xludf.DUMMYFUNCTION("""COMPUTED_VALUE"""),"Tunisia")</f>
        <v>Tunisia</v>
      </c>
      <c r="G1525" s="1" t="str">
        <f ca="1">IFERROR(__xludf.DUMMYFUNCTION("""COMPUTED_VALUE"""),"Second 76.24 Tunisia")</f>
        <v>Second 76.24 Tunisia</v>
      </c>
      <c r="H1525" s="1" t="str">
        <f ca="1">IFERROR(__xludf.DUMMYFUNCTION("""COMPUTED_VALUE"""),"Freedom of Expression, Human Rights Defenders")</f>
        <v>Freedom of Expression, Human Rights Defenders</v>
      </c>
      <c r="I1525" s="1" t="str">
        <f ca="1">IFERROR(__xludf.DUMMYFUNCTION("""COMPUTED_VALUE"""),"2025")</f>
        <v>2025</v>
      </c>
      <c r="J1525" s="1" t="str">
        <f ca="1">IFERROR(__xludf.DUMMYFUNCTION("""COMPUTED_VALUE"""),"Email")</f>
        <v>Email</v>
      </c>
    </row>
    <row r="1526" spans="1:10" ht="13" x14ac:dyDescent="0.15">
      <c r="A1526" s="4">
        <f ca="1">IFERROR(__xludf.DUMMYFUNCTION("""COMPUTED_VALUE"""),155580479)</f>
        <v>155580479</v>
      </c>
      <c r="B1526" s="1" t="str">
        <f ca="1">IFERROR(__xludf.DUMMYFUNCTION("""COMPUTED_VALUE"""),"amy@wozabooks.com")</f>
        <v>amy@wozabooks.com</v>
      </c>
      <c r="C1526" s="4" t="str">
        <f ca="1">IFERROR(__xludf.DUMMYFUNCTION("""COMPUTED_VALUE"""),"EVERGREEN - UAN Gated Content - Embedded Petition")</f>
        <v>EVERGREEN - UAN Gated Content - Embedded Petition</v>
      </c>
      <c r="D1526" s="5">
        <f ca="1">IFERROR(__xludf.DUMMYFUNCTION("""COMPUTED_VALUE"""),45675)</f>
        <v>45675</v>
      </c>
      <c r="F1526" s="1" t="str">
        <f ca="1">IFERROR(__xludf.DUMMYFUNCTION("""COMPUTED_VALUE"""),"Tunisia")</f>
        <v>Tunisia</v>
      </c>
      <c r="G1526" s="1" t="str">
        <f ca="1">IFERROR(__xludf.DUMMYFUNCTION("""COMPUTED_VALUE"""),"Second 76.24 Tunisia")</f>
        <v>Second 76.24 Tunisia</v>
      </c>
      <c r="H1526" s="1" t="str">
        <f ca="1">IFERROR(__xludf.DUMMYFUNCTION("""COMPUTED_VALUE"""),"Freedom of Expression, Human Rights Defenders")</f>
        <v>Freedom of Expression, Human Rights Defenders</v>
      </c>
      <c r="I1526" s="1" t="str">
        <f ca="1">IFERROR(__xludf.DUMMYFUNCTION("""COMPUTED_VALUE"""),"2025")</f>
        <v>2025</v>
      </c>
      <c r="J1526" s="1" t="str">
        <f ca="1">IFERROR(__xludf.DUMMYFUNCTION("""COMPUTED_VALUE"""),"Email")</f>
        <v>Email</v>
      </c>
    </row>
    <row r="1527" spans="1:10" ht="13" x14ac:dyDescent="0.15">
      <c r="A1527" s="4">
        <f ca="1">IFERROR(__xludf.DUMMYFUNCTION("""COMPUTED_VALUE"""),155580479)</f>
        <v>155580479</v>
      </c>
      <c r="B1527" s="1" t="str">
        <f ca="1">IFERROR(__xludf.DUMMYFUNCTION("""COMPUTED_VALUE"""),"amy@wozabooks.com")</f>
        <v>amy@wozabooks.com</v>
      </c>
      <c r="C1527" s="4" t="str">
        <f ca="1">IFERROR(__xludf.DUMMYFUNCTION("""COMPUTED_VALUE"""),"EVERGREEN - UAN Gated Content - Embedded Petition")</f>
        <v>EVERGREEN - UAN Gated Content - Embedded Petition</v>
      </c>
      <c r="D1527" s="5">
        <f ca="1">IFERROR(__xludf.DUMMYFUNCTION("""COMPUTED_VALUE"""),45657)</f>
        <v>45657</v>
      </c>
      <c r="F1527" s="1" t="str">
        <f ca="1">IFERROR(__xludf.DUMMYFUNCTION("""COMPUTED_VALUE"""),"Tunisia")</f>
        <v>Tunisia</v>
      </c>
      <c r="G1527" s="1" t="str">
        <f ca="1">IFERROR(__xludf.DUMMYFUNCTION("""COMPUTED_VALUE"""),"Second 76.24 Tunisia")</f>
        <v>Second 76.24 Tunisia</v>
      </c>
      <c r="H1527" s="1" t="str">
        <f ca="1">IFERROR(__xludf.DUMMYFUNCTION("""COMPUTED_VALUE"""),"Freedom of Expression, Human Rights Defenders")</f>
        <v>Freedom of Expression, Human Rights Defenders</v>
      </c>
      <c r="I1527" s="1" t="str">
        <f ca="1">IFERROR(__xludf.DUMMYFUNCTION("""COMPUTED_VALUE"""),"2025")</f>
        <v>2025</v>
      </c>
      <c r="J1527" s="1" t="str">
        <f ca="1">IFERROR(__xludf.DUMMYFUNCTION("""COMPUTED_VALUE"""),"Email")</f>
        <v>Email</v>
      </c>
    </row>
    <row r="1528" spans="1:10" ht="13" x14ac:dyDescent="0.15">
      <c r="A1528" s="4">
        <f ca="1">IFERROR(__xludf.DUMMYFUNCTION("""COMPUTED_VALUE"""),155580479)</f>
        <v>155580479</v>
      </c>
      <c r="B1528" s="1" t="str">
        <f ca="1">IFERROR(__xludf.DUMMYFUNCTION("""COMPUTED_VALUE"""),"amy@wozabooks.com")</f>
        <v>amy@wozabooks.com</v>
      </c>
      <c r="C1528" s="4" t="str">
        <f ca="1">IFERROR(__xludf.DUMMYFUNCTION("""COMPUTED_VALUE"""),"EVERGREEN - UAN Gated Content - Embedded Petition")</f>
        <v>EVERGREEN - UAN Gated Content - Embedded Petition</v>
      </c>
      <c r="D1528" s="5">
        <f ca="1">IFERROR(__xludf.DUMMYFUNCTION("""COMPUTED_VALUE"""),45694)</f>
        <v>45694</v>
      </c>
      <c r="F1528" s="1" t="str">
        <f ca="1">IFERROR(__xludf.DUMMYFUNCTION("""COMPUTED_VALUE"""),"USA")</f>
        <v>USA</v>
      </c>
      <c r="G1528" s="1" t="str">
        <f ca="1">IFERROR(__xludf.DUMMYFUNCTION("""COMPUTED_VALUE"""),"105.24 USA")</f>
        <v>105.24 USA</v>
      </c>
      <c r="H1528" s="1" t="str">
        <f ca="1">IFERROR(__xludf.DUMMYFUNCTION("""COMPUTED_VALUE"""),"Death Penalty")</f>
        <v>Death Penalty</v>
      </c>
      <c r="I1528" s="1" t="str">
        <f ca="1">IFERROR(__xludf.DUMMYFUNCTION("""COMPUTED_VALUE"""),"2024")</f>
        <v>2024</v>
      </c>
      <c r="J1528" s="1" t="str">
        <f ca="1">IFERROR(__xludf.DUMMYFUNCTION("""COMPUTED_VALUE"""),"Email")</f>
        <v>Email</v>
      </c>
    </row>
    <row r="1529" spans="1:10" ht="13" x14ac:dyDescent="0.15">
      <c r="A1529" s="4">
        <f ca="1">IFERROR(__xludf.DUMMYFUNCTION("""COMPUTED_VALUE"""),155606080)</f>
        <v>155606080</v>
      </c>
      <c r="B1529" s="1" t="str">
        <f ca="1">IFERROR(__xludf.DUMMYFUNCTION("""COMPUTED_VALUE"""),"agoodwin@aiusa.org")</f>
        <v>agoodwin@aiusa.org</v>
      </c>
      <c r="C1529" s="4" t="str">
        <f ca="1">IFERROR(__xludf.DUMMYFUNCTION("""COMPUTED_VALUE"""),"EVERGREEN - UAN Gated Content - Embedded Petition")</f>
        <v>EVERGREEN - UAN Gated Content - Embedded Petition</v>
      </c>
      <c r="D1529" s="5">
        <f ca="1">IFERROR(__xludf.DUMMYFUNCTION("""COMPUTED_VALUE"""),45678)</f>
        <v>45678</v>
      </c>
      <c r="F1529" s="1" t="str">
        <f ca="1">IFERROR(__xludf.DUMMYFUNCTION("""COMPUTED_VALUE"""),"Tunisia")</f>
        <v>Tunisia</v>
      </c>
      <c r="G1529" s="1" t="str">
        <f ca="1">IFERROR(__xludf.DUMMYFUNCTION("""COMPUTED_VALUE"""),"Second 76.24 Tunisia")</f>
        <v>Second 76.24 Tunisia</v>
      </c>
      <c r="H1529" s="1" t="str">
        <f ca="1">IFERROR(__xludf.DUMMYFUNCTION("""COMPUTED_VALUE"""),"Freedom of Expression, Human Rights Defenders")</f>
        <v>Freedom of Expression, Human Rights Defenders</v>
      </c>
      <c r="I1529" s="1" t="str">
        <f ca="1">IFERROR(__xludf.DUMMYFUNCTION("""COMPUTED_VALUE"""),"2025")</f>
        <v>2025</v>
      </c>
      <c r="J1529" s="1" t="str">
        <f ca="1">IFERROR(__xludf.DUMMYFUNCTION("""COMPUTED_VALUE"""),"Email")</f>
        <v>Email</v>
      </c>
    </row>
    <row r="1530" spans="1:10" ht="13" x14ac:dyDescent="0.15">
      <c r="A1530" s="4">
        <f ca="1">IFERROR(__xludf.DUMMYFUNCTION("""COMPUTED_VALUE"""),155606080)</f>
        <v>155606080</v>
      </c>
      <c r="B1530" s="1" t="str">
        <f ca="1">IFERROR(__xludf.DUMMYFUNCTION("""COMPUTED_VALUE"""),"agoodwin@aiusa.org")</f>
        <v>agoodwin@aiusa.org</v>
      </c>
      <c r="C1530" s="4" t="str">
        <f ca="1">IFERROR(__xludf.DUMMYFUNCTION("""COMPUTED_VALUE"""),"EVERGREEN - UAN Gated Content - Embedded Petition")</f>
        <v>EVERGREEN - UAN Gated Content - Embedded Petition</v>
      </c>
      <c r="D1530" s="5">
        <f ca="1">IFERROR(__xludf.DUMMYFUNCTION("""COMPUTED_VALUE"""),45673)</f>
        <v>45673</v>
      </c>
      <c r="F1530" s="1" t="str">
        <f ca="1">IFERROR(__xludf.DUMMYFUNCTION("""COMPUTED_VALUE"""),"Tunisia")</f>
        <v>Tunisia</v>
      </c>
      <c r="G1530" s="1" t="str">
        <f ca="1">IFERROR(__xludf.DUMMYFUNCTION("""COMPUTED_VALUE"""),"Second 76.24 Tunisia")</f>
        <v>Second 76.24 Tunisia</v>
      </c>
      <c r="H1530" s="1" t="str">
        <f ca="1">IFERROR(__xludf.DUMMYFUNCTION("""COMPUTED_VALUE"""),"Freedom of Expression, Human Rights Defenders")</f>
        <v>Freedom of Expression, Human Rights Defenders</v>
      </c>
      <c r="I1530" s="1" t="str">
        <f ca="1">IFERROR(__xludf.DUMMYFUNCTION("""COMPUTED_VALUE"""),"2025")</f>
        <v>2025</v>
      </c>
      <c r="J1530" s="1" t="str">
        <f ca="1">IFERROR(__xludf.DUMMYFUNCTION("""COMPUTED_VALUE"""),"Email")</f>
        <v>Email</v>
      </c>
    </row>
    <row r="1531" spans="1:10" ht="13" x14ac:dyDescent="0.15">
      <c r="A1531" s="4">
        <f ca="1">IFERROR(__xludf.DUMMYFUNCTION("""COMPUTED_VALUE"""),155902891)</f>
        <v>155902891</v>
      </c>
      <c r="B1531" s="1" t="str">
        <f ca="1">IFERROR(__xludf.DUMMYFUNCTION("""COMPUTED_VALUE"""),"inkeepingnotsorestless@gmail.com")</f>
        <v>inkeepingnotsorestless@gmail.com</v>
      </c>
      <c r="C1531" s="4" t="str">
        <f ca="1">IFERROR(__xludf.DUMMYFUNCTION("""COMPUTED_VALUE"""),"EVERGREEN - UAN Gated Content - Embedded Petition")</f>
        <v>EVERGREEN - UAN Gated Content - Embedded Petition</v>
      </c>
      <c r="D1531" s="5">
        <f ca="1">IFERROR(__xludf.DUMMYFUNCTION("""COMPUTED_VALUE"""),45700)</f>
        <v>45700</v>
      </c>
      <c r="F1531" s="1" t="str">
        <f ca="1">IFERROR(__xludf.DUMMYFUNCTION("""COMPUTED_VALUE"""),"Dominican Republic")</f>
        <v>Dominican Republic</v>
      </c>
      <c r="G1531" s="1" t="str">
        <f ca="1">IFERROR(__xludf.DUMMYFUNCTION("""COMPUTED_VALUE"""),"88.24 Dominican Republic")</f>
        <v>88.24 Dominican Republic</v>
      </c>
      <c r="H1531" s="1" t="str">
        <f ca="1">IFERROR(__xludf.DUMMYFUNCTION("""COMPUTED_VALUE"""),"Individuals At Risk, Refugee and Migrant Rights")</f>
        <v>Individuals At Risk, Refugee and Migrant Rights</v>
      </c>
      <c r="I1531" s="1" t="str">
        <f ca="1">IFERROR(__xludf.DUMMYFUNCTION("""COMPUTED_VALUE"""),"2024")</f>
        <v>2024</v>
      </c>
      <c r="J1531" s="1" t="str">
        <f ca="1">IFERROR(__xludf.DUMMYFUNCTION("""COMPUTED_VALUE"""),"Letter")</f>
        <v>Letter</v>
      </c>
    </row>
    <row r="1532" spans="1:10" ht="13" x14ac:dyDescent="0.15">
      <c r="A1532" s="4">
        <f ca="1">IFERROR(__xludf.DUMMYFUNCTION("""COMPUTED_VALUE"""),155905619)</f>
        <v>155905619</v>
      </c>
      <c r="B1532" s="1" t="str">
        <f ca="1">IFERROR(__xludf.DUMMYFUNCTION("""COMPUTED_VALUE"""),"marth0214@gmail.com")</f>
        <v>marth0214@gmail.com</v>
      </c>
      <c r="C1532" s="4" t="str">
        <f ca="1">IFERROR(__xludf.DUMMYFUNCTION("""COMPUTED_VALUE"""),"EVERGREEN - UAN Gated Content - Embedded Petition")</f>
        <v>EVERGREEN - UAN Gated Content - Embedded Petition</v>
      </c>
      <c r="D1532" s="5">
        <f ca="1">IFERROR(__xludf.DUMMYFUNCTION("""COMPUTED_VALUE"""),45675)</f>
        <v>45675</v>
      </c>
      <c r="F1532" s="1" t="str">
        <f ca="1">IFERROR(__xludf.DUMMYFUNCTION("""COMPUTED_VALUE"""),"Tunisia")</f>
        <v>Tunisia</v>
      </c>
      <c r="G1532" s="1" t="str">
        <f ca="1">IFERROR(__xludf.DUMMYFUNCTION("""COMPUTED_VALUE"""),"Second 76.24 Tunisia")</f>
        <v>Second 76.24 Tunisia</v>
      </c>
      <c r="H1532" s="1" t="str">
        <f ca="1">IFERROR(__xludf.DUMMYFUNCTION("""COMPUTED_VALUE"""),"Freedom of Expression, Human Rights Defenders")</f>
        <v>Freedom of Expression, Human Rights Defenders</v>
      </c>
      <c r="I1532" s="1" t="str">
        <f ca="1">IFERROR(__xludf.DUMMYFUNCTION("""COMPUTED_VALUE"""),"2025")</f>
        <v>2025</v>
      </c>
      <c r="J1532" s="1" t="str">
        <f ca="1">IFERROR(__xludf.DUMMYFUNCTION("""COMPUTED_VALUE"""),"Email")</f>
        <v>Email</v>
      </c>
    </row>
    <row r="1533" spans="1:10" ht="13" x14ac:dyDescent="0.15">
      <c r="A1533" s="4">
        <f ca="1">IFERROR(__xludf.DUMMYFUNCTION("""COMPUTED_VALUE"""),155905619)</f>
        <v>155905619</v>
      </c>
      <c r="B1533" s="1" t="str">
        <f ca="1">IFERROR(__xludf.DUMMYFUNCTION("""COMPUTED_VALUE"""),"marth0214@gmail.com")</f>
        <v>marth0214@gmail.com</v>
      </c>
      <c r="C1533" s="4" t="str">
        <f ca="1">IFERROR(__xludf.DUMMYFUNCTION("""COMPUTED_VALUE"""),"EVERGREEN - UAN Gated Content - Embedded Petition")</f>
        <v>EVERGREEN - UAN Gated Content - Embedded Petition</v>
      </c>
      <c r="D1533" s="5">
        <f ca="1">IFERROR(__xludf.DUMMYFUNCTION("""COMPUTED_VALUE"""),45675)</f>
        <v>45675</v>
      </c>
      <c r="F1533" s="1" t="str">
        <f ca="1">IFERROR(__xludf.DUMMYFUNCTION("""COMPUTED_VALUE"""),"USA")</f>
        <v>USA</v>
      </c>
      <c r="G1533" s="1" t="str">
        <f ca="1">IFERROR(__xludf.DUMMYFUNCTION("""COMPUTED_VALUE"""),"4.25 USA")</f>
        <v>4.25 USA</v>
      </c>
      <c r="H1533" s="1" t="str">
        <f ca="1">IFERROR(__xludf.DUMMYFUNCTION("""COMPUTED_VALUE"""),"Individuals At Risk, Refugee and Migrant Rights")</f>
        <v>Individuals At Risk, Refugee and Migrant Rights</v>
      </c>
      <c r="I1533" s="1" t="str">
        <f ca="1">IFERROR(__xludf.DUMMYFUNCTION("""COMPUTED_VALUE"""),"2025")</f>
        <v>2025</v>
      </c>
      <c r="J1533" s="1" t="str">
        <f ca="1">IFERROR(__xludf.DUMMYFUNCTION("""COMPUTED_VALUE"""),"Letter")</f>
        <v>Letter</v>
      </c>
    </row>
    <row r="1534" spans="1:10" ht="13" x14ac:dyDescent="0.15">
      <c r="A1534" s="4">
        <f ca="1">IFERROR(__xludf.DUMMYFUNCTION("""COMPUTED_VALUE"""),155905619)</f>
        <v>155905619</v>
      </c>
      <c r="B1534" s="1" t="str">
        <f ca="1">IFERROR(__xludf.DUMMYFUNCTION("""COMPUTED_VALUE"""),"marth0214@gmail.com")</f>
        <v>marth0214@gmail.com</v>
      </c>
      <c r="C1534" s="4" t="str">
        <f ca="1">IFERROR(__xludf.DUMMYFUNCTION("""COMPUTED_VALUE"""),"EVERGREEN - UAN Gated Content - Embedded Petition")</f>
        <v>EVERGREEN - UAN Gated Content - Embedded Petition</v>
      </c>
      <c r="D1534" s="5">
        <f ca="1">IFERROR(__xludf.DUMMYFUNCTION("""COMPUTED_VALUE"""),45677)</f>
        <v>45677</v>
      </c>
      <c r="F1534" s="1" t="str">
        <f ca="1">IFERROR(__xludf.DUMMYFUNCTION("""COMPUTED_VALUE"""),"Iran")</f>
        <v>Iran</v>
      </c>
      <c r="G1534" s="1" t="str">
        <f ca="1">IFERROR(__xludf.DUMMYFUNCTION("""COMPUTED_VALUE"""),"101.24 Iran")</f>
        <v>101.24 Iran</v>
      </c>
      <c r="H1534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1534" s="1" t="str">
        <f ca="1">IFERROR(__xludf.DUMMYFUNCTION("""COMPUTED_VALUE"""),"2024")</f>
        <v>2024</v>
      </c>
      <c r="J1534" s="1" t="str">
        <f ca="1">IFERROR(__xludf.DUMMYFUNCTION("""COMPUTED_VALUE"""),"Email")</f>
        <v>Email</v>
      </c>
    </row>
    <row r="1535" spans="1:10" ht="13" x14ac:dyDescent="0.15">
      <c r="A1535" s="4">
        <f ca="1">IFERROR(__xludf.DUMMYFUNCTION("""COMPUTED_VALUE"""),155905619)</f>
        <v>155905619</v>
      </c>
      <c r="B1535" s="1" t="str">
        <f ca="1">IFERROR(__xludf.DUMMYFUNCTION("""COMPUTED_VALUE"""),"marth0214@gmail.com")</f>
        <v>marth0214@gmail.com</v>
      </c>
      <c r="C1535" s="4" t="str">
        <f ca="1">IFERROR(__xludf.DUMMYFUNCTION("""COMPUTED_VALUE"""),"EVERGREEN - UAN Gated Content - Embedded Petition")</f>
        <v>EVERGREEN - UAN Gated Content - Embedded Petition</v>
      </c>
      <c r="D1535" s="5">
        <f ca="1">IFERROR(__xludf.DUMMYFUNCTION("""COMPUTED_VALUE"""),45694)</f>
        <v>45694</v>
      </c>
      <c r="F1535" s="1" t="str">
        <f ca="1">IFERROR(__xludf.DUMMYFUNCTION("""COMPUTED_VALUE"""),"Uganda")</f>
        <v>Uganda</v>
      </c>
      <c r="G1535" s="1" t="str">
        <f ca="1">IFERROR(__xludf.DUMMYFUNCTION("""COMPUTED_VALUE"""),"100.24 Uganda")</f>
        <v>100.24 Uganda</v>
      </c>
      <c r="H1535" s="1" t="str">
        <f ca="1">IFERROR(__xludf.DUMMYFUNCTION("""COMPUTED_VALUE"""),"Freedom of Expression")</f>
        <v>Freedom of Expression</v>
      </c>
      <c r="I1535" s="1" t="str">
        <f ca="1">IFERROR(__xludf.DUMMYFUNCTION("""COMPUTED_VALUE"""),"2024")</f>
        <v>2024</v>
      </c>
      <c r="J1535" s="1" t="str">
        <f ca="1">IFERROR(__xludf.DUMMYFUNCTION("""COMPUTED_VALUE"""),"Email")</f>
        <v>Email</v>
      </c>
    </row>
    <row r="1536" spans="1:10" ht="13" x14ac:dyDescent="0.15">
      <c r="A1536" s="4">
        <f ca="1">IFERROR(__xludf.DUMMYFUNCTION("""COMPUTED_VALUE"""),155941743)</f>
        <v>155941743</v>
      </c>
      <c r="B1536" s="1" t="str">
        <f ca="1">IFERROR(__xludf.DUMMYFUNCTION("""COMPUTED_VALUE"""),"novicedetective@gmail.com")</f>
        <v>novicedetective@gmail.com</v>
      </c>
      <c r="C1536" s="4" t="str">
        <f ca="1">IFERROR(__xludf.DUMMYFUNCTION("""COMPUTED_VALUE"""),"EVERGREEN - UAN Gated Content - Embedded Petition")</f>
        <v>EVERGREEN - UAN Gated Content - Embedded Petition</v>
      </c>
      <c r="D1536" s="5">
        <f ca="1">IFERROR(__xludf.DUMMYFUNCTION("""COMPUTED_VALUE"""),45636)</f>
        <v>45636</v>
      </c>
      <c r="F1536" s="1" t="str">
        <f ca="1">IFERROR(__xludf.DUMMYFUNCTION("""COMPUTED_VALUE"""),"Uganda")</f>
        <v>Uganda</v>
      </c>
      <c r="G1536" s="1" t="str">
        <f ca="1">IFERROR(__xludf.DUMMYFUNCTION("""COMPUTED_VALUE"""),"100.24 Uganda")</f>
        <v>100.24 Uganda</v>
      </c>
      <c r="H1536" s="1" t="str">
        <f ca="1">IFERROR(__xludf.DUMMYFUNCTION("""COMPUTED_VALUE"""),"Freedom of Expression")</f>
        <v>Freedom of Expression</v>
      </c>
      <c r="I1536" s="1" t="str">
        <f ca="1">IFERROR(__xludf.DUMMYFUNCTION("""COMPUTED_VALUE"""),"2024")</f>
        <v>2024</v>
      </c>
      <c r="J1536" s="1" t="str">
        <f ca="1">IFERROR(__xludf.DUMMYFUNCTION("""COMPUTED_VALUE"""),"Email")</f>
        <v>Email</v>
      </c>
    </row>
    <row r="1537" spans="1:10" ht="13" x14ac:dyDescent="0.15">
      <c r="A1537" s="4">
        <f ca="1">IFERROR(__xludf.DUMMYFUNCTION("""COMPUTED_VALUE"""),156763166)</f>
        <v>156763166</v>
      </c>
      <c r="B1537" s="1" t="str">
        <f ca="1">IFERROR(__xludf.DUMMYFUNCTION("""COMPUTED_VALUE"""),"coloraturacanary@gmail.com")</f>
        <v>coloraturacanary@gmail.com</v>
      </c>
      <c r="C1537" s="4" t="str">
        <f ca="1">IFERROR(__xludf.DUMMYFUNCTION("""COMPUTED_VALUE"""),"EVERGREEN - UAN Gated Content - Embedded Petition")</f>
        <v>EVERGREEN - UAN Gated Content - Embedded Petition</v>
      </c>
      <c r="D1537" s="5">
        <f ca="1">IFERROR(__xludf.DUMMYFUNCTION("""COMPUTED_VALUE"""),45674)</f>
        <v>45674</v>
      </c>
      <c r="F1537" s="1" t="str">
        <f ca="1">IFERROR(__xludf.DUMMYFUNCTION("""COMPUTED_VALUE"""),"Uganda")</f>
        <v>Uganda</v>
      </c>
      <c r="G1537" s="1" t="str">
        <f ca="1">IFERROR(__xludf.DUMMYFUNCTION("""COMPUTED_VALUE"""),"100.24 Uganda")</f>
        <v>100.24 Uganda</v>
      </c>
      <c r="H1537" s="1" t="str">
        <f ca="1">IFERROR(__xludf.DUMMYFUNCTION("""COMPUTED_VALUE"""),"Freedom of Expression")</f>
        <v>Freedom of Expression</v>
      </c>
      <c r="I1537" s="1" t="str">
        <f ca="1">IFERROR(__xludf.DUMMYFUNCTION("""COMPUTED_VALUE"""),"2024")</f>
        <v>2024</v>
      </c>
      <c r="J1537" s="1" t="str">
        <f ca="1">IFERROR(__xludf.DUMMYFUNCTION("""COMPUTED_VALUE"""),"Email")</f>
        <v>Email</v>
      </c>
    </row>
    <row r="1538" spans="1:10" ht="13" x14ac:dyDescent="0.15">
      <c r="A1538" s="4">
        <f ca="1">IFERROR(__xludf.DUMMYFUNCTION("""COMPUTED_VALUE"""),156763166)</f>
        <v>156763166</v>
      </c>
      <c r="B1538" s="1" t="str">
        <f ca="1">IFERROR(__xludf.DUMMYFUNCTION("""COMPUTED_VALUE"""),"coloraturacanary@gmail.com")</f>
        <v>coloraturacanary@gmail.com</v>
      </c>
      <c r="C1538" s="4" t="str">
        <f ca="1">IFERROR(__xludf.DUMMYFUNCTION("""COMPUTED_VALUE"""),"EVERGREEN - UAN Gated Content - Embedded Petition")</f>
        <v>EVERGREEN - UAN Gated Content - Embedded Petition</v>
      </c>
      <c r="D1538" s="5">
        <f ca="1">IFERROR(__xludf.DUMMYFUNCTION("""COMPUTED_VALUE"""),45694)</f>
        <v>45694</v>
      </c>
      <c r="F1538" s="1" t="str">
        <f ca="1">IFERROR(__xludf.DUMMYFUNCTION("""COMPUTED_VALUE"""),"Dominican Republic")</f>
        <v>Dominican Republic</v>
      </c>
      <c r="G1538" s="1" t="str">
        <f ca="1">IFERROR(__xludf.DUMMYFUNCTION("""COMPUTED_VALUE"""),"88.24 Dominican Republic")</f>
        <v>88.24 Dominican Republic</v>
      </c>
      <c r="H1538" s="1" t="str">
        <f ca="1">IFERROR(__xludf.DUMMYFUNCTION("""COMPUTED_VALUE"""),"Individuals At Risk, Refugee and Migrant Rights")</f>
        <v>Individuals At Risk, Refugee and Migrant Rights</v>
      </c>
      <c r="I1538" s="1" t="str">
        <f ca="1">IFERROR(__xludf.DUMMYFUNCTION("""COMPUTED_VALUE"""),"2024")</f>
        <v>2024</v>
      </c>
      <c r="J1538" s="1" t="str">
        <f ca="1">IFERROR(__xludf.DUMMYFUNCTION("""COMPUTED_VALUE"""),"Letter")</f>
        <v>Letter</v>
      </c>
    </row>
    <row r="1539" spans="1:10" ht="13" x14ac:dyDescent="0.15">
      <c r="A1539" s="4">
        <f ca="1">IFERROR(__xludf.DUMMYFUNCTION("""COMPUTED_VALUE"""),157686459)</f>
        <v>157686459</v>
      </c>
      <c r="B1539" s="1" t="str">
        <f ca="1">IFERROR(__xludf.DUMMYFUNCTION("""COMPUTED_VALUE"""),"gmumma17@gmail.com")</f>
        <v>gmumma17@gmail.com</v>
      </c>
      <c r="C1539" s="4" t="str">
        <f ca="1">IFERROR(__xludf.DUMMYFUNCTION("""COMPUTED_VALUE"""),"EVERGREEN - UAN Gated Content - Embedded Petition")</f>
        <v>EVERGREEN - UAN Gated Content - Embedded Petition</v>
      </c>
      <c r="D1539" s="5">
        <f ca="1">IFERROR(__xludf.DUMMYFUNCTION("""COMPUTED_VALUE"""),45697)</f>
        <v>45697</v>
      </c>
      <c r="F1539" s="1" t="str">
        <f ca="1">IFERROR(__xludf.DUMMYFUNCTION("""COMPUTED_VALUE"""),"USA")</f>
        <v>USA</v>
      </c>
      <c r="G1539" s="1" t="str">
        <f ca="1">IFERROR(__xludf.DUMMYFUNCTION("""COMPUTED_VALUE"""),"96.24 USA")</f>
        <v>96.24 USA</v>
      </c>
      <c r="H1539" s="1" t="str">
        <f ca="1">IFERROR(__xludf.DUMMYFUNCTION("""COMPUTED_VALUE"""),"Death Penalty")</f>
        <v>Death Penalty</v>
      </c>
      <c r="I1539" s="1" t="str">
        <f ca="1">IFERROR(__xludf.DUMMYFUNCTION("""COMPUTED_VALUE"""),"2024")</f>
        <v>2024</v>
      </c>
      <c r="J1539" s="1" t="str">
        <f ca="1">IFERROR(__xludf.DUMMYFUNCTION("""COMPUTED_VALUE"""),"Email")</f>
        <v>Email</v>
      </c>
    </row>
    <row r="1540" spans="1:10" ht="13" x14ac:dyDescent="0.15">
      <c r="A1540" s="4">
        <f ca="1">IFERROR(__xludf.DUMMYFUNCTION("""COMPUTED_VALUE"""),157686459)</f>
        <v>157686459</v>
      </c>
      <c r="B1540" s="1" t="str">
        <f ca="1">IFERROR(__xludf.DUMMYFUNCTION("""COMPUTED_VALUE"""),"gmumma17@gmail.com")</f>
        <v>gmumma17@gmail.com</v>
      </c>
      <c r="C1540" s="4" t="str">
        <f ca="1">IFERROR(__xludf.DUMMYFUNCTION("""COMPUTED_VALUE"""),"EVERGREEN - UAN Gated Content - Embedded Petition")</f>
        <v>EVERGREEN - UAN Gated Content - Embedded Petition</v>
      </c>
      <c r="D1540" s="5">
        <f ca="1">IFERROR(__xludf.DUMMYFUNCTION("""COMPUTED_VALUE"""),45639)</f>
        <v>45639</v>
      </c>
      <c r="F1540" s="1" t="str">
        <f ca="1">IFERROR(__xludf.DUMMYFUNCTION("""COMPUTED_VALUE"""),"Tunisia")</f>
        <v>Tunisia</v>
      </c>
      <c r="G1540" s="1" t="str">
        <f ca="1">IFERROR(__xludf.DUMMYFUNCTION("""COMPUTED_VALUE"""),"Second 76.24 Tunisia")</f>
        <v>Second 76.24 Tunisia</v>
      </c>
      <c r="H1540" s="1" t="str">
        <f ca="1">IFERROR(__xludf.DUMMYFUNCTION("""COMPUTED_VALUE"""),"Freedom of Expression, Human Rights Defenders")</f>
        <v>Freedom of Expression, Human Rights Defenders</v>
      </c>
      <c r="I1540" s="1" t="str">
        <f ca="1">IFERROR(__xludf.DUMMYFUNCTION("""COMPUTED_VALUE"""),"2025")</f>
        <v>2025</v>
      </c>
      <c r="J1540" s="1" t="str">
        <f ca="1">IFERROR(__xludf.DUMMYFUNCTION("""COMPUTED_VALUE"""),"Email")</f>
        <v>Email</v>
      </c>
    </row>
    <row r="1541" spans="1:10" ht="13" x14ac:dyDescent="0.15">
      <c r="A1541" s="4">
        <f ca="1">IFERROR(__xludf.DUMMYFUNCTION("""COMPUTED_VALUE"""),157686459)</f>
        <v>157686459</v>
      </c>
      <c r="B1541" s="1" t="str">
        <f ca="1">IFERROR(__xludf.DUMMYFUNCTION("""COMPUTED_VALUE"""),"gmumma17@gmail.com")</f>
        <v>gmumma17@gmail.com</v>
      </c>
      <c r="C1541" s="4" t="str">
        <f ca="1">IFERROR(__xludf.DUMMYFUNCTION("""COMPUTED_VALUE"""),"EVERGREEN - UAN Gated Content - Embedded Petition")</f>
        <v>EVERGREEN - UAN Gated Content - Embedded Petition</v>
      </c>
      <c r="D1541" s="5">
        <f ca="1">IFERROR(__xludf.DUMMYFUNCTION("""COMPUTED_VALUE"""),45683)</f>
        <v>45683</v>
      </c>
      <c r="F1541" s="1" t="str">
        <f ca="1">IFERROR(__xludf.DUMMYFUNCTION("""COMPUTED_VALUE"""),"USA")</f>
        <v>USA</v>
      </c>
      <c r="G1541" s="1" t="str">
        <f ca="1">IFERROR(__xludf.DUMMYFUNCTION("""COMPUTED_VALUE"""),"105.24 USA")</f>
        <v>105.24 USA</v>
      </c>
      <c r="H1541" s="1" t="str">
        <f ca="1">IFERROR(__xludf.DUMMYFUNCTION("""COMPUTED_VALUE"""),"Death Penalty")</f>
        <v>Death Penalty</v>
      </c>
      <c r="I1541" s="1" t="str">
        <f ca="1">IFERROR(__xludf.DUMMYFUNCTION("""COMPUTED_VALUE"""),"2024")</f>
        <v>2024</v>
      </c>
      <c r="J1541" s="1" t="str">
        <f ca="1">IFERROR(__xludf.DUMMYFUNCTION("""COMPUTED_VALUE"""),"Email")</f>
        <v>Email</v>
      </c>
    </row>
    <row r="1542" spans="1:10" ht="13" x14ac:dyDescent="0.15">
      <c r="A1542" s="4">
        <f ca="1">IFERROR(__xludf.DUMMYFUNCTION("""COMPUTED_VALUE"""),158993404)</f>
        <v>158993404</v>
      </c>
      <c r="B1542" s="1" t="str">
        <f ca="1">IFERROR(__xludf.DUMMYFUNCTION("""COMPUTED_VALUE"""),"wendy.manganiello@gmail.com")</f>
        <v>wendy.manganiello@gmail.com</v>
      </c>
      <c r="C1542" s="4" t="str">
        <f ca="1">IFERROR(__xludf.DUMMYFUNCTION("""COMPUTED_VALUE"""),"EVERGREEN - UAN Gated Content - Embedded Petition")</f>
        <v>EVERGREEN - UAN Gated Content - Embedded Petition</v>
      </c>
      <c r="D1542" s="5">
        <f ca="1">IFERROR(__xludf.DUMMYFUNCTION("""COMPUTED_VALUE"""),45697)</f>
        <v>45697</v>
      </c>
      <c r="F1542" s="1" t="str">
        <f ca="1">IFERROR(__xludf.DUMMYFUNCTION("""COMPUTED_VALUE"""),"USA")</f>
        <v>USA</v>
      </c>
      <c r="G1542" s="1" t="str">
        <f ca="1">IFERROR(__xludf.DUMMYFUNCTION("""COMPUTED_VALUE"""),"105.24 USA")</f>
        <v>105.24 USA</v>
      </c>
      <c r="H1542" s="1" t="str">
        <f ca="1">IFERROR(__xludf.DUMMYFUNCTION("""COMPUTED_VALUE"""),"Death Penalty")</f>
        <v>Death Penalty</v>
      </c>
      <c r="I1542" s="1" t="str">
        <f ca="1">IFERROR(__xludf.DUMMYFUNCTION("""COMPUTED_VALUE"""),"2024")</f>
        <v>2024</v>
      </c>
      <c r="J1542" s="1" t="str">
        <f ca="1">IFERROR(__xludf.DUMMYFUNCTION("""COMPUTED_VALUE"""),"Email")</f>
        <v>Email</v>
      </c>
    </row>
    <row r="1543" spans="1:10" ht="13" x14ac:dyDescent="0.15">
      <c r="A1543" s="4">
        <f ca="1">IFERROR(__xludf.DUMMYFUNCTION("""COMPUTED_VALUE"""),160778536)</f>
        <v>160778536</v>
      </c>
      <c r="B1543" s="1" t="str">
        <f ca="1">IFERROR(__xludf.DUMMYFUNCTION("""COMPUTED_VALUE"""),"jsgoodly@gmail.com")</f>
        <v>jsgoodly@gmail.com</v>
      </c>
      <c r="C1543" s="4" t="str">
        <f ca="1">IFERROR(__xludf.DUMMYFUNCTION("""COMPUTED_VALUE"""),"EVERGREEN - UAN Gated Content - Embedded Petition")</f>
        <v>EVERGREEN - UAN Gated Content - Embedded Petition</v>
      </c>
      <c r="D1543" s="5">
        <f ca="1">IFERROR(__xludf.DUMMYFUNCTION("""COMPUTED_VALUE"""),45694)</f>
        <v>45694</v>
      </c>
      <c r="F1543" s="1" t="str">
        <f ca="1">IFERROR(__xludf.DUMMYFUNCTION("""COMPUTED_VALUE"""),"USA")</f>
        <v>USA</v>
      </c>
      <c r="G1543" s="1" t="str">
        <f ca="1">IFERROR(__xludf.DUMMYFUNCTION("""COMPUTED_VALUE"""),"4.25 USA")</f>
        <v>4.25 USA</v>
      </c>
      <c r="H1543" s="1" t="str">
        <f ca="1">IFERROR(__xludf.DUMMYFUNCTION("""COMPUTED_VALUE"""),"Individuals At Risk, Refugee and Migrant Rights")</f>
        <v>Individuals At Risk, Refugee and Migrant Rights</v>
      </c>
      <c r="I1543" s="1" t="str">
        <f ca="1">IFERROR(__xludf.DUMMYFUNCTION("""COMPUTED_VALUE"""),"2025")</f>
        <v>2025</v>
      </c>
      <c r="J1543" s="1" t="str">
        <f ca="1">IFERROR(__xludf.DUMMYFUNCTION("""COMPUTED_VALUE"""),"Letter")</f>
        <v>Letter</v>
      </c>
    </row>
    <row r="1544" spans="1:10" ht="13" x14ac:dyDescent="0.15">
      <c r="A1544" s="4">
        <f ca="1">IFERROR(__xludf.DUMMYFUNCTION("""COMPUTED_VALUE"""),160847928)</f>
        <v>160847928</v>
      </c>
      <c r="B1544" s="1" t="str">
        <f ca="1">IFERROR(__xludf.DUMMYFUNCTION("""COMPUTED_VALUE"""),"djchit@yahoo.com")</f>
        <v>djchit@yahoo.com</v>
      </c>
      <c r="C1544" s="4" t="str">
        <f ca="1">IFERROR(__xludf.DUMMYFUNCTION("""COMPUTED_VALUE"""),"EVERGREEN - UAN Gated Content - Embedded Petition")</f>
        <v>EVERGREEN - UAN Gated Content - Embedded Petition</v>
      </c>
      <c r="D1544" s="5">
        <f ca="1">IFERROR(__xludf.DUMMYFUNCTION("""COMPUTED_VALUE"""),45694)</f>
        <v>45694</v>
      </c>
      <c r="F1544" s="1" t="str">
        <f ca="1">IFERROR(__xludf.DUMMYFUNCTION("""COMPUTED_VALUE"""),"Iran")</f>
        <v>Iran</v>
      </c>
      <c r="G1544" s="1" t="str">
        <f ca="1">IFERROR(__xludf.DUMMYFUNCTION("""COMPUTED_VALUE"""),"Seventh 103.22 Iran")</f>
        <v>Seventh 103.22 Iran</v>
      </c>
      <c r="H1544" s="1" t="str">
        <f ca="1">IFERROR(__xludf.DUMMYFUNCTION("""COMPUTED_VALUE"""),"Death Penalty, Freedom of Expression, Individuals At Risk")</f>
        <v>Death Penalty, Freedom of Expression, Individuals At Risk</v>
      </c>
      <c r="I1544" s="1" t="str">
        <f ca="1">IFERROR(__xludf.DUMMYFUNCTION("""COMPUTED_VALUE"""),"2024")</f>
        <v>2024</v>
      </c>
      <c r="J1544" s="1" t="str">
        <f ca="1">IFERROR(__xludf.DUMMYFUNCTION("""COMPUTED_VALUE"""),"Email")</f>
        <v>Email</v>
      </c>
    </row>
    <row r="1545" spans="1:10" ht="13" x14ac:dyDescent="0.15">
      <c r="A1545" s="4">
        <f ca="1">IFERROR(__xludf.DUMMYFUNCTION("""COMPUTED_VALUE"""),160850862)</f>
        <v>160850862</v>
      </c>
      <c r="B1545" s="1" t="str">
        <f ca="1">IFERROR(__xludf.DUMMYFUNCTION("""COMPUTED_VALUE"""),"raddink@nycap.rr.com")</f>
        <v>raddink@nycap.rr.com</v>
      </c>
      <c r="C1545" s="4" t="str">
        <f ca="1">IFERROR(__xludf.DUMMYFUNCTION("""COMPUTED_VALUE"""),"EVERGREEN - UAN Gated Content - Embedded Petition")</f>
        <v>EVERGREEN - UAN Gated Content - Embedded Petition</v>
      </c>
      <c r="D1545" s="5">
        <f ca="1">IFERROR(__xludf.DUMMYFUNCTION("""COMPUTED_VALUE"""),45653)</f>
        <v>45653</v>
      </c>
      <c r="F1545" s="1" t="str">
        <f ca="1">IFERROR(__xludf.DUMMYFUNCTION("""COMPUTED_VALUE"""),"USA")</f>
        <v>USA</v>
      </c>
      <c r="G1545" s="1" t="str">
        <f ca="1">IFERROR(__xludf.DUMMYFUNCTION("""COMPUTED_VALUE"""),"4.25 USA")</f>
        <v>4.25 USA</v>
      </c>
      <c r="H1545" s="1" t="str">
        <f ca="1">IFERROR(__xludf.DUMMYFUNCTION("""COMPUTED_VALUE"""),"Individuals At Risk, Refugee and Migrant Rights")</f>
        <v>Individuals At Risk, Refugee and Migrant Rights</v>
      </c>
      <c r="I1545" s="1" t="str">
        <f ca="1">IFERROR(__xludf.DUMMYFUNCTION("""COMPUTED_VALUE"""),"2025")</f>
        <v>2025</v>
      </c>
      <c r="J1545" s="1" t="str">
        <f ca="1">IFERROR(__xludf.DUMMYFUNCTION("""COMPUTED_VALUE"""),"Letter")</f>
        <v>Letter</v>
      </c>
    </row>
    <row r="1546" spans="1:10" ht="13" x14ac:dyDescent="0.15">
      <c r="A1546" s="4">
        <f ca="1">IFERROR(__xludf.DUMMYFUNCTION("""COMPUTED_VALUE"""),160850862)</f>
        <v>160850862</v>
      </c>
      <c r="B1546" s="1" t="str">
        <f ca="1">IFERROR(__xludf.DUMMYFUNCTION("""COMPUTED_VALUE"""),"raddink@nycap.rr.com")</f>
        <v>raddink@nycap.rr.com</v>
      </c>
      <c r="C1546" s="4" t="str">
        <f ca="1">IFERROR(__xludf.DUMMYFUNCTION("""COMPUTED_VALUE"""),"EVERGREEN - UAN Gated Content - Embedded Petition")</f>
        <v>EVERGREEN - UAN Gated Content - Embedded Petition</v>
      </c>
      <c r="D1546" s="5">
        <f ca="1">IFERROR(__xludf.DUMMYFUNCTION("""COMPUTED_VALUE"""),45653)</f>
        <v>45653</v>
      </c>
      <c r="F1546" s="1" t="str">
        <f ca="1">IFERROR(__xludf.DUMMYFUNCTION("""COMPUTED_VALUE"""),"Iran")</f>
        <v>Iran</v>
      </c>
      <c r="G1546" s="1" t="str">
        <f ca="1">IFERROR(__xludf.DUMMYFUNCTION("""COMPUTED_VALUE"""),"Seventh 103.22 Iran")</f>
        <v>Seventh 103.22 Iran</v>
      </c>
      <c r="H1546" s="1" t="str">
        <f ca="1">IFERROR(__xludf.DUMMYFUNCTION("""COMPUTED_VALUE"""),"Death Penalty, Freedom of Expression, Individuals At Risk")</f>
        <v>Death Penalty, Freedom of Expression, Individuals At Risk</v>
      </c>
      <c r="I1546" s="1" t="str">
        <f ca="1">IFERROR(__xludf.DUMMYFUNCTION("""COMPUTED_VALUE"""),"2024")</f>
        <v>2024</v>
      </c>
      <c r="J1546" s="1" t="str">
        <f ca="1">IFERROR(__xludf.DUMMYFUNCTION("""COMPUTED_VALUE"""),"Email")</f>
        <v>Email</v>
      </c>
    </row>
    <row r="1547" spans="1:10" ht="13" x14ac:dyDescent="0.15">
      <c r="A1547" s="4">
        <f ca="1">IFERROR(__xludf.DUMMYFUNCTION("""COMPUTED_VALUE"""),160850862)</f>
        <v>160850862</v>
      </c>
      <c r="B1547" s="1" t="str">
        <f ca="1">IFERROR(__xludf.DUMMYFUNCTION("""COMPUTED_VALUE"""),"raddink@nycap.rr.com")</f>
        <v>raddink@nycap.rr.com</v>
      </c>
      <c r="C1547" s="4" t="str">
        <f ca="1">IFERROR(__xludf.DUMMYFUNCTION("""COMPUTED_VALUE"""),"EVERGREEN - UAN Gated Content - Embedded Petition")</f>
        <v>EVERGREEN - UAN Gated Content - Embedded Petition</v>
      </c>
      <c r="D1547" s="5">
        <f ca="1">IFERROR(__xludf.DUMMYFUNCTION("""COMPUTED_VALUE"""),45653)</f>
        <v>45653</v>
      </c>
      <c r="F1547" s="1" t="str">
        <f ca="1">IFERROR(__xludf.DUMMYFUNCTION("""COMPUTED_VALUE"""),"Egypt")</f>
        <v>Egypt</v>
      </c>
      <c r="G1547" s="1" t="str">
        <f ca="1">IFERROR(__xludf.DUMMYFUNCTION("""COMPUTED_VALUE"""),"Ninth 190.18 Egypt")</f>
        <v>Ninth 190.18 Egypt</v>
      </c>
      <c r="H1547" s="1" t="str">
        <f ca="1">IFERROR(__xludf.DUMMYFUNCTION("""COMPUTED_VALUE"""),"Freedom of Expression, Individuals At Risk")</f>
        <v>Freedom of Expression, Individuals At Risk</v>
      </c>
      <c r="I1547" s="1" t="str">
        <f ca="1">IFERROR(__xludf.DUMMYFUNCTION("""COMPUTED_VALUE"""),"2024")</f>
        <v>2024</v>
      </c>
      <c r="J1547" s="1" t="str">
        <f ca="1">IFERROR(__xludf.DUMMYFUNCTION("""COMPUTED_VALUE"""),"Letter")</f>
        <v>Letter</v>
      </c>
    </row>
    <row r="1548" spans="1:10" ht="13" x14ac:dyDescent="0.15">
      <c r="A1548" s="4">
        <f ca="1">IFERROR(__xludf.DUMMYFUNCTION("""COMPUTED_VALUE"""),160850862)</f>
        <v>160850862</v>
      </c>
      <c r="B1548" s="1" t="str">
        <f ca="1">IFERROR(__xludf.DUMMYFUNCTION("""COMPUTED_VALUE"""),"raddink@nycap.rr.com")</f>
        <v>raddink@nycap.rr.com</v>
      </c>
      <c r="C1548" s="4" t="str">
        <f ca="1">IFERROR(__xludf.DUMMYFUNCTION("""COMPUTED_VALUE"""),"EVERGREEN - UAN Gated Content - Embedded Petition")</f>
        <v>EVERGREEN - UAN Gated Content - Embedded Petition</v>
      </c>
      <c r="D1548" s="5">
        <f ca="1">IFERROR(__xludf.DUMMYFUNCTION("""COMPUTED_VALUE"""),45653)</f>
        <v>45653</v>
      </c>
      <c r="F1548" s="1" t="str">
        <f ca="1">IFERROR(__xludf.DUMMYFUNCTION("""COMPUTED_VALUE"""),"Niger")</f>
        <v>Niger</v>
      </c>
      <c r="G1548" s="1" t="str">
        <f ca="1">IFERROR(__xludf.DUMMYFUNCTION("""COMPUTED_VALUE"""),"103.24 Niger")</f>
        <v>103.24 Niger</v>
      </c>
      <c r="H1548" s="1" t="str">
        <f ca="1">IFERROR(__xludf.DUMMYFUNCTION("""COMPUTED_VALUE"""),"Freedom of Expression, Human Rights Defenders")</f>
        <v>Freedom of Expression, Human Rights Defenders</v>
      </c>
      <c r="I1548" s="1" t="str">
        <f ca="1">IFERROR(__xludf.DUMMYFUNCTION("""COMPUTED_VALUE"""),"2024")</f>
        <v>2024</v>
      </c>
      <c r="J1548" s="1" t="str">
        <f ca="1">IFERROR(__xludf.DUMMYFUNCTION("""COMPUTED_VALUE"""),"Email")</f>
        <v>Email</v>
      </c>
    </row>
    <row r="1549" spans="1:10" ht="13" x14ac:dyDescent="0.15">
      <c r="A1549" s="4">
        <f ca="1">IFERROR(__xludf.DUMMYFUNCTION("""COMPUTED_VALUE"""),160851888)</f>
        <v>160851888</v>
      </c>
      <c r="B1549" s="1" t="str">
        <f ca="1">IFERROR(__xludf.DUMMYFUNCTION("""COMPUTED_VALUE"""),"wabaldwin@aol.com")</f>
        <v>wabaldwin@aol.com</v>
      </c>
      <c r="C1549" s="4" t="str">
        <f ca="1">IFERROR(__xludf.DUMMYFUNCTION("""COMPUTED_VALUE"""),"EVERGREEN - UAN Gated Content - Embedded Petition")</f>
        <v>EVERGREEN - UAN Gated Content - Embedded Petition</v>
      </c>
      <c r="D1549" s="5">
        <f ca="1">IFERROR(__xludf.DUMMYFUNCTION("""COMPUTED_VALUE"""),45684)</f>
        <v>45684</v>
      </c>
      <c r="F1549" s="1" t="str">
        <f ca="1">IFERROR(__xludf.DUMMYFUNCTION("""COMPUTED_VALUE"""),"China")</f>
        <v>China</v>
      </c>
      <c r="G1549" s="1" t="str">
        <f ca="1">IFERROR(__xludf.DUMMYFUNCTION("""COMPUTED_VALUE"""),"98.24 China")</f>
        <v>98.24 China</v>
      </c>
      <c r="H1549" s="1" t="str">
        <f ca="1">IFERROR(__xludf.DUMMYFUNCTION("""COMPUTED_VALUE"""),"Freedom of Expression, Individuals At Risk")</f>
        <v>Freedom of Expression, Individuals At Risk</v>
      </c>
      <c r="I1549" s="1" t="str">
        <f ca="1">IFERROR(__xludf.DUMMYFUNCTION("""COMPUTED_VALUE"""),"2024")</f>
        <v>2024</v>
      </c>
      <c r="J1549" s="1" t="str">
        <f ca="1">IFERROR(__xludf.DUMMYFUNCTION("""COMPUTED_VALUE"""),"Letter")</f>
        <v>Letter</v>
      </c>
    </row>
    <row r="1550" spans="1:10" ht="13" x14ac:dyDescent="0.15">
      <c r="A1550" s="4">
        <f ca="1">IFERROR(__xludf.DUMMYFUNCTION("""COMPUTED_VALUE"""),160894541)</f>
        <v>160894541</v>
      </c>
      <c r="B1550" s="1" t="str">
        <f ca="1">IFERROR(__xludf.DUMMYFUNCTION("""COMPUTED_VALUE"""),"nanking1224@earthlink.net")</f>
        <v>nanking1224@earthlink.net</v>
      </c>
      <c r="C1550" s="4" t="str">
        <f ca="1">IFERROR(__xludf.DUMMYFUNCTION("""COMPUTED_VALUE"""),"EVERGREEN - UAN Gated Content - Embedded Petition")</f>
        <v>EVERGREEN - UAN Gated Content - Embedded Petition</v>
      </c>
      <c r="D1550" s="5">
        <f ca="1">IFERROR(__xludf.DUMMYFUNCTION("""COMPUTED_VALUE"""),45694)</f>
        <v>45694</v>
      </c>
      <c r="F1550" s="1" t="str">
        <f ca="1">IFERROR(__xludf.DUMMYFUNCTION("""COMPUTED_VALUE"""),"Niger")</f>
        <v>Niger</v>
      </c>
      <c r="G1550" s="1" t="str">
        <f ca="1">IFERROR(__xludf.DUMMYFUNCTION("""COMPUTED_VALUE"""),"103.24 Niger")</f>
        <v>103.24 Niger</v>
      </c>
      <c r="H1550" s="1" t="str">
        <f ca="1">IFERROR(__xludf.DUMMYFUNCTION("""COMPUTED_VALUE"""),"Freedom of Expression, Human Rights Defenders")</f>
        <v>Freedom of Expression, Human Rights Defenders</v>
      </c>
      <c r="I1550" s="1" t="str">
        <f ca="1">IFERROR(__xludf.DUMMYFUNCTION("""COMPUTED_VALUE"""),"2024")</f>
        <v>2024</v>
      </c>
      <c r="J1550" s="1" t="str">
        <f ca="1">IFERROR(__xludf.DUMMYFUNCTION("""COMPUTED_VALUE"""),"Email")</f>
        <v>Email</v>
      </c>
    </row>
    <row r="1551" spans="1:10" ht="13" x14ac:dyDescent="0.15">
      <c r="A1551" s="4">
        <f ca="1">IFERROR(__xludf.DUMMYFUNCTION("""COMPUTED_VALUE"""),160894541)</f>
        <v>160894541</v>
      </c>
      <c r="B1551" s="1" t="str">
        <f ca="1">IFERROR(__xludf.DUMMYFUNCTION("""COMPUTED_VALUE"""),"nanking1224@earthlink.net")</f>
        <v>nanking1224@earthlink.net</v>
      </c>
      <c r="C1551" s="4" t="str">
        <f ca="1">IFERROR(__xludf.DUMMYFUNCTION("""COMPUTED_VALUE"""),"EVERGREEN - UAN Gated Content - Embedded Petition")</f>
        <v>EVERGREEN - UAN Gated Content - Embedded Petition</v>
      </c>
      <c r="D1551" s="5">
        <f ca="1">IFERROR(__xludf.DUMMYFUNCTION("""COMPUTED_VALUE"""),45694)</f>
        <v>45694</v>
      </c>
      <c r="F1551" s="1" t="str">
        <f ca="1">IFERROR(__xludf.DUMMYFUNCTION("""COMPUTED_VALUE"""),"Saudi Arabia")</f>
        <v>Saudi Arabia</v>
      </c>
      <c r="G1551" s="1" t="str">
        <f ca="1">IFERROR(__xludf.DUMMYFUNCTION("""COMPUTED_VALUE"""),"Fifth 257.12")</f>
        <v>Fifth 257.12</v>
      </c>
      <c r="H1551" s="1" t="str">
        <f ca="1">IFERROR(__xludf.DUMMYFUNCTION("""COMPUTED_VALUE"""),"Freedom of Expression, Human Rights Defenders")</f>
        <v>Freedom of Expression, Human Rights Defenders</v>
      </c>
      <c r="I1551" s="1" t="str">
        <f ca="1">IFERROR(__xludf.DUMMYFUNCTION("""COMPUTED_VALUE"""),"2025")</f>
        <v>2025</v>
      </c>
      <c r="J1551" s="1" t="str">
        <f ca="1">IFERROR(__xludf.DUMMYFUNCTION("""COMPUTED_VALUE"""),"Email")</f>
        <v>Email</v>
      </c>
    </row>
    <row r="1552" spans="1:10" ht="13" x14ac:dyDescent="0.15">
      <c r="A1552" s="4">
        <f ca="1">IFERROR(__xludf.DUMMYFUNCTION("""COMPUTED_VALUE"""),160894541)</f>
        <v>160894541</v>
      </c>
      <c r="B1552" s="1" t="str">
        <f ca="1">IFERROR(__xludf.DUMMYFUNCTION("""COMPUTED_VALUE"""),"nanking1224@earthlink.net")</f>
        <v>nanking1224@earthlink.net</v>
      </c>
      <c r="C1552" s="4" t="str">
        <f ca="1">IFERROR(__xludf.DUMMYFUNCTION("""COMPUTED_VALUE"""),"EVERGREEN - UAN Gated Content - Embedded Petition")</f>
        <v>EVERGREEN - UAN Gated Content - Embedded Petition</v>
      </c>
      <c r="D1552" s="5">
        <f ca="1">IFERROR(__xludf.DUMMYFUNCTION("""COMPUTED_VALUE"""),45636)</f>
        <v>45636</v>
      </c>
      <c r="F1552" s="1" t="str">
        <f ca="1">IFERROR(__xludf.DUMMYFUNCTION("""COMPUTED_VALUE"""),"Iran")</f>
        <v>Iran</v>
      </c>
      <c r="G1552" s="1" t="str">
        <f ca="1">IFERROR(__xludf.DUMMYFUNCTION("""COMPUTED_VALUE"""),"101.24 Iran")</f>
        <v>101.24 Iran</v>
      </c>
      <c r="H1552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1552" s="1" t="str">
        <f ca="1">IFERROR(__xludf.DUMMYFUNCTION("""COMPUTED_VALUE"""),"2024")</f>
        <v>2024</v>
      </c>
      <c r="J1552" s="1" t="str">
        <f ca="1">IFERROR(__xludf.DUMMYFUNCTION("""COMPUTED_VALUE"""),"Email")</f>
        <v>Email</v>
      </c>
    </row>
    <row r="1553" spans="1:10" ht="13" x14ac:dyDescent="0.15">
      <c r="A1553" s="4">
        <f ca="1">IFERROR(__xludf.DUMMYFUNCTION("""COMPUTED_VALUE"""),160894542)</f>
        <v>160894542</v>
      </c>
      <c r="B1553" s="1" t="str">
        <f ca="1">IFERROR(__xludf.DUMMYFUNCTION("""COMPUTED_VALUE"""),"anthony.tuemler@yahoo.com")</f>
        <v>anthony.tuemler@yahoo.com</v>
      </c>
      <c r="C1553" s="4" t="str">
        <f ca="1">IFERROR(__xludf.DUMMYFUNCTION("""COMPUTED_VALUE"""),"EVERGREEN - UAN Gated Content - Embedded Petition")</f>
        <v>EVERGREEN - UAN Gated Content - Embedded Petition</v>
      </c>
      <c r="D1553" s="5">
        <f ca="1">IFERROR(__xludf.DUMMYFUNCTION("""COMPUTED_VALUE"""),45689)</f>
        <v>45689</v>
      </c>
      <c r="F1553" s="1" t="str">
        <f ca="1">IFERROR(__xludf.DUMMYFUNCTION("""COMPUTED_VALUE"""),"Tunisia")</f>
        <v>Tunisia</v>
      </c>
      <c r="G1553" s="1" t="str">
        <f ca="1">IFERROR(__xludf.DUMMYFUNCTION("""COMPUTED_VALUE"""),"Second 76.24 Tunisia")</f>
        <v>Second 76.24 Tunisia</v>
      </c>
      <c r="H1553" s="1" t="str">
        <f ca="1">IFERROR(__xludf.DUMMYFUNCTION("""COMPUTED_VALUE"""),"Freedom of Expression, Human Rights Defenders")</f>
        <v>Freedom of Expression, Human Rights Defenders</v>
      </c>
      <c r="I1553" s="1" t="str">
        <f ca="1">IFERROR(__xludf.DUMMYFUNCTION("""COMPUTED_VALUE"""),"2025")</f>
        <v>2025</v>
      </c>
      <c r="J1553" s="1" t="str">
        <f ca="1">IFERROR(__xludf.DUMMYFUNCTION("""COMPUTED_VALUE"""),"Email")</f>
        <v>Email</v>
      </c>
    </row>
    <row r="1554" spans="1:10" ht="13" x14ac:dyDescent="0.15">
      <c r="A1554" s="4">
        <f ca="1">IFERROR(__xludf.DUMMYFUNCTION("""COMPUTED_VALUE"""),160894542)</f>
        <v>160894542</v>
      </c>
      <c r="B1554" s="1" t="str">
        <f ca="1">IFERROR(__xludf.DUMMYFUNCTION("""COMPUTED_VALUE"""),"anthony.tuemler@yahoo.com")</f>
        <v>anthony.tuemler@yahoo.com</v>
      </c>
      <c r="C1554" s="4" t="str">
        <f ca="1">IFERROR(__xludf.DUMMYFUNCTION("""COMPUTED_VALUE"""),"EVERGREEN - UAN Gated Content - Embedded Petition")</f>
        <v>EVERGREEN - UAN Gated Content - Embedded Petition</v>
      </c>
      <c r="D1554" s="5">
        <f ca="1">IFERROR(__xludf.DUMMYFUNCTION("""COMPUTED_VALUE"""),45685)</f>
        <v>45685</v>
      </c>
      <c r="F1554" s="1" t="str">
        <f ca="1">IFERROR(__xludf.DUMMYFUNCTION("""COMPUTED_VALUE"""),"Venezuela")</f>
        <v>Venezuela</v>
      </c>
      <c r="G1554" s="1" t="str">
        <f ca="1">IFERROR(__xludf.DUMMYFUNCTION("""COMPUTED_VALUE"""),"1.25 Venezuela")</f>
        <v>1.25 Venezuela</v>
      </c>
      <c r="H1554" s="1" t="str">
        <f ca="1">IFERROR(__xludf.DUMMYFUNCTION("""COMPUTED_VALUE"""),"Human Rights Defenders, Individuals At Risk")</f>
        <v>Human Rights Defenders, Individuals At Risk</v>
      </c>
      <c r="I1554" s="1" t="str">
        <f ca="1">IFERROR(__xludf.DUMMYFUNCTION("""COMPUTED_VALUE"""),"2025")</f>
        <v>2025</v>
      </c>
      <c r="J1554" s="1" t="str">
        <f ca="1">IFERROR(__xludf.DUMMYFUNCTION("""COMPUTED_VALUE"""),"Letter")</f>
        <v>Letter</v>
      </c>
    </row>
    <row r="1555" spans="1:10" ht="13" x14ac:dyDescent="0.15">
      <c r="A1555" s="4">
        <f ca="1">IFERROR(__xludf.DUMMYFUNCTION("""COMPUTED_VALUE"""),160894542)</f>
        <v>160894542</v>
      </c>
      <c r="B1555" s="1" t="str">
        <f ca="1">IFERROR(__xludf.DUMMYFUNCTION("""COMPUTED_VALUE"""),"anthony.tuemler@yahoo.com")</f>
        <v>anthony.tuemler@yahoo.com</v>
      </c>
      <c r="C1555" s="4" t="str">
        <f ca="1">IFERROR(__xludf.DUMMYFUNCTION("""COMPUTED_VALUE"""),"EVERGREEN - UAN Gated Content - Embedded Petition")</f>
        <v>EVERGREEN - UAN Gated Content - Embedded Petition</v>
      </c>
      <c r="D1555" s="5">
        <f ca="1">IFERROR(__xludf.DUMMYFUNCTION("""COMPUTED_VALUE"""),45685)</f>
        <v>45685</v>
      </c>
      <c r="F1555" s="1" t="str">
        <f ca="1">IFERROR(__xludf.DUMMYFUNCTION("""COMPUTED_VALUE"""),"Azerbaijan")</f>
        <v>Azerbaijan</v>
      </c>
      <c r="G1555" s="1" t="str">
        <f ca="1">IFERROR(__xludf.DUMMYFUNCTION("""COMPUTED_VALUE"""),"2.25 Azerbaijan")</f>
        <v>2.25 Azerbaijan</v>
      </c>
      <c r="H1555" s="1" t="str">
        <f ca="1">IFERROR(__xludf.DUMMYFUNCTION("""COMPUTED_VALUE"""),"Freedom of Expression, Human Rights Defenders")</f>
        <v>Freedom of Expression, Human Rights Defenders</v>
      </c>
      <c r="I1555" s="1" t="str">
        <f ca="1">IFERROR(__xludf.DUMMYFUNCTION("""COMPUTED_VALUE"""),"2025")</f>
        <v>2025</v>
      </c>
      <c r="J1555" s="1" t="str">
        <f ca="1">IFERROR(__xludf.DUMMYFUNCTION("""COMPUTED_VALUE"""),"Email")</f>
        <v>Email</v>
      </c>
    </row>
    <row r="1556" spans="1:10" ht="13" x14ac:dyDescent="0.15">
      <c r="A1556" s="4">
        <f ca="1">IFERROR(__xludf.DUMMYFUNCTION("""COMPUTED_VALUE"""),160894542)</f>
        <v>160894542</v>
      </c>
      <c r="B1556" s="1" t="str">
        <f ca="1">IFERROR(__xludf.DUMMYFUNCTION("""COMPUTED_VALUE"""),"anthony.tuemler@yahoo.com")</f>
        <v>anthony.tuemler@yahoo.com</v>
      </c>
      <c r="C1556" s="4" t="str">
        <f ca="1">IFERROR(__xludf.DUMMYFUNCTION("""COMPUTED_VALUE"""),"EVERGREEN - UAN Gated Content - Embedded Petition")</f>
        <v>EVERGREEN - UAN Gated Content - Embedded Petition</v>
      </c>
      <c r="D1556" s="5">
        <f ca="1">IFERROR(__xludf.DUMMYFUNCTION("""COMPUTED_VALUE"""),45688)</f>
        <v>45688</v>
      </c>
      <c r="F1556" s="1" t="str">
        <f ca="1">IFERROR(__xludf.DUMMYFUNCTION("""COMPUTED_VALUE"""),"Iran")</f>
        <v>Iran</v>
      </c>
      <c r="G1556" s="1" t="str">
        <f ca="1">IFERROR(__xludf.DUMMYFUNCTION("""COMPUTED_VALUE"""),"Seventh 103.22 Iran")</f>
        <v>Seventh 103.22 Iran</v>
      </c>
      <c r="H1556" s="1" t="str">
        <f ca="1">IFERROR(__xludf.DUMMYFUNCTION("""COMPUTED_VALUE"""),"Death Penalty, Freedom of Expression, Individuals At Risk")</f>
        <v>Death Penalty, Freedom of Expression, Individuals At Risk</v>
      </c>
      <c r="I1556" s="1" t="str">
        <f ca="1">IFERROR(__xludf.DUMMYFUNCTION("""COMPUTED_VALUE"""),"2024")</f>
        <v>2024</v>
      </c>
      <c r="J1556" s="1" t="str">
        <f ca="1">IFERROR(__xludf.DUMMYFUNCTION("""COMPUTED_VALUE"""),"Email")</f>
        <v>Email</v>
      </c>
    </row>
    <row r="1557" spans="1:10" ht="13" x14ac:dyDescent="0.15">
      <c r="A1557" s="4">
        <f ca="1">IFERROR(__xludf.DUMMYFUNCTION("""COMPUTED_VALUE"""),160894542)</f>
        <v>160894542</v>
      </c>
      <c r="B1557" s="1" t="str">
        <f ca="1">IFERROR(__xludf.DUMMYFUNCTION("""COMPUTED_VALUE"""),"anthony.tuemler@yahoo.com")</f>
        <v>anthony.tuemler@yahoo.com</v>
      </c>
      <c r="C1557" s="4" t="str">
        <f ca="1">IFERROR(__xludf.DUMMYFUNCTION("""COMPUTED_VALUE"""),"EVERGREEN - UAN Gated Content - Embedded Petition")</f>
        <v>EVERGREEN - UAN Gated Content - Embedded Petition</v>
      </c>
      <c r="D1557" s="5">
        <f ca="1">IFERROR(__xludf.DUMMYFUNCTION("""COMPUTED_VALUE"""),45689)</f>
        <v>45689</v>
      </c>
      <c r="F1557" s="1" t="str">
        <f ca="1">IFERROR(__xludf.DUMMYFUNCTION("""COMPUTED_VALUE"""),"Niger")</f>
        <v>Niger</v>
      </c>
      <c r="G1557" s="1" t="str">
        <f ca="1">IFERROR(__xludf.DUMMYFUNCTION("""COMPUTED_VALUE"""),"103.24 Niger")</f>
        <v>103.24 Niger</v>
      </c>
      <c r="H1557" s="1" t="str">
        <f ca="1">IFERROR(__xludf.DUMMYFUNCTION("""COMPUTED_VALUE"""),"Freedom of Expression, Human Rights Defenders")</f>
        <v>Freedom of Expression, Human Rights Defenders</v>
      </c>
      <c r="I1557" s="1" t="str">
        <f ca="1">IFERROR(__xludf.DUMMYFUNCTION("""COMPUTED_VALUE"""),"2024")</f>
        <v>2024</v>
      </c>
      <c r="J1557" s="1" t="str">
        <f ca="1">IFERROR(__xludf.DUMMYFUNCTION("""COMPUTED_VALUE"""),"Email")</f>
        <v>Email</v>
      </c>
    </row>
    <row r="1558" spans="1:10" ht="13" x14ac:dyDescent="0.15">
      <c r="A1558" s="4">
        <f ca="1">IFERROR(__xludf.DUMMYFUNCTION("""COMPUTED_VALUE"""),160894542)</f>
        <v>160894542</v>
      </c>
      <c r="B1558" s="1" t="str">
        <f ca="1">IFERROR(__xludf.DUMMYFUNCTION("""COMPUTED_VALUE"""),"anthony.tuemler@yahoo.com")</f>
        <v>anthony.tuemler@yahoo.com</v>
      </c>
      <c r="C1558" s="4" t="str">
        <f ca="1">IFERROR(__xludf.DUMMYFUNCTION("""COMPUTED_VALUE"""),"EVERGREEN - UAN Gated Content - Embedded Petition")</f>
        <v>EVERGREEN - UAN Gated Content - Embedded Petition</v>
      </c>
      <c r="D1558" s="5">
        <f ca="1">IFERROR(__xludf.DUMMYFUNCTION("""COMPUTED_VALUE"""),45675)</f>
        <v>45675</v>
      </c>
      <c r="F1558" s="1" t="str">
        <f ca="1">IFERROR(__xludf.DUMMYFUNCTION("""COMPUTED_VALUE"""),"Turkiye")</f>
        <v>Turkiye</v>
      </c>
      <c r="G1558" s="1" t="str">
        <f ca="1">IFERROR(__xludf.DUMMYFUNCTION("""COMPUTED_VALUE"""),"109.24 Türkiye")</f>
        <v>109.24 Türkiye</v>
      </c>
      <c r="H1558" s="1" t="str">
        <f ca="1">IFERROR(__xludf.DUMMYFUNCTION("""COMPUTED_VALUE"""),"Human Rights Defenders, Individuals At Risk")</f>
        <v>Human Rights Defenders, Individuals At Risk</v>
      </c>
      <c r="I1558" s="1" t="str">
        <f ca="1">IFERROR(__xludf.DUMMYFUNCTION("""COMPUTED_VALUE"""),"2024")</f>
        <v>2024</v>
      </c>
      <c r="J1558" s="1" t="str">
        <f ca="1">IFERROR(__xludf.DUMMYFUNCTION("""COMPUTED_VALUE"""),"Email")</f>
        <v>Email</v>
      </c>
    </row>
    <row r="1559" spans="1:10" ht="13" x14ac:dyDescent="0.15">
      <c r="A1559" s="4">
        <f ca="1">IFERROR(__xludf.DUMMYFUNCTION("""COMPUTED_VALUE"""),160894542)</f>
        <v>160894542</v>
      </c>
      <c r="B1559" s="1" t="str">
        <f ca="1">IFERROR(__xludf.DUMMYFUNCTION("""COMPUTED_VALUE"""),"anthony.tuemler@yahoo.com")</f>
        <v>anthony.tuemler@yahoo.com</v>
      </c>
      <c r="C1559" s="4" t="str">
        <f ca="1">IFERROR(__xludf.DUMMYFUNCTION("""COMPUTED_VALUE"""),"EVERGREEN - UAN Gated Content - Embedded Petition")</f>
        <v>EVERGREEN - UAN Gated Content - Embedded Petition</v>
      </c>
      <c r="D1559" s="5">
        <f ca="1">IFERROR(__xludf.DUMMYFUNCTION("""COMPUTED_VALUE"""),45696)</f>
        <v>45696</v>
      </c>
      <c r="F1559" s="1" t="str">
        <f ca="1">IFERROR(__xludf.DUMMYFUNCTION("""COMPUTED_VALUE"""),"USA")</f>
        <v>USA</v>
      </c>
      <c r="G1559" s="1" t="str">
        <f ca="1">IFERROR(__xludf.DUMMYFUNCTION("""COMPUTED_VALUE"""),"Fourth 55.24 USA")</f>
        <v>Fourth 55.24 USA</v>
      </c>
      <c r="H1559" s="1" t="str">
        <f ca="1">IFERROR(__xludf.DUMMYFUNCTION("""COMPUTED_VALUE"""),"Climate Justice, Individuals At Risk")</f>
        <v>Climate Justice, Individuals At Risk</v>
      </c>
      <c r="I1559" s="1" t="str">
        <f ca="1">IFERROR(__xludf.DUMMYFUNCTION("""COMPUTED_VALUE"""),"2025")</f>
        <v>2025</v>
      </c>
      <c r="J1559" s="1" t="str">
        <f ca="1">IFERROR(__xludf.DUMMYFUNCTION("""COMPUTED_VALUE"""),"Email")</f>
        <v>Email</v>
      </c>
    </row>
    <row r="1560" spans="1:10" ht="13" x14ac:dyDescent="0.15">
      <c r="A1560" s="4">
        <f ca="1">IFERROR(__xludf.DUMMYFUNCTION("""COMPUTED_VALUE"""),160894542)</f>
        <v>160894542</v>
      </c>
      <c r="B1560" s="1" t="str">
        <f ca="1">IFERROR(__xludf.DUMMYFUNCTION("""COMPUTED_VALUE"""),"anthony.tuemler@yahoo.com")</f>
        <v>anthony.tuemler@yahoo.com</v>
      </c>
      <c r="C1560" s="4" t="str">
        <f ca="1">IFERROR(__xludf.DUMMYFUNCTION("""COMPUTED_VALUE"""),"EVERGREEN - UAN Gated Content - Embedded Petition")</f>
        <v>EVERGREEN - UAN Gated Content - Embedded Petition</v>
      </c>
      <c r="D1560" s="5">
        <f ca="1">IFERROR(__xludf.DUMMYFUNCTION("""COMPUTED_VALUE"""),45694)</f>
        <v>45694</v>
      </c>
      <c r="F1560" s="1" t="str">
        <f ca="1">IFERROR(__xludf.DUMMYFUNCTION("""COMPUTED_VALUE"""),"Tunisia")</f>
        <v>Tunisia</v>
      </c>
      <c r="G1560" s="1" t="str">
        <f ca="1">IFERROR(__xludf.DUMMYFUNCTION("""COMPUTED_VALUE"""),"Second 43.24 Tunisia")</f>
        <v>Second 43.24 Tunisia</v>
      </c>
      <c r="H1560" s="1" t="str">
        <f ca="1">IFERROR(__xludf.DUMMYFUNCTION("""COMPUTED_VALUE"""),"Freedom of Expression, Individuals At Risk")</f>
        <v>Freedom of Expression, Individuals At Risk</v>
      </c>
      <c r="I1560" s="1" t="str">
        <f ca="1">IFERROR(__xludf.DUMMYFUNCTION("""COMPUTED_VALUE"""),"2024")</f>
        <v>2024</v>
      </c>
      <c r="J1560" s="1" t="str">
        <f ca="1">IFERROR(__xludf.DUMMYFUNCTION("""COMPUTED_VALUE"""),"Email")</f>
        <v>Email</v>
      </c>
    </row>
    <row r="1561" spans="1:10" ht="13" x14ac:dyDescent="0.15">
      <c r="A1561" s="4">
        <f ca="1">IFERROR(__xludf.DUMMYFUNCTION("""COMPUTED_VALUE"""),160894542)</f>
        <v>160894542</v>
      </c>
      <c r="B1561" s="1" t="str">
        <f ca="1">IFERROR(__xludf.DUMMYFUNCTION("""COMPUTED_VALUE"""),"anthony.tuemler@yahoo.com")</f>
        <v>anthony.tuemler@yahoo.com</v>
      </c>
      <c r="C1561" s="4" t="str">
        <f ca="1">IFERROR(__xludf.DUMMYFUNCTION("""COMPUTED_VALUE"""),"EVERGREEN - UAN Gated Content - Embedded Petition")</f>
        <v>EVERGREEN - UAN Gated Content - Embedded Petition</v>
      </c>
      <c r="D1561" s="5">
        <f ca="1">IFERROR(__xludf.DUMMYFUNCTION("""COMPUTED_VALUE"""),45702)</f>
        <v>45702</v>
      </c>
      <c r="F1561" s="1" t="str">
        <f ca="1">IFERROR(__xludf.DUMMYFUNCTION("""COMPUTED_VALUE"""),"China")</f>
        <v>China</v>
      </c>
      <c r="G1561" s="1" t="str">
        <f ca="1">IFERROR(__xludf.DUMMYFUNCTION("""COMPUTED_VALUE"""),"106.24 China")</f>
        <v>106.24 China</v>
      </c>
      <c r="H1561" s="1" t="str">
        <f ca="1">IFERROR(__xludf.DUMMYFUNCTION("""COMPUTED_VALUE"""),"Freedom of Expression, Individuals At Risk")</f>
        <v>Freedom of Expression, Individuals At Risk</v>
      </c>
      <c r="I1561" s="1" t="str">
        <f ca="1">IFERROR(__xludf.DUMMYFUNCTION("""COMPUTED_VALUE"""),"2024")</f>
        <v>2024</v>
      </c>
      <c r="J1561" s="1" t="str">
        <f ca="1">IFERROR(__xludf.DUMMYFUNCTION("""COMPUTED_VALUE"""),"Email")</f>
        <v>Email</v>
      </c>
    </row>
    <row r="1562" spans="1:10" ht="13" x14ac:dyDescent="0.15">
      <c r="A1562" s="4">
        <f ca="1">IFERROR(__xludf.DUMMYFUNCTION("""COMPUTED_VALUE"""),160894542)</f>
        <v>160894542</v>
      </c>
      <c r="B1562" s="1" t="str">
        <f ca="1">IFERROR(__xludf.DUMMYFUNCTION("""COMPUTED_VALUE"""),"anthony.tuemler@yahoo.com")</f>
        <v>anthony.tuemler@yahoo.com</v>
      </c>
      <c r="C1562" s="4" t="str">
        <f ca="1">IFERROR(__xludf.DUMMYFUNCTION("""COMPUTED_VALUE"""),"EVERGREEN - UAN Gated Content - Embedded Petition")</f>
        <v>EVERGREEN - UAN Gated Content - Embedded Petition</v>
      </c>
      <c r="D1562" s="5">
        <f ca="1">IFERROR(__xludf.DUMMYFUNCTION("""COMPUTED_VALUE"""),45700)</f>
        <v>45700</v>
      </c>
      <c r="F1562" s="1" t="str">
        <f ca="1">IFERROR(__xludf.DUMMYFUNCTION("""COMPUTED_VALUE"""),"Singapore")</f>
        <v>Singapore</v>
      </c>
      <c r="G1562" s="1" t="str">
        <f ca="1">IFERROR(__xludf.DUMMYFUNCTION("""COMPUTED_VALUE"""),"107.24 Singapore")</f>
        <v>107.24 Singapore</v>
      </c>
      <c r="H1562" s="1" t="str">
        <f ca="1">IFERROR(__xludf.DUMMYFUNCTION("""COMPUTED_VALUE"""),"Death Penalty")</f>
        <v>Death Penalty</v>
      </c>
      <c r="I1562" s="1" t="str">
        <f ca="1">IFERROR(__xludf.DUMMYFUNCTION("""COMPUTED_VALUE"""),"2024")</f>
        <v>2024</v>
      </c>
      <c r="J1562" s="1" t="str">
        <f ca="1">IFERROR(__xludf.DUMMYFUNCTION("""COMPUTED_VALUE"""),"Email")</f>
        <v>Email</v>
      </c>
    </row>
    <row r="1563" spans="1:10" ht="13" x14ac:dyDescent="0.15">
      <c r="A1563" s="4">
        <f ca="1">IFERROR(__xludf.DUMMYFUNCTION("""COMPUTED_VALUE"""),160894542)</f>
        <v>160894542</v>
      </c>
      <c r="B1563" s="1" t="str">
        <f ca="1">IFERROR(__xludf.DUMMYFUNCTION("""COMPUTED_VALUE"""),"anthony.tuemler@yahoo.com")</f>
        <v>anthony.tuemler@yahoo.com</v>
      </c>
      <c r="C1563" s="4" t="str">
        <f ca="1">IFERROR(__xludf.DUMMYFUNCTION("""COMPUTED_VALUE"""),"EVERGREEN - UAN Gated Content - Embedded Petition")</f>
        <v>EVERGREEN - UAN Gated Content - Embedded Petition</v>
      </c>
      <c r="D1563" s="5">
        <f ca="1">IFERROR(__xludf.DUMMYFUNCTION("""COMPUTED_VALUE"""),45698)</f>
        <v>45698</v>
      </c>
      <c r="F1563" s="1" t="str">
        <f ca="1">IFERROR(__xludf.DUMMYFUNCTION("""COMPUTED_VALUE"""),"Egypt")</f>
        <v>Egypt</v>
      </c>
      <c r="G1563" s="1" t="str">
        <f ca="1">IFERROR(__xludf.DUMMYFUNCTION("""COMPUTED_VALUE"""),"Ninth 190.18 Egypt")</f>
        <v>Ninth 190.18 Egypt</v>
      </c>
      <c r="H1563" s="1" t="str">
        <f ca="1">IFERROR(__xludf.DUMMYFUNCTION("""COMPUTED_VALUE"""),"Freedom of Expression, Individuals At Risk")</f>
        <v>Freedom of Expression, Individuals At Risk</v>
      </c>
      <c r="I1563" s="1" t="str">
        <f ca="1">IFERROR(__xludf.DUMMYFUNCTION("""COMPUTED_VALUE"""),"2024")</f>
        <v>2024</v>
      </c>
      <c r="J1563" s="1" t="str">
        <f ca="1">IFERROR(__xludf.DUMMYFUNCTION("""COMPUTED_VALUE"""),"Letter")</f>
        <v>Letter</v>
      </c>
    </row>
    <row r="1564" spans="1:10" ht="13" x14ac:dyDescent="0.15">
      <c r="A1564" s="4">
        <f ca="1">IFERROR(__xludf.DUMMYFUNCTION("""COMPUTED_VALUE"""),160894542)</f>
        <v>160894542</v>
      </c>
      <c r="B1564" s="1" t="str">
        <f ca="1">IFERROR(__xludf.DUMMYFUNCTION("""COMPUTED_VALUE"""),"anthony.tuemler@yahoo.com")</f>
        <v>anthony.tuemler@yahoo.com</v>
      </c>
      <c r="C1564" s="4" t="str">
        <f ca="1">IFERROR(__xludf.DUMMYFUNCTION("""COMPUTED_VALUE"""),"EVERGREEN - UAN Gated Content - Embedded Petition")</f>
        <v>EVERGREEN - UAN Gated Content - Embedded Petition</v>
      </c>
      <c r="D1564" s="5">
        <f ca="1">IFERROR(__xludf.DUMMYFUNCTION("""COMPUTED_VALUE"""),45696)</f>
        <v>45696</v>
      </c>
      <c r="F1564" s="1" t="str">
        <f ca="1">IFERROR(__xludf.DUMMYFUNCTION("""COMPUTED_VALUE"""),"Saudi Arabia")</f>
        <v>Saudi Arabia</v>
      </c>
      <c r="G1564" s="1" t="str">
        <f ca="1">IFERROR(__xludf.DUMMYFUNCTION("""COMPUTED_VALUE"""),"Second 85.23 Saudi Arabia")</f>
        <v>Second 85.23 Saudi Arabia</v>
      </c>
      <c r="H1564" s="1" t="str">
        <f ca="1">IFERROR(__xludf.DUMMYFUNCTION("""COMPUTED_VALUE"""),"Freedom of Expression")</f>
        <v>Freedom of Expression</v>
      </c>
      <c r="I1564" s="1" t="str">
        <f ca="1">IFERROR(__xludf.DUMMYFUNCTION("""COMPUTED_VALUE"""),"2024")</f>
        <v>2024</v>
      </c>
      <c r="J1564" s="1" t="str">
        <f ca="1">IFERROR(__xludf.DUMMYFUNCTION("""COMPUTED_VALUE"""),"Letter")</f>
        <v>Letter</v>
      </c>
    </row>
    <row r="1565" spans="1:10" ht="13" x14ac:dyDescent="0.15">
      <c r="A1565" s="4">
        <f ca="1">IFERROR(__xludf.DUMMYFUNCTION("""COMPUTED_VALUE"""),160894542)</f>
        <v>160894542</v>
      </c>
      <c r="B1565" s="1" t="str">
        <f ca="1">IFERROR(__xludf.DUMMYFUNCTION("""COMPUTED_VALUE"""),"anthony.tuemler@yahoo.com")</f>
        <v>anthony.tuemler@yahoo.com</v>
      </c>
      <c r="C1565" s="4" t="str">
        <f ca="1">IFERROR(__xludf.DUMMYFUNCTION("""COMPUTED_VALUE"""),"EVERGREEN - UAN Gated Content - Embedded Petition")</f>
        <v>EVERGREEN - UAN Gated Content - Embedded Petition</v>
      </c>
      <c r="D1565" s="5">
        <f ca="1">IFERROR(__xludf.DUMMYFUNCTION("""COMPUTED_VALUE"""),45696)</f>
        <v>45696</v>
      </c>
      <c r="F1565" s="1" t="str">
        <f ca="1">IFERROR(__xludf.DUMMYFUNCTION("""COMPUTED_VALUE"""),"Egypt")</f>
        <v>Egypt</v>
      </c>
      <c r="G1565" s="1" t="str">
        <f ca="1">IFERROR(__xludf.DUMMYFUNCTION("""COMPUTED_VALUE"""),"Third 73.23 Egypt")</f>
        <v>Third 73.23 Egypt</v>
      </c>
      <c r="H1565" s="1" t="str">
        <f ca="1">IFERROR(__xludf.DUMMYFUNCTION("""COMPUTED_VALUE"""),"Individuals At Risk")</f>
        <v>Individuals At Risk</v>
      </c>
      <c r="I1565" s="1" t="str">
        <f ca="1">IFERROR(__xludf.DUMMYFUNCTION("""COMPUTED_VALUE"""),"2024")</f>
        <v>2024</v>
      </c>
      <c r="J1565" s="1" t="str">
        <f ca="1">IFERROR(__xludf.DUMMYFUNCTION("""COMPUTED_VALUE"""),"Email")</f>
        <v>Email</v>
      </c>
    </row>
    <row r="1566" spans="1:10" ht="13" x14ac:dyDescent="0.15">
      <c r="A1566" s="4">
        <f ca="1">IFERROR(__xludf.DUMMYFUNCTION("""COMPUTED_VALUE"""),160894542)</f>
        <v>160894542</v>
      </c>
      <c r="B1566" s="1" t="str">
        <f ca="1">IFERROR(__xludf.DUMMYFUNCTION("""COMPUTED_VALUE"""),"anthony.tuemler@yahoo.com")</f>
        <v>anthony.tuemler@yahoo.com</v>
      </c>
      <c r="C1566" s="4" t="str">
        <f ca="1">IFERROR(__xludf.DUMMYFUNCTION("""COMPUTED_VALUE"""),"EVERGREEN - UAN Gated Content - Embedded Petition")</f>
        <v>EVERGREEN - UAN Gated Content - Embedded Petition</v>
      </c>
      <c r="D1566" s="5">
        <f ca="1">IFERROR(__xludf.DUMMYFUNCTION("""COMPUTED_VALUE"""),45695)</f>
        <v>45695</v>
      </c>
      <c r="F1566" s="1" t="str">
        <f ca="1">IFERROR(__xludf.DUMMYFUNCTION("""COMPUTED_VALUE"""),"Iran")</f>
        <v>Iran</v>
      </c>
      <c r="G1566" s="1" t="str">
        <f ca="1">IFERROR(__xludf.DUMMYFUNCTION("""COMPUTED_VALUE"""),"10.25 Iran")</f>
        <v>10.25 Iran</v>
      </c>
      <c r="H1566" s="1" t="str">
        <f ca="1">IFERROR(__xludf.DUMMYFUNCTION("""COMPUTED_VALUE"""),"Death Penalty, Individuals At Risk")</f>
        <v>Death Penalty, Individuals At Risk</v>
      </c>
      <c r="I1566" s="1" t="str">
        <f ca="1">IFERROR(__xludf.DUMMYFUNCTION("""COMPUTED_VALUE"""),"2025")</f>
        <v>2025</v>
      </c>
      <c r="J1566" s="1" t="str">
        <f ca="1">IFERROR(__xludf.DUMMYFUNCTION("""COMPUTED_VALUE"""),"Email")</f>
        <v>Email</v>
      </c>
    </row>
    <row r="1567" spans="1:10" ht="13" x14ac:dyDescent="0.15">
      <c r="A1567" s="4">
        <f ca="1">IFERROR(__xludf.DUMMYFUNCTION("""COMPUTED_VALUE"""),160894542)</f>
        <v>160894542</v>
      </c>
      <c r="B1567" s="1" t="str">
        <f ca="1">IFERROR(__xludf.DUMMYFUNCTION("""COMPUTED_VALUE"""),"anthony.tuemler@yahoo.com")</f>
        <v>anthony.tuemler@yahoo.com</v>
      </c>
      <c r="C1567" s="4" t="str">
        <f ca="1">IFERROR(__xludf.DUMMYFUNCTION("""COMPUTED_VALUE"""),"EVERGREEN - UAN Gated Content - Embedded Petition")</f>
        <v>EVERGREEN - UAN Gated Content - Embedded Petition</v>
      </c>
      <c r="D1567" s="5">
        <f ca="1">IFERROR(__xludf.DUMMYFUNCTION("""COMPUTED_VALUE"""),45706)</f>
        <v>45706</v>
      </c>
      <c r="F1567" s="1" t="str">
        <f ca="1">IFERROR(__xludf.DUMMYFUNCTION("""COMPUTED_VALUE"""),"Saudi Arabia")</f>
        <v>Saudi Arabia</v>
      </c>
      <c r="G1567" s="1" t="str">
        <f ca="1">IFERROR(__xludf.DUMMYFUNCTION("""COMPUTED_VALUE"""),"Fifth 257.12")</f>
        <v>Fifth 257.12</v>
      </c>
      <c r="H1567" s="1" t="str">
        <f ca="1">IFERROR(__xludf.DUMMYFUNCTION("""COMPUTED_VALUE"""),"Freedom of Expression, Human Rights Defenders")</f>
        <v>Freedom of Expression, Human Rights Defenders</v>
      </c>
      <c r="I1567" s="1" t="str">
        <f ca="1">IFERROR(__xludf.DUMMYFUNCTION("""COMPUTED_VALUE"""),"2025")</f>
        <v>2025</v>
      </c>
      <c r="J1567" s="1" t="str">
        <f ca="1">IFERROR(__xludf.DUMMYFUNCTION("""COMPUTED_VALUE"""),"Email")</f>
        <v>Email</v>
      </c>
    </row>
    <row r="1568" spans="1:10" ht="13" x14ac:dyDescent="0.15">
      <c r="A1568" s="4">
        <f ca="1">IFERROR(__xludf.DUMMYFUNCTION("""COMPUTED_VALUE"""),160894542)</f>
        <v>160894542</v>
      </c>
      <c r="B1568" s="1" t="str">
        <f ca="1">IFERROR(__xludf.DUMMYFUNCTION("""COMPUTED_VALUE"""),"anthony.tuemler@yahoo.com")</f>
        <v>anthony.tuemler@yahoo.com</v>
      </c>
      <c r="C1568" s="4" t="str">
        <f ca="1">IFERROR(__xludf.DUMMYFUNCTION("""COMPUTED_VALUE"""),"EVERGREEN - UAN Gated Content - Embedded Petition")</f>
        <v>EVERGREEN - UAN Gated Content - Embedded Petition</v>
      </c>
      <c r="D1568" s="5">
        <f ca="1">IFERROR(__xludf.DUMMYFUNCTION("""COMPUTED_VALUE"""),45704)</f>
        <v>45704</v>
      </c>
      <c r="F1568" s="1" t="str">
        <f ca="1">IFERROR(__xludf.DUMMYFUNCTION("""COMPUTED_VALUE"""),"USA")</f>
        <v>USA</v>
      </c>
      <c r="G1568" s="1" t="str">
        <f ca="1">IFERROR(__xludf.DUMMYFUNCTION("""COMPUTED_VALUE"""),"4.25 USA")</f>
        <v>4.25 USA</v>
      </c>
      <c r="H1568" s="1" t="str">
        <f ca="1">IFERROR(__xludf.DUMMYFUNCTION("""COMPUTED_VALUE"""),"Individuals At Risk, Refugee and Migrant Rights")</f>
        <v>Individuals At Risk, Refugee and Migrant Rights</v>
      </c>
      <c r="I1568" s="1" t="str">
        <f ca="1">IFERROR(__xludf.DUMMYFUNCTION("""COMPUTED_VALUE"""),"2025")</f>
        <v>2025</v>
      </c>
      <c r="J1568" s="1" t="str">
        <f ca="1">IFERROR(__xludf.DUMMYFUNCTION("""COMPUTED_VALUE"""),"Letter")</f>
        <v>Letter</v>
      </c>
    </row>
    <row r="1569" spans="1:10" ht="13" x14ac:dyDescent="0.15">
      <c r="A1569" s="4">
        <f ca="1">IFERROR(__xludf.DUMMYFUNCTION("""COMPUTED_VALUE"""),160894542)</f>
        <v>160894542</v>
      </c>
      <c r="B1569" s="1" t="str">
        <f ca="1">IFERROR(__xludf.DUMMYFUNCTION("""COMPUTED_VALUE"""),"anthony.tuemler@yahoo.com")</f>
        <v>anthony.tuemler@yahoo.com</v>
      </c>
      <c r="C1569" s="4" t="str">
        <f ca="1">IFERROR(__xludf.DUMMYFUNCTION("""COMPUTED_VALUE"""),"EVERGREEN - UAN Gated Content - Embedded Petition")</f>
        <v>EVERGREEN - UAN Gated Content - Embedded Petition</v>
      </c>
      <c r="D1569" s="5">
        <f ca="1">IFERROR(__xludf.DUMMYFUNCTION("""COMPUTED_VALUE"""),45704)</f>
        <v>45704</v>
      </c>
      <c r="F1569" s="1" t="str">
        <f ca="1">IFERROR(__xludf.DUMMYFUNCTION("""COMPUTED_VALUE"""),"USA")</f>
        <v>USA</v>
      </c>
      <c r="G1569" s="1" t="str">
        <f ca="1">IFERROR(__xludf.DUMMYFUNCTION("""COMPUTED_VALUE"""),"4.25 USA")</f>
        <v>4.25 USA</v>
      </c>
      <c r="H1569" s="1" t="str">
        <f ca="1">IFERROR(__xludf.DUMMYFUNCTION("""COMPUTED_VALUE"""),"Individuals At Risk, Refugee and Migrant Rights")</f>
        <v>Individuals At Risk, Refugee and Migrant Rights</v>
      </c>
      <c r="I1569" s="1" t="str">
        <f ca="1">IFERROR(__xludf.DUMMYFUNCTION("""COMPUTED_VALUE"""),"2025")</f>
        <v>2025</v>
      </c>
      <c r="J1569" s="1" t="str">
        <f ca="1">IFERROR(__xludf.DUMMYFUNCTION("""COMPUTED_VALUE"""),"Letter")</f>
        <v>Letter</v>
      </c>
    </row>
    <row r="1570" spans="1:10" ht="13" x14ac:dyDescent="0.15">
      <c r="A1570" s="4">
        <f ca="1">IFERROR(__xludf.DUMMYFUNCTION("""COMPUTED_VALUE"""),160894542)</f>
        <v>160894542</v>
      </c>
      <c r="B1570" s="1" t="str">
        <f ca="1">IFERROR(__xludf.DUMMYFUNCTION("""COMPUTED_VALUE"""),"anthony.tuemler@yahoo.com")</f>
        <v>anthony.tuemler@yahoo.com</v>
      </c>
      <c r="C1570" s="4" t="str">
        <f ca="1">IFERROR(__xludf.DUMMYFUNCTION("""COMPUTED_VALUE"""),"EVERGREEN - UAN Gated Content - Embedded Petition")</f>
        <v>EVERGREEN - UAN Gated Content - Embedded Petition</v>
      </c>
      <c r="D1570" s="5">
        <f ca="1">IFERROR(__xludf.DUMMYFUNCTION("""COMPUTED_VALUE"""),45633)</f>
        <v>45633</v>
      </c>
      <c r="F1570" s="1" t="str">
        <f ca="1">IFERROR(__xludf.DUMMYFUNCTION("""COMPUTED_VALUE"""),"Iran")</f>
        <v>Iran</v>
      </c>
      <c r="G1570" s="1" t="str">
        <f ca="1">IFERROR(__xludf.DUMMYFUNCTION("""COMPUTED_VALUE"""),"6.25 Iran")</f>
        <v>6.25 Iran</v>
      </c>
      <c r="H1570" s="1" t="str">
        <f ca="1">IFERROR(__xludf.DUMMYFUNCTION("""COMPUTED_VALUE"""),"Death Penalty, Freedom of Expression, Individuals At Risk")</f>
        <v>Death Penalty, Freedom of Expression, Individuals At Risk</v>
      </c>
      <c r="I1570" s="1" t="str">
        <f ca="1">IFERROR(__xludf.DUMMYFUNCTION("""COMPUTED_VALUE"""),"2025")</f>
        <v>2025</v>
      </c>
      <c r="J1570" s="1" t="str">
        <f ca="1">IFERROR(__xludf.DUMMYFUNCTION("""COMPUTED_VALUE"""),"Email")</f>
        <v>Email</v>
      </c>
    </row>
    <row r="1571" spans="1:10" ht="13" x14ac:dyDescent="0.15">
      <c r="A1571" s="4">
        <f ca="1">IFERROR(__xludf.DUMMYFUNCTION("""COMPUTED_VALUE"""),160894542)</f>
        <v>160894542</v>
      </c>
      <c r="B1571" s="1" t="str">
        <f ca="1">IFERROR(__xludf.DUMMYFUNCTION("""COMPUTED_VALUE"""),"anthony.tuemler@yahoo.com")</f>
        <v>anthony.tuemler@yahoo.com</v>
      </c>
      <c r="C1571" s="4" t="str">
        <f ca="1">IFERROR(__xludf.DUMMYFUNCTION("""COMPUTED_VALUE"""),"EVERGREEN - UAN Gated Content - Embedded Petition")</f>
        <v>EVERGREEN - UAN Gated Content - Embedded Petition</v>
      </c>
      <c r="D1571" s="5">
        <f ca="1">IFERROR(__xludf.DUMMYFUNCTION("""COMPUTED_VALUE"""),45641)</f>
        <v>45641</v>
      </c>
      <c r="F1571" s="1" t="str">
        <f ca="1">IFERROR(__xludf.DUMMYFUNCTION("""COMPUTED_VALUE"""),"Colombia")</f>
        <v>Colombia</v>
      </c>
      <c r="G1571" s="1" t="str">
        <f ca="1">IFERROR(__xludf.DUMMYFUNCTION("""COMPUTED_VALUE"""),"Third 12.24 Colombia")</f>
        <v>Third 12.24 Colombia</v>
      </c>
      <c r="H1571" s="1" t="str">
        <f ca="1">IFERROR(__xludf.DUMMYFUNCTION("""COMPUTED_VALUE"""),"Human Rights Defenders, Individuals At Risk")</f>
        <v>Human Rights Defenders, Individuals At Risk</v>
      </c>
      <c r="I1571" s="1" t="str">
        <f ca="1">IFERROR(__xludf.DUMMYFUNCTION("""COMPUTED_VALUE"""),"2025")</f>
        <v>2025</v>
      </c>
      <c r="J1571" s="1" t="str">
        <f ca="1">IFERROR(__xludf.DUMMYFUNCTION("""COMPUTED_VALUE"""),"Email")</f>
        <v>Email</v>
      </c>
    </row>
    <row r="1572" spans="1:10" ht="13" x14ac:dyDescent="0.15">
      <c r="A1572" s="4">
        <f ca="1">IFERROR(__xludf.DUMMYFUNCTION("""COMPUTED_VALUE"""),160894542)</f>
        <v>160894542</v>
      </c>
      <c r="B1572" s="1" t="str">
        <f ca="1">IFERROR(__xludf.DUMMYFUNCTION("""COMPUTED_VALUE"""),"anthony.tuemler@yahoo.com")</f>
        <v>anthony.tuemler@yahoo.com</v>
      </c>
      <c r="C1572" s="4" t="str">
        <f ca="1">IFERROR(__xludf.DUMMYFUNCTION("""COMPUTED_VALUE"""),"EVERGREEN - UAN Gated Content - Embedded Petition")</f>
        <v>EVERGREEN - UAN Gated Content - Embedded Petition</v>
      </c>
      <c r="D1572" s="5">
        <f ca="1">IFERROR(__xludf.DUMMYFUNCTION("""COMPUTED_VALUE"""),45673)</f>
        <v>45673</v>
      </c>
      <c r="F1572" s="1" t="str">
        <f ca="1">IFERROR(__xludf.DUMMYFUNCTION("""COMPUTED_VALUE"""),"Tunisia")</f>
        <v>Tunisia</v>
      </c>
      <c r="G1572" s="1" t="str">
        <f ca="1">IFERROR(__xludf.DUMMYFUNCTION("""COMPUTED_VALUE"""),"Second 76.24 Tunisia")</f>
        <v>Second 76.24 Tunisia</v>
      </c>
      <c r="H1572" s="1" t="str">
        <f ca="1">IFERROR(__xludf.DUMMYFUNCTION("""COMPUTED_VALUE"""),"Freedom of Expression, Human Rights Defenders")</f>
        <v>Freedom of Expression, Human Rights Defenders</v>
      </c>
      <c r="I1572" s="1" t="str">
        <f ca="1">IFERROR(__xludf.DUMMYFUNCTION("""COMPUTED_VALUE"""),"2025")</f>
        <v>2025</v>
      </c>
      <c r="J1572" s="1" t="str">
        <f ca="1">IFERROR(__xludf.DUMMYFUNCTION("""COMPUTED_VALUE"""),"Email")</f>
        <v>Email</v>
      </c>
    </row>
    <row r="1573" spans="1:10" ht="13" x14ac:dyDescent="0.15">
      <c r="A1573" s="4">
        <f ca="1">IFERROR(__xludf.DUMMYFUNCTION("""COMPUTED_VALUE"""),160894542)</f>
        <v>160894542</v>
      </c>
      <c r="B1573" s="1" t="str">
        <f ca="1">IFERROR(__xludf.DUMMYFUNCTION("""COMPUTED_VALUE"""),"anthony.tuemler@yahoo.com")</f>
        <v>anthony.tuemler@yahoo.com</v>
      </c>
      <c r="C1573" s="4" t="str">
        <f ca="1">IFERROR(__xludf.DUMMYFUNCTION("""COMPUTED_VALUE"""),"EVERGREEN - UAN Gated Content - Embedded Petition")</f>
        <v>EVERGREEN - UAN Gated Content - Embedded Petition</v>
      </c>
      <c r="D1573" s="5">
        <f ca="1">IFERROR(__xludf.DUMMYFUNCTION("""COMPUTED_VALUE"""),45672)</f>
        <v>45672</v>
      </c>
      <c r="F1573" s="1" t="str">
        <f ca="1">IFERROR(__xludf.DUMMYFUNCTION("""COMPUTED_VALUE"""),"Egypt")</f>
        <v>Egypt</v>
      </c>
      <c r="G1573" s="1" t="str">
        <f ca="1">IFERROR(__xludf.DUMMYFUNCTION("""COMPUTED_VALUE"""),"Ninth 190.18 Egypt")</f>
        <v>Ninth 190.18 Egypt</v>
      </c>
      <c r="H1573" s="1" t="str">
        <f ca="1">IFERROR(__xludf.DUMMYFUNCTION("""COMPUTED_VALUE"""),"Freedom of Expression, Individuals At Risk")</f>
        <v>Freedom of Expression, Individuals At Risk</v>
      </c>
      <c r="I1573" s="1" t="str">
        <f ca="1">IFERROR(__xludf.DUMMYFUNCTION("""COMPUTED_VALUE"""),"2024")</f>
        <v>2024</v>
      </c>
      <c r="J1573" s="1" t="str">
        <f ca="1">IFERROR(__xludf.DUMMYFUNCTION("""COMPUTED_VALUE"""),"Letter")</f>
        <v>Letter</v>
      </c>
    </row>
    <row r="1574" spans="1:10" ht="13" x14ac:dyDescent="0.15">
      <c r="A1574" s="4">
        <f ca="1">IFERROR(__xludf.DUMMYFUNCTION("""COMPUTED_VALUE"""),160894542)</f>
        <v>160894542</v>
      </c>
      <c r="B1574" s="1" t="str">
        <f ca="1">IFERROR(__xludf.DUMMYFUNCTION("""COMPUTED_VALUE"""),"anthony.tuemler@yahoo.com")</f>
        <v>anthony.tuemler@yahoo.com</v>
      </c>
      <c r="C1574" s="4" t="str">
        <f ca="1">IFERROR(__xludf.DUMMYFUNCTION("""COMPUTED_VALUE"""),"EVERGREEN - UAN Gated Content - Embedded Petition")</f>
        <v>EVERGREEN - UAN Gated Content - Embedded Petition</v>
      </c>
      <c r="D1574" s="5">
        <f ca="1">IFERROR(__xludf.DUMMYFUNCTION("""COMPUTED_VALUE"""),45672)</f>
        <v>45672</v>
      </c>
      <c r="F1574" s="1" t="str">
        <f ca="1">IFERROR(__xludf.DUMMYFUNCTION("""COMPUTED_VALUE"""),"Uganda")</f>
        <v>Uganda</v>
      </c>
      <c r="G1574" s="1" t="str">
        <f ca="1">IFERROR(__xludf.DUMMYFUNCTION("""COMPUTED_VALUE"""),"100.24 Uganda")</f>
        <v>100.24 Uganda</v>
      </c>
      <c r="H1574" s="1" t="str">
        <f ca="1">IFERROR(__xludf.DUMMYFUNCTION("""COMPUTED_VALUE"""),"Freedom of Expression")</f>
        <v>Freedom of Expression</v>
      </c>
      <c r="I1574" s="1" t="str">
        <f ca="1">IFERROR(__xludf.DUMMYFUNCTION("""COMPUTED_VALUE"""),"2024")</f>
        <v>2024</v>
      </c>
      <c r="J1574" s="1" t="str">
        <f ca="1">IFERROR(__xludf.DUMMYFUNCTION("""COMPUTED_VALUE"""),"Email")</f>
        <v>Email</v>
      </c>
    </row>
    <row r="1575" spans="1:10" ht="13" x14ac:dyDescent="0.15">
      <c r="A1575" s="4">
        <f ca="1">IFERROR(__xludf.DUMMYFUNCTION("""COMPUTED_VALUE"""),160894542)</f>
        <v>160894542</v>
      </c>
      <c r="B1575" s="1" t="str">
        <f ca="1">IFERROR(__xludf.DUMMYFUNCTION("""COMPUTED_VALUE"""),"anthony.tuemler@yahoo.com")</f>
        <v>anthony.tuemler@yahoo.com</v>
      </c>
      <c r="C1575" s="4" t="str">
        <f ca="1">IFERROR(__xludf.DUMMYFUNCTION("""COMPUTED_VALUE"""),"EVERGREEN - UAN Gated Content - Embedded Petition")</f>
        <v>EVERGREEN - UAN Gated Content - Embedded Petition</v>
      </c>
      <c r="D1575" s="5">
        <f ca="1">IFERROR(__xludf.DUMMYFUNCTION("""COMPUTED_VALUE"""),45672)</f>
        <v>45672</v>
      </c>
      <c r="F1575" s="1" t="str">
        <f ca="1">IFERROR(__xludf.DUMMYFUNCTION("""COMPUTED_VALUE"""),"Iran")</f>
        <v>Iran</v>
      </c>
      <c r="G1575" s="1" t="str">
        <f ca="1">IFERROR(__xludf.DUMMYFUNCTION("""COMPUTED_VALUE"""),"101.24 Iran")</f>
        <v>101.24 Iran</v>
      </c>
      <c r="H1575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1575" s="1" t="str">
        <f ca="1">IFERROR(__xludf.DUMMYFUNCTION("""COMPUTED_VALUE"""),"2024")</f>
        <v>2024</v>
      </c>
      <c r="J1575" s="1" t="str">
        <f ca="1">IFERROR(__xludf.DUMMYFUNCTION("""COMPUTED_VALUE"""),"Email")</f>
        <v>Email</v>
      </c>
    </row>
    <row r="1576" spans="1:10" ht="13" x14ac:dyDescent="0.15">
      <c r="A1576" s="4">
        <f ca="1">IFERROR(__xludf.DUMMYFUNCTION("""COMPUTED_VALUE"""),160894542)</f>
        <v>160894542</v>
      </c>
      <c r="B1576" s="1" t="str">
        <f ca="1">IFERROR(__xludf.DUMMYFUNCTION("""COMPUTED_VALUE"""),"anthony.tuemler@yahoo.com")</f>
        <v>anthony.tuemler@yahoo.com</v>
      </c>
      <c r="C1576" s="4" t="str">
        <f ca="1">IFERROR(__xludf.DUMMYFUNCTION("""COMPUTED_VALUE"""),"EVERGREEN - UAN Gated Content - Embedded Petition")</f>
        <v>EVERGREEN - UAN Gated Content - Embedded Petition</v>
      </c>
      <c r="D1576" s="5">
        <f ca="1">IFERROR(__xludf.DUMMYFUNCTION("""COMPUTED_VALUE"""),45672)</f>
        <v>45672</v>
      </c>
      <c r="F1576" s="1" t="str">
        <f ca="1">IFERROR(__xludf.DUMMYFUNCTION("""COMPUTED_VALUE"""),"Venezuela")</f>
        <v>Venezuela</v>
      </c>
      <c r="G1576" s="1" t="str">
        <f ca="1">IFERROR(__xludf.DUMMYFUNCTION("""COMPUTED_VALUE"""),"97.24 Venezuela")</f>
        <v>97.24 Venezuela</v>
      </c>
      <c r="H1576" s="1" t="str">
        <f ca="1">IFERROR(__xludf.DUMMYFUNCTION("""COMPUTED_VALUE"""),"Freedom of Expression")</f>
        <v>Freedom of Expression</v>
      </c>
      <c r="I1576" s="1" t="str">
        <f ca="1">IFERROR(__xludf.DUMMYFUNCTION("""COMPUTED_VALUE"""),"2024")</f>
        <v>2024</v>
      </c>
      <c r="J1576" s="1" t="str">
        <f ca="1">IFERROR(__xludf.DUMMYFUNCTION("""COMPUTED_VALUE"""),"Letter")</f>
        <v>Letter</v>
      </c>
    </row>
    <row r="1577" spans="1:10" ht="13" x14ac:dyDescent="0.15">
      <c r="A1577" s="4">
        <f ca="1">IFERROR(__xludf.DUMMYFUNCTION("""COMPUTED_VALUE"""),160894542)</f>
        <v>160894542</v>
      </c>
      <c r="B1577" s="1" t="str">
        <f ca="1">IFERROR(__xludf.DUMMYFUNCTION("""COMPUTED_VALUE"""),"anthony.tuemler@yahoo.com")</f>
        <v>anthony.tuemler@yahoo.com</v>
      </c>
      <c r="C1577" s="4" t="str">
        <f ca="1">IFERROR(__xludf.DUMMYFUNCTION("""COMPUTED_VALUE"""),"EVERGREEN - UAN Gated Content - Embedded Petition")</f>
        <v>EVERGREEN - UAN Gated Content - Embedded Petition</v>
      </c>
      <c r="D1577" s="5">
        <f ca="1">IFERROR(__xludf.DUMMYFUNCTION("""COMPUTED_VALUE"""),45676)</f>
        <v>45676</v>
      </c>
      <c r="F1577" s="1" t="str">
        <f ca="1">IFERROR(__xludf.DUMMYFUNCTION("""COMPUTED_VALUE"""),"Iran")</f>
        <v>Iran</v>
      </c>
      <c r="G1577" s="1" t="str">
        <f ca="1">IFERROR(__xludf.DUMMYFUNCTION("""COMPUTED_VALUE"""),"Seventh 103.22 Iran")</f>
        <v>Seventh 103.22 Iran</v>
      </c>
      <c r="H1577" s="1" t="str">
        <f ca="1">IFERROR(__xludf.DUMMYFUNCTION("""COMPUTED_VALUE"""),"Death Penalty, Freedom of Expression, Individuals At Risk")</f>
        <v>Death Penalty, Freedom of Expression, Individuals At Risk</v>
      </c>
      <c r="I1577" s="1" t="str">
        <f ca="1">IFERROR(__xludf.DUMMYFUNCTION("""COMPUTED_VALUE"""),"2024")</f>
        <v>2024</v>
      </c>
      <c r="J1577" s="1" t="str">
        <f ca="1">IFERROR(__xludf.DUMMYFUNCTION("""COMPUTED_VALUE"""),"Email")</f>
        <v>Email</v>
      </c>
    </row>
    <row r="1578" spans="1:10" ht="13" x14ac:dyDescent="0.15">
      <c r="A1578" s="4">
        <f ca="1">IFERROR(__xludf.DUMMYFUNCTION("""COMPUTED_VALUE"""),160894542)</f>
        <v>160894542</v>
      </c>
      <c r="B1578" s="1" t="str">
        <f ca="1">IFERROR(__xludf.DUMMYFUNCTION("""COMPUTED_VALUE"""),"anthony.tuemler@yahoo.com")</f>
        <v>anthony.tuemler@yahoo.com</v>
      </c>
      <c r="C1578" s="4" t="str">
        <f ca="1">IFERROR(__xludf.DUMMYFUNCTION("""COMPUTED_VALUE"""),"EVERGREEN - UAN Gated Content - Embedded Petition")</f>
        <v>EVERGREEN - UAN Gated Content - Embedded Petition</v>
      </c>
      <c r="D1578" s="5">
        <f ca="1">IFERROR(__xludf.DUMMYFUNCTION("""COMPUTED_VALUE"""),45679)</f>
        <v>45679</v>
      </c>
      <c r="F1578" s="1" t="str">
        <f ca="1">IFERROR(__xludf.DUMMYFUNCTION("""COMPUTED_VALUE"""),"Niger")</f>
        <v>Niger</v>
      </c>
      <c r="G1578" s="1" t="str">
        <f ca="1">IFERROR(__xludf.DUMMYFUNCTION("""COMPUTED_VALUE"""),"103.24 Niger")</f>
        <v>103.24 Niger</v>
      </c>
      <c r="H1578" s="1" t="str">
        <f ca="1">IFERROR(__xludf.DUMMYFUNCTION("""COMPUTED_VALUE"""),"Freedom of Expression, Human Rights Defenders")</f>
        <v>Freedom of Expression, Human Rights Defenders</v>
      </c>
      <c r="I1578" s="1" t="str">
        <f ca="1">IFERROR(__xludf.DUMMYFUNCTION("""COMPUTED_VALUE"""),"2024")</f>
        <v>2024</v>
      </c>
      <c r="J1578" s="1" t="str">
        <f ca="1">IFERROR(__xludf.DUMMYFUNCTION("""COMPUTED_VALUE"""),"Email")</f>
        <v>Email</v>
      </c>
    </row>
    <row r="1579" spans="1:10" ht="13" x14ac:dyDescent="0.15">
      <c r="A1579" s="4">
        <f ca="1">IFERROR(__xludf.DUMMYFUNCTION("""COMPUTED_VALUE"""),160894542)</f>
        <v>160894542</v>
      </c>
      <c r="B1579" s="1" t="str">
        <f ca="1">IFERROR(__xludf.DUMMYFUNCTION("""COMPUTED_VALUE"""),"anthony.tuemler@yahoo.com")</f>
        <v>anthony.tuemler@yahoo.com</v>
      </c>
      <c r="C1579" s="4" t="str">
        <f ca="1">IFERROR(__xludf.DUMMYFUNCTION("""COMPUTED_VALUE"""),"EVERGREEN - UAN Gated Content - Embedded Petition")</f>
        <v>EVERGREEN - UAN Gated Content - Embedded Petition</v>
      </c>
      <c r="D1579" s="5">
        <f ca="1">IFERROR(__xludf.DUMMYFUNCTION("""COMPUTED_VALUE"""),45680)</f>
        <v>45680</v>
      </c>
      <c r="F1579" s="1" t="str">
        <f ca="1">IFERROR(__xludf.DUMMYFUNCTION("""COMPUTED_VALUE"""),"Tunisia")</f>
        <v>Tunisia</v>
      </c>
      <c r="G1579" s="1" t="str">
        <f ca="1">IFERROR(__xludf.DUMMYFUNCTION("""COMPUTED_VALUE"""),"Second 76.24 Tunisia")</f>
        <v>Second 76.24 Tunisia</v>
      </c>
      <c r="H1579" s="1" t="str">
        <f ca="1">IFERROR(__xludf.DUMMYFUNCTION("""COMPUTED_VALUE"""),"Freedom of Expression, Human Rights Defenders")</f>
        <v>Freedom of Expression, Human Rights Defenders</v>
      </c>
      <c r="I1579" s="1" t="str">
        <f ca="1">IFERROR(__xludf.DUMMYFUNCTION("""COMPUTED_VALUE"""),"2025")</f>
        <v>2025</v>
      </c>
      <c r="J1579" s="1" t="str">
        <f ca="1">IFERROR(__xludf.DUMMYFUNCTION("""COMPUTED_VALUE"""),"Email")</f>
        <v>Email</v>
      </c>
    </row>
    <row r="1580" spans="1:10" ht="13" x14ac:dyDescent="0.15">
      <c r="A1580" s="4">
        <f ca="1">IFERROR(__xludf.DUMMYFUNCTION("""COMPUTED_VALUE"""),160894542)</f>
        <v>160894542</v>
      </c>
      <c r="B1580" s="1" t="str">
        <f ca="1">IFERROR(__xludf.DUMMYFUNCTION("""COMPUTED_VALUE"""),"anthony.tuemler@yahoo.com")</f>
        <v>anthony.tuemler@yahoo.com</v>
      </c>
      <c r="C1580" s="4" t="str">
        <f ca="1">IFERROR(__xludf.DUMMYFUNCTION("""COMPUTED_VALUE"""),"EVERGREEN - UAN Gated Content - Embedded Petition")</f>
        <v>EVERGREEN - UAN Gated Content - Embedded Petition</v>
      </c>
      <c r="D1580" s="5">
        <f ca="1">IFERROR(__xludf.DUMMYFUNCTION("""COMPUTED_VALUE"""),45659)</f>
        <v>45659</v>
      </c>
      <c r="F1580" s="1" t="str">
        <f ca="1">IFERROR(__xludf.DUMMYFUNCTION("""COMPUTED_VALUE"""),"Canada")</f>
        <v>Canada</v>
      </c>
      <c r="G1580" s="1" t="str">
        <f ca="1">IFERROR(__xludf.DUMMYFUNCTION("""COMPUTED_VALUE"""),"99.24 Canada")</f>
        <v>99.24 Canada</v>
      </c>
      <c r="H1580" s="1" t="str">
        <f ca="1">IFERROR(__xludf.DUMMYFUNCTION("""COMPUTED_VALUE"""),"Climate Justice, Indigenous Rights, Right to Protest")</f>
        <v>Climate Justice, Indigenous Rights, Right to Protest</v>
      </c>
      <c r="I1580" s="1" t="str">
        <f ca="1">IFERROR(__xludf.DUMMYFUNCTION("""COMPUTED_VALUE"""),"2024")</f>
        <v>2024</v>
      </c>
      <c r="J1580" s="1" t="str">
        <f ca="1">IFERROR(__xludf.DUMMYFUNCTION("""COMPUTED_VALUE"""),"Letter")</f>
        <v>Letter</v>
      </c>
    </row>
    <row r="1581" spans="1:10" ht="13" x14ac:dyDescent="0.15">
      <c r="A1581" s="4">
        <f ca="1">IFERROR(__xludf.DUMMYFUNCTION("""COMPUTED_VALUE"""),160894542)</f>
        <v>160894542</v>
      </c>
      <c r="B1581" s="1" t="str">
        <f ca="1">IFERROR(__xludf.DUMMYFUNCTION("""COMPUTED_VALUE"""),"anthony.tuemler@yahoo.com")</f>
        <v>anthony.tuemler@yahoo.com</v>
      </c>
      <c r="C1581" s="4" t="str">
        <f ca="1">IFERROR(__xludf.DUMMYFUNCTION("""COMPUTED_VALUE"""),"EVERGREEN - UAN Gated Content - Embedded Petition")</f>
        <v>EVERGREEN - UAN Gated Content - Embedded Petition</v>
      </c>
      <c r="D1581" s="5">
        <f ca="1">IFERROR(__xludf.DUMMYFUNCTION("""COMPUTED_VALUE"""),45668)</f>
        <v>45668</v>
      </c>
      <c r="F1581" s="1" t="str">
        <f ca="1">IFERROR(__xludf.DUMMYFUNCTION("""COMPUTED_VALUE"""),"Dominican Republic")</f>
        <v>Dominican Republic</v>
      </c>
      <c r="G1581" s="1" t="str">
        <f ca="1">IFERROR(__xludf.DUMMYFUNCTION("""COMPUTED_VALUE"""),"88.24 Dominican Republic")</f>
        <v>88.24 Dominican Republic</v>
      </c>
      <c r="H1581" s="1" t="str">
        <f ca="1">IFERROR(__xludf.DUMMYFUNCTION("""COMPUTED_VALUE"""),"Individuals At Risk, Refugee and Migrant Rights")</f>
        <v>Individuals At Risk, Refugee and Migrant Rights</v>
      </c>
      <c r="I1581" s="1" t="str">
        <f ca="1">IFERROR(__xludf.DUMMYFUNCTION("""COMPUTED_VALUE"""),"2024")</f>
        <v>2024</v>
      </c>
      <c r="J1581" s="1" t="str">
        <f ca="1">IFERROR(__xludf.DUMMYFUNCTION("""COMPUTED_VALUE"""),"Letter")</f>
        <v>Letter</v>
      </c>
    </row>
    <row r="1582" spans="1:10" ht="13" x14ac:dyDescent="0.15">
      <c r="A1582" s="4">
        <f ca="1">IFERROR(__xludf.DUMMYFUNCTION("""COMPUTED_VALUE"""),160894542)</f>
        <v>160894542</v>
      </c>
      <c r="B1582" s="1" t="str">
        <f ca="1">IFERROR(__xludf.DUMMYFUNCTION("""COMPUTED_VALUE"""),"anthony.tuemler@yahoo.com")</f>
        <v>anthony.tuemler@yahoo.com</v>
      </c>
      <c r="C1582" s="4" t="str">
        <f ca="1">IFERROR(__xludf.DUMMYFUNCTION("""COMPUTED_VALUE"""),"EVERGREEN - UAN Gated Content - Embedded Petition")</f>
        <v>EVERGREEN - UAN Gated Content - Embedded Petition</v>
      </c>
      <c r="D1582" s="5">
        <f ca="1">IFERROR(__xludf.DUMMYFUNCTION("""COMPUTED_VALUE"""),45670)</f>
        <v>45670</v>
      </c>
      <c r="F1582" s="1" t="str">
        <f ca="1">IFERROR(__xludf.DUMMYFUNCTION("""COMPUTED_VALUE"""),"USA")</f>
        <v>USA</v>
      </c>
      <c r="G1582" s="1" t="str">
        <f ca="1">IFERROR(__xludf.DUMMYFUNCTION("""COMPUTED_VALUE"""),"96.24 USA")</f>
        <v>96.24 USA</v>
      </c>
      <c r="H1582" s="1" t="str">
        <f ca="1">IFERROR(__xludf.DUMMYFUNCTION("""COMPUTED_VALUE"""),"Death Penalty")</f>
        <v>Death Penalty</v>
      </c>
      <c r="I1582" s="1" t="str">
        <f ca="1">IFERROR(__xludf.DUMMYFUNCTION("""COMPUTED_VALUE"""),"2024")</f>
        <v>2024</v>
      </c>
      <c r="J1582" s="1" t="str">
        <f ca="1">IFERROR(__xludf.DUMMYFUNCTION("""COMPUTED_VALUE"""),"Email")</f>
        <v>Email</v>
      </c>
    </row>
    <row r="1583" spans="1:10" ht="13" x14ac:dyDescent="0.15">
      <c r="A1583" s="4">
        <f ca="1">IFERROR(__xludf.DUMMYFUNCTION("""COMPUTED_VALUE"""),160894620)</f>
        <v>160894620</v>
      </c>
      <c r="B1583" s="1" t="str">
        <f ca="1">IFERROR(__xludf.DUMMYFUNCTION("""COMPUTED_VALUE"""),"marcarr9@comcast.net")</f>
        <v>marcarr9@comcast.net</v>
      </c>
      <c r="C1583" s="4" t="str">
        <f ca="1">IFERROR(__xludf.DUMMYFUNCTION("""COMPUTED_VALUE"""),"EVERGREEN - UAN Gated Content - Embedded Petition")</f>
        <v>EVERGREEN - UAN Gated Content - Embedded Petition</v>
      </c>
      <c r="D1583" s="5">
        <f ca="1">IFERROR(__xludf.DUMMYFUNCTION("""COMPUTED_VALUE"""),45675)</f>
        <v>45675</v>
      </c>
      <c r="F1583" s="1" t="str">
        <f ca="1">IFERROR(__xludf.DUMMYFUNCTION("""COMPUTED_VALUE"""),"USA")</f>
        <v>USA</v>
      </c>
      <c r="G1583" s="1" t="str">
        <f ca="1">IFERROR(__xludf.DUMMYFUNCTION("""COMPUTED_VALUE"""),"4.25 USA")</f>
        <v>4.25 USA</v>
      </c>
      <c r="H1583" s="1" t="str">
        <f ca="1">IFERROR(__xludf.DUMMYFUNCTION("""COMPUTED_VALUE"""),"Individuals At Risk, Refugee and Migrant Rights")</f>
        <v>Individuals At Risk, Refugee and Migrant Rights</v>
      </c>
      <c r="I1583" s="1" t="str">
        <f ca="1">IFERROR(__xludf.DUMMYFUNCTION("""COMPUTED_VALUE"""),"2025")</f>
        <v>2025</v>
      </c>
      <c r="J1583" s="1" t="str">
        <f ca="1">IFERROR(__xludf.DUMMYFUNCTION("""COMPUTED_VALUE"""),"Letter")</f>
        <v>Letter</v>
      </c>
    </row>
    <row r="1584" spans="1:10" ht="13" x14ac:dyDescent="0.15">
      <c r="A1584" s="4">
        <f ca="1">IFERROR(__xludf.DUMMYFUNCTION("""COMPUTED_VALUE"""),160894620)</f>
        <v>160894620</v>
      </c>
      <c r="B1584" s="1" t="str">
        <f ca="1">IFERROR(__xludf.DUMMYFUNCTION("""COMPUTED_VALUE"""),"marcarr9@comcast.net")</f>
        <v>marcarr9@comcast.net</v>
      </c>
      <c r="C1584" s="4" t="str">
        <f ca="1">IFERROR(__xludf.DUMMYFUNCTION("""COMPUTED_VALUE"""),"EVERGREEN - UAN Gated Content - Embedded Petition")</f>
        <v>EVERGREEN - UAN Gated Content - Embedded Petition</v>
      </c>
      <c r="D1584" s="5">
        <f ca="1">IFERROR(__xludf.DUMMYFUNCTION("""COMPUTED_VALUE"""),45675)</f>
        <v>45675</v>
      </c>
      <c r="F1584" s="1" t="str">
        <f ca="1">IFERROR(__xludf.DUMMYFUNCTION("""COMPUTED_VALUE"""),"Tunisia")</f>
        <v>Tunisia</v>
      </c>
      <c r="G1584" s="1" t="str">
        <f ca="1">IFERROR(__xludf.DUMMYFUNCTION("""COMPUTED_VALUE"""),"Second 76.24 Tunisia")</f>
        <v>Second 76.24 Tunisia</v>
      </c>
      <c r="H1584" s="1" t="str">
        <f ca="1">IFERROR(__xludf.DUMMYFUNCTION("""COMPUTED_VALUE"""),"Freedom of Expression, Human Rights Defenders")</f>
        <v>Freedom of Expression, Human Rights Defenders</v>
      </c>
      <c r="I1584" s="1" t="str">
        <f ca="1">IFERROR(__xludf.DUMMYFUNCTION("""COMPUTED_VALUE"""),"2025")</f>
        <v>2025</v>
      </c>
      <c r="J1584" s="1" t="str">
        <f ca="1">IFERROR(__xludf.DUMMYFUNCTION("""COMPUTED_VALUE"""),"Email")</f>
        <v>Email</v>
      </c>
    </row>
    <row r="1585" spans="1:10" ht="13" x14ac:dyDescent="0.15">
      <c r="A1585" s="4">
        <f ca="1">IFERROR(__xludf.DUMMYFUNCTION("""COMPUTED_VALUE"""),160894620)</f>
        <v>160894620</v>
      </c>
      <c r="B1585" s="1" t="str">
        <f ca="1">IFERROR(__xludf.DUMMYFUNCTION("""COMPUTED_VALUE"""),"marcarr9@comcast.net")</f>
        <v>marcarr9@comcast.net</v>
      </c>
      <c r="C1585" s="4" t="str">
        <f ca="1">IFERROR(__xludf.DUMMYFUNCTION("""COMPUTED_VALUE"""),"EVERGREEN - UAN Gated Content - Embedded Petition")</f>
        <v>EVERGREEN - UAN Gated Content - Embedded Petition</v>
      </c>
      <c r="D1585" s="5">
        <f ca="1">IFERROR(__xludf.DUMMYFUNCTION("""COMPUTED_VALUE"""),45675)</f>
        <v>45675</v>
      </c>
      <c r="F1585" s="1" t="str">
        <f ca="1">IFERROR(__xludf.DUMMYFUNCTION("""COMPUTED_VALUE"""),"USA")</f>
        <v>USA</v>
      </c>
      <c r="G1585" s="1" t="str">
        <f ca="1">IFERROR(__xludf.DUMMYFUNCTION("""COMPUTED_VALUE"""),"4.25 USA")</f>
        <v>4.25 USA</v>
      </c>
      <c r="H1585" s="1" t="str">
        <f ca="1">IFERROR(__xludf.DUMMYFUNCTION("""COMPUTED_VALUE"""),"Individuals At Risk, Refugee and Migrant Rights")</f>
        <v>Individuals At Risk, Refugee and Migrant Rights</v>
      </c>
      <c r="I1585" s="1" t="str">
        <f ca="1">IFERROR(__xludf.DUMMYFUNCTION("""COMPUTED_VALUE"""),"2025")</f>
        <v>2025</v>
      </c>
      <c r="J1585" s="1" t="str">
        <f ca="1">IFERROR(__xludf.DUMMYFUNCTION("""COMPUTED_VALUE"""),"Letter")</f>
        <v>Letter</v>
      </c>
    </row>
    <row r="1586" spans="1:10" ht="13" x14ac:dyDescent="0.15">
      <c r="A1586" s="4">
        <f ca="1">IFERROR(__xludf.DUMMYFUNCTION("""COMPUTED_VALUE"""),160894625)</f>
        <v>160894625</v>
      </c>
      <c r="B1586" s="1" t="str">
        <f ca="1">IFERROR(__xludf.DUMMYFUNCTION("""COMPUTED_VALUE"""),"dragonfly6160@yahoo.com")</f>
        <v>dragonfly6160@yahoo.com</v>
      </c>
      <c r="C1586" s="4" t="str">
        <f ca="1">IFERROR(__xludf.DUMMYFUNCTION("""COMPUTED_VALUE"""),"EVERGREEN - UAN Gated Content - Embedded Petition")</f>
        <v>EVERGREEN - UAN Gated Content - Embedded Petition</v>
      </c>
      <c r="D1586" s="5">
        <f ca="1">IFERROR(__xludf.DUMMYFUNCTION("""COMPUTED_VALUE"""),45700)</f>
        <v>45700</v>
      </c>
      <c r="F1586" s="1" t="str">
        <f ca="1">IFERROR(__xludf.DUMMYFUNCTION("""COMPUTED_VALUE"""),"Tunisia")</f>
        <v>Tunisia</v>
      </c>
      <c r="G1586" s="1" t="str">
        <f ca="1">IFERROR(__xludf.DUMMYFUNCTION("""COMPUTED_VALUE"""),"Second 76.24 Tunisia")</f>
        <v>Second 76.24 Tunisia</v>
      </c>
      <c r="H1586" s="1" t="str">
        <f ca="1">IFERROR(__xludf.DUMMYFUNCTION("""COMPUTED_VALUE"""),"Freedom of Expression, Human Rights Defenders")</f>
        <v>Freedom of Expression, Human Rights Defenders</v>
      </c>
      <c r="I1586" s="1" t="str">
        <f ca="1">IFERROR(__xludf.DUMMYFUNCTION("""COMPUTED_VALUE"""),"2025")</f>
        <v>2025</v>
      </c>
      <c r="J1586" s="1" t="str">
        <f ca="1">IFERROR(__xludf.DUMMYFUNCTION("""COMPUTED_VALUE"""),"Email")</f>
        <v>Email</v>
      </c>
    </row>
    <row r="1587" spans="1:10" ht="13" x14ac:dyDescent="0.15">
      <c r="A1587" s="4">
        <f ca="1">IFERROR(__xludf.DUMMYFUNCTION("""COMPUTED_VALUE"""),160894625)</f>
        <v>160894625</v>
      </c>
      <c r="B1587" s="1" t="str">
        <f ca="1">IFERROR(__xludf.DUMMYFUNCTION("""COMPUTED_VALUE"""),"dragonfly6160@yahoo.com")</f>
        <v>dragonfly6160@yahoo.com</v>
      </c>
      <c r="C1587" s="4" t="str">
        <f ca="1">IFERROR(__xludf.DUMMYFUNCTION("""COMPUTED_VALUE"""),"EVERGREEN - UAN Gated Content - Embedded Petition")</f>
        <v>EVERGREEN - UAN Gated Content - Embedded Petition</v>
      </c>
      <c r="D1587" s="5">
        <f ca="1">IFERROR(__xludf.DUMMYFUNCTION("""COMPUTED_VALUE"""),45700)</f>
        <v>45700</v>
      </c>
      <c r="F1587" s="1" t="str">
        <f ca="1">IFERROR(__xludf.DUMMYFUNCTION("""COMPUTED_VALUE"""),"USA")</f>
        <v>USA</v>
      </c>
      <c r="G1587" s="1" t="str">
        <f ca="1">IFERROR(__xludf.DUMMYFUNCTION("""COMPUTED_VALUE"""),"105.24 USA")</f>
        <v>105.24 USA</v>
      </c>
      <c r="H1587" s="1" t="str">
        <f ca="1">IFERROR(__xludf.DUMMYFUNCTION("""COMPUTED_VALUE"""),"Death Penalty")</f>
        <v>Death Penalty</v>
      </c>
      <c r="I1587" s="1" t="str">
        <f ca="1">IFERROR(__xludf.DUMMYFUNCTION("""COMPUTED_VALUE"""),"2024")</f>
        <v>2024</v>
      </c>
      <c r="J1587" s="1" t="str">
        <f ca="1">IFERROR(__xludf.DUMMYFUNCTION("""COMPUTED_VALUE"""),"Email")</f>
        <v>Email</v>
      </c>
    </row>
    <row r="1588" spans="1:10" ht="13" x14ac:dyDescent="0.15">
      <c r="A1588" s="4">
        <f ca="1">IFERROR(__xludf.DUMMYFUNCTION("""COMPUTED_VALUE"""),160894732)</f>
        <v>160894732</v>
      </c>
      <c r="B1588" s="1" t="str">
        <f ca="1">IFERROR(__xludf.DUMMYFUNCTION("""COMPUTED_VALUE"""),"ax2tap@gmail.com")</f>
        <v>ax2tap@gmail.com</v>
      </c>
      <c r="C1588" s="4" t="str">
        <f ca="1">IFERROR(__xludf.DUMMYFUNCTION("""COMPUTED_VALUE"""),"EVERGREEN - UAN Gated Content - Embedded Petition")</f>
        <v>EVERGREEN - UAN Gated Content - Embedded Petition</v>
      </c>
      <c r="D1588" s="5">
        <f ca="1">IFERROR(__xludf.DUMMYFUNCTION("""COMPUTED_VALUE"""),45694)</f>
        <v>45694</v>
      </c>
      <c r="F1588" s="1" t="str">
        <f ca="1">IFERROR(__xludf.DUMMYFUNCTION("""COMPUTED_VALUE"""),"USA")</f>
        <v>USA</v>
      </c>
      <c r="G1588" s="1" t="str">
        <f ca="1">IFERROR(__xludf.DUMMYFUNCTION("""COMPUTED_VALUE"""),"4.25 USA")</f>
        <v>4.25 USA</v>
      </c>
      <c r="H1588" s="1" t="str">
        <f ca="1">IFERROR(__xludf.DUMMYFUNCTION("""COMPUTED_VALUE"""),"Individuals At Risk, Refugee and Migrant Rights")</f>
        <v>Individuals At Risk, Refugee and Migrant Rights</v>
      </c>
      <c r="I1588" s="1" t="str">
        <f ca="1">IFERROR(__xludf.DUMMYFUNCTION("""COMPUTED_VALUE"""),"2025")</f>
        <v>2025</v>
      </c>
      <c r="J1588" s="1" t="str">
        <f ca="1">IFERROR(__xludf.DUMMYFUNCTION("""COMPUTED_VALUE"""),"Letter")</f>
        <v>Letter</v>
      </c>
    </row>
    <row r="1589" spans="1:10" ht="13" x14ac:dyDescent="0.15">
      <c r="A1589" s="4">
        <f ca="1">IFERROR(__xludf.DUMMYFUNCTION("""COMPUTED_VALUE"""),160934209)</f>
        <v>160934209</v>
      </c>
      <c r="B1589" s="1" t="str">
        <f ca="1">IFERROR(__xludf.DUMMYFUNCTION("""COMPUTED_VALUE"""),"maureens5656@aol.com")</f>
        <v>maureens5656@aol.com</v>
      </c>
      <c r="C1589" s="4" t="str">
        <f ca="1">IFERROR(__xludf.DUMMYFUNCTION("""COMPUTED_VALUE"""),"EVERGREEN - UAN Gated Content - Embedded Petition")</f>
        <v>EVERGREEN - UAN Gated Content - Embedded Petition</v>
      </c>
      <c r="D1589" s="5">
        <f ca="1">IFERROR(__xludf.DUMMYFUNCTION("""COMPUTED_VALUE"""),45694)</f>
        <v>45694</v>
      </c>
      <c r="F1589" s="1" t="str">
        <f ca="1">IFERROR(__xludf.DUMMYFUNCTION("""COMPUTED_VALUE"""),"Dominican Republic")</f>
        <v>Dominican Republic</v>
      </c>
      <c r="G1589" s="1" t="str">
        <f ca="1">IFERROR(__xludf.DUMMYFUNCTION("""COMPUTED_VALUE"""),"88.24 Dominican Republic")</f>
        <v>88.24 Dominican Republic</v>
      </c>
      <c r="H1589" s="1" t="str">
        <f ca="1">IFERROR(__xludf.DUMMYFUNCTION("""COMPUTED_VALUE"""),"Individuals At Risk, Refugee and Migrant Rights")</f>
        <v>Individuals At Risk, Refugee and Migrant Rights</v>
      </c>
      <c r="I1589" s="1" t="str">
        <f ca="1">IFERROR(__xludf.DUMMYFUNCTION("""COMPUTED_VALUE"""),"2024")</f>
        <v>2024</v>
      </c>
      <c r="J1589" s="1" t="str">
        <f ca="1">IFERROR(__xludf.DUMMYFUNCTION("""COMPUTED_VALUE"""),"Letter")</f>
        <v>Letter</v>
      </c>
    </row>
    <row r="1590" spans="1:10" ht="13" x14ac:dyDescent="0.15">
      <c r="A1590" s="4">
        <f ca="1">IFERROR(__xludf.DUMMYFUNCTION("""COMPUTED_VALUE"""),160971296)</f>
        <v>160971296</v>
      </c>
      <c r="B1590" s="1" t="str">
        <f ca="1">IFERROR(__xludf.DUMMYFUNCTION("""COMPUTED_VALUE"""),"janetlsmarr@gmail.com")</f>
        <v>janetlsmarr@gmail.com</v>
      </c>
      <c r="C1590" s="4" t="str">
        <f ca="1">IFERROR(__xludf.DUMMYFUNCTION("""COMPUTED_VALUE"""),"EVERGREEN - UAN Gated Content - Embedded Petition")</f>
        <v>EVERGREEN - UAN Gated Content - Embedded Petition</v>
      </c>
      <c r="D1590" s="5">
        <f ca="1">IFERROR(__xludf.DUMMYFUNCTION("""COMPUTED_VALUE"""),45678)</f>
        <v>45678</v>
      </c>
      <c r="F1590" s="1" t="str">
        <f ca="1">IFERROR(__xludf.DUMMYFUNCTION("""COMPUTED_VALUE"""),"Dominican Republic")</f>
        <v>Dominican Republic</v>
      </c>
      <c r="G1590" s="1" t="str">
        <f ca="1">IFERROR(__xludf.DUMMYFUNCTION("""COMPUTED_VALUE"""),"88.24 Dominican Republic")</f>
        <v>88.24 Dominican Republic</v>
      </c>
      <c r="H1590" s="1" t="str">
        <f ca="1">IFERROR(__xludf.DUMMYFUNCTION("""COMPUTED_VALUE"""),"Individuals At Risk, Refugee and Migrant Rights")</f>
        <v>Individuals At Risk, Refugee and Migrant Rights</v>
      </c>
      <c r="I1590" s="1" t="str">
        <f ca="1">IFERROR(__xludf.DUMMYFUNCTION("""COMPUTED_VALUE"""),"2024")</f>
        <v>2024</v>
      </c>
      <c r="J1590" s="1" t="str">
        <f ca="1">IFERROR(__xludf.DUMMYFUNCTION("""COMPUTED_VALUE"""),"Letter")</f>
        <v>Letter</v>
      </c>
    </row>
    <row r="1591" spans="1:10" ht="13" x14ac:dyDescent="0.15">
      <c r="A1591" s="4">
        <f ca="1">IFERROR(__xludf.DUMMYFUNCTION("""COMPUTED_VALUE"""),161568213)</f>
        <v>161568213</v>
      </c>
      <c r="B1591" s="1" t="str">
        <f ca="1">IFERROR(__xludf.DUMMYFUNCTION("""COMPUTED_VALUE"""),"dmlongrie@gmail.com")</f>
        <v>dmlongrie@gmail.com</v>
      </c>
      <c r="C1591" s="4" t="str">
        <f ca="1">IFERROR(__xludf.DUMMYFUNCTION("""COMPUTED_VALUE"""),"EVERGREEN - UAN Gated Content - Embedded Petition")</f>
        <v>EVERGREEN - UAN Gated Content - Embedded Petition</v>
      </c>
      <c r="D1591" s="5">
        <f ca="1">IFERROR(__xludf.DUMMYFUNCTION("""COMPUTED_VALUE"""),45703)</f>
        <v>45703</v>
      </c>
      <c r="F1591" s="1" t="str">
        <f ca="1">IFERROR(__xludf.DUMMYFUNCTION("""COMPUTED_VALUE"""),"Dominican Republic")</f>
        <v>Dominican Republic</v>
      </c>
      <c r="G1591" s="1" t="str">
        <f ca="1">IFERROR(__xludf.DUMMYFUNCTION("""COMPUTED_VALUE"""),"88.24 Dominican Republic")</f>
        <v>88.24 Dominican Republic</v>
      </c>
      <c r="H1591" s="1" t="str">
        <f ca="1">IFERROR(__xludf.DUMMYFUNCTION("""COMPUTED_VALUE"""),"Individuals At Risk, Refugee and Migrant Rights")</f>
        <v>Individuals At Risk, Refugee and Migrant Rights</v>
      </c>
      <c r="I1591" s="1" t="str">
        <f ca="1">IFERROR(__xludf.DUMMYFUNCTION("""COMPUTED_VALUE"""),"2024")</f>
        <v>2024</v>
      </c>
      <c r="J1591" s="1" t="str">
        <f ca="1">IFERROR(__xludf.DUMMYFUNCTION("""COMPUTED_VALUE"""),"Letter")</f>
        <v>Letter</v>
      </c>
    </row>
    <row r="1592" spans="1:10" ht="13" x14ac:dyDescent="0.15">
      <c r="A1592" s="4">
        <f ca="1">IFERROR(__xludf.DUMMYFUNCTION("""COMPUTED_VALUE"""),161568213)</f>
        <v>161568213</v>
      </c>
      <c r="B1592" s="1" t="str">
        <f ca="1">IFERROR(__xludf.DUMMYFUNCTION("""COMPUTED_VALUE"""),"dmlongrie@gmail.com")</f>
        <v>dmlongrie@gmail.com</v>
      </c>
      <c r="C1592" s="4" t="str">
        <f ca="1">IFERROR(__xludf.DUMMYFUNCTION("""COMPUTED_VALUE"""),"EVERGREEN - UAN Gated Content - Embedded Petition")</f>
        <v>EVERGREEN - UAN Gated Content - Embedded Petition</v>
      </c>
      <c r="D1592" s="5">
        <f ca="1">IFERROR(__xludf.DUMMYFUNCTION("""COMPUTED_VALUE"""),45686)</f>
        <v>45686</v>
      </c>
      <c r="F1592" s="1" t="str">
        <f ca="1">IFERROR(__xludf.DUMMYFUNCTION("""COMPUTED_VALUE"""),"Tunisia")</f>
        <v>Tunisia</v>
      </c>
      <c r="G1592" s="1" t="str">
        <f ca="1">IFERROR(__xludf.DUMMYFUNCTION("""COMPUTED_VALUE"""),"Second 76.24 Tunisia")</f>
        <v>Second 76.24 Tunisia</v>
      </c>
      <c r="H1592" s="1" t="str">
        <f ca="1">IFERROR(__xludf.DUMMYFUNCTION("""COMPUTED_VALUE"""),"Freedom of Expression, Human Rights Defenders")</f>
        <v>Freedom of Expression, Human Rights Defenders</v>
      </c>
      <c r="I1592" s="1" t="str">
        <f ca="1">IFERROR(__xludf.DUMMYFUNCTION("""COMPUTED_VALUE"""),"2025")</f>
        <v>2025</v>
      </c>
      <c r="J1592" s="1" t="str">
        <f ca="1">IFERROR(__xludf.DUMMYFUNCTION("""COMPUTED_VALUE"""),"Email")</f>
        <v>Email</v>
      </c>
    </row>
    <row r="1593" spans="1:10" ht="13" x14ac:dyDescent="0.15">
      <c r="A1593" s="4">
        <f ca="1">IFERROR(__xludf.DUMMYFUNCTION("""COMPUTED_VALUE"""),161568213)</f>
        <v>161568213</v>
      </c>
      <c r="B1593" s="1" t="str">
        <f ca="1">IFERROR(__xludf.DUMMYFUNCTION("""COMPUTED_VALUE"""),"dmlongrie@gmail.com")</f>
        <v>dmlongrie@gmail.com</v>
      </c>
      <c r="C1593" s="4" t="str">
        <f ca="1">IFERROR(__xludf.DUMMYFUNCTION("""COMPUTED_VALUE"""),"EVERGREEN - UAN Gated Content - Embedded Petition")</f>
        <v>EVERGREEN - UAN Gated Content - Embedded Petition</v>
      </c>
      <c r="D1593" s="5">
        <f ca="1">IFERROR(__xludf.DUMMYFUNCTION("""COMPUTED_VALUE"""),45633)</f>
        <v>45633</v>
      </c>
      <c r="F1593" s="1" t="str">
        <f ca="1">IFERROR(__xludf.DUMMYFUNCTION("""COMPUTED_VALUE"""),"Saudi Arabia")</f>
        <v>Saudi Arabia</v>
      </c>
      <c r="G1593" s="1" t="str">
        <f ca="1">IFERROR(__xludf.DUMMYFUNCTION("""COMPUTED_VALUE"""),"Second 85.23 Saudi Arabia")</f>
        <v>Second 85.23 Saudi Arabia</v>
      </c>
      <c r="H1593" s="1" t="str">
        <f ca="1">IFERROR(__xludf.DUMMYFUNCTION("""COMPUTED_VALUE"""),"Freedom of Expression")</f>
        <v>Freedom of Expression</v>
      </c>
      <c r="I1593" s="1" t="str">
        <f ca="1">IFERROR(__xludf.DUMMYFUNCTION("""COMPUTED_VALUE"""),"2024")</f>
        <v>2024</v>
      </c>
      <c r="J1593" s="1" t="str">
        <f ca="1">IFERROR(__xludf.DUMMYFUNCTION("""COMPUTED_VALUE"""),"Letter")</f>
        <v>Letter</v>
      </c>
    </row>
    <row r="1594" spans="1:10" ht="13" x14ac:dyDescent="0.15">
      <c r="A1594" s="4">
        <f ca="1">IFERROR(__xludf.DUMMYFUNCTION("""COMPUTED_VALUE"""),161568213)</f>
        <v>161568213</v>
      </c>
      <c r="B1594" s="1" t="str">
        <f ca="1">IFERROR(__xludf.DUMMYFUNCTION("""COMPUTED_VALUE"""),"dmlongrie@gmail.com")</f>
        <v>dmlongrie@gmail.com</v>
      </c>
      <c r="C1594" s="4" t="str">
        <f ca="1">IFERROR(__xludf.DUMMYFUNCTION("""COMPUTED_VALUE"""),"EVERGREEN - UAN Gated Content - Embedded Petition")</f>
        <v>EVERGREEN - UAN Gated Content - Embedded Petition</v>
      </c>
      <c r="D1594" s="5">
        <f ca="1">IFERROR(__xludf.DUMMYFUNCTION("""COMPUTED_VALUE"""),45625)</f>
        <v>45625</v>
      </c>
      <c r="F1594" s="1" t="str">
        <f ca="1">IFERROR(__xludf.DUMMYFUNCTION("""COMPUTED_VALUE"""),"Tunisia")</f>
        <v>Tunisia</v>
      </c>
      <c r="G1594" s="1" t="str">
        <f ca="1">IFERROR(__xludf.DUMMYFUNCTION("""COMPUTED_VALUE"""),"Second 76.24 Tunisia")</f>
        <v>Second 76.24 Tunisia</v>
      </c>
      <c r="H1594" s="1" t="str">
        <f ca="1">IFERROR(__xludf.DUMMYFUNCTION("""COMPUTED_VALUE"""),"Freedom of Expression, Human Rights Defenders")</f>
        <v>Freedom of Expression, Human Rights Defenders</v>
      </c>
      <c r="I1594" s="1" t="str">
        <f ca="1">IFERROR(__xludf.DUMMYFUNCTION("""COMPUTED_VALUE"""),"2025")</f>
        <v>2025</v>
      </c>
      <c r="J1594" s="1" t="str">
        <f ca="1">IFERROR(__xludf.DUMMYFUNCTION("""COMPUTED_VALUE"""),"Email")</f>
        <v>Email</v>
      </c>
    </row>
    <row r="1595" spans="1:10" ht="13" x14ac:dyDescent="0.15">
      <c r="A1595" s="4">
        <f ca="1">IFERROR(__xludf.DUMMYFUNCTION("""COMPUTED_VALUE"""),161568213)</f>
        <v>161568213</v>
      </c>
      <c r="B1595" s="1" t="str">
        <f ca="1">IFERROR(__xludf.DUMMYFUNCTION("""COMPUTED_VALUE"""),"dmlongrie@gmail.com")</f>
        <v>dmlongrie@gmail.com</v>
      </c>
      <c r="C1595" s="4" t="str">
        <f ca="1">IFERROR(__xludf.DUMMYFUNCTION("""COMPUTED_VALUE"""),"EVERGREEN - UAN Gated Content - Embedded Petition")</f>
        <v>EVERGREEN - UAN Gated Content - Embedded Petition</v>
      </c>
      <c r="D1595" s="5">
        <f ca="1">IFERROR(__xludf.DUMMYFUNCTION("""COMPUTED_VALUE"""),45627)</f>
        <v>45627</v>
      </c>
      <c r="F1595" s="1" t="str">
        <f ca="1">IFERROR(__xludf.DUMMYFUNCTION("""COMPUTED_VALUE"""),"USA")</f>
        <v>USA</v>
      </c>
      <c r="G1595" s="1" t="str">
        <f ca="1">IFERROR(__xludf.DUMMYFUNCTION("""COMPUTED_VALUE"""),"105.24 USA")</f>
        <v>105.24 USA</v>
      </c>
      <c r="H1595" s="1" t="str">
        <f ca="1">IFERROR(__xludf.DUMMYFUNCTION("""COMPUTED_VALUE"""),"Death Penalty")</f>
        <v>Death Penalty</v>
      </c>
      <c r="I1595" s="1" t="str">
        <f ca="1">IFERROR(__xludf.DUMMYFUNCTION("""COMPUTED_VALUE"""),"2024")</f>
        <v>2024</v>
      </c>
      <c r="J1595" s="1" t="str">
        <f ca="1">IFERROR(__xludf.DUMMYFUNCTION("""COMPUTED_VALUE"""),"Email")</f>
        <v>Email</v>
      </c>
    </row>
    <row r="1596" spans="1:10" ht="13" x14ac:dyDescent="0.15">
      <c r="A1596" s="4">
        <f ca="1">IFERROR(__xludf.DUMMYFUNCTION("""COMPUTED_VALUE"""),161568213)</f>
        <v>161568213</v>
      </c>
      <c r="B1596" s="1" t="str">
        <f ca="1">IFERROR(__xludf.DUMMYFUNCTION("""COMPUTED_VALUE"""),"dmlongrie@gmail.com")</f>
        <v>dmlongrie@gmail.com</v>
      </c>
      <c r="C1596" s="4" t="str">
        <f ca="1">IFERROR(__xludf.DUMMYFUNCTION("""COMPUTED_VALUE"""),"EVERGREEN - UAN Gated Content - Embedded Petition")</f>
        <v>EVERGREEN - UAN Gated Content - Embedded Petition</v>
      </c>
      <c r="D1596" s="5">
        <f ca="1">IFERROR(__xludf.DUMMYFUNCTION("""COMPUTED_VALUE"""),45623)</f>
        <v>45623</v>
      </c>
      <c r="F1596" s="1" t="str">
        <f ca="1">IFERROR(__xludf.DUMMYFUNCTION("""COMPUTED_VALUE"""),"USA")</f>
        <v>USA</v>
      </c>
      <c r="G1596" s="1" t="str">
        <f ca="1">IFERROR(__xludf.DUMMYFUNCTION("""COMPUTED_VALUE"""),"Fourth 55.24 USA")</f>
        <v>Fourth 55.24 USA</v>
      </c>
      <c r="H1596" s="1" t="str">
        <f ca="1">IFERROR(__xludf.DUMMYFUNCTION("""COMPUTED_VALUE"""),"Climate Justice, Individuals At Risk")</f>
        <v>Climate Justice, Individuals At Risk</v>
      </c>
      <c r="I1596" s="1" t="str">
        <f ca="1">IFERROR(__xludf.DUMMYFUNCTION("""COMPUTED_VALUE"""),"2025")</f>
        <v>2025</v>
      </c>
      <c r="J1596" s="1" t="str">
        <f ca="1">IFERROR(__xludf.DUMMYFUNCTION("""COMPUTED_VALUE"""),"Email")</f>
        <v>Email</v>
      </c>
    </row>
    <row r="1597" spans="1:10" ht="13" x14ac:dyDescent="0.15">
      <c r="A1597" s="4">
        <f ca="1">IFERROR(__xludf.DUMMYFUNCTION("""COMPUTED_VALUE"""),164998965)</f>
        <v>164998965</v>
      </c>
      <c r="B1597" s="1" t="str">
        <f ca="1">IFERROR(__xludf.DUMMYFUNCTION("""COMPUTED_VALUE"""),"pinkypico@yahoo.com")</f>
        <v>pinkypico@yahoo.com</v>
      </c>
      <c r="C1597" s="4" t="str">
        <f ca="1">IFERROR(__xludf.DUMMYFUNCTION("""COMPUTED_VALUE"""),"EVERGREEN - UAN Gated Content - Embedded Petition")</f>
        <v>EVERGREEN - UAN Gated Content - Embedded Petition</v>
      </c>
      <c r="D1597" s="5">
        <f ca="1">IFERROR(__xludf.DUMMYFUNCTION("""COMPUTED_VALUE"""),45689)</f>
        <v>45689</v>
      </c>
      <c r="F1597" s="1" t="str">
        <f ca="1">IFERROR(__xludf.DUMMYFUNCTION("""COMPUTED_VALUE"""),"Israel and Occupied Palestinian Territories")</f>
        <v>Israel and Occupied Palestinian Territories</v>
      </c>
      <c r="G1597" s="1" t="str">
        <f ca="1">IFERROR(__xludf.DUMMYFUNCTION("""COMPUTED_VALUE"""),"3.25 IOPT")</f>
        <v>3.25 IOPT</v>
      </c>
      <c r="H1597" s="1" t="str">
        <f ca="1">IFERROR(__xludf.DUMMYFUNCTION("""COMPUTED_VALUE"""),"Freedom of Expression, Individuals At Risk")</f>
        <v>Freedom of Expression, Individuals At Risk</v>
      </c>
      <c r="I1597" s="1" t="str">
        <f ca="1">IFERROR(__xludf.DUMMYFUNCTION("""COMPUTED_VALUE"""),"2025")</f>
        <v>2025</v>
      </c>
      <c r="J1597" s="1" t="str">
        <f ca="1">IFERROR(__xludf.DUMMYFUNCTION("""COMPUTED_VALUE"""),"Email")</f>
        <v>Email</v>
      </c>
    </row>
    <row r="1598" spans="1:10" ht="13" x14ac:dyDescent="0.15">
      <c r="A1598" s="4">
        <f ca="1">IFERROR(__xludf.DUMMYFUNCTION("""COMPUTED_VALUE"""),165520775)</f>
        <v>165520775</v>
      </c>
      <c r="B1598" s="1" t="str">
        <f ca="1">IFERROR(__xludf.DUMMYFUNCTION("""COMPUTED_VALUE"""),"davidwolfson@sbcglobal.net")</f>
        <v>davidwolfson@sbcglobal.net</v>
      </c>
      <c r="C1598" s="4" t="str">
        <f ca="1">IFERROR(__xludf.DUMMYFUNCTION("""COMPUTED_VALUE"""),"EVERGREEN - UAN Gated Content - Embedded Petition")</f>
        <v>EVERGREEN - UAN Gated Content - Embedded Petition</v>
      </c>
      <c r="D1598" s="5">
        <f ca="1">IFERROR(__xludf.DUMMYFUNCTION("""COMPUTED_VALUE"""),45696)</f>
        <v>45696</v>
      </c>
      <c r="F1598" s="1" t="str">
        <f ca="1">IFERROR(__xludf.DUMMYFUNCTION("""COMPUTED_VALUE"""),"Afghanistan")</f>
        <v>Afghanistan</v>
      </c>
      <c r="G1598" s="1" t="str">
        <f ca="1">IFERROR(__xludf.DUMMYFUNCTION("""COMPUTED_VALUE"""),"11.25 Afghanistan")</f>
        <v>11.25 Afghanistan</v>
      </c>
      <c r="H1598" s="1" t="str">
        <f ca="1">IFERROR(__xludf.DUMMYFUNCTION("""COMPUTED_VALUE"""),"Freedom of Expression, Health, Individuals At Risk")</f>
        <v>Freedom of Expression, Health, Individuals At Risk</v>
      </c>
      <c r="I1598" s="1" t="str">
        <f ca="1">IFERROR(__xludf.DUMMYFUNCTION("""COMPUTED_VALUE"""),"2025")</f>
        <v>2025</v>
      </c>
      <c r="J1598" s="1" t="str">
        <f ca="1">IFERROR(__xludf.DUMMYFUNCTION("""COMPUTED_VALUE"""),"Email")</f>
        <v>Email</v>
      </c>
    </row>
    <row r="1599" spans="1:10" ht="13" x14ac:dyDescent="0.15">
      <c r="A1599" s="4">
        <f ca="1">IFERROR(__xludf.DUMMYFUNCTION("""COMPUTED_VALUE"""),165520775)</f>
        <v>165520775</v>
      </c>
      <c r="B1599" s="1" t="str">
        <f ca="1">IFERROR(__xludf.DUMMYFUNCTION("""COMPUTED_VALUE"""),"davidwolfson@sbcglobal.net")</f>
        <v>davidwolfson@sbcglobal.net</v>
      </c>
      <c r="C1599" s="4" t="str">
        <f ca="1">IFERROR(__xludf.DUMMYFUNCTION("""COMPUTED_VALUE"""),"EVERGREEN - UAN Gated Content - Embedded Petition")</f>
        <v>EVERGREEN - UAN Gated Content - Embedded Petition</v>
      </c>
      <c r="D1599" s="5">
        <f ca="1">IFERROR(__xludf.DUMMYFUNCTION("""COMPUTED_VALUE"""),45636)</f>
        <v>45636</v>
      </c>
      <c r="F1599" s="1" t="str">
        <f ca="1">IFERROR(__xludf.DUMMYFUNCTION("""COMPUTED_VALUE"""),"Tunisia")</f>
        <v>Tunisia</v>
      </c>
      <c r="G1599" s="1" t="str">
        <f ca="1">IFERROR(__xludf.DUMMYFUNCTION("""COMPUTED_VALUE"""),"Second 76.24 Tunisia")</f>
        <v>Second 76.24 Tunisia</v>
      </c>
      <c r="H1599" s="1" t="str">
        <f ca="1">IFERROR(__xludf.DUMMYFUNCTION("""COMPUTED_VALUE"""),"Freedom of Expression, Human Rights Defenders")</f>
        <v>Freedom of Expression, Human Rights Defenders</v>
      </c>
      <c r="I1599" s="1" t="str">
        <f ca="1">IFERROR(__xludf.DUMMYFUNCTION("""COMPUTED_VALUE"""),"2025")</f>
        <v>2025</v>
      </c>
      <c r="J1599" s="1" t="str">
        <f ca="1">IFERROR(__xludf.DUMMYFUNCTION("""COMPUTED_VALUE"""),"Email")</f>
        <v>Email</v>
      </c>
    </row>
    <row r="1600" spans="1:10" ht="13" x14ac:dyDescent="0.15">
      <c r="A1600" s="4">
        <f ca="1">IFERROR(__xludf.DUMMYFUNCTION("""COMPUTED_VALUE"""),165520775)</f>
        <v>165520775</v>
      </c>
      <c r="B1600" s="1" t="str">
        <f ca="1">IFERROR(__xludf.DUMMYFUNCTION("""COMPUTED_VALUE"""),"davidwolfson@sbcglobal.net")</f>
        <v>davidwolfson@sbcglobal.net</v>
      </c>
      <c r="C1600" s="4" t="str">
        <f ca="1">IFERROR(__xludf.DUMMYFUNCTION("""COMPUTED_VALUE"""),"EVERGREEN - UAN Gated Content - Embedded Petition")</f>
        <v>EVERGREEN - UAN Gated Content - Embedded Petition</v>
      </c>
      <c r="D1600" s="5">
        <f ca="1">IFERROR(__xludf.DUMMYFUNCTION("""COMPUTED_VALUE"""),45700)</f>
        <v>45700</v>
      </c>
      <c r="F1600" s="1" t="str">
        <f ca="1">IFERROR(__xludf.DUMMYFUNCTION("""COMPUTED_VALUE"""),"Iran")</f>
        <v>Iran</v>
      </c>
      <c r="G1600" s="1" t="str">
        <f ca="1">IFERROR(__xludf.DUMMYFUNCTION("""COMPUTED_VALUE"""),"Seventh 103.22 Iran")</f>
        <v>Seventh 103.22 Iran</v>
      </c>
      <c r="H1600" s="1" t="str">
        <f ca="1">IFERROR(__xludf.DUMMYFUNCTION("""COMPUTED_VALUE"""),"Death Penalty, Freedom of Expression, Individuals At Risk")</f>
        <v>Death Penalty, Freedom of Expression, Individuals At Risk</v>
      </c>
      <c r="I1600" s="1" t="str">
        <f ca="1">IFERROR(__xludf.DUMMYFUNCTION("""COMPUTED_VALUE"""),"2024")</f>
        <v>2024</v>
      </c>
      <c r="J1600" s="1" t="str">
        <f ca="1">IFERROR(__xludf.DUMMYFUNCTION("""COMPUTED_VALUE"""),"Email")</f>
        <v>Email</v>
      </c>
    </row>
    <row r="1601" spans="1:10" ht="13" x14ac:dyDescent="0.15">
      <c r="A1601" s="4">
        <f ca="1">IFERROR(__xludf.DUMMYFUNCTION("""COMPUTED_VALUE"""),165520775)</f>
        <v>165520775</v>
      </c>
      <c r="B1601" s="1" t="str">
        <f ca="1">IFERROR(__xludf.DUMMYFUNCTION("""COMPUTED_VALUE"""),"davidwolfson@sbcglobal.net")</f>
        <v>davidwolfson@sbcglobal.net</v>
      </c>
      <c r="C1601" s="4" t="str">
        <f ca="1">IFERROR(__xludf.DUMMYFUNCTION("""COMPUTED_VALUE"""),"EVERGREEN - UAN Gated Content - Embedded Petition")</f>
        <v>EVERGREEN - UAN Gated Content - Embedded Petition</v>
      </c>
      <c r="D1601" s="5">
        <f ca="1">IFERROR(__xludf.DUMMYFUNCTION("""COMPUTED_VALUE"""),45697)</f>
        <v>45697</v>
      </c>
      <c r="F1601" s="1" t="str">
        <f ca="1">IFERROR(__xludf.DUMMYFUNCTION("""COMPUTED_VALUE"""),"Israel and Occupied Palestinian Territories")</f>
        <v>Israel and Occupied Palestinian Territories</v>
      </c>
      <c r="G1601" s="1" t="str">
        <f ca="1">IFERROR(__xludf.DUMMYFUNCTION("""COMPUTED_VALUE"""),"3.25 IOPT")</f>
        <v>3.25 IOPT</v>
      </c>
      <c r="H1601" s="1" t="str">
        <f ca="1">IFERROR(__xludf.DUMMYFUNCTION("""COMPUTED_VALUE"""),"Freedom of Expression, Individuals At Risk")</f>
        <v>Freedom of Expression, Individuals At Risk</v>
      </c>
      <c r="I1601" s="1" t="str">
        <f ca="1">IFERROR(__xludf.DUMMYFUNCTION("""COMPUTED_VALUE"""),"2025")</f>
        <v>2025</v>
      </c>
      <c r="J1601" s="1" t="str">
        <f ca="1">IFERROR(__xludf.DUMMYFUNCTION("""COMPUTED_VALUE"""),"Email")</f>
        <v>Email</v>
      </c>
    </row>
    <row r="1602" spans="1:10" ht="13" x14ac:dyDescent="0.15">
      <c r="A1602" s="4">
        <f ca="1">IFERROR(__xludf.DUMMYFUNCTION("""COMPUTED_VALUE"""),165520775)</f>
        <v>165520775</v>
      </c>
      <c r="B1602" s="1" t="str">
        <f ca="1">IFERROR(__xludf.DUMMYFUNCTION("""COMPUTED_VALUE"""),"davidwolfson@sbcglobal.net")</f>
        <v>davidwolfson@sbcglobal.net</v>
      </c>
      <c r="C1602" s="4" t="str">
        <f ca="1">IFERROR(__xludf.DUMMYFUNCTION("""COMPUTED_VALUE"""),"EVERGREEN - UAN Gated Content - Embedded Petition")</f>
        <v>EVERGREEN - UAN Gated Content - Embedded Petition</v>
      </c>
      <c r="D1602" s="5">
        <f ca="1">IFERROR(__xludf.DUMMYFUNCTION("""COMPUTED_VALUE"""),45695)</f>
        <v>45695</v>
      </c>
      <c r="F1602" s="1" t="str">
        <f ca="1">IFERROR(__xludf.DUMMYFUNCTION("""COMPUTED_VALUE"""),"USA")</f>
        <v>USA</v>
      </c>
      <c r="G1602" s="1" t="str">
        <f ca="1">IFERROR(__xludf.DUMMYFUNCTION("""COMPUTED_VALUE"""),"Fourth 55.24 USA")</f>
        <v>Fourth 55.24 USA</v>
      </c>
      <c r="H1602" s="1" t="str">
        <f ca="1">IFERROR(__xludf.DUMMYFUNCTION("""COMPUTED_VALUE"""),"Climate Justice, Individuals At Risk")</f>
        <v>Climate Justice, Individuals At Risk</v>
      </c>
      <c r="I1602" s="1" t="str">
        <f ca="1">IFERROR(__xludf.DUMMYFUNCTION("""COMPUTED_VALUE"""),"2025")</f>
        <v>2025</v>
      </c>
      <c r="J1602" s="1" t="str">
        <f ca="1">IFERROR(__xludf.DUMMYFUNCTION("""COMPUTED_VALUE"""),"Email")</f>
        <v>Email</v>
      </c>
    </row>
    <row r="1603" spans="1:10" ht="13" x14ac:dyDescent="0.15">
      <c r="A1603" s="4">
        <f ca="1">IFERROR(__xludf.DUMMYFUNCTION("""COMPUTED_VALUE"""),165520775)</f>
        <v>165520775</v>
      </c>
      <c r="B1603" s="1" t="str">
        <f ca="1">IFERROR(__xludf.DUMMYFUNCTION("""COMPUTED_VALUE"""),"davidwolfson@sbcglobal.net")</f>
        <v>davidwolfson@sbcglobal.net</v>
      </c>
      <c r="C1603" s="4" t="str">
        <f ca="1">IFERROR(__xludf.DUMMYFUNCTION("""COMPUTED_VALUE"""),"EVERGREEN - UAN Gated Content - Embedded Petition")</f>
        <v>EVERGREEN - UAN Gated Content - Embedded Petition</v>
      </c>
      <c r="D1603" s="5">
        <f ca="1">IFERROR(__xludf.DUMMYFUNCTION("""COMPUTED_VALUE"""),45685)</f>
        <v>45685</v>
      </c>
      <c r="F1603" s="1" t="str">
        <f ca="1">IFERROR(__xludf.DUMMYFUNCTION("""COMPUTED_VALUE"""),"Egypt")</f>
        <v>Egypt</v>
      </c>
      <c r="G1603" s="1" t="str">
        <f ca="1">IFERROR(__xludf.DUMMYFUNCTION("""COMPUTED_VALUE"""),"Ninth 190.18 Egypt")</f>
        <v>Ninth 190.18 Egypt</v>
      </c>
      <c r="H1603" s="1" t="str">
        <f ca="1">IFERROR(__xludf.DUMMYFUNCTION("""COMPUTED_VALUE"""),"Freedom of Expression, Individuals At Risk")</f>
        <v>Freedom of Expression, Individuals At Risk</v>
      </c>
      <c r="I1603" s="1" t="str">
        <f ca="1">IFERROR(__xludf.DUMMYFUNCTION("""COMPUTED_VALUE"""),"2024")</f>
        <v>2024</v>
      </c>
      <c r="J1603" s="1" t="str">
        <f ca="1">IFERROR(__xludf.DUMMYFUNCTION("""COMPUTED_VALUE"""),"Letter")</f>
        <v>Letter</v>
      </c>
    </row>
    <row r="1604" spans="1:10" ht="13" x14ac:dyDescent="0.15">
      <c r="A1604" s="4">
        <f ca="1">IFERROR(__xludf.DUMMYFUNCTION("""COMPUTED_VALUE"""),165520775)</f>
        <v>165520775</v>
      </c>
      <c r="B1604" s="1" t="str">
        <f ca="1">IFERROR(__xludf.DUMMYFUNCTION("""COMPUTED_VALUE"""),"davidwolfson@sbcglobal.net")</f>
        <v>davidwolfson@sbcglobal.net</v>
      </c>
      <c r="C1604" s="4" t="str">
        <f ca="1">IFERROR(__xludf.DUMMYFUNCTION("""COMPUTED_VALUE"""),"EVERGREEN - UAN Gated Content - Embedded Petition")</f>
        <v>EVERGREEN - UAN Gated Content - Embedded Petition</v>
      </c>
      <c r="D1604" s="5">
        <f ca="1">IFERROR(__xludf.DUMMYFUNCTION("""COMPUTED_VALUE"""),45686)</f>
        <v>45686</v>
      </c>
      <c r="F1604" s="1" t="str">
        <f ca="1">IFERROR(__xludf.DUMMYFUNCTION("""COMPUTED_VALUE"""),"Venezuela")</f>
        <v>Venezuela</v>
      </c>
      <c r="G1604" s="1" t="str">
        <f ca="1">IFERROR(__xludf.DUMMYFUNCTION("""COMPUTED_VALUE"""),"97.24 Venezuela")</f>
        <v>97.24 Venezuela</v>
      </c>
      <c r="H1604" s="1" t="str">
        <f ca="1">IFERROR(__xludf.DUMMYFUNCTION("""COMPUTED_VALUE"""),"Freedom of Expression")</f>
        <v>Freedom of Expression</v>
      </c>
      <c r="I1604" s="1" t="str">
        <f ca="1">IFERROR(__xludf.DUMMYFUNCTION("""COMPUTED_VALUE"""),"2024")</f>
        <v>2024</v>
      </c>
      <c r="J1604" s="1" t="str">
        <f ca="1">IFERROR(__xludf.DUMMYFUNCTION("""COMPUTED_VALUE"""),"Letter")</f>
        <v>Letter</v>
      </c>
    </row>
    <row r="1605" spans="1:10" ht="13" x14ac:dyDescent="0.15">
      <c r="A1605" s="4">
        <f ca="1">IFERROR(__xludf.DUMMYFUNCTION("""COMPUTED_VALUE"""),165520775)</f>
        <v>165520775</v>
      </c>
      <c r="B1605" s="1" t="str">
        <f ca="1">IFERROR(__xludf.DUMMYFUNCTION("""COMPUTED_VALUE"""),"davidwolfson@sbcglobal.net")</f>
        <v>davidwolfson@sbcglobal.net</v>
      </c>
      <c r="C1605" s="4" t="str">
        <f ca="1">IFERROR(__xludf.DUMMYFUNCTION("""COMPUTED_VALUE"""),"EVERGREEN - UAN Gated Content - Embedded Petition")</f>
        <v>EVERGREEN - UAN Gated Content - Embedded Petition</v>
      </c>
      <c r="D1605" s="5">
        <f ca="1">IFERROR(__xludf.DUMMYFUNCTION("""COMPUTED_VALUE"""),45687)</f>
        <v>45687</v>
      </c>
      <c r="F1605" s="1" t="str">
        <f ca="1">IFERROR(__xludf.DUMMYFUNCTION("""COMPUTED_VALUE"""),"Tunisia")</f>
        <v>Tunisia</v>
      </c>
      <c r="G1605" s="1" t="str">
        <f ca="1">IFERROR(__xludf.DUMMYFUNCTION("""COMPUTED_VALUE"""),"Second 76.24 Tunisia")</f>
        <v>Second 76.24 Tunisia</v>
      </c>
      <c r="H1605" s="1" t="str">
        <f ca="1">IFERROR(__xludf.DUMMYFUNCTION("""COMPUTED_VALUE"""),"Freedom of Expression, Human Rights Defenders")</f>
        <v>Freedom of Expression, Human Rights Defenders</v>
      </c>
      <c r="I1605" s="1" t="str">
        <f ca="1">IFERROR(__xludf.DUMMYFUNCTION("""COMPUTED_VALUE"""),"2025")</f>
        <v>2025</v>
      </c>
      <c r="J1605" s="1" t="str">
        <f ca="1">IFERROR(__xludf.DUMMYFUNCTION("""COMPUTED_VALUE"""),"Email")</f>
        <v>Email</v>
      </c>
    </row>
    <row r="1606" spans="1:10" ht="13" x14ac:dyDescent="0.15">
      <c r="A1606" s="4">
        <f ca="1">IFERROR(__xludf.DUMMYFUNCTION("""COMPUTED_VALUE"""),165520775)</f>
        <v>165520775</v>
      </c>
      <c r="B1606" s="1" t="str">
        <f ca="1">IFERROR(__xludf.DUMMYFUNCTION("""COMPUTED_VALUE"""),"davidwolfson@sbcglobal.net")</f>
        <v>davidwolfson@sbcglobal.net</v>
      </c>
      <c r="C1606" s="4" t="str">
        <f ca="1">IFERROR(__xludf.DUMMYFUNCTION("""COMPUTED_VALUE"""),"EVERGREEN - UAN Gated Content - Embedded Petition")</f>
        <v>EVERGREEN - UAN Gated Content - Embedded Petition</v>
      </c>
      <c r="D1606" s="5">
        <f ca="1">IFERROR(__xludf.DUMMYFUNCTION("""COMPUTED_VALUE"""),45688)</f>
        <v>45688</v>
      </c>
      <c r="F1606" s="1" t="str">
        <f ca="1">IFERROR(__xludf.DUMMYFUNCTION("""COMPUTED_VALUE"""),"China")</f>
        <v>China</v>
      </c>
      <c r="G1606" s="1" t="str">
        <f ca="1">IFERROR(__xludf.DUMMYFUNCTION("""COMPUTED_VALUE"""),"106.24 China")</f>
        <v>106.24 China</v>
      </c>
      <c r="H1606" s="1" t="str">
        <f ca="1">IFERROR(__xludf.DUMMYFUNCTION("""COMPUTED_VALUE"""),"Freedom of Expression, Individuals At Risk")</f>
        <v>Freedom of Expression, Individuals At Risk</v>
      </c>
      <c r="I1606" s="1" t="str">
        <f ca="1">IFERROR(__xludf.DUMMYFUNCTION("""COMPUTED_VALUE"""),"2024")</f>
        <v>2024</v>
      </c>
      <c r="J1606" s="1" t="str">
        <f ca="1">IFERROR(__xludf.DUMMYFUNCTION("""COMPUTED_VALUE"""),"Email")</f>
        <v>Email</v>
      </c>
    </row>
    <row r="1607" spans="1:10" ht="13" x14ac:dyDescent="0.15">
      <c r="A1607" s="4">
        <f ca="1">IFERROR(__xludf.DUMMYFUNCTION("""COMPUTED_VALUE"""),165520775)</f>
        <v>165520775</v>
      </c>
      <c r="B1607" s="1" t="str">
        <f ca="1">IFERROR(__xludf.DUMMYFUNCTION("""COMPUTED_VALUE"""),"davidwolfson@sbcglobal.net")</f>
        <v>davidwolfson@sbcglobal.net</v>
      </c>
      <c r="C1607" s="4" t="str">
        <f ca="1">IFERROR(__xludf.DUMMYFUNCTION("""COMPUTED_VALUE"""),"EVERGREEN - UAN Gated Content - Embedded Petition")</f>
        <v>EVERGREEN - UAN Gated Content - Embedded Petition</v>
      </c>
      <c r="D1607" s="5">
        <f ca="1">IFERROR(__xludf.DUMMYFUNCTION("""COMPUTED_VALUE"""),45689)</f>
        <v>45689</v>
      </c>
      <c r="F1607" s="1" t="str">
        <f ca="1">IFERROR(__xludf.DUMMYFUNCTION("""COMPUTED_VALUE"""),"Venezuela")</f>
        <v>Venezuela</v>
      </c>
      <c r="G1607" s="1" t="str">
        <f ca="1">IFERROR(__xludf.DUMMYFUNCTION("""COMPUTED_VALUE"""),"97.24 Venezuela")</f>
        <v>97.24 Venezuela</v>
      </c>
      <c r="H1607" s="1" t="str">
        <f ca="1">IFERROR(__xludf.DUMMYFUNCTION("""COMPUTED_VALUE"""),"Freedom of Expression")</f>
        <v>Freedom of Expression</v>
      </c>
      <c r="I1607" s="1" t="str">
        <f ca="1">IFERROR(__xludf.DUMMYFUNCTION("""COMPUTED_VALUE"""),"2024")</f>
        <v>2024</v>
      </c>
      <c r="J1607" s="1" t="str">
        <f ca="1">IFERROR(__xludf.DUMMYFUNCTION("""COMPUTED_VALUE"""),"Letter")</f>
        <v>Letter</v>
      </c>
    </row>
    <row r="1608" spans="1:10" ht="13" x14ac:dyDescent="0.15">
      <c r="A1608" s="4">
        <f ca="1">IFERROR(__xludf.DUMMYFUNCTION("""COMPUTED_VALUE"""),165520775)</f>
        <v>165520775</v>
      </c>
      <c r="B1608" s="1" t="str">
        <f ca="1">IFERROR(__xludf.DUMMYFUNCTION("""COMPUTED_VALUE"""),"davidwolfson@sbcglobal.net")</f>
        <v>davidwolfson@sbcglobal.net</v>
      </c>
      <c r="C1608" s="4" t="str">
        <f ca="1">IFERROR(__xludf.DUMMYFUNCTION("""COMPUTED_VALUE"""),"EVERGREEN - UAN Gated Content - Embedded Petition")</f>
        <v>EVERGREEN - UAN Gated Content - Embedded Petition</v>
      </c>
      <c r="D1608" s="5">
        <f ca="1">IFERROR(__xludf.DUMMYFUNCTION("""COMPUTED_VALUE"""),45694)</f>
        <v>45694</v>
      </c>
      <c r="F1608" s="1" t="str">
        <f ca="1">IFERROR(__xludf.DUMMYFUNCTION("""COMPUTED_VALUE"""),"Tunisia")</f>
        <v>Tunisia</v>
      </c>
      <c r="G1608" s="1" t="str">
        <f ca="1">IFERROR(__xludf.DUMMYFUNCTION("""COMPUTED_VALUE"""),"Second 76.24 Tunisia")</f>
        <v>Second 76.24 Tunisia</v>
      </c>
      <c r="H1608" s="1" t="str">
        <f ca="1">IFERROR(__xludf.DUMMYFUNCTION("""COMPUTED_VALUE"""),"Freedom of Expression, Human Rights Defenders")</f>
        <v>Freedom of Expression, Human Rights Defenders</v>
      </c>
      <c r="I1608" s="1" t="str">
        <f ca="1">IFERROR(__xludf.DUMMYFUNCTION("""COMPUTED_VALUE"""),"2025")</f>
        <v>2025</v>
      </c>
      <c r="J1608" s="1" t="str">
        <f ca="1">IFERROR(__xludf.DUMMYFUNCTION("""COMPUTED_VALUE"""),"Email")</f>
        <v>Email</v>
      </c>
    </row>
    <row r="1609" spans="1:10" ht="13" x14ac:dyDescent="0.15">
      <c r="A1609" s="4">
        <f ca="1">IFERROR(__xludf.DUMMYFUNCTION("""COMPUTED_VALUE"""),165520775)</f>
        <v>165520775</v>
      </c>
      <c r="B1609" s="1" t="str">
        <f ca="1">IFERROR(__xludf.DUMMYFUNCTION("""COMPUTED_VALUE"""),"davidwolfson@sbcglobal.net")</f>
        <v>davidwolfson@sbcglobal.net</v>
      </c>
      <c r="C1609" s="4" t="str">
        <f ca="1">IFERROR(__xludf.DUMMYFUNCTION("""COMPUTED_VALUE"""),"EVERGREEN - UAN Gated Content - Embedded Petition")</f>
        <v>EVERGREEN - UAN Gated Content - Embedded Petition</v>
      </c>
      <c r="D1609" s="5">
        <f ca="1">IFERROR(__xludf.DUMMYFUNCTION("""COMPUTED_VALUE"""),45660)</f>
        <v>45660</v>
      </c>
      <c r="F1609" s="1" t="str">
        <f ca="1">IFERROR(__xludf.DUMMYFUNCTION("""COMPUTED_VALUE"""),"Mexico")</f>
        <v>Mexico</v>
      </c>
      <c r="G1609" s="1" t="str">
        <f ca="1">IFERROR(__xludf.DUMMYFUNCTION("""COMPUTED_VALUE"""),"92.24 Mexico")</f>
        <v>92.24 Mexico</v>
      </c>
      <c r="H1609" s="1" t="str">
        <f ca="1">IFERROR(__xludf.DUMMYFUNCTION("""COMPUTED_VALUE"""),"Human Rights Defenders")</f>
        <v>Human Rights Defenders</v>
      </c>
      <c r="I1609" s="1" t="str">
        <f ca="1">IFERROR(__xludf.DUMMYFUNCTION("""COMPUTED_VALUE"""),"2024")</f>
        <v>2024</v>
      </c>
      <c r="J1609" s="1" t="str">
        <f ca="1">IFERROR(__xludf.DUMMYFUNCTION("""COMPUTED_VALUE"""),"Email")</f>
        <v>Email</v>
      </c>
    </row>
    <row r="1610" spans="1:10" ht="13" x14ac:dyDescent="0.15">
      <c r="A1610" s="4">
        <f ca="1">IFERROR(__xludf.DUMMYFUNCTION("""COMPUTED_VALUE"""),165520775)</f>
        <v>165520775</v>
      </c>
      <c r="B1610" s="1" t="str">
        <f ca="1">IFERROR(__xludf.DUMMYFUNCTION("""COMPUTED_VALUE"""),"davidwolfson@sbcglobal.net")</f>
        <v>davidwolfson@sbcglobal.net</v>
      </c>
      <c r="C1610" s="4" t="str">
        <f ca="1">IFERROR(__xludf.DUMMYFUNCTION("""COMPUTED_VALUE"""),"EVERGREEN - UAN Gated Content - Embedded Petition")</f>
        <v>EVERGREEN - UAN Gated Content - Embedded Petition</v>
      </c>
      <c r="D1610" s="5">
        <f ca="1">IFERROR(__xludf.DUMMYFUNCTION("""COMPUTED_VALUE"""),45670)</f>
        <v>45670</v>
      </c>
      <c r="F1610" s="1" t="str">
        <f ca="1">IFERROR(__xludf.DUMMYFUNCTION("""COMPUTED_VALUE"""),"USA")</f>
        <v>USA</v>
      </c>
      <c r="G1610" s="1" t="str">
        <f ca="1">IFERROR(__xludf.DUMMYFUNCTION("""COMPUTED_VALUE"""),"4.25 USA")</f>
        <v>4.25 USA</v>
      </c>
      <c r="H1610" s="1" t="str">
        <f ca="1">IFERROR(__xludf.DUMMYFUNCTION("""COMPUTED_VALUE"""),"Individuals At Risk, Refugee and Migrant Rights")</f>
        <v>Individuals At Risk, Refugee and Migrant Rights</v>
      </c>
      <c r="I1610" s="1" t="str">
        <f ca="1">IFERROR(__xludf.DUMMYFUNCTION("""COMPUTED_VALUE"""),"2025")</f>
        <v>2025</v>
      </c>
      <c r="J1610" s="1" t="str">
        <f ca="1">IFERROR(__xludf.DUMMYFUNCTION("""COMPUTED_VALUE"""),"Letter")</f>
        <v>Letter</v>
      </c>
    </row>
    <row r="1611" spans="1:10" ht="13" x14ac:dyDescent="0.15">
      <c r="A1611" s="4">
        <f ca="1">IFERROR(__xludf.DUMMYFUNCTION("""COMPUTED_VALUE"""),165520775)</f>
        <v>165520775</v>
      </c>
      <c r="B1611" s="1" t="str">
        <f ca="1">IFERROR(__xludf.DUMMYFUNCTION("""COMPUTED_VALUE"""),"davidwolfson@sbcglobal.net")</f>
        <v>davidwolfson@sbcglobal.net</v>
      </c>
      <c r="C1611" s="4" t="str">
        <f ca="1">IFERROR(__xludf.DUMMYFUNCTION("""COMPUTED_VALUE"""),"EVERGREEN - UAN Gated Content - Embedded Petition")</f>
        <v>EVERGREEN - UAN Gated Content - Embedded Petition</v>
      </c>
      <c r="D1611" s="5">
        <f ca="1">IFERROR(__xludf.DUMMYFUNCTION("""COMPUTED_VALUE"""),45672)</f>
        <v>45672</v>
      </c>
      <c r="F1611" s="1" t="str">
        <f ca="1">IFERROR(__xludf.DUMMYFUNCTION("""COMPUTED_VALUE"""),"Iran")</f>
        <v>Iran</v>
      </c>
      <c r="G1611" s="1" t="str">
        <f ca="1">IFERROR(__xludf.DUMMYFUNCTION("""COMPUTED_VALUE"""),"Seventh 103.22 Iran")</f>
        <v>Seventh 103.22 Iran</v>
      </c>
      <c r="H1611" s="1" t="str">
        <f ca="1">IFERROR(__xludf.DUMMYFUNCTION("""COMPUTED_VALUE"""),"Death Penalty, Freedom of Expression, Individuals At Risk")</f>
        <v>Death Penalty, Freedom of Expression, Individuals At Risk</v>
      </c>
      <c r="I1611" s="1" t="str">
        <f ca="1">IFERROR(__xludf.DUMMYFUNCTION("""COMPUTED_VALUE"""),"2024")</f>
        <v>2024</v>
      </c>
      <c r="J1611" s="1" t="str">
        <f ca="1">IFERROR(__xludf.DUMMYFUNCTION("""COMPUTED_VALUE"""),"Email")</f>
        <v>Email</v>
      </c>
    </row>
    <row r="1612" spans="1:10" ht="13" x14ac:dyDescent="0.15">
      <c r="A1612" s="4">
        <f ca="1">IFERROR(__xludf.DUMMYFUNCTION("""COMPUTED_VALUE"""),165520775)</f>
        <v>165520775</v>
      </c>
      <c r="B1612" s="1" t="str">
        <f ca="1">IFERROR(__xludf.DUMMYFUNCTION("""COMPUTED_VALUE"""),"davidwolfson@sbcglobal.net")</f>
        <v>davidwolfson@sbcglobal.net</v>
      </c>
      <c r="C1612" s="4" t="str">
        <f ca="1">IFERROR(__xludf.DUMMYFUNCTION("""COMPUTED_VALUE"""),"EVERGREEN - UAN Gated Content - Embedded Petition")</f>
        <v>EVERGREEN - UAN Gated Content - Embedded Petition</v>
      </c>
      <c r="D1612" s="5">
        <f ca="1">IFERROR(__xludf.DUMMYFUNCTION("""COMPUTED_VALUE"""),45646)</f>
        <v>45646</v>
      </c>
      <c r="F1612" s="1" t="str">
        <f ca="1">IFERROR(__xludf.DUMMYFUNCTION("""COMPUTED_VALUE"""),"Niger")</f>
        <v>Niger</v>
      </c>
      <c r="G1612" s="1" t="str">
        <f ca="1">IFERROR(__xludf.DUMMYFUNCTION("""COMPUTED_VALUE"""),"103.24 Niger")</f>
        <v>103.24 Niger</v>
      </c>
      <c r="H1612" s="1" t="str">
        <f ca="1">IFERROR(__xludf.DUMMYFUNCTION("""COMPUTED_VALUE"""),"Freedom of Expression, Human Rights Defenders")</f>
        <v>Freedom of Expression, Human Rights Defenders</v>
      </c>
      <c r="I1612" s="1" t="str">
        <f ca="1">IFERROR(__xludf.DUMMYFUNCTION("""COMPUTED_VALUE"""),"2024")</f>
        <v>2024</v>
      </c>
      <c r="J1612" s="1" t="str">
        <f ca="1">IFERROR(__xludf.DUMMYFUNCTION("""COMPUTED_VALUE"""),"Email")</f>
        <v>Email</v>
      </c>
    </row>
    <row r="1613" spans="1:10" ht="13" x14ac:dyDescent="0.15">
      <c r="A1613" s="4">
        <f ca="1">IFERROR(__xludf.DUMMYFUNCTION("""COMPUTED_VALUE"""),165520775)</f>
        <v>165520775</v>
      </c>
      <c r="B1613" s="1" t="str">
        <f ca="1">IFERROR(__xludf.DUMMYFUNCTION("""COMPUTED_VALUE"""),"davidwolfson@sbcglobal.net")</f>
        <v>davidwolfson@sbcglobal.net</v>
      </c>
      <c r="C1613" s="4" t="str">
        <f ca="1">IFERROR(__xludf.DUMMYFUNCTION("""COMPUTED_VALUE"""),"EVERGREEN - UAN Gated Content - Embedded Petition")</f>
        <v>EVERGREEN - UAN Gated Content - Embedded Petition</v>
      </c>
      <c r="D1613" s="5">
        <f ca="1">IFERROR(__xludf.DUMMYFUNCTION("""COMPUTED_VALUE"""),45647)</f>
        <v>45647</v>
      </c>
      <c r="F1613" s="1" t="str">
        <f ca="1">IFERROR(__xludf.DUMMYFUNCTION("""COMPUTED_VALUE"""),"Azerbaijan")</f>
        <v>Azerbaijan</v>
      </c>
      <c r="G1613" s="1" t="str">
        <f ca="1">IFERROR(__xludf.DUMMYFUNCTION("""COMPUTED_VALUE"""),"2.25 Azerbaijan")</f>
        <v>2.25 Azerbaijan</v>
      </c>
      <c r="H1613" s="1" t="str">
        <f ca="1">IFERROR(__xludf.DUMMYFUNCTION("""COMPUTED_VALUE"""),"Freedom of Expression, Human Rights Defenders")</f>
        <v>Freedom of Expression, Human Rights Defenders</v>
      </c>
      <c r="I1613" s="1" t="str">
        <f ca="1">IFERROR(__xludf.DUMMYFUNCTION("""COMPUTED_VALUE"""),"2025")</f>
        <v>2025</v>
      </c>
      <c r="J1613" s="1" t="str">
        <f ca="1">IFERROR(__xludf.DUMMYFUNCTION("""COMPUTED_VALUE"""),"Email")</f>
        <v>Email</v>
      </c>
    </row>
    <row r="1614" spans="1:10" ht="13" x14ac:dyDescent="0.15">
      <c r="A1614" s="4">
        <f ca="1">IFERROR(__xludf.DUMMYFUNCTION("""COMPUTED_VALUE"""),165520775)</f>
        <v>165520775</v>
      </c>
      <c r="B1614" s="1" t="str">
        <f ca="1">IFERROR(__xludf.DUMMYFUNCTION("""COMPUTED_VALUE"""),"davidwolfson@sbcglobal.net")</f>
        <v>davidwolfson@sbcglobal.net</v>
      </c>
      <c r="C1614" s="4" t="str">
        <f ca="1">IFERROR(__xludf.DUMMYFUNCTION("""COMPUTED_VALUE"""),"EVERGREEN - UAN Gated Content - Embedded Petition")</f>
        <v>EVERGREEN - UAN Gated Content - Embedded Petition</v>
      </c>
      <c r="D1614" s="5">
        <f ca="1">IFERROR(__xludf.DUMMYFUNCTION("""COMPUTED_VALUE"""),45648)</f>
        <v>45648</v>
      </c>
      <c r="F1614" s="1" t="str">
        <f ca="1">IFERROR(__xludf.DUMMYFUNCTION("""COMPUTED_VALUE"""),"Egypt")</f>
        <v>Egypt</v>
      </c>
      <c r="G1614" s="1" t="str">
        <f ca="1">IFERROR(__xludf.DUMMYFUNCTION("""COMPUTED_VALUE"""),"Third 73.23 Egypt")</f>
        <v>Third 73.23 Egypt</v>
      </c>
      <c r="H1614" s="1" t="str">
        <f ca="1">IFERROR(__xludf.DUMMYFUNCTION("""COMPUTED_VALUE"""),"Individuals At Risk")</f>
        <v>Individuals At Risk</v>
      </c>
      <c r="I1614" s="1" t="str">
        <f ca="1">IFERROR(__xludf.DUMMYFUNCTION("""COMPUTED_VALUE"""),"2024")</f>
        <v>2024</v>
      </c>
      <c r="J1614" s="1" t="str">
        <f ca="1">IFERROR(__xludf.DUMMYFUNCTION("""COMPUTED_VALUE"""),"Email")</f>
        <v>Email</v>
      </c>
    </row>
    <row r="1615" spans="1:10" ht="13" x14ac:dyDescent="0.15">
      <c r="A1615" s="4">
        <f ca="1">IFERROR(__xludf.DUMMYFUNCTION("""COMPUTED_VALUE"""),165520775)</f>
        <v>165520775</v>
      </c>
      <c r="B1615" s="1" t="str">
        <f ca="1">IFERROR(__xludf.DUMMYFUNCTION("""COMPUTED_VALUE"""),"davidwolfson@sbcglobal.net")</f>
        <v>davidwolfson@sbcglobal.net</v>
      </c>
      <c r="C1615" s="4" t="str">
        <f ca="1">IFERROR(__xludf.DUMMYFUNCTION("""COMPUTED_VALUE"""),"EVERGREEN - UAN Gated Content - Embedded Petition")</f>
        <v>EVERGREEN - UAN Gated Content - Embedded Petition</v>
      </c>
      <c r="D1615" s="5">
        <f ca="1">IFERROR(__xludf.DUMMYFUNCTION("""COMPUTED_VALUE"""),45650)</f>
        <v>45650</v>
      </c>
      <c r="F1615" s="1" t="str">
        <f ca="1">IFERROR(__xludf.DUMMYFUNCTION("""COMPUTED_VALUE"""),"Turkiye")</f>
        <v>Turkiye</v>
      </c>
      <c r="G1615" s="1" t="str">
        <f ca="1">IFERROR(__xludf.DUMMYFUNCTION("""COMPUTED_VALUE"""),"109.24 Türkiye")</f>
        <v>109.24 Türkiye</v>
      </c>
      <c r="H1615" s="1" t="str">
        <f ca="1">IFERROR(__xludf.DUMMYFUNCTION("""COMPUTED_VALUE"""),"Human Rights Defenders, Individuals At Risk")</f>
        <v>Human Rights Defenders, Individuals At Risk</v>
      </c>
      <c r="I1615" s="1" t="str">
        <f ca="1">IFERROR(__xludf.DUMMYFUNCTION("""COMPUTED_VALUE"""),"2024")</f>
        <v>2024</v>
      </c>
      <c r="J1615" s="1" t="str">
        <f ca="1">IFERROR(__xludf.DUMMYFUNCTION("""COMPUTED_VALUE"""),"Email")</f>
        <v>Email</v>
      </c>
    </row>
    <row r="1616" spans="1:10" ht="13" x14ac:dyDescent="0.15">
      <c r="A1616" s="4">
        <f ca="1">IFERROR(__xludf.DUMMYFUNCTION("""COMPUTED_VALUE"""),165520775)</f>
        <v>165520775</v>
      </c>
      <c r="B1616" s="1" t="str">
        <f ca="1">IFERROR(__xludf.DUMMYFUNCTION("""COMPUTED_VALUE"""),"davidwolfson@sbcglobal.net")</f>
        <v>davidwolfson@sbcglobal.net</v>
      </c>
      <c r="C1616" s="4" t="str">
        <f ca="1">IFERROR(__xludf.DUMMYFUNCTION("""COMPUTED_VALUE"""),"EVERGREEN - UAN Gated Content - Embedded Petition")</f>
        <v>EVERGREEN - UAN Gated Content - Embedded Petition</v>
      </c>
      <c r="D1616" s="5">
        <f ca="1">IFERROR(__xludf.DUMMYFUNCTION("""COMPUTED_VALUE"""),45650)</f>
        <v>45650</v>
      </c>
      <c r="F1616" s="1" t="str">
        <f ca="1">IFERROR(__xludf.DUMMYFUNCTION("""COMPUTED_VALUE"""),"Tunisia")</f>
        <v>Tunisia</v>
      </c>
      <c r="G1616" s="1" t="str">
        <f ca="1">IFERROR(__xludf.DUMMYFUNCTION("""COMPUTED_VALUE"""),"Second 43.24 Tunisia")</f>
        <v>Second 43.24 Tunisia</v>
      </c>
      <c r="H1616" s="1" t="str">
        <f ca="1">IFERROR(__xludf.DUMMYFUNCTION("""COMPUTED_VALUE"""),"Freedom of Expression, Individuals At Risk")</f>
        <v>Freedom of Expression, Individuals At Risk</v>
      </c>
      <c r="I1616" s="1" t="str">
        <f ca="1">IFERROR(__xludf.DUMMYFUNCTION("""COMPUTED_VALUE"""),"2024")</f>
        <v>2024</v>
      </c>
      <c r="J1616" s="1" t="str">
        <f ca="1">IFERROR(__xludf.DUMMYFUNCTION("""COMPUTED_VALUE"""),"Email")</f>
        <v>Email</v>
      </c>
    </row>
    <row r="1617" spans="1:10" ht="13" x14ac:dyDescent="0.15">
      <c r="A1617" s="4">
        <f ca="1">IFERROR(__xludf.DUMMYFUNCTION("""COMPUTED_VALUE"""),165520775)</f>
        <v>165520775</v>
      </c>
      <c r="B1617" s="1" t="str">
        <f ca="1">IFERROR(__xludf.DUMMYFUNCTION("""COMPUTED_VALUE"""),"davidwolfson@sbcglobal.net")</f>
        <v>davidwolfson@sbcglobal.net</v>
      </c>
      <c r="C1617" s="4" t="str">
        <f ca="1">IFERROR(__xludf.DUMMYFUNCTION("""COMPUTED_VALUE"""),"EVERGREEN - UAN Gated Content - Embedded Petition")</f>
        <v>EVERGREEN - UAN Gated Content - Embedded Petition</v>
      </c>
      <c r="D1617" s="5">
        <f ca="1">IFERROR(__xludf.DUMMYFUNCTION("""COMPUTED_VALUE"""),45619)</f>
        <v>45619</v>
      </c>
      <c r="F1617" s="1" t="str">
        <f ca="1">IFERROR(__xludf.DUMMYFUNCTION("""COMPUTED_VALUE"""),"China")</f>
        <v>China</v>
      </c>
      <c r="G1617" s="1" t="str">
        <f ca="1">IFERROR(__xludf.DUMMYFUNCTION("""COMPUTED_VALUE"""),"98.24 China")</f>
        <v>98.24 China</v>
      </c>
      <c r="H1617" s="1" t="str">
        <f ca="1">IFERROR(__xludf.DUMMYFUNCTION("""COMPUTED_VALUE"""),"Freedom of Expression, Individuals At Risk")</f>
        <v>Freedom of Expression, Individuals At Risk</v>
      </c>
      <c r="I1617" s="1" t="str">
        <f ca="1">IFERROR(__xludf.DUMMYFUNCTION("""COMPUTED_VALUE"""),"2024")</f>
        <v>2024</v>
      </c>
      <c r="J1617" s="1" t="str">
        <f ca="1">IFERROR(__xludf.DUMMYFUNCTION("""COMPUTED_VALUE"""),"Letter")</f>
        <v>Letter</v>
      </c>
    </row>
    <row r="1618" spans="1:10" ht="13" x14ac:dyDescent="0.15">
      <c r="A1618" s="4">
        <f ca="1">IFERROR(__xludf.DUMMYFUNCTION("""COMPUTED_VALUE"""),165520775)</f>
        <v>165520775</v>
      </c>
      <c r="B1618" s="1" t="str">
        <f ca="1">IFERROR(__xludf.DUMMYFUNCTION("""COMPUTED_VALUE"""),"davidwolfson@sbcglobal.net")</f>
        <v>davidwolfson@sbcglobal.net</v>
      </c>
      <c r="C1618" s="4" t="str">
        <f ca="1">IFERROR(__xludf.DUMMYFUNCTION("""COMPUTED_VALUE"""),"EVERGREEN - UAN Gated Content - Embedded Petition")</f>
        <v>EVERGREEN - UAN Gated Content - Embedded Petition</v>
      </c>
      <c r="D1618" s="5">
        <f ca="1">IFERROR(__xludf.DUMMYFUNCTION("""COMPUTED_VALUE"""),45620)</f>
        <v>45620</v>
      </c>
      <c r="F1618" s="1" t="str">
        <f ca="1">IFERROR(__xludf.DUMMYFUNCTION("""COMPUTED_VALUE"""),"Singapore")</f>
        <v>Singapore</v>
      </c>
      <c r="G1618" s="1" t="str">
        <f ca="1">IFERROR(__xludf.DUMMYFUNCTION("""COMPUTED_VALUE"""),"107.24 Singapore")</f>
        <v>107.24 Singapore</v>
      </c>
      <c r="H1618" s="1" t="str">
        <f ca="1">IFERROR(__xludf.DUMMYFUNCTION("""COMPUTED_VALUE"""),"Death Penalty")</f>
        <v>Death Penalty</v>
      </c>
      <c r="I1618" s="1" t="str">
        <f ca="1">IFERROR(__xludf.DUMMYFUNCTION("""COMPUTED_VALUE"""),"2024")</f>
        <v>2024</v>
      </c>
      <c r="J1618" s="1" t="str">
        <f ca="1">IFERROR(__xludf.DUMMYFUNCTION("""COMPUTED_VALUE"""),"Email")</f>
        <v>Email</v>
      </c>
    </row>
    <row r="1619" spans="1:10" ht="13" x14ac:dyDescent="0.15">
      <c r="A1619" s="4">
        <f ca="1">IFERROR(__xludf.DUMMYFUNCTION("""COMPUTED_VALUE"""),165520775)</f>
        <v>165520775</v>
      </c>
      <c r="B1619" s="1" t="str">
        <f ca="1">IFERROR(__xludf.DUMMYFUNCTION("""COMPUTED_VALUE"""),"davidwolfson@sbcglobal.net")</f>
        <v>davidwolfson@sbcglobal.net</v>
      </c>
      <c r="C1619" s="4" t="str">
        <f ca="1">IFERROR(__xludf.DUMMYFUNCTION("""COMPUTED_VALUE"""),"EVERGREEN - UAN Gated Content - Embedded Petition")</f>
        <v>EVERGREEN - UAN Gated Content - Embedded Petition</v>
      </c>
      <c r="D1619" s="5">
        <f ca="1">IFERROR(__xludf.DUMMYFUNCTION("""COMPUTED_VALUE"""),45620)</f>
        <v>45620</v>
      </c>
      <c r="F1619" s="1" t="str">
        <f ca="1">IFERROR(__xludf.DUMMYFUNCTION("""COMPUTED_VALUE"""),"Saudi Arabia")</f>
        <v>Saudi Arabia</v>
      </c>
      <c r="G1619" s="1" t="str">
        <f ca="1">IFERROR(__xludf.DUMMYFUNCTION("""COMPUTED_VALUE"""),"104.24 Saudi Arabia")</f>
        <v>104.24 Saudi Arabia</v>
      </c>
      <c r="H1619" s="1" t="str">
        <f ca="1">IFERROR(__xludf.DUMMYFUNCTION("""COMPUTED_VALUE"""),"Individuals At Risk, Refugee and Migrant Rights")</f>
        <v>Individuals At Risk, Refugee and Migrant Rights</v>
      </c>
      <c r="I1619" s="1" t="str">
        <f ca="1">IFERROR(__xludf.DUMMYFUNCTION("""COMPUTED_VALUE"""),"2024")</f>
        <v>2024</v>
      </c>
      <c r="J1619" s="1" t="str">
        <f ca="1">IFERROR(__xludf.DUMMYFUNCTION("""COMPUTED_VALUE"""),"Email")</f>
        <v>Email</v>
      </c>
    </row>
    <row r="1620" spans="1:10" ht="13" x14ac:dyDescent="0.15">
      <c r="A1620" s="4">
        <f ca="1">IFERROR(__xludf.DUMMYFUNCTION("""COMPUTED_VALUE"""),165520775)</f>
        <v>165520775</v>
      </c>
      <c r="B1620" s="1" t="str">
        <f ca="1">IFERROR(__xludf.DUMMYFUNCTION("""COMPUTED_VALUE"""),"davidwolfson@sbcglobal.net")</f>
        <v>davidwolfson@sbcglobal.net</v>
      </c>
      <c r="C1620" s="4" t="str">
        <f ca="1">IFERROR(__xludf.DUMMYFUNCTION("""COMPUTED_VALUE"""),"EVERGREEN - UAN Gated Content - Embedded Petition")</f>
        <v>EVERGREEN - UAN Gated Content - Embedded Petition</v>
      </c>
      <c r="D1620" s="5">
        <f ca="1">IFERROR(__xludf.DUMMYFUNCTION("""COMPUTED_VALUE"""),45631)</f>
        <v>45631</v>
      </c>
      <c r="F1620" s="1" t="str">
        <f ca="1">IFERROR(__xludf.DUMMYFUNCTION("""COMPUTED_VALUE"""),"Egypt")</f>
        <v>Egypt</v>
      </c>
      <c r="G1620" s="1" t="str">
        <f ca="1">IFERROR(__xludf.DUMMYFUNCTION("""COMPUTED_VALUE"""),"Fourth 29.23 Egypt")</f>
        <v>Fourth 29.23 Egypt</v>
      </c>
      <c r="H1620" s="1" t="str">
        <f ca="1">IFERROR(__xludf.DUMMYFUNCTION("""COMPUTED_VALUE"""),"Freedom of Expression, Individuals At Risk, Right to Protest")</f>
        <v>Freedom of Expression, Individuals At Risk, Right to Protest</v>
      </c>
      <c r="I1620" s="1" t="str">
        <f ca="1">IFERROR(__xludf.DUMMYFUNCTION("""COMPUTED_VALUE"""),"2024")</f>
        <v>2024</v>
      </c>
      <c r="J1620" s="1" t="str">
        <f ca="1">IFERROR(__xludf.DUMMYFUNCTION("""COMPUTED_VALUE"""),"Email")</f>
        <v>Email</v>
      </c>
    </row>
    <row r="1621" spans="1:10" ht="13" x14ac:dyDescent="0.15">
      <c r="A1621" s="4">
        <f ca="1">IFERROR(__xludf.DUMMYFUNCTION("""COMPUTED_VALUE"""),165520775)</f>
        <v>165520775</v>
      </c>
      <c r="B1621" s="1" t="str">
        <f ca="1">IFERROR(__xludf.DUMMYFUNCTION("""COMPUTED_VALUE"""),"davidwolfson@sbcglobal.net")</f>
        <v>davidwolfson@sbcglobal.net</v>
      </c>
      <c r="C1621" s="4" t="str">
        <f ca="1">IFERROR(__xludf.DUMMYFUNCTION("""COMPUTED_VALUE"""),"EVERGREEN - UAN Gated Content - Embedded Petition")</f>
        <v>EVERGREEN - UAN Gated Content - Embedded Petition</v>
      </c>
      <c r="D1621" s="5">
        <f ca="1">IFERROR(__xludf.DUMMYFUNCTION("""COMPUTED_VALUE"""),45631)</f>
        <v>45631</v>
      </c>
      <c r="F1621" s="1" t="str">
        <f ca="1">IFERROR(__xludf.DUMMYFUNCTION("""COMPUTED_VALUE"""),"Russian Federation")</f>
        <v>Russian Federation</v>
      </c>
      <c r="G1621" s="1" t="str">
        <f ca="1">IFERROR(__xludf.DUMMYFUNCTION("""COMPUTED_VALUE"""),"102.24 Russia")</f>
        <v>102.24 Russia</v>
      </c>
      <c r="H1621" s="1" t="str">
        <f ca="1">IFERROR(__xludf.DUMMYFUNCTION("""COMPUTED_VALUE"""),"Freedom of Expression, Individuals At Risk, Right to Protest")</f>
        <v>Freedom of Expression, Individuals At Risk, Right to Protest</v>
      </c>
      <c r="I1621" s="1" t="str">
        <f ca="1">IFERROR(__xludf.DUMMYFUNCTION("""COMPUTED_VALUE"""),"2024")</f>
        <v>2024</v>
      </c>
      <c r="J1621" s="1" t="str">
        <f ca="1">IFERROR(__xludf.DUMMYFUNCTION("""COMPUTED_VALUE"""),"Email")</f>
        <v>Email</v>
      </c>
    </row>
    <row r="1622" spans="1:10" ht="13" x14ac:dyDescent="0.15">
      <c r="A1622" s="4">
        <f ca="1">IFERROR(__xludf.DUMMYFUNCTION("""COMPUTED_VALUE"""),165520775)</f>
        <v>165520775</v>
      </c>
      <c r="B1622" s="1" t="str">
        <f ca="1">IFERROR(__xludf.DUMMYFUNCTION("""COMPUTED_VALUE"""),"davidwolfson@sbcglobal.net")</f>
        <v>davidwolfson@sbcglobal.net</v>
      </c>
      <c r="C1622" s="4" t="str">
        <f ca="1">IFERROR(__xludf.DUMMYFUNCTION("""COMPUTED_VALUE"""),"EVERGREEN - UAN Gated Content - Embedded Petition")</f>
        <v>EVERGREEN - UAN Gated Content - Embedded Petition</v>
      </c>
      <c r="D1622" s="5">
        <f ca="1">IFERROR(__xludf.DUMMYFUNCTION("""COMPUTED_VALUE"""),45632)</f>
        <v>45632</v>
      </c>
      <c r="F1622" s="1" t="str">
        <f ca="1">IFERROR(__xludf.DUMMYFUNCTION("""COMPUTED_VALUE"""),"Uganda")</f>
        <v>Uganda</v>
      </c>
      <c r="G1622" s="1" t="str">
        <f ca="1">IFERROR(__xludf.DUMMYFUNCTION("""COMPUTED_VALUE"""),"100.24 Uganda")</f>
        <v>100.24 Uganda</v>
      </c>
      <c r="H1622" s="1" t="str">
        <f ca="1">IFERROR(__xludf.DUMMYFUNCTION("""COMPUTED_VALUE"""),"Freedom of Expression")</f>
        <v>Freedom of Expression</v>
      </c>
      <c r="I1622" s="1" t="str">
        <f ca="1">IFERROR(__xludf.DUMMYFUNCTION("""COMPUTED_VALUE"""),"2024")</f>
        <v>2024</v>
      </c>
      <c r="J1622" s="1" t="str">
        <f ca="1">IFERROR(__xludf.DUMMYFUNCTION("""COMPUTED_VALUE"""),"Email")</f>
        <v>Email</v>
      </c>
    </row>
    <row r="1623" spans="1:10" ht="13" x14ac:dyDescent="0.15">
      <c r="A1623" s="4">
        <f ca="1">IFERROR(__xludf.DUMMYFUNCTION("""COMPUTED_VALUE"""),165662256)</f>
        <v>165662256</v>
      </c>
      <c r="B1623" s="1" t="str">
        <f ca="1">IFERROR(__xludf.DUMMYFUNCTION("""COMPUTED_VALUE"""),"bnewberg@kent.edu")</f>
        <v>bnewberg@kent.edu</v>
      </c>
      <c r="C1623" s="4" t="str">
        <f ca="1">IFERROR(__xludf.DUMMYFUNCTION("""COMPUTED_VALUE"""),"EVERGREEN - UAN Gated Content - Embedded Petition")</f>
        <v>EVERGREEN - UAN Gated Content - Embedded Petition</v>
      </c>
      <c r="D1623" s="5">
        <f ca="1">IFERROR(__xludf.DUMMYFUNCTION("""COMPUTED_VALUE"""),45694)</f>
        <v>45694</v>
      </c>
      <c r="F1623" s="1" t="str">
        <f ca="1">IFERROR(__xludf.DUMMYFUNCTION("""COMPUTED_VALUE"""),"Azerbaijan")</f>
        <v>Azerbaijan</v>
      </c>
      <c r="G1623" s="1" t="str">
        <f ca="1">IFERROR(__xludf.DUMMYFUNCTION("""COMPUTED_VALUE"""),"2.25 Azerbaijan")</f>
        <v>2.25 Azerbaijan</v>
      </c>
      <c r="H1623" s="1" t="str">
        <f ca="1">IFERROR(__xludf.DUMMYFUNCTION("""COMPUTED_VALUE"""),"Freedom of Expression, Human Rights Defenders")</f>
        <v>Freedom of Expression, Human Rights Defenders</v>
      </c>
      <c r="I1623" s="1" t="str">
        <f ca="1">IFERROR(__xludf.DUMMYFUNCTION("""COMPUTED_VALUE"""),"2025")</f>
        <v>2025</v>
      </c>
      <c r="J1623" s="1" t="str">
        <f ca="1">IFERROR(__xludf.DUMMYFUNCTION("""COMPUTED_VALUE"""),"Email")</f>
        <v>Email</v>
      </c>
    </row>
    <row r="1624" spans="1:10" ht="13" x14ac:dyDescent="0.15">
      <c r="A1624" s="4">
        <f ca="1">IFERROR(__xludf.DUMMYFUNCTION("""COMPUTED_VALUE"""),166897144)</f>
        <v>166897144</v>
      </c>
      <c r="B1624" s="1" t="str">
        <f ca="1">IFERROR(__xludf.DUMMYFUNCTION("""COMPUTED_VALUE"""),"mejat3@gmail.com")</f>
        <v>mejat3@gmail.com</v>
      </c>
      <c r="C1624" s="4" t="str">
        <f ca="1">IFERROR(__xludf.DUMMYFUNCTION("""COMPUTED_VALUE"""),"EVERGREEN - UAN Gated Content - Embedded Petition")</f>
        <v>EVERGREEN - UAN Gated Content - Embedded Petition</v>
      </c>
      <c r="D1624" s="5">
        <f ca="1">IFERROR(__xludf.DUMMYFUNCTION("""COMPUTED_VALUE"""),45679)</f>
        <v>45679</v>
      </c>
      <c r="F1624" s="1" t="str">
        <f ca="1">IFERROR(__xludf.DUMMYFUNCTION("""COMPUTED_VALUE"""),"Iran")</f>
        <v>Iran</v>
      </c>
      <c r="G1624" s="1" t="str">
        <f ca="1">IFERROR(__xludf.DUMMYFUNCTION("""COMPUTED_VALUE"""),"101.24 Iran")</f>
        <v>101.24 Iran</v>
      </c>
      <c r="H1624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1624" s="1" t="str">
        <f ca="1">IFERROR(__xludf.DUMMYFUNCTION("""COMPUTED_VALUE"""),"2024")</f>
        <v>2024</v>
      </c>
      <c r="J1624" s="1" t="str">
        <f ca="1">IFERROR(__xludf.DUMMYFUNCTION("""COMPUTED_VALUE"""),"Email")</f>
        <v>Email</v>
      </c>
    </row>
    <row r="1625" spans="1:10" ht="13" x14ac:dyDescent="0.15">
      <c r="A1625" s="4">
        <f ca="1">IFERROR(__xludf.DUMMYFUNCTION("""COMPUTED_VALUE"""),166898507)</f>
        <v>166898507</v>
      </c>
      <c r="B1625" s="1" t="str">
        <f ca="1">IFERROR(__xludf.DUMMYFUNCTION("""COMPUTED_VALUE"""),"tommayhew@gmail.com")</f>
        <v>tommayhew@gmail.com</v>
      </c>
      <c r="C1625" s="4" t="str">
        <f ca="1">IFERROR(__xludf.DUMMYFUNCTION("""COMPUTED_VALUE"""),"EVERGREEN - UAN Gated Content - Embedded Petition")</f>
        <v>EVERGREEN - UAN Gated Content - Embedded Petition</v>
      </c>
      <c r="D1625" s="5">
        <f ca="1">IFERROR(__xludf.DUMMYFUNCTION("""COMPUTED_VALUE"""),45707)</f>
        <v>45707</v>
      </c>
      <c r="F1625" s="1" t="str">
        <f ca="1">IFERROR(__xludf.DUMMYFUNCTION("""COMPUTED_VALUE"""),"Honduras")</f>
        <v>Honduras</v>
      </c>
      <c r="G1625" s="1" t="str">
        <f ca="1">IFERROR(__xludf.DUMMYFUNCTION("""COMPUTED_VALUE"""),"Second 85.24 Honduras")</f>
        <v>Second 85.24 Honduras</v>
      </c>
      <c r="H1625" s="1" t="str">
        <f ca="1">IFERROR(__xludf.DUMMYFUNCTION("""COMPUTED_VALUE"""),"Climate Justice, Human Rights Defenders, Right to Protest")</f>
        <v>Climate Justice, Human Rights Defenders, Right to Protest</v>
      </c>
      <c r="I1625" s="1" t="str">
        <f ca="1">IFERROR(__xludf.DUMMYFUNCTION("""COMPUTED_VALUE"""),"2024")</f>
        <v>2024</v>
      </c>
      <c r="J1625" s="1" t="str">
        <f ca="1">IFERROR(__xludf.DUMMYFUNCTION("""COMPUTED_VALUE"""),"Email")</f>
        <v>Email</v>
      </c>
    </row>
    <row r="1626" spans="1:10" ht="13" x14ac:dyDescent="0.15">
      <c r="A1626" s="4">
        <f ca="1">IFERROR(__xludf.DUMMYFUNCTION("""COMPUTED_VALUE"""),167351100)</f>
        <v>167351100</v>
      </c>
      <c r="B1626" s="1" t="str">
        <f ca="1">IFERROR(__xludf.DUMMYFUNCTION("""COMPUTED_VALUE"""),"rdibble265@gmail.com")</f>
        <v>rdibble265@gmail.com</v>
      </c>
      <c r="C1626" s="4" t="str">
        <f ca="1">IFERROR(__xludf.DUMMYFUNCTION("""COMPUTED_VALUE"""),"EVERGREEN - UAN Gated Content - Embedded Petition")</f>
        <v>EVERGREEN - UAN Gated Content - Embedded Petition</v>
      </c>
      <c r="D1626" s="5">
        <f ca="1">IFERROR(__xludf.DUMMYFUNCTION("""COMPUTED_VALUE"""),45694)</f>
        <v>45694</v>
      </c>
      <c r="F1626" s="1" t="str">
        <f ca="1">IFERROR(__xludf.DUMMYFUNCTION("""COMPUTED_VALUE"""),"USA")</f>
        <v>USA</v>
      </c>
      <c r="G1626" s="1" t="str">
        <f ca="1">IFERROR(__xludf.DUMMYFUNCTION("""COMPUTED_VALUE"""),"105.24 USA")</f>
        <v>105.24 USA</v>
      </c>
      <c r="H1626" s="1" t="str">
        <f ca="1">IFERROR(__xludf.DUMMYFUNCTION("""COMPUTED_VALUE"""),"Death Penalty")</f>
        <v>Death Penalty</v>
      </c>
      <c r="I1626" s="1" t="str">
        <f ca="1">IFERROR(__xludf.DUMMYFUNCTION("""COMPUTED_VALUE"""),"2024")</f>
        <v>2024</v>
      </c>
      <c r="J1626" s="1" t="str">
        <f ca="1">IFERROR(__xludf.DUMMYFUNCTION("""COMPUTED_VALUE"""),"Email")</f>
        <v>Email</v>
      </c>
    </row>
    <row r="1627" spans="1:10" ht="13" x14ac:dyDescent="0.15">
      <c r="A1627" s="4">
        <f ca="1">IFERROR(__xludf.DUMMYFUNCTION("""COMPUTED_VALUE"""),167745279)</f>
        <v>167745279</v>
      </c>
      <c r="B1627" s="1" t="str">
        <f ca="1">IFERROR(__xludf.DUMMYFUNCTION("""COMPUTED_VALUE"""),"leslielethridge2658@comcast.net")</f>
        <v>leslielethridge2658@comcast.net</v>
      </c>
      <c r="C1627" s="4" t="str">
        <f ca="1">IFERROR(__xludf.DUMMYFUNCTION("""COMPUTED_VALUE"""),"EVERGREEN - UAN Gated Content - Embedded Petition")</f>
        <v>EVERGREEN - UAN Gated Content - Embedded Petition</v>
      </c>
      <c r="D1627" s="5">
        <f ca="1">IFERROR(__xludf.DUMMYFUNCTION("""COMPUTED_VALUE"""),45694)</f>
        <v>45694</v>
      </c>
      <c r="F1627" s="1" t="str">
        <f ca="1">IFERROR(__xludf.DUMMYFUNCTION("""COMPUTED_VALUE"""),"Egypt")</f>
        <v>Egypt</v>
      </c>
      <c r="G1627" s="1" t="str">
        <f ca="1">IFERROR(__xludf.DUMMYFUNCTION("""COMPUTED_VALUE"""),"Ninth 190.18 Egypt")</f>
        <v>Ninth 190.18 Egypt</v>
      </c>
      <c r="H1627" s="1" t="str">
        <f ca="1">IFERROR(__xludf.DUMMYFUNCTION("""COMPUTED_VALUE"""),"Freedom of Expression, Individuals At Risk")</f>
        <v>Freedom of Expression, Individuals At Risk</v>
      </c>
      <c r="I1627" s="1" t="str">
        <f ca="1">IFERROR(__xludf.DUMMYFUNCTION("""COMPUTED_VALUE"""),"2024")</f>
        <v>2024</v>
      </c>
      <c r="J1627" s="1" t="str">
        <f ca="1">IFERROR(__xludf.DUMMYFUNCTION("""COMPUTED_VALUE"""),"Letter")</f>
        <v>Letter</v>
      </c>
    </row>
    <row r="1628" spans="1:10" ht="13" x14ac:dyDescent="0.15">
      <c r="A1628" s="4">
        <f ca="1">IFERROR(__xludf.DUMMYFUNCTION("""COMPUTED_VALUE"""),167769882)</f>
        <v>167769882</v>
      </c>
      <c r="B1628" s="1" t="str">
        <f ca="1">IFERROR(__xludf.DUMMYFUNCTION("""COMPUTED_VALUE"""),"bgershenson@yahoo.com")</f>
        <v>bgershenson@yahoo.com</v>
      </c>
      <c r="C1628" s="4" t="str">
        <f ca="1">IFERROR(__xludf.DUMMYFUNCTION("""COMPUTED_VALUE"""),"EVERGREEN - UAN Gated Content - Embedded Petition")</f>
        <v>EVERGREEN - UAN Gated Content - Embedded Petition</v>
      </c>
      <c r="D1628" s="5">
        <f ca="1">IFERROR(__xludf.DUMMYFUNCTION("""COMPUTED_VALUE"""),45639)</f>
        <v>45639</v>
      </c>
      <c r="F1628" s="1" t="str">
        <f ca="1">IFERROR(__xludf.DUMMYFUNCTION("""COMPUTED_VALUE"""),"Tunisia")</f>
        <v>Tunisia</v>
      </c>
      <c r="G1628" s="1" t="str">
        <f ca="1">IFERROR(__xludf.DUMMYFUNCTION("""COMPUTED_VALUE"""),"Second 76.24 Tunisia")</f>
        <v>Second 76.24 Tunisia</v>
      </c>
      <c r="H1628" s="1" t="str">
        <f ca="1">IFERROR(__xludf.DUMMYFUNCTION("""COMPUTED_VALUE"""),"Freedom of Expression, Human Rights Defenders")</f>
        <v>Freedom of Expression, Human Rights Defenders</v>
      </c>
      <c r="I1628" s="1" t="str">
        <f ca="1">IFERROR(__xludf.DUMMYFUNCTION("""COMPUTED_VALUE"""),"2025")</f>
        <v>2025</v>
      </c>
      <c r="J1628" s="1" t="str">
        <f ca="1">IFERROR(__xludf.DUMMYFUNCTION("""COMPUTED_VALUE"""),"Email")</f>
        <v>Email</v>
      </c>
    </row>
    <row r="1629" spans="1:10" ht="13" x14ac:dyDescent="0.15">
      <c r="A1629" s="4">
        <f ca="1">IFERROR(__xludf.DUMMYFUNCTION("""COMPUTED_VALUE"""),171119272)</f>
        <v>171119272</v>
      </c>
      <c r="B1629" s="1" t="str">
        <f ca="1">IFERROR(__xludf.DUMMYFUNCTION("""COMPUTED_VALUE"""),"abeisiegelvt@gmail.com")</f>
        <v>abeisiegelvt@gmail.com</v>
      </c>
      <c r="C1629" s="4" t="str">
        <f ca="1">IFERROR(__xludf.DUMMYFUNCTION("""COMPUTED_VALUE"""),"EVERGREEN - UAN Gated Content - Embedded Petition")</f>
        <v>EVERGREEN - UAN Gated Content - Embedded Petition</v>
      </c>
      <c r="D1629" s="5">
        <f ca="1">IFERROR(__xludf.DUMMYFUNCTION("""COMPUTED_VALUE"""),45694)</f>
        <v>45694</v>
      </c>
      <c r="F1629" s="1" t="str">
        <f ca="1">IFERROR(__xludf.DUMMYFUNCTION("""COMPUTED_VALUE"""),"Venezuela")</f>
        <v>Venezuela</v>
      </c>
      <c r="G1629" s="1" t="str">
        <f ca="1">IFERROR(__xludf.DUMMYFUNCTION("""COMPUTED_VALUE"""),"1.25 Venezuela")</f>
        <v>1.25 Venezuela</v>
      </c>
      <c r="H1629" s="1" t="str">
        <f ca="1">IFERROR(__xludf.DUMMYFUNCTION("""COMPUTED_VALUE"""),"Human Rights Defenders, Individuals At Risk")</f>
        <v>Human Rights Defenders, Individuals At Risk</v>
      </c>
      <c r="I1629" s="1" t="str">
        <f ca="1">IFERROR(__xludf.DUMMYFUNCTION("""COMPUTED_VALUE"""),"2025")</f>
        <v>2025</v>
      </c>
      <c r="J1629" s="1" t="str">
        <f ca="1">IFERROR(__xludf.DUMMYFUNCTION("""COMPUTED_VALUE"""),"Letter")</f>
        <v>Letter</v>
      </c>
    </row>
    <row r="1630" spans="1:10" ht="13" x14ac:dyDescent="0.15">
      <c r="A1630" s="4">
        <f ca="1">IFERROR(__xludf.DUMMYFUNCTION("""COMPUTED_VALUE"""),173429159)</f>
        <v>173429159</v>
      </c>
      <c r="B1630" s="1" t="str">
        <f ca="1">IFERROR(__xludf.DUMMYFUNCTION("""COMPUTED_VALUE"""),"elkes.mw@gmail.com")</f>
        <v>elkes.mw@gmail.com</v>
      </c>
      <c r="C1630" s="4" t="str">
        <f ca="1">IFERROR(__xludf.DUMMYFUNCTION("""COMPUTED_VALUE"""),"EVERGREEN - UAN Gated Content - Embedded Petition")</f>
        <v>EVERGREEN - UAN Gated Content - Embedded Petition</v>
      </c>
      <c r="D1630" s="5">
        <f ca="1">IFERROR(__xludf.DUMMYFUNCTION("""COMPUTED_VALUE"""),45694)</f>
        <v>45694</v>
      </c>
      <c r="F1630" s="1" t="str">
        <f ca="1">IFERROR(__xludf.DUMMYFUNCTION("""COMPUTED_VALUE"""),"Tunisia")</f>
        <v>Tunisia</v>
      </c>
      <c r="G1630" s="1" t="str">
        <f ca="1">IFERROR(__xludf.DUMMYFUNCTION("""COMPUTED_VALUE"""),"Second 76.24 Tunisia")</f>
        <v>Second 76.24 Tunisia</v>
      </c>
      <c r="H1630" s="1" t="str">
        <f ca="1">IFERROR(__xludf.DUMMYFUNCTION("""COMPUTED_VALUE"""),"Freedom of Expression, Human Rights Defenders")</f>
        <v>Freedom of Expression, Human Rights Defenders</v>
      </c>
      <c r="I1630" s="1" t="str">
        <f ca="1">IFERROR(__xludf.DUMMYFUNCTION("""COMPUTED_VALUE"""),"2025")</f>
        <v>2025</v>
      </c>
      <c r="J1630" s="1" t="str">
        <f ca="1">IFERROR(__xludf.DUMMYFUNCTION("""COMPUTED_VALUE"""),"Email")</f>
        <v>Email</v>
      </c>
    </row>
    <row r="1631" spans="1:10" ht="13" x14ac:dyDescent="0.15">
      <c r="A1631" s="4">
        <f ca="1">IFERROR(__xludf.DUMMYFUNCTION("""COMPUTED_VALUE"""),173429159)</f>
        <v>173429159</v>
      </c>
      <c r="B1631" s="1" t="str">
        <f ca="1">IFERROR(__xludf.DUMMYFUNCTION("""COMPUTED_VALUE"""),"elkes.mw@gmail.com")</f>
        <v>elkes.mw@gmail.com</v>
      </c>
      <c r="C1631" s="4" t="str">
        <f ca="1">IFERROR(__xludf.DUMMYFUNCTION("""COMPUTED_VALUE"""),"EVERGREEN - UAN Gated Content - Embedded Petition")</f>
        <v>EVERGREEN - UAN Gated Content - Embedded Petition</v>
      </c>
      <c r="D1631" s="5">
        <f ca="1">IFERROR(__xludf.DUMMYFUNCTION("""COMPUTED_VALUE"""),45694)</f>
        <v>45694</v>
      </c>
      <c r="F1631" s="1" t="str">
        <f ca="1">IFERROR(__xludf.DUMMYFUNCTION("""COMPUTED_VALUE"""),"Tunisia")</f>
        <v>Tunisia</v>
      </c>
      <c r="G1631" s="1" t="str">
        <f ca="1">IFERROR(__xludf.DUMMYFUNCTION("""COMPUTED_VALUE"""),"Second 76.24 Tunisia")</f>
        <v>Second 76.24 Tunisia</v>
      </c>
      <c r="H1631" s="1" t="str">
        <f ca="1">IFERROR(__xludf.DUMMYFUNCTION("""COMPUTED_VALUE"""),"Freedom of Expression, Human Rights Defenders")</f>
        <v>Freedom of Expression, Human Rights Defenders</v>
      </c>
      <c r="I1631" s="1" t="str">
        <f ca="1">IFERROR(__xludf.DUMMYFUNCTION("""COMPUTED_VALUE"""),"2025")</f>
        <v>2025</v>
      </c>
      <c r="J1631" s="1" t="str">
        <f ca="1">IFERROR(__xludf.DUMMYFUNCTION("""COMPUTED_VALUE"""),"Email")</f>
        <v>Email</v>
      </c>
    </row>
    <row r="1632" spans="1:10" ht="13" x14ac:dyDescent="0.15">
      <c r="A1632" s="4">
        <f ca="1">IFERROR(__xludf.DUMMYFUNCTION("""COMPUTED_VALUE"""),175751700)</f>
        <v>175751700</v>
      </c>
      <c r="B1632" s="1" t="str">
        <f ca="1">IFERROR(__xludf.DUMMYFUNCTION("""COMPUTED_VALUE"""),"lambtrees@gmail.com")</f>
        <v>lambtrees@gmail.com</v>
      </c>
      <c r="C1632" s="4" t="str">
        <f ca="1">IFERROR(__xludf.DUMMYFUNCTION("""COMPUTED_VALUE"""),"EVERGREEN - UAN Gated Content - Embedded Petition")</f>
        <v>EVERGREEN - UAN Gated Content - Embedded Petition</v>
      </c>
      <c r="D1632" s="5">
        <f ca="1">IFERROR(__xludf.DUMMYFUNCTION("""COMPUTED_VALUE"""),45636)</f>
        <v>45636</v>
      </c>
      <c r="F1632" s="1" t="str">
        <f ca="1">IFERROR(__xludf.DUMMYFUNCTION("""COMPUTED_VALUE"""),"USA")</f>
        <v>USA</v>
      </c>
      <c r="G1632" s="1" t="str">
        <f ca="1">IFERROR(__xludf.DUMMYFUNCTION("""COMPUTED_VALUE"""),"4.25 USA")</f>
        <v>4.25 USA</v>
      </c>
      <c r="H1632" s="1" t="str">
        <f ca="1">IFERROR(__xludf.DUMMYFUNCTION("""COMPUTED_VALUE"""),"Individuals At Risk, Refugee and Migrant Rights")</f>
        <v>Individuals At Risk, Refugee and Migrant Rights</v>
      </c>
      <c r="I1632" s="1" t="str">
        <f ca="1">IFERROR(__xludf.DUMMYFUNCTION("""COMPUTED_VALUE"""),"2025")</f>
        <v>2025</v>
      </c>
      <c r="J1632" s="1" t="str">
        <f ca="1">IFERROR(__xludf.DUMMYFUNCTION("""COMPUTED_VALUE"""),"Letter")</f>
        <v>Letter</v>
      </c>
    </row>
    <row r="1633" spans="1:10" ht="13" x14ac:dyDescent="0.15">
      <c r="A1633" s="4">
        <f ca="1">IFERROR(__xludf.DUMMYFUNCTION("""COMPUTED_VALUE"""),175751700)</f>
        <v>175751700</v>
      </c>
      <c r="B1633" s="1" t="str">
        <f ca="1">IFERROR(__xludf.DUMMYFUNCTION("""COMPUTED_VALUE"""),"lambtrees@gmail.com")</f>
        <v>lambtrees@gmail.com</v>
      </c>
      <c r="C1633" s="4" t="str">
        <f ca="1">IFERROR(__xludf.DUMMYFUNCTION("""COMPUTED_VALUE"""),"EVERGREEN - UAN Gated Content - Embedded Petition")</f>
        <v>EVERGREEN - UAN Gated Content - Embedded Petition</v>
      </c>
      <c r="D1633" s="5">
        <f ca="1">IFERROR(__xludf.DUMMYFUNCTION("""COMPUTED_VALUE"""),45694)</f>
        <v>45694</v>
      </c>
      <c r="F1633" s="1" t="str">
        <f ca="1">IFERROR(__xludf.DUMMYFUNCTION("""COMPUTED_VALUE"""),"USA")</f>
        <v>USA</v>
      </c>
      <c r="G1633" s="1" t="str">
        <f ca="1">IFERROR(__xludf.DUMMYFUNCTION("""COMPUTED_VALUE"""),"4.25 USA")</f>
        <v>4.25 USA</v>
      </c>
      <c r="H1633" s="1" t="str">
        <f ca="1">IFERROR(__xludf.DUMMYFUNCTION("""COMPUTED_VALUE"""),"Individuals At Risk, Refugee and Migrant Rights")</f>
        <v>Individuals At Risk, Refugee and Migrant Rights</v>
      </c>
      <c r="I1633" s="1" t="str">
        <f ca="1">IFERROR(__xludf.DUMMYFUNCTION("""COMPUTED_VALUE"""),"2025")</f>
        <v>2025</v>
      </c>
      <c r="J1633" s="1" t="str">
        <f ca="1">IFERROR(__xludf.DUMMYFUNCTION("""COMPUTED_VALUE"""),"Letter")</f>
        <v>Letter</v>
      </c>
    </row>
    <row r="1634" spans="1:10" ht="13" x14ac:dyDescent="0.15">
      <c r="A1634" s="4">
        <f ca="1">IFERROR(__xludf.DUMMYFUNCTION("""COMPUTED_VALUE"""),178860948)</f>
        <v>178860948</v>
      </c>
      <c r="B1634" s="1" t="str">
        <f ca="1">IFERROR(__xludf.DUMMYFUNCTION("""COMPUTED_VALUE"""),"tomcborkowski@yahoo.com")</f>
        <v>tomcborkowski@yahoo.com</v>
      </c>
      <c r="C1634" s="4" t="str">
        <f ca="1">IFERROR(__xludf.DUMMYFUNCTION("""COMPUTED_VALUE"""),"EVERGREEN - UAN Gated Content - Embedded Petition")</f>
        <v>EVERGREEN - UAN Gated Content - Embedded Petition</v>
      </c>
      <c r="D1634" s="5">
        <f ca="1">IFERROR(__xludf.DUMMYFUNCTION("""COMPUTED_VALUE"""),45695)</f>
        <v>45695</v>
      </c>
      <c r="F1634" s="1" t="str">
        <f ca="1">IFERROR(__xludf.DUMMYFUNCTION("""COMPUTED_VALUE"""),"Tunisia")</f>
        <v>Tunisia</v>
      </c>
      <c r="G1634" s="1" t="str">
        <f ca="1">IFERROR(__xludf.DUMMYFUNCTION("""COMPUTED_VALUE"""),"Second 76.24 Tunisia")</f>
        <v>Second 76.24 Tunisia</v>
      </c>
      <c r="H1634" s="1" t="str">
        <f ca="1">IFERROR(__xludf.DUMMYFUNCTION("""COMPUTED_VALUE"""),"Freedom of Expression, Human Rights Defenders")</f>
        <v>Freedom of Expression, Human Rights Defenders</v>
      </c>
      <c r="I1634" s="1" t="str">
        <f ca="1">IFERROR(__xludf.DUMMYFUNCTION("""COMPUTED_VALUE"""),"2025")</f>
        <v>2025</v>
      </c>
      <c r="J1634" s="1" t="str">
        <f ca="1">IFERROR(__xludf.DUMMYFUNCTION("""COMPUTED_VALUE"""),"Email")</f>
        <v>Email</v>
      </c>
    </row>
    <row r="1635" spans="1:10" ht="13" x14ac:dyDescent="0.15">
      <c r="A1635" s="4">
        <f ca="1">IFERROR(__xludf.DUMMYFUNCTION("""COMPUTED_VALUE"""),179115374)</f>
        <v>179115374</v>
      </c>
      <c r="B1635" s="1" t="str">
        <f ca="1">IFERROR(__xludf.DUMMYFUNCTION("""COMPUTED_VALUE"""),"ouassim.sadellah@gmail.com")</f>
        <v>ouassim.sadellah@gmail.com</v>
      </c>
      <c r="C1635" s="4" t="str">
        <f ca="1">IFERROR(__xludf.DUMMYFUNCTION("""COMPUTED_VALUE"""),"EVERGREEN - UAN Gated Content - Embedded Petition")</f>
        <v>EVERGREEN - UAN Gated Content - Embedded Petition</v>
      </c>
      <c r="D1635" s="5">
        <f ca="1">IFERROR(__xludf.DUMMYFUNCTION("""COMPUTED_VALUE"""),45616)</f>
        <v>45616</v>
      </c>
      <c r="F1635" s="1" t="str">
        <f ca="1">IFERROR(__xludf.DUMMYFUNCTION("""COMPUTED_VALUE"""),"USA")</f>
        <v>USA</v>
      </c>
      <c r="G1635" s="1" t="str">
        <f ca="1">IFERROR(__xludf.DUMMYFUNCTION("""COMPUTED_VALUE"""),"4.25 USA")</f>
        <v>4.25 USA</v>
      </c>
      <c r="H1635" s="1" t="str">
        <f ca="1">IFERROR(__xludf.DUMMYFUNCTION("""COMPUTED_VALUE"""),"Individuals At Risk, Refugee and Migrant Rights")</f>
        <v>Individuals At Risk, Refugee and Migrant Rights</v>
      </c>
      <c r="I1635" s="1" t="str">
        <f ca="1">IFERROR(__xludf.DUMMYFUNCTION("""COMPUTED_VALUE"""),"2025")</f>
        <v>2025</v>
      </c>
      <c r="J1635" s="1" t="str">
        <f ca="1">IFERROR(__xludf.DUMMYFUNCTION("""COMPUTED_VALUE"""),"Letter")</f>
        <v>Letter</v>
      </c>
    </row>
    <row r="1636" spans="1:10" ht="13" x14ac:dyDescent="0.15">
      <c r="A1636" s="4">
        <f ca="1">IFERROR(__xludf.DUMMYFUNCTION("""COMPUTED_VALUE"""),179116905)</f>
        <v>179116905</v>
      </c>
      <c r="B1636" s="1" t="str">
        <f ca="1">IFERROR(__xludf.DUMMYFUNCTION("""COMPUTED_VALUE"""),"mangcoding@gmail.com")</f>
        <v>mangcoding@gmail.com</v>
      </c>
      <c r="C1636" s="4" t="str">
        <f ca="1">IFERROR(__xludf.DUMMYFUNCTION("""COMPUTED_VALUE"""),"EVERGREEN - UAN Gated Content - Embedded Petition")</f>
        <v>EVERGREEN - UAN Gated Content - Embedded Petition</v>
      </c>
      <c r="D1636" s="5">
        <f ca="1">IFERROR(__xludf.DUMMYFUNCTION("""COMPUTED_VALUE"""),45568)</f>
        <v>45568</v>
      </c>
      <c r="F1636" s="1" t="str">
        <f ca="1">IFERROR(__xludf.DUMMYFUNCTION("""COMPUTED_VALUE"""),"Iran")</f>
        <v>Iran</v>
      </c>
      <c r="G1636" s="1" t="str">
        <f ca="1">IFERROR(__xludf.DUMMYFUNCTION("""COMPUTED_VALUE"""),"Seventh 103.22 Iran")</f>
        <v>Seventh 103.22 Iran</v>
      </c>
      <c r="H1636" s="1" t="str">
        <f ca="1">IFERROR(__xludf.DUMMYFUNCTION("""COMPUTED_VALUE"""),"Death Penalty, Freedom of Expression, Individuals At Risk")</f>
        <v>Death Penalty, Freedom of Expression, Individuals At Risk</v>
      </c>
      <c r="I1636" s="1" t="str">
        <f ca="1">IFERROR(__xludf.DUMMYFUNCTION("""COMPUTED_VALUE"""),"2024")</f>
        <v>2024</v>
      </c>
      <c r="J1636" s="1" t="str">
        <f ca="1">IFERROR(__xludf.DUMMYFUNCTION("""COMPUTED_VALUE"""),"Email")</f>
        <v>Email</v>
      </c>
    </row>
    <row r="1637" spans="1:10" ht="13" x14ac:dyDescent="0.15">
      <c r="A1637" s="4">
        <f ca="1">IFERROR(__xludf.DUMMYFUNCTION("""COMPUTED_VALUE"""),179116905)</f>
        <v>179116905</v>
      </c>
      <c r="B1637" s="1" t="str">
        <f ca="1">IFERROR(__xludf.DUMMYFUNCTION("""COMPUTED_VALUE"""),"mangcoding@gmail.com")</f>
        <v>mangcoding@gmail.com</v>
      </c>
      <c r="C1637" s="4" t="str">
        <f ca="1">IFERROR(__xludf.DUMMYFUNCTION("""COMPUTED_VALUE"""),"EVERGREEN - UAN Gated Content - Embedded Petition")</f>
        <v>EVERGREEN - UAN Gated Content - Embedded Petition</v>
      </c>
      <c r="D1637" s="5">
        <f ca="1">IFERROR(__xludf.DUMMYFUNCTION("""COMPUTED_VALUE"""),45611)</f>
        <v>45611</v>
      </c>
      <c r="F1637" s="1" t="str">
        <f ca="1">IFERROR(__xludf.DUMMYFUNCTION("""COMPUTED_VALUE"""),"Egypt")</f>
        <v>Egypt</v>
      </c>
      <c r="G1637" s="1" t="str">
        <f ca="1">IFERROR(__xludf.DUMMYFUNCTION("""COMPUTED_VALUE"""),"Ninth 190.18 Egypt")</f>
        <v>Ninth 190.18 Egypt</v>
      </c>
      <c r="H1637" s="1" t="str">
        <f ca="1">IFERROR(__xludf.DUMMYFUNCTION("""COMPUTED_VALUE"""),"Freedom of Expression, Individuals At Risk")</f>
        <v>Freedom of Expression, Individuals At Risk</v>
      </c>
      <c r="I1637" s="1" t="str">
        <f ca="1">IFERROR(__xludf.DUMMYFUNCTION("""COMPUTED_VALUE"""),"2024")</f>
        <v>2024</v>
      </c>
      <c r="J1637" s="1" t="str">
        <f ca="1">IFERROR(__xludf.DUMMYFUNCTION("""COMPUTED_VALUE"""),"Letter")</f>
        <v>Letter</v>
      </c>
    </row>
    <row r="1638" spans="1:10" ht="13" x14ac:dyDescent="0.15">
      <c r="A1638" s="4">
        <f ca="1">IFERROR(__xludf.DUMMYFUNCTION("""COMPUTED_VALUE"""),179549632)</f>
        <v>179549632</v>
      </c>
      <c r="B1638" s="1" t="str">
        <f ca="1">IFERROR(__xludf.DUMMYFUNCTION("""COMPUTED_VALUE"""),"kenj46@gmail.com")</f>
        <v>kenj46@gmail.com</v>
      </c>
      <c r="C1638" s="4" t="str">
        <f ca="1">IFERROR(__xludf.DUMMYFUNCTION("""COMPUTED_VALUE"""),"EVERGREEN - Website Email Capture Form - UAN Pre-Footer")</f>
        <v>EVERGREEN - Website Email Capture Form - UAN Pre-Footer</v>
      </c>
      <c r="D1638" s="5">
        <f ca="1">IFERROR(__xludf.DUMMYFUNCTION("""COMPUTED_VALUE"""),45636)</f>
        <v>45636</v>
      </c>
      <c r="F1638" s="1" t="str">
        <f ca="1">IFERROR(__xludf.DUMMYFUNCTION("""COMPUTED_VALUE"""),"USA")</f>
        <v>USA</v>
      </c>
      <c r="G1638" s="1" t="str">
        <f ca="1">IFERROR(__xludf.DUMMYFUNCTION("""COMPUTED_VALUE"""),"105.24 USA")</f>
        <v>105.24 USA</v>
      </c>
      <c r="H1638" s="1" t="str">
        <f ca="1">IFERROR(__xludf.DUMMYFUNCTION("""COMPUTED_VALUE"""),"Death Penalty")</f>
        <v>Death Penalty</v>
      </c>
      <c r="I1638" s="1" t="str">
        <f ca="1">IFERROR(__xludf.DUMMYFUNCTION("""COMPUTED_VALUE"""),"2024")</f>
        <v>2024</v>
      </c>
      <c r="J1638" s="1" t="str">
        <f ca="1">IFERROR(__xludf.DUMMYFUNCTION("""COMPUTED_VALUE"""),"Email")</f>
        <v>Email</v>
      </c>
    </row>
    <row r="1639" spans="1:10" ht="13" x14ac:dyDescent="0.15">
      <c r="A1639" s="4">
        <f ca="1">IFERROR(__xludf.DUMMYFUNCTION("""COMPUTED_VALUE"""),180736750)</f>
        <v>180736750</v>
      </c>
      <c r="B1639" s="1" t="str">
        <f ca="1">IFERROR(__xludf.DUMMYFUNCTION("""COMPUTED_VALUE"""),"keith@burmaoaks.com")</f>
        <v>keith@burmaoaks.com</v>
      </c>
      <c r="C1639" s="4" t="str">
        <f ca="1">IFERROR(__xludf.DUMMYFUNCTION("""COMPUTED_VALUE"""),"EVERGREEN - UAN Gated Content - Embedded Petition")</f>
        <v>EVERGREEN - UAN Gated Content - Embedded Petition</v>
      </c>
      <c r="D1639" s="5">
        <f ca="1">IFERROR(__xludf.DUMMYFUNCTION("""COMPUTED_VALUE"""),45694)</f>
        <v>45694</v>
      </c>
      <c r="F1639" s="1" t="str">
        <f ca="1">IFERROR(__xludf.DUMMYFUNCTION("""COMPUTED_VALUE"""),"Iran")</f>
        <v>Iran</v>
      </c>
      <c r="G1639" s="1" t="str">
        <f ca="1">IFERROR(__xludf.DUMMYFUNCTION("""COMPUTED_VALUE"""),"101.24 Iran")</f>
        <v>101.24 Iran</v>
      </c>
      <c r="H1639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1639" s="1" t="str">
        <f ca="1">IFERROR(__xludf.DUMMYFUNCTION("""COMPUTED_VALUE"""),"2024")</f>
        <v>2024</v>
      </c>
      <c r="J1639" s="1" t="str">
        <f ca="1">IFERROR(__xludf.DUMMYFUNCTION("""COMPUTED_VALUE"""),"Email")</f>
        <v>Email</v>
      </c>
    </row>
    <row r="1640" spans="1:10" ht="13" x14ac:dyDescent="0.15">
      <c r="A1640" s="4">
        <f ca="1">IFERROR(__xludf.DUMMYFUNCTION("""COMPUTED_VALUE"""),182001403)</f>
        <v>182001403</v>
      </c>
      <c r="B1640" s="1" t="str">
        <f ca="1">IFERROR(__xludf.DUMMYFUNCTION("""COMPUTED_VALUE"""),"stacy.strobel@gordon.edu")</f>
        <v>stacy.strobel@gordon.edu</v>
      </c>
      <c r="C1640" s="4" t="str">
        <f ca="1">IFERROR(__xludf.DUMMYFUNCTION("""COMPUTED_VALUE"""),"EVERGREEN - UAN Gated Content - Embedded Petition")</f>
        <v>EVERGREEN - UAN Gated Content - Embedded Petition</v>
      </c>
      <c r="D1640" s="5">
        <f ca="1">IFERROR(__xludf.DUMMYFUNCTION("""COMPUTED_VALUE"""),45677)</f>
        <v>45677</v>
      </c>
      <c r="F1640" s="1" t="str">
        <f ca="1">IFERROR(__xludf.DUMMYFUNCTION("""COMPUTED_VALUE"""),"Iran")</f>
        <v>Iran</v>
      </c>
      <c r="G1640" s="1" t="str">
        <f ca="1">IFERROR(__xludf.DUMMYFUNCTION("""COMPUTED_VALUE"""),"10.25 Iran")</f>
        <v>10.25 Iran</v>
      </c>
      <c r="H1640" s="1" t="str">
        <f ca="1">IFERROR(__xludf.DUMMYFUNCTION("""COMPUTED_VALUE"""),"Death Penalty, Individuals At Risk")</f>
        <v>Death Penalty, Individuals At Risk</v>
      </c>
      <c r="I1640" s="1" t="str">
        <f ca="1">IFERROR(__xludf.DUMMYFUNCTION("""COMPUTED_VALUE"""),"2025")</f>
        <v>2025</v>
      </c>
      <c r="J1640" s="1" t="str">
        <f ca="1">IFERROR(__xludf.DUMMYFUNCTION("""COMPUTED_VALUE"""),"Email")</f>
        <v>Email</v>
      </c>
    </row>
    <row r="1641" spans="1:10" ht="13" x14ac:dyDescent="0.15">
      <c r="A1641" s="4">
        <f ca="1">IFERROR(__xludf.DUMMYFUNCTION("""COMPUTED_VALUE"""),183753171)</f>
        <v>183753171</v>
      </c>
      <c r="B1641" s="1" t="str">
        <f ca="1">IFERROR(__xludf.DUMMYFUNCTION("""COMPUTED_VALUE"""),"tigana0118@gmail.com")</f>
        <v>tigana0118@gmail.com</v>
      </c>
      <c r="C1641" s="4" t="str">
        <f ca="1">IFERROR(__xludf.DUMMYFUNCTION("""COMPUTED_VALUE"""),"EVERGREEN - UAN Gated Content - Embedded Petition")</f>
        <v>EVERGREEN - UAN Gated Content - Embedded Petition</v>
      </c>
      <c r="D1641" s="5">
        <f ca="1">IFERROR(__xludf.DUMMYFUNCTION("""COMPUTED_VALUE"""),45636)</f>
        <v>45636</v>
      </c>
      <c r="F1641" s="1" t="str">
        <f ca="1">IFERROR(__xludf.DUMMYFUNCTION("""COMPUTED_VALUE"""),"USA")</f>
        <v>USA</v>
      </c>
      <c r="G1641" s="1" t="str">
        <f ca="1">IFERROR(__xludf.DUMMYFUNCTION("""COMPUTED_VALUE"""),"4.25 USA")</f>
        <v>4.25 USA</v>
      </c>
      <c r="H1641" s="1" t="str">
        <f ca="1">IFERROR(__xludf.DUMMYFUNCTION("""COMPUTED_VALUE"""),"Individuals At Risk, Refugee and Migrant Rights")</f>
        <v>Individuals At Risk, Refugee and Migrant Rights</v>
      </c>
      <c r="I1641" s="1" t="str">
        <f ca="1">IFERROR(__xludf.DUMMYFUNCTION("""COMPUTED_VALUE"""),"2025")</f>
        <v>2025</v>
      </c>
      <c r="J1641" s="1" t="str">
        <f ca="1">IFERROR(__xludf.DUMMYFUNCTION("""COMPUTED_VALUE"""),"Letter")</f>
        <v>Letter</v>
      </c>
    </row>
    <row r="1642" spans="1:10" ht="13" x14ac:dyDescent="0.15">
      <c r="A1642" s="4">
        <f ca="1">IFERROR(__xludf.DUMMYFUNCTION("""COMPUTED_VALUE"""),183753171)</f>
        <v>183753171</v>
      </c>
      <c r="B1642" s="1" t="str">
        <f ca="1">IFERROR(__xludf.DUMMYFUNCTION("""COMPUTED_VALUE"""),"tigana0118@gmail.com")</f>
        <v>tigana0118@gmail.com</v>
      </c>
      <c r="C1642" s="4" t="str">
        <f ca="1">IFERROR(__xludf.DUMMYFUNCTION("""COMPUTED_VALUE"""),"EVERGREEN - UAN Gated Content - Embedded Petition")</f>
        <v>EVERGREEN - UAN Gated Content - Embedded Petition</v>
      </c>
      <c r="D1642" s="5">
        <f ca="1">IFERROR(__xludf.DUMMYFUNCTION("""COMPUTED_VALUE"""),45636)</f>
        <v>45636</v>
      </c>
      <c r="F1642" s="1" t="str">
        <f ca="1">IFERROR(__xludf.DUMMYFUNCTION("""COMPUTED_VALUE"""),"Iran")</f>
        <v>Iran</v>
      </c>
      <c r="G1642" s="1" t="str">
        <f ca="1">IFERROR(__xludf.DUMMYFUNCTION("""COMPUTED_VALUE"""),"Seventh 103.22 Iran")</f>
        <v>Seventh 103.22 Iran</v>
      </c>
      <c r="H1642" s="1" t="str">
        <f ca="1">IFERROR(__xludf.DUMMYFUNCTION("""COMPUTED_VALUE"""),"Death Penalty, Freedom of Expression, Individuals At Risk")</f>
        <v>Death Penalty, Freedom of Expression, Individuals At Risk</v>
      </c>
      <c r="I1642" s="1" t="str">
        <f ca="1">IFERROR(__xludf.DUMMYFUNCTION("""COMPUTED_VALUE"""),"2024")</f>
        <v>2024</v>
      </c>
      <c r="J1642" s="1" t="str">
        <f ca="1">IFERROR(__xludf.DUMMYFUNCTION("""COMPUTED_VALUE"""),"Email")</f>
        <v>Email</v>
      </c>
    </row>
    <row r="1643" spans="1:10" ht="13" x14ac:dyDescent="0.15">
      <c r="A1643" s="4">
        <f ca="1">IFERROR(__xludf.DUMMYFUNCTION("""COMPUTED_VALUE"""),183753171)</f>
        <v>183753171</v>
      </c>
      <c r="B1643" s="1" t="str">
        <f ca="1">IFERROR(__xludf.DUMMYFUNCTION("""COMPUTED_VALUE"""),"tigana0118@gmail.com")</f>
        <v>tigana0118@gmail.com</v>
      </c>
      <c r="C1643" s="4" t="str">
        <f ca="1">IFERROR(__xludf.DUMMYFUNCTION("""COMPUTED_VALUE"""),"EVERGREEN - UAN Gated Content - Embedded Petition")</f>
        <v>EVERGREEN - UAN Gated Content - Embedded Petition</v>
      </c>
      <c r="D1643" s="5">
        <f ca="1">IFERROR(__xludf.DUMMYFUNCTION("""COMPUTED_VALUE"""),45636)</f>
        <v>45636</v>
      </c>
      <c r="F1643" s="1" t="str">
        <f ca="1">IFERROR(__xludf.DUMMYFUNCTION("""COMPUTED_VALUE"""),"Iran")</f>
        <v>Iran</v>
      </c>
      <c r="G1643" s="1" t="str">
        <f ca="1">IFERROR(__xludf.DUMMYFUNCTION("""COMPUTED_VALUE"""),"Seventh 103.22 Iran")</f>
        <v>Seventh 103.22 Iran</v>
      </c>
      <c r="H1643" s="1" t="str">
        <f ca="1">IFERROR(__xludf.DUMMYFUNCTION("""COMPUTED_VALUE"""),"Death Penalty, Freedom of Expression, Individuals At Risk")</f>
        <v>Death Penalty, Freedom of Expression, Individuals At Risk</v>
      </c>
      <c r="I1643" s="1" t="str">
        <f ca="1">IFERROR(__xludf.DUMMYFUNCTION("""COMPUTED_VALUE"""),"2024")</f>
        <v>2024</v>
      </c>
      <c r="J1643" s="1" t="str">
        <f ca="1">IFERROR(__xludf.DUMMYFUNCTION("""COMPUTED_VALUE"""),"Email")</f>
        <v>Email</v>
      </c>
    </row>
    <row r="1644" spans="1:10" ht="13" x14ac:dyDescent="0.15">
      <c r="A1644" s="4">
        <f ca="1">IFERROR(__xludf.DUMMYFUNCTION("""COMPUTED_VALUE"""),183753171)</f>
        <v>183753171</v>
      </c>
      <c r="B1644" s="1" t="str">
        <f ca="1">IFERROR(__xludf.DUMMYFUNCTION("""COMPUTED_VALUE"""),"tigana0118@gmail.com")</f>
        <v>tigana0118@gmail.com</v>
      </c>
      <c r="C1644" s="4" t="str">
        <f ca="1">IFERROR(__xludf.DUMMYFUNCTION("""COMPUTED_VALUE"""),"EVERGREEN - UAN Gated Content - Embedded Petition")</f>
        <v>EVERGREEN - UAN Gated Content - Embedded Petition</v>
      </c>
      <c r="D1644" s="5">
        <f ca="1">IFERROR(__xludf.DUMMYFUNCTION("""COMPUTED_VALUE"""),45636)</f>
        <v>45636</v>
      </c>
      <c r="F1644" s="1" t="str">
        <f ca="1">IFERROR(__xludf.DUMMYFUNCTION("""COMPUTED_VALUE"""),"USA")</f>
        <v>USA</v>
      </c>
      <c r="G1644" s="1" t="str">
        <f ca="1">IFERROR(__xludf.DUMMYFUNCTION("""COMPUTED_VALUE"""),"105.24 USA")</f>
        <v>105.24 USA</v>
      </c>
      <c r="H1644" s="1" t="str">
        <f ca="1">IFERROR(__xludf.DUMMYFUNCTION("""COMPUTED_VALUE"""),"Death Penalty")</f>
        <v>Death Penalty</v>
      </c>
      <c r="I1644" s="1" t="str">
        <f ca="1">IFERROR(__xludf.DUMMYFUNCTION("""COMPUTED_VALUE"""),"2024")</f>
        <v>2024</v>
      </c>
      <c r="J1644" s="1" t="str">
        <f ca="1">IFERROR(__xludf.DUMMYFUNCTION("""COMPUTED_VALUE"""),"Email")</f>
        <v>Email</v>
      </c>
    </row>
    <row r="1645" spans="1:10" ht="13" x14ac:dyDescent="0.15">
      <c r="A1645" s="4">
        <f ca="1">IFERROR(__xludf.DUMMYFUNCTION("""COMPUTED_VALUE"""),183979957)</f>
        <v>183979957</v>
      </c>
      <c r="B1645" s="1" t="str">
        <f ca="1">IFERROR(__xludf.DUMMYFUNCTION("""COMPUTED_VALUE"""),"sdpabken@gmail.com")</f>
        <v>sdpabken@gmail.com</v>
      </c>
      <c r="C1645" s="4" t="str">
        <f ca="1">IFERROR(__xludf.DUMMYFUNCTION("""COMPUTED_VALUE"""),"EVERGREEN - UAN Gated Content - Embedded Petition")</f>
        <v>EVERGREEN - UAN Gated Content - Embedded Petition</v>
      </c>
      <c r="D1645" s="5">
        <f ca="1">IFERROR(__xludf.DUMMYFUNCTION("""COMPUTED_VALUE"""),45616)</f>
        <v>45616</v>
      </c>
      <c r="F1645" s="1" t="str">
        <f ca="1">IFERROR(__xludf.DUMMYFUNCTION("""COMPUTED_VALUE"""),"Iran")</f>
        <v>Iran</v>
      </c>
      <c r="G1645" s="1" t="str">
        <f ca="1">IFERROR(__xludf.DUMMYFUNCTION("""COMPUTED_VALUE"""),"101.24 Iran")</f>
        <v>101.24 Iran</v>
      </c>
      <c r="H1645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1645" s="1" t="str">
        <f ca="1">IFERROR(__xludf.DUMMYFUNCTION("""COMPUTED_VALUE"""),"2024")</f>
        <v>2024</v>
      </c>
      <c r="J1645" s="1" t="str">
        <f ca="1">IFERROR(__xludf.DUMMYFUNCTION("""COMPUTED_VALUE"""),"Email")</f>
        <v>Email</v>
      </c>
    </row>
    <row r="1646" spans="1:10" ht="13" x14ac:dyDescent="0.15">
      <c r="A1646" s="4">
        <f ca="1">IFERROR(__xludf.DUMMYFUNCTION("""COMPUTED_VALUE"""),183979957)</f>
        <v>183979957</v>
      </c>
      <c r="B1646" s="1" t="str">
        <f ca="1">IFERROR(__xludf.DUMMYFUNCTION("""COMPUTED_VALUE"""),"sdpabken@gmail.com")</f>
        <v>sdpabken@gmail.com</v>
      </c>
      <c r="C1646" s="4" t="str">
        <f ca="1">IFERROR(__xludf.DUMMYFUNCTION("""COMPUTED_VALUE"""),"EVERGREEN - UAN Gated Content - Embedded Petition")</f>
        <v>EVERGREEN - UAN Gated Content - Embedded Petition</v>
      </c>
      <c r="D1646" s="5">
        <f ca="1">IFERROR(__xludf.DUMMYFUNCTION("""COMPUTED_VALUE"""),45616)</f>
        <v>45616</v>
      </c>
      <c r="F1646" s="1" t="str">
        <f ca="1">IFERROR(__xludf.DUMMYFUNCTION("""COMPUTED_VALUE"""),"USA")</f>
        <v>USA</v>
      </c>
      <c r="G1646" s="1" t="str">
        <f ca="1">IFERROR(__xludf.DUMMYFUNCTION("""COMPUTED_VALUE"""),"4.25 USA")</f>
        <v>4.25 USA</v>
      </c>
      <c r="H1646" s="1" t="str">
        <f ca="1">IFERROR(__xludf.DUMMYFUNCTION("""COMPUTED_VALUE"""),"Individuals At Risk, Refugee and Migrant Rights")</f>
        <v>Individuals At Risk, Refugee and Migrant Rights</v>
      </c>
      <c r="I1646" s="1" t="str">
        <f ca="1">IFERROR(__xludf.DUMMYFUNCTION("""COMPUTED_VALUE"""),"2025")</f>
        <v>2025</v>
      </c>
      <c r="J1646" s="1" t="str">
        <f ca="1">IFERROR(__xludf.DUMMYFUNCTION("""COMPUTED_VALUE"""),"Letter")</f>
        <v>Letter</v>
      </c>
    </row>
    <row r="1647" spans="1:10" ht="13" x14ac:dyDescent="0.15">
      <c r="A1647" s="4">
        <f ca="1">IFERROR(__xludf.DUMMYFUNCTION("""COMPUTED_VALUE"""),183979957)</f>
        <v>183979957</v>
      </c>
      <c r="B1647" s="1" t="str">
        <f ca="1">IFERROR(__xludf.DUMMYFUNCTION("""COMPUTED_VALUE"""),"sdpabken@gmail.com")</f>
        <v>sdpabken@gmail.com</v>
      </c>
      <c r="C1647" s="4" t="str">
        <f ca="1">IFERROR(__xludf.DUMMYFUNCTION("""COMPUTED_VALUE"""),"EVERGREEN - UAN Gated Content - Embedded Petition")</f>
        <v>EVERGREEN - UAN Gated Content - Embedded Petition</v>
      </c>
      <c r="D1647" s="5">
        <f ca="1">IFERROR(__xludf.DUMMYFUNCTION("""COMPUTED_VALUE"""),45694)</f>
        <v>45694</v>
      </c>
      <c r="F1647" s="1" t="str">
        <f ca="1">IFERROR(__xludf.DUMMYFUNCTION("""COMPUTED_VALUE"""),"Egypt")</f>
        <v>Egypt</v>
      </c>
      <c r="G1647" s="1" t="str">
        <f ca="1">IFERROR(__xludf.DUMMYFUNCTION("""COMPUTED_VALUE"""),"Ninth 190.18 Egypt")</f>
        <v>Ninth 190.18 Egypt</v>
      </c>
      <c r="H1647" s="1" t="str">
        <f ca="1">IFERROR(__xludf.DUMMYFUNCTION("""COMPUTED_VALUE"""),"Freedom of Expression, Individuals At Risk")</f>
        <v>Freedom of Expression, Individuals At Risk</v>
      </c>
      <c r="I1647" s="1" t="str">
        <f ca="1">IFERROR(__xludf.DUMMYFUNCTION("""COMPUTED_VALUE"""),"2024")</f>
        <v>2024</v>
      </c>
      <c r="J1647" s="1" t="str">
        <f ca="1">IFERROR(__xludf.DUMMYFUNCTION("""COMPUTED_VALUE"""),"Letter")</f>
        <v>Letter</v>
      </c>
    </row>
    <row r="1648" spans="1:10" ht="13" x14ac:dyDescent="0.15">
      <c r="A1648" s="4">
        <f ca="1">IFERROR(__xludf.DUMMYFUNCTION("""COMPUTED_VALUE"""),185767454)</f>
        <v>185767454</v>
      </c>
      <c r="B1648" s="1" t="str">
        <f ca="1">IFERROR(__xludf.DUMMYFUNCTION("""COMPUTED_VALUE"""),"saenzalca@gmail.com")</f>
        <v>saenzalca@gmail.com</v>
      </c>
      <c r="C1648" s="4" t="str">
        <f ca="1">IFERROR(__xludf.DUMMYFUNCTION("""COMPUTED_VALUE"""),"EVERGREEN - UAN Gated Content - Embedded Petition")</f>
        <v>EVERGREEN - UAN Gated Content - Embedded Petition</v>
      </c>
      <c r="D1648" s="5">
        <f ca="1">IFERROR(__xludf.DUMMYFUNCTION("""COMPUTED_VALUE"""),45643)</f>
        <v>45643</v>
      </c>
      <c r="F1648" s="1" t="str">
        <f ca="1">IFERROR(__xludf.DUMMYFUNCTION("""COMPUTED_VALUE"""),"USA")</f>
        <v>USA</v>
      </c>
      <c r="G1648" s="1" t="str">
        <f ca="1">IFERROR(__xludf.DUMMYFUNCTION("""COMPUTED_VALUE"""),"105.24 USA")</f>
        <v>105.24 USA</v>
      </c>
      <c r="H1648" s="1" t="str">
        <f ca="1">IFERROR(__xludf.DUMMYFUNCTION("""COMPUTED_VALUE"""),"Death Penalty")</f>
        <v>Death Penalty</v>
      </c>
      <c r="I1648" s="1" t="str">
        <f ca="1">IFERROR(__xludf.DUMMYFUNCTION("""COMPUTED_VALUE"""),"2024")</f>
        <v>2024</v>
      </c>
      <c r="J1648" s="1" t="str">
        <f ca="1">IFERROR(__xludf.DUMMYFUNCTION("""COMPUTED_VALUE"""),"Email")</f>
        <v>Email</v>
      </c>
    </row>
    <row r="1649" spans="1:10" ht="13" x14ac:dyDescent="0.15">
      <c r="A1649" s="4">
        <f ca="1">IFERROR(__xludf.DUMMYFUNCTION("""COMPUTED_VALUE"""),185767454)</f>
        <v>185767454</v>
      </c>
      <c r="B1649" s="1" t="str">
        <f ca="1">IFERROR(__xludf.DUMMYFUNCTION("""COMPUTED_VALUE"""),"saenzalca@gmail.com")</f>
        <v>saenzalca@gmail.com</v>
      </c>
      <c r="C1649" s="4" t="str">
        <f ca="1">IFERROR(__xludf.DUMMYFUNCTION("""COMPUTED_VALUE"""),"EVERGREEN - UAN Gated Content - Embedded Petition")</f>
        <v>EVERGREEN - UAN Gated Content - Embedded Petition</v>
      </c>
      <c r="D1649" s="5">
        <f ca="1">IFERROR(__xludf.DUMMYFUNCTION("""COMPUTED_VALUE"""),45636)</f>
        <v>45636</v>
      </c>
      <c r="F1649" s="1" t="str">
        <f ca="1">IFERROR(__xludf.DUMMYFUNCTION("""COMPUTED_VALUE"""),"Egypt")</f>
        <v>Egypt</v>
      </c>
      <c r="G1649" s="1" t="str">
        <f ca="1">IFERROR(__xludf.DUMMYFUNCTION("""COMPUTED_VALUE"""),"Ninth 190.18 Egypt")</f>
        <v>Ninth 190.18 Egypt</v>
      </c>
      <c r="H1649" s="1" t="str">
        <f ca="1">IFERROR(__xludf.DUMMYFUNCTION("""COMPUTED_VALUE"""),"Freedom of Expression, Individuals At Risk")</f>
        <v>Freedom of Expression, Individuals At Risk</v>
      </c>
      <c r="I1649" s="1" t="str">
        <f ca="1">IFERROR(__xludf.DUMMYFUNCTION("""COMPUTED_VALUE"""),"2024")</f>
        <v>2024</v>
      </c>
      <c r="J1649" s="1" t="str">
        <f ca="1">IFERROR(__xludf.DUMMYFUNCTION("""COMPUTED_VALUE"""),"Letter")</f>
        <v>Letter</v>
      </c>
    </row>
    <row r="1650" spans="1:10" ht="13" x14ac:dyDescent="0.15">
      <c r="A1650" s="4">
        <f ca="1">IFERROR(__xludf.DUMMYFUNCTION("""COMPUTED_VALUE"""),185891764)</f>
        <v>185891764</v>
      </c>
      <c r="B1650" s="1" t="str">
        <f ca="1">IFERROR(__xludf.DUMMYFUNCTION("""COMPUTED_VALUE"""),"mcraealexander@yahoo.com.au")</f>
        <v>mcraealexander@yahoo.com.au</v>
      </c>
      <c r="C1650" s="4" t="str">
        <f ca="1">IFERROR(__xludf.DUMMYFUNCTION("""COMPUTED_VALUE"""),"EVERGREEN - UAN Gated Content - Embedded Petition")</f>
        <v>EVERGREEN - UAN Gated Content - Embedded Petition</v>
      </c>
      <c r="D1650" s="5">
        <f ca="1">IFERROR(__xludf.DUMMYFUNCTION("""COMPUTED_VALUE"""),45699)</f>
        <v>45699</v>
      </c>
      <c r="F1650" s="1" t="str">
        <f ca="1">IFERROR(__xludf.DUMMYFUNCTION("""COMPUTED_VALUE"""),"Niger")</f>
        <v>Niger</v>
      </c>
      <c r="G1650" s="1" t="str">
        <f ca="1">IFERROR(__xludf.DUMMYFUNCTION("""COMPUTED_VALUE"""),"103.24 Niger")</f>
        <v>103.24 Niger</v>
      </c>
      <c r="H1650" s="1" t="str">
        <f ca="1">IFERROR(__xludf.DUMMYFUNCTION("""COMPUTED_VALUE"""),"Freedom of Expression, Human Rights Defenders")</f>
        <v>Freedom of Expression, Human Rights Defenders</v>
      </c>
      <c r="I1650" s="1" t="str">
        <f ca="1">IFERROR(__xludf.DUMMYFUNCTION("""COMPUTED_VALUE"""),"2024")</f>
        <v>2024</v>
      </c>
      <c r="J1650" s="1" t="str">
        <f ca="1">IFERROR(__xludf.DUMMYFUNCTION("""COMPUTED_VALUE"""),"Email")</f>
        <v>Email</v>
      </c>
    </row>
    <row r="1651" spans="1:10" ht="13" x14ac:dyDescent="0.15">
      <c r="A1651" s="4">
        <f ca="1">IFERROR(__xludf.DUMMYFUNCTION("""COMPUTED_VALUE"""),185891764)</f>
        <v>185891764</v>
      </c>
      <c r="B1651" s="1" t="str">
        <f ca="1">IFERROR(__xludf.DUMMYFUNCTION("""COMPUTED_VALUE"""),"mcraealexander@yahoo.com.au")</f>
        <v>mcraealexander@yahoo.com.au</v>
      </c>
      <c r="C1651" s="4" t="str">
        <f ca="1">IFERROR(__xludf.DUMMYFUNCTION("""COMPUTED_VALUE"""),"EVERGREEN - UAN Gated Content - Embedded Petition")</f>
        <v>EVERGREEN - UAN Gated Content - Embedded Petition</v>
      </c>
      <c r="D1651" s="5">
        <f ca="1">IFERROR(__xludf.DUMMYFUNCTION("""COMPUTED_VALUE"""),45670)</f>
        <v>45670</v>
      </c>
      <c r="F1651" s="1" t="str">
        <f ca="1">IFERROR(__xludf.DUMMYFUNCTION("""COMPUTED_VALUE"""),"Dominican Republic")</f>
        <v>Dominican Republic</v>
      </c>
      <c r="G1651" s="1" t="str">
        <f ca="1">IFERROR(__xludf.DUMMYFUNCTION("""COMPUTED_VALUE"""),"88.24 Dominican Republic")</f>
        <v>88.24 Dominican Republic</v>
      </c>
      <c r="H1651" s="1" t="str">
        <f ca="1">IFERROR(__xludf.DUMMYFUNCTION("""COMPUTED_VALUE"""),"Individuals At Risk, Refugee and Migrant Rights")</f>
        <v>Individuals At Risk, Refugee and Migrant Rights</v>
      </c>
      <c r="I1651" s="1" t="str">
        <f ca="1">IFERROR(__xludf.DUMMYFUNCTION("""COMPUTED_VALUE"""),"2024")</f>
        <v>2024</v>
      </c>
      <c r="J1651" s="1" t="str">
        <f ca="1">IFERROR(__xludf.DUMMYFUNCTION("""COMPUTED_VALUE"""),"Letter")</f>
        <v>Letter</v>
      </c>
    </row>
    <row r="1652" spans="1:10" ht="13" x14ac:dyDescent="0.15">
      <c r="A1652" s="4">
        <f ca="1">IFERROR(__xludf.DUMMYFUNCTION("""COMPUTED_VALUE"""),185891764)</f>
        <v>185891764</v>
      </c>
      <c r="B1652" s="1" t="str">
        <f ca="1">IFERROR(__xludf.DUMMYFUNCTION("""COMPUTED_VALUE"""),"mcraealexander@yahoo.com.au")</f>
        <v>mcraealexander@yahoo.com.au</v>
      </c>
      <c r="C1652" s="4" t="str">
        <f ca="1">IFERROR(__xludf.DUMMYFUNCTION("""COMPUTED_VALUE"""),"EVERGREEN - UAN Gated Content - Embedded Petition")</f>
        <v>EVERGREEN - UAN Gated Content - Embedded Petition</v>
      </c>
      <c r="D1652" s="5">
        <f ca="1">IFERROR(__xludf.DUMMYFUNCTION("""COMPUTED_VALUE"""),45698)</f>
        <v>45698</v>
      </c>
      <c r="F1652" s="1" t="str">
        <f ca="1">IFERROR(__xludf.DUMMYFUNCTION("""COMPUTED_VALUE"""),"Tunisia")</f>
        <v>Tunisia</v>
      </c>
      <c r="G1652" s="1" t="str">
        <f ca="1">IFERROR(__xludf.DUMMYFUNCTION("""COMPUTED_VALUE"""),"Second 76.24 Tunisia")</f>
        <v>Second 76.24 Tunisia</v>
      </c>
      <c r="H1652" s="1" t="str">
        <f ca="1">IFERROR(__xludf.DUMMYFUNCTION("""COMPUTED_VALUE"""),"Freedom of Expression, Human Rights Defenders")</f>
        <v>Freedom of Expression, Human Rights Defenders</v>
      </c>
      <c r="I1652" s="1" t="str">
        <f ca="1">IFERROR(__xludf.DUMMYFUNCTION("""COMPUTED_VALUE"""),"2025")</f>
        <v>2025</v>
      </c>
      <c r="J1652" s="1" t="str">
        <f ca="1">IFERROR(__xludf.DUMMYFUNCTION("""COMPUTED_VALUE"""),"Email")</f>
        <v>Email</v>
      </c>
    </row>
    <row r="1653" spans="1:10" ht="13" x14ac:dyDescent="0.15">
      <c r="A1653" s="4">
        <f ca="1">IFERROR(__xludf.DUMMYFUNCTION("""COMPUTED_VALUE"""),185891764)</f>
        <v>185891764</v>
      </c>
      <c r="B1653" s="1" t="str">
        <f ca="1">IFERROR(__xludf.DUMMYFUNCTION("""COMPUTED_VALUE"""),"mcraealexander@yahoo.com.au")</f>
        <v>mcraealexander@yahoo.com.au</v>
      </c>
      <c r="C1653" s="4" t="str">
        <f ca="1">IFERROR(__xludf.DUMMYFUNCTION("""COMPUTED_VALUE"""),"EVERGREEN - UAN Gated Content - Embedded Petition")</f>
        <v>EVERGREEN - UAN Gated Content - Embedded Petition</v>
      </c>
      <c r="D1653" s="5">
        <f ca="1">IFERROR(__xludf.DUMMYFUNCTION("""COMPUTED_VALUE"""),45698)</f>
        <v>45698</v>
      </c>
      <c r="F1653" s="1" t="str">
        <f ca="1">IFERROR(__xludf.DUMMYFUNCTION("""COMPUTED_VALUE"""),"Tunisia")</f>
        <v>Tunisia</v>
      </c>
      <c r="G1653" s="1" t="str">
        <f ca="1">IFERROR(__xludf.DUMMYFUNCTION("""COMPUTED_VALUE"""),"Second 76.24 Tunisia")</f>
        <v>Second 76.24 Tunisia</v>
      </c>
      <c r="H1653" s="1" t="str">
        <f ca="1">IFERROR(__xludf.DUMMYFUNCTION("""COMPUTED_VALUE"""),"Freedom of Expression, Human Rights Defenders")</f>
        <v>Freedom of Expression, Human Rights Defenders</v>
      </c>
      <c r="I1653" s="1" t="str">
        <f ca="1">IFERROR(__xludf.DUMMYFUNCTION("""COMPUTED_VALUE"""),"2025")</f>
        <v>2025</v>
      </c>
      <c r="J1653" s="1" t="str">
        <f ca="1">IFERROR(__xludf.DUMMYFUNCTION("""COMPUTED_VALUE"""),"Email")</f>
        <v>Email</v>
      </c>
    </row>
    <row r="1654" spans="1:10" ht="13" x14ac:dyDescent="0.15">
      <c r="A1654" s="4">
        <f ca="1">IFERROR(__xludf.DUMMYFUNCTION("""COMPUTED_VALUE"""),185891764)</f>
        <v>185891764</v>
      </c>
      <c r="B1654" s="1" t="str">
        <f ca="1">IFERROR(__xludf.DUMMYFUNCTION("""COMPUTED_VALUE"""),"mcraealexander@yahoo.com.au")</f>
        <v>mcraealexander@yahoo.com.au</v>
      </c>
      <c r="C1654" s="4" t="str">
        <f ca="1">IFERROR(__xludf.DUMMYFUNCTION("""COMPUTED_VALUE"""),"EVERGREEN - UAN Gated Content - Embedded Petition")</f>
        <v>EVERGREEN - UAN Gated Content - Embedded Petition</v>
      </c>
      <c r="D1654" s="5">
        <f ca="1">IFERROR(__xludf.DUMMYFUNCTION("""COMPUTED_VALUE"""),45670)</f>
        <v>45670</v>
      </c>
      <c r="F1654" s="1" t="str">
        <f ca="1">IFERROR(__xludf.DUMMYFUNCTION("""COMPUTED_VALUE"""),"Dominican Republic")</f>
        <v>Dominican Republic</v>
      </c>
      <c r="G1654" s="1" t="str">
        <f ca="1">IFERROR(__xludf.DUMMYFUNCTION("""COMPUTED_VALUE"""),"88.24 Dominican Republic")</f>
        <v>88.24 Dominican Republic</v>
      </c>
      <c r="H1654" s="1" t="str">
        <f ca="1">IFERROR(__xludf.DUMMYFUNCTION("""COMPUTED_VALUE"""),"Individuals At Risk, Refugee and Migrant Rights")</f>
        <v>Individuals At Risk, Refugee and Migrant Rights</v>
      </c>
      <c r="I1654" s="1" t="str">
        <f ca="1">IFERROR(__xludf.DUMMYFUNCTION("""COMPUTED_VALUE"""),"2024")</f>
        <v>2024</v>
      </c>
      <c r="J1654" s="1" t="str">
        <f ca="1">IFERROR(__xludf.DUMMYFUNCTION("""COMPUTED_VALUE"""),"Letter")</f>
        <v>Letter</v>
      </c>
    </row>
    <row r="1655" spans="1:10" ht="13" x14ac:dyDescent="0.15">
      <c r="A1655" s="4">
        <f ca="1">IFERROR(__xludf.DUMMYFUNCTION("""COMPUTED_VALUE"""),186657703)</f>
        <v>186657703</v>
      </c>
      <c r="B1655" s="1" t="str">
        <f ca="1">IFERROR(__xludf.DUMMYFUNCTION("""COMPUTED_VALUE"""),"philbertr46@gmail.com")</f>
        <v>philbertr46@gmail.com</v>
      </c>
      <c r="C1655" s="4" t="str">
        <f ca="1">IFERROR(__xludf.DUMMYFUNCTION("""COMPUTED_VALUE"""),"EVERGREEN - UAN Gated Content - Embedded Petition")</f>
        <v>EVERGREEN - UAN Gated Content - Embedded Petition</v>
      </c>
      <c r="D1655" s="5">
        <f ca="1">IFERROR(__xludf.DUMMYFUNCTION("""COMPUTED_VALUE"""),45636)</f>
        <v>45636</v>
      </c>
      <c r="F1655" s="1" t="str">
        <f ca="1">IFERROR(__xludf.DUMMYFUNCTION("""COMPUTED_VALUE"""),"USA")</f>
        <v>USA</v>
      </c>
      <c r="G1655" s="1" t="str">
        <f ca="1">IFERROR(__xludf.DUMMYFUNCTION("""COMPUTED_VALUE"""),"105.24 USA")</f>
        <v>105.24 USA</v>
      </c>
      <c r="H1655" s="1" t="str">
        <f ca="1">IFERROR(__xludf.DUMMYFUNCTION("""COMPUTED_VALUE"""),"Death Penalty")</f>
        <v>Death Penalty</v>
      </c>
      <c r="I1655" s="1" t="str">
        <f ca="1">IFERROR(__xludf.DUMMYFUNCTION("""COMPUTED_VALUE"""),"2024")</f>
        <v>2024</v>
      </c>
      <c r="J1655" s="1" t="str">
        <f ca="1">IFERROR(__xludf.DUMMYFUNCTION("""COMPUTED_VALUE"""),"Email")</f>
        <v>Email</v>
      </c>
    </row>
    <row r="1656" spans="1:10" ht="13" x14ac:dyDescent="0.15">
      <c r="A1656" s="4">
        <f ca="1">IFERROR(__xludf.DUMMYFUNCTION("""COMPUTED_VALUE"""),186657703)</f>
        <v>186657703</v>
      </c>
      <c r="B1656" s="1" t="str">
        <f ca="1">IFERROR(__xludf.DUMMYFUNCTION("""COMPUTED_VALUE"""),"philbertr46@gmail.com")</f>
        <v>philbertr46@gmail.com</v>
      </c>
      <c r="C1656" s="4" t="str">
        <f ca="1">IFERROR(__xludf.DUMMYFUNCTION("""COMPUTED_VALUE"""),"EVERGREEN - UAN Gated Content - Embedded Petition")</f>
        <v>EVERGREEN - UAN Gated Content - Embedded Petition</v>
      </c>
      <c r="D1656" s="5">
        <f ca="1">IFERROR(__xludf.DUMMYFUNCTION("""COMPUTED_VALUE"""),45692)</f>
        <v>45692</v>
      </c>
      <c r="F1656" s="1" t="str">
        <f ca="1">IFERROR(__xludf.DUMMYFUNCTION("""COMPUTED_VALUE"""),"Tunisia")</f>
        <v>Tunisia</v>
      </c>
      <c r="G1656" s="1" t="str">
        <f ca="1">IFERROR(__xludf.DUMMYFUNCTION("""COMPUTED_VALUE"""),"Second 76.24 Tunisia")</f>
        <v>Second 76.24 Tunisia</v>
      </c>
      <c r="H1656" s="1" t="str">
        <f ca="1">IFERROR(__xludf.DUMMYFUNCTION("""COMPUTED_VALUE"""),"Freedom of Expression, Human Rights Defenders")</f>
        <v>Freedom of Expression, Human Rights Defenders</v>
      </c>
      <c r="I1656" s="1" t="str">
        <f ca="1">IFERROR(__xludf.DUMMYFUNCTION("""COMPUTED_VALUE"""),"2025")</f>
        <v>2025</v>
      </c>
      <c r="J1656" s="1" t="str">
        <f ca="1">IFERROR(__xludf.DUMMYFUNCTION("""COMPUTED_VALUE"""),"Email")</f>
        <v>Email</v>
      </c>
    </row>
    <row r="1657" spans="1:10" ht="13" x14ac:dyDescent="0.15">
      <c r="A1657" s="4">
        <f ca="1">IFERROR(__xludf.DUMMYFUNCTION("""COMPUTED_VALUE"""),186657703)</f>
        <v>186657703</v>
      </c>
      <c r="B1657" s="1" t="str">
        <f ca="1">IFERROR(__xludf.DUMMYFUNCTION("""COMPUTED_VALUE"""),"philbertr46@gmail.com")</f>
        <v>philbertr46@gmail.com</v>
      </c>
      <c r="C1657" s="4" t="str">
        <f ca="1">IFERROR(__xludf.DUMMYFUNCTION("""COMPUTED_VALUE"""),"EVERGREEN - UAN Gated Content - Embedded Petition")</f>
        <v>EVERGREEN - UAN Gated Content - Embedded Petition</v>
      </c>
      <c r="D1657" s="5">
        <f ca="1">IFERROR(__xludf.DUMMYFUNCTION("""COMPUTED_VALUE"""),45653)</f>
        <v>45653</v>
      </c>
      <c r="F1657" s="1" t="str">
        <f ca="1">IFERROR(__xludf.DUMMYFUNCTION("""COMPUTED_VALUE"""),"USA")</f>
        <v>USA</v>
      </c>
      <c r="G1657" s="1" t="str">
        <f ca="1">IFERROR(__xludf.DUMMYFUNCTION("""COMPUTED_VALUE"""),"Fourth 55.24 USA")</f>
        <v>Fourth 55.24 USA</v>
      </c>
      <c r="H1657" s="1" t="str">
        <f ca="1">IFERROR(__xludf.DUMMYFUNCTION("""COMPUTED_VALUE"""),"Climate Justice, Individuals At Risk")</f>
        <v>Climate Justice, Individuals At Risk</v>
      </c>
      <c r="I1657" s="1" t="str">
        <f ca="1">IFERROR(__xludf.DUMMYFUNCTION("""COMPUTED_VALUE"""),"2025")</f>
        <v>2025</v>
      </c>
      <c r="J1657" s="1" t="str">
        <f ca="1">IFERROR(__xludf.DUMMYFUNCTION("""COMPUTED_VALUE"""),"Email")</f>
        <v>Email</v>
      </c>
    </row>
    <row r="1658" spans="1:10" ht="13" x14ac:dyDescent="0.15">
      <c r="A1658" s="4">
        <f ca="1">IFERROR(__xludf.DUMMYFUNCTION("""COMPUTED_VALUE"""),186657703)</f>
        <v>186657703</v>
      </c>
      <c r="B1658" s="1" t="str">
        <f ca="1">IFERROR(__xludf.DUMMYFUNCTION("""COMPUTED_VALUE"""),"philbertr46@gmail.com")</f>
        <v>philbertr46@gmail.com</v>
      </c>
      <c r="C1658" s="4" t="str">
        <f ca="1">IFERROR(__xludf.DUMMYFUNCTION("""COMPUTED_VALUE"""),"EVERGREEN - UAN Gated Content - Embedded Petition")</f>
        <v>EVERGREEN - UAN Gated Content - Embedded Petition</v>
      </c>
      <c r="D1658" s="5">
        <f ca="1">IFERROR(__xludf.DUMMYFUNCTION("""COMPUTED_VALUE"""),45692)</f>
        <v>45692</v>
      </c>
      <c r="F1658" s="1" t="str">
        <f ca="1">IFERROR(__xludf.DUMMYFUNCTION("""COMPUTED_VALUE"""),"Israel and Occupied Palestinian Territories")</f>
        <v>Israel and Occupied Palestinian Territories</v>
      </c>
      <c r="G1658" s="1" t="str">
        <f ca="1">IFERROR(__xludf.DUMMYFUNCTION("""COMPUTED_VALUE"""),"3.25 IOPT")</f>
        <v>3.25 IOPT</v>
      </c>
      <c r="H1658" s="1" t="str">
        <f ca="1">IFERROR(__xludf.DUMMYFUNCTION("""COMPUTED_VALUE"""),"Freedom of Expression, Individuals At Risk")</f>
        <v>Freedom of Expression, Individuals At Risk</v>
      </c>
      <c r="I1658" s="1" t="str">
        <f ca="1">IFERROR(__xludf.DUMMYFUNCTION("""COMPUTED_VALUE"""),"2025")</f>
        <v>2025</v>
      </c>
      <c r="J1658" s="1" t="str">
        <f ca="1">IFERROR(__xludf.DUMMYFUNCTION("""COMPUTED_VALUE"""),"Email")</f>
        <v>Email</v>
      </c>
    </row>
    <row r="1659" spans="1:10" ht="13" x14ac:dyDescent="0.15">
      <c r="A1659" s="4">
        <f ca="1">IFERROR(__xludf.DUMMYFUNCTION("""COMPUTED_VALUE"""),186657703)</f>
        <v>186657703</v>
      </c>
      <c r="B1659" s="1" t="str">
        <f ca="1">IFERROR(__xludf.DUMMYFUNCTION("""COMPUTED_VALUE"""),"philbertr46@gmail.com")</f>
        <v>philbertr46@gmail.com</v>
      </c>
      <c r="C1659" s="4" t="str">
        <f ca="1">IFERROR(__xludf.DUMMYFUNCTION("""COMPUTED_VALUE"""),"EVERGREEN - UAN Gated Content - Embedded Petition")</f>
        <v>EVERGREEN - UAN Gated Content - Embedded Petition</v>
      </c>
      <c r="D1659" s="5">
        <f ca="1">IFERROR(__xludf.DUMMYFUNCTION("""COMPUTED_VALUE"""),45703)</f>
        <v>45703</v>
      </c>
      <c r="F1659" s="1" t="str">
        <f ca="1">IFERROR(__xludf.DUMMYFUNCTION("""COMPUTED_VALUE"""),"Saudi Arabia")</f>
        <v>Saudi Arabia</v>
      </c>
      <c r="G1659" s="1" t="str">
        <f ca="1">IFERROR(__xludf.DUMMYFUNCTION("""COMPUTED_VALUE"""),"104.24 Saudi Arabia")</f>
        <v>104.24 Saudi Arabia</v>
      </c>
      <c r="H1659" s="1" t="str">
        <f ca="1">IFERROR(__xludf.DUMMYFUNCTION("""COMPUTED_VALUE"""),"Individuals At Risk, Refugee and Migrant Rights")</f>
        <v>Individuals At Risk, Refugee and Migrant Rights</v>
      </c>
      <c r="I1659" s="1" t="str">
        <f ca="1">IFERROR(__xludf.DUMMYFUNCTION("""COMPUTED_VALUE"""),"2024")</f>
        <v>2024</v>
      </c>
      <c r="J1659" s="1" t="str">
        <f ca="1">IFERROR(__xludf.DUMMYFUNCTION("""COMPUTED_VALUE"""),"Email")</f>
        <v>Email</v>
      </c>
    </row>
    <row r="1660" spans="1:10" ht="13" x14ac:dyDescent="0.15">
      <c r="A1660" s="4">
        <f ca="1">IFERROR(__xludf.DUMMYFUNCTION("""COMPUTED_VALUE"""),186657703)</f>
        <v>186657703</v>
      </c>
      <c r="B1660" s="1" t="str">
        <f ca="1">IFERROR(__xludf.DUMMYFUNCTION("""COMPUTED_VALUE"""),"philbertr46@gmail.com")</f>
        <v>philbertr46@gmail.com</v>
      </c>
      <c r="C1660" s="4" t="str">
        <f ca="1">IFERROR(__xludf.DUMMYFUNCTION("""COMPUTED_VALUE"""),"EVERGREEN - UAN Gated Content - Embedded Petition")</f>
        <v>EVERGREEN - UAN Gated Content - Embedded Petition</v>
      </c>
      <c r="D1660" s="5">
        <f ca="1">IFERROR(__xludf.DUMMYFUNCTION("""COMPUTED_VALUE"""),45700)</f>
        <v>45700</v>
      </c>
      <c r="F1660" s="1" t="str">
        <f ca="1">IFERROR(__xludf.DUMMYFUNCTION("""COMPUTED_VALUE"""),"Tunisia")</f>
        <v>Tunisia</v>
      </c>
      <c r="G1660" s="1" t="str">
        <f ca="1">IFERROR(__xludf.DUMMYFUNCTION("""COMPUTED_VALUE"""),"Second 76.24 Tunisia")</f>
        <v>Second 76.24 Tunisia</v>
      </c>
      <c r="H1660" s="1" t="str">
        <f ca="1">IFERROR(__xludf.DUMMYFUNCTION("""COMPUTED_VALUE"""),"Freedom of Expression, Human Rights Defenders")</f>
        <v>Freedom of Expression, Human Rights Defenders</v>
      </c>
      <c r="I1660" s="1" t="str">
        <f ca="1">IFERROR(__xludf.DUMMYFUNCTION("""COMPUTED_VALUE"""),"2025")</f>
        <v>2025</v>
      </c>
      <c r="J1660" s="1" t="str">
        <f ca="1">IFERROR(__xludf.DUMMYFUNCTION("""COMPUTED_VALUE"""),"Email")</f>
        <v>Email</v>
      </c>
    </row>
    <row r="1661" spans="1:10" ht="13" x14ac:dyDescent="0.15">
      <c r="A1661" s="4">
        <f ca="1">IFERROR(__xludf.DUMMYFUNCTION("""COMPUTED_VALUE"""),186875078)</f>
        <v>186875078</v>
      </c>
      <c r="B1661" s="1" t="str">
        <f ca="1">IFERROR(__xludf.DUMMYFUNCTION("""COMPUTED_VALUE"""),"psabol19@gmail.com")</f>
        <v>psabol19@gmail.com</v>
      </c>
      <c r="C1661" s="4" t="str">
        <f ca="1">IFERROR(__xludf.DUMMYFUNCTION("""COMPUTED_VALUE"""),"EVERGREEN - UAN Gated Content - Embedded Petition")</f>
        <v>EVERGREEN - UAN Gated Content - Embedded Petition</v>
      </c>
      <c r="D1661" s="5">
        <f ca="1">IFERROR(__xludf.DUMMYFUNCTION("""COMPUTED_VALUE"""),45683)</f>
        <v>45683</v>
      </c>
      <c r="F1661" s="1" t="str">
        <f ca="1">IFERROR(__xludf.DUMMYFUNCTION("""COMPUTED_VALUE"""),"Tunisia")</f>
        <v>Tunisia</v>
      </c>
      <c r="G1661" s="1" t="str">
        <f ca="1">IFERROR(__xludf.DUMMYFUNCTION("""COMPUTED_VALUE"""),"Second 76.24 Tunisia")</f>
        <v>Second 76.24 Tunisia</v>
      </c>
      <c r="H1661" s="1" t="str">
        <f ca="1">IFERROR(__xludf.DUMMYFUNCTION("""COMPUTED_VALUE"""),"Freedom of Expression, Human Rights Defenders")</f>
        <v>Freedom of Expression, Human Rights Defenders</v>
      </c>
      <c r="I1661" s="1" t="str">
        <f ca="1">IFERROR(__xludf.DUMMYFUNCTION("""COMPUTED_VALUE"""),"2025")</f>
        <v>2025</v>
      </c>
      <c r="J1661" s="1" t="str">
        <f ca="1">IFERROR(__xludf.DUMMYFUNCTION("""COMPUTED_VALUE"""),"Email")</f>
        <v>Email</v>
      </c>
    </row>
    <row r="1662" spans="1:10" ht="13" x14ac:dyDescent="0.15">
      <c r="A1662" s="4">
        <f ca="1">IFERROR(__xludf.DUMMYFUNCTION("""COMPUTED_VALUE"""),186875078)</f>
        <v>186875078</v>
      </c>
      <c r="B1662" s="1" t="str">
        <f ca="1">IFERROR(__xludf.DUMMYFUNCTION("""COMPUTED_VALUE"""),"psabol19@gmail.com")</f>
        <v>psabol19@gmail.com</v>
      </c>
      <c r="C1662" s="4" t="str">
        <f ca="1">IFERROR(__xludf.DUMMYFUNCTION("""COMPUTED_VALUE"""),"EVERGREEN - UAN Gated Content - Embedded Petition")</f>
        <v>EVERGREEN - UAN Gated Content - Embedded Petition</v>
      </c>
      <c r="D1662" s="5">
        <f ca="1">IFERROR(__xludf.DUMMYFUNCTION("""COMPUTED_VALUE"""),45689)</f>
        <v>45689</v>
      </c>
      <c r="F1662" s="1" t="str">
        <f ca="1">IFERROR(__xludf.DUMMYFUNCTION("""COMPUTED_VALUE"""),"Russian Federation")</f>
        <v>Russian Federation</v>
      </c>
      <c r="G1662" s="1" t="str">
        <f ca="1">IFERROR(__xludf.DUMMYFUNCTION("""COMPUTED_VALUE"""),"102.24 Russia")</f>
        <v>102.24 Russia</v>
      </c>
      <c r="H1662" s="1" t="str">
        <f ca="1">IFERROR(__xludf.DUMMYFUNCTION("""COMPUTED_VALUE"""),"Freedom of Expression, Individuals At Risk, Right to Protest")</f>
        <v>Freedom of Expression, Individuals At Risk, Right to Protest</v>
      </c>
      <c r="I1662" s="1" t="str">
        <f ca="1">IFERROR(__xludf.DUMMYFUNCTION("""COMPUTED_VALUE"""),"2024")</f>
        <v>2024</v>
      </c>
      <c r="J1662" s="1" t="str">
        <f ca="1">IFERROR(__xludf.DUMMYFUNCTION("""COMPUTED_VALUE"""),"Email")</f>
        <v>Email</v>
      </c>
    </row>
    <row r="1663" spans="1:10" ht="13" x14ac:dyDescent="0.15">
      <c r="A1663" s="4">
        <f ca="1">IFERROR(__xludf.DUMMYFUNCTION("""COMPUTED_VALUE"""),186875078)</f>
        <v>186875078</v>
      </c>
      <c r="B1663" s="1" t="str">
        <f ca="1">IFERROR(__xludf.DUMMYFUNCTION("""COMPUTED_VALUE"""),"psabol19@gmail.com")</f>
        <v>psabol19@gmail.com</v>
      </c>
      <c r="C1663" s="4" t="str">
        <f ca="1">IFERROR(__xludf.DUMMYFUNCTION("""COMPUTED_VALUE"""),"EVERGREEN - UAN Gated Content - Embedded Petition")</f>
        <v>EVERGREEN - UAN Gated Content - Embedded Petition</v>
      </c>
      <c r="D1663" s="5">
        <f ca="1">IFERROR(__xludf.DUMMYFUNCTION("""COMPUTED_VALUE"""),45676)</f>
        <v>45676</v>
      </c>
      <c r="F1663" s="1" t="str">
        <f ca="1">IFERROR(__xludf.DUMMYFUNCTION("""COMPUTED_VALUE"""),"Russian Federation")</f>
        <v>Russian Federation</v>
      </c>
      <c r="G1663" s="1" t="str">
        <f ca="1">IFERROR(__xludf.DUMMYFUNCTION("""COMPUTED_VALUE"""),"102.24 Russia")</f>
        <v>102.24 Russia</v>
      </c>
      <c r="H1663" s="1" t="str">
        <f ca="1">IFERROR(__xludf.DUMMYFUNCTION("""COMPUTED_VALUE"""),"Freedom of Expression, Individuals At Risk, Right to Protest")</f>
        <v>Freedom of Expression, Individuals At Risk, Right to Protest</v>
      </c>
      <c r="I1663" s="1" t="str">
        <f ca="1">IFERROR(__xludf.DUMMYFUNCTION("""COMPUTED_VALUE"""),"2024")</f>
        <v>2024</v>
      </c>
      <c r="J1663" s="1" t="str">
        <f ca="1">IFERROR(__xludf.DUMMYFUNCTION("""COMPUTED_VALUE"""),"Email")</f>
        <v>Email</v>
      </c>
    </row>
    <row r="1664" spans="1:10" ht="13" x14ac:dyDescent="0.15">
      <c r="A1664" s="4">
        <f ca="1">IFERROR(__xludf.DUMMYFUNCTION("""COMPUTED_VALUE"""),186875078)</f>
        <v>186875078</v>
      </c>
      <c r="B1664" s="1" t="str">
        <f ca="1">IFERROR(__xludf.DUMMYFUNCTION("""COMPUTED_VALUE"""),"psabol19@gmail.com")</f>
        <v>psabol19@gmail.com</v>
      </c>
      <c r="C1664" s="4" t="str">
        <f ca="1">IFERROR(__xludf.DUMMYFUNCTION("""COMPUTED_VALUE"""),"EVERGREEN - UAN Gated Content - Embedded Petition")</f>
        <v>EVERGREEN - UAN Gated Content - Embedded Petition</v>
      </c>
      <c r="D1664" s="5">
        <f ca="1">IFERROR(__xludf.DUMMYFUNCTION("""COMPUTED_VALUE"""),45677)</f>
        <v>45677</v>
      </c>
      <c r="F1664" s="1" t="str">
        <f ca="1">IFERROR(__xludf.DUMMYFUNCTION("""COMPUTED_VALUE"""),"Tunisia")</f>
        <v>Tunisia</v>
      </c>
      <c r="G1664" s="1" t="str">
        <f ca="1">IFERROR(__xludf.DUMMYFUNCTION("""COMPUTED_VALUE"""),"Second 76.24 Tunisia")</f>
        <v>Second 76.24 Tunisia</v>
      </c>
      <c r="H1664" s="1" t="str">
        <f ca="1">IFERROR(__xludf.DUMMYFUNCTION("""COMPUTED_VALUE"""),"Freedom of Expression, Human Rights Defenders")</f>
        <v>Freedom of Expression, Human Rights Defenders</v>
      </c>
      <c r="I1664" s="1" t="str">
        <f ca="1">IFERROR(__xludf.DUMMYFUNCTION("""COMPUTED_VALUE"""),"2025")</f>
        <v>2025</v>
      </c>
      <c r="J1664" s="1" t="str">
        <f ca="1">IFERROR(__xludf.DUMMYFUNCTION("""COMPUTED_VALUE"""),"Email")</f>
        <v>Email</v>
      </c>
    </row>
    <row r="1665" spans="1:10" ht="13" x14ac:dyDescent="0.15">
      <c r="A1665" s="4">
        <f ca="1">IFERROR(__xludf.DUMMYFUNCTION("""COMPUTED_VALUE"""),186875078)</f>
        <v>186875078</v>
      </c>
      <c r="B1665" s="1" t="str">
        <f ca="1">IFERROR(__xludf.DUMMYFUNCTION("""COMPUTED_VALUE"""),"psabol19@gmail.com")</f>
        <v>psabol19@gmail.com</v>
      </c>
      <c r="C1665" s="4" t="str">
        <f ca="1">IFERROR(__xludf.DUMMYFUNCTION("""COMPUTED_VALUE"""),"EVERGREEN - UAN Gated Content - Embedded Petition")</f>
        <v>EVERGREEN - UAN Gated Content - Embedded Petition</v>
      </c>
      <c r="D1665" s="5">
        <f ca="1">IFERROR(__xludf.DUMMYFUNCTION("""COMPUTED_VALUE"""),45655)</f>
        <v>45655</v>
      </c>
      <c r="F1665" s="1" t="str">
        <f ca="1">IFERROR(__xludf.DUMMYFUNCTION("""COMPUTED_VALUE"""),"USA")</f>
        <v>USA</v>
      </c>
      <c r="G1665" s="1" t="str">
        <f ca="1">IFERROR(__xludf.DUMMYFUNCTION("""COMPUTED_VALUE"""),"4.25 USA")</f>
        <v>4.25 USA</v>
      </c>
      <c r="H1665" s="1" t="str">
        <f ca="1">IFERROR(__xludf.DUMMYFUNCTION("""COMPUTED_VALUE"""),"Individuals At Risk, Refugee and Migrant Rights")</f>
        <v>Individuals At Risk, Refugee and Migrant Rights</v>
      </c>
      <c r="I1665" s="1" t="str">
        <f ca="1">IFERROR(__xludf.DUMMYFUNCTION("""COMPUTED_VALUE"""),"2025")</f>
        <v>2025</v>
      </c>
      <c r="J1665" s="1" t="str">
        <f ca="1">IFERROR(__xludf.DUMMYFUNCTION("""COMPUTED_VALUE"""),"Letter")</f>
        <v>Letter</v>
      </c>
    </row>
    <row r="1666" spans="1:10" ht="13" x14ac:dyDescent="0.15">
      <c r="A1666" s="4">
        <f ca="1">IFERROR(__xludf.DUMMYFUNCTION("""COMPUTED_VALUE"""),186875078)</f>
        <v>186875078</v>
      </c>
      <c r="B1666" s="1" t="str">
        <f ca="1">IFERROR(__xludf.DUMMYFUNCTION("""COMPUTED_VALUE"""),"psabol19@gmail.com")</f>
        <v>psabol19@gmail.com</v>
      </c>
      <c r="C1666" s="4" t="str">
        <f ca="1">IFERROR(__xludf.DUMMYFUNCTION("""COMPUTED_VALUE"""),"EVERGREEN - UAN Gated Content - Embedded Petition")</f>
        <v>EVERGREEN - UAN Gated Content - Embedded Petition</v>
      </c>
      <c r="D1666" s="5">
        <f ca="1">IFERROR(__xludf.DUMMYFUNCTION("""COMPUTED_VALUE"""),45661)</f>
        <v>45661</v>
      </c>
      <c r="F1666" s="1" t="str">
        <f ca="1">IFERROR(__xludf.DUMMYFUNCTION("""COMPUTED_VALUE"""),"Israel and Occupied Palestinian Territories")</f>
        <v>Israel and Occupied Palestinian Territories</v>
      </c>
      <c r="G1666" s="1" t="str">
        <f ca="1">IFERROR(__xludf.DUMMYFUNCTION("""COMPUTED_VALUE"""),"3.25 IOPT")</f>
        <v>3.25 IOPT</v>
      </c>
      <c r="H1666" s="1" t="str">
        <f ca="1">IFERROR(__xludf.DUMMYFUNCTION("""COMPUTED_VALUE"""),"Freedom of Expression, Individuals At Risk")</f>
        <v>Freedom of Expression, Individuals At Risk</v>
      </c>
      <c r="I1666" s="1" t="str">
        <f ca="1">IFERROR(__xludf.DUMMYFUNCTION("""COMPUTED_VALUE"""),"2025")</f>
        <v>2025</v>
      </c>
      <c r="J1666" s="1" t="str">
        <f ca="1">IFERROR(__xludf.DUMMYFUNCTION("""COMPUTED_VALUE"""),"Email")</f>
        <v>Email</v>
      </c>
    </row>
    <row r="1667" spans="1:10" ht="13" x14ac:dyDescent="0.15">
      <c r="A1667" s="4">
        <f ca="1">IFERROR(__xludf.DUMMYFUNCTION("""COMPUTED_VALUE"""),186875078)</f>
        <v>186875078</v>
      </c>
      <c r="B1667" s="1" t="str">
        <f ca="1">IFERROR(__xludf.DUMMYFUNCTION("""COMPUTED_VALUE"""),"psabol19@gmail.com")</f>
        <v>psabol19@gmail.com</v>
      </c>
      <c r="C1667" s="4" t="str">
        <f ca="1">IFERROR(__xludf.DUMMYFUNCTION("""COMPUTED_VALUE"""),"EVERGREEN - UAN Gated Content - Embedded Petition")</f>
        <v>EVERGREEN - UAN Gated Content - Embedded Petition</v>
      </c>
      <c r="D1667" s="5">
        <f ca="1">IFERROR(__xludf.DUMMYFUNCTION("""COMPUTED_VALUE"""),45662)</f>
        <v>45662</v>
      </c>
      <c r="F1667" s="1" t="str">
        <f ca="1">IFERROR(__xludf.DUMMYFUNCTION("""COMPUTED_VALUE"""),"USA")</f>
        <v>USA</v>
      </c>
      <c r="G1667" s="1" t="str">
        <f ca="1">IFERROR(__xludf.DUMMYFUNCTION("""COMPUTED_VALUE"""),"4.25 USA")</f>
        <v>4.25 USA</v>
      </c>
      <c r="H1667" s="1" t="str">
        <f ca="1">IFERROR(__xludf.DUMMYFUNCTION("""COMPUTED_VALUE"""),"Individuals At Risk, Refugee and Migrant Rights")</f>
        <v>Individuals At Risk, Refugee and Migrant Rights</v>
      </c>
      <c r="I1667" s="1" t="str">
        <f ca="1">IFERROR(__xludf.DUMMYFUNCTION("""COMPUTED_VALUE"""),"2025")</f>
        <v>2025</v>
      </c>
      <c r="J1667" s="1" t="str">
        <f ca="1">IFERROR(__xludf.DUMMYFUNCTION("""COMPUTED_VALUE"""),"Letter")</f>
        <v>Letter</v>
      </c>
    </row>
    <row r="1668" spans="1:10" ht="13" x14ac:dyDescent="0.15">
      <c r="A1668" s="4">
        <f ca="1">IFERROR(__xludf.DUMMYFUNCTION("""COMPUTED_VALUE"""),186875078)</f>
        <v>186875078</v>
      </c>
      <c r="B1668" s="1" t="str">
        <f ca="1">IFERROR(__xludf.DUMMYFUNCTION("""COMPUTED_VALUE"""),"psabol19@gmail.com")</f>
        <v>psabol19@gmail.com</v>
      </c>
      <c r="C1668" s="4" t="str">
        <f ca="1">IFERROR(__xludf.DUMMYFUNCTION("""COMPUTED_VALUE"""),"EVERGREEN - UAN Gated Content - Embedded Petition")</f>
        <v>EVERGREEN - UAN Gated Content - Embedded Petition</v>
      </c>
      <c r="D1668" s="5">
        <f ca="1">IFERROR(__xludf.DUMMYFUNCTION("""COMPUTED_VALUE"""),45668)</f>
        <v>45668</v>
      </c>
      <c r="F1668" s="1" t="str">
        <f ca="1">IFERROR(__xludf.DUMMYFUNCTION("""COMPUTED_VALUE"""),"USA")</f>
        <v>USA</v>
      </c>
      <c r="G1668" s="1" t="str">
        <f ca="1">IFERROR(__xludf.DUMMYFUNCTION("""COMPUTED_VALUE"""),"4.25 USA")</f>
        <v>4.25 USA</v>
      </c>
      <c r="H1668" s="1" t="str">
        <f ca="1">IFERROR(__xludf.DUMMYFUNCTION("""COMPUTED_VALUE"""),"Individuals At Risk, Refugee and Migrant Rights")</f>
        <v>Individuals At Risk, Refugee and Migrant Rights</v>
      </c>
      <c r="I1668" s="1" t="str">
        <f ca="1">IFERROR(__xludf.DUMMYFUNCTION("""COMPUTED_VALUE"""),"2025")</f>
        <v>2025</v>
      </c>
      <c r="J1668" s="1" t="str">
        <f ca="1">IFERROR(__xludf.DUMMYFUNCTION("""COMPUTED_VALUE"""),"Letter")</f>
        <v>Letter</v>
      </c>
    </row>
    <row r="1669" spans="1:10" ht="13" x14ac:dyDescent="0.15">
      <c r="A1669" s="4">
        <f ca="1">IFERROR(__xludf.DUMMYFUNCTION("""COMPUTED_VALUE"""),186875078)</f>
        <v>186875078</v>
      </c>
      <c r="B1669" s="1" t="str">
        <f ca="1">IFERROR(__xludf.DUMMYFUNCTION("""COMPUTED_VALUE"""),"psabol19@gmail.com")</f>
        <v>psabol19@gmail.com</v>
      </c>
      <c r="C1669" s="4" t="str">
        <f ca="1">IFERROR(__xludf.DUMMYFUNCTION("""COMPUTED_VALUE"""),"EVERGREEN - UAN Gated Content - Embedded Petition")</f>
        <v>EVERGREEN - UAN Gated Content - Embedded Petition</v>
      </c>
      <c r="D1669" s="5">
        <f ca="1">IFERROR(__xludf.DUMMYFUNCTION("""COMPUTED_VALUE"""),45668)</f>
        <v>45668</v>
      </c>
      <c r="F1669" s="1" t="str">
        <f ca="1">IFERROR(__xludf.DUMMYFUNCTION("""COMPUTED_VALUE"""),"Israel and Occupied Palestinian Territories")</f>
        <v>Israel and Occupied Palestinian Territories</v>
      </c>
      <c r="G1669" s="1" t="str">
        <f ca="1">IFERROR(__xludf.DUMMYFUNCTION("""COMPUTED_VALUE"""),"3.25 IOPT")</f>
        <v>3.25 IOPT</v>
      </c>
      <c r="H1669" s="1" t="str">
        <f ca="1">IFERROR(__xludf.DUMMYFUNCTION("""COMPUTED_VALUE"""),"Freedom of Expression, Individuals At Risk")</f>
        <v>Freedom of Expression, Individuals At Risk</v>
      </c>
      <c r="I1669" s="1" t="str">
        <f ca="1">IFERROR(__xludf.DUMMYFUNCTION("""COMPUTED_VALUE"""),"2025")</f>
        <v>2025</v>
      </c>
      <c r="J1669" s="1" t="str">
        <f ca="1">IFERROR(__xludf.DUMMYFUNCTION("""COMPUTED_VALUE"""),"Email")</f>
        <v>Email</v>
      </c>
    </row>
    <row r="1670" spans="1:10" ht="13" x14ac:dyDescent="0.15">
      <c r="A1670" s="4">
        <f ca="1">IFERROR(__xludf.DUMMYFUNCTION("""COMPUTED_VALUE"""),186875078)</f>
        <v>186875078</v>
      </c>
      <c r="B1670" s="1" t="str">
        <f ca="1">IFERROR(__xludf.DUMMYFUNCTION("""COMPUTED_VALUE"""),"psabol19@gmail.com")</f>
        <v>psabol19@gmail.com</v>
      </c>
      <c r="C1670" s="4" t="str">
        <f ca="1">IFERROR(__xludf.DUMMYFUNCTION("""COMPUTED_VALUE"""),"EVERGREEN - UAN Gated Content - Embedded Petition")</f>
        <v>EVERGREEN - UAN Gated Content - Embedded Petition</v>
      </c>
      <c r="D1670" s="5">
        <f ca="1">IFERROR(__xludf.DUMMYFUNCTION("""COMPUTED_VALUE"""),45669)</f>
        <v>45669</v>
      </c>
      <c r="F1670" s="1" t="str">
        <f ca="1">IFERROR(__xludf.DUMMYFUNCTION("""COMPUTED_VALUE"""),"Israel and Occupied Palestinian Territories")</f>
        <v>Israel and Occupied Palestinian Territories</v>
      </c>
      <c r="G1670" s="1" t="str">
        <f ca="1">IFERROR(__xludf.DUMMYFUNCTION("""COMPUTED_VALUE"""),"3.25 IOPT")</f>
        <v>3.25 IOPT</v>
      </c>
      <c r="H1670" s="1" t="str">
        <f ca="1">IFERROR(__xludf.DUMMYFUNCTION("""COMPUTED_VALUE"""),"Freedom of Expression, Individuals At Risk")</f>
        <v>Freedom of Expression, Individuals At Risk</v>
      </c>
      <c r="I1670" s="1" t="str">
        <f ca="1">IFERROR(__xludf.DUMMYFUNCTION("""COMPUTED_VALUE"""),"2025")</f>
        <v>2025</v>
      </c>
      <c r="J1670" s="1" t="str">
        <f ca="1">IFERROR(__xludf.DUMMYFUNCTION("""COMPUTED_VALUE"""),"Email")</f>
        <v>Email</v>
      </c>
    </row>
    <row r="1671" spans="1:10" ht="13" x14ac:dyDescent="0.15">
      <c r="A1671" s="4">
        <f ca="1">IFERROR(__xludf.DUMMYFUNCTION("""COMPUTED_VALUE"""),186875078)</f>
        <v>186875078</v>
      </c>
      <c r="B1671" s="1" t="str">
        <f ca="1">IFERROR(__xludf.DUMMYFUNCTION("""COMPUTED_VALUE"""),"psabol19@gmail.com")</f>
        <v>psabol19@gmail.com</v>
      </c>
      <c r="C1671" s="4" t="str">
        <f ca="1">IFERROR(__xludf.DUMMYFUNCTION("""COMPUTED_VALUE"""),"EVERGREEN - UAN Gated Content - Embedded Petition")</f>
        <v>EVERGREEN - UAN Gated Content - Embedded Petition</v>
      </c>
      <c r="D1671" s="5">
        <f ca="1">IFERROR(__xludf.DUMMYFUNCTION("""COMPUTED_VALUE"""),45647)</f>
        <v>45647</v>
      </c>
      <c r="F1671" s="1" t="str">
        <f ca="1">IFERROR(__xludf.DUMMYFUNCTION("""COMPUTED_VALUE"""),"USA")</f>
        <v>USA</v>
      </c>
      <c r="G1671" s="1" t="str">
        <f ca="1">IFERROR(__xludf.DUMMYFUNCTION("""COMPUTED_VALUE"""),"4.25 USA")</f>
        <v>4.25 USA</v>
      </c>
      <c r="H1671" s="1" t="str">
        <f ca="1">IFERROR(__xludf.DUMMYFUNCTION("""COMPUTED_VALUE"""),"Individuals At Risk, Refugee and Migrant Rights")</f>
        <v>Individuals At Risk, Refugee and Migrant Rights</v>
      </c>
      <c r="I1671" s="1" t="str">
        <f ca="1">IFERROR(__xludf.DUMMYFUNCTION("""COMPUTED_VALUE"""),"2025")</f>
        <v>2025</v>
      </c>
      <c r="J1671" s="1" t="str">
        <f ca="1">IFERROR(__xludf.DUMMYFUNCTION("""COMPUTED_VALUE"""),"Letter")</f>
        <v>Letter</v>
      </c>
    </row>
    <row r="1672" spans="1:10" ht="13" x14ac:dyDescent="0.15">
      <c r="A1672" s="4">
        <f ca="1">IFERROR(__xludf.DUMMYFUNCTION("""COMPUTED_VALUE"""),186875078)</f>
        <v>186875078</v>
      </c>
      <c r="B1672" s="1" t="str">
        <f ca="1">IFERROR(__xludf.DUMMYFUNCTION("""COMPUTED_VALUE"""),"psabol19@gmail.com")</f>
        <v>psabol19@gmail.com</v>
      </c>
      <c r="C1672" s="4" t="str">
        <f ca="1">IFERROR(__xludf.DUMMYFUNCTION("""COMPUTED_VALUE"""),"EVERGREEN - UAN Gated Content - Embedded Petition")</f>
        <v>EVERGREEN - UAN Gated Content - Embedded Petition</v>
      </c>
      <c r="D1672" s="5">
        <f ca="1">IFERROR(__xludf.DUMMYFUNCTION("""COMPUTED_VALUE"""),45619)</f>
        <v>45619</v>
      </c>
      <c r="F1672" s="1" t="str">
        <f ca="1">IFERROR(__xludf.DUMMYFUNCTION("""COMPUTED_VALUE"""),"Egypt")</f>
        <v>Egypt</v>
      </c>
      <c r="G1672" s="1" t="str">
        <f ca="1">IFERROR(__xludf.DUMMYFUNCTION("""COMPUTED_VALUE"""),"Ninth 190.18 Egypt")</f>
        <v>Ninth 190.18 Egypt</v>
      </c>
      <c r="H1672" s="1" t="str">
        <f ca="1">IFERROR(__xludf.DUMMYFUNCTION("""COMPUTED_VALUE"""),"Freedom of Expression, Individuals At Risk")</f>
        <v>Freedom of Expression, Individuals At Risk</v>
      </c>
      <c r="I1672" s="1" t="str">
        <f ca="1">IFERROR(__xludf.DUMMYFUNCTION("""COMPUTED_VALUE"""),"2024")</f>
        <v>2024</v>
      </c>
      <c r="J1672" s="1" t="str">
        <f ca="1">IFERROR(__xludf.DUMMYFUNCTION("""COMPUTED_VALUE"""),"Letter")</f>
        <v>Letter</v>
      </c>
    </row>
    <row r="1673" spans="1:10" ht="13" x14ac:dyDescent="0.15">
      <c r="A1673" s="4">
        <f ca="1">IFERROR(__xludf.DUMMYFUNCTION("""COMPUTED_VALUE"""),186875078)</f>
        <v>186875078</v>
      </c>
      <c r="B1673" s="1" t="str">
        <f ca="1">IFERROR(__xludf.DUMMYFUNCTION("""COMPUTED_VALUE"""),"psabol19@gmail.com")</f>
        <v>psabol19@gmail.com</v>
      </c>
      <c r="C1673" s="4" t="str">
        <f ca="1">IFERROR(__xludf.DUMMYFUNCTION("""COMPUTED_VALUE"""),"EVERGREEN - UAN Gated Content - Embedded Petition")</f>
        <v>EVERGREEN - UAN Gated Content - Embedded Petition</v>
      </c>
      <c r="D1673" s="5">
        <f ca="1">IFERROR(__xludf.DUMMYFUNCTION("""COMPUTED_VALUE"""),45627)</f>
        <v>45627</v>
      </c>
      <c r="F1673" s="1" t="str">
        <f ca="1">IFERROR(__xludf.DUMMYFUNCTION("""COMPUTED_VALUE"""),"Venezuela")</f>
        <v>Venezuela</v>
      </c>
      <c r="G1673" s="1" t="str">
        <f ca="1">IFERROR(__xludf.DUMMYFUNCTION("""COMPUTED_VALUE"""),"97.24 Venezuela")</f>
        <v>97.24 Venezuela</v>
      </c>
      <c r="H1673" s="1" t="str">
        <f ca="1">IFERROR(__xludf.DUMMYFUNCTION("""COMPUTED_VALUE"""),"Freedom of Expression")</f>
        <v>Freedom of Expression</v>
      </c>
      <c r="I1673" s="1" t="str">
        <f ca="1">IFERROR(__xludf.DUMMYFUNCTION("""COMPUTED_VALUE"""),"2024")</f>
        <v>2024</v>
      </c>
      <c r="J1673" s="1" t="str">
        <f ca="1">IFERROR(__xludf.DUMMYFUNCTION("""COMPUTED_VALUE"""),"Letter")</f>
        <v>Letter</v>
      </c>
    </row>
    <row r="1674" spans="1:10" ht="13" x14ac:dyDescent="0.15">
      <c r="A1674" s="4">
        <f ca="1">IFERROR(__xludf.DUMMYFUNCTION("""COMPUTED_VALUE"""),186875078)</f>
        <v>186875078</v>
      </c>
      <c r="B1674" s="1" t="str">
        <f ca="1">IFERROR(__xludf.DUMMYFUNCTION("""COMPUTED_VALUE"""),"psabol19@gmail.com")</f>
        <v>psabol19@gmail.com</v>
      </c>
      <c r="C1674" s="4" t="str">
        <f ca="1">IFERROR(__xludf.DUMMYFUNCTION("""COMPUTED_VALUE"""),"EVERGREEN - UAN Gated Content - Embedded Petition")</f>
        <v>EVERGREEN - UAN Gated Content - Embedded Petition</v>
      </c>
      <c r="D1674" s="5">
        <f ca="1">IFERROR(__xludf.DUMMYFUNCTION("""COMPUTED_VALUE"""),45682)</f>
        <v>45682</v>
      </c>
      <c r="F1674" s="1" t="str">
        <f ca="1">IFERROR(__xludf.DUMMYFUNCTION("""COMPUTED_VALUE"""),"USA")</f>
        <v>USA</v>
      </c>
      <c r="G1674" s="1" t="str">
        <f ca="1">IFERROR(__xludf.DUMMYFUNCTION("""COMPUTED_VALUE"""),"105.24 USA")</f>
        <v>105.24 USA</v>
      </c>
      <c r="H1674" s="1" t="str">
        <f ca="1">IFERROR(__xludf.DUMMYFUNCTION("""COMPUTED_VALUE"""),"Death Penalty")</f>
        <v>Death Penalty</v>
      </c>
      <c r="I1674" s="1" t="str">
        <f ca="1">IFERROR(__xludf.DUMMYFUNCTION("""COMPUTED_VALUE"""),"2024")</f>
        <v>2024</v>
      </c>
      <c r="J1674" s="1" t="str">
        <f ca="1">IFERROR(__xludf.DUMMYFUNCTION("""COMPUTED_VALUE"""),"Email")</f>
        <v>Email</v>
      </c>
    </row>
    <row r="1675" spans="1:10" ht="13" x14ac:dyDescent="0.15">
      <c r="A1675" s="4">
        <f ca="1">IFERROR(__xludf.DUMMYFUNCTION("""COMPUTED_VALUE"""),186875078)</f>
        <v>186875078</v>
      </c>
      <c r="B1675" s="1" t="str">
        <f ca="1">IFERROR(__xludf.DUMMYFUNCTION("""COMPUTED_VALUE"""),"psabol19@gmail.com")</f>
        <v>psabol19@gmail.com</v>
      </c>
      <c r="C1675" s="4" t="str">
        <f ca="1">IFERROR(__xludf.DUMMYFUNCTION("""COMPUTED_VALUE"""),"EVERGREEN - UAN Gated Content - Embedded Petition")</f>
        <v>EVERGREEN - UAN Gated Content - Embedded Petition</v>
      </c>
      <c r="D1675" s="5">
        <f ca="1">IFERROR(__xludf.DUMMYFUNCTION("""COMPUTED_VALUE"""),45703)</f>
        <v>45703</v>
      </c>
      <c r="F1675" s="1" t="str">
        <f ca="1">IFERROR(__xludf.DUMMYFUNCTION("""COMPUTED_VALUE"""),"China")</f>
        <v>China</v>
      </c>
      <c r="G1675" s="1" t="str">
        <f ca="1">IFERROR(__xludf.DUMMYFUNCTION("""COMPUTED_VALUE"""),"98.24 China")</f>
        <v>98.24 China</v>
      </c>
      <c r="H1675" s="1" t="str">
        <f ca="1">IFERROR(__xludf.DUMMYFUNCTION("""COMPUTED_VALUE"""),"Freedom of Expression, Individuals At Risk")</f>
        <v>Freedom of Expression, Individuals At Risk</v>
      </c>
      <c r="I1675" s="1" t="str">
        <f ca="1">IFERROR(__xludf.DUMMYFUNCTION("""COMPUTED_VALUE"""),"2024")</f>
        <v>2024</v>
      </c>
      <c r="J1675" s="1" t="str">
        <f ca="1">IFERROR(__xludf.DUMMYFUNCTION("""COMPUTED_VALUE"""),"Letter")</f>
        <v>Letter</v>
      </c>
    </row>
    <row r="1676" spans="1:10" ht="13" x14ac:dyDescent="0.15">
      <c r="A1676" s="4">
        <f ca="1">IFERROR(__xludf.DUMMYFUNCTION("""COMPUTED_VALUE"""),186875078)</f>
        <v>186875078</v>
      </c>
      <c r="B1676" s="1" t="str">
        <f ca="1">IFERROR(__xludf.DUMMYFUNCTION("""COMPUTED_VALUE"""),"psabol19@gmail.com")</f>
        <v>psabol19@gmail.com</v>
      </c>
      <c r="C1676" s="4" t="str">
        <f ca="1">IFERROR(__xludf.DUMMYFUNCTION("""COMPUTED_VALUE"""),"EVERGREEN - UAN Gated Content - Embedded Petition")</f>
        <v>EVERGREEN - UAN Gated Content - Embedded Petition</v>
      </c>
      <c r="D1676" s="5">
        <f ca="1">IFERROR(__xludf.DUMMYFUNCTION("""COMPUTED_VALUE"""),45703)</f>
        <v>45703</v>
      </c>
      <c r="F1676" s="1" t="str">
        <f ca="1">IFERROR(__xludf.DUMMYFUNCTION("""COMPUTED_VALUE"""),"Iran")</f>
        <v>Iran</v>
      </c>
      <c r="G1676" s="1" t="str">
        <f ca="1">IFERROR(__xludf.DUMMYFUNCTION("""COMPUTED_VALUE"""),"Seventh 103.22 Iran")</f>
        <v>Seventh 103.22 Iran</v>
      </c>
      <c r="H1676" s="1" t="str">
        <f ca="1">IFERROR(__xludf.DUMMYFUNCTION("""COMPUTED_VALUE"""),"Death Penalty, Freedom of Expression, Individuals At Risk")</f>
        <v>Death Penalty, Freedom of Expression, Individuals At Risk</v>
      </c>
      <c r="I1676" s="1" t="str">
        <f ca="1">IFERROR(__xludf.DUMMYFUNCTION("""COMPUTED_VALUE"""),"2024")</f>
        <v>2024</v>
      </c>
      <c r="J1676" s="1" t="str">
        <f ca="1">IFERROR(__xludf.DUMMYFUNCTION("""COMPUTED_VALUE"""),"Email")</f>
        <v>Email</v>
      </c>
    </row>
    <row r="1677" spans="1:10" ht="13" x14ac:dyDescent="0.15">
      <c r="A1677" s="4">
        <f ca="1">IFERROR(__xludf.DUMMYFUNCTION("""COMPUTED_VALUE"""),186875078)</f>
        <v>186875078</v>
      </c>
      <c r="B1677" s="1" t="str">
        <f ca="1">IFERROR(__xludf.DUMMYFUNCTION("""COMPUTED_VALUE"""),"psabol19@gmail.com")</f>
        <v>psabol19@gmail.com</v>
      </c>
      <c r="C1677" s="4" t="str">
        <f ca="1">IFERROR(__xludf.DUMMYFUNCTION("""COMPUTED_VALUE"""),"EVERGREEN - UAN Gated Content - Embedded Petition")</f>
        <v>EVERGREEN - UAN Gated Content - Embedded Petition</v>
      </c>
      <c r="D1677" s="5">
        <f ca="1">IFERROR(__xludf.DUMMYFUNCTION("""COMPUTED_VALUE"""),45697)</f>
        <v>45697</v>
      </c>
      <c r="F1677" s="1" t="str">
        <f ca="1">IFERROR(__xludf.DUMMYFUNCTION("""COMPUTED_VALUE"""),"Tunisia")</f>
        <v>Tunisia</v>
      </c>
      <c r="G1677" s="1" t="str">
        <f ca="1">IFERROR(__xludf.DUMMYFUNCTION("""COMPUTED_VALUE"""),"Second 76.24 Tunisia")</f>
        <v>Second 76.24 Tunisia</v>
      </c>
      <c r="H1677" s="1" t="str">
        <f ca="1">IFERROR(__xludf.DUMMYFUNCTION("""COMPUTED_VALUE"""),"Freedom of Expression, Human Rights Defenders")</f>
        <v>Freedom of Expression, Human Rights Defenders</v>
      </c>
      <c r="I1677" s="1" t="str">
        <f ca="1">IFERROR(__xludf.DUMMYFUNCTION("""COMPUTED_VALUE"""),"2025")</f>
        <v>2025</v>
      </c>
      <c r="J1677" s="1" t="str">
        <f ca="1">IFERROR(__xludf.DUMMYFUNCTION("""COMPUTED_VALUE"""),"Email")</f>
        <v>Email</v>
      </c>
    </row>
    <row r="1678" spans="1:10" ht="13" x14ac:dyDescent="0.15">
      <c r="A1678" s="4">
        <f ca="1">IFERROR(__xludf.DUMMYFUNCTION("""COMPUTED_VALUE"""),186875078)</f>
        <v>186875078</v>
      </c>
      <c r="B1678" s="1" t="str">
        <f ca="1">IFERROR(__xludf.DUMMYFUNCTION("""COMPUTED_VALUE"""),"psabol19@gmail.com")</f>
        <v>psabol19@gmail.com</v>
      </c>
      <c r="C1678" s="4" t="str">
        <f ca="1">IFERROR(__xludf.DUMMYFUNCTION("""COMPUTED_VALUE"""),"EVERGREEN - UAN Gated Content - Embedded Petition")</f>
        <v>EVERGREEN - UAN Gated Content - Embedded Petition</v>
      </c>
      <c r="D1678" s="5">
        <f ca="1">IFERROR(__xludf.DUMMYFUNCTION("""COMPUTED_VALUE"""),45697)</f>
        <v>45697</v>
      </c>
      <c r="F1678" s="1" t="str">
        <f ca="1">IFERROR(__xludf.DUMMYFUNCTION("""COMPUTED_VALUE"""),"Niger")</f>
        <v>Niger</v>
      </c>
      <c r="G1678" s="1" t="str">
        <f ca="1">IFERROR(__xludf.DUMMYFUNCTION("""COMPUTED_VALUE"""),"103.24 Niger")</f>
        <v>103.24 Niger</v>
      </c>
      <c r="H1678" s="1" t="str">
        <f ca="1">IFERROR(__xludf.DUMMYFUNCTION("""COMPUTED_VALUE"""),"Freedom of Expression, Human Rights Defenders")</f>
        <v>Freedom of Expression, Human Rights Defenders</v>
      </c>
      <c r="I1678" s="1" t="str">
        <f ca="1">IFERROR(__xludf.DUMMYFUNCTION("""COMPUTED_VALUE"""),"2024")</f>
        <v>2024</v>
      </c>
      <c r="J1678" s="1" t="str">
        <f ca="1">IFERROR(__xludf.DUMMYFUNCTION("""COMPUTED_VALUE"""),"Email")</f>
        <v>Email</v>
      </c>
    </row>
    <row r="1679" spans="1:10" ht="13" x14ac:dyDescent="0.15">
      <c r="A1679" s="4">
        <f ca="1">IFERROR(__xludf.DUMMYFUNCTION("""COMPUTED_VALUE"""),186875078)</f>
        <v>186875078</v>
      </c>
      <c r="B1679" s="1" t="str">
        <f ca="1">IFERROR(__xludf.DUMMYFUNCTION("""COMPUTED_VALUE"""),"psabol19@gmail.com")</f>
        <v>psabol19@gmail.com</v>
      </c>
      <c r="C1679" s="4" t="str">
        <f ca="1">IFERROR(__xludf.DUMMYFUNCTION("""COMPUTED_VALUE"""),"EVERGREEN - UAN Gated Content - Embedded Petition")</f>
        <v>EVERGREEN - UAN Gated Content - Embedded Petition</v>
      </c>
      <c r="D1679" s="5">
        <f ca="1">IFERROR(__xludf.DUMMYFUNCTION("""COMPUTED_VALUE"""),45696)</f>
        <v>45696</v>
      </c>
      <c r="F1679" s="1" t="str">
        <f ca="1">IFERROR(__xludf.DUMMYFUNCTION("""COMPUTED_VALUE"""),"USA")</f>
        <v>USA</v>
      </c>
      <c r="G1679" s="1" t="str">
        <f ca="1">IFERROR(__xludf.DUMMYFUNCTION("""COMPUTED_VALUE"""),"96.24 USA")</f>
        <v>96.24 USA</v>
      </c>
      <c r="H1679" s="1" t="str">
        <f ca="1">IFERROR(__xludf.DUMMYFUNCTION("""COMPUTED_VALUE"""),"Death Penalty")</f>
        <v>Death Penalty</v>
      </c>
      <c r="I1679" s="1" t="str">
        <f ca="1">IFERROR(__xludf.DUMMYFUNCTION("""COMPUTED_VALUE"""),"2024")</f>
        <v>2024</v>
      </c>
      <c r="J1679" s="1" t="str">
        <f ca="1">IFERROR(__xludf.DUMMYFUNCTION("""COMPUTED_VALUE"""),"Email")</f>
        <v>Email</v>
      </c>
    </row>
    <row r="1680" spans="1:10" ht="13" x14ac:dyDescent="0.15">
      <c r="A1680" s="4">
        <f ca="1">IFERROR(__xludf.DUMMYFUNCTION("""COMPUTED_VALUE"""),186875078)</f>
        <v>186875078</v>
      </c>
      <c r="B1680" s="1" t="str">
        <f ca="1">IFERROR(__xludf.DUMMYFUNCTION("""COMPUTED_VALUE"""),"psabol19@gmail.com")</f>
        <v>psabol19@gmail.com</v>
      </c>
      <c r="C1680" s="4" t="str">
        <f ca="1">IFERROR(__xludf.DUMMYFUNCTION("""COMPUTED_VALUE"""),"EVERGREEN - UAN Gated Content - Embedded Petition")</f>
        <v>EVERGREEN - UAN Gated Content - Embedded Petition</v>
      </c>
      <c r="D1680" s="5">
        <f ca="1">IFERROR(__xludf.DUMMYFUNCTION("""COMPUTED_VALUE"""),45696)</f>
        <v>45696</v>
      </c>
      <c r="F1680" s="1" t="str">
        <f ca="1">IFERROR(__xludf.DUMMYFUNCTION("""COMPUTED_VALUE"""),"Iran")</f>
        <v>Iran</v>
      </c>
      <c r="G1680" s="1" t="str">
        <f ca="1">IFERROR(__xludf.DUMMYFUNCTION("""COMPUTED_VALUE"""),"Seventh 103.22 Iran")</f>
        <v>Seventh 103.22 Iran</v>
      </c>
      <c r="H1680" s="1" t="str">
        <f ca="1">IFERROR(__xludf.DUMMYFUNCTION("""COMPUTED_VALUE"""),"Death Penalty, Freedom of Expression, Individuals At Risk")</f>
        <v>Death Penalty, Freedom of Expression, Individuals At Risk</v>
      </c>
      <c r="I1680" s="1" t="str">
        <f ca="1">IFERROR(__xludf.DUMMYFUNCTION("""COMPUTED_VALUE"""),"2024")</f>
        <v>2024</v>
      </c>
      <c r="J1680" s="1" t="str">
        <f ca="1">IFERROR(__xludf.DUMMYFUNCTION("""COMPUTED_VALUE"""),"Email")</f>
        <v>Email</v>
      </c>
    </row>
    <row r="1681" spans="1:10" ht="13" x14ac:dyDescent="0.15">
      <c r="A1681" s="4">
        <f ca="1">IFERROR(__xludf.DUMMYFUNCTION("""COMPUTED_VALUE"""),188333836)</f>
        <v>188333836</v>
      </c>
      <c r="B1681" s="1" t="str">
        <f ca="1">IFERROR(__xludf.DUMMYFUNCTION("""COMPUTED_VALUE"""),"cchambers06@icloud.com")</f>
        <v>cchambers06@icloud.com</v>
      </c>
      <c r="C1681" s="4" t="str">
        <f ca="1">IFERROR(__xludf.DUMMYFUNCTION("""COMPUTED_VALUE"""),"EVERGREEN - UAN Gated Content - Embedded Petition")</f>
        <v>EVERGREEN - UAN Gated Content - Embedded Petition</v>
      </c>
      <c r="D1681" s="5">
        <f ca="1">IFERROR(__xludf.DUMMYFUNCTION("""COMPUTED_VALUE"""),45708)</f>
        <v>45708</v>
      </c>
      <c r="F1681" s="1" t="str">
        <f ca="1">IFERROR(__xludf.DUMMYFUNCTION("""COMPUTED_VALUE"""),"Egypt")</f>
        <v>Egypt</v>
      </c>
      <c r="G1681" s="1" t="str">
        <f ca="1">IFERROR(__xludf.DUMMYFUNCTION("""COMPUTED_VALUE"""),"Ninth 190.18 Egypt")</f>
        <v>Ninth 190.18 Egypt</v>
      </c>
      <c r="H1681" s="1" t="str">
        <f ca="1">IFERROR(__xludf.DUMMYFUNCTION("""COMPUTED_VALUE"""),"Freedom of Expression, Individuals At Risk")</f>
        <v>Freedom of Expression, Individuals At Risk</v>
      </c>
      <c r="I1681" s="1" t="str">
        <f ca="1">IFERROR(__xludf.DUMMYFUNCTION("""COMPUTED_VALUE"""),"2024")</f>
        <v>2024</v>
      </c>
      <c r="J1681" s="1" t="str">
        <f ca="1">IFERROR(__xludf.DUMMYFUNCTION("""COMPUTED_VALUE"""),"Letter")</f>
        <v>Letter</v>
      </c>
    </row>
    <row r="1682" spans="1:10" ht="13" x14ac:dyDescent="0.15">
      <c r="A1682" s="4">
        <f ca="1">IFERROR(__xludf.DUMMYFUNCTION("""COMPUTED_VALUE"""),188333836)</f>
        <v>188333836</v>
      </c>
      <c r="B1682" s="1" t="str">
        <f ca="1">IFERROR(__xludf.DUMMYFUNCTION("""COMPUTED_VALUE"""),"cchambers06@icloud.com")</f>
        <v>cchambers06@icloud.com</v>
      </c>
      <c r="C1682" s="4" t="str">
        <f ca="1">IFERROR(__xludf.DUMMYFUNCTION("""COMPUTED_VALUE"""),"EVERGREEN - UAN Gated Content - Embedded Petition")</f>
        <v>EVERGREEN - UAN Gated Content - Embedded Petition</v>
      </c>
      <c r="D1682" s="5">
        <f ca="1">IFERROR(__xludf.DUMMYFUNCTION("""COMPUTED_VALUE"""),45638)</f>
        <v>45638</v>
      </c>
      <c r="F1682" s="1" t="str">
        <f ca="1">IFERROR(__xludf.DUMMYFUNCTION("""COMPUTED_VALUE"""),"USA")</f>
        <v>USA</v>
      </c>
      <c r="G1682" s="1" t="str">
        <f ca="1">IFERROR(__xludf.DUMMYFUNCTION("""COMPUTED_VALUE"""),"4.25 USA")</f>
        <v>4.25 USA</v>
      </c>
      <c r="H1682" s="1" t="str">
        <f ca="1">IFERROR(__xludf.DUMMYFUNCTION("""COMPUTED_VALUE"""),"Individuals At Risk, Refugee and Migrant Rights")</f>
        <v>Individuals At Risk, Refugee and Migrant Rights</v>
      </c>
      <c r="I1682" s="1" t="str">
        <f ca="1">IFERROR(__xludf.DUMMYFUNCTION("""COMPUTED_VALUE"""),"2025")</f>
        <v>2025</v>
      </c>
      <c r="J1682" s="1" t="str">
        <f ca="1">IFERROR(__xludf.DUMMYFUNCTION("""COMPUTED_VALUE"""),"Letter")</f>
        <v>Letter</v>
      </c>
    </row>
    <row r="1683" spans="1:10" ht="13" x14ac:dyDescent="0.15">
      <c r="A1683" s="4">
        <f ca="1">IFERROR(__xludf.DUMMYFUNCTION("""COMPUTED_VALUE"""),188333836)</f>
        <v>188333836</v>
      </c>
      <c r="B1683" s="1" t="str">
        <f ca="1">IFERROR(__xludf.DUMMYFUNCTION("""COMPUTED_VALUE"""),"cchambers06@icloud.com")</f>
        <v>cchambers06@icloud.com</v>
      </c>
      <c r="C1683" s="4" t="str">
        <f ca="1">IFERROR(__xludf.DUMMYFUNCTION("""COMPUTED_VALUE"""),"EVERGREEN - UAN Gated Content - Embedded Petition")</f>
        <v>EVERGREEN - UAN Gated Content - Embedded Petition</v>
      </c>
      <c r="D1683" s="5">
        <f ca="1">IFERROR(__xludf.DUMMYFUNCTION("""COMPUTED_VALUE"""),45638)</f>
        <v>45638</v>
      </c>
      <c r="F1683" s="1" t="str">
        <f ca="1">IFERROR(__xludf.DUMMYFUNCTION("""COMPUTED_VALUE"""),"Libya")</f>
        <v>Libya</v>
      </c>
      <c r="G1683" s="1" t="str">
        <f ca="1">IFERROR(__xludf.DUMMYFUNCTION("""COMPUTED_VALUE"""),"12.25 Libya")</f>
        <v>12.25 Libya</v>
      </c>
      <c r="H1683" s="1" t="str">
        <f ca="1">IFERROR(__xludf.DUMMYFUNCTION("""COMPUTED_VALUE"""),"Freedom of Expression, Health, Individuals At Risk")</f>
        <v>Freedom of Expression, Health, Individuals At Risk</v>
      </c>
      <c r="I1683" s="1" t="str">
        <f ca="1">IFERROR(__xludf.DUMMYFUNCTION("""COMPUTED_VALUE"""),"2025")</f>
        <v>2025</v>
      </c>
      <c r="J1683" s="1" t="str">
        <f ca="1">IFERROR(__xludf.DUMMYFUNCTION("""COMPUTED_VALUE"""),"Email")</f>
        <v>Email</v>
      </c>
    </row>
    <row r="1684" spans="1:10" ht="13" x14ac:dyDescent="0.15">
      <c r="A1684" s="4">
        <f ca="1">IFERROR(__xludf.DUMMYFUNCTION("""COMPUTED_VALUE"""),188333836)</f>
        <v>188333836</v>
      </c>
      <c r="B1684" s="1" t="str">
        <f ca="1">IFERROR(__xludf.DUMMYFUNCTION("""COMPUTED_VALUE"""),"cchambers06@icloud.com")</f>
        <v>cchambers06@icloud.com</v>
      </c>
      <c r="C1684" s="4" t="str">
        <f ca="1">IFERROR(__xludf.DUMMYFUNCTION("""COMPUTED_VALUE"""),"EVERGREEN - UAN Gated Content - Embedded Petition")</f>
        <v>EVERGREEN - UAN Gated Content - Embedded Petition</v>
      </c>
      <c r="D1684" s="5">
        <f ca="1">IFERROR(__xludf.DUMMYFUNCTION("""COMPUTED_VALUE"""),45638)</f>
        <v>45638</v>
      </c>
      <c r="F1684" s="1" t="str">
        <f ca="1">IFERROR(__xludf.DUMMYFUNCTION("""COMPUTED_VALUE"""),"USA")</f>
        <v>USA</v>
      </c>
      <c r="G1684" s="1" t="str">
        <f ca="1">IFERROR(__xludf.DUMMYFUNCTION("""COMPUTED_VALUE"""),"4.25 USA")</f>
        <v>4.25 USA</v>
      </c>
      <c r="H1684" s="1" t="str">
        <f ca="1">IFERROR(__xludf.DUMMYFUNCTION("""COMPUTED_VALUE"""),"Individuals At Risk, Refugee and Migrant Rights")</f>
        <v>Individuals At Risk, Refugee and Migrant Rights</v>
      </c>
      <c r="I1684" s="1" t="str">
        <f ca="1">IFERROR(__xludf.DUMMYFUNCTION("""COMPUTED_VALUE"""),"2025")</f>
        <v>2025</v>
      </c>
      <c r="J1684" s="1" t="str">
        <f ca="1">IFERROR(__xludf.DUMMYFUNCTION("""COMPUTED_VALUE"""),"Letter")</f>
        <v>Letter</v>
      </c>
    </row>
    <row r="1685" spans="1:10" ht="13" x14ac:dyDescent="0.15">
      <c r="A1685" s="4">
        <f ca="1">IFERROR(__xludf.DUMMYFUNCTION("""COMPUTED_VALUE"""),188333836)</f>
        <v>188333836</v>
      </c>
      <c r="B1685" s="1" t="str">
        <f ca="1">IFERROR(__xludf.DUMMYFUNCTION("""COMPUTED_VALUE"""),"cchambers06@icloud.com")</f>
        <v>cchambers06@icloud.com</v>
      </c>
      <c r="C1685" s="4" t="str">
        <f ca="1">IFERROR(__xludf.DUMMYFUNCTION("""COMPUTED_VALUE"""),"EVERGREEN - UAN Gated Content - Embedded Petition")</f>
        <v>EVERGREEN - UAN Gated Content - Embedded Petition</v>
      </c>
      <c r="D1685" s="5">
        <f ca="1">IFERROR(__xludf.DUMMYFUNCTION("""COMPUTED_VALUE"""),45638)</f>
        <v>45638</v>
      </c>
      <c r="F1685" s="1" t="str">
        <f ca="1">IFERROR(__xludf.DUMMYFUNCTION("""COMPUTED_VALUE"""),"Singapore")</f>
        <v>Singapore</v>
      </c>
      <c r="G1685" s="1" t="str">
        <f ca="1">IFERROR(__xludf.DUMMYFUNCTION("""COMPUTED_VALUE"""),"107.24 Singapore")</f>
        <v>107.24 Singapore</v>
      </c>
      <c r="H1685" s="1" t="str">
        <f ca="1">IFERROR(__xludf.DUMMYFUNCTION("""COMPUTED_VALUE"""),"Death Penalty")</f>
        <v>Death Penalty</v>
      </c>
      <c r="I1685" s="1" t="str">
        <f ca="1">IFERROR(__xludf.DUMMYFUNCTION("""COMPUTED_VALUE"""),"2024")</f>
        <v>2024</v>
      </c>
      <c r="J1685" s="1" t="str">
        <f ca="1">IFERROR(__xludf.DUMMYFUNCTION("""COMPUTED_VALUE"""),"Email")</f>
        <v>Email</v>
      </c>
    </row>
    <row r="1686" spans="1:10" ht="13" x14ac:dyDescent="0.15">
      <c r="A1686" s="4">
        <f ca="1">IFERROR(__xludf.DUMMYFUNCTION("""COMPUTED_VALUE"""),189531814)</f>
        <v>189531814</v>
      </c>
      <c r="B1686" s="1" t="str">
        <f ca="1">IFERROR(__xludf.DUMMYFUNCTION("""COMPUTED_VALUE"""),"makerttula@comcast.net")</f>
        <v>makerttula@comcast.net</v>
      </c>
      <c r="C1686" s="4" t="str">
        <f ca="1">IFERROR(__xludf.DUMMYFUNCTION("""COMPUTED_VALUE"""),"EVERGREEN - UAN Gated Content - Embedded Petition")</f>
        <v>EVERGREEN - UAN Gated Content - Embedded Petition</v>
      </c>
      <c r="D1686" s="5">
        <f ca="1">IFERROR(__xludf.DUMMYFUNCTION("""COMPUTED_VALUE"""),45674)</f>
        <v>45674</v>
      </c>
      <c r="F1686" s="1" t="str">
        <f ca="1">IFERROR(__xludf.DUMMYFUNCTION("""COMPUTED_VALUE"""),"Tunisia")</f>
        <v>Tunisia</v>
      </c>
      <c r="G1686" s="1" t="str">
        <f ca="1">IFERROR(__xludf.DUMMYFUNCTION("""COMPUTED_VALUE"""),"Second 43.24 Tunisia")</f>
        <v>Second 43.24 Tunisia</v>
      </c>
      <c r="H1686" s="1" t="str">
        <f ca="1">IFERROR(__xludf.DUMMYFUNCTION("""COMPUTED_VALUE"""),"Freedom of Expression, Individuals At Risk")</f>
        <v>Freedom of Expression, Individuals At Risk</v>
      </c>
      <c r="I1686" s="1" t="str">
        <f ca="1">IFERROR(__xludf.DUMMYFUNCTION("""COMPUTED_VALUE"""),"2024")</f>
        <v>2024</v>
      </c>
      <c r="J1686" s="1" t="str">
        <f ca="1">IFERROR(__xludf.DUMMYFUNCTION("""COMPUTED_VALUE"""),"Email")</f>
        <v>Email</v>
      </c>
    </row>
    <row r="1687" spans="1:10" ht="13" x14ac:dyDescent="0.15">
      <c r="A1687" s="4">
        <f ca="1">IFERROR(__xludf.DUMMYFUNCTION("""COMPUTED_VALUE"""),189531814)</f>
        <v>189531814</v>
      </c>
      <c r="B1687" s="1" t="str">
        <f ca="1">IFERROR(__xludf.DUMMYFUNCTION("""COMPUTED_VALUE"""),"makerttula@comcast.net")</f>
        <v>makerttula@comcast.net</v>
      </c>
      <c r="C1687" s="4" t="str">
        <f ca="1">IFERROR(__xludf.DUMMYFUNCTION("""COMPUTED_VALUE"""),"EVERGREEN - UAN Gated Content - Embedded Petition")</f>
        <v>EVERGREEN - UAN Gated Content - Embedded Petition</v>
      </c>
      <c r="D1687" s="5">
        <f ca="1">IFERROR(__xludf.DUMMYFUNCTION("""COMPUTED_VALUE"""),45674)</f>
        <v>45674</v>
      </c>
      <c r="F1687" s="1" t="str">
        <f ca="1">IFERROR(__xludf.DUMMYFUNCTION("""COMPUTED_VALUE"""),"Turkiye")</f>
        <v>Turkiye</v>
      </c>
      <c r="G1687" s="1" t="str">
        <f ca="1">IFERROR(__xludf.DUMMYFUNCTION("""COMPUTED_VALUE"""),"109.24 Türkiye")</f>
        <v>109.24 Türkiye</v>
      </c>
      <c r="H1687" s="1" t="str">
        <f ca="1">IFERROR(__xludf.DUMMYFUNCTION("""COMPUTED_VALUE"""),"Human Rights Defenders, Individuals At Risk")</f>
        <v>Human Rights Defenders, Individuals At Risk</v>
      </c>
      <c r="I1687" s="1" t="str">
        <f ca="1">IFERROR(__xludf.DUMMYFUNCTION("""COMPUTED_VALUE"""),"2024")</f>
        <v>2024</v>
      </c>
      <c r="J1687" s="1" t="str">
        <f ca="1">IFERROR(__xludf.DUMMYFUNCTION("""COMPUTED_VALUE"""),"Email")</f>
        <v>Email</v>
      </c>
    </row>
    <row r="1688" spans="1:10" ht="13" x14ac:dyDescent="0.15">
      <c r="A1688" s="4">
        <f ca="1">IFERROR(__xludf.DUMMYFUNCTION("""COMPUTED_VALUE"""),189648150)</f>
        <v>189648150</v>
      </c>
      <c r="B1688" s="1" t="str">
        <f ca="1">IFERROR(__xludf.DUMMYFUNCTION("""COMPUTED_VALUE"""),"lrdeegan123@gmail.com")</f>
        <v>lrdeegan123@gmail.com</v>
      </c>
      <c r="C1688" s="4" t="str">
        <f ca="1">IFERROR(__xludf.DUMMYFUNCTION("""COMPUTED_VALUE"""),"EVERGREEN - UAN Gated Content - Embedded Petition")</f>
        <v>EVERGREEN - UAN Gated Content - Embedded Petition</v>
      </c>
      <c r="D1688" s="5">
        <f ca="1">IFERROR(__xludf.DUMMYFUNCTION("""COMPUTED_VALUE"""),45694)</f>
        <v>45694</v>
      </c>
      <c r="F1688" s="1" t="str">
        <f ca="1">IFERROR(__xludf.DUMMYFUNCTION("""COMPUTED_VALUE"""),"Israel and Occupied Palestinian Territories")</f>
        <v>Israel and Occupied Palestinian Territories</v>
      </c>
      <c r="G1688" s="1" t="str">
        <f ca="1">IFERROR(__xludf.DUMMYFUNCTION("""COMPUTED_VALUE"""),"3.25 IOPT")</f>
        <v>3.25 IOPT</v>
      </c>
      <c r="H1688" s="1" t="str">
        <f ca="1">IFERROR(__xludf.DUMMYFUNCTION("""COMPUTED_VALUE"""),"Freedom of Expression, Individuals At Risk")</f>
        <v>Freedom of Expression, Individuals At Risk</v>
      </c>
      <c r="I1688" s="1" t="str">
        <f ca="1">IFERROR(__xludf.DUMMYFUNCTION("""COMPUTED_VALUE"""),"2025")</f>
        <v>2025</v>
      </c>
      <c r="J1688" s="1" t="str">
        <f ca="1">IFERROR(__xludf.DUMMYFUNCTION("""COMPUTED_VALUE"""),"Email")</f>
        <v>Email</v>
      </c>
    </row>
    <row r="1689" spans="1:10" ht="13" x14ac:dyDescent="0.15">
      <c r="A1689" s="4">
        <f ca="1">IFERROR(__xludf.DUMMYFUNCTION("""COMPUTED_VALUE"""),191927105)</f>
        <v>191927105</v>
      </c>
      <c r="B1689" s="1" t="str">
        <f ca="1">IFERROR(__xludf.DUMMYFUNCTION("""COMPUTED_VALUE"""),"fernando@4sitestudios.com")</f>
        <v>fernando@4sitestudios.com</v>
      </c>
      <c r="C1689" s="4" t="str">
        <f ca="1">IFERROR(__xludf.DUMMYFUNCTION("""COMPUTED_VALUE"""),"UAN mid-page Lightbox - Step 1 of 4 - Landing Page")</f>
        <v>UAN mid-page Lightbox - Step 1 of 4 - Landing Page</v>
      </c>
      <c r="D1689" s="5">
        <f ca="1">IFERROR(__xludf.DUMMYFUNCTION("""COMPUTED_VALUE"""),45561)</f>
        <v>45561</v>
      </c>
      <c r="F1689" s="1" t="str">
        <f ca="1">IFERROR(__xludf.DUMMYFUNCTION("""COMPUTED_VALUE"""),"Turkiye")</f>
        <v>Turkiye</v>
      </c>
      <c r="G1689" s="1" t="str">
        <f ca="1">IFERROR(__xludf.DUMMYFUNCTION("""COMPUTED_VALUE"""),"Second 109.24 Türkiye")</f>
        <v>Second 109.24 Türkiye</v>
      </c>
      <c r="H1689" s="1" t="str">
        <f ca="1">IFERROR(__xludf.DUMMYFUNCTION("""COMPUTED_VALUE"""),"Human Rights Defenders")</f>
        <v>Human Rights Defenders</v>
      </c>
      <c r="I1689" s="1" t="str">
        <f ca="1">IFERROR(__xludf.DUMMYFUNCTION("""COMPUTED_VALUE"""),"2025")</f>
        <v>2025</v>
      </c>
      <c r="J1689" s="1" t="str">
        <f ca="1">IFERROR(__xludf.DUMMYFUNCTION("""COMPUTED_VALUE"""),"Email")</f>
        <v>Email</v>
      </c>
    </row>
    <row r="1690" spans="1:10" ht="13" x14ac:dyDescent="0.15">
      <c r="A1690" s="4">
        <f ca="1">IFERROR(__xludf.DUMMYFUNCTION("""COMPUTED_VALUE"""),191927105)</f>
        <v>191927105</v>
      </c>
      <c r="B1690" s="1" t="str">
        <f ca="1">IFERROR(__xludf.DUMMYFUNCTION("""COMPUTED_VALUE"""),"fernando@4sitestudios.com")</f>
        <v>fernando@4sitestudios.com</v>
      </c>
      <c r="C1690" s="4" t="str">
        <f ca="1">IFERROR(__xludf.DUMMYFUNCTION("""COMPUTED_VALUE"""),"UAN mid-page Lightbox - Step 2 of 4 - More personal info fields")</f>
        <v>UAN mid-page Lightbox - Step 2 of 4 - More personal info fields</v>
      </c>
      <c r="D1690" s="5">
        <f ca="1">IFERROR(__xludf.DUMMYFUNCTION("""COMPUTED_VALUE"""),45561)</f>
        <v>45561</v>
      </c>
      <c r="F1690" s="1" t="str">
        <f ca="1">IFERROR(__xludf.DUMMYFUNCTION("""COMPUTED_VALUE"""),"Tunisia")</f>
        <v>Tunisia</v>
      </c>
      <c r="G1690" s="1" t="str">
        <f ca="1">IFERROR(__xludf.DUMMYFUNCTION("""COMPUTED_VALUE"""),"Second 76.24 Tunisia")</f>
        <v>Second 76.24 Tunisia</v>
      </c>
      <c r="H1690" s="1" t="str">
        <f ca="1">IFERROR(__xludf.DUMMYFUNCTION("""COMPUTED_VALUE"""),"Freedom of Expression, Human Rights Defenders")</f>
        <v>Freedom of Expression, Human Rights Defenders</v>
      </c>
      <c r="I1690" s="1" t="str">
        <f ca="1">IFERROR(__xludf.DUMMYFUNCTION("""COMPUTED_VALUE"""),"2025")</f>
        <v>2025</v>
      </c>
      <c r="J1690" s="1" t="str">
        <f ca="1">IFERROR(__xludf.DUMMYFUNCTION("""COMPUTED_VALUE"""),"Email")</f>
        <v>Email</v>
      </c>
    </row>
    <row r="1691" spans="1:10" ht="13" x14ac:dyDescent="0.15">
      <c r="A1691" s="4">
        <f ca="1">IFERROR(__xludf.DUMMYFUNCTION("""COMPUTED_VALUE"""),191927105)</f>
        <v>191927105</v>
      </c>
      <c r="B1691" s="1" t="str">
        <f ca="1">IFERROR(__xludf.DUMMYFUNCTION("""COMPUTED_VALUE"""),"fernando@4sitestudios.com")</f>
        <v>fernando@4sitestudios.com</v>
      </c>
      <c r="C1691" s="4" t="str">
        <f ca="1">IFERROR(__xludf.DUMMYFUNCTION("""COMPUTED_VALUE"""),"UAN mid-page Lightbox - Step 3 of 4 - More opt-ins")</f>
        <v>UAN mid-page Lightbox - Step 3 of 4 - More opt-ins</v>
      </c>
      <c r="D1691" s="5">
        <f ca="1">IFERROR(__xludf.DUMMYFUNCTION("""COMPUTED_VALUE"""),45561)</f>
        <v>45561</v>
      </c>
      <c r="F1691" s="1" t="str">
        <f ca="1">IFERROR(__xludf.DUMMYFUNCTION("""COMPUTED_VALUE"""),"Tunisia")</f>
        <v>Tunisia</v>
      </c>
      <c r="G1691" s="1" t="str">
        <f ca="1">IFERROR(__xludf.DUMMYFUNCTION("""COMPUTED_VALUE"""),"8.25 Tunisia")</f>
        <v>8.25 Tunisia</v>
      </c>
      <c r="H1691" s="1" t="str">
        <f ca="1">IFERROR(__xludf.DUMMYFUNCTION("""COMPUTED_VALUE"""),"Freedom of Expression")</f>
        <v>Freedom of Expression</v>
      </c>
      <c r="I1691" s="1" t="str">
        <f ca="1">IFERROR(__xludf.DUMMYFUNCTION("""COMPUTED_VALUE"""),"2025")</f>
        <v>2025</v>
      </c>
      <c r="J1691" s="1" t="str">
        <f ca="1">IFERROR(__xludf.DUMMYFUNCTION("""COMPUTED_VALUE"""),"Email")</f>
        <v>Email</v>
      </c>
    </row>
    <row r="1692" spans="1:10" ht="13" x14ac:dyDescent="0.15">
      <c r="A1692" s="4">
        <f ca="1">IFERROR(__xludf.DUMMYFUNCTION("""COMPUTED_VALUE"""),192023408)</f>
        <v>192023408</v>
      </c>
      <c r="B1692" s="1" t="str">
        <f ca="1">IFERROR(__xludf.DUMMYFUNCTION("""COMPUTED_VALUE"""),"lovetruemusic@gmail.com")</f>
        <v>lovetruemusic@gmail.com</v>
      </c>
      <c r="C1692" s="4" t="str">
        <f ca="1">IFERROR(__xludf.DUMMYFUNCTION("""COMPUTED_VALUE"""),"EVERGREEN - UAN Gated Content - Embedded Petition")</f>
        <v>EVERGREEN - UAN Gated Content - Embedded Petition</v>
      </c>
      <c r="D1692" s="5">
        <f ca="1">IFERROR(__xludf.DUMMYFUNCTION("""COMPUTED_VALUE"""),45643)</f>
        <v>45643</v>
      </c>
      <c r="F1692" s="1" t="str">
        <f ca="1">IFERROR(__xludf.DUMMYFUNCTION("""COMPUTED_VALUE"""),"Uganda")</f>
        <v>Uganda</v>
      </c>
      <c r="G1692" s="1" t="str">
        <f ca="1">IFERROR(__xludf.DUMMYFUNCTION("""COMPUTED_VALUE"""),"9.25 Uganda")</f>
        <v>9.25 Uganda</v>
      </c>
      <c r="H1692" s="1" t="str">
        <f ca="1">IFERROR(__xludf.DUMMYFUNCTION("""COMPUTED_VALUE"""),"Freedom of Expression, Human Rights Defenders")</f>
        <v>Freedom of Expression, Human Rights Defenders</v>
      </c>
      <c r="I1692" s="1" t="str">
        <f ca="1">IFERROR(__xludf.DUMMYFUNCTION("""COMPUTED_VALUE"""),"2025")</f>
        <v>2025</v>
      </c>
      <c r="J1692" s="1" t="str">
        <f ca="1">IFERROR(__xludf.DUMMYFUNCTION("""COMPUTED_VALUE"""),"Email")</f>
        <v>Email</v>
      </c>
    </row>
    <row r="1693" spans="1:10" ht="13" x14ac:dyDescent="0.15">
      <c r="A1693" s="4">
        <f ca="1">IFERROR(__xludf.DUMMYFUNCTION("""COMPUTED_VALUE"""),194337839)</f>
        <v>194337839</v>
      </c>
      <c r="B1693" s="1" t="str">
        <f ca="1">IFERROR(__xludf.DUMMYFUNCTION("""COMPUTED_VALUE"""),"sgreenough@charter.net")</f>
        <v>sgreenough@charter.net</v>
      </c>
      <c r="C1693" s="4" t="str">
        <f ca="1">IFERROR(__xludf.DUMMYFUNCTION("""COMPUTED_VALUE"""),"EVERGREEN - UAN Gated Content - Embedded Petition")</f>
        <v>EVERGREEN - UAN Gated Content - Embedded Petition</v>
      </c>
      <c r="D1693" s="5">
        <f ca="1">IFERROR(__xludf.DUMMYFUNCTION("""COMPUTED_VALUE"""),45616)</f>
        <v>45616</v>
      </c>
      <c r="F1693" s="1" t="str">
        <f ca="1">IFERROR(__xludf.DUMMYFUNCTION("""COMPUTED_VALUE"""),"Egypt")</f>
        <v>Egypt</v>
      </c>
      <c r="G1693" s="1" t="str">
        <f ca="1">IFERROR(__xludf.DUMMYFUNCTION("""COMPUTED_VALUE"""),"Second 80.23 Egypt")</f>
        <v>Second 80.23 Egypt</v>
      </c>
      <c r="H1693" s="1" t="str">
        <f ca="1">IFERROR(__xludf.DUMMYFUNCTION("""COMPUTED_VALUE"""),"Health, Individuals At Risk")</f>
        <v>Health, Individuals At Risk</v>
      </c>
      <c r="I1693" s="1" t="str">
        <f ca="1">IFERROR(__xludf.DUMMYFUNCTION("""COMPUTED_VALUE"""),"2025")</f>
        <v>2025</v>
      </c>
      <c r="J1693" s="1" t="str">
        <f ca="1">IFERROR(__xludf.DUMMYFUNCTION("""COMPUTED_VALUE"""),"Email")</f>
        <v>Email</v>
      </c>
    </row>
    <row r="1694" spans="1:10" ht="13" x14ac:dyDescent="0.15">
      <c r="A1694" s="4">
        <f ca="1">IFERROR(__xludf.DUMMYFUNCTION("""COMPUTED_VALUE"""),194337839)</f>
        <v>194337839</v>
      </c>
      <c r="B1694" s="1" t="str">
        <f ca="1">IFERROR(__xludf.DUMMYFUNCTION("""COMPUTED_VALUE"""),"sgreenough@charter.net")</f>
        <v>sgreenough@charter.net</v>
      </c>
      <c r="C1694" s="4" t="str">
        <f ca="1">IFERROR(__xludf.DUMMYFUNCTION("""COMPUTED_VALUE"""),"EVERGREEN - UAN Gated Content - Embedded Petition")</f>
        <v>EVERGREEN - UAN Gated Content - Embedded Petition</v>
      </c>
      <c r="D1694" s="5">
        <f ca="1">IFERROR(__xludf.DUMMYFUNCTION("""COMPUTED_VALUE"""),45616)</f>
        <v>45616</v>
      </c>
      <c r="F1694" s="1" t="str">
        <f ca="1">IFERROR(__xludf.DUMMYFUNCTION("""COMPUTED_VALUE"""),"Niger")</f>
        <v>Niger</v>
      </c>
      <c r="G1694" s="1" t="str">
        <f ca="1">IFERROR(__xludf.DUMMYFUNCTION("""COMPUTED_VALUE"""),"103.24 Niger")</f>
        <v>103.24 Niger</v>
      </c>
      <c r="H1694" s="1" t="str">
        <f ca="1">IFERROR(__xludf.DUMMYFUNCTION("""COMPUTED_VALUE"""),"Freedom of Expression, Human Rights Defenders")</f>
        <v>Freedom of Expression, Human Rights Defenders</v>
      </c>
      <c r="I1694" s="1" t="str">
        <f ca="1">IFERROR(__xludf.DUMMYFUNCTION("""COMPUTED_VALUE"""),"2024")</f>
        <v>2024</v>
      </c>
      <c r="J1694" s="1" t="str">
        <f ca="1">IFERROR(__xludf.DUMMYFUNCTION("""COMPUTED_VALUE"""),"Email")</f>
        <v>Email</v>
      </c>
    </row>
    <row r="1695" spans="1:10" ht="13" x14ac:dyDescent="0.15">
      <c r="A1695" s="4">
        <f ca="1">IFERROR(__xludf.DUMMYFUNCTION("""COMPUTED_VALUE"""),194337839)</f>
        <v>194337839</v>
      </c>
      <c r="B1695" s="1" t="str">
        <f ca="1">IFERROR(__xludf.DUMMYFUNCTION("""COMPUTED_VALUE"""),"sgreenough@charter.net")</f>
        <v>sgreenough@charter.net</v>
      </c>
      <c r="C1695" s="4" t="str">
        <f ca="1">IFERROR(__xludf.DUMMYFUNCTION("""COMPUTED_VALUE"""),"EVERGREEN - UAN Gated Content - Embedded Petition")</f>
        <v>EVERGREEN - UAN Gated Content - Embedded Petition</v>
      </c>
      <c r="D1695" s="5">
        <f ca="1">IFERROR(__xludf.DUMMYFUNCTION("""COMPUTED_VALUE"""),45677)</f>
        <v>45677</v>
      </c>
      <c r="F1695" s="1" t="str">
        <f ca="1">IFERROR(__xludf.DUMMYFUNCTION("""COMPUTED_VALUE"""),"Tunisia")</f>
        <v>Tunisia</v>
      </c>
      <c r="G1695" s="1" t="str">
        <f ca="1">IFERROR(__xludf.DUMMYFUNCTION("""COMPUTED_VALUE"""),"Second 43.24 Tunisia")</f>
        <v>Second 43.24 Tunisia</v>
      </c>
      <c r="H1695" s="1" t="str">
        <f ca="1">IFERROR(__xludf.DUMMYFUNCTION("""COMPUTED_VALUE"""),"Freedom of Expression, Individuals At Risk")</f>
        <v>Freedom of Expression, Individuals At Risk</v>
      </c>
      <c r="I1695" s="1" t="str">
        <f ca="1">IFERROR(__xludf.DUMMYFUNCTION("""COMPUTED_VALUE"""),"2024")</f>
        <v>2024</v>
      </c>
      <c r="J1695" s="1" t="str">
        <f ca="1">IFERROR(__xludf.DUMMYFUNCTION("""COMPUTED_VALUE"""),"Email")</f>
        <v>Email</v>
      </c>
    </row>
    <row r="1696" spans="1:10" ht="13" x14ac:dyDescent="0.15">
      <c r="A1696" s="4">
        <f ca="1">IFERROR(__xludf.DUMMYFUNCTION("""COMPUTED_VALUE"""),194337839)</f>
        <v>194337839</v>
      </c>
      <c r="B1696" s="1" t="str">
        <f ca="1">IFERROR(__xludf.DUMMYFUNCTION("""COMPUTED_VALUE"""),"sgreenough@charter.net")</f>
        <v>sgreenough@charter.net</v>
      </c>
      <c r="C1696" s="4" t="str">
        <f ca="1">IFERROR(__xludf.DUMMYFUNCTION("""COMPUTED_VALUE"""),"EVERGREEN - UAN Gated Content - Embedded Petition")</f>
        <v>EVERGREEN - UAN Gated Content - Embedded Petition</v>
      </c>
      <c r="D1696" s="5">
        <f ca="1">IFERROR(__xludf.DUMMYFUNCTION("""COMPUTED_VALUE"""),45694)</f>
        <v>45694</v>
      </c>
      <c r="F1696" s="1" t="str">
        <f ca="1">IFERROR(__xludf.DUMMYFUNCTION("""COMPUTED_VALUE"""),"Singapore")</f>
        <v>Singapore</v>
      </c>
      <c r="G1696" s="1" t="str">
        <f ca="1">IFERROR(__xludf.DUMMYFUNCTION("""COMPUTED_VALUE"""),"107.24 Singapore")</f>
        <v>107.24 Singapore</v>
      </c>
      <c r="H1696" s="1" t="str">
        <f ca="1">IFERROR(__xludf.DUMMYFUNCTION("""COMPUTED_VALUE"""),"Death Penalty")</f>
        <v>Death Penalty</v>
      </c>
      <c r="I1696" s="1" t="str">
        <f ca="1">IFERROR(__xludf.DUMMYFUNCTION("""COMPUTED_VALUE"""),"2024")</f>
        <v>2024</v>
      </c>
      <c r="J1696" s="1" t="str">
        <f ca="1">IFERROR(__xludf.DUMMYFUNCTION("""COMPUTED_VALUE"""),"Email")</f>
        <v>Email</v>
      </c>
    </row>
    <row r="1697" spans="1:10" ht="13" x14ac:dyDescent="0.15">
      <c r="A1697" s="4">
        <f ca="1">IFERROR(__xludf.DUMMYFUNCTION("""COMPUTED_VALUE"""),194337839)</f>
        <v>194337839</v>
      </c>
      <c r="B1697" s="1" t="str">
        <f ca="1">IFERROR(__xludf.DUMMYFUNCTION("""COMPUTED_VALUE"""),"sgreenough@charter.net")</f>
        <v>sgreenough@charter.net</v>
      </c>
      <c r="C1697" s="4" t="str">
        <f ca="1">IFERROR(__xludf.DUMMYFUNCTION("""COMPUTED_VALUE"""),"EVERGREEN - UAN Gated Content - Embedded Petition")</f>
        <v>EVERGREEN - UAN Gated Content - Embedded Petition</v>
      </c>
      <c r="D1697" s="5">
        <f ca="1">IFERROR(__xludf.DUMMYFUNCTION("""COMPUTED_VALUE"""),45684)</f>
        <v>45684</v>
      </c>
      <c r="F1697" s="1" t="str">
        <f ca="1">IFERROR(__xludf.DUMMYFUNCTION("""COMPUTED_VALUE"""),"Colombia")</f>
        <v>Colombia</v>
      </c>
      <c r="G1697" s="1" t="str">
        <f ca="1">IFERROR(__xludf.DUMMYFUNCTION("""COMPUTED_VALUE"""),"Third 12.24 Colombia")</f>
        <v>Third 12.24 Colombia</v>
      </c>
      <c r="H1697" s="1" t="str">
        <f ca="1">IFERROR(__xludf.DUMMYFUNCTION("""COMPUTED_VALUE"""),"Human Rights Defenders, Individuals At Risk")</f>
        <v>Human Rights Defenders, Individuals At Risk</v>
      </c>
      <c r="I1697" s="1" t="str">
        <f ca="1">IFERROR(__xludf.DUMMYFUNCTION("""COMPUTED_VALUE"""),"2025")</f>
        <v>2025</v>
      </c>
      <c r="J1697" s="1" t="str">
        <f ca="1">IFERROR(__xludf.DUMMYFUNCTION("""COMPUTED_VALUE"""),"Email")</f>
        <v>Email</v>
      </c>
    </row>
    <row r="1698" spans="1:10" ht="13" x14ac:dyDescent="0.15">
      <c r="A1698" s="4">
        <f ca="1">IFERROR(__xludf.DUMMYFUNCTION("""COMPUTED_VALUE"""),194397598)</f>
        <v>194397598</v>
      </c>
      <c r="B1698" s="1" t="str">
        <f ca="1">IFERROR(__xludf.DUMMYFUNCTION("""COMPUTED_VALUE"""),"beakylenore@gmail.com")</f>
        <v>beakylenore@gmail.com</v>
      </c>
      <c r="C1698" s="4" t="str">
        <f ca="1">IFERROR(__xludf.DUMMYFUNCTION("""COMPUTED_VALUE"""),"EVERGREEN - UAN Gated Content - Embedded Petition")</f>
        <v>EVERGREEN - UAN Gated Content - Embedded Petition</v>
      </c>
      <c r="D1698" s="5">
        <f ca="1">IFERROR(__xludf.DUMMYFUNCTION("""COMPUTED_VALUE"""),45694)</f>
        <v>45694</v>
      </c>
      <c r="F1698" s="1" t="str">
        <f ca="1">IFERROR(__xludf.DUMMYFUNCTION("""COMPUTED_VALUE"""),"USA")</f>
        <v>USA</v>
      </c>
      <c r="G1698" s="1" t="str">
        <f ca="1">IFERROR(__xludf.DUMMYFUNCTION("""COMPUTED_VALUE"""),"96.24 USA")</f>
        <v>96.24 USA</v>
      </c>
      <c r="H1698" s="1" t="str">
        <f ca="1">IFERROR(__xludf.DUMMYFUNCTION("""COMPUTED_VALUE"""),"Death Penalty")</f>
        <v>Death Penalty</v>
      </c>
      <c r="I1698" s="1" t="str">
        <f ca="1">IFERROR(__xludf.DUMMYFUNCTION("""COMPUTED_VALUE"""),"2024")</f>
        <v>2024</v>
      </c>
      <c r="J1698" s="1" t="str">
        <f ca="1">IFERROR(__xludf.DUMMYFUNCTION("""COMPUTED_VALUE"""),"Email")</f>
        <v>Email</v>
      </c>
    </row>
    <row r="1699" spans="1:10" ht="13" x14ac:dyDescent="0.15">
      <c r="A1699" s="4">
        <f ca="1">IFERROR(__xludf.DUMMYFUNCTION("""COMPUTED_VALUE"""),194397598)</f>
        <v>194397598</v>
      </c>
      <c r="B1699" s="1" t="str">
        <f ca="1">IFERROR(__xludf.DUMMYFUNCTION("""COMPUTED_VALUE"""),"beakylenore@gmail.com")</f>
        <v>beakylenore@gmail.com</v>
      </c>
      <c r="C1699" s="4" t="str">
        <f ca="1">IFERROR(__xludf.DUMMYFUNCTION("""COMPUTED_VALUE"""),"EVERGREEN - UAN Gated Content - Embedded Petition")</f>
        <v>EVERGREEN - UAN Gated Content - Embedded Petition</v>
      </c>
      <c r="D1699" s="5">
        <f ca="1">IFERROR(__xludf.DUMMYFUNCTION("""COMPUTED_VALUE"""),45637)</f>
        <v>45637</v>
      </c>
      <c r="F1699" s="1" t="str">
        <f ca="1">IFERROR(__xludf.DUMMYFUNCTION("""COMPUTED_VALUE"""),"USA")</f>
        <v>USA</v>
      </c>
      <c r="G1699" s="1" t="str">
        <f ca="1">IFERROR(__xludf.DUMMYFUNCTION("""COMPUTED_VALUE"""),"96.24 USA")</f>
        <v>96.24 USA</v>
      </c>
      <c r="H1699" s="1" t="str">
        <f ca="1">IFERROR(__xludf.DUMMYFUNCTION("""COMPUTED_VALUE"""),"Death Penalty")</f>
        <v>Death Penalty</v>
      </c>
      <c r="I1699" s="1" t="str">
        <f ca="1">IFERROR(__xludf.DUMMYFUNCTION("""COMPUTED_VALUE"""),"2024")</f>
        <v>2024</v>
      </c>
      <c r="J1699" s="1" t="str">
        <f ca="1">IFERROR(__xludf.DUMMYFUNCTION("""COMPUTED_VALUE"""),"Email")</f>
        <v>Email</v>
      </c>
    </row>
    <row r="1700" spans="1:10" ht="13" x14ac:dyDescent="0.15">
      <c r="A1700" s="4">
        <f ca="1">IFERROR(__xludf.DUMMYFUNCTION("""COMPUTED_VALUE"""),194448242)</f>
        <v>194448242</v>
      </c>
      <c r="B1700" s="1" t="str">
        <f ca="1">IFERROR(__xludf.DUMMYFUNCTION("""COMPUTED_VALUE"""),"mallorybacon@protonmail.com")</f>
        <v>mallorybacon@protonmail.com</v>
      </c>
      <c r="C1700" s="4" t="str">
        <f ca="1">IFERROR(__xludf.DUMMYFUNCTION("""COMPUTED_VALUE"""),"EVERGREEN - UAN Gated Content - Embedded Petition")</f>
        <v>EVERGREEN - UAN Gated Content - Embedded Petition</v>
      </c>
      <c r="D1700" s="5">
        <f ca="1">IFERROR(__xludf.DUMMYFUNCTION("""COMPUTED_VALUE"""),45691)</f>
        <v>45691</v>
      </c>
      <c r="F1700" s="1" t="str">
        <f ca="1">IFERROR(__xludf.DUMMYFUNCTION("""COMPUTED_VALUE"""),"Dominican Republic")</f>
        <v>Dominican Republic</v>
      </c>
      <c r="G1700" s="1" t="str">
        <f ca="1">IFERROR(__xludf.DUMMYFUNCTION("""COMPUTED_VALUE"""),"88.24 Dominican Republic")</f>
        <v>88.24 Dominican Republic</v>
      </c>
      <c r="H1700" s="1" t="str">
        <f ca="1">IFERROR(__xludf.DUMMYFUNCTION("""COMPUTED_VALUE"""),"Individuals At Risk, Refugee and Migrant Rights")</f>
        <v>Individuals At Risk, Refugee and Migrant Rights</v>
      </c>
      <c r="I1700" s="1" t="str">
        <f ca="1">IFERROR(__xludf.DUMMYFUNCTION("""COMPUTED_VALUE"""),"2024")</f>
        <v>2024</v>
      </c>
      <c r="J1700" s="1" t="str">
        <f ca="1">IFERROR(__xludf.DUMMYFUNCTION("""COMPUTED_VALUE"""),"Letter")</f>
        <v>Letter</v>
      </c>
    </row>
    <row r="1701" spans="1:10" ht="13" x14ac:dyDescent="0.15">
      <c r="A1701" s="4">
        <f ca="1">IFERROR(__xludf.DUMMYFUNCTION("""COMPUTED_VALUE"""),194448242)</f>
        <v>194448242</v>
      </c>
      <c r="B1701" s="1" t="str">
        <f ca="1">IFERROR(__xludf.DUMMYFUNCTION("""COMPUTED_VALUE"""),"mallorybacon@protonmail.com")</f>
        <v>mallorybacon@protonmail.com</v>
      </c>
      <c r="C1701" s="4" t="str">
        <f ca="1">IFERROR(__xludf.DUMMYFUNCTION("""COMPUTED_VALUE"""),"EVERGREEN - UAN Gated Content - Embedded Petition")</f>
        <v>EVERGREEN - UAN Gated Content - Embedded Petition</v>
      </c>
      <c r="D1701" s="5">
        <f ca="1">IFERROR(__xludf.DUMMYFUNCTION("""COMPUTED_VALUE"""),45643)</f>
        <v>45643</v>
      </c>
      <c r="F1701" s="1" t="str">
        <f ca="1">IFERROR(__xludf.DUMMYFUNCTION("""COMPUTED_VALUE"""),"USA")</f>
        <v>USA</v>
      </c>
      <c r="G1701" s="1" t="str">
        <f ca="1">IFERROR(__xludf.DUMMYFUNCTION("""COMPUTED_VALUE"""),"4.25 USA")</f>
        <v>4.25 USA</v>
      </c>
      <c r="H1701" s="1" t="str">
        <f ca="1">IFERROR(__xludf.DUMMYFUNCTION("""COMPUTED_VALUE"""),"Individuals At Risk, Refugee and Migrant Rights")</f>
        <v>Individuals At Risk, Refugee and Migrant Rights</v>
      </c>
      <c r="I1701" s="1" t="str">
        <f ca="1">IFERROR(__xludf.DUMMYFUNCTION("""COMPUTED_VALUE"""),"2025")</f>
        <v>2025</v>
      </c>
      <c r="J1701" s="1" t="str">
        <f ca="1">IFERROR(__xludf.DUMMYFUNCTION("""COMPUTED_VALUE"""),"Letter")</f>
        <v>Letter</v>
      </c>
    </row>
    <row r="1702" spans="1:10" ht="13" x14ac:dyDescent="0.15">
      <c r="A1702" s="4">
        <f ca="1">IFERROR(__xludf.DUMMYFUNCTION("""COMPUTED_VALUE"""),194448253)</f>
        <v>194448253</v>
      </c>
      <c r="B1702" s="1" t="str">
        <f ca="1">IFERROR(__xludf.DUMMYFUNCTION("""COMPUTED_VALUE"""),"missikiti@gmail.com")</f>
        <v>missikiti@gmail.com</v>
      </c>
      <c r="C1702" s="4" t="str">
        <f ca="1">IFERROR(__xludf.DUMMYFUNCTION("""COMPUTED_VALUE"""),"EVERGREEN - UAN Gated Content - Embedded Petition")</f>
        <v>EVERGREEN - UAN Gated Content - Embedded Petition</v>
      </c>
      <c r="D1702" s="5">
        <f ca="1">IFERROR(__xludf.DUMMYFUNCTION("""COMPUTED_VALUE"""),45616)</f>
        <v>45616</v>
      </c>
      <c r="F1702" s="1" t="str">
        <f ca="1">IFERROR(__xludf.DUMMYFUNCTION("""COMPUTED_VALUE"""),"Iran")</f>
        <v>Iran</v>
      </c>
      <c r="G1702" s="1" t="str">
        <f ca="1">IFERROR(__xludf.DUMMYFUNCTION("""COMPUTED_VALUE"""),"Seventh 103.22 Iran")</f>
        <v>Seventh 103.22 Iran</v>
      </c>
      <c r="H1702" s="1" t="str">
        <f ca="1">IFERROR(__xludf.DUMMYFUNCTION("""COMPUTED_VALUE"""),"Death Penalty, Freedom of Expression, Individuals At Risk")</f>
        <v>Death Penalty, Freedom of Expression, Individuals At Risk</v>
      </c>
      <c r="I1702" s="1" t="str">
        <f ca="1">IFERROR(__xludf.DUMMYFUNCTION("""COMPUTED_VALUE"""),"2024")</f>
        <v>2024</v>
      </c>
      <c r="J1702" s="1" t="str">
        <f ca="1">IFERROR(__xludf.DUMMYFUNCTION("""COMPUTED_VALUE"""),"Email")</f>
        <v>Email</v>
      </c>
    </row>
    <row r="1703" spans="1:10" ht="13" x14ac:dyDescent="0.15">
      <c r="A1703" s="4">
        <f ca="1">IFERROR(__xludf.DUMMYFUNCTION("""COMPUTED_VALUE"""),194687454)</f>
        <v>194687454</v>
      </c>
      <c r="B1703" s="1" t="str">
        <f ca="1">IFERROR(__xludf.DUMMYFUNCTION("""COMPUTED_VALUE"""),"judiokeefe@yahoo.com")</f>
        <v>judiokeefe@yahoo.com</v>
      </c>
      <c r="C1703" s="4" t="str">
        <f ca="1">IFERROR(__xludf.DUMMYFUNCTION("""COMPUTED_VALUE"""),"EVERGREEN - UAN Gated Content - Embedded Petition")</f>
        <v>EVERGREEN - UAN Gated Content - Embedded Petition</v>
      </c>
      <c r="D1703" s="5">
        <f ca="1">IFERROR(__xludf.DUMMYFUNCTION("""COMPUTED_VALUE"""),45616)</f>
        <v>45616</v>
      </c>
      <c r="F1703" s="1" t="str">
        <f ca="1">IFERROR(__xludf.DUMMYFUNCTION("""COMPUTED_VALUE"""),"USA")</f>
        <v>USA</v>
      </c>
      <c r="G1703" s="1" t="str">
        <f ca="1">IFERROR(__xludf.DUMMYFUNCTION("""COMPUTED_VALUE"""),"105.24 USA")</f>
        <v>105.24 USA</v>
      </c>
      <c r="H1703" s="1" t="str">
        <f ca="1">IFERROR(__xludf.DUMMYFUNCTION("""COMPUTED_VALUE"""),"Death Penalty")</f>
        <v>Death Penalty</v>
      </c>
      <c r="I1703" s="1" t="str">
        <f ca="1">IFERROR(__xludf.DUMMYFUNCTION("""COMPUTED_VALUE"""),"2024")</f>
        <v>2024</v>
      </c>
      <c r="J1703" s="1" t="str">
        <f ca="1">IFERROR(__xludf.DUMMYFUNCTION("""COMPUTED_VALUE"""),"Email")</f>
        <v>Email</v>
      </c>
    </row>
    <row r="1704" spans="1:10" ht="13" x14ac:dyDescent="0.15">
      <c r="A1704" s="4">
        <f ca="1">IFERROR(__xludf.DUMMYFUNCTION("""COMPUTED_VALUE"""),194687454)</f>
        <v>194687454</v>
      </c>
      <c r="B1704" s="1" t="str">
        <f ca="1">IFERROR(__xludf.DUMMYFUNCTION("""COMPUTED_VALUE"""),"judiokeefe@yahoo.com")</f>
        <v>judiokeefe@yahoo.com</v>
      </c>
      <c r="C1704" s="4" t="str">
        <f ca="1">IFERROR(__xludf.DUMMYFUNCTION("""COMPUTED_VALUE"""),"EVERGREEN - UAN Gated Content - Embedded Petition")</f>
        <v>EVERGREEN - UAN Gated Content - Embedded Petition</v>
      </c>
      <c r="D1704" s="5">
        <f ca="1">IFERROR(__xludf.DUMMYFUNCTION("""COMPUTED_VALUE"""),45694)</f>
        <v>45694</v>
      </c>
      <c r="F1704" s="1" t="str">
        <f ca="1">IFERROR(__xludf.DUMMYFUNCTION("""COMPUTED_VALUE"""),"USA")</f>
        <v>USA</v>
      </c>
      <c r="G1704" s="1" t="str">
        <f ca="1">IFERROR(__xludf.DUMMYFUNCTION("""COMPUTED_VALUE"""),"4.25 USA")</f>
        <v>4.25 USA</v>
      </c>
      <c r="H1704" s="1" t="str">
        <f ca="1">IFERROR(__xludf.DUMMYFUNCTION("""COMPUTED_VALUE"""),"Individuals At Risk, Refugee and Migrant Rights")</f>
        <v>Individuals At Risk, Refugee and Migrant Rights</v>
      </c>
      <c r="I1704" s="1" t="str">
        <f ca="1">IFERROR(__xludf.DUMMYFUNCTION("""COMPUTED_VALUE"""),"2025")</f>
        <v>2025</v>
      </c>
      <c r="J1704" s="1" t="str">
        <f ca="1">IFERROR(__xludf.DUMMYFUNCTION("""COMPUTED_VALUE"""),"Letter")</f>
        <v>Letter</v>
      </c>
    </row>
    <row r="1705" spans="1:10" ht="13" x14ac:dyDescent="0.15">
      <c r="A1705" s="4">
        <f ca="1">IFERROR(__xludf.DUMMYFUNCTION("""COMPUTED_VALUE"""),194687454)</f>
        <v>194687454</v>
      </c>
      <c r="B1705" s="1" t="str">
        <f ca="1">IFERROR(__xludf.DUMMYFUNCTION("""COMPUTED_VALUE"""),"judiokeefe@yahoo.com")</f>
        <v>judiokeefe@yahoo.com</v>
      </c>
      <c r="C1705" s="4" t="str">
        <f ca="1">IFERROR(__xludf.DUMMYFUNCTION("""COMPUTED_VALUE"""),"EVERGREEN - UAN Gated Content - Embedded Petition")</f>
        <v>EVERGREEN - UAN Gated Content - Embedded Petition</v>
      </c>
      <c r="D1705" s="5">
        <f ca="1">IFERROR(__xludf.DUMMYFUNCTION("""COMPUTED_VALUE"""),45616)</f>
        <v>45616</v>
      </c>
      <c r="F1705" s="1" t="str">
        <f ca="1">IFERROR(__xludf.DUMMYFUNCTION("""COMPUTED_VALUE"""),"Iran")</f>
        <v>Iran</v>
      </c>
      <c r="G1705" s="1" t="str">
        <f ca="1">IFERROR(__xludf.DUMMYFUNCTION("""COMPUTED_VALUE"""),"Seventh 103.22 Iran")</f>
        <v>Seventh 103.22 Iran</v>
      </c>
      <c r="H1705" s="1" t="str">
        <f ca="1">IFERROR(__xludf.DUMMYFUNCTION("""COMPUTED_VALUE"""),"Death Penalty, Freedom of Expression, Individuals At Risk")</f>
        <v>Death Penalty, Freedom of Expression, Individuals At Risk</v>
      </c>
      <c r="I1705" s="1" t="str">
        <f ca="1">IFERROR(__xludf.DUMMYFUNCTION("""COMPUTED_VALUE"""),"2024")</f>
        <v>2024</v>
      </c>
      <c r="J1705" s="1" t="str">
        <f ca="1">IFERROR(__xludf.DUMMYFUNCTION("""COMPUTED_VALUE"""),"Email")</f>
        <v>Email</v>
      </c>
    </row>
    <row r="1706" spans="1:10" ht="13" x14ac:dyDescent="0.15">
      <c r="A1706" s="4">
        <f ca="1">IFERROR(__xludf.DUMMYFUNCTION("""COMPUTED_VALUE"""),194687454)</f>
        <v>194687454</v>
      </c>
      <c r="B1706" s="1" t="str">
        <f ca="1">IFERROR(__xludf.DUMMYFUNCTION("""COMPUTED_VALUE"""),"judiokeefe@yahoo.com")</f>
        <v>judiokeefe@yahoo.com</v>
      </c>
      <c r="C1706" s="4" t="str">
        <f ca="1">IFERROR(__xludf.DUMMYFUNCTION("""COMPUTED_VALUE"""),"EVERGREEN - UAN Gated Content - Embedded Petition")</f>
        <v>EVERGREEN - UAN Gated Content - Embedded Petition</v>
      </c>
      <c r="D1706" s="5">
        <f ca="1">IFERROR(__xludf.DUMMYFUNCTION("""COMPUTED_VALUE"""),45694)</f>
        <v>45694</v>
      </c>
      <c r="F1706" s="1" t="str">
        <f ca="1">IFERROR(__xludf.DUMMYFUNCTION("""COMPUTED_VALUE"""),"Venezuela")</f>
        <v>Venezuela</v>
      </c>
      <c r="G1706" s="1" t="str">
        <f ca="1">IFERROR(__xludf.DUMMYFUNCTION("""COMPUTED_VALUE"""),"1.25 Venezuela")</f>
        <v>1.25 Venezuela</v>
      </c>
      <c r="H1706" s="1" t="str">
        <f ca="1">IFERROR(__xludf.DUMMYFUNCTION("""COMPUTED_VALUE"""),"Human Rights Defenders, Individuals At Risk")</f>
        <v>Human Rights Defenders, Individuals At Risk</v>
      </c>
      <c r="I1706" s="1" t="str">
        <f ca="1">IFERROR(__xludf.DUMMYFUNCTION("""COMPUTED_VALUE"""),"2025")</f>
        <v>2025</v>
      </c>
      <c r="J1706" s="1" t="str">
        <f ca="1">IFERROR(__xludf.DUMMYFUNCTION("""COMPUTED_VALUE"""),"Letter")</f>
        <v>Letter</v>
      </c>
    </row>
    <row r="1707" spans="1:10" ht="13" x14ac:dyDescent="0.15">
      <c r="A1707" s="4">
        <f ca="1">IFERROR(__xludf.DUMMYFUNCTION("""COMPUTED_VALUE"""),194687454)</f>
        <v>194687454</v>
      </c>
      <c r="B1707" s="1" t="str">
        <f ca="1">IFERROR(__xludf.DUMMYFUNCTION("""COMPUTED_VALUE"""),"judiokeefe@yahoo.com")</f>
        <v>judiokeefe@yahoo.com</v>
      </c>
      <c r="C1707" s="4" t="str">
        <f ca="1">IFERROR(__xludf.DUMMYFUNCTION("""COMPUTED_VALUE"""),"EVERGREEN - UAN Gated Content - Embedded Petition")</f>
        <v>EVERGREEN - UAN Gated Content - Embedded Petition</v>
      </c>
      <c r="D1707" s="5">
        <f ca="1">IFERROR(__xludf.DUMMYFUNCTION("""COMPUTED_VALUE"""),45638)</f>
        <v>45638</v>
      </c>
      <c r="F1707" s="1" t="str">
        <f ca="1">IFERROR(__xludf.DUMMYFUNCTION("""COMPUTED_VALUE"""),"Tunisia")</f>
        <v>Tunisia</v>
      </c>
      <c r="G1707" s="1" t="str">
        <f ca="1">IFERROR(__xludf.DUMMYFUNCTION("""COMPUTED_VALUE"""),"Second 76.24 Tunisia")</f>
        <v>Second 76.24 Tunisia</v>
      </c>
      <c r="H1707" s="1" t="str">
        <f ca="1">IFERROR(__xludf.DUMMYFUNCTION("""COMPUTED_VALUE"""),"Freedom of Expression, Human Rights Defenders")</f>
        <v>Freedom of Expression, Human Rights Defenders</v>
      </c>
      <c r="I1707" s="1" t="str">
        <f ca="1">IFERROR(__xludf.DUMMYFUNCTION("""COMPUTED_VALUE"""),"2025")</f>
        <v>2025</v>
      </c>
      <c r="J1707" s="1" t="str">
        <f ca="1">IFERROR(__xludf.DUMMYFUNCTION("""COMPUTED_VALUE"""),"Email")</f>
        <v>Email</v>
      </c>
    </row>
    <row r="1708" spans="1:10" ht="13" x14ac:dyDescent="0.15">
      <c r="A1708" s="4">
        <f ca="1">IFERROR(__xludf.DUMMYFUNCTION("""COMPUTED_VALUE"""),194687454)</f>
        <v>194687454</v>
      </c>
      <c r="B1708" s="1" t="str">
        <f ca="1">IFERROR(__xludf.DUMMYFUNCTION("""COMPUTED_VALUE"""),"judiokeefe@yahoo.com")</f>
        <v>judiokeefe@yahoo.com</v>
      </c>
      <c r="C1708" s="4" t="str">
        <f ca="1">IFERROR(__xludf.DUMMYFUNCTION("""COMPUTED_VALUE"""),"EVERGREEN - Website Email Capture Form - UAN Pre-Footer")</f>
        <v>EVERGREEN - Website Email Capture Form - UAN Pre-Footer</v>
      </c>
      <c r="D1708" s="5">
        <f ca="1">IFERROR(__xludf.DUMMYFUNCTION("""COMPUTED_VALUE"""),45616)</f>
        <v>45616</v>
      </c>
      <c r="F1708" s="1" t="str">
        <f ca="1">IFERROR(__xludf.DUMMYFUNCTION("""COMPUTED_VALUE"""),"Egypt")</f>
        <v>Egypt</v>
      </c>
      <c r="G1708" s="1" t="str">
        <f ca="1">IFERROR(__xludf.DUMMYFUNCTION("""COMPUTED_VALUE"""),"Third 73.23 Egypt")</f>
        <v>Third 73.23 Egypt</v>
      </c>
      <c r="H1708" s="1" t="str">
        <f ca="1">IFERROR(__xludf.DUMMYFUNCTION("""COMPUTED_VALUE"""),"Individuals At Risk")</f>
        <v>Individuals At Risk</v>
      </c>
      <c r="I1708" s="1" t="str">
        <f ca="1">IFERROR(__xludf.DUMMYFUNCTION("""COMPUTED_VALUE"""),"2024")</f>
        <v>2024</v>
      </c>
      <c r="J1708" s="1" t="str">
        <f ca="1">IFERROR(__xludf.DUMMYFUNCTION("""COMPUTED_VALUE"""),"Email")</f>
        <v>Email</v>
      </c>
    </row>
    <row r="1709" spans="1:10" ht="13" x14ac:dyDescent="0.15">
      <c r="A1709" s="4">
        <f ca="1">IFERROR(__xludf.DUMMYFUNCTION("""COMPUTED_VALUE"""),195443226)</f>
        <v>195443226</v>
      </c>
      <c r="B1709" s="1" t="str">
        <f ca="1">IFERROR(__xludf.DUMMYFUNCTION("""COMPUTED_VALUE"""),"jagsingh@comast.net")</f>
        <v>jagsingh@comast.net</v>
      </c>
      <c r="C1709" s="4" t="str">
        <f ca="1">IFERROR(__xludf.DUMMYFUNCTION("""COMPUTED_VALUE"""),"UAN mid-page Lightbox - Step 1 of 4 - Landing Page")</f>
        <v>UAN mid-page Lightbox - Step 1 of 4 - Landing Page</v>
      </c>
      <c r="D1709" s="5">
        <f ca="1">IFERROR(__xludf.DUMMYFUNCTION("""COMPUTED_VALUE"""),45631)</f>
        <v>45631</v>
      </c>
      <c r="F1709" s="1" t="str">
        <f ca="1">IFERROR(__xludf.DUMMYFUNCTION("""COMPUTED_VALUE"""),"Niger")</f>
        <v>Niger</v>
      </c>
      <c r="G1709" s="1" t="str">
        <f ca="1">IFERROR(__xludf.DUMMYFUNCTION("""COMPUTED_VALUE"""),"103.24 Niger")</f>
        <v>103.24 Niger</v>
      </c>
      <c r="H1709" s="1" t="str">
        <f ca="1">IFERROR(__xludf.DUMMYFUNCTION("""COMPUTED_VALUE"""),"Freedom of Expression, Human Rights Defenders")</f>
        <v>Freedom of Expression, Human Rights Defenders</v>
      </c>
      <c r="I1709" s="1" t="str">
        <f ca="1">IFERROR(__xludf.DUMMYFUNCTION("""COMPUTED_VALUE"""),"2024")</f>
        <v>2024</v>
      </c>
      <c r="J1709" s="1" t="str">
        <f ca="1">IFERROR(__xludf.DUMMYFUNCTION("""COMPUTED_VALUE"""),"Email")</f>
        <v>Email</v>
      </c>
    </row>
    <row r="1710" spans="1:10" ht="13" x14ac:dyDescent="0.15">
      <c r="A1710" s="4">
        <f ca="1">IFERROR(__xludf.DUMMYFUNCTION("""COMPUTED_VALUE"""),195443226)</f>
        <v>195443226</v>
      </c>
      <c r="B1710" s="1" t="str">
        <f ca="1">IFERROR(__xludf.DUMMYFUNCTION("""COMPUTED_VALUE"""),"jagsingh@comast.net")</f>
        <v>jagsingh@comast.net</v>
      </c>
      <c r="C1710" s="4" t="str">
        <f ca="1">IFERROR(__xludf.DUMMYFUNCTION("""COMPUTED_VALUE"""),"UAN mid-page Lightbox - Step 2 of 4 - More personal info fields")</f>
        <v>UAN mid-page Lightbox - Step 2 of 4 - More personal info fields</v>
      </c>
      <c r="D1710" s="5">
        <f ca="1">IFERROR(__xludf.DUMMYFUNCTION("""COMPUTED_VALUE"""),45631)</f>
        <v>45631</v>
      </c>
      <c r="F1710" s="1" t="str">
        <f ca="1">IFERROR(__xludf.DUMMYFUNCTION("""COMPUTED_VALUE"""),"Egypt")</f>
        <v>Egypt</v>
      </c>
      <c r="G1710" s="1" t="str">
        <f ca="1">IFERROR(__xludf.DUMMYFUNCTION("""COMPUTED_VALUE"""),"Ninth 190.18 Egypt")</f>
        <v>Ninth 190.18 Egypt</v>
      </c>
      <c r="H1710" s="1" t="str">
        <f ca="1">IFERROR(__xludf.DUMMYFUNCTION("""COMPUTED_VALUE"""),"Freedom of Expression, Individuals At Risk")</f>
        <v>Freedom of Expression, Individuals At Risk</v>
      </c>
      <c r="I1710" s="1" t="str">
        <f ca="1">IFERROR(__xludf.DUMMYFUNCTION("""COMPUTED_VALUE"""),"2024")</f>
        <v>2024</v>
      </c>
      <c r="J1710" s="1" t="str">
        <f ca="1">IFERROR(__xludf.DUMMYFUNCTION("""COMPUTED_VALUE"""),"Letter")</f>
        <v>Letter</v>
      </c>
    </row>
    <row r="1711" spans="1:10" ht="13" x14ac:dyDescent="0.15">
      <c r="A1711" s="4">
        <f ca="1">IFERROR(__xludf.DUMMYFUNCTION("""COMPUTED_VALUE"""),195443226)</f>
        <v>195443226</v>
      </c>
      <c r="B1711" s="1" t="str">
        <f ca="1">IFERROR(__xludf.DUMMYFUNCTION("""COMPUTED_VALUE"""),"jagsingh@comast.net")</f>
        <v>jagsingh@comast.net</v>
      </c>
      <c r="C1711" s="4" t="str">
        <f ca="1">IFERROR(__xludf.DUMMYFUNCTION("""COMPUTED_VALUE"""),"UAN mid-page Lightbox - Step 3 of 4 - More opt-ins")</f>
        <v>UAN mid-page Lightbox - Step 3 of 4 - More opt-ins</v>
      </c>
      <c r="D1711" s="5">
        <f ca="1">IFERROR(__xludf.DUMMYFUNCTION("""COMPUTED_VALUE"""),45631)</f>
        <v>45631</v>
      </c>
      <c r="F1711" s="1" t="str">
        <f ca="1">IFERROR(__xludf.DUMMYFUNCTION("""COMPUTED_VALUE"""),"Tunisia")</f>
        <v>Tunisia</v>
      </c>
      <c r="G1711" s="1" t="str">
        <f ca="1">IFERROR(__xludf.DUMMYFUNCTION("""COMPUTED_VALUE"""),"Second 43.24 Tunisia")</f>
        <v>Second 43.24 Tunisia</v>
      </c>
      <c r="H1711" s="1" t="str">
        <f ca="1">IFERROR(__xludf.DUMMYFUNCTION("""COMPUTED_VALUE"""),"Freedom of Expression, Individuals At Risk")</f>
        <v>Freedom of Expression, Individuals At Risk</v>
      </c>
      <c r="I1711" s="1" t="str">
        <f ca="1">IFERROR(__xludf.DUMMYFUNCTION("""COMPUTED_VALUE"""),"2024")</f>
        <v>2024</v>
      </c>
      <c r="J1711" s="1" t="str">
        <f ca="1">IFERROR(__xludf.DUMMYFUNCTION("""COMPUTED_VALUE"""),"Email")</f>
        <v>Email</v>
      </c>
    </row>
    <row r="1712" spans="1:10" ht="13" x14ac:dyDescent="0.15">
      <c r="A1712" s="4">
        <f ca="1">IFERROR(__xludf.DUMMYFUNCTION("""COMPUTED_VALUE"""),196580510)</f>
        <v>196580510</v>
      </c>
      <c r="B1712" s="1" t="str">
        <f ca="1">IFERROR(__xludf.DUMMYFUNCTION("""COMPUTED_VALUE"""),"diane.rosenblum@gmail.com")</f>
        <v>diane.rosenblum@gmail.com</v>
      </c>
      <c r="C1712" s="4" t="str">
        <f ca="1">IFERROR(__xludf.DUMMYFUNCTION("""COMPUTED_VALUE"""),"EVERGREEN - UAN Gated Content - Embedded Petition")</f>
        <v>EVERGREEN - UAN Gated Content - Embedded Petition</v>
      </c>
      <c r="D1712" s="5">
        <f ca="1">IFERROR(__xludf.DUMMYFUNCTION("""COMPUTED_VALUE"""),45669)</f>
        <v>45669</v>
      </c>
      <c r="F1712" s="1" t="str">
        <f ca="1">IFERROR(__xludf.DUMMYFUNCTION("""COMPUTED_VALUE"""),"Israel and Occupied Palestinian Territories")</f>
        <v>Israel and Occupied Palestinian Territories</v>
      </c>
      <c r="G1712" s="1" t="str">
        <f ca="1">IFERROR(__xludf.DUMMYFUNCTION("""COMPUTED_VALUE"""),"3.25 IOPT")</f>
        <v>3.25 IOPT</v>
      </c>
      <c r="H1712" s="1" t="str">
        <f ca="1">IFERROR(__xludf.DUMMYFUNCTION("""COMPUTED_VALUE"""),"Freedom of Expression, Individuals At Risk")</f>
        <v>Freedom of Expression, Individuals At Risk</v>
      </c>
      <c r="I1712" s="1" t="str">
        <f ca="1">IFERROR(__xludf.DUMMYFUNCTION("""COMPUTED_VALUE"""),"2025")</f>
        <v>2025</v>
      </c>
      <c r="J1712" s="1" t="str">
        <f ca="1">IFERROR(__xludf.DUMMYFUNCTION("""COMPUTED_VALUE"""),"Email")</f>
        <v>Email</v>
      </c>
    </row>
    <row r="1713" spans="1:10" ht="13" x14ac:dyDescent="0.15">
      <c r="A1713" s="4">
        <f ca="1">IFERROR(__xludf.DUMMYFUNCTION("""COMPUTED_VALUE"""),197076156)</f>
        <v>197076156</v>
      </c>
      <c r="B1713" s="1" t="str">
        <f ca="1">IFERROR(__xludf.DUMMYFUNCTION("""COMPUTED_VALUE"""),"aclu@ricks-cafe.net")</f>
        <v>aclu@ricks-cafe.net</v>
      </c>
      <c r="C1713" s="4" t="str">
        <f ca="1">IFERROR(__xludf.DUMMYFUNCTION("""COMPUTED_VALUE"""),"EVERGREEN - UAN Gated Content - Embedded Petition")</f>
        <v>EVERGREEN - UAN Gated Content - Embedded Petition</v>
      </c>
      <c r="D1713" s="5">
        <f ca="1">IFERROR(__xludf.DUMMYFUNCTION("""COMPUTED_VALUE"""),45674)</f>
        <v>45674</v>
      </c>
      <c r="F1713" s="1" t="str">
        <f ca="1">IFERROR(__xludf.DUMMYFUNCTION("""COMPUTED_VALUE"""),"Israel and Occupied Palestinian Territories")</f>
        <v>Israel and Occupied Palestinian Territories</v>
      </c>
      <c r="G1713" s="1" t="str">
        <f ca="1">IFERROR(__xludf.DUMMYFUNCTION("""COMPUTED_VALUE"""),"3.25 IOPT")</f>
        <v>3.25 IOPT</v>
      </c>
      <c r="H1713" s="1" t="str">
        <f ca="1">IFERROR(__xludf.DUMMYFUNCTION("""COMPUTED_VALUE"""),"Freedom of Expression, Individuals At Risk")</f>
        <v>Freedom of Expression, Individuals At Risk</v>
      </c>
      <c r="I1713" s="1" t="str">
        <f ca="1">IFERROR(__xludf.DUMMYFUNCTION("""COMPUTED_VALUE"""),"2025")</f>
        <v>2025</v>
      </c>
      <c r="J1713" s="1" t="str">
        <f ca="1">IFERROR(__xludf.DUMMYFUNCTION("""COMPUTED_VALUE"""),"Email")</f>
        <v>Email</v>
      </c>
    </row>
    <row r="1714" spans="1:10" ht="13" x14ac:dyDescent="0.15">
      <c r="A1714" s="4">
        <f ca="1">IFERROR(__xludf.DUMMYFUNCTION("""COMPUTED_VALUE"""),197703120)</f>
        <v>197703120</v>
      </c>
      <c r="B1714" s="1" t="str">
        <f ca="1">IFERROR(__xludf.DUMMYFUNCTION("""COMPUTED_VALUE"""),"catherine.clemo@gmail.com")</f>
        <v>catherine.clemo@gmail.com</v>
      </c>
      <c r="C1714" s="4" t="str">
        <f ca="1">IFERROR(__xludf.DUMMYFUNCTION("""COMPUTED_VALUE"""),"EVERGREEN - UAN Gated Content - Embedded Petition")</f>
        <v>EVERGREEN - UAN Gated Content - Embedded Petition</v>
      </c>
      <c r="D1714" s="5">
        <f ca="1">IFERROR(__xludf.DUMMYFUNCTION("""COMPUTED_VALUE"""),45700)</f>
        <v>45700</v>
      </c>
      <c r="F1714" s="1" t="str">
        <f ca="1">IFERROR(__xludf.DUMMYFUNCTION("""COMPUTED_VALUE"""),"USA")</f>
        <v>USA</v>
      </c>
      <c r="G1714" s="1" t="str">
        <f ca="1">IFERROR(__xludf.DUMMYFUNCTION("""COMPUTED_VALUE"""),"4.25 USA")</f>
        <v>4.25 USA</v>
      </c>
      <c r="H1714" s="1" t="str">
        <f ca="1">IFERROR(__xludf.DUMMYFUNCTION("""COMPUTED_VALUE"""),"Individuals At Risk, Refugee and Migrant Rights")</f>
        <v>Individuals At Risk, Refugee and Migrant Rights</v>
      </c>
      <c r="I1714" s="1" t="str">
        <f ca="1">IFERROR(__xludf.DUMMYFUNCTION("""COMPUTED_VALUE"""),"2025")</f>
        <v>2025</v>
      </c>
      <c r="J1714" s="1" t="str">
        <f ca="1">IFERROR(__xludf.DUMMYFUNCTION("""COMPUTED_VALUE"""),"Letter")</f>
        <v>Letter</v>
      </c>
    </row>
    <row r="1715" spans="1:10" ht="13" x14ac:dyDescent="0.15">
      <c r="A1715" s="4">
        <f ca="1">IFERROR(__xludf.DUMMYFUNCTION("""COMPUTED_VALUE"""),197877512)</f>
        <v>197877512</v>
      </c>
      <c r="B1715" s="1" t="str">
        <f ca="1">IFERROR(__xludf.DUMMYFUNCTION("""COMPUTED_VALUE"""),"oldtimeradio@riseup.net")</f>
        <v>oldtimeradio@riseup.net</v>
      </c>
      <c r="C1715" s="4" t="str">
        <f ca="1">IFERROR(__xludf.DUMMYFUNCTION("""COMPUTED_VALUE"""),"EVERGREEN - UAN Gated Content - Embedded Petition")</f>
        <v>EVERGREEN - UAN Gated Content - Embedded Petition</v>
      </c>
      <c r="D1715" s="5">
        <f ca="1">IFERROR(__xludf.DUMMYFUNCTION("""COMPUTED_VALUE"""),45695)</f>
        <v>45695</v>
      </c>
      <c r="F1715" s="1" t="str">
        <f ca="1">IFERROR(__xludf.DUMMYFUNCTION("""COMPUTED_VALUE"""),"Israel and Occupied Palestinian Territories")</f>
        <v>Israel and Occupied Palestinian Territories</v>
      </c>
      <c r="G1715" s="1" t="str">
        <f ca="1">IFERROR(__xludf.DUMMYFUNCTION("""COMPUTED_VALUE"""),"3.25 IOPT")</f>
        <v>3.25 IOPT</v>
      </c>
      <c r="H1715" s="1" t="str">
        <f ca="1">IFERROR(__xludf.DUMMYFUNCTION("""COMPUTED_VALUE"""),"Freedom of Expression, Individuals At Risk")</f>
        <v>Freedom of Expression, Individuals At Risk</v>
      </c>
      <c r="I1715" s="1" t="str">
        <f ca="1">IFERROR(__xludf.DUMMYFUNCTION("""COMPUTED_VALUE"""),"2025")</f>
        <v>2025</v>
      </c>
      <c r="J1715" s="1" t="str">
        <f ca="1">IFERROR(__xludf.DUMMYFUNCTION("""COMPUTED_VALUE"""),"Email")</f>
        <v>Email</v>
      </c>
    </row>
    <row r="1716" spans="1:10" ht="13" x14ac:dyDescent="0.15">
      <c r="A1716" s="4">
        <f ca="1">IFERROR(__xludf.DUMMYFUNCTION("""COMPUTED_VALUE"""),197883238)</f>
        <v>197883238</v>
      </c>
      <c r="B1716" s="1" t="str">
        <f ca="1">IFERROR(__xludf.DUMMYFUNCTION("""COMPUTED_VALUE"""),"world1livemtg@gmail.com")</f>
        <v>world1livemtg@gmail.com</v>
      </c>
      <c r="C1716" s="4" t="str">
        <f ca="1">IFERROR(__xludf.DUMMYFUNCTION("""COMPUTED_VALUE"""),"EVERGREEN - UAN Gated Content - Embedded Petition")</f>
        <v>EVERGREEN - UAN Gated Content - Embedded Petition</v>
      </c>
      <c r="D1716" s="5">
        <f ca="1">IFERROR(__xludf.DUMMYFUNCTION("""COMPUTED_VALUE"""),45680)</f>
        <v>45680</v>
      </c>
      <c r="F1716" s="1" t="str">
        <f ca="1">IFERROR(__xludf.DUMMYFUNCTION("""COMPUTED_VALUE"""),"USA")</f>
        <v>USA</v>
      </c>
      <c r="G1716" s="1" t="str">
        <f ca="1">IFERROR(__xludf.DUMMYFUNCTION("""COMPUTED_VALUE"""),"4.25 USA")</f>
        <v>4.25 USA</v>
      </c>
      <c r="H1716" s="1" t="str">
        <f ca="1">IFERROR(__xludf.DUMMYFUNCTION("""COMPUTED_VALUE"""),"Individuals At Risk, Refugee and Migrant Rights")</f>
        <v>Individuals At Risk, Refugee and Migrant Rights</v>
      </c>
      <c r="I1716" s="1" t="str">
        <f ca="1">IFERROR(__xludf.DUMMYFUNCTION("""COMPUTED_VALUE"""),"2025")</f>
        <v>2025</v>
      </c>
      <c r="J1716" s="1" t="str">
        <f ca="1">IFERROR(__xludf.DUMMYFUNCTION("""COMPUTED_VALUE"""),"Letter")</f>
        <v>Letter</v>
      </c>
    </row>
    <row r="1717" spans="1:10" ht="13" x14ac:dyDescent="0.15">
      <c r="A1717" s="4">
        <f ca="1">IFERROR(__xludf.DUMMYFUNCTION("""COMPUTED_VALUE"""),198698033)</f>
        <v>198698033</v>
      </c>
      <c r="B1717" s="1" t="str">
        <f ca="1">IFERROR(__xludf.DUMMYFUNCTION("""COMPUTED_VALUE"""),"mfookson@gmail.com")</f>
        <v>mfookson@gmail.com</v>
      </c>
      <c r="C1717" s="4" t="str">
        <f ca="1">IFERROR(__xludf.DUMMYFUNCTION("""COMPUTED_VALUE"""),"EVERGREEN - UAN Gated Content - Embedded Petition")</f>
        <v>EVERGREEN - UAN Gated Content - Embedded Petition</v>
      </c>
      <c r="D1717" s="5">
        <f ca="1">IFERROR(__xludf.DUMMYFUNCTION("""COMPUTED_VALUE"""),45673)</f>
        <v>45673</v>
      </c>
      <c r="F1717" s="1" t="str">
        <f ca="1">IFERROR(__xludf.DUMMYFUNCTION("""COMPUTED_VALUE"""),"Tunisia")</f>
        <v>Tunisia</v>
      </c>
      <c r="G1717" s="1" t="str">
        <f ca="1">IFERROR(__xludf.DUMMYFUNCTION("""COMPUTED_VALUE"""),"Second 76.24 Tunisia")</f>
        <v>Second 76.24 Tunisia</v>
      </c>
      <c r="H1717" s="1" t="str">
        <f ca="1">IFERROR(__xludf.DUMMYFUNCTION("""COMPUTED_VALUE"""),"Freedom of Expression, Human Rights Defenders")</f>
        <v>Freedom of Expression, Human Rights Defenders</v>
      </c>
      <c r="I1717" s="1" t="str">
        <f ca="1">IFERROR(__xludf.DUMMYFUNCTION("""COMPUTED_VALUE"""),"2025")</f>
        <v>2025</v>
      </c>
      <c r="J1717" s="1" t="str">
        <f ca="1">IFERROR(__xludf.DUMMYFUNCTION("""COMPUTED_VALUE"""),"Email")</f>
        <v>Email</v>
      </c>
    </row>
    <row r="1718" spans="1:10" ht="13" x14ac:dyDescent="0.15">
      <c r="A1718" s="4">
        <f ca="1">IFERROR(__xludf.DUMMYFUNCTION("""COMPUTED_VALUE"""),199224208)</f>
        <v>199224208</v>
      </c>
      <c r="B1718" s="1" t="str">
        <f ca="1">IFERROR(__xludf.DUMMYFUNCTION("""COMPUTED_VALUE"""),"rp4rp@verizon.net")</f>
        <v>rp4rp@verizon.net</v>
      </c>
      <c r="C1718" s="4" t="str">
        <f ca="1">IFERROR(__xludf.DUMMYFUNCTION("""COMPUTED_VALUE"""),"EVERGREEN - UAN Gated Content - Embedded Petition")</f>
        <v>EVERGREEN - UAN Gated Content - Embedded Petition</v>
      </c>
      <c r="D1718" s="5">
        <f ca="1">IFERROR(__xludf.DUMMYFUNCTION("""COMPUTED_VALUE"""),45674)</f>
        <v>45674</v>
      </c>
      <c r="F1718" s="1" t="str">
        <f ca="1">IFERROR(__xludf.DUMMYFUNCTION("""COMPUTED_VALUE"""),"Israel and Occupied Palestinian Territories")</f>
        <v>Israel and Occupied Palestinian Territories</v>
      </c>
      <c r="G1718" s="1" t="str">
        <f ca="1">IFERROR(__xludf.DUMMYFUNCTION("""COMPUTED_VALUE"""),"3.25 IOPT")</f>
        <v>3.25 IOPT</v>
      </c>
      <c r="H1718" s="1" t="str">
        <f ca="1">IFERROR(__xludf.DUMMYFUNCTION("""COMPUTED_VALUE"""),"Freedom of Expression, Individuals At Risk")</f>
        <v>Freedom of Expression, Individuals At Risk</v>
      </c>
      <c r="I1718" s="1" t="str">
        <f ca="1">IFERROR(__xludf.DUMMYFUNCTION("""COMPUTED_VALUE"""),"2025")</f>
        <v>2025</v>
      </c>
      <c r="J1718" s="1" t="str">
        <f ca="1">IFERROR(__xludf.DUMMYFUNCTION("""COMPUTED_VALUE"""),"Email")</f>
        <v>Email</v>
      </c>
    </row>
    <row r="1719" spans="1:10" ht="13" x14ac:dyDescent="0.15">
      <c r="A1719" s="4">
        <f ca="1">IFERROR(__xludf.DUMMYFUNCTION("""COMPUTED_VALUE"""),199224208)</f>
        <v>199224208</v>
      </c>
      <c r="B1719" s="1" t="str">
        <f ca="1">IFERROR(__xludf.DUMMYFUNCTION("""COMPUTED_VALUE"""),"rp4rp@verizon.net")</f>
        <v>rp4rp@verizon.net</v>
      </c>
      <c r="C1719" s="4" t="str">
        <f ca="1">IFERROR(__xludf.DUMMYFUNCTION("""COMPUTED_VALUE"""),"EVERGREEN - UAN Gated Content - Embedded Petition")</f>
        <v>EVERGREEN - UAN Gated Content - Embedded Petition</v>
      </c>
      <c r="D1719" s="5">
        <f ca="1">IFERROR(__xludf.DUMMYFUNCTION("""COMPUTED_VALUE"""),45637)</f>
        <v>45637</v>
      </c>
      <c r="F1719" s="1" t="str">
        <f ca="1">IFERROR(__xludf.DUMMYFUNCTION("""COMPUTED_VALUE"""),"USA")</f>
        <v>USA</v>
      </c>
      <c r="G1719" s="1" t="str">
        <f ca="1">IFERROR(__xludf.DUMMYFUNCTION("""COMPUTED_VALUE"""),"105.24 USA")</f>
        <v>105.24 USA</v>
      </c>
      <c r="H1719" s="1" t="str">
        <f ca="1">IFERROR(__xludf.DUMMYFUNCTION("""COMPUTED_VALUE"""),"Death Penalty")</f>
        <v>Death Penalty</v>
      </c>
      <c r="I1719" s="1" t="str">
        <f ca="1">IFERROR(__xludf.DUMMYFUNCTION("""COMPUTED_VALUE"""),"2024")</f>
        <v>2024</v>
      </c>
      <c r="J1719" s="1" t="str">
        <f ca="1">IFERROR(__xludf.DUMMYFUNCTION("""COMPUTED_VALUE"""),"Email")</f>
        <v>Email</v>
      </c>
    </row>
    <row r="1720" spans="1:10" ht="13" x14ac:dyDescent="0.15">
      <c r="A1720" s="4">
        <f ca="1">IFERROR(__xludf.DUMMYFUNCTION("""COMPUTED_VALUE"""),199224208)</f>
        <v>199224208</v>
      </c>
      <c r="B1720" s="1" t="str">
        <f ca="1">IFERROR(__xludf.DUMMYFUNCTION("""COMPUTED_VALUE"""),"rp4rp@verizon.net")</f>
        <v>rp4rp@verizon.net</v>
      </c>
      <c r="C1720" s="4" t="str">
        <f ca="1">IFERROR(__xludf.DUMMYFUNCTION("""COMPUTED_VALUE"""),"EVERGREEN - UAN Gated Content - Embedded Petition")</f>
        <v>EVERGREEN - UAN Gated Content - Embedded Petition</v>
      </c>
      <c r="D1720" s="5">
        <f ca="1">IFERROR(__xludf.DUMMYFUNCTION("""COMPUTED_VALUE"""),45637)</f>
        <v>45637</v>
      </c>
      <c r="F1720" s="1" t="str">
        <f ca="1">IFERROR(__xludf.DUMMYFUNCTION("""COMPUTED_VALUE"""),"Egypt")</f>
        <v>Egypt</v>
      </c>
      <c r="G1720" s="1" t="str">
        <f ca="1">IFERROR(__xludf.DUMMYFUNCTION("""COMPUTED_VALUE"""),"Ninth 190.18 Egypt")</f>
        <v>Ninth 190.18 Egypt</v>
      </c>
      <c r="H1720" s="1" t="str">
        <f ca="1">IFERROR(__xludf.DUMMYFUNCTION("""COMPUTED_VALUE"""),"Freedom of Expression, Individuals At Risk")</f>
        <v>Freedom of Expression, Individuals At Risk</v>
      </c>
      <c r="I1720" s="1" t="str">
        <f ca="1">IFERROR(__xludf.DUMMYFUNCTION("""COMPUTED_VALUE"""),"2024")</f>
        <v>2024</v>
      </c>
      <c r="J1720" s="1" t="str">
        <f ca="1">IFERROR(__xludf.DUMMYFUNCTION("""COMPUTED_VALUE"""),"Letter")</f>
        <v>Letter</v>
      </c>
    </row>
    <row r="1721" spans="1:10" ht="13" x14ac:dyDescent="0.15">
      <c r="A1721" s="4">
        <f ca="1">IFERROR(__xludf.DUMMYFUNCTION("""COMPUTED_VALUE"""),200541701)</f>
        <v>200541701</v>
      </c>
      <c r="B1721" s="1" t="str">
        <f ca="1">IFERROR(__xludf.DUMMYFUNCTION("""COMPUTED_VALUE"""),"jillhamze@gmail.com")</f>
        <v>jillhamze@gmail.com</v>
      </c>
      <c r="C1721" s="4" t="str">
        <f ca="1">IFERROR(__xludf.DUMMYFUNCTION("""COMPUTED_VALUE"""),"EVERGREEN - UAN Gated Content - Embedded Petition")</f>
        <v>EVERGREEN - UAN Gated Content - Embedded Petition</v>
      </c>
      <c r="D1721" s="5">
        <f ca="1">IFERROR(__xludf.DUMMYFUNCTION("""COMPUTED_VALUE"""),45694)</f>
        <v>45694</v>
      </c>
      <c r="F1721" s="1" t="str">
        <f ca="1">IFERROR(__xludf.DUMMYFUNCTION("""COMPUTED_VALUE"""),"Venezuela")</f>
        <v>Venezuela</v>
      </c>
      <c r="G1721" s="1" t="str">
        <f ca="1">IFERROR(__xludf.DUMMYFUNCTION("""COMPUTED_VALUE"""),"97.24 Venezuela")</f>
        <v>97.24 Venezuela</v>
      </c>
      <c r="H1721" s="1" t="str">
        <f ca="1">IFERROR(__xludf.DUMMYFUNCTION("""COMPUTED_VALUE"""),"Freedom of Expression")</f>
        <v>Freedom of Expression</v>
      </c>
      <c r="I1721" s="1" t="str">
        <f ca="1">IFERROR(__xludf.DUMMYFUNCTION("""COMPUTED_VALUE"""),"2024")</f>
        <v>2024</v>
      </c>
      <c r="J1721" s="1" t="str">
        <f ca="1">IFERROR(__xludf.DUMMYFUNCTION("""COMPUTED_VALUE"""),"Letter")</f>
        <v>Letter</v>
      </c>
    </row>
    <row r="1722" spans="1:10" ht="13" x14ac:dyDescent="0.15">
      <c r="A1722" s="4">
        <f ca="1">IFERROR(__xludf.DUMMYFUNCTION("""COMPUTED_VALUE"""),200544077)</f>
        <v>200544077</v>
      </c>
      <c r="B1722" s="1" t="str">
        <f ca="1">IFERROR(__xludf.DUMMYFUNCTION("""COMPUTED_VALUE"""),"n.hughey623@gmail.com")</f>
        <v>n.hughey623@gmail.com</v>
      </c>
      <c r="C1722" s="4" t="str">
        <f ca="1">IFERROR(__xludf.DUMMYFUNCTION("""COMPUTED_VALUE"""),"EVERGREEN - UAN Gated Content - Embedded Petition")</f>
        <v>EVERGREEN - UAN Gated Content - Embedded Petition</v>
      </c>
      <c r="D1722" s="5">
        <f ca="1">IFERROR(__xludf.DUMMYFUNCTION("""COMPUTED_VALUE"""),45674)</f>
        <v>45674</v>
      </c>
      <c r="F1722" s="1" t="str">
        <f ca="1">IFERROR(__xludf.DUMMYFUNCTION("""COMPUTED_VALUE"""),"Turkiye")</f>
        <v>Turkiye</v>
      </c>
      <c r="G1722" s="1" t="str">
        <f ca="1">IFERROR(__xludf.DUMMYFUNCTION("""COMPUTED_VALUE"""),"109.24 Türkiye")</f>
        <v>109.24 Türkiye</v>
      </c>
      <c r="H1722" s="1" t="str">
        <f ca="1">IFERROR(__xludf.DUMMYFUNCTION("""COMPUTED_VALUE"""),"Human Rights Defenders, Individuals At Risk")</f>
        <v>Human Rights Defenders, Individuals At Risk</v>
      </c>
      <c r="I1722" s="1" t="str">
        <f ca="1">IFERROR(__xludf.DUMMYFUNCTION("""COMPUTED_VALUE"""),"2024")</f>
        <v>2024</v>
      </c>
      <c r="J1722" s="1" t="str">
        <f ca="1">IFERROR(__xludf.DUMMYFUNCTION("""COMPUTED_VALUE"""),"Email")</f>
        <v>Email</v>
      </c>
    </row>
    <row r="1723" spans="1:10" ht="13" x14ac:dyDescent="0.15">
      <c r="A1723" s="4">
        <f ca="1">IFERROR(__xludf.DUMMYFUNCTION("""COMPUTED_VALUE"""),200544077)</f>
        <v>200544077</v>
      </c>
      <c r="B1723" s="1" t="str">
        <f ca="1">IFERROR(__xludf.DUMMYFUNCTION("""COMPUTED_VALUE"""),"n.hughey623@gmail.com")</f>
        <v>n.hughey623@gmail.com</v>
      </c>
      <c r="C1723" s="4" t="str">
        <f ca="1">IFERROR(__xludf.DUMMYFUNCTION("""COMPUTED_VALUE"""),"EVERGREEN - UAN Gated Content - Embedded Petition")</f>
        <v>EVERGREEN - UAN Gated Content - Embedded Petition</v>
      </c>
      <c r="D1723" s="5">
        <f ca="1">IFERROR(__xludf.DUMMYFUNCTION("""COMPUTED_VALUE"""),45636)</f>
        <v>45636</v>
      </c>
      <c r="F1723" s="1" t="str">
        <f ca="1">IFERROR(__xludf.DUMMYFUNCTION("""COMPUTED_VALUE"""),"Iran")</f>
        <v>Iran</v>
      </c>
      <c r="G1723" s="1" t="str">
        <f ca="1">IFERROR(__xludf.DUMMYFUNCTION("""COMPUTED_VALUE"""),"Seventh 103.22 Iran")</f>
        <v>Seventh 103.22 Iran</v>
      </c>
      <c r="H1723" s="1" t="str">
        <f ca="1">IFERROR(__xludf.DUMMYFUNCTION("""COMPUTED_VALUE"""),"Death Penalty, Freedom of Expression, Individuals At Risk")</f>
        <v>Death Penalty, Freedom of Expression, Individuals At Risk</v>
      </c>
      <c r="I1723" s="1" t="str">
        <f ca="1">IFERROR(__xludf.DUMMYFUNCTION("""COMPUTED_VALUE"""),"2024")</f>
        <v>2024</v>
      </c>
      <c r="J1723" s="1" t="str">
        <f ca="1">IFERROR(__xludf.DUMMYFUNCTION("""COMPUTED_VALUE"""),"Email")</f>
        <v>Email</v>
      </c>
    </row>
    <row r="1724" spans="1:10" ht="13" x14ac:dyDescent="0.15">
      <c r="A1724" s="4">
        <f ca="1">IFERROR(__xludf.DUMMYFUNCTION("""COMPUTED_VALUE"""),200544077)</f>
        <v>200544077</v>
      </c>
      <c r="B1724" s="1" t="str">
        <f ca="1">IFERROR(__xludf.DUMMYFUNCTION("""COMPUTED_VALUE"""),"n.hughey623@gmail.com")</f>
        <v>n.hughey623@gmail.com</v>
      </c>
      <c r="C1724" s="4" t="str">
        <f ca="1">IFERROR(__xludf.DUMMYFUNCTION("""COMPUTED_VALUE"""),"EVERGREEN - UAN Gated Content - Embedded Petition")</f>
        <v>EVERGREEN - UAN Gated Content - Embedded Petition</v>
      </c>
      <c r="D1724" s="5">
        <f ca="1">IFERROR(__xludf.DUMMYFUNCTION("""COMPUTED_VALUE"""),45694)</f>
        <v>45694</v>
      </c>
      <c r="F1724" s="1" t="str">
        <f ca="1">IFERROR(__xludf.DUMMYFUNCTION("""COMPUTED_VALUE"""),"Iran")</f>
        <v>Iran</v>
      </c>
      <c r="G1724" s="1" t="str">
        <f ca="1">IFERROR(__xludf.DUMMYFUNCTION("""COMPUTED_VALUE"""),"101.24 Iran")</f>
        <v>101.24 Iran</v>
      </c>
      <c r="H1724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1724" s="1" t="str">
        <f ca="1">IFERROR(__xludf.DUMMYFUNCTION("""COMPUTED_VALUE"""),"2024")</f>
        <v>2024</v>
      </c>
      <c r="J1724" s="1" t="str">
        <f ca="1">IFERROR(__xludf.DUMMYFUNCTION("""COMPUTED_VALUE"""),"Email")</f>
        <v>Email</v>
      </c>
    </row>
    <row r="1725" spans="1:10" ht="13" x14ac:dyDescent="0.15">
      <c r="A1725" s="4">
        <f ca="1">IFERROR(__xludf.DUMMYFUNCTION("""COMPUTED_VALUE"""),200544077)</f>
        <v>200544077</v>
      </c>
      <c r="B1725" s="1" t="str">
        <f ca="1">IFERROR(__xludf.DUMMYFUNCTION("""COMPUTED_VALUE"""),"n.hughey623@gmail.com")</f>
        <v>n.hughey623@gmail.com</v>
      </c>
      <c r="C1725" s="4" t="str">
        <f ca="1">IFERROR(__xludf.DUMMYFUNCTION("""COMPUTED_VALUE"""),"EVERGREEN - UAN Gated Content - Embedded Petition")</f>
        <v>EVERGREEN - UAN Gated Content - Embedded Petition</v>
      </c>
      <c r="D1725" s="5">
        <f ca="1">IFERROR(__xludf.DUMMYFUNCTION("""COMPUTED_VALUE"""),45675)</f>
        <v>45675</v>
      </c>
      <c r="F1725" s="1" t="str">
        <f ca="1">IFERROR(__xludf.DUMMYFUNCTION("""COMPUTED_VALUE"""),"Turkiye")</f>
        <v>Turkiye</v>
      </c>
      <c r="G1725" s="1" t="str">
        <f ca="1">IFERROR(__xludf.DUMMYFUNCTION("""COMPUTED_VALUE"""),"Second 109.24 Türkiye")</f>
        <v>Second 109.24 Türkiye</v>
      </c>
      <c r="H1725" s="1" t="str">
        <f ca="1">IFERROR(__xludf.DUMMYFUNCTION("""COMPUTED_VALUE"""),"Human Rights Defenders")</f>
        <v>Human Rights Defenders</v>
      </c>
      <c r="I1725" s="1" t="str">
        <f ca="1">IFERROR(__xludf.DUMMYFUNCTION("""COMPUTED_VALUE"""),"2025")</f>
        <v>2025</v>
      </c>
      <c r="J1725" s="1" t="str">
        <f ca="1">IFERROR(__xludf.DUMMYFUNCTION("""COMPUTED_VALUE"""),"Email")</f>
        <v>Email</v>
      </c>
    </row>
    <row r="1726" spans="1:10" ht="13" x14ac:dyDescent="0.15">
      <c r="A1726" s="4">
        <f ca="1">IFERROR(__xludf.DUMMYFUNCTION("""COMPUTED_VALUE"""),200544077)</f>
        <v>200544077</v>
      </c>
      <c r="B1726" s="1" t="str">
        <f ca="1">IFERROR(__xludf.DUMMYFUNCTION("""COMPUTED_VALUE"""),"n.hughey623@gmail.com")</f>
        <v>n.hughey623@gmail.com</v>
      </c>
      <c r="C1726" s="4" t="str">
        <f ca="1">IFERROR(__xludf.DUMMYFUNCTION("""COMPUTED_VALUE"""),"EVERGREEN - UAN Gated Content - Embedded Petition")</f>
        <v>EVERGREEN - UAN Gated Content - Embedded Petition</v>
      </c>
      <c r="D1726" s="5">
        <f ca="1">IFERROR(__xludf.DUMMYFUNCTION("""COMPUTED_VALUE"""),45677)</f>
        <v>45677</v>
      </c>
      <c r="F1726" s="1" t="str">
        <f ca="1">IFERROR(__xludf.DUMMYFUNCTION("""COMPUTED_VALUE"""),"Israel and Occupied Palestinian Territories")</f>
        <v>Israel and Occupied Palestinian Territories</v>
      </c>
      <c r="G1726" s="1" t="str">
        <f ca="1">IFERROR(__xludf.DUMMYFUNCTION("""COMPUTED_VALUE"""),"3.25 IOPT")</f>
        <v>3.25 IOPT</v>
      </c>
      <c r="H1726" s="1" t="str">
        <f ca="1">IFERROR(__xludf.DUMMYFUNCTION("""COMPUTED_VALUE"""),"Freedom of Expression, Individuals At Risk")</f>
        <v>Freedom of Expression, Individuals At Risk</v>
      </c>
      <c r="I1726" s="1" t="str">
        <f ca="1">IFERROR(__xludf.DUMMYFUNCTION("""COMPUTED_VALUE"""),"2025")</f>
        <v>2025</v>
      </c>
      <c r="J1726" s="1" t="str">
        <f ca="1">IFERROR(__xludf.DUMMYFUNCTION("""COMPUTED_VALUE"""),"Email")</f>
        <v>Email</v>
      </c>
    </row>
    <row r="1727" spans="1:10" ht="13" x14ac:dyDescent="0.15">
      <c r="A1727" s="4">
        <f ca="1">IFERROR(__xludf.DUMMYFUNCTION("""COMPUTED_VALUE"""),200544077)</f>
        <v>200544077</v>
      </c>
      <c r="B1727" s="1" t="str">
        <f ca="1">IFERROR(__xludf.DUMMYFUNCTION("""COMPUTED_VALUE"""),"n.hughey623@gmail.com")</f>
        <v>n.hughey623@gmail.com</v>
      </c>
      <c r="C1727" s="4" t="str">
        <f ca="1">IFERROR(__xludf.DUMMYFUNCTION("""COMPUTED_VALUE"""),"EVERGREEN - UAN Gated Content - Embedded Petition")</f>
        <v>EVERGREEN - UAN Gated Content - Embedded Petition</v>
      </c>
      <c r="D1727" s="5">
        <f ca="1">IFERROR(__xludf.DUMMYFUNCTION("""COMPUTED_VALUE"""),45674)</f>
        <v>45674</v>
      </c>
      <c r="F1727" s="1" t="str">
        <f ca="1">IFERROR(__xludf.DUMMYFUNCTION("""COMPUTED_VALUE"""),"Tunisia")</f>
        <v>Tunisia</v>
      </c>
      <c r="G1727" s="1" t="str">
        <f ca="1">IFERROR(__xludf.DUMMYFUNCTION("""COMPUTED_VALUE"""),"Second 76.24 Tunisia")</f>
        <v>Second 76.24 Tunisia</v>
      </c>
      <c r="H1727" s="1" t="str">
        <f ca="1">IFERROR(__xludf.DUMMYFUNCTION("""COMPUTED_VALUE"""),"Freedom of Expression, Human Rights Defenders")</f>
        <v>Freedom of Expression, Human Rights Defenders</v>
      </c>
      <c r="I1727" s="1" t="str">
        <f ca="1">IFERROR(__xludf.DUMMYFUNCTION("""COMPUTED_VALUE"""),"2025")</f>
        <v>2025</v>
      </c>
      <c r="J1727" s="1" t="str">
        <f ca="1">IFERROR(__xludf.DUMMYFUNCTION("""COMPUTED_VALUE"""),"Email")</f>
        <v>Email</v>
      </c>
    </row>
    <row r="1728" spans="1:10" ht="13" x14ac:dyDescent="0.15">
      <c r="A1728" s="4">
        <f ca="1">IFERROR(__xludf.DUMMYFUNCTION("""COMPUTED_VALUE"""),200544077)</f>
        <v>200544077</v>
      </c>
      <c r="B1728" s="1" t="str">
        <f ca="1">IFERROR(__xludf.DUMMYFUNCTION("""COMPUTED_VALUE"""),"n.hughey623@gmail.com")</f>
        <v>n.hughey623@gmail.com</v>
      </c>
      <c r="C1728" s="4" t="str">
        <f ca="1">IFERROR(__xludf.DUMMYFUNCTION("""COMPUTED_VALUE"""),"EVERGREEN - UAN Gated Content - Embedded Petition")</f>
        <v>EVERGREEN - UAN Gated Content - Embedded Petition</v>
      </c>
      <c r="D1728" s="5">
        <f ca="1">IFERROR(__xludf.DUMMYFUNCTION("""COMPUTED_VALUE"""),45674)</f>
        <v>45674</v>
      </c>
      <c r="F1728" s="1" t="str">
        <f ca="1">IFERROR(__xludf.DUMMYFUNCTION("""COMPUTED_VALUE"""),"Israel and Occupied Palestinian Territories")</f>
        <v>Israel and Occupied Palestinian Territories</v>
      </c>
      <c r="G1728" s="1" t="str">
        <f ca="1">IFERROR(__xludf.DUMMYFUNCTION("""COMPUTED_VALUE"""),"3.25 IOPT")</f>
        <v>3.25 IOPT</v>
      </c>
      <c r="H1728" s="1" t="str">
        <f ca="1">IFERROR(__xludf.DUMMYFUNCTION("""COMPUTED_VALUE"""),"Freedom of Expression, Individuals At Risk")</f>
        <v>Freedom of Expression, Individuals At Risk</v>
      </c>
      <c r="I1728" s="1" t="str">
        <f ca="1">IFERROR(__xludf.DUMMYFUNCTION("""COMPUTED_VALUE"""),"2025")</f>
        <v>2025</v>
      </c>
      <c r="J1728" s="1" t="str">
        <f ca="1">IFERROR(__xludf.DUMMYFUNCTION("""COMPUTED_VALUE"""),"Email")</f>
        <v>Email</v>
      </c>
    </row>
    <row r="1729" spans="1:10" ht="13" x14ac:dyDescent="0.15">
      <c r="A1729" s="4">
        <f ca="1">IFERROR(__xludf.DUMMYFUNCTION("""COMPUTED_VALUE"""),200544077)</f>
        <v>200544077</v>
      </c>
      <c r="B1729" s="1" t="str">
        <f ca="1">IFERROR(__xludf.DUMMYFUNCTION("""COMPUTED_VALUE"""),"n.hughey623@gmail.com")</f>
        <v>n.hughey623@gmail.com</v>
      </c>
      <c r="C1729" s="4" t="str">
        <f ca="1">IFERROR(__xludf.DUMMYFUNCTION("""COMPUTED_VALUE"""),"EVERGREEN - UAN Gated Content - Embedded Petition")</f>
        <v>EVERGREEN - UAN Gated Content - Embedded Petition</v>
      </c>
      <c r="D1729" s="5">
        <f ca="1">IFERROR(__xludf.DUMMYFUNCTION("""COMPUTED_VALUE"""),45674)</f>
        <v>45674</v>
      </c>
      <c r="F1729" s="1" t="str">
        <f ca="1">IFERROR(__xludf.DUMMYFUNCTION("""COMPUTED_VALUE"""),"Tunisia")</f>
        <v>Tunisia</v>
      </c>
      <c r="G1729" s="1" t="str">
        <f ca="1">IFERROR(__xludf.DUMMYFUNCTION("""COMPUTED_VALUE"""),"Second 76.24 Tunisia")</f>
        <v>Second 76.24 Tunisia</v>
      </c>
      <c r="H1729" s="1" t="str">
        <f ca="1">IFERROR(__xludf.DUMMYFUNCTION("""COMPUTED_VALUE"""),"Freedom of Expression, Human Rights Defenders")</f>
        <v>Freedom of Expression, Human Rights Defenders</v>
      </c>
      <c r="I1729" s="1" t="str">
        <f ca="1">IFERROR(__xludf.DUMMYFUNCTION("""COMPUTED_VALUE"""),"2025")</f>
        <v>2025</v>
      </c>
      <c r="J1729" s="1" t="str">
        <f ca="1">IFERROR(__xludf.DUMMYFUNCTION("""COMPUTED_VALUE"""),"Email")</f>
        <v>Email</v>
      </c>
    </row>
    <row r="1730" spans="1:10" ht="13" x14ac:dyDescent="0.15">
      <c r="A1730" s="4">
        <f ca="1">IFERROR(__xludf.DUMMYFUNCTION("""COMPUTED_VALUE"""),200544077)</f>
        <v>200544077</v>
      </c>
      <c r="B1730" s="1" t="str">
        <f ca="1">IFERROR(__xludf.DUMMYFUNCTION("""COMPUTED_VALUE"""),"n.hughey623@gmail.com")</f>
        <v>n.hughey623@gmail.com</v>
      </c>
      <c r="C1730" s="4" t="str">
        <f ca="1">IFERROR(__xludf.DUMMYFUNCTION("""COMPUTED_VALUE"""),"EVERGREEN - UAN Gated Content - Embedded Petition")</f>
        <v>EVERGREEN - UAN Gated Content - Embedded Petition</v>
      </c>
      <c r="D1730" s="5">
        <f ca="1">IFERROR(__xludf.DUMMYFUNCTION("""COMPUTED_VALUE"""),45674)</f>
        <v>45674</v>
      </c>
      <c r="F1730" s="1" t="str">
        <f ca="1">IFERROR(__xludf.DUMMYFUNCTION("""COMPUTED_VALUE"""),"USA")</f>
        <v>USA</v>
      </c>
      <c r="G1730" s="1" t="str">
        <f ca="1">IFERROR(__xludf.DUMMYFUNCTION("""COMPUTED_VALUE"""),"4.25 USA")</f>
        <v>4.25 USA</v>
      </c>
      <c r="H1730" s="1" t="str">
        <f ca="1">IFERROR(__xludf.DUMMYFUNCTION("""COMPUTED_VALUE"""),"Individuals At Risk, Refugee and Migrant Rights")</f>
        <v>Individuals At Risk, Refugee and Migrant Rights</v>
      </c>
      <c r="I1730" s="1" t="str">
        <f ca="1">IFERROR(__xludf.DUMMYFUNCTION("""COMPUTED_VALUE"""),"2025")</f>
        <v>2025</v>
      </c>
      <c r="J1730" s="1" t="str">
        <f ca="1">IFERROR(__xludf.DUMMYFUNCTION("""COMPUTED_VALUE"""),"Letter")</f>
        <v>Letter</v>
      </c>
    </row>
    <row r="1731" spans="1:10" ht="13" x14ac:dyDescent="0.15">
      <c r="A1731" s="4">
        <f ca="1">IFERROR(__xludf.DUMMYFUNCTION("""COMPUTED_VALUE"""),200544077)</f>
        <v>200544077</v>
      </c>
      <c r="B1731" s="1" t="str">
        <f ca="1">IFERROR(__xludf.DUMMYFUNCTION("""COMPUTED_VALUE"""),"n.hughey623@gmail.com")</f>
        <v>n.hughey623@gmail.com</v>
      </c>
      <c r="C1731" s="4" t="str">
        <f ca="1">IFERROR(__xludf.DUMMYFUNCTION("""COMPUTED_VALUE"""),"EVERGREEN - UAN Gated Content - Embedded Petition")</f>
        <v>EVERGREEN - UAN Gated Content - Embedded Petition</v>
      </c>
      <c r="D1731" s="5">
        <f ca="1">IFERROR(__xludf.DUMMYFUNCTION("""COMPUTED_VALUE"""),45674)</f>
        <v>45674</v>
      </c>
      <c r="F1731" s="1" t="str">
        <f ca="1">IFERROR(__xludf.DUMMYFUNCTION("""COMPUTED_VALUE"""),"USA")</f>
        <v>USA</v>
      </c>
      <c r="G1731" s="1" t="str">
        <f ca="1">IFERROR(__xludf.DUMMYFUNCTION("""COMPUTED_VALUE"""),"105.24 USA")</f>
        <v>105.24 USA</v>
      </c>
      <c r="H1731" s="1" t="str">
        <f ca="1">IFERROR(__xludf.DUMMYFUNCTION("""COMPUTED_VALUE"""),"Death Penalty")</f>
        <v>Death Penalty</v>
      </c>
      <c r="I1731" s="1" t="str">
        <f ca="1">IFERROR(__xludf.DUMMYFUNCTION("""COMPUTED_VALUE"""),"2024")</f>
        <v>2024</v>
      </c>
      <c r="J1731" s="1" t="str">
        <f ca="1">IFERROR(__xludf.DUMMYFUNCTION("""COMPUTED_VALUE"""),"Email")</f>
        <v>Email</v>
      </c>
    </row>
    <row r="1732" spans="1:10" ht="13" x14ac:dyDescent="0.15">
      <c r="A1732" s="4">
        <f ca="1">IFERROR(__xludf.DUMMYFUNCTION("""COMPUTED_VALUE"""),200544077)</f>
        <v>200544077</v>
      </c>
      <c r="B1732" s="1" t="str">
        <f ca="1">IFERROR(__xludf.DUMMYFUNCTION("""COMPUTED_VALUE"""),"n.hughey623@gmail.com")</f>
        <v>n.hughey623@gmail.com</v>
      </c>
      <c r="C1732" s="4" t="str">
        <f ca="1">IFERROR(__xludf.DUMMYFUNCTION("""COMPUTED_VALUE"""),"EVERGREEN - UAN Gated Content - Embedded Petition")</f>
        <v>EVERGREEN - UAN Gated Content - Embedded Petition</v>
      </c>
      <c r="D1732" s="5">
        <f ca="1">IFERROR(__xludf.DUMMYFUNCTION("""COMPUTED_VALUE"""),45674)</f>
        <v>45674</v>
      </c>
      <c r="F1732" s="1" t="str">
        <f ca="1">IFERROR(__xludf.DUMMYFUNCTION("""COMPUTED_VALUE"""),"Tunisia")</f>
        <v>Tunisia</v>
      </c>
      <c r="G1732" s="1" t="str">
        <f ca="1">IFERROR(__xludf.DUMMYFUNCTION("""COMPUTED_VALUE"""),"Second 76.24 Tunisia")</f>
        <v>Second 76.24 Tunisia</v>
      </c>
      <c r="H1732" s="1" t="str">
        <f ca="1">IFERROR(__xludf.DUMMYFUNCTION("""COMPUTED_VALUE"""),"Freedom of Expression, Human Rights Defenders")</f>
        <v>Freedom of Expression, Human Rights Defenders</v>
      </c>
      <c r="I1732" s="1" t="str">
        <f ca="1">IFERROR(__xludf.DUMMYFUNCTION("""COMPUTED_VALUE"""),"2025")</f>
        <v>2025</v>
      </c>
      <c r="J1732" s="1" t="str">
        <f ca="1">IFERROR(__xludf.DUMMYFUNCTION("""COMPUTED_VALUE"""),"Email")</f>
        <v>Email</v>
      </c>
    </row>
    <row r="1733" spans="1:10" ht="13" x14ac:dyDescent="0.15">
      <c r="A1733" s="4">
        <f ca="1">IFERROR(__xludf.DUMMYFUNCTION("""COMPUTED_VALUE"""),200544077)</f>
        <v>200544077</v>
      </c>
      <c r="B1733" s="1" t="str">
        <f ca="1">IFERROR(__xludf.DUMMYFUNCTION("""COMPUTED_VALUE"""),"n.hughey623@gmail.com")</f>
        <v>n.hughey623@gmail.com</v>
      </c>
      <c r="C1733" s="4" t="str">
        <f ca="1">IFERROR(__xludf.DUMMYFUNCTION("""COMPUTED_VALUE"""),"EVERGREEN - UAN Gated Content - Embedded Petition")</f>
        <v>EVERGREEN - UAN Gated Content - Embedded Petition</v>
      </c>
      <c r="D1733" s="5">
        <f ca="1">IFERROR(__xludf.DUMMYFUNCTION("""COMPUTED_VALUE"""),45636)</f>
        <v>45636</v>
      </c>
      <c r="F1733" s="1" t="str">
        <f ca="1">IFERROR(__xludf.DUMMYFUNCTION("""COMPUTED_VALUE"""),"USA")</f>
        <v>USA</v>
      </c>
      <c r="G1733" s="1" t="str">
        <f ca="1">IFERROR(__xludf.DUMMYFUNCTION("""COMPUTED_VALUE"""),"96.24 USA")</f>
        <v>96.24 USA</v>
      </c>
      <c r="H1733" s="1" t="str">
        <f ca="1">IFERROR(__xludf.DUMMYFUNCTION("""COMPUTED_VALUE"""),"Death Penalty")</f>
        <v>Death Penalty</v>
      </c>
      <c r="I1733" s="1" t="str">
        <f ca="1">IFERROR(__xludf.DUMMYFUNCTION("""COMPUTED_VALUE"""),"2024")</f>
        <v>2024</v>
      </c>
      <c r="J1733" s="1" t="str">
        <f ca="1">IFERROR(__xludf.DUMMYFUNCTION("""COMPUTED_VALUE"""),"Email")</f>
        <v>Email</v>
      </c>
    </row>
    <row r="1734" spans="1:10" ht="13" x14ac:dyDescent="0.15">
      <c r="A1734" s="4">
        <f ca="1">IFERROR(__xludf.DUMMYFUNCTION("""COMPUTED_VALUE"""),200544077)</f>
        <v>200544077</v>
      </c>
      <c r="B1734" s="1" t="str">
        <f ca="1">IFERROR(__xludf.DUMMYFUNCTION("""COMPUTED_VALUE"""),"n.hughey623@gmail.com")</f>
        <v>n.hughey623@gmail.com</v>
      </c>
      <c r="C1734" s="4" t="str">
        <f ca="1">IFERROR(__xludf.DUMMYFUNCTION("""COMPUTED_VALUE"""),"EVERGREEN - UAN Gated Content - Embedded Petition")</f>
        <v>EVERGREEN - UAN Gated Content - Embedded Petition</v>
      </c>
      <c r="D1734" s="5">
        <f ca="1">IFERROR(__xludf.DUMMYFUNCTION("""COMPUTED_VALUE"""),45674)</f>
        <v>45674</v>
      </c>
      <c r="F1734" s="1" t="str">
        <f ca="1">IFERROR(__xludf.DUMMYFUNCTION("""COMPUTED_VALUE"""),"Iran")</f>
        <v>Iran</v>
      </c>
      <c r="G1734" s="1" t="str">
        <f ca="1">IFERROR(__xludf.DUMMYFUNCTION("""COMPUTED_VALUE"""),"Seventh 103.22 Iran")</f>
        <v>Seventh 103.22 Iran</v>
      </c>
      <c r="H1734" s="1" t="str">
        <f ca="1">IFERROR(__xludf.DUMMYFUNCTION("""COMPUTED_VALUE"""),"Death Penalty, Freedom of Expression, Individuals At Risk")</f>
        <v>Death Penalty, Freedom of Expression, Individuals At Risk</v>
      </c>
      <c r="I1734" s="1" t="str">
        <f ca="1">IFERROR(__xludf.DUMMYFUNCTION("""COMPUTED_VALUE"""),"2024")</f>
        <v>2024</v>
      </c>
      <c r="J1734" s="1" t="str">
        <f ca="1">IFERROR(__xludf.DUMMYFUNCTION("""COMPUTED_VALUE"""),"Email")</f>
        <v>Email</v>
      </c>
    </row>
    <row r="1735" spans="1:10" ht="13" x14ac:dyDescent="0.15">
      <c r="A1735" s="4">
        <f ca="1">IFERROR(__xludf.DUMMYFUNCTION("""COMPUTED_VALUE"""),200544077)</f>
        <v>200544077</v>
      </c>
      <c r="B1735" s="1" t="str">
        <f ca="1">IFERROR(__xludf.DUMMYFUNCTION("""COMPUTED_VALUE"""),"n.hughey623@gmail.com")</f>
        <v>n.hughey623@gmail.com</v>
      </c>
      <c r="C1735" s="4" t="str">
        <f ca="1">IFERROR(__xludf.DUMMYFUNCTION("""COMPUTED_VALUE"""),"EVERGREEN - UAN Gated Content - Embedded Petition")</f>
        <v>EVERGREEN - UAN Gated Content - Embedded Petition</v>
      </c>
      <c r="D1735" s="5">
        <f ca="1">IFERROR(__xludf.DUMMYFUNCTION("""COMPUTED_VALUE"""),45674)</f>
        <v>45674</v>
      </c>
      <c r="F1735" s="1" t="str">
        <f ca="1">IFERROR(__xludf.DUMMYFUNCTION("""COMPUTED_VALUE"""),"Niger")</f>
        <v>Niger</v>
      </c>
      <c r="G1735" s="1" t="str">
        <f ca="1">IFERROR(__xludf.DUMMYFUNCTION("""COMPUTED_VALUE"""),"103.24 Niger")</f>
        <v>103.24 Niger</v>
      </c>
      <c r="H1735" s="1" t="str">
        <f ca="1">IFERROR(__xludf.DUMMYFUNCTION("""COMPUTED_VALUE"""),"Freedom of Expression, Human Rights Defenders")</f>
        <v>Freedom of Expression, Human Rights Defenders</v>
      </c>
      <c r="I1735" s="1" t="str">
        <f ca="1">IFERROR(__xludf.DUMMYFUNCTION("""COMPUTED_VALUE"""),"2024")</f>
        <v>2024</v>
      </c>
      <c r="J1735" s="1" t="str">
        <f ca="1">IFERROR(__xludf.DUMMYFUNCTION("""COMPUTED_VALUE"""),"Email")</f>
        <v>Email</v>
      </c>
    </row>
    <row r="1736" spans="1:10" ht="13" x14ac:dyDescent="0.15">
      <c r="A1736" s="4">
        <f ca="1">IFERROR(__xludf.DUMMYFUNCTION("""COMPUTED_VALUE"""),200544077)</f>
        <v>200544077</v>
      </c>
      <c r="B1736" s="1" t="str">
        <f ca="1">IFERROR(__xludf.DUMMYFUNCTION("""COMPUTED_VALUE"""),"n.hughey623@gmail.com")</f>
        <v>n.hughey623@gmail.com</v>
      </c>
      <c r="C1736" s="4" t="str">
        <f ca="1">IFERROR(__xludf.DUMMYFUNCTION("""COMPUTED_VALUE"""),"EVERGREEN - UAN Gated Content - Embedded Petition")</f>
        <v>EVERGREEN - UAN Gated Content - Embedded Petition</v>
      </c>
      <c r="D1736" s="5">
        <f ca="1">IFERROR(__xludf.DUMMYFUNCTION("""COMPUTED_VALUE"""),45674)</f>
        <v>45674</v>
      </c>
      <c r="F1736" s="1" t="str">
        <f ca="1">IFERROR(__xludf.DUMMYFUNCTION("""COMPUTED_VALUE"""),"Azerbaijan")</f>
        <v>Azerbaijan</v>
      </c>
      <c r="G1736" s="1" t="str">
        <f ca="1">IFERROR(__xludf.DUMMYFUNCTION("""COMPUTED_VALUE"""),"2.25 Azerbaijan")</f>
        <v>2.25 Azerbaijan</v>
      </c>
      <c r="H1736" s="1" t="str">
        <f ca="1">IFERROR(__xludf.DUMMYFUNCTION("""COMPUTED_VALUE"""),"Freedom of Expression, Human Rights Defenders")</f>
        <v>Freedom of Expression, Human Rights Defenders</v>
      </c>
      <c r="I1736" s="1" t="str">
        <f ca="1">IFERROR(__xludf.DUMMYFUNCTION("""COMPUTED_VALUE"""),"2025")</f>
        <v>2025</v>
      </c>
      <c r="J1736" s="1" t="str">
        <f ca="1">IFERROR(__xludf.DUMMYFUNCTION("""COMPUTED_VALUE"""),"Email")</f>
        <v>Email</v>
      </c>
    </row>
    <row r="1737" spans="1:10" ht="13" x14ac:dyDescent="0.15">
      <c r="A1737" s="4">
        <f ca="1">IFERROR(__xludf.DUMMYFUNCTION("""COMPUTED_VALUE"""),200544077)</f>
        <v>200544077</v>
      </c>
      <c r="B1737" s="1" t="str">
        <f ca="1">IFERROR(__xludf.DUMMYFUNCTION("""COMPUTED_VALUE"""),"n.hughey623@gmail.com")</f>
        <v>n.hughey623@gmail.com</v>
      </c>
      <c r="C1737" s="4" t="str">
        <f ca="1">IFERROR(__xludf.DUMMYFUNCTION("""COMPUTED_VALUE"""),"EVERGREEN - UAN Gated Content - Embedded Petition")</f>
        <v>EVERGREEN - UAN Gated Content - Embedded Petition</v>
      </c>
      <c r="D1737" s="5">
        <f ca="1">IFERROR(__xludf.DUMMYFUNCTION("""COMPUTED_VALUE"""),45674)</f>
        <v>45674</v>
      </c>
      <c r="F1737" s="1" t="str">
        <f ca="1">IFERROR(__xludf.DUMMYFUNCTION("""COMPUTED_VALUE"""),"USA")</f>
        <v>USA</v>
      </c>
      <c r="G1737" s="1" t="str">
        <f ca="1">IFERROR(__xludf.DUMMYFUNCTION("""COMPUTED_VALUE"""),"Fourth 55.24 USA")</f>
        <v>Fourth 55.24 USA</v>
      </c>
      <c r="H1737" s="1" t="str">
        <f ca="1">IFERROR(__xludf.DUMMYFUNCTION("""COMPUTED_VALUE"""),"Climate Justice, Individuals At Risk")</f>
        <v>Climate Justice, Individuals At Risk</v>
      </c>
      <c r="I1737" s="1" t="str">
        <f ca="1">IFERROR(__xludf.DUMMYFUNCTION("""COMPUTED_VALUE"""),"2025")</f>
        <v>2025</v>
      </c>
      <c r="J1737" s="1" t="str">
        <f ca="1">IFERROR(__xludf.DUMMYFUNCTION("""COMPUTED_VALUE"""),"Email")</f>
        <v>Email</v>
      </c>
    </row>
    <row r="1738" spans="1:10" ht="13" x14ac:dyDescent="0.15">
      <c r="A1738" s="4">
        <f ca="1">IFERROR(__xludf.DUMMYFUNCTION("""COMPUTED_VALUE"""),200544077)</f>
        <v>200544077</v>
      </c>
      <c r="B1738" s="1" t="str">
        <f ca="1">IFERROR(__xludf.DUMMYFUNCTION("""COMPUTED_VALUE"""),"n.hughey623@gmail.com")</f>
        <v>n.hughey623@gmail.com</v>
      </c>
      <c r="C1738" s="4" t="str">
        <f ca="1">IFERROR(__xludf.DUMMYFUNCTION("""COMPUTED_VALUE"""),"EVERGREEN - UAN Gated Content - Embedded Petition")</f>
        <v>EVERGREEN - UAN Gated Content - Embedded Petition</v>
      </c>
      <c r="D1738" s="5">
        <f ca="1">IFERROR(__xludf.DUMMYFUNCTION("""COMPUTED_VALUE"""),45674)</f>
        <v>45674</v>
      </c>
      <c r="F1738" s="1" t="str">
        <f ca="1">IFERROR(__xludf.DUMMYFUNCTION("""COMPUTED_VALUE"""),"USA")</f>
        <v>USA</v>
      </c>
      <c r="G1738" s="1" t="str">
        <f ca="1">IFERROR(__xludf.DUMMYFUNCTION("""COMPUTED_VALUE"""),"4.25 USA")</f>
        <v>4.25 USA</v>
      </c>
      <c r="H1738" s="1" t="str">
        <f ca="1">IFERROR(__xludf.DUMMYFUNCTION("""COMPUTED_VALUE"""),"Individuals At Risk, Refugee and Migrant Rights")</f>
        <v>Individuals At Risk, Refugee and Migrant Rights</v>
      </c>
      <c r="I1738" s="1" t="str">
        <f ca="1">IFERROR(__xludf.DUMMYFUNCTION("""COMPUTED_VALUE"""),"2025")</f>
        <v>2025</v>
      </c>
      <c r="J1738" s="1" t="str">
        <f ca="1">IFERROR(__xludf.DUMMYFUNCTION("""COMPUTED_VALUE"""),"Letter")</f>
        <v>Letter</v>
      </c>
    </row>
    <row r="1739" spans="1:10" ht="13" x14ac:dyDescent="0.15">
      <c r="A1739" s="4">
        <f ca="1">IFERROR(__xludf.DUMMYFUNCTION("""COMPUTED_VALUE"""),200544077)</f>
        <v>200544077</v>
      </c>
      <c r="B1739" s="1" t="str">
        <f ca="1">IFERROR(__xludf.DUMMYFUNCTION("""COMPUTED_VALUE"""),"n.hughey623@gmail.com")</f>
        <v>n.hughey623@gmail.com</v>
      </c>
      <c r="C1739" s="4" t="str">
        <f ca="1">IFERROR(__xludf.DUMMYFUNCTION("""COMPUTED_VALUE"""),"EVERGREEN - UAN Gated Content - Embedded Petition")</f>
        <v>EVERGREEN - UAN Gated Content - Embedded Petition</v>
      </c>
      <c r="D1739" s="5">
        <f ca="1">IFERROR(__xludf.DUMMYFUNCTION("""COMPUTED_VALUE"""),45674)</f>
        <v>45674</v>
      </c>
      <c r="F1739" s="1" t="str">
        <f ca="1">IFERROR(__xludf.DUMMYFUNCTION("""COMPUTED_VALUE"""),"Tunisia")</f>
        <v>Tunisia</v>
      </c>
      <c r="G1739" s="1" t="str">
        <f ca="1">IFERROR(__xludf.DUMMYFUNCTION("""COMPUTED_VALUE"""),"Second 76.24 Tunisia")</f>
        <v>Second 76.24 Tunisia</v>
      </c>
      <c r="H1739" s="1" t="str">
        <f ca="1">IFERROR(__xludf.DUMMYFUNCTION("""COMPUTED_VALUE"""),"Freedom of Expression, Human Rights Defenders")</f>
        <v>Freedom of Expression, Human Rights Defenders</v>
      </c>
      <c r="I1739" s="1" t="str">
        <f ca="1">IFERROR(__xludf.DUMMYFUNCTION("""COMPUTED_VALUE"""),"2025")</f>
        <v>2025</v>
      </c>
      <c r="J1739" s="1" t="str">
        <f ca="1">IFERROR(__xludf.DUMMYFUNCTION("""COMPUTED_VALUE"""),"Email")</f>
        <v>Email</v>
      </c>
    </row>
    <row r="1740" spans="1:10" ht="13" x14ac:dyDescent="0.15">
      <c r="A1740" s="4">
        <f ca="1">IFERROR(__xludf.DUMMYFUNCTION("""COMPUTED_VALUE"""),200544077)</f>
        <v>200544077</v>
      </c>
      <c r="B1740" s="1" t="str">
        <f ca="1">IFERROR(__xludf.DUMMYFUNCTION("""COMPUTED_VALUE"""),"n.hughey623@gmail.com")</f>
        <v>n.hughey623@gmail.com</v>
      </c>
      <c r="C1740" s="4" t="str">
        <f ca="1">IFERROR(__xludf.DUMMYFUNCTION("""COMPUTED_VALUE"""),"EVERGREEN - UAN Gated Content - Embedded Petition")</f>
        <v>EVERGREEN - UAN Gated Content - Embedded Petition</v>
      </c>
      <c r="D1740" s="5">
        <f ca="1">IFERROR(__xludf.DUMMYFUNCTION("""COMPUTED_VALUE"""),45674)</f>
        <v>45674</v>
      </c>
      <c r="F1740" s="1" t="str">
        <f ca="1">IFERROR(__xludf.DUMMYFUNCTION("""COMPUTED_VALUE"""),"Tunisia")</f>
        <v>Tunisia</v>
      </c>
      <c r="G1740" s="1" t="str">
        <f ca="1">IFERROR(__xludf.DUMMYFUNCTION("""COMPUTED_VALUE"""),"Second 76.24 Tunisia")</f>
        <v>Second 76.24 Tunisia</v>
      </c>
      <c r="H1740" s="1" t="str">
        <f ca="1">IFERROR(__xludf.DUMMYFUNCTION("""COMPUTED_VALUE"""),"Freedom of Expression, Human Rights Defenders")</f>
        <v>Freedom of Expression, Human Rights Defenders</v>
      </c>
      <c r="I1740" s="1" t="str">
        <f ca="1">IFERROR(__xludf.DUMMYFUNCTION("""COMPUTED_VALUE"""),"2025")</f>
        <v>2025</v>
      </c>
      <c r="J1740" s="1" t="str">
        <f ca="1">IFERROR(__xludf.DUMMYFUNCTION("""COMPUTED_VALUE"""),"Email")</f>
        <v>Email</v>
      </c>
    </row>
    <row r="1741" spans="1:10" ht="13" x14ac:dyDescent="0.15">
      <c r="A1741" s="4">
        <f ca="1">IFERROR(__xludf.DUMMYFUNCTION("""COMPUTED_VALUE"""),200544077)</f>
        <v>200544077</v>
      </c>
      <c r="B1741" s="1" t="str">
        <f ca="1">IFERROR(__xludf.DUMMYFUNCTION("""COMPUTED_VALUE"""),"n.hughey623@gmail.com")</f>
        <v>n.hughey623@gmail.com</v>
      </c>
      <c r="C1741" s="4" t="str">
        <f ca="1">IFERROR(__xludf.DUMMYFUNCTION("""COMPUTED_VALUE"""),"EVERGREEN - UAN Gated Content - Embedded Petition")</f>
        <v>EVERGREEN - UAN Gated Content - Embedded Petition</v>
      </c>
      <c r="D1741" s="5">
        <f ca="1">IFERROR(__xludf.DUMMYFUNCTION("""COMPUTED_VALUE"""),45675)</f>
        <v>45675</v>
      </c>
      <c r="F1741" s="1" t="str">
        <f ca="1">IFERROR(__xludf.DUMMYFUNCTION("""COMPUTED_VALUE"""),"USA")</f>
        <v>USA</v>
      </c>
      <c r="G1741" s="1" t="str">
        <f ca="1">IFERROR(__xludf.DUMMYFUNCTION("""COMPUTED_VALUE"""),"4.25 USA")</f>
        <v>4.25 USA</v>
      </c>
      <c r="H1741" s="1" t="str">
        <f ca="1">IFERROR(__xludf.DUMMYFUNCTION("""COMPUTED_VALUE"""),"Individuals At Risk, Refugee and Migrant Rights")</f>
        <v>Individuals At Risk, Refugee and Migrant Rights</v>
      </c>
      <c r="I1741" s="1" t="str">
        <f ca="1">IFERROR(__xludf.DUMMYFUNCTION("""COMPUTED_VALUE"""),"2025")</f>
        <v>2025</v>
      </c>
      <c r="J1741" s="1" t="str">
        <f ca="1">IFERROR(__xludf.DUMMYFUNCTION("""COMPUTED_VALUE"""),"Letter")</f>
        <v>Letter</v>
      </c>
    </row>
    <row r="1742" spans="1:10" ht="13" x14ac:dyDescent="0.15">
      <c r="A1742" s="4">
        <f ca="1">IFERROR(__xludf.DUMMYFUNCTION("""COMPUTED_VALUE"""),200544077)</f>
        <v>200544077</v>
      </c>
      <c r="B1742" s="1" t="str">
        <f ca="1">IFERROR(__xludf.DUMMYFUNCTION("""COMPUTED_VALUE"""),"n.hughey623@gmail.com")</f>
        <v>n.hughey623@gmail.com</v>
      </c>
      <c r="C1742" s="4" t="str">
        <f ca="1">IFERROR(__xludf.DUMMYFUNCTION("""COMPUTED_VALUE"""),"EVERGREEN - UAN Gated Content - Embedded Petition")</f>
        <v>EVERGREEN - UAN Gated Content - Embedded Petition</v>
      </c>
      <c r="D1742" s="5">
        <f ca="1">IFERROR(__xludf.DUMMYFUNCTION("""COMPUTED_VALUE"""),45636)</f>
        <v>45636</v>
      </c>
      <c r="F1742" s="1" t="str">
        <f ca="1">IFERROR(__xludf.DUMMYFUNCTION("""COMPUTED_VALUE"""),"Venezuela")</f>
        <v>Venezuela</v>
      </c>
      <c r="G1742" s="1" t="str">
        <f ca="1">IFERROR(__xludf.DUMMYFUNCTION("""COMPUTED_VALUE"""),"1.25 Venezuela")</f>
        <v>1.25 Venezuela</v>
      </c>
      <c r="H1742" s="1" t="str">
        <f ca="1">IFERROR(__xludf.DUMMYFUNCTION("""COMPUTED_VALUE"""),"Human Rights Defenders, Individuals At Risk")</f>
        <v>Human Rights Defenders, Individuals At Risk</v>
      </c>
      <c r="I1742" s="1" t="str">
        <f ca="1">IFERROR(__xludf.DUMMYFUNCTION("""COMPUTED_VALUE"""),"2025")</f>
        <v>2025</v>
      </c>
      <c r="J1742" s="1" t="str">
        <f ca="1">IFERROR(__xludf.DUMMYFUNCTION("""COMPUTED_VALUE"""),"Letter")</f>
        <v>Letter</v>
      </c>
    </row>
    <row r="1743" spans="1:10" ht="13" x14ac:dyDescent="0.15">
      <c r="A1743" s="4">
        <f ca="1">IFERROR(__xludf.DUMMYFUNCTION("""COMPUTED_VALUE"""),200544077)</f>
        <v>200544077</v>
      </c>
      <c r="B1743" s="1" t="str">
        <f ca="1">IFERROR(__xludf.DUMMYFUNCTION("""COMPUTED_VALUE"""),"n.hughey623@gmail.com")</f>
        <v>n.hughey623@gmail.com</v>
      </c>
      <c r="C1743" s="4" t="str">
        <f ca="1">IFERROR(__xludf.DUMMYFUNCTION("""COMPUTED_VALUE"""),"EVERGREEN - UAN Gated Content - Embedded Petition")</f>
        <v>EVERGREEN - UAN Gated Content - Embedded Petition</v>
      </c>
      <c r="D1743" s="5">
        <f ca="1">IFERROR(__xludf.DUMMYFUNCTION("""COMPUTED_VALUE"""),45636)</f>
        <v>45636</v>
      </c>
      <c r="F1743" s="1" t="str">
        <f ca="1">IFERROR(__xludf.DUMMYFUNCTION("""COMPUTED_VALUE"""),"Saudi Arabia")</f>
        <v>Saudi Arabia</v>
      </c>
      <c r="G1743" s="1" t="str">
        <f ca="1">IFERROR(__xludf.DUMMYFUNCTION("""COMPUTED_VALUE"""),"104.24 Saudi Arabia")</f>
        <v>104.24 Saudi Arabia</v>
      </c>
      <c r="H1743" s="1" t="str">
        <f ca="1">IFERROR(__xludf.DUMMYFUNCTION("""COMPUTED_VALUE"""),"Individuals At Risk, Refugee and Migrant Rights")</f>
        <v>Individuals At Risk, Refugee and Migrant Rights</v>
      </c>
      <c r="I1743" s="1" t="str">
        <f ca="1">IFERROR(__xludf.DUMMYFUNCTION("""COMPUTED_VALUE"""),"2024")</f>
        <v>2024</v>
      </c>
      <c r="J1743" s="1" t="str">
        <f ca="1">IFERROR(__xludf.DUMMYFUNCTION("""COMPUTED_VALUE"""),"Email")</f>
        <v>Email</v>
      </c>
    </row>
    <row r="1744" spans="1:10" ht="13" x14ac:dyDescent="0.15">
      <c r="A1744" s="4">
        <f ca="1">IFERROR(__xludf.DUMMYFUNCTION("""COMPUTED_VALUE"""),200545729)</f>
        <v>200545729</v>
      </c>
      <c r="B1744" s="1" t="str">
        <f ca="1">IFERROR(__xludf.DUMMYFUNCTION("""COMPUTED_VALUE"""),"smbitney@gmail.com")</f>
        <v>smbitney@gmail.com</v>
      </c>
      <c r="C1744" s="4" t="str">
        <f ca="1">IFERROR(__xludf.DUMMYFUNCTION("""COMPUTED_VALUE"""),"EVERGREEN - UAN Gated Content - Embedded Petition")</f>
        <v>EVERGREEN - UAN Gated Content - Embedded Petition</v>
      </c>
      <c r="D1744" s="5">
        <f ca="1">IFERROR(__xludf.DUMMYFUNCTION("""COMPUTED_VALUE"""),45694)</f>
        <v>45694</v>
      </c>
      <c r="F1744" s="1" t="str">
        <f ca="1">IFERROR(__xludf.DUMMYFUNCTION("""COMPUTED_VALUE"""),"Venezuela")</f>
        <v>Venezuela</v>
      </c>
      <c r="G1744" s="1" t="str">
        <f ca="1">IFERROR(__xludf.DUMMYFUNCTION("""COMPUTED_VALUE"""),"97.24 Venezuela")</f>
        <v>97.24 Venezuela</v>
      </c>
      <c r="H1744" s="1" t="str">
        <f ca="1">IFERROR(__xludf.DUMMYFUNCTION("""COMPUTED_VALUE"""),"Freedom of Expression")</f>
        <v>Freedom of Expression</v>
      </c>
      <c r="I1744" s="1" t="str">
        <f ca="1">IFERROR(__xludf.DUMMYFUNCTION("""COMPUTED_VALUE"""),"2024")</f>
        <v>2024</v>
      </c>
      <c r="J1744" s="1" t="str">
        <f ca="1">IFERROR(__xludf.DUMMYFUNCTION("""COMPUTED_VALUE"""),"Letter")</f>
        <v>Letter</v>
      </c>
    </row>
    <row r="1745" spans="1:10" ht="13" x14ac:dyDescent="0.15">
      <c r="A1745" s="4">
        <f ca="1">IFERROR(__xludf.DUMMYFUNCTION("""COMPUTED_VALUE"""),200809966)</f>
        <v>200809966</v>
      </c>
      <c r="B1745" s="1" t="str">
        <f ca="1">IFERROR(__xludf.DUMMYFUNCTION("""COMPUTED_VALUE"""),"pattianderson60@yahoo.com")</f>
        <v>pattianderson60@yahoo.com</v>
      </c>
      <c r="C1745" s="4" t="str">
        <f ca="1">IFERROR(__xludf.DUMMYFUNCTION("""COMPUTED_VALUE"""),"EVERGREEN - UAN Gated Content - Embedded Petition")</f>
        <v>EVERGREEN - UAN Gated Content - Embedded Petition</v>
      </c>
      <c r="D1745" s="5">
        <f ca="1">IFERROR(__xludf.DUMMYFUNCTION("""COMPUTED_VALUE"""),45696)</f>
        <v>45696</v>
      </c>
      <c r="F1745" s="1" t="str">
        <f ca="1">IFERROR(__xludf.DUMMYFUNCTION("""COMPUTED_VALUE"""),"USA")</f>
        <v>USA</v>
      </c>
      <c r="G1745" s="1" t="str">
        <f ca="1">IFERROR(__xludf.DUMMYFUNCTION("""COMPUTED_VALUE"""),"105.24 USA")</f>
        <v>105.24 USA</v>
      </c>
      <c r="H1745" s="1" t="str">
        <f ca="1">IFERROR(__xludf.DUMMYFUNCTION("""COMPUTED_VALUE"""),"Death Penalty")</f>
        <v>Death Penalty</v>
      </c>
      <c r="I1745" s="1" t="str">
        <f ca="1">IFERROR(__xludf.DUMMYFUNCTION("""COMPUTED_VALUE"""),"2024")</f>
        <v>2024</v>
      </c>
      <c r="J1745" s="1" t="str">
        <f ca="1">IFERROR(__xludf.DUMMYFUNCTION("""COMPUTED_VALUE"""),"Email")</f>
        <v>Email</v>
      </c>
    </row>
    <row r="1746" spans="1:10" ht="13" x14ac:dyDescent="0.15">
      <c r="A1746" s="4">
        <f ca="1">IFERROR(__xludf.DUMMYFUNCTION("""COMPUTED_VALUE"""),201190809)</f>
        <v>201190809</v>
      </c>
      <c r="B1746" s="1" t="str">
        <f ca="1">IFERROR(__xludf.DUMMYFUNCTION("""COMPUTED_VALUE"""),"nancy.obyrne@currently.com")</f>
        <v>nancy.obyrne@currently.com</v>
      </c>
      <c r="C1746" s="4" t="str">
        <f ca="1">IFERROR(__xludf.DUMMYFUNCTION("""COMPUTED_VALUE"""),"EVERGREEN - UAN Gated Content - Embedded Petition")</f>
        <v>EVERGREEN - UAN Gated Content - Embedded Petition</v>
      </c>
      <c r="D1746" s="5">
        <f ca="1">IFERROR(__xludf.DUMMYFUNCTION("""COMPUTED_VALUE"""),45694)</f>
        <v>45694</v>
      </c>
      <c r="F1746" s="1" t="str">
        <f ca="1">IFERROR(__xludf.DUMMYFUNCTION("""COMPUTED_VALUE"""),"USA")</f>
        <v>USA</v>
      </c>
      <c r="G1746" s="1" t="str">
        <f ca="1">IFERROR(__xludf.DUMMYFUNCTION("""COMPUTED_VALUE"""),"105.24 USA")</f>
        <v>105.24 USA</v>
      </c>
      <c r="H1746" s="1" t="str">
        <f ca="1">IFERROR(__xludf.DUMMYFUNCTION("""COMPUTED_VALUE"""),"Death Penalty")</f>
        <v>Death Penalty</v>
      </c>
      <c r="I1746" s="1" t="str">
        <f ca="1">IFERROR(__xludf.DUMMYFUNCTION("""COMPUTED_VALUE"""),"2024")</f>
        <v>2024</v>
      </c>
      <c r="J1746" s="1" t="str">
        <f ca="1">IFERROR(__xludf.DUMMYFUNCTION("""COMPUTED_VALUE"""),"Email")</f>
        <v>Email</v>
      </c>
    </row>
    <row r="1747" spans="1:10" ht="13" x14ac:dyDescent="0.15">
      <c r="A1747" s="4">
        <f ca="1">IFERROR(__xludf.DUMMYFUNCTION("""COMPUTED_VALUE"""),201561805)</f>
        <v>201561805</v>
      </c>
      <c r="B1747" s="1" t="str">
        <f ca="1">IFERROR(__xludf.DUMMYFUNCTION("""COMPUTED_VALUE"""),"mccpax@gmail.com")</f>
        <v>mccpax@gmail.com</v>
      </c>
      <c r="C1747" s="4" t="str">
        <f ca="1">IFERROR(__xludf.DUMMYFUNCTION("""COMPUTED_VALUE"""),"EVERGREEN - UAN Gated Content - Embedded Petition")</f>
        <v>EVERGREEN - UAN Gated Content - Embedded Petition</v>
      </c>
      <c r="D1747" s="5">
        <f ca="1">IFERROR(__xludf.DUMMYFUNCTION("""COMPUTED_VALUE"""),45694)</f>
        <v>45694</v>
      </c>
      <c r="F1747" s="1" t="str">
        <f ca="1">IFERROR(__xludf.DUMMYFUNCTION("""COMPUTED_VALUE"""),"USA")</f>
        <v>USA</v>
      </c>
      <c r="G1747" s="1" t="str">
        <f ca="1">IFERROR(__xludf.DUMMYFUNCTION("""COMPUTED_VALUE"""),"4.25 USA")</f>
        <v>4.25 USA</v>
      </c>
      <c r="H1747" s="1" t="str">
        <f ca="1">IFERROR(__xludf.DUMMYFUNCTION("""COMPUTED_VALUE"""),"Individuals At Risk, Refugee and Migrant Rights")</f>
        <v>Individuals At Risk, Refugee and Migrant Rights</v>
      </c>
      <c r="I1747" s="1" t="str">
        <f ca="1">IFERROR(__xludf.DUMMYFUNCTION("""COMPUTED_VALUE"""),"2025")</f>
        <v>2025</v>
      </c>
      <c r="J1747" s="1" t="str">
        <f ca="1">IFERROR(__xludf.DUMMYFUNCTION("""COMPUTED_VALUE"""),"Letter")</f>
        <v>Letter</v>
      </c>
    </row>
    <row r="1748" spans="1:10" ht="13" x14ac:dyDescent="0.15">
      <c r="A1748" s="4">
        <f ca="1">IFERROR(__xludf.DUMMYFUNCTION("""COMPUTED_VALUE"""),201561805)</f>
        <v>201561805</v>
      </c>
      <c r="B1748" s="1" t="str">
        <f ca="1">IFERROR(__xludf.DUMMYFUNCTION("""COMPUTED_VALUE"""),"mccpax@gmail.com")</f>
        <v>mccpax@gmail.com</v>
      </c>
      <c r="C1748" s="4" t="str">
        <f ca="1">IFERROR(__xludf.DUMMYFUNCTION("""COMPUTED_VALUE"""),"EVERGREEN - UAN Gated Content - Embedded Petition")</f>
        <v>EVERGREEN - UAN Gated Content - Embedded Petition</v>
      </c>
      <c r="D1748" s="5">
        <f ca="1">IFERROR(__xludf.DUMMYFUNCTION("""COMPUTED_VALUE"""),45686)</f>
        <v>45686</v>
      </c>
      <c r="F1748" s="1" t="str">
        <f ca="1">IFERROR(__xludf.DUMMYFUNCTION("""COMPUTED_VALUE"""),"Iran")</f>
        <v>Iran</v>
      </c>
      <c r="G1748" s="1" t="str">
        <f ca="1">IFERROR(__xludf.DUMMYFUNCTION("""COMPUTED_VALUE"""),"Seventh 103.22 Iran")</f>
        <v>Seventh 103.22 Iran</v>
      </c>
      <c r="H1748" s="1" t="str">
        <f ca="1">IFERROR(__xludf.DUMMYFUNCTION("""COMPUTED_VALUE"""),"Death Penalty, Freedom of Expression, Individuals At Risk")</f>
        <v>Death Penalty, Freedom of Expression, Individuals At Risk</v>
      </c>
      <c r="I1748" s="1" t="str">
        <f ca="1">IFERROR(__xludf.DUMMYFUNCTION("""COMPUTED_VALUE"""),"2024")</f>
        <v>2024</v>
      </c>
      <c r="J1748" s="1" t="str">
        <f ca="1">IFERROR(__xludf.DUMMYFUNCTION("""COMPUTED_VALUE"""),"Email")</f>
        <v>Email</v>
      </c>
    </row>
    <row r="1749" spans="1:10" ht="13" x14ac:dyDescent="0.15">
      <c r="A1749" s="4">
        <f ca="1">IFERROR(__xludf.DUMMYFUNCTION("""COMPUTED_VALUE"""),201872392)</f>
        <v>201872392</v>
      </c>
      <c r="B1749" s="1" t="str">
        <f ca="1">IFERROR(__xludf.DUMMYFUNCTION("""COMPUTED_VALUE"""),"mabbott14214@yahoo.com")</f>
        <v>mabbott14214@yahoo.com</v>
      </c>
      <c r="C1749" s="4" t="str">
        <f ca="1">IFERROR(__xludf.DUMMYFUNCTION("""COMPUTED_VALUE"""),"EVERGREEN - UAN Gated Content - Embedded Petition")</f>
        <v>EVERGREEN - UAN Gated Content - Embedded Petition</v>
      </c>
      <c r="D1749" s="5">
        <f ca="1">IFERROR(__xludf.DUMMYFUNCTION("""COMPUTED_VALUE"""),45698)</f>
        <v>45698</v>
      </c>
      <c r="F1749" s="1" t="str">
        <f ca="1">IFERROR(__xludf.DUMMYFUNCTION("""COMPUTED_VALUE"""),"Tunisia")</f>
        <v>Tunisia</v>
      </c>
      <c r="G1749" s="1" t="str">
        <f ca="1">IFERROR(__xludf.DUMMYFUNCTION("""COMPUTED_VALUE"""),"Second 76.24 Tunisia")</f>
        <v>Second 76.24 Tunisia</v>
      </c>
      <c r="H1749" s="1" t="str">
        <f ca="1">IFERROR(__xludf.DUMMYFUNCTION("""COMPUTED_VALUE"""),"Freedom of Expression, Human Rights Defenders")</f>
        <v>Freedom of Expression, Human Rights Defenders</v>
      </c>
      <c r="I1749" s="1" t="str">
        <f ca="1">IFERROR(__xludf.DUMMYFUNCTION("""COMPUTED_VALUE"""),"2025")</f>
        <v>2025</v>
      </c>
      <c r="J1749" s="1" t="str">
        <f ca="1">IFERROR(__xludf.DUMMYFUNCTION("""COMPUTED_VALUE"""),"Email")</f>
        <v>Email</v>
      </c>
    </row>
    <row r="1750" spans="1:10" ht="13" x14ac:dyDescent="0.15">
      <c r="A1750" s="4">
        <f ca="1">IFERROR(__xludf.DUMMYFUNCTION("""COMPUTED_VALUE"""),201874257)</f>
        <v>201874257</v>
      </c>
      <c r="B1750" s="1" t="str">
        <f ca="1">IFERROR(__xludf.DUMMYFUNCTION("""COMPUTED_VALUE"""),"brooksrobinson335@yahoo.com")</f>
        <v>brooksrobinson335@yahoo.com</v>
      </c>
      <c r="C1750" s="4" t="str">
        <f ca="1">IFERROR(__xludf.DUMMYFUNCTION("""COMPUTED_VALUE"""),"EVERGREEN - UAN Gated Content - Embedded Petition")</f>
        <v>EVERGREEN - UAN Gated Content - Embedded Petition</v>
      </c>
      <c r="D1750" s="5">
        <f ca="1">IFERROR(__xludf.DUMMYFUNCTION("""COMPUTED_VALUE"""),45694)</f>
        <v>45694</v>
      </c>
      <c r="F1750" s="1" t="str">
        <f ca="1">IFERROR(__xludf.DUMMYFUNCTION("""COMPUTED_VALUE"""),"Tunisia")</f>
        <v>Tunisia</v>
      </c>
      <c r="G1750" s="1" t="str">
        <f ca="1">IFERROR(__xludf.DUMMYFUNCTION("""COMPUTED_VALUE"""),"Second 76.24 Tunisia")</f>
        <v>Second 76.24 Tunisia</v>
      </c>
      <c r="H1750" s="1" t="str">
        <f ca="1">IFERROR(__xludf.DUMMYFUNCTION("""COMPUTED_VALUE"""),"Freedom of Expression, Human Rights Defenders")</f>
        <v>Freedom of Expression, Human Rights Defenders</v>
      </c>
      <c r="I1750" s="1" t="str">
        <f ca="1">IFERROR(__xludf.DUMMYFUNCTION("""COMPUTED_VALUE"""),"2025")</f>
        <v>2025</v>
      </c>
      <c r="J1750" s="1" t="str">
        <f ca="1">IFERROR(__xludf.DUMMYFUNCTION("""COMPUTED_VALUE"""),"Email")</f>
        <v>Email</v>
      </c>
    </row>
    <row r="1751" spans="1:10" ht="13" x14ac:dyDescent="0.15">
      <c r="A1751" s="4">
        <f ca="1">IFERROR(__xludf.DUMMYFUNCTION("""COMPUTED_VALUE"""),201874257)</f>
        <v>201874257</v>
      </c>
      <c r="B1751" s="1" t="str">
        <f ca="1">IFERROR(__xludf.DUMMYFUNCTION("""COMPUTED_VALUE"""),"brooksrobinson335@yahoo.com")</f>
        <v>brooksrobinson335@yahoo.com</v>
      </c>
      <c r="C1751" s="4" t="str">
        <f ca="1">IFERROR(__xludf.DUMMYFUNCTION("""COMPUTED_VALUE"""),"EVERGREEN - UAN Gated Content - Embedded Petition")</f>
        <v>EVERGREEN - UAN Gated Content - Embedded Petition</v>
      </c>
      <c r="D1751" s="5">
        <f ca="1">IFERROR(__xludf.DUMMYFUNCTION("""COMPUTED_VALUE"""),45693)</f>
        <v>45693</v>
      </c>
      <c r="F1751" s="1" t="str">
        <f ca="1">IFERROR(__xludf.DUMMYFUNCTION("""COMPUTED_VALUE"""),"USA")</f>
        <v>USA</v>
      </c>
      <c r="G1751" s="1" t="str">
        <f ca="1">IFERROR(__xludf.DUMMYFUNCTION("""COMPUTED_VALUE"""),"105.24 USA")</f>
        <v>105.24 USA</v>
      </c>
      <c r="H1751" s="1" t="str">
        <f ca="1">IFERROR(__xludf.DUMMYFUNCTION("""COMPUTED_VALUE"""),"Death Penalty")</f>
        <v>Death Penalty</v>
      </c>
      <c r="I1751" s="1" t="str">
        <f ca="1">IFERROR(__xludf.DUMMYFUNCTION("""COMPUTED_VALUE"""),"2024")</f>
        <v>2024</v>
      </c>
      <c r="J1751" s="1" t="str">
        <f ca="1">IFERROR(__xludf.DUMMYFUNCTION("""COMPUTED_VALUE"""),"Email")</f>
        <v>Email</v>
      </c>
    </row>
    <row r="1752" spans="1:10" ht="13" x14ac:dyDescent="0.15">
      <c r="A1752" s="4">
        <f ca="1">IFERROR(__xludf.DUMMYFUNCTION("""COMPUTED_VALUE"""),202305675)</f>
        <v>202305675</v>
      </c>
      <c r="B1752" s="1" t="str">
        <f ca="1">IFERROR(__xludf.DUMMYFUNCTION("""COMPUTED_VALUE"""),"margaretsheeran515@gmail.com")</f>
        <v>margaretsheeran515@gmail.com</v>
      </c>
      <c r="C1752" s="4" t="str">
        <f ca="1">IFERROR(__xludf.DUMMYFUNCTION("""COMPUTED_VALUE"""),"EVERGREEN - UAN Gated Content - Embedded Petition")</f>
        <v>EVERGREEN - UAN Gated Content - Embedded Petition</v>
      </c>
      <c r="D1752" s="5">
        <f ca="1">IFERROR(__xludf.DUMMYFUNCTION("""COMPUTED_VALUE"""),45658)</f>
        <v>45658</v>
      </c>
      <c r="F1752" s="1" t="str">
        <f ca="1">IFERROR(__xludf.DUMMYFUNCTION("""COMPUTED_VALUE"""),"USA")</f>
        <v>USA</v>
      </c>
      <c r="G1752" s="1" t="str">
        <f ca="1">IFERROR(__xludf.DUMMYFUNCTION("""COMPUTED_VALUE"""),"105.24 USA")</f>
        <v>105.24 USA</v>
      </c>
      <c r="H1752" s="1" t="str">
        <f ca="1">IFERROR(__xludf.DUMMYFUNCTION("""COMPUTED_VALUE"""),"Death Penalty")</f>
        <v>Death Penalty</v>
      </c>
      <c r="I1752" s="1" t="str">
        <f ca="1">IFERROR(__xludf.DUMMYFUNCTION("""COMPUTED_VALUE"""),"2024")</f>
        <v>2024</v>
      </c>
      <c r="J1752" s="1" t="str">
        <f ca="1">IFERROR(__xludf.DUMMYFUNCTION("""COMPUTED_VALUE"""),"Email")</f>
        <v>Email</v>
      </c>
    </row>
    <row r="1753" spans="1:10" ht="13" x14ac:dyDescent="0.15">
      <c r="A1753" s="4">
        <f ca="1">IFERROR(__xludf.DUMMYFUNCTION("""COMPUTED_VALUE"""),202305675)</f>
        <v>202305675</v>
      </c>
      <c r="B1753" s="1" t="str">
        <f ca="1">IFERROR(__xludf.DUMMYFUNCTION("""COMPUTED_VALUE"""),"margaretsheeran515@gmail.com")</f>
        <v>margaretsheeran515@gmail.com</v>
      </c>
      <c r="C1753" s="4" t="str">
        <f ca="1">IFERROR(__xludf.DUMMYFUNCTION("""COMPUTED_VALUE"""),"EVERGREEN - UAN Gated Content - Embedded Petition")</f>
        <v>EVERGREEN - UAN Gated Content - Embedded Petition</v>
      </c>
      <c r="D1753" s="5">
        <f ca="1">IFERROR(__xludf.DUMMYFUNCTION("""COMPUTED_VALUE"""),45637)</f>
        <v>45637</v>
      </c>
      <c r="F1753" s="1" t="str">
        <f ca="1">IFERROR(__xludf.DUMMYFUNCTION("""COMPUTED_VALUE"""),"Israel and Occupied Palestinian Territories")</f>
        <v>Israel and Occupied Palestinian Territories</v>
      </c>
      <c r="G1753" s="1" t="str">
        <f ca="1">IFERROR(__xludf.DUMMYFUNCTION("""COMPUTED_VALUE"""),"3.25 IOPT")</f>
        <v>3.25 IOPT</v>
      </c>
      <c r="H1753" s="1" t="str">
        <f ca="1">IFERROR(__xludf.DUMMYFUNCTION("""COMPUTED_VALUE"""),"Freedom of Expression, Individuals At Risk")</f>
        <v>Freedom of Expression, Individuals At Risk</v>
      </c>
      <c r="I1753" s="1" t="str">
        <f ca="1">IFERROR(__xludf.DUMMYFUNCTION("""COMPUTED_VALUE"""),"2025")</f>
        <v>2025</v>
      </c>
      <c r="J1753" s="1" t="str">
        <f ca="1">IFERROR(__xludf.DUMMYFUNCTION("""COMPUTED_VALUE"""),"Email")</f>
        <v>Email</v>
      </c>
    </row>
    <row r="1754" spans="1:10" ht="13" x14ac:dyDescent="0.15">
      <c r="A1754" s="4">
        <f ca="1">IFERROR(__xludf.DUMMYFUNCTION("""COMPUTED_VALUE"""),202305675)</f>
        <v>202305675</v>
      </c>
      <c r="B1754" s="1" t="str">
        <f ca="1">IFERROR(__xludf.DUMMYFUNCTION("""COMPUTED_VALUE"""),"margaretsheeran515@gmail.com")</f>
        <v>margaretsheeran515@gmail.com</v>
      </c>
      <c r="C1754" s="4" t="str">
        <f ca="1">IFERROR(__xludf.DUMMYFUNCTION("""COMPUTED_VALUE"""),"EVERGREEN - UAN Gated Content - Embedded Petition")</f>
        <v>EVERGREEN - UAN Gated Content - Embedded Petition</v>
      </c>
      <c r="D1754" s="5">
        <f ca="1">IFERROR(__xludf.DUMMYFUNCTION("""COMPUTED_VALUE"""),45635)</f>
        <v>45635</v>
      </c>
      <c r="F1754" s="1" t="str">
        <f ca="1">IFERROR(__xludf.DUMMYFUNCTION("""COMPUTED_VALUE"""),"Tunisia")</f>
        <v>Tunisia</v>
      </c>
      <c r="G1754" s="1" t="str">
        <f ca="1">IFERROR(__xludf.DUMMYFUNCTION("""COMPUTED_VALUE"""),"Second 76.24 Tunisia")</f>
        <v>Second 76.24 Tunisia</v>
      </c>
      <c r="H1754" s="1" t="str">
        <f ca="1">IFERROR(__xludf.DUMMYFUNCTION("""COMPUTED_VALUE"""),"Freedom of Expression, Human Rights Defenders")</f>
        <v>Freedom of Expression, Human Rights Defenders</v>
      </c>
      <c r="I1754" s="1" t="str">
        <f ca="1">IFERROR(__xludf.DUMMYFUNCTION("""COMPUTED_VALUE"""),"2025")</f>
        <v>2025</v>
      </c>
      <c r="J1754" s="1" t="str">
        <f ca="1">IFERROR(__xludf.DUMMYFUNCTION("""COMPUTED_VALUE"""),"Email")</f>
        <v>Email</v>
      </c>
    </row>
    <row r="1755" spans="1:10" ht="13" x14ac:dyDescent="0.15">
      <c r="A1755" s="4">
        <f ca="1">IFERROR(__xludf.DUMMYFUNCTION("""COMPUTED_VALUE"""),202305675)</f>
        <v>202305675</v>
      </c>
      <c r="B1755" s="1" t="str">
        <f ca="1">IFERROR(__xludf.DUMMYFUNCTION("""COMPUTED_VALUE"""),"margaretsheeran515@gmail.com")</f>
        <v>margaretsheeran515@gmail.com</v>
      </c>
      <c r="C1755" s="4" t="str">
        <f ca="1">IFERROR(__xludf.DUMMYFUNCTION("""COMPUTED_VALUE"""),"EVERGREEN - UAN Gated Content - Embedded Petition")</f>
        <v>EVERGREEN - UAN Gated Content - Embedded Petition</v>
      </c>
      <c r="D1755" s="5">
        <f ca="1">IFERROR(__xludf.DUMMYFUNCTION("""COMPUTED_VALUE"""),45663)</f>
        <v>45663</v>
      </c>
      <c r="F1755" s="1" t="str">
        <f ca="1">IFERROR(__xludf.DUMMYFUNCTION("""COMPUTED_VALUE"""),"Israel and Occupied Palestinian Territories")</f>
        <v>Israel and Occupied Palestinian Territories</v>
      </c>
      <c r="G1755" s="1" t="str">
        <f ca="1">IFERROR(__xludf.DUMMYFUNCTION("""COMPUTED_VALUE"""),"3.25 IOPT")</f>
        <v>3.25 IOPT</v>
      </c>
      <c r="H1755" s="1" t="str">
        <f ca="1">IFERROR(__xludf.DUMMYFUNCTION("""COMPUTED_VALUE"""),"Freedom of Expression, Individuals At Risk")</f>
        <v>Freedom of Expression, Individuals At Risk</v>
      </c>
      <c r="I1755" s="1" t="str">
        <f ca="1">IFERROR(__xludf.DUMMYFUNCTION("""COMPUTED_VALUE"""),"2025")</f>
        <v>2025</v>
      </c>
      <c r="J1755" s="1" t="str">
        <f ca="1">IFERROR(__xludf.DUMMYFUNCTION("""COMPUTED_VALUE"""),"Email")</f>
        <v>Email</v>
      </c>
    </row>
    <row r="1756" spans="1:10" ht="13" x14ac:dyDescent="0.15">
      <c r="A1756" s="4">
        <f ca="1">IFERROR(__xludf.DUMMYFUNCTION("""COMPUTED_VALUE"""),202305675)</f>
        <v>202305675</v>
      </c>
      <c r="B1756" s="1" t="str">
        <f ca="1">IFERROR(__xludf.DUMMYFUNCTION("""COMPUTED_VALUE"""),"margaretsheeran515@gmail.com")</f>
        <v>margaretsheeran515@gmail.com</v>
      </c>
      <c r="C1756" s="4" t="str">
        <f ca="1">IFERROR(__xludf.DUMMYFUNCTION("""COMPUTED_VALUE"""),"EVERGREEN - UAN Gated Content - Embedded Petition")</f>
        <v>EVERGREEN - UAN Gated Content - Embedded Petition</v>
      </c>
      <c r="D1756" s="5">
        <f ca="1">IFERROR(__xludf.DUMMYFUNCTION("""COMPUTED_VALUE"""),45699)</f>
        <v>45699</v>
      </c>
      <c r="F1756" s="1" t="str">
        <f ca="1">IFERROR(__xludf.DUMMYFUNCTION("""COMPUTED_VALUE"""),"USA")</f>
        <v>USA</v>
      </c>
      <c r="G1756" s="1" t="str">
        <f ca="1">IFERROR(__xludf.DUMMYFUNCTION("""COMPUTED_VALUE"""),"4.25 USA")</f>
        <v>4.25 USA</v>
      </c>
      <c r="H1756" s="1" t="str">
        <f ca="1">IFERROR(__xludf.DUMMYFUNCTION("""COMPUTED_VALUE"""),"Individuals At Risk, Refugee and Migrant Rights")</f>
        <v>Individuals At Risk, Refugee and Migrant Rights</v>
      </c>
      <c r="I1756" s="1" t="str">
        <f ca="1">IFERROR(__xludf.DUMMYFUNCTION("""COMPUTED_VALUE"""),"2025")</f>
        <v>2025</v>
      </c>
      <c r="J1756" s="1" t="str">
        <f ca="1">IFERROR(__xludf.DUMMYFUNCTION("""COMPUTED_VALUE"""),"Letter")</f>
        <v>Letter</v>
      </c>
    </row>
    <row r="1757" spans="1:10" ht="13" x14ac:dyDescent="0.15">
      <c r="A1757" s="4">
        <f ca="1">IFERROR(__xludf.DUMMYFUNCTION("""COMPUTED_VALUE"""),202305675)</f>
        <v>202305675</v>
      </c>
      <c r="B1757" s="1" t="str">
        <f ca="1">IFERROR(__xludf.DUMMYFUNCTION("""COMPUTED_VALUE"""),"margaretsheeran515@gmail.com")</f>
        <v>margaretsheeran515@gmail.com</v>
      </c>
      <c r="C1757" s="4" t="str">
        <f ca="1">IFERROR(__xludf.DUMMYFUNCTION("""COMPUTED_VALUE"""),"EVERGREEN - UAN Gated Content - Embedded Petition")</f>
        <v>EVERGREEN - UAN Gated Content - Embedded Petition</v>
      </c>
      <c r="D1757" s="5">
        <f ca="1">IFERROR(__xludf.DUMMYFUNCTION("""COMPUTED_VALUE"""),45677)</f>
        <v>45677</v>
      </c>
      <c r="F1757" s="1" t="str">
        <f ca="1">IFERROR(__xludf.DUMMYFUNCTION("""COMPUTED_VALUE"""),"Niger")</f>
        <v>Niger</v>
      </c>
      <c r="G1757" s="1" t="str">
        <f ca="1">IFERROR(__xludf.DUMMYFUNCTION("""COMPUTED_VALUE"""),"103.24 Niger")</f>
        <v>103.24 Niger</v>
      </c>
      <c r="H1757" s="1" t="str">
        <f ca="1">IFERROR(__xludf.DUMMYFUNCTION("""COMPUTED_VALUE"""),"Freedom of Expression, Human Rights Defenders")</f>
        <v>Freedom of Expression, Human Rights Defenders</v>
      </c>
      <c r="I1757" s="1" t="str">
        <f ca="1">IFERROR(__xludf.DUMMYFUNCTION("""COMPUTED_VALUE"""),"2024")</f>
        <v>2024</v>
      </c>
      <c r="J1757" s="1" t="str">
        <f ca="1">IFERROR(__xludf.DUMMYFUNCTION("""COMPUTED_VALUE"""),"Email")</f>
        <v>Email</v>
      </c>
    </row>
    <row r="1758" spans="1:10" ht="13" x14ac:dyDescent="0.15">
      <c r="A1758" s="4">
        <f ca="1">IFERROR(__xludf.DUMMYFUNCTION("""COMPUTED_VALUE"""),202305675)</f>
        <v>202305675</v>
      </c>
      <c r="B1758" s="1" t="str">
        <f ca="1">IFERROR(__xludf.DUMMYFUNCTION("""COMPUTED_VALUE"""),"margaretsheeran515@gmail.com")</f>
        <v>margaretsheeran515@gmail.com</v>
      </c>
      <c r="C1758" s="4" t="str">
        <f ca="1">IFERROR(__xludf.DUMMYFUNCTION("""COMPUTED_VALUE"""),"EVERGREEN - UAN Gated Content - Embedded Petition")</f>
        <v>EVERGREEN - UAN Gated Content - Embedded Petition</v>
      </c>
      <c r="D1758" s="5">
        <f ca="1">IFERROR(__xludf.DUMMYFUNCTION("""COMPUTED_VALUE"""),45657)</f>
        <v>45657</v>
      </c>
      <c r="F1758" s="1" t="str">
        <f ca="1">IFERROR(__xludf.DUMMYFUNCTION("""COMPUTED_VALUE"""),"Iran")</f>
        <v>Iran</v>
      </c>
      <c r="G1758" s="1" t="str">
        <f ca="1">IFERROR(__xludf.DUMMYFUNCTION("""COMPUTED_VALUE"""),"Seventh 103.22 Iran")</f>
        <v>Seventh 103.22 Iran</v>
      </c>
      <c r="H1758" s="1" t="str">
        <f ca="1">IFERROR(__xludf.DUMMYFUNCTION("""COMPUTED_VALUE"""),"Death Penalty, Freedom of Expression, Individuals At Risk")</f>
        <v>Death Penalty, Freedom of Expression, Individuals At Risk</v>
      </c>
      <c r="I1758" s="1" t="str">
        <f ca="1">IFERROR(__xludf.DUMMYFUNCTION("""COMPUTED_VALUE"""),"2024")</f>
        <v>2024</v>
      </c>
      <c r="J1758" s="1" t="str">
        <f ca="1">IFERROR(__xludf.DUMMYFUNCTION("""COMPUTED_VALUE"""),"Email")</f>
        <v>Email</v>
      </c>
    </row>
    <row r="1759" spans="1:10" ht="13" x14ac:dyDescent="0.15">
      <c r="A1759" s="4">
        <f ca="1">IFERROR(__xludf.DUMMYFUNCTION("""COMPUTED_VALUE"""),202305675)</f>
        <v>202305675</v>
      </c>
      <c r="B1759" s="1" t="str">
        <f ca="1">IFERROR(__xludf.DUMMYFUNCTION("""COMPUTED_VALUE"""),"margaretsheeran515@gmail.com")</f>
        <v>margaretsheeran515@gmail.com</v>
      </c>
      <c r="C1759" s="4" t="str">
        <f ca="1">IFERROR(__xludf.DUMMYFUNCTION("""COMPUTED_VALUE"""),"EVERGREEN - UAN Gated Content - Embedded Petition")</f>
        <v>EVERGREEN - UAN Gated Content - Embedded Petition</v>
      </c>
      <c r="D1759" s="5">
        <f ca="1">IFERROR(__xludf.DUMMYFUNCTION("""COMPUTED_VALUE"""),45657)</f>
        <v>45657</v>
      </c>
      <c r="F1759" s="1" t="str">
        <f ca="1">IFERROR(__xludf.DUMMYFUNCTION("""COMPUTED_VALUE"""),"USA")</f>
        <v>USA</v>
      </c>
      <c r="G1759" s="1" t="str">
        <f ca="1">IFERROR(__xludf.DUMMYFUNCTION("""COMPUTED_VALUE"""),"96.24 USA")</f>
        <v>96.24 USA</v>
      </c>
      <c r="H1759" s="1" t="str">
        <f ca="1">IFERROR(__xludf.DUMMYFUNCTION("""COMPUTED_VALUE"""),"Death Penalty")</f>
        <v>Death Penalty</v>
      </c>
      <c r="I1759" s="1" t="str">
        <f ca="1">IFERROR(__xludf.DUMMYFUNCTION("""COMPUTED_VALUE"""),"2024")</f>
        <v>2024</v>
      </c>
      <c r="J1759" s="1" t="str">
        <f ca="1">IFERROR(__xludf.DUMMYFUNCTION("""COMPUTED_VALUE"""),"Email")</f>
        <v>Email</v>
      </c>
    </row>
    <row r="1760" spans="1:10" ht="13" x14ac:dyDescent="0.15">
      <c r="A1760" s="4">
        <f ca="1">IFERROR(__xludf.DUMMYFUNCTION("""COMPUTED_VALUE"""),202305675)</f>
        <v>202305675</v>
      </c>
      <c r="B1760" s="1" t="str">
        <f ca="1">IFERROR(__xludf.DUMMYFUNCTION("""COMPUTED_VALUE"""),"margaretsheeran515@gmail.com")</f>
        <v>margaretsheeran515@gmail.com</v>
      </c>
      <c r="C1760" s="4" t="str">
        <f ca="1">IFERROR(__xludf.DUMMYFUNCTION("""COMPUTED_VALUE"""),"EVERGREEN - UAN Gated Content - Embedded Petition")</f>
        <v>EVERGREEN - UAN Gated Content - Embedded Petition</v>
      </c>
      <c r="D1760" s="5">
        <f ca="1">IFERROR(__xludf.DUMMYFUNCTION("""COMPUTED_VALUE"""),45635)</f>
        <v>45635</v>
      </c>
      <c r="F1760" s="1" t="str">
        <f ca="1">IFERROR(__xludf.DUMMYFUNCTION("""COMPUTED_VALUE"""),"Tunisia")</f>
        <v>Tunisia</v>
      </c>
      <c r="G1760" s="1" t="str">
        <f ca="1">IFERROR(__xludf.DUMMYFUNCTION("""COMPUTED_VALUE"""),"Second 76.24 Tunisia")</f>
        <v>Second 76.24 Tunisia</v>
      </c>
      <c r="H1760" s="1" t="str">
        <f ca="1">IFERROR(__xludf.DUMMYFUNCTION("""COMPUTED_VALUE"""),"Freedom of Expression, Human Rights Defenders")</f>
        <v>Freedom of Expression, Human Rights Defenders</v>
      </c>
      <c r="I1760" s="1" t="str">
        <f ca="1">IFERROR(__xludf.DUMMYFUNCTION("""COMPUTED_VALUE"""),"2025")</f>
        <v>2025</v>
      </c>
      <c r="J1760" s="1" t="str">
        <f ca="1">IFERROR(__xludf.DUMMYFUNCTION("""COMPUTED_VALUE"""),"Email")</f>
        <v>Email</v>
      </c>
    </row>
    <row r="1761" spans="1:10" ht="13" x14ac:dyDescent="0.15">
      <c r="A1761" s="4">
        <f ca="1">IFERROR(__xludf.DUMMYFUNCTION("""COMPUTED_VALUE"""),202305675)</f>
        <v>202305675</v>
      </c>
      <c r="B1761" s="1" t="str">
        <f ca="1">IFERROR(__xludf.DUMMYFUNCTION("""COMPUTED_VALUE"""),"margaretsheeran515@gmail.com")</f>
        <v>margaretsheeran515@gmail.com</v>
      </c>
      <c r="C1761" s="4" t="str">
        <f ca="1">IFERROR(__xludf.DUMMYFUNCTION("""COMPUTED_VALUE"""),"EVERGREEN - UAN Gated Content - Embedded Petition")</f>
        <v>EVERGREEN - UAN Gated Content - Embedded Petition</v>
      </c>
      <c r="D1761" s="5">
        <f ca="1">IFERROR(__xludf.DUMMYFUNCTION("""COMPUTED_VALUE"""),45663)</f>
        <v>45663</v>
      </c>
      <c r="F1761" s="1" t="str">
        <f ca="1">IFERROR(__xludf.DUMMYFUNCTION("""COMPUTED_VALUE"""),"USA")</f>
        <v>USA</v>
      </c>
      <c r="G1761" s="1" t="str">
        <f ca="1">IFERROR(__xludf.DUMMYFUNCTION("""COMPUTED_VALUE"""),"4.25 USA")</f>
        <v>4.25 USA</v>
      </c>
      <c r="H1761" s="1" t="str">
        <f ca="1">IFERROR(__xludf.DUMMYFUNCTION("""COMPUTED_VALUE"""),"Individuals At Risk, Refugee and Migrant Rights")</f>
        <v>Individuals At Risk, Refugee and Migrant Rights</v>
      </c>
      <c r="I1761" s="1" t="str">
        <f ca="1">IFERROR(__xludf.DUMMYFUNCTION("""COMPUTED_VALUE"""),"2025")</f>
        <v>2025</v>
      </c>
      <c r="J1761" s="1" t="str">
        <f ca="1">IFERROR(__xludf.DUMMYFUNCTION("""COMPUTED_VALUE"""),"Letter")</f>
        <v>Letter</v>
      </c>
    </row>
    <row r="1762" spans="1:10" ht="13" x14ac:dyDescent="0.15">
      <c r="A1762" s="4">
        <f ca="1">IFERROR(__xludf.DUMMYFUNCTION("""COMPUTED_VALUE"""),202305675)</f>
        <v>202305675</v>
      </c>
      <c r="B1762" s="1" t="str">
        <f ca="1">IFERROR(__xludf.DUMMYFUNCTION("""COMPUTED_VALUE"""),"margaretsheeran515@gmail.com")</f>
        <v>margaretsheeran515@gmail.com</v>
      </c>
      <c r="C1762" s="4" t="str">
        <f ca="1">IFERROR(__xludf.DUMMYFUNCTION("""COMPUTED_VALUE"""),"EVERGREEN - Website Email Capture Form - UAN Pre-Footer")</f>
        <v>EVERGREEN - Website Email Capture Form - UAN Pre-Footer</v>
      </c>
      <c r="D1762" s="5">
        <f ca="1">IFERROR(__xludf.DUMMYFUNCTION("""COMPUTED_VALUE"""),45635)</f>
        <v>45635</v>
      </c>
      <c r="F1762" s="1" t="str">
        <f ca="1">IFERROR(__xludf.DUMMYFUNCTION("""COMPUTED_VALUE"""),"Israel and Occupied Palestinian Territories")</f>
        <v>Israel and Occupied Palestinian Territories</v>
      </c>
      <c r="G1762" s="1" t="str">
        <f ca="1">IFERROR(__xludf.DUMMYFUNCTION("""COMPUTED_VALUE"""),"3.25 IOPT")</f>
        <v>3.25 IOPT</v>
      </c>
      <c r="H1762" s="1" t="str">
        <f ca="1">IFERROR(__xludf.DUMMYFUNCTION("""COMPUTED_VALUE"""),"Freedom of Expression, Individuals At Risk")</f>
        <v>Freedom of Expression, Individuals At Risk</v>
      </c>
      <c r="I1762" s="1" t="str">
        <f ca="1">IFERROR(__xludf.DUMMYFUNCTION("""COMPUTED_VALUE"""),"2025")</f>
        <v>2025</v>
      </c>
      <c r="J1762" s="1" t="str">
        <f ca="1">IFERROR(__xludf.DUMMYFUNCTION("""COMPUTED_VALUE"""),"Email")</f>
        <v>Email</v>
      </c>
    </row>
    <row r="1763" spans="1:10" ht="13" x14ac:dyDescent="0.15">
      <c r="A1763" s="4">
        <f ca="1">IFERROR(__xludf.DUMMYFUNCTION("""COMPUTED_VALUE"""),202543547)</f>
        <v>202543547</v>
      </c>
      <c r="B1763" s="1" t="str">
        <f ca="1">IFERROR(__xludf.DUMMYFUNCTION("""COMPUTED_VALUE"""),"josephzefran@gmail.com")</f>
        <v>josephzefran@gmail.com</v>
      </c>
      <c r="C1763" s="4" t="str">
        <f ca="1">IFERROR(__xludf.DUMMYFUNCTION("""COMPUTED_VALUE"""),"EVERGREEN - UAN Gated Content - Embedded Petition")</f>
        <v>EVERGREEN - UAN Gated Content - Embedded Petition</v>
      </c>
      <c r="D1763" s="5">
        <f ca="1">IFERROR(__xludf.DUMMYFUNCTION("""COMPUTED_VALUE"""),45677)</f>
        <v>45677</v>
      </c>
      <c r="F1763" s="1" t="str">
        <f ca="1">IFERROR(__xludf.DUMMYFUNCTION("""COMPUTED_VALUE"""),"Tunisia")</f>
        <v>Tunisia</v>
      </c>
      <c r="G1763" s="1" t="str">
        <f ca="1">IFERROR(__xludf.DUMMYFUNCTION("""COMPUTED_VALUE"""),"Second 76.24 Tunisia")</f>
        <v>Second 76.24 Tunisia</v>
      </c>
      <c r="H1763" s="1" t="str">
        <f ca="1">IFERROR(__xludf.DUMMYFUNCTION("""COMPUTED_VALUE"""),"Freedom of Expression, Human Rights Defenders")</f>
        <v>Freedom of Expression, Human Rights Defenders</v>
      </c>
      <c r="I1763" s="1" t="str">
        <f ca="1">IFERROR(__xludf.DUMMYFUNCTION("""COMPUTED_VALUE"""),"2025")</f>
        <v>2025</v>
      </c>
      <c r="J1763" s="1" t="str">
        <f ca="1">IFERROR(__xludf.DUMMYFUNCTION("""COMPUTED_VALUE"""),"Email")</f>
        <v>Email</v>
      </c>
    </row>
    <row r="1764" spans="1:10" ht="13" x14ac:dyDescent="0.15">
      <c r="A1764" s="4">
        <f ca="1">IFERROR(__xludf.DUMMYFUNCTION("""COMPUTED_VALUE"""),202543547)</f>
        <v>202543547</v>
      </c>
      <c r="B1764" s="1" t="str">
        <f ca="1">IFERROR(__xludf.DUMMYFUNCTION("""COMPUTED_VALUE"""),"josephzefran@gmail.com")</f>
        <v>josephzefran@gmail.com</v>
      </c>
      <c r="C1764" s="4" t="str">
        <f ca="1">IFERROR(__xludf.DUMMYFUNCTION("""COMPUTED_VALUE"""),"EVERGREEN - UAN Gated Content - Embedded Petition")</f>
        <v>EVERGREEN - UAN Gated Content - Embedded Petition</v>
      </c>
      <c r="D1764" s="5">
        <f ca="1">IFERROR(__xludf.DUMMYFUNCTION("""COMPUTED_VALUE"""),45636)</f>
        <v>45636</v>
      </c>
      <c r="F1764" s="1" t="str">
        <f ca="1">IFERROR(__xludf.DUMMYFUNCTION("""COMPUTED_VALUE"""),"USA")</f>
        <v>USA</v>
      </c>
      <c r="G1764" s="1" t="str">
        <f ca="1">IFERROR(__xludf.DUMMYFUNCTION("""COMPUTED_VALUE"""),"4.25 USA")</f>
        <v>4.25 USA</v>
      </c>
      <c r="H1764" s="1" t="str">
        <f ca="1">IFERROR(__xludf.DUMMYFUNCTION("""COMPUTED_VALUE"""),"Individuals At Risk, Refugee and Migrant Rights")</f>
        <v>Individuals At Risk, Refugee and Migrant Rights</v>
      </c>
      <c r="I1764" s="1" t="str">
        <f ca="1">IFERROR(__xludf.DUMMYFUNCTION("""COMPUTED_VALUE"""),"2025")</f>
        <v>2025</v>
      </c>
      <c r="J1764" s="1" t="str">
        <f ca="1">IFERROR(__xludf.DUMMYFUNCTION("""COMPUTED_VALUE"""),"Letter")</f>
        <v>Letter</v>
      </c>
    </row>
    <row r="1765" spans="1:10" ht="13" x14ac:dyDescent="0.15">
      <c r="A1765" s="4">
        <f ca="1">IFERROR(__xludf.DUMMYFUNCTION("""COMPUTED_VALUE"""),202543547)</f>
        <v>202543547</v>
      </c>
      <c r="B1765" s="1" t="str">
        <f ca="1">IFERROR(__xludf.DUMMYFUNCTION("""COMPUTED_VALUE"""),"josephzefran@gmail.com")</f>
        <v>josephzefran@gmail.com</v>
      </c>
      <c r="C1765" s="4" t="str">
        <f ca="1">IFERROR(__xludf.DUMMYFUNCTION("""COMPUTED_VALUE"""),"EVERGREEN - UAN Gated Content - Embedded Petition")</f>
        <v>EVERGREEN - UAN Gated Content - Embedded Petition</v>
      </c>
      <c r="D1765" s="5">
        <f ca="1">IFERROR(__xludf.DUMMYFUNCTION("""COMPUTED_VALUE"""),45636)</f>
        <v>45636</v>
      </c>
      <c r="F1765" s="1" t="str">
        <f ca="1">IFERROR(__xludf.DUMMYFUNCTION("""COMPUTED_VALUE"""),"Egypt")</f>
        <v>Egypt</v>
      </c>
      <c r="G1765" s="1" t="str">
        <f ca="1">IFERROR(__xludf.DUMMYFUNCTION("""COMPUTED_VALUE"""),"Ninth 190.18 Egypt")</f>
        <v>Ninth 190.18 Egypt</v>
      </c>
      <c r="H1765" s="1" t="str">
        <f ca="1">IFERROR(__xludf.DUMMYFUNCTION("""COMPUTED_VALUE"""),"Freedom of Expression, Individuals At Risk")</f>
        <v>Freedom of Expression, Individuals At Risk</v>
      </c>
      <c r="I1765" s="1" t="str">
        <f ca="1">IFERROR(__xludf.DUMMYFUNCTION("""COMPUTED_VALUE"""),"2024")</f>
        <v>2024</v>
      </c>
      <c r="J1765" s="1" t="str">
        <f ca="1">IFERROR(__xludf.DUMMYFUNCTION("""COMPUTED_VALUE"""),"Letter")</f>
        <v>Letter</v>
      </c>
    </row>
    <row r="1766" spans="1:10" ht="13" x14ac:dyDescent="0.15">
      <c r="A1766" s="4">
        <f ca="1">IFERROR(__xludf.DUMMYFUNCTION("""COMPUTED_VALUE"""),203554051)</f>
        <v>203554051</v>
      </c>
      <c r="B1766" s="1" t="str">
        <f ca="1">IFERROR(__xludf.DUMMYFUNCTION("""COMPUTED_VALUE"""),"rgrooms321@gmail.com")</f>
        <v>rgrooms321@gmail.com</v>
      </c>
      <c r="C1766" s="4" t="str">
        <f ca="1">IFERROR(__xludf.DUMMYFUNCTION("""COMPUTED_VALUE"""),"EVERGREEN - UAN Gated Content - Embedded Petition")</f>
        <v>EVERGREEN - UAN Gated Content - Embedded Petition</v>
      </c>
      <c r="D1766" s="5">
        <f ca="1">IFERROR(__xludf.DUMMYFUNCTION("""COMPUTED_VALUE"""),45653)</f>
        <v>45653</v>
      </c>
      <c r="F1766" s="1" t="str">
        <f ca="1">IFERROR(__xludf.DUMMYFUNCTION("""COMPUTED_VALUE"""),"USA")</f>
        <v>USA</v>
      </c>
      <c r="G1766" s="1" t="str">
        <f ca="1">IFERROR(__xludf.DUMMYFUNCTION("""COMPUTED_VALUE"""),"4.25 USA")</f>
        <v>4.25 USA</v>
      </c>
      <c r="H1766" s="1" t="str">
        <f ca="1">IFERROR(__xludf.DUMMYFUNCTION("""COMPUTED_VALUE"""),"Individuals At Risk, Refugee and Migrant Rights")</f>
        <v>Individuals At Risk, Refugee and Migrant Rights</v>
      </c>
      <c r="I1766" s="1" t="str">
        <f ca="1">IFERROR(__xludf.DUMMYFUNCTION("""COMPUTED_VALUE"""),"2025")</f>
        <v>2025</v>
      </c>
      <c r="J1766" s="1" t="str">
        <f ca="1">IFERROR(__xludf.DUMMYFUNCTION("""COMPUTED_VALUE"""),"Letter")</f>
        <v>Letter</v>
      </c>
    </row>
    <row r="1767" spans="1:10" ht="13" x14ac:dyDescent="0.15">
      <c r="A1767" s="4">
        <f ca="1">IFERROR(__xludf.DUMMYFUNCTION("""COMPUTED_VALUE"""),203554051)</f>
        <v>203554051</v>
      </c>
      <c r="B1767" s="1" t="str">
        <f ca="1">IFERROR(__xludf.DUMMYFUNCTION("""COMPUTED_VALUE"""),"rgrooms321@gmail.com")</f>
        <v>rgrooms321@gmail.com</v>
      </c>
      <c r="C1767" s="4" t="str">
        <f ca="1">IFERROR(__xludf.DUMMYFUNCTION("""COMPUTED_VALUE"""),"EVERGREEN - UAN Gated Content - Embedded Petition")</f>
        <v>EVERGREEN - UAN Gated Content - Embedded Petition</v>
      </c>
      <c r="D1767" s="5">
        <f ca="1">IFERROR(__xludf.DUMMYFUNCTION("""COMPUTED_VALUE"""),45653)</f>
        <v>45653</v>
      </c>
      <c r="F1767" s="1" t="str">
        <f ca="1">IFERROR(__xludf.DUMMYFUNCTION("""COMPUTED_VALUE"""),"Israel and Occupied Palestinian Territories")</f>
        <v>Israel and Occupied Palestinian Territories</v>
      </c>
      <c r="G1767" s="1" t="str">
        <f ca="1">IFERROR(__xludf.DUMMYFUNCTION("""COMPUTED_VALUE"""),"3.25 IOPT")</f>
        <v>3.25 IOPT</v>
      </c>
      <c r="H1767" s="1" t="str">
        <f ca="1">IFERROR(__xludf.DUMMYFUNCTION("""COMPUTED_VALUE"""),"Freedom of Expression, Individuals At Risk")</f>
        <v>Freedom of Expression, Individuals At Risk</v>
      </c>
      <c r="I1767" s="1" t="str">
        <f ca="1">IFERROR(__xludf.DUMMYFUNCTION("""COMPUTED_VALUE"""),"2025")</f>
        <v>2025</v>
      </c>
      <c r="J1767" s="1" t="str">
        <f ca="1">IFERROR(__xludf.DUMMYFUNCTION("""COMPUTED_VALUE"""),"Email")</f>
        <v>Email</v>
      </c>
    </row>
    <row r="1768" spans="1:10" ht="13" x14ac:dyDescent="0.15">
      <c r="A1768" s="4">
        <f ca="1">IFERROR(__xludf.DUMMYFUNCTION("""COMPUTED_VALUE"""),203554051)</f>
        <v>203554051</v>
      </c>
      <c r="B1768" s="1" t="str">
        <f ca="1">IFERROR(__xludf.DUMMYFUNCTION("""COMPUTED_VALUE"""),"rgrooms321@gmail.com")</f>
        <v>rgrooms321@gmail.com</v>
      </c>
      <c r="C1768" s="4" t="str">
        <f ca="1">IFERROR(__xludf.DUMMYFUNCTION("""COMPUTED_VALUE"""),"EVERGREEN - UAN Gated Content - Embedded Petition")</f>
        <v>EVERGREEN - UAN Gated Content - Embedded Petition</v>
      </c>
      <c r="D1768" s="5">
        <f ca="1">IFERROR(__xludf.DUMMYFUNCTION("""COMPUTED_VALUE"""),45618)</f>
        <v>45618</v>
      </c>
      <c r="F1768" s="1" t="str">
        <f ca="1">IFERROR(__xludf.DUMMYFUNCTION("""COMPUTED_VALUE"""),"Venezuela")</f>
        <v>Venezuela</v>
      </c>
      <c r="G1768" s="1" t="str">
        <f ca="1">IFERROR(__xludf.DUMMYFUNCTION("""COMPUTED_VALUE"""),"97.24 Venezuela")</f>
        <v>97.24 Venezuela</v>
      </c>
      <c r="H1768" s="1" t="str">
        <f ca="1">IFERROR(__xludf.DUMMYFUNCTION("""COMPUTED_VALUE"""),"Freedom of Expression")</f>
        <v>Freedom of Expression</v>
      </c>
      <c r="I1768" s="1" t="str">
        <f ca="1">IFERROR(__xludf.DUMMYFUNCTION("""COMPUTED_VALUE"""),"2024")</f>
        <v>2024</v>
      </c>
      <c r="J1768" s="1" t="str">
        <f ca="1">IFERROR(__xludf.DUMMYFUNCTION("""COMPUTED_VALUE"""),"Letter")</f>
        <v>Letter</v>
      </c>
    </row>
    <row r="1769" spans="1:10" ht="13" x14ac:dyDescent="0.15">
      <c r="A1769" s="4">
        <f ca="1">IFERROR(__xludf.DUMMYFUNCTION("""COMPUTED_VALUE"""),203555183)</f>
        <v>203555183</v>
      </c>
      <c r="B1769" s="1" t="str">
        <f ca="1">IFERROR(__xludf.DUMMYFUNCTION("""COMPUTED_VALUE"""),"gramdot91@gmail.com")</f>
        <v>gramdot91@gmail.com</v>
      </c>
      <c r="C1769" s="4" t="str">
        <f ca="1">IFERROR(__xludf.DUMMYFUNCTION("""COMPUTED_VALUE"""),"EVERGREEN - UAN Gated Content - Embedded Petition")</f>
        <v>EVERGREEN - UAN Gated Content - Embedded Petition</v>
      </c>
      <c r="D1769" s="5">
        <f ca="1">IFERROR(__xludf.DUMMYFUNCTION("""COMPUTED_VALUE"""),45694)</f>
        <v>45694</v>
      </c>
      <c r="F1769" s="1" t="str">
        <f ca="1">IFERROR(__xludf.DUMMYFUNCTION("""COMPUTED_VALUE"""),"Venezuela")</f>
        <v>Venezuela</v>
      </c>
      <c r="G1769" s="1" t="str">
        <f ca="1">IFERROR(__xludf.DUMMYFUNCTION("""COMPUTED_VALUE"""),"97.24 Venezuela")</f>
        <v>97.24 Venezuela</v>
      </c>
      <c r="H1769" s="1" t="str">
        <f ca="1">IFERROR(__xludf.DUMMYFUNCTION("""COMPUTED_VALUE"""),"Freedom of Expression")</f>
        <v>Freedom of Expression</v>
      </c>
      <c r="I1769" s="1" t="str">
        <f ca="1">IFERROR(__xludf.DUMMYFUNCTION("""COMPUTED_VALUE"""),"2024")</f>
        <v>2024</v>
      </c>
      <c r="J1769" s="1" t="str">
        <f ca="1">IFERROR(__xludf.DUMMYFUNCTION("""COMPUTED_VALUE"""),"Letter")</f>
        <v>Letter</v>
      </c>
    </row>
    <row r="1770" spans="1:10" ht="13" x14ac:dyDescent="0.15">
      <c r="A1770" s="4">
        <f ca="1">IFERROR(__xludf.DUMMYFUNCTION("""COMPUTED_VALUE"""),203555183)</f>
        <v>203555183</v>
      </c>
      <c r="B1770" s="1" t="str">
        <f ca="1">IFERROR(__xludf.DUMMYFUNCTION("""COMPUTED_VALUE"""),"gramdot91@gmail.com")</f>
        <v>gramdot91@gmail.com</v>
      </c>
      <c r="C1770" s="4" t="str">
        <f ca="1">IFERROR(__xludf.DUMMYFUNCTION("""COMPUTED_VALUE"""),"EVERGREEN - UAN Gated Content - Embedded Petition")</f>
        <v>EVERGREEN - UAN Gated Content - Embedded Petition</v>
      </c>
      <c r="D1770" s="5">
        <f ca="1">IFERROR(__xludf.DUMMYFUNCTION("""COMPUTED_VALUE"""),45700)</f>
        <v>45700</v>
      </c>
      <c r="F1770" s="1" t="str">
        <f ca="1">IFERROR(__xludf.DUMMYFUNCTION("""COMPUTED_VALUE"""),"USA")</f>
        <v>USA</v>
      </c>
      <c r="G1770" s="1" t="str">
        <f ca="1">IFERROR(__xludf.DUMMYFUNCTION("""COMPUTED_VALUE"""),"4.25 USA")</f>
        <v>4.25 USA</v>
      </c>
      <c r="H1770" s="1" t="str">
        <f ca="1">IFERROR(__xludf.DUMMYFUNCTION("""COMPUTED_VALUE"""),"Individuals At Risk, Refugee and Migrant Rights")</f>
        <v>Individuals At Risk, Refugee and Migrant Rights</v>
      </c>
      <c r="I1770" s="1" t="str">
        <f ca="1">IFERROR(__xludf.DUMMYFUNCTION("""COMPUTED_VALUE"""),"2025")</f>
        <v>2025</v>
      </c>
      <c r="J1770" s="1" t="str">
        <f ca="1">IFERROR(__xludf.DUMMYFUNCTION("""COMPUTED_VALUE"""),"Letter")</f>
        <v>Letter</v>
      </c>
    </row>
    <row r="1771" spans="1:10" ht="13" x14ac:dyDescent="0.15">
      <c r="A1771" s="4">
        <f ca="1">IFERROR(__xludf.DUMMYFUNCTION("""COMPUTED_VALUE"""),203555549)</f>
        <v>203555549</v>
      </c>
      <c r="B1771" s="1" t="str">
        <f ca="1">IFERROR(__xludf.DUMMYFUNCTION("""COMPUTED_VALUE"""),"clellyd@bigpond.com")</f>
        <v>clellyd@bigpond.com</v>
      </c>
      <c r="C1771" s="4" t="str">
        <f ca="1">IFERROR(__xludf.DUMMYFUNCTION("""COMPUTED_VALUE"""),"EVERGREEN - Website Email Capture Form - UAN Pre-Footer")</f>
        <v>EVERGREEN - Website Email Capture Form - UAN Pre-Footer</v>
      </c>
      <c r="D1771" s="5">
        <f ca="1">IFERROR(__xludf.DUMMYFUNCTION("""COMPUTED_VALUE"""),45660)</f>
        <v>45660</v>
      </c>
      <c r="F1771" s="1" t="str">
        <f ca="1">IFERROR(__xludf.DUMMYFUNCTION("""COMPUTED_VALUE"""),"Tunisia")</f>
        <v>Tunisia</v>
      </c>
      <c r="G1771" s="1" t="str">
        <f ca="1">IFERROR(__xludf.DUMMYFUNCTION("""COMPUTED_VALUE"""),"Second 76.24 Tunisia")</f>
        <v>Second 76.24 Tunisia</v>
      </c>
      <c r="H1771" s="1" t="str">
        <f ca="1">IFERROR(__xludf.DUMMYFUNCTION("""COMPUTED_VALUE"""),"Freedom of Expression, Human Rights Defenders")</f>
        <v>Freedom of Expression, Human Rights Defenders</v>
      </c>
      <c r="I1771" s="1" t="str">
        <f ca="1">IFERROR(__xludf.DUMMYFUNCTION("""COMPUTED_VALUE"""),"2025")</f>
        <v>2025</v>
      </c>
      <c r="J1771" s="1" t="str">
        <f ca="1">IFERROR(__xludf.DUMMYFUNCTION("""COMPUTED_VALUE"""),"Email")</f>
        <v>Email</v>
      </c>
    </row>
    <row r="1772" spans="1:10" ht="13" x14ac:dyDescent="0.15">
      <c r="A1772" s="4">
        <f ca="1">IFERROR(__xludf.DUMMYFUNCTION("""COMPUTED_VALUE"""),203601947)</f>
        <v>203601947</v>
      </c>
      <c r="B1772" s="1" t="str">
        <f ca="1">IFERROR(__xludf.DUMMYFUNCTION("""COMPUTED_VALUE"""),"pobriensubscribe@gmail.com")</f>
        <v>pobriensubscribe@gmail.com</v>
      </c>
      <c r="C1772" s="4" t="str">
        <f ca="1">IFERROR(__xludf.DUMMYFUNCTION("""COMPUTED_VALUE"""),"EVERGREEN - UAN Gated Content - Embedded Petition")</f>
        <v>EVERGREEN - UAN Gated Content - Embedded Petition</v>
      </c>
      <c r="D1772" s="5">
        <f ca="1">IFERROR(__xludf.DUMMYFUNCTION("""COMPUTED_VALUE"""),45616)</f>
        <v>45616</v>
      </c>
      <c r="F1772" s="1" t="str">
        <f ca="1">IFERROR(__xludf.DUMMYFUNCTION("""COMPUTED_VALUE"""),"Dominican Republic")</f>
        <v>Dominican Republic</v>
      </c>
      <c r="G1772" s="1" t="str">
        <f ca="1">IFERROR(__xludf.DUMMYFUNCTION("""COMPUTED_VALUE"""),"88.24 Dominican Republic")</f>
        <v>88.24 Dominican Republic</v>
      </c>
      <c r="H1772" s="1" t="str">
        <f ca="1">IFERROR(__xludf.DUMMYFUNCTION("""COMPUTED_VALUE"""),"Individuals At Risk, Refugee and Migrant Rights")</f>
        <v>Individuals At Risk, Refugee and Migrant Rights</v>
      </c>
      <c r="I1772" s="1" t="str">
        <f ca="1">IFERROR(__xludf.DUMMYFUNCTION("""COMPUTED_VALUE"""),"2024")</f>
        <v>2024</v>
      </c>
      <c r="J1772" s="1" t="str">
        <f ca="1">IFERROR(__xludf.DUMMYFUNCTION("""COMPUTED_VALUE"""),"Letter")</f>
        <v>Letter</v>
      </c>
    </row>
    <row r="1773" spans="1:10" ht="13" x14ac:dyDescent="0.15">
      <c r="A1773" s="4">
        <f ca="1">IFERROR(__xludf.DUMMYFUNCTION("""COMPUTED_VALUE"""),203720807)</f>
        <v>203720807</v>
      </c>
      <c r="B1773" s="1" t="str">
        <f ca="1">IFERROR(__xludf.DUMMYFUNCTION("""COMPUTED_VALUE"""),"colleranbarbara@gmail.com")</f>
        <v>colleranbarbara@gmail.com</v>
      </c>
      <c r="C1773" s="4" t="str">
        <f ca="1">IFERROR(__xludf.DUMMYFUNCTION("""COMPUTED_VALUE"""),"EVERGREEN - UAN Gated Content - Embedded Petition")</f>
        <v>EVERGREEN - UAN Gated Content - Embedded Petition</v>
      </c>
      <c r="D1773" s="5">
        <f ca="1">IFERROR(__xludf.DUMMYFUNCTION("""COMPUTED_VALUE"""),45636)</f>
        <v>45636</v>
      </c>
      <c r="F1773" s="1" t="str">
        <f ca="1">IFERROR(__xludf.DUMMYFUNCTION("""COMPUTED_VALUE"""),"Egypt")</f>
        <v>Egypt</v>
      </c>
      <c r="G1773" s="1" t="str">
        <f ca="1">IFERROR(__xludf.DUMMYFUNCTION("""COMPUTED_VALUE"""),"Ninth 190.18 Egypt")</f>
        <v>Ninth 190.18 Egypt</v>
      </c>
      <c r="H1773" s="1" t="str">
        <f ca="1">IFERROR(__xludf.DUMMYFUNCTION("""COMPUTED_VALUE"""),"Freedom of Expression, Individuals At Risk")</f>
        <v>Freedom of Expression, Individuals At Risk</v>
      </c>
      <c r="I1773" s="1" t="str">
        <f ca="1">IFERROR(__xludf.DUMMYFUNCTION("""COMPUTED_VALUE"""),"2024")</f>
        <v>2024</v>
      </c>
      <c r="J1773" s="1" t="str">
        <f ca="1">IFERROR(__xludf.DUMMYFUNCTION("""COMPUTED_VALUE"""),"Letter")</f>
        <v>Letter</v>
      </c>
    </row>
    <row r="1774" spans="1:10" ht="13" x14ac:dyDescent="0.15">
      <c r="A1774" s="4">
        <f ca="1">IFERROR(__xludf.DUMMYFUNCTION("""COMPUTED_VALUE"""),204186197)</f>
        <v>204186197</v>
      </c>
      <c r="B1774" s="1" t="str">
        <f ca="1">IFERROR(__xludf.DUMMYFUNCTION("""COMPUTED_VALUE"""),"richalbert@comcast.net")</f>
        <v>richalbert@comcast.net</v>
      </c>
      <c r="C1774" s="4" t="str">
        <f ca="1">IFERROR(__xludf.DUMMYFUNCTION("""COMPUTED_VALUE"""),"EVERGREEN - UAN Gated Content - Embedded Petition")</f>
        <v>EVERGREEN - UAN Gated Content - Embedded Petition</v>
      </c>
      <c r="D1774" s="5">
        <f ca="1">IFERROR(__xludf.DUMMYFUNCTION("""COMPUTED_VALUE"""),45694)</f>
        <v>45694</v>
      </c>
      <c r="F1774" s="1" t="str">
        <f ca="1">IFERROR(__xludf.DUMMYFUNCTION("""COMPUTED_VALUE"""),"USA")</f>
        <v>USA</v>
      </c>
      <c r="G1774" s="1" t="str">
        <f ca="1">IFERROR(__xludf.DUMMYFUNCTION("""COMPUTED_VALUE"""),"Fourth 55.24 USA")</f>
        <v>Fourth 55.24 USA</v>
      </c>
      <c r="H1774" s="1" t="str">
        <f ca="1">IFERROR(__xludf.DUMMYFUNCTION("""COMPUTED_VALUE"""),"Climate Justice, Individuals At Risk")</f>
        <v>Climate Justice, Individuals At Risk</v>
      </c>
      <c r="I1774" s="1" t="str">
        <f ca="1">IFERROR(__xludf.DUMMYFUNCTION("""COMPUTED_VALUE"""),"2025")</f>
        <v>2025</v>
      </c>
      <c r="J1774" s="1" t="str">
        <f ca="1">IFERROR(__xludf.DUMMYFUNCTION("""COMPUTED_VALUE"""),"Email")</f>
        <v>Email</v>
      </c>
    </row>
    <row r="1775" spans="1:10" ht="13" x14ac:dyDescent="0.15">
      <c r="A1775" s="4">
        <f ca="1">IFERROR(__xludf.DUMMYFUNCTION("""COMPUTED_VALUE"""),204186197)</f>
        <v>204186197</v>
      </c>
      <c r="B1775" s="1" t="str">
        <f ca="1">IFERROR(__xludf.DUMMYFUNCTION("""COMPUTED_VALUE"""),"richalbert@comcast.net")</f>
        <v>richalbert@comcast.net</v>
      </c>
      <c r="C1775" s="4" t="str">
        <f ca="1">IFERROR(__xludf.DUMMYFUNCTION("""COMPUTED_VALUE"""),"EVERGREEN - UAN Gated Content - Embedded Petition")</f>
        <v>EVERGREEN - UAN Gated Content - Embedded Petition</v>
      </c>
      <c r="D1775" s="5">
        <f ca="1">IFERROR(__xludf.DUMMYFUNCTION("""COMPUTED_VALUE"""),45669)</f>
        <v>45669</v>
      </c>
      <c r="F1775" s="1" t="str">
        <f ca="1">IFERROR(__xludf.DUMMYFUNCTION("""COMPUTED_VALUE"""),"USA")</f>
        <v>USA</v>
      </c>
      <c r="G1775" s="1" t="str">
        <f ca="1">IFERROR(__xludf.DUMMYFUNCTION("""COMPUTED_VALUE"""),"Fourth 55.24 USA")</f>
        <v>Fourth 55.24 USA</v>
      </c>
      <c r="H1775" s="1" t="str">
        <f ca="1">IFERROR(__xludf.DUMMYFUNCTION("""COMPUTED_VALUE"""),"Climate Justice, Individuals At Risk")</f>
        <v>Climate Justice, Individuals At Risk</v>
      </c>
      <c r="I1775" s="1" t="str">
        <f ca="1">IFERROR(__xludf.DUMMYFUNCTION("""COMPUTED_VALUE"""),"2025")</f>
        <v>2025</v>
      </c>
      <c r="J1775" s="1" t="str">
        <f ca="1">IFERROR(__xludf.DUMMYFUNCTION("""COMPUTED_VALUE"""),"Email")</f>
        <v>Email</v>
      </c>
    </row>
    <row r="1776" spans="1:10" ht="13" x14ac:dyDescent="0.15">
      <c r="A1776" s="4">
        <f ca="1">IFERROR(__xludf.DUMMYFUNCTION("""COMPUTED_VALUE"""),204964218)</f>
        <v>204964218</v>
      </c>
      <c r="B1776" s="1" t="str">
        <f ca="1">IFERROR(__xludf.DUMMYFUNCTION("""COMPUTED_VALUE"""),"masood.ahmad.sheikh@gmail.com")</f>
        <v>masood.ahmad.sheikh@gmail.com</v>
      </c>
      <c r="C1776" s="4" t="str">
        <f ca="1">IFERROR(__xludf.DUMMYFUNCTION("""COMPUTED_VALUE"""),"EVERGREEN - UAN Gated Content - Embedded Petition")</f>
        <v>EVERGREEN - UAN Gated Content - Embedded Petition</v>
      </c>
      <c r="D1776" s="5">
        <f ca="1">IFERROR(__xludf.DUMMYFUNCTION("""COMPUTED_VALUE"""),45684)</f>
        <v>45684</v>
      </c>
      <c r="F1776" s="1" t="str">
        <f ca="1">IFERROR(__xludf.DUMMYFUNCTION("""COMPUTED_VALUE"""),"Tunisia")</f>
        <v>Tunisia</v>
      </c>
      <c r="G1776" s="1" t="str">
        <f ca="1">IFERROR(__xludf.DUMMYFUNCTION("""COMPUTED_VALUE"""),"Second 76.24 Tunisia")</f>
        <v>Second 76.24 Tunisia</v>
      </c>
      <c r="H1776" s="1" t="str">
        <f ca="1">IFERROR(__xludf.DUMMYFUNCTION("""COMPUTED_VALUE"""),"Freedom of Expression, Human Rights Defenders")</f>
        <v>Freedom of Expression, Human Rights Defenders</v>
      </c>
      <c r="I1776" s="1" t="str">
        <f ca="1">IFERROR(__xludf.DUMMYFUNCTION("""COMPUTED_VALUE"""),"2025")</f>
        <v>2025</v>
      </c>
      <c r="J1776" s="1" t="str">
        <f ca="1">IFERROR(__xludf.DUMMYFUNCTION("""COMPUTED_VALUE"""),"Email")</f>
        <v>Email</v>
      </c>
    </row>
    <row r="1777" spans="1:10" ht="13" x14ac:dyDescent="0.15">
      <c r="A1777" s="4">
        <f ca="1">IFERROR(__xludf.DUMMYFUNCTION("""COMPUTED_VALUE"""),204964671)</f>
        <v>204964671</v>
      </c>
      <c r="B1777" s="1" t="str">
        <f ca="1">IFERROR(__xludf.DUMMYFUNCTION("""COMPUTED_VALUE"""),"sherry_g_b@hotmail.com")</f>
        <v>sherry_g_b@hotmail.com</v>
      </c>
      <c r="C1777" s="4" t="str">
        <f ca="1">IFERROR(__xludf.DUMMYFUNCTION("""COMPUTED_VALUE"""),"EVERGREEN - UAN Gated Content - Embedded Petition")</f>
        <v>EVERGREEN - UAN Gated Content - Embedded Petition</v>
      </c>
      <c r="D1777" s="5">
        <f ca="1">IFERROR(__xludf.DUMMYFUNCTION("""COMPUTED_VALUE"""),45674)</f>
        <v>45674</v>
      </c>
      <c r="F1777" s="1" t="str">
        <f ca="1">IFERROR(__xludf.DUMMYFUNCTION("""COMPUTED_VALUE"""),"USA")</f>
        <v>USA</v>
      </c>
      <c r="G1777" s="1" t="str">
        <f ca="1">IFERROR(__xludf.DUMMYFUNCTION("""COMPUTED_VALUE"""),"4.25 USA")</f>
        <v>4.25 USA</v>
      </c>
      <c r="H1777" s="1" t="str">
        <f ca="1">IFERROR(__xludf.DUMMYFUNCTION("""COMPUTED_VALUE"""),"Individuals At Risk, Refugee and Migrant Rights")</f>
        <v>Individuals At Risk, Refugee and Migrant Rights</v>
      </c>
      <c r="I1777" s="1" t="str">
        <f ca="1">IFERROR(__xludf.DUMMYFUNCTION("""COMPUTED_VALUE"""),"2025")</f>
        <v>2025</v>
      </c>
      <c r="J1777" s="1" t="str">
        <f ca="1">IFERROR(__xludf.DUMMYFUNCTION("""COMPUTED_VALUE"""),"Letter")</f>
        <v>Letter</v>
      </c>
    </row>
    <row r="1778" spans="1:10" ht="13" x14ac:dyDescent="0.15">
      <c r="A1778" s="4">
        <f ca="1">IFERROR(__xludf.DUMMYFUNCTION("""COMPUTED_VALUE"""),205038505)</f>
        <v>205038505</v>
      </c>
      <c r="B1778" s="1" t="str">
        <f ca="1">IFERROR(__xludf.DUMMYFUNCTION("""COMPUTED_VALUE"""),"jthomas581@aol.com")</f>
        <v>jthomas581@aol.com</v>
      </c>
      <c r="C1778" s="4" t="str">
        <f ca="1">IFERROR(__xludf.DUMMYFUNCTION("""COMPUTED_VALUE"""),"UAN mid-page Lightbox - Step 1 of 4 - Landing Page")</f>
        <v>UAN mid-page Lightbox - Step 1 of 4 - Landing Page</v>
      </c>
      <c r="D1778" s="5">
        <f ca="1">IFERROR(__xludf.DUMMYFUNCTION("""COMPUTED_VALUE"""),45639)</f>
        <v>45639</v>
      </c>
      <c r="F1778" s="1" t="str">
        <f ca="1">IFERROR(__xludf.DUMMYFUNCTION("""COMPUTED_VALUE"""),"USA")</f>
        <v>USA</v>
      </c>
      <c r="G1778" s="1" t="str">
        <f ca="1">IFERROR(__xludf.DUMMYFUNCTION("""COMPUTED_VALUE"""),"4.25 USA")</f>
        <v>4.25 USA</v>
      </c>
      <c r="H1778" s="1" t="str">
        <f ca="1">IFERROR(__xludf.DUMMYFUNCTION("""COMPUTED_VALUE"""),"Individuals At Risk, Refugee and Migrant Rights")</f>
        <v>Individuals At Risk, Refugee and Migrant Rights</v>
      </c>
      <c r="I1778" s="1" t="str">
        <f ca="1">IFERROR(__xludf.DUMMYFUNCTION("""COMPUTED_VALUE"""),"2025")</f>
        <v>2025</v>
      </c>
      <c r="J1778" s="1" t="str">
        <f ca="1">IFERROR(__xludf.DUMMYFUNCTION("""COMPUTED_VALUE"""),"Letter")</f>
        <v>Letter</v>
      </c>
    </row>
    <row r="1779" spans="1:10" ht="13" x14ac:dyDescent="0.15">
      <c r="A1779" s="4">
        <f ca="1">IFERROR(__xludf.DUMMYFUNCTION("""COMPUTED_VALUE"""),205038505)</f>
        <v>205038505</v>
      </c>
      <c r="B1779" s="1" t="str">
        <f ca="1">IFERROR(__xludf.DUMMYFUNCTION("""COMPUTED_VALUE"""),"jthomas581@aol.com")</f>
        <v>jthomas581@aol.com</v>
      </c>
      <c r="C1779" s="4" t="str">
        <f ca="1">IFERROR(__xludf.DUMMYFUNCTION("""COMPUTED_VALUE"""),"UAN mid-page Lightbox - Step 2 of 4 - More personal info fields")</f>
        <v>UAN mid-page Lightbox - Step 2 of 4 - More personal info fields</v>
      </c>
      <c r="D1779" s="5">
        <f ca="1">IFERROR(__xludf.DUMMYFUNCTION("""COMPUTED_VALUE"""),45639)</f>
        <v>45639</v>
      </c>
      <c r="F1779" s="1" t="str">
        <f ca="1">IFERROR(__xludf.DUMMYFUNCTION("""COMPUTED_VALUE"""),"USA")</f>
        <v>USA</v>
      </c>
      <c r="G1779" s="1" t="str">
        <f ca="1">IFERROR(__xludf.DUMMYFUNCTION("""COMPUTED_VALUE"""),"105.24 USA")</f>
        <v>105.24 USA</v>
      </c>
      <c r="H1779" s="1" t="str">
        <f ca="1">IFERROR(__xludf.DUMMYFUNCTION("""COMPUTED_VALUE"""),"Death Penalty")</f>
        <v>Death Penalty</v>
      </c>
      <c r="I1779" s="1" t="str">
        <f ca="1">IFERROR(__xludf.DUMMYFUNCTION("""COMPUTED_VALUE"""),"2024")</f>
        <v>2024</v>
      </c>
      <c r="J1779" s="1" t="str">
        <f ca="1">IFERROR(__xludf.DUMMYFUNCTION("""COMPUTED_VALUE"""),"Email")</f>
        <v>Email</v>
      </c>
    </row>
    <row r="1780" spans="1:10" ht="13" x14ac:dyDescent="0.15">
      <c r="A1780" s="4">
        <f ca="1">IFERROR(__xludf.DUMMYFUNCTION("""COMPUTED_VALUE"""),205038505)</f>
        <v>205038505</v>
      </c>
      <c r="B1780" s="1" t="str">
        <f ca="1">IFERROR(__xludf.DUMMYFUNCTION("""COMPUTED_VALUE"""),"jthomas581@aol.com")</f>
        <v>jthomas581@aol.com</v>
      </c>
      <c r="C1780" s="4" t="str">
        <f ca="1">IFERROR(__xludf.DUMMYFUNCTION("""COMPUTED_VALUE"""),"UAN mid-page Lightbox - Step 3 of 4 - More opt-ins")</f>
        <v>UAN mid-page Lightbox - Step 3 of 4 - More opt-ins</v>
      </c>
      <c r="D1780" s="5">
        <f ca="1">IFERROR(__xludf.DUMMYFUNCTION("""COMPUTED_VALUE"""),45639)</f>
        <v>45639</v>
      </c>
      <c r="F1780" s="1" t="str">
        <f ca="1">IFERROR(__xludf.DUMMYFUNCTION("""COMPUTED_VALUE"""),"Azerbaijan")</f>
        <v>Azerbaijan</v>
      </c>
      <c r="G1780" s="1" t="str">
        <f ca="1">IFERROR(__xludf.DUMMYFUNCTION("""COMPUTED_VALUE"""),"2.25 Azerbaijan")</f>
        <v>2.25 Azerbaijan</v>
      </c>
      <c r="H1780" s="1" t="str">
        <f ca="1">IFERROR(__xludf.DUMMYFUNCTION("""COMPUTED_VALUE"""),"Freedom of Expression, Human Rights Defenders")</f>
        <v>Freedom of Expression, Human Rights Defenders</v>
      </c>
      <c r="I1780" s="1" t="str">
        <f ca="1">IFERROR(__xludf.DUMMYFUNCTION("""COMPUTED_VALUE"""),"2025")</f>
        <v>2025</v>
      </c>
      <c r="J1780" s="1" t="str">
        <f ca="1">IFERROR(__xludf.DUMMYFUNCTION("""COMPUTED_VALUE"""),"Email")</f>
        <v>Email</v>
      </c>
    </row>
    <row r="1781" spans="1:10" ht="13" x14ac:dyDescent="0.15">
      <c r="A1781" s="4">
        <f ca="1">IFERROR(__xludf.DUMMYFUNCTION("""COMPUTED_VALUE"""),206851367)</f>
        <v>206851367</v>
      </c>
      <c r="B1781" s="1" t="str">
        <f ca="1">IFERROR(__xludf.DUMMYFUNCTION("""COMPUTED_VALUE"""),"rebekahcolours@gmail.com")</f>
        <v>rebekahcolours@gmail.com</v>
      </c>
      <c r="C1781" s="4" t="str">
        <f ca="1">IFERROR(__xludf.DUMMYFUNCTION("""COMPUTED_VALUE"""),"EVERGREEN - UAN Gated Content - Embedded Petition")</f>
        <v>EVERGREEN - UAN Gated Content - Embedded Petition</v>
      </c>
      <c r="D1781" s="5">
        <f ca="1">IFERROR(__xludf.DUMMYFUNCTION("""COMPUTED_VALUE"""),45694)</f>
        <v>45694</v>
      </c>
      <c r="F1781" s="1" t="str">
        <f ca="1">IFERROR(__xludf.DUMMYFUNCTION("""COMPUTED_VALUE"""),"Egypt")</f>
        <v>Egypt</v>
      </c>
      <c r="G1781" s="1" t="str">
        <f ca="1">IFERROR(__xludf.DUMMYFUNCTION("""COMPUTED_VALUE"""),"Ninth 190.18 Egypt")</f>
        <v>Ninth 190.18 Egypt</v>
      </c>
      <c r="H1781" s="1" t="str">
        <f ca="1">IFERROR(__xludf.DUMMYFUNCTION("""COMPUTED_VALUE"""),"Freedom of Expression, Individuals At Risk")</f>
        <v>Freedom of Expression, Individuals At Risk</v>
      </c>
      <c r="I1781" s="1" t="str">
        <f ca="1">IFERROR(__xludf.DUMMYFUNCTION("""COMPUTED_VALUE"""),"2024")</f>
        <v>2024</v>
      </c>
      <c r="J1781" s="1" t="str">
        <f ca="1">IFERROR(__xludf.DUMMYFUNCTION("""COMPUTED_VALUE"""),"Letter")</f>
        <v>Letter</v>
      </c>
    </row>
    <row r="1782" spans="1:10" ht="13" x14ac:dyDescent="0.15">
      <c r="A1782" s="4">
        <f ca="1">IFERROR(__xludf.DUMMYFUNCTION("""COMPUTED_VALUE"""),206851367)</f>
        <v>206851367</v>
      </c>
      <c r="B1782" s="1" t="str">
        <f ca="1">IFERROR(__xludf.DUMMYFUNCTION("""COMPUTED_VALUE"""),"rebekahcolours@gmail.com")</f>
        <v>rebekahcolours@gmail.com</v>
      </c>
      <c r="C1782" s="4" t="str">
        <f ca="1">IFERROR(__xludf.DUMMYFUNCTION("""COMPUTED_VALUE"""),"EVERGREEN - UAN Gated Content - Embedded Petition")</f>
        <v>EVERGREEN - UAN Gated Content - Embedded Petition</v>
      </c>
      <c r="D1782" s="5">
        <f ca="1">IFERROR(__xludf.DUMMYFUNCTION("""COMPUTED_VALUE"""),45694)</f>
        <v>45694</v>
      </c>
      <c r="F1782" s="1" t="str">
        <f ca="1">IFERROR(__xludf.DUMMYFUNCTION("""COMPUTED_VALUE"""),"USA")</f>
        <v>USA</v>
      </c>
      <c r="G1782" s="1" t="str">
        <f ca="1">IFERROR(__xludf.DUMMYFUNCTION("""COMPUTED_VALUE"""),"4.25 USA")</f>
        <v>4.25 USA</v>
      </c>
      <c r="H1782" s="1" t="str">
        <f ca="1">IFERROR(__xludf.DUMMYFUNCTION("""COMPUTED_VALUE"""),"Individuals At Risk, Refugee and Migrant Rights")</f>
        <v>Individuals At Risk, Refugee and Migrant Rights</v>
      </c>
      <c r="I1782" s="1" t="str">
        <f ca="1">IFERROR(__xludf.DUMMYFUNCTION("""COMPUTED_VALUE"""),"2025")</f>
        <v>2025</v>
      </c>
      <c r="J1782" s="1" t="str">
        <f ca="1">IFERROR(__xludf.DUMMYFUNCTION("""COMPUTED_VALUE"""),"Letter")</f>
        <v>Letter</v>
      </c>
    </row>
    <row r="1783" spans="1:10" ht="13" x14ac:dyDescent="0.15">
      <c r="A1783" s="4">
        <f ca="1">IFERROR(__xludf.DUMMYFUNCTION("""COMPUTED_VALUE"""),211234238)</f>
        <v>211234238</v>
      </c>
      <c r="B1783" s="1" t="str">
        <f ca="1">IFERROR(__xludf.DUMMYFUNCTION("""COMPUTED_VALUE"""),"kaylustig7@gmail.com")</f>
        <v>kaylustig7@gmail.com</v>
      </c>
      <c r="C1783" s="4" t="str">
        <f ca="1">IFERROR(__xludf.DUMMYFUNCTION("""COMPUTED_VALUE"""),"EVERGREEN - UAN Gated Content - Embedded Petition")</f>
        <v>EVERGREEN - UAN Gated Content - Embedded Petition</v>
      </c>
      <c r="D1783" s="5">
        <f ca="1">IFERROR(__xludf.DUMMYFUNCTION("""COMPUTED_VALUE"""),45670)</f>
        <v>45670</v>
      </c>
      <c r="F1783" s="1" t="str">
        <f ca="1">IFERROR(__xludf.DUMMYFUNCTION("""COMPUTED_VALUE"""),"USA")</f>
        <v>USA</v>
      </c>
      <c r="G1783" s="1" t="str">
        <f ca="1">IFERROR(__xludf.DUMMYFUNCTION("""COMPUTED_VALUE"""),"96.24 USA")</f>
        <v>96.24 USA</v>
      </c>
      <c r="H1783" s="1" t="str">
        <f ca="1">IFERROR(__xludf.DUMMYFUNCTION("""COMPUTED_VALUE"""),"Death Penalty")</f>
        <v>Death Penalty</v>
      </c>
      <c r="I1783" s="1" t="str">
        <f ca="1">IFERROR(__xludf.DUMMYFUNCTION("""COMPUTED_VALUE"""),"2024")</f>
        <v>2024</v>
      </c>
      <c r="J1783" s="1" t="str">
        <f ca="1">IFERROR(__xludf.DUMMYFUNCTION("""COMPUTED_VALUE"""),"Email")</f>
        <v>Email</v>
      </c>
    </row>
    <row r="1784" spans="1:10" ht="13" x14ac:dyDescent="0.15">
      <c r="A1784" s="4">
        <f ca="1">IFERROR(__xludf.DUMMYFUNCTION("""COMPUTED_VALUE"""),211234238)</f>
        <v>211234238</v>
      </c>
      <c r="B1784" s="1" t="str">
        <f ca="1">IFERROR(__xludf.DUMMYFUNCTION("""COMPUTED_VALUE"""),"kaylustig7@gmail.com")</f>
        <v>kaylustig7@gmail.com</v>
      </c>
      <c r="C1784" s="4" t="str">
        <f ca="1">IFERROR(__xludf.DUMMYFUNCTION("""COMPUTED_VALUE"""),"EVERGREEN - UAN Gated Content - Embedded Petition")</f>
        <v>EVERGREEN - UAN Gated Content - Embedded Petition</v>
      </c>
      <c r="D1784" s="5">
        <f ca="1">IFERROR(__xludf.DUMMYFUNCTION("""COMPUTED_VALUE"""),45671)</f>
        <v>45671</v>
      </c>
      <c r="F1784" s="1" t="str">
        <f ca="1">IFERROR(__xludf.DUMMYFUNCTION("""COMPUTED_VALUE"""),"USA")</f>
        <v>USA</v>
      </c>
      <c r="G1784" s="1" t="str">
        <f ca="1">IFERROR(__xludf.DUMMYFUNCTION("""COMPUTED_VALUE"""),"4.25 USA")</f>
        <v>4.25 USA</v>
      </c>
      <c r="H1784" s="1" t="str">
        <f ca="1">IFERROR(__xludf.DUMMYFUNCTION("""COMPUTED_VALUE"""),"Individuals At Risk, Refugee and Migrant Rights")</f>
        <v>Individuals At Risk, Refugee and Migrant Rights</v>
      </c>
      <c r="I1784" s="1" t="str">
        <f ca="1">IFERROR(__xludf.DUMMYFUNCTION("""COMPUTED_VALUE"""),"2025")</f>
        <v>2025</v>
      </c>
      <c r="J1784" s="1" t="str">
        <f ca="1">IFERROR(__xludf.DUMMYFUNCTION("""COMPUTED_VALUE"""),"Letter")</f>
        <v>Letter</v>
      </c>
    </row>
    <row r="1785" spans="1:10" ht="13" x14ac:dyDescent="0.15">
      <c r="A1785" s="4">
        <f ca="1">IFERROR(__xludf.DUMMYFUNCTION("""COMPUTED_VALUE"""),214260881)</f>
        <v>214260881</v>
      </c>
      <c r="B1785" s="1" t="str">
        <f ca="1">IFERROR(__xludf.DUMMYFUNCTION("""COMPUTED_VALUE"""),"alacossct@gmail.com")</f>
        <v>alacossct@gmail.com</v>
      </c>
      <c r="C1785" s="4" t="str">
        <f ca="1">IFERROR(__xludf.DUMMYFUNCTION("""COMPUTED_VALUE"""),"EVERGREEN - UAN Gated Content - Embedded Petition")</f>
        <v>EVERGREEN - UAN Gated Content - Embedded Petition</v>
      </c>
      <c r="D1785" s="5">
        <f ca="1">IFERROR(__xludf.DUMMYFUNCTION("""COMPUTED_VALUE"""),45694)</f>
        <v>45694</v>
      </c>
      <c r="F1785" s="1" t="str">
        <f ca="1">IFERROR(__xludf.DUMMYFUNCTION("""COMPUTED_VALUE"""),"USA")</f>
        <v>USA</v>
      </c>
      <c r="G1785" s="1" t="str">
        <f ca="1">IFERROR(__xludf.DUMMYFUNCTION("""COMPUTED_VALUE"""),"105.24 USA")</f>
        <v>105.24 USA</v>
      </c>
      <c r="H1785" s="1" t="str">
        <f ca="1">IFERROR(__xludf.DUMMYFUNCTION("""COMPUTED_VALUE"""),"Death Penalty")</f>
        <v>Death Penalty</v>
      </c>
      <c r="I1785" s="1" t="str">
        <f ca="1">IFERROR(__xludf.DUMMYFUNCTION("""COMPUTED_VALUE"""),"2024")</f>
        <v>2024</v>
      </c>
      <c r="J1785" s="1" t="str">
        <f ca="1">IFERROR(__xludf.DUMMYFUNCTION("""COMPUTED_VALUE"""),"Email")</f>
        <v>Email</v>
      </c>
    </row>
    <row r="1786" spans="1:10" ht="13" x14ac:dyDescent="0.15">
      <c r="A1786" s="4">
        <f ca="1">IFERROR(__xludf.DUMMYFUNCTION("""COMPUTED_VALUE"""),215996578)</f>
        <v>215996578</v>
      </c>
      <c r="B1786" s="1" t="str">
        <f ca="1">IFERROR(__xludf.DUMMYFUNCTION("""COMPUTED_VALUE"""),"sarahholehouse@gmail.com")</f>
        <v>sarahholehouse@gmail.com</v>
      </c>
      <c r="C1786" s="4" t="str">
        <f ca="1">IFERROR(__xludf.DUMMYFUNCTION("""COMPUTED_VALUE"""),"EVERGREEN - UAN Gated Content - Embedded Petition")</f>
        <v>EVERGREEN - UAN Gated Content - Embedded Petition</v>
      </c>
      <c r="D1786" s="5">
        <f ca="1">IFERROR(__xludf.DUMMYFUNCTION("""COMPUTED_VALUE"""),45686)</f>
        <v>45686</v>
      </c>
      <c r="F1786" s="1" t="str">
        <f ca="1">IFERROR(__xludf.DUMMYFUNCTION("""COMPUTED_VALUE"""),"Israel and Occupied Palestinian Territories")</f>
        <v>Israel and Occupied Palestinian Territories</v>
      </c>
      <c r="G1786" s="1" t="str">
        <f ca="1">IFERROR(__xludf.DUMMYFUNCTION("""COMPUTED_VALUE"""),"3.25 IOPT")</f>
        <v>3.25 IOPT</v>
      </c>
      <c r="H1786" s="1" t="str">
        <f ca="1">IFERROR(__xludf.DUMMYFUNCTION("""COMPUTED_VALUE"""),"Freedom of Expression, Individuals At Risk")</f>
        <v>Freedom of Expression, Individuals At Risk</v>
      </c>
      <c r="I1786" s="1" t="str">
        <f ca="1">IFERROR(__xludf.DUMMYFUNCTION("""COMPUTED_VALUE"""),"2025")</f>
        <v>2025</v>
      </c>
      <c r="J1786" s="1" t="str">
        <f ca="1">IFERROR(__xludf.DUMMYFUNCTION("""COMPUTED_VALUE"""),"Email")</f>
        <v>Email</v>
      </c>
    </row>
    <row r="1787" spans="1:10" ht="13" x14ac:dyDescent="0.15">
      <c r="A1787" s="4">
        <f ca="1">IFERROR(__xludf.DUMMYFUNCTION("""COMPUTED_VALUE"""),216276753)</f>
        <v>216276753</v>
      </c>
      <c r="B1787" s="1" t="str">
        <f ca="1">IFERROR(__xludf.DUMMYFUNCTION("""COMPUTED_VALUE"""),"louisewhipple1@gmail.com")</f>
        <v>louisewhipple1@gmail.com</v>
      </c>
      <c r="C1787" s="4" t="str">
        <f ca="1">IFERROR(__xludf.DUMMYFUNCTION("""COMPUTED_VALUE"""),"EVERGREEN - Website Email Capture Form - UAN Pre-Footer")</f>
        <v>EVERGREEN - Website Email Capture Form - UAN Pre-Footer</v>
      </c>
      <c r="D1787" s="5">
        <f ca="1">IFERROR(__xludf.DUMMYFUNCTION("""COMPUTED_VALUE"""),45694)</f>
        <v>45694</v>
      </c>
      <c r="F1787" s="1" t="str">
        <f ca="1">IFERROR(__xludf.DUMMYFUNCTION("""COMPUTED_VALUE"""),"Israel and Occupied Palestinian Territories")</f>
        <v>Israel and Occupied Palestinian Territories</v>
      </c>
      <c r="G1787" s="1" t="str">
        <f ca="1">IFERROR(__xludf.DUMMYFUNCTION("""COMPUTED_VALUE"""),"3.25 IOPT")</f>
        <v>3.25 IOPT</v>
      </c>
      <c r="H1787" s="1" t="str">
        <f ca="1">IFERROR(__xludf.DUMMYFUNCTION("""COMPUTED_VALUE"""),"Freedom of Expression, Individuals At Risk")</f>
        <v>Freedom of Expression, Individuals At Risk</v>
      </c>
      <c r="I1787" s="1" t="str">
        <f ca="1">IFERROR(__xludf.DUMMYFUNCTION("""COMPUTED_VALUE"""),"2025")</f>
        <v>2025</v>
      </c>
      <c r="J1787" s="1" t="str">
        <f ca="1">IFERROR(__xludf.DUMMYFUNCTION("""COMPUTED_VALUE"""),"Email")</f>
        <v>Email</v>
      </c>
    </row>
    <row r="1788" spans="1:10" ht="13" x14ac:dyDescent="0.15">
      <c r="A1788" s="4">
        <f ca="1">IFERROR(__xludf.DUMMYFUNCTION("""COMPUTED_VALUE"""),216340190)</f>
        <v>216340190</v>
      </c>
      <c r="B1788" s="1" t="str">
        <f ca="1">IFERROR(__xludf.DUMMYFUNCTION("""COMPUTED_VALUE"""),"fportesine@yahoo.it")</f>
        <v>fportesine@yahoo.it</v>
      </c>
      <c r="C1788" s="4" t="str">
        <f ca="1">IFERROR(__xludf.DUMMYFUNCTION("""COMPUTED_VALUE"""),"EVERGREEN - UAN Gated Content - Embedded Petition")</f>
        <v>EVERGREEN - UAN Gated Content - Embedded Petition</v>
      </c>
      <c r="D1788" s="5">
        <f ca="1">IFERROR(__xludf.DUMMYFUNCTION("""COMPUTED_VALUE"""),45672)</f>
        <v>45672</v>
      </c>
      <c r="F1788" s="1" t="str">
        <f ca="1">IFERROR(__xludf.DUMMYFUNCTION("""COMPUTED_VALUE"""),"Tunisia")</f>
        <v>Tunisia</v>
      </c>
      <c r="G1788" s="1" t="str">
        <f ca="1">IFERROR(__xludf.DUMMYFUNCTION("""COMPUTED_VALUE"""),"Second 76.24 Tunisia")</f>
        <v>Second 76.24 Tunisia</v>
      </c>
      <c r="H1788" s="1" t="str">
        <f ca="1">IFERROR(__xludf.DUMMYFUNCTION("""COMPUTED_VALUE"""),"Freedom of Expression, Human Rights Defenders")</f>
        <v>Freedom of Expression, Human Rights Defenders</v>
      </c>
      <c r="I1788" s="1" t="str">
        <f ca="1">IFERROR(__xludf.DUMMYFUNCTION("""COMPUTED_VALUE"""),"2025")</f>
        <v>2025</v>
      </c>
      <c r="J1788" s="1" t="str">
        <f ca="1">IFERROR(__xludf.DUMMYFUNCTION("""COMPUTED_VALUE"""),"Email")</f>
        <v>Email</v>
      </c>
    </row>
    <row r="1789" spans="1:10" ht="13" x14ac:dyDescent="0.15">
      <c r="A1789" s="4">
        <f ca="1">IFERROR(__xludf.DUMMYFUNCTION("""COMPUTED_VALUE"""),219658761)</f>
        <v>219658761</v>
      </c>
      <c r="B1789" s="1" t="str">
        <f ca="1">IFERROR(__xludf.DUMMYFUNCTION("""COMPUTED_VALUE"""),"stemendell@gmail.com")</f>
        <v>stemendell@gmail.com</v>
      </c>
      <c r="C1789" s="4" t="str">
        <f ca="1">IFERROR(__xludf.DUMMYFUNCTION("""COMPUTED_VALUE"""),"EVERGREEN - UAN Gated Content - Embedded Petition")</f>
        <v>EVERGREEN - UAN Gated Content - Embedded Petition</v>
      </c>
      <c r="D1789" s="5">
        <f ca="1">IFERROR(__xludf.DUMMYFUNCTION("""COMPUTED_VALUE"""),45695)</f>
        <v>45695</v>
      </c>
      <c r="F1789" s="1" t="str">
        <f ca="1">IFERROR(__xludf.DUMMYFUNCTION("""COMPUTED_VALUE"""),"Tunisia")</f>
        <v>Tunisia</v>
      </c>
      <c r="G1789" s="1" t="str">
        <f ca="1">IFERROR(__xludf.DUMMYFUNCTION("""COMPUTED_VALUE"""),"Second 76.24 Tunisia")</f>
        <v>Second 76.24 Tunisia</v>
      </c>
      <c r="H1789" s="1" t="str">
        <f ca="1">IFERROR(__xludf.DUMMYFUNCTION("""COMPUTED_VALUE"""),"Freedom of Expression, Human Rights Defenders")</f>
        <v>Freedom of Expression, Human Rights Defenders</v>
      </c>
      <c r="I1789" s="1" t="str">
        <f ca="1">IFERROR(__xludf.DUMMYFUNCTION("""COMPUTED_VALUE"""),"2025")</f>
        <v>2025</v>
      </c>
      <c r="J1789" s="1" t="str">
        <f ca="1">IFERROR(__xludf.DUMMYFUNCTION("""COMPUTED_VALUE"""),"Email")</f>
        <v>Email</v>
      </c>
    </row>
    <row r="1790" spans="1:10" ht="13" x14ac:dyDescent="0.15">
      <c r="A1790" s="4">
        <f ca="1">IFERROR(__xludf.DUMMYFUNCTION("""COMPUTED_VALUE"""),219658761)</f>
        <v>219658761</v>
      </c>
      <c r="B1790" s="1" t="str">
        <f ca="1">IFERROR(__xludf.DUMMYFUNCTION("""COMPUTED_VALUE"""),"stemendell@gmail.com")</f>
        <v>stemendell@gmail.com</v>
      </c>
      <c r="C1790" s="4" t="str">
        <f ca="1">IFERROR(__xludf.DUMMYFUNCTION("""COMPUTED_VALUE"""),"EVERGREEN - UAN Gated Content - Embedded Petition")</f>
        <v>EVERGREEN - UAN Gated Content - Embedded Petition</v>
      </c>
      <c r="D1790" s="5">
        <f ca="1">IFERROR(__xludf.DUMMYFUNCTION("""COMPUTED_VALUE"""),45690)</f>
        <v>45690</v>
      </c>
      <c r="F1790" s="1" t="str">
        <f ca="1">IFERROR(__xludf.DUMMYFUNCTION("""COMPUTED_VALUE"""),"Egypt")</f>
        <v>Egypt</v>
      </c>
      <c r="G1790" s="1" t="str">
        <f ca="1">IFERROR(__xludf.DUMMYFUNCTION("""COMPUTED_VALUE"""),"Ninth 190.18 Egypt")</f>
        <v>Ninth 190.18 Egypt</v>
      </c>
      <c r="H1790" s="1" t="str">
        <f ca="1">IFERROR(__xludf.DUMMYFUNCTION("""COMPUTED_VALUE"""),"Freedom of Expression, Individuals At Risk")</f>
        <v>Freedom of Expression, Individuals At Risk</v>
      </c>
      <c r="I1790" s="1" t="str">
        <f ca="1">IFERROR(__xludf.DUMMYFUNCTION("""COMPUTED_VALUE"""),"2024")</f>
        <v>2024</v>
      </c>
      <c r="J1790" s="1" t="str">
        <f ca="1">IFERROR(__xludf.DUMMYFUNCTION("""COMPUTED_VALUE"""),"Letter")</f>
        <v>Letter</v>
      </c>
    </row>
    <row r="1791" spans="1:10" ht="13" x14ac:dyDescent="0.15">
      <c r="A1791" s="4">
        <f ca="1">IFERROR(__xludf.DUMMYFUNCTION("""COMPUTED_VALUE"""),219993136)</f>
        <v>219993136</v>
      </c>
      <c r="B1791" s="1" t="str">
        <f ca="1">IFERROR(__xludf.DUMMYFUNCTION("""COMPUTED_VALUE"""),"stephroz@gmail.com")</f>
        <v>stephroz@gmail.com</v>
      </c>
      <c r="C1791" s="4" t="str">
        <f ca="1">IFERROR(__xludf.DUMMYFUNCTION("""COMPUTED_VALUE"""),"EVERGREEN - UAN Gated Content - Embedded Petition")</f>
        <v>EVERGREEN - UAN Gated Content - Embedded Petition</v>
      </c>
      <c r="D1791" s="5">
        <f ca="1">IFERROR(__xludf.DUMMYFUNCTION("""COMPUTED_VALUE"""),45672)</f>
        <v>45672</v>
      </c>
      <c r="F1791" s="1" t="str">
        <f ca="1">IFERROR(__xludf.DUMMYFUNCTION("""COMPUTED_VALUE"""),"Tunisia")</f>
        <v>Tunisia</v>
      </c>
      <c r="G1791" s="1" t="str">
        <f ca="1">IFERROR(__xludf.DUMMYFUNCTION("""COMPUTED_VALUE"""),"Second 76.24 Tunisia")</f>
        <v>Second 76.24 Tunisia</v>
      </c>
      <c r="H1791" s="1" t="str">
        <f ca="1">IFERROR(__xludf.DUMMYFUNCTION("""COMPUTED_VALUE"""),"Freedom of Expression, Human Rights Defenders")</f>
        <v>Freedom of Expression, Human Rights Defenders</v>
      </c>
      <c r="I1791" s="1" t="str">
        <f ca="1">IFERROR(__xludf.DUMMYFUNCTION("""COMPUTED_VALUE"""),"2025")</f>
        <v>2025</v>
      </c>
      <c r="J1791" s="1" t="str">
        <f ca="1">IFERROR(__xludf.DUMMYFUNCTION("""COMPUTED_VALUE"""),"Email")</f>
        <v>Email</v>
      </c>
    </row>
    <row r="1792" spans="1:10" ht="13" x14ac:dyDescent="0.15">
      <c r="A1792" s="4">
        <f ca="1">IFERROR(__xludf.DUMMYFUNCTION("""COMPUTED_VALUE"""),219993136)</f>
        <v>219993136</v>
      </c>
      <c r="B1792" s="1" t="str">
        <f ca="1">IFERROR(__xludf.DUMMYFUNCTION("""COMPUTED_VALUE"""),"stephroz@gmail.com")</f>
        <v>stephroz@gmail.com</v>
      </c>
      <c r="C1792" s="4" t="str">
        <f ca="1">IFERROR(__xludf.DUMMYFUNCTION("""COMPUTED_VALUE"""),"EVERGREEN - UAN Gated Content - Embedded Petition")</f>
        <v>EVERGREEN - UAN Gated Content - Embedded Petition</v>
      </c>
      <c r="D1792" s="5">
        <f ca="1">IFERROR(__xludf.DUMMYFUNCTION("""COMPUTED_VALUE"""),45672)</f>
        <v>45672</v>
      </c>
      <c r="F1792" s="1" t="str">
        <f ca="1">IFERROR(__xludf.DUMMYFUNCTION("""COMPUTED_VALUE"""),"Tunisia")</f>
        <v>Tunisia</v>
      </c>
      <c r="G1792" s="1" t="str">
        <f ca="1">IFERROR(__xludf.DUMMYFUNCTION("""COMPUTED_VALUE"""),"Second 76.24 Tunisia")</f>
        <v>Second 76.24 Tunisia</v>
      </c>
      <c r="H1792" s="1" t="str">
        <f ca="1">IFERROR(__xludf.DUMMYFUNCTION("""COMPUTED_VALUE"""),"Freedom of Expression, Human Rights Defenders")</f>
        <v>Freedom of Expression, Human Rights Defenders</v>
      </c>
      <c r="I1792" s="1" t="str">
        <f ca="1">IFERROR(__xludf.DUMMYFUNCTION("""COMPUTED_VALUE"""),"2025")</f>
        <v>2025</v>
      </c>
      <c r="J1792" s="1" t="str">
        <f ca="1">IFERROR(__xludf.DUMMYFUNCTION("""COMPUTED_VALUE"""),"Email")</f>
        <v>Email</v>
      </c>
    </row>
    <row r="1793" spans="1:10" ht="13" x14ac:dyDescent="0.15">
      <c r="A1793" s="4">
        <f ca="1">IFERROR(__xludf.DUMMYFUNCTION("""COMPUTED_VALUE"""),223412125)</f>
        <v>223412125</v>
      </c>
      <c r="B1793" s="1" t="str">
        <f ca="1">IFERROR(__xludf.DUMMYFUNCTION("""COMPUTED_VALUE"""),"joe@thevaughnclarks.com")</f>
        <v>joe@thevaughnclarks.com</v>
      </c>
      <c r="C1793" s="4" t="str">
        <f ca="1">IFERROR(__xludf.DUMMYFUNCTION("""COMPUTED_VALUE"""),"EVERGREEN - UAN Gated Content - Embedded Petition")</f>
        <v>EVERGREEN - UAN Gated Content - Embedded Petition</v>
      </c>
      <c r="D1793" s="5">
        <f ca="1">IFERROR(__xludf.DUMMYFUNCTION("""COMPUTED_VALUE"""),45680)</f>
        <v>45680</v>
      </c>
      <c r="F1793" s="1" t="str">
        <f ca="1">IFERROR(__xludf.DUMMYFUNCTION("""COMPUTED_VALUE"""),"Tunisia")</f>
        <v>Tunisia</v>
      </c>
      <c r="G1793" s="1" t="str">
        <f ca="1">IFERROR(__xludf.DUMMYFUNCTION("""COMPUTED_VALUE"""),"Second 76.24 Tunisia")</f>
        <v>Second 76.24 Tunisia</v>
      </c>
      <c r="H1793" s="1" t="str">
        <f ca="1">IFERROR(__xludf.DUMMYFUNCTION("""COMPUTED_VALUE"""),"Freedom of Expression, Human Rights Defenders")</f>
        <v>Freedom of Expression, Human Rights Defenders</v>
      </c>
      <c r="I1793" s="1" t="str">
        <f ca="1">IFERROR(__xludf.DUMMYFUNCTION("""COMPUTED_VALUE"""),"2025")</f>
        <v>2025</v>
      </c>
      <c r="J1793" s="1" t="str">
        <f ca="1">IFERROR(__xludf.DUMMYFUNCTION("""COMPUTED_VALUE"""),"Email")</f>
        <v>Email</v>
      </c>
    </row>
    <row r="1794" spans="1:10" ht="13" x14ac:dyDescent="0.15">
      <c r="A1794" s="4">
        <f ca="1">IFERROR(__xludf.DUMMYFUNCTION("""COMPUTED_VALUE"""),223412125)</f>
        <v>223412125</v>
      </c>
      <c r="B1794" s="1" t="str">
        <f ca="1">IFERROR(__xludf.DUMMYFUNCTION("""COMPUTED_VALUE"""),"joe@thevaughnclarks.com")</f>
        <v>joe@thevaughnclarks.com</v>
      </c>
      <c r="C1794" s="4" t="str">
        <f ca="1">IFERROR(__xludf.DUMMYFUNCTION("""COMPUTED_VALUE"""),"UAN mid-page Lightbox - Step 1 of 4 - Landing Page")</f>
        <v>UAN mid-page Lightbox - Step 1 of 4 - Landing Page</v>
      </c>
      <c r="D1794" s="5">
        <f ca="1">IFERROR(__xludf.DUMMYFUNCTION("""COMPUTED_VALUE"""),45687)</f>
        <v>45687</v>
      </c>
      <c r="F1794" s="1" t="str">
        <f ca="1">IFERROR(__xludf.DUMMYFUNCTION("""COMPUTED_VALUE"""),"Dominican Republic")</f>
        <v>Dominican Republic</v>
      </c>
      <c r="G1794" s="1" t="str">
        <f ca="1">IFERROR(__xludf.DUMMYFUNCTION("""COMPUTED_VALUE"""),"88.24 Dominican Republic")</f>
        <v>88.24 Dominican Republic</v>
      </c>
      <c r="H1794" s="1" t="str">
        <f ca="1">IFERROR(__xludf.DUMMYFUNCTION("""COMPUTED_VALUE"""),"Individuals At Risk, Refugee and Migrant Rights")</f>
        <v>Individuals At Risk, Refugee and Migrant Rights</v>
      </c>
      <c r="I1794" s="1" t="str">
        <f ca="1">IFERROR(__xludf.DUMMYFUNCTION("""COMPUTED_VALUE"""),"2024")</f>
        <v>2024</v>
      </c>
      <c r="J1794" s="1" t="str">
        <f ca="1">IFERROR(__xludf.DUMMYFUNCTION("""COMPUTED_VALUE"""),"Letter")</f>
        <v>Letter</v>
      </c>
    </row>
    <row r="1795" spans="1:10" ht="13" x14ac:dyDescent="0.15">
      <c r="A1795" s="4">
        <f ca="1">IFERROR(__xludf.DUMMYFUNCTION("""COMPUTED_VALUE"""),223412125)</f>
        <v>223412125</v>
      </c>
      <c r="B1795" s="1" t="str">
        <f ca="1">IFERROR(__xludf.DUMMYFUNCTION("""COMPUTED_VALUE"""),"joe@thevaughnclarks.com")</f>
        <v>joe@thevaughnclarks.com</v>
      </c>
      <c r="C1795" s="4" t="str">
        <f ca="1">IFERROR(__xludf.DUMMYFUNCTION("""COMPUTED_VALUE"""),"UAN mid-page Lightbox - Step 2 of 4 - More personal info fields")</f>
        <v>UAN mid-page Lightbox - Step 2 of 4 - More personal info fields</v>
      </c>
      <c r="D1795" s="5">
        <f ca="1">IFERROR(__xludf.DUMMYFUNCTION("""COMPUTED_VALUE"""),45687)</f>
        <v>45687</v>
      </c>
      <c r="F1795" s="1" t="str">
        <f ca="1">IFERROR(__xludf.DUMMYFUNCTION("""COMPUTED_VALUE"""),"USA")</f>
        <v>USA</v>
      </c>
      <c r="G1795" s="1" t="str">
        <f ca="1">IFERROR(__xludf.DUMMYFUNCTION("""COMPUTED_VALUE"""),"96.24 USA")</f>
        <v>96.24 USA</v>
      </c>
      <c r="H1795" s="1" t="str">
        <f ca="1">IFERROR(__xludf.DUMMYFUNCTION("""COMPUTED_VALUE"""),"Death Penalty")</f>
        <v>Death Penalty</v>
      </c>
      <c r="I1795" s="1" t="str">
        <f ca="1">IFERROR(__xludf.DUMMYFUNCTION("""COMPUTED_VALUE"""),"2024")</f>
        <v>2024</v>
      </c>
      <c r="J1795" s="1" t="str">
        <f ca="1">IFERROR(__xludf.DUMMYFUNCTION("""COMPUTED_VALUE"""),"Email")</f>
        <v>Email</v>
      </c>
    </row>
    <row r="1796" spans="1:10" ht="13" x14ac:dyDescent="0.15">
      <c r="A1796" s="4">
        <f ca="1">IFERROR(__xludf.DUMMYFUNCTION("""COMPUTED_VALUE"""),223412125)</f>
        <v>223412125</v>
      </c>
      <c r="B1796" s="1" t="str">
        <f ca="1">IFERROR(__xludf.DUMMYFUNCTION("""COMPUTED_VALUE"""),"joe@thevaughnclarks.com")</f>
        <v>joe@thevaughnclarks.com</v>
      </c>
      <c r="C1796" s="4" t="str">
        <f ca="1">IFERROR(__xludf.DUMMYFUNCTION("""COMPUTED_VALUE"""),"UAN mid-page Lightbox - Step 3 of 4 - More opt-ins")</f>
        <v>UAN mid-page Lightbox - Step 3 of 4 - More opt-ins</v>
      </c>
      <c r="D1796" s="5">
        <f ca="1">IFERROR(__xludf.DUMMYFUNCTION("""COMPUTED_VALUE"""),45687)</f>
        <v>45687</v>
      </c>
      <c r="F1796" s="1" t="str">
        <f ca="1">IFERROR(__xludf.DUMMYFUNCTION("""COMPUTED_VALUE"""),"Niger")</f>
        <v>Niger</v>
      </c>
      <c r="G1796" s="1" t="str">
        <f ca="1">IFERROR(__xludf.DUMMYFUNCTION("""COMPUTED_VALUE"""),"103.24 Niger")</f>
        <v>103.24 Niger</v>
      </c>
      <c r="H1796" s="1" t="str">
        <f ca="1">IFERROR(__xludf.DUMMYFUNCTION("""COMPUTED_VALUE"""),"Freedom of Expression, Human Rights Defenders")</f>
        <v>Freedom of Expression, Human Rights Defenders</v>
      </c>
      <c r="I1796" s="1" t="str">
        <f ca="1">IFERROR(__xludf.DUMMYFUNCTION("""COMPUTED_VALUE"""),"2024")</f>
        <v>2024</v>
      </c>
      <c r="J1796" s="1" t="str">
        <f ca="1">IFERROR(__xludf.DUMMYFUNCTION("""COMPUTED_VALUE"""),"Email")</f>
        <v>Email</v>
      </c>
    </row>
    <row r="1797" spans="1:10" ht="13" x14ac:dyDescent="0.15">
      <c r="A1797" s="4">
        <f ca="1">IFERROR(__xludf.DUMMYFUNCTION("""COMPUTED_VALUE"""),223859370)</f>
        <v>223859370</v>
      </c>
      <c r="B1797" s="1" t="str">
        <f ca="1">IFERROR(__xludf.DUMMYFUNCTION("""COMPUTED_VALUE"""),"bertbarryoakland@gmail.com")</f>
        <v>bertbarryoakland@gmail.com</v>
      </c>
      <c r="C1797" s="4" t="str">
        <f ca="1">IFERROR(__xludf.DUMMYFUNCTION("""COMPUTED_VALUE"""),"EVERGREEN - UAN Gated Content - Embedded Petition")</f>
        <v>EVERGREEN - UAN Gated Content - Embedded Petition</v>
      </c>
      <c r="D1797" s="5">
        <f ca="1">IFERROR(__xludf.DUMMYFUNCTION("""COMPUTED_VALUE"""),45636)</f>
        <v>45636</v>
      </c>
      <c r="F1797" s="1" t="str">
        <f ca="1">IFERROR(__xludf.DUMMYFUNCTION("""COMPUTED_VALUE"""),"Niger")</f>
        <v>Niger</v>
      </c>
      <c r="G1797" s="1" t="str">
        <f ca="1">IFERROR(__xludf.DUMMYFUNCTION("""COMPUTED_VALUE"""),"103.24 Niger")</f>
        <v>103.24 Niger</v>
      </c>
      <c r="H1797" s="1" t="str">
        <f ca="1">IFERROR(__xludf.DUMMYFUNCTION("""COMPUTED_VALUE"""),"Freedom of Expression, Human Rights Defenders")</f>
        <v>Freedom of Expression, Human Rights Defenders</v>
      </c>
      <c r="I1797" s="1" t="str">
        <f ca="1">IFERROR(__xludf.DUMMYFUNCTION("""COMPUTED_VALUE"""),"2024")</f>
        <v>2024</v>
      </c>
      <c r="J1797" s="1" t="str">
        <f ca="1">IFERROR(__xludf.DUMMYFUNCTION("""COMPUTED_VALUE"""),"Email")</f>
        <v>Email</v>
      </c>
    </row>
    <row r="1798" spans="1:10" ht="13" x14ac:dyDescent="0.15">
      <c r="A1798" s="4">
        <f ca="1">IFERROR(__xludf.DUMMYFUNCTION("""COMPUTED_VALUE"""),223859370)</f>
        <v>223859370</v>
      </c>
      <c r="B1798" s="1" t="str">
        <f ca="1">IFERROR(__xludf.DUMMYFUNCTION("""COMPUTED_VALUE"""),"bertbarryoakland@gmail.com")</f>
        <v>bertbarryoakland@gmail.com</v>
      </c>
      <c r="C1798" s="4" t="str">
        <f ca="1">IFERROR(__xludf.DUMMYFUNCTION("""COMPUTED_VALUE"""),"EVERGREEN - UAN Gated Content - Embedded Petition")</f>
        <v>EVERGREEN - UAN Gated Content - Embedded Petition</v>
      </c>
      <c r="D1798" s="5">
        <f ca="1">IFERROR(__xludf.DUMMYFUNCTION("""COMPUTED_VALUE"""),45636)</f>
        <v>45636</v>
      </c>
      <c r="F1798" s="1" t="str">
        <f ca="1">IFERROR(__xludf.DUMMYFUNCTION("""COMPUTED_VALUE"""),"Iran")</f>
        <v>Iran</v>
      </c>
      <c r="G1798" s="1" t="str">
        <f ca="1">IFERROR(__xludf.DUMMYFUNCTION("""COMPUTED_VALUE"""),"Seventh 103.22 Iran")</f>
        <v>Seventh 103.22 Iran</v>
      </c>
      <c r="H1798" s="1" t="str">
        <f ca="1">IFERROR(__xludf.DUMMYFUNCTION("""COMPUTED_VALUE"""),"Death Penalty, Freedom of Expression, Individuals At Risk")</f>
        <v>Death Penalty, Freedom of Expression, Individuals At Risk</v>
      </c>
      <c r="I1798" s="1" t="str">
        <f ca="1">IFERROR(__xludf.DUMMYFUNCTION("""COMPUTED_VALUE"""),"2024")</f>
        <v>2024</v>
      </c>
      <c r="J1798" s="1" t="str">
        <f ca="1">IFERROR(__xludf.DUMMYFUNCTION("""COMPUTED_VALUE"""),"Email")</f>
        <v>Email</v>
      </c>
    </row>
    <row r="1799" spans="1:10" ht="13" x14ac:dyDescent="0.15">
      <c r="A1799" s="4">
        <f ca="1">IFERROR(__xludf.DUMMYFUNCTION("""COMPUTED_VALUE"""),223859370)</f>
        <v>223859370</v>
      </c>
      <c r="B1799" s="1" t="str">
        <f ca="1">IFERROR(__xludf.DUMMYFUNCTION("""COMPUTED_VALUE"""),"bertbarryoakland@gmail.com")</f>
        <v>bertbarryoakland@gmail.com</v>
      </c>
      <c r="C1799" s="4" t="str">
        <f ca="1">IFERROR(__xludf.DUMMYFUNCTION("""COMPUTED_VALUE"""),"EVERGREEN - UAN Gated Content - Embedded Petition")</f>
        <v>EVERGREEN - UAN Gated Content - Embedded Petition</v>
      </c>
      <c r="D1799" s="5">
        <f ca="1">IFERROR(__xludf.DUMMYFUNCTION("""COMPUTED_VALUE"""),45636)</f>
        <v>45636</v>
      </c>
      <c r="F1799" s="1" t="str">
        <f ca="1">IFERROR(__xludf.DUMMYFUNCTION("""COMPUTED_VALUE"""),"Iran")</f>
        <v>Iran</v>
      </c>
      <c r="G1799" s="1" t="str">
        <f ca="1">IFERROR(__xludf.DUMMYFUNCTION("""COMPUTED_VALUE"""),"Seventh 103.22 Iran")</f>
        <v>Seventh 103.22 Iran</v>
      </c>
      <c r="H1799" s="1" t="str">
        <f ca="1">IFERROR(__xludf.DUMMYFUNCTION("""COMPUTED_VALUE"""),"Death Penalty, Freedom of Expression, Individuals At Risk")</f>
        <v>Death Penalty, Freedom of Expression, Individuals At Risk</v>
      </c>
      <c r="I1799" s="1" t="str">
        <f ca="1">IFERROR(__xludf.DUMMYFUNCTION("""COMPUTED_VALUE"""),"2024")</f>
        <v>2024</v>
      </c>
      <c r="J1799" s="1" t="str">
        <f ca="1">IFERROR(__xludf.DUMMYFUNCTION("""COMPUTED_VALUE"""),"Email")</f>
        <v>Email</v>
      </c>
    </row>
    <row r="1800" spans="1:10" ht="13" x14ac:dyDescent="0.15">
      <c r="A1800" s="4">
        <f ca="1">IFERROR(__xludf.DUMMYFUNCTION("""COMPUTED_VALUE"""),223859370)</f>
        <v>223859370</v>
      </c>
      <c r="B1800" s="1" t="str">
        <f ca="1">IFERROR(__xludf.DUMMYFUNCTION("""COMPUTED_VALUE"""),"bertbarryoakland@gmail.com")</f>
        <v>bertbarryoakland@gmail.com</v>
      </c>
      <c r="C1800" s="4" t="str">
        <f ca="1">IFERROR(__xludf.DUMMYFUNCTION("""COMPUTED_VALUE"""),"EVERGREEN - UAN Gated Content - Embedded Petition")</f>
        <v>EVERGREEN - UAN Gated Content - Embedded Petition</v>
      </c>
      <c r="D1800" s="5">
        <f ca="1">IFERROR(__xludf.DUMMYFUNCTION("""COMPUTED_VALUE"""),45636)</f>
        <v>45636</v>
      </c>
      <c r="F1800" s="1" t="str">
        <f ca="1">IFERROR(__xludf.DUMMYFUNCTION("""COMPUTED_VALUE"""),"China")</f>
        <v>China</v>
      </c>
      <c r="G1800" s="1" t="str">
        <f ca="1">IFERROR(__xludf.DUMMYFUNCTION("""COMPUTED_VALUE"""),"106.24 China")</f>
        <v>106.24 China</v>
      </c>
      <c r="H1800" s="1" t="str">
        <f ca="1">IFERROR(__xludf.DUMMYFUNCTION("""COMPUTED_VALUE"""),"Freedom of Expression, Individuals At Risk")</f>
        <v>Freedom of Expression, Individuals At Risk</v>
      </c>
      <c r="I1800" s="1" t="str">
        <f ca="1">IFERROR(__xludf.DUMMYFUNCTION("""COMPUTED_VALUE"""),"2024")</f>
        <v>2024</v>
      </c>
      <c r="J1800" s="1" t="str">
        <f ca="1">IFERROR(__xludf.DUMMYFUNCTION("""COMPUTED_VALUE"""),"Email")</f>
        <v>Email</v>
      </c>
    </row>
    <row r="1801" spans="1:10" ht="13" x14ac:dyDescent="0.15">
      <c r="A1801" s="4">
        <f ca="1">IFERROR(__xludf.DUMMYFUNCTION("""COMPUTED_VALUE"""),223859370)</f>
        <v>223859370</v>
      </c>
      <c r="B1801" s="1" t="str">
        <f ca="1">IFERROR(__xludf.DUMMYFUNCTION("""COMPUTED_VALUE"""),"bertbarryoakland@gmail.com")</f>
        <v>bertbarryoakland@gmail.com</v>
      </c>
      <c r="C1801" s="4" t="str">
        <f ca="1">IFERROR(__xludf.DUMMYFUNCTION("""COMPUTED_VALUE"""),"EVERGREEN - UAN Gated Content - Embedded Petition")</f>
        <v>EVERGREEN - UAN Gated Content - Embedded Petition</v>
      </c>
      <c r="D1801" s="5">
        <f ca="1">IFERROR(__xludf.DUMMYFUNCTION("""COMPUTED_VALUE"""),45676)</f>
        <v>45676</v>
      </c>
      <c r="F1801" s="1" t="str">
        <f ca="1">IFERROR(__xludf.DUMMYFUNCTION("""COMPUTED_VALUE"""),"Venezuela")</f>
        <v>Venezuela</v>
      </c>
      <c r="G1801" s="1" t="str">
        <f ca="1">IFERROR(__xludf.DUMMYFUNCTION("""COMPUTED_VALUE"""),"1.25 Venezuela")</f>
        <v>1.25 Venezuela</v>
      </c>
      <c r="H1801" s="1" t="str">
        <f ca="1">IFERROR(__xludf.DUMMYFUNCTION("""COMPUTED_VALUE"""),"Human Rights Defenders, Individuals At Risk")</f>
        <v>Human Rights Defenders, Individuals At Risk</v>
      </c>
      <c r="I1801" s="1" t="str">
        <f ca="1">IFERROR(__xludf.DUMMYFUNCTION("""COMPUTED_VALUE"""),"2025")</f>
        <v>2025</v>
      </c>
      <c r="J1801" s="1" t="str">
        <f ca="1">IFERROR(__xludf.DUMMYFUNCTION("""COMPUTED_VALUE"""),"Letter")</f>
        <v>Letter</v>
      </c>
    </row>
    <row r="1802" spans="1:10" ht="13" x14ac:dyDescent="0.15">
      <c r="A1802" s="4">
        <f ca="1">IFERROR(__xludf.DUMMYFUNCTION("""COMPUTED_VALUE"""),223859370)</f>
        <v>223859370</v>
      </c>
      <c r="B1802" s="1" t="str">
        <f ca="1">IFERROR(__xludf.DUMMYFUNCTION("""COMPUTED_VALUE"""),"bertbarryoakland@gmail.com")</f>
        <v>bertbarryoakland@gmail.com</v>
      </c>
      <c r="C1802" s="4" t="str">
        <f ca="1">IFERROR(__xludf.DUMMYFUNCTION("""COMPUTED_VALUE"""),"EVERGREEN - UAN Gated Content - Embedded Petition")</f>
        <v>EVERGREEN - UAN Gated Content - Embedded Petition</v>
      </c>
      <c r="D1802" s="5">
        <f ca="1">IFERROR(__xludf.DUMMYFUNCTION("""COMPUTED_VALUE"""),45694)</f>
        <v>45694</v>
      </c>
      <c r="F1802" s="1" t="str">
        <f ca="1">IFERROR(__xludf.DUMMYFUNCTION("""COMPUTED_VALUE"""),"Iran")</f>
        <v>Iran</v>
      </c>
      <c r="G1802" s="1" t="str">
        <f ca="1">IFERROR(__xludf.DUMMYFUNCTION("""COMPUTED_VALUE"""),"Seventh 103.22 Iran")</f>
        <v>Seventh 103.22 Iran</v>
      </c>
      <c r="H1802" s="1" t="str">
        <f ca="1">IFERROR(__xludf.DUMMYFUNCTION("""COMPUTED_VALUE"""),"Death Penalty, Freedom of Expression, Individuals At Risk")</f>
        <v>Death Penalty, Freedom of Expression, Individuals At Risk</v>
      </c>
      <c r="I1802" s="1" t="str">
        <f ca="1">IFERROR(__xludf.DUMMYFUNCTION("""COMPUTED_VALUE"""),"2024")</f>
        <v>2024</v>
      </c>
      <c r="J1802" s="1" t="str">
        <f ca="1">IFERROR(__xludf.DUMMYFUNCTION("""COMPUTED_VALUE"""),"Email")</f>
        <v>Email</v>
      </c>
    </row>
    <row r="1803" spans="1:10" ht="13" x14ac:dyDescent="0.15">
      <c r="A1803" s="4">
        <f ca="1">IFERROR(__xludf.DUMMYFUNCTION("""COMPUTED_VALUE"""),223859370)</f>
        <v>223859370</v>
      </c>
      <c r="B1803" s="1" t="str">
        <f ca="1">IFERROR(__xludf.DUMMYFUNCTION("""COMPUTED_VALUE"""),"bertbarryoakland@gmail.com")</f>
        <v>bertbarryoakland@gmail.com</v>
      </c>
      <c r="C1803" s="4" t="str">
        <f ca="1">IFERROR(__xludf.DUMMYFUNCTION("""COMPUTED_VALUE"""),"EVERGREEN - UAN Gated Content - Embedded Petition")</f>
        <v>EVERGREEN - UAN Gated Content - Embedded Petition</v>
      </c>
      <c r="D1803" s="5">
        <f ca="1">IFERROR(__xludf.DUMMYFUNCTION("""COMPUTED_VALUE"""),45676)</f>
        <v>45676</v>
      </c>
      <c r="F1803" s="1" t="str">
        <f ca="1">IFERROR(__xludf.DUMMYFUNCTION("""COMPUTED_VALUE"""),"China")</f>
        <v>China</v>
      </c>
      <c r="G1803" s="1" t="str">
        <f ca="1">IFERROR(__xludf.DUMMYFUNCTION("""COMPUTED_VALUE"""),"106.24 China")</f>
        <v>106.24 China</v>
      </c>
      <c r="H1803" s="1" t="str">
        <f ca="1">IFERROR(__xludf.DUMMYFUNCTION("""COMPUTED_VALUE"""),"Freedom of Expression, Individuals At Risk")</f>
        <v>Freedom of Expression, Individuals At Risk</v>
      </c>
      <c r="I1803" s="1" t="str">
        <f ca="1">IFERROR(__xludf.DUMMYFUNCTION("""COMPUTED_VALUE"""),"2024")</f>
        <v>2024</v>
      </c>
      <c r="J1803" s="1" t="str">
        <f ca="1">IFERROR(__xludf.DUMMYFUNCTION("""COMPUTED_VALUE"""),"Email")</f>
        <v>Email</v>
      </c>
    </row>
    <row r="1804" spans="1:10" ht="13" x14ac:dyDescent="0.15">
      <c r="A1804" s="4">
        <f ca="1">IFERROR(__xludf.DUMMYFUNCTION("""COMPUTED_VALUE"""),224783140)</f>
        <v>224783140</v>
      </c>
      <c r="B1804" s="1" t="str">
        <f ca="1">IFERROR(__xludf.DUMMYFUNCTION("""COMPUTED_VALUE"""),"andigherard@gmail.com")</f>
        <v>andigherard@gmail.com</v>
      </c>
      <c r="C1804" s="4" t="str">
        <f ca="1">IFERROR(__xludf.DUMMYFUNCTION("""COMPUTED_VALUE"""),"EVERGREEN - UAN Gated Content - Embedded Petition")</f>
        <v>EVERGREEN - UAN Gated Content - Embedded Petition</v>
      </c>
      <c r="D1804" s="5">
        <f ca="1">IFERROR(__xludf.DUMMYFUNCTION("""COMPUTED_VALUE"""),45616)</f>
        <v>45616</v>
      </c>
      <c r="F1804" s="1" t="str">
        <f ca="1">IFERROR(__xludf.DUMMYFUNCTION("""COMPUTED_VALUE"""),"Israel and ")</f>
        <v xml:space="preserve">Israel and </v>
      </c>
      <c r="G1804" s="1" t="str">
        <f ca="1">IFERROR(__xludf.DUMMYFUNCTION("""COMPUTED_VALUE"""),"3.25 IOPT")</f>
        <v>3.25 IOPT</v>
      </c>
      <c r="H1804" s="1" t="str">
        <f ca="1">IFERROR(__xludf.DUMMYFUNCTION("""COMPUTED_VALUE"""),"Freedom of Expression, Individuals At Risk")</f>
        <v>Freedom of Expression, Individuals At Risk</v>
      </c>
      <c r="I1804" s="1" t="str">
        <f ca="1">IFERROR(__xludf.DUMMYFUNCTION("""COMPUTED_VALUE"""),"2025")</f>
        <v>2025</v>
      </c>
      <c r="J1804" s="1" t="str">
        <f ca="1">IFERROR(__xludf.DUMMYFUNCTION("""COMPUTED_VALUE"""),"Email")</f>
        <v>Email</v>
      </c>
    </row>
    <row r="1805" spans="1:10" ht="13" x14ac:dyDescent="0.15">
      <c r="A1805" s="4">
        <f ca="1">IFERROR(__xludf.DUMMYFUNCTION("""COMPUTED_VALUE"""),225071142)</f>
        <v>225071142</v>
      </c>
      <c r="B1805" s="1" t="str">
        <f ca="1">IFERROR(__xludf.DUMMYFUNCTION("""COMPUTED_VALUE"""),"hanna_bruns@hotmail.com")</f>
        <v>hanna_bruns@hotmail.com</v>
      </c>
      <c r="C1805" s="4" t="str">
        <f ca="1">IFERROR(__xludf.DUMMYFUNCTION("""COMPUTED_VALUE"""),"EVERGREEN - UAN Gated Content - Embedded Petition")</f>
        <v>EVERGREEN - UAN Gated Content - Embedded Petition</v>
      </c>
      <c r="D1805" s="5">
        <f ca="1">IFERROR(__xludf.DUMMYFUNCTION("""COMPUTED_VALUE"""),45664)</f>
        <v>45664</v>
      </c>
      <c r="F1805" s="1" t="str">
        <f ca="1">IFERROR(__xludf.DUMMYFUNCTION("""COMPUTED_VALUE"""),"Israel and Occupied Palestinian Territories")</f>
        <v>Israel and Occupied Palestinian Territories</v>
      </c>
      <c r="G1805" s="1" t="str">
        <f ca="1">IFERROR(__xludf.DUMMYFUNCTION("""COMPUTED_VALUE"""),"Second 76.24 Tunisia")</f>
        <v>Second 76.24 Tunisia</v>
      </c>
      <c r="H1805" s="1" t="str">
        <f ca="1">IFERROR(__xludf.DUMMYFUNCTION("""COMPUTED_VALUE"""),"Freedom of Expression, Human Rights Defenders")</f>
        <v>Freedom of Expression, Human Rights Defenders</v>
      </c>
      <c r="I1805" s="1" t="str">
        <f ca="1">IFERROR(__xludf.DUMMYFUNCTION("""COMPUTED_VALUE"""),"2025")</f>
        <v>2025</v>
      </c>
      <c r="J1805" s="1" t="str">
        <f ca="1">IFERROR(__xludf.DUMMYFUNCTION("""COMPUTED_VALUE"""),"Email")</f>
        <v>Email</v>
      </c>
    </row>
    <row r="1806" spans="1:10" ht="13" x14ac:dyDescent="0.15">
      <c r="A1806" s="4">
        <f ca="1">IFERROR(__xludf.DUMMYFUNCTION("""COMPUTED_VALUE"""),225723238)</f>
        <v>225723238</v>
      </c>
      <c r="B1806" s="1" t="str">
        <f ca="1">IFERROR(__xludf.DUMMYFUNCTION("""COMPUTED_VALUE"""),"mveve7@gmail.com")</f>
        <v>mveve7@gmail.com</v>
      </c>
      <c r="C1806" s="4" t="str">
        <f ca="1">IFERROR(__xludf.DUMMYFUNCTION("""COMPUTED_VALUE"""),"EVERGREEN - Website Email Capture Form - UAN Pre-Footer")</f>
        <v>EVERGREEN - Website Email Capture Form - UAN Pre-Footer</v>
      </c>
      <c r="D1806" s="5">
        <f ca="1">IFERROR(__xludf.DUMMYFUNCTION("""COMPUTED_VALUE"""),45662)</f>
        <v>45662</v>
      </c>
      <c r="F1806" s="1" t="str">
        <f ca="1">IFERROR(__xludf.DUMMYFUNCTION("""COMPUTED_VALUE"""),"Tunisia")</f>
        <v>Tunisia</v>
      </c>
      <c r="G1806" s="1" t="str">
        <f ca="1">IFERROR(__xludf.DUMMYFUNCTION("""COMPUTED_VALUE"""),"105.24 USA")</f>
        <v>105.24 USA</v>
      </c>
      <c r="H1806" s="1" t="str">
        <f ca="1">IFERROR(__xludf.DUMMYFUNCTION("""COMPUTED_VALUE"""),"Death Penalty")</f>
        <v>Death Penalty</v>
      </c>
      <c r="I1806" s="1" t="str">
        <f ca="1">IFERROR(__xludf.DUMMYFUNCTION("""COMPUTED_VALUE"""),"2024")</f>
        <v>2024</v>
      </c>
      <c r="J1806" s="1" t="str">
        <f ca="1">IFERROR(__xludf.DUMMYFUNCTION("""COMPUTED_VALUE"""),"Email")</f>
        <v>Email</v>
      </c>
    </row>
    <row r="1807" spans="1:10" ht="13" x14ac:dyDescent="0.15">
      <c r="A1807" s="4">
        <f ca="1">IFERROR(__xludf.DUMMYFUNCTION("""COMPUTED_VALUE"""),227294005)</f>
        <v>227294005</v>
      </c>
      <c r="B1807" s="1" t="str">
        <f ca="1">IFERROR(__xludf.DUMMYFUNCTION("""COMPUTED_VALUE"""),"kramere1@go.stockton.edu")</f>
        <v>kramere1@go.stockton.edu</v>
      </c>
      <c r="C1807" s="4" t="str">
        <f ca="1">IFERROR(__xludf.DUMMYFUNCTION("""COMPUTED_VALUE"""),"EVERGREEN - UAN Gated Content - Embedded Petition")</f>
        <v>EVERGREEN - UAN Gated Content - Embedded Petition</v>
      </c>
      <c r="D1807" s="5">
        <f ca="1">IFERROR(__xludf.DUMMYFUNCTION("""COMPUTED_VALUE"""),45636)</f>
        <v>45636</v>
      </c>
      <c r="F1807" s="1" t="str">
        <f ca="1">IFERROR(__xludf.DUMMYFUNCTION("""COMPUTED_VALUE"""),"USA")</f>
        <v>USA</v>
      </c>
      <c r="G1807" s="1" t="str">
        <f ca="1">IFERROR(__xludf.DUMMYFUNCTION("""COMPUTED_VALUE"""),"100.24 Uganda")</f>
        <v>100.24 Uganda</v>
      </c>
      <c r="H1807" s="1" t="str">
        <f ca="1">IFERROR(__xludf.DUMMYFUNCTION("""COMPUTED_VALUE"""),"Freedom of Expression")</f>
        <v>Freedom of Expression</v>
      </c>
      <c r="I1807" s="1" t="str">
        <f ca="1">IFERROR(__xludf.DUMMYFUNCTION("""COMPUTED_VALUE"""),"2024")</f>
        <v>2024</v>
      </c>
      <c r="J1807" s="1" t="str">
        <f ca="1">IFERROR(__xludf.DUMMYFUNCTION("""COMPUTED_VALUE"""),"Email")</f>
        <v>Email</v>
      </c>
    </row>
    <row r="1808" spans="1:10" ht="13" x14ac:dyDescent="0.15">
      <c r="A1808" s="4">
        <f ca="1">IFERROR(__xludf.DUMMYFUNCTION("""COMPUTED_VALUE"""),227831021)</f>
        <v>227831021</v>
      </c>
      <c r="B1808" s="1" t="str">
        <f ca="1">IFERROR(__xludf.DUMMYFUNCTION("""COMPUTED_VALUE"""),"soe705353@gmail.com")</f>
        <v>soe705353@gmail.com</v>
      </c>
      <c r="C1808" s="4" t="str">
        <f ca="1">IFERROR(__xludf.DUMMYFUNCTION("""COMPUTED_VALUE"""),"EVERGREEN - UAN Gated Content - Embedded Petition")</f>
        <v>EVERGREEN - UAN Gated Content - Embedded Petition</v>
      </c>
      <c r="D1808" s="5">
        <f ca="1">IFERROR(__xludf.DUMMYFUNCTION("""COMPUTED_VALUE"""),45677)</f>
        <v>45677</v>
      </c>
      <c r="F1808" s="1" t="str">
        <f ca="1">IFERROR(__xludf.DUMMYFUNCTION("""COMPUTED_VALUE"""),"Uganda")</f>
        <v>Uganda</v>
      </c>
      <c r="G1808" s="1" t="str">
        <f ca="1">IFERROR(__xludf.DUMMYFUNCTION("""COMPUTED_VALUE"""),"100.24 Uganda")</f>
        <v>100.24 Uganda</v>
      </c>
      <c r="H1808" s="1" t="str">
        <f ca="1">IFERROR(__xludf.DUMMYFUNCTION("""COMPUTED_VALUE"""),"Freedom of Expression")</f>
        <v>Freedom of Expression</v>
      </c>
      <c r="I1808" s="1" t="str">
        <f ca="1">IFERROR(__xludf.DUMMYFUNCTION("""COMPUTED_VALUE"""),"2024")</f>
        <v>2024</v>
      </c>
      <c r="J1808" s="1" t="str">
        <f ca="1">IFERROR(__xludf.DUMMYFUNCTION("""COMPUTED_VALUE"""),"Email")</f>
        <v>Email</v>
      </c>
    </row>
    <row r="1809" spans="1:10" ht="13" x14ac:dyDescent="0.15">
      <c r="A1809" s="4">
        <f ca="1">IFERROR(__xludf.DUMMYFUNCTION("""COMPUTED_VALUE"""),228169912)</f>
        <v>228169912</v>
      </c>
      <c r="B1809" s="1" t="str">
        <f ca="1">IFERROR(__xludf.DUMMYFUNCTION("""COMPUTED_VALUE"""),"lovis.teg@gmail.com")</f>
        <v>lovis.teg@gmail.com</v>
      </c>
      <c r="C1809" s="4" t="str">
        <f ca="1">IFERROR(__xludf.DUMMYFUNCTION("""COMPUTED_VALUE"""),"EVERGREEN - UAN Gated Content - Embedded Petition")</f>
        <v>EVERGREEN - UAN Gated Content - Embedded Petition</v>
      </c>
      <c r="D1809" s="5">
        <f ca="1">IFERROR(__xludf.DUMMYFUNCTION("""COMPUTED_VALUE"""),45706)</f>
        <v>45706</v>
      </c>
      <c r="F1809" s="1" t="str">
        <f ca="1">IFERROR(__xludf.DUMMYFUNCTION("""COMPUTED_VALUE"""),"Uganda")</f>
        <v>Uganda</v>
      </c>
      <c r="G1809" s="1" t="str">
        <f ca="1">IFERROR(__xludf.DUMMYFUNCTION("""COMPUTED_VALUE"""),"Ninth 190.18 Egypt")</f>
        <v>Ninth 190.18 Egypt</v>
      </c>
      <c r="H1809" s="1" t="str">
        <f ca="1">IFERROR(__xludf.DUMMYFUNCTION("""COMPUTED_VALUE"""),"Freedom of Expression, Individuals At Risk")</f>
        <v>Freedom of Expression, Individuals At Risk</v>
      </c>
      <c r="I1809" s="1" t="str">
        <f ca="1">IFERROR(__xludf.DUMMYFUNCTION("""COMPUTED_VALUE"""),"2024")</f>
        <v>2024</v>
      </c>
      <c r="J1809" s="1" t="str">
        <f ca="1">IFERROR(__xludf.DUMMYFUNCTION("""COMPUTED_VALUE"""),"Letter")</f>
        <v>Letter</v>
      </c>
    </row>
    <row r="1810" spans="1:10" ht="13" x14ac:dyDescent="0.15">
      <c r="A1810" s="4">
        <f ca="1">IFERROR(__xludf.DUMMYFUNCTION("""COMPUTED_VALUE"""),228249725)</f>
        <v>228249725</v>
      </c>
      <c r="B1810" s="1" t="str">
        <f ca="1">IFERROR(__xludf.DUMMYFUNCTION("""COMPUTED_VALUE"""),"emailyjohnson@gmail.com")</f>
        <v>emailyjohnson@gmail.com</v>
      </c>
      <c r="C1810" s="4" t="str">
        <f ca="1">IFERROR(__xludf.DUMMYFUNCTION("""COMPUTED_VALUE"""),"EVERGREEN - Website Email Capture Form - UAN Pre-Footer")</f>
        <v>EVERGREEN - Website Email Capture Form - UAN Pre-Footer</v>
      </c>
      <c r="D1810" s="5">
        <f ca="1">IFERROR(__xludf.DUMMYFUNCTION("""COMPUTED_VALUE"""),45670)</f>
        <v>45670</v>
      </c>
      <c r="F1810" s="1" t="str">
        <f ca="1">IFERROR(__xludf.DUMMYFUNCTION("""COMPUTED_VALUE"""),"Egypt")</f>
        <v>Egypt</v>
      </c>
      <c r="G1810" s="1" t="str">
        <f ca="1">IFERROR(__xludf.DUMMYFUNCTION("""COMPUTED_VALUE"""),"105.24 USA")</f>
        <v>105.24 USA</v>
      </c>
      <c r="H1810" s="1" t="str">
        <f ca="1">IFERROR(__xludf.DUMMYFUNCTION("""COMPUTED_VALUE"""),"Death Penalty")</f>
        <v>Death Penalty</v>
      </c>
      <c r="I1810" s="1" t="str">
        <f ca="1">IFERROR(__xludf.DUMMYFUNCTION("""COMPUTED_VALUE"""),"2024")</f>
        <v>2024</v>
      </c>
      <c r="J1810" s="1" t="str">
        <f ca="1">IFERROR(__xludf.DUMMYFUNCTION("""COMPUTED_VALUE"""),"Email")</f>
        <v>Email</v>
      </c>
    </row>
    <row r="1811" spans="1:10" ht="13" x14ac:dyDescent="0.15">
      <c r="A1811" s="4">
        <f ca="1">IFERROR(__xludf.DUMMYFUNCTION("""COMPUTED_VALUE"""),228250677)</f>
        <v>228250677</v>
      </c>
      <c r="B1811" s="1" t="str">
        <f ca="1">IFERROR(__xludf.DUMMYFUNCTION("""COMPUTED_VALUE"""),"bjh55@sbcglobal.net")</f>
        <v>bjh55@sbcglobal.net</v>
      </c>
      <c r="C1811" s="4" t="str">
        <f ca="1">IFERROR(__xludf.DUMMYFUNCTION("""COMPUTED_VALUE"""),"EVERGREEN - UAN Gated Content - Embedded Petition")</f>
        <v>EVERGREEN - UAN Gated Content - Embedded Petition</v>
      </c>
      <c r="D1811" s="5">
        <f ca="1">IFERROR(__xludf.DUMMYFUNCTION("""COMPUTED_VALUE"""),45693)</f>
        <v>45693</v>
      </c>
      <c r="F1811" s="1" t="str">
        <f ca="1">IFERROR(__xludf.DUMMYFUNCTION("""COMPUTED_VALUE"""),"USA")</f>
        <v>USA</v>
      </c>
      <c r="G1811" s="1" t="str">
        <f ca="1">IFERROR(__xludf.DUMMYFUNCTION("""COMPUTED_VALUE"""),"Second 76.24 Tunisia")</f>
        <v>Second 76.24 Tunisia</v>
      </c>
      <c r="H1811" s="1" t="str">
        <f ca="1">IFERROR(__xludf.DUMMYFUNCTION("""COMPUTED_VALUE"""),"Freedom of Expression, Human Rights Defenders")</f>
        <v>Freedom of Expression, Human Rights Defenders</v>
      </c>
      <c r="I1811" s="1" t="str">
        <f ca="1">IFERROR(__xludf.DUMMYFUNCTION("""COMPUTED_VALUE"""),"2025")</f>
        <v>2025</v>
      </c>
      <c r="J1811" s="1" t="str">
        <f ca="1">IFERROR(__xludf.DUMMYFUNCTION("""COMPUTED_VALUE"""),"Email")</f>
        <v>Email</v>
      </c>
    </row>
    <row r="1812" spans="1:10" ht="13" x14ac:dyDescent="0.15">
      <c r="A1812" s="4">
        <f ca="1">IFERROR(__xludf.DUMMYFUNCTION("""COMPUTED_VALUE"""),228273661)</f>
        <v>228273661</v>
      </c>
      <c r="B1812" s="1" t="str">
        <f ca="1">IFERROR(__xludf.DUMMYFUNCTION("""COMPUTED_VALUE"""),"shastalassen1@gmail.com")</f>
        <v>shastalassen1@gmail.com</v>
      </c>
      <c r="C1812" s="4" t="str">
        <f ca="1">IFERROR(__xludf.DUMMYFUNCTION("""COMPUTED_VALUE"""),"EVERGREEN - UAN Gated Content - Embedded Petition")</f>
        <v>EVERGREEN - UAN Gated Content - Embedded Petition</v>
      </c>
      <c r="D1812" s="5">
        <f ca="1">IFERROR(__xludf.DUMMYFUNCTION("""COMPUTED_VALUE"""),45694)</f>
        <v>45694</v>
      </c>
      <c r="F1812" s="1" t="str">
        <f ca="1">IFERROR(__xludf.DUMMYFUNCTION("""COMPUTED_VALUE"""),"Tunisia")</f>
        <v>Tunisia</v>
      </c>
      <c r="G1812" s="1" t="str">
        <f ca="1">IFERROR(__xludf.DUMMYFUNCTION("""COMPUTED_VALUE"""),"Seventh 103.22 Iran")</f>
        <v>Seventh 103.22 Iran</v>
      </c>
      <c r="H1812" s="1" t="str">
        <f ca="1">IFERROR(__xludf.DUMMYFUNCTION("""COMPUTED_VALUE"""),"Death Penalty, Freedom of Expression, Individuals At Risk")</f>
        <v>Death Penalty, Freedom of Expression, Individuals At Risk</v>
      </c>
      <c r="I1812" s="1" t="str">
        <f ca="1">IFERROR(__xludf.DUMMYFUNCTION("""COMPUTED_VALUE"""),"2024")</f>
        <v>2024</v>
      </c>
      <c r="J1812" s="1" t="str">
        <f ca="1">IFERROR(__xludf.DUMMYFUNCTION("""COMPUTED_VALUE"""),"Email")</f>
        <v>Email</v>
      </c>
    </row>
    <row r="1813" spans="1:10" ht="13" x14ac:dyDescent="0.15">
      <c r="A1813" s="4">
        <f ca="1">IFERROR(__xludf.DUMMYFUNCTION("""COMPUTED_VALUE"""),228273661)</f>
        <v>228273661</v>
      </c>
      <c r="B1813" s="1" t="str">
        <f ca="1">IFERROR(__xludf.DUMMYFUNCTION("""COMPUTED_VALUE"""),"shastalassen1@gmail.com")</f>
        <v>shastalassen1@gmail.com</v>
      </c>
      <c r="C1813" s="4" t="str">
        <f ca="1">IFERROR(__xludf.DUMMYFUNCTION("""COMPUTED_VALUE"""),"EVERGREEN - UAN Gated Content - Embedded Petition")</f>
        <v>EVERGREEN - UAN Gated Content - Embedded Petition</v>
      </c>
      <c r="D1813" s="5">
        <f ca="1">IFERROR(__xludf.DUMMYFUNCTION("""COMPUTED_VALUE"""),45694)</f>
        <v>45694</v>
      </c>
      <c r="F1813" s="1" t="str">
        <f ca="1">IFERROR(__xludf.DUMMYFUNCTION("""COMPUTED_VALUE"""),"Iran")</f>
        <v>Iran</v>
      </c>
      <c r="G1813" s="1" t="str">
        <f ca="1">IFERROR(__xludf.DUMMYFUNCTION("""COMPUTED_VALUE"""),"103.24 Niger")</f>
        <v>103.24 Niger</v>
      </c>
      <c r="H1813" s="1" t="str">
        <f ca="1">IFERROR(__xludf.DUMMYFUNCTION("""COMPUTED_VALUE"""),"Freedom of Expression, Human Rights Defenders")</f>
        <v>Freedom of Expression, Human Rights Defenders</v>
      </c>
      <c r="I1813" s="1" t="str">
        <f ca="1">IFERROR(__xludf.DUMMYFUNCTION("""COMPUTED_VALUE"""),"2024")</f>
        <v>2024</v>
      </c>
      <c r="J1813" s="1" t="str">
        <f ca="1">IFERROR(__xludf.DUMMYFUNCTION("""COMPUTED_VALUE"""),"Email")</f>
        <v>Email</v>
      </c>
    </row>
    <row r="1814" spans="1:10" ht="13" x14ac:dyDescent="0.15">
      <c r="A1814" s="4">
        <f ca="1">IFERROR(__xludf.DUMMYFUNCTION("""COMPUTED_VALUE"""),228273661)</f>
        <v>228273661</v>
      </c>
      <c r="B1814" s="1" t="str">
        <f ca="1">IFERROR(__xludf.DUMMYFUNCTION("""COMPUTED_VALUE"""),"shastalassen1@gmail.com")</f>
        <v>shastalassen1@gmail.com</v>
      </c>
      <c r="C1814" s="4" t="str">
        <f ca="1">IFERROR(__xludf.DUMMYFUNCTION("""COMPUTED_VALUE"""),"EVERGREEN - UAN Gated Content - Embedded Petition")</f>
        <v>EVERGREEN - UAN Gated Content - Embedded Petition</v>
      </c>
      <c r="D1814" s="5">
        <f ca="1">IFERROR(__xludf.DUMMYFUNCTION("""COMPUTED_VALUE"""),45694)</f>
        <v>45694</v>
      </c>
      <c r="F1814" s="1" t="str">
        <f ca="1">IFERROR(__xludf.DUMMYFUNCTION("""COMPUTED_VALUE"""),"Niger")</f>
        <v>Niger</v>
      </c>
      <c r="G1814" s="1" t="str">
        <f ca="1">IFERROR(__xludf.DUMMYFUNCTION("""COMPUTED_VALUE"""),"103.24 Niger")</f>
        <v>103.24 Niger</v>
      </c>
      <c r="H1814" s="1" t="str">
        <f ca="1">IFERROR(__xludf.DUMMYFUNCTION("""COMPUTED_VALUE"""),"Freedom of Expression, Human Rights Defenders")</f>
        <v>Freedom of Expression, Human Rights Defenders</v>
      </c>
      <c r="I1814" s="1" t="str">
        <f ca="1">IFERROR(__xludf.DUMMYFUNCTION("""COMPUTED_VALUE"""),"2024")</f>
        <v>2024</v>
      </c>
      <c r="J1814" s="1" t="str">
        <f ca="1">IFERROR(__xludf.DUMMYFUNCTION("""COMPUTED_VALUE"""),"Email")</f>
        <v>Email</v>
      </c>
    </row>
    <row r="1815" spans="1:10" ht="13" x14ac:dyDescent="0.15">
      <c r="A1815" s="4">
        <f ca="1">IFERROR(__xludf.DUMMYFUNCTION("""COMPUTED_VALUE"""),228273661)</f>
        <v>228273661</v>
      </c>
      <c r="B1815" s="1" t="str">
        <f ca="1">IFERROR(__xludf.DUMMYFUNCTION("""COMPUTED_VALUE"""),"shastalassen1@gmail.com")</f>
        <v>shastalassen1@gmail.com</v>
      </c>
      <c r="C1815" s="4" t="str">
        <f ca="1">IFERROR(__xludf.DUMMYFUNCTION("""COMPUTED_VALUE"""),"EVERGREEN - UAN Gated Content - Embedded Petition")</f>
        <v>EVERGREEN - UAN Gated Content - Embedded Petition</v>
      </c>
      <c r="D1815" s="5">
        <f ca="1">IFERROR(__xludf.DUMMYFUNCTION("""COMPUTED_VALUE"""),45694)</f>
        <v>45694</v>
      </c>
      <c r="F1815" s="1" t="str">
        <f ca="1">IFERROR(__xludf.DUMMYFUNCTION("""COMPUTED_VALUE"""),"Niger")</f>
        <v>Niger</v>
      </c>
      <c r="G1815" s="1" t="str">
        <f ca="1">IFERROR(__xludf.DUMMYFUNCTION("""COMPUTED_VALUE"""),"Seventh 103.22 Iran")</f>
        <v>Seventh 103.22 Iran</v>
      </c>
      <c r="H1815" s="1" t="str">
        <f ca="1">IFERROR(__xludf.DUMMYFUNCTION("""COMPUTED_VALUE"""),"Death Penalty, Freedom of Expression, Individuals At Risk")</f>
        <v>Death Penalty, Freedom of Expression, Individuals At Risk</v>
      </c>
      <c r="I1815" s="1" t="str">
        <f ca="1">IFERROR(__xludf.DUMMYFUNCTION("""COMPUTED_VALUE"""),"2024")</f>
        <v>2024</v>
      </c>
      <c r="J1815" s="1" t="str">
        <f ca="1">IFERROR(__xludf.DUMMYFUNCTION("""COMPUTED_VALUE"""),"Email")</f>
        <v>Email</v>
      </c>
    </row>
    <row r="1816" spans="1:10" ht="13" x14ac:dyDescent="0.15">
      <c r="A1816" s="4">
        <f ca="1">IFERROR(__xludf.DUMMYFUNCTION("""COMPUTED_VALUE"""),228273661)</f>
        <v>228273661</v>
      </c>
      <c r="B1816" s="1" t="str">
        <f ca="1">IFERROR(__xludf.DUMMYFUNCTION("""COMPUTED_VALUE"""),"shastalassen1@gmail.com")</f>
        <v>shastalassen1@gmail.com</v>
      </c>
      <c r="C1816" s="4" t="str">
        <f ca="1">IFERROR(__xludf.DUMMYFUNCTION("""COMPUTED_VALUE"""),"EVERGREEN - UAN Gated Content - Embedded Petition")</f>
        <v>EVERGREEN - UAN Gated Content - Embedded Petition</v>
      </c>
      <c r="D1816" s="5">
        <f ca="1">IFERROR(__xludf.DUMMYFUNCTION("""COMPUTED_VALUE"""),45694)</f>
        <v>45694</v>
      </c>
      <c r="F1816" s="1" t="str">
        <f ca="1">IFERROR(__xludf.DUMMYFUNCTION("""COMPUTED_VALUE"""),"Iran")</f>
        <v>Iran</v>
      </c>
      <c r="G1816" s="1" t="str">
        <f ca="1">IFERROR(__xludf.DUMMYFUNCTION("""COMPUTED_VALUE"""),"Second 76.24 Tunisia")</f>
        <v>Second 76.24 Tunisia</v>
      </c>
      <c r="H1816" s="1" t="str">
        <f ca="1">IFERROR(__xludf.DUMMYFUNCTION("""COMPUTED_VALUE"""),"Freedom of Expression, Human Rights Defenders")</f>
        <v>Freedom of Expression, Human Rights Defenders</v>
      </c>
      <c r="I1816" s="1" t="str">
        <f ca="1">IFERROR(__xludf.DUMMYFUNCTION("""COMPUTED_VALUE"""),"2025")</f>
        <v>2025</v>
      </c>
      <c r="J1816" s="1" t="str">
        <f ca="1">IFERROR(__xludf.DUMMYFUNCTION("""COMPUTED_VALUE"""),"Email")</f>
        <v>Email</v>
      </c>
    </row>
    <row r="1817" spans="1:10" ht="13" x14ac:dyDescent="0.15">
      <c r="A1817" s="4">
        <f ca="1">IFERROR(__xludf.DUMMYFUNCTION("""COMPUTED_VALUE"""),228273661)</f>
        <v>228273661</v>
      </c>
      <c r="B1817" s="1" t="str">
        <f ca="1">IFERROR(__xludf.DUMMYFUNCTION("""COMPUTED_VALUE"""),"shastalassen1@gmail.com")</f>
        <v>shastalassen1@gmail.com</v>
      </c>
      <c r="C1817" s="4" t="str">
        <f ca="1">IFERROR(__xludf.DUMMYFUNCTION("""COMPUTED_VALUE"""),"EVERGREEN - UAN Gated Content - Embedded Petition")</f>
        <v>EVERGREEN - UAN Gated Content - Embedded Petition</v>
      </c>
      <c r="D1817" s="5">
        <f ca="1">IFERROR(__xludf.DUMMYFUNCTION("""COMPUTED_VALUE"""),45694)</f>
        <v>45694</v>
      </c>
      <c r="F1817" s="1" t="str">
        <f ca="1">IFERROR(__xludf.DUMMYFUNCTION("""COMPUTED_VALUE"""),"Tunisia")</f>
        <v>Tunisia</v>
      </c>
      <c r="G1817" s="1" t="str">
        <f ca="1">IFERROR(__xludf.DUMMYFUNCTION("""COMPUTED_VALUE"""),"101.24 Iran")</f>
        <v>101.24 Iran</v>
      </c>
      <c r="H1817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1817" s="1" t="str">
        <f ca="1">IFERROR(__xludf.DUMMYFUNCTION("""COMPUTED_VALUE"""),"2024")</f>
        <v>2024</v>
      </c>
      <c r="J1817" s="1" t="str">
        <f ca="1">IFERROR(__xludf.DUMMYFUNCTION("""COMPUTED_VALUE"""),"Email")</f>
        <v>Email</v>
      </c>
    </row>
    <row r="1818" spans="1:10" ht="13" x14ac:dyDescent="0.15">
      <c r="A1818" s="4">
        <f ca="1">IFERROR(__xludf.DUMMYFUNCTION("""COMPUTED_VALUE"""),228273661)</f>
        <v>228273661</v>
      </c>
      <c r="B1818" s="1" t="str">
        <f ca="1">IFERROR(__xludf.DUMMYFUNCTION("""COMPUTED_VALUE"""),"shastalassen1@gmail.com")</f>
        <v>shastalassen1@gmail.com</v>
      </c>
      <c r="C1818" s="4" t="str">
        <f ca="1">IFERROR(__xludf.DUMMYFUNCTION("""COMPUTED_VALUE"""),"EVERGREEN - UAN Gated Content - Embedded Petition")</f>
        <v>EVERGREEN - UAN Gated Content - Embedded Petition</v>
      </c>
      <c r="D1818" s="5">
        <f ca="1">IFERROR(__xludf.DUMMYFUNCTION("""COMPUTED_VALUE"""),45694)</f>
        <v>45694</v>
      </c>
      <c r="F1818" s="1" t="str">
        <f ca="1">IFERROR(__xludf.DUMMYFUNCTION("""COMPUTED_VALUE"""),"Iran")</f>
        <v>Iran</v>
      </c>
      <c r="G1818" s="1" t="str">
        <f ca="1">IFERROR(__xludf.DUMMYFUNCTION("""COMPUTED_VALUE"""),"1.25 Venezuela")</f>
        <v>1.25 Venezuela</v>
      </c>
      <c r="H1818" s="1" t="str">
        <f ca="1">IFERROR(__xludf.DUMMYFUNCTION("""COMPUTED_VALUE"""),"Human Rights Defenders, Individuals At Risk")</f>
        <v>Human Rights Defenders, Individuals At Risk</v>
      </c>
      <c r="I1818" s="1" t="str">
        <f ca="1">IFERROR(__xludf.DUMMYFUNCTION("""COMPUTED_VALUE"""),"2025")</f>
        <v>2025</v>
      </c>
      <c r="J1818" s="1" t="str">
        <f ca="1">IFERROR(__xludf.DUMMYFUNCTION("""COMPUTED_VALUE"""),"Letter")</f>
        <v>Letter</v>
      </c>
    </row>
    <row r="1819" spans="1:10" ht="13" x14ac:dyDescent="0.15">
      <c r="A1819" s="4">
        <f ca="1">IFERROR(__xludf.DUMMYFUNCTION("""COMPUTED_VALUE"""),228273661)</f>
        <v>228273661</v>
      </c>
      <c r="B1819" s="1" t="str">
        <f ca="1">IFERROR(__xludf.DUMMYFUNCTION("""COMPUTED_VALUE"""),"shastalassen1@gmail.com")</f>
        <v>shastalassen1@gmail.com</v>
      </c>
      <c r="C1819" s="4" t="str">
        <f ca="1">IFERROR(__xludf.DUMMYFUNCTION("""COMPUTED_VALUE"""),"EVERGREEN - UAN Gated Content - Embedded Petition")</f>
        <v>EVERGREEN - UAN Gated Content - Embedded Petition</v>
      </c>
      <c r="D1819" s="5">
        <f ca="1">IFERROR(__xludf.DUMMYFUNCTION("""COMPUTED_VALUE"""),45694)</f>
        <v>45694</v>
      </c>
      <c r="F1819" s="1" t="str">
        <f ca="1">IFERROR(__xludf.DUMMYFUNCTION("""COMPUTED_VALUE"""),"Venezuela")</f>
        <v>Venezuela</v>
      </c>
      <c r="G1819" s="1" t="str">
        <f ca="1">IFERROR(__xludf.DUMMYFUNCTION("""COMPUTED_VALUE"""),"Second 76.24 Tunisia")</f>
        <v>Second 76.24 Tunisia</v>
      </c>
      <c r="H1819" s="1" t="str">
        <f ca="1">IFERROR(__xludf.DUMMYFUNCTION("""COMPUTED_VALUE"""),"Freedom of Expression, Human Rights Defenders")</f>
        <v>Freedom of Expression, Human Rights Defenders</v>
      </c>
      <c r="I1819" s="1" t="str">
        <f ca="1">IFERROR(__xludf.DUMMYFUNCTION("""COMPUTED_VALUE"""),"2025")</f>
        <v>2025</v>
      </c>
      <c r="J1819" s="1" t="str">
        <f ca="1">IFERROR(__xludf.DUMMYFUNCTION("""COMPUTED_VALUE"""),"Email")</f>
        <v>Email</v>
      </c>
    </row>
    <row r="1820" spans="1:10" ht="13" x14ac:dyDescent="0.15">
      <c r="A1820" s="4">
        <f ca="1">IFERROR(__xludf.DUMMYFUNCTION("""COMPUTED_VALUE"""),228273661)</f>
        <v>228273661</v>
      </c>
      <c r="B1820" s="1" t="str">
        <f ca="1">IFERROR(__xludf.DUMMYFUNCTION("""COMPUTED_VALUE"""),"shastalassen1@gmail.com")</f>
        <v>shastalassen1@gmail.com</v>
      </c>
      <c r="C1820" s="4" t="str">
        <f ca="1">IFERROR(__xludf.DUMMYFUNCTION("""COMPUTED_VALUE"""),"EVERGREEN - UAN Gated Content - Embedded Petition")</f>
        <v>EVERGREEN - UAN Gated Content - Embedded Petition</v>
      </c>
      <c r="D1820" s="5">
        <f ca="1">IFERROR(__xludf.DUMMYFUNCTION("""COMPUTED_VALUE"""),45694)</f>
        <v>45694</v>
      </c>
      <c r="F1820" s="1" t="str">
        <f ca="1">IFERROR(__xludf.DUMMYFUNCTION("""COMPUTED_VALUE"""),"Tunisia")</f>
        <v>Tunisia</v>
      </c>
      <c r="G1820" s="1" t="str">
        <f ca="1">IFERROR(__xludf.DUMMYFUNCTION("""COMPUTED_VALUE"""),"1.25 Venezuela")</f>
        <v>1.25 Venezuela</v>
      </c>
      <c r="H1820" s="1" t="str">
        <f ca="1">IFERROR(__xludf.DUMMYFUNCTION("""COMPUTED_VALUE"""),"Human Rights Defenders, Individuals At Risk")</f>
        <v>Human Rights Defenders, Individuals At Risk</v>
      </c>
      <c r="I1820" s="1" t="str">
        <f ca="1">IFERROR(__xludf.DUMMYFUNCTION("""COMPUTED_VALUE"""),"2025")</f>
        <v>2025</v>
      </c>
      <c r="J1820" s="1" t="str">
        <f ca="1">IFERROR(__xludf.DUMMYFUNCTION("""COMPUTED_VALUE"""),"Letter")</f>
        <v>Letter</v>
      </c>
    </row>
    <row r="1821" spans="1:10" ht="13" x14ac:dyDescent="0.15">
      <c r="A1821" s="4">
        <f ca="1">IFERROR(__xludf.DUMMYFUNCTION("""COMPUTED_VALUE"""),228273661)</f>
        <v>228273661</v>
      </c>
      <c r="B1821" s="1" t="str">
        <f ca="1">IFERROR(__xludf.DUMMYFUNCTION("""COMPUTED_VALUE"""),"shastalassen1@gmail.com")</f>
        <v>shastalassen1@gmail.com</v>
      </c>
      <c r="C1821" s="4" t="str">
        <f ca="1">IFERROR(__xludf.DUMMYFUNCTION("""COMPUTED_VALUE"""),"EVERGREEN - UAN Gated Content - Embedded Petition")</f>
        <v>EVERGREEN - UAN Gated Content - Embedded Petition</v>
      </c>
      <c r="D1821" s="5">
        <f ca="1">IFERROR(__xludf.DUMMYFUNCTION("""COMPUTED_VALUE"""),45694)</f>
        <v>45694</v>
      </c>
      <c r="F1821" s="1" t="str">
        <f ca="1">IFERROR(__xludf.DUMMYFUNCTION("""COMPUTED_VALUE"""),"Venezuela")</f>
        <v>Venezuela</v>
      </c>
      <c r="G1821" s="1" t="str">
        <f ca="1">IFERROR(__xludf.DUMMYFUNCTION("""COMPUTED_VALUE"""),"2.25 Azerbaijan")</f>
        <v>2.25 Azerbaijan</v>
      </c>
      <c r="H1821" s="1" t="str">
        <f ca="1">IFERROR(__xludf.DUMMYFUNCTION("""COMPUTED_VALUE"""),"Freedom of Expression, Human Rights Defenders")</f>
        <v>Freedom of Expression, Human Rights Defenders</v>
      </c>
      <c r="I1821" s="1" t="str">
        <f ca="1">IFERROR(__xludf.DUMMYFUNCTION("""COMPUTED_VALUE"""),"2025")</f>
        <v>2025</v>
      </c>
      <c r="J1821" s="1" t="str">
        <f ca="1">IFERROR(__xludf.DUMMYFUNCTION("""COMPUTED_VALUE"""),"Email")</f>
        <v>Email</v>
      </c>
    </row>
    <row r="1822" spans="1:10" ht="13" x14ac:dyDescent="0.15">
      <c r="A1822" s="4">
        <f ca="1">IFERROR(__xludf.DUMMYFUNCTION("""COMPUTED_VALUE"""),228273661)</f>
        <v>228273661</v>
      </c>
      <c r="B1822" s="1" t="str">
        <f ca="1">IFERROR(__xludf.DUMMYFUNCTION("""COMPUTED_VALUE"""),"shastalassen1@gmail.com")</f>
        <v>shastalassen1@gmail.com</v>
      </c>
      <c r="C1822" s="4" t="str">
        <f ca="1">IFERROR(__xludf.DUMMYFUNCTION("""COMPUTED_VALUE"""),"EVERGREEN - UAN Gated Content - Embedded Petition")</f>
        <v>EVERGREEN - UAN Gated Content - Embedded Petition</v>
      </c>
      <c r="D1822" s="5">
        <f ca="1">IFERROR(__xludf.DUMMYFUNCTION("""COMPUTED_VALUE"""),45694)</f>
        <v>45694</v>
      </c>
      <c r="F1822" s="1" t="str">
        <f ca="1">IFERROR(__xludf.DUMMYFUNCTION("""COMPUTED_VALUE"""),"Azerbaijan")</f>
        <v>Azerbaijan</v>
      </c>
      <c r="G1822" s="1" t="str">
        <f ca="1">IFERROR(__xludf.DUMMYFUNCTION("""COMPUTED_VALUE"""),"Seventh 103.22 Iran")</f>
        <v>Seventh 103.22 Iran</v>
      </c>
      <c r="H1822" s="1" t="str">
        <f ca="1">IFERROR(__xludf.DUMMYFUNCTION("""COMPUTED_VALUE"""),"Death Penalty, Freedom of Expression, Individuals At Risk")</f>
        <v>Death Penalty, Freedom of Expression, Individuals At Risk</v>
      </c>
      <c r="I1822" s="1" t="str">
        <f ca="1">IFERROR(__xludf.DUMMYFUNCTION("""COMPUTED_VALUE"""),"2024")</f>
        <v>2024</v>
      </c>
      <c r="J1822" s="1" t="str">
        <f ca="1">IFERROR(__xludf.DUMMYFUNCTION("""COMPUTED_VALUE"""),"Email")</f>
        <v>Email</v>
      </c>
    </row>
    <row r="1823" spans="1:10" ht="13" x14ac:dyDescent="0.15">
      <c r="A1823" s="4">
        <f ca="1">IFERROR(__xludf.DUMMYFUNCTION("""COMPUTED_VALUE"""),228273661)</f>
        <v>228273661</v>
      </c>
      <c r="B1823" s="1" t="str">
        <f ca="1">IFERROR(__xludf.DUMMYFUNCTION("""COMPUTED_VALUE"""),"shastalassen1@gmail.com")</f>
        <v>shastalassen1@gmail.com</v>
      </c>
      <c r="C1823" s="4" t="str">
        <f ca="1">IFERROR(__xludf.DUMMYFUNCTION("""COMPUTED_VALUE"""),"EVERGREEN - UAN Gated Content - Embedded Petition")</f>
        <v>EVERGREEN - UAN Gated Content - Embedded Petition</v>
      </c>
      <c r="D1823" s="5">
        <f ca="1">IFERROR(__xludf.DUMMYFUNCTION("""COMPUTED_VALUE"""),45694)</f>
        <v>45694</v>
      </c>
      <c r="F1823" s="1" t="str">
        <f ca="1">IFERROR(__xludf.DUMMYFUNCTION("""COMPUTED_VALUE"""),"Iran")</f>
        <v>Iran</v>
      </c>
      <c r="G1823" s="1" t="str">
        <f ca="1">IFERROR(__xludf.DUMMYFUNCTION("""COMPUTED_VALUE"""),"103.24 Niger")</f>
        <v>103.24 Niger</v>
      </c>
      <c r="H1823" s="1" t="str">
        <f ca="1">IFERROR(__xludf.DUMMYFUNCTION("""COMPUTED_VALUE"""),"Freedom of Expression, Human Rights Defenders")</f>
        <v>Freedom of Expression, Human Rights Defenders</v>
      </c>
      <c r="I1823" s="1" t="str">
        <f ca="1">IFERROR(__xludf.DUMMYFUNCTION("""COMPUTED_VALUE"""),"2024")</f>
        <v>2024</v>
      </c>
      <c r="J1823" s="1" t="str">
        <f ca="1">IFERROR(__xludf.DUMMYFUNCTION("""COMPUTED_VALUE"""),"Email")</f>
        <v>Email</v>
      </c>
    </row>
    <row r="1824" spans="1:10" ht="13" x14ac:dyDescent="0.15">
      <c r="A1824" s="4">
        <f ca="1">IFERROR(__xludf.DUMMYFUNCTION("""COMPUTED_VALUE"""),228273661)</f>
        <v>228273661</v>
      </c>
      <c r="B1824" s="1" t="str">
        <f ca="1">IFERROR(__xludf.DUMMYFUNCTION("""COMPUTED_VALUE"""),"shastalassen1@gmail.com")</f>
        <v>shastalassen1@gmail.com</v>
      </c>
      <c r="C1824" s="4" t="str">
        <f ca="1">IFERROR(__xludf.DUMMYFUNCTION("""COMPUTED_VALUE"""),"EVERGREEN - UAN Gated Content - Embedded Petition")</f>
        <v>EVERGREEN - UAN Gated Content - Embedded Petition</v>
      </c>
      <c r="D1824" s="5">
        <f ca="1">IFERROR(__xludf.DUMMYFUNCTION("""COMPUTED_VALUE"""),45694)</f>
        <v>45694</v>
      </c>
      <c r="F1824" s="1" t="str">
        <f ca="1">IFERROR(__xludf.DUMMYFUNCTION("""COMPUTED_VALUE"""),"Niger")</f>
        <v>Niger</v>
      </c>
      <c r="G1824" s="1" t="str">
        <f ca="1">IFERROR(__xludf.DUMMYFUNCTION("""COMPUTED_VALUE"""),"100.24 Uganda")</f>
        <v>100.24 Uganda</v>
      </c>
      <c r="H1824" s="1" t="str">
        <f ca="1">IFERROR(__xludf.DUMMYFUNCTION("""COMPUTED_VALUE"""),"Freedom of Expression")</f>
        <v>Freedom of Expression</v>
      </c>
      <c r="I1824" s="1" t="str">
        <f ca="1">IFERROR(__xludf.DUMMYFUNCTION("""COMPUTED_VALUE"""),"2024")</f>
        <v>2024</v>
      </c>
      <c r="J1824" s="1" t="str">
        <f ca="1">IFERROR(__xludf.DUMMYFUNCTION("""COMPUTED_VALUE"""),"Email")</f>
        <v>Email</v>
      </c>
    </row>
    <row r="1825" spans="1:10" ht="13" x14ac:dyDescent="0.15">
      <c r="A1825" s="4">
        <f ca="1">IFERROR(__xludf.DUMMYFUNCTION("""COMPUTED_VALUE"""),228318861)</f>
        <v>228318861</v>
      </c>
      <c r="B1825" s="1" t="str">
        <f ca="1">IFERROR(__xludf.DUMMYFUNCTION("""COMPUTED_VALUE"""),"kmayers@sfc.edu")</f>
        <v>kmayers@sfc.edu</v>
      </c>
      <c r="C1825" s="4" t="str">
        <f ca="1">IFERROR(__xludf.DUMMYFUNCTION("""COMPUTED_VALUE"""),"EVERGREEN - UAN Gated Content - Embedded Petition")</f>
        <v>EVERGREEN - UAN Gated Content - Embedded Petition</v>
      </c>
      <c r="D1825" s="5">
        <f ca="1">IFERROR(__xludf.DUMMYFUNCTION("""COMPUTED_VALUE"""),45616)</f>
        <v>45616</v>
      </c>
      <c r="F1825" s="1" t="str">
        <f ca="1">IFERROR(__xludf.DUMMYFUNCTION("""COMPUTED_VALUE"""),"Uganda")</f>
        <v>Uganda</v>
      </c>
      <c r="G1825" s="1" t="str">
        <f ca="1">IFERROR(__xludf.DUMMYFUNCTION("""COMPUTED_VALUE"""),"Third 73.23 Egypt")</f>
        <v>Third 73.23 Egypt</v>
      </c>
      <c r="H1825" s="1" t="str">
        <f ca="1">IFERROR(__xludf.DUMMYFUNCTION("""COMPUTED_VALUE"""),"Individuals At Risk")</f>
        <v>Individuals At Risk</v>
      </c>
      <c r="I1825" s="1" t="str">
        <f ca="1">IFERROR(__xludf.DUMMYFUNCTION("""COMPUTED_VALUE"""),"2024")</f>
        <v>2024</v>
      </c>
      <c r="J1825" s="1" t="str">
        <f ca="1">IFERROR(__xludf.DUMMYFUNCTION("""COMPUTED_VALUE"""),"Email")</f>
        <v>Email</v>
      </c>
    </row>
    <row r="1826" spans="1:10" ht="13" x14ac:dyDescent="0.15">
      <c r="A1826" s="4">
        <f ca="1">IFERROR(__xludf.DUMMYFUNCTION("""COMPUTED_VALUE"""),228421997)</f>
        <v>228421997</v>
      </c>
      <c r="B1826" s="1" t="str">
        <f ca="1">IFERROR(__xludf.DUMMYFUNCTION("""COMPUTED_VALUE"""),"neillh53@westriv.com")</f>
        <v>neillh53@westriv.com</v>
      </c>
      <c r="C1826" s="4" t="str">
        <f ca="1">IFERROR(__xludf.DUMMYFUNCTION("""COMPUTED_VALUE"""),"EVERGREEN - UAN Gated Content - Embedded Petition")</f>
        <v>EVERGREEN - UAN Gated Content - Embedded Petition</v>
      </c>
      <c r="D1826" s="5">
        <f ca="1">IFERROR(__xludf.DUMMYFUNCTION("""COMPUTED_VALUE"""),45618)</f>
        <v>45618</v>
      </c>
      <c r="F1826" s="1" t="str">
        <f ca="1">IFERROR(__xludf.DUMMYFUNCTION("""COMPUTED_VALUE"""),"Egypt")</f>
        <v>Egypt</v>
      </c>
      <c r="G1826" s="1" t="str">
        <f ca="1">IFERROR(__xludf.DUMMYFUNCTION("""COMPUTED_VALUE"""),"109.24 Türkiye")</f>
        <v>109.24 Türkiye</v>
      </c>
      <c r="H1826" s="1" t="str">
        <f ca="1">IFERROR(__xludf.DUMMYFUNCTION("""COMPUTED_VALUE"""),"Human Rights Defenders, Individuals At Risk")</f>
        <v>Human Rights Defenders, Individuals At Risk</v>
      </c>
      <c r="I1826" s="1" t="str">
        <f ca="1">IFERROR(__xludf.DUMMYFUNCTION("""COMPUTED_VALUE"""),"2024")</f>
        <v>2024</v>
      </c>
      <c r="J1826" s="1" t="str">
        <f ca="1">IFERROR(__xludf.DUMMYFUNCTION("""COMPUTED_VALUE"""),"Email")</f>
        <v>Email</v>
      </c>
    </row>
    <row r="1827" spans="1:10" ht="13" x14ac:dyDescent="0.15">
      <c r="A1827" s="4">
        <f ca="1">IFERROR(__xludf.DUMMYFUNCTION("""COMPUTED_VALUE"""),228421997)</f>
        <v>228421997</v>
      </c>
      <c r="B1827" s="1" t="str">
        <f ca="1">IFERROR(__xludf.DUMMYFUNCTION("""COMPUTED_VALUE"""),"neillh53@westriv.com")</f>
        <v>neillh53@westriv.com</v>
      </c>
      <c r="C1827" s="4" t="str">
        <f ca="1">IFERROR(__xludf.DUMMYFUNCTION("""COMPUTED_VALUE"""),"EVERGREEN - UAN Gated Content - Embedded Petition")</f>
        <v>EVERGREEN - UAN Gated Content - Embedded Petition</v>
      </c>
      <c r="D1827" s="5">
        <f ca="1">IFERROR(__xludf.DUMMYFUNCTION("""COMPUTED_VALUE"""),45618)</f>
        <v>45618</v>
      </c>
      <c r="F1827" s="1" t="str">
        <f ca="1">IFERROR(__xludf.DUMMYFUNCTION("""COMPUTED_VALUE"""),"Turkiye")</f>
        <v>Turkiye</v>
      </c>
      <c r="G1827" s="1" t="str">
        <f ca="1">IFERROR(__xludf.DUMMYFUNCTION("""COMPUTED_VALUE"""),"Second 43.24 Tunisia")</f>
        <v>Second 43.24 Tunisia</v>
      </c>
      <c r="H1827" s="1" t="str">
        <f ca="1">IFERROR(__xludf.DUMMYFUNCTION("""COMPUTED_VALUE"""),"Freedom of Expression, Individuals At Risk")</f>
        <v>Freedom of Expression, Individuals At Risk</v>
      </c>
      <c r="I1827" s="1" t="str">
        <f ca="1">IFERROR(__xludf.DUMMYFUNCTION("""COMPUTED_VALUE"""),"2024")</f>
        <v>2024</v>
      </c>
      <c r="J1827" s="1" t="str">
        <f ca="1">IFERROR(__xludf.DUMMYFUNCTION("""COMPUTED_VALUE"""),"Email")</f>
        <v>Email</v>
      </c>
    </row>
    <row r="1828" spans="1:10" ht="13" x14ac:dyDescent="0.15">
      <c r="A1828" s="4">
        <f ca="1">IFERROR(__xludf.DUMMYFUNCTION("""COMPUTED_VALUE"""),229658415)</f>
        <v>229658415</v>
      </c>
      <c r="B1828" s="1" t="str">
        <f ca="1">IFERROR(__xludf.DUMMYFUNCTION("""COMPUTED_VALUE"""),"jessntd@gmail.com")</f>
        <v>jessntd@gmail.com</v>
      </c>
      <c r="C1828" s="4" t="str">
        <f ca="1">IFERROR(__xludf.DUMMYFUNCTION("""COMPUTED_VALUE"""),"EVERGREEN - UAN Gated Content - Embedded Petition")</f>
        <v>EVERGREEN - UAN Gated Content - Embedded Petition</v>
      </c>
      <c r="D1828" s="5">
        <f ca="1">IFERROR(__xludf.DUMMYFUNCTION("""COMPUTED_VALUE"""),45680)</f>
        <v>45680</v>
      </c>
      <c r="F1828" s="1" t="str">
        <f ca="1">IFERROR(__xludf.DUMMYFUNCTION("""COMPUTED_VALUE"""),"Tunisia")</f>
        <v>Tunisia</v>
      </c>
      <c r="G1828" s="1" t="str">
        <f ca="1">IFERROR(__xludf.DUMMYFUNCTION("""COMPUTED_VALUE"""),"106.24 China")</f>
        <v>106.24 China</v>
      </c>
      <c r="H1828" s="1" t="str">
        <f ca="1">IFERROR(__xludf.DUMMYFUNCTION("""COMPUTED_VALUE"""),"Freedom of Expression, Individuals At Risk")</f>
        <v>Freedom of Expression, Individuals At Risk</v>
      </c>
      <c r="I1828" s="1" t="str">
        <f ca="1">IFERROR(__xludf.DUMMYFUNCTION("""COMPUTED_VALUE"""),"2024")</f>
        <v>2024</v>
      </c>
      <c r="J1828" s="1" t="str">
        <f ca="1">IFERROR(__xludf.DUMMYFUNCTION("""COMPUTED_VALUE"""),"Email")</f>
        <v>Email</v>
      </c>
    </row>
    <row r="1829" spans="1:10" ht="13" x14ac:dyDescent="0.15">
      <c r="A1829" s="4">
        <f ca="1">IFERROR(__xludf.DUMMYFUNCTION("""COMPUTED_VALUE"""),231261132)</f>
        <v>231261132</v>
      </c>
      <c r="B1829" s="1" t="str">
        <f ca="1">IFERROR(__xludf.DUMMYFUNCTION("""COMPUTED_VALUE"""),"kar.harris77@gmail.com")</f>
        <v>kar.harris77@gmail.com</v>
      </c>
      <c r="C1829" s="4" t="str">
        <f ca="1">IFERROR(__xludf.DUMMYFUNCTION("""COMPUTED_VALUE"""),"EVERGREEN - UAN Gated Content - Embedded Petition")</f>
        <v>EVERGREEN - UAN Gated Content - Embedded Petition</v>
      </c>
      <c r="D1829" s="5">
        <f ca="1">IFERROR(__xludf.DUMMYFUNCTION("""COMPUTED_VALUE"""),45674)</f>
        <v>45674</v>
      </c>
      <c r="F1829" s="1" t="str">
        <f ca="1">IFERROR(__xludf.DUMMYFUNCTION("""COMPUTED_VALUE"""),"China")</f>
        <v>China</v>
      </c>
      <c r="G1829" s="1" t="str">
        <f ca="1">IFERROR(__xludf.DUMMYFUNCTION("""COMPUTED_VALUE"""),"107.24 Singapore")</f>
        <v>107.24 Singapore</v>
      </c>
      <c r="H1829" s="1" t="str">
        <f ca="1">IFERROR(__xludf.DUMMYFUNCTION("""COMPUTED_VALUE"""),"Death Penalty")</f>
        <v>Death Penalty</v>
      </c>
      <c r="I1829" s="1" t="str">
        <f ca="1">IFERROR(__xludf.DUMMYFUNCTION("""COMPUTED_VALUE"""),"2024")</f>
        <v>2024</v>
      </c>
      <c r="J1829" s="1" t="str">
        <f ca="1">IFERROR(__xludf.DUMMYFUNCTION("""COMPUTED_VALUE"""),"Email")</f>
        <v>Email</v>
      </c>
    </row>
    <row r="1830" spans="1:10" ht="13" x14ac:dyDescent="0.15">
      <c r="A1830" s="4">
        <f ca="1">IFERROR(__xludf.DUMMYFUNCTION("""COMPUTED_VALUE"""),231574805)</f>
        <v>231574805</v>
      </c>
      <c r="B1830" s="1" t="str">
        <f ca="1">IFERROR(__xludf.DUMMYFUNCTION("""COMPUTED_VALUE"""),"alchemistkat@gmail.com")</f>
        <v>alchemistkat@gmail.com</v>
      </c>
      <c r="C1830" s="4" t="str">
        <f ca="1">IFERROR(__xludf.DUMMYFUNCTION("""COMPUTED_VALUE"""),"EVERGREEN - UAN Gated Content - Embedded Petition")</f>
        <v>EVERGREEN - UAN Gated Content - Embedded Petition</v>
      </c>
      <c r="D1830" s="5">
        <f ca="1">IFERROR(__xludf.DUMMYFUNCTION("""COMPUTED_VALUE"""),45634)</f>
        <v>45634</v>
      </c>
      <c r="F1830" s="1" t="str">
        <f ca="1">IFERROR(__xludf.DUMMYFUNCTION("""COMPUTED_VALUE"""),"Singapore")</f>
        <v>Singapore</v>
      </c>
      <c r="G1830" s="1" t="str">
        <f ca="1">IFERROR(__xludf.DUMMYFUNCTION("""COMPUTED_VALUE"""),"104.24 Saudi Arabia")</f>
        <v>104.24 Saudi Arabia</v>
      </c>
      <c r="H1830" s="1" t="str">
        <f ca="1">IFERROR(__xludf.DUMMYFUNCTION("""COMPUTED_VALUE"""),"Individuals At Risk, Refugee and Migrant Rights")</f>
        <v>Individuals At Risk, Refugee and Migrant Rights</v>
      </c>
      <c r="I1830" s="1" t="str">
        <f ca="1">IFERROR(__xludf.DUMMYFUNCTION("""COMPUTED_VALUE"""),"2024")</f>
        <v>2024</v>
      </c>
      <c r="J1830" s="1" t="str">
        <f ca="1">IFERROR(__xludf.DUMMYFUNCTION("""COMPUTED_VALUE"""),"Email")</f>
        <v>Email</v>
      </c>
    </row>
    <row r="1831" spans="1:10" ht="13" x14ac:dyDescent="0.15">
      <c r="A1831" s="4">
        <f ca="1">IFERROR(__xludf.DUMMYFUNCTION("""COMPUTED_VALUE"""),231575038)</f>
        <v>231575038</v>
      </c>
      <c r="B1831" s="1" t="str">
        <f ca="1">IFERROR(__xludf.DUMMYFUNCTION("""COMPUTED_VALUE"""),"djbaconbits@outlook.com")</f>
        <v>djbaconbits@outlook.com</v>
      </c>
      <c r="C1831" s="4" t="str">
        <f ca="1">IFERROR(__xludf.DUMMYFUNCTION("""COMPUTED_VALUE"""),"EVERGREEN - UAN Gated Content - Embedded Petition")</f>
        <v>EVERGREEN - UAN Gated Content - Embedded Petition</v>
      </c>
      <c r="D1831" s="5">
        <f ca="1">IFERROR(__xludf.DUMMYFUNCTION("""COMPUTED_VALUE"""),45691)</f>
        <v>45691</v>
      </c>
      <c r="F1831" s="1" t="str">
        <f ca="1">IFERROR(__xludf.DUMMYFUNCTION("""COMPUTED_VALUE"""),"Saudi Arabia")</f>
        <v>Saudi Arabia</v>
      </c>
      <c r="G1831" s="1" t="str">
        <f ca="1">IFERROR(__xludf.DUMMYFUNCTION("""COMPUTED_VALUE"""),"Fourth 29.23 Egypt")</f>
        <v>Fourth 29.23 Egypt</v>
      </c>
      <c r="H1831" s="1" t="str">
        <f ca="1">IFERROR(__xludf.DUMMYFUNCTION("""COMPUTED_VALUE"""),"Freedom of Expression, Individuals At Risk, Right to Protest")</f>
        <v>Freedom of Expression, Individuals At Risk, Right to Protest</v>
      </c>
      <c r="I1831" s="1" t="str">
        <f ca="1">IFERROR(__xludf.DUMMYFUNCTION("""COMPUTED_VALUE"""),"2024")</f>
        <v>2024</v>
      </c>
      <c r="J1831" s="1" t="str">
        <f ca="1">IFERROR(__xludf.DUMMYFUNCTION("""COMPUTED_VALUE"""),"Email")</f>
        <v>Email</v>
      </c>
    </row>
    <row r="1832" spans="1:10" ht="13" x14ac:dyDescent="0.15">
      <c r="A1832" s="4">
        <f ca="1">IFERROR(__xludf.DUMMYFUNCTION("""COMPUTED_VALUE"""),232199827)</f>
        <v>232199827</v>
      </c>
      <c r="B1832" s="1" t="str">
        <f ca="1">IFERROR(__xludf.DUMMYFUNCTION("""COMPUTED_VALUE"""),"whitefoxsocialmedia@gmail.com")</f>
        <v>whitefoxsocialmedia@gmail.com</v>
      </c>
      <c r="C1832" s="4" t="str">
        <f ca="1">IFERROR(__xludf.DUMMYFUNCTION("""COMPUTED_VALUE"""),"EVERGREEN - UAN Gated Content - Embedded Petition")</f>
        <v>EVERGREEN - UAN Gated Content - Embedded Petition</v>
      </c>
      <c r="D1832" s="5">
        <f ca="1">IFERROR(__xludf.DUMMYFUNCTION("""COMPUTED_VALUE"""),45678)</f>
        <v>45678</v>
      </c>
      <c r="F1832" s="1" t="str">
        <f ca="1">IFERROR(__xludf.DUMMYFUNCTION("""COMPUTED_VALUE"""),"Egypt")</f>
        <v>Egypt</v>
      </c>
      <c r="G1832" s="1" t="str">
        <f ca="1">IFERROR(__xludf.DUMMYFUNCTION("""COMPUTED_VALUE"""),"102.24 Russia")</f>
        <v>102.24 Russia</v>
      </c>
      <c r="H1832" s="1" t="str">
        <f ca="1">IFERROR(__xludf.DUMMYFUNCTION("""COMPUTED_VALUE"""),"Freedom of Expression, Individuals At Risk, Right to Protest")</f>
        <v>Freedom of Expression, Individuals At Risk, Right to Protest</v>
      </c>
      <c r="I1832" s="1" t="str">
        <f ca="1">IFERROR(__xludf.DUMMYFUNCTION("""COMPUTED_VALUE"""),"2024")</f>
        <v>2024</v>
      </c>
      <c r="J1832" s="1" t="str">
        <f ca="1">IFERROR(__xludf.DUMMYFUNCTION("""COMPUTED_VALUE"""),"Email")</f>
        <v>Email</v>
      </c>
    </row>
    <row r="1833" spans="1:10" ht="13" x14ac:dyDescent="0.15">
      <c r="A1833" s="4">
        <f ca="1">IFERROR(__xludf.DUMMYFUNCTION("""COMPUTED_VALUE"""),232199827)</f>
        <v>232199827</v>
      </c>
      <c r="B1833" s="1" t="str">
        <f ca="1">IFERROR(__xludf.DUMMYFUNCTION("""COMPUTED_VALUE"""),"whitefoxsocialmedia@gmail.com")</f>
        <v>whitefoxsocialmedia@gmail.com</v>
      </c>
      <c r="C1833" s="4" t="str">
        <f ca="1">IFERROR(__xludf.DUMMYFUNCTION("""COMPUTED_VALUE"""),"EVERGREEN - UAN Gated Content - Embedded Petition")</f>
        <v>EVERGREEN - UAN Gated Content - Embedded Petition</v>
      </c>
      <c r="D1833" s="5">
        <f ca="1">IFERROR(__xludf.DUMMYFUNCTION("""COMPUTED_VALUE"""),45678)</f>
        <v>45678</v>
      </c>
      <c r="F1833" s="1" t="str">
        <f ca="1">IFERROR(__xludf.DUMMYFUNCTION("""COMPUTED_VALUE"""),"Russian Federation")</f>
        <v>Russian Federation</v>
      </c>
      <c r="G1833" s="1" t="str">
        <f ca="1">IFERROR(__xludf.DUMMYFUNCTION("""COMPUTED_VALUE"""),"11.25 Afghanistan")</f>
        <v>11.25 Afghanistan</v>
      </c>
      <c r="H1833" s="1" t="str">
        <f ca="1">IFERROR(__xludf.DUMMYFUNCTION("""COMPUTED_VALUE"""),"Freedom of Expression, Health, Individuals At Risk")</f>
        <v>Freedom of Expression, Health, Individuals At Risk</v>
      </c>
      <c r="I1833" s="1" t="str">
        <f ca="1">IFERROR(__xludf.DUMMYFUNCTION("""COMPUTED_VALUE"""),"2025")</f>
        <v>2025</v>
      </c>
      <c r="J1833" s="1" t="str">
        <f ca="1">IFERROR(__xludf.DUMMYFUNCTION("""COMPUTED_VALUE"""),"Email")</f>
        <v>Email</v>
      </c>
    </row>
    <row r="1834" spans="1:10" ht="13" x14ac:dyDescent="0.15">
      <c r="A1834" s="4">
        <f ca="1">IFERROR(__xludf.DUMMYFUNCTION("""COMPUTED_VALUE"""),232199827)</f>
        <v>232199827</v>
      </c>
      <c r="B1834" s="1" t="str">
        <f ca="1">IFERROR(__xludf.DUMMYFUNCTION("""COMPUTED_VALUE"""),"whitefoxsocialmedia@gmail.com")</f>
        <v>whitefoxsocialmedia@gmail.com</v>
      </c>
      <c r="C1834" s="4" t="str">
        <f ca="1">IFERROR(__xludf.DUMMYFUNCTION("""COMPUTED_VALUE"""),"EVERGREEN - UAN Gated Content - Embedded Petition")</f>
        <v>EVERGREEN - UAN Gated Content - Embedded Petition</v>
      </c>
      <c r="D1834" s="5">
        <f ca="1">IFERROR(__xludf.DUMMYFUNCTION("""COMPUTED_VALUE"""),45694)</f>
        <v>45694</v>
      </c>
      <c r="F1834" s="1" t="str">
        <f ca="1">IFERROR(__xludf.DUMMYFUNCTION("""COMPUTED_VALUE"""),"Afghanistan")</f>
        <v>Afghanistan</v>
      </c>
      <c r="G1834" s="1" t="str">
        <f ca="1">IFERROR(__xludf.DUMMYFUNCTION("""COMPUTED_VALUE"""),"Fourth 55.24 USA")</f>
        <v>Fourth 55.24 USA</v>
      </c>
      <c r="H1834" s="1" t="str">
        <f ca="1">IFERROR(__xludf.DUMMYFUNCTION("""COMPUTED_VALUE"""),"Climate Justice, Individuals At Risk")</f>
        <v>Climate Justice, Individuals At Risk</v>
      </c>
      <c r="I1834" s="1" t="str">
        <f ca="1">IFERROR(__xludf.DUMMYFUNCTION("""COMPUTED_VALUE"""),"2025")</f>
        <v>2025</v>
      </c>
      <c r="J1834" s="1" t="str">
        <f ca="1">IFERROR(__xludf.DUMMYFUNCTION("""COMPUTED_VALUE"""),"Email")</f>
        <v>Email</v>
      </c>
    </row>
    <row r="1835" spans="1:10" ht="13" x14ac:dyDescent="0.15">
      <c r="A1835" s="4">
        <f ca="1">IFERROR(__xludf.DUMMYFUNCTION("""COMPUTED_VALUE"""),232199827)</f>
        <v>232199827</v>
      </c>
      <c r="B1835" s="1" t="str">
        <f ca="1">IFERROR(__xludf.DUMMYFUNCTION("""COMPUTED_VALUE"""),"whitefoxsocialmedia@gmail.com")</f>
        <v>whitefoxsocialmedia@gmail.com</v>
      </c>
      <c r="C1835" s="4" t="str">
        <f ca="1">IFERROR(__xludf.DUMMYFUNCTION("""COMPUTED_VALUE"""),"EVERGREEN - UAN Gated Content - Embedded Petition")</f>
        <v>EVERGREEN - UAN Gated Content - Embedded Petition</v>
      </c>
      <c r="D1835" s="5">
        <f ca="1">IFERROR(__xludf.DUMMYFUNCTION("""COMPUTED_VALUE"""),45678)</f>
        <v>45678</v>
      </c>
      <c r="F1835" s="1" t="str">
        <f ca="1">IFERROR(__xludf.DUMMYFUNCTION("""COMPUTED_VALUE"""),"USA")</f>
        <v>USA</v>
      </c>
      <c r="G1835" s="1" t="str">
        <f ca="1">IFERROR(__xludf.DUMMYFUNCTION("""COMPUTED_VALUE"""),"97.24 Venezuela")</f>
        <v>97.24 Venezuela</v>
      </c>
      <c r="H1835" s="1" t="str">
        <f ca="1">IFERROR(__xludf.DUMMYFUNCTION("""COMPUTED_VALUE"""),"Freedom of Expression")</f>
        <v>Freedom of Expression</v>
      </c>
      <c r="I1835" s="1" t="str">
        <f ca="1">IFERROR(__xludf.DUMMYFUNCTION("""COMPUTED_VALUE"""),"2024")</f>
        <v>2024</v>
      </c>
      <c r="J1835" s="1" t="str">
        <f ca="1">IFERROR(__xludf.DUMMYFUNCTION("""COMPUTED_VALUE"""),"Letter")</f>
        <v>Letter</v>
      </c>
    </row>
    <row r="1836" spans="1:10" ht="13" x14ac:dyDescent="0.15">
      <c r="A1836" s="4">
        <f ca="1">IFERROR(__xludf.DUMMYFUNCTION("""COMPUTED_VALUE"""),232199827)</f>
        <v>232199827</v>
      </c>
      <c r="B1836" s="1" t="str">
        <f ca="1">IFERROR(__xludf.DUMMYFUNCTION("""COMPUTED_VALUE"""),"whitefoxsocialmedia@gmail.com")</f>
        <v>whitefoxsocialmedia@gmail.com</v>
      </c>
      <c r="C1836" s="4" t="str">
        <f ca="1">IFERROR(__xludf.DUMMYFUNCTION("""COMPUTED_VALUE"""),"EVERGREEN - Website Email Capture Form - UAN Pre-Footer")</f>
        <v>EVERGREEN - Website Email Capture Form - UAN Pre-Footer</v>
      </c>
      <c r="D1836" s="5">
        <f ca="1">IFERROR(__xludf.DUMMYFUNCTION("""COMPUTED_VALUE"""),45678)</f>
        <v>45678</v>
      </c>
      <c r="F1836" s="1" t="str">
        <f ca="1">IFERROR(__xludf.DUMMYFUNCTION("""COMPUTED_VALUE"""),"Venezuela")</f>
        <v>Venezuela</v>
      </c>
      <c r="G1836" s="1" t="str">
        <f ca="1">IFERROR(__xludf.DUMMYFUNCTION("""COMPUTED_VALUE"""),"97.24 Venezuela")</f>
        <v>97.24 Venezuela</v>
      </c>
      <c r="H1836" s="1" t="str">
        <f ca="1">IFERROR(__xludf.DUMMYFUNCTION("""COMPUTED_VALUE"""),"Freedom of Expression")</f>
        <v>Freedom of Expression</v>
      </c>
      <c r="I1836" s="1" t="str">
        <f ca="1">IFERROR(__xludf.DUMMYFUNCTION("""COMPUTED_VALUE"""),"2024")</f>
        <v>2024</v>
      </c>
      <c r="J1836" s="1" t="str">
        <f ca="1">IFERROR(__xludf.DUMMYFUNCTION("""COMPUTED_VALUE"""),"Letter")</f>
        <v>Letter</v>
      </c>
    </row>
    <row r="1837" spans="1:10" ht="13" x14ac:dyDescent="0.15">
      <c r="A1837" s="4">
        <f ca="1">IFERROR(__xludf.DUMMYFUNCTION("""COMPUTED_VALUE"""),232199827)</f>
        <v>232199827</v>
      </c>
      <c r="B1837" s="1" t="str">
        <f ca="1">IFERROR(__xludf.DUMMYFUNCTION("""COMPUTED_VALUE"""),"whitefoxsocialmedia@gmail.com")</f>
        <v>whitefoxsocialmedia@gmail.com</v>
      </c>
      <c r="C1837" s="4" t="str">
        <f ca="1">IFERROR(__xludf.DUMMYFUNCTION("""COMPUTED_VALUE"""),"UAN mid-page Lightbox - Step 1 of 4 - Landing Page")</f>
        <v>UAN mid-page Lightbox - Step 1 of 4 - Landing Page</v>
      </c>
      <c r="D1837" s="5">
        <f ca="1">IFERROR(__xludf.DUMMYFUNCTION("""COMPUTED_VALUE"""),45678)</f>
        <v>45678</v>
      </c>
      <c r="F1837" s="1" t="str">
        <f ca="1">IFERROR(__xludf.DUMMYFUNCTION("""COMPUTED_VALUE"""),"Venezuela")</f>
        <v>Venezuela</v>
      </c>
      <c r="G1837" s="1" t="str">
        <f ca="1">IFERROR(__xludf.DUMMYFUNCTION("""COMPUTED_VALUE"""),"3.25 IOPT")</f>
        <v>3.25 IOPT</v>
      </c>
      <c r="H1837" s="1" t="str">
        <f ca="1">IFERROR(__xludf.DUMMYFUNCTION("""COMPUTED_VALUE"""),"Freedom of Expression, Individuals At Risk")</f>
        <v>Freedom of Expression, Individuals At Risk</v>
      </c>
      <c r="I1837" s="1" t="str">
        <f ca="1">IFERROR(__xludf.DUMMYFUNCTION("""COMPUTED_VALUE"""),"2025")</f>
        <v>2025</v>
      </c>
      <c r="J1837" s="1" t="str">
        <f ca="1">IFERROR(__xludf.DUMMYFUNCTION("""COMPUTED_VALUE"""),"Email")</f>
        <v>Email</v>
      </c>
    </row>
    <row r="1838" spans="1:10" ht="13" x14ac:dyDescent="0.15">
      <c r="A1838" s="4">
        <f ca="1">IFERROR(__xludf.DUMMYFUNCTION("""COMPUTED_VALUE"""),232199827)</f>
        <v>232199827</v>
      </c>
      <c r="B1838" s="1" t="str">
        <f ca="1">IFERROR(__xludf.DUMMYFUNCTION("""COMPUTED_VALUE"""),"whitefoxsocialmedia@gmail.com")</f>
        <v>whitefoxsocialmedia@gmail.com</v>
      </c>
      <c r="C1838" s="4" t="str">
        <f ca="1">IFERROR(__xludf.DUMMYFUNCTION("""COMPUTED_VALUE"""),"UAN mid-page Lightbox - Step 2 of 4 - More personal info fields")</f>
        <v>UAN mid-page Lightbox - Step 2 of 4 - More personal info fields</v>
      </c>
      <c r="D1838" s="5">
        <f ca="1">IFERROR(__xludf.DUMMYFUNCTION("""COMPUTED_VALUE"""),45678)</f>
        <v>45678</v>
      </c>
      <c r="F1838" s="1" t="str">
        <f ca="1">IFERROR(__xludf.DUMMYFUNCTION("""COMPUTED_VALUE"""),"Israel and Occupied Palestinian Territories")</f>
        <v>Israel and Occupied Palestinian Territories</v>
      </c>
      <c r="G1838" s="1" t="str">
        <f ca="1">IFERROR(__xludf.DUMMYFUNCTION("""COMPUTED_VALUE"""),"6.25 Iran")</f>
        <v>6.25 Iran</v>
      </c>
      <c r="H1838" s="1" t="str">
        <f ca="1">IFERROR(__xludf.DUMMYFUNCTION("""COMPUTED_VALUE"""),"Death Penalty, Freedom of Expression, Individuals At Risk")</f>
        <v>Death Penalty, Freedom of Expression, Individuals At Risk</v>
      </c>
      <c r="I1838" s="1" t="str">
        <f ca="1">IFERROR(__xludf.DUMMYFUNCTION("""COMPUTED_VALUE"""),"2025")</f>
        <v>2025</v>
      </c>
      <c r="J1838" s="1" t="str">
        <f ca="1">IFERROR(__xludf.DUMMYFUNCTION("""COMPUTED_VALUE"""),"Email")</f>
        <v>Email</v>
      </c>
    </row>
    <row r="1839" spans="1:10" ht="13" x14ac:dyDescent="0.15">
      <c r="A1839" s="4">
        <f ca="1">IFERROR(__xludf.DUMMYFUNCTION("""COMPUTED_VALUE"""),232199827)</f>
        <v>232199827</v>
      </c>
      <c r="B1839" s="1" t="str">
        <f ca="1">IFERROR(__xludf.DUMMYFUNCTION("""COMPUTED_VALUE"""),"whitefoxsocialmedia@gmail.com")</f>
        <v>whitefoxsocialmedia@gmail.com</v>
      </c>
      <c r="C1839" s="4" t="str">
        <f ca="1">IFERROR(__xludf.DUMMYFUNCTION("""COMPUTED_VALUE"""),"UAN mid-page Lightbox - Step 3 of 4 - More opt-ins")</f>
        <v>UAN mid-page Lightbox - Step 3 of 4 - More opt-ins</v>
      </c>
      <c r="D1839" s="5">
        <f ca="1">IFERROR(__xludf.DUMMYFUNCTION("""COMPUTED_VALUE"""),45678)</f>
        <v>45678</v>
      </c>
      <c r="F1839" s="1" t="str">
        <f ca="1">IFERROR(__xludf.DUMMYFUNCTION("""COMPUTED_VALUE"""),"Iran")</f>
        <v>Iran</v>
      </c>
      <c r="G1839" s="1" t="str">
        <f ca="1">IFERROR(__xludf.DUMMYFUNCTION("""COMPUTED_VALUE"""),"Second 76.24 Tunisia")</f>
        <v>Second 76.24 Tunisia</v>
      </c>
      <c r="H1839" s="1" t="str">
        <f ca="1">IFERROR(__xludf.DUMMYFUNCTION("""COMPUTED_VALUE"""),"Freedom of Expression, Human Rights Defenders")</f>
        <v>Freedom of Expression, Human Rights Defenders</v>
      </c>
      <c r="I1839" s="1" t="str">
        <f ca="1">IFERROR(__xludf.DUMMYFUNCTION("""COMPUTED_VALUE"""),"2025")</f>
        <v>2025</v>
      </c>
      <c r="J1839" s="1" t="str">
        <f ca="1">IFERROR(__xludf.DUMMYFUNCTION("""COMPUTED_VALUE"""),"Email")</f>
        <v>Email</v>
      </c>
    </row>
    <row r="1840" spans="1:10" ht="13" x14ac:dyDescent="0.15">
      <c r="A1840" s="4">
        <f ca="1">IFERROR(__xludf.DUMMYFUNCTION("""COMPUTED_VALUE"""),233803762)</f>
        <v>233803762</v>
      </c>
      <c r="B1840" s="1" t="str">
        <f ca="1">IFERROR(__xludf.DUMMYFUNCTION("""COMPUTED_VALUE"""),"dmontgomery9812@gmail.com")</f>
        <v>dmontgomery9812@gmail.com</v>
      </c>
      <c r="C1840" s="4" t="str">
        <f ca="1">IFERROR(__xludf.DUMMYFUNCTION("""COMPUTED_VALUE"""),"EVERGREEN - UAN Gated Content - Embedded Petition")</f>
        <v>EVERGREEN - UAN Gated Content - Embedded Petition</v>
      </c>
      <c r="D1840" s="5">
        <f ca="1">IFERROR(__xludf.DUMMYFUNCTION("""COMPUTED_VALUE"""),45648)</f>
        <v>45648</v>
      </c>
      <c r="F1840" s="1" t="str">
        <f ca="1">IFERROR(__xludf.DUMMYFUNCTION("""COMPUTED_VALUE"""),"Tunisia")</f>
        <v>Tunisia</v>
      </c>
      <c r="G1840" s="1" t="str">
        <f ca="1">IFERROR(__xludf.DUMMYFUNCTION("""COMPUTED_VALUE"""),"7.25 Afghanistan")</f>
        <v>7.25 Afghanistan</v>
      </c>
      <c r="H1840" s="1" t="str">
        <f ca="1">IFERROR(__xludf.DUMMYFUNCTION("""COMPUTED_VALUE"""),"Freedom of Expression, Individuals At Risk, Women's Rights")</f>
        <v>Freedom of Expression, Individuals At Risk, Women's Rights</v>
      </c>
      <c r="I1840" s="1" t="str">
        <f ca="1">IFERROR(__xludf.DUMMYFUNCTION("""COMPUTED_VALUE"""),"2025")</f>
        <v>2025</v>
      </c>
      <c r="J1840" s="1" t="str">
        <f ca="1">IFERROR(__xludf.DUMMYFUNCTION("""COMPUTED_VALUE"""),"Email")</f>
        <v>Email</v>
      </c>
    </row>
    <row r="1841" spans="1:10" ht="13" x14ac:dyDescent="0.15">
      <c r="A1841" s="4">
        <f ca="1">IFERROR(__xludf.DUMMYFUNCTION("""COMPUTED_VALUE"""),233803762)</f>
        <v>233803762</v>
      </c>
      <c r="B1841" s="1" t="str">
        <f ca="1">IFERROR(__xludf.DUMMYFUNCTION("""COMPUTED_VALUE"""),"dmontgomery9812@gmail.com")</f>
        <v>dmontgomery9812@gmail.com</v>
      </c>
      <c r="C1841" s="4" t="str">
        <f ca="1">IFERROR(__xludf.DUMMYFUNCTION("""COMPUTED_VALUE"""),"EVERGREEN - UAN Gated Content - Embedded Petition")</f>
        <v>EVERGREEN - UAN Gated Content - Embedded Petition</v>
      </c>
      <c r="D1841" s="5">
        <f ca="1">IFERROR(__xludf.DUMMYFUNCTION("""COMPUTED_VALUE"""),45648)</f>
        <v>45648</v>
      </c>
      <c r="F1841" s="1" t="str">
        <f ca="1">IFERROR(__xludf.DUMMYFUNCTION("""COMPUTED_VALUE"""),"Afghanistan")</f>
        <v>Afghanistan</v>
      </c>
      <c r="G1841" s="1" t="str">
        <f ca="1">IFERROR(__xludf.DUMMYFUNCTION("""COMPUTED_VALUE"""),"8.25 Tunisia")</f>
        <v>8.25 Tunisia</v>
      </c>
      <c r="H1841" s="1" t="str">
        <f ca="1">IFERROR(__xludf.DUMMYFUNCTION("""COMPUTED_VALUE"""),"Freedom of Expression")</f>
        <v>Freedom of Expression</v>
      </c>
      <c r="I1841" s="1" t="str">
        <f ca="1">IFERROR(__xludf.DUMMYFUNCTION("""COMPUTED_VALUE"""),"2025")</f>
        <v>2025</v>
      </c>
      <c r="J1841" s="1" t="str">
        <f ca="1">IFERROR(__xludf.DUMMYFUNCTION("""COMPUTED_VALUE"""),"Email")</f>
        <v>Email</v>
      </c>
    </row>
    <row r="1842" spans="1:10" ht="13" x14ac:dyDescent="0.15">
      <c r="A1842" s="4">
        <f ca="1">IFERROR(__xludf.DUMMYFUNCTION("""COMPUTED_VALUE"""),235037417)</f>
        <v>235037417</v>
      </c>
      <c r="B1842" s="1" t="str">
        <f ca="1">IFERROR(__xludf.DUMMYFUNCTION("""COMPUTED_VALUE"""),"kmayers@aiusacs.org")</f>
        <v>kmayers@aiusacs.org</v>
      </c>
      <c r="C1842" s="4" t="str">
        <f ca="1">IFERROR(__xludf.DUMMYFUNCTION("""COMPUTED_VALUE"""),"EVERGREEN - UAN Gated Content - Embedded Petition")</f>
        <v>EVERGREEN - UAN Gated Content - Embedded Petition</v>
      </c>
      <c r="D1842" s="5">
        <f ca="1">IFERROR(__xludf.DUMMYFUNCTION("""COMPUTED_VALUE"""),45666)</f>
        <v>45666</v>
      </c>
      <c r="F1842" s="1" t="str">
        <f ca="1">IFERROR(__xludf.DUMMYFUNCTION("""COMPUTED_VALUE"""),"Tunisia")</f>
        <v>Tunisia</v>
      </c>
      <c r="G1842" s="1" t="str">
        <f ca="1">IFERROR(__xludf.DUMMYFUNCTION("""COMPUTED_VALUE"""),"9.25 Uganda")</f>
        <v>9.25 Uganda</v>
      </c>
      <c r="H1842" s="1" t="str">
        <f ca="1">IFERROR(__xludf.DUMMYFUNCTION("""COMPUTED_VALUE"""),"Freedom of Expression, Human Rights Defenders")</f>
        <v>Freedom of Expression, Human Rights Defenders</v>
      </c>
      <c r="I1842" s="1" t="str">
        <f ca="1">IFERROR(__xludf.DUMMYFUNCTION("""COMPUTED_VALUE"""),"2025")</f>
        <v>2025</v>
      </c>
      <c r="J1842" s="1" t="str">
        <f ca="1">IFERROR(__xludf.DUMMYFUNCTION("""COMPUTED_VALUE"""),"Email")</f>
        <v>Email</v>
      </c>
    </row>
    <row r="1843" spans="1:10" ht="13" x14ac:dyDescent="0.15">
      <c r="A1843" s="4">
        <f ca="1">IFERROR(__xludf.DUMMYFUNCTION("""COMPUTED_VALUE"""),235537998)</f>
        <v>235537998</v>
      </c>
      <c r="B1843" s="1" t="str">
        <f ca="1">IFERROR(__xludf.DUMMYFUNCTION("""COMPUTED_VALUE"""),"garberart@gmail.com")</f>
        <v>garberart@gmail.com</v>
      </c>
      <c r="C1843" s="4" t="str">
        <f ca="1">IFERROR(__xludf.DUMMYFUNCTION("""COMPUTED_VALUE"""),"EVERGREEN - UAN Gated Content - Embedded Petition")</f>
        <v>EVERGREEN - UAN Gated Content - Embedded Petition</v>
      </c>
      <c r="D1843" s="5">
        <f ca="1">IFERROR(__xludf.DUMMYFUNCTION("""COMPUTED_VALUE"""),45705)</f>
        <v>45705</v>
      </c>
      <c r="F1843" s="1" t="str">
        <f ca="1">IFERROR(__xludf.DUMMYFUNCTION("""COMPUTED_VALUE"""),"Uganda")</f>
        <v>Uganda</v>
      </c>
      <c r="G1843" s="1" t="str">
        <f ca="1">IFERROR(__xludf.DUMMYFUNCTION("""COMPUTED_VALUE"""),"10.25 Iran")</f>
        <v>10.25 Iran</v>
      </c>
      <c r="H1843" s="1" t="str">
        <f ca="1">IFERROR(__xludf.DUMMYFUNCTION("""COMPUTED_VALUE"""),"Death Penalty, Individuals At Risk")</f>
        <v>Death Penalty, Individuals At Risk</v>
      </c>
      <c r="I1843" s="1" t="str">
        <f ca="1">IFERROR(__xludf.DUMMYFUNCTION("""COMPUTED_VALUE"""),"2025")</f>
        <v>2025</v>
      </c>
      <c r="J1843" s="1" t="str">
        <f ca="1">IFERROR(__xludf.DUMMYFUNCTION("""COMPUTED_VALUE"""),"Email")</f>
        <v>Email</v>
      </c>
    </row>
    <row r="1844" spans="1:10" ht="13" x14ac:dyDescent="0.15">
      <c r="A1844" s="4">
        <f ca="1">IFERROR(__xludf.DUMMYFUNCTION("""COMPUTED_VALUE"""),236211638)</f>
        <v>236211638</v>
      </c>
      <c r="B1844" s="1" t="str">
        <f ca="1">IFERROR(__xludf.DUMMYFUNCTION("""COMPUTED_VALUE"""),"setapartforservice@yahoo.com")</f>
        <v>setapartforservice@yahoo.com</v>
      </c>
      <c r="C1844" s="4" t="str">
        <f ca="1">IFERROR(__xludf.DUMMYFUNCTION("""COMPUTED_VALUE"""),"EVERGREEN - UAN Gated Content - Embedded Petition")</f>
        <v>EVERGREEN - UAN Gated Content - Embedded Petition</v>
      </c>
      <c r="D1844" s="5">
        <f ca="1">IFERROR(__xludf.DUMMYFUNCTION("""COMPUTED_VALUE"""),45680)</f>
        <v>45680</v>
      </c>
      <c r="F1844" s="1" t="str">
        <f ca="1">IFERROR(__xludf.DUMMYFUNCTION("""COMPUTED_VALUE"""),"Iran")</f>
        <v>Iran</v>
      </c>
      <c r="G1844" s="1" t="str">
        <f ca="1">IFERROR(__xludf.DUMMYFUNCTION("""COMPUTED_VALUE"""),"3.25 IOPT")</f>
        <v>3.25 IOPT</v>
      </c>
      <c r="H1844" s="1" t="str">
        <f ca="1">IFERROR(__xludf.DUMMYFUNCTION("""COMPUTED_VALUE"""),"Freedom of Expression, Individuals At Risk")</f>
        <v>Freedom of Expression, Individuals At Risk</v>
      </c>
      <c r="I1844" s="1" t="str">
        <f ca="1">IFERROR(__xludf.DUMMYFUNCTION("""COMPUTED_VALUE"""),"2025")</f>
        <v>2025</v>
      </c>
      <c r="J1844" s="1" t="str">
        <f ca="1">IFERROR(__xludf.DUMMYFUNCTION("""COMPUTED_VALUE"""),"Email")</f>
        <v>Email</v>
      </c>
    </row>
    <row r="1845" spans="1:10" ht="13" x14ac:dyDescent="0.15">
      <c r="A1845" s="4">
        <f ca="1">IFERROR(__xludf.DUMMYFUNCTION("""COMPUTED_VALUE"""),236854515)</f>
        <v>236854515</v>
      </c>
      <c r="B1845" s="1" t="str">
        <f ca="1">IFERROR(__xludf.DUMMYFUNCTION("""COMPUTED_VALUE"""),"maria17katt@hotmail.com")</f>
        <v>maria17katt@hotmail.com</v>
      </c>
      <c r="C1845" s="4" t="str">
        <f ca="1">IFERROR(__xludf.DUMMYFUNCTION("""COMPUTED_VALUE"""),"EVERGREEN - UAN Gated Content - Embedded Petition")</f>
        <v>EVERGREEN - UAN Gated Content - Embedded Petition</v>
      </c>
      <c r="D1845" s="5">
        <f ca="1">IFERROR(__xludf.DUMMYFUNCTION("""COMPUTED_VALUE"""),45691)</f>
        <v>45691</v>
      </c>
      <c r="F1845" s="1" t="str">
        <f ca="1">IFERROR(__xludf.DUMMYFUNCTION("""COMPUTED_VALUE"""),"Israel and Occupied Palestinian Territories")</f>
        <v>Israel and Occupied Palestinian Territories</v>
      </c>
      <c r="G1845" s="1" t="str">
        <f ca="1">IFERROR(__xludf.DUMMYFUNCTION("""COMPUTED_VALUE"""),"4.25 USA")</f>
        <v>4.25 USA</v>
      </c>
      <c r="H1845" s="1" t="str">
        <f ca="1">IFERROR(__xludf.DUMMYFUNCTION("""COMPUTED_VALUE"""),"Individuals At Risk, Refugee and Migrant Rights")</f>
        <v>Individuals At Risk, Refugee and Migrant Rights</v>
      </c>
      <c r="I1845" s="1" t="str">
        <f ca="1">IFERROR(__xludf.DUMMYFUNCTION("""COMPUTED_VALUE"""),"2025")</f>
        <v>2025</v>
      </c>
      <c r="J1845" s="1" t="str">
        <f ca="1">IFERROR(__xludf.DUMMYFUNCTION("""COMPUTED_VALUE"""),"Letter")</f>
        <v>Letter</v>
      </c>
    </row>
    <row r="1846" spans="1:10" ht="13" x14ac:dyDescent="0.15">
      <c r="A1846" s="4">
        <f ca="1">IFERROR(__xludf.DUMMYFUNCTION("""COMPUTED_VALUE"""),237110521)</f>
        <v>237110521</v>
      </c>
      <c r="B1846" s="1" t="str">
        <f ca="1">IFERROR(__xludf.DUMMYFUNCTION("""COMPUTED_VALUE"""),"franjunejo@gmail.com")</f>
        <v>franjunejo@gmail.com</v>
      </c>
      <c r="C1846" s="4" t="str">
        <f ca="1">IFERROR(__xludf.DUMMYFUNCTION("""COMPUTED_VALUE"""),"EVERGREEN - UAN Gated Content - Embedded Petition")</f>
        <v>EVERGREEN - UAN Gated Content - Embedded Petition</v>
      </c>
      <c r="D1846" s="5">
        <f ca="1">IFERROR(__xludf.DUMMYFUNCTION("""COMPUTED_VALUE"""),45694)</f>
        <v>45694</v>
      </c>
      <c r="F1846" s="1" t="str">
        <f ca="1">IFERROR(__xludf.DUMMYFUNCTION("""COMPUTED_VALUE"""),"USA")</f>
        <v>USA</v>
      </c>
      <c r="G1846" s="1" t="str">
        <f ca="1">IFERROR(__xludf.DUMMYFUNCTION("""COMPUTED_VALUE"""),"Third 12.24 Colombia")</f>
        <v>Third 12.24 Colombia</v>
      </c>
      <c r="H1846" s="1" t="str">
        <f ca="1">IFERROR(__xludf.DUMMYFUNCTION("""COMPUTED_VALUE"""),"Human Rights Defenders, Individuals At Risk")</f>
        <v>Human Rights Defenders, Individuals At Risk</v>
      </c>
      <c r="I1846" s="1" t="str">
        <f ca="1">IFERROR(__xludf.DUMMYFUNCTION("""COMPUTED_VALUE"""),"2025")</f>
        <v>2025</v>
      </c>
      <c r="J1846" s="1" t="str">
        <f ca="1">IFERROR(__xludf.DUMMYFUNCTION("""COMPUTED_VALUE"""),"Email")</f>
        <v>Email</v>
      </c>
    </row>
    <row r="1847" spans="1:10" ht="13" x14ac:dyDescent="0.15">
      <c r="A1847" s="4">
        <f ca="1">IFERROR(__xludf.DUMMYFUNCTION("""COMPUTED_VALUE"""),237110521)</f>
        <v>237110521</v>
      </c>
      <c r="B1847" s="1" t="str">
        <f ca="1">IFERROR(__xludf.DUMMYFUNCTION("""COMPUTED_VALUE"""),"franjunejo@gmail.com")</f>
        <v>franjunejo@gmail.com</v>
      </c>
      <c r="C1847" s="4" t="str">
        <f ca="1">IFERROR(__xludf.DUMMYFUNCTION("""COMPUTED_VALUE"""),"EVERGREEN - UAN Gated Content - Embedded Petition")</f>
        <v>EVERGREEN - UAN Gated Content - Embedded Petition</v>
      </c>
      <c r="D1847" s="5">
        <f ca="1">IFERROR(__xludf.DUMMYFUNCTION("""COMPUTED_VALUE"""),45694)</f>
        <v>45694</v>
      </c>
      <c r="F1847" s="1" t="str">
        <f ca="1">IFERROR(__xludf.DUMMYFUNCTION("""COMPUTED_VALUE"""),"Colombia")</f>
        <v>Colombia</v>
      </c>
      <c r="G1847" s="1" t="str">
        <f ca="1">IFERROR(__xludf.DUMMYFUNCTION("""COMPUTED_VALUE"""),"5.25 Colombia")</f>
        <v>5.25 Colombia</v>
      </c>
      <c r="H1847" s="1" t="str">
        <f ca="1">IFERROR(__xludf.DUMMYFUNCTION("""COMPUTED_VALUE"""),"Human Rights Defenders, Individuals At Risk")</f>
        <v>Human Rights Defenders, Individuals At Risk</v>
      </c>
      <c r="I1847" s="1" t="str">
        <f ca="1">IFERROR(__xludf.DUMMYFUNCTION("""COMPUTED_VALUE"""),"2025")</f>
        <v>2025</v>
      </c>
      <c r="J1847" s="1" t="str">
        <f ca="1">IFERROR(__xludf.DUMMYFUNCTION("""COMPUTED_VALUE"""),"Email")</f>
        <v>Email</v>
      </c>
    </row>
    <row r="1848" spans="1:10" ht="13" x14ac:dyDescent="0.15">
      <c r="A1848" s="4">
        <f ca="1">IFERROR(__xludf.DUMMYFUNCTION("""COMPUTED_VALUE"""),237110521)</f>
        <v>237110521</v>
      </c>
      <c r="B1848" s="1" t="str">
        <f ca="1">IFERROR(__xludf.DUMMYFUNCTION("""COMPUTED_VALUE"""),"franjunejo@gmail.com")</f>
        <v>franjunejo@gmail.com</v>
      </c>
      <c r="C1848" s="4" t="str">
        <f ca="1">IFERROR(__xludf.DUMMYFUNCTION("""COMPUTED_VALUE"""),"EVERGREEN - UAN Gated Content - Embedded Petition")</f>
        <v>EVERGREEN - UAN Gated Content - Embedded Petition</v>
      </c>
      <c r="D1848" s="5">
        <f ca="1">IFERROR(__xludf.DUMMYFUNCTION("""COMPUTED_VALUE"""),45694)</f>
        <v>45694</v>
      </c>
      <c r="F1848" s="1" t="str">
        <f ca="1">IFERROR(__xludf.DUMMYFUNCTION("""COMPUTED_VALUE"""),"Colombia")</f>
        <v>Colombia</v>
      </c>
      <c r="G1848" s="1" t="str">
        <f ca="1">IFERROR(__xludf.DUMMYFUNCTION("""COMPUTED_VALUE"""),"Second 109.24 Türkiye")</f>
        <v>Second 109.24 Türkiye</v>
      </c>
      <c r="H1848" s="1" t="str">
        <f ca="1">IFERROR(__xludf.DUMMYFUNCTION("""COMPUTED_VALUE"""),"Human Rights Defenders")</f>
        <v>Human Rights Defenders</v>
      </c>
      <c r="I1848" s="1" t="str">
        <f ca="1">IFERROR(__xludf.DUMMYFUNCTION("""COMPUTED_VALUE"""),"2025")</f>
        <v>2025</v>
      </c>
      <c r="J1848" s="1" t="str">
        <f ca="1">IFERROR(__xludf.DUMMYFUNCTION("""COMPUTED_VALUE"""),"Email")</f>
        <v>Email</v>
      </c>
    </row>
    <row r="1849" spans="1:10" ht="13" x14ac:dyDescent="0.15">
      <c r="A1849" s="4">
        <f ca="1">IFERROR(__xludf.DUMMYFUNCTION("""COMPUTED_VALUE"""),237643629)</f>
        <v>237643629</v>
      </c>
      <c r="B1849" s="1" t="str">
        <f ca="1">IFERROR(__xludf.DUMMYFUNCTION("""COMPUTED_VALUE"""),"dodimelnicoff@gmail.com")</f>
        <v>dodimelnicoff@gmail.com</v>
      </c>
      <c r="C1849" s="4" t="str">
        <f ca="1">IFERROR(__xludf.DUMMYFUNCTION("""COMPUTED_VALUE"""),"EVERGREEN - UAN Gated Content - Embedded Petition")</f>
        <v>EVERGREEN - UAN Gated Content - Embedded Petition</v>
      </c>
      <c r="D1849" s="5">
        <f ca="1">IFERROR(__xludf.DUMMYFUNCTION("""COMPUTED_VALUE"""),45672)</f>
        <v>45672</v>
      </c>
      <c r="F1849" s="1" t="str">
        <f ca="1">IFERROR(__xludf.DUMMYFUNCTION("""COMPUTED_VALUE"""),"Turkiye")</f>
        <v>Turkiye</v>
      </c>
      <c r="G1849" s="1" t="str">
        <f ca="1">IFERROR(__xludf.DUMMYFUNCTION("""COMPUTED_VALUE"""),"6.25 Iran")</f>
        <v>6.25 Iran</v>
      </c>
      <c r="H1849" s="1" t="str">
        <f ca="1">IFERROR(__xludf.DUMMYFUNCTION("""COMPUTED_VALUE"""),"Death Penalty, Freedom of Expression, Individuals At Risk")</f>
        <v>Death Penalty, Freedom of Expression, Individuals At Risk</v>
      </c>
      <c r="I1849" s="1" t="str">
        <f ca="1">IFERROR(__xludf.DUMMYFUNCTION("""COMPUTED_VALUE"""),"2025")</f>
        <v>2025</v>
      </c>
      <c r="J1849" s="1" t="str">
        <f ca="1">IFERROR(__xludf.DUMMYFUNCTION("""COMPUTED_VALUE"""),"Email")</f>
        <v>Email</v>
      </c>
    </row>
    <row r="1850" spans="1:10" ht="13" x14ac:dyDescent="0.15">
      <c r="A1850" s="4">
        <f ca="1">IFERROR(__xludf.DUMMYFUNCTION("""COMPUTED_VALUE"""),237643947)</f>
        <v>237643947</v>
      </c>
      <c r="B1850" s="1" t="str">
        <f ca="1">IFERROR(__xludf.DUMMYFUNCTION("""COMPUTED_VALUE"""),"casey86@protonmail.com")</f>
        <v>casey86@protonmail.com</v>
      </c>
      <c r="C1850" s="4" t="str">
        <f ca="1">IFERROR(__xludf.DUMMYFUNCTION("""COMPUTED_VALUE"""),"EVERGREEN - UAN Gated Content - Embedded Petition")</f>
        <v>EVERGREEN - UAN Gated Content - Embedded Petition</v>
      </c>
      <c r="D1850" s="5">
        <f ca="1">IFERROR(__xludf.DUMMYFUNCTION("""COMPUTED_VALUE"""),45636)</f>
        <v>45636</v>
      </c>
      <c r="F1850" s="1" t="str">
        <f ca="1">IFERROR(__xludf.DUMMYFUNCTION("""COMPUTED_VALUE"""),"Iran")</f>
        <v>Iran</v>
      </c>
      <c r="G1850" s="1" t="str">
        <f ca="1">IFERROR(__xludf.DUMMYFUNCTION("""COMPUTED_VALUE"""),"4.25 USA")</f>
        <v>4.25 USA</v>
      </c>
      <c r="H1850" s="1" t="str">
        <f ca="1">IFERROR(__xludf.DUMMYFUNCTION("""COMPUTED_VALUE"""),"Individuals At Risk, Refugee and Migrant Rights")</f>
        <v>Individuals At Risk, Refugee and Migrant Rights</v>
      </c>
      <c r="I1850" s="1" t="str">
        <f ca="1">IFERROR(__xludf.DUMMYFUNCTION("""COMPUTED_VALUE"""),"2025")</f>
        <v>2025</v>
      </c>
      <c r="J1850" s="1" t="str">
        <f ca="1">IFERROR(__xludf.DUMMYFUNCTION("""COMPUTED_VALUE"""),"Letter")</f>
        <v>Letter</v>
      </c>
    </row>
    <row r="1851" spans="1:10" ht="13" x14ac:dyDescent="0.15">
      <c r="A1851" s="4">
        <f ca="1">IFERROR(__xludf.DUMMYFUNCTION("""COMPUTED_VALUE"""),237643947)</f>
        <v>237643947</v>
      </c>
      <c r="B1851" s="1" t="str">
        <f ca="1">IFERROR(__xludf.DUMMYFUNCTION("""COMPUTED_VALUE"""),"casey86@protonmail.com")</f>
        <v>casey86@protonmail.com</v>
      </c>
      <c r="C1851" s="4" t="str">
        <f ca="1">IFERROR(__xludf.DUMMYFUNCTION("""COMPUTED_VALUE"""),"EVERGREEN - UAN Gated Content - Embedded Petition")</f>
        <v>EVERGREEN - UAN Gated Content - Embedded Petition</v>
      </c>
      <c r="D1851" s="5">
        <f ca="1">IFERROR(__xludf.DUMMYFUNCTION("""COMPUTED_VALUE"""),45636)</f>
        <v>45636</v>
      </c>
      <c r="F1851" s="1" t="str">
        <f ca="1">IFERROR(__xludf.DUMMYFUNCTION("""COMPUTED_VALUE"""),"USA")</f>
        <v>USA</v>
      </c>
      <c r="G1851" s="1" t="str">
        <f ca="1">IFERROR(__xludf.DUMMYFUNCTION("""COMPUTED_VALUE"""),"4.25 USA")</f>
        <v>4.25 USA</v>
      </c>
      <c r="H1851" s="1" t="str">
        <f ca="1">IFERROR(__xludf.DUMMYFUNCTION("""COMPUTED_VALUE"""),"Individuals At Risk, Refugee and Migrant Rights")</f>
        <v>Individuals At Risk, Refugee and Migrant Rights</v>
      </c>
      <c r="I1851" s="1" t="str">
        <f ca="1">IFERROR(__xludf.DUMMYFUNCTION("""COMPUTED_VALUE"""),"2025")</f>
        <v>2025</v>
      </c>
      <c r="J1851" s="1" t="str">
        <f ca="1">IFERROR(__xludf.DUMMYFUNCTION("""COMPUTED_VALUE"""),"Letter")</f>
        <v>Letter</v>
      </c>
    </row>
    <row r="1852" spans="1:10" ht="13" x14ac:dyDescent="0.15">
      <c r="A1852" s="4">
        <f ca="1">IFERROR(__xludf.DUMMYFUNCTION("""COMPUTED_VALUE"""),237643947)</f>
        <v>237643947</v>
      </c>
      <c r="B1852" s="1" t="str">
        <f ca="1">IFERROR(__xludf.DUMMYFUNCTION("""COMPUTED_VALUE"""),"casey86@protonmail.com")</f>
        <v>casey86@protonmail.com</v>
      </c>
      <c r="C1852" s="4" t="str">
        <f ca="1">IFERROR(__xludf.DUMMYFUNCTION("""COMPUTED_VALUE"""),"EVERGREEN - UAN Gated Content - Embedded Petition")</f>
        <v>EVERGREEN - UAN Gated Content - Embedded Petition</v>
      </c>
      <c r="D1852" s="5">
        <f ca="1">IFERROR(__xludf.DUMMYFUNCTION("""COMPUTED_VALUE"""),45636)</f>
        <v>45636</v>
      </c>
      <c r="F1852" s="1" t="str">
        <f ca="1">IFERROR(__xludf.DUMMYFUNCTION("""COMPUTED_VALUE"""),"USA")</f>
        <v>USA</v>
      </c>
      <c r="G1852" s="1" t="str">
        <f ca="1">IFERROR(__xludf.DUMMYFUNCTION("""COMPUTED_VALUE"""),"4.25 USA")</f>
        <v>4.25 USA</v>
      </c>
      <c r="H1852" s="1" t="str">
        <f ca="1">IFERROR(__xludf.DUMMYFUNCTION("""COMPUTED_VALUE"""),"Individuals At Risk, Refugee and Migrant Rights")</f>
        <v>Individuals At Risk, Refugee and Migrant Rights</v>
      </c>
      <c r="I1852" s="1" t="str">
        <f ca="1">IFERROR(__xludf.DUMMYFUNCTION("""COMPUTED_VALUE"""),"2025")</f>
        <v>2025</v>
      </c>
      <c r="J1852" s="1" t="str">
        <f ca="1">IFERROR(__xludf.DUMMYFUNCTION("""COMPUTED_VALUE"""),"Letter")</f>
        <v>Letter</v>
      </c>
    </row>
    <row r="1853" spans="1:10" ht="13" x14ac:dyDescent="0.15">
      <c r="A1853" s="4">
        <f ca="1">IFERROR(__xludf.DUMMYFUNCTION("""COMPUTED_VALUE"""),237644270)</f>
        <v>237644270</v>
      </c>
      <c r="B1853" s="1" t="str">
        <f ca="1">IFERROR(__xludf.DUMMYFUNCTION("""COMPUTED_VALUE"""),"ebonyqueenvocalist@yahoo.com")</f>
        <v>ebonyqueenvocalist@yahoo.com</v>
      </c>
      <c r="C1853" s="4" t="str">
        <f ca="1">IFERROR(__xludf.DUMMYFUNCTION("""COMPUTED_VALUE"""),"EVERGREEN - UAN Gated Content - Embedded Petition")</f>
        <v>EVERGREEN - UAN Gated Content - Embedded Petition</v>
      </c>
      <c r="D1853" s="5">
        <f ca="1">IFERROR(__xludf.DUMMYFUNCTION("""COMPUTED_VALUE"""),45615)</f>
        <v>45615</v>
      </c>
      <c r="F1853" s="1" t="str">
        <f ca="1">IFERROR(__xludf.DUMMYFUNCTION("""COMPUTED_VALUE"""),"USA")</f>
        <v>USA</v>
      </c>
      <c r="G1853" s="1" t="str">
        <f ca="1">IFERROR(__xludf.DUMMYFUNCTION("""COMPUTED_VALUE"""),"4.25 USA")</f>
        <v>4.25 USA</v>
      </c>
      <c r="H1853" s="1" t="str">
        <f ca="1">IFERROR(__xludf.DUMMYFUNCTION("""COMPUTED_VALUE"""),"Individuals At Risk, Refugee and Migrant Rights")</f>
        <v>Individuals At Risk, Refugee and Migrant Rights</v>
      </c>
      <c r="I1853" s="1" t="str">
        <f ca="1">IFERROR(__xludf.DUMMYFUNCTION("""COMPUTED_VALUE"""),"2025")</f>
        <v>2025</v>
      </c>
      <c r="J1853" s="1" t="str">
        <f ca="1">IFERROR(__xludf.DUMMYFUNCTION("""COMPUTED_VALUE"""),"Letter")</f>
        <v>Letter</v>
      </c>
    </row>
    <row r="1854" spans="1:10" ht="13" x14ac:dyDescent="0.15">
      <c r="A1854" s="4">
        <f ca="1">IFERROR(__xludf.DUMMYFUNCTION("""COMPUTED_VALUE"""),239402362)</f>
        <v>239402362</v>
      </c>
      <c r="B1854" s="1" t="str">
        <f ca="1">IFERROR(__xludf.DUMMYFUNCTION("""COMPUTED_VALUE"""),"bdomoff@gmail.com")</f>
        <v>bdomoff@gmail.com</v>
      </c>
      <c r="C1854" s="4" t="str">
        <f ca="1">IFERROR(__xludf.DUMMYFUNCTION("""COMPUTED_VALUE"""),"EVERGREEN - UAN Gated Content - Embedded Petition")</f>
        <v>EVERGREEN - UAN Gated Content - Embedded Petition</v>
      </c>
      <c r="D1854" s="5">
        <f ca="1">IFERROR(__xludf.DUMMYFUNCTION("""COMPUTED_VALUE"""),45668)</f>
        <v>45668</v>
      </c>
      <c r="F1854" s="1" t="str">
        <f ca="1">IFERROR(__xludf.DUMMYFUNCTION("""COMPUTED_VALUE"""),"USA")</f>
        <v>USA</v>
      </c>
      <c r="G1854" s="1" t="str">
        <f ca="1">IFERROR(__xludf.DUMMYFUNCTION("""COMPUTED_VALUE"""),"4.25 USA")</f>
        <v>4.25 USA</v>
      </c>
      <c r="H1854" s="1" t="str">
        <f ca="1">IFERROR(__xludf.DUMMYFUNCTION("""COMPUTED_VALUE"""),"Individuals At Risk, Refugee and Migrant Rights")</f>
        <v>Individuals At Risk, Refugee and Migrant Rights</v>
      </c>
      <c r="I1854" s="1" t="str">
        <f ca="1">IFERROR(__xludf.DUMMYFUNCTION("""COMPUTED_VALUE"""),"2025")</f>
        <v>2025</v>
      </c>
      <c r="J1854" s="1" t="str">
        <f ca="1">IFERROR(__xludf.DUMMYFUNCTION("""COMPUTED_VALUE"""),"Letter")</f>
        <v>Letter</v>
      </c>
    </row>
    <row r="1855" spans="1:10" ht="13" x14ac:dyDescent="0.15">
      <c r="A1855" s="4">
        <f ca="1">IFERROR(__xludf.DUMMYFUNCTION("""COMPUTED_VALUE"""),239402362)</f>
        <v>239402362</v>
      </c>
      <c r="B1855" s="1" t="str">
        <f ca="1">IFERROR(__xludf.DUMMYFUNCTION("""COMPUTED_VALUE"""),"bdomoff@gmail.com")</f>
        <v>bdomoff@gmail.com</v>
      </c>
      <c r="C1855" s="4" t="str">
        <f ca="1">IFERROR(__xludf.DUMMYFUNCTION("""COMPUTED_VALUE"""),"EVERGREEN - UAN Gated Content - Embedded Petition")</f>
        <v>EVERGREEN - UAN Gated Content - Embedded Petition</v>
      </c>
      <c r="D1855" s="5">
        <f ca="1">IFERROR(__xludf.DUMMYFUNCTION("""COMPUTED_VALUE"""),45702)</f>
        <v>45702</v>
      </c>
      <c r="F1855" s="1" t="str">
        <f ca="1">IFERROR(__xludf.DUMMYFUNCTION("""COMPUTED_VALUE"""),"USA")</f>
        <v>USA</v>
      </c>
      <c r="G1855" s="1" t="str">
        <f ca="1">IFERROR(__xludf.DUMMYFUNCTION("""COMPUTED_VALUE"""),"4.25 USA")</f>
        <v>4.25 USA</v>
      </c>
      <c r="H1855" s="1" t="str">
        <f ca="1">IFERROR(__xludf.DUMMYFUNCTION("""COMPUTED_VALUE"""),"Individuals At Risk, Refugee and Migrant Rights")</f>
        <v>Individuals At Risk, Refugee and Migrant Rights</v>
      </c>
      <c r="I1855" s="1" t="str">
        <f ca="1">IFERROR(__xludf.DUMMYFUNCTION("""COMPUTED_VALUE"""),"2025")</f>
        <v>2025</v>
      </c>
      <c r="J1855" s="1" t="str">
        <f ca="1">IFERROR(__xludf.DUMMYFUNCTION("""COMPUTED_VALUE"""),"Letter")</f>
        <v>Letter</v>
      </c>
    </row>
    <row r="1856" spans="1:10" ht="13" x14ac:dyDescent="0.15">
      <c r="A1856" s="4">
        <f ca="1">IFERROR(__xludf.DUMMYFUNCTION("""COMPUTED_VALUE"""),239402362)</f>
        <v>239402362</v>
      </c>
      <c r="B1856" s="1" t="str">
        <f ca="1">IFERROR(__xludf.DUMMYFUNCTION("""COMPUTED_VALUE"""),"bdomoff@gmail.com")</f>
        <v>bdomoff@gmail.com</v>
      </c>
      <c r="C1856" s="4" t="str">
        <f ca="1">IFERROR(__xludf.DUMMYFUNCTION("""COMPUTED_VALUE"""),"EVERGREEN - UAN Gated Content - Embedded Petition")</f>
        <v>EVERGREEN - UAN Gated Content - Embedded Petition</v>
      </c>
      <c r="D1856" s="5">
        <f ca="1">IFERROR(__xludf.DUMMYFUNCTION("""COMPUTED_VALUE"""),45702)</f>
        <v>45702</v>
      </c>
      <c r="F1856" s="1" t="str">
        <f ca="1">IFERROR(__xludf.DUMMYFUNCTION("""COMPUTED_VALUE"""),"USA")</f>
        <v>USA</v>
      </c>
      <c r="G1856" s="1" t="str">
        <f ca="1">IFERROR(__xludf.DUMMYFUNCTION("""COMPUTED_VALUE"""),"3.25 IOPT")</f>
        <v>3.25 IOPT</v>
      </c>
      <c r="H1856" s="1" t="str">
        <f ca="1">IFERROR(__xludf.DUMMYFUNCTION("""COMPUTED_VALUE"""),"Freedom of Expression, Individuals At Risk")</f>
        <v>Freedom of Expression, Individuals At Risk</v>
      </c>
      <c r="I1856" s="1" t="str">
        <f ca="1">IFERROR(__xludf.DUMMYFUNCTION("""COMPUTED_VALUE"""),"2025")</f>
        <v>2025</v>
      </c>
      <c r="J1856" s="1" t="str">
        <f ca="1">IFERROR(__xludf.DUMMYFUNCTION("""COMPUTED_VALUE"""),"Email")</f>
        <v>Email</v>
      </c>
    </row>
    <row r="1857" spans="1:10" ht="13" x14ac:dyDescent="0.15">
      <c r="A1857" s="4">
        <f ca="1">IFERROR(__xludf.DUMMYFUNCTION("""COMPUTED_VALUE"""),239402362)</f>
        <v>239402362</v>
      </c>
      <c r="B1857" s="1" t="str">
        <f ca="1">IFERROR(__xludf.DUMMYFUNCTION("""COMPUTED_VALUE"""),"bdomoff@gmail.com")</f>
        <v>bdomoff@gmail.com</v>
      </c>
      <c r="C1857" s="4" t="str">
        <f ca="1">IFERROR(__xludf.DUMMYFUNCTION("""COMPUTED_VALUE"""),"EVERGREEN - UAN Gated Content - Embedded Petition")</f>
        <v>EVERGREEN - UAN Gated Content - Embedded Petition</v>
      </c>
      <c r="D1857" s="5">
        <f ca="1">IFERROR(__xludf.DUMMYFUNCTION("""COMPUTED_VALUE"""),45702)</f>
        <v>45702</v>
      </c>
      <c r="F1857" s="1" t="str">
        <f ca="1">IFERROR(__xludf.DUMMYFUNCTION("""COMPUTED_VALUE"""),"Israel and Occupied Palestinian Territories")</f>
        <v>Israel and Occupied Palestinian Territories</v>
      </c>
      <c r="G1857" s="1" t="str">
        <f ca="1">IFERROR(__xludf.DUMMYFUNCTION("""COMPUTED_VALUE"""),"Seventh 103.22 Iran")</f>
        <v>Seventh 103.22 Iran</v>
      </c>
      <c r="H1857" s="1" t="str">
        <f ca="1">IFERROR(__xludf.DUMMYFUNCTION("""COMPUTED_VALUE"""),"Death Penalty, Freedom of Expression, Individuals At Risk")</f>
        <v>Death Penalty, Freedom of Expression, Individuals At Risk</v>
      </c>
      <c r="I1857" s="1" t="str">
        <f ca="1">IFERROR(__xludf.DUMMYFUNCTION("""COMPUTED_VALUE"""),"2024")</f>
        <v>2024</v>
      </c>
      <c r="J1857" s="1" t="str">
        <f ca="1">IFERROR(__xludf.DUMMYFUNCTION("""COMPUTED_VALUE"""),"Email")</f>
        <v>Email</v>
      </c>
    </row>
    <row r="1858" spans="1:10" ht="13" x14ac:dyDescent="0.15">
      <c r="A1858" s="4">
        <f ca="1">IFERROR(__xludf.DUMMYFUNCTION("""COMPUTED_VALUE"""),239593555)</f>
        <v>239593555</v>
      </c>
      <c r="B1858" s="1" t="str">
        <f ca="1">IFERROR(__xludf.DUMMYFUNCTION("""COMPUTED_VALUE"""),"franceline.villasenor@gmail.com")</f>
        <v>franceline.villasenor@gmail.com</v>
      </c>
      <c r="C1858" s="4" t="str">
        <f ca="1">IFERROR(__xludf.DUMMYFUNCTION("""COMPUTED_VALUE"""),"EVERGREEN - UAN Gated Content - Embedded Petition")</f>
        <v>EVERGREEN - UAN Gated Content - Embedded Petition</v>
      </c>
      <c r="D1858" s="5">
        <f ca="1">IFERROR(__xludf.DUMMYFUNCTION("""COMPUTED_VALUE"""),45672)</f>
        <v>45672</v>
      </c>
      <c r="F1858" s="1" t="str">
        <f ca="1">IFERROR(__xludf.DUMMYFUNCTION("""COMPUTED_VALUE"""),"Iran")</f>
        <v>Iran</v>
      </c>
      <c r="G1858" s="1" t="str">
        <f ca="1">IFERROR(__xludf.DUMMYFUNCTION("""COMPUTED_VALUE"""),"3.25 IOPT")</f>
        <v>3.25 IOPT</v>
      </c>
      <c r="H1858" s="1" t="str">
        <f ca="1">IFERROR(__xludf.DUMMYFUNCTION("""COMPUTED_VALUE"""),"Freedom of Expression, Individuals At Risk")</f>
        <v>Freedom of Expression, Individuals At Risk</v>
      </c>
      <c r="I1858" s="1" t="str">
        <f ca="1">IFERROR(__xludf.DUMMYFUNCTION("""COMPUTED_VALUE"""),"2025")</f>
        <v>2025</v>
      </c>
      <c r="J1858" s="1" t="str">
        <f ca="1">IFERROR(__xludf.DUMMYFUNCTION("""COMPUTED_VALUE"""),"Email")</f>
        <v>Email</v>
      </c>
    </row>
    <row r="1859" spans="1:10" ht="13" x14ac:dyDescent="0.15">
      <c r="A1859" s="4">
        <f ca="1">IFERROR(__xludf.DUMMYFUNCTION("""COMPUTED_VALUE"""),239593555)</f>
        <v>239593555</v>
      </c>
      <c r="B1859" s="1" t="str">
        <f ca="1">IFERROR(__xludf.DUMMYFUNCTION("""COMPUTED_VALUE"""),"franceline.villasenor@gmail.com")</f>
        <v>franceline.villasenor@gmail.com</v>
      </c>
      <c r="C1859" s="4" t="str">
        <f ca="1">IFERROR(__xludf.DUMMYFUNCTION("""COMPUTED_VALUE"""),"EVERGREEN - UAN Gated Content - Embedded Petition")</f>
        <v>EVERGREEN - UAN Gated Content - Embedded Petition</v>
      </c>
      <c r="D1859" s="5">
        <f ca="1">IFERROR(__xludf.DUMMYFUNCTION("""COMPUTED_VALUE"""),45694)</f>
        <v>45694</v>
      </c>
      <c r="F1859" s="1" t="str">
        <f ca="1">IFERROR(__xludf.DUMMYFUNCTION("""COMPUTED_VALUE"""),"Israel and Occupied Palestinian Territories")</f>
        <v>Israel and Occupied Palestinian Territories</v>
      </c>
      <c r="G1859" s="1" t="str">
        <f ca="1">IFERROR(__xludf.DUMMYFUNCTION("""COMPUTED_VALUE"""),"4.25 USA")</f>
        <v>4.25 USA</v>
      </c>
      <c r="H1859" s="1" t="str">
        <f ca="1">IFERROR(__xludf.DUMMYFUNCTION("""COMPUTED_VALUE"""),"Individuals At Risk, Refugee and Migrant Rights")</f>
        <v>Individuals At Risk, Refugee and Migrant Rights</v>
      </c>
      <c r="I1859" s="1" t="str">
        <f ca="1">IFERROR(__xludf.DUMMYFUNCTION("""COMPUTED_VALUE"""),"2025")</f>
        <v>2025</v>
      </c>
      <c r="J1859" s="1" t="str">
        <f ca="1">IFERROR(__xludf.DUMMYFUNCTION("""COMPUTED_VALUE"""),"Letter")</f>
        <v>Letter</v>
      </c>
    </row>
    <row r="1860" spans="1:10" ht="13" x14ac:dyDescent="0.15">
      <c r="A1860" s="4">
        <f ca="1">IFERROR(__xludf.DUMMYFUNCTION("""COMPUTED_VALUE"""),239917487)</f>
        <v>239917487</v>
      </c>
      <c r="B1860" s="1" t="str">
        <f ca="1">IFERROR(__xludf.DUMMYFUNCTION("""COMPUTED_VALUE"""),"terri.falbo@gmail.com")</f>
        <v>terri.falbo@gmail.com</v>
      </c>
      <c r="C1860" s="4" t="str">
        <f ca="1">IFERROR(__xludf.DUMMYFUNCTION("""COMPUTED_VALUE"""),"EVERGREEN - UAN Gated Content - Embedded Petition")</f>
        <v>EVERGREEN - UAN Gated Content - Embedded Petition</v>
      </c>
      <c r="D1860" s="5">
        <f ca="1">IFERROR(__xludf.DUMMYFUNCTION("""COMPUTED_VALUE"""),45672)</f>
        <v>45672</v>
      </c>
      <c r="F1860" s="1" t="str">
        <f ca="1">IFERROR(__xludf.DUMMYFUNCTION("""COMPUTED_VALUE"""),"USA")</f>
        <v>USA</v>
      </c>
      <c r="G1860" s="1" t="str">
        <f ca="1">IFERROR(__xludf.DUMMYFUNCTION("""COMPUTED_VALUE"""),"4.25 USA")</f>
        <v>4.25 USA</v>
      </c>
      <c r="H1860" s="1" t="str">
        <f ca="1">IFERROR(__xludf.DUMMYFUNCTION("""COMPUTED_VALUE"""),"Individuals At Risk, Refugee and Migrant Rights")</f>
        <v>Individuals At Risk, Refugee and Migrant Rights</v>
      </c>
      <c r="I1860" s="1" t="str">
        <f ca="1">IFERROR(__xludf.DUMMYFUNCTION("""COMPUTED_VALUE"""),"2025")</f>
        <v>2025</v>
      </c>
      <c r="J1860" s="1" t="str">
        <f ca="1">IFERROR(__xludf.DUMMYFUNCTION("""COMPUTED_VALUE"""),"Letter")</f>
        <v>Letter</v>
      </c>
    </row>
    <row r="1861" spans="1:10" ht="13" x14ac:dyDescent="0.15">
      <c r="A1861" s="4">
        <f ca="1">IFERROR(__xludf.DUMMYFUNCTION("""COMPUTED_VALUE"""),240044767)</f>
        <v>240044767</v>
      </c>
      <c r="B1861" s="1" t="str">
        <f ca="1">IFERROR(__xludf.DUMMYFUNCTION("""COMPUTED_VALUE"""),"amanda.fanniff@gmail.com")</f>
        <v>amanda.fanniff@gmail.com</v>
      </c>
      <c r="C1861" s="4" t="str">
        <f ca="1">IFERROR(__xludf.DUMMYFUNCTION("""COMPUTED_VALUE"""),"EVERGREEN - UAN Gated Content - Embedded Petition")</f>
        <v>EVERGREEN - UAN Gated Content - Embedded Petition</v>
      </c>
      <c r="D1861" s="5">
        <f ca="1">IFERROR(__xludf.DUMMYFUNCTION("""COMPUTED_VALUE"""),45694)</f>
        <v>45694</v>
      </c>
      <c r="F1861" s="1" t="str">
        <f ca="1">IFERROR(__xludf.DUMMYFUNCTION("""COMPUTED_VALUE"""),"USA")</f>
        <v>USA</v>
      </c>
      <c r="G1861" s="1" t="str">
        <f ca="1">IFERROR(__xludf.DUMMYFUNCTION("""COMPUTED_VALUE"""),"Third 73.23 Egypt")</f>
        <v>Third 73.23 Egypt</v>
      </c>
      <c r="H1861" s="1" t="str">
        <f ca="1">IFERROR(__xludf.DUMMYFUNCTION("""COMPUTED_VALUE"""),"Individuals At Risk")</f>
        <v>Individuals At Risk</v>
      </c>
      <c r="I1861" s="1" t="str">
        <f ca="1">IFERROR(__xludf.DUMMYFUNCTION("""COMPUTED_VALUE"""),"2024")</f>
        <v>2024</v>
      </c>
      <c r="J1861" s="1" t="str">
        <f ca="1">IFERROR(__xludf.DUMMYFUNCTION("""COMPUTED_VALUE"""),"Email")</f>
        <v>Email</v>
      </c>
    </row>
    <row r="1862" spans="1:10" ht="13" x14ac:dyDescent="0.15">
      <c r="A1862" s="4">
        <f ca="1">IFERROR(__xludf.DUMMYFUNCTION("""COMPUTED_VALUE"""),240072178)</f>
        <v>240072178</v>
      </c>
      <c r="B1862" s="1" t="str">
        <f ca="1">IFERROR(__xludf.DUMMYFUNCTION("""COMPUTED_VALUE"""),"mario.alvarado@amnesty.org")</f>
        <v>mario.alvarado@amnesty.org</v>
      </c>
      <c r="C1862" s="4" t="str">
        <f ca="1">IFERROR(__xludf.DUMMYFUNCTION("""COMPUTED_VALUE"""),"EVERGREEN - UAN Gated Content - Embedded Petition")</f>
        <v>EVERGREEN - UAN Gated Content - Embedded Petition</v>
      </c>
      <c r="D1862" s="5">
        <f ca="1">IFERROR(__xludf.DUMMYFUNCTION("""COMPUTED_VALUE"""),45708)</f>
        <v>45708</v>
      </c>
      <c r="F1862" s="1" t="str">
        <f ca="1">IFERROR(__xludf.DUMMYFUNCTION("""COMPUTED_VALUE"""),"Egypt")</f>
        <v>Egypt</v>
      </c>
      <c r="G1862" s="1" t="str">
        <f ca="1">IFERROR(__xludf.DUMMYFUNCTION("""COMPUTED_VALUE"""),"3.25 IOPT")</f>
        <v>3.25 IOPT</v>
      </c>
      <c r="H1862" s="1" t="str">
        <f ca="1">IFERROR(__xludf.DUMMYFUNCTION("""COMPUTED_VALUE"""),"Freedom of Expression, Individuals At Risk")</f>
        <v>Freedom of Expression, Individuals At Risk</v>
      </c>
      <c r="I1862" s="1" t="str">
        <f ca="1">IFERROR(__xludf.DUMMYFUNCTION("""COMPUTED_VALUE"""),"2025")</f>
        <v>2025</v>
      </c>
      <c r="J1862" s="1" t="str">
        <f ca="1">IFERROR(__xludf.DUMMYFUNCTION("""COMPUTED_VALUE"""),"Email")</f>
        <v>Email</v>
      </c>
    </row>
    <row r="1863" spans="1:10" ht="13" x14ac:dyDescent="0.15">
      <c r="A1863" s="4">
        <f ca="1">IFERROR(__xludf.DUMMYFUNCTION("""COMPUTED_VALUE"""),240837955)</f>
        <v>240837955</v>
      </c>
      <c r="B1863" s="1" t="str">
        <f ca="1">IFERROR(__xludf.DUMMYFUNCTION("""COMPUTED_VALUE"""),"rklein1964@hotmail.com")</f>
        <v>rklein1964@hotmail.com</v>
      </c>
      <c r="C1863" s="4" t="str">
        <f ca="1">IFERROR(__xludf.DUMMYFUNCTION("""COMPUTED_VALUE"""),"EVERGREEN - Website Email Capture Form - UAN Pre-Footer")</f>
        <v>EVERGREEN - Website Email Capture Form - UAN Pre-Footer</v>
      </c>
      <c r="D1863" s="5">
        <f ca="1">IFERROR(__xludf.DUMMYFUNCTION("""COMPUTED_VALUE"""),45659)</f>
        <v>45659</v>
      </c>
      <c r="F1863" s="1" t="str">
        <f ca="1">IFERROR(__xludf.DUMMYFUNCTION("""COMPUTED_VALUE"""),"Israel and Occupied Palestinian Territories")</f>
        <v>Israel and Occupied Palestinian Territories</v>
      </c>
      <c r="G1863" s="1" t="str">
        <f ca="1">IFERROR(__xludf.DUMMYFUNCTION("""COMPUTED_VALUE"""),"3.25 IOPT")</f>
        <v>3.25 IOPT</v>
      </c>
      <c r="H1863" s="1" t="str">
        <f ca="1">IFERROR(__xludf.DUMMYFUNCTION("""COMPUTED_VALUE"""),"Freedom of Expression, Individuals At Risk")</f>
        <v>Freedom of Expression, Individuals At Risk</v>
      </c>
      <c r="I1863" s="1" t="str">
        <f ca="1">IFERROR(__xludf.DUMMYFUNCTION("""COMPUTED_VALUE"""),"2025")</f>
        <v>2025</v>
      </c>
      <c r="J1863" s="1" t="str">
        <f ca="1">IFERROR(__xludf.DUMMYFUNCTION("""COMPUTED_VALUE"""),"Email")</f>
        <v>Email</v>
      </c>
    </row>
    <row r="1864" spans="1:10" ht="13" x14ac:dyDescent="0.15">
      <c r="A1864" s="4">
        <f ca="1">IFERROR(__xludf.DUMMYFUNCTION("""COMPUTED_VALUE"""),241658676)</f>
        <v>241658676</v>
      </c>
      <c r="B1864" s="1" t="str">
        <f ca="1">IFERROR(__xludf.DUMMYFUNCTION("""COMPUTED_VALUE"""),"safetyisabasicneed@gmail.com")</f>
        <v>safetyisabasicneed@gmail.com</v>
      </c>
      <c r="C1864" s="4" t="str">
        <f ca="1">IFERROR(__xludf.DUMMYFUNCTION("""COMPUTED_VALUE"""),"EVERGREEN - UAN Gated Content - Embedded Petition")</f>
        <v>EVERGREEN - UAN Gated Content - Embedded Petition</v>
      </c>
      <c r="D1864" s="5">
        <f ca="1">IFERROR(__xludf.DUMMYFUNCTION("""COMPUTED_VALUE"""),45636)</f>
        <v>45636</v>
      </c>
      <c r="F1864" s="1" t="str">
        <f ca="1">IFERROR(__xludf.DUMMYFUNCTION("""COMPUTED_VALUE"""),"Israel and Occupied Palestinian Territories")</f>
        <v>Israel and Occupied Palestinian Territories</v>
      </c>
      <c r="G1864" s="1" t="str">
        <f ca="1">IFERROR(__xludf.DUMMYFUNCTION("""COMPUTED_VALUE"""),"3.25 IOPT")</f>
        <v>3.25 IOPT</v>
      </c>
      <c r="H1864" s="1" t="str">
        <f ca="1">IFERROR(__xludf.DUMMYFUNCTION("""COMPUTED_VALUE"""),"Freedom of Expression, Individuals At Risk")</f>
        <v>Freedom of Expression, Individuals At Risk</v>
      </c>
      <c r="I1864" s="1" t="str">
        <f ca="1">IFERROR(__xludf.DUMMYFUNCTION("""COMPUTED_VALUE"""),"2025")</f>
        <v>2025</v>
      </c>
      <c r="J1864" s="1" t="str">
        <f ca="1">IFERROR(__xludf.DUMMYFUNCTION("""COMPUTED_VALUE"""),"Email")</f>
        <v>Email</v>
      </c>
    </row>
    <row r="1865" spans="1:10" ht="13" x14ac:dyDescent="0.15">
      <c r="A1865" s="4">
        <f ca="1">IFERROR(__xludf.DUMMYFUNCTION("""COMPUTED_VALUE"""),241658676)</f>
        <v>241658676</v>
      </c>
      <c r="B1865" s="1" t="str">
        <f ca="1">IFERROR(__xludf.DUMMYFUNCTION("""COMPUTED_VALUE"""),"safetyisabasicneed@gmail.com")</f>
        <v>safetyisabasicneed@gmail.com</v>
      </c>
      <c r="C1865" s="4" t="str">
        <f ca="1">IFERROR(__xludf.DUMMYFUNCTION("""COMPUTED_VALUE"""),"EVERGREEN - UAN Gated Content - Embedded Petition")</f>
        <v>EVERGREEN - UAN Gated Content - Embedded Petition</v>
      </c>
      <c r="D1865" s="5">
        <f ca="1">IFERROR(__xludf.DUMMYFUNCTION("""COMPUTED_VALUE"""),45694)</f>
        <v>45694</v>
      </c>
      <c r="F1865" s="1" t="str">
        <f ca="1">IFERROR(__xludf.DUMMYFUNCTION("""COMPUTED_VALUE"""),"Israel and Occupied Palestinian Territories")</f>
        <v>Israel and Occupied Palestinian Territories</v>
      </c>
      <c r="G1865" s="1" t="str">
        <f ca="1">IFERROR(__xludf.DUMMYFUNCTION("""COMPUTED_VALUE"""),"3.25 IOPT")</f>
        <v>3.25 IOPT</v>
      </c>
      <c r="H1865" s="1" t="str">
        <f ca="1">IFERROR(__xludf.DUMMYFUNCTION("""COMPUTED_VALUE"""),"Freedom of Expression, Individuals At Risk")</f>
        <v>Freedom of Expression, Individuals At Risk</v>
      </c>
      <c r="I1865" s="1" t="str">
        <f ca="1">IFERROR(__xludf.DUMMYFUNCTION("""COMPUTED_VALUE"""),"2025")</f>
        <v>2025</v>
      </c>
      <c r="J1865" s="1" t="str">
        <f ca="1">IFERROR(__xludf.DUMMYFUNCTION("""COMPUTED_VALUE"""),"Email")</f>
        <v>Email</v>
      </c>
    </row>
    <row r="1866" spans="1:10" ht="13" x14ac:dyDescent="0.15">
      <c r="A1866" s="4">
        <f ca="1">IFERROR(__xludf.DUMMYFUNCTION("""COMPUTED_VALUE"""),241658676)</f>
        <v>241658676</v>
      </c>
      <c r="B1866" s="1" t="str">
        <f ca="1">IFERROR(__xludf.DUMMYFUNCTION("""COMPUTED_VALUE"""),"safetyisabasicneed@gmail.com")</f>
        <v>safetyisabasicneed@gmail.com</v>
      </c>
      <c r="C1866" s="4" t="str">
        <f ca="1">IFERROR(__xludf.DUMMYFUNCTION("""COMPUTED_VALUE"""),"EVERGREEN - UAN Gated Content - Embedded Petition")</f>
        <v>EVERGREEN - UAN Gated Content - Embedded Petition</v>
      </c>
      <c r="D1866" s="5">
        <f ca="1">IFERROR(__xludf.DUMMYFUNCTION("""COMPUTED_VALUE"""),45616)</f>
        <v>45616</v>
      </c>
      <c r="F1866" s="1" t="str">
        <f ca="1">IFERROR(__xludf.DUMMYFUNCTION("""COMPUTED_VALUE"""),"Israel and Occupied Palestinian Territories")</f>
        <v>Israel and Occupied Palestinian Territories</v>
      </c>
      <c r="G1866" s="1" t="str">
        <f ca="1">IFERROR(__xludf.DUMMYFUNCTION("""COMPUTED_VALUE"""),"Fourth 29.23 Egypt")</f>
        <v>Fourth 29.23 Egypt</v>
      </c>
      <c r="H1866" s="1" t="str">
        <f ca="1">IFERROR(__xludf.DUMMYFUNCTION("""COMPUTED_VALUE"""),"Freedom of Expression, Individuals At Risk, Right to Protest")</f>
        <v>Freedom of Expression, Individuals At Risk, Right to Protest</v>
      </c>
      <c r="I1866" s="1" t="str">
        <f ca="1">IFERROR(__xludf.DUMMYFUNCTION("""COMPUTED_VALUE"""),"2024")</f>
        <v>2024</v>
      </c>
      <c r="J1866" s="1" t="str">
        <f ca="1">IFERROR(__xludf.DUMMYFUNCTION("""COMPUTED_VALUE"""),"Email")</f>
        <v>Email</v>
      </c>
    </row>
    <row r="1867" spans="1:10" ht="13" x14ac:dyDescent="0.15">
      <c r="A1867" s="4">
        <f ca="1">IFERROR(__xludf.DUMMYFUNCTION("""COMPUTED_VALUE"""),241712020)</f>
        <v>241712020</v>
      </c>
      <c r="B1867" s="1" t="str">
        <f ca="1">IFERROR(__xludf.DUMMYFUNCTION("""COMPUTED_VALUE"""),"bronwen.edw.kubiak@gmail.com")</f>
        <v>bronwen.edw.kubiak@gmail.com</v>
      </c>
      <c r="C1867" s="4" t="str">
        <f ca="1">IFERROR(__xludf.DUMMYFUNCTION("""COMPUTED_VALUE"""),"EVERGREEN - UAN Gated Content - Embedded Petition")</f>
        <v>EVERGREEN - UAN Gated Content - Embedded Petition</v>
      </c>
      <c r="D1867" s="5">
        <f ca="1">IFERROR(__xludf.DUMMYFUNCTION("""COMPUTED_VALUE"""),45664)</f>
        <v>45664</v>
      </c>
      <c r="F1867" s="1" t="str">
        <f ca="1">IFERROR(__xludf.DUMMYFUNCTION("""COMPUTED_VALUE"""),"Egypt")</f>
        <v>Egypt</v>
      </c>
      <c r="G1867" s="1" t="str">
        <f ca="1">IFERROR(__xludf.DUMMYFUNCTION("""COMPUTED_VALUE"""),"104.24 Saudi Arabia")</f>
        <v>104.24 Saudi Arabia</v>
      </c>
      <c r="H1867" s="1" t="str">
        <f ca="1">IFERROR(__xludf.DUMMYFUNCTION("""COMPUTED_VALUE"""),"Individuals At Risk, Refugee and Migrant Rights")</f>
        <v>Individuals At Risk, Refugee and Migrant Rights</v>
      </c>
      <c r="I1867" s="1" t="str">
        <f ca="1">IFERROR(__xludf.DUMMYFUNCTION("""COMPUTED_VALUE"""),"2024")</f>
        <v>2024</v>
      </c>
      <c r="J1867" s="1" t="str">
        <f ca="1">IFERROR(__xludf.DUMMYFUNCTION("""COMPUTED_VALUE"""),"Email")</f>
        <v>Email</v>
      </c>
    </row>
    <row r="1868" spans="1:10" ht="13" x14ac:dyDescent="0.15">
      <c r="A1868" s="4">
        <f ca="1">IFERROR(__xludf.DUMMYFUNCTION("""COMPUTED_VALUE"""),241712020)</f>
        <v>241712020</v>
      </c>
      <c r="B1868" s="1" t="str">
        <f ca="1">IFERROR(__xludf.DUMMYFUNCTION("""COMPUTED_VALUE"""),"bronwen.edw.kubiak@gmail.com")</f>
        <v>bronwen.edw.kubiak@gmail.com</v>
      </c>
      <c r="C1868" s="4" t="str">
        <f ca="1">IFERROR(__xludf.DUMMYFUNCTION("""COMPUTED_VALUE"""),"EVERGREEN - UAN Gated Content - Embedded Petition")</f>
        <v>EVERGREEN - UAN Gated Content - Embedded Petition</v>
      </c>
      <c r="D1868" s="5">
        <f ca="1">IFERROR(__xludf.DUMMYFUNCTION("""COMPUTED_VALUE"""),45668)</f>
        <v>45668</v>
      </c>
      <c r="F1868" s="1" t="str">
        <f ca="1">IFERROR(__xludf.DUMMYFUNCTION("""COMPUTED_VALUE"""),"Saudi Arabia")</f>
        <v>Saudi Arabia</v>
      </c>
      <c r="G1868" s="1" t="str">
        <f ca="1">IFERROR(__xludf.DUMMYFUNCTION("""COMPUTED_VALUE"""),"107.24 Singapore")</f>
        <v>107.24 Singapore</v>
      </c>
      <c r="H1868" s="1" t="str">
        <f ca="1">IFERROR(__xludf.DUMMYFUNCTION("""COMPUTED_VALUE"""),"Death Penalty")</f>
        <v>Death Penalty</v>
      </c>
      <c r="I1868" s="1" t="str">
        <f ca="1">IFERROR(__xludf.DUMMYFUNCTION("""COMPUTED_VALUE"""),"2024")</f>
        <v>2024</v>
      </c>
      <c r="J1868" s="1" t="str">
        <f ca="1">IFERROR(__xludf.DUMMYFUNCTION("""COMPUTED_VALUE"""),"Email")</f>
        <v>Email</v>
      </c>
    </row>
    <row r="1869" spans="1:10" ht="13" x14ac:dyDescent="0.15">
      <c r="A1869" s="4">
        <f ca="1">IFERROR(__xludf.DUMMYFUNCTION("""COMPUTED_VALUE"""),241712020)</f>
        <v>241712020</v>
      </c>
      <c r="B1869" s="1" t="str">
        <f ca="1">IFERROR(__xludf.DUMMYFUNCTION("""COMPUTED_VALUE"""),"bronwen.edw.kubiak@gmail.com")</f>
        <v>bronwen.edw.kubiak@gmail.com</v>
      </c>
      <c r="C1869" s="4" t="str">
        <f ca="1">IFERROR(__xludf.DUMMYFUNCTION("""COMPUTED_VALUE"""),"EVERGREEN - UAN Gated Content - Embedded Petition")</f>
        <v>EVERGREEN - UAN Gated Content - Embedded Petition</v>
      </c>
      <c r="D1869" s="5">
        <f ca="1">IFERROR(__xludf.DUMMYFUNCTION("""COMPUTED_VALUE"""),45673)</f>
        <v>45673</v>
      </c>
      <c r="F1869" s="1" t="str">
        <f ca="1">IFERROR(__xludf.DUMMYFUNCTION("""COMPUTED_VALUE"""),"Singapore")</f>
        <v>Singapore</v>
      </c>
      <c r="G1869" s="1" t="str">
        <f ca="1">IFERROR(__xludf.DUMMYFUNCTION("""COMPUTED_VALUE"""),"106.24 China")</f>
        <v>106.24 China</v>
      </c>
      <c r="H1869" s="1" t="str">
        <f ca="1">IFERROR(__xludf.DUMMYFUNCTION("""COMPUTED_VALUE"""),"Freedom of Expression, Individuals At Risk")</f>
        <v>Freedom of Expression, Individuals At Risk</v>
      </c>
      <c r="I1869" s="1" t="str">
        <f ca="1">IFERROR(__xludf.DUMMYFUNCTION("""COMPUTED_VALUE"""),"2024")</f>
        <v>2024</v>
      </c>
      <c r="J1869" s="1" t="str">
        <f ca="1">IFERROR(__xludf.DUMMYFUNCTION("""COMPUTED_VALUE"""),"Email")</f>
        <v>Email</v>
      </c>
    </row>
    <row r="1870" spans="1:10" ht="13" x14ac:dyDescent="0.15">
      <c r="A1870" s="4">
        <f ca="1">IFERROR(__xludf.DUMMYFUNCTION("""COMPUTED_VALUE"""),241712020)</f>
        <v>241712020</v>
      </c>
      <c r="B1870" s="1" t="str">
        <f ca="1">IFERROR(__xludf.DUMMYFUNCTION("""COMPUTED_VALUE"""),"bronwen.edw.kubiak@gmail.com")</f>
        <v>bronwen.edw.kubiak@gmail.com</v>
      </c>
      <c r="C1870" s="4" t="str">
        <f ca="1">IFERROR(__xludf.DUMMYFUNCTION("""COMPUTED_VALUE"""),"EVERGREEN - UAN Gated Content - Embedded Petition")</f>
        <v>EVERGREEN - UAN Gated Content - Embedded Petition</v>
      </c>
      <c r="D1870" s="5">
        <f ca="1">IFERROR(__xludf.DUMMYFUNCTION("""COMPUTED_VALUE"""),45670)</f>
        <v>45670</v>
      </c>
      <c r="F1870" s="1" t="str">
        <f ca="1">IFERROR(__xludf.DUMMYFUNCTION("""COMPUTED_VALUE"""),"China")</f>
        <v>China</v>
      </c>
      <c r="G1870" s="1" t="str">
        <f ca="1">IFERROR(__xludf.DUMMYFUNCTION("""COMPUTED_VALUE"""),"105.24 USA")</f>
        <v>105.24 USA</v>
      </c>
      <c r="H1870" s="1" t="str">
        <f ca="1">IFERROR(__xludf.DUMMYFUNCTION("""COMPUTED_VALUE"""),"Death Penalty")</f>
        <v>Death Penalty</v>
      </c>
      <c r="I1870" s="1" t="str">
        <f ca="1">IFERROR(__xludf.DUMMYFUNCTION("""COMPUTED_VALUE"""),"2024")</f>
        <v>2024</v>
      </c>
      <c r="J1870" s="1" t="str">
        <f ca="1">IFERROR(__xludf.DUMMYFUNCTION("""COMPUTED_VALUE"""),"Email")</f>
        <v>Email</v>
      </c>
    </row>
    <row r="1871" spans="1:10" ht="13" x14ac:dyDescent="0.15">
      <c r="A1871" s="4">
        <f ca="1">IFERROR(__xludf.DUMMYFUNCTION("""COMPUTED_VALUE"""),242389446)</f>
        <v>242389446</v>
      </c>
      <c r="B1871" s="1" t="str">
        <f ca="1">IFERROR(__xludf.DUMMYFUNCTION("""COMPUTED_VALUE"""),"qadrimohsin35@gmail.com")</f>
        <v>qadrimohsin35@gmail.com</v>
      </c>
      <c r="C1871" s="4" t="str">
        <f ca="1">IFERROR(__xludf.DUMMYFUNCTION("""COMPUTED_VALUE"""),"EVERGREEN - UAN Gated Content - Embedded Petition")</f>
        <v>EVERGREEN - UAN Gated Content - Embedded Petition</v>
      </c>
      <c r="D1871" s="5">
        <f ca="1">IFERROR(__xludf.DUMMYFUNCTION("""COMPUTED_VALUE"""),45695)</f>
        <v>45695</v>
      </c>
      <c r="F1871" s="1" t="str">
        <f ca="1">IFERROR(__xludf.DUMMYFUNCTION("""COMPUTED_VALUE"""),"USA")</f>
        <v>USA</v>
      </c>
      <c r="G1871" s="1" t="str">
        <f ca="1">IFERROR(__xludf.DUMMYFUNCTION("""COMPUTED_VALUE"""),"100.24 Uganda")</f>
        <v>100.24 Uganda</v>
      </c>
      <c r="H1871" s="1" t="str">
        <f ca="1">IFERROR(__xludf.DUMMYFUNCTION("""COMPUTED_VALUE"""),"Freedom of Expression")</f>
        <v>Freedom of Expression</v>
      </c>
      <c r="I1871" s="1" t="str">
        <f ca="1">IFERROR(__xludf.DUMMYFUNCTION("""COMPUTED_VALUE"""),"2024")</f>
        <v>2024</v>
      </c>
      <c r="J1871" s="1" t="str">
        <f ca="1">IFERROR(__xludf.DUMMYFUNCTION("""COMPUTED_VALUE"""),"Email")</f>
        <v>Email</v>
      </c>
    </row>
    <row r="1872" spans="1:10" ht="13" x14ac:dyDescent="0.15">
      <c r="A1872" s="4">
        <f ca="1">IFERROR(__xludf.DUMMYFUNCTION("""COMPUTED_VALUE"""),242389446)</f>
        <v>242389446</v>
      </c>
      <c r="B1872" s="1" t="str">
        <f ca="1">IFERROR(__xludf.DUMMYFUNCTION("""COMPUTED_VALUE"""),"qadrimohsin35@gmail.com")</f>
        <v>qadrimohsin35@gmail.com</v>
      </c>
      <c r="C1872" s="4" t="str">
        <f ca="1">IFERROR(__xludf.DUMMYFUNCTION("""COMPUTED_VALUE"""),"EVERGREEN - UAN Gated Content - Embedded Petition")</f>
        <v>EVERGREEN - UAN Gated Content - Embedded Petition</v>
      </c>
      <c r="D1872" s="5">
        <f ca="1">IFERROR(__xludf.DUMMYFUNCTION("""COMPUTED_VALUE"""),45694)</f>
        <v>45694</v>
      </c>
      <c r="F1872" s="1" t="str">
        <f ca="1">IFERROR(__xludf.DUMMYFUNCTION("""COMPUTED_VALUE"""),"Uganda")</f>
        <v>Uganda</v>
      </c>
      <c r="G1872" s="1" t="str">
        <f ca="1">IFERROR(__xludf.DUMMYFUNCTION("""COMPUTED_VALUE"""),"Second 23.24 Russia")</f>
        <v>Second 23.24 Russia</v>
      </c>
      <c r="H1872" s="1" t="str">
        <f ca="1">IFERROR(__xludf.DUMMYFUNCTION("""COMPUTED_VALUE"""),"Freedom of Expression")</f>
        <v>Freedom of Expression</v>
      </c>
      <c r="I1872" s="1" t="str">
        <f ca="1">IFERROR(__xludf.DUMMYFUNCTION("""COMPUTED_VALUE"""),"2024")</f>
        <v>2024</v>
      </c>
      <c r="J1872" s="1" t="str">
        <f ca="1">IFERROR(__xludf.DUMMYFUNCTION("""COMPUTED_VALUE"""),"Letter")</f>
        <v>Letter</v>
      </c>
    </row>
    <row r="1873" spans="1:10" ht="13" x14ac:dyDescent="0.15">
      <c r="A1873" s="4">
        <f ca="1">IFERROR(__xludf.DUMMYFUNCTION("""COMPUTED_VALUE"""),242389446)</f>
        <v>242389446</v>
      </c>
      <c r="B1873" s="1" t="str">
        <f ca="1">IFERROR(__xludf.DUMMYFUNCTION("""COMPUTED_VALUE"""),"qadrimohsin35@gmail.com")</f>
        <v>qadrimohsin35@gmail.com</v>
      </c>
      <c r="C1873" s="4" t="str">
        <f ca="1">IFERROR(__xludf.DUMMYFUNCTION("""COMPUTED_VALUE"""),"EVERGREEN - UAN Gated Content - Embedded Petition")</f>
        <v>EVERGREEN - UAN Gated Content - Embedded Petition</v>
      </c>
      <c r="D1873" s="5">
        <f ca="1">IFERROR(__xludf.DUMMYFUNCTION("""COMPUTED_VALUE"""),45694)</f>
        <v>45694</v>
      </c>
      <c r="F1873" s="1" t="str">
        <f ca="1">IFERROR(__xludf.DUMMYFUNCTION("""COMPUTED_VALUE"""),"Russian Federation")</f>
        <v>Russian Federation</v>
      </c>
      <c r="G1873" s="1" t="str">
        <f ca="1">IFERROR(__xludf.DUMMYFUNCTION("""COMPUTED_VALUE"""),"105.24 USA")</f>
        <v>105.24 USA</v>
      </c>
      <c r="H1873" s="1" t="str">
        <f ca="1">IFERROR(__xludf.DUMMYFUNCTION("""COMPUTED_VALUE"""),"Death Penalty")</f>
        <v>Death Penalty</v>
      </c>
      <c r="I1873" s="1" t="str">
        <f ca="1">IFERROR(__xludf.DUMMYFUNCTION("""COMPUTED_VALUE"""),"2024")</f>
        <v>2024</v>
      </c>
      <c r="J1873" s="1" t="str">
        <f ca="1">IFERROR(__xludf.DUMMYFUNCTION("""COMPUTED_VALUE"""),"Email")</f>
        <v>Email</v>
      </c>
    </row>
    <row r="1874" spans="1:10" ht="13" x14ac:dyDescent="0.15">
      <c r="A1874" s="4">
        <f ca="1">IFERROR(__xludf.DUMMYFUNCTION("""COMPUTED_VALUE"""),242389446)</f>
        <v>242389446</v>
      </c>
      <c r="B1874" s="1" t="str">
        <f ca="1">IFERROR(__xludf.DUMMYFUNCTION("""COMPUTED_VALUE"""),"qadrimohsin35@gmail.com")</f>
        <v>qadrimohsin35@gmail.com</v>
      </c>
      <c r="C1874" s="4" t="str">
        <f ca="1">IFERROR(__xludf.DUMMYFUNCTION("""COMPUTED_VALUE"""),"EVERGREEN - UAN Gated Content - Embedded Petition")</f>
        <v>EVERGREEN - UAN Gated Content - Embedded Petition</v>
      </c>
      <c r="D1874" s="5">
        <f ca="1">IFERROR(__xludf.DUMMYFUNCTION("""COMPUTED_VALUE"""),45695)</f>
        <v>45695</v>
      </c>
      <c r="F1874" s="1" t="str">
        <f ca="1">IFERROR(__xludf.DUMMYFUNCTION("""COMPUTED_VALUE"""),"USA")</f>
        <v>USA</v>
      </c>
      <c r="G1874" s="1" t="str">
        <f ca="1">IFERROR(__xludf.DUMMYFUNCTION("""COMPUTED_VALUE"""),"105.24 USA")</f>
        <v>105.24 USA</v>
      </c>
      <c r="H1874" s="1" t="str">
        <f ca="1">IFERROR(__xludf.DUMMYFUNCTION("""COMPUTED_VALUE"""),"Death Penalty")</f>
        <v>Death Penalty</v>
      </c>
      <c r="I1874" s="1" t="str">
        <f ca="1">IFERROR(__xludf.DUMMYFUNCTION("""COMPUTED_VALUE"""),"2024")</f>
        <v>2024</v>
      </c>
      <c r="J1874" s="1" t="str">
        <f ca="1">IFERROR(__xludf.DUMMYFUNCTION("""COMPUTED_VALUE"""),"Email")</f>
        <v>Email</v>
      </c>
    </row>
    <row r="1875" spans="1:10" ht="13" x14ac:dyDescent="0.15">
      <c r="A1875" s="4">
        <f ca="1">IFERROR(__xludf.DUMMYFUNCTION("""COMPUTED_VALUE"""),245476419)</f>
        <v>245476419</v>
      </c>
      <c r="B1875" s="1" t="str">
        <f ca="1">IFERROR(__xludf.DUMMYFUNCTION("""COMPUTED_VALUE"""),"heshaochun1989@gmail.com")</f>
        <v>heshaochun1989@gmail.com</v>
      </c>
      <c r="C1875" s="4" t="str">
        <f ca="1">IFERROR(__xludf.DUMMYFUNCTION("""COMPUTED_VALUE"""),"EVERGREEN - UAN Gated Content - Embedded Petition")</f>
        <v>EVERGREEN - UAN Gated Content - Embedded Petition</v>
      </c>
      <c r="D1875" s="5">
        <f ca="1">IFERROR(__xludf.DUMMYFUNCTION("""COMPUTED_VALUE"""),45683)</f>
        <v>45683</v>
      </c>
      <c r="F1875" s="1" t="str">
        <f ca="1">IFERROR(__xludf.DUMMYFUNCTION("""COMPUTED_VALUE"""),"USA")</f>
        <v>USA</v>
      </c>
      <c r="G1875" s="1" t="str">
        <f ca="1">IFERROR(__xludf.DUMMYFUNCTION("""COMPUTED_VALUE"""),"105.24 USA")</f>
        <v>105.24 USA</v>
      </c>
      <c r="H1875" s="1" t="str">
        <f ca="1">IFERROR(__xludf.DUMMYFUNCTION("""COMPUTED_VALUE"""),"Death Penalty")</f>
        <v>Death Penalty</v>
      </c>
      <c r="I1875" s="1" t="str">
        <f ca="1">IFERROR(__xludf.DUMMYFUNCTION("""COMPUTED_VALUE"""),"2024")</f>
        <v>2024</v>
      </c>
      <c r="J1875" s="1" t="str">
        <f ca="1">IFERROR(__xludf.DUMMYFUNCTION("""COMPUTED_VALUE"""),"Email")</f>
        <v>Email</v>
      </c>
    </row>
    <row r="1876" spans="1:10" ht="13" x14ac:dyDescent="0.15">
      <c r="A1876" s="4">
        <f ca="1">IFERROR(__xludf.DUMMYFUNCTION("""COMPUTED_VALUE"""),245476419)</f>
        <v>245476419</v>
      </c>
      <c r="B1876" s="1" t="str">
        <f ca="1">IFERROR(__xludf.DUMMYFUNCTION("""COMPUTED_VALUE"""),"heshaochun1989@gmail.com")</f>
        <v>heshaochun1989@gmail.com</v>
      </c>
      <c r="C1876" s="4" t="str">
        <f ca="1">IFERROR(__xludf.DUMMYFUNCTION("""COMPUTED_VALUE"""),"EVERGREEN - UAN Gated Content - Embedded Petition")</f>
        <v>EVERGREEN - UAN Gated Content - Embedded Petition</v>
      </c>
      <c r="D1876" s="5">
        <f ca="1">IFERROR(__xludf.DUMMYFUNCTION("""COMPUTED_VALUE"""),45683)</f>
        <v>45683</v>
      </c>
      <c r="F1876" s="1" t="str">
        <f ca="1">IFERROR(__xludf.DUMMYFUNCTION("""COMPUTED_VALUE"""),"USA")</f>
        <v>USA</v>
      </c>
      <c r="G1876" s="1" t="str">
        <f ca="1">IFERROR(__xludf.DUMMYFUNCTION("""COMPUTED_VALUE"""),"98.24 China")</f>
        <v>98.24 China</v>
      </c>
      <c r="H1876" s="1" t="str">
        <f ca="1">IFERROR(__xludf.DUMMYFUNCTION("""COMPUTED_VALUE"""),"Freedom of Expression, Individuals At Risk")</f>
        <v>Freedom of Expression, Individuals At Risk</v>
      </c>
      <c r="I1876" s="1" t="str">
        <f ca="1">IFERROR(__xludf.DUMMYFUNCTION("""COMPUTED_VALUE"""),"2024")</f>
        <v>2024</v>
      </c>
      <c r="J1876" s="1" t="str">
        <f ca="1">IFERROR(__xludf.DUMMYFUNCTION("""COMPUTED_VALUE"""),"Letter")</f>
        <v>Letter</v>
      </c>
    </row>
    <row r="1877" spans="1:10" ht="13" x14ac:dyDescent="0.15">
      <c r="A1877" s="4">
        <f ca="1">IFERROR(__xludf.DUMMYFUNCTION("""COMPUTED_VALUE"""),245476419)</f>
        <v>245476419</v>
      </c>
      <c r="B1877" s="1" t="str">
        <f ca="1">IFERROR(__xludf.DUMMYFUNCTION("""COMPUTED_VALUE"""),"heshaochun1989@gmail.com")</f>
        <v>heshaochun1989@gmail.com</v>
      </c>
      <c r="C1877" s="4" t="str">
        <f ca="1">IFERROR(__xludf.DUMMYFUNCTION("""COMPUTED_VALUE"""),"EVERGREEN - UAN Gated Content - Embedded Petition")</f>
        <v>EVERGREEN - UAN Gated Content - Embedded Petition</v>
      </c>
      <c r="D1877" s="5">
        <f ca="1">IFERROR(__xludf.DUMMYFUNCTION("""COMPUTED_VALUE"""),45683)</f>
        <v>45683</v>
      </c>
      <c r="F1877" s="1" t="str">
        <f ca="1">IFERROR(__xludf.DUMMYFUNCTION("""COMPUTED_VALUE"""),"China")</f>
        <v>China</v>
      </c>
      <c r="G1877" s="1" t="str">
        <f ca="1">IFERROR(__xludf.DUMMYFUNCTION("""COMPUTED_VALUE"""),"99.24 Canada")</f>
        <v>99.24 Canada</v>
      </c>
      <c r="H1877" s="1" t="str">
        <f ca="1">IFERROR(__xludf.DUMMYFUNCTION("""COMPUTED_VALUE"""),"Climate Justice, Indigenous Rights, Right to Protest")</f>
        <v>Climate Justice, Indigenous Rights, Right to Protest</v>
      </c>
      <c r="I1877" s="1" t="str">
        <f ca="1">IFERROR(__xludf.DUMMYFUNCTION("""COMPUTED_VALUE"""),"2024")</f>
        <v>2024</v>
      </c>
      <c r="J1877" s="1" t="str">
        <f ca="1">IFERROR(__xludf.DUMMYFUNCTION("""COMPUTED_VALUE"""),"Letter")</f>
        <v>Letter</v>
      </c>
    </row>
    <row r="1878" spans="1:10" ht="13" x14ac:dyDescent="0.15">
      <c r="A1878" s="4">
        <f ca="1">IFERROR(__xludf.DUMMYFUNCTION("""COMPUTED_VALUE"""),245947538)</f>
        <v>245947538</v>
      </c>
      <c r="B1878" s="1" t="str">
        <f ca="1">IFERROR(__xludf.DUMMYFUNCTION("""COMPUTED_VALUE"""),"jwalsh2611@gmail.com")</f>
        <v>jwalsh2611@gmail.com</v>
      </c>
      <c r="C1878" s="4" t="str">
        <f ca="1">IFERROR(__xludf.DUMMYFUNCTION("""COMPUTED_VALUE"""),"EVERGREEN - UAN Gated Content - Embedded Petition")</f>
        <v>EVERGREEN - UAN Gated Content - Embedded Petition</v>
      </c>
      <c r="D1878" s="5">
        <f ca="1">IFERROR(__xludf.DUMMYFUNCTION("""COMPUTED_VALUE"""),45636)</f>
        <v>45636</v>
      </c>
      <c r="F1878" s="1" t="str">
        <f ca="1">IFERROR(__xludf.DUMMYFUNCTION("""COMPUTED_VALUE"""),"Canada")</f>
        <v>Canada</v>
      </c>
      <c r="G1878" s="1" t="str">
        <f ca="1">IFERROR(__xludf.DUMMYFUNCTION("""COMPUTED_VALUE"""),"100.24 Uganda")</f>
        <v>100.24 Uganda</v>
      </c>
      <c r="H1878" s="1" t="str">
        <f ca="1">IFERROR(__xludf.DUMMYFUNCTION("""COMPUTED_VALUE"""),"Freedom of Expression")</f>
        <v>Freedom of Expression</v>
      </c>
      <c r="I1878" s="1" t="str">
        <f ca="1">IFERROR(__xludf.DUMMYFUNCTION("""COMPUTED_VALUE"""),"2024")</f>
        <v>2024</v>
      </c>
      <c r="J1878" s="1" t="str">
        <f ca="1">IFERROR(__xludf.DUMMYFUNCTION("""COMPUTED_VALUE"""),"Email")</f>
        <v>Email</v>
      </c>
    </row>
    <row r="1879" spans="1:10" ht="13" x14ac:dyDescent="0.15">
      <c r="A1879" s="4">
        <f ca="1">IFERROR(__xludf.DUMMYFUNCTION("""COMPUTED_VALUE"""),245947538)</f>
        <v>245947538</v>
      </c>
      <c r="B1879" s="1" t="str">
        <f ca="1">IFERROR(__xludf.DUMMYFUNCTION("""COMPUTED_VALUE"""),"jwalsh2611@gmail.com")</f>
        <v>jwalsh2611@gmail.com</v>
      </c>
      <c r="C1879" s="4" t="str">
        <f ca="1">IFERROR(__xludf.DUMMYFUNCTION("""COMPUTED_VALUE"""),"EVERGREEN - UAN Gated Content - Embedded Petition")</f>
        <v>EVERGREEN - UAN Gated Content - Embedded Petition</v>
      </c>
      <c r="D1879" s="5">
        <f ca="1">IFERROR(__xludf.DUMMYFUNCTION("""COMPUTED_VALUE"""),45636)</f>
        <v>45636</v>
      </c>
      <c r="F1879" s="1" t="str">
        <f ca="1">IFERROR(__xludf.DUMMYFUNCTION("""COMPUTED_VALUE"""),"Uganda")</f>
        <v>Uganda</v>
      </c>
      <c r="G1879" s="1" t="str">
        <f ca="1">IFERROR(__xludf.DUMMYFUNCTION("""COMPUTED_VALUE"""),"101.24 Iran")</f>
        <v>101.24 Iran</v>
      </c>
      <c r="H1879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1879" s="1" t="str">
        <f ca="1">IFERROR(__xludf.DUMMYFUNCTION("""COMPUTED_VALUE"""),"2024")</f>
        <v>2024</v>
      </c>
      <c r="J1879" s="1" t="str">
        <f ca="1">IFERROR(__xludf.DUMMYFUNCTION("""COMPUTED_VALUE"""),"Email")</f>
        <v>Email</v>
      </c>
    </row>
    <row r="1880" spans="1:10" ht="13" x14ac:dyDescent="0.15">
      <c r="A1880" s="4">
        <f ca="1">IFERROR(__xludf.DUMMYFUNCTION("""COMPUTED_VALUE"""),245975180)</f>
        <v>245975180</v>
      </c>
      <c r="B1880" s="1" t="str">
        <f ca="1">IFERROR(__xludf.DUMMYFUNCTION("""COMPUTED_VALUE"""),"busraasici25@gmail.com")</f>
        <v>busraasici25@gmail.com</v>
      </c>
      <c r="C1880" s="4" t="str">
        <f ca="1">IFERROR(__xludf.DUMMYFUNCTION("""COMPUTED_VALUE"""),"EVERGREEN - UAN Gated Content - Embedded Petition")</f>
        <v>EVERGREEN - UAN Gated Content - Embedded Petition</v>
      </c>
      <c r="D1880" s="5">
        <f ca="1">IFERROR(__xludf.DUMMYFUNCTION("""COMPUTED_VALUE"""),45698)</f>
        <v>45698</v>
      </c>
      <c r="F1880" s="1" t="str">
        <f ca="1">IFERROR(__xludf.DUMMYFUNCTION("""COMPUTED_VALUE"""),"Iran")</f>
        <v>Iran</v>
      </c>
      <c r="G1880" s="1" t="str">
        <f ca="1">IFERROR(__xludf.DUMMYFUNCTION("""COMPUTED_VALUE"""),"102.24 Russia")</f>
        <v>102.24 Russia</v>
      </c>
      <c r="H1880" s="1" t="str">
        <f ca="1">IFERROR(__xludf.DUMMYFUNCTION("""COMPUTED_VALUE"""),"Freedom of Expression, Individuals At Risk, Right to Protest")</f>
        <v>Freedom of Expression, Individuals At Risk, Right to Protest</v>
      </c>
      <c r="I1880" s="1" t="str">
        <f ca="1">IFERROR(__xludf.DUMMYFUNCTION("""COMPUTED_VALUE"""),"2024")</f>
        <v>2024</v>
      </c>
      <c r="J1880" s="1" t="str">
        <f ca="1">IFERROR(__xludf.DUMMYFUNCTION("""COMPUTED_VALUE"""),"Email")</f>
        <v>Email</v>
      </c>
    </row>
    <row r="1881" spans="1:10" ht="13" x14ac:dyDescent="0.15">
      <c r="A1881" s="4">
        <f ca="1">IFERROR(__xludf.DUMMYFUNCTION("""COMPUTED_VALUE"""),246745135)</f>
        <v>246745135</v>
      </c>
      <c r="B1881" s="1" t="str">
        <f ca="1">IFERROR(__xludf.DUMMYFUNCTION("""COMPUTED_VALUE"""),"26tegsum@student.mcpsmt.org")</f>
        <v>26tegsum@student.mcpsmt.org</v>
      </c>
      <c r="C1881" s="4" t="str">
        <f ca="1">IFERROR(__xludf.DUMMYFUNCTION("""COMPUTED_VALUE"""),"EVERGREEN - UAN Gated Content - Embedded Petition")</f>
        <v>EVERGREEN - UAN Gated Content - Embedded Petition</v>
      </c>
      <c r="D1881" s="5">
        <f ca="1">IFERROR(__xludf.DUMMYFUNCTION("""COMPUTED_VALUE"""),45678)</f>
        <v>45678</v>
      </c>
      <c r="F1881" s="1" t="str">
        <f ca="1">IFERROR(__xludf.DUMMYFUNCTION("""COMPUTED_VALUE"""),"Russian Federation")</f>
        <v>Russian Federation</v>
      </c>
      <c r="G1881" s="1" t="str">
        <f ca="1">IFERROR(__xludf.DUMMYFUNCTION("""COMPUTED_VALUE"""),"88.24 Dominican Republic")</f>
        <v>88.24 Dominican Republic</v>
      </c>
      <c r="H1881" s="1" t="str">
        <f ca="1">IFERROR(__xludf.DUMMYFUNCTION("""COMPUTED_VALUE"""),"Individuals At Risk, Refugee and Migrant Rights")</f>
        <v>Individuals At Risk, Refugee and Migrant Rights</v>
      </c>
      <c r="I1881" s="1" t="str">
        <f ca="1">IFERROR(__xludf.DUMMYFUNCTION("""COMPUTED_VALUE"""),"2024")</f>
        <v>2024</v>
      </c>
      <c r="J1881" s="1" t="str">
        <f ca="1">IFERROR(__xludf.DUMMYFUNCTION("""COMPUTED_VALUE"""),"Letter")</f>
        <v>Letter</v>
      </c>
    </row>
    <row r="1882" spans="1:10" ht="13" x14ac:dyDescent="0.15">
      <c r="A1882" s="4">
        <f ca="1">IFERROR(__xludf.DUMMYFUNCTION("""COMPUTED_VALUE"""),247426735)</f>
        <v>247426735</v>
      </c>
      <c r="B1882" s="1" t="str">
        <f ca="1">IFERROR(__xludf.DUMMYFUNCTION("""COMPUTED_VALUE"""),"annamakelapdx@gmail.com")</f>
        <v>annamakelapdx@gmail.com</v>
      </c>
      <c r="C1882" s="4" t="str">
        <f ca="1">IFERROR(__xludf.DUMMYFUNCTION("""COMPUTED_VALUE"""),"EVERGREEN - UAN Gated Content - Embedded Petition")</f>
        <v>EVERGREEN - UAN Gated Content - Embedded Petition</v>
      </c>
      <c r="D1882" s="5">
        <f ca="1">IFERROR(__xludf.DUMMYFUNCTION("""COMPUTED_VALUE"""),45694)</f>
        <v>45694</v>
      </c>
      <c r="F1882" s="1" t="str">
        <f ca="1">IFERROR(__xludf.DUMMYFUNCTION("""COMPUTED_VALUE"""),"Dominican Republic")</f>
        <v>Dominican Republic</v>
      </c>
      <c r="G1882" s="1" t="str">
        <f ca="1">IFERROR(__xludf.DUMMYFUNCTION("""COMPUTED_VALUE"""),"96.24 USA")</f>
        <v>96.24 USA</v>
      </c>
      <c r="H1882" s="1" t="str">
        <f ca="1">IFERROR(__xludf.DUMMYFUNCTION("""COMPUTED_VALUE"""),"Death Penalty")</f>
        <v>Death Penalty</v>
      </c>
      <c r="I1882" s="1" t="str">
        <f ca="1">IFERROR(__xludf.DUMMYFUNCTION("""COMPUTED_VALUE"""),"2024")</f>
        <v>2024</v>
      </c>
      <c r="J1882" s="1" t="str">
        <f ca="1">IFERROR(__xludf.DUMMYFUNCTION("""COMPUTED_VALUE"""),"Email")</f>
        <v>Email</v>
      </c>
    </row>
    <row r="1883" spans="1:10" ht="13" x14ac:dyDescent="0.15">
      <c r="A1883" s="4">
        <f ca="1">IFERROR(__xludf.DUMMYFUNCTION("""COMPUTED_VALUE"""),248386359)</f>
        <v>248386359</v>
      </c>
      <c r="B1883" s="1" t="str">
        <f ca="1">IFERROR(__xludf.DUMMYFUNCTION("""COMPUTED_VALUE"""),"kimk554830@gmail.com")</f>
        <v>kimk554830@gmail.com</v>
      </c>
      <c r="C1883" s="4" t="str">
        <f ca="1">IFERROR(__xludf.DUMMYFUNCTION("""COMPUTED_VALUE"""),"EVERGREEN - UAN Gated Content - Embedded Petition")</f>
        <v>EVERGREEN - UAN Gated Content - Embedded Petition</v>
      </c>
      <c r="D1883" s="5">
        <f ca="1">IFERROR(__xludf.DUMMYFUNCTION("""COMPUTED_VALUE"""),45694)</f>
        <v>45694</v>
      </c>
      <c r="F1883" s="1" t="str">
        <f ca="1">IFERROR(__xludf.DUMMYFUNCTION("""COMPUTED_VALUE"""),"USA")</f>
        <v>USA</v>
      </c>
      <c r="G1883" s="1" t="str">
        <f ca="1">IFERROR(__xludf.DUMMYFUNCTION("""COMPUTED_VALUE"""),"96.24 USA")</f>
        <v>96.24 USA</v>
      </c>
      <c r="H1883" s="1" t="str">
        <f ca="1">IFERROR(__xludf.DUMMYFUNCTION("""COMPUTED_VALUE"""),"Death Penalty")</f>
        <v>Death Penalty</v>
      </c>
      <c r="I1883" s="1" t="str">
        <f ca="1">IFERROR(__xludf.DUMMYFUNCTION("""COMPUTED_VALUE"""),"2024")</f>
        <v>2024</v>
      </c>
      <c r="J1883" s="1" t="str">
        <f ca="1">IFERROR(__xludf.DUMMYFUNCTION("""COMPUTED_VALUE"""),"Email")</f>
        <v>Email</v>
      </c>
    </row>
    <row r="1884" spans="1:10" ht="13" x14ac:dyDescent="0.15">
      <c r="A1884" s="4">
        <f ca="1">IFERROR(__xludf.DUMMYFUNCTION("""COMPUTED_VALUE"""),248386359)</f>
        <v>248386359</v>
      </c>
      <c r="B1884" s="1" t="str">
        <f ca="1">IFERROR(__xludf.DUMMYFUNCTION("""COMPUTED_VALUE"""),"kimk554830@gmail.com")</f>
        <v>kimk554830@gmail.com</v>
      </c>
      <c r="C1884" s="4" t="str">
        <f ca="1">IFERROR(__xludf.DUMMYFUNCTION("""COMPUTED_VALUE"""),"EVERGREEN - UAN Gated Content - Embedded Petition")</f>
        <v>EVERGREEN - UAN Gated Content - Embedded Petition</v>
      </c>
      <c r="D1884" s="5">
        <f ca="1">IFERROR(__xludf.DUMMYFUNCTION("""COMPUTED_VALUE"""),45636)</f>
        <v>45636</v>
      </c>
      <c r="F1884" s="1" t="str">
        <f ca="1">IFERROR(__xludf.DUMMYFUNCTION("""COMPUTED_VALUE"""),"USA")</f>
        <v>USA</v>
      </c>
      <c r="G1884" s="1" t="str">
        <f ca="1">IFERROR(__xludf.DUMMYFUNCTION("""COMPUTED_VALUE"""),"97.24 Venezuela")</f>
        <v>97.24 Venezuela</v>
      </c>
      <c r="H1884" s="1" t="str">
        <f ca="1">IFERROR(__xludf.DUMMYFUNCTION("""COMPUTED_VALUE"""),"Freedom of Expression")</f>
        <v>Freedom of Expression</v>
      </c>
      <c r="I1884" s="1" t="str">
        <f ca="1">IFERROR(__xludf.DUMMYFUNCTION("""COMPUTED_VALUE"""),"2024")</f>
        <v>2024</v>
      </c>
      <c r="J1884" s="1" t="str">
        <f ca="1">IFERROR(__xludf.DUMMYFUNCTION("""COMPUTED_VALUE"""),"Letter")</f>
        <v>Letter</v>
      </c>
    </row>
    <row r="1885" spans="1:10" ht="13" x14ac:dyDescent="0.15">
      <c r="A1885" s="4">
        <f ca="1">IFERROR(__xludf.DUMMYFUNCTION("""COMPUTED_VALUE"""),248386359)</f>
        <v>248386359</v>
      </c>
      <c r="B1885" s="1" t="str">
        <f ca="1">IFERROR(__xludf.DUMMYFUNCTION("""COMPUTED_VALUE"""),"kimk554830@gmail.com")</f>
        <v>kimk554830@gmail.com</v>
      </c>
      <c r="C1885" s="4" t="str">
        <f ca="1">IFERROR(__xludf.DUMMYFUNCTION("""COMPUTED_VALUE"""),"EVERGREEN - UAN Gated Content - Embedded Petition")</f>
        <v>EVERGREEN - UAN Gated Content - Embedded Petition</v>
      </c>
      <c r="D1885" s="5">
        <f ca="1">IFERROR(__xludf.DUMMYFUNCTION("""COMPUTED_VALUE"""),45636)</f>
        <v>45636</v>
      </c>
      <c r="F1885" s="1" t="str">
        <f ca="1">IFERROR(__xludf.DUMMYFUNCTION("""COMPUTED_VALUE"""),"Venezuela")</f>
        <v>Venezuela</v>
      </c>
      <c r="G1885" s="1" t="str">
        <f ca="1">IFERROR(__xludf.DUMMYFUNCTION("""COMPUTED_VALUE"""),"4.25 USA")</f>
        <v>4.25 USA</v>
      </c>
      <c r="H1885" s="1" t="str">
        <f ca="1">IFERROR(__xludf.DUMMYFUNCTION("""COMPUTED_VALUE"""),"Individuals At Risk, Refugee and Migrant Rights")</f>
        <v>Individuals At Risk, Refugee and Migrant Rights</v>
      </c>
      <c r="I1885" s="1" t="str">
        <f ca="1">IFERROR(__xludf.DUMMYFUNCTION("""COMPUTED_VALUE"""),"2025")</f>
        <v>2025</v>
      </c>
      <c r="J1885" s="1" t="str">
        <f ca="1">IFERROR(__xludf.DUMMYFUNCTION("""COMPUTED_VALUE"""),"Letter")</f>
        <v>Letter</v>
      </c>
    </row>
    <row r="1886" spans="1:10" ht="13" x14ac:dyDescent="0.15">
      <c r="A1886" s="4">
        <f ca="1">IFERROR(__xludf.DUMMYFUNCTION("""COMPUTED_VALUE"""),248392274)</f>
        <v>248392274</v>
      </c>
      <c r="B1886" s="1" t="str">
        <f ca="1">IFERROR(__xludf.DUMMYFUNCTION("""COMPUTED_VALUE"""),"jedbellzim@gmail.com")</f>
        <v>jedbellzim@gmail.com</v>
      </c>
      <c r="C1886" s="4" t="str">
        <f ca="1">IFERROR(__xludf.DUMMYFUNCTION("""COMPUTED_VALUE"""),"EVERGREEN - UAN Gated Content - Embedded Petition")</f>
        <v>EVERGREEN - UAN Gated Content - Embedded Petition</v>
      </c>
      <c r="D1886" s="5">
        <f ca="1">IFERROR(__xludf.DUMMYFUNCTION("""COMPUTED_VALUE"""),45672)</f>
        <v>45672</v>
      </c>
      <c r="F1886" s="1" t="str">
        <f ca="1">IFERROR(__xludf.DUMMYFUNCTION("""COMPUTED_VALUE"""),"USA")</f>
        <v>USA</v>
      </c>
      <c r="G1886" s="1" t="str">
        <f ca="1">IFERROR(__xludf.DUMMYFUNCTION("""COMPUTED_VALUE"""),"4.25 USA")</f>
        <v>4.25 USA</v>
      </c>
      <c r="H1886" s="1" t="str">
        <f ca="1">IFERROR(__xludf.DUMMYFUNCTION("""COMPUTED_VALUE"""),"Individuals At Risk, Refugee and Migrant Rights")</f>
        <v>Individuals At Risk, Refugee and Migrant Rights</v>
      </c>
      <c r="I1886" s="1" t="str">
        <f ca="1">IFERROR(__xludf.DUMMYFUNCTION("""COMPUTED_VALUE"""),"2025")</f>
        <v>2025</v>
      </c>
      <c r="J1886" s="1" t="str">
        <f ca="1">IFERROR(__xludf.DUMMYFUNCTION("""COMPUTED_VALUE"""),"Letter")</f>
        <v>Letter</v>
      </c>
    </row>
    <row r="1887" spans="1:10" ht="13" x14ac:dyDescent="0.15">
      <c r="A1887" s="4">
        <f ca="1">IFERROR(__xludf.DUMMYFUNCTION("""COMPUTED_VALUE"""),249194217)</f>
        <v>249194217</v>
      </c>
      <c r="B1887" s="1" t="str">
        <f ca="1">IFERROR(__xludf.DUMMYFUNCTION("""COMPUTED_VALUE"""),"bryancolombo@gmail.com")</f>
        <v>bryancolombo@gmail.com</v>
      </c>
      <c r="C1887" s="4" t="str">
        <f ca="1">IFERROR(__xludf.DUMMYFUNCTION("""COMPUTED_VALUE"""),"EVERGREEN - UAN Gated Content - Embedded Petition")</f>
        <v>EVERGREEN - UAN Gated Content - Embedded Petition</v>
      </c>
      <c r="D1887" s="5">
        <f ca="1">IFERROR(__xludf.DUMMYFUNCTION("""COMPUTED_VALUE"""),45614)</f>
        <v>45614</v>
      </c>
      <c r="F1887" s="1" t="str">
        <f ca="1">IFERROR(__xludf.DUMMYFUNCTION("""COMPUTED_VALUE"""),"USA")</f>
        <v>USA</v>
      </c>
      <c r="G1887" s="1" t="str">
        <f ca="1">IFERROR(__xludf.DUMMYFUNCTION("""COMPUTED_VALUE"""),"4.25 USA")</f>
        <v>4.25 USA</v>
      </c>
      <c r="H1887" s="1" t="str">
        <f ca="1">IFERROR(__xludf.DUMMYFUNCTION("""COMPUTED_VALUE"""),"Individuals At Risk, Refugee and Migrant Rights")</f>
        <v>Individuals At Risk, Refugee and Migrant Rights</v>
      </c>
      <c r="I1887" s="1" t="str">
        <f ca="1">IFERROR(__xludf.DUMMYFUNCTION("""COMPUTED_VALUE"""),"2025")</f>
        <v>2025</v>
      </c>
      <c r="J1887" s="1" t="str">
        <f ca="1">IFERROR(__xludf.DUMMYFUNCTION("""COMPUTED_VALUE"""),"Letter")</f>
        <v>Letter</v>
      </c>
    </row>
    <row r="1888" spans="1:10" ht="13" x14ac:dyDescent="0.15">
      <c r="A1888" s="4">
        <f ca="1">IFERROR(__xludf.DUMMYFUNCTION("""COMPUTED_VALUE"""),249598428)</f>
        <v>249598428</v>
      </c>
      <c r="B1888" s="1" t="str">
        <f ca="1">IFERROR(__xludf.DUMMYFUNCTION("""COMPUTED_VALUE"""),"bonniegorman1@gmail.com")</f>
        <v>bonniegorman1@gmail.com</v>
      </c>
      <c r="C1888" s="4" t="str">
        <f ca="1">IFERROR(__xludf.DUMMYFUNCTION("""COMPUTED_VALUE"""),"EVERGREEN - UAN Gated Content - Embedded Petition")</f>
        <v>EVERGREEN - UAN Gated Content - Embedded Petition</v>
      </c>
      <c r="D1888" s="5">
        <f ca="1">IFERROR(__xludf.DUMMYFUNCTION("""COMPUTED_VALUE"""),45694)</f>
        <v>45694</v>
      </c>
      <c r="F1888" s="1" t="str">
        <f ca="1">IFERROR(__xludf.DUMMYFUNCTION("""COMPUTED_VALUE"""),"USA")</f>
        <v>USA</v>
      </c>
      <c r="G1888" s="1" t="str">
        <f ca="1">IFERROR(__xludf.DUMMYFUNCTION("""COMPUTED_VALUE"""),"3.25 IOPT")</f>
        <v>3.25 IOPT</v>
      </c>
      <c r="H1888" s="1" t="str">
        <f ca="1">IFERROR(__xludf.DUMMYFUNCTION("""COMPUTED_VALUE"""),"Freedom of Expression, Individuals At Risk")</f>
        <v>Freedom of Expression, Individuals At Risk</v>
      </c>
      <c r="I1888" s="1" t="str">
        <f ca="1">IFERROR(__xludf.DUMMYFUNCTION("""COMPUTED_VALUE"""),"2025")</f>
        <v>2025</v>
      </c>
      <c r="J1888" s="1" t="str">
        <f ca="1">IFERROR(__xludf.DUMMYFUNCTION("""COMPUTED_VALUE"""),"Email")</f>
        <v>Email</v>
      </c>
    </row>
    <row r="1889" spans="1:10" ht="13" x14ac:dyDescent="0.15">
      <c r="A1889" s="4">
        <f ca="1">IFERROR(__xludf.DUMMYFUNCTION("""COMPUTED_VALUE"""),249598428)</f>
        <v>249598428</v>
      </c>
      <c r="B1889" s="1" t="str">
        <f ca="1">IFERROR(__xludf.DUMMYFUNCTION("""COMPUTED_VALUE"""),"bonniegorman1@gmail.com")</f>
        <v>bonniegorman1@gmail.com</v>
      </c>
      <c r="C1889" s="4" t="str">
        <f ca="1">IFERROR(__xludf.DUMMYFUNCTION("""COMPUTED_VALUE"""),"EVERGREEN - UAN Gated Content - Embedded Petition")</f>
        <v>EVERGREEN - UAN Gated Content - Embedded Petition</v>
      </c>
      <c r="D1889" s="5">
        <f ca="1">IFERROR(__xludf.DUMMYFUNCTION("""COMPUTED_VALUE"""),45673)</f>
        <v>45673</v>
      </c>
      <c r="F1889" s="1" t="str">
        <f ca="1">IFERROR(__xludf.DUMMYFUNCTION("""COMPUTED_VALUE"""),"Israel and Occupied Palestinian Territories")</f>
        <v>Israel and Occupied Palestinian Territories</v>
      </c>
      <c r="G1889" s="1" t="str">
        <f ca="1">IFERROR(__xludf.DUMMYFUNCTION("""COMPUTED_VALUE"""),"105.24 USA")</f>
        <v>105.24 USA</v>
      </c>
      <c r="H1889" s="1" t="str">
        <f ca="1">IFERROR(__xludf.DUMMYFUNCTION("""COMPUTED_VALUE"""),"Death Penalty")</f>
        <v>Death Penalty</v>
      </c>
      <c r="I1889" s="1" t="str">
        <f ca="1">IFERROR(__xludf.DUMMYFUNCTION("""COMPUTED_VALUE"""),"2024")</f>
        <v>2024</v>
      </c>
      <c r="J1889" s="1" t="str">
        <f ca="1">IFERROR(__xludf.DUMMYFUNCTION("""COMPUTED_VALUE"""),"Email")</f>
        <v>Email</v>
      </c>
    </row>
    <row r="1890" spans="1:10" ht="13" x14ac:dyDescent="0.15">
      <c r="A1890" s="4">
        <f ca="1">IFERROR(__xludf.DUMMYFUNCTION("""COMPUTED_VALUE"""),250287615)</f>
        <v>250287615</v>
      </c>
      <c r="B1890" s="1" t="str">
        <f ca="1">IFERROR(__xludf.DUMMYFUNCTION("""COMPUTED_VALUE"""),"raffi.merino@gmail.com")</f>
        <v>raffi.merino@gmail.com</v>
      </c>
      <c r="C1890" s="4" t="str">
        <f ca="1">IFERROR(__xludf.DUMMYFUNCTION("""COMPUTED_VALUE"""),"EVERGREEN - UAN Gated Content - Embedded Petition")</f>
        <v>EVERGREEN - UAN Gated Content - Embedded Petition</v>
      </c>
      <c r="D1890" s="5">
        <f ca="1">IFERROR(__xludf.DUMMYFUNCTION("""COMPUTED_VALUE"""),45690)</f>
        <v>45690</v>
      </c>
      <c r="F1890" s="1" t="str">
        <f ca="1">IFERROR(__xludf.DUMMYFUNCTION("""COMPUTED_VALUE"""),"USA")</f>
        <v>USA</v>
      </c>
      <c r="G1890" s="1" t="str">
        <f ca="1">IFERROR(__xludf.DUMMYFUNCTION("""COMPUTED_VALUE"""),"105.24 USA")</f>
        <v>105.24 USA</v>
      </c>
      <c r="H1890" s="1" t="str">
        <f ca="1">IFERROR(__xludf.DUMMYFUNCTION("""COMPUTED_VALUE"""),"Death Penalty")</f>
        <v>Death Penalty</v>
      </c>
      <c r="I1890" s="1" t="str">
        <f ca="1">IFERROR(__xludf.DUMMYFUNCTION("""COMPUTED_VALUE"""),"2024")</f>
        <v>2024</v>
      </c>
      <c r="J1890" s="1" t="str">
        <f ca="1">IFERROR(__xludf.DUMMYFUNCTION("""COMPUTED_VALUE"""),"Email")</f>
        <v>Email</v>
      </c>
    </row>
    <row r="1891" spans="1:10" ht="13" x14ac:dyDescent="0.15">
      <c r="A1891" s="4">
        <f ca="1">IFERROR(__xludf.DUMMYFUNCTION("""COMPUTED_VALUE"""),250685646)</f>
        <v>250685646</v>
      </c>
      <c r="B1891" s="1" t="str">
        <f ca="1">IFERROR(__xludf.DUMMYFUNCTION("""COMPUTED_VALUE"""),"junebsc@gmail.com")</f>
        <v>junebsc@gmail.com</v>
      </c>
      <c r="C1891" s="4" t="str">
        <f ca="1">IFERROR(__xludf.DUMMYFUNCTION("""COMPUTED_VALUE"""),"EVERGREEN - UAN Gated Content - Embedded Petition")</f>
        <v>EVERGREEN - UAN Gated Content - Embedded Petition</v>
      </c>
      <c r="D1891" s="5">
        <f ca="1">IFERROR(__xludf.DUMMYFUNCTION("""COMPUTED_VALUE"""),45657)</f>
        <v>45657</v>
      </c>
      <c r="F1891" s="1" t="str">
        <f ca="1">IFERROR(__xludf.DUMMYFUNCTION("""COMPUTED_VALUE"""),"USA")</f>
        <v>USA</v>
      </c>
      <c r="G1891" s="1" t="str">
        <f ca="1">IFERROR(__xludf.DUMMYFUNCTION("""COMPUTED_VALUE"""),"3.25 IOPT")</f>
        <v>3.25 IOPT</v>
      </c>
      <c r="H1891" s="1" t="str">
        <f ca="1">IFERROR(__xludf.DUMMYFUNCTION("""COMPUTED_VALUE"""),"Freedom of Expression, Individuals At Risk")</f>
        <v>Freedom of Expression, Individuals At Risk</v>
      </c>
      <c r="I1891" s="1" t="str">
        <f ca="1">IFERROR(__xludf.DUMMYFUNCTION("""COMPUTED_VALUE"""),"2025")</f>
        <v>2025</v>
      </c>
      <c r="J1891" s="1" t="str">
        <f ca="1">IFERROR(__xludf.DUMMYFUNCTION("""COMPUTED_VALUE"""),"Email")</f>
        <v>Email</v>
      </c>
    </row>
    <row r="1892" spans="1:10" ht="13" x14ac:dyDescent="0.15">
      <c r="A1892" s="4">
        <f ca="1">IFERROR(__xludf.DUMMYFUNCTION("""COMPUTED_VALUE"""),250685646)</f>
        <v>250685646</v>
      </c>
      <c r="B1892" s="1" t="str">
        <f ca="1">IFERROR(__xludf.DUMMYFUNCTION("""COMPUTED_VALUE"""),"junebsc@gmail.com")</f>
        <v>junebsc@gmail.com</v>
      </c>
      <c r="C1892" s="4" t="str">
        <f ca="1">IFERROR(__xludf.DUMMYFUNCTION("""COMPUTED_VALUE"""),"EVERGREEN - UAN Gated Content - Embedded Petition")</f>
        <v>EVERGREEN - UAN Gated Content - Embedded Petition</v>
      </c>
      <c r="D1892" s="5">
        <f ca="1">IFERROR(__xludf.DUMMYFUNCTION("""COMPUTED_VALUE"""),45657)</f>
        <v>45657</v>
      </c>
      <c r="F1892" s="1" t="str">
        <f ca="1">IFERROR(__xludf.DUMMYFUNCTION("""COMPUTED_VALUE"""),"Israel and Occupied Palestinian Territories")</f>
        <v>Israel and Occupied Palestinian Territories</v>
      </c>
      <c r="G1892" s="1" t="str">
        <f ca="1">IFERROR(__xludf.DUMMYFUNCTION("""COMPUTED_VALUE"""),"Second 76.24 Tunisia")</f>
        <v>Second 76.24 Tunisia</v>
      </c>
      <c r="H1892" s="1" t="str">
        <f ca="1">IFERROR(__xludf.DUMMYFUNCTION("""COMPUTED_VALUE"""),"Freedom of Expression, Human Rights Defenders")</f>
        <v>Freedom of Expression, Human Rights Defenders</v>
      </c>
      <c r="I1892" s="1" t="str">
        <f ca="1">IFERROR(__xludf.DUMMYFUNCTION("""COMPUTED_VALUE"""),"2025")</f>
        <v>2025</v>
      </c>
      <c r="J1892" s="1" t="str">
        <f ca="1">IFERROR(__xludf.DUMMYFUNCTION("""COMPUTED_VALUE"""),"Email")</f>
        <v>Email</v>
      </c>
    </row>
    <row r="1893" spans="1:10" ht="13" x14ac:dyDescent="0.15">
      <c r="A1893" s="4">
        <f ca="1">IFERROR(__xludf.DUMMYFUNCTION("""COMPUTED_VALUE"""),250885776)</f>
        <v>250885776</v>
      </c>
      <c r="B1893" s="1" t="str">
        <f ca="1">IFERROR(__xludf.DUMMYFUNCTION("""COMPUTED_VALUE"""),"shirley@burmaoaks.com")</f>
        <v>shirley@burmaoaks.com</v>
      </c>
      <c r="C1893" s="4" t="str">
        <f ca="1">IFERROR(__xludf.DUMMYFUNCTION("""COMPUTED_VALUE"""),"EVERGREEN - UAN Gated Content - Embedded Petition")</f>
        <v>EVERGREEN - UAN Gated Content - Embedded Petition</v>
      </c>
      <c r="D1893" s="5">
        <f ca="1">IFERROR(__xludf.DUMMYFUNCTION("""COMPUTED_VALUE"""),45616)</f>
        <v>45616</v>
      </c>
      <c r="F1893" s="1" t="str">
        <f ca="1">IFERROR(__xludf.DUMMYFUNCTION("""COMPUTED_VALUE"""),"Tunisia")</f>
        <v>Tunisia</v>
      </c>
      <c r="G1893" s="1" t="str">
        <f ca="1">IFERROR(__xludf.DUMMYFUNCTION("""COMPUTED_VALUE"""),"3.25 IOPT")</f>
        <v>3.25 IOPT</v>
      </c>
      <c r="H1893" s="1" t="str">
        <f ca="1">IFERROR(__xludf.DUMMYFUNCTION("""COMPUTED_VALUE"""),"Freedom of Expression, Individuals At Risk")</f>
        <v>Freedom of Expression, Individuals At Risk</v>
      </c>
      <c r="I1893" s="1" t="str">
        <f ca="1">IFERROR(__xludf.DUMMYFUNCTION("""COMPUTED_VALUE"""),"2025")</f>
        <v>2025</v>
      </c>
      <c r="J1893" s="1" t="str">
        <f ca="1">IFERROR(__xludf.DUMMYFUNCTION("""COMPUTED_VALUE"""),"Email")</f>
        <v>Email</v>
      </c>
    </row>
    <row r="1894" spans="1:10" ht="13" x14ac:dyDescent="0.15">
      <c r="A1894" s="4">
        <f ca="1">IFERROR(__xludf.DUMMYFUNCTION("""COMPUTED_VALUE"""),250885776)</f>
        <v>250885776</v>
      </c>
      <c r="B1894" s="1" t="str">
        <f ca="1">IFERROR(__xludf.DUMMYFUNCTION("""COMPUTED_VALUE"""),"shirley@burmaoaks.com")</f>
        <v>shirley@burmaoaks.com</v>
      </c>
      <c r="C1894" s="4" t="str">
        <f ca="1">IFERROR(__xludf.DUMMYFUNCTION("""COMPUTED_VALUE"""),"EVERGREEN - UAN Gated Content - Embedded Petition")</f>
        <v>EVERGREEN - UAN Gated Content - Embedded Petition</v>
      </c>
      <c r="D1894" s="5">
        <f ca="1">IFERROR(__xludf.DUMMYFUNCTION("""COMPUTED_VALUE"""),45694)</f>
        <v>45694</v>
      </c>
      <c r="F1894" s="1" t="str">
        <f ca="1">IFERROR(__xludf.DUMMYFUNCTION("""COMPUTED_VALUE"""),"Israel and Occupied Palestinian Territories")</f>
        <v>Israel and Occupied Palestinian Territories</v>
      </c>
      <c r="G1894" s="1" t="str">
        <f ca="1">IFERROR(__xludf.DUMMYFUNCTION("""COMPUTED_VALUE"""),"9.25 Uganda")</f>
        <v>9.25 Uganda</v>
      </c>
      <c r="H1894" s="1" t="str">
        <f ca="1">IFERROR(__xludf.DUMMYFUNCTION("""COMPUTED_VALUE"""),"Freedom of Expression, Human Rights Defenders")</f>
        <v>Freedom of Expression, Human Rights Defenders</v>
      </c>
      <c r="I1894" s="1" t="str">
        <f ca="1">IFERROR(__xludf.DUMMYFUNCTION("""COMPUTED_VALUE"""),"2025")</f>
        <v>2025</v>
      </c>
      <c r="J1894" s="1" t="str">
        <f ca="1">IFERROR(__xludf.DUMMYFUNCTION("""COMPUTED_VALUE"""),"Email")</f>
        <v>Email</v>
      </c>
    </row>
    <row r="1895" spans="1:10" ht="13" x14ac:dyDescent="0.15">
      <c r="A1895" s="4">
        <f ca="1">IFERROR(__xludf.DUMMYFUNCTION("""COMPUTED_VALUE"""),251369290)</f>
        <v>251369290</v>
      </c>
      <c r="B1895" s="1" t="str">
        <f ca="1">IFERROR(__xludf.DUMMYFUNCTION("""COMPUTED_VALUE"""),"amylstromme@gmail.com")</f>
        <v>amylstromme@gmail.com</v>
      </c>
      <c r="C1895" s="4" t="str">
        <f ca="1">IFERROR(__xludf.DUMMYFUNCTION("""COMPUTED_VALUE"""),"EVERGREEN - Website Email Capture Form - UAN Pre-Footer")</f>
        <v>EVERGREEN - Website Email Capture Form - UAN Pre-Footer</v>
      </c>
      <c r="D1895" s="5">
        <f ca="1">IFERROR(__xludf.DUMMYFUNCTION("""COMPUTED_VALUE"""),45661)</f>
        <v>45661</v>
      </c>
      <c r="F1895" s="1" t="str">
        <f ca="1">IFERROR(__xludf.DUMMYFUNCTION("""COMPUTED_VALUE"""),"Uganda")</f>
        <v>Uganda</v>
      </c>
      <c r="G1895" s="1" t="str">
        <f ca="1">IFERROR(__xludf.DUMMYFUNCTION("""COMPUTED_VALUE"""),"Second 85.23 Saudi Arabia")</f>
        <v>Second 85.23 Saudi Arabia</v>
      </c>
      <c r="H1895" s="1" t="str">
        <f ca="1">IFERROR(__xludf.DUMMYFUNCTION("""COMPUTED_VALUE"""),"Freedom of Expression")</f>
        <v>Freedom of Expression</v>
      </c>
      <c r="I1895" s="1" t="str">
        <f ca="1">IFERROR(__xludf.DUMMYFUNCTION("""COMPUTED_VALUE"""),"2024")</f>
        <v>2024</v>
      </c>
      <c r="J1895" s="1" t="str">
        <f ca="1">IFERROR(__xludf.DUMMYFUNCTION("""COMPUTED_VALUE"""),"Letter")</f>
        <v>Letter</v>
      </c>
    </row>
    <row r="1896" spans="1:10" ht="13" x14ac:dyDescent="0.15">
      <c r="A1896" s="4">
        <f ca="1">IFERROR(__xludf.DUMMYFUNCTION("""COMPUTED_VALUE"""),251570742)</f>
        <v>251570742</v>
      </c>
      <c r="B1896" s="1" t="str">
        <f ca="1">IFERROR(__xludf.DUMMYFUNCTION("""COMPUTED_VALUE"""),"abijlefeld@yahoo.com")</f>
        <v>abijlefeld@yahoo.com</v>
      </c>
      <c r="C1896" s="4" t="str">
        <f ca="1">IFERROR(__xludf.DUMMYFUNCTION("""COMPUTED_VALUE"""),"EVERGREEN - UAN Gated Content - Embedded Petition")</f>
        <v>EVERGREEN - UAN Gated Content - Embedded Petition</v>
      </c>
      <c r="D1896" s="5">
        <f ca="1">IFERROR(__xludf.DUMMYFUNCTION("""COMPUTED_VALUE"""),45678)</f>
        <v>45678</v>
      </c>
      <c r="F1896" s="1" t="str">
        <f ca="1">IFERROR(__xludf.DUMMYFUNCTION("""COMPUTED_VALUE"""),"Saudi Arabia")</f>
        <v>Saudi Arabia</v>
      </c>
      <c r="G1896" s="1" t="str">
        <f ca="1">IFERROR(__xludf.DUMMYFUNCTION("""COMPUTED_VALUE"""),"Ninth 190.18 Egypt")</f>
        <v>Ninth 190.18 Egypt</v>
      </c>
      <c r="H1896" s="1" t="str">
        <f ca="1">IFERROR(__xludf.DUMMYFUNCTION("""COMPUTED_VALUE"""),"Freedom of Expression, Individuals At Risk")</f>
        <v>Freedom of Expression, Individuals At Risk</v>
      </c>
      <c r="I1896" s="1" t="str">
        <f ca="1">IFERROR(__xludf.DUMMYFUNCTION("""COMPUTED_VALUE"""),"2024")</f>
        <v>2024</v>
      </c>
      <c r="J1896" s="1" t="str">
        <f ca="1">IFERROR(__xludf.DUMMYFUNCTION("""COMPUTED_VALUE"""),"Letter")</f>
        <v>Letter</v>
      </c>
    </row>
    <row r="1897" spans="1:10" ht="13" x14ac:dyDescent="0.15">
      <c r="A1897" s="4">
        <f ca="1">IFERROR(__xludf.DUMMYFUNCTION("""COMPUTED_VALUE"""),251570742)</f>
        <v>251570742</v>
      </c>
      <c r="B1897" s="1" t="str">
        <f ca="1">IFERROR(__xludf.DUMMYFUNCTION("""COMPUTED_VALUE"""),"abijlefeld@yahoo.com")</f>
        <v>abijlefeld@yahoo.com</v>
      </c>
      <c r="C1897" s="4" t="str">
        <f ca="1">IFERROR(__xludf.DUMMYFUNCTION("""COMPUTED_VALUE"""),"EVERGREEN - UAN Gated Content - Embedded Petition")</f>
        <v>EVERGREEN - UAN Gated Content - Embedded Petition</v>
      </c>
      <c r="D1897" s="5">
        <f ca="1">IFERROR(__xludf.DUMMYFUNCTION("""COMPUTED_VALUE"""),45678)</f>
        <v>45678</v>
      </c>
      <c r="F1897" s="1" t="str">
        <f ca="1">IFERROR(__xludf.DUMMYFUNCTION("""COMPUTED_VALUE"""),"Egypt")</f>
        <v>Egypt</v>
      </c>
      <c r="G1897" s="1" t="str">
        <f ca="1">IFERROR(__xludf.DUMMYFUNCTION("""COMPUTED_VALUE"""),"106.24 China")</f>
        <v>106.24 China</v>
      </c>
      <c r="H1897" s="1" t="str">
        <f ca="1">IFERROR(__xludf.DUMMYFUNCTION("""COMPUTED_VALUE"""),"Freedom of Expression, Individuals At Risk")</f>
        <v>Freedom of Expression, Individuals At Risk</v>
      </c>
      <c r="I1897" s="1" t="str">
        <f ca="1">IFERROR(__xludf.DUMMYFUNCTION("""COMPUTED_VALUE"""),"2024")</f>
        <v>2024</v>
      </c>
      <c r="J1897" s="1" t="str">
        <f ca="1">IFERROR(__xludf.DUMMYFUNCTION("""COMPUTED_VALUE"""),"Email")</f>
        <v>Email</v>
      </c>
    </row>
    <row r="1898" spans="1:10" ht="13" x14ac:dyDescent="0.15">
      <c r="A1898" s="4">
        <f ca="1">IFERROR(__xludf.DUMMYFUNCTION("""COMPUTED_VALUE"""),251757231)</f>
        <v>251757231</v>
      </c>
      <c r="B1898" s="1" t="str">
        <f ca="1">IFERROR(__xludf.DUMMYFUNCTION("""COMPUTED_VALUE"""),"edkatz_adelphia1@comcast.net")</f>
        <v>edkatz_adelphia1@comcast.net</v>
      </c>
      <c r="C1898" s="4" t="str">
        <f ca="1">IFERROR(__xludf.DUMMYFUNCTION("""COMPUTED_VALUE"""),"EVERGREEN - UAN Gated Content - Embedded Petition")</f>
        <v>EVERGREEN - UAN Gated Content - Embedded Petition</v>
      </c>
      <c r="D1898" s="5">
        <f ca="1">IFERROR(__xludf.DUMMYFUNCTION("""COMPUTED_VALUE"""),45694)</f>
        <v>45694</v>
      </c>
      <c r="F1898" s="1" t="str">
        <f ca="1">IFERROR(__xludf.DUMMYFUNCTION("""COMPUTED_VALUE"""),"China")</f>
        <v>China</v>
      </c>
      <c r="G1898" s="1" t="str">
        <f ca="1">IFERROR(__xludf.DUMMYFUNCTION("""COMPUTED_VALUE"""),"2.25 Azerbaijan")</f>
        <v>2.25 Azerbaijan</v>
      </c>
      <c r="H1898" s="1" t="str">
        <f ca="1">IFERROR(__xludf.DUMMYFUNCTION("""COMPUTED_VALUE"""),"Freedom of Expression, Human Rights Defenders")</f>
        <v>Freedom of Expression, Human Rights Defenders</v>
      </c>
      <c r="I1898" s="1" t="str">
        <f ca="1">IFERROR(__xludf.DUMMYFUNCTION("""COMPUTED_VALUE"""),"2025")</f>
        <v>2025</v>
      </c>
      <c r="J1898" s="1" t="str">
        <f ca="1">IFERROR(__xludf.DUMMYFUNCTION("""COMPUTED_VALUE"""),"Email")</f>
        <v>Email</v>
      </c>
    </row>
    <row r="1899" spans="1:10" ht="13" x14ac:dyDescent="0.15">
      <c r="A1899" s="4">
        <f ca="1">IFERROR(__xludf.DUMMYFUNCTION("""COMPUTED_VALUE"""),251960036)</f>
        <v>251960036</v>
      </c>
      <c r="B1899" s="1" t="str">
        <f ca="1">IFERROR(__xludf.DUMMYFUNCTION("""COMPUTED_VALUE"""),"fishjoyner2@hotmail.com")</f>
        <v>fishjoyner2@hotmail.com</v>
      </c>
      <c r="C1899" s="4" t="str">
        <f ca="1">IFERROR(__xludf.DUMMYFUNCTION("""COMPUTED_VALUE"""),"EVERGREEN - UAN Gated Content - Embedded Petition")</f>
        <v>EVERGREEN - UAN Gated Content - Embedded Petition</v>
      </c>
      <c r="D1899" s="5">
        <f ca="1">IFERROR(__xludf.DUMMYFUNCTION("""COMPUTED_VALUE"""),45700)</f>
        <v>45700</v>
      </c>
      <c r="F1899" s="1" t="str">
        <f ca="1">IFERROR(__xludf.DUMMYFUNCTION("""COMPUTED_VALUE"""),"Azerbaijan")</f>
        <v>Azerbaijan</v>
      </c>
      <c r="G1899" s="1" t="str">
        <f ca="1">IFERROR(__xludf.DUMMYFUNCTION("""COMPUTED_VALUE"""),"1.25 Venezuela")</f>
        <v>1.25 Venezuela</v>
      </c>
      <c r="H1899" s="1" t="str">
        <f ca="1">IFERROR(__xludf.DUMMYFUNCTION("""COMPUTED_VALUE"""),"Human Rights Defenders, Individuals At Risk")</f>
        <v>Human Rights Defenders, Individuals At Risk</v>
      </c>
      <c r="I1899" s="1" t="str">
        <f ca="1">IFERROR(__xludf.DUMMYFUNCTION("""COMPUTED_VALUE"""),"2025")</f>
        <v>2025</v>
      </c>
      <c r="J1899" s="1" t="str">
        <f ca="1">IFERROR(__xludf.DUMMYFUNCTION("""COMPUTED_VALUE"""),"Letter")</f>
        <v>Letter</v>
      </c>
    </row>
    <row r="1900" spans="1:10" ht="13" x14ac:dyDescent="0.15">
      <c r="A1900" s="4">
        <f ca="1">IFERROR(__xludf.DUMMYFUNCTION("""COMPUTED_VALUE"""),251983731)</f>
        <v>251983731</v>
      </c>
      <c r="B1900" s="1" t="str">
        <f ca="1">IFERROR(__xludf.DUMMYFUNCTION("""COMPUTED_VALUE"""),"slbazarian@comcast.net")</f>
        <v>slbazarian@comcast.net</v>
      </c>
      <c r="C1900" s="4" t="str">
        <f ca="1">IFERROR(__xludf.DUMMYFUNCTION("""COMPUTED_VALUE"""),"EVERGREEN - UAN Gated Content - Embedded Petition")</f>
        <v>EVERGREEN - UAN Gated Content - Embedded Petition</v>
      </c>
      <c r="D1900" s="5">
        <f ca="1">IFERROR(__xludf.DUMMYFUNCTION("""COMPUTED_VALUE"""),45677)</f>
        <v>45677</v>
      </c>
      <c r="F1900" s="1" t="str">
        <f ca="1">IFERROR(__xludf.DUMMYFUNCTION("""COMPUTED_VALUE"""),"Venezuela")</f>
        <v>Venezuela</v>
      </c>
      <c r="G1900" s="1" t="str">
        <f ca="1">IFERROR(__xludf.DUMMYFUNCTION("""COMPUTED_VALUE"""),"4.25 USA")</f>
        <v>4.25 USA</v>
      </c>
      <c r="H1900" s="1" t="str">
        <f ca="1">IFERROR(__xludf.DUMMYFUNCTION("""COMPUTED_VALUE"""),"Individuals At Risk, Refugee and Migrant Rights")</f>
        <v>Individuals At Risk, Refugee and Migrant Rights</v>
      </c>
      <c r="I1900" s="1" t="str">
        <f ca="1">IFERROR(__xludf.DUMMYFUNCTION("""COMPUTED_VALUE"""),"2025")</f>
        <v>2025</v>
      </c>
      <c r="J1900" s="1" t="str">
        <f ca="1">IFERROR(__xludf.DUMMYFUNCTION("""COMPUTED_VALUE"""),"Letter")</f>
        <v>Letter</v>
      </c>
    </row>
    <row r="1901" spans="1:10" ht="13" x14ac:dyDescent="0.15">
      <c r="A1901" s="4">
        <f ca="1">IFERROR(__xludf.DUMMYFUNCTION("""COMPUTED_VALUE"""),252208031)</f>
        <v>252208031</v>
      </c>
      <c r="B1901" s="1" t="str">
        <f ca="1">IFERROR(__xludf.DUMMYFUNCTION("""COMPUTED_VALUE"""),"brmarkwardt@dolgeville.org")</f>
        <v>brmarkwardt@dolgeville.org</v>
      </c>
      <c r="C1901" s="4" t="str">
        <f ca="1">IFERROR(__xludf.DUMMYFUNCTION("""COMPUTED_VALUE"""),"EVERGREEN - UAN Gated Content - Embedded Petition")</f>
        <v>EVERGREEN - UAN Gated Content - Embedded Petition</v>
      </c>
      <c r="D1901" s="5">
        <f ca="1">IFERROR(__xludf.DUMMYFUNCTION("""COMPUTED_VALUE"""),45687)</f>
        <v>45687</v>
      </c>
      <c r="F1901" s="1" t="str">
        <f ca="1">IFERROR(__xludf.DUMMYFUNCTION("""COMPUTED_VALUE"""),"USA")</f>
        <v>USA</v>
      </c>
      <c r="G1901" s="1" t="str">
        <f ca="1">IFERROR(__xludf.DUMMYFUNCTION("""COMPUTED_VALUE"""),"Third 12.24 Colombia")</f>
        <v>Third 12.24 Colombia</v>
      </c>
      <c r="H1901" s="1" t="str">
        <f ca="1">IFERROR(__xludf.DUMMYFUNCTION("""COMPUTED_VALUE"""),"Human Rights Defenders, Individuals At Risk")</f>
        <v>Human Rights Defenders, Individuals At Risk</v>
      </c>
      <c r="I1901" s="1" t="str">
        <f ca="1">IFERROR(__xludf.DUMMYFUNCTION("""COMPUTED_VALUE"""),"2025")</f>
        <v>2025</v>
      </c>
      <c r="J1901" s="1" t="str">
        <f ca="1">IFERROR(__xludf.DUMMYFUNCTION("""COMPUTED_VALUE"""),"Email")</f>
        <v>Email</v>
      </c>
    </row>
    <row r="1902" spans="1:10" ht="13" x14ac:dyDescent="0.15">
      <c r="A1902" s="4">
        <f ca="1">IFERROR(__xludf.DUMMYFUNCTION("""COMPUTED_VALUE"""),252221595)</f>
        <v>252221595</v>
      </c>
      <c r="B1902" s="1" t="str">
        <f ca="1">IFERROR(__xludf.DUMMYFUNCTION("""COMPUTED_VALUE"""),"mrubin111@gmail.com")</f>
        <v>mrubin111@gmail.com</v>
      </c>
      <c r="C1902" s="4" t="str">
        <f ca="1">IFERROR(__xludf.DUMMYFUNCTION("""COMPUTED_VALUE"""),"EVERGREEN - UAN Gated Content - Embedded Petition")</f>
        <v>EVERGREEN - UAN Gated Content - Embedded Petition</v>
      </c>
      <c r="D1902" s="5">
        <f ca="1">IFERROR(__xludf.DUMMYFUNCTION("""COMPUTED_VALUE"""),45672)</f>
        <v>45672</v>
      </c>
      <c r="F1902" s="1" t="str">
        <f ca="1">IFERROR(__xludf.DUMMYFUNCTION("""COMPUTED_VALUE"""),"Colombia")</f>
        <v>Colombia</v>
      </c>
      <c r="G1902" s="1" t="str">
        <f ca="1">IFERROR(__xludf.DUMMYFUNCTION("""COMPUTED_VALUE"""),"Second 109.24 Türkiye")</f>
        <v>Second 109.24 Türkiye</v>
      </c>
      <c r="H1902" s="1" t="str">
        <f ca="1">IFERROR(__xludf.DUMMYFUNCTION("""COMPUTED_VALUE"""),"Human Rights Defenders")</f>
        <v>Human Rights Defenders</v>
      </c>
      <c r="I1902" s="1" t="str">
        <f ca="1">IFERROR(__xludf.DUMMYFUNCTION("""COMPUTED_VALUE"""),"2025")</f>
        <v>2025</v>
      </c>
      <c r="J1902" s="1" t="str">
        <f ca="1">IFERROR(__xludf.DUMMYFUNCTION("""COMPUTED_VALUE"""),"Email")</f>
        <v>Email</v>
      </c>
    </row>
    <row r="1903" spans="1:10" ht="13" x14ac:dyDescent="0.15">
      <c r="A1903" s="4">
        <f ca="1">IFERROR(__xludf.DUMMYFUNCTION("""COMPUTED_VALUE"""),252647783)</f>
        <v>252647783</v>
      </c>
      <c r="B1903" s="1" t="str">
        <f ca="1">IFERROR(__xludf.DUMMYFUNCTION("""COMPUTED_VALUE"""),"cubalake1222@gmail.com")</f>
        <v>cubalake1222@gmail.com</v>
      </c>
      <c r="C1903" s="4" t="str">
        <f ca="1">IFERROR(__xludf.DUMMYFUNCTION("""COMPUTED_VALUE"""),"EVERGREEN - UAN Gated Content - Embedded Petition")</f>
        <v>EVERGREEN - UAN Gated Content - Embedded Petition</v>
      </c>
      <c r="D1903" s="5">
        <f ca="1">IFERROR(__xludf.DUMMYFUNCTION("""COMPUTED_VALUE"""),45635)</f>
        <v>45635</v>
      </c>
      <c r="F1903" s="1" t="str">
        <f ca="1">IFERROR(__xludf.DUMMYFUNCTION("""COMPUTED_VALUE"""),"Turkiye")</f>
        <v>Turkiye</v>
      </c>
      <c r="G1903" s="1" t="str">
        <f ca="1">IFERROR(__xludf.DUMMYFUNCTION("""COMPUTED_VALUE"""),"6.25 Iran")</f>
        <v>6.25 Iran</v>
      </c>
      <c r="H1903" s="1" t="str">
        <f ca="1">IFERROR(__xludf.DUMMYFUNCTION("""COMPUTED_VALUE"""),"Death Penalty, Freedom of Expression, Individuals At Risk")</f>
        <v>Death Penalty, Freedom of Expression, Individuals At Risk</v>
      </c>
      <c r="I1903" s="1" t="str">
        <f ca="1">IFERROR(__xludf.DUMMYFUNCTION("""COMPUTED_VALUE"""),"2025")</f>
        <v>2025</v>
      </c>
      <c r="J1903" s="1" t="str">
        <f ca="1">IFERROR(__xludf.DUMMYFUNCTION("""COMPUTED_VALUE"""),"Email")</f>
        <v>Email</v>
      </c>
    </row>
    <row r="1904" spans="1:10" ht="13" x14ac:dyDescent="0.15">
      <c r="A1904" s="4">
        <f ca="1">IFERROR(__xludf.DUMMYFUNCTION("""COMPUTED_VALUE"""),252647783)</f>
        <v>252647783</v>
      </c>
      <c r="B1904" s="1" t="str">
        <f ca="1">IFERROR(__xludf.DUMMYFUNCTION("""COMPUTED_VALUE"""),"cubalake1222@gmail.com")</f>
        <v>cubalake1222@gmail.com</v>
      </c>
      <c r="C1904" s="4" t="str">
        <f ca="1">IFERROR(__xludf.DUMMYFUNCTION("""COMPUTED_VALUE"""),"EVERGREEN - UAN Gated Content - Embedded Petition")</f>
        <v>EVERGREEN - UAN Gated Content - Embedded Petition</v>
      </c>
      <c r="D1904" s="5">
        <f ca="1">IFERROR(__xludf.DUMMYFUNCTION("""COMPUTED_VALUE"""),45642)</f>
        <v>45642</v>
      </c>
      <c r="F1904" s="1" t="str">
        <f ca="1">IFERROR(__xludf.DUMMYFUNCTION("""COMPUTED_VALUE"""),"Iran")</f>
        <v>Iran</v>
      </c>
      <c r="G1904" s="1" t="str">
        <f ca="1">IFERROR(__xludf.DUMMYFUNCTION("""COMPUTED_VALUE"""),"Second 76.24 Tunisia")</f>
        <v>Second 76.24 Tunisia</v>
      </c>
      <c r="H1904" s="1" t="str">
        <f ca="1">IFERROR(__xludf.DUMMYFUNCTION("""COMPUTED_VALUE"""),"Freedom of Expression, Human Rights Defenders")</f>
        <v>Freedom of Expression, Human Rights Defenders</v>
      </c>
      <c r="I1904" s="1" t="str">
        <f ca="1">IFERROR(__xludf.DUMMYFUNCTION("""COMPUTED_VALUE"""),"2025")</f>
        <v>2025</v>
      </c>
      <c r="J1904" s="1" t="str">
        <f ca="1">IFERROR(__xludf.DUMMYFUNCTION("""COMPUTED_VALUE"""),"Email")</f>
        <v>Email</v>
      </c>
    </row>
    <row r="1905" spans="1:10" ht="13" x14ac:dyDescent="0.15">
      <c r="A1905" s="4">
        <f ca="1">IFERROR(__xludf.DUMMYFUNCTION("""COMPUTED_VALUE"""),252756498)</f>
        <v>252756498</v>
      </c>
      <c r="B1905" s="1" t="str">
        <f ca="1">IFERROR(__xludf.DUMMYFUNCTION("""COMPUTED_VALUE"""),"debbieam@charter.net")</f>
        <v>debbieam@charter.net</v>
      </c>
      <c r="C1905" s="4" t="str">
        <f ca="1">IFERROR(__xludf.DUMMYFUNCTION("""COMPUTED_VALUE"""),"EVERGREEN - UAN Gated Content - Embedded Petition")</f>
        <v>EVERGREEN - UAN Gated Content - Embedded Petition</v>
      </c>
      <c r="D1905" s="5">
        <f ca="1">IFERROR(__xludf.DUMMYFUNCTION("""COMPUTED_VALUE"""),45700)</f>
        <v>45700</v>
      </c>
      <c r="F1905" s="1" t="str">
        <f ca="1">IFERROR(__xludf.DUMMYFUNCTION("""COMPUTED_VALUE"""),"Tunisia")</f>
        <v>Tunisia</v>
      </c>
      <c r="G1905" s="1" t="str">
        <f ca="1">IFERROR(__xludf.DUMMYFUNCTION("""COMPUTED_VALUE"""),"Seventh 103.22 Iran")</f>
        <v>Seventh 103.22 Iran</v>
      </c>
      <c r="H1905" s="1" t="str">
        <f ca="1">IFERROR(__xludf.DUMMYFUNCTION("""COMPUTED_VALUE"""),"Death Penalty, Freedom of Expression, Individuals At Risk")</f>
        <v>Death Penalty, Freedom of Expression, Individuals At Risk</v>
      </c>
      <c r="I1905" s="1" t="str">
        <f ca="1">IFERROR(__xludf.DUMMYFUNCTION("""COMPUTED_VALUE"""),"2024")</f>
        <v>2024</v>
      </c>
      <c r="J1905" s="1" t="str">
        <f ca="1">IFERROR(__xludf.DUMMYFUNCTION("""COMPUTED_VALUE"""),"Email")</f>
        <v>Email</v>
      </c>
    </row>
    <row r="1906" spans="1:10" ht="13" x14ac:dyDescent="0.15">
      <c r="A1906" s="4">
        <f ca="1">IFERROR(__xludf.DUMMYFUNCTION("""COMPUTED_VALUE"""),253032817)</f>
        <v>253032817</v>
      </c>
      <c r="B1906" s="1" t="str">
        <f ca="1">IFERROR(__xludf.DUMMYFUNCTION("""COMPUTED_VALUE"""),"felixmosesmakola@gmail.com")</f>
        <v>felixmosesmakola@gmail.com</v>
      </c>
      <c r="C1906" s="4" t="str">
        <f ca="1">IFERROR(__xludf.DUMMYFUNCTION("""COMPUTED_VALUE"""),"EVERGREEN - UAN Gated Content - Embedded Petition")</f>
        <v>EVERGREEN - UAN Gated Content - Embedded Petition</v>
      </c>
      <c r="D1906" s="5">
        <f ca="1">IFERROR(__xludf.DUMMYFUNCTION("""COMPUTED_VALUE"""),45699)</f>
        <v>45699</v>
      </c>
      <c r="F1906" s="1" t="str">
        <f ca="1">IFERROR(__xludf.DUMMYFUNCTION("""COMPUTED_VALUE"""),"Iran")</f>
        <v>Iran</v>
      </c>
      <c r="G1906" s="1" t="str">
        <f ca="1">IFERROR(__xludf.DUMMYFUNCTION("""COMPUTED_VALUE"""),"Third 73.23 Egypt")</f>
        <v>Third 73.23 Egypt</v>
      </c>
      <c r="H1906" s="1" t="str">
        <f ca="1">IFERROR(__xludf.DUMMYFUNCTION("""COMPUTED_VALUE"""),"Individuals At Risk")</f>
        <v>Individuals At Risk</v>
      </c>
      <c r="I1906" s="1" t="str">
        <f ca="1">IFERROR(__xludf.DUMMYFUNCTION("""COMPUTED_VALUE"""),"2024")</f>
        <v>2024</v>
      </c>
      <c r="J1906" s="1" t="str">
        <f ca="1">IFERROR(__xludf.DUMMYFUNCTION("""COMPUTED_VALUE"""),"Email")</f>
        <v>Email</v>
      </c>
    </row>
    <row r="1907" spans="1:10" ht="13" x14ac:dyDescent="0.15">
      <c r="A1907" s="4">
        <f ca="1">IFERROR(__xludf.DUMMYFUNCTION("""COMPUTED_VALUE"""),253032817)</f>
        <v>253032817</v>
      </c>
      <c r="B1907" s="1" t="str">
        <f ca="1">IFERROR(__xludf.DUMMYFUNCTION("""COMPUTED_VALUE"""),"felixmosesmakola@gmail.com")</f>
        <v>felixmosesmakola@gmail.com</v>
      </c>
      <c r="C1907" s="4" t="str">
        <f ca="1">IFERROR(__xludf.DUMMYFUNCTION("""COMPUTED_VALUE"""),"EVERGREEN - UAN Gated Content - Embedded Petition")</f>
        <v>EVERGREEN - UAN Gated Content - Embedded Petition</v>
      </c>
      <c r="D1907" s="5">
        <f ca="1">IFERROR(__xludf.DUMMYFUNCTION("""COMPUTED_VALUE"""),45624)</f>
        <v>45624</v>
      </c>
      <c r="F1907" s="1" t="str">
        <f ca="1">IFERROR(__xludf.DUMMYFUNCTION("""COMPUTED_VALUE"""),"Egypt")</f>
        <v>Egypt</v>
      </c>
      <c r="G1907" s="1" t="str">
        <f ca="1">IFERROR(__xludf.DUMMYFUNCTION("""COMPUTED_VALUE"""),"109.24 Türkiye")</f>
        <v>109.24 Türkiye</v>
      </c>
      <c r="H1907" s="1" t="str">
        <f ca="1">IFERROR(__xludf.DUMMYFUNCTION("""COMPUTED_VALUE"""),"Human Rights Defenders, Individuals At Risk")</f>
        <v>Human Rights Defenders, Individuals At Risk</v>
      </c>
      <c r="I1907" s="1" t="str">
        <f ca="1">IFERROR(__xludf.DUMMYFUNCTION("""COMPUTED_VALUE"""),"2024")</f>
        <v>2024</v>
      </c>
      <c r="J1907" s="1" t="str">
        <f ca="1">IFERROR(__xludf.DUMMYFUNCTION("""COMPUTED_VALUE"""),"Email")</f>
        <v>Email</v>
      </c>
    </row>
    <row r="1908" spans="1:10" ht="13" x14ac:dyDescent="0.15">
      <c r="A1908" s="4">
        <f ca="1">IFERROR(__xludf.DUMMYFUNCTION("""COMPUTED_VALUE"""),253032817)</f>
        <v>253032817</v>
      </c>
      <c r="B1908" s="1" t="str">
        <f ca="1">IFERROR(__xludf.DUMMYFUNCTION("""COMPUTED_VALUE"""),"felixmosesmakola@gmail.com")</f>
        <v>felixmosesmakola@gmail.com</v>
      </c>
      <c r="C1908" s="4" t="str">
        <f ca="1">IFERROR(__xludf.DUMMYFUNCTION("""COMPUTED_VALUE"""),"EVERGREEN - UAN Gated Content - Embedded Petition")</f>
        <v>EVERGREEN - UAN Gated Content - Embedded Petition</v>
      </c>
      <c r="D1908" s="5">
        <f ca="1">IFERROR(__xludf.DUMMYFUNCTION("""COMPUTED_VALUE"""),45624)</f>
        <v>45624</v>
      </c>
      <c r="F1908" s="1" t="str">
        <f ca="1">IFERROR(__xludf.DUMMYFUNCTION("""COMPUTED_VALUE"""),"Turkiye")</f>
        <v>Turkiye</v>
      </c>
      <c r="G1908" s="1" t="str">
        <f ca="1">IFERROR(__xludf.DUMMYFUNCTION("""COMPUTED_VALUE"""),"103.24 Niger")</f>
        <v>103.24 Niger</v>
      </c>
      <c r="H1908" s="1" t="str">
        <f ca="1">IFERROR(__xludf.DUMMYFUNCTION("""COMPUTED_VALUE"""),"Freedom of Expression, Human Rights Defenders")</f>
        <v>Freedom of Expression, Human Rights Defenders</v>
      </c>
      <c r="I1908" s="1" t="str">
        <f ca="1">IFERROR(__xludf.DUMMYFUNCTION("""COMPUTED_VALUE"""),"2024")</f>
        <v>2024</v>
      </c>
      <c r="J1908" s="1" t="str">
        <f ca="1">IFERROR(__xludf.DUMMYFUNCTION("""COMPUTED_VALUE"""),"Email")</f>
        <v>Email</v>
      </c>
    </row>
    <row r="1909" spans="1:10" ht="13" x14ac:dyDescent="0.15">
      <c r="A1909" s="4">
        <f ca="1">IFERROR(__xludf.DUMMYFUNCTION("""COMPUTED_VALUE"""),253032817)</f>
        <v>253032817</v>
      </c>
      <c r="B1909" s="1" t="str">
        <f ca="1">IFERROR(__xludf.DUMMYFUNCTION("""COMPUTED_VALUE"""),"felixmosesmakola@gmail.com")</f>
        <v>felixmosesmakola@gmail.com</v>
      </c>
      <c r="C1909" s="4" t="str">
        <f ca="1">IFERROR(__xludf.DUMMYFUNCTION("""COMPUTED_VALUE"""),"EVERGREEN - Website Email Capture Form - UAN Pre-Footer")</f>
        <v>EVERGREEN - Website Email Capture Form - UAN Pre-Footer</v>
      </c>
      <c r="D1909" s="5">
        <f ca="1">IFERROR(__xludf.DUMMYFUNCTION("""COMPUTED_VALUE"""),45699)</f>
        <v>45699</v>
      </c>
      <c r="F1909" s="1" t="str">
        <f ca="1">IFERROR(__xludf.DUMMYFUNCTION("""COMPUTED_VALUE"""),"Niger")</f>
        <v>Niger</v>
      </c>
      <c r="G1909" s="1" t="str">
        <f ca="1">IFERROR(__xludf.DUMMYFUNCTION("""COMPUTED_VALUE"""),"Second 43.24 Tunisia")</f>
        <v>Second 43.24 Tunisia</v>
      </c>
      <c r="H1909" s="1" t="str">
        <f ca="1">IFERROR(__xludf.DUMMYFUNCTION("""COMPUTED_VALUE"""),"Freedom of Expression, Individuals At Risk")</f>
        <v>Freedom of Expression, Individuals At Risk</v>
      </c>
      <c r="I1909" s="1" t="str">
        <f ca="1">IFERROR(__xludf.DUMMYFUNCTION("""COMPUTED_VALUE"""),"2024")</f>
        <v>2024</v>
      </c>
      <c r="J1909" s="1" t="str">
        <f ca="1">IFERROR(__xludf.DUMMYFUNCTION("""COMPUTED_VALUE"""),"Email")</f>
        <v>Email</v>
      </c>
    </row>
    <row r="1910" spans="1:10" ht="13" x14ac:dyDescent="0.15">
      <c r="A1910" s="4">
        <f ca="1">IFERROR(__xludf.DUMMYFUNCTION("""COMPUTED_VALUE"""),253032817)</f>
        <v>253032817</v>
      </c>
      <c r="B1910" s="1" t="str">
        <f ca="1">IFERROR(__xludf.DUMMYFUNCTION("""COMPUTED_VALUE"""),"felixmosesmakola@gmail.com")</f>
        <v>felixmosesmakola@gmail.com</v>
      </c>
      <c r="C1910" s="4" t="str">
        <f ca="1">IFERROR(__xludf.DUMMYFUNCTION("""COMPUTED_VALUE"""),"EVERGREEN - Website Email Capture Form - UAN Pre-Footer")</f>
        <v>EVERGREEN - Website Email Capture Form - UAN Pre-Footer</v>
      </c>
      <c r="D1910" s="5">
        <f ca="1">IFERROR(__xludf.DUMMYFUNCTION("""COMPUTED_VALUE"""),45678)</f>
        <v>45678</v>
      </c>
      <c r="F1910" s="1" t="str">
        <f ca="1">IFERROR(__xludf.DUMMYFUNCTION("""COMPUTED_VALUE"""),"Tunisia")</f>
        <v>Tunisia</v>
      </c>
      <c r="G1910" s="1" t="str">
        <f ca="1">IFERROR(__xludf.DUMMYFUNCTION("""COMPUTED_VALUE"""),"106.24 China")</f>
        <v>106.24 China</v>
      </c>
      <c r="H1910" s="1" t="str">
        <f ca="1">IFERROR(__xludf.DUMMYFUNCTION("""COMPUTED_VALUE"""),"Freedom of Expression, Individuals At Risk")</f>
        <v>Freedom of Expression, Individuals At Risk</v>
      </c>
      <c r="I1910" s="1" t="str">
        <f ca="1">IFERROR(__xludf.DUMMYFUNCTION("""COMPUTED_VALUE"""),"2024")</f>
        <v>2024</v>
      </c>
      <c r="J1910" s="1" t="str">
        <f ca="1">IFERROR(__xludf.DUMMYFUNCTION("""COMPUTED_VALUE"""),"Email")</f>
        <v>Email</v>
      </c>
    </row>
    <row r="1911" spans="1:10" ht="13" x14ac:dyDescent="0.15">
      <c r="A1911" s="4">
        <f ca="1">IFERROR(__xludf.DUMMYFUNCTION("""COMPUTED_VALUE"""),254345406)</f>
        <v>254345406</v>
      </c>
      <c r="B1911" s="1" t="str">
        <f ca="1">IFERROR(__xludf.DUMMYFUNCTION("""COMPUTED_VALUE"""),"davidabrunetti1@gmail.com")</f>
        <v>davidabrunetti1@gmail.com</v>
      </c>
      <c r="C1911" s="4" t="str">
        <f ca="1">IFERROR(__xludf.DUMMYFUNCTION("""COMPUTED_VALUE"""),"EVERGREEN - UAN Gated Content - Embedded Petition")</f>
        <v>EVERGREEN - UAN Gated Content - Embedded Petition</v>
      </c>
      <c r="D1911" s="5">
        <f ca="1">IFERROR(__xludf.DUMMYFUNCTION("""COMPUTED_VALUE"""),45672)</f>
        <v>45672</v>
      </c>
      <c r="F1911" s="1" t="str">
        <f ca="1">IFERROR(__xludf.DUMMYFUNCTION("""COMPUTED_VALUE"""),"China")</f>
        <v>China</v>
      </c>
      <c r="G1911" s="1" t="str">
        <f ca="1">IFERROR(__xludf.DUMMYFUNCTION("""COMPUTED_VALUE"""),"107.24 Singapore")</f>
        <v>107.24 Singapore</v>
      </c>
      <c r="H1911" s="1" t="str">
        <f ca="1">IFERROR(__xludf.DUMMYFUNCTION("""COMPUTED_VALUE"""),"Death Penalty")</f>
        <v>Death Penalty</v>
      </c>
      <c r="I1911" s="1" t="str">
        <f ca="1">IFERROR(__xludf.DUMMYFUNCTION("""COMPUTED_VALUE"""),"2024")</f>
        <v>2024</v>
      </c>
      <c r="J1911" s="1" t="str">
        <f ca="1">IFERROR(__xludf.DUMMYFUNCTION("""COMPUTED_VALUE"""),"Email")</f>
        <v>Email</v>
      </c>
    </row>
    <row r="1912" spans="1:10" ht="13" x14ac:dyDescent="0.15">
      <c r="A1912" s="4">
        <f ca="1">IFERROR(__xludf.DUMMYFUNCTION("""COMPUTED_VALUE"""),254345406)</f>
        <v>254345406</v>
      </c>
      <c r="B1912" s="1" t="str">
        <f ca="1">IFERROR(__xludf.DUMMYFUNCTION("""COMPUTED_VALUE"""),"davidabrunetti1@gmail.com")</f>
        <v>davidabrunetti1@gmail.com</v>
      </c>
      <c r="C1912" s="4" t="str">
        <f ca="1">IFERROR(__xludf.DUMMYFUNCTION("""COMPUTED_VALUE"""),"EVERGREEN - UAN Gated Content - Embedded Petition")</f>
        <v>EVERGREEN - UAN Gated Content - Embedded Petition</v>
      </c>
      <c r="D1912" s="5">
        <f ca="1">IFERROR(__xludf.DUMMYFUNCTION("""COMPUTED_VALUE"""),45672)</f>
        <v>45672</v>
      </c>
      <c r="F1912" s="1" t="str">
        <f ca="1">IFERROR(__xludf.DUMMYFUNCTION("""COMPUTED_VALUE"""),"Singapore")</f>
        <v>Singapore</v>
      </c>
      <c r="G1912" s="1" t="str">
        <f ca="1">IFERROR(__xludf.DUMMYFUNCTION("""COMPUTED_VALUE"""),"Fourth 29.23 Egypt")</f>
        <v>Fourth 29.23 Egypt</v>
      </c>
      <c r="H1912" s="1" t="str">
        <f ca="1">IFERROR(__xludf.DUMMYFUNCTION("""COMPUTED_VALUE"""),"Freedom of Expression, Individuals At Risk, Right to Protest")</f>
        <v>Freedom of Expression, Individuals At Risk, Right to Protest</v>
      </c>
      <c r="I1912" s="1" t="str">
        <f ca="1">IFERROR(__xludf.DUMMYFUNCTION("""COMPUTED_VALUE"""),"2024")</f>
        <v>2024</v>
      </c>
      <c r="J1912" s="1" t="str">
        <f ca="1">IFERROR(__xludf.DUMMYFUNCTION("""COMPUTED_VALUE"""),"Email")</f>
        <v>Email</v>
      </c>
    </row>
    <row r="1913" spans="1:10" ht="13" x14ac:dyDescent="0.15">
      <c r="A1913" s="4">
        <f ca="1">IFERROR(__xludf.DUMMYFUNCTION("""COMPUTED_VALUE"""),254475090)</f>
        <v>254475090</v>
      </c>
      <c r="B1913" s="1" t="str">
        <f ca="1">IFERROR(__xludf.DUMMYFUNCTION("""COMPUTED_VALUE"""),"leesds1984@gmail.com")</f>
        <v>leesds1984@gmail.com</v>
      </c>
      <c r="C1913" s="4" t="str">
        <f ca="1">IFERROR(__xludf.DUMMYFUNCTION("""COMPUTED_VALUE"""),"EVERGREEN - UAN Gated Content - Embedded Petition")</f>
        <v>EVERGREEN - UAN Gated Content - Embedded Petition</v>
      </c>
      <c r="D1913" s="5">
        <f ca="1">IFERROR(__xludf.DUMMYFUNCTION("""COMPUTED_VALUE"""),45694)</f>
        <v>45694</v>
      </c>
      <c r="F1913" s="1" t="str">
        <f ca="1">IFERROR(__xludf.DUMMYFUNCTION("""COMPUTED_VALUE"""),"Egypt")</f>
        <v>Egypt</v>
      </c>
      <c r="G1913" s="1" t="str">
        <f ca="1">IFERROR(__xludf.DUMMYFUNCTION("""COMPUTED_VALUE"""),"100.24 Uganda")</f>
        <v>100.24 Uganda</v>
      </c>
      <c r="H1913" s="1" t="str">
        <f ca="1">IFERROR(__xludf.DUMMYFUNCTION("""COMPUTED_VALUE"""),"Freedom of Expression")</f>
        <v>Freedom of Expression</v>
      </c>
      <c r="I1913" s="1" t="str">
        <f ca="1">IFERROR(__xludf.DUMMYFUNCTION("""COMPUTED_VALUE"""),"2024")</f>
        <v>2024</v>
      </c>
      <c r="J1913" s="1" t="str">
        <f ca="1">IFERROR(__xludf.DUMMYFUNCTION("""COMPUTED_VALUE"""),"Email")</f>
        <v>Email</v>
      </c>
    </row>
    <row r="1914" spans="1:10" ht="13" x14ac:dyDescent="0.15">
      <c r="A1914" s="4">
        <f ca="1">IFERROR(__xludf.DUMMYFUNCTION("""COMPUTED_VALUE"""),254561071)</f>
        <v>254561071</v>
      </c>
      <c r="B1914" s="1" t="str">
        <f ca="1">IFERROR(__xludf.DUMMYFUNCTION("""COMPUTED_VALUE"""),"annafrogacki@gmail.com")</f>
        <v>annafrogacki@gmail.com</v>
      </c>
      <c r="C1914" s="4" t="str">
        <f ca="1">IFERROR(__xludf.DUMMYFUNCTION("""COMPUTED_VALUE"""),"EVERGREEN - UAN Gated Content - Embedded Petition")</f>
        <v>EVERGREEN - UAN Gated Content - Embedded Petition</v>
      </c>
      <c r="D1914" s="5">
        <f ca="1">IFERROR(__xludf.DUMMYFUNCTION("""COMPUTED_VALUE"""),45680)</f>
        <v>45680</v>
      </c>
      <c r="F1914" s="1" t="str">
        <f ca="1">IFERROR(__xludf.DUMMYFUNCTION("""COMPUTED_VALUE"""),"Uganda")</f>
        <v>Uganda</v>
      </c>
      <c r="G1914" s="1" t="str">
        <f ca="1">IFERROR(__xludf.DUMMYFUNCTION("""COMPUTED_VALUE"""),"101.24 Iran")</f>
        <v>101.24 Iran</v>
      </c>
      <c r="H1914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1914" s="1" t="str">
        <f ca="1">IFERROR(__xludf.DUMMYFUNCTION("""COMPUTED_VALUE"""),"2024")</f>
        <v>2024</v>
      </c>
      <c r="J1914" s="1" t="str">
        <f ca="1">IFERROR(__xludf.DUMMYFUNCTION("""COMPUTED_VALUE"""),"Email")</f>
        <v>Email</v>
      </c>
    </row>
    <row r="1915" spans="1:10" ht="13" x14ac:dyDescent="0.15">
      <c r="A1915" s="4">
        <f ca="1">IFERROR(__xludf.DUMMYFUNCTION("""COMPUTED_VALUE"""),255094705)</f>
        <v>255094705</v>
      </c>
      <c r="B1915" s="1" t="str">
        <f ca="1">IFERROR(__xludf.DUMMYFUNCTION("""COMPUTED_VALUE"""),"karen@cielo-clan.com")</f>
        <v>karen@cielo-clan.com</v>
      </c>
      <c r="C1915" s="4" t="str">
        <f ca="1">IFERROR(__xludf.DUMMYFUNCTION("""COMPUTED_VALUE"""),"EVERGREEN - UAN Gated Content - Embedded Petition")</f>
        <v>EVERGREEN - UAN Gated Content - Embedded Petition</v>
      </c>
      <c r="D1915" s="5">
        <f ca="1">IFERROR(__xludf.DUMMYFUNCTION("""COMPUTED_VALUE"""),45689)</f>
        <v>45689</v>
      </c>
      <c r="F1915" s="1" t="str">
        <f ca="1">IFERROR(__xludf.DUMMYFUNCTION("""COMPUTED_VALUE"""),"Iran")</f>
        <v>Iran</v>
      </c>
      <c r="G1915" s="1" t="str">
        <f ca="1">IFERROR(__xludf.DUMMYFUNCTION("""COMPUTED_VALUE"""),"98.24 China")</f>
        <v>98.24 China</v>
      </c>
      <c r="H1915" s="1" t="str">
        <f ca="1">IFERROR(__xludf.DUMMYFUNCTION("""COMPUTED_VALUE"""),"Freedom of Expression, Individuals At Risk")</f>
        <v>Freedom of Expression, Individuals At Risk</v>
      </c>
      <c r="I1915" s="1" t="str">
        <f ca="1">IFERROR(__xludf.DUMMYFUNCTION("""COMPUTED_VALUE"""),"2024")</f>
        <v>2024</v>
      </c>
      <c r="J1915" s="1" t="str">
        <f ca="1">IFERROR(__xludf.DUMMYFUNCTION("""COMPUTED_VALUE"""),"Letter")</f>
        <v>Letter</v>
      </c>
    </row>
    <row r="1916" spans="1:10" ht="13" x14ac:dyDescent="0.15">
      <c r="A1916" s="4">
        <f ca="1">IFERROR(__xludf.DUMMYFUNCTION("""COMPUTED_VALUE"""),255480793)</f>
        <v>255480793</v>
      </c>
      <c r="B1916" s="1" t="str">
        <f ca="1">IFERROR(__xludf.DUMMYFUNCTION("""COMPUTED_VALUE"""),"dianepaul475@gmail.com")</f>
        <v>dianepaul475@gmail.com</v>
      </c>
      <c r="C1916" s="4" t="str">
        <f ca="1">IFERROR(__xludf.DUMMYFUNCTION("""COMPUTED_VALUE"""),"EVERGREEN - UAN Gated Content - Embedded Petition")</f>
        <v>EVERGREEN - UAN Gated Content - Embedded Petition</v>
      </c>
      <c r="D1916" s="5">
        <f ca="1">IFERROR(__xludf.DUMMYFUNCTION("""COMPUTED_VALUE"""),45638)</f>
        <v>45638</v>
      </c>
      <c r="F1916" s="1" t="str">
        <f ca="1">IFERROR(__xludf.DUMMYFUNCTION("""COMPUTED_VALUE"""),"China")</f>
        <v>China</v>
      </c>
      <c r="G1916" s="1" t="str">
        <f ca="1">IFERROR(__xludf.DUMMYFUNCTION("""COMPUTED_VALUE"""),"Ninth 190.18 Egypt")</f>
        <v>Ninth 190.18 Egypt</v>
      </c>
      <c r="H1916" s="1" t="str">
        <f ca="1">IFERROR(__xludf.DUMMYFUNCTION("""COMPUTED_VALUE"""),"Freedom of Expression, Individuals At Risk")</f>
        <v>Freedom of Expression, Individuals At Risk</v>
      </c>
      <c r="I1916" s="1" t="str">
        <f ca="1">IFERROR(__xludf.DUMMYFUNCTION("""COMPUTED_VALUE"""),"2024")</f>
        <v>2024</v>
      </c>
      <c r="J1916" s="1" t="str">
        <f ca="1">IFERROR(__xludf.DUMMYFUNCTION("""COMPUTED_VALUE"""),"Letter")</f>
        <v>Letter</v>
      </c>
    </row>
    <row r="1917" spans="1:10" ht="13" x14ac:dyDescent="0.15">
      <c r="A1917" s="4">
        <f ca="1">IFERROR(__xludf.DUMMYFUNCTION("""COMPUTED_VALUE"""),255647411)</f>
        <v>255647411</v>
      </c>
      <c r="B1917" s="1" t="str">
        <f ca="1">IFERROR(__xludf.DUMMYFUNCTION("""COMPUTED_VALUE"""),"bryan@4sitestudios.com")</f>
        <v>bryan@4sitestudios.com</v>
      </c>
      <c r="C1917" s="4" t="str">
        <f ca="1">IFERROR(__xludf.DUMMYFUNCTION("""COMPUTED_VALUE"""),"EVERGREEN - UAN Gated Content - Embedded Petition")</f>
        <v>EVERGREEN - UAN Gated Content - Embedded Petition</v>
      </c>
      <c r="D1917" s="5">
        <f ca="1">IFERROR(__xludf.DUMMYFUNCTION("""COMPUTED_VALUE"""),45497)</f>
        <v>45497</v>
      </c>
      <c r="F1917" s="1" t="str">
        <f ca="1">IFERROR(__xludf.DUMMYFUNCTION("""COMPUTED_VALUE"""),"Egypt")</f>
        <v>Egypt</v>
      </c>
      <c r="G1917" s="1" t="str">
        <f ca="1">IFERROR(__xludf.DUMMYFUNCTION("""COMPUTED_VALUE"""),"Second 85.23 Saudi Arabia")</f>
        <v>Second 85.23 Saudi Arabia</v>
      </c>
      <c r="H1917" s="1" t="str">
        <f ca="1">IFERROR(__xludf.DUMMYFUNCTION("""COMPUTED_VALUE"""),"Freedom of Expression")</f>
        <v>Freedom of Expression</v>
      </c>
      <c r="I1917" s="1" t="str">
        <f ca="1">IFERROR(__xludf.DUMMYFUNCTION("""COMPUTED_VALUE"""),"2024")</f>
        <v>2024</v>
      </c>
      <c r="J1917" s="1" t="str">
        <f ca="1">IFERROR(__xludf.DUMMYFUNCTION("""COMPUTED_VALUE"""),"Letter")</f>
        <v>Letter</v>
      </c>
    </row>
    <row r="1918" spans="1:10" ht="13" x14ac:dyDescent="0.15">
      <c r="A1918" s="4">
        <f ca="1">IFERROR(__xludf.DUMMYFUNCTION("""COMPUTED_VALUE"""),255647411)</f>
        <v>255647411</v>
      </c>
      <c r="B1918" s="1" t="str">
        <f ca="1">IFERROR(__xludf.DUMMYFUNCTION("""COMPUTED_VALUE"""),"bryan@4sitestudios.com")</f>
        <v>bryan@4sitestudios.com</v>
      </c>
      <c r="C1918" s="4" t="str">
        <f ca="1">IFERROR(__xludf.DUMMYFUNCTION("""COMPUTED_VALUE"""),"EVERGREEN - UAN Gated Content - Embedded Petition")</f>
        <v>EVERGREEN - UAN Gated Content - Embedded Petition</v>
      </c>
      <c r="D1918" s="5">
        <f ca="1">IFERROR(__xludf.DUMMYFUNCTION("""COMPUTED_VALUE"""),45497)</f>
        <v>45497</v>
      </c>
      <c r="F1918" s="1" t="str">
        <f ca="1">IFERROR(__xludf.DUMMYFUNCTION("""COMPUTED_VALUE"""),"Saudi Arabia")</f>
        <v>Saudi Arabia</v>
      </c>
      <c r="G1918" s="1" t="str">
        <f ca="1">IFERROR(__xludf.DUMMYFUNCTION("""COMPUTED_VALUE"""),"Second 85.24 Honduras")</f>
        <v>Second 85.24 Honduras</v>
      </c>
      <c r="H1918" s="1" t="str">
        <f ca="1">IFERROR(__xludf.DUMMYFUNCTION("""COMPUTED_VALUE"""),"Climate Justice, Human Rights Defenders, Right to Protest")</f>
        <v>Climate Justice, Human Rights Defenders, Right to Protest</v>
      </c>
      <c r="I1918" s="1" t="str">
        <f ca="1">IFERROR(__xludf.DUMMYFUNCTION("""COMPUTED_VALUE"""),"2024")</f>
        <v>2024</v>
      </c>
      <c r="J1918" s="1" t="str">
        <f ca="1">IFERROR(__xludf.DUMMYFUNCTION("""COMPUTED_VALUE"""),"Email")</f>
        <v>Email</v>
      </c>
    </row>
    <row r="1919" spans="1:10" ht="13" x14ac:dyDescent="0.15">
      <c r="A1919" s="4">
        <f ca="1">IFERROR(__xludf.DUMMYFUNCTION("""COMPUTED_VALUE"""),255647411)</f>
        <v>255647411</v>
      </c>
      <c r="B1919" s="1" t="str">
        <f ca="1">IFERROR(__xludf.DUMMYFUNCTION("""COMPUTED_VALUE"""),"bryan@4sitestudios.com")</f>
        <v>bryan@4sitestudios.com</v>
      </c>
      <c r="C1919" s="4" t="str">
        <f ca="1">IFERROR(__xludf.DUMMYFUNCTION("""COMPUTED_VALUE"""),"EVERGREEN - UAN Gated Content - Embedded Petition")</f>
        <v>EVERGREEN - UAN Gated Content - Embedded Petition</v>
      </c>
      <c r="D1919" s="5">
        <f ca="1">IFERROR(__xludf.DUMMYFUNCTION("""COMPUTED_VALUE"""),45497)</f>
        <v>45497</v>
      </c>
      <c r="F1919" s="1" t="str">
        <f ca="1">IFERROR(__xludf.DUMMYFUNCTION("""COMPUTED_VALUE"""),"Honduras")</f>
        <v>Honduras</v>
      </c>
      <c r="G1919" s="1" t="str">
        <f ca="1">IFERROR(__xludf.DUMMYFUNCTION("""COMPUTED_VALUE"""),"92.24 Mexico")</f>
        <v>92.24 Mexico</v>
      </c>
      <c r="H1919" s="1" t="str">
        <f ca="1">IFERROR(__xludf.DUMMYFUNCTION("""COMPUTED_VALUE"""),"Human Rights Defenders")</f>
        <v>Human Rights Defenders</v>
      </c>
      <c r="I1919" s="1" t="str">
        <f ca="1">IFERROR(__xludf.DUMMYFUNCTION("""COMPUTED_VALUE"""),"2024")</f>
        <v>2024</v>
      </c>
      <c r="J1919" s="1" t="str">
        <f ca="1">IFERROR(__xludf.DUMMYFUNCTION("""COMPUTED_VALUE"""),"Email")</f>
        <v>Email</v>
      </c>
    </row>
    <row r="1920" spans="1:10" ht="13" x14ac:dyDescent="0.15">
      <c r="A1920" s="4">
        <f ca="1">IFERROR(__xludf.DUMMYFUNCTION("""COMPUTED_VALUE"""),255647411)</f>
        <v>255647411</v>
      </c>
      <c r="B1920" s="1" t="str">
        <f ca="1">IFERROR(__xludf.DUMMYFUNCTION("""COMPUTED_VALUE"""),"bryan@4sitestudios.com")</f>
        <v>bryan@4sitestudios.com</v>
      </c>
      <c r="C1920" s="4" t="str">
        <f ca="1">IFERROR(__xludf.DUMMYFUNCTION("""COMPUTED_VALUE"""),"EVERGREEN - UAN Gated Content - Embedded Petition")</f>
        <v>EVERGREEN - UAN Gated Content - Embedded Petition</v>
      </c>
      <c r="D1920" s="5">
        <f ca="1">IFERROR(__xludf.DUMMYFUNCTION("""COMPUTED_VALUE"""),45497)</f>
        <v>45497</v>
      </c>
      <c r="F1920" s="1" t="str">
        <f ca="1">IFERROR(__xludf.DUMMYFUNCTION("""COMPUTED_VALUE"""),"Mexico")</f>
        <v>Mexico</v>
      </c>
      <c r="G1920" s="1" t="str">
        <f ca="1">IFERROR(__xludf.DUMMYFUNCTION("""COMPUTED_VALUE"""),"Fifth 257.12")</f>
        <v>Fifth 257.12</v>
      </c>
      <c r="H1920" s="1" t="str">
        <f ca="1">IFERROR(__xludf.DUMMYFUNCTION("""COMPUTED_VALUE"""),"Freedom of Expression, Human Rights Defenders")</f>
        <v>Freedom of Expression, Human Rights Defenders</v>
      </c>
      <c r="I1920" s="1" t="str">
        <f ca="1">IFERROR(__xludf.DUMMYFUNCTION("""COMPUTED_VALUE"""),"2025")</f>
        <v>2025</v>
      </c>
      <c r="J1920" s="1" t="str">
        <f ca="1">IFERROR(__xludf.DUMMYFUNCTION("""COMPUTED_VALUE"""),"Email")</f>
        <v>Email</v>
      </c>
    </row>
    <row r="1921" spans="1:10" ht="13" x14ac:dyDescent="0.15">
      <c r="A1921" s="4">
        <f ca="1">IFERROR(__xludf.DUMMYFUNCTION("""COMPUTED_VALUE"""),255647411)</f>
        <v>255647411</v>
      </c>
      <c r="B1921" s="1" t="str">
        <f ca="1">IFERROR(__xludf.DUMMYFUNCTION("""COMPUTED_VALUE"""),"bryan@4sitestudios.com")</f>
        <v>bryan@4sitestudios.com</v>
      </c>
      <c r="C1921" s="4" t="str">
        <f ca="1">IFERROR(__xludf.DUMMYFUNCTION("""COMPUTED_VALUE"""),"EVERGREEN - UAN Gated Content - Embedded Petition")</f>
        <v>EVERGREEN - UAN Gated Content - Embedded Petition</v>
      </c>
      <c r="D1921" s="5">
        <f ca="1">IFERROR(__xludf.DUMMYFUNCTION("""COMPUTED_VALUE"""),45495)</f>
        <v>45495</v>
      </c>
      <c r="F1921" s="1" t="str">
        <f ca="1">IFERROR(__xludf.DUMMYFUNCTION("""COMPUTED_VALUE"""),"Saudi Arabia")</f>
        <v>Saudi Arabia</v>
      </c>
      <c r="G1921" s="1" t="str">
        <f ca="1">IFERROR(__xludf.DUMMYFUNCTION("""COMPUTED_VALUE"""),"11.25 Afghanistan")</f>
        <v>11.25 Afghanistan</v>
      </c>
      <c r="H1921" s="1" t="str">
        <f ca="1">IFERROR(__xludf.DUMMYFUNCTION("""COMPUTED_VALUE"""),"Freedom of Expression, Health, Individuals At Risk")</f>
        <v>Freedom of Expression, Health, Individuals At Risk</v>
      </c>
      <c r="I1921" s="1" t="str">
        <f ca="1">IFERROR(__xludf.DUMMYFUNCTION("""COMPUTED_VALUE"""),"2025")</f>
        <v>2025</v>
      </c>
      <c r="J1921" s="1" t="str">
        <f ca="1">IFERROR(__xludf.DUMMYFUNCTION("""COMPUTED_VALUE"""),"Email")</f>
        <v>Email</v>
      </c>
    </row>
    <row r="1922" spans="1:10" ht="13" x14ac:dyDescent="0.15">
      <c r="A1922" s="4">
        <f ca="1">IFERROR(__xludf.DUMMYFUNCTION("""COMPUTED_VALUE"""),255647411)</f>
        <v>255647411</v>
      </c>
      <c r="B1922" s="1" t="str">
        <f ca="1">IFERROR(__xludf.DUMMYFUNCTION("""COMPUTED_VALUE"""),"bryan@4sitestudios.com")</f>
        <v>bryan@4sitestudios.com</v>
      </c>
      <c r="C1922" s="4" t="str">
        <f ca="1">IFERROR(__xludf.DUMMYFUNCTION("""COMPUTED_VALUE"""),"EVERGREEN - UAN Gated Content - Embedded Petition")</f>
        <v>EVERGREEN - UAN Gated Content - Embedded Petition</v>
      </c>
      <c r="D1922" s="5">
        <f ca="1">IFERROR(__xludf.DUMMYFUNCTION("""COMPUTED_VALUE"""),45497)</f>
        <v>45497</v>
      </c>
      <c r="F1922" s="1" t="str">
        <f ca="1">IFERROR(__xludf.DUMMYFUNCTION("""COMPUTED_VALUE"""),"Afghanistan")</f>
        <v>Afghanistan</v>
      </c>
      <c r="G1922" s="1" t="str">
        <f ca="1">IFERROR(__xludf.DUMMYFUNCTION("""COMPUTED_VALUE"""),"12.25 Libya")</f>
        <v>12.25 Libya</v>
      </c>
      <c r="H1922" s="1" t="str">
        <f ca="1">IFERROR(__xludf.DUMMYFUNCTION("""COMPUTED_VALUE"""),"Freedom of Expression, Health, Individuals At Risk")</f>
        <v>Freedom of Expression, Health, Individuals At Risk</v>
      </c>
      <c r="I1922" s="1" t="str">
        <f ca="1">IFERROR(__xludf.DUMMYFUNCTION("""COMPUTED_VALUE"""),"2025")</f>
        <v>2025</v>
      </c>
      <c r="J1922" s="1" t="str">
        <f ca="1">IFERROR(__xludf.DUMMYFUNCTION("""COMPUTED_VALUE"""),"Email")</f>
        <v>Email</v>
      </c>
    </row>
    <row r="1923" spans="1:10" ht="13" x14ac:dyDescent="0.15">
      <c r="A1923" s="4">
        <f ca="1">IFERROR(__xludf.DUMMYFUNCTION("""COMPUTED_VALUE"""),255647411)</f>
        <v>255647411</v>
      </c>
      <c r="B1923" s="1" t="str">
        <f ca="1">IFERROR(__xludf.DUMMYFUNCTION("""COMPUTED_VALUE"""),"bryan@4sitestudios.com")</f>
        <v>bryan@4sitestudios.com</v>
      </c>
      <c r="C1923" s="4" t="str">
        <f ca="1">IFERROR(__xludf.DUMMYFUNCTION("""COMPUTED_VALUE"""),"EVERGREEN - UAN Gated Content - Embedded Petition")</f>
        <v>EVERGREEN - UAN Gated Content - Embedded Petition</v>
      </c>
      <c r="D1923" s="5">
        <f ca="1">IFERROR(__xludf.DUMMYFUNCTION("""COMPUTED_VALUE"""),45495)</f>
        <v>45495</v>
      </c>
      <c r="F1923" s="1" t="str">
        <f ca="1">IFERROR(__xludf.DUMMYFUNCTION("""COMPUTED_VALUE"""),"Libya")</f>
        <v>Libya</v>
      </c>
      <c r="G1923" s="1" t="str">
        <f ca="1">IFERROR(__xludf.DUMMYFUNCTION("""COMPUTED_VALUE"""),"Second 80.23 Egypt")</f>
        <v>Second 80.23 Egypt</v>
      </c>
      <c r="H1923" s="1" t="str">
        <f ca="1">IFERROR(__xludf.DUMMYFUNCTION("""COMPUTED_VALUE"""),"Health, Individuals At Risk")</f>
        <v>Health, Individuals At Risk</v>
      </c>
      <c r="I1923" s="1" t="str">
        <f ca="1">IFERROR(__xludf.DUMMYFUNCTION("""COMPUTED_VALUE"""),"2025")</f>
        <v>2025</v>
      </c>
      <c r="J1923" s="1" t="str">
        <f ca="1">IFERROR(__xludf.DUMMYFUNCTION("""COMPUTED_VALUE"""),"Email")</f>
        <v>Email</v>
      </c>
    </row>
    <row r="1924" spans="1:10" ht="13" x14ac:dyDescent="0.15">
      <c r="A1924" s="4">
        <f ca="1">IFERROR(__xludf.DUMMYFUNCTION("""COMPUTED_VALUE"""),255647411)</f>
        <v>255647411</v>
      </c>
      <c r="B1924" s="1" t="str">
        <f ca="1">IFERROR(__xludf.DUMMYFUNCTION("""COMPUTED_VALUE"""),"bryan@4sitestudios.com")</f>
        <v>bryan@4sitestudios.com</v>
      </c>
      <c r="C1924" s="4" t="str">
        <f ca="1">IFERROR(__xludf.DUMMYFUNCTION("""COMPUTED_VALUE"""),"EVERGREEN - UAN Gated Content - Embedded Petition")</f>
        <v>EVERGREEN - UAN Gated Content - Embedded Petition</v>
      </c>
      <c r="D1924" s="5">
        <f ca="1">IFERROR(__xludf.DUMMYFUNCTION("""COMPUTED_VALUE"""),45496)</f>
        <v>45496</v>
      </c>
      <c r="F1924" s="1" t="str">
        <f ca="1">IFERROR(__xludf.DUMMYFUNCTION("""COMPUTED_VALUE"""),"Egypt")</f>
        <v>Egypt</v>
      </c>
      <c r="G1924" s="1" t="str">
        <f ca="1">IFERROR(__xludf.DUMMYFUNCTION("""COMPUTED_VALUE"""),"10.25 Iran")</f>
        <v>10.25 Iran</v>
      </c>
      <c r="H1924" s="1" t="str">
        <f ca="1">IFERROR(__xludf.DUMMYFUNCTION("""COMPUTED_VALUE"""),"Death Penalty, Individuals At Risk")</f>
        <v>Death Penalty, Individuals At Risk</v>
      </c>
      <c r="I1924" s="1" t="str">
        <f ca="1">IFERROR(__xludf.DUMMYFUNCTION("""COMPUTED_VALUE"""),"2025")</f>
        <v>2025</v>
      </c>
      <c r="J1924" s="1" t="str">
        <f ca="1">IFERROR(__xludf.DUMMYFUNCTION("""COMPUTED_VALUE"""),"Email")</f>
        <v>Email</v>
      </c>
    </row>
    <row r="1925" spans="1:10" ht="13" x14ac:dyDescent="0.15">
      <c r="A1925" s="4">
        <f ca="1">IFERROR(__xludf.DUMMYFUNCTION("""COMPUTED_VALUE"""),255647411)</f>
        <v>255647411</v>
      </c>
      <c r="B1925" s="1" t="str">
        <f ca="1">IFERROR(__xludf.DUMMYFUNCTION("""COMPUTED_VALUE"""),"bryan@4sitestudios.com")</f>
        <v>bryan@4sitestudios.com</v>
      </c>
      <c r="C1925" s="4" t="str">
        <f ca="1">IFERROR(__xludf.DUMMYFUNCTION("""COMPUTED_VALUE"""),"EVERGREEN - UAN Gated Content - Embedded Petition")</f>
        <v>EVERGREEN - UAN Gated Content - Embedded Petition</v>
      </c>
      <c r="D1925" s="5">
        <f ca="1">IFERROR(__xludf.DUMMYFUNCTION("""COMPUTED_VALUE"""),45567)</f>
        <v>45567</v>
      </c>
      <c r="F1925" s="1" t="str">
        <f ca="1">IFERROR(__xludf.DUMMYFUNCTION("""COMPUTED_VALUE"""),"Iran")</f>
        <v>Iran</v>
      </c>
      <c r="G1925" s="1" t="str">
        <f ca="1">IFERROR(__xludf.DUMMYFUNCTION("""COMPUTED_VALUE"""),"88.24 Dominican Republic")</f>
        <v>88.24 Dominican Republic</v>
      </c>
      <c r="H1925" s="1" t="str">
        <f ca="1">IFERROR(__xludf.DUMMYFUNCTION("""COMPUTED_VALUE"""),"Individuals At Risk, Refugee and Migrant Rights")</f>
        <v>Individuals At Risk, Refugee and Migrant Rights</v>
      </c>
      <c r="I1925" s="1" t="str">
        <f ca="1">IFERROR(__xludf.DUMMYFUNCTION("""COMPUTED_VALUE"""),"2024")</f>
        <v>2024</v>
      </c>
      <c r="J1925" s="1" t="str">
        <f ca="1">IFERROR(__xludf.DUMMYFUNCTION("""COMPUTED_VALUE"""),"Letter")</f>
        <v>Letter</v>
      </c>
    </row>
    <row r="1926" spans="1:10" ht="13" x14ac:dyDescent="0.15">
      <c r="A1926" s="4">
        <f ca="1">IFERROR(__xludf.DUMMYFUNCTION("""COMPUTED_VALUE"""),255647411)</f>
        <v>255647411</v>
      </c>
      <c r="B1926" s="1" t="str">
        <f ca="1">IFERROR(__xludf.DUMMYFUNCTION("""COMPUTED_VALUE"""),"bryan@4sitestudios.com")</f>
        <v>bryan@4sitestudios.com</v>
      </c>
      <c r="C1926" s="4" t="str">
        <f ca="1">IFERROR(__xludf.DUMMYFUNCTION("""COMPUTED_VALUE"""),"EVERGREEN - UAN Gated Content - Embedded Petition")</f>
        <v>EVERGREEN - UAN Gated Content - Embedded Petition</v>
      </c>
      <c r="D1926" s="5">
        <f ca="1">IFERROR(__xludf.DUMMYFUNCTION("""COMPUTED_VALUE"""),45496)</f>
        <v>45496</v>
      </c>
      <c r="F1926" s="1" t="str">
        <f ca="1">IFERROR(__xludf.DUMMYFUNCTION("""COMPUTED_VALUE"""),"Dominican Republic")</f>
        <v>Dominican Republic</v>
      </c>
      <c r="G1926" s="1" t="str">
        <f ca="1">IFERROR(__xludf.DUMMYFUNCTION("""COMPUTED_VALUE"""),"4.25 USA")</f>
        <v>4.25 USA</v>
      </c>
      <c r="H1926" s="1" t="str">
        <f ca="1">IFERROR(__xludf.DUMMYFUNCTION("""COMPUTED_VALUE"""),"Individuals At Risk, Refugee and Migrant Rights")</f>
        <v>Individuals At Risk, Refugee and Migrant Rights</v>
      </c>
      <c r="I1926" s="1" t="str">
        <f ca="1">IFERROR(__xludf.DUMMYFUNCTION("""COMPUTED_VALUE"""),"2025")</f>
        <v>2025</v>
      </c>
      <c r="J1926" s="1" t="str">
        <f ca="1">IFERROR(__xludf.DUMMYFUNCTION("""COMPUTED_VALUE"""),"Letter")</f>
        <v>Letter</v>
      </c>
    </row>
    <row r="1927" spans="1:10" ht="13" x14ac:dyDescent="0.15">
      <c r="A1927" s="4">
        <f ca="1">IFERROR(__xludf.DUMMYFUNCTION("""COMPUTED_VALUE"""),255647411)</f>
        <v>255647411</v>
      </c>
      <c r="B1927" s="1" t="str">
        <f ca="1">IFERROR(__xludf.DUMMYFUNCTION("""COMPUTED_VALUE"""),"bryan@4sitestudios.com")</f>
        <v>bryan@4sitestudios.com</v>
      </c>
      <c r="C1927" s="4" t="str">
        <f ca="1">IFERROR(__xludf.DUMMYFUNCTION("""COMPUTED_VALUE"""),"EVERGREEN - UAN Gated Content - Embedded Petition")</f>
        <v>EVERGREEN - UAN Gated Content - Embedded Petition</v>
      </c>
      <c r="D1927" s="5">
        <f ca="1">IFERROR(__xludf.DUMMYFUNCTION("""COMPUTED_VALUE"""),45496)</f>
        <v>45496</v>
      </c>
      <c r="F1927" s="1" t="str">
        <f ca="1">IFERROR(__xludf.DUMMYFUNCTION("""COMPUTED_VALUE"""),"USA")</f>
        <v>USA</v>
      </c>
      <c r="G1927" s="1" t="str">
        <f ca="1">IFERROR(__xludf.DUMMYFUNCTION("""COMPUTED_VALUE"""),"3.25 IOPT")</f>
        <v>3.25 IOPT</v>
      </c>
      <c r="H1927" s="1" t="str">
        <f ca="1">IFERROR(__xludf.DUMMYFUNCTION("""COMPUTED_VALUE"""),"Freedom of Expression, Individuals At Risk")</f>
        <v>Freedom of Expression, Individuals At Risk</v>
      </c>
      <c r="I1927" s="1" t="str">
        <f ca="1">IFERROR(__xludf.DUMMYFUNCTION("""COMPUTED_VALUE"""),"2025")</f>
        <v>2025</v>
      </c>
      <c r="J1927" s="1" t="str">
        <f ca="1">IFERROR(__xludf.DUMMYFUNCTION("""COMPUTED_VALUE"""),"Email")</f>
        <v>Email</v>
      </c>
    </row>
    <row r="1928" spans="1:10" ht="13" x14ac:dyDescent="0.15">
      <c r="A1928" s="4">
        <f ca="1">IFERROR(__xludf.DUMMYFUNCTION("""COMPUTED_VALUE"""),255647411)</f>
        <v>255647411</v>
      </c>
      <c r="B1928" s="1" t="str">
        <f ca="1">IFERROR(__xludf.DUMMYFUNCTION("""COMPUTED_VALUE"""),"bryan@4sitestudios.com")</f>
        <v>bryan@4sitestudios.com</v>
      </c>
      <c r="C1928" s="4" t="str">
        <f ca="1">IFERROR(__xludf.DUMMYFUNCTION("""COMPUTED_VALUE"""),"EVERGREEN - UAN Gated Content - Embedded Petition")</f>
        <v>EVERGREEN - UAN Gated Content - Embedded Petition</v>
      </c>
      <c r="D1928" s="5">
        <f ca="1">IFERROR(__xludf.DUMMYFUNCTION("""COMPUTED_VALUE"""),45497)</f>
        <v>45497</v>
      </c>
      <c r="F1928" s="1" t="str">
        <f ca="1">IFERROR(__xludf.DUMMYFUNCTION("""COMPUTED_VALUE"""),"Israel and Occupied Palestinian Territories")</f>
        <v>Israel and Occupied Palestinian Territories</v>
      </c>
      <c r="G1928" s="1" t="str">
        <f ca="1">IFERROR(__xludf.DUMMYFUNCTION("""COMPUTED_VALUE"""),"8.25 Tunisia")</f>
        <v>8.25 Tunisia</v>
      </c>
      <c r="H1928" s="1" t="str">
        <f ca="1">IFERROR(__xludf.DUMMYFUNCTION("""COMPUTED_VALUE"""),"Freedom of Expression")</f>
        <v>Freedom of Expression</v>
      </c>
      <c r="I1928" s="1" t="str">
        <f ca="1">IFERROR(__xludf.DUMMYFUNCTION("""COMPUTED_VALUE"""),"2025")</f>
        <v>2025</v>
      </c>
      <c r="J1928" s="1" t="str">
        <f ca="1">IFERROR(__xludf.DUMMYFUNCTION("""COMPUTED_VALUE"""),"Email")</f>
        <v>Email</v>
      </c>
    </row>
    <row r="1929" spans="1:10" ht="13" x14ac:dyDescent="0.15">
      <c r="A1929" s="4">
        <f ca="1">IFERROR(__xludf.DUMMYFUNCTION("""COMPUTED_VALUE"""),255647411)</f>
        <v>255647411</v>
      </c>
      <c r="B1929" s="1" t="str">
        <f ca="1">IFERROR(__xludf.DUMMYFUNCTION("""COMPUTED_VALUE"""),"bryan@4sitestudios.com")</f>
        <v>bryan@4sitestudios.com</v>
      </c>
      <c r="C1929" s="4" t="str">
        <f ca="1">IFERROR(__xludf.DUMMYFUNCTION("""COMPUTED_VALUE"""),"EVERGREEN - UAN Gated Content - Embedded Petition")</f>
        <v>EVERGREEN - UAN Gated Content - Embedded Petition</v>
      </c>
      <c r="D1929" s="5">
        <f ca="1">IFERROR(__xludf.DUMMYFUNCTION("""COMPUTED_VALUE"""),45497)</f>
        <v>45497</v>
      </c>
      <c r="F1929" s="1" t="str">
        <f ca="1">IFERROR(__xludf.DUMMYFUNCTION("""COMPUTED_VALUE"""),"Tunisia")</f>
        <v>Tunisia</v>
      </c>
      <c r="G1929" s="1" t="str">
        <f ca="1">IFERROR(__xludf.DUMMYFUNCTION("""COMPUTED_VALUE"""),"7.25 Afghanistan")</f>
        <v>7.25 Afghanistan</v>
      </c>
      <c r="H1929" s="1" t="str">
        <f ca="1">IFERROR(__xludf.DUMMYFUNCTION("""COMPUTED_VALUE"""),"Freedom of Expression, Individuals At Risk, Women's Rights")</f>
        <v>Freedom of Expression, Individuals At Risk, Women's Rights</v>
      </c>
      <c r="I1929" s="1" t="str">
        <f ca="1">IFERROR(__xludf.DUMMYFUNCTION("""COMPUTED_VALUE"""),"2025")</f>
        <v>2025</v>
      </c>
      <c r="J1929" s="1" t="str">
        <f ca="1">IFERROR(__xludf.DUMMYFUNCTION("""COMPUTED_VALUE"""),"Email")</f>
        <v>Email</v>
      </c>
    </row>
    <row r="1930" spans="1:10" ht="13" x14ac:dyDescent="0.15">
      <c r="A1930" s="4">
        <f ca="1">IFERROR(__xludf.DUMMYFUNCTION("""COMPUTED_VALUE"""),255647411)</f>
        <v>255647411</v>
      </c>
      <c r="B1930" s="1" t="str">
        <f ca="1">IFERROR(__xludf.DUMMYFUNCTION("""COMPUTED_VALUE"""),"bryan@4sitestudios.com")</f>
        <v>bryan@4sitestudios.com</v>
      </c>
      <c r="C1930" s="4" t="str">
        <f ca="1">IFERROR(__xludf.DUMMYFUNCTION("""COMPUTED_VALUE"""),"EVERGREEN - UAN Gated Content - Embedded Petition")</f>
        <v>EVERGREEN - UAN Gated Content - Embedded Petition</v>
      </c>
      <c r="D1930" s="5">
        <f ca="1">IFERROR(__xludf.DUMMYFUNCTION("""COMPUTED_VALUE"""),45497)</f>
        <v>45497</v>
      </c>
      <c r="F1930" s="1" t="str">
        <f ca="1">IFERROR(__xludf.DUMMYFUNCTION("""COMPUTED_VALUE"""),"Afghanistan")</f>
        <v>Afghanistan</v>
      </c>
      <c r="G1930" s="1" t="str">
        <f ca="1">IFERROR(__xludf.DUMMYFUNCTION("""COMPUTED_VALUE"""),"105.24 USA")</f>
        <v>105.24 USA</v>
      </c>
      <c r="H1930" s="1" t="str">
        <f ca="1">IFERROR(__xludf.DUMMYFUNCTION("""COMPUTED_VALUE"""),"Death Penalty")</f>
        <v>Death Penalty</v>
      </c>
      <c r="I1930" s="1" t="str">
        <f ca="1">IFERROR(__xludf.DUMMYFUNCTION("""COMPUTED_VALUE"""),"2024")</f>
        <v>2024</v>
      </c>
      <c r="J1930" s="1" t="str">
        <f ca="1">IFERROR(__xludf.DUMMYFUNCTION("""COMPUTED_VALUE"""),"Email")</f>
        <v>Email</v>
      </c>
    </row>
    <row r="1931" spans="1:10" ht="13" x14ac:dyDescent="0.15">
      <c r="A1931" s="4">
        <f ca="1">IFERROR(__xludf.DUMMYFUNCTION("""COMPUTED_VALUE"""),255647411)</f>
        <v>255647411</v>
      </c>
      <c r="B1931" s="1" t="str">
        <f ca="1">IFERROR(__xludf.DUMMYFUNCTION("""COMPUTED_VALUE"""),"bryan@4sitestudios.com")</f>
        <v>bryan@4sitestudios.com</v>
      </c>
      <c r="C1931" s="4" t="str">
        <f ca="1">IFERROR(__xludf.DUMMYFUNCTION("""COMPUTED_VALUE"""),"EVERGREEN - UAN Gated Content - Embedded Petition")</f>
        <v>EVERGREEN - UAN Gated Content - Embedded Petition</v>
      </c>
      <c r="D1931" s="5">
        <f ca="1">IFERROR(__xludf.DUMMYFUNCTION("""COMPUTED_VALUE"""),45497)</f>
        <v>45497</v>
      </c>
      <c r="F1931" s="1" t="str">
        <f ca="1">IFERROR(__xludf.DUMMYFUNCTION("""COMPUTED_VALUE"""),"USA")</f>
        <v>USA</v>
      </c>
      <c r="G1931" s="1" t="str">
        <f ca="1">IFERROR(__xludf.DUMMYFUNCTION("""COMPUTED_VALUE"""),"Ninth 190.18 Egypt")</f>
        <v>Ninth 190.18 Egypt</v>
      </c>
      <c r="H1931" s="1" t="str">
        <f ca="1">IFERROR(__xludf.DUMMYFUNCTION("""COMPUTED_VALUE"""),"Freedom of Expression, Individuals At Risk")</f>
        <v>Freedom of Expression, Individuals At Risk</v>
      </c>
      <c r="I1931" s="1" t="str">
        <f ca="1">IFERROR(__xludf.DUMMYFUNCTION("""COMPUTED_VALUE"""),"2024")</f>
        <v>2024</v>
      </c>
      <c r="J1931" s="1" t="str">
        <f ca="1">IFERROR(__xludf.DUMMYFUNCTION("""COMPUTED_VALUE"""),"Letter")</f>
        <v>Letter</v>
      </c>
    </row>
    <row r="1932" spans="1:10" ht="13" x14ac:dyDescent="0.15">
      <c r="A1932" s="4">
        <f ca="1">IFERROR(__xludf.DUMMYFUNCTION("""COMPUTED_VALUE"""),255647411)</f>
        <v>255647411</v>
      </c>
      <c r="B1932" s="1" t="str">
        <f ca="1">IFERROR(__xludf.DUMMYFUNCTION("""COMPUTED_VALUE"""),"bryan@4sitestudios.com")</f>
        <v>bryan@4sitestudios.com</v>
      </c>
      <c r="C1932" s="4" t="str">
        <f ca="1">IFERROR(__xludf.DUMMYFUNCTION("""COMPUTED_VALUE"""),"EVERGREEN - UAN Gated Content - Embedded Petition")</f>
        <v>EVERGREEN - UAN Gated Content - Embedded Petition</v>
      </c>
      <c r="D1932" s="5">
        <f ca="1">IFERROR(__xludf.DUMMYFUNCTION("""COMPUTED_VALUE"""),45497)</f>
        <v>45497</v>
      </c>
      <c r="F1932" s="1" t="str">
        <f ca="1">IFERROR(__xludf.DUMMYFUNCTION("""COMPUTED_VALUE"""),"Egypt")</f>
        <v>Egypt</v>
      </c>
      <c r="G1932" s="1" t="str">
        <f ca="1">IFERROR(__xludf.DUMMYFUNCTION("""COMPUTED_VALUE"""),"97.24 Venezuela")</f>
        <v>97.24 Venezuela</v>
      </c>
      <c r="H1932" s="1" t="str">
        <f ca="1">IFERROR(__xludf.DUMMYFUNCTION("""COMPUTED_VALUE"""),"Freedom of Expression")</f>
        <v>Freedom of Expression</v>
      </c>
      <c r="I1932" s="1" t="str">
        <f ca="1">IFERROR(__xludf.DUMMYFUNCTION("""COMPUTED_VALUE"""),"2024")</f>
        <v>2024</v>
      </c>
      <c r="J1932" s="1" t="str">
        <f ca="1">IFERROR(__xludf.DUMMYFUNCTION("""COMPUTED_VALUE"""),"Letter")</f>
        <v>Letter</v>
      </c>
    </row>
    <row r="1933" spans="1:10" ht="13" x14ac:dyDescent="0.15">
      <c r="A1933" s="4">
        <f ca="1">IFERROR(__xludf.DUMMYFUNCTION("""COMPUTED_VALUE"""),255647411)</f>
        <v>255647411</v>
      </c>
      <c r="B1933" s="1" t="str">
        <f ca="1">IFERROR(__xludf.DUMMYFUNCTION("""COMPUTED_VALUE"""),"bryan@4sitestudios.com")</f>
        <v>bryan@4sitestudios.com</v>
      </c>
      <c r="C1933" s="4" t="str">
        <f ca="1">IFERROR(__xludf.DUMMYFUNCTION("""COMPUTED_VALUE"""),"EVERGREEN - UAN Gated Content - Embedded Petition")</f>
        <v>EVERGREEN - UAN Gated Content - Embedded Petition</v>
      </c>
      <c r="D1933" s="5">
        <f ca="1">IFERROR(__xludf.DUMMYFUNCTION("""COMPUTED_VALUE"""),45615)</f>
        <v>45615</v>
      </c>
      <c r="F1933" s="1" t="str">
        <f ca="1">IFERROR(__xludf.DUMMYFUNCTION("""COMPUTED_VALUE"""),"Venezuela")</f>
        <v>Venezuela</v>
      </c>
      <c r="G1933" s="1" t="str">
        <f ca="1">IFERROR(__xludf.DUMMYFUNCTION("""COMPUTED_VALUE"""),"98.24 China")</f>
        <v>98.24 China</v>
      </c>
      <c r="H1933" s="1" t="str">
        <f ca="1">IFERROR(__xludf.DUMMYFUNCTION("""COMPUTED_VALUE"""),"Freedom of Expression, Individuals At Risk")</f>
        <v>Freedom of Expression, Individuals At Risk</v>
      </c>
      <c r="I1933" s="1" t="str">
        <f ca="1">IFERROR(__xludf.DUMMYFUNCTION("""COMPUTED_VALUE"""),"2024")</f>
        <v>2024</v>
      </c>
      <c r="J1933" s="1" t="str">
        <f ca="1">IFERROR(__xludf.DUMMYFUNCTION("""COMPUTED_VALUE"""),"Letter")</f>
        <v>Letter</v>
      </c>
    </row>
    <row r="1934" spans="1:10" ht="13" x14ac:dyDescent="0.15">
      <c r="A1934" s="4">
        <f ca="1">IFERROR(__xludf.DUMMYFUNCTION("""COMPUTED_VALUE"""),255647411)</f>
        <v>255647411</v>
      </c>
      <c r="B1934" s="1" t="str">
        <f ca="1">IFERROR(__xludf.DUMMYFUNCTION("""COMPUTED_VALUE"""),"bryan@4sitestudios.com")</f>
        <v>bryan@4sitestudios.com</v>
      </c>
      <c r="C1934" s="4" t="str">
        <f ca="1">IFERROR(__xludf.DUMMYFUNCTION("""COMPUTED_VALUE"""),"EVERGREEN - UAN Gated Content - Embedded Petition")</f>
        <v>EVERGREEN - UAN Gated Content - Embedded Petition</v>
      </c>
      <c r="D1934" s="5">
        <f ca="1">IFERROR(__xludf.DUMMYFUNCTION("""COMPUTED_VALUE"""),45495)</f>
        <v>45495</v>
      </c>
      <c r="F1934" s="1" t="str">
        <f ca="1">IFERROR(__xludf.DUMMYFUNCTION("""COMPUTED_VALUE"""),"China")</f>
        <v>China</v>
      </c>
      <c r="G1934" s="1" t="str">
        <f ca="1">IFERROR(__xludf.DUMMYFUNCTION("""COMPUTED_VALUE"""),"Second 76.24 Tunisia")</f>
        <v>Second 76.24 Tunisia</v>
      </c>
      <c r="H1934" s="1" t="str">
        <f ca="1">IFERROR(__xludf.DUMMYFUNCTION("""COMPUTED_VALUE"""),"Freedom of Expression, Human Rights Defenders")</f>
        <v>Freedom of Expression, Human Rights Defenders</v>
      </c>
      <c r="I1934" s="1" t="str">
        <f ca="1">IFERROR(__xludf.DUMMYFUNCTION("""COMPUTED_VALUE"""),"2025")</f>
        <v>2025</v>
      </c>
      <c r="J1934" s="1" t="str">
        <f ca="1">IFERROR(__xludf.DUMMYFUNCTION("""COMPUTED_VALUE"""),"Email")</f>
        <v>Email</v>
      </c>
    </row>
    <row r="1935" spans="1:10" ht="13" x14ac:dyDescent="0.15">
      <c r="A1935" s="4">
        <f ca="1">IFERROR(__xludf.DUMMYFUNCTION("""COMPUTED_VALUE"""),255647411)</f>
        <v>255647411</v>
      </c>
      <c r="B1935" s="1" t="str">
        <f ca="1">IFERROR(__xludf.DUMMYFUNCTION("""COMPUTED_VALUE"""),"bryan@4sitestudios.com")</f>
        <v>bryan@4sitestudios.com</v>
      </c>
      <c r="C1935" s="4" t="str">
        <f ca="1">IFERROR(__xludf.DUMMYFUNCTION("""COMPUTED_VALUE"""),"UAN mid-page Lightbox - Step 1 of 4 - Landing Page")</f>
        <v>UAN mid-page Lightbox - Step 1 of 4 - Landing Page</v>
      </c>
      <c r="D1935" s="5">
        <f ca="1">IFERROR(__xludf.DUMMYFUNCTION("""COMPUTED_VALUE"""),45588)</f>
        <v>45588</v>
      </c>
      <c r="F1935" s="1" t="str">
        <f ca="1">IFERROR(__xludf.DUMMYFUNCTION("""COMPUTED_VALUE"""),"Tunisia")</f>
        <v>Tunisia</v>
      </c>
      <c r="G1935" s="1" t="str">
        <f ca="1">IFERROR(__xludf.DUMMYFUNCTION("""COMPUTED_VALUE"""),"Second 76.24 Tunisia")</f>
        <v>Second 76.24 Tunisia</v>
      </c>
      <c r="H1935" s="1" t="str">
        <f ca="1">IFERROR(__xludf.DUMMYFUNCTION("""COMPUTED_VALUE"""),"Freedom of Expression, Human Rights Defenders")</f>
        <v>Freedom of Expression, Human Rights Defenders</v>
      </c>
      <c r="I1935" s="1" t="str">
        <f ca="1">IFERROR(__xludf.DUMMYFUNCTION("""COMPUTED_VALUE"""),"2025")</f>
        <v>2025</v>
      </c>
      <c r="J1935" s="1" t="str">
        <f ca="1">IFERROR(__xludf.DUMMYFUNCTION("""COMPUTED_VALUE"""),"Email")</f>
        <v>Email</v>
      </c>
    </row>
    <row r="1936" spans="1:10" ht="13" x14ac:dyDescent="0.15">
      <c r="A1936" s="4">
        <f ca="1">IFERROR(__xludf.DUMMYFUNCTION("""COMPUTED_VALUE"""),255647411)</f>
        <v>255647411</v>
      </c>
      <c r="B1936" s="1" t="str">
        <f ca="1">IFERROR(__xludf.DUMMYFUNCTION("""COMPUTED_VALUE"""),"bryan@4sitestudios.com")</f>
        <v>bryan@4sitestudios.com</v>
      </c>
      <c r="C1936" s="4" t="str">
        <f ca="1">IFERROR(__xludf.DUMMYFUNCTION("""COMPUTED_VALUE"""),"UAN mid-page Lightbox - Step 1 of 4 - Landing Page")</f>
        <v>UAN mid-page Lightbox - Step 1 of 4 - Landing Page</v>
      </c>
      <c r="D1936" s="5">
        <f ca="1">IFERROR(__xludf.DUMMYFUNCTION("""COMPUTED_VALUE"""),45567)</f>
        <v>45567</v>
      </c>
      <c r="F1936" s="1" t="str">
        <f ca="1">IFERROR(__xludf.DUMMYFUNCTION("""COMPUTED_VALUE"""),"Tunisia")</f>
        <v>Tunisia</v>
      </c>
      <c r="G1936" s="1" t="str">
        <f ca="1">IFERROR(__xludf.DUMMYFUNCTION("""COMPUTED_VALUE"""),"3.25 IOPT")</f>
        <v>3.25 IOPT</v>
      </c>
      <c r="H1936" s="1" t="str">
        <f ca="1">IFERROR(__xludf.DUMMYFUNCTION("""COMPUTED_VALUE"""),"Freedom of Expression, Individuals At Risk")</f>
        <v>Freedom of Expression, Individuals At Risk</v>
      </c>
      <c r="I1936" s="1" t="str">
        <f ca="1">IFERROR(__xludf.DUMMYFUNCTION("""COMPUTED_VALUE"""),"2025")</f>
        <v>2025</v>
      </c>
      <c r="J1936" s="1" t="str">
        <f ca="1">IFERROR(__xludf.DUMMYFUNCTION("""COMPUTED_VALUE"""),"Email")</f>
        <v>Email</v>
      </c>
    </row>
    <row r="1937" spans="1:10" ht="13" x14ac:dyDescent="0.15">
      <c r="A1937" s="4">
        <f ca="1">IFERROR(__xludf.DUMMYFUNCTION("""COMPUTED_VALUE"""),255647411)</f>
        <v>255647411</v>
      </c>
      <c r="B1937" s="1" t="str">
        <f ca="1">IFERROR(__xludf.DUMMYFUNCTION("""COMPUTED_VALUE"""),"bryan@4sitestudios.com")</f>
        <v>bryan@4sitestudios.com</v>
      </c>
      <c r="C1937" s="4" t="str">
        <f ca="1">IFERROR(__xludf.DUMMYFUNCTION("""COMPUTED_VALUE"""),"UAN mid-page Lightbox - Step 1 of 4 - Landing Page")</f>
        <v>UAN mid-page Lightbox - Step 1 of 4 - Landing Page</v>
      </c>
      <c r="D1937" s="5">
        <f ca="1">IFERROR(__xludf.DUMMYFUNCTION("""COMPUTED_VALUE"""),45567)</f>
        <v>45567</v>
      </c>
      <c r="F1937" s="1" t="str">
        <f ca="1">IFERROR(__xludf.DUMMYFUNCTION("""COMPUTED_VALUE"""),"Israel and Occupied Palestinian Territories")</f>
        <v>Israel and Occupied Palestinian Territories</v>
      </c>
      <c r="G1937" s="1" t="str">
        <f ca="1">IFERROR(__xludf.DUMMYFUNCTION("""COMPUTED_VALUE"""),"4.25 USA")</f>
        <v>4.25 USA</v>
      </c>
      <c r="H1937" s="1" t="str">
        <f ca="1">IFERROR(__xludf.DUMMYFUNCTION("""COMPUTED_VALUE"""),"Individuals At Risk, Refugee and Migrant Rights")</f>
        <v>Individuals At Risk, Refugee and Migrant Rights</v>
      </c>
      <c r="I1937" s="1" t="str">
        <f ca="1">IFERROR(__xludf.DUMMYFUNCTION("""COMPUTED_VALUE"""),"2025")</f>
        <v>2025</v>
      </c>
      <c r="J1937" s="1" t="str">
        <f ca="1">IFERROR(__xludf.DUMMYFUNCTION("""COMPUTED_VALUE"""),"Letter")</f>
        <v>Letter</v>
      </c>
    </row>
    <row r="1938" spans="1:10" ht="13" x14ac:dyDescent="0.15">
      <c r="A1938" s="4">
        <f ca="1">IFERROR(__xludf.DUMMYFUNCTION("""COMPUTED_VALUE"""),255647411)</f>
        <v>255647411</v>
      </c>
      <c r="B1938" s="1" t="str">
        <f ca="1">IFERROR(__xludf.DUMMYFUNCTION("""COMPUTED_VALUE"""),"bryan@4sitestudios.com")</f>
        <v>bryan@4sitestudios.com</v>
      </c>
      <c r="C1938" s="4" t="str">
        <f ca="1">IFERROR(__xludf.DUMMYFUNCTION("""COMPUTED_VALUE"""),"UAN mid-page Lightbox - Step 1 of 4 - Landing Page")</f>
        <v>UAN mid-page Lightbox - Step 1 of 4 - Landing Page</v>
      </c>
      <c r="D1938" s="5">
        <f ca="1">IFERROR(__xludf.DUMMYFUNCTION("""COMPUTED_VALUE"""),45561)</f>
        <v>45561</v>
      </c>
      <c r="F1938" s="1" t="str">
        <f ca="1">IFERROR(__xludf.DUMMYFUNCTION("""COMPUTED_VALUE"""),"USA")</f>
        <v>USA</v>
      </c>
      <c r="G1938" s="1" t="str">
        <f ca="1">IFERROR(__xludf.DUMMYFUNCTION("""COMPUTED_VALUE"""),"6.25 Iran")</f>
        <v>6.25 Iran</v>
      </c>
      <c r="H1938" s="1" t="str">
        <f ca="1">IFERROR(__xludf.DUMMYFUNCTION("""COMPUTED_VALUE"""),"Death Penalty, Freedom of Expression, Individuals At Risk")</f>
        <v>Death Penalty, Freedom of Expression, Individuals At Risk</v>
      </c>
      <c r="I1938" s="1" t="str">
        <f ca="1">IFERROR(__xludf.DUMMYFUNCTION("""COMPUTED_VALUE"""),"2025")</f>
        <v>2025</v>
      </c>
      <c r="J1938" s="1" t="str">
        <f ca="1">IFERROR(__xludf.DUMMYFUNCTION("""COMPUTED_VALUE"""),"Email")</f>
        <v>Email</v>
      </c>
    </row>
    <row r="1939" spans="1:10" ht="13" x14ac:dyDescent="0.15">
      <c r="A1939" s="4">
        <f ca="1">IFERROR(__xludf.DUMMYFUNCTION("""COMPUTED_VALUE"""),255647411)</f>
        <v>255647411</v>
      </c>
      <c r="B1939" s="1" t="str">
        <f ca="1">IFERROR(__xludf.DUMMYFUNCTION("""COMPUTED_VALUE"""),"bryan@4sitestudios.com")</f>
        <v>bryan@4sitestudios.com</v>
      </c>
      <c r="C1939" s="4" t="str">
        <f ca="1">IFERROR(__xludf.DUMMYFUNCTION("""COMPUTED_VALUE"""),"UAN mid-page Lightbox - Step 1 of 4 - Landing Page")</f>
        <v>UAN mid-page Lightbox - Step 1 of 4 - Landing Page</v>
      </c>
      <c r="D1939" s="5">
        <f ca="1">IFERROR(__xludf.DUMMYFUNCTION("""COMPUTED_VALUE"""),45561)</f>
        <v>45561</v>
      </c>
      <c r="F1939" s="1" t="str">
        <f ca="1">IFERROR(__xludf.DUMMYFUNCTION("""COMPUTED_VALUE"""),"Iran")</f>
        <v>Iran</v>
      </c>
      <c r="G1939" s="1" t="str">
        <f ca="1">IFERROR(__xludf.DUMMYFUNCTION("""COMPUTED_VALUE"""),"Second 76.24 Tunisia")</f>
        <v>Second 76.24 Tunisia</v>
      </c>
      <c r="H1939" s="1" t="str">
        <f ca="1">IFERROR(__xludf.DUMMYFUNCTION("""COMPUTED_VALUE"""),"Freedom of Expression, Human Rights Defenders")</f>
        <v>Freedom of Expression, Human Rights Defenders</v>
      </c>
      <c r="I1939" s="1" t="str">
        <f ca="1">IFERROR(__xludf.DUMMYFUNCTION("""COMPUTED_VALUE"""),"2025")</f>
        <v>2025</v>
      </c>
      <c r="J1939" s="1" t="str">
        <f ca="1">IFERROR(__xludf.DUMMYFUNCTION("""COMPUTED_VALUE"""),"Email")</f>
        <v>Email</v>
      </c>
    </row>
    <row r="1940" spans="1:10" ht="13" x14ac:dyDescent="0.15">
      <c r="A1940" s="4">
        <f ca="1">IFERROR(__xludf.DUMMYFUNCTION("""COMPUTED_VALUE"""),255647411)</f>
        <v>255647411</v>
      </c>
      <c r="B1940" s="1" t="str">
        <f ca="1">IFERROR(__xludf.DUMMYFUNCTION("""COMPUTED_VALUE"""),"bryan@4sitestudios.com")</f>
        <v>bryan@4sitestudios.com</v>
      </c>
      <c r="C1940" s="4" t="str">
        <f ca="1">IFERROR(__xludf.DUMMYFUNCTION("""COMPUTED_VALUE"""),"UAN mid-page Lightbox - Step 1 of 4 - Landing Page")</f>
        <v>UAN mid-page Lightbox - Step 1 of 4 - Landing Page</v>
      </c>
      <c r="D1940" s="5">
        <f ca="1">IFERROR(__xludf.DUMMYFUNCTION("""COMPUTED_VALUE"""),45561)</f>
        <v>45561</v>
      </c>
      <c r="F1940" s="1" t="str">
        <f ca="1">IFERROR(__xludf.DUMMYFUNCTION("""COMPUTED_VALUE"""),"Tunisia")</f>
        <v>Tunisia</v>
      </c>
      <c r="G1940" s="1" t="str">
        <f ca="1">IFERROR(__xludf.DUMMYFUNCTION("""COMPUTED_VALUE"""),"5.25 Colombia")</f>
        <v>5.25 Colombia</v>
      </c>
      <c r="H1940" s="1" t="str">
        <f ca="1">IFERROR(__xludf.DUMMYFUNCTION("""COMPUTED_VALUE"""),"Human Rights Defenders, Individuals At Risk")</f>
        <v>Human Rights Defenders, Individuals At Risk</v>
      </c>
      <c r="I1940" s="1" t="str">
        <f ca="1">IFERROR(__xludf.DUMMYFUNCTION("""COMPUTED_VALUE"""),"2025")</f>
        <v>2025</v>
      </c>
      <c r="J1940" s="1" t="str">
        <f ca="1">IFERROR(__xludf.DUMMYFUNCTION("""COMPUTED_VALUE"""),"Email")</f>
        <v>Email</v>
      </c>
    </row>
    <row r="1941" spans="1:10" ht="13" x14ac:dyDescent="0.15">
      <c r="A1941" s="4">
        <f ca="1">IFERROR(__xludf.DUMMYFUNCTION("""COMPUTED_VALUE"""),255647411)</f>
        <v>255647411</v>
      </c>
      <c r="B1941" s="1" t="str">
        <f ca="1">IFERROR(__xludf.DUMMYFUNCTION("""COMPUTED_VALUE"""),"bryan@4sitestudios.com")</f>
        <v>bryan@4sitestudios.com</v>
      </c>
      <c r="C1941" s="4" t="str">
        <f ca="1">IFERROR(__xludf.DUMMYFUNCTION("""COMPUTED_VALUE"""),"UAN mid-page Lightbox - Step 1 of 4 - Landing Page")</f>
        <v>UAN mid-page Lightbox - Step 1 of 4 - Landing Page</v>
      </c>
      <c r="D1941" s="5">
        <f ca="1">IFERROR(__xludf.DUMMYFUNCTION("""COMPUTED_VALUE"""),45561)</f>
        <v>45561</v>
      </c>
      <c r="F1941" s="1" t="str">
        <f ca="1">IFERROR(__xludf.DUMMYFUNCTION("""COMPUTED_VALUE"""),"Colombia")</f>
        <v>Colombia</v>
      </c>
      <c r="G1941" s="1" t="str">
        <f ca="1">IFERROR(__xludf.DUMMYFUNCTION("""COMPUTED_VALUE"""),"97.24 Venezuela")</f>
        <v>97.24 Venezuela</v>
      </c>
      <c r="H1941" s="1" t="str">
        <f ca="1">IFERROR(__xludf.DUMMYFUNCTION("""COMPUTED_VALUE"""),"Freedom of Expression")</f>
        <v>Freedom of Expression</v>
      </c>
      <c r="I1941" s="1" t="str">
        <f ca="1">IFERROR(__xludf.DUMMYFUNCTION("""COMPUTED_VALUE"""),"2024")</f>
        <v>2024</v>
      </c>
      <c r="J1941" s="1" t="str">
        <f ca="1">IFERROR(__xludf.DUMMYFUNCTION("""COMPUTED_VALUE"""),"Letter")</f>
        <v>Letter</v>
      </c>
    </row>
    <row r="1942" spans="1:10" ht="13" x14ac:dyDescent="0.15">
      <c r="A1942" s="4">
        <f ca="1">IFERROR(__xludf.DUMMYFUNCTION("""COMPUTED_VALUE"""),255647411)</f>
        <v>255647411</v>
      </c>
      <c r="B1942" s="1" t="str">
        <f ca="1">IFERROR(__xludf.DUMMYFUNCTION("""COMPUTED_VALUE"""),"bryan@4sitestudios.com")</f>
        <v>bryan@4sitestudios.com</v>
      </c>
      <c r="C1942" s="4" t="str">
        <f ca="1">IFERROR(__xludf.DUMMYFUNCTION("""COMPUTED_VALUE"""),"UAN mid-page Lightbox - Step 1 of 4 - Landing Page")</f>
        <v>UAN mid-page Lightbox - Step 1 of 4 - Landing Page</v>
      </c>
      <c r="D1942" s="5">
        <f ca="1">IFERROR(__xludf.DUMMYFUNCTION("""COMPUTED_VALUE"""),45561)</f>
        <v>45561</v>
      </c>
      <c r="F1942" s="1" t="str">
        <f ca="1">IFERROR(__xludf.DUMMYFUNCTION("""COMPUTED_VALUE"""),"Venezuela")</f>
        <v>Venezuela</v>
      </c>
      <c r="G1942" s="1" t="str">
        <f ca="1">IFERROR(__xludf.DUMMYFUNCTION("""COMPUTED_VALUE"""),"Second 23.24 Russia")</f>
        <v>Second 23.24 Russia</v>
      </c>
      <c r="H1942" s="1" t="str">
        <f ca="1">IFERROR(__xludf.DUMMYFUNCTION("""COMPUTED_VALUE"""),"Freedom of Expression")</f>
        <v>Freedom of Expression</v>
      </c>
      <c r="I1942" s="1" t="str">
        <f ca="1">IFERROR(__xludf.DUMMYFUNCTION("""COMPUTED_VALUE"""),"2024")</f>
        <v>2024</v>
      </c>
      <c r="J1942" s="1" t="str">
        <f ca="1">IFERROR(__xludf.DUMMYFUNCTION("""COMPUTED_VALUE"""),"Letter")</f>
        <v>Letter</v>
      </c>
    </row>
    <row r="1943" spans="1:10" ht="13" x14ac:dyDescent="0.15">
      <c r="A1943" s="4">
        <f ca="1">IFERROR(__xludf.DUMMYFUNCTION("""COMPUTED_VALUE"""),255647411)</f>
        <v>255647411</v>
      </c>
      <c r="B1943" s="1" t="str">
        <f ca="1">IFERROR(__xludf.DUMMYFUNCTION("""COMPUTED_VALUE"""),"bryan@4sitestudios.com")</f>
        <v>bryan@4sitestudios.com</v>
      </c>
      <c r="C1943" s="4" t="str">
        <f ca="1">IFERROR(__xludf.DUMMYFUNCTION("""COMPUTED_VALUE"""),"UAN mid-page Lightbox - Step 1 of 4 - Landing Page")</f>
        <v>UAN mid-page Lightbox - Step 1 of 4 - Landing Page</v>
      </c>
      <c r="D1943" s="5">
        <f ca="1">IFERROR(__xludf.DUMMYFUNCTION("""COMPUTED_VALUE"""),45561)</f>
        <v>45561</v>
      </c>
      <c r="F1943" s="1" t="str">
        <f ca="1">IFERROR(__xludf.DUMMYFUNCTION("""COMPUTED_VALUE"""),"Russian Federation")</f>
        <v>Russian Federation</v>
      </c>
      <c r="G1943" s="1" t="str">
        <f ca="1">IFERROR(__xludf.DUMMYFUNCTION("""COMPUTED_VALUE"""),"107.24 Singapore")</f>
        <v>107.24 Singapore</v>
      </c>
      <c r="H1943" s="1" t="str">
        <f ca="1">IFERROR(__xludf.DUMMYFUNCTION("""COMPUTED_VALUE"""),"Death Penalty")</f>
        <v>Death Penalty</v>
      </c>
      <c r="I1943" s="1" t="str">
        <f ca="1">IFERROR(__xludf.DUMMYFUNCTION("""COMPUTED_VALUE"""),"2024")</f>
        <v>2024</v>
      </c>
      <c r="J1943" s="1" t="str">
        <f ca="1">IFERROR(__xludf.DUMMYFUNCTION("""COMPUTED_VALUE"""),"Email")</f>
        <v>Email</v>
      </c>
    </row>
    <row r="1944" spans="1:10" ht="13" x14ac:dyDescent="0.15">
      <c r="A1944" s="4">
        <f ca="1">IFERROR(__xludf.DUMMYFUNCTION("""COMPUTED_VALUE"""),255647411)</f>
        <v>255647411</v>
      </c>
      <c r="B1944" s="1" t="str">
        <f ca="1">IFERROR(__xludf.DUMMYFUNCTION("""COMPUTED_VALUE"""),"bryan@4sitestudios.com")</f>
        <v>bryan@4sitestudios.com</v>
      </c>
      <c r="C1944" s="4" t="str">
        <f ca="1">IFERROR(__xludf.DUMMYFUNCTION("""COMPUTED_VALUE"""),"UAN mid-page Lightbox - Step 1 of 4 - Landing Page")</f>
        <v>UAN mid-page Lightbox - Step 1 of 4 - Landing Page</v>
      </c>
      <c r="D1944" s="5">
        <f ca="1">IFERROR(__xludf.DUMMYFUNCTION("""COMPUTED_VALUE"""),45561)</f>
        <v>45561</v>
      </c>
      <c r="F1944" s="1" t="str">
        <f ca="1">IFERROR(__xludf.DUMMYFUNCTION("""COMPUTED_VALUE"""),"Singapore")</f>
        <v>Singapore</v>
      </c>
      <c r="G1944" s="1" t="str">
        <f ca="1">IFERROR(__xludf.DUMMYFUNCTION("""COMPUTED_VALUE"""),"107.24 Singapore")</f>
        <v>107.24 Singapore</v>
      </c>
      <c r="H1944" s="1" t="str">
        <f ca="1">IFERROR(__xludf.DUMMYFUNCTION("""COMPUTED_VALUE"""),"Death Penalty")</f>
        <v>Death Penalty</v>
      </c>
      <c r="I1944" s="1" t="str">
        <f ca="1">IFERROR(__xludf.DUMMYFUNCTION("""COMPUTED_VALUE"""),"2024")</f>
        <v>2024</v>
      </c>
      <c r="J1944" s="1" t="str">
        <f ca="1">IFERROR(__xludf.DUMMYFUNCTION("""COMPUTED_VALUE"""),"Email")</f>
        <v>Email</v>
      </c>
    </row>
    <row r="1945" spans="1:10" ht="13" x14ac:dyDescent="0.15">
      <c r="A1945" s="4">
        <f ca="1">IFERROR(__xludf.DUMMYFUNCTION("""COMPUTED_VALUE"""),255647411)</f>
        <v>255647411</v>
      </c>
      <c r="B1945" s="1" t="str">
        <f ca="1">IFERROR(__xludf.DUMMYFUNCTION("""COMPUTED_VALUE"""),"bryan@4sitestudios.com")</f>
        <v>bryan@4sitestudios.com</v>
      </c>
      <c r="C1945" s="4" t="str">
        <f ca="1">IFERROR(__xludf.DUMMYFUNCTION("""COMPUTED_VALUE"""),"UAN mid-page Lightbox - Step 1 of 4 - Landing Page")</f>
        <v>UAN mid-page Lightbox - Step 1 of 4 - Landing Page</v>
      </c>
      <c r="D1945" s="5">
        <f ca="1">IFERROR(__xludf.DUMMYFUNCTION("""COMPUTED_VALUE"""),45561)</f>
        <v>45561</v>
      </c>
      <c r="F1945" s="1" t="str">
        <f ca="1">IFERROR(__xludf.DUMMYFUNCTION("""COMPUTED_VALUE"""),"Singapore")</f>
        <v>Singapore</v>
      </c>
      <c r="G1945" s="1" t="str">
        <f ca="1">IFERROR(__xludf.DUMMYFUNCTION("""COMPUTED_VALUE"""),"3.25 IOPT")</f>
        <v>3.25 IOPT</v>
      </c>
      <c r="H1945" s="1" t="str">
        <f ca="1">IFERROR(__xludf.DUMMYFUNCTION("""COMPUTED_VALUE"""),"Freedom of Expression, Individuals At Risk")</f>
        <v>Freedom of Expression, Individuals At Risk</v>
      </c>
      <c r="I1945" s="1" t="str">
        <f ca="1">IFERROR(__xludf.DUMMYFUNCTION("""COMPUTED_VALUE"""),"2025")</f>
        <v>2025</v>
      </c>
      <c r="J1945" s="1" t="str">
        <f ca="1">IFERROR(__xludf.DUMMYFUNCTION("""COMPUTED_VALUE"""),"Email")</f>
        <v>Email</v>
      </c>
    </row>
    <row r="1946" spans="1:10" ht="13" x14ac:dyDescent="0.15">
      <c r="A1946" s="4">
        <f ca="1">IFERROR(__xludf.DUMMYFUNCTION("""COMPUTED_VALUE"""),255647411)</f>
        <v>255647411</v>
      </c>
      <c r="B1946" s="1" t="str">
        <f ca="1">IFERROR(__xludf.DUMMYFUNCTION("""COMPUTED_VALUE"""),"bryan@4sitestudios.com")</f>
        <v>bryan@4sitestudios.com</v>
      </c>
      <c r="C1946" s="4" t="str">
        <f ca="1">IFERROR(__xludf.DUMMYFUNCTION("""COMPUTED_VALUE"""),"UAN mid-page Lightbox - Step 1 of 4 - Landing Page")</f>
        <v>UAN mid-page Lightbox - Step 1 of 4 - Landing Page</v>
      </c>
      <c r="D1946" s="5">
        <f ca="1">IFERROR(__xludf.DUMMYFUNCTION("""COMPUTED_VALUE"""),45561)</f>
        <v>45561</v>
      </c>
      <c r="F1946" s="1" t="str">
        <f ca="1">IFERROR(__xludf.DUMMYFUNCTION("""COMPUTED_VALUE"""),"Israel and Occupied Palestinian Territories")</f>
        <v>Israel and Occupied Palestinian Territories</v>
      </c>
      <c r="G1946" s="1" t="str">
        <f ca="1">IFERROR(__xludf.DUMMYFUNCTION("""COMPUTED_VALUE"""),"3.25 IOPT")</f>
        <v>3.25 IOPT</v>
      </c>
      <c r="H1946" s="1" t="str">
        <f ca="1">IFERROR(__xludf.DUMMYFUNCTION("""COMPUTED_VALUE"""),"Freedom of Expression, Individuals At Risk")</f>
        <v>Freedom of Expression, Individuals At Risk</v>
      </c>
      <c r="I1946" s="1" t="str">
        <f ca="1">IFERROR(__xludf.DUMMYFUNCTION("""COMPUTED_VALUE"""),"2025")</f>
        <v>2025</v>
      </c>
      <c r="J1946" s="1" t="str">
        <f ca="1">IFERROR(__xludf.DUMMYFUNCTION("""COMPUTED_VALUE"""),"Email")</f>
        <v>Email</v>
      </c>
    </row>
    <row r="1947" spans="1:10" ht="13" x14ac:dyDescent="0.15">
      <c r="A1947" s="4">
        <f ca="1">IFERROR(__xludf.DUMMYFUNCTION("""COMPUTED_VALUE"""),255647411)</f>
        <v>255647411</v>
      </c>
      <c r="B1947" s="1" t="str">
        <f ca="1">IFERROR(__xludf.DUMMYFUNCTION("""COMPUTED_VALUE"""),"bryan@4sitestudios.com")</f>
        <v>bryan@4sitestudios.com</v>
      </c>
      <c r="C1947" s="4" t="str">
        <f ca="1">IFERROR(__xludf.DUMMYFUNCTION("""COMPUTED_VALUE"""),"UAN mid-page Lightbox - Step 1 of 4 - Landing Page")</f>
        <v>UAN mid-page Lightbox - Step 1 of 4 - Landing Page</v>
      </c>
      <c r="D1947" s="5">
        <f ca="1">IFERROR(__xludf.DUMMYFUNCTION("""COMPUTED_VALUE"""),45561)</f>
        <v>45561</v>
      </c>
      <c r="F1947" s="1" t="str">
        <f ca="1">IFERROR(__xludf.DUMMYFUNCTION("""COMPUTED_VALUE"""),"Israel and Occupied Palestinian Territories")</f>
        <v>Israel and Occupied Palestinian Territories</v>
      </c>
      <c r="G1947" s="1" t="str">
        <f ca="1">IFERROR(__xludf.DUMMYFUNCTION("""COMPUTED_VALUE"""),"3.25 IOPT")</f>
        <v>3.25 IOPT</v>
      </c>
      <c r="H1947" s="1" t="str">
        <f ca="1">IFERROR(__xludf.DUMMYFUNCTION("""COMPUTED_VALUE"""),"Freedom of Expression, Individuals At Risk")</f>
        <v>Freedom of Expression, Individuals At Risk</v>
      </c>
      <c r="I1947" s="1" t="str">
        <f ca="1">IFERROR(__xludf.DUMMYFUNCTION("""COMPUTED_VALUE"""),"2025")</f>
        <v>2025</v>
      </c>
      <c r="J1947" s="1" t="str">
        <f ca="1">IFERROR(__xludf.DUMMYFUNCTION("""COMPUTED_VALUE"""),"Email")</f>
        <v>Email</v>
      </c>
    </row>
    <row r="1948" spans="1:10" ht="13" x14ac:dyDescent="0.15">
      <c r="A1948" s="4">
        <f ca="1">IFERROR(__xludf.DUMMYFUNCTION("""COMPUTED_VALUE"""),255647411)</f>
        <v>255647411</v>
      </c>
      <c r="B1948" s="1" t="str">
        <f ca="1">IFERROR(__xludf.DUMMYFUNCTION("""COMPUTED_VALUE"""),"bryan@4sitestudios.com")</f>
        <v>bryan@4sitestudios.com</v>
      </c>
      <c r="C1948" s="4" t="str">
        <f ca="1">IFERROR(__xludf.DUMMYFUNCTION("""COMPUTED_VALUE"""),"UAN mid-page Lightbox - Step 1 of 4 - Landing Page")</f>
        <v>UAN mid-page Lightbox - Step 1 of 4 - Landing Page</v>
      </c>
      <c r="D1948" s="5">
        <f ca="1">IFERROR(__xludf.DUMMYFUNCTION("""COMPUTED_VALUE"""),45561)</f>
        <v>45561</v>
      </c>
      <c r="F1948" s="1" t="str">
        <f ca="1">IFERROR(__xludf.DUMMYFUNCTION("""COMPUTED_VALUE"""),"Israel and Occupied Palestinian Territories")</f>
        <v>Israel and Occupied Palestinian Territories</v>
      </c>
      <c r="G1948" s="1" t="str">
        <f ca="1">IFERROR(__xludf.DUMMYFUNCTION("""COMPUTED_VALUE"""),"4.25 USA")</f>
        <v>4.25 USA</v>
      </c>
      <c r="H1948" s="1" t="str">
        <f ca="1">IFERROR(__xludf.DUMMYFUNCTION("""COMPUTED_VALUE"""),"Individuals At Risk, Refugee and Migrant Rights")</f>
        <v>Individuals At Risk, Refugee and Migrant Rights</v>
      </c>
      <c r="I1948" s="1" t="str">
        <f ca="1">IFERROR(__xludf.DUMMYFUNCTION("""COMPUTED_VALUE"""),"2025")</f>
        <v>2025</v>
      </c>
      <c r="J1948" s="1" t="str">
        <f ca="1">IFERROR(__xludf.DUMMYFUNCTION("""COMPUTED_VALUE"""),"Letter")</f>
        <v>Letter</v>
      </c>
    </row>
    <row r="1949" spans="1:10" ht="13" x14ac:dyDescent="0.15">
      <c r="A1949" s="4">
        <f ca="1">IFERROR(__xludf.DUMMYFUNCTION("""COMPUTED_VALUE"""),255647411)</f>
        <v>255647411</v>
      </c>
      <c r="B1949" s="1" t="str">
        <f ca="1">IFERROR(__xludf.DUMMYFUNCTION("""COMPUTED_VALUE"""),"bryan@4sitestudios.com")</f>
        <v>bryan@4sitestudios.com</v>
      </c>
      <c r="C1949" s="4" t="str">
        <f ca="1">IFERROR(__xludf.DUMMYFUNCTION("""COMPUTED_VALUE"""),"UAN mid-page Lightbox - Step 1 of 4 - Landing Page")</f>
        <v>UAN mid-page Lightbox - Step 1 of 4 - Landing Page</v>
      </c>
      <c r="D1949" s="5">
        <f ca="1">IFERROR(__xludf.DUMMYFUNCTION("""COMPUTED_VALUE"""),45559)</f>
        <v>45559</v>
      </c>
      <c r="F1949" s="1" t="str">
        <f ca="1">IFERROR(__xludf.DUMMYFUNCTION("""COMPUTED_VALUE"""),"USA")</f>
        <v>USA</v>
      </c>
      <c r="G1949" s="1" t="str">
        <f ca="1">IFERROR(__xludf.DUMMYFUNCTION("""COMPUTED_VALUE"""),"Second 76.24 Tunisia")</f>
        <v>Second 76.24 Tunisia</v>
      </c>
      <c r="H1949" s="1" t="str">
        <f ca="1">IFERROR(__xludf.DUMMYFUNCTION("""COMPUTED_VALUE"""),"Freedom of Expression, Human Rights Defenders")</f>
        <v>Freedom of Expression, Human Rights Defenders</v>
      </c>
      <c r="I1949" s="1" t="str">
        <f ca="1">IFERROR(__xludf.DUMMYFUNCTION("""COMPUTED_VALUE"""),"2025")</f>
        <v>2025</v>
      </c>
      <c r="J1949" s="1" t="str">
        <f ca="1">IFERROR(__xludf.DUMMYFUNCTION("""COMPUTED_VALUE"""),"Email")</f>
        <v>Email</v>
      </c>
    </row>
    <row r="1950" spans="1:10" ht="13" x14ac:dyDescent="0.15">
      <c r="A1950" s="4">
        <f ca="1">IFERROR(__xludf.DUMMYFUNCTION("""COMPUTED_VALUE"""),255647411)</f>
        <v>255647411</v>
      </c>
      <c r="B1950" s="1" t="str">
        <f ca="1">IFERROR(__xludf.DUMMYFUNCTION("""COMPUTED_VALUE"""),"bryan@4sitestudios.com")</f>
        <v>bryan@4sitestudios.com</v>
      </c>
      <c r="C1950" s="4" t="str">
        <f ca="1">IFERROR(__xludf.DUMMYFUNCTION("""COMPUTED_VALUE"""),"UAN mid-page Lightbox - Step 1 of 4 - Landing Page")</f>
        <v>UAN mid-page Lightbox - Step 1 of 4 - Landing Page</v>
      </c>
      <c r="D1950" s="5">
        <f ca="1">IFERROR(__xludf.DUMMYFUNCTION("""COMPUTED_VALUE"""),45559)</f>
        <v>45559</v>
      </c>
      <c r="F1950" s="1" t="str">
        <f ca="1">IFERROR(__xludf.DUMMYFUNCTION("""COMPUTED_VALUE"""),"Tunisia")</f>
        <v>Tunisia</v>
      </c>
      <c r="G1950" s="1" t="str">
        <f ca="1">IFERROR(__xludf.DUMMYFUNCTION("""COMPUTED_VALUE"""),"Second 76.24 Tunisia")</f>
        <v>Second 76.24 Tunisia</v>
      </c>
      <c r="H1950" s="1" t="str">
        <f ca="1">IFERROR(__xludf.DUMMYFUNCTION("""COMPUTED_VALUE"""),"Freedom of Expression, Human Rights Defenders")</f>
        <v>Freedom of Expression, Human Rights Defenders</v>
      </c>
      <c r="I1950" s="1" t="str">
        <f ca="1">IFERROR(__xludf.DUMMYFUNCTION("""COMPUTED_VALUE"""),"2025")</f>
        <v>2025</v>
      </c>
      <c r="J1950" s="1" t="str">
        <f ca="1">IFERROR(__xludf.DUMMYFUNCTION("""COMPUTED_VALUE"""),"Email")</f>
        <v>Email</v>
      </c>
    </row>
    <row r="1951" spans="1:10" ht="13" x14ac:dyDescent="0.15">
      <c r="A1951" s="4">
        <f ca="1">IFERROR(__xludf.DUMMYFUNCTION("""COMPUTED_VALUE"""),255647411)</f>
        <v>255647411</v>
      </c>
      <c r="B1951" s="1" t="str">
        <f ca="1">IFERROR(__xludf.DUMMYFUNCTION("""COMPUTED_VALUE"""),"bryan@4sitestudios.com")</f>
        <v>bryan@4sitestudios.com</v>
      </c>
      <c r="C1951" s="4" t="str">
        <f ca="1">IFERROR(__xludf.DUMMYFUNCTION("""COMPUTED_VALUE"""),"UAN mid-page Lightbox - Step 1 of 4 - Landing Page")</f>
        <v>UAN mid-page Lightbox - Step 1 of 4 - Landing Page</v>
      </c>
      <c r="D1951" s="5">
        <f ca="1">IFERROR(__xludf.DUMMYFUNCTION("""COMPUTED_VALUE"""),45559)</f>
        <v>45559</v>
      </c>
      <c r="F1951" s="1" t="str">
        <f ca="1">IFERROR(__xludf.DUMMYFUNCTION("""COMPUTED_VALUE"""),"Tunisia")</f>
        <v>Tunisia</v>
      </c>
      <c r="G1951" s="1" t="str">
        <f ca="1">IFERROR(__xludf.DUMMYFUNCTION("""COMPUTED_VALUE"""),"Second 76.24 Tunisia")</f>
        <v>Second 76.24 Tunisia</v>
      </c>
      <c r="H1951" s="1" t="str">
        <f ca="1">IFERROR(__xludf.DUMMYFUNCTION("""COMPUTED_VALUE"""),"Freedom of Expression, Human Rights Defenders")</f>
        <v>Freedom of Expression, Human Rights Defenders</v>
      </c>
      <c r="I1951" s="1" t="str">
        <f ca="1">IFERROR(__xludf.DUMMYFUNCTION("""COMPUTED_VALUE"""),"2025")</f>
        <v>2025</v>
      </c>
      <c r="J1951" s="1" t="str">
        <f ca="1">IFERROR(__xludf.DUMMYFUNCTION("""COMPUTED_VALUE"""),"Email")</f>
        <v>Email</v>
      </c>
    </row>
    <row r="1952" spans="1:10" ht="13" x14ac:dyDescent="0.15">
      <c r="A1952" s="4">
        <f ca="1">IFERROR(__xludf.DUMMYFUNCTION("""COMPUTED_VALUE"""),255647411)</f>
        <v>255647411</v>
      </c>
      <c r="B1952" s="1" t="str">
        <f ca="1">IFERROR(__xludf.DUMMYFUNCTION("""COMPUTED_VALUE"""),"bryan@4sitestudios.com")</f>
        <v>bryan@4sitestudios.com</v>
      </c>
      <c r="C1952" s="4" t="str">
        <f ca="1">IFERROR(__xludf.DUMMYFUNCTION("""COMPUTED_VALUE"""),"UAN mid-page Lightbox - Step 1 of 4 - Landing Page")</f>
        <v>UAN mid-page Lightbox - Step 1 of 4 - Landing Page</v>
      </c>
      <c r="D1952" s="5">
        <f ca="1">IFERROR(__xludf.DUMMYFUNCTION("""COMPUTED_VALUE"""),45559)</f>
        <v>45559</v>
      </c>
      <c r="F1952" s="1" t="str">
        <f ca="1">IFERROR(__xludf.DUMMYFUNCTION("""COMPUTED_VALUE"""),"Tunisia")</f>
        <v>Tunisia</v>
      </c>
      <c r="G1952" s="1" t="str">
        <f ca="1">IFERROR(__xludf.DUMMYFUNCTION("""COMPUTED_VALUE"""),"Second 76.24 Tunisia")</f>
        <v>Second 76.24 Tunisia</v>
      </c>
      <c r="H1952" s="1" t="str">
        <f ca="1">IFERROR(__xludf.DUMMYFUNCTION("""COMPUTED_VALUE"""),"Freedom of Expression, Human Rights Defenders")</f>
        <v>Freedom of Expression, Human Rights Defenders</v>
      </c>
      <c r="I1952" s="1" t="str">
        <f ca="1">IFERROR(__xludf.DUMMYFUNCTION("""COMPUTED_VALUE"""),"2025")</f>
        <v>2025</v>
      </c>
      <c r="J1952" s="1" t="str">
        <f ca="1">IFERROR(__xludf.DUMMYFUNCTION("""COMPUTED_VALUE"""),"Email")</f>
        <v>Email</v>
      </c>
    </row>
    <row r="1953" spans="1:10" ht="13" x14ac:dyDescent="0.15">
      <c r="A1953" s="4">
        <f ca="1">IFERROR(__xludf.DUMMYFUNCTION("""COMPUTED_VALUE"""),255647411)</f>
        <v>255647411</v>
      </c>
      <c r="B1953" s="1" t="str">
        <f ca="1">IFERROR(__xludf.DUMMYFUNCTION("""COMPUTED_VALUE"""),"bryan@4sitestudios.com")</f>
        <v>bryan@4sitestudios.com</v>
      </c>
      <c r="C1953" s="4" t="str">
        <f ca="1">IFERROR(__xludf.DUMMYFUNCTION("""COMPUTED_VALUE"""),"UAN mid-page Lightbox - Step 1 of 4 - Landing Page")</f>
        <v>UAN mid-page Lightbox - Step 1 of 4 - Landing Page</v>
      </c>
      <c r="D1953" s="5">
        <f ca="1">IFERROR(__xludf.DUMMYFUNCTION("""COMPUTED_VALUE"""),45559)</f>
        <v>45559</v>
      </c>
      <c r="F1953" s="1" t="str">
        <f ca="1">IFERROR(__xludf.DUMMYFUNCTION("""COMPUTED_VALUE"""),"Tunisia")</f>
        <v>Tunisia</v>
      </c>
      <c r="G1953" s="1" t="str">
        <f ca="1">IFERROR(__xludf.DUMMYFUNCTION("""COMPUTED_VALUE"""),"Seventh 103.22 Iran")</f>
        <v>Seventh 103.22 Iran</v>
      </c>
      <c r="H1953" s="1" t="str">
        <f ca="1">IFERROR(__xludf.DUMMYFUNCTION("""COMPUTED_VALUE"""),"Death Penalty, Freedom of Expression, Individuals At Risk")</f>
        <v>Death Penalty, Freedom of Expression, Individuals At Risk</v>
      </c>
      <c r="I1953" s="1" t="str">
        <f ca="1">IFERROR(__xludf.DUMMYFUNCTION("""COMPUTED_VALUE"""),"2024")</f>
        <v>2024</v>
      </c>
      <c r="J1953" s="1" t="str">
        <f ca="1">IFERROR(__xludf.DUMMYFUNCTION("""COMPUTED_VALUE"""),"Email")</f>
        <v>Email</v>
      </c>
    </row>
    <row r="1954" spans="1:10" ht="13" x14ac:dyDescent="0.15">
      <c r="A1954" s="4">
        <f ca="1">IFERROR(__xludf.DUMMYFUNCTION("""COMPUTED_VALUE"""),255647411)</f>
        <v>255647411</v>
      </c>
      <c r="B1954" s="1" t="str">
        <f ca="1">IFERROR(__xludf.DUMMYFUNCTION("""COMPUTED_VALUE"""),"bryan@4sitestudios.com")</f>
        <v>bryan@4sitestudios.com</v>
      </c>
      <c r="C1954" s="4" t="str">
        <f ca="1">IFERROR(__xludf.DUMMYFUNCTION("""COMPUTED_VALUE"""),"UAN mid-page Lightbox - Step 1 of 4 - Landing Page")</f>
        <v>UAN mid-page Lightbox - Step 1 of 4 - Landing Page</v>
      </c>
      <c r="D1954" s="5">
        <f ca="1">IFERROR(__xludf.DUMMYFUNCTION("""COMPUTED_VALUE"""),45559)</f>
        <v>45559</v>
      </c>
      <c r="F1954" s="1" t="str">
        <f ca="1">IFERROR(__xludf.DUMMYFUNCTION("""COMPUTED_VALUE"""),"Iran")</f>
        <v>Iran</v>
      </c>
      <c r="G1954" s="1" t="str">
        <f ca="1">IFERROR(__xludf.DUMMYFUNCTION("""COMPUTED_VALUE"""),"3.25 IOPT")</f>
        <v>3.25 IOPT</v>
      </c>
      <c r="H1954" s="1" t="str">
        <f ca="1">IFERROR(__xludf.DUMMYFUNCTION("""COMPUTED_VALUE"""),"Freedom of Expression, Individuals At Risk")</f>
        <v>Freedom of Expression, Individuals At Risk</v>
      </c>
      <c r="I1954" s="1" t="str">
        <f ca="1">IFERROR(__xludf.DUMMYFUNCTION("""COMPUTED_VALUE"""),"2025")</f>
        <v>2025</v>
      </c>
      <c r="J1954" s="1" t="str">
        <f ca="1">IFERROR(__xludf.DUMMYFUNCTION("""COMPUTED_VALUE"""),"Email")</f>
        <v>Email</v>
      </c>
    </row>
    <row r="1955" spans="1:10" ht="13" x14ac:dyDescent="0.15">
      <c r="A1955" s="4">
        <f ca="1">IFERROR(__xludf.DUMMYFUNCTION("""COMPUTED_VALUE"""),255647411)</f>
        <v>255647411</v>
      </c>
      <c r="B1955" s="1" t="str">
        <f ca="1">IFERROR(__xludf.DUMMYFUNCTION("""COMPUTED_VALUE"""),"bryan@4sitestudios.com")</f>
        <v>bryan@4sitestudios.com</v>
      </c>
      <c r="C1955" s="4" t="str">
        <f ca="1">IFERROR(__xludf.DUMMYFUNCTION("""COMPUTED_VALUE"""),"UAN mid-page Lightbox - Step 1 of 4 - Landing Page")</f>
        <v>UAN mid-page Lightbox - Step 1 of 4 - Landing Page</v>
      </c>
      <c r="D1955" s="5">
        <f ca="1">IFERROR(__xludf.DUMMYFUNCTION("""COMPUTED_VALUE"""),45559)</f>
        <v>45559</v>
      </c>
      <c r="F1955" s="1" t="str">
        <f ca="1">IFERROR(__xludf.DUMMYFUNCTION("""COMPUTED_VALUE"""),"Israel and Occupied Palestinian Territories")</f>
        <v>Israel and Occupied Palestinian Territories</v>
      </c>
      <c r="G1955" s="1" t="str">
        <f ca="1">IFERROR(__xludf.DUMMYFUNCTION("""COMPUTED_VALUE"""),"Fourth 55.24 USA")</f>
        <v>Fourth 55.24 USA</v>
      </c>
      <c r="H1955" s="1" t="str">
        <f ca="1">IFERROR(__xludf.DUMMYFUNCTION("""COMPUTED_VALUE"""),"Climate Justice, Individuals At Risk")</f>
        <v>Climate Justice, Individuals At Risk</v>
      </c>
      <c r="I1955" s="1" t="str">
        <f ca="1">IFERROR(__xludf.DUMMYFUNCTION("""COMPUTED_VALUE"""),"2025")</f>
        <v>2025</v>
      </c>
      <c r="J1955" s="1" t="str">
        <f ca="1">IFERROR(__xludf.DUMMYFUNCTION("""COMPUTED_VALUE"""),"Email")</f>
        <v>Email</v>
      </c>
    </row>
    <row r="1956" spans="1:10" ht="13" x14ac:dyDescent="0.15">
      <c r="A1956" s="4">
        <f ca="1">IFERROR(__xludf.DUMMYFUNCTION("""COMPUTED_VALUE"""),255647411)</f>
        <v>255647411</v>
      </c>
      <c r="B1956" s="1" t="str">
        <f ca="1">IFERROR(__xludf.DUMMYFUNCTION("""COMPUTED_VALUE"""),"bryan@4sitestudios.com")</f>
        <v>bryan@4sitestudios.com</v>
      </c>
      <c r="C1956" s="4" t="str">
        <f ca="1">IFERROR(__xludf.DUMMYFUNCTION("""COMPUTED_VALUE"""),"UAN mid-page Lightbox - Step 1 of 4 - Landing Page")</f>
        <v>UAN mid-page Lightbox - Step 1 of 4 - Landing Page</v>
      </c>
      <c r="D1956" s="5">
        <f ca="1">IFERROR(__xludf.DUMMYFUNCTION("""COMPUTED_VALUE"""),45561)</f>
        <v>45561</v>
      </c>
      <c r="F1956" s="1" t="str">
        <f ca="1">IFERROR(__xludf.DUMMYFUNCTION("""COMPUTED_VALUE"""),"USA")</f>
        <v>USA</v>
      </c>
      <c r="G1956" s="1" t="str">
        <f ca="1">IFERROR(__xludf.DUMMYFUNCTION("""COMPUTED_VALUE"""),"4.25 USA")</f>
        <v>4.25 USA</v>
      </c>
      <c r="H1956" s="1" t="str">
        <f ca="1">IFERROR(__xludf.DUMMYFUNCTION("""COMPUTED_VALUE"""),"Individuals At Risk, Refugee and Migrant Rights")</f>
        <v>Individuals At Risk, Refugee and Migrant Rights</v>
      </c>
      <c r="I1956" s="1" t="str">
        <f ca="1">IFERROR(__xludf.DUMMYFUNCTION("""COMPUTED_VALUE"""),"2025")</f>
        <v>2025</v>
      </c>
      <c r="J1956" s="1" t="str">
        <f ca="1">IFERROR(__xludf.DUMMYFUNCTION("""COMPUTED_VALUE"""),"Letter")</f>
        <v>Letter</v>
      </c>
    </row>
    <row r="1957" spans="1:10" ht="13" x14ac:dyDescent="0.15">
      <c r="A1957" s="4">
        <f ca="1">IFERROR(__xludf.DUMMYFUNCTION("""COMPUTED_VALUE"""),255647411)</f>
        <v>255647411</v>
      </c>
      <c r="B1957" s="1" t="str">
        <f ca="1">IFERROR(__xludf.DUMMYFUNCTION("""COMPUTED_VALUE"""),"bryan@4sitestudios.com")</f>
        <v>bryan@4sitestudios.com</v>
      </c>
      <c r="C1957" s="4" t="str">
        <f ca="1">IFERROR(__xludf.DUMMYFUNCTION("""COMPUTED_VALUE"""),"UAN mid-page Lightbox - Step 2 of 4 - More personal info fields")</f>
        <v>UAN mid-page Lightbox - Step 2 of 4 - More personal info fields</v>
      </c>
      <c r="D1957" s="5">
        <f ca="1">IFERROR(__xludf.DUMMYFUNCTION("""COMPUTED_VALUE"""),45561)</f>
        <v>45561</v>
      </c>
      <c r="F1957" s="1" t="str">
        <f ca="1">IFERROR(__xludf.DUMMYFUNCTION("""COMPUTED_VALUE"""),"USA")</f>
        <v>USA</v>
      </c>
      <c r="G1957" s="1" t="str">
        <f ca="1">IFERROR(__xludf.DUMMYFUNCTION("""COMPUTED_VALUE"""),"4.25 USA")</f>
        <v>4.25 USA</v>
      </c>
      <c r="H1957" s="1" t="str">
        <f ca="1">IFERROR(__xludf.DUMMYFUNCTION("""COMPUTED_VALUE"""),"Individuals At Risk, Refugee and Migrant Rights")</f>
        <v>Individuals At Risk, Refugee and Migrant Rights</v>
      </c>
      <c r="I1957" s="1" t="str">
        <f ca="1">IFERROR(__xludf.DUMMYFUNCTION("""COMPUTED_VALUE"""),"2025")</f>
        <v>2025</v>
      </c>
      <c r="J1957" s="1" t="str">
        <f ca="1">IFERROR(__xludf.DUMMYFUNCTION("""COMPUTED_VALUE"""),"Letter")</f>
        <v>Letter</v>
      </c>
    </row>
    <row r="1958" spans="1:10" ht="13" x14ac:dyDescent="0.15">
      <c r="A1958" s="4">
        <f ca="1">IFERROR(__xludf.DUMMYFUNCTION("""COMPUTED_VALUE"""),255647411)</f>
        <v>255647411</v>
      </c>
      <c r="B1958" s="1" t="str">
        <f ca="1">IFERROR(__xludf.DUMMYFUNCTION("""COMPUTED_VALUE"""),"bryan@4sitestudios.com")</f>
        <v>bryan@4sitestudios.com</v>
      </c>
      <c r="C1958" s="4" t="str">
        <f ca="1">IFERROR(__xludf.DUMMYFUNCTION("""COMPUTED_VALUE"""),"UAN mid-page Lightbox - Step 2 of 4 - More personal info fields")</f>
        <v>UAN mid-page Lightbox - Step 2 of 4 - More personal info fields</v>
      </c>
      <c r="D1958" s="5">
        <f ca="1">IFERROR(__xludf.DUMMYFUNCTION("""COMPUTED_VALUE"""),45561)</f>
        <v>45561</v>
      </c>
      <c r="F1958" s="1" t="str">
        <f ca="1">IFERROR(__xludf.DUMMYFUNCTION("""COMPUTED_VALUE"""),"USA")</f>
        <v>USA</v>
      </c>
      <c r="G1958" s="1" t="str">
        <f ca="1">IFERROR(__xludf.DUMMYFUNCTION("""COMPUTED_VALUE"""),"98.24 China")</f>
        <v>98.24 China</v>
      </c>
      <c r="H1958" s="1" t="str">
        <f ca="1">IFERROR(__xludf.DUMMYFUNCTION("""COMPUTED_VALUE"""),"Freedom of Expression, Individuals At Risk")</f>
        <v>Freedom of Expression, Individuals At Risk</v>
      </c>
      <c r="I1958" s="1" t="str">
        <f ca="1">IFERROR(__xludf.DUMMYFUNCTION("""COMPUTED_VALUE"""),"2024")</f>
        <v>2024</v>
      </c>
      <c r="J1958" s="1" t="str">
        <f ca="1">IFERROR(__xludf.DUMMYFUNCTION("""COMPUTED_VALUE"""),"Letter")</f>
        <v>Letter</v>
      </c>
    </row>
    <row r="1959" spans="1:10" ht="13" x14ac:dyDescent="0.15">
      <c r="A1959" s="4">
        <f ca="1">IFERROR(__xludf.DUMMYFUNCTION("""COMPUTED_VALUE"""),255647411)</f>
        <v>255647411</v>
      </c>
      <c r="B1959" s="1" t="str">
        <f ca="1">IFERROR(__xludf.DUMMYFUNCTION("""COMPUTED_VALUE"""),"bryan@4sitestudios.com")</f>
        <v>bryan@4sitestudios.com</v>
      </c>
      <c r="C1959" s="4" t="str">
        <f ca="1">IFERROR(__xludf.DUMMYFUNCTION("""COMPUTED_VALUE"""),"UAN mid-page Lightbox - Step 2 of 4 - More personal info fields")</f>
        <v>UAN mid-page Lightbox - Step 2 of 4 - More personal info fields</v>
      </c>
      <c r="D1959" s="5">
        <f ca="1">IFERROR(__xludf.DUMMYFUNCTION("""COMPUTED_VALUE"""),45559)</f>
        <v>45559</v>
      </c>
      <c r="F1959" s="1" t="str">
        <f ca="1">IFERROR(__xludf.DUMMYFUNCTION("""COMPUTED_VALUE"""),"China")</f>
        <v>China</v>
      </c>
      <c r="G1959" s="1" t="str">
        <f ca="1">IFERROR(__xludf.DUMMYFUNCTION("""COMPUTED_VALUE"""),"105.24 USA")</f>
        <v>105.24 USA</v>
      </c>
      <c r="H1959" s="1" t="str">
        <f ca="1">IFERROR(__xludf.DUMMYFUNCTION("""COMPUTED_VALUE"""),"Death Penalty")</f>
        <v>Death Penalty</v>
      </c>
      <c r="I1959" s="1" t="str">
        <f ca="1">IFERROR(__xludf.DUMMYFUNCTION("""COMPUTED_VALUE"""),"2024")</f>
        <v>2024</v>
      </c>
      <c r="J1959" s="1" t="str">
        <f ca="1">IFERROR(__xludf.DUMMYFUNCTION("""COMPUTED_VALUE"""),"Email")</f>
        <v>Email</v>
      </c>
    </row>
    <row r="1960" spans="1:10" ht="13" x14ac:dyDescent="0.15">
      <c r="A1960" s="4">
        <f ca="1">IFERROR(__xludf.DUMMYFUNCTION("""COMPUTED_VALUE"""),255647411)</f>
        <v>255647411</v>
      </c>
      <c r="B1960" s="1" t="str">
        <f ca="1">IFERROR(__xludf.DUMMYFUNCTION("""COMPUTED_VALUE"""),"bryan@4sitestudios.com")</f>
        <v>bryan@4sitestudios.com</v>
      </c>
      <c r="C1960" s="4" t="str">
        <f ca="1">IFERROR(__xludf.DUMMYFUNCTION("""COMPUTED_VALUE"""),"UAN mid-page Lightbox - Step 2 of 4 - More personal info fields")</f>
        <v>UAN mid-page Lightbox - Step 2 of 4 - More personal info fields</v>
      </c>
      <c r="D1960" s="5">
        <f ca="1">IFERROR(__xludf.DUMMYFUNCTION("""COMPUTED_VALUE"""),45559)</f>
        <v>45559</v>
      </c>
      <c r="F1960" s="1" t="str">
        <f ca="1">IFERROR(__xludf.DUMMYFUNCTION("""COMPUTED_VALUE"""),"USA")</f>
        <v>USA</v>
      </c>
      <c r="G1960" s="1" t="str">
        <f ca="1">IFERROR(__xludf.DUMMYFUNCTION("""COMPUTED_VALUE"""),"Ninth 190.18 Egypt")</f>
        <v>Ninth 190.18 Egypt</v>
      </c>
      <c r="H1960" s="1" t="str">
        <f ca="1">IFERROR(__xludf.DUMMYFUNCTION("""COMPUTED_VALUE"""),"Freedom of Expression, Individuals At Risk")</f>
        <v>Freedom of Expression, Individuals At Risk</v>
      </c>
      <c r="I1960" s="1" t="str">
        <f ca="1">IFERROR(__xludf.DUMMYFUNCTION("""COMPUTED_VALUE"""),"2024")</f>
        <v>2024</v>
      </c>
      <c r="J1960" s="1" t="str">
        <f ca="1">IFERROR(__xludf.DUMMYFUNCTION("""COMPUTED_VALUE"""),"Letter")</f>
        <v>Letter</v>
      </c>
    </row>
    <row r="1961" spans="1:10" ht="13" x14ac:dyDescent="0.15">
      <c r="A1961" s="4">
        <f ca="1">IFERROR(__xludf.DUMMYFUNCTION("""COMPUTED_VALUE"""),255647411)</f>
        <v>255647411</v>
      </c>
      <c r="B1961" s="1" t="str">
        <f ca="1">IFERROR(__xludf.DUMMYFUNCTION("""COMPUTED_VALUE"""),"bryan@4sitestudios.com")</f>
        <v>bryan@4sitestudios.com</v>
      </c>
      <c r="C1961" s="4" t="str">
        <f ca="1">IFERROR(__xludf.DUMMYFUNCTION("""COMPUTED_VALUE"""),"UAN mid-page Lightbox - Step 2 of 4 - More personal info fields")</f>
        <v>UAN mid-page Lightbox - Step 2 of 4 - More personal info fields</v>
      </c>
      <c r="D1961" s="5">
        <f ca="1">IFERROR(__xludf.DUMMYFUNCTION("""COMPUTED_VALUE"""),45559)</f>
        <v>45559</v>
      </c>
      <c r="F1961" s="1" t="str">
        <f ca="1">IFERROR(__xludf.DUMMYFUNCTION("""COMPUTED_VALUE"""),"Egypt")</f>
        <v>Egypt</v>
      </c>
      <c r="G1961" s="1" t="str">
        <f ca="1">IFERROR(__xludf.DUMMYFUNCTION("""COMPUTED_VALUE"""),"11.25 Afghanistan")</f>
        <v>11.25 Afghanistan</v>
      </c>
      <c r="H1961" s="1" t="str">
        <f ca="1">IFERROR(__xludf.DUMMYFUNCTION("""COMPUTED_VALUE"""),"Freedom of Expression, Health, Individuals At Risk")</f>
        <v>Freedom of Expression, Health, Individuals At Risk</v>
      </c>
      <c r="I1961" s="1" t="str">
        <f ca="1">IFERROR(__xludf.DUMMYFUNCTION("""COMPUTED_VALUE"""),"2025")</f>
        <v>2025</v>
      </c>
      <c r="J1961" s="1" t="str">
        <f ca="1">IFERROR(__xludf.DUMMYFUNCTION("""COMPUTED_VALUE"""),"Email")</f>
        <v>Email</v>
      </c>
    </row>
    <row r="1962" spans="1:10" ht="13" x14ac:dyDescent="0.15">
      <c r="A1962" s="4">
        <f ca="1">IFERROR(__xludf.DUMMYFUNCTION("""COMPUTED_VALUE"""),255647411)</f>
        <v>255647411</v>
      </c>
      <c r="B1962" s="1" t="str">
        <f ca="1">IFERROR(__xludf.DUMMYFUNCTION("""COMPUTED_VALUE"""),"bryan@4sitestudios.com")</f>
        <v>bryan@4sitestudios.com</v>
      </c>
      <c r="C1962" s="4" t="str">
        <f ca="1">IFERROR(__xludf.DUMMYFUNCTION("""COMPUTED_VALUE"""),"UAN mid-page Lightbox - Step 2 of 4 - More personal info fields")</f>
        <v>UAN mid-page Lightbox - Step 2 of 4 - More personal info fields</v>
      </c>
      <c r="D1962" s="5">
        <f ca="1">IFERROR(__xludf.DUMMYFUNCTION("""COMPUTED_VALUE"""),45588)</f>
        <v>45588</v>
      </c>
      <c r="F1962" s="1" t="str">
        <f ca="1">IFERROR(__xludf.DUMMYFUNCTION("""COMPUTED_VALUE"""),"Afghanistan")</f>
        <v>Afghanistan</v>
      </c>
      <c r="G1962" s="1" t="str">
        <f ca="1">IFERROR(__xludf.DUMMYFUNCTION("""COMPUTED_VALUE"""),"97.24 Venezuela")</f>
        <v>97.24 Venezuela</v>
      </c>
      <c r="H1962" s="1" t="str">
        <f ca="1">IFERROR(__xludf.DUMMYFUNCTION("""COMPUTED_VALUE"""),"Freedom of Expression")</f>
        <v>Freedom of Expression</v>
      </c>
      <c r="I1962" s="1" t="str">
        <f ca="1">IFERROR(__xludf.DUMMYFUNCTION("""COMPUTED_VALUE"""),"2024")</f>
        <v>2024</v>
      </c>
      <c r="J1962" s="1" t="str">
        <f ca="1">IFERROR(__xludf.DUMMYFUNCTION("""COMPUTED_VALUE"""),"Letter")</f>
        <v>Letter</v>
      </c>
    </row>
    <row r="1963" spans="1:10" ht="13" x14ac:dyDescent="0.15">
      <c r="A1963" s="4">
        <f ca="1">IFERROR(__xludf.DUMMYFUNCTION("""COMPUTED_VALUE"""),255647411)</f>
        <v>255647411</v>
      </c>
      <c r="B1963" s="1" t="str">
        <f ca="1">IFERROR(__xludf.DUMMYFUNCTION("""COMPUTED_VALUE"""),"bryan@4sitestudios.com")</f>
        <v>bryan@4sitestudios.com</v>
      </c>
      <c r="C1963" s="4" t="str">
        <f ca="1">IFERROR(__xludf.DUMMYFUNCTION("""COMPUTED_VALUE"""),"UAN mid-page Lightbox - Step 2 of 4 - More personal info fields")</f>
        <v>UAN mid-page Lightbox - Step 2 of 4 - More personal info fields</v>
      </c>
      <c r="D1963" s="5">
        <f ca="1">IFERROR(__xludf.DUMMYFUNCTION("""COMPUTED_VALUE"""),45567)</f>
        <v>45567</v>
      </c>
      <c r="F1963" s="1" t="str">
        <f ca="1">IFERROR(__xludf.DUMMYFUNCTION("""COMPUTED_VALUE"""),"Venezuela")</f>
        <v>Venezuela</v>
      </c>
      <c r="G1963" s="1" t="str">
        <f ca="1">IFERROR(__xludf.DUMMYFUNCTION("""COMPUTED_VALUE"""),"Fifth 257.12")</f>
        <v>Fifth 257.12</v>
      </c>
      <c r="H1963" s="1" t="str">
        <f ca="1">IFERROR(__xludf.DUMMYFUNCTION("""COMPUTED_VALUE"""),"Freedom of Expression, Human Rights Defenders")</f>
        <v>Freedom of Expression, Human Rights Defenders</v>
      </c>
      <c r="I1963" s="1" t="str">
        <f ca="1">IFERROR(__xludf.DUMMYFUNCTION("""COMPUTED_VALUE"""),"2025")</f>
        <v>2025</v>
      </c>
      <c r="J1963" s="1" t="str">
        <f ca="1">IFERROR(__xludf.DUMMYFUNCTION("""COMPUTED_VALUE"""),"Email")</f>
        <v>Email</v>
      </c>
    </row>
    <row r="1964" spans="1:10" ht="13" x14ac:dyDescent="0.15">
      <c r="A1964" s="4">
        <f ca="1">IFERROR(__xludf.DUMMYFUNCTION("""COMPUTED_VALUE"""),255647411)</f>
        <v>255647411</v>
      </c>
      <c r="B1964" s="1" t="str">
        <f ca="1">IFERROR(__xludf.DUMMYFUNCTION("""COMPUTED_VALUE"""),"bryan@4sitestudios.com")</f>
        <v>bryan@4sitestudios.com</v>
      </c>
      <c r="C1964" s="4" t="str">
        <f ca="1">IFERROR(__xludf.DUMMYFUNCTION("""COMPUTED_VALUE"""),"UAN mid-page Lightbox - Step 2 of 4 - More personal info fields")</f>
        <v>UAN mid-page Lightbox - Step 2 of 4 - More personal info fields</v>
      </c>
      <c r="D1964" s="5">
        <f ca="1">IFERROR(__xludf.DUMMYFUNCTION("""COMPUTED_VALUE"""),45567)</f>
        <v>45567</v>
      </c>
      <c r="F1964" s="1" t="str">
        <f ca="1">IFERROR(__xludf.DUMMYFUNCTION("""COMPUTED_VALUE"""),"Saudi Arabia")</f>
        <v>Saudi Arabia</v>
      </c>
      <c r="G1964" s="1" t="str">
        <f ca="1">IFERROR(__xludf.DUMMYFUNCTION("""COMPUTED_VALUE"""),"9.25 Uganda")</f>
        <v>9.25 Uganda</v>
      </c>
      <c r="H1964" s="1" t="str">
        <f ca="1">IFERROR(__xludf.DUMMYFUNCTION("""COMPUTED_VALUE"""),"Freedom of Expression, Human Rights Defenders")</f>
        <v>Freedom of Expression, Human Rights Defenders</v>
      </c>
      <c r="I1964" s="1" t="str">
        <f ca="1">IFERROR(__xludf.DUMMYFUNCTION("""COMPUTED_VALUE"""),"2025")</f>
        <v>2025</v>
      </c>
      <c r="J1964" s="1" t="str">
        <f ca="1">IFERROR(__xludf.DUMMYFUNCTION("""COMPUTED_VALUE"""),"Email")</f>
        <v>Email</v>
      </c>
    </row>
    <row r="1965" spans="1:10" ht="13" x14ac:dyDescent="0.15">
      <c r="A1965" s="4">
        <f ca="1">IFERROR(__xludf.DUMMYFUNCTION("""COMPUTED_VALUE"""),255647411)</f>
        <v>255647411</v>
      </c>
      <c r="B1965" s="1" t="str">
        <f ca="1">IFERROR(__xludf.DUMMYFUNCTION("""COMPUTED_VALUE"""),"bryan@4sitestudios.com")</f>
        <v>bryan@4sitestudios.com</v>
      </c>
      <c r="C1965" s="4" t="str">
        <f ca="1">IFERROR(__xludf.DUMMYFUNCTION("""COMPUTED_VALUE"""),"UAN mid-page Lightbox - Step 2 of 4 - More personal info fields")</f>
        <v>UAN mid-page Lightbox - Step 2 of 4 - More personal info fields</v>
      </c>
      <c r="D1965" s="5">
        <f ca="1">IFERROR(__xludf.DUMMYFUNCTION("""COMPUTED_VALUE"""),45561)</f>
        <v>45561</v>
      </c>
      <c r="F1965" s="1" t="str">
        <f ca="1">IFERROR(__xludf.DUMMYFUNCTION("""COMPUTED_VALUE"""),"Uganda")</f>
        <v>Uganda</v>
      </c>
      <c r="G1965" s="1" t="str">
        <f ca="1">IFERROR(__xludf.DUMMYFUNCTION("""COMPUTED_VALUE"""),"12.25 Libya")</f>
        <v>12.25 Libya</v>
      </c>
      <c r="H1965" s="1" t="str">
        <f ca="1">IFERROR(__xludf.DUMMYFUNCTION("""COMPUTED_VALUE"""),"Freedom of Expression, Health, Individuals At Risk")</f>
        <v>Freedom of Expression, Health, Individuals At Risk</v>
      </c>
      <c r="I1965" s="1" t="str">
        <f ca="1">IFERROR(__xludf.DUMMYFUNCTION("""COMPUTED_VALUE"""),"2025")</f>
        <v>2025</v>
      </c>
      <c r="J1965" s="1" t="str">
        <f ca="1">IFERROR(__xludf.DUMMYFUNCTION("""COMPUTED_VALUE"""),"Email")</f>
        <v>Email</v>
      </c>
    </row>
    <row r="1966" spans="1:10" ht="13" x14ac:dyDescent="0.15">
      <c r="A1966" s="4">
        <f ca="1">IFERROR(__xludf.DUMMYFUNCTION("""COMPUTED_VALUE"""),255647411)</f>
        <v>255647411</v>
      </c>
      <c r="B1966" s="1" t="str">
        <f ca="1">IFERROR(__xludf.DUMMYFUNCTION("""COMPUTED_VALUE"""),"bryan@4sitestudios.com")</f>
        <v>bryan@4sitestudios.com</v>
      </c>
      <c r="C1966" s="4" t="str">
        <f ca="1">IFERROR(__xludf.DUMMYFUNCTION("""COMPUTED_VALUE"""),"UAN mid-page Lightbox - Step 2 of 4 - More personal info fields")</f>
        <v>UAN mid-page Lightbox - Step 2 of 4 - More personal info fields</v>
      </c>
      <c r="D1966" s="5">
        <f ca="1">IFERROR(__xludf.DUMMYFUNCTION("""COMPUTED_VALUE"""),45561)</f>
        <v>45561</v>
      </c>
      <c r="F1966" s="1" t="str">
        <f ca="1">IFERROR(__xludf.DUMMYFUNCTION("""COMPUTED_VALUE"""),"Libya")</f>
        <v>Libya</v>
      </c>
      <c r="G1966" s="1" t="str">
        <f ca="1">IFERROR(__xludf.DUMMYFUNCTION("""COMPUTED_VALUE"""),"10.25 Iran")</f>
        <v>10.25 Iran</v>
      </c>
      <c r="H1966" s="1" t="str">
        <f ca="1">IFERROR(__xludf.DUMMYFUNCTION("""COMPUTED_VALUE"""),"Death Penalty, Individuals At Risk")</f>
        <v>Death Penalty, Individuals At Risk</v>
      </c>
      <c r="I1966" s="1" t="str">
        <f ca="1">IFERROR(__xludf.DUMMYFUNCTION("""COMPUTED_VALUE"""),"2025")</f>
        <v>2025</v>
      </c>
      <c r="J1966" s="1" t="str">
        <f ca="1">IFERROR(__xludf.DUMMYFUNCTION("""COMPUTED_VALUE"""),"Email")</f>
        <v>Email</v>
      </c>
    </row>
    <row r="1967" spans="1:10" ht="13" x14ac:dyDescent="0.15">
      <c r="A1967" s="4">
        <f ca="1">IFERROR(__xludf.DUMMYFUNCTION("""COMPUTED_VALUE"""),255647411)</f>
        <v>255647411</v>
      </c>
      <c r="B1967" s="1" t="str">
        <f ca="1">IFERROR(__xludf.DUMMYFUNCTION("""COMPUTED_VALUE"""),"bryan@4sitestudios.com")</f>
        <v>bryan@4sitestudios.com</v>
      </c>
      <c r="C1967" s="4" t="str">
        <f ca="1">IFERROR(__xludf.DUMMYFUNCTION("""COMPUTED_VALUE"""),"UAN mid-page Lightbox - Step 2 of 4 - More personal info fields")</f>
        <v>UAN mid-page Lightbox - Step 2 of 4 - More personal info fields</v>
      </c>
      <c r="D1967" s="5">
        <f ca="1">IFERROR(__xludf.DUMMYFUNCTION("""COMPUTED_VALUE"""),45561)</f>
        <v>45561</v>
      </c>
      <c r="F1967" s="1" t="str">
        <f ca="1">IFERROR(__xludf.DUMMYFUNCTION("""COMPUTED_VALUE"""),"Iran")</f>
        <v>Iran</v>
      </c>
      <c r="G1967" s="1" t="str">
        <f ca="1">IFERROR(__xludf.DUMMYFUNCTION("""COMPUTED_VALUE"""),"Second 80.23 Egypt")</f>
        <v>Second 80.23 Egypt</v>
      </c>
      <c r="H1967" s="1" t="str">
        <f ca="1">IFERROR(__xludf.DUMMYFUNCTION("""COMPUTED_VALUE"""),"Health, Individuals At Risk")</f>
        <v>Health, Individuals At Risk</v>
      </c>
      <c r="I1967" s="1" t="str">
        <f ca="1">IFERROR(__xludf.DUMMYFUNCTION("""COMPUTED_VALUE"""),"2025")</f>
        <v>2025</v>
      </c>
      <c r="J1967" s="1" t="str">
        <f ca="1">IFERROR(__xludf.DUMMYFUNCTION("""COMPUTED_VALUE"""),"Email")</f>
        <v>Email</v>
      </c>
    </row>
    <row r="1968" spans="1:10" ht="13" x14ac:dyDescent="0.15">
      <c r="A1968" s="4">
        <f ca="1">IFERROR(__xludf.DUMMYFUNCTION("""COMPUTED_VALUE"""),255647411)</f>
        <v>255647411</v>
      </c>
      <c r="B1968" s="1" t="str">
        <f ca="1">IFERROR(__xludf.DUMMYFUNCTION("""COMPUTED_VALUE"""),"bryan@4sitestudios.com")</f>
        <v>bryan@4sitestudios.com</v>
      </c>
      <c r="C1968" s="4" t="str">
        <f ca="1">IFERROR(__xludf.DUMMYFUNCTION("""COMPUTED_VALUE"""),"UAN mid-page Lightbox - Step 3 of 4 - More opt-ins")</f>
        <v>UAN mid-page Lightbox - Step 3 of 4 - More opt-ins</v>
      </c>
      <c r="D1968" s="5">
        <f ca="1">IFERROR(__xludf.DUMMYFUNCTION("""COMPUTED_VALUE"""),45588)</f>
        <v>45588</v>
      </c>
      <c r="F1968" s="1" t="str">
        <f ca="1">IFERROR(__xludf.DUMMYFUNCTION("""COMPUTED_VALUE"""),"Egypt")</f>
        <v>Egypt</v>
      </c>
      <c r="G1968" s="1" t="str">
        <f ca="1">IFERROR(__xludf.DUMMYFUNCTION("""COMPUTED_VALUE"""),"Third 12.24 Colombia")</f>
        <v>Third 12.24 Colombia</v>
      </c>
      <c r="H1968" s="1" t="str">
        <f ca="1">IFERROR(__xludf.DUMMYFUNCTION("""COMPUTED_VALUE"""),"Human Rights Defenders, Individuals At Risk")</f>
        <v>Human Rights Defenders, Individuals At Risk</v>
      </c>
      <c r="I1968" s="1" t="str">
        <f ca="1">IFERROR(__xludf.DUMMYFUNCTION("""COMPUTED_VALUE"""),"2025")</f>
        <v>2025</v>
      </c>
      <c r="J1968" s="1" t="str">
        <f ca="1">IFERROR(__xludf.DUMMYFUNCTION("""COMPUTED_VALUE"""),"Email")</f>
        <v>Email</v>
      </c>
    </row>
    <row r="1969" spans="1:10" ht="13" x14ac:dyDescent="0.15">
      <c r="A1969" s="4">
        <f ca="1">IFERROR(__xludf.DUMMYFUNCTION("""COMPUTED_VALUE"""),255647411)</f>
        <v>255647411</v>
      </c>
      <c r="B1969" s="1" t="str">
        <f ca="1">IFERROR(__xludf.DUMMYFUNCTION("""COMPUTED_VALUE"""),"bryan@4sitestudios.com")</f>
        <v>bryan@4sitestudios.com</v>
      </c>
      <c r="C1969" s="4" t="str">
        <f ca="1">IFERROR(__xludf.DUMMYFUNCTION("""COMPUTED_VALUE"""),"UAN mid-page Lightbox - Step 3 of 4 - More opt-ins")</f>
        <v>UAN mid-page Lightbox - Step 3 of 4 - More opt-ins</v>
      </c>
      <c r="D1969" s="5">
        <f ca="1">IFERROR(__xludf.DUMMYFUNCTION("""COMPUTED_VALUE"""),45561)</f>
        <v>45561</v>
      </c>
      <c r="F1969" s="1" t="str">
        <f ca="1">IFERROR(__xludf.DUMMYFUNCTION("""COMPUTED_VALUE"""),"Colombia")</f>
        <v>Colombia</v>
      </c>
      <c r="G1969" s="1" t="str">
        <f ca="1">IFERROR(__xludf.DUMMYFUNCTION("""COMPUTED_VALUE"""),"Second 109.24 Türkiye")</f>
        <v>Second 109.24 Türkiye</v>
      </c>
      <c r="H1969" s="1" t="str">
        <f ca="1">IFERROR(__xludf.DUMMYFUNCTION("""COMPUTED_VALUE"""),"Human Rights Defenders")</f>
        <v>Human Rights Defenders</v>
      </c>
      <c r="I1969" s="1" t="str">
        <f ca="1">IFERROR(__xludf.DUMMYFUNCTION("""COMPUTED_VALUE"""),"2025")</f>
        <v>2025</v>
      </c>
      <c r="J1969" s="1" t="str">
        <f ca="1">IFERROR(__xludf.DUMMYFUNCTION("""COMPUTED_VALUE"""),"Email")</f>
        <v>Email</v>
      </c>
    </row>
    <row r="1970" spans="1:10" ht="13" x14ac:dyDescent="0.15">
      <c r="A1970" s="4">
        <f ca="1">IFERROR(__xludf.DUMMYFUNCTION("""COMPUTED_VALUE"""),255647411)</f>
        <v>255647411</v>
      </c>
      <c r="B1970" s="1" t="str">
        <f ca="1">IFERROR(__xludf.DUMMYFUNCTION("""COMPUTED_VALUE"""),"bryan@4sitestudios.com")</f>
        <v>bryan@4sitestudios.com</v>
      </c>
      <c r="C1970" s="4" t="str">
        <f ca="1">IFERROR(__xludf.DUMMYFUNCTION("""COMPUTED_VALUE"""),"UAN mid-page Lightbox - Step 3 of 4 - More opt-ins")</f>
        <v>UAN mid-page Lightbox - Step 3 of 4 - More opt-ins</v>
      </c>
      <c r="D1970" s="5">
        <f ca="1">IFERROR(__xludf.DUMMYFUNCTION("""COMPUTED_VALUE"""),45561)</f>
        <v>45561</v>
      </c>
      <c r="F1970" s="1" t="str">
        <f ca="1">IFERROR(__xludf.DUMMYFUNCTION("""COMPUTED_VALUE"""),"Turkiye")</f>
        <v>Turkiye</v>
      </c>
      <c r="G1970" s="1" t="str">
        <f ca="1">IFERROR(__xludf.DUMMYFUNCTION("""COMPUTED_VALUE"""),"Fourth 55.24 USA")</f>
        <v>Fourth 55.24 USA</v>
      </c>
      <c r="H1970" s="1" t="str">
        <f ca="1">IFERROR(__xludf.DUMMYFUNCTION("""COMPUTED_VALUE"""),"Climate Justice, Individuals At Risk")</f>
        <v>Climate Justice, Individuals At Risk</v>
      </c>
      <c r="I1970" s="1" t="str">
        <f ca="1">IFERROR(__xludf.DUMMYFUNCTION("""COMPUTED_VALUE"""),"2025")</f>
        <v>2025</v>
      </c>
      <c r="J1970" s="1" t="str">
        <f ca="1">IFERROR(__xludf.DUMMYFUNCTION("""COMPUTED_VALUE"""),"Email")</f>
        <v>Email</v>
      </c>
    </row>
    <row r="1971" spans="1:10" ht="13" x14ac:dyDescent="0.15">
      <c r="A1971" s="4">
        <f ca="1">IFERROR(__xludf.DUMMYFUNCTION("""COMPUTED_VALUE"""),255647411)</f>
        <v>255647411</v>
      </c>
      <c r="B1971" s="1" t="str">
        <f ca="1">IFERROR(__xludf.DUMMYFUNCTION("""COMPUTED_VALUE"""),"bryan@4sitestudios.com")</f>
        <v>bryan@4sitestudios.com</v>
      </c>
      <c r="C1971" s="4" t="str">
        <f ca="1">IFERROR(__xludf.DUMMYFUNCTION("""COMPUTED_VALUE"""),"UAN mid-page Lightbox - Step 3 of 4 - More opt-ins")</f>
        <v>UAN mid-page Lightbox - Step 3 of 4 - More opt-ins</v>
      </c>
      <c r="D1971" s="5">
        <f ca="1">IFERROR(__xludf.DUMMYFUNCTION("""COMPUTED_VALUE"""),45561)</f>
        <v>45561</v>
      </c>
      <c r="F1971" s="1" t="str">
        <f ca="1">IFERROR(__xludf.DUMMYFUNCTION("""COMPUTED_VALUE"""),"USA")</f>
        <v>USA</v>
      </c>
      <c r="G1971" s="1" t="str">
        <f ca="1">IFERROR(__xludf.DUMMYFUNCTION("""COMPUTED_VALUE"""),"Fourth 55.24 USA")</f>
        <v>Fourth 55.24 USA</v>
      </c>
      <c r="H1971" s="1" t="str">
        <f ca="1">IFERROR(__xludf.DUMMYFUNCTION("""COMPUTED_VALUE"""),"Climate Justice, Individuals At Risk")</f>
        <v>Climate Justice, Individuals At Risk</v>
      </c>
      <c r="I1971" s="1" t="str">
        <f ca="1">IFERROR(__xludf.DUMMYFUNCTION("""COMPUTED_VALUE"""),"2025")</f>
        <v>2025</v>
      </c>
      <c r="J1971" s="1" t="str">
        <f ca="1">IFERROR(__xludf.DUMMYFUNCTION("""COMPUTED_VALUE"""),"Email")</f>
        <v>Email</v>
      </c>
    </row>
    <row r="1972" spans="1:10" ht="13" x14ac:dyDescent="0.15">
      <c r="A1972" s="4">
        <f ca="1">IFERROR(__xludf.DUMMYFUNCTION("""COMPUTED_VALUE"""),255647411)</f>
        <v>255647411</v>
      </c>
      <c r="B1972" s="1" t="str">
        <f ca="1">IFERROR(__xludf.DUMMYFUNCTION("""COMPUTED_VALUE"""),"bryan@4sitestudios.com")</f>
        <v>bryan@4sitestudios.com</v>
      </c>
      <c r="C1972" s="4" t="str">
        <f ca="1">IFERROR(__xludf.DUMMYFUNCTION("""COMPUTED_VALUE"""),"UAN mid-page Lightbox - Step 3 of 4 - More opt-ins")</f>
        <v>UAN mid-page Lightbox - Step 3 of 4 - More opt-ins</v>
      </c>
      <c r="D1972" s="5">
        <f ca="1">IFERROR(__xludf.DUMMYFUNCTION("""COMPUTED_VALUE"""),45561)</f>
        <v>45561</v>
      </c>
      <c r="F1972" s="1" t="str">
        <f ca="1">IFERROR(__xludf.DUMMYFUNCTION("""COMPUTED_VALUE"""),"USA")</f>
        <v>USA</v>
      </c>
      <c r="G1972" s="1" t="str">
        <f ca="1">IFERROR(__xludf.DUMMYFUNCTION("""COMPUTED_VALUE"""),"1.25 Venezuela")</f>
        <v>1.25 Venezuela</v>
      </c>
      <c r="H1972" s="1" t="str">
        <f ca="1">IFERROR(__xludf.DUMMYFUNCTION("""COMPUTED_VALUE"""),"Human Rights Defenders, Individuals At Risk")</f>
        <v>Human Rights Defenders, Individuals At Risk</v>
      </c>
      <c r="I1972" s="1" t="str">
        <f ca="1">IFERROR(__xludf.DUMMYFUNCTION("""COMPUTED_VALUE"""),"2025")</f>
        <v>2025</v>
      </c>
      <c r="J1972" s="1" t="str">
        <f ca="1">IFERROR(__xludf.DUMMYFUNCTION("""COMPUTED_VALUE"""),"Letter")</f>
        <v>Letter</v>
      </c>
    </row>
    <row r="1973" spans="1:10" ht="13" x14ac:dyDescent="0.15">
      <c r="A1973" s="4">
        <f ca="1">IFERROR(__xludf.DUMMYFUNCTION("""COMPUTED_VALUE"""),257952563)</f>
        <v>257952563</v>
      </c>
      <c r="B1973" s="1" t="str">
        <f ca="1">IFERROR(__xludf.DUMMYFUNCTION("""COMPUTED_VALUE"""),"gwampfler2@earthlink.net")</f>
        <v>gwampfler2@earthlink.net</v>
      </c>
      <c r="C1973" s="4" t="str">
        <f ca="1">IFERROR(__xludf.DUMMYFUNCTION("""COMPUTED_VALUE"""),"EVERGREEN - UAN Gated Content - Embedded Petition")</f>
        <v>EVERGREEN - UAN Gated Content - Embedded Petition</v>
      </c>
      <c r="D1973" s="5">
        <f ca="1">IFERROR(__xludf.DUMMYFUNCTION("""COMPUTED_VALUE"""),45695)</f>
        <v>45695</v>
      </c>
      <c r="F1973" s="1" t="str">
        <f ca="1">IFERROR(__xludf.DUMMYFUNCTION("""COMPUTED_VALUE"""),"Venezuela")</f>
        <v>Venezuela</v>
      </c>
      <c r="G1973" s="1" t="str">
        <f ca="1">IFERROR(__xludf.DUMMYFUNCTION("""COMPUTED_VALUE"""),"11.25 Afghanistan")</f>
        <v>11.25 Afghanistan</v>
      </c>
      <c r="H1973" s="1" t="str">
        <f ca="1">IFERROR(__xludf.DUMMYFUNCTION("""COMPUTED_VALUE"""),"Freedom of Expression, Health, Individuals At Risk")</f>
        <v>Freedom of Expression, Health, Individuals At Risk</v>
      </c>
      <c r="I1973" s="1" t="str">
        <f ca="1">IFERROR(__xludf.DUMMYFUNCTION("""COMPUTED_VALUE"""),"2025")</f>
        <v>2025</v>
      </c>
      <c r="J1973" s="1" t="str">
        <f ca="1">IFERROR(__xludf.DUMMYFUNCTION("""COMPUTED_VALUE"""),"Email")</f>
        <v>Email</v>
      </c>
    </row>
    <row r="1974" spans="1:10" ht="13" x14ac:dyDescent="0.15">
      <c r="A1974" s="4">
        <f ca="1">IFERROR(__xludf.DUMMYFUNCTION("""COMPUTED_VALUE"""),257952563)</f>
        <v>257952563</v>
      </c>
      <c r="B1974" s="1" t="str">
        <f ca="1">IFERROR(__xludf.DUMMYFUNCTION("""COMPUTED_VALUE"""),"gwampfler2@earthlink.net")</f>
        <v>gwampfler2@earthlink.net</v>
      </c>
      <c r="C1974" s="4" t="str">
        <f ca="1">IFERROR(__xludf.DUMMYFUNCTION("""COMPUTED_VALUE"""),"EVERGREEN - UAN Gated Content - Embedded Petition")</f>
        <v>EVERGREEN - UAN Gated Content - Embedded Petition</v>
      </c>
      <c r="D1974" s="5">
        <f ca="1">IFERROR(__xludf.DUMMYFUNCTION("""COMPUTED_VALUE"""),45638)</f>
        <v>45638</v>
      </c>
      <c r="F1974" s="1" t="str">
        <f ca="1">IFERROR(__xludf.DUMMYFUNCTION("""COMPUTED_VALUE"""),"Afghanistan")</f>
        <v>Afghanistan</v>
      </c>
      <c r="G1974" s="1" t="str">
        <f ca="1">IFERROR(__xludf.DUMMYFUNCTION("""COMPUTED_VALUE"""),"97.24 Venezuela")</f>
        <v>97.24 Venezuela</v>
      </c>
      <c r="H1974" s="1" t="str">
        <f ca="1">IFERROR(__xludf.DUMMYFUNCTION("""COMPUTED_VALUE"""),"Freedom of Expression")</f>
        <v>Freedom of Expression</v>
      </c>
      <c r="I1974" s="1" t="str">
        <f ca="1">IFERROR(__xludf.DUMMYFUNCTION("""COMPUTED_VALUE"""),"2024")</f>
        <v>2024</v>
      </c>
      <c r="J1974" s="1" t="str">
        <f ca="1">IFERROR(__xludf.DUMMYFUNCTION("""COMPUTED_VALUE"""),"Letter")</f>
        <v>Letter</v>
      </c>
    </row>
    <row r="1975" spans="1:10" ht="13" x14ac:dyDescent="0.15">
      <c r="A1975" s="4">
        <f ca="1">IFERROR(__xludf.DUMMYFUNCTION("""COMPUTED_VALUE"""),257952563)</f>
        <v>257952563</v>
      </c>
      <c r="B1975" s="1" t="str">
        <f ca="1">IFERROR(__xludf.DUMMYFUNCTION("""COMPUTED_VALUE"""),"gwampfler2@earthlink.net")</f>
        <v>gwampfler2@earthlink.net</v>
      </c>
      <c r="C1975" s="4" t="str">
        <f ca="1">IFERROR(__xludf.DUMMYFUNCTION("""COMPUTED_VALUE"""),"EVERGREEN - UAN Gated Content - Embedded Petition")</f>
        <v>EVERGREEN - UAN Gated Content - Embedded Petition</v>
      </c>
      <c r="D1975" s="5">
        <f ca="1">IFERROR(__xludf.DUMMYFUNCTION("""COMPUTED_VALUE"""),45695)</f>
        <v>45695</v>
      </c>
      <c r="F1975" s="1" t="str">
        <f ca="1">IFERROR(__xludf.DUMMYFUNCTION("""COMPUTED_VALUE"""),"Venezuela")</f>
        <v>Venezuela</v>
      </c>
      <c r="G1975" s="1" t="str">
        <f ca="1">IFERROR(__xludf.DUMMYFUNCTION("""COMPUTED_VALUE"""),"Fourth 55.24 USA")</f>
        <v>Fourth 55.24 USA</v>
      </c>
      <c r="H1975" s="1" t="str">
        <f ca="1">IFERROR(__xludf.DUMMYFUNCTION("""COMPUTED_VALUE"""),"Climate Justice, Individuals At Risk")</f>
        <v>Climate Justice, Individuals At Risk</v>
      </c>
      <c r="I1975" s="1" t="str">
        <f ca="1">IFERROR(__xludf.DUMMYFUNCTION("""COMPUTED_VALUE"""),"2025")</f>
        <v>2025</v>
      </c>
      <c r="J1975" s="1" t="str">
        <f ca="1">IFERROR(__xludf.DUMMYFUNCTION("""COMPUTED_VALUE"""),"Email")</f>
        <v>Email</v>
      </c>
    </row>
    <row r="1976" spans="1:10" ht="13" x14ac:dyDescent="0.15">
      <c r="A1976" s="4">
        <f ca="1">IFERROR(__xludf.DUMMYFUNCTION("""COMPUTED_VALUE"""),257952563)</f>
        <v>257952563</v>
      </c>
      <c r="B1976" s="1" t="str">
        <f ca="1">IFERROR(__xludf.DUMMYFUNCTION("""COMPUTED_VALUE"""),"gwampfler2@earthlink.net")</f>
        <v>gwampfler2@earthlink.net</v>
      </c>
      <c r="C1976" s="4" t="str">
        <f ca="1">IFERROR(__xludf.DUMMYFUNCTION("""COMPUTED_VALUE"""),"EVERGREEN - UAN Gated Content - Embedded Petition")</f>
        <v>EVERGREEN - UAN Gated Content - Embedded Petition</v>
      </c>
      <c r="D1976" s="5">
        <f ca="1">IFERROR(__xludf.DUMMYFUNCTION("""COMPUTED_VALUE"""),45616)</f>
        <v>45616</v>
      </c>
      <c r="F1976" s="1" t="str">
        <f ca="1">IFERROR(__xludf.DUMMYFUNCTION("""COMPUTED_VALUE"""),"USA")</f>
        <v>USA</v>
      </c>
      <c r="G1976" s="1" t="str">
        <f ca="1">IFERROR(__xludf.DUMMYFUNCTION("""COMPUTED_VALUE"""),"Fourth 55.24 USA")</f>
        <v>Fourth 55.24 USA</v>
      </c>
      <c r="H1976" s="1" t="str">
        <f ca="1">IFERROR(__xludf.DUMMYFUNCTION("""COMPUTED_VALUE"""),"Climate Justice, Individuals At Risk")</f>
        <v>Climate Justice, Individuals At Risk</v>
      </c>
      <c r="I1976" s="1" t="str">
        <f ca="1">IFERROR(__xludf.DUMMYFUNCTION("""COMPUTED_VALUE"""),"2025")</f>
        <v>2025</v>
      </c>
      <c r="J1976" s="1" t="str">
        <f ca="1">IFERROR(__xludf.DUMMYFUNCTION("""COMPUTED_VALUE"""),"Email")</f>
        <v>Email</v>
      </c>
    </row>
    <row r="1977" spans="1:10" ht="13" x14ac:dyDescent="0.15">
      <c r="A1977" s="4">
        <f ca="1">IFERROR(__xludf.DUMMYFUNCTION("""COMPUTED_VALUE"""),257952563)</f>
        <v>257952563</v>
      </c>
      <c r="B1977" s="1" t="str">
        <f ca="1">IFERROR(__xludf.DUMMYFUNCTION("""COMPUTED_VALUE"""),"gwampfler2@earthlink.net")</f>
        <v>gwampfler2@earthlink.net</v>
      </c>
      <c r="C1977" s="4" t="str">
        <f ca="1">IFERROR(__xludf.DUMMYFUNCTION("""COMPUTED_VALUE"""),"EVERGREEN - UAN Gated Content - Embedded Petition")</f>
        <v>EVERGREEN - UAN Gated Content - Embedded Petition</v>
      </c>
      <c r="D1977" s="5">
        <f ca="1">IFERROR(__xludf.DUMMYFUNCTION("""COMPUTED_VALUE"""),45691)</f>
        <v>45691</v>
      </c>
      <c r="F1977" s="1" t="str">
        <f ca="1">IFERROR(__xludf.DUMMYFUNCTION("""COMPUTED_VALUE"""),"USA")</f>
        <v>USA</v>
      </c>
      <c r="G1977" s="1" t="str">
        <f ca="1">IFERROR(__xludf.DUMMYFUNCTION("""COMPUTED_VALUE"""),"Fourth 55.24 USA")</f>
        <v>Fourth 55.24 USA</v>
      </c>
      <c r="H1977" s="1" t="str">
        <f ca="1">IFERROR(__xludf.DUMMYFUNCTION("""COMPUTED_VALUE"""),"Climate Justice, Individuals At Risk")</f>
        <v>Climate Justice, Individuals At Risk</v>
      </c>
      <c r="I1977" s="1" t="str">
        <f ca="1">IFERROR(__xludf.DUMMYFUNCTION("""COMPUTED_VALUE"""),"2025")</f>
        <v>2025</v>
      </c>
      <c r="J1977" s="1" t="str">
        <f ca="1">IFERROR(__xludf.DUMMYFUNCTION("""COMPUTED_VALUE"""),"Email")</f>
        <v>Email</v>
      </c>
    </row>
    <row r="1978" spans="1:10" ht="13" x14ac:dyDescent="0.15">
      <c r="A1978" s="4">
        <f ca="1">IFERROR(__xludf.DUMMYFUNCTION("""COMPUTED_VALUE"""),257952563)</f>
        <v>257952563</v>
      </c>
      <c r="B1978" s="1" t="str">
        <f ca="1">IFERROR(__xludf.DUMMYFUNCTION("""COMPUTED_VALUE"""),"gwampfler2@earthlink.net")</f>
        <v>gwampfler2@earthlink.net</v>
      </c>
      <c r="C1978" s="4" t="str">
        <f ca="1">IFERROR(__xludf.DUMMYFUNCTION("""COMPUTED_VALUE"""),"EVERGREEN - UAN Gated Content - Embedded Petition")</f>
        <v>EVERGREEN - UAN Gated Content - Embedded Petition</v>
      </c>
      <c r="D1978" s="5">
        <f ca="1">IFERROR(__xludf.DUMMYFUNCTION("""COMPUTED_VALUE"""),45638)</f>
        <v>45638</v>
      </c>
      <c r="F1978" s="1" t="str">
        <f ca="1">IFERROR(__xludf.DUMMYFUNCTION("""COMPUTED_VALUE"""),"USA")</f>
        <v>USA</v>
      </c>
      <c r="G1978" s="1" t="str">
        <f ca="1">IFERROR(__xludf.DUMMYFUNCTION("""COMPUTED_VALUE"""),"107.24 Singapore")</f>
        <v>107.24 Singapore</v>
      </c>
      <c r="H1978" s="1" t="str">
        <f ca="1">IFERROR(__xludf.DUMMYFUNCTION("""COMPUTED_VALUE"""),"Death Penalty")</f>
        <v>Death Penalty</v>
      </c>
      <c r="I1978" s="1" t="str">
        <f ca="1">IFERROR(__xludf.DUMMYFUNCTION("""COMPUTED_VALUE"""),"2024")</f>
        <v>2024</v>
      </c>
      <c r="J1978" s="1" t="str">
        <f ca="1">IFERROR(__xludf.DUMMYFUNCTION("""COMPUTED_VALUE"""),"Email")</f>
        <v>Email</v>
      </c>
    </row>
    <row r="1979" spans="1:10" ht="13" x14ac:dyDescent="0.15">
      <c r="A1979" s="4">
        <f ca="1">IFERROR(__xludf.DUMMYFUNCTION("""COMPUTED_VALUE"""),257952563)</f>
        <v>257952563</v>
      </c>
      <c r="B1979" s="1" t="str">
        <f ca="1">IFERROR(__xludf.DUMMYFUNCTION("""COMPUTED_VALUE"""),"gwampfler2@earthlink.net")</f>
        <v>gwampfler2@earthlink.net</v>
      </c>
      <c r="C1979" s="4" t="str">
        <f ca="1">IFERROR(__xludf.DUMMYFUNCTION("""COMPUTED_VALUE"""),"EVERGREEN - Website Email Capture Form - UAN Pre-Footer")</f>
        <v>EVERGREEN - Website Email Capture Form - UAN Pre-Footer</v>
      </c>
      <c r="D1979" s="5">
        <f ca="1">IFERROR(__xludf.DUMMYFUNCTION("""COMPUTED_VALUE"""),45695)</f>
        <v>45695</v>
      </c>
      <c r="F1979" s="1" t="str">
        <f ca="1">IFERROR(__xludf.DUMMYFUNCTION("""COMPUTED_VALUE"""),"Singapore")</f>
        <v>Singapore</v>
      </c>
      <c r="G1979" s="1" t="str">
        <f ca="1">IFERROR(__xludf.DUMMYFUNCTION("""COMPUTED_VALUE"""),"Second 43.24 Tunisia")</f>
        <v>Second 43.24 Tunisia</v>
      </c>
      <c r="H1979" s="1" t="str">
        <f ca="1">IFERROR(__xludf.DUMMYFUNCTION("""COMPUTED_VALUE"""),"Freedom of Expression, Individuals At Risk")</f>
        <v>Freedom of Expression, Individuals At Risk</v>
      </c>
      <c r="I1979" s="1" t="str">
        <f ca="1">IFERROR(__xludf.DUMMYFUNCTION("""COMPUTED_VALUE"""),"2024")</f>
        <v>2024</v>
      </c>
      <c r="J1979" s="1" t="str">
        <f ca="1">IFERROR(__xludf.DUMMYFUNCTION("""COMPUTED_VALUE"""),"Email")</f>
        <v>Email</v>
      </c>
    </row>
    <row r="1980" spans="1:10" ht="13" x14ac:dyDescent="0.15">
      <c r="A1980" s="4">
        <f ca="1">IFERROR(__xludf.DUMMYFUNCTION("""COMPUTED_VALUE"""),257952563)</f>
        <v>257952563</v>
      </c>
      <c r="B1980" s="1" t="str">
        <f ca="1">IFERROR(__xludf.DUMMYFUNCTION("""COMPUTED_VALUE"""),"gwampfler2@earthlink.net")</f>
        <v>gwampfler2@earthlink.net</v>
      </c>
      <c r="C1980" s="4" t="str">
        <f ca="1">IFERROR(__xludf.DUMMYFUNCTION("""COMPUTED_VALUE"""),"EVERGREEN - Website Email Capture Form - UAN Pre-Footer")</f>
        <v>EVERGREEN - Website Email Capture Form - UAN Pre-Footer</v>
      </c>
      <c r="D1980" s="5">
        <f ca="1">IFERROR(__xludf.DUMMYFUNCTION("""COMPUTED_VALUE"""),45675)</f>
        <v>45675</v>
      </c>
      <c r="F1980" s="1" t="str">
        <f ca="1">IFERROR(__xludf.DUMMYFUNCTION("""COMPUTED_VALUE"""),"Tunisia")</f>
        <v>Tunisia</v>
      </c>
      <c r="G1980" s="1" t="str">
        <f ca="1">IFERROR(__xludf.DUMMYFUNCTION("""COMPUTED_VALUE"""),"103.24 Niger")</f>
        <v>103.24 Niger</v>
      </c>
      <c r="H1980" s="1" t="str">
        <f ca="1">IFERROR(__xludf.DUMMYFUNCTION("""COMPUTED_VALUE"""),"Freedom of Expression, Human Rights Defenders")</f>
        <v>Freedom of Expression, Human Rights Defenders</v>
      </c>
      <c r="I1980" s="1" t="str">
        <f ca="1">IFERROR(__xludf.DUMMYFUNCTION("""COMPUTED_VALUE"""),"2024")</f>
        <v>2024</v>
      </c>
      <c r="J1980" s="1" t="str">
        <f ca="1">IFERROR(__xludf.DUMMYFUNCTION("""COMPUTED_VALUE"""),"Email")</f>
        <v>Email</v>
      </c>
    </row>
    <row r="1981" spans="1:10" ht="13" x14ac:dyDescent="0.15">
      <c r="A1981" s="4">
        <f ca="1">IFERROR(__xludf.DUMMYFUNCTION("""COMPUTED_VALUE"""),258879313)</f>
        <v>258879313</v>
      </c>
      <c r="B1981" s="1" t="str">
        <f ca="1">IFERROR(__xludf.DUMMYFUNCTION("""COMPUTED_VALUE"""),"mhardy@ara.com")</f>
        <v>mhardy@ara.com</v>
      </c>
      <c r="C1981" s="4" t="str">
        <f ca="1">IFERROR(__xludf.DUMMYFUNCTION("""COMPUTED_VALUE"""),"EVERGREEN - UAN Gated Content - Embedded Petition")</f>
        <v>EVERGREEN - UAN Gated Content - Embedded Petition</v>
      </c>
      <c r="D1981" s="5">
        <f ca="1">IFERROR(__xludf.DUMMYFUNCTION("""COMPUTED_VALUE"""),45674)</f>
        <v>45674</v>
      </c>
      <c r="F1981" s="1" t="str">
        <f ca="1">IFERROR(__xludf.DUMMYFUNCTION("""COMPUTED_VALUE"""),"Niger")</f>
        <v>Niger</v>
      </c>
      <c r="G1981" s="1" t="str">
        <f ca="1">IFERROR(__xludf.DUMMYFUNCTION("""COMPUTED_VALUE"""),"109.24 Türkiye")</f>
        <v>109.24 Türkiye</v>
      </c>
      <c r="H1981" s="1" t="str">
        <f ca="1">IFERROR(__xludf.DUMMYFUNCTION("""COMPUTED_VALUE"""),"Human Rights Defenders, Individuals At Risk")</f>
        <v>Human Rights Defenders, Individuals At Risk</v>
      </c>
      <c r="I1981" s="1" t="str">
        <f ca="1">IFERROR(__xludf.DUMMYFUNCTION("""COMPUTED_VALUE"""),"2024")</f>
        <v>2024</v>
      </c>
      <c r="J1981" s="1" t="str">
        <f ca="1">IFERROR(__xludf.DUMMYFUNCTION("""COMPUTED_VALUE"""),"Email")</f>
        <v>Email</v>
      </c>
    </row>
    <row r="1982" spans="1:10" ht="13" x14ac:dyDescent="0.15">
      <c r="A1982" s="4">
        <f ca="1">IFERROR(__xludf.DUMMYFUNCTION("""COMPUTED_VALUE"""),258879313)</f>
        <v>258879313</v>
      </c>
      <c r="B1982" s="1" t="str">
        <f ca="1">IFERROR(__xludf.DUMMYFUNCTION("""COMPUTED_VALUE"""),"mhardy@ara.com")</f>
        <v>mhardy@ara.com</v>
      </c>
      <c r="C1982" s="4" t="str">
        <f ca="1">IFERROR(__xludf.DUMMYFUNCTION("""COMPUTED_VALUE"""),"EVERGREEN - UAN Gated Content - Embedded Petition")</f>
        <v>EVERGREEN - UAN Gated Content - Embedded Petition</v>
      </c>
      <c r="D1982" s="5">
        <f ca="1">IFERROR(__xludf.DUMMYFUNCTION("""COMPUTED_VALUE"""),45674)</f>
        <v>45674</v>
      </c>
      <c r="F1982" s="1" t="str">
        <f ca="1">IFERROR(__xludf.DUMMYFUNCTION("""COMPUTED_VALUE"""),"Turkiye")</f>
        <v>Turkiye</v>
      </c>
      <c r="G1982" s="1" t="str">
        <f ca="1">IFERROR(__xludf.DUMMYFUNCTION("""COMPUTED_VALUE"""),"Third 73.23 Egypt")</f>
        <v>Third 73.23 Egypt</v>
      </c>
      <c r="H1982" s="1" t="str">
        <f ca="1">IFERROR(__xludf.DUMMYFUNCTION("""COMPUTED_VALUE"""),"Individuals At Risk")</f>
        <v>Individuals At Risk</v>
      </c>
      <c r="I1982" s="1" t="str">
        <f ca="1">IFERROR(__xludf.DUMMYFUNCTION("""COMPUTED_VALUE"""),"2024")</f>
        <v>2024</v>
      </c>
      <c r="J1982" s="1" t="str">
        <f ca="1">IFERROR(__xludf.DUMMYFUNCTION("""COMPUTED_VALUE"""),"Email")</f>
        <v>Email</v>
      </c>
    </row>
    <row r="1983" spans="1:10" ht="13" x14ac:dyDescent="0.15">
      <c r="A1983" s="4">
        <f ca="1">IFERROR(__xludf.DUMMYFUNCTION("""COMPUTED_VALUE"""),258879455)</f>
        <v>258879455</v>
      </c>
      <c r="B1983" s="1" t="str">
        <f ca="1">IFERROR(__xludf.DUMMYFUNCTION("""COMPUTED_VALUE"""),"jkelsberg@gmail.com")</f>
        <v>jkelsberg@gmail.com</v>
      </c>
      <c r="C1983" s="4" t="str">
        <f ca="1">IFERROR(__xludf.DUMMYFUNCTION("""COMPUTED_VALUE"""),"EVERGREEN - UAN Gated Content - Embedded Petition")</f>
        <v>EVERGREEN - UAN Gated Content - Embedded Petition</v>
      </c>
      <c r="D1983" s="5">
        <f ca="1">IFERROR(__xludf.DUMMYFUNCTION("""COMPUTED_VALUE"""),45694)</f>
        <v>45694</v>
      </c>
      <c r="F1983" s="1" t="str">
        <f ca="1">IFERROR(__xludf.DUMMYFUNCTION("""COMPUTED_VALUE"""),"Egypt")</f>
        <v>Egypt</v>
      </c>
      <c r="G1983" s="1" t="str">
        <f ca="1">IFERROR(__xludf.DUMMYFUNCTION("""COMPUTED_VALUE"""),"Third 73.23 Egypt")</f>
        <v>Third 73.23 Egypt</v>
      </c>
      <c r="H1983" s="1" t="str">
        <f ca="1">IFERROR(__xludf.DUMMYFUNCTION("""COMPUTED_VALUE"""),"Individuals At Risk")</f>
        <v>Individuals At Risk</v>
      </c>
      <c r="I1983" s="1" t="str">
        <f ca="1">IFERROR(__xludf.DUMMYFUNCTION("""COMPUTED_VALUE"""),"2024")</f>
        <v>2024</v>
      </c>
      <c r="J1983" s="1" t="str">
        <f ca="1">IFERROR(__xludf.DUMMYFUNCTION("""COMPUTED_VALUE"""),"Email")</f>
        <v>Email</v>
      </c>
    </row>
    <row r="1984" spans="1:10" ht="13" x14ac:dyDescent="0.15">
      <c r="A1984" s="4">
        <f ca="1">IFERROR(__xludf.DUMMYFUNCTION("""COMPUTED_VALUE"""),258882406)</f>
        <v>258882406</v>
      </c>
      <c r="B1984" s="1" t="str">
        <f ca="1">IFERROR(__xludf.DUMMYFUNCTION("""COMPUTED_VALUE"""),"political.lsdp@gmail.com")</f>
        <v>political.lsdp@gmail.com</v>
      </c>
      <c r="C1984" s="4" t="str">
        <f ca="1">IFERROR(__xludf.DUMMYFUNCTION("""COMPUTED_VALUE"""),"EVERGREEN - UAN Gated Content - Embedded Petition")</f>
        <v>EVERGREEN - UAN Gated Content - Embedded Petition</v>
      </c>
      <c r="D1984" s="5">
        <f ca="1">IFERROR(__xludf.DUMMYFUNCTION("""COMPUTED_VALUE"""),45694)</f>
        <v>45694</v>
      </c>
      <c r="F1984" s="1" t="str">
        <f ca="1">IFERROR(__xludf.DUMMYFUNCTION("""COMPUTED_VALUE"""),"Egypt")</f>
        <v>Egypt</v>
      </c>
      <c r="G1984" s="1" t="str">
        <f ca="1">IFERROR(__xludf.DUMMYFUNCTION("""COMPUTED_VALUE"""),"Third 73.23 Egypt")</f>
        <v>Third 73.23 Egypt</v>
      </c>
      <c r="H1984" s="1" t="str">
        <f ca="1">IFERROR(__xludf.DUMMYFUNCTION("""COMPUTED_VALUE"""),"Individuals At Risk")</f>
        <v>Individuals At Risk</v>
      </c>
      <c r="I1984" s="1" t="str">
        <f ca="1">IFERROR(__xludf.DUMMYFUNCTION("""COMPUTED_VALUE"""),"2024")</f>
        <v>2024</v>
      </c>
      <c r="J1984" s="1" t="str">
        <f ca="1">IFERROR(__xludf.DUMMYFUNCTION("""COMPUTED_VALUE"""),"Email")</f>
        <v>Email</v>
      </c>
    </row>
    <row r="1985" spans="1:10" ht="13" x14ac:dyDescent="0.15">
      <c r="A1985" s="4">
        <f ca="1">IFERROR(__xludf.DUMMYFUNCTION("""COMPUTED_VALUE"""),259067769)</f>
        <v>259067769</v>
      </c>
      <c r="B1985" s="1" t="str">
        <f ca="1">IFERROR(__xludf.DUMMYFUNCTION("""COMPUTED_VALUE"""),"mabdelsatar@aiusacs.org")</f>
        <v>mabdelsatar@aiusacs.org</v>
      </c>
      <c r="C1985" s="4" t="str">
        <f ca="1">IFERROR(__xludf.DUMMYFUNCTION("""COMPUTED_VALUE"""),"EVERGREEN - UAN Gated Content - Embedded Petition")</f>
        <v>EVERGREEN - UAN Gated Content - Embedded Petition</v>
      </c>
      <c r="D1985" s="5">
        <f ca="1">IFERROR(__xludf.DUMMYFUNCTION("""COMPUTED_VALUE"""),45629)</f>
        <v>45629</v>
      </c>
      <c r="F1985" s="1" t="str">
        <f ca="1">IFERROR(__xludf.DUMMYFUNCTION("""COMPUTED_VALUE"""),"Egypt")</f>
        <v>Egypt</v>
      </c>
      <c r="G1985" s="1" t="str">
        <f ca="1">IFERROR(__xludf.DUMMYFUNCTION("""COMPUTED_VALUE"""),"Seventh 103.22 Iran")</f>
        <v>Seventh 103.22 Iran</v>
      </c>
      <c r="H1985" s="1" t="str">
        <f ca="1">IFERROR(__xludf.DUMMYFUNCTION("""COMPUTED_VALUE"""),"Death Penalty, Freedom of Expression, Individuals At Risk")</f>
        <v>Death Penalty, Freedom of Expression, Individuals At Risk</v>
      </c>
      <c r="I1985" s="1" t="str">
        <f ca="1">IFERROR(__xludf.DUMMYFUNCTION("""COMPUTED_VALUE"""),"2024")</f>
        <v>2024</v>
      </c>
      <c r="J1985" s="1" t="str">
        <f ca="1">IFERROR(__xludf.DUMMYFUNCTION("""COMPUTED_VALUE"""),"Email")</f>
        <v>Email</v>
      </c>
    </row>
    <row r="1986" spans="1:10" ht="13" x14ac:dyDescent="0.15">
      <c r="A1986" s="4">
        <f ca="1">IFERROR(__xludf.DUMMYFUNCTION("""COMPUTED_VALUE"""),259260280)</f>
        <v>259260280</v>
      </c>
      <c r="B1986" s="1" t="str">
        <f ca="1">IFERROR(__xludf.DUMMYFUNCTION("""COMPUTED_VALUE"""),"rosenberg.carl@yahoo.ca")</f>
        <v>rosenberg.carl@yahoo.ca</v>
      </c>
      <c r="C1986" s="4" t="str">
        <f ca="1">IFERROR(__xludf.DUMMYFUNCTION("""COMPUTED_VALUE"""),"EVERGREEN - UAN Gated Content - Embedded Petition")</f>
        <v>EVERGREEN - UAN Gated Content - Embedded Petition</v>
      </c>
      <c r="D1986" s="5">
        <f ca="1">IFERROR(__xludf.DUMMYFUNCTION("""COMPUTED_VALUE"""),45694)</f>
        <v>45694</v>
      </c>
      <c r="F1986" s="1" t="str">
        <f ca="1">IFERROR(__xludf.DUMMYFUNCTION("""COMPUTED_VALUE"""),"Iran")</f>
        <v>Iran</v>
      </c>
      <c r="G1986" s="1" t="str">
        <f ca="1">IFERROR(__xludf.DUMMYFUNCTION("""COMPUTED_VALUE"""),"101.24 Iran")</f>
        <v>101.24 Iran</v>
      </c>
      <c r="H1986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1986" s="1" t="str">
        <f ca="1">IFERROR(__xludf.DUMMYFUNCTION("""COMPUTED_VALUE"""),"2024")</f>
        <v>2024</v>
      </c>
      <c r="J1986" s="1" t="str">
        <f ca="1">IFERROR(__xludf.DUMMYFUNCTION("""COMPUTED_VALUE"""),"Email")</f>
        <v>Email</v>
      </c>
    </row>
    <row r="1987" spans="1:10" ht="13" x14ac:dyDescent="0.15">
      <c r="A1987" s="4">
        <f ca="1">IFERROR(__xludf.DUMMYFUNCTION("""COMPUTED_VALUE"""),259271029)</f>
        <v>259271029</v>
      </c>
      <c r="B1987" s="1" t="str">
        <f ca="1">IFERROR(__xludf.DUMMYFUNCTION("""COMPUTED_VALUE"""),"ppleuss@hotmail.com")</f>
        <v>ppleuss@hotmail.com</v>
      </c>
      <c r="C1987" s="4" t="str">
        <f ca="1">IFERROR(__xludf.DUMMYFUNCTION("""COMPUTED_VALUE"""),"EVERGREEN - UAN Gated Content - Embedded Petition")</f>
        <v>EVERGREEN - UAN Gated Content - Embedded Petition</v>
      </c>
      <c r="D1987" s="5">
        <f ca="1">IFERROR(__xludf.DUMMYFUNCTION("""COMPUTED_VALUE"""),45703)</f>
        <v>45703</v>
      </c>
      <c r="F1987" s="1" t="str">
        <f ca="1">IFERROR(__xludf.DUMMYFUNCTION("""COMPUTED_VALUE"""),"Iran")</f>
        <v>Iran</v>
      </c>
      <c r="G1987" s="1" t="str">
        <f ca="1">IFERROR(__xludf.DUMMYFUNCTION("""COMPUTED_VALUE"""),"88.24 Dominican Republic")</f>
        <v>88.24 Dominican Republic</v>
      </c>
      <c r="H1987" s="1" t="str">
        <f ca="1">IFERROR(__xludf.DUMMYFUNCTION("""COMPUTED_VALUE"""),"Individuals At Risk, Refugee and Migrant Rights")</f>
        <v>Individuals At Risk, Refugee and Migrant Rights</v>
      </c>
      <c r="I1987" s="1" t="str">
        <f ca="1">IFERROR(__xludf.DUMMYFUNCTION("""COMPUTED_VALUE"""),"2024")</f>
        <v>2024</v>
      </c>
      <c r="J1987" s="1" t="str">
        <f ca="1">IFERROR(__xludf.DUMMYFUNCTION("""COMPUTED_VALUE"""),"Letter")</f>
        <v>Letter</v>
      </c>
    </row>
    <row r="1988" spans="1:10" ht="13" x14ac:dyDescent="0.15">
      <c r="A1988" s="4">
        <f ca="1">IFERROR(__xludf.DUMMYFUNCTION("""COMPUTED_VALUE"""),259271029)</f>
        <v>259271029</v>
      </c>
      <c r="B1988" s="1" t="str">
        <f ca="1">IFERROR(__xludf.DUMMYFUNCTION("""COMPUTED_VALUE"""),"ppleuss@hotmail.com")</f>
        <v>ppleuss@hotmail.com</v>
      </c>
      <c r="C1988" s="4" t="str">
        <f ca="1">IFERROR(__xludf.DUMMYFUNCTION("""COMPUTED_VALUE"""),"EVERGREEN - UAN Gated Content - Embedded Petition")</f>
        <v>EVERGREEN - UAN Gated Content - Embedded Petition</v>
      </c>
      <c r="D1988" s="5">
        <f ca="1">IFERROR(__xludf.DUMMYFUNCTION("""COMPUTED_VALUE"""),45703)</f>
        <v>45703</v>
      </c>
      <c r="F1988" s="1" t="str">
        <f ca="1">IFERROR(__xludf.DUMMYFUNCTION("""COMPUTED_VALUE"""),"Dominican Republic")</f>
        <v>Dominican Republic</v>
      </c>
      <c r="G1988" s="1" t="str">
        <f ca="1">IFERROR(__xludf.DUMMYFUNCTION("""COMPUTED_VALUE"""),"Ninth 190.18 Egypt")</f>
        <v>Ninth 190.18 Egypt</v>
      </c>
      <c r="H1988" s="1" t="str">
        <f ca="1">IFERROR(__xludf.DUMMYFUNCTION("""COMPUTED_VALUE"""),"Freedom of Expression, Individuals At Risk")</f>
        <v>Freedom of Expression, Individuals At Risk</v>
      </c>
      <c r="I1988" s="1" t="str">
        <f ca="1">IFERROR(__xludf.DUMMYFUNCTION("""COMPUTED_VALUE"""),"2024")</f>
        <v>2024</v>
      </c>
      <c r="J1988" s="1" t="str">
        <f ca="1">IFERROR(__xludf.DUMMYFUNCTION("""COMPUTED_VALUE"""),"Letter")</f>
        <v>Letter</v>
      </c>
    </row>
    <row r="1989" spans="1:10" ht="13" x14ac:dyDescent="0.15">
      <c r="A1989" s="4">
        <f ca="1">IFERROR(__xludf.DUMMYFUNCTION("""COMPUTED_VALUE"""),259271029)</f>
        <v>259271029</v>
      </c>
      <c r="B1989" s="1" t="str">
        <f ca="1">IFERROR(__xludf.DUMMYFUNCTION("""COMPUTED_VALUE"""),"ppleuss@hotmail.com")</f>
        <v>ppleuss@hotmail.com</v>
      </c>
      <c r="C1989" s="4" t="str">
        <f ca="1">IFERROR(__xludf.DUMMYFUNCTION("""COMPUTED_VALUE"""),"EVERGREEN - UAN Gated Content - Embedded Petition")</f>
        <v>EVERGREEN - UAN Gated Content - Embedded Petition</v>
      </c>
      <c r="D1989" s="5">
        <f ca="1">IFERROR(__xludf.DUMMYFUNCTION("""COMPUTED_VALUE"""),45616)</f>
        <v>45616</v>
      </c>
      <c r="F1989" s="1" t="str">
        <f ca="1">IFERROR(__xludf.DUMMYFUNCTION("""COMPUTED_VALUE"""),"Egypt")</f>
        <v>Egypt</v>
      </c>
      <c r="G1989" s="1" t="str">
        <f ca="1">IFERROR(__xludf.DUMMYFUNCTION("""COMPUTED_VALUE"""),"Second 85.23 Saudi Arabia")</f>
        <v>Second 85.23 Saudi Arabia</v>
      </c>
      <c r="H1989" s="1" t="str">
        <f ca="1">IFERROR(__xludf.DUMMYFUNCTION("""COMPUTED_VALUE"""),"Freedom of Expression")</f>
        <v>Freedom of Expression</v>
      </c>
      <c r="I1989" s="1" t="str">
        <f ca="1">IFERROR(__xludf.DUMMYFUNCTION("""COMPUTED_VALUE"""),"2024")</f>
        <v>2024</v>
      </c>
      <c r="J1989" s="1" t="str">
        <f ca="1">IFERROR(__xludf.DUMMYFUNCTION("""COMPUTED_VALUE"""),"Letter")</f>
        <v>Letter</v>
      </c>
    </row>
    <row r="1990" spans="1:10" ht="13" x14ac:dyDescent="0.15">
      <c r="A1990" s="4">
        <f ca="1">IFERROR(__xludf.DUMMYFUNCTION("""COMPUTED_VALUE"""),259271029)</f>
        <v>259271029</v>
      </c>
      <c r="B1990" s="1" t="str">
        <f ca="1">IFERROR(__xludf.DUMMYFUNCTION("""COMPUTED_VALUE"""),"ppleuss@hotmail.com")</f>
        <v>ppleuss@hotmail.com</v>
      </c>
      <c r="C1990" s="4" t="str">
        <f ca="1">IFERROR(__xludf.DUMMYFUNCTION("""COMPUTED_VALUE"""),"EVERGREEN - UAN Gated Content - Embedded Petition")</f>
        <v>EVERGREEN - UAN Gated Content - Embedded Petition</v>
      </c>
      <c r="D1990" s="5">
        <f ca="1">IFERROR(__xludf.DUMMYFUNCTION("""COMPUTED_VALUE"""),45616)</f>
        <v>45616</v>
      </c>
      <c r="F1990" s="1" t="str">
        <f ca="1">IFERROR(__xludf.DUMMYFUNCTION("""COMPUTED_VALUE"""),"Saudi Arabia")</f>
        <v>Saudi Arabia</v>
      </c>
      <c r="G1990" s="1" t="str">
        <f ca="1">IFERROR(__xludf.DUMMYFUNCTION("""COMPUTED_VALUE"""),"Second 23.24 Russia")</f>
        <v>Second 23.24 Russia</v>
      </c>
      <c r="H1990" s="1" t="str">
        <f ca="1">IFERROR(__xludf.DUMMYFUNCTION("""COMPUTED_VALUE"""),"Freedom of Expression")</f>
        <v>Freedom of Expression</v>
      </c>
      <c r="I1990" s="1" t="str">
        <f ca="1">IFERROR(__xludf.DUMMYFUNCTION("""COMPUTED_VALUE"""),"2024")</f>
        <v>2024</v>
      </c>
      <c r="J1990" s="1" t="str">
        <f ca="1">IFERROR(__xludf.DUMMYFUNCTION("""COMPUTED_VALUE"""),"Letter")</f>
        <v>Letter</v>
      </c>
    </row>
    <row r="1991" spans="1:10" ht="13" x14ac:dyDescent="0.15">
      <c r="A1991" s="4">
        <f ca="1">IFERROR(__xludf.DUMMYFUNCTION("""COMPUTED_VALUE"""),259271029)</f>
        <v>259271029</v>
      </c>
      <c r="B1991" s="1" t="str">
        <f ca="1">IFERROR(__xludf.DUMMYFUNCTION("""COMPUTED_VALUE"""),"ppleuss@hotmail.com")</f>
        <v>ppleuss@hotmail.com</v>
      </c>
      <c r="C1991" s="4" t="str">
        <f ca="1">IFERROR(__xludf.DUMMYFUNCTION("""COMPUTED_VALUE"""),"EVERGREEN - UAN Gated Content - Embedded Petition")</f>
        <v>EVERGREEN - UAN Gated Content - Embedded Petition</v>
      </c>
      <c r="D1991" s="5">
        <f ca="1">IFERROR(__xludf.DUMMYFUNCTION("""COMPUTED_VALUE"""),45678)</f>
        <v>45678</v>
      </c>
      <c r="F1991" s="1" t="str">
        <f ca="1">IFERROR(__xludf.DUMMYFUNCTION("""COMPUTED_VALUE"""),"Russian Federation")</f>
        <v>Russian Federation</v>
      </c>
      <c r="G1991" s="1" t="str">
        <f ca="1">IFERROR(__xludf.DUMMYFUNCTION("""COMPUTED_VALUE"""),"Second 43.24 Tunisia")</f>
        <v>Second 43.24 Tunisia</v>
      </c>
      <c r="H1991" s="1" t="str">
        <f ca="1">IFERROR(__xludf.DUMMYFUNCTION("""COMPUTED_VALUE"""),"Freedom of Expression, Individuals At Risk")</f>
        <v>Freedom of Expression, Individuals At Risk</v>
      </c>
      <c r="I1991" s="1" t="str">
        <f ca="1">IFERROR(__xludf.DUMMYFUNCTION("""COMPUTED_VALUE"""),"2024")</f>
        <v>2024</v>
      </c>
      <c r="J1991" s="1" t="str">
        <f ca="1">IFERROR(__xludf.DUMMYFUNCTION("""COMPUTED_VALUE"""),"Email")</f>
        <v>Email</v>
      </c>
    </row>
    <row r="1992" spans="1:10" ht="13" x14ac:dyDescent="0.15">
      <c r="A1992" s="4">
        <f ca="1">IFERROR(__xludf.DUMMYFUNCTION("""COMPUTED_VALUE"""),259271029)</f>
        <v>259271029</v>
      </c>
      <c r="B1992" s="1" t="str">
        <f ca="1">IFERROR(__xludf.DUMMYFUNCTION("""COMPUTED_VALUE"""),"ppleuss@hotmail.com")</f>
        <v>ppleuss@hotmail.com</v>
      </c>
      <c r="C1992" s="4" t="str">
        <f ca="1">IFERROR(__xludf.DUMMYFUNCTION("""COMPUTED_VALUE"""),"EVERGREEN - UAN Gated Content - Embedded Petition")</f>
        <v>EVERGREEN - UAN Gated Content - Embedded Petition</v>
      </c>
      <c r="D1992" s="5">
        <f ca="1">IFERROR(__xludf.DUMMYFUNCTION("""COMPUTED_VALUE"""),45676)</f>
        <v>45676</v>
      </c>
      <c r="F1992" s="1" t="str">
        <f ca="1">IFERROR(__xludf.DUMMYFUNCTION("""COMPUTED_VALUE"""),"Tunisia")</f>
        <v>Tunisia</v>
      </c>
      <c r="G1992" s="1" t="str">
        <f ca="1">IFERROR(__xludf.DUMMYFUNCTION("""COMPUTED_VALUE"""),"3.25 IOPT")</f>
        <v>3.25 IOPT</v>
      </c>
      <c r="H1992" s="1" t="str">
        <f ca="1">IFERROR(__xludf.DUMMYFUNCTION("""COMPUTED_VALUE"""),"Freedom of Expression, Individuals At Risk")</f>
        <v>Freedom of Expression, Individuals At Risk</v>
      </c>
      <c r="I1992" s="1" t="str">
        <f ca="1">IFERROR(__xludf.DUMMYFUNCTION("""COMPUTED_VALUE"""),"2025")</f>
        <v>2025</v>
      </c>
      <c r="J1992" s="1" t="str">
        <f ca="1">IFERROR(__xludf.DUMMYFUNCTION("""COMPUTED_VALUE"""),"Email")</f>
        <v>Email</v>
      </c>
    </row>
    <row r="1993" spans="1:10" ht="13" x14ac:dyDescent="0.15">
      <c r="A1993" s="4">
        <f ca="1">IFERROR(__xludf.DUMMYFUNCTION("""COMPUTED_VALUE"""),259271029)</f>
        <v>259271029</v>
      </c>
      <c r="B1993" s="1" t="str">
        <f ca="1">IFERROR(__xludf.DUMMYFUNCTION("""COMPUTED_VALUE"""),"ppleuss@hotmail.com")</f>
        <v>ppleuss@hotmail.com</v>
      </c>
      <c r="C1993" s="4" t="str">
        <f ca="1">IFERROR(__xludf.DUMMYFUNCTION("""COMPUTED_VALUE"""),"EVERGREEN - UAN Gated Content - Embedded Petition")</f>
        <v>EVERGREEN - UAN Gated Content - Embedded Petition</v>
      </c>
      <c r="D1993" s="5">
        <f ca="1">IFERROR(__xludf.DUMMYFUNCTION("""COMPUTED_VALUE"""),45680)</f>
        <v>45680</v>
      </c>
      <c r="F1993" s="1" t="str">
        <f ca="1">IFERROR(__xludf.DUMMYFUNCTION("""COMPUTED_VALUE"""),"Israel and Occupied Palestinian Territories")</f>
        <v>Israel and Occupied Palestinian Territories</v>
      </c>
      <c r="G1993" s="1" t="str">
        <f ca="1">IFERROR(__xludf.DUMMYFUNCTION("""COMPUTED_VALUE"""),"11.25 Afghanistan")</f>
        <v>11.25 Afghanistan</v>
      </c>
      <c r="H1993" s="1" t="str">
        <f ca="1">IFERROR(__xludf.DUMMYFUNCTION("""COMPUTED_VALUE"""),"Freedom of Expression, Health, Individuals At Risk")</f>
        <v>Freedom of Expression, Health, Individuals At Risk</v>
      </c>
      <c r="I1993" s="1" t="str">
        <f ca="1">IFERROR(__xludf.DUMMYFUNCTION("""COMPUTED_VALUE"""),"2025")</f>
        <v>2025</v>
      </c>
      <c r="J1993" s="1" t="str">
        <f ca="1">IFERROR(__xludf.DUMMYFUNCTION("""COMPUTED_VALUE"""),"Email")</f>
        <v>Email</v>
      </c>
    </row>
    <row r="1994" spans="1:10" ht="13" x14ac:dyDescent="0.15">
      <c r="A1994" s="4">
        <f ca="1">IFERROR(__xludf.DUMMYFUNCTION("""COMPUTED_VALUE"""),259271029)</f>
        <v>259271029</v>
      </c>
      <c r="B1994" s="1" t="str">
        <f ca="1">IFERROR(__xludf.DUMMYFUNCTION("""COMPUTED_VALUE"""),"ppleuss@hotmail.com")</f>
        <v>ppleuss@hotmail.com</v>
      </c>
      <c r="C1994" s="4" t="str">
        <f ca="1">IFERROR(__xludf.DUMMYFUNCTION("""COMPUTED_VALUE"""),"EVERGREEN - UAN Gated Content - Embedded Petition")</f>
        <v>EVERGREEN - UAN Gated Content - Embedded Petition</v>
      </c>
      <c r="D1994" s="5">
        <f ca="1">IFERROR(__xludf.DUMMYFUNCTION("""COMPUTED_VALUE"""),45676)</f>
        <v>45676</v>
      </c>
      <c r="F1994" s="1" t="str">
        <f ca="1">IFERROR(__xludf.DUMMYFUNCTION("""COMPUTED_VALUE"""),"Afghanistan")</f>
        <v>Afghanistan</v>
      </c>
      <c r="G1994" s="1" t="str">
        <f ca="1">IFERROR(__xludf.DUMMYFUNCTION("""COMPUTED_VALUE"""),"3.25 IOPT")</f>
        <v>3.25 IOPT</v>
      </c>
      <c r="H1994" s="1" t="str">
        <f ca="1">IFERROR(__xludf.DUMMYFUNCTION("""COMPUTED_VALUE"""),"Freedom of Expression, Individuals At Risk")</f>
        <v>Freedom of Expression, Individuals At Risk</v>
      </c>
      <c r="I1994" s="1" t="str">
        <f ca="1">IFERROR(__xludf.DUMMYFUNCTION("""COMPUTED_VALUE"""),"2025")</f>
        <v>2025</v>
      </c>
      <c r="J1994" s="1" t="str">
        <f ca="1">IFERROR(__xludf.DUMMYFUNCTION("""COMPUTED_VALUE"""),"Email")</f>
        <v>Email</v>
      </c>
    </row>
    <row r="1995" spans="1:10" ht="13" x14ac:dyDescent="0.15">
      <c r="A1995" s="4">
        <f ca="1">IFERROR(__xludf.DUMMYFUNCTION("""COMPUTED_VALUE"""),259681307)</f>
        <v>259681307</v>
      </c>
      <c r="B1995" s="1" t="str">
        <f ca="1">IFERROR(__xludf.DUMMYFUNCTION("""COMPUTED_VALUE"""),"hurryback635@gmail.com")</f>
        <v>hurryback635@gmail.com</v>
      </c>
      <c r="C1995" s="4" t="str">
        <f ca="1">IFERROR(__xludf.DUMMYFUNCTION("""COMPUTED_VALUE"""),"EVERGREEN - Website Email Capture Form - UAN Pre-Footer")</f>
        <v>EVERGREEN - Website Email Capture Form - UAN Pre-Footer</v>
      </c>
      <c r="D1995" s="5">
        <f ca="1">IFERROR(__xludf.DUMMYFUNCTION("""COMPUTED_VALUE"""),45668)</f>
        <v>45668</v>
      </c>
      <c r="F1995" s="1" t="str">
        <f ca="1">IFERROR(__xludf.DUMMYFUNCTION("""COMPUTED_VALUE"""),"Israel and Occupied Palestinian Territories")</f>
        <v>Israel and Occupied Palestinian Territories</v>
      </c>
      <c r="G1995" s="1" t="str">
        <f ca="1">IFERROR(__xludf.DUMMYFUNCTION("""COMPUTED_VALUE"""),"4.25 USA")</f>
        <v>4.25 USA</v>
      </c>
      <c r="H1995" s="1" t="str">
        <f ca="1">IFERROR(__xludf.DUMMYFUNCTION("""COMPUTED_VALUE"""),"Individuals At Risk, Refugee and Migrant Rights")</f>
        <v>Individuals At Risk, Refugee and Migrant Rights</v>
      </c>
      <c r="I1995" s="1" t="str">
        <f ca="1">IFERROR(__xludf.DUMMYFUNCTION("""COMPUTED_VALUE"""),"2025")</f>
        <v>2025</v>
      </c>
      <c r="J1995" s="1" t="str">
        <f ca="1">IFERROR(__xludf.DUMMYFUNCTION("""COMPUTED_VALUE"""),"Letter")</f>
        <v>Letter</v>
      </c>
    </row>
    <row r="1996" spans="1:10" ht="13" x14ac:dyDescent="0.15">
      <c r="A1996" s="4">
        <f ca="1">IFERROR(__xludf.DUMMYFUNCTION("""COMPUTED_VALUE"""),259939220)</f>
        <v>259939220</v>
      </c>
      <c r="B1996" s="1" t="str">
        <f ca="1">IFERROR(__xludf.DUMMYFUNCTION("""COMPUTED_VALUE"""),"mjlsr02@comcast.net")</f>
        <v>mjlsr02@comcast.net</v>
      </c>
      <c r="C1996" s="4" t="str">
        <f ca="1">IFERROR(__xludf.DUMMYFUNCTION("""COMPUTED_VALUE"""),"EVERGREEN - UAN Gated Content - Embedded Petition")</f>
        <v>EVERGREEN - UAN Gated Content - Embedded Petition</v>
      </c>
      <c r="D1996" s="5">
        <f ca="1">IFERROR(__xludf.DUMMYFUNCTION("""COMPUTED_VALUE"""),45641)</f>
        <v>45641</v>
      </c>
      <c r="F1996" s="1" t="str">
        <f ca="1">IFERROR(__xludf.DUMMYFUNCTION("""COMPUTED_VALUE"""),"USA")</f>
        <v>USA</v>
      </c>
      <c r="G1996" s="1" t="str">
        <f ca="1">IFERROR(__xludf.DUMMYFUNCTION("""COMPUTED_VALUE"""),"4.25 USA")</f>
        <v>4.25 USA</v>
      </c>
      <c r="H1996" s="1" t="str">
        <f ca="1">IFERROR(__xludf.DUMMYFUNCTION("""COMPUTED_VALUE"""),"Individuals At Risk, Refugee and Migrant Rights")</f>
        <v>Individuals At Risk, Refugee and Migrant Rights</v>
      </c>
      <c r="I1996" s="1" t="str">
        <f ca="1">IFERROR(__xludf.DUMMYFUNCTION("""COMPUTED_VALUE"""),"2025")</f>
        <v>2025</v>
      </c>
      <c r="J1996" s="1" t="str">
        <f ca="1">IFERROR(__xludf.DUMMYFUNCTION("""COMPUTED_VALUE"""),"Letter")</f>
        <v>Letter</v>
      </c>
    </row>
    <row r="1997" spans="1:10" ht="13" x14ac:dyDescent="0.15">
      <c r="A1997" s="4">
        <f ca="1">IFERROR(__xludf.DUMMYFUNCTION("""COMPUTED_VALUE"""),259939220)</f>
        <v>259939220</v>
      </c>
      <c r="B1997" s="1" t="str">
        <f ca="1">IFERROR(__xludf.DUMMYFUNCTION("""COMPUTED_VALUE"""),"mjlsr02@comcast.net")</f>
        <v>mjlsr02@comcast.net</v>
      </c>
      <c r="C1997" s="4" t="str">
        <f ca="1">IFERROR(__xludf.DUMMYFUNCTION("""COMPUTED_VALUE"""),"EVERGREEN - UAN Gated Content - Embedded Petition")</f>
        <v>EVERGREEN - UAN Gated Content - Embedded Petition</v>
      </c>
      <c r="D1997" s="5">
        <f ca="1">IFERROR(__xludf.DUMMYFUNCTION("""COMPUTED_VALUE"""),45676)</f>
        <v>45676</v>
      </c>
      <c r="F1997" s="1" t="str">
        <f ca="1">IFERROR(__xludf.DUMMYFUNCTION("""COMPUTED_VALUE"""),"USA")</f>
        <v>USA</v>
      </c>
      <c r="G1997" s="1" t="str">
        <f ca="1">IFERROR(__xludf.DUMMYFUNCTION("""COMPUTED_VALUE"""),"88.24 Dominican Republic")</f>
        <v>88.24 Dominican Republic</v>
      </c>
      <c r="H1997" s="1" t="str">
        <f ca="1">IFERROR(__xludf.DUMMYFUNCTION("""COMPUTED_VALUE"""),"Individuals At Risk, Refugee and Migrant Rights")</f>
        <v>Individuals At Risk, Refugee and Migrant Rights</v>
      </c>
      <c r="I1997" s="1" t="str">
        <f ca="1">IFERROR(__xludf.DUMMYFUNCTION("""COMPUTED_VALUE"""),"2024")</f>
        <v>2024</v>
      </c>
      <c r="J1997" s="1" t="str">
        <f ca="1">IFERROR(__xludf.DUMMYFUNCTION("""COMPUTED_VALUE"""),"Letter")</f>
        <v>Letter</v>
      </c>
    </row>
    <row r="1998" spans="1:10" ht="13" x14ac:dyDescent="0.15">
      <c r="A1998" s="4">
        <f ca="1">IFERROR(__xludf.DUMMYFUNCTION("""COMPUTED_VALUE"""),259939220)</f>
        <v>259939220</v>
      </c>
      <c r="B1998" s="1" t="str">
        <f ca="1">IFERROR(__xludf.DUMMYFUNCTION("""COMPUTED_VALUE"""),"mjlsr02@comcast.net")</f>
        <v>mjlsr02@comcast.net</v>
      </c>
      <c r="C1998" s="4" t="str">
        <f ca="1">IFERROR(__xludf.DUMMYFUNCTION("""COMPUTED_VALUE"""),"EVERGREEN - UAN Gated Content - Embedded Petition")</f>
        <v>EVERGREEN - UAN Gated Content - Embedded Petition</v>
      </c>
      <c r="D1998" s="5">
        <f ca="1">IFERROR(__xludf.DUMMYFUNCTION("""COMPUTED_VALUE"""),45676)</f>
        <v>45676</v>
      </c>
      <c r="F1998" s="1" t="str">
        <f ca="1">IFERROR(__xludf.DUMMYFUNCTION("""COMPUTED_VALUE"""),"Dominican Republic")</f>
        <v>Dominican Republic</v>
      </c>
      <c r="G1998" s="1" t="str">
        <f ca="1">IFERROR(__xludf.DUMMYFUNCTION("""COMPUTED_VALUE"""),"4.25 USA")</f>
        <v>4.25 USA</v>
      </c>
      <c r="H1998" s="1" t="str">
        <f ca="1">IFERROR(__xludf.DUMMYFUNCTION("""COMPUTED_VALUE"""),"Individuals At Risk, Refugee and Migrant Rights")</f>
        <v>Individuals At Risk, Refugee and Migrant Rights</v>
      </c>
      <c r="I1998" s="1" t="str">
        <f ca="1">IFERROR(__xludf.DUMMYFUNCTION("""COMPUTED_VALUE"""),"2025")</f>
        <v>2025</v>
      </c>
      <c r="J1998" s="1" t="str">
        <f ca="1">IFERROR(__xludf.DUMMYFUNCTION("""COMPUTED_VALUE"""),"Letter")</f>
        <v>Letter</v>
      </c>
    </row>
    <row r="1999" spans="1:10" ht="13" x14ac:dyDescent="0.15">
      <c r="A1999" s="4">
        <f ca="1">IFERROR(__xludf.DUMMYFUNCTION("""COMPUTED_VALUE"""),259939220)</f>
        <v>259939220</v>
      </c>
      <c r="B1999" s="1" t="str">
        <f ca="1">IFERROR(__xludf.DUMMYFUNCTION("""COMPUTED_VALUE"""),"mjlsr02@comcast.net")</f>
        <v>mjlsr02@comcast.net</v>
      </c>
      <c r="C1999" s="4" t="str">
        <f ca="1">IFERROR(__xludf.DUMMYFUNCTION("""COMPUTED_VALUE"""),"EVERGREEN - UAN Gated Content - Embedded Petition")</f>
        <v>EVERGREEN - UAN Gated Content - Embedded Petition</v>
      </c>
      <c r="D1999" s="5">
        <f ca="1">IFERROR(__xludf.DUMMYFUNCTION("""COMPUTED_VALUE"""),45641)</f>
        <v>45641</v>
      </c>
      <c r="F1999" s="1" t="str">
        <f ca="1">IFERROR(__xludf.DUMMYFUNCTION("""COMPUTED_VALUE"""),"USA")</f>
        <v>USA</v>
      </c>
      <c r="G1999" s="1" t="str">
        <f ca="1">IFERROR(__xludf.DUMMYFUNCTION("""COMPUTED_VALUE"""),"Fifth 257.12")</f>
        <v>Fifth 257.12</v>
      </c>
      <c r="H1999" s="1" t="str">
        <f ca="1">IFERROR(__xludf.DUMMYFUNCTION("""COMPUTED_VALUE"""),"Freedom of Expression, Human Rights Defenders")</f>
        <v>Freedom of Expression, Human Rights Defenders</v>
      </c>
      <c r="I1999" s="1" t="str">
        <f ca="1">IFERROR(__xludf.DUMMYFUNCTION("""COMPUTED_VALUE"""),"2025")</f>
        <v>2025</v>
      </c>
      <c r="J1999" s="1" t="str">
        <f ca="1">IFERROR(__xludf.DUMMYFUNCTION("""COMPUTED_VALUE"""),"Email")</f>
        <v>Email</v>
      </c>
    </row>
    <row r="2000" spans="1:10" ht="13" x14ac:dyDescent="0.15">
      <c r="A2000" s="4">
        <f ca="1">IFERROR(__xludf.DUMMYFUNCTION("""COMPUTED_VALUE"""),260089977)</f>
        <v>260089977</v>
      </c>
      <c r="B2000" s="1" t="str">
        <f ca="1">IFERROR(__xludf.DUMMYFUNCTION("""COMPUTED_VALUE"""),"jake.bill@hughes.net")</f>
        <v>jake.bill@hughes.net</v>
      </c>
      <c r="C2000" s="4" t="str">
        <f ca="1">IFERROR(__xludf.DUMMYFUNCTION("""COMPUTED_VALUE"""),"EVERGREEN - UAN Gated Content - Embedded Petition")</f>
        <v>EVERGREEN - UAN Gated Content - Embedded Petition</v>
      </c>
      <c r="D2000" s="5">
        <f ca="1">IFERROR(__xludf.DUMMYFUNCTION("""COMPUTED_VALUE"""),45672)</f>
        <v>45672</v>
      </c>
      <c r="F2000" s="1" t="str">
        <f ca="1">IFERROR(__xludf.DUMMYFUNCTION("""COMPUTED_VALUE"""),"Saudi Arabia")</f>
        <v>Saudi Arabia</v>
      </c>
      <c r="G2000" s="1" t="str">
        <f ca="1">IFERROR(__xludf.DUMMYFUNCTION("""COMPUTED_VALUE"""),"Fifth 257.12")</f>
        <v>Fifth 257.12</v>
      </c>
      <c r="H2000" s="1" t="str">
        <f ca="1">IFERROR(__xludf.DUMMYFUNCTION("""COMPUTED_VALUE"""),"Freedom of Expression, Human Rights Defenders")</f>
        <v>Freedom of Expression, Human Rights Defenders</v>
      </c>
      <c r="I2000" s="1" t="str">
        <f ca="1">IFERROR(__xludf.DUMMYFUNCTION("""COMPUTED_VALUE"""),"2025")</f>
        <v>2025</v>
      </c>
      <c r="J2000" s="1" t="str">
        <f ca="1">IFERROR(__xludf.DUMMYFUNCTION("""COMPUTED_VALUE"""),"Email")</f>
        <v>Email</v>
      </c>
    </row>
    <row r="2001" spans="1:10" ht="13" x14ac:dyDescent="0.15">
      <c r="A2001" s="4">
        <f ca="1">IFERROR(__xludf.DUMMYFUNCTION("""COMPUTED_VALUE"""),260680669)</f>
        <v>260680669</v>
      </c>
      <c r="B2001" s="1" t="str">
        <f ca="1">IFERROR(__xludf.DUMMYFUNCTION("""COMPUTED_VALUE"""),"210296@students.avhsd.org")</f>
        <v>210296@students.avhsd.org</v>
      </c>
      <c r="C2001" s="4" t="str">
        <f ca="1">IFERROR(__xludf.DUMMYFUNCTION("""COMPUTED_VALUE"""),"EVERGREEN - UAN Gated Content - Embedded Petition")</f>
        <v>EVERGREEN - UAN Gated Content - Embedded Petition</v>
      </c>
      <c r="D2001" s="5">
        <f ca="1">IFERROR(__xludf.DUMMYFUNCTION("""COMPUTED_VALUE"""),45702)</f>
        <v>45702</v>
      </c>
      <c r="F2001" s="1" t="str">
        <f ca="1">IFERROR(__xludf.DUMMYFUNCTION("""COMPUTED_VALUE"""),"Saudi Arabia")</f>
        <v>Saudi Arabia</v>
      </c>
      <c r="G2001" s="1" t="str">
        <f ca="1">IFERROR(__xludf.DUMMYFUNCTION("""COMPUTED_VALUE"""),"10.25 Iran")</f>
        <v>10.25 Iran</v>
      </c>
      <c r="H2001" s="1" t="str">
        <f ca="1">IFERROR(__xludf.DUMMYFUNCTION("""COMPUTED_VALUE"""),"Death Penalty, Individuals At Risk")</f>
        <v>Death Penalty, Individuals At Risk</v>
      </c>
      <c r="I2001" s="1" t="str">
        <f ca="1">IFERROR(__xludf.DUMMYFUNCTION("""COMPUTED_VALUE"""),"2025")</f>
        <v>2025</v>
      </c>
      <c r="J2001" s="1" t="str">
        <f ca="1">IFERROR(__xludf.DUMMYFUNCTION("""COMPUTED_VALUE"""),"Email")</f>
        <v>Email</v>
      </c>
    </row>
    <row r="2002" spans="1:10" ht="13" x14ac:dyDescent="0.15">
      <c r="A2002" s="4">
        <f ca="1">IFERROR(__xludf.DUMMYFUNCTION("""COMPUTED_VALUE"""),260752974)</f>
        <v>260752974</v>
      </c>
      <c r="B2002" s="1" t="str">
        <f ca="1">IFERROR(__xludf.DUMMYFUNCTION("""COMPUTED_VALUE"""),"mimunmos@gmail.com")</f>
        <v>mimunmos@gmail.com</v>
      </c>
      <c r="C2002" s="4" t="str">
        <f ca="1">IFERROR(__xludf.DUMMYFUNCTION("""COMPUTED_VALUE"""),"EVERGREEN - UAN Gated Content - Embedded Petition")</f>
        <v>EVERGREEN - UAN Gated Content - Embedded Petition</v>
      </c>
      <c r="D2002" s="5">
        <f ca="1">IFERROR(__xludf.DUMMYFUNCTION("""COMPUTED_VALUE"""),45694)</f>
        <v>45694</v>
      </c>
      <c r="F2002" s="1" t="str">
        <f ca="1">IFERROR(__xludf.DUMMYFUNCTION("""COMPUTED_VALUE"""),"Iran")</f>
        <v>Iran</v>
      </c>
      <c r="G2002" s="1" t="str">
        <f ca="1">IFERROR(__xludf.DUMMYFUNCTION("""COMPUTED_VALUE"""),"Second 76.24 Tunisia")</f>
        <v>Second 76.24 Tunisia</v>
      </c>
      <c r="H2002" s="1" t="str">
        <f ca="1">IFERROR(__xludf.DUMMYFUNCTION("""COMPUTED_VALUE"""),"Freedom of Expression, Human Rights Defenders")</f>
        <v>Freedom of Expression, Human Rights Defenders</v>
      </c>
      <c r="I2002" s="1" t="str">
        <f ca="1">IFERROR(__xludf.DUMMYFUNCTION("""COMPUTED_VALUE"""),"2025")</f>
        <v>2025</v>
      </c>
      <c r="J2002" s="1" t="str">
        <f ca="1">IFERROR(__xludf.DUMMYFUNCTION("""COMPUTED_VALUE"""),"Email")</f>
        <v>Email</v>
      </c>
    </row>
    <row r="2003" spans="1:10" ht="13" x14ac:dyDescent="0.15">
      <c r="A2003" s="4">
        <f ca="1">IFERROR(__xludf.DUMMYFUNCTION("""COMPUTED_VALUE"""),260770353)</f>
        <v>260770353</v>
      </c>
      <c r="B2003" s="1" t="str">
        <f ca="1">IFERROR(__xludf.DUMMYFUNCTION("""COMPUTED_VALUE"""),"hannigan.terry@yahoo.com")</f>
        <v>hannigan.terry@yahoo.com</v>
      </c>
      <c r="C2003" s="4" t="str">
        <f ca="1">IFERROR(__xludf.DUMMYFUNCTION("""COMPUTED_VALUE"""),"EVERGREEN - UAN Gated Content - Embedded Petition")</f>
        <v>EVERGREEN - UAN Gated Content - Embedded Petition</v>
      </c>
      <c r="D2003" s="5">
        <f ca="1">IFERROR(__xludf.DUMMYFUNCTION("""COMPUTED_VALUE"""),45636)</f>
        <v>45636</v>
      </c>
      <c r="F2003" s="1" t="str">
        <f ca="1">IFERROR(__xludf.DUMMYFUNCTION("""COMPUTED_VALUE"""),"Tunisia")</f>
        <v>Tunisia</v>
      </c>
      <c r="G2003" s="1" t="str">
        <f ca="1">IFERROR(__xludf.DUMMYFUNCTION("""COMPUTED_VALUE"""),"4.25 USA")</f>
        <v>4.25 USA</v>
      </c>
      <c r="H2003" s="1" t="str">
        <f ca="1">IFERROR(__xludf.DUMMYFUNCTION("""COMPUTED_VALUE"""),"Individuals At Risk, Refugee and Migrant Rights")</f>
        <v>Individuals At Risk, Refugee and Migrant Rights</v>
      </c>
      <c r="I2003" s="1" t="str">
        <f ca="1">IFERROR(__xludf.DUMMYFUNCTION("""COMPUTED_VALUE"""),"2025")</f>
        <v>2025</v>
      </c>
      <c r="J2003" s="1" t="str">
        <f ca="1">IFERROR(__xludf.DUMMYFUNCTION("""COMPUTED_VALUE"""),"Letter")</f>
        <v>Letter</v>
      </c>
    </row>
    <row r="2004" spans="1:10" ht="13" x14ac:dyDescent="0.15">
      <c r="A2004" s="4">
        <f ca="1">IFERROR(__xludf.DUMMYFUNCTION("""COMPUTED_VALUE"""),261502293)</f>
        <v>261502293</v>
      </c>
      <c r="B2004" s="1" t="str">
        <f ca="1">IFERROR(__xludf.DUMMYFUNCTION("""COMPUTED_VALUE"""),"emilykramer02@yahoo.com")</f>
        <v>emilykramer02@yahoo.com</v>
      </c>
      <c r="C2004" s="4" t="str">
        <f ca="1">IFERROR(__xludf.DUMMYFUNCTION("""COMPUTED_VALUE"""),"EVERGREEN - UAN Gated Content - Embedded Petition")</f>
        <v>EVERGREEN - UAN Gated Content - Embedded Petition</v>
      </c>
      <c r="D2004" s="5">
        <f ca="1">IFERROR(__xludf.DUMMYFUNCTION("""COMPUTED_VALUE"""),45637)</f>
        <v>45637</v>
      </c>
      <c r="F2004" s="1" t="str">
        <f ca="1">IFERROR(__xludf.DUMMYFUNCTION("""COMPUTED_VALUE"""),"USA")</f>
        <v>USA</v>
      </c>
      <c r="G2004" s="1" t="str">
        <f ca="1">IFERROR(__xludf.DUMMYFUNCTION("""COMPUTED_VALUE"""),"Fifth 257.12")</f>
        <v>Fifth 257.12</v>
      </c>
      <c r="H2004" s="1" t="str">
        <f ca="1">IFERROR(__xludf.DUMMYFUNCTION("""COMPUTED_VALUE"""),"Freedom of Expression, Human Rights Defenders")</f>
        <v>Freedom of Expression, Human Rights Defenders</v>
      </c>
      <c r="I2004" s="1" t="str">
        <f ca="1">IFERROR(__xludf.DUMMYFUNCTION("""COMPUTED_VALUE"""),"2025")</f>
        <v>2025</v>
      </c>
      <c r="J2004" s="1" t="str">
        <f ca="1">IFERROR(__xludf.DUMMYFUNCTION("""COMPUTED_VALUE"""),"Email")</f>
        <v>Email</v>
      </c>
    </row>
    <row r="2005" spans="1:10" ht="13" x14ac:dyDescent="0.15">
      <c r="A2005" s="4">
        <f ca="1">IFERROR(__xludf.DUMMYFUNCTION("""COMPUTED_VALUE"""),261792891)</f>
        <v>261792891</v>
      </c>
      <c r="B2005" s="1" t="str">
        <f ca="1">IFERROR(__xludf.DUMMYFUNCTION("""COMPUTED_VALUE"""),"barcat609@gmail.com")</f>
        <v>barcat609@gmail.com</v>
      </c>
      <c r="C2005" s="4" t="str">
        <f ca="1">IFERROR(__xludf.DUMMYFUNCTION("""COMPUTED_VALUE"""),"EVERGREEN - Website Email Capture Form - UAN Pre-Footer")</f>
        <v>EVERGREEN - Website Email Capture Form - UAN Pre-Footer</v>
      </c>
      <c r="D2005" s="5">
        <f ca="1">IFERROR(__xludf.DUMMYFUNCTION("""COMPUTED_VALUE"""),45664)</f>
        <v>45664</v>
      </c>
      <c r="F2005" s="1" t="str">
        <f ca="1">IFERROR(__xludf.DUMMYFUNCTION("""COMPUTED_VALUE"""),"Saudi Arabia")</f>
        <v>Saudi Arabia</v>
      </c>
      <c r="G2005" s="1" t="str">
        <f ca="1">IFERROR(__xludf.DUMMYFUNCTION("""COMPUTED_VALUE"""),"11.25 Afghanistan")</f>
        <v>11.25 Afghanistan</v>
      </c>
      <c r="H2005" s="1" t="str">
        <f ca="1">IFERROR(__xludf.DUMMYFUNCTION("""COMPUTED_VALUE"""),"Freedom of Expression, Health, Individuals At Risk")</f>
        <v>Freedom of Expression, Health, Individuals At Risk</v>
      </c>
      <c r="I2005" s="1" t="str">
        <f ca="1">IFERROR(__xludf.DUMMYFUNCTION("""COMPUTED_VALUE"""),"2025")</f>
        <v>2025</v>
      </c>
      <c r="J2005" s="1" t="str">
        <f ca="1">IFERROR(__xludf.DUMMYFUNCTION("""COMPUTED_VALUE"""),"Email")</f>
        <v>Email</v>
      </c>
    </row>
    <row r="2006" spans="1:10" ht="13" x14ac:dyDescent="0.15">
      <c r="A2006" s="4">
        <f ca="1">IFERROR(__xludf.DUMMYFUNCTION("""COMPUTED_VALUE"""),262072154)</f>
        <v>262072154</v>
      </c>
      <c r="B2006" s="1" t="str">
        <f ca="1">IFERROR(__xludf.DUMMYFUNCTION("""COMPUTED_VALUE"""),"nugraha@indietechsolutions.com")</f>
        <v>nugraha@indietechsolutions.com</v>
      </c>
      <c r="C2006" s="4" t="str">
        <f ca="1">IFERROR(__xludf.DUMMYFUNCTION("""COMPUTED_VALUE"""),"EVERGREEN - UAN Gated Content - Embedded Petition")</f>
        <v>EVERGREEN - UAN Gated Content - Embedded Petition</v>
      </c>
      <c r="D2006" s="5">
        <f ca="1">IFERROR(__xludf.DUMMYFUNCTION("""COMPUTED_VALUE"""),45567)</f>
        <v>45567</v>
      </c>
      <c r="F2006" s="1" t="str">
        <f ca="1">IFERROR(__xludf.DUMMYFUNCTION("""COMPUTED_VALUE"""),"Afghanistan")</f>
        <v>Afghanistan</v>
      </c>
      <c r="G2006" s="1" t="str">
        <f ca="1">IFERROR(__xludf.DUMMYFUNCTION("""COMPUTED_VALUE"""),"9.25 Uganda")</f>
        <v>9.25 Uganda</v>
      </c>
      <c r="H2006" s="1" t="str">
        <f ca="1">IFERROR(__xludf.DUMMYFUNCTION("""COMPUTED_VALUE"""),"Freedom of Expression, Human Rights Defenders")</f>
        <v>Freedom of Expression, Human Rights Defenders</v>
      </c>
      <c r="I2006" s="1" t="str">
        <f ca="1">IFERROR(__xludf.DUMMYFUNCTION("""COMPUTED_VALUE"""),"2025")</f>
        <v>2025</v>
      </c>
      <c r="J2006" s="1" t="str">
        <f ca="1">IFERROR(__xludf.DUMMYFUNCTION("""COMPUTED_VALUE"""),"Email")</f>
        <v>Email</v>
      </c>
    </row>
    <row r="2007" spans="1:10" ht="13" x14ac:dyDescent="0.15">
      <c r="A2007" s="4">
        <f ca="1">IFERROR(__xludf.DUMMYFUNCTION("""COMPUTED_VALUE"""),262072154)</f>
        <v>262072154</v>
      </c>
      <c r="B2007" s="1" t="str">
        <f ca="1">IFERROR(__xludf.DUMMYFUNCTION("""COMPUTED_VALUE"""),"nugraha@indietechsolutions.com")</f>
        <v>nugraha@indietechsolutions.com</v>
      </c>
      <c r="C2007" s="4" t="str">
        <f ca="1">IFERROR(__xludf.DUMMYFUNCTION("""COMPUTED_VALUE"""),"EVERGREEN - UAN Gated Content - Embedded Petition")</f>
        <v>EVERGREEN - UAN Gated Content - Embedded Petition</v>
      </c>
      <c r="D2007" s="5">
        <f ca="1">IFERROR(__xludf.DUMMYFUNCTION("""COMPUTED_VALUE"""),45576)</f>
        <v>45576</v>
      </c>
      <c r="F2007" s="1" t="str">
        <f ca="1">IFERROR(__xludf.DUMMYFUNCTION("""COMPUTED_VALUE"""),"Uganda")</f>
        <v>Uganda</v>
      </c>
      <c r="G2007" s="1" t="str">
        <f ca="1">IFERROR(__xludf.DUMMYFUNCTION("""COMPUTED_VALUE"""),"10.25 Iran")</f>
        <v>10.25 Iran</v>
      </c>
      <c r="H2007" s="1" t="str">
        <f ca="1">IFERROR(__xludf.DUMMYFUNCTION("""COMPUTED_VALUE"""),"Death Penalty, Individuals At Risk")</f>
        <v>Death Penalty, Individuals At Risk</v>
      </c>
      <c r="I2007" s="1" t="str">
        <f ca="1">IFERROR(__xludf.DUMMYFUNCTION("""COMPUTED_VALUE"""),"2025")</f>
        <v>2025</v>
      </c>
      <c r="J2007" s="1" t="str">
        <f ca="1">IFERROR(__xludf.DUMMYFUNCTION("""COMPUTED_VALUE"""),"Email")</f>
        <v>Email</v>
      </c>
    </row>
    <row r="2008" spans="1:10" ht="13" x14ac:dyDescent="0.15">
      <c r="A2008" s="4">
        <f ca="1">IFERROR(__xludf.DUMMYFUNCTION("""COMPUTED_VALUE"""),262072154)</f>
        <v>262072154</v>
      </c>
      <c r="B2008" s="1" t="str">
        <f ca="1">IFERROR(__xludf.DUMMYFUNCTION("""COMPUTED_VALUE"""),"nugraha@indietechsolutions.com")</f>
        <v>nugraha@indietechsolutions.com</v>
      </c>
      <c r="C2008" s="4" t="str">
        <f ca="1">IFERROR(__xludf.DUMMYFUNCTION("""COMPUTED_VALUE"""),"EVERGREEN - UAN Gated Content - Embedded Petition")</f>
        <v>EVERGREEN - UAN Gated Content - Embedded Petition</v>
      </c>
      <c r="D2008" s="5">
        <f ca="1">IFERROR(__xludf.DUMMYFUNCTION("""COMPUTED_VALUE"""),45568)</f>
        <v>45568</v>
      </c>
      <c r="F2008" s="1" t="str">
        <f ca="1">IFERROR(__xludf.DUMMYFUNCTION("""COMPUTED_VALUE"""),"Iran")</f>
        <v>Iran</v>
      </c>
      <c r="G2008" s="1" t="str">
        <f ca="1">IFERROR(__xludf.DUMMYFUNCTION("""COMPUTED_VALUE"""),"Second 80.23 Egypt")</f>
        <v>Second 80.23 Egypt</v>
      </c>
      <c r="H2008" s="1" t="str">
        <f ca="1">IFERROR(__xludf.DUMMYFUNCTION("""COMPUTED_VALUE"""),"Health, Individuals At Risk")</f>
        <v>Health, Individuals At Risk</v>
      </c>
      <c r="I2008" s="1" t="str">
        <f ca="1">IFERROR(__xludf.DUMMYFUNCTION("""COMPUTED_VALUE"""),"2025")</f>
        <v>2025</v>
      </c>
      <c r="J2008" s="1" t="str">
        <f ca="1">IFERROR(__xludf.DUMMYFUNCTION("""COMPUTED_VALUE"""),"Email")</f>
        <v>Email</v>
      </c>
    </row>
    <row r="2009" spans="1:10" ht="13" x14ac:dyDescent="0.15">
      <c r="A2009" s="4">
        <f ca="1">IFERROR(__xludf.DUMMYFUNCTION("""COMPUTED_VALUE"""),262072154)</f>
        <v>262072154</v>
      </c>
      <c r="B2009" s="1" t="str">
        <f ca="1">IFERROR(__xludf.DUMMYFUNCTION("""COMPUTED_VALUE"""),"nugraha@indietechsolutions.com")</f>
        <v>nugraha@indietechsolutions.com</v>
      </c>
      <c r="C2009" s="4" t="str">
        <f ca="1">IFERROR(__xludf.DUMMYFUNCTION("""COMPUTED_VALUE"""),"EVERGREEN - UAN Gated Content - Embedded Petition")</f>
        <v>EVERGREEN - UAN Gated Content - Embedded Petition</v>
      </c>
      <c r="D2009" s="5">
        <f ca="1">IFERROR(__xludf.DUMMYFUNCTION("""COMPUTED_VALUE"""),45568)</f>
        <v>45568</v>
      </c>
      <c r="F2009" s="1" t="str">
        <f ca="1">IFERROR(__xludf.DUMMYFUNCTION("""COMPUTED_VALUE"""),"Egypt")</f>
        <v>Egypt</v>
      </c>
      <c r="G2009" s="1" t="str">
        <f ca="1">IFERROR(__xludf.DUMMYFUNCTION("""COMPUTED_VALUE"""),"12.25 Libya")</f>
        <v>12.25 Libya</v>
      </c>
      <c r="H2009" s="1" t="str">
        <f ca="1">IFERROR(__xludf.DUMMYFUNCTION("""COMPUTED_VALUE"""),"Freedom of Expression, Health, Individuals At Risk")</f>
        <v>Freedom of Expression, Health, Individuals At Risk</v>
      </c>
      <c r="I2009" s="1" t="str">
        <f ca="1">IFERROR(__xludf.DUMMYFUNCTION("""COMPUTED_VALUE"""),"2025")</f>
        <v>2025</v>
      </c>
      <c r="J2009" s="1" t="str">
        <f ca="1">IFERROR(__xludf.DUMMYFUNCTION("""COMPUTED_VALUE"""),"Email")</f>
        <v>Email</v>
      </c>
    </row>
    <row r="2010" spans="1:10" ht="13" x14ac:dyDescent="0.15">
      <c r="A2010" s="4">
        <f ca="1">IFERROR(__xludf.DUMMYFUNCTION("""COMPUTED_VALUE"""),262072154)</f>
        <v>262072154</v>
      </c>
      <c r="B2010" s="1" t="str">
        <f ca="1">IFERROR(__xludf.DUMMYFUNCTION("""COMPUTED_VALUE"""),"nugraha@indietechsolutions.com")</f>
        <v>nugraha@indietechsolutions.com</v>
      </c>
      <c r="C2010" s="4" t="str">
        <f ca="1">IFERROR(__xludf.DUMMYFUNCTION("""COMPUTED_VALUE"""),"EVERGREEN - UAN Gated Content - Embedded Petition")</f>
        <v>EVERGREEN - UAN Gated Content - Embedded Petition</v>
      </c>
      <c r="D2010" s="5">
        <f ca="1">IFERROR(__xludf.DUMMYFUNCTION("""COMPUTED_VALUE"""),45567)</f>
        <v>45567</v>
      </c>
      <c r="F2010" s="1" t="str">
        <f ca="1">IFERROR(__xludf.DUMMYFUNCTION("""COMPUTED_VALUE"""),"Libya")</f>
        <v>Libya</v>
      </c>
      <c r="G2010" s="1" t="str">
        <f ca="1">IFERROR(__xludf.DUMMYFUNCTION("""COMPUTED_VALUE"""),"11.25 Afghanistan")</f>
        <v>11.25 Afghanistan</v>
      </c>
      <c r="H2010" s="1" t="str">
        <f ca="1">IFERROR(__xludf.DUMMYFUNCTION("""COMPUTED_VALUE"""),"Freedom of Expression, Health, Individuals At Risk")</f>
        <v>Freedom of Expression, Health, Individuals At Risk</v>
      </c>
      <c r="I2010" s="1" t="str">
        <f ca="1">IFERROR(__xludf.DUMMYFUNCTION("""COMPUTED_VALUE"""),"2025")</f>
        <v>2025</v>
      </c>
      <c r="J2010" s="1" t="str">
        <f ca="1">IFERROR(__xludf.DUMMYFUNCTION("""COMPUTED_VALUE"""),"Email")</f>
        <v>Email</v>
      </c>
    </row>
    <row r="2011" spans="1:10" ht="13" x14ac:dyDescent="0.15">
      <c r="A2011" s="4">
        <f ca="1">IFERROR(__xludf.DUMMYFUNCTION("""COMPUTED_VALUE"""),262072154)</f>
        <v>262072154</v>
      </c>
      <c r="B2011" s="1" t="str">
        <f ca="1">IFERROR(__xludf.DUMMYFUNCTION("""COMPUTED_VALUE"""),"nugraha@indietechsolutions.com")</f>
        <v>nugraha@indietechsolutions.com</v>
      </c>
      <c r="C2011" s="4" t="str">
        <f ca="1">IFERROR(__xludf.DUMMYFUNCTION("""COMPUTED_VALUE"""),"EVERGREEN - UAN Gated Content - Embedded Petition")</f>
        <v>EVERGREEN - UAN Gated Content - Embedded Petition</v>
      </c>
      <c r="D2011" s="5">
        <f ca="1">IFERROR(__xludf.DUMMYFUNCTION("""COMPUTED_VALUE"""),45611)</f>
        <v>45611</v>
      </c>
      <c r="F2011" s="1" t="str">
        <f ca="1">IFERROR(__xludf.DUMMYFUNCTION("""COMPUTED_VALUE"""),"Afghanistan")</f>
        <v>Afghanistan</v>
      </c>
      <c r="G2011" s="1" t="str">
        <f ca="1">IFERROR(__xludf.DUMMYFUNCTION("""COMPUTED_VALUE"""),"12.25 Libya")</f>
        <v>12.25 Libya</v>
      </c>
      <c r="H2011" s="1" t="str">
        <f ca="1">IFERROR(__xludf.DUMMYFUNCTION("""COMPUTED_VALUE"""),"Freedom of Expression, Health, Individuals At Risk")</f>
        <v>Freedom of Expression, Health, Individuals At Risk</v>
      </c>
      <c r="I2011" s="1" t="str">
        <f ca="1">IFERROR(__xludf.DUMMYFUNCTION("""COMPUTED_VALUE"""),"2025")</f>
        <v>2025</v>
      </c>
      <c r="J2011" s="1" t="str">
        <f ca="1">IFERROR(__xludf.DUMMYFUNCTION("""COMPUTED_VALUE"""),"Email")</f>
        <v>Email</v>
      </c>
    </row>
    <row r="2012" spans="1:10" ht="13" x14ac:dyDescent="0.15">
      <c r="A2012" s="4">
        <f ca="1">IFERROR(__xludf.DUMMYFUNCTION("""COMPUTED_VALUE"""),262072154)</f>
        <v>262072154</v>
      </c>
      <c r="B2012" s="1" t="str">
        <f ca="1">IFERROR(__xludf.DUMMYFUNCTION("""COMPUTED_VALUE"""),"nugraha@indietechsolutions.com")</f>
        <v>nugraha@indietechsolutions.com</v>
      </c>
      <c r="C2012" s="4" t="str">
        <f ca="1">IFERROR(__xludf.DUMMYFUNCTION("""COMPUTED_VALUE"""),"EVERGREEN - UAN Gated Content - Embedded Petition")</f>
        <v>EVERGREEN - UAN Gated Content - Embedded Petition</v>
      </c>
      <c r="D2012" s="5">
        <f ca="1">IFERROR(__xludf.DUMMYFUNCTION("""COMPUTED_VALUE"""),45568)</f>
        <v>45568</v>
      </c>
      <c r="F2012" s="1" t="str">
        <f ca="1">IFERROR(__xludf.DUMMYFUNCTION("""COMPUTED_VALUE"""),"Libya")</f>
        <v>Libya</v>
      </c>
      <c r="G2012" s="1" t="str">
        <f ca="1">IFERROR(__xludf.DUMMYFUNCTION("""COMPUTED_VALUE"""),"2.25 Azerbaijan")</f>
        <v>2.25 Azerbaijan</v>
      </c>
      <c r="H2012" s="1" t="str">
        <f ca="1">IFERROR(__xludf.DUMMYFUNCTION("""COMPUTED_VALUE"""),"Freedom of Expression, Human Rights Defenders")</f>
        <v>Freedom of Expression, Human Rights Defenders</v>
      </c>
      <c r="I2012" s="1" t="str">
        <f ca="1">IFERROR(__xludf.DUMMYFUNCTION("""COMPUTED_VALUE"""),"2025")</f>
        <v>2025</v>
      </c>
      <c r="J2012" s="1" t="str">
        <f ca="1">IFERROR(__xludf.DUMMYFUNCTION("""COMPUTED_VALUE"""),"Email")</f>
        <v>Email</v>
      </c>
    </row>
    <row r="2013" spans="1:10" ht="13" x14ac:dyDescent="0.15">
      <c r="A2013" s="4">
        <f ca="1">IFERROR(__xludf.DUMMYFUNCTION("""COMPUTED_VALUE"""),262072154)</f>
        <v>262072154</v>
      </c>
      <c r="B2013" s="1" t="str">
        <f ca="1">IFERROR(__xludf.DUMMYFUNCTION("""COMPUTED_VALUE"""),"nugraha@indietechsolutions.com")</f>
        <v>nugraha@indietechsolutions.com</v>
      </c>
      <c r="C2013" s="4" t="str">
        <f ca="1">IFERROR(__xludf.DUMMYFUNCTION("""COMPUTED_VALUE"""),"EVERGREEN - UAN Gated Content - Embedded Petition")</f>
        <v>EVERGREEN - UAN Gated Content - Embedded Petition</v>
      </c>
      <c r="D2013" s="5">
        <f ca="1">IFERROR(__xludf.DUMMYFUNCTION("""COMPUTED_VALUE"""),45568)</f>
        <v>45568</v>
      </c>
      <c r="F2013" s="1" t="str">
        <f ca="1">IFERROR(__xludf.DUMMYFUNCTION("""COMPUTED_VALUE"""),"Azerbaijan")</f>
        <v>Azerbaijan</v>
      </c>
      <c r="G2013" s="1" t="str">
        <f ca="1">IFERROR(__xludf.DUMMYFUNCTION("""COMPUTED_VALUE"""),"1.25 Venezuela")</f>
        <v>1.25 Venezuela</v>
      </c>
      <c r="H2013" s="1" t="str">
        <f ca="1">IFERROR(__xludf.DUMMYFUNCTION("""COMPUTED_VALUE"""),"Human Rights Defenders, Individuals At Risk")</f>
        <v>Human Rights Defenders, Individuals At Risk</v>
      </c>
      <c r="I2013" s="1" t="str">
        <f ca="1">IFERROR(__xludf.DUMMYFUNCTION("""COMPUTED_VALUE"""),"2025")</f>
        <v>2025</v>
      </c>
      <c r="J2013" s="1" t="str">
        <f ca="1">IFERROR(__xludf.DUMMYFUNCTION("""COMPUTED_VALUE"""),"Letter")</f>
        <v>Letter</v>
      </c>
    </row>
    <row r="2014" spans="1:10" ht="13" x14ac:dyDescent="0.15">
      <c r="A2014" s="4">
        <f ca="1">IFERROR(__xludf.DUMMYFUNCTION("""COMPUTED_VALUE"""),262072154)</f>
        <v>262072154</v>
      </c>
      <c r="B2014" s="1" t="str">
        <f ca="1">IFERROR(__xludf.DUMMYFUNCTION("""COMPUTED_VALUE"""),"nugraha@indietechsolutions.com")</f>
        <v>nugraha@indietechsolutions.com</v>
      </c>
      <c r="C2014" s="4" t="str">
        <f ca="1">IFERROR(__xludf.DUMMYFUNCTION("""COMPUTED_VALUE"""),"EVERGREEN - Website Email Capture Form - UAN Pre-Footer")</f>
        <v>EVERGREEN - Website Email Capture Form - UAN Pre-Footer</v>
      </c>
      <c r="D2014" s="5">
        <f ca="1">IFERROR(__xludf.DUMMYFUNCTION("""COMPUTED_VALUE"""),45614)</f>
        <v>45614</v>
      </c>
      <c r="F2014" s="1" t="str">
        <f ca="1">IFERROR(__xludf.DUMMYFUNCTION("""COMPUTED_VALUE"""),"Venezuela")</f>
        <v>Venezuela</v>
      </c>
      <c r="G2014" s="1" t="str">
        <f ca="1">IFERROR(__xludf.DUMMYFUNCTION("""COMPUTED_VALUE"""),"1.25 Venezuela")</f>
        <v>1.25 Venezuela</v>
      </c>
      <c r="H2014" s="1" t="str">
        <f ca="1">IFERROR(__xludf.DUMMYFUNCTION("""COMPUTED_VALUE"""),"Human Rights Defenders, Individuals At Risk")</f>
        <v>Human Rights Defenders, Individuals At Risk</v>
      </c>
      <c r="I2014" s="1" t="str">
        <f ca="1">IFERROR(__xludf.DUMMYFUNCTION("""COMPUTED_VALUE"""),"2025")</f>
        <v>2025</v>
      </c>
      <c r="J2014" s="1" t="str">
        <f ca="1">IFERROR(__xludf.DUMMYFUNCTION("""COMPUTED_VALUE"""),"Letter")</f>
        <v>Letter</v>
      </c>
    </row>
    <row r="2015" spans="1:10" ht="13" x14ac:dyDescent="0.15">
      <c r="A2015" s="4">
        <f ca="1">IFERROR(__xludf.DUMMYFUNCTION("""COMPUTED_VALUE"""),262080547)</f>
        <v>262080547</v>
      </c>
      <c r="B2015" s="1" t="str">
        <f ca="1">IFERROR(__xludf.DUMMYFUNCTION("""COMPUTED_VALUE"""),"wjced.dunedin@verizon.net")</f>
        <v>wjced.dunedin@verizon.net</v>
      </c>
      <c r="C2015" s="4" t="str">
        <f ca="1">IFERROR(__xludf.DUMMYFUNCTION("""COMPUTED_VALUE"""),"EVERGREEN - UAN Gated Content - Embedded Petition")</f>
        <v>EVERGREEN - UAN Gated Content - Embedded Petition</v>
      </c>
      <c r="D2015" s="5">
        <f ca="1">IFERROR(__xludf.DUMMYFUNCTION("""COMPUTED_VALUE"""),45636)</f>
        <v>45636</v>
      </c>
      <c r="F2015" s="1" t="str">
        <f ca="1">IFERROR(__xludf.DUMMYFUNCTION("""COMPUTED_VALUE"""),"Venezuela")</f>
        <v>Venezuela</v>
      </c>
      <c r="G2015" s="1" t="str">
        <f ca="1">IFERROR(__xludf.DUMMYFUNCTION("""COMPUTED_VALUE"""),"4.25 USA")</f>
        <v>4.25 USA</v>
      </c>
      <c r="H2015" s="1" t="str">
        <f ca="1">IFERROR(__xludf.DUMMYFUNCTION("""COMPUTED_VALUE"""),"Individuals At Risk, Refugee and Migrant Rights")</f>
        <v>Individuals At Risk, Refugee and Migrant Rights</v>
      </c>
      <c r="I2015" s="1" t="str">
        <f ca="1">IFERROR(__xludf.DUMMYFUNCTION("""COMPUTED_VALUE"""),"2025")</f>
        <v>2025</v>
      </c>
      <c r="J2015" s="1" t="str">
        <f ca="1">IFERROR(__xludf.DUMMYFUNCTION("""COMPUTED_VALUE"""),"Letter")</f>
        <v>Letter</v>
      </c>
    </row>
    <row r="2016" spans="1:10" ht="13" x14ac:dyDescent="0.15">
      <c r="A2016" s="4">
        <f ca="1">IFERROR(__xludf.DUMMYFUNCTION("""COMPUTED_VALUE"""),262080547)</f>
        <v>262080547</v>
      </c>
      <c r="B2016" s="1" t="str">
        <f ca="1">IFERROR(__xludf.DUMMYFUNCTION("""COMPUTED_VALUE"""),"wjced.dunedin@verizon.net")</f>
        <v>wjced.dunedin@verizon.net</v>
      </c>
      <c r="C2016" s="4" t="str">
        <f ca="1">IFERROR(__xludf.DUMMYFUNCTION("""COMPUTED_VALUE"""),"EVERGREEN - UAN Gated Content - Embedded Petition")</f>
        <v>EVERGREEN - UAN Gated Content - Embedded Petition</v>
      </c>
      <c r="D2016" s="5">
        <f ca="1">IFERROR(__xludf.DUMMYFUNCTION("""COMPUTED_VALUE"""),45636)</f>
        <v>45636</v>
      </c>
      <c r="F2016" s="1" t="str">
        <f ca="1">IFERROR(__xludf.DUMMYFUNCTION("""COMPUTED_VALUE"""),"USA")</f>
        <v>USA</v>
      </c>
      <c r="G2016" s="1" t="str">
        <f ca="1">IFERROR(__xludf.DUMMYFUNCTION("""COMPUTED_VALUE"""),"105.24 USA")</f>
        <v>105.24 USA</v>
      </c>
      <c r="H2016" s="1" t="str">
        <f ca="1">IFERROR(__xludf.DUMMYFUNCTION("""COMPUTED_VALUE"""),"Death Penalty")</f>
        <v>Death Penalty</v>
      </c>
      <c r="I2016" s="1" t="str">
        <f ca="1">IFERROR(__xludf.DUMMYFUNCTION("""COMPUTED_VALUE"""),"2024")</f>
        <v>2024</v>
      </c>
      <c r="J2016" s="1" t="str">
        <f ca="1">IFERROR(__xludf.DUMMYFUNCTION("""COMPUTED_VALUE"""),"Email")</f>
        <v>Email</v>
      </c>
    </row>
    <row r="2017" spans="1:10" ht="13" x14ac:dyDescent="0.15">
      <c r="A2017" s="4">
        <f ca="1">IFERROR(__xludf.DUMMYFUNCTION("""COMPUTED_VALUE"""),262080547)</f>
        <v>262080547</v>
      </c>
      <c r="B2017" s="1" t="str">
        <f ca="1">IFERROR(__xludf.DUMMYFUNCTION("""COMPUTED_VALUE"""),"wjced.dunedin@verizon.net")</f>
        <v>wjced.dunedin@verizon.net</v>
      </c>
      <c r="C2017" s="4" t="str">
        <f ca="1">IFERROR(__xludf.DUMMYFUNCTION("""COMPUTED_VALUE"""),"EVERGREEN - UAN Gated Content - Embedded Petition")</f>
        <v>EVERGREEN - UAN Gated Content - Embedded Petition</v>
      </c>
      <c r="D2017" s="5">
        <f ca="1">IFERROR(__xludf.DUMMYFUNCTION("""COMPUTED_VALUE"""),45636)</f>
        <v>45636</v>
      </c>
      <c r="F2017" s="1" t="str">
        <f ca="1">IFERROR(__xludf.DUMMYFUNCTION("""COMPUTED_VALUE"""),"USA")</f>
        <v>USA</v>
      </c>
      <c r="G2017" s="1" t="str">
        <f ca="1">IFERROR(__xludf.DUMMYFUNCTION("""COMPUTED_VALUE"""),"4.25 USA")</f>
        <v>4.25 USA</v>
      </c>
      <c r="H2017" s="1" t="str">
        <f ca="1">IFERROR(__xludf.DUMMYFUNCTION("""COMPUTED_VALUE"""),"Individuals At Risk, Refugee and Migrant Rights")</f>
        <v>Individuals At Risk, Refugee and Migrant Rights</v>
      </c>
      <c r="I2017" s="1" t="str">
        <f ca="1">IFERROR(__xludf.DUMMYFUNCTION("""COMPUTED_VALUE"""),"2025")</f>
        <v>2025</v>
      </c>
      <c r="J2017" s="1" t="str">
        <f ca="1">IFERROR(__xludf.DUMMYFUNCTION("""COMPUTED_VALUE"""),"Letter")</f>
        <v>Letter</v>
      </c>
    </row>
    <row r="2018" spans="1:10" ht="13" x14ac:dyDescent="0.15">
      <c r="A2018" s="4">
        <f ca="1">IFERROR(__xludf.DUMMYFUNCTION("""COMPUTED_VALUE"""),263648361)</f>
        <v>263648361</v>
      </c>
      <c r="B2018" s="1" t="str">
        <f ca="1">IFERROR(__xludf.DUMMYFUNCTION("""COMPUTED_VALUE"""),"new1rachel@gmail.com")</f>
        <v>new1rachel@gmail.com</v>
      </c>
      <c r="C2018" s="4" t="str">
        <f ca="1">IFERROR(__xludf.DUMMYFUNCTION("""COMPUTED_VALUE"""),"EVERGREEN - UAN Gated Content - Embedded Petition")</f>
        <v>EVERGREEN - UAN Gated Content - Embedded Petition</v>
      </c>
      <c r="D2018" s="5">
        <f ca="1">IFERROR(__xludf.DUMMYFUNCTION("""COMPUTED_VALUE"""),45694)</f>
        <v>45694</v>
      </c>
      <c r="F2018" s="1" t="str">
        <f ca="1">IFERROR(__xludf.DUMMYFUNCTION("""COMPUTED_VALUE"""),"USA")</f>
        <v>USA</v>
      </c>
      <c r="G2018" s="1" t="str">
        <f ca="1">IFERROR(__xludf.DUMMYFUNCTION("""COMPUTED_VALUE"""),"4.25 USA")</f>
        <v>4.25 USA</v>
      </c>
      <c r="H2018" s="1" t="str">
        <f ca="1">IFERROR(__xludf.DUMMYFUNCTION("""COMPUTED_VALUE"""),"Individuals At Risk, Refugee and Migrant Rights")</f>
        <v>Individuals At Risk, Refugee and Migrant Rights</v>
      </c>
      <c r="I2018" s="1" t="str">
        <f ca="1">IFERROR(__xludf.DUMMYFUNCTION("""COMPUTED_VALUE"""),"2025")</f>
        <v>2025</v>
      </c>
      <c r="J2018" s="1" t="str">
        <f ca="1">IFERROR(__xludf.DUMMYFUNCTION("""COMPUTED_VALUE"""),"Letter")</f>
        <v>Letter</v>
      </c>
    </row>
    <row r="2019" spans="1:10" ht="13" x14ac:dyDescent="0.15">
      <c r="A2019" s="4">
        <f ca="1">IFERROR(__xludf.DUMMYFUNCTION("""COMPUTED_VALUE"""),263815204)</f>
        <v>263815204</v>
      </c>
      <c r="B2019" s="1" t="str">
        <f ca="1">IFERROR(__xludf.DUMMYFUNCTION("""COMPUTED_VALUE"""),"sameenau@yahoo.com")</f>
        <v>sameenau@yahoo.com</v>
      </c>
      <c r="C2019" s="4" t="str">
        <f ca="1">IFERROR(__xludf.DUMMYFUNCTION("""COMPUTED_VALUE"""),"EVERGREEN - Website Email Capture Form - UAN Pre-Footer")</f>
        <v>EVERGREEN - Website Email Capture Form - UAN Pre-Footer</v>
      </c>
      <c r="D2019" s="5">
        <f ca="1">IFERROR(__xludf.DUMMYFUNCTION("""COMPUTED_VALUE"""),45614)</f>
        <v>45614</v>
      </c>
      <c r="F2019" s="1" t="str">
        <f ca="1">IFERROR(__xludf.DUMMYFUNCTION("""COMPUTED_VALUE"""),"USA")</f>
        <v>USA</v>
      </c>
      <c r="G2019" s="1" t="str">
        <f ca="1">IFERROR(__xludf.DUMMYFUNCTION("""COMPUTED_VALUE"""),"1.25 Venezuela")</f>
        <v>1.25 Venezuela</v>
      </c>
      <c r="H2019" s="1" t="str">
        <f ca="1">IFERROR(__xludf.DUMMYFUNCTION("""COMPUTED_VALUE"""),"Human Rights Defenders, Individuals At Risk")</f>
        <v>Human Rights Defenders, Individuals At Risk</v>
      </c>
      <c r="I2019" s="1" t="str">
        <f ca="1">IFERROR(__xludf.DUMMYFUNCTION("""COMPUTED_VALUE"""),"2025")</f>
        <v>2025</v>
      </c>
      <c r="J2019" s="1" t="str">
        <f ca="1">IFERROR(__xludf.DUMMYFUNCTION("""COMPUTED_VALUE"""),"Letter")</f>
        <v>Letter</v>
      </c>
    </row>
    <row r="2020" spans="1:10" ht="13" x14ac:dyDescent="0.15">
      <c r="A2020" s="4">
        <f ca="1">IFERROR(__xludf.DUMMYFUNCTION("""COMPUTED_VALUE"""),263842418)</f>
        <v>263842418</v>
      </c>
      <c r="B2020" s="1" t="str">
        <f ca="1">IFERROR(__xludf.DUMMYFUNCTION("""COMPUTED_VALUE"""),"parkers14454@gmail.com")</f>
        <v>parkers14454@gmail.com</v>
      </c>
      <c r="C2020" s="4" t="str">
        <f ca="1">IFERROR(__xludf.DUMMYFUNCTION("""COMPUTED_VALUE"""),"EVERGREEN - UAN Gated Content - Embedded Petition")</f>
        <v>EVERGREEN - UAN Gated Content - Embedded Petition</v>
      </c>
      <c r="D2020" s="5">
        <f ca="1">IFERROR(__xludf.DUMMYFUNCTION("""COMPUTED_VALUE"""),45708)</f>
        <v>45708</v>
      </c>
      <c r="F2020" s="1" t="str">
        <f ca="1">IFERROR(__xludf.DUMMYFUNCTION("""COMPUTED_VALUE"""),"Venezuela")</f>
        <v>Venezuela</v>
      </c>
      <c r="G2020" s="1" t="str">
        <f ca="1">IFERROR(__xludf.DUMMYFUNCTION("""COMPUTED_VALUE"""),"1.25 Venezuela")</f>
        <v>1.25 Venezuela</v>
      </c>
      <c r="H2020" s="1" t="str">
        <f ca="1">IFERROR(__xludf.DUMMYFUNCTION("""COMPUTED_VALUE"""),"Human Rights Defenders, Individuals At Risk")</f>
        <v>Human Rights Defenders, Individuals At Risk</v>
      </c>
      <c r="I2020" s="1" t="str">
        <f ca="1">IFERROR(__xludf.DUMMYFUNCTION("""COMPUTED_VALUE"""),"2025")</f>
        <v>2025</v>
      </c>
      <c r="J2020" s="1" t="str">
        <f ca="1">IFERROR(__xludf.DUMMYFUNCTION("""COMPUTED_VALUE"""),"Letter")</f>
        <v>Letter</v>
      </c>
    </row>
    <row r="2021" spans="1:10" ht="13" x14ac:dyDescent="0.15">
      <c r="A2021" s="4">
        <f ca="1">IFERROR(__xludf.DUMMYFUNCTION("""COMPUTED_VALUE"""),263842418)</f>
        <v>263842418</v>
      </c>
      <c r="B2021" s="1" t="str">
        <f ca="1">IFERROR(__xludf.DUMMYFUNCTION("""COMPUTED_VALUE"""),"parkers14454@gmail.com")</f>
        <v>parkers14454@gmail.com</v>
      </c>
      <c r="C2021" s="4" t="str">
        <f ca="1">IFERROR(__xludf.DUMMYFUNCTION("""COMPUTED_VALUE"""),"EVERGREEN - UAN Gated Content - Embedded Petition")</f>
        <v>EVERGREEN - UAN Gated Content - Embedded Petition</v>
      </c>
      <c r="D2021" s="5">
        <f ca="1">IFERROR(__xludf.DUMMYFUNCTION("""COMPUTED_VALUE"""),45677)</f>
        <v>45677</v>
      </c>
      <c r="F2021" s="1" t="str">
        <f ca="1">IFERROR(__xludf.DUMMYFUNCTION("""COMPUTED_VALUE"""),"Venezuela")</f>
        <v>Venezuela</v>
      </c>
      <c r="G2021" s="1" t="str">
        <f ca="1">IFERROR(__xludf.DUMMYFUNCTION("""COMPUTED_VALUE"""),"1.25 Venezuela")</f>
        <v>1.25 Venezuela</v>
      </c>
      <c r="H2021" s="1" t="str">
        <f ca="1">IFERROR(__xludf.DUMMYFUNCTION("""COMPUTED_VALUE"""),"Human Rights Defenders, Individuals At Risk")</f>
        <v>Human Rights Defenders, Individuals At Risk</v>
      </c>
      <c r="I2021" s="1" t="str">
        <f ca="1">IFERROR(__xludf.DUMMYFUNCTION("""COMPUTED_VALUE"""),"2025")</f>
        <v>2025</v>
      </c>
      <c r="J2021" s="1" t="str">
        <f ca="1">IFERROR(__xludf.DUMMYFUNCTION("""COMPUTED_VALUE"""),"Letter")</f>
        <v>Letter</v>
      </c>
    </row>
    <row r="2022" spans="1:10" ht="13" x14ac:dyDescent="0.15">
      <c r="A2022" s="4">
        <f ca="1">IFERROR(__xludf.DUMMYFUNCTION("""COMPUTED_VALUE"""),263842418)</f>
        <v>263842418</v>
      </c>
      <c r="B2022" s="1" t="str">
        <f ca="1">IFERROR(__xludf.DUMMYFUNCTION("""COMPUTED_VALUE"""),"parkers14454@gmail.com")</f>
        <v>parkers14454@gmail.com</v>
      </c>
      <c r="C2022" s="4" t="str">
        <f ca="1">IFERROR(__xludf.DUMMYFUNCTION("""COMPUTED_VALUE"""),"EVERGREEN - UAN Gated Content - Embedded Petition")</f>
        <v>EVERGREEN - UAN Gated Content - Embedded Petition</v>
      </c>
      <c r="D2022" s="5">
        <f ca="1">IFERROR(__xludf.DUMMYFUNCTION("""COMPUTED_VALUE"""),45695)</f>
        <v>45695</v>
      </c>
      <c r="F2022" s="1" t="str">
        <f ca="1">IFERROR(__xludf.DUMMYFUNCTION("""COMPUTED_VALUE"""),"Venezuela")</f>
        <v>Venezuela</v>
      </c>
      <c r="G2022" s="1" t="str">
        <f ca="1">IFERROR(__xludf.DUMMYFUNCTION("""COMPUTED_VALUE"""),"3.25 IOPT")</f>
        <v>3.25 IOPT</v>
      </c>
      <c r="H2022" s="1" t="str">
        <f ca="1">IFERROR(__xludf.DUMMYFUNCTION("""COMPUTED_VALUE"""),"Freedom of Expression, Individuals At Risk")</f>
        <v>Freedom of Expression, Individuals At Risk</v>
      </c>
      <c r="I2022" s="1" t="str">
        <f ca="1">IFERROR(__xludf.DUMMYFUNCTION("""COMPUTED_VALUE"""),"2025")</f>
        <v>2025</v>
      </c>
      <c r="J2022" s="1" t="str">
        <f ca="1">IFERROR(__xludf.DUMMYFUNCTION("""COMPUTED_VALUE"""),"Email")</f>
        <v>Email</v>
      </c>
    </row>
    <row r="2023" spans="1:10" ht="13" x14ac:dyDescent="0.15">
      <c r="A2023" s="4">
        <f ca="1">IFERROR(__xludf.DUMMYFUNCTION("""COMPUTED_VALUE"""),263842418)</f>
        <v>263842418</v>
      </c>
      <c r="B2023" s="1" t="str">
        <f ca="1">IFERROR(__xludf.DUMMYFUNCTION("""COMPUTED_VALUE"""),"parkers14454@gmail.com")</f>
        <v>parkers14454@gmail.com</v>
      </c>
      <c r="C2023" s="4" t="str">
        <f ca="1">IFERROR(__xludf.DUMMYFUNCTION("""COMPUTED_VALUE"""),"EVERGREEN - UAN Gated Content - Embedded Petition")</f>
        <v>EVERGREEN - UAN Gated Content - Embedded Petition</v>
      </c>
      <c r="D2023" s="5">
        <f ca="1">IFERROR(__xludf.DUMMYFUNCTION("""COMPUTED_VALUE"""),45705)</f>
        <v>45705</v>
      </c>
      <c r="F2023" s="1" t="str">
        <f ca="1">IFERROR(__xludf.DUMMYFUNCTION("""COMPUTED_VALUE"""),"Israel and Occupied Palestinian Territories")</f>
        <v>Israel and Occupied Palestinian Territories</v>
      </c>
      <c r="G2023" s="1" t="str">
        <f ca="1">IFERROR(__xludf.DUMMYFUNCTION("""COMPUTED_VALUE"""),"105.24 USA")</f>
        <v>105.24 USA</v>
      </c>
      <c r="H2023" s="1" t="str">
        <f ca="1">IFERROR(__xludf.DUMMYFUNCTION("""COMPUTED_VALUE"""),"Death Penalty")</f>
        <v>Death Penalty</v>
      </c>
      <c r="I2023" s="1" t="str">
        <f ca="1">IFERROR(__xludf.DUMMYFUNCTION("""COMPUTED_VALUE"""),"2024")</f>
        <v>2024</v>
      </c>
      <c r="J2023" s="1" t="str">
        <f ca="1">IFERROR(__xludf.DUMMYFUNCTION("""COMPUTED_VALUE"""),"Email")</f>
        <v>Email</v>
      </c>
    </row>
    <row r="2024" spans="1:10" ht="13" x14ac:dyDescent="0.15">
      <c r="A2024" s="4">
        <f ca="1">IFERROR(__xludf.DUMMYFUNCTION("""COMPUTED_VALUE"""),263842418)</f>
        <v>263842418</v>
      </c>
      <c r="B2024" s="1" t="str">
        <f ca="1">IFERROR(__xludf.DUMMYFUNCTION("""COMPUTED_VALUE"""),"parkers14454@gmail.com")</f>
        <v>parkers14454@gmail.com</v>
      </c>
      <c r="C2024" s="4" t="str">
        <f ca="1">IFERROR(__xludf.DUMMYFUNCTION("""COMPUTED_VALUE"""),"EVERGREEN - UAN Gated Content - Embedded Petition")</f>
        <v>EVERGREEN - UAN Gated Content - Embedded Petition</v>
      </c>
      <c r="D2024" s="5">
        <f ca="1">IFERROR(__xludf.DUMMYFUNCTION("""COMPUTED_VALUE"""),45707)</f>
        <v>45707</v>
      </c>
      <c r="F2024" s="1" t="str">
        <f ca="1">IFERROR(__xludf.DUMMYFUNCTION("""COMPUTED_VALUE"""),"USA")</f>
        <v>USA</v>
      </c>
      <c r="G2024" s="1" t="str">
        <f ca="1">IFERROR(__xludf.DUMMYFUNCTION("""COMPUTED_VALUE"""),"Second 76.24 Tunisia")</f>
        <v>Second 76.24 Tunisia</v>
      </c>
      <c r="H2024" s="1" t="str">
        <f ca="1">IFERROR(__xludf.DUMMYFUNCTION("""COMPUTED_VALUE"""),"Freedom of Expression, Human Rights Defenders")</f>
        <v>Freedom of Expression, Human Rights Defenders</v>
      </c>
      <c r="I2024" s="1" t="str">
        <f ca="1">IFERROR(__xludf.DUMMYFUNCTION("""COMPUTED_VALUE"""),"2025")</f>
        <v>2025</v>
      </c>
      <c r="J2024" s="1" t="str">
        <f ca="1">IFERROR(__xludf.DUMMYFUNCTION("""COMPUTED_VALUE"""),"Email")</f>
        <v>Email</v>
      </c>
    </row>
    <row r="2025" spans="1:10" ht="13" x14ac:dyDescent="0.15">
      <c r="A2025" s="4">
        <f ca="1">IFERROR(__xludf.DUMMYFUNCTION("""COMPUTED_VALUE"""),264092849)</f>
        <v>264092849</v>
      </c>
      <c r="B2025" s="1" t="str">
        <f ca="1">IFERROR(__xludf.DUMMYFUNCTION("""COMPUTED_VALUE"""),"meganjrader@gmail.com")</f>
        <v>meganjrader@gmail.com</v>
      </c>
      <c r="C2025" s="4" t="str">
        <f ca="1">IFERROR(__xludf.DUMMYFUNCTION("""COMPUTED_VALUE"""),"EVERGREEN - UAN Gated Content - Embedded Petition")</f>
        <v>EVERGREEN - UAN Gated Content - Embedded Petition</v>
      </c>
      <c r="D2025" s="5">
        <f ca="1">IFERROR(__xludf.DUMMYFUNCTION("""COMPUTED_VALUE"""),45584)</f>
        <v>45584</v>
      </c>
      <c r="F2025" s="1" t="str">
        <f ca="1">IFERROR(__xludf.DUMMYFUNCTION("""COMPUTED_VALUE"""),"Tunisia")</f>
        <v>Tunisia</v>
      </c>
      <c r="G2025" s="1" t="str">
        <f ca="1">IFERROR(__xludf.DUMMYFUNCTION("""COMPUTED_VALUE"""),"Second 76.24 Tunisia")</f>
        <v>Second 76.24 Tunisia</v>
      </c>
      <c r="H2025" s="1" t="str">
        <f ca="1">IFERROR(__xludf.DUMMYFUNCTION("""COMPUTED_VALUE"""),"Freedom of Expression, Human Rights Defenders")</f>
        <v>Freedom of Expression, Human Rights Defenders</v>
      </c>
      <c r="I2025" s="1" t="str">
        <f ca="1">IFERROR(__xludf.DUMMYFUNCTION("""COMPUTED_VALUE"""),"2025")</f>
        <v>2025</v>
      </c>
      <c r="J2025" s="1" t="str">
        <f ca="1">IFERROR(__xludf.DUMMYFUNCTION("""COMPUTED_VALUE"""),"Email")</f>
        <v>Email</v>
      </c>
    </row>
    <row r="2026" spans="1:10" ht="13" x14ac:dyDescent="0.15">
      <c r="A2026" s="4">
        <f ca="1">IFERROR(__xludf.DUMMYFUNCTION("""COMPUTED_VALUE"""),264092849)</f>
        <v>264092849</v>
      </c>
      <c r="B2026" s="1" t="str">
        <f ca="1">IFERROR(__xludf.DUMMYFUNCTION("""COMPUTED_VALUE"""),"meganjrader@gmail.com")</f>
        <v>meganjrader@gmail.com</v>
      </c>
      <c r="C2026" s="4" t="str">
        <f ca="1">IFERROR(__xludf.DUMMYFUNCTION("""COMPUTED_VALUE"""),"EVERGREEN - UAN Gated Content - Embedded Petition")</f>
        <v>EVERGREEN - UAN Gated Content - Embedded Petition</v>
      </c>
      <c r="D2026" s="5">
        <f ca="1">IFERROR(__xludf.DUMMYFUNCTION("""COMPUTED_VALUE"""),45584)</f>
        <v>45584</v>
      </c>
      <c r="F2026" s="1" t="str">
        <f ca="1">IFERROR(__xludf.DUMMYFUNCTION("""COMPUTED_VALUE"""),"Tunisia")</f>
        <v>Tunisia</v>
      </c>
      <c r="G2026" s="1" t="str">
        <f ca="1">IFERROR(__xludf.DUMMYFUNCTION("""COMPUTED_VALUE"""),"2.25 Azerbaijan")</f>
        <v>2.25 Azerbaijan</v>
      </c>
      <c r="H2026" s="1" t="str">
        <f ca="1">IFERROR(__xludf.DUMMYFUNCTION("""COMPUTED_VALUE"""),"Freedom of Expression, Human Rights Defenders")</f>
        <v>Freedom of Expression, Human Rights Defenders</v>
      </c>
      <c r="I2026" s="1" t="str">
        <f ca="1">IFERROR(__xludf.DUMMYFUNCTION("""COMPUTED_VALUE"""),"2025")</f>
        <v>2025</v>
      </c>
      <c r="J2026" s="1" t="str">
        <f ca="1">IFERROR(__xludf.DUMMYFUNCTION("""COMPUTED_VALUE"""),"Email")</f>
        <v>Email</v>
      </c>
    </row>
    <row r="2027" spans="1:10" ht="13" x14ac:dyDescent="0.15">
      <c r="A2027" s="4">
        <f ca="1">IFERROR(__xludf.DUMMYFUNCTION("""COMPUTED_VALUE"""),264390375)</f>
        <v>264390375</v>
      </c>
      <c r="B2027" s="1" t="str">
        <f ca="1">IFERROR(__xludf.DUMMYFUNCTION("""COMPUTED_VALUE"""),"bigmoneyoutofpolitics@gmail.com")</f>
        <v>bigmoneyoutofpolitics@gmail.com</v>
      </c>
      <c r="C2027" s="4" t="str">
        <f ca="1">IFERROR(__xludf.DUMMYFUNCTION("""COMPUTED_VALUE"""),"EVERGREEN - UAN Gated Content - Embedded Petition")</f>
        <v>EVERGREEN - UAN Gated Content - Embedded Petition</v>
      </c>
      <c r="D2027" s="5">
        <f ca="1">IFERROR(__xludf.DUMMYFUNCTION("""COMPUTED_VALUE"""),45675)</f>
        <v>45675</v>
      </c>
      <c r="F2027" s="1" t="str">
        <f ca="1">IFERROR(__xludf.DUMMYFUNCTION("""COMPUTED_VALUE"""),"Azerbaijan")</f>
        <v>Azerbaijan</v>
      </c>
      <c r="G2027" s="1" t="str">
        <f ca="1">IFERROR(__xludf.DUMMYFUNCTION("""COMPUTED_VALUE"""),"Fourth 55.24 USA")</f>
        <v>Fourth 55.24 USA</v>
      </c>
      <c r="H2027" s="1" t="str">
        <f ca="1">IFERROR(__xludf.DUMMYFUNCTION("""COMPUTED_VALUE"""),"Climate Justice, Individuals At Risk")</f>
        <v>Climate Justice, Individuals At Risk</v>
      </c>
      <c r="I2027" s="1" t="str">
        <f ca="1">IFERROR(__xludf.DUMMYFUNCTION("""COMPUTED_VALUE"""),"2025")</f>
        <v>2025</v>
      </c>
      <c r="J2027" s="1" t="str">
        <f ca="1">IFERROR(__xludf.DUMMYFUNCTION("""COMPUTED_VALUE"""),"Email")</f>
        <v>Email</v>
      </c>
    </row>
    <row r="2028" spans="1:10" ht="13" x14ac:dyDescent="0.15">
      <c r="A2028" s="4">
        <f ca="1">IFERROR(__xludf.DUMMYFUNCTION("""COMPUTED_VALUE"""),264390375)</f>
        <v>264390375</v>
      </c>
      <c r="B2028" s="1" t="str">
        <f ca="1">IFERROR(__xludf.DUMMYFUNCTION("""COMPUTED_VALUE"""),"bigmoneyoutofpolitics@gmail.com")</f>
        <v>bigmoneyoutofpolitics@gmail.com</v>
      </c>
      <c r="C2028" s="4" t="str">
        <f ca="1">IFERROR(__xludf.DUMMYFUNCTION("""COMPUTED_VALUE"""),"EVERGREEN - UAN Gated Content - Embedded Petition")</f>
        <v>EVERGREEN - UAN Gated Content - Embedded Petition</v>
      </c>
      <c r="D2028" s="5">
        <f ca="1">IFERROR(__xludf.DUMMYFUNCTION("""COMPUTED_VALUE"""),45675)</f>
        <v>45675</v>
      </c>
      <c r="F2028" s="1" t="str">
        <f ca="1">IFERROR(__xludf.DUMMYFUNCTION("""COMPUTED_VALUE"""),"USA")</f>
        <v>USA</v>
      </c>
      <c r="G2028" s="1" t="str">
        <f ca="1">IFERROR(__xludf.DUMMYFUNCTION("""COMPUTED_VALUE"""),"Seventh 103.22 Iran")</f>
        <v>Seventh 103.22 Iran</v>
      </c>
      <c r="H2028" s="1" t="str">
        <f ca="1">IFERROR(__xludf.DUMMYFUNCTION("""COMPUTED_VALUE"""),"Death Penalty, Freedom of Expression, Individuals At Risk")</f>
        <v>Death Penalty, Freedom of Expression, Individuals At Risk</v>
      </c>
      <c r="I2028" s="1" t="str">
        <f ca="1">IFERROR(__xludf.DUMMYFUNCTION("""COMPUTED_VALUE"""),"2024")</f>
        <v>2024</v>
      </c>
      <c r="J2028" s="1" t="str">
        <f ca="1">IFERROR(__xludf.DUMMYFUNCTION("""COMPUTED_VALUE"""),"Email")</f>
        <v>Email</v>
      </c>
    </row>
    <row r="2029" spans="1:10" ht="13" x14ac:dyDescent="0.15">
      <c r="A2029" s="4">
        <f ca="1">IFERROR(__xludf.DUMMYFUNCTION("""COMPUTED_VALUE"""),264390375)</f>
        <v>264390375</v>
      </c>
      <c r="B2029" s="1" t="str">
        <f ca="1">IFERROR(__xludf.DUMMYFUNCTION("""COMPUTED_VALUE"""),"bigmoneyoutofpolitics@gmail.com")</f>
        <v>bigmoneyoutofpolitics@gmail.com</v>
      </c>
      <c r="C2029" s="4" t="str">
        <f ca="1">IFERROR(__xludf.DUMMYFUNCTION("""COMPUTED_VALUE"""),"EVERGREEN - UAN Gated Content - Embedded Petition")</f>
        <v>EVERGREEN - UAN Gated Content - Embedded Petition</v>
      </c>
      <c r="D2029" s="5">
        <f ca="1">IFERROR(__xludf.DUMMYFUNCTION("""COMPUTED_VALUE"""),45694)</f>
        <v>45694</v>
      </c>
      <c r="F2029" s="1" t="str">
        <f ca="1">IFERROR(__xludf.DUMMYFUNCTION("""COMPUTED_VALUE"""),"Iran")</f>
        <v>Iran</v>
      </c>
      <c r="G2029" s="1" t="str">
        <f ca="1">IFERROR(__xludf.DUMMYFUNCTION("""COMPUTED_VALUE"""),"Second 76.24 Tunisia")</f>
        <v>Second 76.24 Tunisia</v>
      </c>
      <c r="H2029" s="1" t="str">
        <f ca="1">IFERROR(__xludf.DUMMYFUNCTION("""COMPUTED_VALUE"""),"Freedom of Expression, Human Rights Defenders")</f>
        <v>Freedom of Expression, Human Rights Defenders</v>
      </c>
      <c r="I2029" s="1" t="str">
        <f ca="1">IFERROR(__xludf.DUMMYFUNCTION("""COMPUTED_VALUE"""),"2025")</f>
        <v>2025</v>
      </c>
      <c r="J2029" s="1" t="str">
        <f ca="1">IFERROR(__xludf.DUMMYFUNCTION("""COMPUTED_VALUE"""),"Email")</f>
        <v>Email</v>
      </c>
    </row>
    <row r="2030" spans="1:10" ht="13" x14ac:dyDescent="0.15">
      <c r="A2030" s="4">
        <f ca="1">IFERROR(__xludf.DUMMYFUNCTION("""COMPUTED_VALUE"""),264390375)</f>
        <v>264390375</v>
      </c>
      <c r="B2030" s="1" t="str">
        <f ca="1">IFERROR(__xludf.DUMMYFUNCTION("""COMPUTED_VALUE"""),"bigmoneyoutofpolitics@gmail.com")</f>
        <v>bigmoneyoutofpolitics@gmail.com</v>
      </c>
      <c r="C2030" s="4" t="str">
        <f ca="1">IFERROR(__xludf.DUMMYFUNCTION("""COMPUTED_VALUE"""),"EVERGREEN - UAN Gated Content - Embedded Petition")</f>
        <v>EVERGREEN - UAN Gated Content - Embedded Petition</v>
      </c>
      <c r="D2030" s="5">
        <f ca="1">IFERROR(__xludf.DUMMYFUNCTION("""COMPUTED_VALUE"""),45675)</f>
        <v>45675</v>
      </c>
      <c r="F2030" s="1" t="str">
        <f ca="1">IFERROR(__xludf.DUMMYFUNCTION("""COMPUTED_VALUE"""),"Tunisia")</f>
        <v>Tunisia</v>
      </c>
      <c r="G2030" s="1" t="str">
        <f ca="1">IFERROR(__xludf.DUMMYFUNCTION("""COMPUTED_VALUE"""),"4.25 USA")</f>
        <v>4.25 USA</v>
      </c>
      <c r="H2030" s="1" t="str">
        <f ca="1">IFERROR(__xludf.DUMMYFUNCTION("""COMPUTED_VALUE"""),"Individuals At Risk, Refugee and Migrant Rights")</f>
        <v>Individuals At Risk, Refugee and Migrant Rights</v>
      </c>
      <c r="I2030" s="1" t="str">
        <f ca="1">IFERROR(__xludf.DUMMYFUNCTION("""COMPUTED_VALUE"""),"2025")</f>
        <v>2025</v>
      </c>
      <c r="J2030" s="1" t="str">
        <f ca="1">IFERROR(__xludf.DUMMYFUNCTION("""COMPUTED_VALUE"""),"Letter")</f>
        <v>Letter</v>
      </c>
    </row>
    <row r="2031" spans="1:10" ht="13" x14ac:dyDescent="0.15">
      <c r="A2031" s="4">
        <f ca="1">IFERROR(__xludf.DUMMYFUNCTION("""COMPUTED_VALUE"""),264390375)</f>
        <v>264390375</v>
      </c>
      <c r="B2031" s="1" t="str">
        <f ca="1">IFERROR(__xludf.DUMMYFUNCTION("""COMPUTED_VALUE"""),"bigmoneyoutofpolitics@gmail.com")</f>
        <v>bigmoneyoutofpolitics@gmail.com</v>
      </c>
      <c r="C2031" s="4" t="str">
        <f ca="1">IFERROR(__xludf.DUMMYFUNCTION("""COMPUTED_VALUE"""),"EVERGREEN - UAN Gated Content - Embedded Petition")</f>
        <v>EVERGREEN - UAN Gated Content - Embedded Petition</v>
      </c>
      <c r="D2031" s="5">
        <f ca="1">IFERROR(__xludf.DUMMYFUNCTION("""COMPUTED_VALUE"""),45675)</f>
        <v>45675</v>
      </c>
      <c r="F2031" s="1" t="str">
        <f ca="1">IFERROR(__xludf.DUMMYFUNCTION("""COMPUTED_VALUE"""),"USA")</f>
        <v>USA</v>
      </c>
      <c r="G2031" s="1" t="str">
        <f ca="1">IFERROR(__xludf.DUMMYFUNCTION("""COMPUTED_VALUE"""),"Second 76.24 Tunisia")</f>
        <v>Second 76.24 Tunisia</v>
      </c>
      <c r="H2031" s="1" t="str">
        <f ca="1">IFERROR(__xludf.DUMMYFUNCTION("""COMPUTED_VALUE"""),"Freedom of Expression, Human Rights Defenders")</f>
        <v>Freedom of Expression, Human Rights Defenders</v>
      </c>
      <c r="I2031" s="1" t="str">
        <f ca="1">IFERROR(__xludf.DUMMYFUNCTION("""COMPUTED_VALUE"""),"2025")</f>
        <v>2025</v>
      </c>
      <c r="J2031" s="1" t="str">
        <f ca="1">IFERROR(__xludf.DUMMYFUNCTION("""COMPUTED_VALUE"""),"Email")</f>
        <v>Email</v>
      </c>
    </row>
    <row r="2032" spans="1:10" ht="13" x14ac:dyDescent="0.15">
      <c r="A2032" s="4">
        <f ca="1">IFERROR(__xludf.DUMMYFUNCTION("""COMPUTED_VALUE"""),264390375)</f>
        <v>264390375</v>
      </c>
      <c r="B2032" s="1" t="str">
        <f ca="1">IFERROR(__xludf.DUMMYFUNCTION("""COMPUTED_VALUE"""),"bigmoneyoutofpolitics@gmail.com")</f>
        <v>bigmoneyoutofpolitics@gmail.com</v>
      </c>
      <c r="C2032" s="4" t="str">
        <f ca="1">IFERROR(__xludf.DUMMYFUNCTION("""COMPUTED_VALUE"""),"EVERGREEN - UAN Gated Content - Embedded Petition")</f>
        <v>EVERGREEN - UAN Gated Content - Embedded Petition</v>
      </c>
      <c r="D2032" s="5">
        <f ca="1">IFERROR(__xludf.DUMMYFUNCTION("""COMPUTED_VALUE"""),45675)</f>
        <v>45675</v>
      </c>
      <c r="F2032" s="1" t="str">
        <f ca="1">IFERROR(__xludf.DUMMYFUNCTION("""COMPUTED_VALUE"""),"Tunisia")</f>
        <v>Tunisia</v>
      </c>
      <c r="G2032" s="1" t="str">
        <f ca="1">IFERROR(__xludf.DUMMYFUNCTION("""COMPUTED_VALUE"""),"Second 76.24 Tunisia")</f>
        <v>Second 76.24 Tunisia</v>
      </c>
      <c r="H2032" s="1" t="str">
        <f ca="1">IFERROR(__xludf.DUMMYFUNCTION("""COMPUTED_VALUE"""),"Freedom of Expression, Human Rights Defenders")</f>
        <v>Freedom of Expression, Human Rights Defenders</v>
      </c>
      <c r="I2032" s="1" t="str">
        <f ca="1">IFERROR(__xludf.DUMMYFUNCTION("""COMPUTED_VALUE"""),"2025")</f>
        <v>2025</v>
      </c>
      <c r="J2032" s="1" t="str">
        <f ca="1">IFERROR(__xludf.DUMMYFUNCTION("""COMPUTED_VALUE"""),"Email")</f>
        <v>Email</v>
      </c>
    </row>
    <row r="2033" spans="1:10" ht="13" x14ac:dyDescent="0.15">
      <c r="A2033" s="4">
        <f ca="1">IFERROR(__xludf.DUMMYFUNCTION("""COMPUTED_VALUE"""),264390375)</f>
        <v>264390375</v>
      </c>
      <c r="B2033" s="1" t="str">
        <f ca="1">IFERROR(__xludf.DUMMYFUNCTION("""COMPUTED_VALUE"""),"bigmoneyoutofpolitics@gmail.com")</f>
        <v>bigmoneyoutofpolitics@gmail.com</v>
      </c>
      <c r="C2033" s="4" t="str">
        <f ca="1">IFERROR(__xludf.DUMMYFUNCTION("""COMPUTED_VALUE"""),"EVERGREEN - UAN Gated Content - Embedded Petition")</f>
        <v>EVERGREEN - UAN Gated Content - Embedded Petition</v>
      </c>
      <c r="D2033" s="5">
        <f ca="1">IFERROR(__xludf.DUMMYFUNCTION("""COMPUTED_VALUE"""),45675)</f>
        <v>45675</v>
      </c>
      <c r="F2033" s="1" t="str">
        <f ca="1">IFERROR(__xludf.DUMMYFUNCTION("""COMPUTED_VALUE"""),"Tunisia")</f>
        <v>Tunisia</v>
      </c>
      <c r="G2033" s="1" t="str">
        <f ca="1">IFERROR(__xludf.DUMMYFUNCTION("""COMPUTED_VALUE"""),"Second 76.24 Tunisia")</f>
        <v>Second 76.24 Tunisia</v>
      </c>
      <c r="H2033" s="1" t="str">
        <f ca="1">IFERROR(__xludf.DUMMYFUNCTION("""COMPUTED_VALUE"""),"Freedom of Expression, Human Rights Defenders")</f>
        <v>Freedom of Expression, Human Rights Defenders</v>
      </c>
      <c r="I2033" s="1" t="str">
        <f ca="1">IFERROR(__xludf.DUMMYFUNCTION("""COMPUTED_VALUE"""),"2025")</f>
        <v>2025</v>
      </c>
      <c r="J2033" s="1" t="str">
        <f ca="1">IFERROR(__xludf.DUMMYFUNCTION("""COMPUTED_VALUE"""),"Email")</f>
        <v>Email</v>
      </c>
    </row>
    <row r="2034" spans="1:10" ht="13" x14ac:dyDescent="0.15">
      <c r="A2034" s="4">
        <f ca="1">IFERROR(__xludf.DUMMYFUNCTION("""COMPUTED_VALUE"""),264390375)</f>
        <v>264390375</v>
      </c>
      <c r="B2034" s="1" t="str">
        <f ca="1">IFERROR(__xludf.DUMMYFUNCTION("""COMPUTED_VALUE"""),"bigmoneyoutofpolitics@gmail.com")</f>
        <v>bigmoneyoutofpolitics@gmail.com</v>
      </c>
      <c r="C2034" s="4" t="str">
        <f ca="1">IFERROR(__xludf.DUMMYFUNCTION("""COMPUTED_VALUE"""),"EVERGREEN - UAN Gated Content - Embedded Petition")</f>
        <v>EVERGREEN - UAN Gated Content - Embedded Petition</v>
      </c>
      <c r="D2034" s="5">
        <f ca="1">IFERROR(__xludf.DUMMYFUNCTION("""COMPUTED_VALUE"""),45675)</f>
        <v>45675</v>
      </c>
      <c r="F2034" s="1" t="str">
        <f ca="1">IFERROR(__xludf.DUMMYFUNCTION("""COMPUTED_VALUE"""),"Tunisia")</f>
        <v>Tunisia</v>
      </c>
      <c r="G2034" s="1" t="str">
        <f ca="1">IFERROR(__xludf.DUMMYFUNCTION("""COMPUTED_VALUE"""),"Second 76.24 Tunisia")</f>
        <v>Second 76.24 Tunisia</v>
      </c>
      <c r="H2034" s="1" t="str">
        <f ca="1">IFERROR(__xludf.DUMMYFUNCTION("""COMPUTED_VALUE"""),"Freedom of Expression, Human Rights Defenders")</f>
        <v>Freedom of Expression, Human Rights Defenders</v>
      </c>
      <c r="I2034" s="1" t="str">
        <f ca="1">IFERROR(__xludf.DUMMYFUNCTION("""COMPUTED_VALUE"""),"2025")</f>
        <v>2025</v>
      </c>
      <c r="J2034" s="1" t="str">
        <f ca="1">IFERROR(__xludf.DUMMYFUNCTION("""COMPUTED_VALUE"""),"Email")</f>
        <v>Email</v>
      </c>
    </row>
    <row r="2035" spans="1:10" ht="13" x14ac:dyDescent="0.15">
      <c r="A2035" s="4">
        <f ca="1">IFERROR(__xludf.DUMMYFUNCTION("""COMPUTED_VALUE"""),264390375)</f>
        <v>264390375</v>
      </c>
      <c r="B2035" s="1" t="str">
        <f ca="1">IFERROR(__xludf.DUMMYFUNCTION("""COMPUTED_VALUE"""),"bigmoneyoutofpolitics@gmail.com")</f>
        <v>bigmoneyoutofpolitics@gmail.com</v>
      </c>
      <c r="C2035" s="4" t="str">
        <f ca="1">IFERROR(__xludf.DUMMYFUNCTION("""COMPUTED_VALUE"""),"EVERGREEN - UAN Gated Content - Embedded Petition")</f>
        <v>EVERGREEN - UAN Gated Content - Embedded Petition</v>
      </c>
      <c r="D2035" s="5">
        <f ca="1">IFERROR(__xludf.DUMMYFUNCTION("""COMPUTED_VALUE"""),45675)</f>
        <v>45675</v>
      </c>
      <c r="F2035" s="1" t="str">
        <f ca="1">IFERROR(__xludf.DUMMYFUNCTION("""COMPUTED_VALUE"""),"Tunisia")</f>
        <v>Tunisia</v>
      </c>
      <c r="G2035" s="1" t="str">
        <f ca="1">IFERROR(__xludf.DUMMYFUNCTION("""COMPUTED_VALUE"""),"3.25 IOPT")</f>
        <v>3.25 IOPT</v>
      </c>
      <c r="H2035" s="1" t="str">
        <f ca="1">IFERROR(__xludf.DUMMYFUNCTION("""COMPUTED_VALUE"""),"Freedom of Expression, Individuals At Risk")</f>
        <v>Freedom of Expression, Individuals At Risk</v>
      </c>
      <c r="I2035" s="1" t="str">
        <f ca="1">IFERROR(__xludf.DUMMYFUNCTION("""COMPUTED_VALUE"""),"2025")</f>
        <v>2025</v>
      </c>
      <c r="J2035" s="1" t="str">
        <f ca="1">IFERROR(__xludf.DUMMYFUNCTION("""COMPUTED_VALUE"""),"Email")</f>
        <v>Email</v>
      </c>
    </row>
    <row r="2036" spans="1:10" ht="13" x14ac:dyDescent="0.15">
      <c r="A2036" s="4">
        <f ca="1">IFERROR(__xludf.DUMMYFUNCTION("""COMPUTED_VALUE"""),264390375)</f>
        <v>264390375</v>
      </c>
      <c r="B2036" s="1" t="str">
        <f ca="1">IFERROR(__xludf.DUMMYFUNCTION("""COMPUTED_VALUE"""),"bigmoneyoutofpolitics@gmail.com")</f>
        <v>bigmoneyoutofpolitics@gmail.com</v>
      </c>
      <c r="C2036" s="4" t="str">
        <f ca="1">IFERROR(__xludf.DUMMYFUNCTION("""COMPUTED_VALUE"""),"EVERGREEN - UAN Gated Content - Embedded Petition")</f>
        <v>EVERGREEN - UAN Gated Content - Embedded Petition</v>
      </c>
      <c r="D2036" s="5">
        <f ca="1">IFERROR(__xludf.DUMMYFUNCTION("""COMPUTED_VALUE"""),45675)</f>
        <v>45675</v>
      </c>
      <c r="F2036" s="1" t="str">
        <f ca="1">IFERROR(__xludf.DUMMYFUNCTION("""COMPUTED_VALUE"""),"Israel and Occupied Palestinian Territories")</f>
        <v>Israel and Occupied Palestinian Territories</v>
      </c>
      <c r="G2036" s="1" t="str">
        <f ca="1">IFERROR(__xludf.DUMMYFUNCTION("""COMPUTED_VALUE"""),"4.25 USA")</f>
        <v>4.25 USA</v>
      </c>
      <c r="H2036" s="1" t="str">
        <f ca="1">IFERROR(__xludf.DUMMYFUNCTION("""COMPUTED_VALUE"""),"Individuals At Risk, Refugee and Migrant Rights")</f>
        <v>Individuals At Risk, Refugee and Migrant Rights</v>
      </c>
      <c r="I2036" s="1" t="str">
        <f ca="1">IFERROR(__xludf.DUMMYFUNCTION("""COMPUTED_VALUE"""),"2025")</f>
        <v>2025</v>
      </c>
      <c r="J2036" s="1" t="str">
        <f ca="1">IFERROR(__xludf.DUMMYFUNCTION("""COMPUTED_VALUE"""),"Letter")</f>
        <v>Letter</v>
      </c>
    </row>
    <row r="2037" spans="1:10" ht="13" x14ac:dyDescent="0.15">
      <c r="A2037" s="4">
        <f ca="1">IFERROR(__xludf.DUMMYFUNCTION("""COMPUTED_VALUE"""),264390375)</f>
        <v>264390375</v>
      </c>
      <c r="B2037" s="1" t="str">
        <f ca="1">IFERROR(__xludf.DUMMYFUNCTION("""COMPUTED_VALUE"""),"bigmoneyoutofpolitics@gmail.com")</f>
        <v>bigmoneyoutofpolitics@gmail.com</v>
      </c>
      <c r="C2037" s="4" t="str">
        <f ca="1">IFERROR(__xludf.DUMMYFUNCTION("""COMPUTED_VALUE"""),"EVERGREEN - UAN Gated Content - Embedded Petition")</f>
        <v>EVERGREEN - UAN Gated Content - Embedded Petition</v>
      </c>
      <c r="D2037" s="5">
        <f ca="1">IFERROR(__xludf.DUMMYFUNCTION("""COMPUTED_VALUE"""),45675)</f>
        <v>45675</v>
      </c>
      <c r="F2037" s="1" t="str">
        <f ca="1">IFERROR(__xludf.DUMMYFUNCTION("""COMPUTED_VALUE"""),"USA")</f>
        <v>USA</v>
      </c>
      <c r="G2037" s="1" t="str">
        <f ca="1">IFERROR(__xludf.DUMMYFUNCTION("""COMPUTED_VALUE"""),"3.25 IOPT")</f>
        <v>3.25 IOPT</v>
      </c>
      <c r="H2037" s="1" t="str">
        <f ca="1">IFERROR(__xludf.DUMMYFUNCTION("""COMPUTED_VALUE"""),"Freedom of Expression, Individuals At Risk")</f>
        <v>Freedom of Expression, Individuals At Risk</v>
      </c>
      <c r="I2037" s="1" t="str">
        <f ca="1">IFERROR(__xludf.DUMMYFUNCTION("""COMPUTED_VALUE"""),"2025")</f>
        <v>2025</v>
      </c>
      <c r="J2037" s="1" t="str">
        <f ca="1">IFERROR(__xludf.DUMMYFUNCTION("""COMPUTED_VALUE"""),"Email")</f>
        <v>Email</v>
      </c>
    </row>
    <row r="2038" spans="1:10" ht="13" x14ac:dyDescent="0.15">
      <c r="A2038" s="4">
        <f ca="1">IFERROR(__xludf.DUMMYFUNCTION("""COMPUTED_VALUE"""),264390375)</f>
        <v>264390375</v>
      </c>
      <c r="B2038" s="1" t="str">
        <f ca="1">IFERROR(__xludf.DUMMYFUNCTION("""COMPUTED_VALUE"""),"bigmoneyoutofpolitics@gmail.com")</f>
        <v>bigmoneyoutofpolitics@gmail.com</v>
      </c>
      <c r="C2038" s="4" t="str">
        <f ca="1">IFERROR(__xludf.DUMMYFUNCTION("""COMPUTED_VALUE"""),"EVERGREEN - UAN Gated Content - Embedded Petition")</f>
        <v>EVERGREEN - UAN Gated Content - Embedded Petition</v>
      </c>
      <c r="D2038" s="5">
        <f ca="1">IFERROR(__xludf.DUMMYFUNCTION("""COMPUTED_VALUE"""),45675)</f>
        <v>45675</v>
      </c>
      <c r="F2038" s="1" t="str">
        <f ca="1">IFERROR(__xludf.DUMMYFUNCTION("""COMPUTED_VALUE"""),"Israel and Occupied Palestinian Territories")</f>
        <v>Israel and Occupied Palestinian Territories</v>
      </c>
      <c r="G2038" s="1" t="str">
        <f ca="1">IFERROR(__xludf.DUMMYFUNCTION("""COMPUTED_VALUE"""),"1.25 Venezuela")</f>
        <v>1.25 Venezuela</v>
      </c>
      <c r="H2038" s="1" t="str">
        <f ca="1">IFERROR(__xludf.DUMMYFUNCTION("""COMPUTED_VALUE"""),"Human Rights Defenders, Individuals At Risk")</f>
        <v>Human Rights Defenders, Individuals At Risk</v>
      </c>
      <c r="I2038" s="1" t="str">
        <f ca="1">IFERROR(__xludf.DUMMYFUNCTION("""COMPUTED_VALUE"""),"2025")</f>
        <v>2025</v>
      </c>
      <c r="J2038" s="1" t="str">
        <f ca="1">IFERROR(__xludf.DUMMYFUNCTION("""COMPUTED_VALUE"""),"Letter")</f>
        <v>Letter</v>
      </c>
    </row>
    <row r="2039" spans="1:10" ht="13" x14ac:dyDescent="0.15">
      <c r="A2039" s="4">
        <f ca="1">IFERROR(__xludf.DUMMYFUNCTION("""COMPUTED_VALUE"""),264390375)</f>
        <v>264390375</v>
      </c>
      <c r="B2039" s="1" t="str">
        <f ca="1">IFERROR(__xludf.DUMMYFUNCTION("""COMPUTED_VALUE"""),"bigmoneyoutofpolitics@gmail.com")</f>
        <v>bigmoneyoutofpolitics@gmail.com</v>
      </c>
      <c r="C2039" s="4" t="str">
        <f ca="1">IFERROR(__xludf.DUMMYFUNCTION("""COMPUTED_VALUE"""),"EVERGREEN - UAN Gated Content - Embedded Petition")</f>
        <v>EVERGREEN - UAN Gated Content - Embedded Petition</v>
      </c>
      <c r="D2039" s="5">
        <f ca="1">IFERROR(__xludf.DUMMYFUNCTION("""COMPUTED_VALUE"""),45675)</f>
        <v>45675</v>
      </c>
      <c r="F2039" s="1" t="str">
        <f ca="1">IFERROR(__xludf.DUMMYFUNCTION("""COMPUTED_VALUE"""),"Venezuela")</f>
        <v>Venezuela</v>
      </c>
      <c r="G2039" s="1" t="str">
        <f ca="1">IFERROR(__xludf.DUMMYFUNCTION("""COMPUTED_VALUE"""),"4.25 USA")</f>
        <v>4.25 USA</v>
      </c>
      <c r="H2039" s="1" t="str">
        <f ca="1">IFERROR(__xludf.DUMMYFUNCTION("""COMPUTED_VALUE"""),"Individuals At Risk, Refugee and Migrant Rights")</f>
        <v>Individuals At Risk, Refugee and Migrant Rights</v>
      </c>
      <c r="I2039" s="1" t="str">
        <f ca="1">IFERROR(__xludf.DUMMYFUNCTION("""COMPUTED_VALUE"""),"2025")</f>
        <v>2025</v>
      </c>
      <c r="J2039" s="1" t="str">
        <f ca="1">IFERROR(__xludf.DUMMYFUNCTION("""COMPUTED_VALUE"""),"Letter")</f>
        <v>Letter</v>
      </c>
    </row>
    <row r="2040" spans="1:10" ht="13" x14ac:dyDescent="0.15">
      <c r="A2040" s="4">
        <f ca="1">IFERROR(__xludf.DUMMYFUNCTION("""COMPUTED_VALUE"""),264390375)</f>
        <v>264390375</v>
      </c>
      <c r="B2040" s="1" t="str">
        <f ca="1">IFERROR(__xludf.DUMMYFUNCTION("""COMPUTED_VALUE"""),"bigmoneyoutofpolitics@gmail.com")</f>
        <v>bigmoneyoutofpolitics@gmail.com</v>
      </c>
      <c r="C2040" s="4" t="str">
        <f ca="1">IFERROR(__xludf.DUMMYFUNCTION("""COMPUTED_VALUE"""),"EVERGREEN - UAN Gated Content - Embedded Petition")</f>
        <v>EVERGREEN - UAN Gated Content - Embedded Petition</v>
      </c>
      <c r="D2040" s="5">
        <f ca="1">IFERROR(__xludf.DUMMYFUNCTION("""COMPUTED_VALUE"""),45675)</f>
        <v>45675</v>
      </c>
      <c r="F2040" s="1" t="str">
        <f ca="1">IFERROR(__xludf.DUMMYFUNCTION("""COMPUTED_VALUE"""),"USA")</f>
        <v>USA</v>
      </c>
      <c r="G2040" s="1" t="str">
        <f ca="1">IFERROR(__xludf.DUMMYFUNCTION("""COMPUTED_VALUE"""),"4.25 USA")</f>
        <v>4.25 USA</v>
      </c>
      <c r="H2040" s="1" t="str">
        <f ca="1">IFERROR(__xludf.DUMMYFUNCTION("""COMPUTED_VALUE"""),"Individuals At Risk, Refugee and Migrant Rights")</f>
        <v>Individuals At Risk, Refugee and Migrant Rights</v>
      </c>
      <c r="I2040" s="1" t="str">
        <f ca="1">IFERROR(__xludf.DUMMYFUNCTION("""COMPUTED_VALUE"""),"2025")</f>
        <v>2025</v>
      </c>
      <c r="J2040" s="1" t="str">
        <f ca="1">IFERROR(__xludf.DUMMYFUNCTION("""COMPUTED_VALUE"""),"Letter")</f>
        <v>Letter</v>
      </c>
    </row>
    <row r="2041" spans="1:10" ht="13" x14ac:dyDescent="0.15">
      <c r="A2041" s="4">
        <f ca="1">IFERROR(__xludf.DUMMYFUNCTION("""COMPUTED_VALUE"""),264390375)</f>
        <v>264390375</v>
      </c>
      <c r="B2041" s="1" t="str">
        <f ca="1">IFERROR(__xludf.DUMMYFUNCTION("""COMPUTED_VALUE"""),"bigmoneyoutofpolitics@gmail.com")</f>
        <v>bigmoneyoutofpolitics@gmail.com</v>
      </c>
      <c r="C2041" s="4" t="str">
        <f ca="1">IFERROR(__xludf.DUMMYFUNCTION("""COMPUTED_VALUE"""),"EVERGREEN - UAN Gated Content - Embedded Petition")</f>
        <v>EVERGREEN - UAN Gated Content - Embedded Petition</v>
      </c>
      <c r="D2041" s="5">
        <f ca="1">IFERROR(__xludf.DUMMYFUNCTION("""COMPUTED_VALUE"""),45675)</f>
        <v>45675</v>
      </c>
      <c r="F2041" s="1" t="str">
        <f ca="1">IFERROR(__xludf.DUMMYFUNCTION("""COMPUTED_VALUE"""),"USA")</f>
        <v>USA</v>
      </c>
      <c r="G2041" s="1" t="str">
        <f ca="1">IFERROR(__xludf.DUMMYFUNCTION("""COMPUTED_VALUE"""),"4.25 USA")</f>
        <v>4.25 USA</v>
      </c>
      <c r="H2041" s="1" t="str">
        <f ca="1">IFERROR(__xludf.DUMMYFUNCTION("""COMPUTED_VALUE"""),"Individuals At Risk, Refugee and Migrant Rights")</f>
        <v>Individuals At Risk, Refugee and Migrant Rights</v>
      </c>
      <c r="I2041" s="1" t="str">
        <f ca="1">IFERROR(__xludf.DUMMYFUNCTION("""COMPUTED_VALUE"""),"2025")</f>
        <v>2025</v>
      </c>
      <c r="J2041" s="1" t="str">
        <f ca="1">IFERROR(__xludf.DUMMYFUNCTION("""COMPUTED_VALUE"""),"Letter")</f>
        <v>Letter</v>
      </c>
    </row>
    <row r="2042" spans="1:10" ht="13" x14ac:dyDescent="0.15">
      <c r="A2042" s="4">
        <f ca="1">IFERROR(__xludf.DUMMYFUNCTION("""COMPUTED_VALUE"""),264390375)</f>
        <v>264390375</v>
      </c>
      <c r="B2042" s="1" t="str">
        <f ca="1">IFERROR(__xludf.DUMMYFUNCTION("""COMPUTED_VALUE"""),"bigmoneyoutofpolitics@gmail.com")</f>
        <v>bigmoneyoutofpolitics@gmail.com</v>
      </c>
      <c r="C2042" s="4" t="str">
        <f ca="1">IFERROR(__xludf.DUMMYFUNCTION("""COMPUTED_VALUE"""),"EVERGREEN - UAN Gated Content - Embedded Petition")</f>
        <v>EVERGREEN - UAN Gated Content - Embedded Petition</v>
      </c>
      <c r="D2042" s="5">
        <f ca="1">IFERROR(__xludf.DUMMYFUNCTION("""COMPUTED_VALUE"""),45675)</f>
        <v>45675</v>
      </c>
      <c r="F2042" s="1" t="str">
        <f ca="1">IFERROR(__xludf.DUMMYFUNCTION("""COMPUTED_VALUE"""),"USA")</f>
        <v>USA</v>
      </c>
      <c r="G2042" s="1" t="str">
        <f ca="1">IFERROR(__xludf.DUMMYFUNCTION("""COMPUTED_VALUE"""),"3.25 IOPT")</f>
        <v>3.25 IOPT</v>
      </c>
      <c r="H2042" s="1" t="str">
        <f ca="1">IFERROR(__xludf.DUMMYFUNCTION("""COMPUTED_VALUE"""),"Freedom of Expression, Individuals At Risk")</f>
        <v>Freedom of Expression, Individuals At Risk</v>
      </c>
      <c r="I2042" s="1" t="str">
        <f ca="1">IFERROR(__xludf.DUMMYFUNCTION("""COMPUTED_VALUE"""),"2025")</f>
        <v>2025</v>
      </c>
      <c r="J2042" s="1" t="str">
        <f ca="1">IFERROR(__xludf.DUMMYFUNCTION("""COMPUTED_VALUE"""),"Email")</f>
        <v>Email</v>
      </c>
    </row>
    <row r="2043" spans="1:10" ht="13" x14ac:dyDescent="0.15">
      <c r="A2043" s="4">
        <f ca="1">IFERROR(__xludf.DUMMYFUNCTION("""COMPUTED_VALUE"""),264915254)</f>
        <v>264915254</v>
      </c>
      <c r="B2043" s="1" t="str">
        <f ca="1">IFERROR(__xludf.DUMMYFUNCTION("""COMPUTED_VALUE"""),"saltzhealley@gmail.com")</f>
        <v>saltzhealley@gmail.com</v>
      </c>
      <c r="C2043" s="4" t="str">
        <f ca="1">IFERROR(__xludf.DUMMYFUNCTION("""COMPUTED_VALUE"""),"EVERGREEN - UAN Gated Content - Embedded Petition")</f>
        <v>EVERGREEN - UAN Gated Content - Embedded Petition</v>
      </c>
      <c r="D2043" s="5">
        <f ca="1">IFERROR(__xludf.DUMMYFUNCTION("""COMPUTED_VALUE"""),45707)</f>
        <v>45707</v>
      </c>
      <c r="F2043" s="1" t="str">
        <f ca="1">IFERROR(__xludf.DUMMYFUNCTION("""COMPUTED_VALUE"""),"Israel and Occupied Palestinian Territories")</f>
        <v>Israel and Occupied Palestinian Territories</v>
      </c>
      <c r="G2043" s="1" t="str">
        <f ca="1">IFERROR(__xludf.DUMMYFUNCTION("""COMPUTED_VALUE"""),"Second 76.24 Tunisia")</f>
        <v>Second 76.24 Tunisia</v>
      </c>
      <c r="H2043" s="1" t="str">
        <f ca="1">IFERROR(__xludf.DUMMYFUNCTION("""COMPUTED_VALUE"""),"Freedom of Expression, Human Rights Defenders")</f>
        <v>Freedom of Expression, Human Rights Defenders</v>
      </c>
      <c r="I2043" s="1" t="str">
        <f ca="1">IFERROR(__xludf.DUMMYFUNCTION("""COMPUTED_VALUE"""),"2025")</f>
        <v>2025</v>
      </c>
      <c r="J2043" s="1" t="str">
        <f ca="1">IFERROR(__xludf.DUMMYFUNCTION("""COMPUTED_VALUE"""),"Email")</f>
        <v>Email</v>
      </c>
    </row>
    <row r="2044" spans="1:10" ht="13" x14ac:dyDescent="0.15">
      <c r="A2044" s="4">
        <f ca="1">IFERROR(__xludf.DUMMYFUNCTION("""COMPUTED_VALUE"""),264924177)</f>
        <v>264924177</v>
      </c>
      <c r="B2044" s="1" t="str">
        <f ca="1">IFERROR(__xludf.DUMMYFUNCTION("""COMPUTED_VALUE"""),"megan@indietechsolutions.com")</f>
        <v>megan@indietechsolutions.com</v>
      </c>
      <c r="C2044" s="4" t="str">
        <f ca="1">IFERROR(__xludf.DUMMYFUNCTION("""COMPUTED_VALUE"""),"EVERGREEN - UAN Gated Content - Embedded Petition")</f>
        <v>EVERGREEN - UAN Gated Content - Embedded Petition</v>
      </c>
      <c r="D2044" s="5">
        <f ca="1">IFERROR(__xludf.DUMMYFUNCTION("""COMPUTED_VALUE"""),45611)</f>
        <v>45611</v>
      </c>
      <c r="F2044" s="1" t="str">
        <f ca="1">IFERROR(__xludf.DUMMYFUNCTION("""COMPUTED_VALUE"""),"Tunisia")</f>
        <v>Tunisia</v>
      </c>
      <c r="G2044" s="1" t="str">
        <f ca="1">IFERROR(__xludf.DUMMYFUNCTION("""COMPUTED_VALUE"""),"Second 80.23 Egypt")</f>
        <v>Second 80.23 Egypt</v>
      </c>
      <c r="H2044" s="1" t="str">
        <f ca="1">IFERROR(__xludf.DUMMYFUNCTION("""COMPUTED_VALUE"""),"Health, Individuals At Risk")</f>
        <v>Health, Individuals At Risk</v>
      </c>
      <c r="I2044" s="1" t="str">
        <f ca="1">IFERROR(__xludf.DUMMYFUNCTION("""COMPUTED_VALUE"""),"2025")</f>
        <v>2025</v>
      </c>
      <c r="J2044" s="1" t="str">
        <f ca="1">IFERROR(__xludf.DUMMYFUNCTION("""COMPUTED_VALUE"""),"Email")</f>
        <v>Email</v>
      </c>
    </row>
    <row r="2045" spans="1:10" ht="13" x14ac:dyDescent="0.15">
      <c r="A2045" s="4">
        <f ca="1">IFERROR(__xludf.DUMMYFUNCTION("""COMPUTED_VALUE"""),264924177)</f>
        <v>264924177</v>
      </c>
      <c r="B2045" s="1" t="str">
        <f ca="1">IFERROR(__xludf.DUMMYFUNCTION("""COMPUTED_VALUE"""),"megan@indietechsolutions.com")</f>
        <v>megan@indietechsolutions.com</v>
      </c>
      <c r="C2045" s="4" t="str">
        <f ca="1">IFERROR(__xludf.DUMMYFUNCTION("""COMPUTED_VALUE"""),"EVERGREEN - UAN Gated Content - Embedded Petition")</f>
        <v>EVERGREEN - UAN Gated Content - Embedded Petition</v>
      </c>
      <c r="D2045" s="5">
        <f ca="1">IFERROR(__xludf.DUMMYFUNCTION("""COMPUTED_VALUE"""),45613)</f>
        <v>45613</v>
      </c>
      <c r="F2045" s="1" t="str">
        <f ca="1">IFERROR(__xludf.DUMMYFUNCTION("""COMPUTED_VALUE"""),"Egypt")</f>
        <v>Egypt</v>
      </c>
      <c r="G2045" s="1" t="str">
        <f ca="1">IFERROR(__xludf.DUMMYFUNCTION("""COMPUTED_VALUE"""),"Ninth 190.18 Egypt")</f>
        <v>Ninth 190.18 Egypt</v>
      </c>
      <c r="H2045" s="1" t="str">
        <f ca="1">IFERROR(__xludf.DUMMYFUNCTION("""COMPUTED_VALUE"""),"Freedom of Expression, Individuals At Risk")</f>
        <v>Freedom of Expression, Individuals At Risk</v>
      </c>
      <c r="I2045" s="1" t="str">
        <f ca="1">IFERROR(__xludf.DUMMYFUNCTION("""COMPUTED_VALUE"""),"2024")</f>
        <v>2024</v>
      </c>
      <c r="J2045" s="1" t="str">
        <f ca="1">IFERROR(__xludf.DUMMYFUNCTION("""COMPUTED_VALUE"""),"Letter")</f>
        <v>Letter</v>
      </c>
    </row>
    <row r="2046" spans="1:10" ht="13" x14ac:dyDescent="0.15">
      <c r="A2046" s="4">
        <f ca="1">IFERROR(__xludf.DUMMYFUNCTION("""COMPUTED_VALUE"""),264924177)</f>
        <v>264924177</v>
      </c>
      <c r="B2046" s="1" t="str">
        <f ca="1">IFERROR(__xludf.DUMMYFUNCTION("""COMPUTED_VALUE"""),"megan@indietechsolutions.com")</f>
        <v>megan@indietechsolutions.com</v>
      </c>
      <c r="C2046" s="4" t="str">
        <f ca="1">IFERROR(__xludf.DUMMYFUNCTION("""COMPUTED_VALUE"""),"EVERGREEN - UAN Gated Content - Embedded Petition")</f>
        <v>EVERGREEN - UAN Gated Content - Embedded Petition</v>
      </c>
      <c r="D2046" s="5">
        <f ca="1">IFERROR(__xludf.DUMMYFUNCTION("""COMPUTED_VALUE"""),45603)</f>
        <v>45603</v>
      </c>
      <c r="F2046" s="1" t="str">
        <f ca="1">IFERROR(__xludf.DUMMYFUNCTION("""COMPUTED_VALUE"""),"Egypt")</f>
        <v>Egypt</v>
      </c>
      <c r="G2046" s="1" t="str">
        <f ca="1">IFERROR(__xludf.DUMMYFUNCTION("""COMPUTED_VALUE"""),"11.25 Afghanistan")</f>
        <v>11.25 Afghanistan</v>
      </c>
      <c r="H2046" s="1" t="str">
        <f ca="1">IFERROR(__xludf.DUMMYFUNCTION("""COMPUTED_VALUE"""),"Freedom of Expression, Health, Individuals At Risk")</f>
        <v>Freedom of Expression, Health, Individuals At Risk</v>
      </c>
      <c r="I2046" s="1" t="str">
        <f ca="1">IFERROR(__xludf.DUMMYFUNCTION("""COMPUTED_VALUE"""),"2025")</f>
        <v>2025</v>
      </c>
      <c r="J2046" s="1" t="str">
        <f ca="1">IFERROR(__xludf.DUMMYFUNCTION("""COMPUTED_VALUE"""),"Email")</f>
        <v>Email</v>
      </c>
    </row>
    <row r="2047" spans="1:10" ht="13" x14ac:dyDescent="0.15">
      <c r="A2047" s="4">
        <f ca="1">IFERROR(__xludf.DUMMYFUNCTION("""COMPUTED_VALUE"""),264924177)</f>
        <v>264924177</v>
      </c>
      <c r="B2047" s="1" t="str">
        <f ca="1">IFERROR(__xludf.DUMMYFUNCTION("""COMPUTED_VALUE"""),"megan@indietechsolutions.com")</f>
        <v>megan@indietechsolutions.com</v>
      </c>
      <c r="C2047" s="4" t="str">
        <f ca="1">IFERROR(__xludf.DUMMYFUNCTION("""COMPUTED_VALUE"""),"EVERGREEN - UAN Gated Content - Embedded Petition")</f>
        <v>EVERGREEN - UAN Gated Content - Embedded Petition</v>
      </c>
      <c r="D2047" s="5">
        <f ca="1">IFERROR(__xludf.DUMMYFUNCTION("""COMPUTED_VALUE"""),45615)</f>
        <v>45615</v>
      </c>
      <c r="F2047" s="1" t="str">
        <f ca="1">IFERROR(__xludf.DUMMYFUNCTION("""COMPUTED_VALUE"""),"Afghanistan")</f>
        <v>Afghanistan</v>
      </c>
      <c r="G2047" s="1" t="str">
        <f ca="1">IFERROR(__xludf.DUMMYFUNCTION("""COMPUTED_VALUE"""),"Fifth 257.12")</f>
        <v>Fifth 257.12</v>
      </c>
      <c r="H2047" s="1" t="str">
        <f ca="1">IFERROR(__xludf.DUMMYFUNCTION("""COMPUTED_VALUE"""),"Freedom of Expression, Human Rights Defenders")</f>
        <v>Freedom of Expression, Human Rights Defenders</v>
      </c>
      <c r="I2047" s="1" t="str">
        <f ca="1">IFERROR(__xludf.DUMMYFUNCTION("""COMPUTED_VALUE"""),"2025")</f>
        <v>2025</v>
      </c>
      <c r="J2047" s="1" t="str">
        <f ca="1">IFERROR(__xludf.DUMMYFUNCTION("""COMPUTED_VALUE"""),"Email")</f>
        <v>Email</v>
      </c>
    </row>
    <row r="2048" spans="1:10" ht="13" x14ac:dyDescent="0.15">
      <c r="A2048" s="4">
        <f ca="1">IFERROR(__xludf.DUMMYFUNCTION("""COMPUTED_VALUE"""),264924177)</f>
        <v>264924177</v>
      </c>
      <c r="B2048" s="1" t="str">
        <f ca="1">IFERROR(__xludf.DUMMYFUNCTION("""COMPUTED_VALUE"""),"megan@indietechsolutions.com")</f>
        <v>megan@indietechsolutions.com</v>
      </c>
      <c r="C2048" s="4" t="str">
        <f ca="1">IFERROR(__xludf.DUMMYFUNCTION("""COMPUTED_VALUE"""),"EVERGREEN - UAN Gated Content - Embedded Petition")</f>
        <v>EVERGREEN - UAN Gated Content - Embedded Petition</v>
      </c>
      <c r="D2048" s="5">
        <f ca="1">IFERROR(__xludf.DUMMYFUNCTION("""COMPUTED_VALUE"""),45616)</f>
        <v>45616</v>
      </c>
      <c r="F2048" s="1" t="str">
        <f ca="1">IFERROR(__xludf.DUMMYFUNCTION("""COMPUTED_VALUE"""),"Saudi Arabia")</f>
        <v>Saudi Arabia</v>
      </c>
      <c r="G2048" s="1" t="str">
        <f ca="1">IFERROR(__xludf.DUMMYFUNCTION("""COMPUTED_VALUE"""),"Third 12.24 Colombia")</f>
        <v>Third 12.24 Colombia</v>
      </c>
      <c r="H2048" s="1" t="str">
        <f ca="1">IFERROR(__xludf.DUMMYFUNCTION("""COMPUTED_VALUE"""),"Human Rights Defenders, Individuals At Risk")</f>
        <v>Human Rights Defenders, Individuals At Risk</v>
      </c>
      <c r="I2048" s="1" t="str">
        <f ca="1">IFERROR(__xludf.DUMMYFUNCTION("""COMPUTED_VALUE"""),"2025")</f>
        <v>2025</v>
      </c>
      <c r="J2048" s="1" t="str">
        <f ca="1">IFERROR(__xludf.DUMMYFUNCTION("""COMPUTED_VALUE"""),"Email")</f>
        <v>Email</v>
      </c>
    </row>
    <row r="2049" spans="1:10" ht="13" x14ac:dyDescent="0.15">
      <c r="A2049" s="4">
        <f ca="1">IFERROR(__xludf.DUMMYFUNCTION("""COMPUTED_VALUE"""),264924177)</f>
        <v>264924177</v>
      </c>
      <c r="B2049" s="1" t="str">
        <f ca="1">IFERROR(__xludf.DUMMYFUNCTION("""COMPUTED_VALUE"""),"megan@indietechsolutions.com")</f>
        <v>megan@indietechsolutions.com</v>
      </c>
      <c r="C2049" s="4" t="str">
        <f ca="1">IFERROR(__xludf.DUMMYFUNCTION("""COMPUTED_VALUE"""),"EVERGREEN - UAN Gated Content - Embedded Petition")</f>
        <v>EVERGREEN - UAN Gated Content - Embedded Petition</v>
      </c>
      <c r="D2049" s="5">
        <f ca="1">IFERROR(__xludf.DUMMYFUNCTION("""COMPUTED_VALUE"""),45551)</f>
        <v>45551</v>
      </c>
      <c r="F2049" s="1" t="str">
        <f ca="1">IFERROR(__xludf.DUMMYFUNCTION("""COMPUTED_VALUE"""),"Colombia")</f>
        <v>Colombia</v>
      </c>
      <c r="G2049" s="1" t="str">
        <f ca="1">IFERROR(__xludf.DUMMYFUNCTION("""COMPUTED_VALUE"""),"Second 109.24 Türkiye")</f>
        <v>Second 109.24 Türkiye</v>
      </c>
      <c r="H2049" s="1" t="str">
        <f ca="1">IFERROR(__xludf.DUMMYFUNCTION("""COMPUTED_VALUE"""),"Human Rights Defenders")</f>
        <v>Human Rights Defenders</v>
      </c>
      <c r="I2049" s="1" t="str">
        <f ca="1">IFERROR(__xludf.DUMMYFUNCTION("""COMPUTED_VALUE"""),"2025")</f>
        <v>2025</v>
      </c>
      <c r="J2049" s="1" t="str">
        <f ca="1">IFERROR(__xludf.DUMMYFUNCTION("""COMPUTED_VALUE"""),"Email")</f>
        <v>Email</v>
      </c>
    </row>
    <row r="2050" spans="1:10" ht="13" x14ac:dyDescent="0.15">
      <c r="A2050" s="4">
        <f ca="1">IFERROR(__xludf.DUMMYFUNCTION("""COMPUTED_VALUE"""),264924177)</f>
        <v>264924177</v>
      </c>
      <c r="B2050" s="1" t="str">
        <f ca="1">IFERROR(__xludf.DUMMYFUNCTION("""COMPUTED_VALUE"""),"megan@indietechsolutions.com")</f>
        <v>megan@indietechsolutions.com</v>
      </c>
      <c r="C2050" s="4" t="str">
        <f ca="1">IFERROR(__xludf.DUMMYFUNCTION("""COMPUTED_VALUE"""),"EVERGREEN - UAN Gated Content - Embedded Petition")</f>
        <v>EVERGREEN - UAN Gated Content - Embedded Petition</v>
      </c>
      <c r="D2050" s="5">
        <f ca="1">IFERROR(__xludf.DUMMYFUNCTION("""COMPUTED_VALUE"""),45569)</f>
        <v>45569</v>
      </c>
      <c r="F2050" s="1" t="str">
        <f ca="1">IFERROR(__xludf.DUMMYFUNCTION("""COMPUTED_VALUE"""),"Turkiye")</f>
        <v>Turkiye</v>
      </c>
      <c r="G2050" s="1" t="str">
        <f ca="1">IFERROR(__xludf.DUMMYFUNCTION("""COMPUTED_VALUE"""),"6.25 Iran")</f>
        <v>6.25 Iran</v>
      </c>
      <c r="H2050" s="1" t="str">
        <f ca="1">IFERROR(__xludf.DUMMYFUNCTION("""COMPUTED_VALUE"""),"Death Penalty, Freedom of Expression, Individuals At Risk")</f>
        <v>Death Penalty, Freedom of Expression, Individuals At Risk</v>
      </c>
      <c r="I2050" s="1" t="str">
        <f ca="1">IFERROR(__xludf.DUMMYFUNCTION("""COMPUTED_VALUE"""),"2025")</f>
        <v>2025</v>
      </c>
      <c r="J2050" s="1" t="str">
        <f ca="1">IFERROR(__xludf.DUMMYFUNCTION("""COMPUTED_VALUE"""),"Email")</f>
        <v>Email</v>
      </c>
    </row>
    <row r="2051" spans="1:10" ht="13" x14ac:dyDescent="0.15">
      <c r="A2051" s="4">
        <f ca="1">IFERROR(__xludf.DUMMYFUNCTION("""COMPUTED_VALUE"""),264924177)</f>
        <v>264924177</v>
      </c>
      <c r="B2051" s="1" t="str">
        <f ca="1">IFERROR(__xludf.DUMMYFUNCTION("""COMPUTED_VALUE"""),"megan@indietechsolutions.com")</f>
        <v>megan@indietechsolutions.com</v>
      </c>
      <c r="C2051" s="4" t="str">
        <f ca="1">IFERROR(__xludf.DUMMYFUNCTION("""COMPUTED_VALUE"""),"EVERGREEN - UAN Gated Content - Embedded Petition")</f>
        <v>EVERGREEN - UAN Gated Content - Embedded Petition</v>
      </c>
      <c r="D2051" s="5">
        <f ca="1">IFERROR(__xludf.DUMMYFUNCTION("""COMPUTED_VALUE"""),45572)</f>
        <v>45572</v>
      </c>
      <c r="F2051" s="1" t="str">
        <f ca="1">IFERROR(__xludf.DUMMYFUNCTION("""COMPUTED_VALUE"""),"Iran")</f>
        <v>Iran</v>
      </c>
      <c r="G2051" s="1" t="str">
        <f ca="1">IFERROR(__xludf.DUMMYFUNCTION("""COMPUTED_VALUE"""),"Second 76.24 Tunisia")</f>
        <v>Second 76.24 Tunisia</v>
      </c>
      <c r="H2051" s="1" t="str">
        <f ca="1">IFERROR(__xludf.DUMMYFUNCTION("""COMPUTED_VALUE"""),"Freedom of Expression, Human Rights Defenders")</f>
        <v>Freedom of Expression, Human Rights Defenders</v>
      </c>
      <c r="I2051" s="1" t="str">
        <f ca="1">IFERROR(__xludf.DUMMYFUNCTION("""COMPUTED_VALUE"""),"2025")</f>
        <v>2025</v>
      </c>
      <c r="J2051" s="1" t="str">
        <f ca="1">IFERROR(__xludf.DUMMYFUNCTION("""COMPUTED_VALUE"""),"Email")</f>
        <v>Email</v>
      </c>
    </row>
    <row r="2052" spans="1:10" ht="13" x14ac:dyDescent="0.15">
      <c r="A2052" s="4">
        <f ca="1">IFERROR(__xludf.DUMMYFUNCTION("""COMPUTED_VALUE"""),264924177)</f>
        <v>264924177</v>
      </c>
      <c r="B2052" s="1" t="str">
        <f ca="1">IFERROR(__xludf.DUMMYFUNCTION("""COMPUTED_VALUE"""),"megan@indietechsolutions.com")</f>
        <v>megan@indietechsolutions.com</v>
      </c>
      <c r="C2052" s="4" t="str">
        <f ca="1">IFERROR(__xludf.DUMMYFUNCTION("""COMPUTED_VALUE"""),"EVERGREEN - UAN Gated Content - Embedded Petition")</f>
        <v>EVERGREEN - UAN Gated Content - Embedded Petition</v>
      </c>
      <c r="D2052" s="5">
        <f ca="1">IFERROR(__xludf.DUMMYFUNCTION("""COMPUTED_VALUE"""),45576)</f>
        <v>45576</v>
      </c>
      <c r="F2052" s="1" t="str">
        <f ca="1">IFERROR(__xludf.DUMMYFUNCTION("""COMPUTED_VALUE"""),"Tunisia")</f>
        <v>Tunisia</v>
      </c>
      <c r="G2052" s="1" t="str">
        <f ca="1">IFERROR(__xludf.DUMMYFUNCTION("""COMPUTED_VALUE"""),"8.25 Tunisia")</f>
        <v>8.25 Tunisia</v>
      </c>
      <c r="H2052" s="1" t="str">
        <f ca="1">IFERROR(__xludf.DUMMYFUNCTION("""COMPUTED_VALUE"""),"Freedom of Expression")</f>
        <v>Freedom of Expression</v>
      </c>
      <c r="I2052" s="1" t="str">
        <f ca="1">IFERROR(__xludf.DUMMYFUNCTION("""COMPUTED_VALUE"""),"2025")</f>
        <v>2025</v>
      </c>
      <c r="J2052" s="1" t="str">
        <f ca="1">IFERROR(__xludf.DUMMYFUNCTION("""COMPUTED_VALUE"""),"Email")</f>
        <v>Email</v>
      </c>
    </row>
    <row r="2053" spans="1:10" ht="13" x14ac:dyDescent="0.15">
      <c r="A2053" s="4">
        <f ca="1">IFERROR(__xludf.DUMMYFUNCTION("""COMPUTED_VALUE"""),264924177)</f>
        <v>264924177</v>
      </c>
      <c r="B2053" s="1" t="str">
        <f ca="1">IFERROR(__xludf.DUMMYFUNCTION("""COMPUTED_VALUE"""),"megan@indietechsolutions.com")</f>
        <v>megan@indietechsolutions.com</v>
      </c>
      <c r="C2053" s="4" t="str">
        <f ca="1">IFERROR(__xludf.DUMMYFUNCTION("""COMPUTED_VALUE"""),"EVERGREEN - UAN Gated Content - Embedded Petition")</f>
        <v>EVERGREEN - UAN Gated Content - Embedded Petition</v>
      </c>
      <c r="D2053" s="5">
        <f ca="1">IFERROR(__xludf.DUMMYFUNCTION("""COMPUTED_VALUE"""),45576)</f>
        <v>45576</v>
      </c>
      <c r="F2053" s="1" t="str">
        <f ca="1">IFERROR(__xludf.DUMMYFUNCTION("""COMPUTED_VALUE"""),"Tunisia")</f>
        <v>Tunisia</v>
      </c>
      <c r="G2053" s="1" t="str">
        <f ca="1">IFERROR(__xludf.DUMMYFUNCTION("""COMPUTED_VALUE"""),"9.25 Uganda")</f>
        <v>9.25 Uganda</v>
      </c>
      <c r="H2053" s="1" t="str">
        <f ca="1">IFERROR(__xludf.DUMMYFUNCTION("""COMPUTED_VALUE"""),"Freedom of Expression, Human Rights Defenders")</f>
        <v>Freedom of Expression, Human Rights Defenders</v>
      </c>
      <c r="I2053" s="1" t="str">
        <f ca="1">IFERROR(__xludf.DUMMYFUNCTION("""COMPUTED_VALUE"""),"2025")</f>
        <v>2025</v>
      </c>
      <c r="J2053" s="1" t="str">
        <f ca="1">IFERROR(__xludf.DUMMYFUNCTION("""COMPUTED_VALUE"""),"Email")</f>
        <v>Email</v>
      </c>
    </row>
    <row r="2054" spans="1:10" ht="13" x14ac:dyDescent="0.15">
      <c r="A2054" s="4">
        <f ca="1">IFERROR(__xludf.DUMMYFUNCTION("""COMPUTED_VALUE"""),264924177)</f>
        <v>264924177</v>
      </c>
      <c r="B2054" s="1" t="str">
        <f ca="1">IFERROR(__xludf.DUMMYFUNCTION("""COMPUTED_VALUE"""),"megan@indietechsolutions.com")</f>
        <v>megan@indietechsolutions.com</v>
      </c>
      <c r="C2054" s="4" t="str">
        <f ca="1">IFERROR(__xludf.DUMMYFUNCTION("""COMPUTED_VALUE"""),"EVERGREEN - UAN Gated Content - Embedded Petition")</f>
        <v>EVERGREEN - UAN Gated Content - Embedded Petition</v>
      </c>
      <c r="D2054" s="5">
        <f ca="1">IFERROR(__xludf.DUMMYFUNCTION("""COMPUTED_VALUE"""),45588)</f>
        <v>45588</v>
      </c>
      <c r="F2054" s="1" t="str">
        <f ca="1">IFERROR(__xludf.DUMMYFUNCTION("""COMPUTED_VALUE"""),"Uganda")</f>
        <v>Uganda</v>
      </c>
      <c r="G2054" s="1" t="str">
        <f ca="1">IFERROR(__xludf.DUMMYFUNCTION("""COMPUTED_VALUE"""),"10.25 Iran")</f>
        <v>10.25 Iran</v>
      </c>
      <c r="H2054" s="1" t="str">
        <f ca="1">IFERROR(__xludf.DUMMYFUNCTION("""COMPUTED_VALUE"""),"Death Penalty, Individuals At Risk")</f>
        <v>Death Penalty, Individuals At Risk</v>
      </c>
      <c r="I2054" s="1" t="str">
        <f ca="1">IFERROR(__xludf.DUMMYFUNCTION("""COMPUTED_VALUE"""),"2025")</f>
        <v>2025</v>
      </c>
      <c r="J2054" s="1" t="str">
        <f ca="1">IFERROR(__xludf.DUMMYFUNCTION("""COMPUTED_VALUE"""),"Email")</f>
        <v>Email</v>
      </c>
    </row>
    <row r="2055" spans="1:10" ht="13" x14ac:dyDescent="0.15">
      <c r="A2055" s="4">
        <f ca="1">IFERROR(__xludf.DUMMYFUNCTION("""COMPUTED_VALUE"""),264924177)</f>
        <v>264924177</v>
      </c>
      <c r="B2055" s="1" t="str">
        <f ca="1">IFERROR(__xludf.DUMMYFUNCTION("""COMPUTED_VALUE"""),"megan@indietechsolutions.com")</f>
        <v>megan@indietechsolutions.com</v>
      </c>
      <c r="C2055" s="4" t="str">
        <f ca="1">IFERROR(__xludf.DUMMYFUNCTION("""COMPUTED_VALUE"""),"EVERGREEN - UAN Gated Content - Embedded Petition")</f>
        <v>EVERGREEN - UAN Gated Content - Embedded Petition</v>
      </c>
      <c r="D2055" s="5">
        <f ca="1">IFERROR(__xludf.DUMMYFUNCTION("""COMPUTED_VALUE"""),45589)</f>
        <v>45589</v>
      </c>
      <c r="F2055" s="1" t="str">
        <f ca="1">IFERROR(__xludf.DUMMYFUNCTION("""COMPUTED_VALUE"""),"Iran")</f>
        <v>Iran</v>
      </c>
      <c r="G2055" s="1" t="str">
        <f ca="1">IFERROR(__xludf.DUMMYFUNCTION("""COMPUTED_VALUE"""),"12.25 Libya")</f>
        <v>12.25 Libya</v>
      </c>
      <c r="H2055" s="1" t="str">
        <f ca="1">IFERROR(__xludf.DUMMYFUNCTION("""COMPUTED_VALUE"""),"Freedom of Expression, Health, Individuals At Risk")</f>
        <v>Freedom of Expression, Health, Individuals At Risk</v>
      </c>
      <c r="I2055" s="1" t="str">
        <f ca="1">IFERROR(__xludf.DUMMYFUNCTION("""COMPUTED_VALUE"""),"2025")</f>
        <v>2025</v>
      </c>
      <c r="J2055" s="1" t="str">
        <f ca="1">IFERROR(__xludf.DUMMYFUNCTION("""COMPUTED_VALUE"""),"Email")</f>
        <v>Email</v>
      </c>
    </row>
    <row r="2056" spans="1:10" ht="13" x14ac:dyDescent="0.15">
      <c r="A2056" s="4">
        <f ca="1">IFERROR(__xludf.DUMMYFUNCTION("""COMPUTED_VALUE"""),264924177)</f>
        <v>264924177</v>
      </c>
      <c r="B2056" s="1" t="str">
        <f ca="1">IFERROR(__xludf.DUMMYFUNCTION("""COMPUTED_VALUE"""),"megan@indietechsolutions.com")</f>
        <v>megan@indietechsolutions.com</v>
      </c>
      <c r="C2056" s="4" t="str">
        <f ca="1">IFERROR(__xludf.DUMMYFUNCTION("""COMPUTED_VALUE"""),"EVERGREEN - UAN Gated Content - Embedded Petition")</f>
        <v>EVERGREEN - UAN Gated Content - Embedded Petition</v>
      </c>
      <c r="D2056" s="5">
        <f ca="1">IFERROR(__xludf.DUMMYFUNCTION("""COMPUTED_VALUE"""),45589)</f>
        <v>45589</v>
      </c>
      <c r="F2056" s="1" t="str">
        <f ca="1">IFERROR(__xludf.DUMMYFUNCTION("""COMPUTED_VALUE"""),"Libya")</f>
        <v>Libya</v>
      </c>
      <c r="G2056" s="1" t="str">
        <f ca="1">IFERROR(__xludf.DUMMYFUNCTION("""COMPUTED_VALUE"""),"105.24 USA")</f>
        <v>105.24 USA</v>
      </c>
      <c r="H2056" s="1" t="str">
        <f ca="1">IFERROR(__xludf.DUMMYFUNCTION("""COMPUTED_VALUE"""),"Death Penalty")</f>
        <v>Death Penalty</v>
      </c>
      <c r="I2056" s="1" t="str">
        <f ca="1">IFERROR(__xludf.DUMMYFUNCTION("""COMPUTED_VALUE"""),"2024")</f>
        <v>2024</v>
      </c>
      <c r="J2056" s="1" t="str">
        <f ca="1">IFERROR(__xludf.DUMMYFUNCTION("""COMPUTED_VALUE"""),"Email")</f>
        <v>Email</v>
      </c>
    </row>
    <row r="2057" spans="1:10" ht="13" x14ac:dyDescent="0.15">
      <c r="A2057" s="4">
        <f ca="1">IFERROR(__xludf.DUMMYFUNCTION("""COMPUTED_VALUE"""),264924177)</f>
        <v>264924177</v>
      </c>
      <c r="B2057" s="1" t="str">
        <f ca="1">IFERROR(__xludf.DUMMYFUNCTION("""COMPUTED_VALUE"""),"megan@indietechsolutions.com")</f>
        <v>megan@indietechsolutions.com</v>
      </c>
      <c r="C2057" s="4" t="str">
        <f ca="1">IFERROR(__xludf.DUMMYFUNCTION("""COMPUTED_VALUE"""),"EVERGREEN - UAN Gated Content - Embedded Petition")</f>
        <v>EVERGREEN - UAN Gated Content - Embedded Petition</v>
      </c>
      <c r="D2057" s="5">
        <f ca="1">IFERROR(__xludf.DUMMYFUNCTION("""COMPUTED_VALUE"""),45590)</f>
        <v>45590</v>
      </c>
      <c r="F2057" s="1" t="str">
        <f ca="1">IFERROR(__xludf.DUMMYFUNCTION("""COMPUTED_VALUE"""),"USA")</f>
        <v>USA</v>
      </c>
      <c r="G2057" s="1" t="str">
        <f ca="1">IFERROR(__xludf.DUMMYFUNCTION("""COMPUTED_VALUE"""),"Seventh 103.22 Iran")</f>
        <v>Seventh 103.22 Iran</v>
      </c>
      <c r="H2057" s="1" t="str">
        <f ca="1">IFERROR(__xludf.DUMMYFUNCTION("""COMPUTED_VALUE"""),"Death Penalty, Freedom of Expression, Individuals At Risk")</f>
        <v>Death Penalty, Freedom of Expression, Individuals At Risk</v>
      </c>
      <c r="I2057" s="1" t="str">
        <f ca="1">IFERROR(__xludf.DUMMYFUNCTION("""COMPUTED_VALUE"""),"2024")</f>
        <v>2024</v>
      </c>
      <c r="J2057" s="1" t="str">
        <f ca="1">IFERROR(__xludf.DUMMYFUNCTION("""COMPUTED_VALUE"""),"Email")</f>
        <v>Email</v>
      </c>
    </row>
    <row r="2058" spans="1:10" ht="13" x14ac:dyDescent="0.15">
      <c r="A2058" s="4">
        <f ca="1">IFERROR(__xludf.DUMMYFUNCTION("""COMPUTED_VALUE"""),264924177)</f>
        <v>264924177</v>
      </c>
      <c r="B2058" s="1" t="str">
        <f ca="1">IFERROR(__xludf.DUMMYFUNCTION("""COMPUTED_VALUE"""),"megan@indietechsolutions.com")</f>
        <v>megan@indietechsolutions.com</v>
      </c>
      <c r="C2058" s="4" t="str">
        <f ca="1">IFERROR(__xludf.DUMMYFUNCTION("""COMPUTED_VALUE"""),"EVERGREEN - UAN Gated Content - Embedded Petition")</f>
        <v>EVERGREEN - UAN Gated Content - Embedded Petition</v>
      </c>
      <c r="D2058" s="5">
        <f ca="1">IFERROR(__xludf.DUMMYFUNCTION("""COMPUTED_VALUE"""),45593)</f>
        <v>45593</v>
      </c>
      <c r="F2058" s="1" t="str">
        <f ca="1">IFERROR(__xludf.DUMMYFUNCTION("""COMPUTED_VALUE"""),"Iran")</f>
        <v>Iran</v>
      </c>
      <c r="G2058" s="1" t="str">
        <f ca="1">IFERROR(__xludf.DUMMYFUNCTION("""COMPUTED_VALUE"""),"Third 12.24 Colombia")</f>
        <v>Third 12.24 Colombia</v>
      </c>
      <c r="H2058" s="1" t="str">
        <f ca="1">IFERROR(__xludf.DUMMYFUNCTION("""COMPUTED_VALUE"""),"Human Rights Defenders, Individuals At Risk")</f>
        <v>Human Rights Defenders, Individuals At Risk</v>
      </c>
      <c r="I2058" s="1" t="str">
        <f ca="1">IFERROR(__xludf.DUMMYFUNCTION("""COMPUTED_VALUE"""),"2025")</f>
        <v>2025</v>
      </c>
      <c r="J2058" s="1" t="str">
        <f ca="1">IFERROR(__xludf.DUMMYFUNCTION("""COMPUTED_VALUE"""),"Email")</f>
        <v>Email</v>
      </c>
    </row>
    <row r="2059" spans="1:10" ht="13" x14ac:dyDescent="0.15">
      <c r="A2059" s="4">
        <f ca="1">IFERROR(__xludf.DUMMYFUNCTION("""COMPUTED_VALUE"""),264924177)</f>
        <v>264924177</v>
      </c>
      <c r="B2059" s="1" t="str">
        <f ca="1">IFERROR(__xludf.DUMMYFUNCTION("""COMPUTED_VALUE"""),"megan@indietechsolutions.com")</f>
        <v>megan@indietechsolutions.com</v>
      </c>
      <c r="C2059" s="4" t="str">
        <f ca="1">IFERROR(__xludf.DUMMYFUNCTION("""COMPUTED_VALUE"""),"UAN mid-page Lightbox - Step 1 of 4 - Landing Page")</f>
        <v>UAN mid-page Lightbox - Step 1 of 4 - Landing Page</v>
      </c>
      <c r="D2059" s="5">
        <f ca="1">IFERROR(__xludf.DUMMYFUNCTION("""COMPUTED_VALUE"""),45561)</f>
        <v>45561</v>
      </c>
      <c r="F2059" s="1" t="str">
        <f ca="1">IFERROR(__xludf.DUMMYFUNCTION("""COMPUTED_VALUE"""),"Colombia")</f>
        <v>Colombia</v>
      </c>
      <c r="G2059" s="1" t="str">
        <f ca="1">IFERROR(__xludf.DUMMYFUNCTION("""COMPUTED_VALUE"""),"5.25 Colombia")</f>
        <v>5.25 Colombia</v>
      </c>
      <c r="H2059" s="1" t="str">
        <f ca="1">IFERROR(__xludf.DUMMYFUNCTION("""COMPUTED_VALUE"""),"Human Rights Defenders, Individuals At Risk")</f>
        <v>Human Rights Defenders, Individuals At Risk</v>
      </c>
      <c r="I2059" s="1" t="str">
        <f ca="1">IFERROR(__xludf.DUMMYFUNCTION("""COMPUTED_VALUE"""),"2025")</f>
        <v>2025</v>
      </c>
      <c r="J2059" s="1" t="str">
        <f ca="1">IFERROR(__xludf.DUMMYFUNCTION("""COMPUTED_VALUE"""),"Email")</f>
        <v>Email</v>
      </c>
    </row>
    <row r="2060" spans="1:10" ht="13" x14ac:dyDescent="0.15">
      <c r="A2060" s="4">
        <f ca="1">IFERROR(__xludf.DUMMYFUNCTION("""COMPUTED_VALUE"""),264924177)</f>
        <v>264924177</v>
      </c>
      <c r="B2060" s="1" t="str">
        <f ca="1">IFERROR(__xludf.DUMMYFUNCTION("""COMPUTED_VALUE"""),"megan@indietechsolutions.com")</f>
        <v>megan@indietechsolutions.com</v>
      </c>
      <c r="C2060" s="4" t="str">
        <f ca="1">IFERROR(__xludf.DUMMYFUNCTION("""COMPUTED_VALUE"""),"UAN mid-page Lightbox - Step 1 of 4 - Landing Page")</f>
        <v>UAN mid-page Lightbox - Step 1 of 4 - Landing Page</v>
      </c>
      <c r="D2060" s="5">
        <f ca="1">IFERROR(__xludf.DUMMYFUNCTION("""COMPUTED_VALUE"""),45569)</f>
        <v>45569</v>
      </c>
      <c r="F2060" s="1" t="str">
        <f ca="1">IFERROR(__xludf.DUMMYFUNCTION("""COMPUTED_VALUE"""),"Colombia")</f>
        <v>Colombia</v>
      </c>
      <c r="G2060" s="1" t="str">
        <f ca="1">IFERROR(__xludf.DUMMYFUNCTION("""COMPUTED_VALUE"""),"Second 109.24 Türkiye")</f>
        <v>Second 109.24 Türkiye</v>
      </c>
      <c r="H2060" s="1" t="str">
        <f ca="1">IFERROR(__xludf.DUMMYFUNCTION("""COMPUTED_VALUE"""),"Human Rights Defenders")</f>
        <v>Human Rights Defenders</v>
      </c>
      <c r="I2060" s="1" t="str">
        <f ca="1">IFERROR(__xludf.DUMMYFUNCTION("""COMPUTED_VALUE"""),"2025")</f>
        <v>2025</v>
      </c>
      <c r="J2060" s="1" t="str">
        <f ca="1">IFERROR(__xludf.DUMMYFUNCTION("""COMPUTED_VALUE"""),"Email")</f>
        <v>Email</v>
      </c>
    </row>
    <row r="2061" spans="1:10" ht="13" x14ac:dyDescent="0.15">
      <c r="A2061" s="4">
        <f ca="1">IFERROR(__xludf.DUMMYFUNCTION("""COMPUTED_VALUE"""),264924177)</f>
        <v>264924177</v>
      </c>
      <c r="B2061" s="1" t="str">
        <f ca="1">IFERROR(__xludf.DUMMYFUNCTION("""COMPUTED_VALUE"""),"megan@indietechsolutions.com")</f>
        <v>megan@indietechsolutions.com</v>
      </c>
      <c r="C2061" s="4" t="str">
        <f ca="1">IFERROR(__xludf.DUMMYFUNCTION("""COMPUTED_VALUE"""),"UAN mid-page Lightbox - Step 2 of 4 - More personal info fields")</f>
        <v>UAN mid-page Lightbox - Step 2 of 4 - More personal info fields</v>
      </c>
      <c r="D2061" s="5">
        <f ca="1">IFERROR(__xludf.DUMMYFUNCTION("""COMPUTED_VALUE"""),45561)</f>
        <v>45561</v>
      </c>
      <c r="F2061" s="1" t="str">
        <f ca="1">IFERROR(__xludf.DUMMYFUNCTION("""COMPUTED_VALUE"""),"Turkiye")</f>
        <v>Turkiye</v>
      </c>
      <c r="G2061" s="1" t="str">
        <f ca="1">IFERROR(__xludf.DUMMYFUNCTION("""COMPUTED_VALUE"""),"109.24 Türkiye")</f>
        <v>109.24 Türkiye</v>
      </c>
      <c r="H2061" s="1" t="str">
        <f ca="1">IFERROR(__xludf.DUMMYFUNCTION("""COMPUTED_VALUE"""),"Human Rights Defenders, Individuals At Risk")</f>
        <v>Human Rights Defenders, Individuals At Risk</v>
      </c>
      <c r="I2061" s="1" t="str">
        <f ca="1">IFERROR(__xludf.DUMMYFUNCTION("""COMPUTED_VALUE"""),"2024")</f>
        <v>2024</v>
      </c>
      <c r="J2061" s="1" t="str">
        <f ca="1">IFERROR(__xludf.DUMMYFUNCTION("""COMPUTED_VALUE"""),"Email")</f>
        <v>Email</v>
      </c>
    </row>
    <row r="2062" spans="1:10" ht="13" x14ac:dyDescent="0.15">
      <c r="A2062" s="4">
        <f ca="1">IFERROR(__xludf.DUMMYFUNCTION("""COMPUTED_VALUE"""),265472149)</f>
        <v>265472149</v>
      </c>
      <c r="B2062" s="1" t="str">
        <f ca="1">IFERROR(__xludf.DUMMYFUNCTION("""COMPUTED_VALUE"""),"rlema1284@gmail.com")</f>
        <v>rlema1284@gmail.com</v>
      </c>
      <c r="C2062" s="4" t="str">
        <f ca="1">IFERROR(__xludf.DUMMYFUNCTION("""COMPUTED_VALUE"""),"EVERGREEN - UAN Gated Content - Embedded Petition")</f>
        <v>EVERGREEN - UAN Gated Content - Embedded Petition</v>
      </c>
      <c r="D2062" s="5">
        <f ca="1">IFERROR(__xludf.DUMMYFUNCTION("""COMPUTED_VALUE"""),45672)</f>
        <v>45672</v>
      </c>
      <c r="F2062" s="1" t="str">
        <f ca="1">IFERROR(__xludf.DUMMYFUNCTION("""COMPUTED_VALUE"""),"Turkiye")</f>
        <v>Turkiye</v>
      </c>
      <c r="G2062" s="1" t="str">
        <f ca="1">IFERROR(__xludf.DUMMYFUNCTION("""COMPUTED_VALUE"""),"Third 73.23 Egypt")</f>
        <v>Third 73.23 Egypt</v>
      </c>
      <c r="H2062" s="1" t="str">
        <f ca="1">IFERROR(__xludf.DUMMYFUNCTION("""COMPUTED_VALUE"""),"Individuals At Risk")</f>
        <v>Individuals At Risk</v>
      </c>
      <c r="I2062" s="1" t="str">
        <f ca="1">IFERROR(__xludf.DUMMYFUNCTION("""COMPUTED_VALUE"""),"2024")</f>
        <v>2024</v>
      </c>
      <c r="J2062" s="1" t="str">
        <f ca="1">IFERROR(__xludf.DUMMYFUNCTION("""COMPUTED_VALUE"""),"Email")</f>
        <v>Email</v>
      </c>
    </row>
    <row r="2063" spans="1:10" ht="13" x14ac:dyDescent="0.15">
      <c r="A2063" s="4">
        <f ca="1">IFERROR(__xludf.DUMMYFUNCTION("""COMPUTED_VALUE"""),266972729)</f>
        <v>266972729</v>
      </c>
      <c r="B2063" s="1" t="str">
        <f ca="1">IFERROR(__xludf.DUMMYFUNCTION("""COMPUTED_VALUE"""),"25shulla72@manheimcentral.org")</f>
        <v>25shulla72@manheimcentral.org</v>
      </c>
      <c r="C2063" s="4" t="str">
        <f ca="1">IFERROR(__xludf.DUMMYFUNCTION("""COMPUTED_VALUE"""),"EVERGREEN - UAN Gated Content - Embedded Petition")</f>
        <v>EVERGREEN - UAN Gated Content - Embedded Petition</v>
      </c>
      <c r="D2063" s="5">
        <f ca="1">IFERROR(__xludf.DUMMYFUNCTION("""COMPUTED_VALUE"""),45667)</f>
        <v>45667</v>
      </c>
      <c r="F2063" s="1" t="str">
        <f ca="1">IFERROR(__xludf.DUMMYFUNCTION("""COMPUTED_VALUE"""),"Egypt")</f>
        <v>Egypt</v>
      </c>
      <c r="G2063" s="1" t="str">
        <f ca="1">IFERROR(__xludf.DUMMYFUNCTION("""COMPUTED_VALUE"""),"Seventh 103.22 Iran")</f>
        <v>Seventh 103.22 Iran</v>
      </c>
      <c r="H2063" s="1" t="str">
        <f ca="1">IFERROR(__xludf.DUMMYFUNCTION("""COMPUTED_VALUE"""),"Death Penalty, Freedom of Expression, Individuals At Risk")</f>
        <v>Death Penalty, Freedom of Expression, Individuals At Risk</v>
      </c>
      <c r="I2063" s="1" t="str">
        <f ca="1">IFERROR(__xludf.DUMMYFUNCTION("""COMPUTED_VALUE"""),"2024")</f>
        <v>2024</v>
      </c>
      <c r="J2063" s="1" t="str">
        <f ca="1">IFERROR(__xludf.DUMMYFUNCTION("""COMPUTED_VALUE"""),"Email")</f>
        <v>Email</v>
      </c>
    </row>
    <row r="2064" spans="1:10" ht="13" x14ac:dyDescent="0.15">
      <c r="A2064" s="4">
        <f ca="1">IFERROR(__xludf.DUMMYFUNCTION("""COMPUTED_VALUE"""),266972729)</f>
        <v>266972729</v>
      </c>
      <c r="B2064" s="1" t="str">
        <f ca="1">IFERROR(__xludf.DUMMYFUNCTION("""COMPUTED_VALUE"""),"25shulla72@manheimcentral.org")</f>
        <v>25shulla72@manheimcentral.org</v>
      </c>
      <c r="C2064" s="4" t="str">
        <f ca="1">IFERROR(__xludf.DUMMYFUNCTION("""COMPUTED_VALUE"""),"EVERGREEN - UAN Gated Content - Embedded Petition")</f>
        <v>EVERGREEN - UAN Gated Content - Embedded Petition</v>
      </c>
      <c r="D2064" s="5">
        <f ca="1">IFERROR(__xludf.DUMMYFUNCTION("""COMPUTED_VALUE"""),45666)</f>
        <v>45666</v>
      </c>
      <c r="F2064" s="1" t="str">
        <f ca="1">IFERROR(__xludf.DUMMYFUNCTION("""COMPUTED_VALUE"""),"Iran")</f>
        <v>Iran</v>
      </c>
      <c r="G2064" s="1" t="str">
        <f ca="1">IFERROR(__xludf.DUMMYFUNCTION("""COMPUTED_VALUE"""),"2.25 Azerbaijan")</f>
        <v>2.25 Azerbaijan</v>
      </c>
      <c r="H2064" s="1" t="str">
        <f ca="1">IFERROR(__xludf.DUMMYFUNCTION("""COMPUTED_VALUE"""),"Freedom of Expression, Human Rights Defenders")</f>
        <v>Freedom of Expression, Human Rights Defenders</v>
      </c>
      <c r="I2064" s="1" t="str">
        <f ca="1">IFERROR(__xludf.DUMMYFUNCTION("""COMPUTED_VALUE"""),"2025")</f>
        <v>2025</v>
      </c>
      <c r="J2064" s="1" t="str">
        <f ca="1">IFERROR(__xludf.DUMMYFUNCTION("""COMPUTED_VALUE"""),"Email")</f>
        <v>Email</v>
      </c>
    </row>
    <row r="2065" spans="1:10" ht="13" x14ac:dyDescent="0.15">
      <c r="A2065" s="4">
        <f ca="1">IFERROR(__xludf.DUMMYFUNCTION("""COMPUTED_VALUE"""),267343847)</f>
        <v>267343847</v>
      </c>
      <c r="B2065" s="1" t="str">
        <f ca="1">IFERROR(__xludf.DUMMYFUNCTION("""COMPUTED_VALUE"""),"ekramer@aiusa.org")</f>
        <v>ekramer@aiusa.org</v>
      </c>
      <c r="C2065" s="4" t="str">
        <f ca="1">IFERROR(__xludf.DUMMYFUNCTION("""COMPUTED_VALUE"""),"EVERGREEN - UAN Gated Content - Embedded Petition")</f>
        <v>EVERGREEN - UAN Gated Content - Embedded Petition</v>
      </c>
      <c r="D2065" s="5">
        <f ca="1">IFERROR(__xludf.DUMMYFUNCTION("""COMPUTED_VALUE"""),45699)</f>
        <v>45699</v>
      </c>
      <c r="F2065" s="1" t="str">
        <f ca="1">IFERROR(__xludf.DUMMYFUNCTION("""COMPUTED_VALUE"""),"Azerbaijan")</f>
        <v>Azerbaijan</v>
      </c>
      <c r="G2065" s="1" t="str">
        <f ca="1">IFERROR(__xludf.DUMMYFUNCTION("""COMPUTED_VALUE"""),"2.25 Azerbaijan")</f>
        <v>2.25 Azerbaijan</v>
      </c>
      <c r="H2065" s="1" t="str">
        <f ca="1">IFERROR(__xludf.DUMMYFUNCTION("""COMPUTED_VALUE"""),"Freedom of Expression, Human Rights Defenders")</f>
        <v>Freedom of Expression, Human Rights Defenders</v>
      </c>
      <c r="I2065" s="1" t="str">
        <f ca="1">IFERROR(__xludf.DUMMYFUNCTION("""COMPUTED_VALUE"""),"2025")</f>
        <v>2025</v>
      </c>
      <c r="J2065" s="1" t="str">
        <f ca="1">IFERROR(__xludf.DUMMYFUNCTION("""COMPUTED_VALUE"""),"Email")</f>
        <v>Email</v>
      </c>
    </row>
    <row r="2066" spans="1:10" ht="13" x14ac:dyDescent="0.15">
      <c r="A2066" s="4">
        <f ca="1">IFERROR(__xludf.DUMMYFUNCTION("""COMPUTED_VALUE"""),267343847)</f>
        <v>267343847</v>
      </c>
      <c r="B2066" s="1" t="str">
        <f ca="1">IFERROR(__xludf.DUMMYFUNCTION("""COMPUTED_VALUE"""),"ekramer@aiusa.org")</f>
        <v>ekramer@aiusa.org</v>
      </c>
      <c r="C2066" s="4" t="str">
        <f ca="1">IFERROR(__xludf.DUMMYFUNCTION("""COMPUTED_VALUE"""),"EVERGREEN - UAN Gated Content - Embedded Petition")</f>
        <v>EVERGREEN - UAN Gated Content - Embedded Petition</v>
      </c>
      <c r="D2066" s="5">
        <f ca="1">IFERROR(__xludf.DUMMYFUNCTION("""COMPUTED_VALUE"""),45694)</f>
        <v>45694</v>
      </c>
      <c r="F2066" s="1" t="str">
        <f ca="1">IFERROR(__xludf.DUMMYFUNCTION("""COMPUTED_VALUE"""),"Azerbaijan")</f>
        <v>Azerbaijan</v>
      </c>
      <c r="G2066" s="1" t="str">
        <f ca="1">IFERROR(__xludf.DUMMYFUNCTION("""COMPUTED_VALUE"""),"3.25 IOPT")</f>
        <v>3.25 IOPT</v>
      </c>
      <c r="H2066" s="1" t="str">
        <f ca="1">IFERROR(__xludf.DUMMYFUNCTION("""COMPUTED_VALUE"""),"Freedom of Expression, Individuals At Risk")</f>
        <v>Freedom of Expression, Individuals At Risk</v>
      </c>
      <c r="I2066" s="1" t="str">
        <f ca="1">IFERROR(__xludf.DUMMYFUNCTION("""COMPUTED_VALUE"""),"2025")</f>
        <v>2025</v>
      </c>
      <c r="J2066" s="1" t="str">
        <f ca="1">IFERROR(__xludf.DUMMYFUNCTION("""COMPUTED_VALUE"""),"Email")</f>
        <v>Email</v>
      </c>
    </row>
    <row r="2067" spans="1:10" ht="13" x14ac:dyDescent="0.15">
      <c r="A2067" s="4">
        <f ca="1">IFERROR(__xludf.DUMMYFUNCTION("""COMPUTED_VALUE"""),267343847)</f>
        <v>267343847</v>
      </c>
      <c r="B2067" s="1" t="str">
        <f ca="1">IFERROR(__xludf.DUMMYFUNCTION("""COMPUTED_VALUE"""),"ekramer@aiusa.org")</f>
        <v>ekramer@aiusa.org</v>
      </c>
      <c r="C2067" s="4" t="str">
        <f ca="1">IFERROR(__xludf.DUMMYFUNCTION("""COMPUTED_VALUE"""),"EVERGREEN - UAN Gated Content - Embedded Petition")</f>
        <v>EVERGREEN - UAN Gated Content - Embedded Petition</v>
      </c>
      <c r="D2067" s="5">
        <f ca="1">IFERROR(__xludf.DUMMYFUNCTION("""COMPUTED_VALUE"""),45694)</f>
        <v>45694</v>
      </c>
      <c r="F2067" s="1" t="str">
        <f ca="1">IFERROR(__xludf.DUMMYFUNCTION("""COMPUTED_VALUE"""),"Israel and Occupied Palestinian Territories")</f>
        <v>Israel and Occupied Palestinian Territories</v>
      </c>
      <c r="G2067" s="1" t="str">
        <f ca="1">IFERROR(__xludf.DUMMYFUNCTION("""COMPUTED_VALUE"""),"106.24 China")</f>
        <v>106.24 China</v>
      </c>
      <c r="H2067" s="1" t="str">
        <f ca="1">IFERROR(__xludf.DUMMYFUNCTION("""COMPUTED_VALUE"""),"Freedom of Expression, Individuals At Risk")</f>
        <v>Freedom of Expression, Individuals At Risk</v>
      </c>
      <c r="I2067" s="1" t="str">
        <f ca="1">IFERROR(__xludf.DUMMYFUNCTION("""COMPUTED_VALUE"""),"2024")</f>
        <v>2024</v>
      </c>
      <c r="J2067" s="1" t="str">
        <f ca="1">IFERROR(__xludf.DUMMYFUNCTION("""COMPUTED_VALUE"""),"Email")</f>
        <v>Email</v>
      </c>
    </row>
    <row r="2068" spans="1:10" ht="13" x14ac:dyDescent="0.15">
      <c r="A2068" s="4">
        <f ca="1">IFERROR(__xludf.DUMMYFUNCTION("""COMPUTED_VALUE"""),267343847)</f>
        <v>267343847</v>
      </c>
      <c r="B2068" s="1" t="str">
        <f ca="1">IFERROR(__xludf.DUMMYFUNCTION("""COMPUTED_VALUE"""),"ekramer@aiusa.org")</f>
        <v>ekramer@aiusa.org</v>
      </c>
      <c r="C2068" s="4" t="str">
        <f ca="1">IFERROR(__xludf.DUMMYFUNCTION("""COMPUTED_VALUE"""),"EVERGREEN - UAN Gated Content - Embedded Petition")</f>
        <v>EVERGREEN - UAN Gated Content - Embedded Petition</v>
      </c>
      <c r="D2068" s="5">
        <f ca="1">IFERROR(__xludf.DUMMYFUNCTION("""COMPUTED_VALUE"""),45694)</f>
        <v>45694</v>
      </c>
      <c r="F2068" s="1" t="str">
        <f ca="1">IFERROR(__xludf.DUMMYFUNCTION("""COMPUTED_VALUE"""),"China")</f>
        <v>China</v>
      </c>
      <c r="G2068" s="1" t="str">
        <f ca="1">IFERROR(__xludf.DUMMYFUNCTION("""COMPUTED_VALUE"""),"106.24 China")</f>
        <v>106.24 China</v>
      </c>
      <c r="H2068" s="1" t="str">
        <f ca="1">IFERROR(__xludf.DUMMYFUNCTION("""COMPUTED_VALUE"""),"Freedom of Expression, Individuals At Risk")</f>
        <v>Freedom of Expression, Individuals At Risk</v>
      </c>
      <c r="I2068" s="1" t="str">
        <f ca="1">IFERROR(__xludf.DUMMYFUNCTION("""COMPUTED_VALUE"""),"2024")</f>
        <v>2024</v>
      </c>
      <c r="J2068" s="1" t="str">
        <f ca="1">IFERROR(__xludf.DUMMYFUNCTION("""COMPUTED_VALUE"""),"Email")</f>
        <v>Email</v>
      </c>
    </row>
    <row r="2069" spans="1:10" ht="13" x14ac:dyDescent="0.15">
      <c r="A2069" s="4">
        <f ca="1">IFERROR(__xludf.DUMMYFUNCTION("""COMPUTED_VALUE"""),267343847)</f>
        <v>267343847</v>
      </c>
      <c r="B2069" s="1" t="str">
        <f ca="1">IFERROR(__xludf.DUMMYFUNCTION("""COMPUTED_VALUE"""),"ekramer@aiusa.org")</f>
        <v>ekramer@aiusa.org</v>
      </c>
      <c r="C2069" s="4" t="str">
        <f ca="1">IFERROR(__xludf.DUMMYFUNCTION("""COMPUTED_VALUE"""),"EVERGREEN - UAN Gated Content - Embedded Petition")</f>
        <v>EVERGREEN - UAN Gated Content - Embedded Petition</v>
      </c>
      <c r="D2069" s="5">
        <f ca="1">IFERROR(__xludf.DUMMYFUNCTION("""COMPUTED_VALUE"""),45694)</f>
        <v>45694</v>
      </c>
      <c r="F2069" s="1" t="str">
        <f ca="1">IFERROR(__xludf.DUMMYFUNCTION("""COMPUTED_VALUE"""),"China")</f>
        <v>China</v>
      </c>
      <c r="G2069" s="1" t="str">
        <f ca="1">IFERROR(__xludf.DUMMYFUNCTION("""COMPUTED_VALUE"""),"Second 43.24 Tunisia")</f>
        <v>Second 43.24 Tunisia</v>
      </c>
      <c r="H2069" s="1" t="str">
        <f ca="1">IFERROR(__xludf.DUMMYFUNCTION("""COMPUTED_VALUE"""),"Freedom of Expression, Individuals At Risk")</f>
        <v>Freedom of Expression, Individuals At Risk</v>
      </c>
      <c r="I2069" s="1" t="str">
        <f ca="1">IFERROR(__xludf.DUMMYFUNCTION("""COMPUTED_VALUE"""),"2024")</f>
        <v>2024</v>
      </c>
      <c r="J2069" s="1" t="str">
        <f ca="1">IFERROR(__xludf.DUMMYFUNCTION("""COMPUTED_VALUE"""),"Email")</f>
        <v>Email</v>
      </c>
    </row>
    <row r="2070" spans="1:10" ht="13" x14ac:dyDescent="0.15">
      <c r="A2070" s="4">
        <f ca="1">IFERROR(__xludf.DUMMYFUNCTION("""COMPUTED_VALUE"""),267343847)</f>
        <v>267343847</v>
      </c>
      <c r="B2070" s="1" t="str">
        <f ca="1">IFERROR(__xludf.DUMMYFUNCTION("""COMPUTED_VALUE"""),"ekramer@aiusa.org")</f>
        <v>ekramer@aiusa.org</v>
      </c>
      <c r="C2070" s="4" t="str">
        <f ca="1">IFERROR(__xludf.DUMMYFUNCTION("""COMPUTED_VALUE"""),"EVERGREEN - UAN Gated Content - Embedded Petition")</f>
        <v>EVERGREEN - UAN Gated Content - Embedded Petition</v>
      </c>
      <c r="D2070" s="5">
        <f ca="1">IFERROR(__xludf.DUMMYFUNCTION("""COMPUTED_VALUE"""),45694)</f>
        <v>45694</v>
      </c>
      <c r="F2070" s="1" t="str">
        <f ca="1">IFERROR(__xludf.DUMMYFUNCTION("""COMPUTED_VALUE"""),"Tunisia")</f>
        <v>Tunisia</v>
      </c>
      <c r="G2070" s="1" t="str">
        <f ca="1">IFERROR(__xludf.DUMMYFUNCTION("""COMPUTED_VALUE"""),"103.24 Niger")</f>
        <v>103.24 Niger</v>
      </c>
      <c r="H2070" s="1" t="str">
        <f ca="1">IFERROR(__xludf.DUMMYFUNCTION("""COMPUTED_VALUE"""),"Freedom of Expression, Human Rights Defenders")</f>
        <v>Freedom of Expression, Human Rights Defenders</v>
      </c>
      <c r="I2070" s="1" t="str">
        <f ca="1">IFERROR(__xludf.DUMMYFUNCTION("""COMPUTED_VALUE"""),"2024")</f>
        <v>2024</v>
      </c>
      <c r="J2070" s="1" t="str">
        <f ca="1">IFERROR(__xludf.DUMMYFUNCTION("""COMPUTED_VALUE"""),"Email")</f>
        <v>Email</v>
      </c>
    </row>
    <row r="2071" spans="1:10" ht="13" x14ac:dyDescent="0.15">
      <c r="A2071" s="4">
        <f ca="1">IFERROR(__xludf.DUMMYFUNCTION("""COMPUTED_VALUE"""),267343847)</f>
        <v>267343847</v>
      </c>
      <c r="B2071" s="1" t="str">
        <f ca="1">IFERROR(__xludf.DUMMYFUNCTION("""COMPUTED_VALUE"""),"ekramer@aiusa.org")</f>
        <v>ekramer@aiusa.org</v>
      </c>
      <c r="C2071" s="4" t="str">
        <f ca="1">IFERROR(__xludf.DUMMYFUNCTION("""COMPUTED_VALUE"""),"EVERGREEN - UAN Gated Content - Embedded Petition")</f>
        <v>EVERGREEN - UAN Gated Content - Embedded Petition</v>
      </c>
      <c r="D2071" s="5">
        <f ca="1">IFERROR(__xludf.DUMMYFUNCTION("""COMPUTED_VALUE"""),45694)</f>
        <v>45694</v>
      </c>
      <c r="F2071" s="1" t="str">
        <f ca="1">IFERROR(__xludf.DUMMYFUNCTION("""COMPUTED_VALUE"""),"Niger")</f>
        <v>Niger</v>
      </c>
      <c r="G2071" s="1" t="str">
        <f ca="1">IFERROR(__xludf.DUMMYFUNCTION("""COMPUTED_VALUE"""),"109.24 Türkiye")</f>
        <v>109.24 Türkiye</v>
      </c>
      <c r="H2071" s="1" t="str">
        <f ca="1">IFERROR(__xludf.DUMMYFUNCTION("""COMPUTED_VALUE"""),"Human Rights Defenders, Individuals At Risk")</f>
        <v>Human Rights Defenders, Individuals At Risk</v>
      </c>
      <c r="I2071" s="1" t="str">
        <f ca="1">IFERROR(__xludf.DUMMYFUNCTION("""COMPUTED_VALUE"""),"2024")</f>
        <v>2024</v>
      </c>
      <c r="J2071" s="1" t="str">
        <f ca="1">IFERROR(__xludf.DUMMYFUNCTION("""COMPUTED_VALUE"""),"Email")</f>
        <v>Email</v>
      </c>
    </row>
    <row r="2072" spans="1:10" ht="13" x14ac:dyDescent="0.15">
      <c r="A2072" s="4">
        <f ca="1">IFERROR(__xludf.DUMMYFUNCTION("""COMPUTED_VALUE"""),267343847)</f>
        <v>267343847</v>
      </c>
      <c r="B2072" s="1" t="str">
        <f ca="1">IFERROR(__xludf.DUMMYFUNCTION("""COMPUTED_VALUE"""),"ekramer@aiusa.org")</f>
        <v>ekramer@aiusa.org</v>
      </c>
      <c r="C2072" s="4" t="str">
        <f ca="1">IFERROR(__xludf.DUMMYFUNCTION("""COMPUTED_VALUE"""),"EVERGREEN - UAN Gated Content - Embedded Petition")</f>
        <v>EVERGREEN - UAN Gated Content - Embedded Petition</v>
      </c>
      <c r="D2072" s="5">
        <f ca="1">IFERROR(__xludf.DUMMYFUNCTION("""COMPUTED_VALUE"""),45680)</f>
        <v>45680</v>
      </c>
      <c r="F2072" s="1" t="str">
        <f ca="1">IFERROR(__xludf.DUMMYFUNCTION("""COMPUTED_VALUE"""),"Turkiye")</f>
        <v>Turkiye</v>
      </c>
      <c r="G2072" s="1" t="str">
        <f ca="1">IFERROR(__xludf.DUMMYFUNCTION("""COMPUTED_VALUE"""),"Third 73.23 Egypt")</f>
        <v>Third 73.23 Egypt</v>
      </c>
      <c r="H2072" s="1" t="str">
        <f ca="1">IFERROR(__xludf.DUMMYFUNCTION("""COMPUTED_VALUE"""),"Individuals At Risk")</f>
        <v>Individuals At Risk</v>
      </c>
      <c r="I2072" s="1" t="str">
        <f ca="1">IFERROR(__xludf.DUMMYFUNCTION("""COMPUTED_VALUE"""),"2024")</f>
        <v>2024</v>
      </c>
      <c r="J2072" s="1" t="str">
        <f ca="1">IFERROR(__xludf.DUMMYFUNCTION("""COMPUTED_VALUE"""),"Email")</f>
        <v>Email</v>
      </c>
    </row>
    <row r="2073" spans="1:10" ht="13" x14ac:dyDescent="0.15">
      <c r="A2073" s="4">
        <f ca="1">IFERROR(__xludf.DUMMYFUNCTION("""COMPUTED_VALUE"""),267343847)</f>
        <v>267343847</v>
      </c>
      <c r="B2073" s="1" t="str">
        <f ca="1">IFERROR(__xludf.DUMMYFUNCTION("""COMPUTED_VALUE"""),"ekramer@aiusa.org")</f>
        <v>ekramer@aiusa.org</v>
      </c>
      <c r="C2073" s="4" t="str">
        <f ca="1">IFERROR(__xludf.DUMMYFUNCTION("""COMPUTED_VALUE"""),"EVERGREEN - UAN Gated Content - Embedded Petition")</f>
        <v>EVERGREEN - UAN Gated Content - Embedded Petition</v>
      </c>
      <c r="D2073" s="5">
        <f ca="1">IFERROR(__xludf.DUMMYFUNCTION("""COMPUTED_VALUE"""),45685)</f>
        <v>45685</v>
      </c>
      <c r="F2073" s="1" t="str">
        <f ca="1">IFERROR(__xludf.DUMMYFUNCTION("""COMPUTED_VALUE"""),"Egypt")</f>
        <v>Egypt</v>
      </c>
      <c r="G2073" s="1" t="str">
        <f ca="1">IFERROR(__xludf.DUMMYFUNCTION("""COMPUTED_VALUE"""),"3.25 IOPT")</f>
        <v>3.25 IOPT</v>
      </c>
      <c r="H2073" s="1" t="str">
        <f ca="1">IFERROR(__xludf.DUMMYFUNCTION("""COMPUTED_VALUE"""),"Freedom of Expression, Individuals At Risk")</f>
        <v>Freedom of Expression, Individuals At Risk</v>
      </c>
      <c r="I2073" s="1" t="str">
        <f ca="1">IFERROR(__xludf.DUMMYFUNCTION("""COMPUTED_VALUE"""),"2025")</f>
        <v>2025</v>
      </c>
      <c r="J2073" s="1" t="str">
        <f ca="1">IFERROR(__xludf.DUMMYFUNCTION("""COMPUTED_VALUE"""),"Email")</f>
        <v>Email</v>
      </c>
    </row>
    <row r="2074" spans="1:10" ht="13" x14ac:dyDescent="0.15">
      <c r="A2074" s="4">
        <f ca="1">IFERROR(__xludf.DUMMYFUNCTION("""COMPUTED_VALUE"""),267343847)</f>
        <v>267343847</v>
      </c>
      <c r="B2074" s="1" t="str">
        <f ca="1">IFERROR(__xludf.DUMMYFUNCTION("""COMPUTED_VALUE"""),"ekramer@aiusa.org")</f>
        <v>ekramer@aiusa.org</v>
      </c>
      <c r="C2074" s="4" t="str">
        <f ca="1">IFERROR(__xludf.DUMMYFUNCTION("""COMPUTED_VALUE"""),"EVERGREEN - UAN Gated Content - Embedded Petition")</f>
        <v>EVERGREEN - UAN Gated Content - Embedded Petition</v>
      </c>
      <c r="D2074" s="5">
        <f ca="1">IFERROR(__xludf.DUMMYFUNCTION("""COMPUTED_VALUE"""),45686)</f>
        <v>45686</v>
      </c>
      <c r="F2074" s="1" t="str">
        <f ca="1">IFERROR(__xludf.DUMMYFUNCTION("""COMPUTED_VALUE"""),"Israel and Occupied Palestinian Territories")</f>
        <v>Israel and Occupied Palestinian Territories</v>
      </c>
      <c r="G2074" s="1" t="str">
        <f ca="1">IFERROR(__xludf.DUMMYFUNCTION("""COMPUTED_VALUE"""),"4.25 USA")</f>
        <v>4.25 USA</v>
      </c>
      <c r="H2074" s="1" t="str">
        <f ca="1">IFERROR(__xludf.DUMMYFUNCTION("""COMPUTED_VALUE"""),"Individuals At Risk, Refugee and Migrant Rights")</f>
        <v>Individuals At Risk, Refugee and Migrant Rights</v>
      </c>
      <c r="I2074" s="1" t="str">
        <f ca="1">IFERROR(__xludf.DUMMYFUNCTION("""COMPUTED_VALUE"""),"2025")</f>
        <v>2025</v>
      </c>
      <c r="J2074" s="1" t="str">
        <f ca="1">IFERROR(__xludf.DUMMYFUNCTION("""COMPUTED_VALUE"""),"Letter")</f>
        <v>Letter</v>
      </c>
    </row>
    <row r="2075" spans="1:10" ht="13" x14ac:dyDescent="0.15">
      <c r="A2075" s="4">
        <f ca="1">IFERROR(__xludf.DUMMYFUNCTION("""COMPUTED_VALUE"""),267343847)</f>
        <v>267343847</v>
      </c>
      <c r="B2075" s="1" t="str">
        <f ca="1">IFERROR(__xludf.DUMMYFUNCTION("""COMPUTED_VALUE"""),"ekramer@aiusa.org")</f>
        <v>ekramer@aiusa.org</v>
      </c>
      <c r="C2075" s="4" t="str">
        <f ca="1">IFERROR(__xludf.DUMMYFUNCTION("""COMPUTED_VALUE"""),"EVERGREEN - UAN Gated Content - Embedded Petition")</f>
        <v>EVERGREEN - UAN Gated Content - Embedded Petition</v>
      </c>
      <c r="D2075" s="5">
        <f ca="1">IFERROR(__xludf.DUMMYFUNCTION("""COMPUTED_VALUE"""),45686)</f>
        <v>45686</v>
      </c>
      <c r="F2075" s="1" t="str">
        <f ca="1">IFERROR(__xludf.DUMMYFUNCTION("""COMPUTED_VALUE"""),"USA")</f>
        <v>USA</v>
      </c>
      <c r="G2075" s="1" t="str">
        <f ca="1">IFERROR(__xludf.DUMMYFUNCTION("""COMPUTED_VALUE"""),"Seventh 103.22 Iran")</f>
        <v>Seventh 103.22 Iran</v>
      </c>
      <c r="H2075" s="1" t="str">
        <f ca="1">IFERROR(__xludf.DUMMYFUNCTION("""COMPUTED_VALUE"""),"Death Penalty, Freedom of Expression, Individuals At Risk")</f>
        <v>Death Penalty, Freedom of Expression, Individuals At Risk</v>
      </c>
      <c r="I2075" s="1" t="str">
        <f ca="1">IFERROR(__xludf.DUMMYFUNCTION("""COMPUTED_VALUE"""),"2024")</f>
        <v>2024</v>
      </c>
      <c r="J2075" s="1" t="str">
        <f ca="1">IFERROR(__xludf.DUMMYFUNCTION("""COMPUTED_VALUE"""),"Email")</f>
        <v>Email</v>
      </c>
    </row>
    <row r="2076" spans="1:10" ht="13" x14ac:dyDescent="0.15">
      <c r="A2076" s="4">
        <f ca="1">IFERROR(__xludf.DUMMYFUNCTION("""COMPUTED_VALUE"""),267343847)</f>
        <v>267343847</v>
      </c>
      <c r="B2076" s="1" t="str">
        <f ca="1">IFERROR(__xludf.DUMMYFUNCTION("""COMPUTED_VALUE"""),"ekramer@aiusa.org")</f>
        <v>ekramer@aiusa.org</v>
      </c>
      <c r="C2076" s="4" t="str">
        <f ca="1">IFERROR(__xludf.DUMMYFUNCTION("""COMPUTED_VALUE"""),"EVERGREEN - UAN Gated Content - Embedded Petition")</f>
        <v>EVERGREEN - UAN Gated Content - Embedded Petition</v>
      </c>
      <c r="D2076" s="5">
        <f ca="1">IFERROR(__xludf.DUMMYFUNCTION("""COMPUTED_VALUE"""),45686)</f>
        <v>45686</v>
      </c>
      <c r="F2076" s="1" t="str">
        <f ca="1">IFERROR(__xludf.DUMMYFUNCTION("""COMPUTED_VALUE"""),"Iran")</f>
        <v>Iran</v>
      </c>
      <c r="G2076" s="1" t="str">
        <f ca="1">IFERROR(__xludf.DUMMYFUNCTION("""COMPUTED_VALUE"""),"106.24 China")</f>
        <v>106.24 China</v>
      </c>
      <c r="H2076" s="1" t="str">
        <f ca="1">IFERROR(__xludf.DUMMYFUNCTION("""COMPUTED_VALUE"""),"Freedom of Expression, Individuals At Risk")</f>
        <v>Freedom of Expression, Individuals At Risk</v>
      </c>
      <c r="I2076" s="1" t="str">
        <f ca="1">IFERROR(__xludf.DUMMYFUNCTION("""COMPUTED_VALUE"""),"2024")</f>
        <v>2024</v>
      </c>
      <c r="J2076" s="1" t="str">
        <f ca="1">IFERROR(__xludf.DUMMYFUNCTION("""COMPUTED_VALUE"""),"Email")</f>
        <v>Email</v>
      </c>
    </row>
    <row r="2077" spans="1:10" ht="13" x14ac:dyDescent="0.15">
      <c r="A2077" s="4">
        <f ca="1">IFERROR(__xludf.DUMMYFUNCTION("""COMPUTED_VALUE"""),267343847)</f>
        <v>267343847</v>
      </c>
      <c r="B2077" s="1" t="str">
        <f ca="1">IFERROR(__xludf.DUMMYFUNCTION("""COMPUTED_VALUE"""),"ekramer@aiusa.org")</f>
        <v>ekramer@aiusa.org</v>
      </c>
      <c r="C2077" s="4" t="str">
        <f ca="1">IFERROR(__xludf.DUMMYFUNCTION("""COMPUTED_VALUE"""),"EVERGREEN - UAN Gated Content - Embedded Petition")</f>
        <v>EVERGREEN - UAN Gated Content - Embedded Petition</v>
      </c>
      <c r="D2077" s="5">
        <f ca="1">IFERROR(__xludf.DUMMYFUNCTION("""COMPUTED_VALUE"""),45686)</f>
        <v>45686</v>
      </c>
      <c r="F2077" s="1" t="str">
        <f ca="1">IFERROR(__xludf.DUMMYFUNCTION("""COMPUTED_VALUE"""),"China")</f>
        <v>China</v>
      </c>
      <c r="G2077" s="1" t="str">
        <f ca="1">IFERROR(__xludf.DUMMYFUNCTION("""COMPUTED_VALUE"""),"3.25 IOPT")</f>
        <v>3.25 IOPT</v>
      </c>
      <c r="H2077" s="1" t="str">
        <f ca="1">IFERROR(__xludf.DUMMYFUNCTION("""COMPUTED_VALUE"""),"Freedom of Expression, Individuals At Risk")</f>
        <v>Freedom of Expression, Individuals At Risk</v>
      </c>
      <c r="I2077" s="1" t="str">
        <f ca="1">IFERROR(__xludf.DUMMYFUNCTION("""COMPUTED_VALUE"""),"2025")</f>
        <v>2025</v>
      </c>
      <c r="J2077" s="1" t="str">
        <f ca="1">IFERROR(__xludf.DUMMYFUNCTION("""COMPUTED_VALUE"""),"Email")</f>
        <v>Email</v>
      </c>
    </row>
    <row r="2078" spans="1:10" ht="13" x14ac:dyDescent="0.15">
      <c r="A2078" s="4">
        <f ca="1">IFERROR(__xludf.DUMMYFUNCTION("""COMPUTED_VALUE"""),267343847)</f>
        <v>267343847</v>
      </c>
      <c r="B2078" s="1" t="str">
        <f ca="1">IFERROR(__xludf.DUMMYFUNCTION("""COMPUTED_VALUE"""),"ekramer@aiusa.org")</f>
        <v>ekramer@aiusa.org</v>
      </c>
      <c r="C2078" s="4" t="str">
        <f ca="1">IFERROR(__xludf.DUMMYFUNCTION("""COMPUTED_VALUE"""),"EVERGREEN - UAN Gated Content - Embedded Petition")</f>
        <v>EVERGREEN - UAN Gated Content - Embedded Petition</v>
      </c>
      <c r="D2078" s="5">
        <f ca="1">IFERROR(__xludf.DUMMYFUNCTION("""COMPUTED_VALUE"""),45677)</f>
        <v>45677</v>
      </c>
      <c r="F2078" s="1" t="str">
        <f ca="1">IFERROR(__xludf.DUMMYFUNCTION("""COMPUTED_VALUE"""),"Israel and Occupied Palestinian Territories")</f>
        <v>Israel and Occupied Palestinian Territories</v>
      </c>
      <c r="G2078" s="1" t="str">
        <f ca="1">IFERROR(__xludf.DUMMYFUNCTION("""COMPUTED_VALUE"""),"88.24 Dominican Republic")</f>
        <v>88.24 Dominican Republic</v>
      </c>
      <c r="H2078" s="1" t="str">
        <f ca="1">IFERROR(__xludf.DUMMYFUNCTION("""COMPUTED_VALUE"""),"Individuals At Risk, Refugee and Migrant Rights")</f>
        <v>Individuals At Risk, Refugee and Migrant Rights</v>
      </c>
      <c r="I2078" s="1" t="str">
        <f ca="1">IFERROR(__xludf.DUMMYFUNCTION("""COMPUTED_VALUE"""),"2024")</f>
        <v>2024</v>
      </c>
      <c r="J2078" s="1" t="str">
        <f ca="1">IFERROR(__xludf.DUMMYFUNCTION("""COMPUTED_VALUE"""),"Letter")</f>
        <v>Letter</v>
      </c>
    </row>
    <row r="2079" spans="1:10" ht="13" x14ac:dyDescent="0.15">
      <c r="A2079" s="4">
        <f ca="1">IFERROR(__xludf.DUMMYFUNCTION("""COMPUTED_VALUE"""),267343847)</f>
        <v>267343847</v>
      </c>
      <c r="B2079" s="1" t="str">
        <f ca="1">IFERROR(__xludf.DUMMYFUNCTION("""COMPUTED_VALUE"""),"ekramer@aiusa.org")</f>
        <v>ekramer@aiusa.org</v>
      </c>
      <c r="C2079" s="4" t="str">
        <f ca="1">IFERROR(__xludf.DUMMYFUNCTION("""COMPUTED_VALUE"""),"EVERGREEN - UAN Gated Content - Embedded Petition")</f>
        <v>EVERGREEN - UAN Gated Content - Embedded Petition</v>
      </c>
      <c r="D2079" s="5">
        <f ca="1">IFERROR(__xludf.DUMMYFUNCTION("""COMPUTED_VALUE"""),45679)</f>
        <v>45679</v>
      </c>
      <c r="F2079" s="1" t="str">
        <f ca="1">IFERROR(__xludf.DUMMYFUNCTION("""COMPUTED_VALUE"""),"Dominican Republic")</f>
        <v>Dominican Republic</v>
      </c>
      <c r="G2079" s="1" t="str">
        <f ca="1">IFERROR(__xludf.DUMMYFUNCTION("""COMPUTED_VALUE"""),"96.24 USA")</f>
        <v>96.24 USA</v>
      </c>
      <c r="H2079" s="1" t="str">
        <f ca="1">IFERROR(__xludf.DUMMYFUNCTION("""COMPUTED_VALUE"""),"Death Penalty")</f>
        <v>Death Penalty</v>
      </c>
      <c r="I2079" s="1" t="str">
        <f ca="1">IFERROR(__xludf.DUMMYFUNCTION("""COMPUTED_VALUE"""),"2024")</f>
        <v>2024</v>
      </c>
      <c r="J2079" s="1" t="str">
        <f ca="1">IFERROR(__xludf.DUMMYFUNCTION("""COMPUTED_VALUE"""),"Email")</f>
        <v>Email</v>
      </c>
    </row>
    <row r="2080" spans="1:10" ht="13" x14ac:dyDescent="0.15">
      <c r="A2080" s="4">
        <f ca="1">IFERROR(__xludf.DUMMYFUNCTION("""COMPUTED_VALUE"""),267343847)</f>
        <v>267343847</v>
      </c>
      <c r="B2080" s="1" t="str">
        <f ca="1">IFERROR(__xludf.DUMMYFUNCTION("""COMPUTED_VALUE"""),"ekramer@aiusa.org")</f>
        <v>ekramer@aiusa.org</v>
      </c>
      <c r="C2080" s="4" t="str">
        <f ca="1">IFERROR(__xludf.DUMMYFUNCTION("""COMPUTED_VALUE"""),"EVERGREEN - UAN Gated Content - Embedded Petition")</f>
        <v>EVERGREEN - UAN Gated Content - Embedded Petition</v>
      </c>
      <c r="D2080" s="5">
        <f ca="1">IFERROR(__xludf.DUMMYFUNCTION("""COMPUTED_VALUE"""),45679)</f>
        <v>45679</v>
      </c>
      <c r="F2080" s="1" t="str">
        <f ca="1">IFERROR(__xludf.DUMMYFUNCTION("""COMPUTED_VALUE"""),"USA")</f>
        <v>USA</v>
      </c>
      <c r="G2080" s="1" t="str">
        <f ca="1">IFERROR(__xludf.DUMMYFUNCTION("""COMPUTED_VALUE"""),"98.24 China")</f>
        <v>98.24 China</v>
      </c>
      <c r="H2080" s="1" t="str">
        <f ca="1">IFERROR(__xludf.DUMMYFUNCTION("""COMPUTED_VALUE"""),"Freedom of Expression, Individuals At Risk")</f>
        <v>Freedom of Expression, Individuals At Risk</v>
      </c>
      <c r="I2080" s="1" t="str">
        <f ca="1">IFERROR(__xludf.DUMMYFUNCTION("""COMPUTED_VALUE"""),"2024")</f>
        <v>2024</v>
      </c>
      <c r="J2080" s="1" t="str">
        <f ca="1">IFERROR(__xludf.DUMMYFUNCTION("""COMPUTED_VALUE"""),"Letter")</f>
        <v>Letter</v>
      </c>
    </row>
    <row r="2081" spans="1:10" ht="13" x14ac:dyDescent="0.15">
      <c r="A2081" s="4">
        <f ca="1">IFERROR(__xludf.DUMMYFUNCTION("""COMPUTED_VALUE"""),267343847)</f>
        <v>267343847</v>
      </c>
      <c r="B2081" s="1" t="str">
        <f ca="1">IFERROR(__xludf.DUMMYFUNCTION("""COMPUTED_VALUE"""),"ekramer@aiusa.org")</f>
        <v>ekramer@aiusa.org</v>
      </c>
      <c r="C2081" s="4" t="str">
        <f ca="1">IFERROR(__xludf.DUMMYFUNCTION("""COMPUTED_VALUE"""),"EVERGREEN - UAN Gated Content - Embedded Petition")</f>
        <v>EVERGREEN - UAN Gated Content - Embedded Petition</v>
      </c>
      <c r="D2081" s="5">
        <f ca="1">IFERROR(__xludf.DUMMYFUNCTION("""COMPUTED_VALUE"""),45679)</f>
        <v>45679</v>
      </c>
      <c r="F2081" s="1" t="str">
        <f ca="1">IFERROR(__xludf.DUMMYFUNCTION("""COMPUTED_VALUE"""),"China")</f>
        <v>China</v>
      </c>
      <c r="G2081" s="1" t="str">
        <f ca="1">IFERROR(__xludf.DUMMYFUNCTION("""COMPUTED_VALUE"""),"97.24 Venezuela")</f>
        <v>97.24 Venezuela</v>
      </c>
      <c r="H2081" s="1" t="str">
        <f ca="1">IFERROR(__xludf.DUMMYFUNCTION("""COMPUTED_VALUE"""),"Freedom of Expression")</f>
        <v>Freedom of Expression</v>
      </c>
      <c r="I2081" s="1" t="str">
        <f ca="1">IFERROR(__xludf.DUMMYFUNCTION("""COMPUTED_VALUE"""),"2024")</f>
        <v>2024</v>
      </c>
      <c r="J2081" s="1" t="str">
        <f ca="1">IFERROR(__xludf.DUMMYFUNCTION("""COMPUTED_VALUE"""),"Letter")</f>
        <v>Letter</v>
      </c>
    </row>
    <row r="2082" spans="1:10" ht="13" x14ac:dyDescent="0.15">
      <c r="A2082" s="4">
        <f ca="1">IFERROR(__xludf.DUMMYFUNCTION("""COMPUTED_VALUE"""),267343847)</f>
        <v>267343847</v>
      </c>
      <c r="B2082" s="1" t="str">
        <f ca="1">IFERROR(__xludf.DUMMYFUNCTION("""COMPUTED_VALUE"""),"ekramer@aiusa.org")</f>
        <v>ekramer@aiusa.org</v>
      </c>
      <c r="C2082" s="4" t="str">
        <f ca="1">IFERROR(__xludf.DUMMYFUNCTION("""COMPUTED_VALUE"""),"EVERGREEN - UAN Gated Content - Embedded Petition")</f>
        <v>EVERGREEN - UAN Gated Content - Embedded Petition</v>
      </c>
      <c r="D2082" s="5">
        <f ca="1">IFERROR(__xludf.DUMMYFUNCTION("""COMPUTED_VALUE"""),45679)</f>
        <v>45679</v>
      </c>
      <c r="F2082" s="1" t="str">
        <f ca="1">IFERROR(__xludf.DUMMYFUNCTION("""COMPUTED_VALUE"""),"Venezuela")</f>
        <v>Venezuela</v>
      </c>
      <c r="G2082" s="1" t="str">
        <f ca="1">IFERROR(__xludf.DUMMYFUNCTION("""COMPUTED_VALUE"""),"Ninth 190.18 Egypt")</f>
        <v>Ninth 190.18 Egypt</v>
      </c>
      <c r="H2082" s="1" t="str">
        <f ca="1">IFERROR(__xludf.DUMMYFUNCTION("""COMPUTED_VALUE"""),"Freedom of Expression, Individuals At Risk")</f>
        <v>Freedom of Expression, Individuals At Risk</v>
      </c>
      <c r="I2082" s="1" t="str">
        <f ca="1">IFERROR(__xludf.DUMMYFUNCTION("""COMPUTED_VALUE"""),"2024")</f>
        <v>2024</v>
      </c>
      <c r="J2082" s="1" t="str">
        <f ca="1">IFERROR(__xludf.DUMMYFUNCTION("""COMPUTED_VALUE"""),"Letter")</f>
        <v>Letter</v>
      </c>
    </row>
    <row r="2083" spans="1:10" ht="13" x14ac:dyDescent="0.15">
      <c r="A2083" s="4">
        <f ca="1">IFERROR(__xludf.DUMMYFUNCTION("""COMPUTED_VALUE"""),267343847)</f>
        <v>267343847</v>
      </c>
      <c r="B2083" s="1" t="str">
        <f ca="1">IFERROR(__xludf.DUMMYFUNCTION("""COMPUTED_VALUE"""),"ekramer@aiusa.org")</f>
        <v>ekramer@aiusa.org</v>
      </c>
      <c r="C2083" s="4" t="str">
        <f ca="1">IFERROR(__xludf.DUMMYFUNCTION("""COMPUTED_VALUE"""),"EVERGREEN - UAN Gated Content - Embedded Petition")</f>
        <v>EVERGREEN - UAN Gated Content - Embedded Petition</v>
      </c>
      <c r="D2083" s="5">
        <f ca="1">IFERROR(__xludf.DUMMYFUNCTION("""COMPUTED_VALUE"""),45679)</f>
        <v>45679</v>
      </c>
      <c r="F2083" s="1" t="str">
        <f ca="1">IFERROR(__xludf.DUMMYFUNCTION("""COMPUTED_VALUE"""),"Egypt")</f>
        <v>Egypt</v>
      </c>
      <c r="G2083" s="1" t="str">
        <f ca="1">IFERROR(__xludf.DUMMYFUNCTION("""COMPUTED_VALUE"""),"105.24 USA")</f>
        <v>105.24 USA</v>
      </c>
      <c r="H2083" s="1" t="str">
        <f ca="1">IFERROR(__xludf.DUMMYFUNCTION("""COMPUTED_VALUE"""),"Death Penalty")</f>
        <v>Death Penalty</v>
      </c>
      <c r="I2083" s="1" t="str">
        <f ca="1">IFERROR(__xludf.DUMMYFUNCTION("""COMPUTED_VALUE"""),"2024")</f>
        <v>2024</v>
      </c>
      <c r="J2083" s="1" t="str">
        <f ca="1">IFERROR(__xludf.DUMMYFUNCTION("""COMPUTED_VALUE"""),"Email")</f>
        <v>Email</v>
      </c>
    </row>
    <row r="2084" spans="1:10" ht="13" x14ac:dyDescent="0.15">
      <c r="A2084" s="4">
        <f ca="1">IFERROR(__xludf.DUMMYFUNCTION("""COMPUTED_VALUE"""),267343847)</f>
        <v>267343847</v>
      </c>
      <c r="B2084" s="1" t="str">
        <f ca="1">IFERROR(__xludf.DUMMYFUNCTION("""COMPUTED_VALUE"""),"ekramer@aiusa.org")</f>
        <v>ekramer@aiusa.org</v>
      </c>
      <c r="C2084" s="4" t="str">
        <f ca="1">IFERROR(__xludf.DUMMYFUNCTION("""COMPUTED_VALUE"""),"EVERGREEN - UAN Gated Content - Embedded Petition")</f>
        <v>EVERGREEN - UAN Gated Content - Embedded Petition</v>
      </c>
      <c r="D2084" s="5">
        <f ca="1">IFERROR(__xludf.DUMMYFUNCTION("""COMPUTED_VALUE"""),45673)</f>
        <v>45673</v>
      </c>
      <c r="F2084" s="1" t="str">
        <f ca="1">IFERROR(__xludf.DUMMYFUNCTION("""COMPUTED_VALUE"""),"USA")</f>
        <v>USA</v>
      </c>
      <c r="G2084" s="1" t="str">
        <f ca="1">IFERROR(__xludf.DUMMYFUNCTION("""COMPUTED_VALUE"""),"Third 73.23 Egypt")</f>
        <v>Third 73.23 Egypt</v>
      </c>
      <c r="H2084" s="1" t="str">
        <f ca="1">IFERROR(__xludf.DUMMYFUNCTION("""COMPUTED_VALUE"""),"Individuals At Risk")</f>
        <v>Individuals At Risk</v>
      </c>
      <c r="I2084" s="1" t="str">
        <f ca="1">IFERROR(__xludf.DUMMYFUNCTION("""COMPUTED_VALUE"""),"2024")</f>
        <v>2024</v>
      </c>
      <c r="J2084" s="1" t="str">
        <f ca="1">IFERROR(__xludf.DUMMYFUNCTION("""COMPUTED_VALUE"""),"Email")</f>
        <v>Email</v>
      </c>
    </row>
    <row r="2085" spans="1:10" ht="13" x14ac:dyDescent="0.15">
      <c r="A2085" s="4">
        <f ca="1">IFERROR(__xludf.DUMMYFUNCTION("""COMPUTED_VALUE"""),267343847)</f>
        <v>267343847</v>
      </c>
      <c r="B2085" s="1" t="str">
        <f ca="1">IFERROR(__xludf.DUMMYFUNCTION("""COMPUTED_VALUE"""),"ekramer@aiusa.org")</f>
        <v>ekramer@aiusa.org</v>
      </c>
      <c r="C2085" s="4" t="str">
        <f ca="1">IFERROR(__xludf.DUMMYFUNCTION("""COMPUTED_VALUE"""),"EVERGREEN - UAN Gated Content - Embedded Petition")</f>
        <v>EVERGREEN - UAN Gated Content - Embedded Petition</v>
      </c>
      <c r="D2085" s="5">
        <f ca="1">IFERROR(__xludf.DUMMYFUNCTION("""COMPUTED_VALUE"""),45673)</f>
        <v>45673</v>
      </c>
      <c r="F2085" s="1" t="str">
        <f ca="1">IFERROR(__xludf.DUMMYFUNCTION("""COMPUTED_VALUE"""),"Egypt")</f>
        <v>Egypt</v>
      </c>
      <c r="G2085" s="1" t="str">
        <f ca="1">IFERROR(__xludf.DUMMYFUNCTION("""COMPUTED_VALUE"""),"9.25 Uganda")</f>
        <v>9.25 Uganda</v>
      </c>
      <c r="H2085" s="1" t="str">
        <f ca="1">IFERROR(__xludf.DUMMYFUNCTION("""COMPUTED_VALUE"""),"Freedom of Expression, Human Rights Defenders")</f>
        <v>Freedom of Expression, Human Rights Defenders</v>
      </c>
      <c r="I2085" s="1" t="str">
        <f ca="1">IFERROR(__xludf.DUMMYFUNCTION("""COMPUTED_VALUE"""),"2025")</f>
        <v>2025</v>
      </c>
      <c r="J2085" s="1" t="str">
        <f ca="1">IFERROR(__xludf.DUMMYFUNCTION("""COMPUTED_VALUE"""),"Email")</f>
        <v>Email</v>
      </c>
    </row>
    <row r="2086" spans="1:10" ht="13" x14ac:dyDescent="0.15">
      <c r="A2086" s="4">
        <f ca="1">IFERROR(__xludf.DUMMYFUNCTION("""COMPUTED_VALUE"""),267343847)</f>
        <v>267343847</v>
      </c>
      <c r="B2086" s="1" t="str">
        <f ca="1">IFERROR(__xludf.DUMMYFUNCTION("""COMPUTED_VALUE"""),"ekramer@aiusa.org")</f>
        <v>ekramer@aiusa.org</v>
      </c>
      <c r="C2086" s="4" t="str">
        <f ca="1">IFERROR(__xludf.DUMMYFUNCTION("""COMPUTED_VALUE"""),"EVERGREEN - UAN Gated Content - Embedded Petition")</f>
        <v>EVERGREEN - UAN Gated Content - Embedded Petition</v>
      </c>
      <c r="D2086" s="5">
        <f ca="1">IFERROR(__xludf.DUMMYFUNCTION("""COMPUTED_VALUE"""),45674)</f>
        <v>45674</v>
      </c>
      <c r="F2086" s="1" t="str">
        <f ca="1">IFERROR(__xludf.DUMMYFUNCTION("""COMPUTED_VALUE"""),"Uganda")</f>
        <v>Uganda</v>
      </c>
      <c r="G2086" s="1" t="str">
        <f ca="1">IFERROR(__xludf.DUMMYFUNCTION("""COMPUTED_VALUE"""),"Second 76.24 Tunisia")</f>
        <v>Second 76.24 Tunisia</v>
      </c>
      <c r="H2086" s="1" t="str">
        <f ca="1">IFERROR(__xludf.DUMMYFUNCTION("""COMPUTED_VALUE"""),"Freedom of Expression, Human Rights Defenders")</f>
        <v>Freedom of Expression, Human Rights Defenders</v>
      </c>
      <c r="I2086" s="1" t="str">
        <f ca="1">IFERROR(__xludf.DUMMYFUNCTION("""COMPUTED_VALUE"""),"2025")</f>
        <v>2025</v>
      </c>
      <c r="J2086" s="1" t="str">
        <f ca="1">IFERROR(__xludf.DUMMYFUNCTION("""COMPUTED_VALUE"""),"Email")</f>
        <v>Email</v>
      </c>
    </row>
    <row r="2087" spans="1:10" ht="13" x14ac:dyDescent="0.15">
      <c r="A2087" s="4">
        <f ca="1">IFERROR(__xludf.DUMMYFUNCTION("""COMPUTED_VALUE"""),267343847)</f>
        <v>267343847</v>
      </c>
      <c r="B2087" s="1" t="str">
        <f ca="1">IFERROR(__xludf.DUMMYFUNCTION("""COMPUTED_VALUE"""),"ekramer@aiusa.org")</f>
        <v>ekramer@aiusa.org</v>
      </c>
      <c r="C2087" s="4" t="str">
        <f ca="1">IFERROR(__xludf.DUMMYFUNCTION("""COMPUTED_VALUE"""),"EVERGREEN - UAN Gated Content - Embedded Petition")</f>
        <v>EVERGREEN - UAN Gated Content - Embedded Petition</v>
      </c>
      <c r="D2087" s="5">
        <f ca="1">IFERROR(__xludf.DUMMYFUNCTION("""COMPUTED_VALUE"""),45674)</f>
        <v>45674</v>
      </c>
      <c r="F2087" s="1" t="str">
        <f ca="1">IFERROR(__xludf.DUMMYFUNCTION("""COMPUTED_VALUE"""),"Tunisia")</f>
        <v>Tunisia</v>
      </c>
      <c r="G2087" s="1" t="str">
        <f ca="1">IFERROR(__xludf.DUMMYFUNCTION("""COMPUTED_VALUE"""),"5.25 Colombia")</f>
        <v>5.25 Colombia</v>
      </c>
      <c r="H2087" s="1" t="str">
        <f ca="1">IFERROR(__xludf.DUMMYFUNCTION("""COMPUTED_VALUE"""),"Human Rights Defenders, Individuals At Risk")</f>
        <v>Human Rights Defenders, Individuals At Risk</v>
      </c>
      <c r="I2087" s="1" t="str">
        <f ca="1">IFERROR(__xludf.DUMMYFUNCTION("""COMPUTED_VALUE"""),"2025")</f>
        <v>2025</v>
      </c>
      <c r="J2087" s="1" t="str">
        <f ca="1">IFERROR(__xludf.DUMMYFUNCTION("""COMPUTED_VALUE"""),"Email")</f>
        <v>Email</v>
      </c>
    </row>
    <row r="2088" spans="1:10" ht="13" x14ac:dyDescent="0.15">
      <c r="A2088" s="4">
        <f ca="1">IFERROR(__xludf.DUMMYFUNCTION("""COMPUTED_VALUE"""),267343847)</f>
        <v>267343847</v>
      </c>
      <c r="B2088" s="1" t="str">
        <f ca="1">IFERROR(__xludf.DUMMYFUNCTION("""COMPUTED_VALUE"""),"ekramer@aiusa.org")</f>
        <v>ekramer@aiusa.org</v>
      </c>
      <c r="C2088" s="4" t="str">
        <f ca="1">IFERROR(__xludf.DUMMYFUNCTION("""COMPUTED_VALUE"""),"EVERGREEN - UAN Gated Content - Embedded Petition")</f>
        <v>EVERGREEN - UAN Gated Content - Embedded Petition</v>
      </c>
      <c r="D2088" s="5">
        <f ca="1">IFERROR(__xludf.DUMMYFUNCTION("""COMPUTED_VALUE"""),45674)</f>
        <v>45674</v>
      </c>
      <c r="F2088" s="1" t="str">
        <f ca="1">IFERROR(__xludf.DUMMYFUNCTION("""COMPUTED_VALUE"""),"Colombia")</f>
        <v>Colombia</v>
      </c>
      <c r="G2088" s="1" t="str">
        <f ca="1">IFERROR(__xludf.DUMMYFUNCTION("""COMPUTED_VALUE"""),"1.25 Venezuela")</f>
        <v>1.25 Venezuela</v>
      </c>
      <c r="H2088" s="1" t="str">
        <f ca="1">IFERROR(__xludf.DUMMYFUNCTION("""COMPUTED_VALUE"""),"Human Rights Defenders, Individuals At Risk")</f>
        <v>Human Rights Defenders, Individuals At Risk</v>
      </c>
      <c r="I2088" s="1" t="str">
        <f ca="1">IFERROR(__xludf.DUMMYFUNCTION("""COMPUTED_VALUE"""),"2025")</f>
        <v>2025</v>
      </c>
      <c r="J2088" s="1" t="str">
        <f ca="1">IFERROR(__xludf.DUMMYFUNCTION("""COMPUTED_VALUE"""),"Letter")</f>
        <v>Letter</v>
      </c>
    </row>
    <row r="2089" spans="1:10" ht="13" x14ac:dyDescent="0.15">
      <c r="A2089" s="4">
        <f ca="1">IFERROR(__xludf.DUMMYFUNCTION("""COMPUTED_VALUE"""),267343847)</f>
        <v>267343847</v>
      </c>
      <c r="B2089" s="1" t="str">
        <f ca="1">IFERROR(__xludf.DUMMYFUNCTION("""COMPUTED_VALUE"""),"ekramer@aiusa.org")</f>
        <v>ekramer@aiusa.org</v>
      </c>
      <c r="C2089" s="4" t="str">
        <f ca="1">IFERROR(__xludf.DUMMYFUNCTION("""COMPUTED_VALUE"""),"EVERGREEN - UAN Gated Content - Embedded Petition")</f>
        <v>EVERGREEN - UAN Gated Content - Embedded Petition</v>
      </c>
      <c r="D2089" s="5">
        <f ca="1">IFERROR(__xludf.DUMMYFUNCTION("""COMPUTED_VALUE"""),45673)</f>
        <v>45673</v>
      </c>
      <c r="F2089" s="1" t="str">
        <f ca="1">IFERROR(__xludf.DUMMYFUNCTION("""COMPUTED_VALUE"""),"Venezuela")</f>
        <v>Venezuela</v>
      </c>
      <c r="G2089" s="1" t="str">
        <f ca="1">IFERROR(__xludf.DUMMYFUNCTION("""COMPUTED_VALUE"""),"11.25 Afghanistan")</f>
        <v>11.25 Afghanistan</v>
      </c>
      <c r="H2089" s="1" t="str">
        <f ca="1">IFERROR(__xludf.DUMMYFUNCTION("""COMPUTED_VALUE"""),"Freedom of Expression, Health, Individuals At Risk")</f>
        <v>Freedom of Expression, Health, Individuals At Risk</v>
      </c>
      <c r="I2089" s="1" t="str">
        <f ca="1">IFERROR(__xludf.DUMMYFUNCTION("""COMPUTED_VALUE"""),"2025")</f>
        <v>2025</v>
      </c>
      <c r="J2089" s="1" t="str">
        <f ca="1">IFERROR(__xludf.DUMMYFUNCTION("""COMPUTED_VALUE"""),"Email")</f>
        <v>Email</v>
      </c>
    </row>
    <row r="2090" spans="1:10" ht="13" x14ac:dyDescent="0.15">
      <c r="A2090" s="4">
        <f ca="1">IFERROR(__xludf.DUMMYFUNCTION("""COMPUTED_VALUE"""),267343847)</f>
        <v>267343847</v>
      </c>
      <c r="B2090" s="1" t="str">
        <f ca="1">IFERROR(__xludf.DUMMYFUNCTION("""COMPUTED_VALUE"""),"ekramer@aiusa.org")</f>
        <v>ekramer@aiusa.org</v>
      </c>
      <c r="C2090" s="4" t="str">
        <f ca="1">IFERROR(__xludf.DUMMYFUNCTION("""COMPUTED_VALUE"""),"EVERGREEN - UAN Gated Content - Embedded Petition")</f>
        <v>EVERGREEN - UAN Gated Content - Embedded Petition</v>
      </c>
      <c r="D2090" s="5">
        <f ca="1">IFERROR(__xludf.DUMMYFUNCTION("""COMPUTED_VALUE"""),45671)</f>
        <v>45671</v>
      </c>
      <c r="F2090" s="1" t="str">
        <f ca="1">IFERROR(__xludf.DUMMYFUNCTION("""COMPUTED_VALUE"""),"Afghanistan")</f>
        <v>Afghanistan</v>
      </c>
      <c r="G2090" s="1" t="str">
        <f ca="1">IFERROR(__xludf.DUMMYFUNCTION("""COMPUTED_VALUE"""),"3.25 IOPT")</f>
        <v>3.25 IOPT</v>
      </c>
      <c r="H2090" s="1" t="str">
        <f ca="1">IFERROR(__xludf.DUMMYFUNCTION("""COMPUTED_VALUE"""),"Freedom of Expression, Individuals At Risk")</f>
        <v>Freedom of Expression, Individuals At Risk</v>
      </c>
      <c r="I2090" s="1" t="str">
        <f ca="1">IFERROR(__xludf.DUMMYFUNCTION("""COMPUTED_VALUE"""),"2025")</f>
        <v>2025</v>
      </c>
      <c r="J2090" s="1" t="str">
        <f ca="1">IFERROR(__xludf.DUMMYFUNCTION("""COMPUTED_VALUE"""),"Email")</f>
        <v>Email</v>
      </c>
    </row>
    <row r="2091" spans="1:10" ht="13" x14ac:dyDescent="0.15">
      <c r="A2091" s="4">
        <f ca="1">IFERROR(__xludf.DUMMYFUNCTION("""COMPUTED_VALUE"""),267343847)</f>
        <v>267343847</v>
      </c>
      <c r="B2091" s="1" t="str">
        <f ca="1">IFERROR(__xludf.DUMMYFUNCTION("""COMPUTED_VALUE"""),"ekramer@aiusa.org")</f>
        <v>ekramer@aiusa.org</v>
      </c>
      <c r="C2091" s="4" t="str">
        <f ca="1">IFERROR(__xludf.DUMMYFUNCTION("""COMPUTED_VALUE"""),"EVERGREEN - UAN Gated Content - Embedded Petition")</f>
        <v>EVERGREEN - UAN Gated Content - Embedded Petition</v>
      </c>
      <c r="D2091" s="5">
        <f ca="1">IFERROR(__xludf.DUMMYFUNCTION("""COMPUTED_VALUE"""),45671)</f>
        <v>45671</v>
      </c>
      <c r="F2091" s="1" t="str">
        <f ca="1">IFERROR(__xludf.DUMMYFUNCTION("""COMPUTED_VALUE"""),"Israel and Occupied Palestinian Territories")</f>
        <v>Israel and Occupied Palestinian Territories</v>
      </c>
      <c r="G2091" s="1" t="str">
        <f ca="1">IFERROR(__xludf.DUMMYFUNCTION("""COMPUTED_VALUE"""),"98.24 China")</f>
        <v>98.24 China</v>
      </c>
      <c r="H2091" s="1" t="str">
        <f ca="1">IFERROR(__xludf.DUMMYFUNCTION("""COMPUTED_VALUE"""),"Freedom of Expression, Individuals At Risk")</f>
        <v>Freedom of Expression, Individuals At Risk</v>
      </c>
      <c r="I2091" s="1" t="str">
        <f ca="1">IFERROR(__xludf.DUMMYFUNCTION("""COMPUTED_VALUE"""),"2024")</f>
        <v>2024</v>
      </c>
      <c r="J2091" s="1" t="str">
        <f ca="1">IFERROR(__xludf.DUMMYFUNCTION("""COMPUTED_VALUE"""),"Letter")</f>
        <v>Letter</v>
      </c>
    </row>
    <row r="2092" spans="1:10" ht="13" x14ac:dyDescent="0.15">
      <c r="A2092" s="4">
        <f ca="1">IFERROR(__xludf.DUMMYFUNCTION("""COMPUTED_VALUE"""),267343847)</f>
        <v>267343847</v>
      </c>
      <c r="B2092" s="1" t="str">
        <f ca="1">IFERROR(__xludf.DUMMYFUNCTION("""COMPUTED_VALUE"""),"ekramer@aiusa.org")</f>
        <v>ekramer@aiusa.org</v>
      </c>
      <c r="C2092" s="4" t="str">
        <f ca="1">IFERROR(__xludf.DUMMYFUNCTION("""COMPUTED_VALUE"""),"EVERGREEN - UAN Gated Content - Embedded Petition")</f>
        <v>EVERGREEN - UAN Gated Content - Embedded Petition</v>
      </c>
      <c r="D2092" s="5">
        <f ca="1">IFERROR(__xludf.DUMMYFUNCTION("""COMPUTED_VALUE"""),45671)</f>
        <v>45671</v>
      </c>
      <c r="F2092" s="1" t="str">
        <f ca="1">IFERROR(__xludf.DUMMYFUNCTION("""COMPUTED_VALUE"""),"China")</f>
        <v>China</v>
      </c>
      <c r="G2092" s="1" t="str">
        <f ca="1">IFERROR(__xludf.DUMMYFUNCTION("""COMPUTED_VALUE"""),"4.25 USA")</f>
        <v>4.25 USA</v>
      </c>
      <c r="H2092" s="1" t="str">
        <f ca="1">IFERROR(__xludf.DUMMYFUNCTION("""COMPUTED_VALUE"""),"Individuals At Risk, Refugee and Migrant Rights")</f>
        <v>Individuals At Risk, Refugee and Migrant Rights</v>
      </c>
      <c r="I2092" s="1" t="str">
        <f ca="1">IFERROR(__xludf.DUMMYFUNCTION("""COMPUTED_VALUE"""),"2025")</f>
        <v>2025</v>
      </c>
      <c r="J2092" s="1" t="str">
        <f ca="1">IFERROR(__xludf.DUMMYFUNCTION("""COMPUTED_VALUE"""),"Letter")</f>
        <v>Letter</v>
      </c>
    </row>
    <row r="2093" spans="1:10" ht="13" x14ac:dyDescent="0.15">
      <c r="A2093" s="4">
        <f ca="1">IFERROR(__xludf.DUMMYFUNCTION("""COMPUTED_VALUE"""),267343847)</f>
        <v>267343847</v>
      </c>
      <c r="B2093" s="1" t="str">
        <f ca="1">IFERROR(__xludf.DUMMYFUNCTION("""COMPUTED_VALUE"""),"ekramer@aiusa.org")</f>
        <v>ekramer@aiusa.org</v>
      </c>
      <c r="C2093" s="4" t="str">
        <f ca="1">IFERROR(__xludf.DUMMYFUNCTION("""COMPUTED_VALUE"""),"EVERGREEN - UAN Gated Content - Embedded Petition")</f>
        <v>EVERGREEN - UAN Gated Content - Embedded Petition</v>
      </c>
      <c r="D2093" s="5">
        <f ca="1">IFERROR(__xludf.DUMMYFUNCTION("""COMPUTED_VALUE"""),45671)</f>
        <v>45671</v>
      </c>
      <c r="F2093" s="1" t="str">
        <f ca="1">IFERROR(__xludf.DUMMYFUNCTION("""COMPUTED_VALUE"""),"USA")</f>
        <v>USA</v>
      </c>
      <c r="G2093" s="1" t="str">
        <f ca="1">IFERROR(__xludf.DUMMYFUNCTION("""COMPUTED_VALUE"""),"3.25 IOPT")</f>
        <v>3.25 IOPT</v>
      </c>
      <c r="H2093" s="1" t="str">
        <f ca="1">IFERROR(__xludf.DUMMYFUNCTION("""COMPUTED_VALUE"""),"Freedom of Expression, Individuals At Risk")</f>
        <v>Freedom of Expression, Individuals At Risk</v>
      </c>
      <c r="I2093" s="1" t="str">
        <f ca="1">IFERROR(__xludf.DUMMYFUNCTION("""COMPUTED_VALUE"""),"2025")</f>
        <v>2025</v>
      </c>
      <c r="J2093" s="1" t="str">
        <f ca="1">IFERROR(__xludf.DUMMYFUNCTION("""COMPUTED_VALUE"""),"Email")</f>
        <v>Email</v>
      </c>
    </row>
    <row r="2094" spans="1:10" ht="13" x14ac:dyDescent="0.15">
      <c r="A2094" s="4">
        <f ca="1">IFERROR(__xludf.DUMMYFUNCTION("""COMPUTED_VALUE"""),267343847)</f>
        <v>267343847</v>
      </c>
      <c r="B2094" s="1" t="str">
        <f ca="1">IFERROR(__xludf.DUMMYFUNCTION("""COMPUTED_VALUE"""),"ekramer@aiusa.org")</f>
        <v>ekramer@aiusa.org</v>
      </c>
      <c r="C2094" s="4" t="str">
        <f ca="1">IFERROR(__xludf.DUMMYFUNCTION("""COMPUTED_VALUE"""),"EVERGREEN - UAN Gated Content - Embedded Petition")</f>
        <v>EVERGREEN - UAN Gated Content - Embedded Petition</v>
      </c>
      <c r="D2094" s="5">
        <f ca="1">IFERROR(__xludf.DUMMYFUNCTION("""COMPUTED_VALUE"""),45671)</f>
        <v>45671</v>
      </c>
      <c r="F2094" s="1" t="str">
        <f ca="1">IFERROR(__xludf.DUMMYFUNCTION("""COMPUTED_VALUE"""),"Israel and Occupied Palestinian Territories")</f>
        <v>Israel and Occupied Palestinian Territories</v>
      </c>
      <c r="G2094" s="1" t="str">
        <f ca="1">IFERROR(__xludf.DUMMYFUNCTION("""COMPUTED_VALUE"""),"3.25 IOPT")</f>
        <v>3.25 IOPT</v>
      </c>
      <c r="H2094" s="1" t="str">
        <f ca="1">IFERROR(__xludf.DUMMYFUNCTION("""COMPUTED_VALUE"""),"Freedom of Expression, Individuals At Risk")</f>
        <v>Freedom of Expression, Individuals At Risk</v>
      </c>
      <c r="I2094" s="1" t="str">
        <f ca="1">IFERROR(__xludf.DUMMYFUNCTION("""COMPUTED_VALUE"""),"2025")</f>
        <v>2025</v>
      </c>
      <c r="J2094" s="1" t="str">
        <f ca="1">IFERROR(__xludf.DUMMYFUNCTION("""COMPUTED_VALUE"""),"Email")</f>
        <v>Email</v>
      </c>
    </row>
    <row r="2095" spans="1:10" ht="13" x14ac:dyDescent="0.15">
      <c r="A2095" s="4">
        <f ca="1">IFERROR(__xludf.DUMMYFUNCTION("""COMPUTED_VALUE"""),267343847)</f>
        <v>267343847</v>
      </c>
      <c r="B2095" s="1" t="str">
        <f ca="1">IFERROR(__xludf.DUMMYFUNCTION("""COMPUTED_VALUE"""),"ekramer@aiusa.org")</f>
        <v>ekramer@aiusa.org</v>
      </c>
      <c r="C2095" s="4" t="str">
        <f ca="1">IFERROR(__xludf.DUMMYFUNCTION("""COMPUTED_VALUE"""),"EVERGREEN - UAN Gated Content - Embedded Petition")</f>
        <v>EVERGREEN - UAN Gated Content - Embedded Petition</v>
      </c>
      <c r="D2095" s="5">
        <f ca="1">IFERROR(__xludf.DUMMYFUNCTION("""COMPUTED_VALUE"""),45638)</f>
        <v>45638</v>
      </c>
      <c r="F2095" s="1" t="str">
        <f ca="1">IFERROR(__xludf.DUMMYFUNCTION("""COMPUTED_VALUE"""),"Israel and Occupied Palestinian Territories")</f>
        <v>Israel and Occupied Palestinian Territories</v>
      </c>
      <c r="G2095" s="1" t="str">
        <f ca="1">IFERROR(__xludf.DUMMYFUNCTION("""COMPUTED_VALUE"""),"2.25 Azerbaijan")</f>
        <v>2.25 Azerbaijan</v>
      </c>
      <c r="H2095" s="1" t="str">
        <f ca="1">IFERROR(__xludf.DUMMYFUNCTION("""COMPUTED_VALUE"""),"Freedom of Expression, Human Rights Defenders")</f>
        <v>Freedom of Expression, Human Rights Defenders</v>
      </c>
      <c r="I2095" s="1" t="str">
        <f ca="1">IFERROR(__xludf.DUMMYFUNCTION("""COMPUTED_VALUE"""),"2025")</f>
        <v>2025</v>
      </c>
      <c r="J2095" s="1" t="str">
        <f ca="1">IFERROR(__xludf.DUMMYFUNCTION("""COMPUTED_VALUE"""),"Email")</f>
        <v>Email</v>
      </c>
    </row>
    <row r="2096" spans="1:10" ht="13" x14ac:dyDescent="0.15">
      <c r="A2096" s="4">
        <f ca="1">IFERROR(__xludf.DUMMYFUNCTION("""COMPUTED_VALUE"""),267343847)</f>
        <v>267343847</v>
      </c>
      <c r="B2096" s="1" t="str">
        <f ca="1">IFERROR(__xludf.DUMMYFUNCTION("""COMPUTED_VALUE"""),"ekramer@aiusa.org")</f>
        <v>ekramer@aiusa.org</v>
      </c>
      <c r="C2096" s="4" t="str">
        <f ca="1">IFERROR(__xludf.DUMMYFUNCTION("""COMPUTED_VALUE"""),"EVERGREEN - UAN Gated Content - Embedded Petition")</f>
        <v>EVERGREEN - UAN Gated Content - Embedded Petition</v>
      </c>
      <c r="D2096" s="5">
        <f ca="1">IFERROR(__xludf.DUMMYFUNCTION("""COMPUTED_VALUE"""),45638)</f>
        <v>45638</v>
      </c>
      <c r="F2096" s="1" t="str">
        <f ca="1">IFERROR(__xludf.DUMMYFUNCTION("""COMPUTED_VALUE"""),"Azerbaijan")</f>
        <v>Azerbaijan</v>
      </c>
      <c r="G2096" s="1" t="str">
        <f ca="1">IFERROR(__xludf.DUMMYFUNCTION("""COMPUTED_VALUE"""),"4.25 USA")</f>
        <v>4.25 USA</v>
      </c>
      <c r="H2096" s="1" t="str">
        <f ca="1">IFERROR(__xludf.DUMMYFUNCTION("""COMPUTED_VALUE"""),"Individuals At Risk, Refugee and Migrant Rights")</f>
        <v>Individuals At Risk, Refugee and Migrant Rights</v>
      </c>
      <c r="I2096" s="1" t="str">
        <f ca="1">IFERROR(__xludf.DUMMYFUNCTION("""COMPUTED_VALUE"""),"2025")</f>
        <v>2025</v>
      </c>
      <c r="J2096" s="1" t="str">
        <f ca="1">IFERROR(__xludf.DUMMYFUNCTION("""COMPUTED_VALUE"""),"Letter")</f>
        <v>Letter</v>
      </c>
    </row>
    <row r="2097" spans="1:10" ht="13" x14ac:dyDescent="0.15">
      <c r="A2097" s="4">
        <f ca="1">IFERROR(__xludf.DUMMYFUNCTION("""COMPUTED_VALUE"""),267343847)</f>
        <v>267343847</v>
      </c>
      <c r="B2097" s="1" t="str">
        <f ca="1">IFERROR(__xludf.DUMMYFUNCTION("""COMPUTED_VALUE"""),"ekramer@aiusa.org")</f>
        <v>ekramer@aiusa.org</v>
      </c>
      <c r="C2097" s="4" t="str">
        <f ca="1">IFERROR(__xludf.DUMMYFUNCTION("""COMPUTED_VALUE"""),"EVERGREEN - UAN Gated Content - Embedded Petition")</f>
        <v>EVERGREEN - UAN Gated Content - Embedded Petition</v>
      </c>
      <c r="D2097" s="5">
        <f ca="1">IFERROR(__xludf.DUMMYFUNCTION("""COMPUTED_VALUE"""),45638)</f>
        <v>45638</v>
      </c>
      <c r="F2097" s="1" t="str">
        <f ca="1">IFERROR(__xludf.DUMMYFUNCTION("""COMPUTED_VALUE"""),"USA")</f>
        <v>USA</v>
      </c>
      <c r="G2097" s="1" t="str">
        <f ca="1">IFERROR(__xludf.DUMMYFUNCTION("""COMPUTED_VALUE"""),"4.25 USA")</f>
        <v>4.25 USA</v>
      </c>
      <c r="H2097" s="1" t="str">
        <f ca="1">IFERROR(__xludf.DUMMYFUNCTION("""COMPUTED_VALUE"""),"Individuals At Risk, Refugee and Migrant Rights")</f>
        <v>Individuals At Risk, Refugee and Migrant Rights</v>
      </c>
      <c r="I2097" s="1" t="str">
        <f ca="1">IFERROR(__xludf.DUMMYFUNCTION("""COMPUTED_VALUE"""),"2025")</f>
        <v>2025</v>
      </c>
      <c r="J2097" s="1" t="str">
        <f ca="1">IFERROR(__xludf.DUMMYFUNCTION("""COMPUTED_VALUE"""),"Letter")</f>
        <v>Letter</v>
      </c>
    </row>
    <row r="2098" spans="1:10" ht="13" x14ac:dyDescent="0.15">
      <c r="A2098" s="4">
        <f ca="1">IFERROR(__xludf.DUMMYFUNCTION("""COMPUTED_VALUE"""),267343847)</f>
        <v>267343847</v>
      </c>
      <c r="B2098" s="1" t="str">
        <f ca="1">IFERROR(__xludf.DUMMYFUNCTION("""COMPUTED_VALUE"""),"ekramer@aiusa.org")</f>
        <v>ekramer@aiusa.org</v>
      </c>
      <c r="C2098" s="4" t="str">
        <f ca="1">IFERROR(__xludf.DUMMYFUNCTION("""COMPUTED_VALUE"""),"EVERGREEN - UAN Gated Content - Embedded Petition")</f>
        <v>EVERGREEN - UAN Gated Content - Embedded Petition</v>
      </c>
      <c r="D2098" s="5">
        <f ca="1">IFERROR(__xludf.DUMMYFUNCTION("""COMPUTED_VALUE"""),45638)</f>
        <v>45638</v>
      </c>
      <c r="F2098" s="1" t="str">
        <f ca="1">IFERROR(__xludf.DUMMYFUNCTION("""COMPUTED_VALUE"""),"USA")</f>
        <v>USA</v>
      </c>
      <c r="G2098" s="1" t="str">
        <f ca="1">IFERROR(__xludf.DUMMYFUNCTION("""COMPUTED_VALUE"""),"3.25 IOPT")</f>
        <v>3.25 IOPT</v>
      </c>
      <c r="H2098" s="1" t="str">
        <f ca="1">IFERROR(__xludf.DUMMYFUNCTION("""COMPUTED_VALUE"""),"Freedom of Expression, Individuals At Risk")</f>
        <v>Freedom of Expression, Individuals At Risk</v>
      </c>
      <c r="I2098" s="1" t="str">
        <f ca="1">IFERROR(__xludf.DUMMYFUNCTION("""COMPUTED_VALUE"""),"2025")</f>
        <v>2025</v>
      </c>
      <c r="J2098" s="1" t="str">
        <f ca="1">IFERROR(__xludf.DUMMYFUNCTION("""COMPUTED_VALUE"""),"Email")</f>
        <v>Email</v>
      </c>
    </row>
    <row r="2099" spans="1:10" ht="13" x14ac:dyDescent="0.15">
      <c r="A2099" s="4">
        <f ca="1">IFERROR(__xludf.DUMMYFUNCTION("""COMPUTED_VALUE"""),267343847)</f>
        <v>267343847</v>
      </c>
      <c r="B2099" s="1" t="str">
        <f ca="1">IFERROR(__xludf.DUMMYFUNCTION("""COMPUTED_VALUE"""),"ekramer@aiusa.org")</f>
        <v>ekramer@aiusa.org</v>
      </c>
      <c r="C2099" s="4" t="str">
        <f ca="1">IFERROR(__xludf.DUMMYFUNCTION("""COMPUTED_VALUE"""),"EVERGREEN - UAN Gated Content - Embedded Petition")</f>
        <v>EVERGREEN - UAN Gated Content - Embedded Petition</v>
      </c>
      <c r="D2099" s="5">
        <f ca="1">IFERROR(__xludf.DUMMYFUNCTION("""COMPUTED_VALUE"""),45643)</f>
        <v>45643</v>
      </c>
      <c r="F2099" s="1" t="str">
        <f ca="1">IFERROR(__xludf.DUMMYFUNCTION("""COMPUTED_VALUE"""),"Israel and Occupied Palestinian Territories")</f>
        <v>Israel and Occupied Palestinian Territories</v>
      </c>
      <c r="G2099" s="1" t="str">
        <f ca="1">IFERROR(__xludf.DUMMYFUNCTION("""COMPUTED_VALUE"""),"3.25 IOPT")</f>
        <v>3.25 IOPT</v>
      </c>
      <c r="H2099" s="1" t="str">
        <f ca="1">IFERROR(__xludf.DUMMYFUNCTION("""COMPUTED_VALUE"""),"Freedom of Expression, Individuals At Risk")</f>
        <v>Freedom of Expression, Individuals At Risk</v>
      </c>
      <c r="I2099" s="1" t="str">
        <f ca="1">IFERROR(__xludf.DUMMYFUNCTION("""COMPUTED_VALUE"""),"2025")</f>
        <v>2025</v>
      </c>
      <c r="J2099" s="1" t="str">
        <f ca="1">IFERROR(__xludf.DUMMYFUNCTION("""COMPUTED_VALUE"""),"Email")</f>
        <v>Email</v>
      </c>
    </row>
    <row r="2100" spans="1:10" ht="13" x14ac:dyDescent="0.15">
      <c r="A2100" s="4">
        <f ca="1">IFERROR(__xludf.DUMMYFUNCTION("""COMPUTED_VALUE"""),267343847)</f>
        <v>267343847</v>
      </c>
      <c r="B2100" s="1" t="str">
        <f ca="1">IFERROR(__xludf.DUMMYFUNCTION("""COMPUTED_VALUE"""),"ekramer@aiusa.org")</f>
        <v>ekramer@aiusa.org</v>
      </c>
      <c r="C2100" s="4" t="str">
        <f ca="1">IFERROR(__xludf.DUMMYFUNCTION("""COMPUTED_VALUE"""),"EVERGREEN - UAN Gated Content - Embedded Petition")</f>
        <v>EVERGREEN - UAN Gated Content - Embedded Petition</v>
      </c>
      <c r="D2100" s="5">
        <f ca="1">IFERROR(__xludf.DUMMYFUNCTION("""COMPUTED_VALUE"""),45635)</f>
        <v>45635</v>
      </c>
      <c r="F2100" s="1" t="str">
        <f ca="1">IFERROR(__xludf.DUMMYFUNCTION("""COMPUTED_VALUE"""),"Israel and Occupied Palestinian Territories")</f>
        <v>Israel and Occupied Palestinian Territories</v>
      </c>
      <c r="G2100" s="1" t="str">
        <f ca="1">IFERROR(__xludf.DUMMYFUNCTION("""COMPUTED_VALUE"""),"3.25 IOPT")</f>
        <v>3.25 IOPT</v>
      </c>
      <c r="H2100" s="1" t="str">
        <f ca="1">IFERROR(__xludf.DUMMYFUNCTION("""COMPUTED_VALUE"""),"Freedom of Expression, Individuals At Risk")</f>
        <v>Freedom of Expression, Individuals At Risk</v>
      </c>
      <c r="I2100" s="1" t="str">
        <f ca="1">IFERROR(__xludf.DUMMYFUNCTION("""COMPUTED_VALUE"""),"2025")</f>
        <v>2025</v>
      </c>
      <c r="J2100" s="1" t="str">
        <f ca="1">IFERROR(__xludf.DUMMYFUNCTION("""COMPUTED_VALUE"""),"Email")</f>
        <v>Email</v>
      </c>
    </row>
    <row r="2101" spans="1:10" ht="13" x14ac:dyDescent="0.15">
      <c r="A2101" s="4">
        <f ca="1">IFERROR(__xludf.DUMMYFUNCTION("""COMPUTED_VALUE"""),267343847)</f>
        <v>267343847</v>
      </c>
      <c r="B2101" s="1" t="str">
        <f ca="1">IFERROR(__xludf.DUMMYFUNCTION("""COMPUTED_VALUE"""),"ekramer@aiusa.org")</f>
        <v>ekramer@aiusa.org</v>
      </c>
      <c r="C2101" s="4" t="str">
        <f ca="1">IFERROR(__xludf.DUMMYFUNCTION("""COMPUTED_VALUE"""),"EVERGREEN - UAN Gated Content - Embedded Petition")</f>
        <v>EVERGREEN - UAN Gated Content - Embedded Petition</v>
      </c>
      <c r="D2101" s="5">
        <f ca="1">IFERROR(__xludf.DUMMYFUNCTION("""COMPUTED_VALUE"""),45638)</f>
        <v>45638</v>
      </c>
      <c r="F2101" s="1" t="str">
        <f ca="1">IFERROR(__xludf.DUMMYFUNCTION("""COMPUTED_VALUE"""),"Israel and Occupied Palestinian Territories")</f>
        <v>Israel and Occupied Palestinian Territories</v>
      </c>
      <c r="G2101" s="1" t="str">
        <f ca="1">IFERROR(__xludf.DUMMYFUNCTION("""COMPUTED_VALUE"""),"Second 76.24 Tunisia")</f>
        <v>Second 76.24 Tunisia</v>
      </c>
      <c r="H2101" s="1" t="str">
        <f ca="1">IFERROR(__xludf.DUMMYFUNCTION("""COMPUTED_VALUE"""),"Freedom of Expression, Human Rights Defenders")</f>
        <v>Freedom of Expression, Human Rights Defenders</v>
      </c>
      <c r="I2101" s="1" t="str">
        <f ca="1">IFERROR(__xludf.DUMMYFUNCTION("""COMPUTED_VALUE"""),"2025")</f>
        <v>2025</v>
      </c>
      <c r="J2101" s="1" t="str">
        <f ca="1">IFERROR(__xludf.DUMMYFUNCTION("""COMPUTED_VALUE"""),"Email")</f>
        <v>Email</v>
      </c>
    </row>
    <row r="2102" spans="1:10" ht="13" x14ac:dyDescent="0.15">
      <c r="A2102" s="4">
        <f ca="1">IFERROR(__xludf.DUMMYFUNCTION("""COMPUTED_VALUE"""),267343847)</f>
        <v>267343847</v>
      </c>
      <c r="B2102" s="1" t="str">
        <f ca="1">IFERROR(__xludf.DUMMYFUNCTION("""COMPUTED_VALUE"""),"ekramer@aiusa.org")</f>
        <v>ekramer@aiusa.org</v>
      </c>
      <c r="C2102" s="4" t="str">
        <f ca="1">IFERROR(__xludf.DUMMYFUNCTION("""COMPUTED_VALUE"""),"EVERGREEN - UAN Gated Content - Embedded Petition")</f>
        <v>EVERGREEN - UAN Gated Content - Embedded Petition</v>
      </c>
      <c r="D2102" s="5">
        <f ca="1">IFERROR(__xludf.DUMMYFUNCTION("""COMPUTED_VALUE"""),45638)</f>
        <v>45638</v>
      </c>
      <c r="F2102" s="1" t="str">
        <f ca="1">IFERROR(__xludf.DUMMYFUNCTION("""COMPUTED_VALUE"""),"Tunisia")</f>
        <v>Tunisia</v>
      </c>
      <c r="G2102" s="1" t="str">
        <f ca="1">IFERROR(__xludf.DUMMYFUNCTION("""COMPUTED_VALUE"""),"88.24 Dominican Republic")</f>
        <v>88.24 Dominican Republic</v>
      </c>
      <c r="H2102" s="1" t="str">
        <f ca="1">IFERROR(__xludf.DUMMYFUNCTION("""COMPUTED_VALUE"""),"Individuals At Risk, Refugee and Migrant Rights")</f>
        <v>Individuals At Risk, Refugee and Migrant Rights</v>
      </c>
      <c r="I2102" s="1" t="str">
        <f ca="1">IFERROR(__xludf.DUMMYFUNCTION("""COMPUTED_VALUE"""),"2024")</f>
        <v>2024</v>
      </c>
      <c r="J2102" s="1" t="str">
        <f ca="1">IFERROR(__xludf.DUMMYFUNCTION("""COMPUTED_VALUE"""),"Letter")</f>
        <v>Letter</v>
      </c>
    </row>
    <row r="2103" spans="1:10" ht="13" x14ac:dyDescent="0.15">
      <c r="A2103" s="4">
        <f ca="1">IFERROR(__xludf.DUMMYFUNCTION("""COMPUTED_VALUE"""),267343847)</f>
        <v>267343847</v>
      </c>
      <c r="B2103" s="1" t="str">
        <f ca="1">IFERROR(__xludf.DUMMYFUNCTION("""COMPUTED_VALUE"""),"ekramer@aiusa.org")</f>
        <v>ekramer@aiusa.org</v>
      </c>
      <c r="C2103" s="4" t="str">
        <f ca="1">IFERROR(__xludf.DUMMYFUNCTION("""COMPUTED_VALUE"""),"EVERGREEN - UAN Gated Content - Embedded Petition")</f>
        <v>EVERGREEN - UAN Gated Content - Embedded Petition</v>
      </c>
      <c r="D2103" s="5">
        <f ca="1">IFERROR(__xludf.DUMMYFUNCTION("""COMPUTED_VALUE"""),45637)</f>
        <v>45637</v>
      </c>
      <c r="F2103" s="1" t="str">
        <f ca="1">IFERROR(__xludf.DUMMYFUNCTION("""COMPUTED_VALUE"""),"Dominican Republic")</f>
        <v>Dominican Republic</v>
      </c>
      <c r="G2103" s="1" t="str">
        <f ca="1">IFERROR(__xludf.DUMMYFUNCTION("""COMPUTED_VALUE"""),"Second 76.24 Tunisia")</f>
        <v>Second 76.24 Tunisia</v>
      </c>
      <c r="H2103" s="1" t="str">
        <f ca="1">IFERROR(__xludf.DUMMYFUNCTION("""COMPUTED_VALUE"""),"Freedom of Expression, Human Rights Defenders")</f>
        <v>Freedom of Expression, Human Rights Defenders</v>
      </c>
      <c r="I2103" s="1" t="str">
        <f ca="1">IFERROR(__xludf.DUMMYFUNCTION("""COMPUTED_VALUE"""),"2025")</f>
        <v>2025</v>
      </c>
      <c r="J2103" s="1" t="str">
        <f ca="1">IFERROR(__xludf.DUMMYFUNCTION("""COMPUTED_VALUE"""),"Email")</f>
        <v>Email</v>
      </c>
    </row>
    <row r="2104" spans="1:10" ht="13" x14ac:dyDescent="0.15">
      <c r="A2104" s="4">
        <f ca="1">IFERROR(__xludf.DUMMYFUNCTION("""COMPUTED_VALUE"""),267343847)</f>
        <v>267343847</v>
      </c>
      <c r="B2104" s="1" t="str">
        <f ca="1">IFERROR(__xludf.DUMMYFUNCTION("""COMPUTED_VALUE"""),"ekramer@aiusa.org")</f>
        <v>ekramer@aiusa.org</v>
      </c>
      <c r="C2104" s="4" t="str">
        <f ca="1">IFERROR(__xludf.DUMMYFUNCTION("""COMPUTED_VALUE"""),"EVERGREEN - UAN Gated Content - Embedded Petition")</f>
        <v>EVERGREEN - UAN Gated Content - Embedded Petition</v>
      </c>
      <c r="D2104" s="5">
        <f ca="1">IFERROR(__xludf.DUMMYFUNCTION("""COMPUTED_VALUE"""),45637)</f>
        <v>45637</v>
      </c>
      <c r="F2104" s="1" t="str">
        <f ca="1">IFERROR(__xludf.DUMMYFUNCTION("""COMPUTED_VALUE"""),"Tunisia")</f>
        <v>Tunisia</v>
      </c>
      <c r="G2104" s="1" t="str">
        <f ca="1">IFERROR(__xludf.DUMMYFUNCTION("""COMPUTED_VALUE"""),"Second 76.24 Tunisia")</f>
        <v>Second 76.24 Tunisia</v>
      </c>
      <c r="H2104" s="1" t="str">
        <f ca="1">IFERROR(__xludf.DUMMYFUNCTION("""COMPUTED_VALUE"""),"Freedom of Expression, Human Rights Defenders")</f>
        <v>Freedom of Expression, Human Rights Defenders</v>
      </c>
      <c r="I2104" s="1" t="str">
        <f ca="1">IFERROR(__xludf.DUMMYFUNCTION("""COMPUTED_VALUE"""),"2025")</f>
        <v>2025</v>
      </c>
      <c r="J2104" s="1" t="str">
        <f ca="1">IFERROR(__xludf.DUMMYFUNCTION("""COMPUTED_VALUE"""),"Email")</f>
        <v>Email</v>
      </c>
    </row>
    <row r="2105" spans="1:10" ht="13" x14ac:dyDescent="0.15">
      <c r="A2105" s="4">
        <f ca="1">IFERROR(__xludf.DUMMYFUNCTION("""COMPUTED_VALUE"""),267343847)</f>
        <v>267343847</v>
      </c>
      <c r="B2105" s="1" t="str">
        <f ca="1">IFERROR(__xludf.DUMMYFUNCTION("""COMPUTED_VALUE"""),"ekramer@aiusa.org")</f>
        <v>ekramer@aiusa.org</v>
      </c>
      <c r="C2105" s="4" t="str">
        <f ca="1">IFERROR(__xludf.DUMMYFUNCTION("""COMPUTED_VALUE"""),"EVERGREEN - UAN Gated Content - Embedded Petition")</f>
        <v>EVERGREEN - UAN Gated Content - Embedded Petition</v>
      </c>
      <c r="D2105" s="5">
        <f ca="1">IFERROR(__xludf.DUMMYFUNCTION("""COMPUTED_VALUE"""),45638)</f>
        <v>45638</v>
      </c>
      <c r="F2105" s="1" t="str">
        <f ca="1">IFERROR(__xludf.DUMMYFUNCTION("""COMPUTED_VALUE"""),"Tunisia")</f>
        <v>Tunisia</v>
      </c>
      <c r="G2105" s="1" t="str">
        <f ca="1">IFERROR(__xludf.DUMMYFUNCTION("""COMPUTED_VALUE"""),"88.24 Dominican Republic")</f>
        <v>88.24 Dominican Republic</v>
      </c>
      <c r="H2105" s="1" t="str">
        <f ca="1">IFERROR(__xludf.DUMMYFUNCTION("""COMPUTED_VALUE"""),"Individuals At Risk, Refugee and Migrant Rights")</f>
        <v>Individuals At Risk, Refugee and Migrant Rights</v>
      </c>
      <c r="I2105" s="1" t="str">
        <f ca="1">IFERROR(__xludf.DUMMYFUNCTION("""COMPUTED_VALUE"""),"2024")</f>
        <v>2024</v>
      </c>
      <c r="J2105" s="1" t="str">
        <f ca="1">IFERROR(__xludf.DUMMYFUNCTION("""COMPUTED_VALUE"""),"Letter")</f>
        <v>Letter</v>
      </c>
    </row>
    <row r="2106" spans="1:10" ht="13" x14ac:dyDescent="0.15">
      <c r="A2106" s="4">
        <f ca="1">IFERROR(__xludf.DUMMYFUNCTION("""COMPUTED_VALUE"""),267343847)</f>
        <v>267343847</v>
      </c>
      <c r="B2106" s="1" t="str">
        <f ca="1">IFERROR(__xludf.DUMMYFUNCTION("""COMPUTED_VALUE"""),"ekramer@aiusa.org")</f>
        <v>ekramer@aiusa.org</v>
      </c>
      <c r="C2106" s="4" t="str">
        <f ca="1">IFERROR(__xludf.DUMMYFUNCTION("""COMPUTED_VALUE"""),"EVERGREEN - UAN Gated Content - Embedded Petition")</f>
        <v>EVERGREEN - UAN Gated Content - Embedded Petition</v>
      </c>
      <c r="D2106" s="5">
        <f ca="1">IFERROR(__xludf.DUMMYFUNCTION("""COMPUTED_VALUE"""),45638)</f>
        <v>45638</v>
      </c>
      <c r="F2106" s="1" t="str">
        <f ca="1">IFERROR(__xludf.DUMMYFUNCTION("""COMPUTED_VALUE"""),"Dominican Republic")</f>
        <v>Dominican Republic</v>
      </c>
      <c r="G2106" s="1" t="str">
        <f ca="1">IFERROR(__xludf.DUMMYFUNCTION("""COMPUTED_VALUE"""),"105.24 USA")</f>
        <v>105.24 USA</v>
      </c>
      <c r="H2106" s="1" t="str">
        <f ca="1">IFERROR(__xludf.DUMMYFUNCTION("""COMPUTED_VALUE"""),"Death Penalty")</f>
        <v>Death Penalty</v>
      </c>
      <c r="I2106" s="1" t="str">
        <f ca="1">IFERROR(__xludf.DUMMYFUNCTION("""COMPUTED_VALUE"""),"2024")</f>
        <v>2024</v>
      </c>
      <c r="J2106" s="1" t="str">
        <f ca="1">IFERROR(__xludf.DUMMYFUNCTION("""COMPUTED_VALUE"""),"Email")</f>
        <v>Email</v>
      </c>
    </row>
    <row r="2107" spans="1:10" ht="13" x14ac:dyDescent="0.15">
      <c r="A2107" s="4">
        <f ca="1">IFERROR(__xludf.DUMMYFUNCTION("""COMPUTED_VALUE"""),267343847)</f>
        <v>267343847</v>
      </c>
      <c r="B2107" s="1" t="str">
        <f ca="1">IFERROR(__xludf.DUMMYFUNCTION("""COMPUTED_VALUE"""),"ekramer@aiusa.org")</f>
        <v>ekramer@aiusa.org</v>
      </c>
      <c r="C2107" s="4" t="str">
        <f ca="1">IFERROR(__xludf.DUMMYFUNCTION("""COMPUTED_VALUE"""),"EVERGREEN - UAN Gated Content - Embedded Petition")</f>
        <v>EVERGREEN - UAN Gated Content - Embedded Petition</v>
      </c>
      <c r="D2107" s="5">
        <f ca="1">IFERROR(__xludf.DUMMYFUNCTION("""COMPUTED_VALUE"""),45638)</f>
        <v>45638</v>
      </c>
      <c r="F2107" s="1" t="str">
        <f ca="1">IFERROR(__xludf.DUMMYFUNCTION("""COMPUTED_VALUE"""),"USA")</f>
        <v>USA</v>
      </c>
      <c r="G2107" s="1" t="str">
        <f ca="1">IFERROR(__xludf.DUMMYFUNCTION("""COMPUTED_VALUE"""),"88.24 Dominican Republic")</f>
        <v>88.24 Dominican Republic</v>
      </c>
      <c r="H2107" s="1" t="str">
        <f ca="1">IFERROR(__xludf.DUMMYFUNCTION("""COMPUTED_VALUE"""),"Individuals At Risk, Refugee and Migrant Rights")</f>
        <v>Individuals At Risk, Refugee and Migrant Rights</v>
      </c>
      <c r="I2107" s="1" t="str">
        <f ca="1">IFERROR(__xludf.DUMMYFUNCTION("""COMPUTED_VALUE"""),"2024")</f>
        <v>2024</v>
      </c>
      <c r="J2107" s="1" t="str">
        <f ca="1">IFERROR(__xludf.DUMMYFUNCTION("""COMPUTED_VALUE"""),"Letter")</f>
        <v>Letter</v>
      </c>
    </row>
    <row r="2108" spans="1:10" ht="13" x14ac:dyDescent="0.15">
      <c r="A2108" s="4">
        <f ca="1">IFERROR(__xludf.DUMMYFUNCTION("""COMPUTED_VALUE"""),267343847)</f>
        <v>267343847</v>
      </c>
      <c r="B2108" s="1" t="str">
        <f ca="1">IFERROR(__xludf.DUMMYFUNCTION("""COMPUTED_VALUE"""),"ekramer@aiusa.org")</f>
        <v>ekramer@aiusa.org</v>
      </c>
      <c r="C2108" s="4" t="str">
        <f ca="1">IFERROR(__xludf.DUMMYFUNCTION("""COMPUTED_VALUE"""),"EVERGREEN - UAN Gated Content - Embedded Petition")</f>
        <v>EVERGREEN - UAN Gated Content - Embedded Petition</v>
      </c>
      <c r="D2108" s="5">
        <f ca="1">IFERROR(__xludf.DUMMYFUNCTION("""COMPUTED_VALUE"""),45638)</f>
        <v>45638</v>
      </c>
      <c r="F2108" s="1" t="str">
        <f ca="1">IFERROR(__xludf.DUMMYFUNCTION("""COMPUTED_VALUE"""),"Dominican Republic")</f>
        <v>Dominican Republic</v>
      </c>
      <c r="G2108" s="1" t="str">
        <f ca="1">IFERROR(__xludf.DUMMYFUNCTION("""COMPUTED_VALUE"""),"103.24 Niger")</f>
        <v>103.24 Niger</v>
      </c>
      <c r="H2108" s="1" t="str">
        <f ca="1">IFERROR(__xludf.DUMMYFUNCTION("""COMPUTED_VALUE"""),"Freedom of Expression, Human Rights Defenders")</f>
        <v>Freedom of Expression, Human Rights Defenders</v>
      </c>
      <c r="I2108" s="1" t="str">
        <f ca="1">IFERROR(__xludf.DUMMYFUNCTION("""COMPUTED_VALUE"""),"2024")</f>
        <v>2024</v>
      </c>
      <c r="J2108" s="1" t="str">
        <f ca="1">IFERROR(__xludf.DUMMYFUNCTION("""COMPUTED_VALUE"""),"Email")</f>
        <v>Email</v>
      </c>
    </row>
    <row r="2109" spans="1:10" ht="13" x14ac:dyDescent="0.15">
      <c r="A2109" s="4">
        <f ca="1">IFERROR(__xludf.DUMMYFUNCTION("""COMPUTED_VALUE"""),267343847)</f>
        <v>267343847</v>
      </c>
      <c r="B2109" s="1" t="str">
        <f ca="1">IFERROR(__xludf.DUMMYFUNCTION("""COMPUTED_VALUE"""),"ekramer@aiusa.org")</f>
        <v>ekramer@aiusa.org</v>
      </c>
      <c r="C2109" s="4" t="str">
        <f ca="1">IFERROR(__xludf.DUMMYFUNCTION("""COMPUTED_VALUE"""),"EVERGREEN - UAN Gated Content - Embedded Petition")</f>
        <v>EVERGREEN - UAN Gated Content - Embedded Petition</v>
      </c>
      <c r="D2109" s="5">
        <f ca="1">IFERROR(__xludf.DUMMYFUNCTION("""COMPUTED_VALUE"""),45638)</f>
        <v>45638</v>
      </c>
      <c r="F2109" s="1" t="str">
        <f ca="1">IFERROR(__xludf.DUMMYFUNCTION("""COMPUTED_VALUE"""),"Niger")</f>
        <v>Niger</v>
      </c>
      <c r="G2109" s="1" t="str">
        <f ca="1">IFERROR(__xludf.DUMMYFUNCTION("""COMPUTED_VALUE"""),"Seventh 103.22 Iran")</f>
        <v>Seventh 103.22 Iran</v>
      </c>
      <c r="H2109" s="1" t="str">
        <f ca="1">IFERROR(__xludf.DUMMYFUNCTION("""COMPUTED_VALUE"""),"Death Penalty, Freedom of Expression, Individuals At Risk")</f>
        <v>Death Penalty, Freedom of Expression, Individuals At Risk</v>
      </c>
      <c r="I2109" s="1" t="str">
        <f ca="1">IFERROR(__xludf.DUMMYFUNCTION("""COMPUTED_VALUE"""),"2024")</f>
        <v>2024</v>
      </c>
      <c r="J2109" s="1" t="str">
        <f ca="1">IFERROR(__xludf.DUMMYFUNCTION("""COMPUTED_VALUE"""),"Email")</f>
        <v>Email</v>
      </c>
    </row>
    <row r="2110" spans="1:10" ht="13" x14ac:dyDescent="0.15">
      <c r="A2110" s="4">
        <f ca="1">IFERROR(__xludf.DUMMYFUNCTION("""COMPUTED_VALUE"""),267343847)</f>
        <v>267343847</v>
      </c>
      <c r="B2110" s="1" t="str">
        <f ca="1">IFERROR(__xludf.DUMMYFUNCTION("""COMPUTED_VALUE"""),"ekramer@aiusa.org")</f>
        <v>ekramer@aiusa.org</v>
      </c>
      <c r="C2110" s="4" t="str">
        <f ca="1">IFERROR(__xludf.DUMMYFUNCTION("""COMPUTED_VALUE"""),"EVERGREEN - UAN Gated Content - Embedded Petition")</f>
        <v>EVERGREEN - UAN Gated Content - Embedded Petition</v>
      </c>
      <c r="D2110" s="5">
        <f ca="1">IFERROR(__xludf.DUMMYFUNCTION("""COMPUTED_VALUE"""),45616)</f>
        <v>45616</v>
      </c>
      <c r="F2110" s="1" t="str">
        <f ca="1">IFERROR(__xludf.DUMMYFUNCTION("""COMPUTED_VALUE"""),"Iran")</f>
        <v>Iran</v>
      </c>
      <c r="G2110" s="1" t="str">
        <f ca="1">IFERROR(__xludf.DUMMYFUNCTION("""COMPUTED_VALUE"""),"Second 76.24 Tunisia")</f>
        <v>Second 76.24 Tunisia</v>
      </c>
      <c r="H2110" s="1" t="str">
        <f ca="1">IFERROR(__xludf.DUMMYFUNCTION("""COMPUTED_VALUE"""),"Freedom of Expression, Human Rights Defenders")</f>
        <v>Freedom of Expression, Human Rights Defenders</v>
      </c>
      <c r="I2110" s="1" t="str">
        <f ca="1">IFERROR(__xludf.DUMMYFUNCTION("""COMPUTED_VALUE"""),"2025")</f>
        <v>2025</v>
      </c>
      <c r="J2110" s="1" t="str">
        <f ca="1">IFERROR(__xludf.DUMMYFUNCTION("""COMPUTED_VALUE"""),"Email")</f>
        <v>Email</v>
      </c>
    </row>
    <row r="2111" spans="1:10" ht="13" x14ac:dyDescent="0.15">
      <c r="A2111" s="4">
        <f ca="1">IFERROR(__xludf.DUMMYFUNCTION("""COMPUTED_VALUE"""),267343847)</f>
        <v>267343847</v>
      </c>
      <c r="B2111" s="1" t="str">
        <f ca="1">IFERROR(__xludf.DUMMYFUNCTION("""COMPUTED_VALUE"""),"ekramer@aiusa.org")</f>
        <v>ekramer@aiusa.org</v>
      </c>
      <c r="C2111" s="4" t="str">
        <f ca="1">IFERROR(__xludf.DUMMYFUNCTION("""COMPUTED_VALUE"""),"EVERGREEN - UAN Gated Content - Embedded Petition")</f>
        <v>EVERGREEN - UAN Gated Content - Embedded Petition</v>
      </c>
      <c r="D2111" s="5">
        <f ca="1">IFERROR(__xludf.DUMMYFUNCTION("""COMPUTED_VALUE"""),45616)</f>
        <v>45616</v>
      </c>
      <c r="F2111" s="1" t="str">
        <f ca="1">IFERROR(__xludf.DUMMYFUNCTION("""COMPUTED_VALUE"""),"Tunisia")</f>
        <v>Tunisia</v>
      </c>
      <c r="G2111" s="1" t="str">
        <f ca="1">IFERROR(__xludf.DUMMYFUNCTION("""COMPUTED_VALUE"""),"Second 85.23 Saudi Arabia")</f>
        <v>Second 85.23 Saudi Arabia</v>
      </c>
      <c r="H2111" s="1" t="str">
        <f ca="1">IFERROR(__xludf.DUMMYFUNCTION("""COMPUTED_VALUE"""),"Freedom of Expression")</f>
        <v>Freedom of Expression</v>
      </c>
      <c r="I2111" s="1" t="str">
        <f ca="1">IFERROR(__xludf.DUMMYFUNCTION("""COMPUTED_VALUE"""),"2024")</f>
        <v>2024</v>
      </c>
      <c r="J2111" s="1" t="str">
        <f ca="1">IFERROR(__xludf.DUMMYFUNCTION("""COMPUTED_VALUE"""),"Letter")</f>
        <v>Letter</v>
      </c>
    </row>
    <row r="2112" spans="1:10" ht="13" x14ac:dyDescent="0.15">
      <c r="A2112" s="4">
        <f ca="1">IFERROR(__xludf.DUMMYFUNCTION("""COMPUTED_VALUE"""),267343847)</f>
        <v>267343847</v>
      </c>
      <c r="B2112" s="1" t="str">
        <f ca="1">IFERROR(__xludf.DUMMYFUNCTION("""COMPUTED_VALUE"""),"ekramer@aiusa.org")</f>
        <v>ekramer@aiusa.org</v>
      </c>
      <c r="C2112" s="4" t="str">
        <f ca="1">IFERROR(__xludf.DUMMYFUNCTION("""COMPUTED_VALUE"""),"EVERGREEN - UAN Gated Content - Embedded Petition")</f>
        <v>EVERGREEN - UAN Gated Content - Embedded Petition</v>
      </c>
      <c r="D2112" s="5">
        <f ca="1">IFERROR(__xludf.DUMMYFUNCTION("""COMPUTED_VALUE"""),45616)</f>
        <v>45616</v>
      </c>
      <c r="F2112" s="1" t="str">
        <f ca="1">IFERROR(__xludf.DUMMYFUNCTION("""COMPUTED_VALUE"""),"Saudi Arabia")</f>
        <v>Saudi Arabia</v>
      </c>
      <c r="G2112" s="1" t="str">
        <f ca="1">IFERROR(__xludf.DUMMYFUNCTION("""COMPUTED_VALUE"""),"3.25 IOPT")</f>
        <v>3.25 IOPT</v>
      </c>
      <c r="H2112" s="1" t="str">
        <f ca="1">IFERROR(__xludf.DUMMYFUNCTION("""COMPUTED_VALUE"""),"Freedom of Expression, Individuals At Risk")</f>
        <v>Freedom of Expression, Individuals At Risk</v>
      </c>
      <c r="I2112" s="1" t="str">
        <f ca="1">IFERROR(__xludf.DUMMYFUNCTION("""COMPUTED_VALUE"""),"2025")</f>
        <v>2025</v>
      </c>
      <c r="J2112" s="1" t="str">
        <f ca="1">IFERROR(__xludf.DUMMYFUNCTION("""COMPUTED_VALUE"""),"Email")</f>
        <v>Email</v>
      </c>
    </row>
    <row r="2113" spans="1:10" ht="13" x14ac:dyDescent="0.15">
      <c r="A2113" s="4">
        <f ca="1">IFERROR(__xludf.DUMMYFUNCTION("""COMPUTED_VALUE"""),267343847)</f>
        <v>267343847</v>
      </c>
      <c r="B2113" s="1" t="str">
        <f ca="1">IFERROR(__xludf.DUMMYFUNCTION("""COMPUTED_VALUE"""),"ekramer@aiusa.org")</f>
        <v>ekramer@aiusa.org</v>
      </c>
      <c r="C2113" s="4" t="str">
        <f ca="1">IFERROR(__xludf.DUMMYFUNCTION("""COMPUTED_VALUE"""),"EVERGREEN - UAN Gated Content - Embedded Petition")</f>
        <v>EVERGREEN - UAN Gated Content - Embedded Petition</v>
      </c>
      <c r="D2113" s="5">
        <f ca="1">IFERROR(__xludf.DUMMYFUNCTION("""COMPUTED_VALUE"""),45631)</f>
        <v>45631</v>
      </c>
      <c r="F2113" s="1" t="str">
        <f ca="1">IFERROR(__xludf.DUMMYFUNCTION("""COMPUTED_VALUE"""),"Israel and Occupied Palestinian Territories")</f>
        <v>Israel and Occupied Palestinian Territories</v>
      </c>
      <c r="G2113" s="1" t="str">
        <f ca="1">IFERROR(__xludf.DUMMYFUNCTION("""COMPUTED_VALUE"""),"3.25 IOPT")</f>
        <v>3.25 IOPT</v>
      </c>
      <c r="H2113" s="1" t="str">
        <f ca="1">IFERROR(__xludf.DUMMYFUNCTION("""COMPUTED_VALUE"""),"Freedom of Expression, Individuals At Risk")</f>
        <v>Freedom of Expression, Individuals At Risk</v>
      </c>
      <c r="I2113" s="1" t="str">
        <f ca="1">IFERROR(__xludf.DUMMYFUNCTION("""COMPUTED_VALUE"""),"2025")</f>
        <v>2025</v>
      </c>
      <c r="J2113" s="1" t="str">
        <f ca="1">IFERROR(__xludf.DUMMYFUNCTION("""COMPUTED_VALUE"""),"Email")</f>
        <v>Email</v>
      </c>
    </row>
    <row r="2114" spans="1:10" ht="13" x14ac:dyDescent="0.15">
      <c r="A2114" s="4">
        <f ca="1">IFERROR(__xludf.DUMMYFUNCTION("""COMPUTED_VALUE"""),267343847)</f>
        <v>267343847</v>
      </c>
      <c r="B2114" s="1" t="str">
        <f ca="1">IFERROR(__xludf.DUMMYFUNCTION("""COMPUTED_VALUE"""),"ekramer@aiusa.org")</f>
        <v>ekramer@aiusa.org</v>
      </c>
      <c r="C2114" s="4" t="str">
        <f ca="1">IFERROR(__xludf.DUMMYFUNCTION("""COMPUTED_VALUE"""),"EVERGREEN - UAN Gated Content - Embedded Petition")</f>
        <v>EVERGREEN - UAN Gated Content - Embedded Petition</v>
      </c>
      <c r="D2114" s="5">
        <f ca="1">IFERROR(__xludf.DUMMYFUNCTION("""COMPUTED_VALUE"""),45610)</f>
        <v>45610</v>
      </c>
      <c r="F2114" s="1" t="str">
        <f ca="1">IFERROR(__xludf.DUMMYFUNCTION("""COMPUTED_VALUE"""),"Israel and Occupied Palestinian Territories")</f>
        <v>Israel and Occupied Palestinian Territories</v>
      </c>
      <c r="G2114" s="1" t="str">
        <f ca="1">IFERROR(__xludf.DUMMYFUNCTION("""COMPUTED_VALUE"""),"2.25 Azerbaijan")</f>
        <v>2.25 Azerbaijan</v>
      </c>
      <c r="H2114" s="1" t="str">
        <f ca="1">IFERROR(__xludf.DUMMYFUNCTION("""COMPUTED_VALUE"""),"Freedom of Expression, Human Rights Defenders")</f>
        <v>Freedom of Expression, Human Rights Defenders</v>
      </c>
      <c r="I2114" s="1" t="str">
        <f ca="1">IFERROR(__xludf.DUMMYFUNCTION("""COMPUTED_VALUE"""),"2025")</f>
        <v>2025</v>
      </c>
      <c r="J2114" s="1" t="str">
        <f ca="1">IFERROR(__xludf.DUMMYFUNCTION("""COMPUTED_VALUE"""),"Email")</f>
        <v>Email</v>
      </c>
    </row>
    <row r="2115" spans="1:10" ht="13" x14ac:dyDescent="0.15">
      <c r="A2115" s="4">
        <f ca="1">IFERROR(__xludf.DUMMYFUNCTION("""COMPUTED_VALUE"""),267343847)</f>
        <v>267343847</v>
      </c>
      <c r="B2115" s="1" t="str">
        <f ca="1">IFERROR(__xludf.DUMMYFUNCTION("""COMPUTED_VALUE"""),"ekramer@aiusa.org")</f>
        <v>ekramer@aiusa.org</v>
      </c>
      <c r="C2115" s="4" t="str">
        <f ca="1">IFERROR(__xludf.DUMMYFUNCTION("""COMPUTED_VALUE"""),"EVERGREEN - UAN Gated Content - Embedded Petition")</f>
        <v>EVERGREEN - UAN Gated Content - Embedded Petition</v>
      </c>
      <c r="D2115" s="5">
        <f ca="1">IFERROR(__xludf.DUMMYFUNCTION("""COMPUTED_VALUE"""),45610)</f>
        <v>45610</v>
      </c>
      <c r="F2115" s="1" t="str">
        <f ca="1">IFERROR(__xludf.DUMMYFUNCTION("""COMPUTED_VALUE"""),"Azerbaijan")</f>
        <v>Azerbaijan</v>
      </c>
      <c r="G2115" s="1" t="str">
        <f ca="1">IFERROR(__xludf.DUMMYFUNCTION("""COMPUTED_VALUE"""),"11.25 Afghanistan")</f>
        <v>11.25 Afghanistan</v>
      </c>
      <c r="H2115" s="1" t="str">
        <f ca="1">IFERROR(__xludf.DUMMYFUNCTION("""COMPUTED_VALUE"""),"Freedom of Expression, Health, Individuals At Risk")</f>
        <v>Freedom of Expression, Health, Individuals At Risk</v>
      </c>
      <c r="I2115" s="1" t="str">
        <f ca="1">IFERROR(__xludf.DUMMYFUNCTION("""COMPUTED_VALUE"""),"2025")</f>
        <v>2025</v>
      </c>
      <c r="J2115" s="1" t="str">
        <f ca="1">IFERROR(__xludf.DUMMYFUNCTION("""COMPUTED_VALUE"""),"Email")</f>
        <v>Email</v>
      </c>
    </row>
    <row r="2116" spans="1:10" ht="13" x14ac:dyDescent="0.15">
      <c r="A2116" s="4">
        <f ca="1">IFERROR(__xludf.DUMMYFUNCTION("""COMPUTED_VALUE"""),267343847)</f>
        <v>267343847</v>
      </c>
      <c r="B2116" s="1" t="str">
        <f ca="1">IFERROR(__xludf.DUMMYFUNCTION("""COMPUTED_VALUE"""),"ekramer@aiusa.org")</f>
        <v>ekramer@aiusa.org</v>
      </c>
      <c r="C2116" s="4" t="str">
        <f ca="1">IFERROR(__xludf.DUMMYFUNCTION("""COMPUTED_VALUE"""),"EVERGREEN - UAN Gated Content - Embedded Petition")</f>
        <v>EVERGREEN - UAN Gated Content - Embedded Petition</v>
      </c>
      <c r="D2116" s="5">
        <f ca="1">IFERROR(__xludf.DUMMYFUNCTION("""COMPUTED_VALUE"""),45611)</f>
        <v>45611</v>
      </c>
      <c r="F2116" s="1" t="str">
        <f ca="1">IFERROR(__xludf.DUMMYFUNCTION("""COMPUTED_VALUE"""),"Afghanistan")</f>
        <v>Afghanistan</v>
      </c>
      <c r="G2116" s="1" t="str">
        <f ca="1">IFERROR(__xludf.DUMMYFUNCTION("""COMPUTED_VALUE"""),"Fifth 257.12")</f>
        <v>Fifth 257.12</v>
      </c>
      <c r="H2116" s="1" t="str">
        <f ca="1">IFERROR(__xludf.DUMMYFUNCTION("""COMPUTED_VALUE"""),"Freedom of Expression, Human Rights Defenders")</f>
        <v>Freedom of Expression, Human Rights Defenders</v>
      </c>
      <c r="I2116" s="1" t="str">
        <f ca="1">IFERROR(__xludf.DUMMYFUNCTION("""COMPUTED_VALUE"""),"2025")</f>
        <v>2025</v>
      </c>
      <c r="J2116" s="1" t="str">
        <f ca="1">IFERROR(__xludf.DUMMYFUNCTION("""COMPUTED_VALUE"""),"Email")</f>
        <v>Email</v>
      </c>
    </row>
    <row r="2117" spans="1:10" ht="13" x14ac:dyDescent="0.15">
      <c r="A2117" s="4">
        <f ca="1">IFERROR(__xludf.DUMMYFUNCTION("""COMPUTED_VALUE"""),267343847)</f>
        <v>267343847</v>
      </c>
      <c r="B2117" s="1" t="str">
        <f ca="1">IFERROR(__xludf.DUMMYFUNCTION("""COMPUTED_VALUE"""),"ekramer@aiusa.org")</f>
        <v>ekramer@aiusa.org</v>
      </c>
      <c r="C2117" s="4" t="str">
        <f ca="1">IFERROR(__xludf.DUMMYFUNCTION("""COMPUTED_VALUE"""),"EVERGREEN - UAN Gated Content - Embedded Petition")</f>
        <v>EVERGREEN - UAN Gated Content - Embedded Petition</v>
      </c>
      <c r="D2117" s="5">
        <f ca="1">IFERROR(__xludf.DUMMYFUNCTION("""COMPUTED_VALUE"""),45611)</f>
        <v>45611</v>
      </c>
      <c r="F2117" s="1" t="str">
        <f ca="1">IFERROR(__xludf.DUMMYFUNCTION("""COMPUTED_VALUE"""),"Saudi Arabia")</f>
        <v>Saudi Arabia</v>
      </c>
      <c r="G2117" s="1" t="str">
        <f ca="1">IFERROR(__xludf.DUMMYFUNCTION("""COMPUTED_VALUE"""),"12.25 Libya")</f>
        <v>12.25 Libya</v>
      </c>
      <c r="H2117" s="1" t="str">
        <f ca="1">IFERROR(__xludf.DUMMYFUNCTION("""COMPUTED_VALUE"""),"Freedom of Expression, Health, Individuals At Risk")</f>
        <v>Freedom of Expression, Health, Individuals At Risk</v>
      </c>
      <c r="I2117" s="1" t="str">
        <f ca="1">IFERROR(__xludf.DUMMYFUNCTION("""COMPUTED_VALUE"""),"2025")</f>
        <v>2025</v>
      </c>
      <c r="J2117" s="1" t="str">
        <f ca="1">IFERROR(__xludf.DUMMYFUNCTION("""COMPUTED_VALUE"""),"Email")</f>
        <v>Email</v>
      </c>
    </row>
    <row r="2118" spans="1:10" ht="13" x14ac:dyDescent="0.15">
      <c r="A2118" s="4">
        <f ca="1">IFERROR(__xludf.DUMMYFUNCTION("""COMPUTED_VALUE"""),267343847)</f>
        <v>267343847</v>
      </c>
      <c r="B2118" s="1" t="str">
        <f ca="1">IFERROR(__xludf.DUMMYFUNCTION("""COMPUTED_VALUE"""),"ekramer@aiusa.org")</f>
        <v>ekramer@aiusa.org</v>
      </c>
      <c r="C2118" s="4" t="str">
        <f ca="1">IFERROR(__xludf.DUMMYFUNCTION("""COMPUTED_VALUE"""),"EVERGREEN - UAN Gated Content - Embedded Petition")</f>
        <v>EVERGREEN - UAN Gated Content - Embedded Petition</v>
      </c>
      <c r="D2118" s="5">
        <f ca="1">IFERROR(__xludf.DUMMYFUNCTION("""COMPUTED_VALUE"""),45614)</f>
        <v>45614</v>
      </c>
      <c r="F2118" s="1" t="str">
        <f ca="1">IFERROR(__xludf.DUMMYFUNCTION("""COMPUTED_VALUE"""),"Libya")</f>
        <v>Libya</v>
      </c>
      <c r="G2118" s="1" t="str">
        <f ca="1">IFERROR(__xludf.DUMMYFUNCTION("""COMPUTED_VALUE"""),"Second 80.23 Egypt")</f>
        <v>Second 80.23 Egypt</v>
      </c>
      <c r="H2118" s="1" t="str">
        <f ca="1">IFERROR(__xludf.DUMMYFUNCTION("""COMPUTED_VALUE"""),"Health, Individuals At Risk")</f>
        <v>Health, Individuals At Risk</v>
      </c>
      <c r="I2118" s="1" t="str">
        <f ca="1">IFERROR(__xludf.DUMMYFUNCTION("""COMPUTED_VALUE"""),"2025")</f>
        <v>2025</v>
      </c>
      <c r="J2118" s="1" t="str">
        <f ca="1">IFERROR(__xludf.DUMMYFUNCTION("""COMPUTED_VALUE"""),"Email")</f>
        <v>Email</v>
      </c>
    </row>
    <row r="2119" spans="1:10" ht="13" x14ac:dyDescent="0.15">
      <c r="A2119" s="4">
        <f ca="1">IFERROR(__xludf.DUMMYFUNCTION("""COMPUTED_VALUE"""),267343847)</f>
        <v>267343847</v>
      </c>
      <c r="B2119" s="1" t="str">
        <f ca="1">IFERROR(__xludf.DUMMYFUNCTION("""COMPUTED_VALUE"""),"ekramer@aiusa.org")</f>
        <v>ekramer@aiusa.org</v>
      </c>
      <c r="C2119" s="4" t="str">
        <f ca="1">IFERROR(__xludf.DUMMYFUNCTION("""COMPUTED_VALUE"""),"EVERGREEN - UAN Gated Content - Embedded Petition")</f>
        <v>EVERGREEN - UAN Gated Content - Embedded Petition</v>
      </c>
      <c r="D2119" s="5">
        <f ca="1">IFERROR(__xludf.DUMMYFUNCTION("""COMPUTED_VALUE"""),45614)</f>
        <v>45614</v>
      </c>
      <c r="F2119" s="1" t="str">
        <f ca="1">IFERROR(__xludf.DUMMYFUNCTION("""COMPUTED_VALUE"""),"Egypt")</f>
        <v>Egypt</v>
      </c>
      <c r="G2119" s="1" t="str">
        <f ca="1">IFERROR(__xludf.DUMMYFUNCTION("""COMPUTED_VALUE"""),"9.25 Uganda")</f>
        <v>9.25 Uganda</v>
      </c>
      <c r="H2119" s="1" t="str">
        <f ca="1">IFERROR(__xludf.DUMMYFUNCTION("""COMPUTED_VALUE"""),"Freedom of Expression, Human Rights Defenders")</f>
        <v>Freedom of Expression, Human Rights Defenders</v>
      </c>
      <c r="I2119" s="1" t="str">
        <f ca="1">IFERROR(__xludf.DUMMYFUNCTION("""COMPUTED_VALUE"""),"2025")</f>
        <v>2025</v>
      </c>
      <c r="J2119" s="1" t="str">
        <f ca="1">IFERROR(__xludf.DUMMYFUNCTION("""COMPUTED_VALUE"""),"Email")</f>
        <v>Email</v>
      </c>
    </row>
    <row r="2120" spans="1:10" ht="13" x14ac:dyDescent="0.15">
      <c r="A2120" s="4">
        <f ca="1">IFERROR(__xludf.DUMMYFUNCTION("""COMPUTED_VALUE"""),267999976)</f>
        <v>267999976</v>
      </c>
      <c r="B2120" s="1" t="str">
        <f ca="1">IFERROR(__xludf.DUMMYFUNCTION("""COMPUTED_VALUE"""),"jsperian01@bvsd.org")</f>
        <v>jsperian01@bvsd.org</v>
      </c>
      <c r="C2120" s="4" t="str">
        <f ca="1">IFERROR(__xludf.DUMMYFUNCTION("""COMPUTED_VALUE"""),"EVERGREEN - UAN Gated Content - Embedded Petition")</f>
        <v>EVERGREEN - UAN Gated Content - Embedded Petition</v>
      </c>
      <c r="D2120" s="5">
        <f ca="1">IFERROR(__xludf.DUMMYFUNCTION("""COMPUTED_VALUE"""),45707)</f>
        <v>45707</v>
      </c>
      <c r="F2120" s="1" t="str">
        <f ca="1">IFERROR(__xludf.DUMMYFUNCTION("""COMPUTED_VALUE"""),"Uganda")</f>
        <v>Uganda</v>
      </c>
      <c r="G2120" s="1" t="str">
        <f ca="1">IFERROR(__xludf.DUMMYFUNCTION("""COMPUTED_VALUE"""),"9.25 Uganda")</f>
        <v>9.25 Uganda</v>
      </c>
      <c r="H2120" s="1" t="str">
        <f ca="1">IFERROR(__xludf.DUMMYFUNCTION("""COMPUTED_VALUE"""),"Freedom of Expression, Human Rights Defenders")</f>
        <v>Freedom of Expression, Human Rights Defenders</v>
      </c>
      <c r="I2120" s="1" t="str">
        <f ca="1">IFERROR(__xludf.DUMMYFUNCTION("""COMPUTED_VALUE"""),"2025")</f>
        <v>2025</v>
      </c>
      <c r="J2120" s="1" t="str">
        <f ca="1">IFERROR(__xludf.DUMMYFUNCTION("""COMPUTED_VALUE"""),"Email")</f>
        <v>Email</v>
      </c>
    </row>
    <row r="2121" spans="1:10" ht="13" x14ac:dyDescent="0.15">
      <c r="A2121" s="4">
        <f ca="1">IFERROR(__xludf.DUMMYFUNCTION("""COMPUTED_VALUE"""),267999987)</f>
        <v>267999987</v>
      </c>
      <c r="B2121" s="1" t="str">
        <f ca="1">IFERROR(__xludf.DUMMYFUNCTION("""COMPUTED_VALUE"""),"amargalit01@bvsd.org")</f>
        <v>amargalit01@bvsd.org</v>
      </c>
      <c r="C2121" s="4" t="str">
        <f ca="1">IFERROR(__xludf.DUMMYFUNCTION("""COMPUTED_VALUE"""),"EVERGREEN - UAN Gated Content - Embedded Petition")</f>
        <v>EVERGREEN - UAN Gated Content - Embedded Petition</v>
      </c>
      <c r="D2121" s="5">
        <f ca="1">IFERROR(__xludf.DUMMYFUNCTION("""COMPUTED_VALUE"""),45707)</f>
        <v>45707</v>
      </c>
      <c r="F2121" s="1" t="str">
        <f ca="1">IFERROR(__xludf.DUMMYFUNCTION("""COMPUTED_VALUE"""),"Uganda")</f>
        <v>Uganda</v>
      </c>
      <c r="G2121" s="1" t="str">
        <f ca="1">IFERROR(__xludf.DUMMYFUNCTION("""COMPUTED_VALUE"""),"Second 76.24 Tunisia")</f>
        <v>Second 76.24 Tunisia</v>
      </c>
      <c r="H2121" s="1" t="str">
        <f ca="1">IFERROR(__xludf.DUMMYFUNCTION("""COMPUTED_VALUE"""),"Freedom of Expression, Human Rights Defenders")</f>
        <v>Freedom of Expression, Human Rights Defenders</v>
      </c>
      <c r="I2121" s="1" t="str">
        <f ca="1">IFERROR(__xludf.DUMMYFUNCTION("""COMPUTED_VALUE"""),"2025")</f>
        <v>2025</v>
      </c>
      <c r="J2121" s="1" t="str">
        <f ca="1">IFERROR(__xludf.DUMMYFUNCTION("""COMPUTED_VALUE"""),"Email")</f>
        <v>Email</v>
      </c>
    </row>
    <row r="2122" spans="1:10" ht="13" x14ac:dyDescent="0.15">
      <c r="A2122" s="4">
        <f ca="1">IFERROR(__xludf.DUMMYFUNCTION("""COMPUTED_VALUE"""),268530320)</f>
        <v>268530320</v>
      </c>
      <c r="B2122" s="1" t="str">
        <f ca="1">IFERROR(__xludf.DUMMYFUNCTION("""COMPUTED_VALUE"""),"cmuldowney@aiusa.org")</f>
        <v>cmuldowney@aiusa.org</v>
      </c>
      <c r="C2122" s="4" t="str">
        <f ca="1">IFERROR(__xludf.DUMMYFUNCTION("""COMPUTED_VALUE"""),"UAN mid-page Lightbox - Step 1 of 4 - Landing Page")</f>
        <v>UAN mid-page Lightbox - Step 1 of 4 - Landing Page</v>
      </c>
      <c r="D2122" s="5">
        <f ca="1">IFERROR(__xludf.DUMMYFUNCTION("""COMPUTED_VALUE"""),45678)</f>
        <v>45678</v>
      </c>
      <c r="F2122" s="1" t="str">
        <f ca="1">IFERROR(__xludf.DUMMYFUNCTION("""COMPUTED_VALUE"""),"Tunisia")</f>
        <v>Tunisia</v>
      </c>
      <c r="G2122" s="1" t="str">
        <f ca="1">IFERROR(__xludf.DUMMYFUNCTION("""COMPUTED_VALUE"""),"4.25 USA")</f>
        <v>4.25 USA</v>
      </c>
      <c r="H2122" s="1" t="str">
        <f ca="1">IFERROR(__xludf.DUMMYFUNCTION("""COMPUTED_VALUE"""),"Individuals At Risk, Refugee and Migrant Rights")</f>
        <v>Individuals At Risk, Refugee and Migrant Rights</v>
      </c>
      <c r="I2122" s="1" t="str">
        <f ca="1">IFERROR(__xludf.DUMMYFUNCTION("""COMPUTED_VALUE"""),"2025")</f>
        <v>2025</v>
      </c>
      <c r="J2122" s="1" t="str">
        <f ca="1">IFERROR(__xludf.DUMMYFUNCTION("""COMPUTED_VALUE"""),"Letter")</f>
        <v>Letter</v>
      </c>
    </row>
    <row r="2123" spans="1:10" ht="13" x14ac:dyDescent="0.15">
      <c r="A2123" s="4">
        <f ca="1">IFERROR(__xludf.DUMMYFUNCTION("""COMPUTED_VALUE"""),268530320)</f>
        <v>268530320</v>
      </c>
      <c r="B2123" s="1" t="str">
        <f ca="1">IFERROR(__xludf.DUMMYFUNCTION("""COMPUTED_VALUE"""),"cmuldowney@aiusa.org")</f>
        <v>cmuldowney@aiusa.org</v>
      </c>
      <c r="C2123" s="4" t="str">
        <f ca="1">IFERROR(__xludf.DUMMYFUNCTION("""COMPUTED_VALUE"""),"UAN mid-page Lightbox - Step 2 of 4 - More personal info fields")</f>
        <v>UAN mid-page Lightbox - Step 2 of 4 - More personal info fields</v>
      </c>
      <c r="D2123" s="5">
        <f ca="1">IFERROR(__xludf.DUMMYFUNCTION("""COMPUTED_VALUE"""),45678)</f>
        <v>45678</v>
      </c>
      <c r="F2123" s="1" t="str">
        <f ca="1">IFERROR(__xludf.DUMMYFUNCTION("""COMPUTED_VALUE"""),"USA")</f>
        <v>USA</v>
      </c>
      <c r="G2123" s="1" t="str">
        <f ca="1">IFERROR(__xludf.DUMMYFUNCTION("""COMPUTED_VALUE"""),"Second 109.24 Türkiye")</f>
        <v>Second 109.24 Türkiye</v>
      </c>
      <c r="H2123" s="1" t="str">
        <f ca="1">IFERROR(__xludf.DUMMYFUNCTION("""COMPUTED_VALUE"""),"Human Rights Defenders")</f>
        <v>Human Rights Defenders</v>
      </c>
      <c r="I2123" s="1" t="str">
        <f ca="1">IFERROR(__xludf.DUMMYFUNCTION("""COMPUTED_VALUE"""),"2025")</f>
        <v>2025</v>
      </c>
      <c r="J2123" s="1" t="str">
        <f ca="1">IFERROR(__xludf.DUMMYFUNCTION("""COMPUTED_VALUE"""),"Email")</f>
        <v>Email</v>
      </c>
    </row>
    <row r="2124" spans="1:10" ht="13" x14ac:dyDescent="0.15">
      <c r="A2124" s="4">
        <f ca="1">IFERROR(__xludf.DUMMYFUNCTION("""COMPUTED_VALUE"""),268530320)</f>
        <v>268530320</v>
      </c>
      <c r="B2124" s="1" t="str">
        <f ca="1">IFERROR(__xludf.DUMMYFUNCTION("""COMPUTED_VALUE"""),"cmuldowney@aiusa.org")</f>
        <v>cmuldowney@aiusa.org</v>
      </c>
      <c r="C2124" s="4" t="str">
        <f ca="1">IFERROR(__xludf.DUMMYFUNCTION("""COMPUTED_VALUE"""),"UAN mid-page Lightbox - Step 3 of 4 - More opt-ins")</f>
        <v>UAN mid-page Lightbox - Step 3 of 4 - More opt-ins</v>
      </c>
      <c r="D2124" s="5">
        <f ca="1">IFERROR(__xludf.DUMMYFUNCTION("""COMPUTED_VALUE"""),45678)</f>
        <v>45678</v>
      </c>
      <c r="F2124" s="1" t="str">
        <f ca="1">IFERROR(__xludf.DUMMYFUNCTION("""COMPUTED_VALUE"""),"Turkiye")</f>
        <v>Turkiye</v>
      </c>
      <c r="G2124" s="1" t="str">
        <f ca="1">IFERROR(__xludf.DUMMYFUNCTION("""COMPUTED_VALUE"""),"Seventh 103.22 Iran")</f>
        <v>Seventh 103.22 Iran</v>
      </c>
      <c r="H2124" s="1" t="str">
        <f ca="1">IFERROR(__xludf.DUMMYFUNCTION("""COMPUTED_VALUE"""),"Death Penalty, Freedom of Expression, Individuals At Risk")</f>
        <v>Death Penalty, Freedom of Expression, Individuals At Risk</v>
      </c>
      <c r="I2124" s="1" t="str">
        <f ca="1">IFERROR(__xludf.DUMMYFUNCTION("""COMPUTED_VALUE"""),"2024")</f>
        <v>2024</v>
      </c>
      <c r="J2124" s="1" t="str">
        <f ca="1">IFERROR(__xludf.DUMMYFUNCTION("""COMPUTED_VALUE"""),"Email")</f>
        <v>Email</v>
      </c>
    </row>
    <row r="2125" spans="1:10" ht="13" x14ac:dyDescent="0.15">
      <c r="A2125" s="4">
        <f ca="1">IFERROR(__xludf.DUMMYFUNCTION("""COMPUTED_VALUE"""),269292860)</f>
        <v>269292860</v>
      </c>
      <c r="B2125" s="1" t="str">
        <f ca="1">IFERROR(__xludf.DUMMYFUNCTION("""COMPUTED_VALUE"""),"casselupe@gmail.com")</f>
        <v>casselupe@gmail.com</v>
      </c>
      <c r="C2125" s="4" t="str">
        <f ca="1">IFERROR(__xludf.DUMMYFUNCTION("""COMPUTED_VALUE"""),"EVERGREEN - UAN Gated Content - Embedded Petition")</f>
        <v>EVERGREEN - UAN Gated Content - Embedded Petition</v>
      </c>
      <c r="D2125" s="5">
        <f ca="1">IFERROR(__xludf.DUMMYFUNCTION("""COMPUTED_VALUE"""),45614)</f>
        <v>45614</v>
      </c>
      <c r="F2125" s="1" t="str">
        <f ca="1">IFERROR(__xludf.DUMMYFUNCTION("""COMPUTED_VALUE"""),"Iran")</f>
        <v>Iran</v>
      </c>
      <c r="G2125" s="1" t="str">
        <f ca="1">IFERROR(__xludf.DUMMYFUNCTION("""COMPUTED_VALUE"""),"Third 73.23 Egypt")</f>
        <v>Third 73.23 Egypt</v>
      </c>
      <c r="H2125" s="1" t="str">
        <f ca="1">IFERROR(__xludf.DUMMYFUNCTION("""COMPUTED_VALUE"""),"Individuals At Risk")</f>
        <v>Individuals At Risk</v>
      </c>
      <c r="I2125" s="1" t="str">
        <f ca="1">IFERROR(__xludf.DUMMYFUNCTION("""COMPUTED_VALUE"""),"2024")</f>
        <v>2024</v>
      </c>
      <c r="J2125" s="1" t="str">
        <f ca="1">IFERROR(__xludf.DUMMYFUNCTION("""COMPUTED_VALUE"""),"Email")</f>
        <v>Email</v>
      </c>
    </row>
    <row r="2126" spans="1:10" ht="13" x14ac:dyDescent="0.15">
      <c r="A2126" s="4">
        <f ca="1">IFERROR(__xludf.DUMMYFUNCTION("""COMPUTED_VALUE"""),269292860)</f>
        <v>269292860</v>
      </c>
      <c r="B2126" s="1" t="str">
        <f ca="1">IFERROR(__xludf.DUMMYFUNCTION("""COMPUTED_VALUE"""),"casselupe@gmail.com")</f>
        <v>casselupe@gmail.com</v>
      </c>
      <c r="C2126" s="4" t="str">
        <f ca="1">IFERROR(__xludf.DUMMYFUNCTION("""COMPUTED_VALUE"""),"EVERGREEN - UAN Gated Content - Embedded Petition")</f>
        <v>EVERGREEN - UAN Gated Content - Embedded Petition</v>
      </c>
      <c r="D2126" s="5">
        <f ca="1">IFERROR(__xludf.DUMMYFUNCTION("""COMPUTED_VALUE"""),45681)</f>
        <v>45681</v>
      </c>
      <c r="F2126" s="1" t="str">
        <f ca="1">IFERROR(__xludf.DUMMYFUNCTION("""COMPUTED_VALUE"""),"Egypt")</f>
        <v>Egypt</v>
      </c>
      <c r="G2126" s="1" t="str">
        <f ca="1">IFERROR(__xludf.DUMMYFUNCTION("""COMPUTED_VALUE"""),"Fifth 257.12")</f>
        <v>Fifth 257.12</v>
      </c>
      <c r="H2126" s="1" t="str">
        <f ca="1">IFERROR(__xludf.DUMMYFUNCTION("""COMPUTED_VALUE"""),"Freedom of Expression, Human Rights Defenders")</f>
        <v>Freedom of Expression, Human Rights Defenders</v>
      </c>
      <c r="I2126" s="1" t="str">
        <f ca="1">IFERROR(__xludf.DUMMYFUNCTION("""COMPUTED_VALUE"""),"2025")</f>
        <v>2025</v>
      </c>
      <c r="J2126" s="1" t="str">
        <f ca="1">IFERROR(__xludf.DUMMYFUNCTION("""COMPUTED_VALUE"""),"Email")</f>
        <v>Email</v>
      </c>
    </row>
    <row r="2127" spans="1:10" ht="13" x14ac:dyDescent="0.15">
      <c r="A2127" s="4">
        <f ca="1">IFERROR(__xludf.DUMMYFUNCTION("""COMPUTED_VALUE"""),269604702)</f>
        <v>269604702</v>
      </c>
      <c r="B2127" s="1" t="str">
        <f ca="1">IFERROR(__xludf.DUMMYFUNCTION("""COMPUTED_VALUE"""),"mdiaz@bluestate.co")</f>
        <v>mdiaz@bluestate.co</v>
      </c>
      <c r="C2127" s="4" t="str">
        <f ca="1">IFERROR(__xludf.DUMMYFUNCTION("""COMPUTED_VALUE"""),"EVERGREEN - UAN Gated Content - Embedded Petition")</f>
        <v>EVERGREEN - UAN Gated Content - Embedded Petition</v>
      </c>
      <c r="D2127" s="5">
        <f ca="1">IFERROR(__xludf.DUMMYFUNCTION("""COMPUTED_VALUE"""),45614)</f>
        <v>45614</v>
      </c>
      <c r="F2127" s="1" t="str">
        <f ca="1">IFERROR(__xludf.DUMMYFUNCTION("""COMPUTED_VALUE"""),"Saudi Arabia")</f>
        <v>Saudi Arabia</v>
      </c>
      <c r="G2127" s="1" t="str">
        <f ca="1">IFERROR(__xludf.DUMMYFUNCTION("""COMPUTED_VALUE"""),"Second 85.24 Honduras")</f>
        <v>Second 85.24 Honduras</v>
      </c>
      <c r="H2127" s="1" t="str">
        <f ca="1">IFERROR(__xludf.DUMMYFUNCTION("""COMPUTED_VALUE"""),"Climate Justice, Human Rights Defenders, Right to Protest")</f>
        <v>Climate Justice, Human Rights Defenders, Right to Protest</v>
      </c>
      <c r="I2127" s="1" t="str">
        <f ca="1">IFERROR(__xludf.DUMMYFUNCTION("""COMPUTED_VALUE"""),"2024")</f>
        <v>2024</v>
      </c>
      <c r="J2127" s="1" t="str">
        <f ca="1">IFERROR(__xludf.DUMMYFUNCTION("""COMPUTED_VALUE"""),"Email")</f>
        <v>Email</v>
      </c>
    </row>
    <row r="2128" spans="1:10" ht="13" x14ac:dyDescent="0.15">
      <c r="A2128" s="4">
        <f ca="1">IFERROR(__xludf.DUMMYFUNCTION("""COMPUTED_VALUE"""),269604702)</f>
        <v>269604702</v>
      </c>
      <c r="B2128" s="1" t="str">
        <f ca="1">IFERROR(__xludf.DUMMYFUNCTION("""COMPUTED_VALUE"""),"mdiaz@bluestate.co")</f>
        <v>mdiaz@bluestate.co</v>
      </c>
      <c r="C2128" s="4" t="str">
        <f ca="1">IFERROR(__xludf.DUMMYFUNCTION("""COMPUTED_VALUE"""),"EVERGREEN - UAN Gated Content - Embedded Petition")</f>
        <v>EVERGREEN - UAN Gated Content - Embedded Petition</v>
      </c>
      <c r="D2128" s="5">
        <f ca="1">IFERROR(__xludf.DUMMYFUNCTION("""COMPUTED_VALUE"""),45614)</f>
        <v>45614</v>
      </c>
      <c r="F2128" s="1" t="str">
        <f ca="1">IFERROR(__xludf.DUMMYFUNCTION("""COMPUTED_VALUE"""),"Honduras")</f>
        <v>Honduras</v>
      </c>
      <c r="G2128" s="1" t="str">
        <f ca="1">IFERROR(__xludf.DUMMYFUNCTION("""COMPUTED_VALUE"""),"4.25 USA")</f>
        <v>4.25 USA</v>
      </c>
      <c r="H2128" s="1" t="str">
        <f ca="1">IFERROR(__xludf.DUMMYFUNCTION("""COMPUTED_VALUE"""),"Individuals At Risk, Refugee and Migrant Rights")</f>
        <v>Individuals At Risk, Refugee and Migrant Rights</v>
      </c>
      <c r="I2128" s="1" t="str">
        <f ca="1">IFERROR(__xludf.DUMMYFUNCTION("""COMPUTED_VALUE"""),"2025")</f>
        <v>2025</v>
      </c>
      <c r="J2128" s="1" t="str">
        <f ca="1">IFERROR(__xludf.DUMMYFUNCTION("""COMPUTED_VALUE"""),"Letter")</f>
        <v>Letter</v>
      </c>
    </row>
    <row r="2129" spans="1:10" ht="13" x14ac:dyDescent="0.15">
      <c r="A2129" s="4">
        <f ca="1">IFERROR(__xludf.DUMMYFUNCTION("""COMPUTED_VALUE"""),269604702)</f>
        <v>269604702</v>
      </c>
      <c r="B2129" s="1" t="str">
        <f ca="1">IFERROR(__xludf.DUMMYFUNCTION("""COMPUTED_VALUE"""),"mdiaz@bluestate.co")</f>
        <v>mdiaz@bluestate.co</v>
      </c>
      <c r="C2129" s="4" t="str">
        <f ca="1">IFERROR(__xludf.DUMMYFUNCTION("""COMPUTED_VALUE"""),"EVERGREEN - UAN Gated Content - Embedded Petition")</f>
        <v>EVERGREEN - UAN Gated Content - Embedded Petition</v>
      </c>
      <c r="D2129" s="5">
        <f ca="1">IFERROR(__xludf.DUMMYFUNCTION("""COMPUTED_VALUE"""),45680)</f>
        <v>45680</v>
      </c>
      <c r="F2129" s="1" t="str">
        <f ca="1">IFERROR(__xludf.DUMMYFUNCTION("""COMPUTED_VALUE"""),"USA")</f>
        <v>USA</v>
      </c>
      <c r="G2129" s="1" t="str">
        <f ca="1">IFERROR(__xludf.DUMMYFUNCTION("""COMPUTED_VALUE"""),"3.25 IOPT")</f>
        <v>3.25 IOPT</v>
      </c>
      <c r="H2129" s="1" t="str">
        <f ca="1">IFERROR(__xludf.DUMMYFUNCTION("""COMPUTED_VALUE"""),"Freedom of Expression, Individuals At Risk")</f>
        <v>Freedom of Expression, Individuals At Risk</v>
      </c>
      <c r="I2129" s="1" t="str">
        <f ca="1">IFERROR(__xludf.DUMMYFUNCTION("""COMPUTED_VALUE"""),"2025")</f>
        <v>2025</v>
      </c>
      <c r="J2129" s="1" t="str">
        <f ca="1">IFERROR(__xludf.DUMMYFUNCTION("""COMPUTED_VALUE"""),"Email")</f>
        <v>Email</v>
      </c>
    </row>
    <row r="2130" spans="1:10" ht="13" x14ac:dyDescent="0.15">
      <c r="A2130" s="4">
        <f ca="1">IFERROR(__xludf.DUMMYFUNCTION("""COMPUTED_VALUE"""),269604702)</f>
        <v>269604702</v>
      </c>
      <c r="B2130" s="1" t="str">
        <f ca="1">IFERROR(__xludf.DUMMYFUNCTION("""COMPUTED_VALUE"""),"mdiaz@bluestate.co")</f>
        <v>mdiaz@bluestate.co</v>
      </c>
      <c r="C2130" s="4" t="str">
        <f ca="1">IFERROR(__xludf.DUMMYFUNCTION("""COMPUTED_VALUE"""),"EVERGREEN - UAN Gated Content - Embedded Petition")</f>
        <v>EVERGREEN - UAN Gated Content - Embedded Petition</v>
      </c>
      <c r="D2130" s="5">
        <f ca="1">IFERROR(__xludf.DUMMYFUNCTION("""COMPUTED_VALUE"""),45614)</f>
        <v>45614</v>
      </c>
      <c r="F2130" s="1" t="str">
        <f ca="1">IFERROR(__xludf.DUMMYFUNCTION("""COMPUTED_VALUE"""),"Israel and Occupied Palestinian Territories")</f>
        <v>Israel and Occupied Palestinian Territories</v>
      </c>
      <c r="G2130" s="1" t="str">
        <f ca="1">IFERROR(__xludf.DUMMYFUNCTION("""COMPUTED_VALUE"""),"4.25 USA")</f>
        <v>4.25 USA</v>
      </c>
      <c r="H2130" s="1" t="str">
        <f ca="1">IFERROR(__xludf.DUMMYFUNCTION("""COMPUTED_VALUE"""),"Individuals At Risk, Refugee and Migrant Rights")</f>
        <v>Individuals At Risk, Refugee and Migrant Rights</v>
      </c>
      <c r="I2130" s="1" t="str">
        <f ca="1">IFERROR(__xludf.DUMMYFUNCTION("""COMPUTED_VALUE"""),"2025")</f>
        <v>2025</v>
      </c>
      <c r="J2130" s="1" t="str">
        <f ca="1">IFERROR(__xludf.DUMMYFUNCTION("""COMPUTED_VALUE"""),"Letter")</f>
        <v>Letter</v>
      </c>
    </row>
    <row r="2131" spans="1:10" ht="13" x14ac:dyDescent="0.15">
      <c r="A2131" s="4">
        <f ca="1">IFERROR(__xludf.DUMMYFUNCTION("""COMPUTED_VALUE"""),270449197)</f>
        <v>270449197</v>
      </c>
      <c r="B2131" s="1" t="str">
        <f ca="1">IFERROR(__xludf.DUMMYFUNCTION("""COMPUTED_VALUE"""),"michaelhartt@hotmail.com")</f>
        <v>michaelhartt@hotmail.com</v>
      </c>
      <c r="C2131" s="4" t="str">
        <f ca="1">IFERROR(__xludf.DUMMYFUNCTION("""COMPUTED_VALUE"""),"EVERGREEN - UAN Gated Content - Embedded Petition")</f>
        <v>EVERGREEN - UAN Gated Content - Embedded Petition</v>
      </c>
      <c r="D2131" s="5">
        <f ca="1">IFERROR(__xludf.DUMMYFUNCTION("""COMPUTED_VALUE"""),45679)</f>
        <v>45679</v>
      </c>
      <c r="F2131" s="1" t="str">
        <f ca="1">IFERROR(__xludf.DUMMYFUNCTION("""COMPUTED_VALUE"""),"USA")</f>
        <v>USA</v>
      </c>
      <c r="G2131" s="1" t="str">
        <f ca="1">IFERROR(__xludf.DUMMYFUNCTION("""COMPUTED_VALUE"""),"7.25 Afghanistan")</f>
        <v>7.25 Afghanistan</v>
      </c>
      <c r="H2131" s="1" t="str">
        <f ca="1">IFERROR(__xludf.DUMMYFUNCTION("""COMPUTED_VALUE"""),"Freedom of Expression, Individuals At Risk, Women's Rights")</f>
        <v>Freedom of Expression, Individuals At Risk, Women's Rights</v>
      </c>
      <c r="I2131" s="1" t="str">
        <f ca="1">IFERROR(__xludf.DUMMYFUNCTION("""COMPUTED_VALUE"""),"2025")</f>
        <v>2025</v>
      </c>
      <c r="J2131" s="1" t="str">
        <f ca="1">IFERROR(__xludf.DUMMYFUNCTION("""COMPUTED_VALUE"""),"Email")</f>
        <v>Email</v>
      </c>
    </row>
    <row r="2132" spans="1:10" ht="13" x14ac:dyDescent="0.15">
      <c r="A2132" s="4">
        <f ca="1">IFERROR(__xludf.DUMMYFUNCTION("""COMPUTED_VALUE"""),270449197)</f>
        <v>270449197</v>
      </c>
      <c r="B2132" s="1" t="str">
        <f ca="1">IFERROR(__xludf.DUMMYFUNCTION("""COMPUTED_VALUE"""),"michaelhartt@hotmail.com")</f>
        <v>michaelhartt@hotmail.com</v>
      </c>
      <c r="C2132" s="4" t="str">
        <f ca="1">IFERROR(__xludf.DUMMYFUNCTION("""COMPUTED_VALUE"""),"EVERGREEN - UAN Gated Content - Embedded Petition")</f>
        <v>EVERGREEN - UAN Gated Content - Embedded Petition</v>
      </c>
      <c r="D2132" s="5">
        <f ca="1">IFERROR(__xludf.DUMMYFUNCTION("""COMPUTED_VALUE"""),45683)</f>
        <v>45683</v>
      </c>
      <c r="F2132" s="1" t="str">
        <f ca="1">IFERROR(__xludf.DUMMYFUNCTION("""COMPUTED_VALUE"""),"Afghanistan")</f>
        <v>Afghanistan</v>
      </c>
      <c r="G2132" s="1" t="str">
        <f ca="1">IFERROR(__xludf.DUMMYFUNCTION("""COMPUTED_VALUE"""),"88.24 Dominican Republic")</f>
        <v>88.24 Dominican Republic</v>
      </c>
      <c r="H2132" s="1" t="str">
        <f ca="1">IFERROR(__xludf.DUMMYFUNCTION("""COMPUTED_VALUE"""),"Individuals At Risk, Refugee and Migrant Rights")</f>
        <v>Individuals At Risk, Refugee and Migrant Rights</v>
      </c>
      <c r="I2132" s="1" t="str">
        <f ca="1">IFERROR(__xludf.DUMMYFUNCTION("""COMPUTED_VALUE"""),"2024")</f>
        <v>2024</v>
      </c>
      <c r="J2132" s="1" t="str">
        <f ca="1">IFERROR(__xludf.DUMMYFUNCTION("""COMPUTED_VALUE"""),"Letter")</f>
        <v>Letter</v>
      </c>
    </row>
    <row r="2133" spans="1:10" ht="13" x14ac:dyDescent="0.15">
      <c r="A2133" s="4">
        <f ca="1">IFERROR(__xludf.DUMMYFUNCTION("""COMPUTED_VALUE"""),270449197)</f>
        <v>270449197</v>
      </c>
      <c r="B2133" s="1" t="str">
        <f ca="1">IFERROR(__xludf.DUMMYFUNCTION("""COMPUTED_VALUE"""),"michaelhartt@hotmail.com")</f>
        <v>michaelhartt@hotmail.com</v>
      </c>
      <c r="C2133" s="4" t="str">
        <f ca="1">IFERROR(__xludf.DUMMYFUNCTION("""COMPUTED_VALUE"""),"EVERGREEN - UAN Gated Content - Embedded Petition")</f>
        <v>EVERGREEN - UAN Gated Content - Embedded Petition</v>
      </c>
      <c r="D2133" s="5">
        <f ca="1">IFERROR(__xludf.DUMMYFUNCTION("""COMPUTED_VALUE"""),45644)</f>
        <v>45644</v>
      </c>
      <c r="F2133" s="1" t="str">
        <f ca="1">IFERROR(__xludf.DUMMYFUNCTION("""COMPUTED_VALUE"""),"Dominican Republic")</f>
        <v>Dominican Republic</v>
      </c>
      <c r="G2133" s="1" t="str">
        <f ca="1">IFERROR(__xludf.DUMMYFUNCTION("""COMPUTED_VALUE"""),"96.24 USA")</f>
        <v>96.24 USA</v>
      </c>
      <c r="H2133" s="1" t="str">
        <f ca="1">IFERROR(__xludf.DUMMYFUNCTION("""COMPUTED_VALUE"""),"Death Penalty")</f>
        <v>Death Penalty</v>
      </c>
      <c r="I2133" s="1" t="str">
        <f ca="1">IFERROR(__xludf.DUMMYFUNCTION("""COMPUTED_VALUE"""),"2024")</f>
        <v>2024</v>
      </c>
      <c r="J2133" s="1" t="str">
        <f ca="1">IFERROR(__xludf.DUMMYFUNCTION("""COMPUTED_VALUE"""),"Email")</f>
        <v>Email</v>
      </c>
    </row>
    <row r="2134" spans="1:10" ht="13" x14ac:dyDescent="0.15">
      <c r="A2134" s="4">
        <f ca="1">IFERROR(__xludf.DUMMYFUNCTION("""COMPUTED_VALUE"""),270449197)</f>
        <v>270449197</v>
      </c>
      <c r="B2134" s="1" t="str">
        <f ca="1">IFERROR(__xludf.DUMMYFUNCTION("""COMPUTED_VALUE"""),"michaelhartt@hotmail.com")</f>
        <v>michaelhartt@hotmail.com</v>
      </c>
      <c r="C2134" s="4" t="str">
        <f ca="1">IFERROR(__xludf.DUMMYFUNCTION("""COMPUTED_VALUE"""),"EVERGREEN - UAN Gated Content - Embedded Petition")</f>
        <v>EVERGREEN - UAN Gated Content - Embedded Petition</v>
      </c>
      <c r="D2134" s="5">
        <f ca="1">IFERROR(__xludf.DUMMYFUNCTION("""COMPUTED_VALUE"""),45644)</f>
        <v>45644</v>
      </c>
      <c r="F2134" s="1" t="str">
        <f ca="1">IFERROR(__xludf.DUMMYFUNCTION("""COMPUTED_VALUE"""),"USA")</f>
        <v>USA</v>
      </c>
      <c r="G2134" s="1" t="str">
        <f ca="1">IFERROR(__xludf.DUMMYFUNCTION("""COMPUTED_VALUE"""),"96.24 USA")</f>
        <v>96.24 USA</v>
      </c>
      <c r="H2134" s="1" t="str">
        <f ca="1">IFERROR(__xludf.DUMMYFUNCTION("""COMPUTED_VALUE"""),"Death Penalty")</f>
        <v>Death Penalty</v>
      </c>
      <c r="I2134" s="1" t="str">
        <f ca="1">IFERROR(__xludf.DUMMYFUNCTION("""COMPUTED_VALUE"""),"2024")</f>
        <v>2024</v>
      </c>
      <c r="J2134" s="1" t="str">
        <f ca="1">IFERROR(__xludf.DUMMYFUNCTION("""COMPUTED_VALUE"""),"Email")</f>
        <v>Email</v>
      </c>
    </row>
    <row r="2135" spans="1:10" ht="13" x14ac:dyDescent="0.15">
      <c r="A2135" s="4">
        <f ca="1">IFERROR(__xludf.DUMMYFUNCTION("""COMPUTED_VALUE"""),270557219)</f>
        <v>270557219</v>
      </c>
      <c r="B2135" s="1" t="str">
        <f ca="1">IFERROR(__xludf.DUMMYFUNCTION("""COMPUTED_VALUE"""),"eileen.ridge@gmail.com")</f>
        <v>eileen.ridge@gmail.com</v>
      </c>
      <c r="C2135" s="4" t="str">
        <f ca="1">IFERROR(__xludf.DUMMYFUNCTION("""COMPUTED_VALUE"""),"EVERGREEN - UAN Gated Content - Embedded Petition")</f>
        <v>EVERGREEN - UAN Gated Content - Embedded Petition</v>
      </c>
      <c r="D2135" s="5">
        <f ca="1">IFERROR(__xludf.DUMMYFUNCTION("""COMPUTED_VALUE"""),45673)</f>
        <v>45673</v>
      </c>
      <c r="F2135" s="1" t="str">
        <f ca="1">IFERROR(__xludf.DUMMYFUNCTION("""COMPUTED_VALUE"""),"USA")</f>
        <v>USA</v>
      </c>
      <c r="G2135" s="1" t="str">
        <f ca="1">IFERROR(__xludf.DUMMYFUNCTION("""COMPUTED_VALUE"""),"88.24 Dominican Republic")</f>
        <v>88.24 Dominican Republic</v>
      </c>
      <c r="H2135" s="1" t="str">
        <f ca="1">IFERROR(__xludf.DUMMYFUNCTION("""COMPUTED_VALUE"""),"Individuals At Risk, Refugee and Migrant Rights")</f>
        <v>Individuals At Risk, Refugee and Migrant Rights</v>
      </c>
      <c r="I2135" s="1" t="str">
        <f ca="1">IFERROR(__xludf.DUMMYFUNCTION("""COMPUTED_VALUE"""),"2024")</f>
        <v>2024</v>
      </c>
      <c r="J2135" s="1" t="str">
        <f ca="1">IFERROR(__xludf.DUMMYFUNCTION("""COMPUTED_VALUE"""),"Letter")</f>
        <v>Letter</v>
      </c>
    </row>
    <row r="2136" spans="1:10" ht="13" x14ac:dyDescent="0.15">
      <c r="A2136" s="4">
        <f ca="1">IFERROR(__xludf.DUMMYFUNCTION("""COMPUTED_VALUE"""),270559112)</f>
        <v>270559112</v>
      </c>
      <c r="B2136" s="1" t="str">
        <f ca="1">IFERROR(__xludf.DUMMYFUNCTION("""COMPUTED_VALUE"""),"amnesty.6lmhe@passfwd.com")</f>
        <v>amnesty.6lmhe@passfwd.com</v>
      </c>
      <c r="C2136" s="4" t="str">
        <f ca="1">IFERROR(__xludf.DUMMYFUNCTION("""COMPUTED_VALUE"""),"EVERGREEN - UAN Gated Content - Embedded Petition")</f>
        <v>EVERGREEN - UAN Gated Content - Embedded Petition</v>
      </c>
      <c r="D2136" s="5">
        <f ca="1">IFERROR(__xludf.DUMMYFUNCTION("""COMPUTED_VALUE"""),45695)</f>
        <v>45695</v>
      </c>
      <c r="F2136" s="1" t="str">
        <f ca="1">IFERROR(__xludf.DUMMYFUNCTION("""COMPUTED_VALUE"""),"Dominican Republic")</f>
        <v>Dominican Republic</v>
      </c>
      <c r="G2136" s="1" t="str">
        <f ca="1">IFERROR(__xludf.DUMMYFUNCTION("""COMPUTED_VALUE"""),"96.24 USA")</f>
        <v>96.24 USA</v>
      </c>
      <c r="H2136" s="1" t="str">
        <f ca="1">IFERROR(__xludf.DUMMYFUNCTION("""COMPUTED_VALUE"""),"Death Penalty")</f>
        <v>Death Penalty</v>
      </c>
      <c r="I2136" s="1" t="str">
        <f ca="1">IFERROR(__xludf.DUMMYFUNCTION("""COMPUTED_VALUE"""),"2024")</f>
        <v>2024</v>
      </c>
      <c r="J2136" s="1" t="str">
        <f ca="1">IFERROR(__xludf.DUMMYFUNCTION("""COMPUTED_VALUE"""),"Email")</f>
        <v>Email</v>
      </c>
    </row>
    <row r="2137" spans="1:10" ht="13" x14ac:dyDescent="0.15">
      <c r="A2137" s="4">
        <f ca="1">IFERROR(__xludf.DUMMYFUNCTION("""COMPUTED_VALUE"""),270755311)</f>
        <v>270755311</v>
      </c>
      <c r="B2137" s="1" t="str">
        <f ca="1">IFERROR(__xludf.DUMMYFUNCTION("""COMPUTED_VALUE"""),"bryan.casler@gmail.com")</f>
        <v>bryan.casler@gmail.com</v>
      </c>
      <c r="C2137" s="4" t="str">
        <f ca="1">IFERROR(__xludf.DUMMYFUNCTION("""COMPUTED_VALUE"""),"UAN mid-page Lightbox - Step 1 of 4 - Landing Page")</f>
        <v>UAN mid-page Lightbox - Step 1 of 4 - Landing Page</v>
      </c>
      <c r="D2137" s="5">
        <f ca="1">IFERROR(__xludf.DUMMYFUNCTION("""COMPUTED_VALUE"""),45561)</f>
        <v>45561</v>
      </c>
      <c r="F2137" s="1" t="str">
        <f ca="1">IFERROR(__xludf.DUMMYFUNCTION("""COMPUTED_VALUE"""),"USA")</f>
        <v>USA</v>
      </c>
      <c r="G2137" s="1" t="str">
        <f ca="1">IFERROR(__xludf.DUMMYFUNCTION("""COMPUTED_VALUE"""),"88.24 Dominican Republic")</f>
        <v>88.24 Dominican Republic</v>
      </c>
      <c r="H2137" s="1" t="str">
        <f ca="1">IFERROR(__xludf.DUMMYFUNCTION("""COMPUTED_VALUE"""),"Individuals At Risk, Refugee and Migrant Rights")</f>
        <v>Individuals At Risk, Refugee and Migrant Rights</v>
      </c>
      <c r="I2137" s="1" t="str">
        <f ca="1">IFERROR(__xludf.DUMMYFUNCTION("""COMPUTED_VALUE"""),"2024")</f>
        <v>2024</v>
      </c>
      <c r="J2137" s="1" t="str">
        <f ca="1">IFERROR(__xludf.DUMMYFUNCTION("""COMPUTED_VALUE"""),"Letter")</f>
        <v>Letter</v>
      </c>
    </row>
    <row r="2138" spans="1:10" ht="13" x14ac:dyDescent="0.15">
      <c r="A2138" s="4">
        <f ca="1">IFERROR(__xludf.DUMMYFUNCTION("""COMPUTED_VALUE"""),270755311)</f>
        <v>270755311</v>
      </c>
      <c r="B2138" s="1" t="str">
        <f ca="1">IFERROR(__xludf.DUMMYFUNCTION("""COMPUTED_VALUE"""),"bryan.casler@gmail.com")</f>
        <v>bryan.casler@gmail.com</v>
      </c>
      <c r="C2138" s="4" t="str">
        <f ca="1">IFERROR(__xludf.DUMMYFUNCTION("""COMPUTED_VALUE"""),"UAN mid-page Lightbox - Step 1 of 4 - Landing Page")</f>
        <v>UAN mid-page Lightbox - Step 1 of 4 - Landing Page</v>
      </c>
      <c r="D2138" s="5">
        <f ca="1">IFERROR(__xludf.DUMMYFUNCTION("""COMPUTED_VALUE"""),45561)</f>
        <v>45561</v>
      </c>
      <c r="F2138" s="1" t="str">
        <f ca="1">IFERROR(__xludf.DUMMYFUNCTION("""COMPUTED_VALUE"""),"Dominican Republic")</f>
        <v>Dominican Republic</v>
      </c>
      <c r="G2138" s="1" t="str">
        <f ca="1">IFERROR(__xludf.DUMMYFUNCTION("""COMPUTED_VALUE"""),"Second 85.23 Saudi Arabia")</f>
        <v>Second 85.23 Saudi Arabia</v>
      </c>
      <c r="H2138" s="1" t="str">
        <f ca="1">IFERROR(__xludf.DUMMYFUNCTION("""COMPUTED_VALUE"""),"Freedom of Expression")</f>
        <v>Freedom of Expression</v>
      </c>
      <c r="I2138" s="1" t="str">
        <f ca="1">IFERROR(__xludf.DUMMYFUNCTION("""COMPUTED_VALUE"""),"2024")</f>
        <v>2024</v>
      </c>
      <c r="J2138" s="1" t="str">
        <f ca="1">IFERROR(__xludf.DUMMYFUNCTION("""COMPUTED_VALUE"""),"Letter")</f>
        <v>Letter</v>
      </c>
    </row>
    <row r="2139" spans="1:10" ht="13" x14ac:dyDescent="0.15">
      <c r="A2139" s="4">
        <f ca="1">IFERROR(__xludf.DUMMYFUNCTION("""COMPUTED_VALUE"""),270755311)</f>
        <v>270755311</v>
      </c>
      <c r="B2139" s="1" t="str">
        <f ca="1">IFERROR(__xludf.DUMMYFUNCTION("""COMPUTED_VALUE"""),"bryan.casler@gmail.com")</f>
        <v>bryan.casler@gmail.com</v>
      </c>
      <c r="C2139" s="4" t="str">
        <f ca="1">IFERROR(__xludf.DUMMYFUNCTION("""COMPUTED_VALUE"""),"UAN mid-page Lightbox - Step 1 of 4 - Landing Page")</f>
        <v>UAN mid-page Lightbox - Step 1 of 4 - Landing Page</v>
      </c>
      <c r="D2139" s="5">
        <f ca="1">IFERROR(__xludf.DUMMYFUNCTION("""COMPUTED_VALUE"""),45561)</f>
        <v>45561</v>
      </c>
      <c r="F2139" s="1" t="str">
        <f ca="1">IFERROR(__xludf.DUMMYFUNCTION("""COMPUTED_VALUE"""),"Saudi Arabia")</f>
        <v>Saudi Arabia</v>
      </c>
      <c r="G2139" s="1" t="str">
        <f ca="1">IFERROR(__xludf.DUMMYFUNCTION("""COMPUTED_VALUE"""),"88.24 Dominican Republic")</f>
        <v>88.24 Dominican Republic</v>
      </c>
      <c r="H2139" s="1" t="str">
        <f ca="1">IFERROR(__xludf.DUMMYFUNCTION("""COMPUTED_VALUE"""),"Individuals At Risk, Refugee and Migrant Rights")</f>
        <v>Individuals At Risk, Refugee and Migrant Rights</v>
      </c>
      <c r="I2139" s="1" t="str">
        <f ca="1">IFERROR(__xludf.DUMMYFUNCTION("""COMPUTED_VALUE"""),"2024")</f>
        <v>2024</v>
      </c>
      <c r="J2139" s="1" t="str">
        <f ca="1">IFERROR(__xludf.DUMMYFUNCTION("""COMPUTED_VALUE"""),"Letter")</f>
        <v>Letter</v>
      </c>
    </row>
    <row r="2140" spans="1:10" ht="13" x14ac:dyDescent="0.15">
      <c r="A2140" s="4">
        <f ca="1">IFERROR(__xludf.DUMMYFUNCTION("""COMPUTED_VALUE"""),270755311)</f>
        <v>270755311</v>
      </c>
      <c r="B2140" s="1" t="str">
        <f ca="1">IFERROR(__xludf.DUMMYFUNCTION("""COMPUTED_VALUE"""),"bryan.casler@gmail.com")</f>
        <v>bryan.casler@gmail.com</v>
      </c>
      <c r="C2140" s="4" t="str">
        <f ca="1">IFERROR(__xludf.DUMMYFUNCTION("""COMPUTED_VALUE"""),"UAN mid-page Lightbox - Step 1 of 4 - Landing Page")</f>
        <v>UAN mid-page Lightbox - Step 1 of 4 - Landing Page</v>
      </c>
      <c r="D2140" s="5">
        <f ca="1">IFERROR(__xludf.DUMMYFUNCTION("""COMPUTED_VALUE"""),45708)</f>
        <v>45708</v>
      </c>
      <c r="F2140" s="1" t="str">
        <f ca="1">IFERROR(__xludf.DUMMYFUNCTION("""COMPUTED_VALUE"""),"Dominican Republic")</f>
        <v>Dominican Republic</v>
      </c>
      <c r="G2140" s="1" t="str">
        <f ca="1">IFERROR(__xludf.DUMMYFUNCTION("""COMPUTED_VALUE"""),"3.25 IOPT")</f>
        <v>3.25 IOPT</v>
      </c>
      <c r="H2140" s="1" t="str">
        <f ca="1">IFERROR(__xludf.DUMMYFUNCTION("""COMPUTED_VALUE"""),"Freedom of Expression, Individuals At Risk")</f>
        <v>Freedom of Expression, Individuals At Risk</v>
      </c>
      <c r="I2140" s="1" t="str">
        <f ca="1">IFERROR(__xludf.DUMMYFUNCTION("""COMPUTED_VALUE"""),"2025")</f>
        <v>2025</v>
      </c>
      <c r="J2140" s="1" t="str">
        <f ca="1">IFERROR(__xludf.DUMMYFUNCTION("""COMPUTED_VALUE"""),"Email")</f>
        <v>Email</v>
      </c>
    </row>
    <row r="2141" spans="1:10" ht="13" x14ac:dyDescent="0.15">
      <c r="A2141" s="4">
        <f ca="1">IFERROR(__xludf.DUMMYFUNCTION("""COMPUTED_VALUE"""),270755311)</f>
        <v>270755311</v>
      </c>
      <c r="B2141" s="1" t="str">
        <f ca="1">IFERROR(__xludf.DUMMYFUNCTION("""COMPUTED_VALUE"""),"bryan.casler@gmail.com")</f>
        <v>bryan.casler@gmail.com</v>
      </c>
      <c r="C2141" s="4" t="str">
        <f ca="1">IFERROR(__xludf.DUMMYFUNCTION("""COMPUTED_VALUE"""),"UAN mid-page Lightbox - Step 1 of 4 - Landing Page")</f>
        <v>UAN mid-page Lightbox - Step 1 of 4 - Landing Page</v>
      </c>
      <c r="D2141" s="5">
        <f ca="1">IFERROR(__xludf.DUMMYFUNCTION("""COMPUTED_VALUE"""),45561)</f>
        <v>45561</v>
      </c>
      <c r="F2141" s="1" t="str">
        <f ca="1">IFERROR(__xludf.DUMMYFUNCTION("""COMPUTED_VALUE"""),"Israel and Occupied Palestinian Territories")</f>
        <v>Israel and Occupied Palestinian Territories</v>
      </c>
      <c r="G2141" s="1" t="str">
        <f ca="1">IFERROR(__xludf.DUMMYFUNCTION("""COMPUTED_VALUE"""),"88.24 Dominican Republic")</f>
        <v>88.24 Dominican Republic</v>
      </c>
      <c r="H2141" s="1" t="str">
        <f ca="1">IFERROR(__xludf.DUMMYFUNCTION("""COMPUTED_VALUE"""),"Individuals At Risk, Refugee and Migrant Rights")</f>
        <v>Individuals At Risk, Refugee and Migrant Rights</v>
      </c>
      <c r="I2141" s="1" t="str">
        <f ca="1">IFERROR(__xludf.DUMMYFUNCTION("""COMPUTED_VALUE"""),"2024")</f>
        <v>2024</v>
      </c>
      <c r="J2141" s="1" t="str">
        <f ca="1">IFERROR(__xludf.DUMMYFUNCTION("""COMPUTED_VALUE"""),"Letter")</f>
        <v>Letter</v>
      </c>
    </row>
    <row r="2142" spans="1:10" ht="13" x14ac:dyDescent="0.15">
      <c r="A2142" s="4">
        <f ca="1">IFERROR(__xludf.DUMMYFUNCTION("""COMPUTED_VALUE"""),270755311)</f>
        <v>270755311</v>
      </c>
      <c r="B2142" s="1" t="str">
        <f ca="1">IFERROR(__xludf.DUMMYFUNCTION("""COMPUTED_VALUE"""),"bryan.casler@gmail.com")</f>
        <v>bryan.casler@gmail.com</v>
      </c>
      <c r="C2142" s="4" t="str">
        <f ca="1">IFERROR(__xludf.DUMMYFUNCTION("""COMPUTED_VALUE"""),"UAN mid-page Lightbox - Step 2 of 4 - More personal info fields")</f>
        <v>UAN mid-page Lightbox - Step 2 of 4 - More personal info fields</v>
      </c>
      <c r="D2142" s="5">
        <f ca="1">IFERROR(__xludf.DUMMYFUNCTION("""COMPUTED_VALUE"""),45561)</f>
        <v>45561</v>
      </c>
      <c r="F2142" s="1" t="str">
        <f ca="1">IFERROR(__xludf.DUMMYFUNCTION("""COMPUTED_VALUE"""),"Dominican Republic")</f>
        <v>Dominican Republic</v>
      </c>
      <c r="G2142" s="1" t="str">
        <f ca="1">IFERROR(__xludf.DUMMYFUNCTION("""COMPUTED_VALUE"""),"88.24 Dominican Republic")</f>
        <v>88.24 Dominican Republic</v>
      </c>
      <c r="H2142" s="1" t="str">
        <f ca="1">IFERROR(__xludf.DUMMYFUNCTION("""COMPUTED_VALUE"""),"Individuals At Risk, Refugee and Migrant Rights")</f>
        <v>Individuals At Risk, Refugee and Migrant Rights</v>
      </c>
      <c r="I2142" s="1" t="str">
        <f ca="1">IFERROR(__xludf.DUMMYFUNCTION("""COMPUTED_VALUE"""),"2024")</f>
        <v>2024</v>
      </c>
      <c r="J2142" s="1" t="str">
        <f ca="1">IFERROR(__xludf.DUMMYFUNCTION("""COMPUTED_VALUE"""),"Letter")</f>
        <v>Letter</v>
      </c>
    </row>
    <row r="2143" spans="1:10" ht="13" x14ac:dyDescent="0.15">
      <c r="A2143" s="4">
        <f ca="1">IFERROR(__xludf.DUMMYFUNCTION("""COMPUTED_VALUE"""),270755311)</f>
        <v>270755311</v>
      </c>
      <c r="B2143" s="1" t="str">
        <f ca="1">IFERROR(__xludf.DUMMYFUNCTION("""COMPUTED_VALUE"""),"bryan.casler@gmail.com")</f>
        <v>bryan.casler@gmail.com</v>
      </c>
      <c r="C2143" s="4" t="str">
        <f ca="1">IFERROR(__xludf.DUMMYFUNCTION("""COMPUTED_VALUE"""),"UAN mid-page Lightbox - Step 3 of 4 - More opt-ins")</f>
        <v>UAN mid-page Lightbox - Step 3 of 4 - More opt-ins</v>
      </c>
      <c r="D2143" s="5">
        <f ca="1">IFERROR(__xludf.DUMMYFUNCTION("""COMPUTED_VALUE"""),45561)</f>
        <v>45561</v>
      </c>
      <c r="F2143" s="1" t="str">
        <f ca="1">IFERROR(__xludf.DUMMYFUNCTION("""COMPUTED_VALUE"""),"Dominican Republic")</f>
        <v>Dominican Republic</v>
      </c>
      <c r="G2143" s="1" t="str">
        <f ca="1">IFERROR(__xludf.DUMMYFUNCTION("""COMPUTED_VALUE"""),"3.25 IOPT")</f>
        <v>3.25 IOPT</v>
      </c>
      <c r="H2143" s="1" t="str">
        <f ca="1">IFERROR(__xludf.DUMMYFUNCTION("""COMPUTED_VALUE"""),"Freedom of Expression, Individuals At Risk")</f>
        <v>Freedom of Expression, Individuals At Risk</v>
      </c>
      <c r="I2143" s="1" t="str">
        <f ca="1">IFERROR(__xludf.DUMMYFUNCTION("""COMPUTED_VALUE"""),"2025")</f>
        <v>2025</v>
      </c>
      <c r="J2143" s="1" t="str">
        <f ca="1">IFERROR(__xludf.DUMMYFUNCTION("""COMPUTED_VALUE"""),"Email")</f>
        <v>Email</v>
      </c>
    </row>
    <row r="2144" spans="1:10" ht="13" x14ac:dyDescent="0.15">
      <c r="A2144" s="4">
        <f ca="1">IFERROR(__xludf.DUMMYFUNCTION("""COMPUTED_VALUE"""),271055544)</f>
        <v>271055544</v>
      </c>
      <c r="B2144" s="1" t="str">
        <f ca="1">IFERROR(__xludf.DUMMYFUNCTION("""COMPUTED_VALUE"""),"amnestyinternational519@gmail.com")</f>
        <v>amnestyinternational519@gmail.com</v>
      </c>
      <c r="C2144" s="4" t="str">
        <f ca="1">IFERROR(__xludf.DUMMYFUNCTION("""COMPUTED_VALUE"""),"EVERGREEN - UAN Gated Content - Embedded Petition")</f>
        <v>EVERGREEN - UAN Gated Content - Embedded Petition</v>
      </c>
      <c r="D2144" s="5">
        <f ca="1">IFERROR(__xludf.DUMMYFUNCTION("""COMPUTED_VALUE"""),45682)</f>
        <v>45682</v>
      </c>
      <c r="F2144" s="1" t="str">
        <f ca="1">IFERROR(__xludf.DUMMYFUNCTION("""COMPUTED_VALUE"""),"Israel and Occupied Palestinian Territories")</f>
        <v>Israel and Occupied Palestinian Territories</v>
      </c>
      <c r="G2144" s="1" t="str">
        <f ca="1">IFERROR(__xludf.DUMMYFUNCTION("""COMPUTED_VALUE"""),"1.25 Venezuela")</f>
        <v>1.25 Venezuela</v>
      </c>
      <c r="H2144" s="1" t="str">
        <f ca="1">IFERROR(__xludf.DUMMYFUNCTION("""COMPUTED_VALUE"""),"Human Rights Defenders, Individuals At Risk")</f>
        <v>Human Rights Defenders, Individuals At Risk</v>
      </c>
      <c r="I2144" s="1" t="str">
        <f ca="1">IFERROR(__xludf.DUMMYFUNCTION("""COMPUTED_VALUE"""),"2025")</f>
        <v>2025</v>
      </c>
      <c r="J2144" s="1" t="str">
        <f ca="1">IFERROR(__xludf.DUMMYFUNCTION("""COMPUTED_VALUE"""),"Letter")</f>
        <v>Letter</v>
      </c>
    </row>
    <row r="2145" spans="1:10" ht="13" x14ac:dyDescent="0.15">
      <c r="A2145" s="4">
        <f ca="1">IFERROR(__xludf.DUMMYFUNCTION("""COMPUTED_VALUE"""),271110070)</f>
        <v>271110070</v>
      </c>
      <c r="B2145" s="1" t="str">
        <f ca="1">IFERROR(__xludf.DUMMYFUNCTION("""COMPUTED_VALUE"""),"w-schramm@chello.at")</f>
        <v>w-schramm@chello.at</v>
      </c>
      <c r="C2145" s="4" t="str">
        <f ca="1">IFERROR(__xludf.DUMMYFUNCTION("""COMPUTED_VALUE"""),"EVERGREEN - UAN Gated Content - Embedded Petition")</f>
        <v>EVERGREEN - UAN Gated Content - Embedded Petition</v>
      </c>
      <c r="D2145" s="5">
        <f ca="1">IFERROR(__xludf.DUMMYFUNCTION("""COMPUTED_VALUE"""),45696)</f>
        <v>45696</v>
      </c>
      <c r="F2145" s="1" t="str">
        <f ca="1">IFERROR(__xludf.DUMMYFUNCTION("""COMPUTED_VALUE"""),"Venezuela")</f>
        <v>Venezuela</v>
      </c>
      <c r="G2145" s="1" t="str">
        <f ca="1">IFERROR(__xludf.DUMMYFUNCTION("""COMPUTED_VALUE"""),"Fourth 55.24 USA")</f>
        <v>Fourth 55.24 USA</v>
      </c>
      <c r="H2145" s="1" t="str">
        <f ca="1">IFERROR(__xludf.DUMMYFUNCTION("""COMPUTED_VALUE"""),"Climate Justice, Individuals At Risk")</f>
        <v>Climate Justice, Individuals At Risk</v>
      </c>
      <c r="I2145" s="1" t="str">
        <f ca="1">IFERROR(__xludf.DUMMYFUNCTION("""COMPUTED_VALUE"""),"2025")</f>
        <v>2025</v>
      </c>
      <c r="J2145" s="1" t="str">
        <f ca="1">IFERROR(__xludf.DUMMYFUNCTION("""COMPUTED_VALUE"""),"Email")</f>
        <v>Email</v>
      </c>
    </row>
    <row r="2146" spans="1:10" ht="13" x14ac:dyDescent="0.15">
      <c r="A2146" s="4">
        <f ca="1">IFERROR(__xludf.DUMMYFUNCTION("""COMPUTED_VALUE"""),271110070)</f>
        <v>271110070</v>
      </c>
      <c r="B2146" s="1" t="str">
        <f ca="1">IFERROR(__xludf.DUMMYFUNCTION("""COMPUTED_VALUE"""),"w-schramm@chello.at")</f>
        <v>w-schramm@chello.at</v>
      </c>
      <c r="C2146" s="4" t="str">
        <f ca="1">IFERROR(__xludf.DUMMYFUNCTION("""COMPUTED_VALUE"""),"EVERGREEN - UAN Gated Content - Embedded Petition")</f>
        <v>EVERGREEN - UAN Gated Content - Embedded Petition</v>
      </c>
      <c r="D2146" s="5">
        <f ca="1">IFERROR(__xludf.DUMMYFUNCTION("""COMPUTED_VALUE"""),45626)</f>
        <v>45626</v>
      </c>
      <c r="F2146" s="1" t="str">
        <f ca="1">IFERROR(__xludf.DUMMYFUNCTION("""COMPUTED_VALUE"""),"USA")</f>
        <v>USA</v>
      </c>
      <c r="G2146" s="1" t="str">
        <f ca="1">IFERROR(__xludf.DUMMYFUNCTION("""COMPUTED_VALUE"""),"Second 23.24 Russia")</f>
        <v>Second 23.24 Russia</v>
      </c>
      <c r="H2146" s="1" t="str">
        <f ca="1">IFERROR(__xludf.DUMMYFUNCTION("""COMPUTED_VALUE"""),"Freedom of Expression")</f>
        <v>Freedom of Expression</v>
      </c>
      <c r="I2146" s="1" t="str">
        <f ca="1">IFERROR(__xludf.DUMMYFUNCTION("""COMPUTED_VALUE"""),"2024")</f>
        <v>2024</v>
      </c>
      <c r="J2146" s="1" t="str">
        <f ca="1">IFERROR(__xludf.DUMMYFUNCTION("""COMPUTED_VALUE"""),"Letter")</f>
        <v>Letter</v>
      </c>
    </row>
    <row r="2147" spans="1:10" ht="13" x14ac:dyDescent="0.15">
      <c r="A2147" s="4">
        <f ca="1">IFERROR(__xludf.DUMMYFUNCTION("""COMPUTED_VALUE"""),271110070)</f>
        <v>271110070</v>
      </c>
      <c r="B2147" s="1" t="str">
        <f ca="1">IFERROR(__xludf.DUMMYFUNCTION("""COMPUTED_VALUE"""),"w-schramm@chello.at")</f>
        <v>w-schramm@chello.at</v>
      </c>
      <c r="C2147" s="4" t="str">
        <f ca="1">IFERROR(__xludf.DUMMYFUNCTION("""COMPUTED_VALUE"""),"EVERGREEN - UAN Gated Content - Embedded Petition")</f>
        <v>EVERGREEN - UAN Gated Content - Embedded Petition</v>
      </c>
      <c r="D2147" s="5">
        <f ca="1">IFERROR(__xludf.DUMMYFUNCTION("""COMPUTED_VALUE"""),45626)</f>
        <v>45626</v>
      </c>
      <c r="F2147" s="1" t="str">
        <f ca="1">IFERROR(__xludf.DUMMYFUNCTION("""COMPUTED_VALUE"""),"Russian Federation")</f>
        <v>Russian Federation</v>
      </c>
      <c r="G2147" s="1" t="str">
        <f ca="1">IFERROR(__xludf.DUMMYFUNCTION("""COMPUTED_VALUE"""),"2.25 Azerbaijan")</f>
        <v>2.25 Azerbaijan</v>
      </c>
      <c r="H2147" s="1" t="str">
        <f ca="1">IFERROR(__xludf.DUMMYFUNCTION("""COMPUTED_VALUE"""),"Freedom of Expression, Human Rights Defenders")</f>
        <v>Freedom of Expression, Human Rights Defenders</v>
      </c>
      <c r="I2147" s="1" t="str">
        <f ca="1">IFERROR(__xludf.DUMMYFUNCTION("""COMPUTED_VALUE"""),"2025")</f>
        <v>2025</v>
      </c>
      <c r="J2147" s="1" t="str">
        <f ca="1">IFERROR(__xludf.DUMMYFUNCTION("""COMPUTED_VALUE"""),"Email")</f>
        <v>Email</v>
      </c>
    </row>
    <row r="2148" spans="1:10" ht="13" x14ac:dyDescent="0.15">
      <c r="A2148" s="4">
        <f ca="1">IFERROR(__xludf.DUMMYFUNCTION("""COMPUTED_VALUE"""),271110070)</f>
        <v>271110070</v>
      </c>
      <c r="B2148" s="1" t="str">
        <f ca="1">IFERROR(__xludf.DUMMYFUNCTION("""COMPUTED_VALUE"""),"w-schramm@chello.at")</f>
        <v>w-schramm@chello.at</v>
      </c>
      <c r="C2148" s="4" t="str">
        <f ca="1">IFERROR(__xludf.DUMMYFUNCTION("""COMPUTED_VALUE"""),"EVERGREEN - UAN Gated Content - Embedded Petition")</f>
        <v>EVERGREEN - UAN Gated Content - Embedded Petition</v>
      </c>
      <c r="D2148" s="5">
        <f ca="1">IFERROR(__xludf.DUMMYFUNCTION("""COMPUTED_VALUE"""),45638)</f>
        <v>45638</v>
      </c>
      <c r="F2148" s="1" t="str">
        <f ca="1">IFERROR(__xludf.DUMMYFUNCTION("""COMPUTED_VALUE"""),"Azerbaijan")</f>
        <v>Azerbaijan</v>
      </c>
      <c r="G2148" s="1" t="str">
        <f ca="1">IFERROR(__xludf.DUMMYFUNCTION("""COMPUTED_VALUE"""),"103.24 Niger")</f>
        <v>103.24 Niger</v>
      </c>
      <c r="H2148" s="1" t="str">
        <f ca="1">IFERROR(__xludf.DUMMYFUNCTION("""COMPUTED_VALUE"""),"Freedom of Expression, Human Rights Defenders")</f>
        <v>Freedom of Expression, Human Rights Defenders</v>
      </c>
      <c r="I2148" s="1" t="str">
        <f ca="1">IFERROR(__xludf.DUMMYFUNCTION("""COMPUTED_VALUE"""),"2024")</f>
        <v>2024</v>
      </c>
      <c r="J2148" s="1" t="str">
        <f ca="1">IFERROR(__xludf.DUMMYFUNCTION("""COMPUTED_VALUE"""),"Email")</f>
        <v>Email</v>
      </c>
    </row>
    <row r="2149" spans="1:10" ht="13" x14ac:dyDescent="0.15">
      <c r="A2149" s="4">
        <f ca="1">IFERROR(__xludf.DUMMYFUNCTION("""COMPUTED_VALUE"""),271110070)</f>
        <v>271110070</v>
      </c>
      <c r="B2149" s="1" t="str">
        <f ca="1">IFERROR(__xludf.DUMMYFUNCTION("""COMPUTED_VALUE"""),"w-schramm@chello.at")</f>
        <v>w-schramm@chello.at</v>
      </c>
      <c r="C2149" s="4" t="str">
        <f ca="1">IFERROR(__xludf.DUMMYFUNCTION("""COMPUTED_VALUE"""),"EVERGREEN - UAN Gated Content - Embedded Petition")</f>
        <v>EVERGREEN - UAN Gated Content - Embedded Petition</v>
      </c>
      <c r="D2149" s="5">
        <f ca="1">IFERROR(__xludf.DUMMYFUNCTION("""COMPUTED_VALUE"""),45697)</f>
        <v>45697</v>
      </c>
      <c r="F2149" s="1" t="str">
        <f ca="1">IFERROR(__xludf.DUMMYFUNCTION("""COMPUTED_VALUE"""),"Niger")</f>
        <v>Niger</v>
      </c>
      <c r="G2149" s="1" t="str">
        <f ca="1">IFERROR(__xludf.DUMMYFUNCTION("""COMPUTED_VALUE"""),"98.24 China")</f>
        <v>98.24 China</v>
      </c>
      <c r="H2149" s="1" t="str">
        <f ca="1">IFERROR(__xludf.DUMMYFUNCTION("""COMPUTED_VALUE"""),"Freedom of Expression, Individuals At Risk")</f>
        <v>Freedom of Expression, Individuals At Risk</v>
      </c>
      <c r="I2149" s="1" t="str">
        <f ca="1">IFERROR(__xludf.DUMMYFUNCTION("""COMPUTED_VALUE"""),"2024")</f>
        <v>2024</v>
      </c>
      <c r="J2149" s="1" t="str">
        <f ca="1">IFERROR(__xludf.DUMMYFUNCTION("""COMPUTED_VALUE"""),"Letter")</f>
        <v>Letter</v>
      </c>
    </row>
    <row r="2150" spans="1:10" ht="13" x14ac:dyDescent="0.15">
      <c r="A2150" s="4">
        <f ca="1">IFERROR(__xludf.DUMMYFUNCTION("""COMPUTED_VALUE"""),271110070)</f>
        <v>271110070</v>
      </c>
      <c r="B2150" s="1" t="str">
        <f ca="1">IFERROR(__xludf.DUMMYFUNCTION("""COMPUTED_VALUE"""),"w-schramm@chello.at")</f>
        <v>w-schramm@chello.at</v>
      </c>
      <c r="C2150" s="4" t="str">
        <f ca="1">IFERROR(__xludf.DUMMYFUNCTION("""COMPUTED_VALUE"""),"EVERGREEN - UAN Gated Content - Embedded Petition")</f>
        <v>EVERGREEN - UAN Gated Content - Embedded Petition</v>
      </c>
      <c r="D2150" s="5">
        <f ca="1">IFERROR(__xludf.DUMMYFUNCTION("""COMPUTED_VALUE"""),45697)</f>
        <v>45697</v>
      </c>
      <c r="F2150" s="1" t="str">
        <f ca="1">IFERROR(__xludf.DUMMYFUNCTION("""COMPUTED_VALUE"""),"China")</f>
        <v>China</v>
      </c>
      <c r="G2150" s="1" t="str">
        <f ca="1">IFERROR(__xludf.DUMMYFUNCTION("""COMPUTED_VALUE"""),"4.25 USA")</f>
        <v>4.25 USA</v>
      </c>
      <c r="H2150" s="1" t="str">
        <f ca="1">IFERROR(__xludf.DUMMYFUNCTION("""COMPUTED_VALUE"""),"Individuals At Risk, Refugee and Migrant Rights")</f>
        <v>Individuals At Risk, Refugee and Migrant Rights</v>
      </c>
      <c r="I2150" s="1" t="str">
        <f ca="1">IFERROR(__xludf.DUMMYFUNCTION("""COMPUTED_VALUE"""),"2025")</f>
        <v>2025</v>
      </c>
      <c r="J2150" s="1" t="str">
        <f ca="1">IFERROR(__xludf.DUMMYFUNCTION("""COMPUTED_VALUE"""),"Letter")</f>
        <v>Letter</v>
      </c>
    </row>
    <row r="2151" spans="1:10" ht="13" x14ac:dyDescent="0.15">
      <c r="A2151" s="4">
        <f ca="1">IFERROR(__xludf.DUMMYFUNCTION("""COMPUTED_VALUE"""),271110070)</f>
        <v>271110070</v>
      </c>
      <c r="B2151" s="1" t="str">
        <f ca="1">IFERROR(__xludf.DUMMYFUNCTION("""COMPUTED_VALUE"""),"w-schramm@chello.at")</f>
        <v>w-schramm@chello.at</v>
      </c>
      <c r="C2151" s="4" t="str">
        <f ca="1">IFERROR(__xludf.DUMMYFUNCTION("""COMPUTED_VALUE"""),"EVERGREEN - UAN Gated Content - Embedded Petition")</f>
        <v>EVERGREEN - UAN Gated Content - Embedded Petition</v>
      </c>
      <c r="D2151" s="5">
        <f ca="1">IFERROR(__xludf.DUMMYFUNCTION("""COMPUTED_VALUE"""),45697)</f>
        <v>45697</v>
      </c>
      <c r="F2151" s="1" t="str">
        <f ca="1">IFERROR(__xludf.DUMMYFUNCTION("""COMPUTED_VALUE"""),"USA")</f>
        <v>USA</v>
      </c>
      <c r="G2151" s="1" t="str">
        <f ca="1">IFERROR(__xludf.DUMMYFUNCTION("""COMPUTED_VALUE"""),"Second 85.23 Saudi Arabia")</f>
        <v>Second 85.23 Saudi Arabia</v>
      </c>
      <c r="H2151" s="1" t="str">
        <f ca="1">IFERROR(__xludf.DUMMYFUNCTION("""COMPUTED_VALUE"""),"Freedom of Expression")</f>
        <v>Freedom of Expression</v>
      </c>
      <c r="I2151" s="1" t="str">
        <f ca="1">IFERROR(__xludf.DUMMYFUNCTION("""COMPUTED_VALUE"""),"2024")</f>
        <v>2024</v>
      </c>
      <c r="J2151" s="1" t="str">
        <f ca="1">IFERROR(__xludf.DUMMYFUNCTION("""COMPUTED_VALUE"""),"Letter")</f>
        <v>Letter</v>
      </c>
    </row>
    <row r="2152" spans="1:10" ht="13" x14ac:dyDescent="0.15">
      <c r="A2152" s="4">
        <f ca="1">IFERROR(__xludf.DUMMYFUNCTION("""COMPUTED_VALUE"""),271110070)</f>
        <v>271110070</v>
      </c>
      <c r="B2152" s="1" t="str">
        <f ca="1">IFERROR(__xludf.DUMMYFUNCTION("""COMPUTED_VALUE"""),"w-schramm@chello.at")</f>
        <v>w-schramm@chello.at</v>
      </c>
      <c r="C2152" s="4" t="str">
        <f ca="1">IFERROR(__xludf.DUMMYFUNCTION("""COMPUTED_VALUE"""),"EVERGREEN - UAN Gated Content - Embedded Petition")</f>
        <v>EVERGREEN - UAN Gated Content - Embedded Petition</v>
      </c>
      <c r="D2152" s="5">
        <f ca="1">IFERROR(__xludf.DUMMYFUNCTION("""COMPUTED_VALUE"""),45697)</f>
        <v>45697</v>
      </c>
      <c r="F2152" s="1" t="str">
        <f ca="1">IFERROR(__xludf.DUMMYFUNCTION("""COMPUTED_VALUE"""),"Saudi Arabia")</f>
        <v>Saudi Arabia</v>
      </c>
      <c r="G2152" s="1" t="str">
        <f ca="1">IFERROR(__xludf.DUMMYFUNCTION("""COMPUTED_VALUE"""),"4.25 USA")</f>
        <v>4.25 USA</v>
      </c>
      <c r="H2152" s="1" t="str">
        <f ca="1">IFERROR(__xludf.DUMMYFUNCTION("""COMPUTED_VALUE"""),"Individuals At Risk, Refugee and Migrant Rights")</f>
        <v>Individuals At Risk, Refugee and Migrant Rights</v>
      </c>
      <c r="I2152" s="1" t="str">
        <f ca="1">IFERROR(__xludf.DUMMYFUNCTION("""COMPUTED_VALUE"""),"2025")</f>
        <v>2025</v>
      </c>
      <c r="J2152" s="1" t="str">
        <f ca="1">IFERROR(__xludf.DUMMYFUNCTION("""COMPUTED_VALUE"""),"Letter")</f>
        <v>Letter</v>
      </c>
    </row>
    <row r="2153" spans="1:10" ht="13" x14ac:dyDescent="0.15">
      <c r="A2153" s="4">
        <f ca="1">IFERROR(__xludf.DUMMYFUNCTION("""COMPUTED_VALUE"""),271110070)</f>
        <v>271110070</v>
      </c>
      <c r="B2153" s="1" t="str">
        <f ca="1">IFERROR(__xludf.DUMMYFUNCTION("""COMPUTED_VALUE"""),"w-schramm@chello.at")</f>
        <v>w-schramm@chello.at</v>
      </c>
      <c r="C2153" s="4" t="str">
        <f ca="1">IFERROR(__xludf.DUMMYFUNCTION("""COMPUTED_VALUE"""),"EVERGREEN - UAN Gated Content - Embedded Petition")</f>
        <v>EVERGREEN - UAN Gated Content - Embedded Petition</v>
      </c>
      <c r="D2153" s="5">
        <f ca="1">IFERROR(__xludf.DUMMYFUNCTION("""COMPUTED_VALUE"""),45697)</f>
        <v>45697</v>
      </c>
      <c r="F2153" s="1" t="str">
        <f ca="1">IFERROR(__xludf.DUMMYFUNCTION("""COMPUTED_VALUE"""),"USA")</f>
        <v>USA</v>
      </c>
      <c r="G2153" s="1" t="str">
        <f ca="1">IFERROR(__xludf.DUMMYFUNCTION("""COMPUTED_VALUE"""),"Second 76.24 Tunisia")</f>
        <v>Second 76.24 Tunisia</v>
      </c>
      <c r="H2153" s="1" t="str">
        <f ca="1">IFERROR(__xludf.DUMMYFUNCTION("""COMPUTED_VALUE"""),"Freedom of Expression, Human Rights Defenders")</f>
        <v>Freedom of Expression, Human Rights Defenders</v>
      </c>
      <c r="I2153" s="1" t="str">
        <f ca="1">IFERROR(__xludf.DUMMYFUNCTION("""COMPUTED_VALUE"""),"2025")</f>
        <v>2025</v>
      </c>
      <c r="J2153" s="1" t="str">
        <f ca="1">IFERROR(__xludf.DUMMYFUNCTION("""COMPUTED_VALUE"""),"Email")</f>
        <v>Email</v>
      </c>
    </row>
    <row r="2154" spans="1:10" ht="13" x14ac:dyDescent="0.15">
      <c r="A2154" s="4">
        <f ca="1">IFERROR(__xludf.DUMMYFUNCTION("""COMPUTED_VALUE"""),271110070)</f>
        <v>271110070</v>
      </c>
      <c r="B2154" s="1" t="str">
        <f ca="1">IFERROR(__xludf.DUMMYFUNCTION("""COMPUTED_VALUE"""),"w-schramm@chello.at")</f>
        <v>w-schramm@chello.at</v>
      </c>
      <c r="C2154" s="4" t="str">
        <f ca="1">IFERROR(__xludf.DUMMYFUNCTION("""COMPUTED_VALUE"""),"EVERGREEN - UAN Gated Content - Embedded Petition")</f>
        <v>EVERGREEN - UAN Gated Content - Embedded Petition</v>
      </c>
      <c r="D2154" s="5">
        <f ca="1">IFERROR(__xludf.DUMMYFUNCTION("""COMPUTED_VALUE"""),45697)</f>
        <v>45697</v>
      </c>
      <c r="F2154" s="1" t="str">
        <f ca="1">IFERROR(__xludf.DUMMYFUNCTION("""COMPUTED_VALUE"""),"Tunisia")</f>
        <v>Tunisia</v>
      </c>
      <c r="G2154" s="1" t="str">
        <f ca="1">IFERROR(__xludf.DUMMYFUNCTION("""COMPUTED_VALUE"""),"10.25 Iran")</f>
        <v>10.25 Iran</v>
      </c>
      <c r="H2154" s="1" t="str">
        <f ca="1">IFERROR(__xludf.DUMMYFUNCTION("""COMPUTED_VALUE"""),"Death Penalty, Individuals At Risk")</f>
        <v>Death Penalty, Individuals At Risk</v>
      </c>
      <c r="I2154" s="1" t="str">
        <f ca="1">IFERROR(__xludf.DUMMYFUNCTION("""COMPUTED_VALUE"""),"2025")</f>
        <v>2025</v>
      </c>
      <c r="J2154" s="1" t="str">
        <f ca="1">IFERROR(__xludf.DUMMYFUNCTION("""COMPUTED_VALUE"""),"Email")</f>
        <v>Email</v>
      </c>
    </row>
    <row r="2155" spans="1:10" ht="13" x14ac:dyDescent="0.15">
      <c r="A2155" s="4">
        <f ca="1">IFERROR(__xludf.DUMMYFUNCTION("""COMPUTED_VALUE"""),271110070)</f>
        <v>271110070</v>
      </c>
      <c r="B2155" s="1" t="str">
        <f ca="1">IFERROR(__xludf.DUMMYFUNCTION("""COMPUTED_VALUE"""),"w-schramm@chello.at")</f>
        <v>w-schramm@chello.at</v>
      </c>
      <c r="C2155" s="4" t="str">
        <f ca="1">IFERROR(__xludf.DUMMYFUNCTION("""COMPUTED_VALUE"""),"EVERGREEN - UAN Gated Content - Embedded Petition")</f>
        <v>EVERGREEN - UAN Gated Content - Embedded Petition</v>
      </c>
      <c r="D2155" s="5">
        <f ca="1">IFERROR(__xludf.DUMMYFUNCTION("""COMPUTED_VALUE"""),45696)</f>
        <v>45696</v>
      </c>
      <c r="F2155" s="1" t="str">
        <f ca="1">IFERROR(__xludf.DUMMYFUNCTION("""COMPUTED_VALUE"""),"Iran")</f>
        <v>Iran</v>
      </c>
      <c r="G2155" s="1" t="str">
        <f ca="1">IFERROR(__xludf.DUMMYFUNCTION("""COMPUTED_VALUE"""),"105.24 USA")</f>
        <v>105.24 USA</v>
      </c>
      <c r="H2155" s="1" t="str">
        <f ca="1">IFERROR(__xludf.DUMMYFUNCTION("""COMPUTED_VALUE"""),"Death Penalty")</f>
        <v>Death Penalty</v>
      </c>
      <c r="I2155" s="1" t="str">
        <f ca="1">IFERROR(__xludf.DUMMYFUNCTION("""COMPUTED_VALUE"""),"2024")</f>
        <v>2024</v>
      </c>
      <c r="J2155" s="1" t="str">
        <f ca="1">IFERROR(__xludf.DUMMYFUNCTION("""COMPUTED_VALUE"""),"Email")</f>
        <v>Email</v>
      </c>
    </row>
    <row r="2156" spans="1:10" ht="13" x14ac:dyDescent="0.15">
      <c r="A2156" s="4">
        <f ca="1">IFERROR(__xludf.DUMMYFUNCTION("""COMPUTED_VALUE"""),271110070)</f>
        <v>271110070</v>
      </c>
      <c r="B2156" s="1" t="str">
        <f ca="1">IFERROR(__xludf.DUMMYFUNCTION("""COMPUTED_VALUE"""),"w-schramm@chello.at")</f>
        <v>w-schramm@chello.at</v>
      </c>
      <c r="C2156" s="4" t="str">
        <f ca="1">IFERROR(__xludf.DUMMYFUNCTION("""COMPUTED_VALUE"""),"EVERGREEN - UAN Gated Content - Embedded Petition")</f>
        <v>EVERGREEN - UAN Gated Content - Embedded Petition</v>
      </c>
      <c r="D2156" s="5">
        <f ca="1">IFERROR(__xludf.DUMMYFUNCTION("""COMPUTED_VALUE"""),45697)</f>
        <v>45697</v>
      </c>
      <c r="F2156" s="1" t="str">
        <f ca="1">IFERROR(__xludf.DUMMYFUNCTION("""COMPUTED_VALUE"""),"USA")</f>
        <v>USA</v>
      </c>
      <c r="G2156" s="1" t="str">
        <f ca="1">IFERROR(__xludf.DUMMYFUNCTION("""COMPUTED_VALUE"""),"Second 23.24 Russia")</f>
        <v>Second 23.24 Russia</v>
      </c>
      <c r="H2156" s="1" t="str">
        <f ca="1">IFERROR(__xludf.DUMMYFUNCTION("""COMPUTED_VALUE"""),"Freedom of Expression")</f>
        <v>Freedom of Expression</v>
      </c>
      <c r="I2156" s="1" t="str">
        <f ca="1">IFERROR(__xludf.DUMMYFUNCTION("""COMPUTED_VALUE"""),"2024")</f>
        <v>2024</v>
      </c>
      <c r="J2156" s="1" t="str">
        <f ca="1">IFERROR(__xludf.DUMMYFUNCTION("""COMPUTED_VALUE"""),"Letter")</f>
        <v>Letter</v>
      </c>
    </row>
    <row r="2157" spans="1:10" ht="13" x14ac:dyDescent="0.15">
      <c r="A2157" s="4">
        <f ca="1">IFERROR(__xludf.DUMMYFUNCTION("""COMPUTED_VALUE"""),271110070)</f>
        <v>271110070</v>
      </c>
      <c r="B2157" s="1" t="str">
        <f ca="1">IFERROR(__xludf.DUMMYFUNCTION("""COMPUTED_VALUE"""),"w-schramm@chello.at")</f>
        <v>w-schramm@chello.at</v>
      </c>
      <c r="C2157" s="4" t="str">
        <f ca="1">IFERROR(__xludf.DUMMYFUNCTION("""COMPUTED_VALUE"""),"EVERGREEN - UAN Gated Content - Embedded Petition")</f>
        <v>EVERGREEN - UAN Gated Content - Embedded Petition</v>
      </c>
      <c r="D2157" s="5">
        <f ca="1">IFERROR(__xludf.DUMMYFUNCTION("""COMPUTED_VALUE"""),45697)</f>
        <v>45697</v>
      </c>
      <c r="F2157" s="1" t="str">
        <f ca="1">IFERROR(__xludf.DUMMYFUNCTION("""COMPUTED_VALUE"""),"Russian Federation")</f>
        <v>Russian Federation</v>
      </c>
      <c r="G2157" s="1" t="str">
        <f ca="1">IFERROR(__xludf.DUMMYFUNCTION("""COMPUTED_VALUE"""),"105.24 USA")</f>
        <v>105.24 USA</v>
      </c>
      <c r="H2157" s="1" t="str">
        <f ca="1">IFERROR(__xludf.DUMMYFUNCTION("""COMPUTED_VALUE"""),"Death Penalty")</f>
        <v>Death Penalty</v>
      </c>
      <c r="I2157" s="1" t="str">
        <f ca="1">IFERROR(__xludf.DUMMYFUNCTION("""COMPUTED_VALUE"""),"2024")</f>
        <v>2024</v>
      </c>
      <c r="J2157" s="1" t="str">
        <f ca="1">IFERROR(__xludf.DUMMYFUNCTION("""COMPUTED_VALUE"""),"Email")</f>
        <v>Email</v>
      </c>
    </row>
    <row r="2158" spans="1:10" ht="13" x14ac:dyDescent="0.15">
      <c r="A2158" s="4">
        <f ca="1">IFERROR(__xludf.DUMMYFUNCTION("""COMPUTED_VALUE"""),271110070)</f>
        <v>271110070</v>
      </c>
      <c r="B2158" s="1" t="str">
        <f ca="1">IFERROR(__xludf.DUMMYFUNCTION("""COMPUTED_VALUE"""),"w-schramm@chello.at")</f>
        <v>w-schramm@chello.at</v>
      </c>
      <c r="C2158" s="4" t="str">
        <f ca="1">IFERROR(__xludf.DUMMYFUNCTION("""COMPUTED_VALUE"""),"EVERGREEN - UAN Gated Content - Embedded Petition")</f>
        <v>EVERGREEN - UAN Gated Content - Embedded Petition</v>
      </c>
      <c r="D2158" s="5">
        <f ca="1">IFERROR(__xludf.DUMMYFUNCTION("""COMPUTED_VALUE"""),45697)</f>
        <v>45697</v>
      </c>
      <c r="F2158" s="1" t="str">
        <f ca="1">IFERROR(__xludf.DUMMYFUNCTION("""COMPUTED_VALUE"""),"USA")</f>
        <v>USA</v>
      </c>
      <c r="G2158" s="1" t="str">
        <f ca="1">IFERROR(__xludf.DUMMYFUNCTION("""COMPUTED_VALUE"""),"105.24 USA")</f>
        <v>105.24 USA</v>
      </c>
      <c r="H2158" s="1" t="str">
        <f ca="1">IFERROR(__xludf.DUMMYFUNCTION("""COMPUTED_VALUE"""),"Death Penalty")</f>
        <v>Death Penalty</v>
      </c>
      <c r="I2158" s="1" t="str">
        <f ca="1">IFERROR(__xludf.DUMMYFUNCTION("""COMPUTED_VALUE"""),"2024")</f>
        <v>2024</v>
      </c>
      <c r="J2158" s="1" t="str">
        <f ca="1">IFERROR(__xludf.DUMMYFUNCTION("""COMPUTED_VALUE"""),"Email")</f>
        <v>Email</v>
      </c>
    </row>
    <row r="2159" spans="1:10" ht="13" x14ac:dyDescent="0.15">
      <c r="A2159" s="4">
        <f ca="1">IFERROR(__xludf.DUMMYFUNCTION("""COMPUTED_VALUE"""),271110070)</f>
        <v>271110070</v>
      </c>
      <c r="B2159" s="1" t="str">
        <f ca="1">IFERROR(__xludf.DUMMYFUNCTION("""COMPUTED_VALUE"""),"w-schramm@chello.at")</f>
        <v>w-schramm@chello.at</v>
      </c>
      <c r="C2159" s="4" t="str">
        <f ca="1">IFERROR(__xludf.DUMMYFUNCTION("""COMPUTED_VALUE"""),"EVERGREEN - UAN Gated Content - Embedded Petition")</f>
        <v>EVERGREEN - UAN Gated Content - Embedded Petition</v>
      </c>
      <c r="D2159" s="5">
        <f ca="1">IFERROR(__xludf.DUMMYFUNCTION("""COMPUTED_VALUE"""),45697)</f>
        <v>45697</v>
      </c>
      <c r="F2159" s="1" t="str">
        <f ca="1">IFERROR(__xludf.DUMMYFUNCTION("""COMPUTED_VALUE"""),"USA")</f>
        <v>USA</v>
      </c>
      <c r="G2159" s="1" t="str">
        <f ca="1">IFERROR(__xludf.DUMMYFUNCTION("""COMPUTED_VALUE"""),"Second 76.24 Tunisia")</f>
        <v>Second 76.24 Tunisia</v>
      </c>
      <c r="H2159" s="1" t="str">
        <f ca="1">IFERROR(__xludf.DUMMYFUNCTION("""COMPUTED_VALUE"""),"Freedom of Expression, Human Rights Defenders")</f>
        <v>Freedom of Expression, Human Rights Defenders</v>
      </c>
      <c r="I2159" s="1" t="str">
        <f ca="1">IFERROR(__xludf.DUMMYFUNCTION("""COMPUTED_VALUE"""),"2025")</f>
        <v>2025</v>
      </c>
      <c r="J2159" s="1" t="str">
        <f ca="1">IFERROR(__xludf.DUMMYFUNCTION("""COMPUTED_VALUE"""),"Email")</f>
        <v>Email</v>
      </c>
    </row>
    <row r="2160" spans="1:10" ht="13" x14ac:dyDescent="0.15">
      <c r="A2160" s="4">
        <f ca="1">IFERROR(__xludf.DUMMYFUNCTION("""COMPUTED_VALUE"""),271110070)</f>
        <v>271110070</v>
      </c>
      <c r="B2160" s="1" t="str">
        <f ca="1">IFERROR(__xludf.DUMMYFUNCTION("""COMPUTED_VALUE"""),"w-schramm@chello.at")</f>
        <v>w-schramm@chello.at</v>
      </c>
      <c r="C2160" s="4" t="str">
        <f ca="1">IFERROR(__xludf.DUMMYFUNCTION("""COMPUTED_VALUE"""),"EVERGREEN - UAN Gated Content - Embedded Petition")</f>
        <v>EVERGREEN - UAN Gated Content - Embedded Petition</v>
      </c>
      <c r="D2160" s="5">
        <f ca="1">IFERROR(__xludf.DUMMYFUNCTION("""COMPUTED_VALUE"""),45697)</f>
        <v>45697</v>
      </c>
      <c r="F2160" s="1" t="str">
        <f ca="1">IFERROR(__xludf.DUMMYFUNCTION("""COMPUTED_VALUE"""),"Tunisia")</f>
        <v>Tunisia</v>
      </c>
      <c r="G2160" s="1" t="str">
        <f ca="1">IFERROR(__xludf.DUMMYFUNCTION("""COMPUTED_VALUE"""),"Ninth 190.18 Egypt")</f>
        <v>Ninth 190.18 Egypt</v>
      </c>
      <c r="H2160" s="1" t="str">
        <f ca="1">IFERROR(__xludf.DUMMYFUNCTION("""COMPUTED_VALUE"""),"Freedom of Expression, Individuals At Risk")</f>
        <v>Freedom of Expression, Individuals At Risk</v>
      </c>
      <c r="I2160" s="1" t="str">
        <f ca="1">IFERROR(__xludf.DUMMYFUNCTION("""COMPUTED_VALUE"""),"2024")</f>
        <v>2024</v>
      </c>
      <c r="J2160" s="1" t="str">
        <f ca="1">IFERROR(__xludf.DUMMYFUNCTION("""COMPUTED_VALUE"""),"Letter")</f>
        <v>Letter</v>
      </c>
    </row>
    <row r="2161" spans="1:10" ht="13" x14ac:dyDescent="0.15">
      <c r="A2161" s="4">
        <f ca="1">IFERROR(__xludf.DUMMYFUNCTION("""COMPUTED_VALUE"""),271110070)</f>
        <v>271110070</v>
      </c>
      <c r="B2161" s="1" t="str">
        <f ca="1">IFERROR(__xludf.DUMMYFUNCTION("""COMPUTED_VALUE"""),"w-schramm@chello.at")</f>
        <v>w-schramm@chello.at</v>
      </c>
      <c r="C2161" s="4" t="str">
        <f ca="1">IFERROR(__xludf.DUMMYFUNCTION("""COMPUTED_VALUE"""),"EVERGREEN - UAN Gated Content - Embedded Petition")</f>
        <v>EVERGREEN - UAN Gated Content - Embedded Petition</v>
      </c>
      <c r="D2161" s="5">
        <f ca="1">IFERROR(__xludf.DUMMYFUNCTION("""COMPUTED_VALUE"""),45697)</f>
        <v>45697</v>
      </c>
      <c r="F2161" s="1" t="str">
        <f ca="1">IFERROR(__xludf.DUMMYFUNCTION("""COMPUTED_VALUE"""),"Egypt")</f>
        <v>Egypt</v>
      </c>
      <c r="G2161" s="1" t="str">
        <f ca="1">IFERROR(__xludf.DUMMYFUNCTION("""COMPUTED_VALUE"""),"98.24 China")</f>
        <v>98.24 China</v>
      </c>
      <c r="H2161" s="1" t="str">
        <f ca="1">IFERROR(__xludf.DUMMYFUNCTION("""COMPUTED_VALUE"""),"Freedom of Expression, Individuals At Risk")</f>
        <v>Freedom of Expression, Individuals At Risk</v>
      </c>
      <c r="I2161" s="1" t="str">
        <f ca="1">IFERROR(__xludf.DUMMYFUNCTION("""COMPUTED_VALUE"""),"2024")</f>
        <v>2024</v>
      </c>
      <c r="J2161" s="1" t="str">
        <f ca="1">IFERROR(__xludf.DUMMYFUNCTION("""COMPUTED_VALUE"""),"Letter")</f>
        <v>Letter</v>
      </c>
    </row>
    <row r="2162" spans="1:10" ht="13" x14ac:dyDescent="0.15">
      <c r="A2162" s="4">
        <f ca="1">IFERROR(__xludf.DUMMYFUNCTION("""COMPUTED_VALUE"""),271110070)</f>
        <v>271110070</v>
      </c>
      <c r="B2162" s="1" t="str">
        <f ca="1">IFERROR(__xludf.DUMMYFUNCTION("""COMPUTED_VALUE"""),"w-schramm@chello.at")</f>
        <v>w-schramm@chello.at</v>
      </c>
      <c r="C2162" s="4" t="str">
        <f ca="1">IFERROR(__xludf.DUMMYFUNCTION("""COMPUTED_VALUE"""),"EVERGREEN - UAN Gated Content - Embedded Petition")</f>
        <v>EVERGREEN - UAN Gated Content - Embedded Petition</v>
      </c>
      <c r="D2162" s="5">
        <f ca="1">IFERROR(__xludf.DUMMYFUNCTION("""COMPUTED_VALUE"""),45697)</f>
        <v>45697</v>
      </c>
      <c r="F2162" s="1" t="str">
        <f ca="1">IFERROR(__xludf.DUMMYFUNCTION("""COMPUTED_VALUE"""),"China")</f>
        <v>China</v>
      </c>
      <c r="G2162" s="1" t="str">
        <f ca="1">IFERROR(__xludf.DUMMYFUNCTION("""COMPUTED_VALUE"""),"97.24 Venezuela")</f>
        <v>97.24 Venezuela</v>
      </c>
      <c r="H2162" s="1" t="str">
        <f ca="1">IFERROR(__xludf.DUMMYFUNCTION("""COMPUTED_VALUE"""),"Freedom of Expression")</f>
        <v>Freedom of Expression</v>
      </c>
      <c r="I2162" s="1" t="str">
        <f ca="1">IFERROR(__xludf.DUMMYFUNCTION("""COMPUTED_VALUE"""),"2024")</f>
        <v>2024</v>
      </c>
      <c r="J2162" s="1" t="str">
        <f ca="1">IFERROR(__xludf.DUMMYFUNCTION("""COMPUTED_VALUE"""),"Letter")</f>
        <v>Letter</v>
      </c>
    </row>
    <row r="2163" spans="1:10" ht="13" x14ac:dyDescent="0.15">
      <c r="A2163" s="4">
        <f ca="1">IFERROR(__xludf.DUMMYFUNCTION("""COMPUTED_VALUE"""),271110070)</f>
        <v>271110070</v>
      </c>
      <c r="B2163" s="1" t="str">
        <f ca="1">IFERROR(__xludf.DUMMYFUNCTION("""COMPUTED_VALUE"""),"w-schramm@chello.at")</f>
        <v>w-schramm@chello.at</v>
      </c>
      <c r="C2163" s="4" t="str">
        <f ca="1">IFERROR(__xludf.DUMMYFUNCTION("""COMPUTED_VALUE"""),"EVERGREEN - UAN Gated Content - Embedded Petition")</f>
        <v>EVERGREEN - UAN Gated Content - Embedded Petition</v>
      </c>
      <c r="D2163" s="5">
        <f ca="1">IFERROR(__xludf.DUMMYFUNCTION("""COMPUTED_VALUE"""),45697)</f>
        <v>45697</v>
      </c>
      <c r="F2163" s="1" t="str">
        <f ca="1">IFERROR(__xludf.DUMMYFUNCTION("""COMPUTED_VALUE"""),"Venezuela")</f>
        <v>Venezuela</v>
      </c>
      <c r="G2163" s="1" t="str">
        <f ca="1">IFERROR(__xludf.DUMMYFUNCTION("""COMPUTED_VALUE"""),"105.24 USA")</f>
        <v>105.24 USA</v>
      </c>
      <c r="H2163" s="1" t="str">
        <f ca="1">IFERROR(__xludf.DUMMYFUNCTION("""COMPUTED_VALUE"""),"Death Penalty")</f>
        <v>Death Penalty</v>
      </c>
      <c r="I2163" s="1" t="str">
        <f ca="1">IFERROR(__xludf.DUMMYFUNCTION("""COMPUTED_VALUE"""),"2024")</f>
        <v>2024</v>
      </c>
      <c r="J2163" s="1" t="str">
        <f ca="1">IFERROR(__xludf.DUMMYFUNCTION("""COMPUTED_VALUE"""),"Email")</f>
        <v>Email</v>
      </c>
    </row>
    <row r="2164" spans="1:10" ht="13" x14ac:dyDescent="0.15">
      <c r="A2164" s="4">
        <f ca="1">IFERROR(__xludf.DUMMYFUNCTION("""COMPUTED_VALUE"""),271110070)</f>
        <v>271110070</v>
      </c>
      <c r="B2164" s="1" t="str">
        <f ca="1">IFERROR(__xludf.DUMMYFUNCTION("""COMPUTED_VALUE"""),"w-schramm@chello.at")</f>
        <v>w-schramm@chello.at</v>
      </c>
      <c r="C2164" s="4" t="str">
        <f ca="1">IFERROR(__xludf.DUMMYFUNCTION("""COMPUTED_VALUE"""),"EVERGREEN - UAN Gated Content - Embedded Petition")</f>
        <v>EVERGREEN - UAN Gated Content - Embedded Petition</v>
      </c>
      <c r="D2164" s="5">
        <f ca="1">IFERROR(__xludf.DUMMYFUNCTION("""COMPUTED_VALUE"""),45697)</f>
        <v>45697</v>
      </c>
      <c r="F2164" s="1" t="str">
        <f ca="1">IFERROR(__xludf.DUMMYFUNCTION("""COMPUTED_VALUE"""),"USA")</f>
        <v>USA</v>
      </c>
      <c r="G2164" s="1" t="str">
        <f ca="1">IFERROR(__xludf.DUMMYFUNCTION("""COMPUTED_VALUE"""),"106.24 China")</f>
        <v>106.24 China</v>
      </c>
      <c r="H2164" s="1" t="str">
        <f ca="1">IFERROR(__xludf.DUMMYFUNCTION("""COMPUTED_VALUE"""),"Freedom of Expression, Individuals At Risk")</f>
        <v>Freedom of Expression, Individuals At Risk</v>
      </c>
      <c r="I2164" s="1" t="str">
        <f ca="1">IFERROR(__xludf.DUMMYFUNCTION("""COMPUTED_VALUE"""),"2024")</f>
        <v>2024</v>
      </c>
      <c r="J2164" s="1" t="str">
        <f ca="1">IFERROR(__xludf.DUMMYFUNCTION("""COMPUTED_VALUE"""),"Email")</f>
        <v>Email</v>
      </c>
    </row>
    <row r="2165" spans="1:10" ht="13" x14ac:dyDescent="0.15">
      <c r="A2165" s="4">
        <f ca="1">IFERROR(__xludf.DUMMYFUNCTION("""COMPUTED_VALUE"""),271110070)</f>
        <v>271110070</v>
      </c>
      <c r="B2165" s="1" t="str">
        <f ca="1">IFERROR(__xludf.DUMMYFUNCTION("""COMPUTED_VALUE"""),"w-schramm@chello.at")</f>
        <v>w-schramm@chello.at</v>
      </c>
      <c r="C2165" s="4" t="str">
        <f ca="1">IFERROR(__xludf.DUMMYFUNCTION("""COMPUTED_VALUE"""),"EVERGREEN - UAN Gated Content - Embedded Petition")</f>
        <v>EVERGREEN - UAN Gated Content - Embedded Petition</v>
      </c>
      <c r="D2165" s="5">
        <f ca="1">IFERROR(__xludf.DUMMYFUNCTION("""COMPUTED_VALUE"""),45697)</f>
        <v>45697</v>
      </c>
      <c r="F2165" s="1" t="str">
        <f ca="1">IFERROR(__xludf.DUMMYFUNCTION("""COMPUTED_VALUE"""),"China")</f>
        <v>China</v>
      </c>
      <c r="G2165" s="1" t="str">
        <f ca="1">IFERROR(__xludf.DUMMYFUNCTION("""COMPUTED_VALUE"""),"Ninth 190.18 Egypt")</f>
        <v>Ninth 190.18 Egypt</v>
      </c>
      <c r="H2165" s="1" t="str">
        <f ca="1">IFERROR(__xludf.DUMMYFUNCTION("""COMPUTED_VALUE"""),"Freedom of Expression, Individuals At Risk")</f>
        <v>Freedom of Expression, Individuals At Risk</v>
      </c>
      <c r="I2165" s="1" t="str">
        <f ca="1">IFERROR(__xludf.DUMMYFUNCTION("""COMPUTED_VALUE"""),"2024")</f>
        <v>2024</v>
      </c>
      <c r="J2165" s="1" t="str">
        <f ca="1">IFERROR(__xludf.DUMMYFUNCTION("""COMPUTED_VALUE"""),"Letter")</f>
        <v>Letter</v>
      </c>
    </row>
    <row r="2166" spans="1:10" ht="13" x14ac:dyDescent="0.15">
      <c r="A2166" s="4">
        <f ca="1">IFERROR(__xludf.DUMMYFUNCTION("""COMPUTED_VALUE"""),271110070)</f>
        <v>271110070</v>
      </c>
      <c r="B2166" s="1" t="str">
        <f ca="1">IFERROR(__xludf.DUMMYFUNCTION("""COMPUTED_VALUE"""),"w-schramm@chello.at")</f>
        <v>w-schramm@chello.at</v>
      </c>
      <c r="C2166" s="4" t="str">
        <f ca="1">IFERROR(__xludf.DUMMYFUNCTION("""COMPUTED_VALUE"""),"EVERGREEN - UAN Gated Content - Embedded Petition")</f>
        <v>EVERGREEN - UAN Gated Content - Embedded Petition</v>
      </c>
      <c r="D2166" s="5">
        <f ca="1">IFERROR(__xludf.DUMMYFUNCTION("""COMPUTED_VALUE"""),45697)</f>
        <v>45697</v>
      </c>
      <c r="F2166" s="1" t="str">
        <f ca="1">IFERROR(__xludf.DUMMYFUNCTION("""COMPUTED_VALUE"""),"Egypt")</f>
        <v>Egypt</v>
      </c>
      <c r="G2166" s="1" t="str">
        <f ca="1">IFERROR(__xludf.DUMMYFUNCTION("""COMPUTED_VALUE"""),"105.24 USA")</f>
        <v>105.24 USA</v>
      </c>
      <c r="H2166" s="1" t="str">
        <f ca="1">IFERROR(__xludf.DUMMYFUNCTION("""COMPUTED_VALUE"""),"Death Penalty")</f>
        <v>Death Penalty</v>
      </c>
      <c r="I2166" s="1" t="str">
        <f ca="1">IFERROR(__xludf.DUMMYFUNCTION("""COMPUTED_VALUE"""),"2024")</f>
        <v>2024</v>
      </c>
      <c r="J2166" s="1" t="str">
        <f ca="1">IFERROR(__xludf.DUMMYFUNCTION("""COMPUTED_VALUE"""),"Email")</f>
        <v>Email</v>
      </c>
    </row>
    <row r="2167" spans="1:10" ht="13" x14ac:dyDescent="0.15">
      <c r="A2167" s="4">
        <f ca="1">IFERROR(__xludf.DUMMYFUNCTION("""COMPUTED_VALUE"""),271110070)</f>
        <v>271110070</v>
      </c>
      <c r="B2167" s="1" t="str">
        <f ca="1">IFERROR(__xludf.DUMMYFUNCTION("""COMPUTED_VALUE"""),"w-schramm@chello.at")</f>
        <v>w-schramm@chello.at</v>
      </c>
      <c r="C2167" s="4" t="str">
        <f ca="1">IFERROR(__xludf.DUMMYFUNCTION("""COMPUTED_VALUE"""),"EVERGREEN - UAN Gated Content - Embedded Petition")</f>
        <v>EVERGREEN - UAN Gated Content - Embedded Petition</v>
      </c>
      <c r="D2167" s="5">
        <f ca="1">IFERROR(__xludf.DUMMYFUNCTION("""COMPUTED_VALUE"""),45697)</f>
        <v>45697</v>
      </c>
      <c r="F2167" s="1" t="str">
        <f ca="1">IFERROR(__xludf.DUMMYFUNCTION("""COMPUTED_VALUE"""),"USA")</f>
        <v>USA</v>
      </c>
      <c r="G2167" s="1" t="str">
        <f ca="1">IFERROR(__xludf.DUMMYFUNCTION("""COMPUTED_VALUE"""),"99.24 Canada")</f>
        <v>99.24 Canada</v>
      </c>
      <c r="H2167" s="1" t="str">
        <f ca="1">IFERROR(__xludf.DUMMYFUNCTION("""COMPUTED_VALUE"""),"Climate Justice, Indigenous Rights, Right to Protest")</f>
        <v>Climate Justice, Indigenous Rights, Right to Protest</v>
      </c>
      <c r="I2167" s="1" t="str">
        <f ca="1">IFERROR(__xludf.DUMMYFUNCTION("""COMPUTED_VALUE"""),"2024")</f>
        <v>2024</v>
      </c>
      <c r="J2167" s="1" t="str">
        <f ca="1">IFERROR(__xludf.DUMMYFUNCTION("""COMPUTED_VALUE"""),"Letter")</f>
        <v>Letter</v>
      </c>
    </row>
    <row r="2168" spans="1:10" ht="13" x14ac:dyDescent="0.15">
      <c r="A2168" s="4">
        <f ca="1">IFERROR(__xludf.DUMMYFUNCTION("""COMPUTED_VALUE"""),271110070)</f>
        <v>271110070</v>
      </c>
      <c r="B2168" s="1" t="str">
        <f ca="1">IFERROR(__xludf.DUMMYFUNCTION("""COMPUTED_VALUE"""),"w-schramm@chello.at")</f>
        <v>w-schramm@chello.at</v>
      </c>
      <c r="C2168" s="4" t="str">
        <f ca="1">IFERROR(__xludf.DUMMYFUNCTION("""COMPUTED_VALUE"""),"EVERGREEN - UAN Gated Content - Embedded Petition")</f>
        <v>EVERGREEN - UAN Gated Content - Embedded Petition</v>
      </c>
      <c r="D2168" s="5">
        <f ca="1">IFERROR(__xludf.DUMMYFUNCTION("""COMPUTED_VALUE"""),45697)</f>
        <v>45697</v>
      </c>
      <c r="F2168" s="1" t="str">
        <f ca="1">IFERROR(__xludf.DUMMYFUNCTION("""COMPUTED_VALUE"""),"Canada")</f>
        <v>Canada</v>
      </c>
      <c r="G2168" s="1" t="str">
        <f ca="1">IFERROR(__xludf.DUMMYFUNCTION("""COMPUTED_VALUE"""),"97.24 Venezuela")</f>
        <v>97.24 Venezuela</v>
      </c>
      <c r="H2168" s="1" t="str">
        <f ca="1">IFERROR(__xludf.DUMMYFUNCTION("""COMPUTED_VALUE"""),"Freedom of Expression")</f>
        <v>Freedom of Expression</v>
      </c>
      <c r="I2168" s="1" t="str">
        <f ca="1">IFERROR(__xludf.DUMMYFUNCTION("""COMPUTED_VALUE"""),"2024")</f>
        <v>2024</v>
      </c>
      <c r="J2168" s="1" t="str">
        <f ca="1">IFERROR(__xludf.DUMMYFUNCTION("""COMPUTED_VALUE"""),"Letter")</f>
        <v>Letter</v>
      </c>
    </row>
    <row r="2169" spans="1:10" ht="13" x14ac:dyDescent="0.15">
      <c r="A2169" s="4">
        <f ca="1">IFERROR(__xludf.DUMMYFUNCTION("""COMPUTED_VALUE"""),271110070)</f>
        <v>271110070</v>
      </c>
      <c r="B2169" s="1" t="str">
        <f ca="1">IFERROR(__xludf.DUMMYFUNCTION("""COMPUTED_VALUE"""),"w-schramm@chello.at")</f>
        <v>w-schramm@chello.at</v>
      </c>
      <c r="C2169" s="4" t="str">
        <f ca="1">IFERROR(__xludf.DUMMYFUNCTION("""COMPUTED_VALUE"""),"EVERGREEN - UAN Gated Content - Embedded Petition")</f>
        <v>EVERGREEN - UAN Gated Content - Embedded Petition</v>
      </c>
      <c r="D2169" s="5">
        <f ca="1">IFERROR(__xludf.DUMMYFUNCTION("""COMPUTED_VALUE"""),45697)</f>
        <v>45697</v>
      </c>
      <c r="F2169" s="1" t="str">
        <f ca="1">IFERROR(__xludf.DUMMYFUNCTION("""COMPUTED_VALUE"""),"Venezuela")</f>
        <v>Venezuela</v>
      </c>
      <c r="G2169" s="1" t="str">
        <f ca="1">IFERROR(__xludf.DUMMYFUNCTION("""COMPUTED_VALUE"""),"6.25 Iran")</f>
        <v>6.25 Iran</v>
      </c>
      <c r="H2169" s="1" t="str">
        <f ca="1">IFERROR(__xludf.DUMMYFUNCTION("""COMPUTED_VALUE"""),"Death Penalty, Freedom of Expression, Individuals At Risk")</f>
        <v>Death Penalty, Freedom of Expression, Individuals At Risk</v>
      </c>
      <c r="I2169" s="1" t="str">
        <f ca="1">IFERROR(__xludf.DUMMYFUNCTION("""COMPUTED_VALUE"""),"2025")</f>
        <v>2025</v>
      </c>
      <c r="J2169" s="1" t="str">
        <f ca="1">IFERROR(__xludf.DUMMYFUNCTION("""COMPUTED_VALUE"""),"Email")</f>
        <v>Email</v>
      </c>
    </row>
    <row r="2170" spans="1:10" ht="13" x14ac:dyDescent="0.15">
      <c r="A2170" s="4">
        <f ca="1">IFERROR(__xludf.DUMMYFUNCTION("""COMPUTED_VALUE"""),271110070)</f>
        <v>271110070</v>
      </c>
      <c r="B2170" s="1" t="str">
        <f ca="1">IFERROR(__xludf.DUMMYFUNCTION("""COMPUTED_VALUE"""),"w-schramm@chello.at")</f>
        <v>w-schramm@chello.at</v>
      </c>
      <c r="C2170" s="4" t="str">
        <f ca="1">IFERROR(__xludf.DUMMYFUNCTION("""COMPUTED_VALUE"""),"EVERGREEN - UAN Gated Content - Embedded Petition")</f>
        <v>EVERGREEN - UAN Gated Content - Embedded Petition</v>
      </c>
      <c r="D2170" s="5">
        <f ca="1">IFERROR(__xludf.DUMMYFUNCTION("""COMPUTED_VALUE"""),45697)</f>
        <v>45697</v>
      </c>
      <c r="F2170" s="1" t="str">
        <f ca="1">IFERROR(__xludf.DUMMYFUNCTION("""COMPUTED_VALUE"""),"Iran")</f>
        <v>Iran</v>
      </c>
      <c r="G2170" s="1" t="str">
        <f ca="1">IFERROR(__xludf.DUMMYFUNCTION("""COMPUTED_VALUE"""),"11.25 Afghanistan")</f>
        <v>11.25 Afghanistan</v>
      </c>
      <c r="H2170" s="1" t="str">
        <f ca="1">IFERROR(__xludf.DUMMYFUNCTION("""COMPUTED_VALUE"""),"Freedom of Expression, Health, Individuals At Risk")</f>
        <v>Freedom of Expression, Health, Individuals At Risk</v>
      </c>
      <c r="I2170" s="1" t="str">
        <f ca="1">IFERROR(__xludf.DUMMYFUNCTION("""COMPUTED_VALUE"""),"2025")</f>
        <v>2025</v>
      </c>
      <c r="J2170" s="1" t="str">
        <f ca="1">IFERROR(__xludf.DUMMYFUNCTION("""COMPUTED_VALUE"""),"Email")</f>
        <v>Email</v>
      </c>
    </row>
    <row r="2171" spans="1:10" ht="13" x14ac:dyDescent="0.15">
      <c r="A2171" s="4">
        <f ca="1">IFERROR(__xludf.DUMMYFUNCTION("""COMPUTED_VALUE"""),271110070)</f>
        <v>271110070</v>
      </c>
      <c r="B2171" s="1" t="str">
        <f ca="1">IFERROR(__xludf.DUMMYFUNCTION("""COMPUTED_VALUE"""),"w-schramm@chello.at")</f>
        <v>w-schramm@chello.at</v>
      </c>
      <c r="C2171" s="4" t="str">
        <f ca="1">IFERROR(__xludf.DUMMYFUNCTION("""COMPUTED_VALUE"""),"EVERGREEN - UAN Gated Content - Embedded Petition")</f>
        <v>EVERGREEN - UAN Gated Content - Embedded Petition</v>
      </c>
      <c r="D2171" s="5">
        <f ca="1">IFERROR(__xludf.DUMMYFUNCTION("""COMPUTED_VALUE"""),45696)</f>
        <v>45696</v>
      </c>
      <c r="F2171" s="1" t="str">
        <f ca="1">IFERROR(__xludf.DUMMYFUNCTION("""COMPUTED_VALUE"""),"Afghanistan")</f>
        <v>Afghanistan</v>
      </c>
      <c r="G2171" s="1" t="str">
        <f ca="1">IFERROR(__xludf.DUMMYFUNCTION("""COMPUTED_VALUE"""),"7.25 Afghanistan")</f>
        <v>7.25 Afghanistan</v>
      </c>
      <c r="H2171" s="1" t="str">
        <f ca="1">IFERROR(__xludf.DUMMYFUNCTION("""COMPUTED_VALUE"""),"Freedom of Expression, Individuals At Risk, Women's Rights")</f>
        <v>Freedom of Expression, Individuals At Risk, Women's Rights</v>
      </c>
      <c r="I2171" s="1" t="str">
        <f ca="1">IFERROR(__xludf.DUMMYFUNCTION("""COMPUTED_VALUE"""),"2025")</f>
        <v>2025</v>
      </c>
      <c r="J2171" s="1" t="str">
        <f ca="1">IFERROR(__xludf.DUMMYFUNCTION("""COMPUTED_VALUE"""),"Email")</f>
        <v>Email</v>
      </c>
    </row>
    <row r="2172" spans="1:10" ht="13" x14ac:dyDescent="0.15">
      <c r="A2172" s="4">
        <f ca="1">IFERROR(__xludf.DUMMYFUNCTION("""COMPUTED_VALUE"""),271110070)</f>
        <v>271110070</v>
      </c>
      <c r="B2172" s="1" t="str">
        <f ca="1">IFERROR(__xludf.DUMMYFUNCTION("""COMPUTED_VALUE"""),"w-schramm@chello.at")</f>
        <v>w-schramm@chello.at</v>
      </c>
      <c r="C2172" s="4" t="str">
        <f ca="1">IFERROR(__xludf.DUMMYFUNCTION("""COMPUTED_VALUE"""),"EVERGREEN - UAN Gated Content - Embedded Petition")</f>
        <v>EVERGREEN - UAN Gated Content - Embedded Petition</v>
      </c>
      <c r="D2172" s="5">
        <f ca="1">IFERROR(__xludf.DUMMYFUNCTION("""COMPUTED_VALUE"""),45696)</f>
        <v>45696</v>
      </c>
      <c r="F2172" s="1" t="str">
        <f ca="1">IFERROR(__xludf.DUMMYFUNCTION("""COMPUTED_VALUE"""),"Afghanistan")</f>
        <v>Afghanistan</v>
      </c>
      <c r="G2172" s="1" t="str">
        <f ca="1">IFERROR(__xludf.DUMMYFUNCTION("""COMPUTED_VALUE"""),"10.25 Iran")</f>
        <v>10.25 Iran</v>
      </c>
      <c r="H2172" s="1" t="str">
        <f ca="1">IFERROR(__xludf.DUMMYFUNCTION("""COMPUTED_VALUE"""),"Death Penalty, Individuals At Risk")</f>
        <v>Death Penalty, Individuals At Risk</v>
      </c>
      <c r="I2172" s="1" t="str">
        <f ca="1">IFERROR(__xludf.DUMMYFUNCTION("""COMPUTED_VALUE"""),"2025")</f>
        <v>2025</v>
      </c>
      <c r="J2172" s="1" t="str">
        <f ca="1">IFERROR(__xludf.DUMMYFUNCTION("""COMPUTED_VALUE"""),"Email")</f>
        <v>Email</v>
      </c>
    </row>
    <row r="2173" spans="1:10" ht="13" x14ac:dyDescent="0.15">
      <c r="A2173" s="4">
        <f ca="1">IFERROR(__xludf.DUMMYFUNCTION("""COMPUTED_VALUE"""),271110070)</f>
        <v>271110070</v>
      </c>
      <c r="B2173" s="1" t="str">
        <f ca="1">IFERROR(__xludf.DUMMYFUNCTION("""COMPUTED_VALUE"""),"w-schramm@chello.at")</f>
        <v>w-schramm@chello.at</v>
      </c>
      <c r="C2173" s="4" t="str">
        <f ca="1">IFERROR(__xludf.DUMMYFUNCTION("""COMPUTED_VALUE"""),"EVERGREEN - UAN Gated Content - Embedded Petition")</f>
        <v>EVERGREEN - UAN Gated Content - Embedded Petition</v>
      </c>
      <c r="D2173" s="5">
        <f ca="1">IFERROR(__xludf.DUMMYFUNCTION("""COMPUTED_VALUE"""),45696)</f>
        <v>45696</v>
      </c>
      <c r="F2173" s="1" t="str">
        <f ca="1">IFERROR(__xludf.DUMMYFUNCTION("""COMPUTED_VALUE"""),"Iran")</f>
        <v>Iran</v>
      </c>
      <c r="G2173" s="1" t="str">
        <f ca="1">IFERROR(__xludf.DUMMYFUNCTION("""COMPUTED_VALUE"""),"Seventh 103.22 Iran")</f>
        <v>Seventh 103.22 Iran</v>
      </c>
      <c r="H2173" s="1" t="str">
        <f ca="1">IFERROR(__xludf.DUMMYFUNCTION("""COMPUTED_VALUE"""),"Death Penalty, Freedom of Expression, Individuals At Risk")</f>
        <v>Death Penalty, Freedom of Expression, Individuals At Risk</v>
      </c>
      <c r="I2173" s="1" t="str">
        <f ca="1">IFERROR(__xludf.DUMMYFUNCTION("""COMPUTED_VALUE"""),"2024")</f>
        <v>2024</v>
      </c>
      <c r="J2173" s="1" t="str">
        <f ca="1">IFERROR(__xludf.DUMMYFUNCTION("""COMPUTED_VALUE"""),"Email")</f>
        <v>Email</v>
      </c>
    </row>
    <row r="2174" spans="1:10" ht="13" x14ac:dyDescent="0.15">
      <c r="A2174" s="4">
        <f ca="1">IFERROR(__xludf.DUMMYFUNCTION("""COMPUTED_VALUE"""),271110070)</f>
        <v>271110070</v>
      </c>
      <c r="B2174" s="1" t="str">
        <f ca="1">IFERROR(__xludf.DUMMYFUNCTION("""COMPUTED_VALUE"""),"w-schramm@chello.at")</f>
        <v>w-schramm@chello.at</v>
      </c>
      <c r="C2174" s="4" t="str">
        <f ca="1">IFERROR(__xludf.DUMMYFUNCTION("""COMPUTED_VALUE"""),"EVERGREEN - UAN Gated Content - Embedded Petition")</f>
        <v>EVERGREEN - UAN Gated Content - Embedded Petition</v>
      </c>
      <c r="D2174" s="5">
        <f ca="1">IFERROR(__xludf.DUMMYFUNCTION("""COMPUTED_VALUE"""),45696)</f>
        <v>45696</v>
      </c>
      <c r="F2174" s="1" t="str">
        <f ca="1">IFERROR(__xludf.DUMMYFUNCTION("""COMPUTED_VALUE"""),"Iran")</f>
        <v>Iran</v>
      </c>
      <c r="G2174" s="1" t="str">
        <f ca="1">IFERROR(__xludf.DUMMYFUNCTION("""COMPUTED_VALUE"""),"107.24 Singapore")</f>
        <v>107.24 Singapore</v>
      </c>
      <c r="H2174" s="1" t="str">
        <f ca="1">IFERROR(__xludf.DUMMYFUNCTION("""COMPUTED_VALUE"""),"Death Penalty")</f>
        <v>Death Penalty</v>
      </c>
      <c r="I2174" s="1" t="str">
        <f ca="1">IFERROR(__xludf.DUMMYFUNCTION("""COMPUTED_VALUE"""),"2024")</f>
        <v>2024</v>
      </c>
      <c r="J2174" s="1" t="str">
        <f ca="1">IFERROR(__xludf.DUMMYFUNCTION("""COMPUTED_VALUE"""),"Email")</f>
        <v>Email</v>
      </c>
    </row>
    <row r="2175" spans="1:10" ht="13" x14ac:dyDescent="0.15">
      <c r="A2175" s="4">
        <f ca="1">IFERROR(__xludf.DUMMYFUNCTION("""COMPUTED_VALUE"""),271110070)</f>
        <v>271110070</v>
      </c>
      <c r="B2175" s="1" t="str">
        <f ca="1">IFERROR(__xludf.DUMMYFUNCTION("""COMPUTED_VALUE"""),"w-schramm@chello.at")</f>
        <v>w-schramm@chello.at</v>
      </c>
      <c r="C2175" s="4" t="str">
        <f ca="1">IFERROR(__xludf.DUMMYFUNCTION("""COMPUTED_VALUE"""),"EVERGREEN - UAN Gated Content - Embedded Petition")</f>
        <v>EVERGREEN - UAN Gated Content - Embedded Petition</v>
      </c>
      <c r="D2175" s="5">
        <f ca="1">IFERROR(__xludf.DUMMYFUNCTION("""COMPUTED_VALUE"""),45696)</f>
        <v>45696</v>
      </c>
      <c r="F2175" s="1" t="str">
        <f ca="1">IFERROR(__xludf.DUMMYFUNCTION("""COMPUTED_VALUE"""),"Singapore")</f>
        <v>Singapore</v>
      </c>
      <c r="G2175" s="1" t="str">
        <f ca="1">IFERROR(__xludf.DUMMYFUNCTION("""COMPUTED_VALUE"""),"101.24 Iran")</f>
        <v>101.24 Iran</v>
      </c>
      <c r="H2175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2175" s="1" t="str">
        <f ca="1">IFERROR(__xludf.DUMMYFUNCTION("""COMPUTED_VALUE"""),"2024")</f>
        <v>2024</v>
      </c>
      <c r="J2175" s="1" t="str">
        <f ca="1">IFERROR(__xludf.DUMMYFUNCTION("""COMPUTED_VALUE"""),"Email")</f>
        <v>Email</v>
      </c>
    </row>
    <row r="2176" spans="1:10" ht="13" x14ac:dyDescent="0.15">
      <c r="A2176" s="4">
        <f ca="1">IFERROR(__xludf.DUMMYFUNCTION("""COMPUTED_VALUE"""),271110070)</f>
        <v>271110070</v>
      </c>
      <c r="B2176" s="1" t="str">
        <f ca="1">IFERROR(__xludf.DUMMYFUNCTION("""COMPUTED_VALUE"""),"w-schramm@chello.at")</f>
        <v>w-schramm@chello.at</v>
      </c>
      <c r="C2176" s="4" t="str">
        <f ca="1">IFERROR(__xludf.DUMMYFUNCTION("""COMPUTED_VALUE"""),"EVERGREEN - UAN Gated Content - Embedded Petition")</f>
        <v>EVERGREEN - UAN Gated Content - Embedded Petition</v>
      </c>
      <c r="D2176" s="5">
        <f ca="1">IFERROR(__xludf.DUMMYFUNCTION("""COMPUTED_VALUE"""),45626)</f>
        <v>45626</v>
      </c>
      <c r="F2176" s="1" t="str">
        <f ca="1">IFERROR(__xludf.DUMMYFUNCTION("""COMPUTED_VALUE"""),"Iran")</f>
        <v>Iran</v>
      </c>
      <c r="G2176" s="1" t="str">
        <f ca="1">IFERROR(__xludf.DUMMYFUNCTION("""COMPUTED_VALUE"""),"101.24 Iran")</f>
        <v>101.24 Iran</v>
      </c>
      <c r="H2176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2176" s="1" t="str">
        <f ca="1">IFERROR(__xludf.DUMMYFUNCTION("""COMPUTED_VALUE"""),"2024")</f>
        <v>2024</v>
      </c>
      <c r="J2176" s="1" t="str">
        <f ca="1">IFERROR(__xludf.DUMMYFUNCTION("""COMPUTED_VALUE"""),"Email")</f>
        <v>Email</v>
      </c>
    </row>
    <row r="2177" spans="1:10" ht="13" x14ac:dyDescent="0.15">
      <c r="A2177" s="4">
        <f ca="1">IFERROR(__xludf.DUMMYFUNCTION("""COMPUTED_VALUE"""),271110070)</f>
        <v>271110070</v>
      </c>
      <c r="B2177" s="1" t="str">
        <f ca="1">IFERROR(__xludf.DUMMYFUNCTION("""COMPUTED_VALUE"""),"w-schramm@chello.at")</f>
        <v>w-schramm@chello.at</v>
      </c>
      <c r="C2177" s="4" t="str">
        <f ca="1">IFERROR(__xludf.DUMMYFUNCTION("""COMPUTED_VALUE"""),"EVERGREEN - UAN Gated Content - Embedded Petition")</f>
        <v>EVERGREEN - UAN Gated Content - Embedded Petition</v>
      </c>
      <c r="D2177" s="5">
        <f ca="1">IFERROR(__xludf.DUMMYFUNCTION("""COMPUTED_VALUE"""),45696)</f>
        <v>45696</v>
      </c>
      <c r="F2177" s="1" t="str">
        <f ca="1">IFERROR(__xludf.DUMMYFUNCTION("""COMPUTED_VALUE"""),"Iran")</f>
        <v>Iran</v>
      </c>
      <c r="G2177" s="1" t="str">
        <f ca="1">IFERROR(__xludf.DUMMYFUNCTION("""COMPUTED_VALUE"""),"3.25 IOPT")</f>
        <v>3.25 IOPT</v>
      </c>
      <c r="H2177" s="1" t="str">
        <f ca="1">IFERROR(__xludf.DUMMYFUNCTION("""COMPUTED_VALUE"""),"Freedom of Expression, Individuals At Risk")</f>
        <v>Freedom of Expression, Individuals At Risk</v>
      </c>
      <c r="I2177" s="1" t="str">
        <f ca="1">IFERROR(__xludf.DUMMYFUNCTION("""COMPUTED_VALUE"""),"2025")</f>
        <v>2025</v>
      </c>
      <c r="J2177" s="1" t="str">
        <f ca="1">IFERROR(__xludf.DUMMYFUNCTION("""COMPUTED_VALUE"""),"Email")</f>
        <v>Email</v>
      </c>
    </row>
    <row r="2178" spans="1:10" ht="13" x14ac:dyDescent="0.15">
      <c r="A2178" s="4">
        <f ca="1">IFERROR(__xludf.DUMMYFUNCTION("""COMPUTED_VALUE"""),271110070)</f>
        <v>271110070</v>
      </c>
      <c r="B2178" s="1" t="str">
        <f ca="1">IFERROR(__xludf.DUMMYFUNCTION("""COMPUTED_VALUE"""),"w-schramm@chello.at")</f>
        <v>w-schramm@chello.at</v>
      </c>
      <c r="C2178" s="4" t="str">
        <f ca="1">IFERROR(__xludf.DUMMYFUNCTION("""COMPUTED_VALUE"""),"EVERGREEN - UAN Gated Content - Embedded Petition")</f>
        <v>EVERGREEN - UAN Gated Content - Embedded Petition</v>
      </c>
      <c r="D2178" s="5">
        <f ca="1">IFERROR(__xludf.DUMMYFUNCTION("""COMPUTED_VALUE"""),45696)</f>
        <v>45696</v>
      </c>
      <c r="F2178" s="1" t="str">
        <f ca="1">IFERROR(__xludf.DUMMYFUNCTION("""COMPUTED_VALUE"""),"Israel and Occupied Palestinian Territories")</f>
        <v>Israel and Occupied Palestinian Territories</v>
      </c>
      <c r="G2178" s="1" t="str">
        <f ca="1">IFERROR(__xludf.DUMMYFUNCTION("""COMPUTED_VALUE"""),"4.25 USA")</f>
        <v>4.25 USA</v>
      </c>
      <c r="H2178" s="1" t="str">
        <f ca="1">IFERROR(__xludf.DUMMYFUNCTION("""COMPUTED_VALUE"""),"Individuals At Risk, Refugee and Migrant Rights")</f>
        <v>Individuals At Risk, Refugee and Migrant Rights</v>
      </c>
      <c r="I2178" s="1" t="str">
        <f ca="1">IFERROR(__xludf.DUMMYFUNCTION("""COMPUTED_VALUE"""),"2025")</f>
        <v>2025</v>
      </c>
      <c r="J2178" s="1" t="str">
        <f ca="1">IFERROR(__xludf.DUMMYFUNCTION("""COMPUTED_VALUE"""),"Letter")</f>
        <v>Letter</v>
      </c>
    </row>
    <row r="2179" spans="1:10" ht="13" x14ac:dyDescent="0.15">
      <c r="A2179" s="4">
        <f ca="1">IFERROR(__xludf.DUMMYFUNCTION("""COMPUTED_VALUE"""),271110070)</f>
        <v>271110070</v>
      </c>
      <c r="B2179" s="1" t="str">
        <f ca="1">IFERROR(__xludf.DUMMYFUNCTION("""COMPUTED_VALUE"""),"w-schramm@chello.at")</f>
        <v>w-schramm@chello.at</v>
      </c>
      <c r="C2179" s="4" t="str">
        <f ca="1">IFERROR(__xludf.DUMMYFUNCTION("""COMPUTED_VALUE"""),"EVERGREEN - UAN Gated Content - Embedded Petition")</f>
        <v>EVERGREEN - UAN Gated Content - Embedded Petition</v>
      </c>
      <c r="D2179" s="5">
        <f ca="1">IFERROR(__xludf.DUMMYFUNCTION("""COMPUTED_VALUE"""),45696)</f>
        <v>45696</v>
      </c>
      <c r="F2179" s="1" t="str">
        <f ca="1">IFERROR(__xludf.DUMMYFUNCTION("""COMPUTED_VALUE"""),"USA")</f>
        <v>USA</v>
      </c>
      <c r="G2179" s="1" t="str">
        <f ca="1">IFERROR(__xludf.DUMMYFUNCTION("""COMPUTED_VALUE"""),"1.25 Venezuela")</f>
        <v>1.25 Venezuela</v>
      </c>
      <c r="H2179" s="1" t="str">
        <f ca="1">IFERROR(__xludf.DUMMYFUNCTION("""COMPUTED_VALUE"""),"Human Rights Defenders, Individuals At Risk")</f>
        <v>Human Rights Defenders, Individuals At Risk</v>
      </c>
      <c r="I2179" s="1" t="str">
        <f ca="1">IFERROR(__xludf.DUMMYFUNCTION("""COMPUTED_VALUE"""),"2025")</f>
        <v>2025</v>
      </c>
      <c r="J2179" s="1" t="str">
        <f ca="1">IFERROR(__xludf.DUMMYFUNCTION("""COMPUTED_VALUE"""),"Letter")</f>
        <v>Letter</v>
      </c>
    </row>
    <row r="2180" spans="1:10" ht="13" x14ac:dyDescent="0.15">
      <c r="A2180" s="4">
        <f ca="1">IFERROR(__xludf.DUMMYFUNCTION("""COMPUTED_VALUE"""),271110070)</f>
        <v>271110070</v>
      </c>
      <c r="B2180" s="1" t="str">
        <f ca="1">IFERROR(__xludf.DUMMYFUNCTION("""COMPUTED_VALUE"""),"w-schramm@chello.at")</f>
        <v>w-schramm@chello.at</v>
      </c>
      <c r="C2180" s="4" t="str">
        <f ca="1">IFERROR(__xludf.DUMMYFUNCTION("""COMPUTED_VALUE"""),"EVERGREEN - UAN Gated Content - Embedded Petition")</f>
        <v>EVERGREEN - UAN Gated Content - Embedded Petition</v>
      </c>
      <c r="D2180" s="5">
        <f ca="1">IFERROR(__xludf.DUMMYFUNCTION("""COMPUTED_VALUE"""),45696)</f>
        <v>45696</v>
      </c>
      <c r="F2180" s="1" t="str">
        <f ca="1">IFERROR(__xludf.DUMMYFUNCTION("""COMPUTED_VALUE"""),"Venezuela")</f>
        <v>Venezuela</v>
      </c>
      <c r="G2180" s="1" t="str">
        <f ca="1">IFERROR(__xludf.DUMMYFUNCTION("""COMPUTED_VALUE"""),"4.25 USA")</f>
        <v>4.25 USA</v>
      </c>
      <c r="H2180" s="1" t="str">
        <f ca="1">IFERROR(__xludf.DUMMYFUNCTION("""COMPUTED_VALUE"""),"Individuals At Risk, Refugee and Migrant Rights")</f>
        <v>Individuals At Risk, Refugee and Migrant Rights</v>
      </c>
      <c r="I2180" s="1" t="str">
        <f ca="1">IFERROR(__xludf.DUMMYFUNCTION("""COMPUTED_VALUE"""),"2025")</f>
        <v>2025</v>
      </c>
      <c r="J2180" s="1" t="str">
        <f ca="1">IFERROR(__xludf.DUMMYFUNCTION("""COMPUTED_VALUE"""),"Letter")</f>
        <v>Letter</v>
      </c>
    </row>
    <row r="2181" spans="1:10" ht="13" x14ac:dyDescent="0.15">
      <c r="A2181" s="4">
        <f ca="1">IFERROR(__xludf.DUMMYFUNCTION("""COMPUTED_VALUE"""),271125362)</f>
        <v>271125362</v>
      </c>
      <c r="B2181" s="1" t="str">
        <f ca="1">IFERROR(__xludf.DUMMYFUNCTION("""COMPUTED_VALUE"""),"susmani@aiusa.org")</f>
        <v>susmani@aiusa.org</v>
      </c>
      <c r="C2181" s="4" t="str">
        <f ca="1">IFERROR(__xludf.DUMMYFUNCTION("""COMPUTED_VALUE"""),"EVERGREEN - Website Email Capture Form - UAN Pre-Footer")</f>
        <v>EVERGREEN - Website Email Capture Form - UAN Pre-Footer</v>
      </c>
      <c r="D2181" s="5">
        <f ca="1">IFERROR(__xludf.DUMMYFUNCTION("""COMPUTED_VALUE"""),45614)</f>
        <v>45614</v>
      </c>
      <c r="F2181" s="1" t="str">
        <f ca="1">IFERROR(__xludf.DUMMYFUNCTION("""COMPUTED_VALUE"""),"USA")</f>
        <v>USA</v>
      </c>
      <c r="G2181" s="1" t="str">
        <f ca="1">IFERROR(__xludf.DUMMYFUNCTION("""COMPUTED_VALUE"""),"Seventh 103.22 Iran")</f>
        <v>Seventh 103.22 Iran</v>
      </c>
      <c r="H2181" s="1" t="str">
        <f ca="1">IFERROR(__xludf.DUMMYFUNCTION("""COMPUTED_VALUE"""),"Death Penalty, Freedom of Expression, Individuals At Risk")</f>
        <v>Death Penalty, Freedom of Expression, Individuals At Risk</v>
      </c>
      <c r="I2181" s="1" t="str">
        <f ca="1">IFERROR(__xludf.DUMMYFUNCTION("""COMPUTED_VALUE"""),"2024")</f>
        <v>2024</v>
      </c>
      <c r="J2181" s="1" t="str">
        <f ca="1">IFERROR(__xludf.DUMMYFUNCTION("""COMPUTED_VALUE"""),"Email")</f>
        <v>Email</v>
      </c>
    </row>
    <row r="2182" spans="1:10" ht="13" x14ac:dyDescent="0.15">
      <c r="A2182" s="4">
        <f ca="1">IFERROR(__xludf.DUMMYFUNCTION("""COMPUTED_VALUE"""),271157700)</f>
        <v>271157700</v>
      </c>
      <c r="B2182" s="1" t="str">
        <f ca="1">IFERROR(__xludf.DUMMYFUNCTION("""COMPUTED_VALUE"""),"neil.heyden@gmail.com")</f>
        <v>neil.heyden@gmail.com</v>
      </c>
      <c r="C2182" s="4" t="str">
        <f ca="1">IFERROR(__xludf.DUMMYFUNCTION("""COMPUTED_VALUE"""),"EVERGREEN - UAN Gated Content - Embedded Petition")</f>
        <v>EVERGREEN - UAN Gated Content - Embedded Petition</v>
      </c>
      <c r="D2182" s="5">
        <f ca="1">IFERROR(__xludf.DUMMYFUNCTION("""COMPUTED_VALUE"""),45636)</f>
        <v>45636</v>
      </c>
      <c r="F2182" s="1" t="str">
        <f ca="1">IFERROR(__xludf.DUMMYFUNCTION("""COMPUTED_VALUE"""),"Iran")</f>
        <v>Iran</v>
      </c>
      <c r="G2182" s="1" t="str">
        <f ca="1">IFERROR(__xludf.DUMMYFUNCTION("""COMPUTED_VALUE"""),"106.24 China")</f>
        <v>106.24 China</v>
      </c>
      <c r="H2182" s="1" t="str">
        <f ca="1">IFERROR(__xludf.DUMMYFUNCTION("""COMPUTED_VALUE"""),"Freedom of Expression, Individuals At Risk")</f>
        <v>Freedom of Expression, Individuals At Risk</v>
      </c>
      <c r="I2182" s="1" t="str">
        <f ca="1">IFERROR(__xludf.DUMMYFUNCTION("""COMPUTED_VALUE"""),"2024")</f>
        <v>2024</v>
      </c>
      <c r="J2182" s="1" t="str">
        <f ca="1">IFERROR(__xludf.DUMMYFUNCTION("""COMPUTED_VALUE"""),"Email")</f>
        <v>Email</v>
      </c>
    </row>
    <row r="2183" spans="1:10" ht="13" x14ac:dyDescent="0.15">
      <c r="A2183" s="4">
        <f ca="1">IFERROR(__xludf.DUMMYFUNCTION("""COMPUTED_VALUE"""),271157700)</f>
        <v>271157700</v>
      </c>
      <c r="B2183" s="1" t="str">
        <f ca="1">IFERROR(__xludf.DUMMYFUNCTION("""COMPUTED_VALUE"""),"neil.heyden@gmail.com")</f>
        <v>neil.heyden@gmail.com</v>
      </c>
      <c r="C2183" s="4" t="str">
        <f ca="1">IFERROR(__xludf.DUMMYFUNCTION("""COMPUTED_VALUE"""),"EVERGREEN - UAN Gated Content - Embedded Petition")</f>
        <v>EVERGREEN - UAN Gated Content - Embedded Petition</v>
      </c>
      <c r="D2183" s="5">
        <f ca="1">IFERROR(__xludf.DUMMYFUNCTION("""COMPUTED_VALUE"""),45636)</f>
        <v>45636</v>
      </c>
      <c r="F2183" s="1" t="str">
        <f ca="1">IFERROR(__xludf.DUMMYFUNCTION("""COMPUTED_VALUE"""),"China")</f>
        <v>China</v>
      </c>
      <c r="G2183" s="1" t="str">
        <f ca="1">IFERROR(__xludf.DUMMYFUNCTION("""COMPUTED_VALUE"""),"103.24 Niger")</f>
        <v>103.24 Niger</v>
      </c>
      <c r="H2183" s="1" t="str">
        <f ca="1">IFERROR(__xludf.DUMMYFUNCTION("""COMPUTED_VALUE"""),"Freedom of Expression, Human Rights Defenders")</f>
        <v>Freedom of Expression, Human Rights Defenders</v>
      </c>
      <c r="I2183" s="1" t="str">
        <f ca="1">IFERROR(__xludf.DUMMYFUNCTION("""COMPUTED_VALUE"""),"2024")</f>
        <v>2024</v>
      </c>
      <c r="J2183" s="1" t="str">
        <f ca="1">IFERROR(__xludf.DUMMYFUNCTION("""COMPUTED_VALUE"""),"Email")</f>
        <v>Email</v>
      </c>
    </row>
    <row r="2184" spans="1:10" ht="13" x14ac:dyDescent="0.15">
      <c r="A2184" s="4">
        <f ca="1">IFERROR(__xludf.DUMMYFUNCTION("""COMPUTED_VALUE"""),271157700)</f>
        <v>271157700</v>
      </c>
      <c r="B2184" s="1" t="str">
        <f ca="1">IFERROR(__xludf.DUMMYFUNCTION("""COMPUTED_VALUE"""),"neil.heyden@gmail.com")</f>
        <v>neil.heyden@gmail.com</v>
      </c>
      <c r="C2184" s="4" t="str">
        <f ca="1">IFERROR(__xludf.DUMMYFUNCTION("""COMPUTED_VALUE"""),"EVERGREEN - UAN Gated Content - Embedded Petition")</f>
        <v>EVERGREEN - UAN Gated Content - Embedded Petition</v>
      </c>
      <c r="D2184" s="5">
        <f ca="1">IFERROR(__xludf.DUMMYFUNCTION("""COMPUTED_VALUE"""),45636)</f>
        <v>45636</v>
      </c>
      <c r="F2184" s="1" t="str">
        <f ca="1">IFERROR(__xludf.DUMMYFUNCTION("""COMPUTED_VALUE"""),"Niger")</f>
        <v>Niger</v>
      </c>
      <c r="G2184" s="1" t="str">
        <f ca="1">IFERROR(__xludf.DUMMYFUNCTION("""COMPUTED_VALUE"""),"88.24 Dominican Republic")</f>
        <v>88.24 Dominican Republic</v>
      </c>
      <c r="H2184" s="1" t="str">
        <f ca="1">IFERROR(__xludf.DUMMYFUNCTION("""COMPUTED_VALUE"""),"Individuals At Risk, Refugee and Migrant Rights")</f>
        <v>Individuals At Risk, Refugee and Migrant Rights</v>
      </c>
      <c r="I2184" s="1" t="str">
        <f ca="1">IFERROR(__xludf.DUMMYFUNCTION("""COMPUTED_VALUE"""),"2024")</f>
        <v>2024</v>
      </c>
      <c r="J2184" s="1" t="str">
        <f ca="1">IFERROR(__xludf.DUMMYFUNCTION("""COMPUTED_VALUE"""),"Letter")</f>
        <v>Letter</v>
      </c>
    </row>
    <row r="2185" spans="1:10" ht="13" x14ac:dyDescent="0.15">
      <c r="A2185" s="4">
        <f ca="1">IFERROR(__xludf.DUMMYFUNCTION("""COMPUTED_VALUE"""),271157700)</f>
        <v>271157700</v>
      </c>
      <c r="B2185" s="1" t="str">
        <f ca="1">IFERROR(__xludf.DUMMYFUNCTION("""COMPUTED_VALUE"""),"neil.heyden@gmail.com")</f>
        <v>neil.heyden@gmail.com</v>
      </c>
      <c r="C2185" s="4" t="str">
        <f ca="1">IFERROR(__xludf.DUMMYFUNCTION("""COMPUTED_VALUE"""),"EVERGREEN - UAN Gated Content - Embedded Petition")</f>
        <v>EVERGREEN - UAN Gated Content - Embedded Petition</v>
      </c>
      <c r="D2185" s="5">
        <f ca="1">IFERROR(__xludf.DUMMYFUNCTION("""COMPUTED_VALUE"""),45636)</f>
        <v>45636</v>
      </c>
      <c r="F2185" s="1" t="str">
        <f ca="1">IFERROR(__xludf.DUMMYFUNCTION("""COMPUTED_VALUE"""),"Dominican Republic")</f>
        <v>Dominican Republic</v>
      </c>
      <c r="G2185" s="1" t="str">
        <f ca="1">IFERROR(__xludf.DUMMYFUNCTION("""COMPUTED_VALUE"""),"11.25 Afghanistan")</f>
        <v>11.25 Afghanistan</v>
      </c>
      <c r="H2185" s="1" t="str">
        <f ca="1">IFERROR(__xludf.DUMMYFUNCTION("""COMPUTED_VALUE"""),"Freedom of Expression, Health, Individuals At Risk")</f>
        <v>Freedom of Expression, Health, Individuals At Risk</v>
      </c>
      <c r="I2185" s="1" t="str">
        <f ca="1">IFERROR(__xludf.DUMMYFUNCTION("""COMPUTED_VALUE"""),"2025")</f>
        <v>2025</v>
      </c>
      <c r="J2185" s="1" t="str">
        <f ca="1">IFERROR(__xludf.DUMMYFUNCTION("""COMPUTED_VALUE"""),"Email")</f>
        <v>Email</v>
      </c>
    </row>
    <row r="2186" spans="1:10" ht="13" x14ac:dyDescent="0.15">
      <c r="A2186" s="4">
        <f ca="1">IFERROR(__xludf.DUMMYFUNCTION("""COMPUTED_VALUE"""),271157700)</f>
        <v>271157700</v>
      </c>
      <c r="B2186" s="1" t="str">
        <f ca="1">IFERROR(__xludf.DUMMYFUNCTION("""COMPUTED_VALUE"""),"neil.heyden@gmail.com")</f>
        <v>neil.heyden@gmail.com</v>
      </c>
      <c r="C2186" s="4" t="str">
        <f ca="1">IFERROR(__xludf.DUMMYFUNCTION("""COMPUTED_VALUE"""),"EVERGREEN - UAN Gated Content - Embedded Petition")</f>
        <v>EVERGREEN - UAN Gated Content - Embedded Petition</v>
      </c>
      <c r="D2186" s="5">
        <f ca="1">IFERROR(__xludf.DUMMYFUNCTION("""COMPUTED_VALUE"""),45698)</f>
        <v>45698</v>
      </c>
      <c r="F2186" s="1" t="str">
        <f ca="1">IFERROR(__xludf.DUMMYFUNCTION("""COMPUTED_VALUE"""),"Afghanistan")</f>
        <v>Afghanistan</v>
      </c>
      <c r="G2186" s="1" t="str">
        <f ca="1">IFERROR(__xludf.DUMMYFUNCTION("""COMPUTED_VALUE"""),"10.25 Iran")</f>
        <v>10.25 Iran</v>
      </c>
      <c r="H2186" s="1" t="str">
        <f ca="1">IFERROR(__xludf.DUMMYFUNCTION("""COMPUTED_VALUE"""),"Death Penalty, Individuals At Risk")</f>
        <v>Death Penalty, Individuals At Risk</v>
      </c>
      <c r="I2186" s="1" t="str">
        <f ca="1">IFERROR(__xludf.DUMMYFUNCTION("""COMPUTED_VALUE"""),"2025")</f>
        <v>2025</v>
      </c>
      <c r="J2186" s="1" t="str">
        <f ca="1">IFERROR(__xludf.DUMMYFUNCTION("""COMPUTED_VALUE"""),"Email")</f>
        <v>Email</v>
      </c>
    </row>
    <row r="2187" spans="1:10" ht="13" x14ac:dyDescent="0.15">
      <c r="A2187" s="4">
        <f ca="1">IFERROR(__xludf.DUMMYFUNCTION("""COMPUTED_VALUE"""),271344927)</f>
        <v>271344927</v>
      </c>
      <c r="B2187" s="1" t="str">
        <f ca="1">IFERROR(__xludf.DUMMYFUNCTION("""COMPUTED_VALUE"""),"emilypodwoiska27@gmail.com")</f>
        <v>emilypodwoiska27@gmail.com</v>
      </c>
      <c r="C2187" s="4" t="str">
        <f ca="1">IFERROR(__xludf.DUMMYFUNCTION("""COMPUTED_VALUE"""),"EVERGREEN - UAN Gated Content - Embedded Petition")</f>
        <v>EVERGREEN - UAN Gated Content - Embedded Petition</v>
      </c>
      <c r="D2187" s="5">
        <f ca="1">IFERROR(__xludf.DUMMYFUNCTION("""COMPUTED_VALUE"""),45694)</f>
        <v>45694</v>
      </c>
      <c r="F2187" s="1" t="str">
        <f ca="1">IFERROR(__xludf.DUMMYFUNCTION("""COMPUTED_VALUE"""),"Iran")</f>
        <v>Iran</v>
      </c>
      <c r="G2187" s="1" t="str">
        <f ca="1">IFERROR(__xludf.DUMMYFUNCTION("""COMPUTED_VALUE"""),"92.24 Mexico")</f>
        <v>92.24 Mexico</v>
      </c>
      <c r="H2187" s="1" t="str">
        <f ca="1">IFERROR(__xludf.DUMMYFUNCTION("""COMPUTED_VALUE"""),"Human Rights Defenders")</f>
        <v>Human Rights Defenders</v>
      </c>
      <c r="I2187" s="1" t="str">
        <f ca="1">IFERROR(__xludf.DUMMYFUNCTION("""COMPUTED_VALUE"""),"2024")</f>
        <v>2024</v>
      </c>
      <c r="J2187" s="1" t="str">
        <f ca="1">IFERROR(__xludf.DUMMYFUNCTION("""COMPUTED_VALUE"""),"Email")</f>
        <v>Email</v>
      </c>
    </row>
    <row r="2188" spans="1:10" ht="13" x14ac:dyDescent="0.15">
      <c r="A2188" s="4">
        <f ca="1">IFERROR(__xludf.DUMMYFUNCTION("""COMPUTED_VALUE"""),271494066)</f>
        <v>271494066</v>
      </c>
      <c r="B2188" s="1" t="str">
        <f ca="1">IFERROR(__xludf.DUMMYFUNCTION("""COMPUTED_VALUE"""),"jgorton25@pacificridge.org")</f>
        <v>jgorton25@pacificridge.org</v>
      </c>
      <c r="C2188" s="4" t="str">
        <f ca="1">IFERROR(__xludf.DUMMYFUNCTION("""COMPUTED_VALUE"""),"EVERGREEN - UAN Gated Content - Embedded Petition")</f>
        <v>EVERGREEN - UAN Gated Content - Embedded Petition</v>
      </c>
      <c r="D2188" s="5">
        <f ca="1">IFERROR(__xludf.DUMMYFUNCTION("""COMPUTED_VALUE"""),45685)</f>
        <v>45685</v>
      </c>
      <c r="F2188" s="1" t="str">
        <f ca="1">IFERROR(__xludf.DUMMYFUNCTION("""COMPUTED_VALUE"""),"Mexico")</f>
        <v>Mexico</v>
      </c>
      <c r="G2188" s="1" t="str">
        <f ca="1">IFERROR(__xludf.DUMMYFUNCTION("""COMPUTED_VALUE"""),"4.25 USA")</f>
        <v>4.25 USA</v>
      </c>
      <c r="H2188" s="1" t="str">
        <f ca="1">IFERROR(__xludf.DUMMYFUNCTION("""COMPUTED_VALUE"""),"Individuals At Risk, Refugee and Migrant Rights")</f>
        <v>Individuals At Risk, Refugee and Migrant Rights</v>
      </c>
      <c r="I2188" s="1" t="str">
        <f ca="1">IFERROR(__xludf.DUMMYFUNCTION("""COMPUTED_VALUE"""),"2025")</f>
        <v>2025</v>
      </c>
      <c r="J2188" s="1" t="str">
        <f ca="1">IFERROR(__xludf.DUMMYFUNCTION("""COMPUTED_VALUE"""),"Letter")</f>
        <v>Letter</v>
      </c>
    </row>
    <row r="2189" spans="1:10" ht="13" x14ac:dyDescent="0.15">
      <c r="A2189" s="4">
        <f ca="1">IFERROR(__xludf.DUMMYFUNCTION("""COMPUTED_VALUE"""),271494116)</f>
        <v>271494116</v>
      </c>
      <c r="B2189" s="1" t="str">
        <f ca="1">IFERROR(__xludf.DUMMYFUNCTION("""COMPUTED_VALUE"""),"ogriffis26@pacificridge.org")</f>
        <v>ogriffis26@pacificridge.org</v>
      </c>
      <c r="C2189" s="4" t="str">
        <f ca="1">IFERROR(__xludf.DUMMYFUNCTION("""COMPUTED_VALUE"""),"EVERGREEN - UAN Gated Content - Embedded Petition")</f>
        <v>EVERGREEN - UAN Gated Content - Embedded Petition</v>
      </c>
      <c r="D2189" s="5">
        <f ca="1">IFERROR(__xludf.DUMMYFUNCTION("""COMPUTED_VALUE"""),45693)</f>
        <v>45693</v>
      </c>
      <c r="F2189" s="1" t="str">
        <f ca="1">IFERROR(__xludf.DUMMYFUNCTION("""COMPUTED_VALUE"""),"USA")</f>
        <v>USA</v>
      </c>
      <c r="G2189" s="1" t="str">
        <f ca="1">IFERROR(__xludf.DUMMYFUNCTION("""COMPUTED_VALUE"""),"3.25 IOPT")</f>
        <v>3.25 IOPT</v>
      </c>
      <c r="H2189" s="1" t="str">
        <f ca="1">IFERROR(__xludf.DUMMYFUNCTION("""COMPUTED_VALUE"""),"Freedom of Expression, Individuals At Risk")</f>
        <v>Freedom of Expression, Individuals At Risk</v>
      </c>
      <c r="I2189" s="1" t="str">
        <f ca="1">IFERROR(__xludf.DUMMYFUNCTION("""COMPUTED_VALUE"""),"2025")</f>
        <v>2025</v>
      </c>
      <c r="J2189" s="1" t="str">
        <f ca="1">IFERROR(__xludf.DUMMYFUNCTION("""COMPUTED_VALUE"""),"Email")</f>
        <v>Email</v>
      </c>
    </row>
    <row r="2190" spans="1:10" ht="13" x14ac:dyDescent="0.15">
      <c r="A2190" s="4">
        <f ca="1">IFERROR(__xludf.DUMMYFUNCTION("""COMPUTED_VALUE"""),271529394)</f>
        <v>271529394</v>
      </c>
      <c r="B2190" s="1" t="str">
        <f ca="1">IFERROR(__xludf.DUMMYFUNCTION("""COMPUTED_VALUE"""),"samertallauze@yahoo.com")</f>
        <v>samertallauze@yahoo.com</v>
      </c>
      <c r="C2190" s="4" t="str">
        <f ca="1">IFERROR(__xludf.DUMMYFUNCTION("""COMPUTED_VALUE"""),"EVERGREEN - UAN Gated Content - Embedded Petition")</f>
        <v>EVERGREEN - UAN Gated Content - Embedded Petition</v>
      </c>
      <c r="D2190" s="5">
        <f ca="1">IFERROR(__xludf.DUMMYFUNCTION("""COMPUTED_VALUE"""),45673)</f>
        <v>45673</v>
      </c>
      <c r="F2190" s="1" t="str">
        <f ca="1">IFERROR(__xludf.DUMMYFUNCTION("""COMPUTED_VALUE"""),"Israel and Occupied Palestinian Territories")</f>
        <v>Israel and Occupied Palestinian Territories</v>
      </c>
      <c r="G2190" s="1" t="str">
        <f ca="1">IFERROR(__xludf.DUMMYFUNCTION("""COMPUTED_VALUE"""),"103.24 Niger")</f>
        <v>103.24 Niger</v>
      </c>
      <c r="H2190" s="1" t="str">
        <f ca="1">IFERROR(__xludf.DUMMYFUNCTION("""COMPUTED_VALUE"""),"Freedom of Expression, Human Rights Defenders")</f>
        <v>Freedom of Expression, Human Rights Defenders</v>
      </c>
      <c r="I2190" s="1" t="str">
        <f ca="1">IFERROR(__xludf.DUMMYFUNCTION("""COMPUTED_VALUE"""),"2024")</f>
        <v>2024</v>
      </c>
      <c r="J2190" s="1" t="str">
        <f ca="1">IFERROR(__xludf.DUMMYFUNCTION("""COMPUTED_VALUE"""),"Email")</f>
        <v>Email</v>
      </c>
    </row>
    <row r="2191" spans="1:10" ht="13" x14ac:dyDescent="0.15">
      <c r="A2191" s="4">
        <f ca="1">IFERROR(__xludf.DUMMYFUNCTION("""COMPUTED_VALUE"""),271666438)</f>
        <v>271666438</v>
      </c>
      <c r="B2191" s="1" t="str">
        <f ca="1">IFERROR(__xludf.DUMMYFUNCTION("""COMPUTED_VALUE"""),"mvheesewijk@icloud.com")</f>
        <v>mvheesewijk@icloud.com</v>
      </c>
      <c r="C2191" s="4" t="str">
        <f ca="1">IFERROR(__xludf.DUMMYFUNCTION("""COMPUTED_VALUE"""),"EVERGREEN - UAN Gated Content - Embedded Petition")</f>
        <v>EVERGREEN - UAN Gated Content - Embedded Petition</v>
      </c>
      <c r="D2191" s="5">
        <f ca="1">IFERROR(__xludf.DUMMYFUNCTION("""COMPUTED_VALUE"""),45703)</f>
        <v>45703</v>
      </c>
      <c r="F2191" s="1" t="str">
        <f ca="1">IFERROR(__xludf.DUMMYFUNCTION("""COMPUTED_VALUE"""),"Niger")</f>
        <v>Niger</v>
      </c>
      <c r="G2191" s="1" t="str">
        <f ca="1">IFERROR(__xludf.DUMMYFUNCTION("""COMPUTED_VALUE"""),"Third 73.23 Egypt")</f>
        <v>Third 73.23 Egypt</v>
      </c>
      <c r="H2191" s="1" t="str">
        <f ca="1">IFERROR(__xludf.DUMMYFUNCTION("""COMPUTED_VALUE"""),"Individuals At Risk")</f>
        <v>Individuals At Risk</v>
      </c>
      <c r="I2191" s="1" t="str">
        <f ca="1">IFERROR(__xludf.DUMMYFUNCTION("""COMPUTED_VALUE"""),"2024")</f>
        <v>2024</v>
      </c>
      <c r="J2191" s="1" t="str">
        <f ca="1">IFERROR(__xludf.DUMMYFUNCTION("""COMPUTED_VALUE"""),"Email")</f>
        <v>Email</v>
      </c>
    </row>
    <row r="2192" spans="1:10" ht="13" x14ac:dyDescent="0.15">
      <c r="A2192" s="4">
        <f ca="1">IFERROR(__xludf.DUMMYFUNCTION("""COMPUTED_VALUE"""),272212710)</f>
        <v>272212710</v>
      </c>
      <c r="B2192" s="1" t="str">
        <f ca="1">IFERROR(__xludf.DUMMYFUNCTION("""COMPUTED_VALUE"""),"medonohue@outlook.com")</f>
        <v>medonohue@outlook.com</v>
      </c>
      <c r="C2192" s="4" t="str">
        <f ca="1">IFERROR(__xludf.DUMMYFUNCTION("""COMPUTED_VALUE"""),"EVERGREEN - UAN Gated Content - Embedded Petition")</f>
        <v>EVERGREEN - UAN Gated Content - Embedded Petition</v>
      </c>
      <c r="D2192" s="5">
        <f ca="1">IFERROR(__xludf.DUMMYFUNCTION("""COMPUTED_VALUE"""),45695)</f>
        <v>45695</v>
      </c>
      <c r="F2192" s="1" t="str">
        <f ca="1">IFERROR(__xludf.DUMMYFUNCTION("""COMPUTED_VALUE"""),"Egypt")</f>
        <v>Egypt</v>
      </c>
      <c r="G2192" s="1" t="str">
        <f ca="1">IFERROR(__xludf.DUMMYFUNCTION("""COMPUTED_VALUE"""),"103.24 Niger")</f>
        <v>103.24 Niger</v>
      </c>
      <c r="H2192" s="1" t="str">
        <f ca="1">IFERROR(__xludf.DUMMYFUNCTION("""COMPUTED_VALUE"""),"Freedom of Expression, Human Rights Defenders")</f>
        <v>Freedom of Expression, Human Rights Defenders</v>
      </c>
      <c r="I2192" s="1" t="str">
        <f ca="1">IFERROR(__xludf.DUMMYFUNCTION("""COMPUTED_VALUE"""),"2024")</f>
        <v>2024</v>
      </c>
      <c r="J2192" s="1" t="str">
        <f ca="1">IFERROR(__xludf.DUMMYFUNCTION("""COMPUTED_VALUE"""),"Email")</f>
        <v>Email</v>
      </c>
    </row>
    <row r="2193" spans="1:10" ht="13" x14ac:dyDescent="0.15">
      <c r="A2193" s="4">
        <f ca="1">IFERROR(__xludf.DUMMYFUNCTION("""COMPUTED_VALUE"""),272324914)</f>
        <v>272324914</v>
      </c>
      <c r="B2193" s="1" t="str">
        <f ca="1">IFERROR(__xludf.DUMMYFUNCTION("""COMPUTED_VALUE"""),"deirdreoreilly2005@yahoo.co.uk")</f>
        <v>deirdreoreilly2005@yahoo.co.uk</v>
      </c>
      <c r="C2193" s="4" t="str">
        <f ca="1">IFERROR(__xludf.DUMMYFUNCTION("""COMPUTED_VALUE"""),"EVERGREEN - UAN Gated Content - Embedded Petition")</f>
        <v>EVERGREEN - UAN Gated Content - Embedded Petition</v>
      </c>
      <c r="D2193" s="5">
        <f ca="1">IFERROR(__xludf.DUMMYFUNCTION("""COMPUTED_VALUE"""),45691)</f>
        <v>45691</v>
      </c>
      <c r="F2193" s="1" t="str">
        <f ca="1">IFERROR(__xludf.DUMMYFUNCTION("""COMPUTED_VALUE"""),"Niger")</f>
        <v>Niger</v>
      </c>
      <c r="G2193" s="1" t="str">
        <f ca="1">IFERROR(__xludf.DUMMYFUNCTION("""COMPUTED_VALUE"""),"Second 76.24 Tunisia")</f>
        <v>Second 76.24 Tunisia</v>
      </c>
      <c r="H2193" s="1" t="str">
        <f ca="1">IFERROR(__xludf.DUMMYFUNCTION("""COMPUTED_VALUE"""),"Freedom of Expression, Human Rights Defenders")</f>
        <v>Freedom of Expression, Human Rights Defenders</v>
      </c>
      <c r="I2193" s="1" t="str">
        <f ca="1">IFERROR(__xludf.DUMMYFUNCTION("""COMPUTED_VALUE"""),"2025")</f>
        <v>2025</v>
      </c>
      <c r="J2193" s="1" t="str">
        <f ca="1">IFERROR(__xludf.DUMMYFUNCTION("""COMPUTED_VALUE"""),"Email")</f>
        <v>Email</v>
      </c>
    </row>
    <row r="2194" spans="1:10" ht="13" x14ac:dyDescent="0.15">
      <c r="A2194" s="4">
        <f ca="1">IFERROR(__xludf.DUMMYFUNCTION("""COMPUTED_VALUE"""),272324914)</f>
        <v>272324914</v>
      </c>
      <c r="B2194" s="1" t="str">
        <f ca="1">IFERROR(__xludf.DUMMYFUNCTION("""COMPUTED_VALUE"""),"deirdreoreilly2005@yahoo.co.uk")</f>
        <v>deirdreoreilly2005@yahoo.co.uk</v>
      </c>
      <c r="C2194" s="4" t="str">
        <f ca="1">IFERROR(__xludf.DUMMYFUNCTION("""COMPUTED_VALUE"""),"EVERGREEN - UAN Gated Content - Embedded Petition")</f>
        <v>EVERGREEN - UAN Gated Content - Embedded Petition</v>
      </c>
      <c r="D2194" s="5">
        <f ca="1">IFERROR(__xludf.DUMMYFUNCTION("""COMPUTED_VALUE"""),45686)</f>
        <v>45686</v>
      </c>
      <c r="F2194" s="1" t="str">
        <f ca="1">IFERROR(__xludf.DUMMYFUNCTION("""COMPUTED_VALUE"""),"Tunisia")</f>
        <v>Tunisia</v>
      </c>
      <c r="G2194" s="1" t="str">
        <f ca="1">IFERROR(__xludf.DUMMYFUNCTION("""COMPUTED_VALUE"""),"Second 76.24 Tunisia")</f>
        <v>Second 76.24 Tunisia</v>
      </c>
      <c r="H2194" s="1" t="str">
        <f ca="1">IFERROR(__xludf.DUMMYFUNCTION("""COMPUTED_VALUE"""),"Freedom of Expression, Human Rights Defenders")</f>
        <v>Freedom of Expression, Human Rights Defenders</v>
      </c>
      <c r="I2194" s="1" t="str">
        <f ca="1">IFERROR(__xludf.DUMMYFUNCTION("""COMPUTED_VALUE"""),"2025")</f>
        <v>2025</v>
      </c>
      <c r="J2194" s="1" t="str">
        <f ca="1">IFERROR(__xludf.DUMMYFUNCTION("""COMPUTED_VALUE"""),"Email")</f>
        <v>Email</v>
      </c>
    </row>
    <row r="2195" spans="1:10" ht="13" x14ac:dyDescent="0.15">
      <c r="A2195" s="4">
        <f ca="1">IFERROR(__xludf.DUMMYFUNCTION("""COMPUTED_VALUE"""),272324914)</f>
        <v>272324914</v>
      </c>
      <c r="B2195" s="1" t="str">
        <f ca="1">IFERROR(__xludf.DUMMYFUNCTION("""COMPUTED_VALUE"""),"deirdreoreilly2005@yahoo.co.uk")</f>
        <v>deirdreoreilly2005@yahoo.co.uk</v>
      </c>
      <c r="C2195" s="4" t="str">
        <f ca="1">IFERROR(__xludf.DUMMYFUNCTION("""COMPUTED_VALUE"""),"EVERGREEN - UAN Gated Content - Embedded Petition")</f>
        <v>EVERGREEN - UAN Gated Content - Embedded Petition</v>
      </c>
      <c r="D2195" s="5">
        <f ca="1">IFERROR(__xludf.DUMMYFUNCTION("""COMPUTED_VALUE"""),45692)</f>
        <v>45692</v>
      </c>
      <c r="F2195" s="1" t="str">
        <f ca="1">IFERROR(__xludf.DUMMYFUNCTION("""COMPUTED_VALUE"""),"Tunisia")</f>
        <v>Tunisia</v>
      </c>
      <c r="G2195" s="1" t="str">
        <f ca="1">IFERROR(__xludf.DUMMYFUNCTION("""COMPUTED_VALUE"""),"Second 43.24 Tunisia")</f>
        <v>Second 43.24 Tunisia</v>
      </c>
      <c r="H2195" s="1" t="str">
        <f ca="1">IFERROR(__xludf.DUMMYFUNCTION("""COMPUTED_VALUE"""),"Freedom of Expression, Individuals At Risk")</f>
        <v>Freedom of Expression, Individuals At Risk</v>
      </c>
      <c r="I2195" s="1" t="str">
        <f ca="1">IFERROR(__xludf.DUMMYFUNCTION("""COMPUTED_VALUE"""),"2024")</f>
        <v>2024</v>
      </c>
      <c r="J2195" s="1" t="str">
        <f ca="1">IFERROR(__xludf.DUMMYFUNCTION("""COMPUTED_VALUE"""),"Email")</f>
        <v>Email</v>
      </c>
    </row>
    <row r="2196" spans="1:10" ht="13" x14ac:dyDescent="0.15">
      <c r="A2196" s="4">
        <f ca="1">IFERROR(__xludf.DUMMYFUNCTION("""COMPUTED_VALUE"""),272324914)</f>
        <v>272324914</v>
      </c>
      <c r="B2196" s="1" t="str">
        <f ca="1">IFERROR(__xludf.DUMMYFUNCTION("""COMPUTED_VALUE"""),"deirdreoreilly2005@yahoo.co.uk")</f>
        <v>deirdreoreilly2005@yahoo.co.uk</v>
      </c>
      <c r="C2196" s="4" t="str">
        <f ca="1">IFERROR(__xludf.DUMMYFUNCTION("""COMPUTED_VALUE"""),"EVERGREEN - UAN Gated Content - Embedded Petition")</f>
        <v>EVERGREEN - UAN Gated Content - Embedded Petition</v>
      </c>
      <c r="D2196" s="5">
        <f ca="1">IFERROR(__xludf.DUMMYFUNCTION("""COMPUTED_VALUE"""),45653)</f>
        <v>45653</v>
      </c>
      <c r="F2196" s="1" t="str">
        <f ca="1">IFERROR(__xludf.DUMMYFUNCTION("""COMPUTED_VALUE"""),"Tunisia")</f>
        <v>Tunisia</v>
      </c>
      <c r="G2196" s="1" t="str">
        <f ca="1">IFERROR(__xludf.DUMMYFUNCTION("""COMPUTED_VALUE"""),"1.25 Venezuela")</f>
        <v>1.25 Venezuela</v>
      </c>
      <c r="H2196" s="1" t="str">
        <f ca="1">IFERROR(__xludf.DUMMYFUNCTION("""COMPUTED_VALUE"""),"Human Rights Defenders, Individuals At Risk")</f>
        <v>Human Rights Defenders, Individuals At Risk</v>
      </c>
      <c r="I2196" s="1" t="str">
        <f ca="1">IFERROR(__xludf.DUMMYFUNCTION("""COMPUTED_VALUE"""),"2025")</f>
        <v>2025</v>
      </c>
      <c r="J2196" s="1" t="str">
        <f ca="1">IFERROR(__xludf.DUMMYFUNCTION("""COMPUTED_VALUE"""),"Letter")</f>
        <v>Letter</v>
      </c>
    </row>
    <row r="2197" spans="1:10" ht="13" x14ac:dyDescent="0.15">
      <c r="A2197" s="4">
        <f ca="1">IFERROR(__xludf.DUMMYFUNCTION("""COMPUTED_VALUE"""),272324914)</f>
        <v>272324914</v>
      </c>
      <c r="B2197" s="1" t="str">
        <f ca="1">IFERROR(__xludf.DUMMYFUNCTION("""COMPUTED_VALUE"""),"deirdreoreilly2005@yahoo.co.uk")</f>
        <v>deirdreoreilly2005@yahoo.co.uk</v>
      </c>
      <c r="C2197" s="4" t="str">
        <f ca="1">IFERROR(__xludf.DUMMYFUNCTION("""COMPUTED_VALUE"""),"EVERGREEN - UAN Gated Content - Embedded Petition")</f>
        <v>EVERGREEN - UAN Gated Content - Embedded Petition</v>
      </c>
      <c r="D2197" s="5">
        <f ca="1">IFERROR(__xludf.DUMMYFUNCTION("""COMPUTED_VALUE"""),45705)</f>
        <v>45705</v>
      </c>
      <c r="F2197" s="1" t="str">
        <f ca="1">IFERROR(__xludf.DUMMYFUNCTION("""COMPUTED_VALUE"""),"Venezuela")</f>
        <v>Venezuela</v>
      </c>
      <c r="G2197" s="1" t="str">
        <f ca="1">IFERROR(__xludf.DUMMYFUNCTION("""COMPUTED_VALUE"""),"Third 73.23 Egypt")</f>
        <v>Third 73.23 Egypt</v>
      </c>
      <c r="H2197" s="1" t="str">
        <f ca="1">IFERROR(__xludf.DUMMYFUNCTION("""COMPUTED_VALUE"""),"Individuals At Risk")</f>
        <v>Individuals At Risk</v>
      </c>
      <c r="I2197" s="1" t="str">
        <f ca="1">IFERROR(__xludf.DUMMYFUNCTION("""COMPUTED_VALUE"""),"2024")</f>
        <v>2024</v>
      </c>
      <c r="J2197" s="1" t="str">
        <f ca="1">IFERROR(__xludf.DUMMYFUNCTION("""COMPUTED_VALUE"""),"Email")</f>
        <v>Email</v>
      </c>
    </row>
    <row r="2198" spans="1:10" ht="13" x14ac:dyDescent="0.15">
      <c r="A2198" s="4">
        <f ca="1">IFERROR(__xludf.DUMMYFUNCTION("""COMPUTED_VALUE"""),272324914)</f>
        <v>272324914</v>
      </c>
      <c r="B2198" s="1" t="str">
        <f ca="1">IFERROR(__xludf.DUMMYFUNCTION("""COMPUTED_VALUE"""),"deirdreoreilly2005@yahoo.co.uk")</f>
        <v>deirdreoreilly2005@yahoo.co.uk</v>
      </c>
      <c r="C2198" s="4" t="str">
        <f ca="1">IFERROR(__xludf.DUMMYFUNCTION("""COMPUTED_VALUE"""),"EVERGREEN - UAN Gated Content - Embedded Petition")</f>
        <v>EVERGREEN - UAN Gated Content - Embedded Petition</v>
      </c>
      <c r="D2198" s="5">
        <f ca="1">IFERROR(__xludf.DUMMYFUNCTION("""COMPUTED_VALUE"""),45706)</f>
        <v>45706</v>
      </c>
      <c r="F2198" s="1" t="str">
        <f ca="1">IFERROR(__xludf.DUMMYFUNCTION("""COMPUTED_VALUE"""),"Egypt")</f>
        <v>Egypt</v>
      </c>
      <c r="G2198" s="1" t="str">
        <f ca="1">IFERROR(__xludf.DUMMYFUNCTION("""COMPUTED_VALUE"""),"Second 76.24 Tunisia")</f>
        <v>Second 76.24 Tunisia</v>
      </c>
      <c r="H2198" s="1" t="str">
        <f ca="1">IFERROR(__xludf.DUMMYFUNCTION("""COMPUTED_VALUE"""),"Freedom of Expression, Human Rights Defenders")</f>
        <v>Freedom of Expression, Human Rights Defenders</v>
      </c>
      <c r="I2198" s="1" t="str">
        <f ca="1">IFERROR(__xludf.DUMMYFUNCTION("""COMPUTED_VALUE"""),"2025")</f>
        <v>2025</v>
      </c>
      <c r="J2198" s="1" t="str">
        <f ca="1">IFERROR(__xludf.DUMMYFUNCTION("""COMPUTED_VALUE"""),"Email")</f>
        <v>Email</v>
      </c>
    </row>
    <row r="2199" spans="1:10" ht="13" x14ac:dyDescent="0.15">
      <c r="A2199" s="4">
        <f ca="1">IFERROR(__xludf.DUMMYFUNCTION("""COMPUTED_VALUE"""),272324914)</f>
        <v>272324914</v>
      </c>
      <c r="B2199" s="1" t="str">
        <f ca="1">IFERROR(__xludf.DUMMYFUNCTION("""COMPUTED_VALUE"""),"deirdreoreilly2005@yahoo.co.uk")</f>
        <v>deirdreoreilly2005@yahoo.co.uk</v>
      </c>
      <c r="C2199" s="4" t="str">
        <f ca="1">IFERROR(__xludf.DUMMYFUNCTION("""COMPUTED_VALUE"""),"EVERGREEN - Website Email Capture Form - UAN Pre-Footer")</f>
        <v>EVERGREEN - Website Email Capture Form - UAN Pre-Footer</v>
      </c>
      <c r="D2199" s="5">
        <f ca="1">IFERROR(__xludf.DUMMYFUNCTION("""COMPUTED_VALUE"""),45699)</f>
        <v>45699</v>
      </c>
      <c r="F2199" s="1" t="str">
        <f ca="1">IFERROR(__xludf.DUMMYFUNCTION("""COMPUTED_VALUE"""),"Tunisia")</f>
        <v>Tunisia</v>
      </c>
      <c r="G2199" s="1" t="str">
        <f ca="1">IFERROR(__xludf.DUMMYFUNCTION("""COMPUTED_VALUE"""),"Second 76.24 Tunisia")</f>
        <v>Second 76.24 Tunisia</v>
      </c>
      <c r="H2199" s="1" t="str">
        <f ca="1">IFERROR(__xludf.DUMMYFUNCTION("""COMPUTED_VALUE"""),"Freedom of Expression, Human Rights Defenders")</f>
        <v>Freedom of Expression, Human Rights Defenders</v>
      </c>
      <c r="I2199" s="1" t="str">
        <f ca="1">IFERROR(__xludf.DUMMYFUNCTION("""COMPUTED_VALUE"""),"2025")</f>
        <v>2025</v>
      </c>
      <c r="J2199" s="1" t="str">
        <f ca="1">IFERROR(__xludf.DUMMYFUNCTION("""COMPUTED_VALUE"""),"Email")</f>
        <v>Email</v>
      </c>
    </row>
    <row r="2200" spans="1:10" ht="13" x14ac:dyDescent="0.15">
      <c r="A2200" s="4">
        <f ca="1">IFERROR(__xludf.DUMMYFUNCTION("""COMPUTED_VALUE"""),272729444)</f>
        <v>272729444</v>
      </c>
      <c r="B2200" s="1" t="str">
        <f ca="1">IFERROR(__xludf.DUMMYFUNCTION("""COMPUTED_VALUE"""),"kaitlyncoppola@gmail.com")</f>
        <v>kaitlyncoppola@gmail.com</v>
      </c>
      <c r="C2200" s="4" t="str">
        <f ca="1">IFERROR(__xludf.DUMMYFUNCTION("""COMPUTED_VALUE"""),"EVERGREEN - UAN Gated Content - Embedded Petition")</f>
        <v>EVERGREEN - UAN Gated Content - Embedded Petition</v>
      </c>
      <c r="D2200" s="5">
        <f ca="1">IFERROR(__xludf.DUMMYFUNCTION("""COMPUTED_VALUE"""),45672)</f>
        <v>45672</v>
      </c>
      <c r="F2200" s="1" t="str">
        <f ca="1">IFERROR(__xludf.DUMMYFUNCTION("""COMPUTED_VALUE"""),"Tunisia")</f>
        <v>Tunisia</v>
      </c>
      <c r="G2200" s="1" t="str">
        <f ca="1">IFERROR(__xludf.DUMMYFUNCTION("""COMPUTED_VALUE"""),"Seventh 103.22 Iran")</f>
        <v>Seventh 103.22 Iran</v>
      </c>
      <c r="H2200" s="1" t="str">
        <f ca="1">IFERROR(__xludf.DUMMYFUNCTION("""COMPUTED_VALUE"""),"Death Penalty, Freedom of Expression, Individuals At Risk")</f>
        <v>Death Penalty, Freedom of Expression, Individuals At Risk</v>
      </c>
      <c r="I2200" s="1" t="str">
        <f ca="1">IFERROR(__xludf.DUMMYFUNCTION("""COMPUTED_VALUE"""),"2024")</f>
        <v>2024</v>
      </c>
      <c r="J2200" s="1" t="str">
        <f ca="1">IFERROR(__xludf.DUMMYFUNCTION("""COMPUTED_VALUE"""),"Email")</f>
        <v>Email</v>
      </c>
    </row>
    <row r="2201" spans="1:10" ht="13" x14ac:dyDescent="0.15">
      <c r="A2201" s="4">
        <f ca="1">IFERROR(__xludf.DUMMYFUNCTION("""COMPUTED_VALUE"""),272729482)</f>
        <v>272729482</v>
      </c>
      <c r="B2201" s="1" t="str">
        <f ca="1">IFERROR(__xludf.DUMMYFUNCTION("""COMPUTED_VALUE"""),"omama.marzuq@gmail.com")</f>
        <v>omama.marzuq@gmail.com</v>
      </c>
      <c r="C2201" s="4" t="str">
        <f ca="1">IFERROR(__xludf.DUMMYFUNCTION("""COMPUTED_VALUE"""),"EVERGREEN - UAN Gated Content - Embedded Petition")</f>
        <v>EVERGREEN - UAN Gated Content - Embedded Petition</v>
      </c>
      <c r="D2201" s="5">
        <f ca="1">IFERROR(__xludf.DUMMYFUNCTION("""COMPUTED_VALUE"""),45672)</f>
        <v>45672</v>
      </c>
      <c r="F2201" s="1" t="str">
        <f ca="1">IFERROR(__xludf.DUMMYFUNCTION("""COMPUTED_VALUE"""),"Iran")</f>
        <v>Iran</v>
      </c>
      <c r="G2201" s="1" t="str">
        <f ca="1">IFERROR(__xludf.DUMMYFUNCTION("""COMPUTED_VALUE"""),"3.25 IOPT")</f>
        <v>3.25 IOPT</v>
      </c>
      <c r="H2201" s="1" t="str">
        <f ca="1">IFERROR(__xludf.DUMMYFUNCTION("""COMPUTED_VALUE"""),"Freedom of Expression, Individuals At Risk")</f>
        <v>Freedom of Expression, Individuals At Risk</v>
      </c>
      <c r="I2201" s="1" t="str">
        <f ca="1">IFERROR(__xludf.DUMMYFUNCTION("""COMPUTED_VALUE"""),"2025")</f>
        <v>2025</v>
      </c>
      <c r="J2201" s="1" t="str">
        <f ca="1">IFERROR(__xludf.DUMMYFUNCTION("""COMPUTED_VALUE"""),"Email")</f>
        <v>Email</v>
      </c>
    </row>
    <row r="2202" spans="1:10" ht="13" x14ac:dyDescent="0.15">
      <c r="A2202" s="4">
        <f ca="1">IFERROR(__xludf.DUMMYFUNCTION("""COMPUTED_VALUE"""),272976613)</f>
        <v>272976613</v>
      </c>
      <c r="B2202" s="1" t="str">
        <f ca="1">IFERROR(__xludf.DUMMYFUNCTION("""COMPUTED_VALUE"""),"venla.annukka@gmail.com")</f>
        <v>venla.annukka@gmail.com</v>
      </c>
      <c r="C2202" s="4" t="str">
        <f ca="1">IFERROR(__xludf.DUMMYFUNCTION("""COMPUTED_VALUE"""),"EVERGREEN - UAN Gated Content - Embedded Petition")</f>
        <v>EVERGREEN - UAN Gated Content - Embedded Petition</v>
      </c>
      <c r="D2202" s="5">
        <f ca="1">IFERROR(__xludf.DUMMYFUNCTION("""COMPUTED_VALUE"""),45704)</f>
        <v>45704</v>
      </c>
      <c r="F2202" s="1" t="str">
        <f ca="1">IFERROR(__xludf.DUMMYFUNCTION("""COMPUTED_VALUE"""),"Israel and Occupied Palestinian Territories")</f>
        <v>Israel and Occupied Palestinian Territories</v>
      </c>
      <c r="G2202" s="1" t="str">
        <f ca="1">IFERROR(__xludf.DUMMYFUNCTION("""COMPUTED_VALUE"""),"4.25 USA")</f>
        <v>4.25 USA</v>
      </c>
      <c r="H2202" s="1" t="str">
        <f ca="1">IFERROR(__xludf.DUMMYFUNCTION("""COMPUTED_VALUE"""),"Individuals At Risk, Refugee and Migrant Rights")</f>
        <v>Individuals At Risk, Refugee and Migrant Rights</v>
      </c>
      <c r="I2202" s="1" t="str">
        <f ca="1">IFERROR(__xludf.DUMMYFUNCTION("""COMPUTED_VALUE"""),"2025")</f>
        <v>2025</v>
      </c>
      <c r="J2202" s="1" t="str">
        <f ca="1">IFERROR(__xludf.DUMMYFUNCTION("""COMPUTED_VALUE"""),"Letter")</f>
        <v>Letter</v>
      </c>
    </row>
    <row r="2203" spans="1:10" ht="13" x14ac:dyDescent="0.15">
      <c r="A2203" s="4">
        <f ca="1">IFERROR(__xludf.DUMMYFUNCTION("""COMPUTED_VALUE"""),273007733)</f>
        <v>273007733</v>
      </c>
      <c r="B2203" s="1" t="str">
        <f ca="1">IFERROR(__xludf.DUMMYFUNCTION("""COMPUTED_VALUE"""),"cassandratorrico@yahoo.com")</f>
        <v>cassandratorrico@yahoo.com</v>
      </c>
      <c r="C2203" s="4" t="str">
        <f ca="1">IFERROR(__xludf.DUMMYFUNCTION("""COMPUTED_VALUE"""),"EVERGREEN - UAN Gated Content - Embedded Petition")</f>
        <v>EVERGREEN - UAN Gated Content - Embedded Petition</v>
      </c>
      <c r="D2203" s="5">
        <f ca="1">IFERROR(__xludf.DUMMYFUNCTION("""COMPUTED_VALUE"""),45672)</f>
        <v>45672</v>
      </c>
      <c r="F2203" s="1" t="str">
        <f ca="1">IFERROR(__xludf.DUMMYFUNCTION("""COMPUTED_VALUE"""),"USA")</f>
        <v>USA</v>
      </c>
      <c r="G2203" s="1" t="str">
        <f ca="1">IFERROR(__xludf.DUMMYFUNCTION("""COMPUTED_VALUE"""),"Seventh 103.22 Iran")</f>
        <v>Seventh 103.22 Iran</v>
      </c>
      <c r="H2203" s="1" t="str">
        <f ca="1">IFERROR(__xludf.DUMMYFUNCTION("""COMPUTED_VALUE"""),"Death Penalty, Freedom of Expression, Individuals At Risk")</f>
        <v>Death Penalty, Freedom of Expression, Individuals At Risk</v>
      </c>
      <c r="I2203" s="1" t="str">
        <f ca="1">IFERROR(__xludf.DUMMYFUNCTION("""COMPUTED_VALUE"""),"2024")</f>
        <v>2024</v>
      </c>
      <c r="J2203" s="1" t="str">
        <f ca="1">IFERROR(__xludf.DUMMYFUNCTION("""COMPUTED_VALUE"""),"Email")</f>
        <v>Email</v>
      </c>
    </row>
    <row r="2204" spans="1:10" ht="13" x14ac:dyDescent="0.15">
      <c r="A2204" s="4">
        <f ca="1">IFERROR(__xludf.DUMMYFUNCTION("""COMPUTED_VALUE"""),273008441)</f>
        <v>273008441</v>
      </c>
      <c r="B2204" s="1" t="str">
        <f ca="1">IFERROR(__xludf.DUMMYFUNCTION("""COMPUTED_VALUE"""),"happpymomoften@gmail.com")</f>
        <v>happpymomoften@gmail.com</v>
      </c>
      <c r="C2204" s="4" t="str">
        <f ca="1">IFERROR(__xludf.DUMMYFUNCTION("""COMPUTED_VALUE"""),"EVERGREEN - Website Email Capture Form - UAN Pre-Footer")</f>
        <v>EVERGREEN - Website Email Capture Form - UAN Pre-Footer</v>
      </c>
      <c r="D2204" s="5">
        <f ca="1">IFERROR(__xludf.DUMMYFUNCTION("""COMPUTED_VALUE"""),45670)</f>
        <v>45670</v>
      </c>
      <c r="F2204" s="1" t="str">
        <f ca="1">IFERROR(__xludf.DUMMYFUNCTION("""COMPUTED_VALUE"""),"Iran")</f>
        <v>Iran</v>
      </c>
      <c r="G2204" s="1" t="str">
        <f ca="1">IFERROR(__xludf.DUMMYFUNCTION("""COMPUTED_VALUE"""),"107.24 Singapore")</f>
        <v>107.24 Singapore</v>
      </c>
      <c r="H2204" s="1" t="str">
        <f ca="1">IFERROR(__xludf.DUMMYFUNCTION("""COMPUTED_VALUE"""),"Death Penalty")</f>
        <v>Death Penalty</v>
      </c>
      <c r="I2204" s="1" t="str">
        <f ca="1">IFERROR(__xludf.DUMMYFUNCTION("""COMPUTED_VALUE"""),"2024")</f>
        <v>2024</v>
      </c>
      <c r="J2204" s="1" t="str">
        <f ca="1">IFERROR(__xludf.DUMMYFUNCTION("""COMPUTED_VALUE"""),"Email")</f>
        <v>Email</v>
      </c>
    </row>
    <row r="2205" spans="1:10" ht="13" x14ac:dyDescent="0.15">
      <c r="A2205" s="4">
        <f ca="1">IFERROR(__xludf.DUMMYFUNCTION("""COMPUTED_VALUE"""),273406380)</f>
        <v>273406380</v>
      </c>
      <c r="B2205" s="1" t="str">
        <f ca="1">IFERROR(__xludf.DUMMYFUNCTION("""COMPUTED_VALUE"""),"rzhang0326@berkeley.edu")</f>
        <v>rzhang0326@berkeley.edu</v>
      </c>
      <c r="C2205" s="4" t="str">
        <f ca="1">IFERROR(__xludf.DUMMYFUNCTION("""COMPUTED_VALUE"""),"EVERGREEN - UAN Gated Content - Embedded Petition")</f>
        <v>EVERGREEN - UAN Gated Content - Embedded Petition</v>
      </c>
      <c r="D2205" s="5">
        <f ca="1">IFERROR(__xludf.DUMMYFUNCTION("""COMPUTED_VALUE"""),45691)</f>
        <v>45691</v>
      </c>
      <c r="F2205" s="1" t="str">
        <f ca="1">IFERROR(__xludf.DUMMYFUNCTION("""COMPUTED_VALUE"""),"Singapore")</f>
        <v>Singapore</v>
      </c>
      <c r="G2205" s="1" t="str">
        <f ca="1">IFERROR(__xludf.DUMMYFUNCTION("""COMPUTED_VALUE"""),"101.24 Iran")</f>
        <v>101.24 Iran</v>
      </c>
      <c r="H2205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2205" s="1" t="str">
        <f ca="1">IFERROR(__xludf.DUMMYFUNCTION("""COMPUTED_VALUE"""),"2024")</f>
        <v>2024</v>
      </c>
      <c r="J2205" s="1" t="str">
        <f ca="1">IFERROR(__xludf.DUMMYFUNCTION("""COMPUTED_VALUE"""),"Email")</f>
        <v>Email</v>
      </c>
    </row>
    <row r="2206" spans="1:10" ht="13" x14ac:dyDescent="0.15">
      <c r="A2206" s="4">
        <f ca="1">IFERROR(__xludf.DUMMYFUNCTION("""COMPUTED_VALUE"""),273429702)</f>
        <v>273429702</v>
      </c>
      <c r="B2206" s="1" t="str">
        <f ca="1">IFERROR(__xludf.DUMMYFUNCTION("""COMPUTED_VALUE"""),"david92rm@gmail.com")</f>
        <v>david92rm@gmail.com</v>
      </c>
      <c r="C2206" s="4" t="str">
        <f ca="1">IFERROR(__xludf.DUMMYFUNCTION("""COMPUTED_VALUE"""),"EVERGREEN - UAN Gated Content - Embedded Petition")</f>
        <v>EVERGREEN - UAN Gated Content - Embedded Petition</v>
      </c>
      <c r="D2206" s="5">
        <f ca="1">IFERROR(__xludf.DUMMYFUNCTION("""COMPUTED_VALUE"""),45697)</f>
        <v>45697</v>
      </c>
      <c r="F2206" s="1" t="str">
        <f ca="1">IFERROR(__xludf.DUMMYFUNCTION("""COMPUTED_VALUE"""),"Iran")</f>
        <v>Iran</v>
      </c>
      <c r="G2206" s="1" t="str">
        <f ca="1">IFERROR(__xludf.DUMMYFUNCTION("""COMPUTED_VALUE"""),"107.24 Singapore")</f>
        <v>107.24 Singapore</v>
      </c>
      <c r="H2206" s="1" t="str">
        <f ca="1">IFERROR(__xludf.DUMMYFUNCTION("""COMPUTED_VALUE"""),"Death Penalty")</f>
        <v>Death Penalty</v>
      </c>
      <c r="I2206" s="1" t="str">
        <f ca="1">IFERROR(__xludf.DUMMYFUNCTION("""COMPUTED_VALUE"""),"2024")</f>
        <v>2024</v>
      </c>
      <c r="J2206" s="1" t="str">
        <f ca="1">IFERROR(__xludf.DUMMYFUNCTION("""COMPUTED_VALUE"""),"Email")</f>
        <v>Email</v>
      </c>
    </row>
    <row r="2207" spans="1:10" ht="13" x14ac:dyDescent="0.15">
      <c r="A2207" s="4">
        <f ca="1">IFERROR(__xludf.DUMMYFUNCTION("""COMPUTED_VALUE"""),273580132)</f>
        <v>273580132</v>
      </c>
      <c r="B2207" s="1" t="str">
        <f ca="1">IFERROR(__xludf.DUMMYFUNCTION("""COMPUTED_VALUE"""),"swambo6@gmail.com")</f>
        <v>swambo6@gmail.com</v>
      </c>
      <c r="C2207" s="4" t="str">
        <f ca="1">IFERROR(__xludf.DUMMYFUNCTION("""COMPUTED_VALUE"""),"EVERGREEN - UAN Gated Content - Embedded Petition")</f>
        <v>EVERGREEN - UAN Gated Content - Embedded Petition</v>
      </c>
      <c r="D2207" s="5">
        <f ca="1">IFERROR(__xludf.DUMMYFUNCTION("""COMPUTED_VALUE"""),45697)</f>
        <v>45697</v>
      </c>
      <c r="F2207" s="1" t="str">
        <f ca="1">IFERROR(__xludf.DUMMYFUNCTION("""COMPUTED_VALUE"""),"Singapore")</f>
        <v>Singapore</v>
      </c>
      <c r="G2207" s="1" t="str">
        <f ca="1">IFERROR(__xludf.DUMMYFUNCTION("""COMPUTED_VALUE"""),"Second 76.24 Tunisia")</f>
        <v>Second 76.24 Tunisia</v>
      </c>
      <c r="H2207" s="1" t="str">
        <f ca="1">IFERROR(__xludf.DUMMYFUNCTION("""COMPUTED_VALUE"""),"Freedom of Expression, Human Rights Defenders")</f>
        <v>Freedom of Expression, Human Rights Defenders</v>
      </c>
      <c r="I2207" s="1" t="str">
        <f ca="1">IFERROR(__xludf.DUMMYFUNCTION("""COMPUTED_VALUE"""),"2025")</f>
        <v>2025</v>
      </c>
      <c r="J2207" s="1" t="str">
        <f ca="1">IFERROR(__xludf.DUMMYFUNCTION("""COMPUTED_VALUE"""),"Email")</f>
        <v>Email</v>
      </c>
    </row>
    <row r="2208" spans="1:10" ht="13" x14ac:dyDescent="0.15">
      <c r="A2208" s="4">
        <f ca="1">IFERROR(__xludf.DUMMYFUNCTION("""COMPUTED_VALUE"""),273644162)</f>
        <v>273644162</v>
      </c>
      <c r="B2208" s="1" t="str">
        <f ca="1">IFERROR(__xludf.DUMMYFUNCTION("""COMPUTED_VALUE"""),"cheryl.greenberg@trincoll.edu")</f>
        <v>cheryl.greenberg@trincoll.edu</v>
      </c>
      <c r="C2208" s="4" t="str">
        <f ca="1">IFERROR(__xludf.DUMMYFUNCTION("""COMPUTED_VALUE"""),"EVERGREEN - UAN Gated Content - Embedded Petition")</f>
        <v>EVERGREEN - UAN Gated Content - Embedded Petition</v>
      </c>
      <c r="D2208" s="5">
        <f ca="1">IFERROR(__xludf.DUMMYFUNCTION("""COMPUTED_VALUE"""),45700)</f>
        <v>45700</v>
      </c>
      <c r="F2208" s="1" t="str">
        <f ca="1">IFERROR(__xludf.DUMMYFUNCTION("""COMPUTED_VALUE"""),"Tunisia")</f>
        <v>Tunisia</v>
      </c>
      <c r="G2208" s="1" t="str">
        <f ca="1">IFERROR(__xludf.DUMMYFUNCTION("""COMPUTED_VALUE"""),"3.25 IOPT")</f>
        <v>3.25 IOPT</v>
      </c>
      <c r="H2208" s="1" t="str">
        <f ca="1">IFERROR(__xludf.DUMMYFUNCTION("""COMPUTED_VALUE"""),"Freedom of Expression, Individuals At Risk")</f>
        <v>Freedom of Expression, Individuals At Risk</v>
      </c>
      <c r="I2208" s="1" t="str">
        <f ca="1">IFERROR(__xludf.DUMMYFUNCTION("""COMPUTED_VALUE"""),"2025")</f>
        <v>2025</v>
      </c>
      <c r="J2208" s="1" t="str">
        <f ca="1">IFERROR(__xludf.DUMMYFUNCTION("""COMPUTED_VALUE"""),"Email")</f>
        <v>Email</v>
      </c>
    </row>
    <row r="2209" spans="1:10" ht="13" x14ac:dyDescent="0.15">
      <c r="A2209" s="4">
        <f ca="1">IFERROR(__xludf.DUMMYFUNCTION("""COMPUTED_VALUE"""),273644162)</f>
        <v>273644162</v>
      </c>
      <c r="B2209" s="1" t="str">
        <f ca="1">IFERROR(__xludf.DUMMYFUNCTION("""COMPUTED_VALUE"""),"cheryl.greenberg@trincoll.edu")</f>
        <v>cheryl.greenberg@trincoll.edu</v>
      </c>
      <c r="C2209" s="4" t="str">
        <f ca="1">IFERROR(__xludf.DUMMYFUNCTION("""COMPUTED_VALUE"""),"UAN mid-page Lightbox - Step 1 of 4 - Landing Page")</f>
        <v>UAN mid-page Lightbox - Step 1 of 4 - Landing Page</v>
      </c>
      <c r="D2209" s="5">
        <f ca="1">IFERROR(__xludf.DUMMYFUNCTION("""COMPUTED_VALUE"""),45679)</f>
        <v>45679</v>
      </c>
      <c r="F2209" s="1" t="str">
        <f ca="1">IFERROR(__xludf.DUMMYFUNCTION("""COMPUTED_VALUE"""),"Israel and Occupied Palestinian Territories")</f>
        <v>Israel and Occupied Palestinian Territories</v>
      </c>
      <c r="G2209" s="1" t="str">
        <f ca="1">IFERROR(__xludf.DUMMYFUNCTION("""COMPUTED_VALUE"""),"3.25 IOPT")</f>
        <v>3.25 IOPT</v>
      </c>
      <c r="H2209" s="1" t="str">
        <f ca="1">IFERROR(__xludf.DUMMYFUNCTION("""COMPUTED_VALUE"""),"Freedom of Expression, Individuals At Risk")</f>
        <v>Freedom of Expression, Individuals At Risk</v>
      </c>
      <c r="I2209" s="1" t="str">
        <f ca="1">IFERROR(__xludf.DUMMYFUNCTION("""COMPUTED_VALUE"""),"2025")</f>
        <v>2025</v>
      </c>
      <c r="J2209" s="1" t="str">
        <f ca="1">IFERROR(__xludf.DUMMYFUNCTION("""COMPUTED_VALUE"""),"Email")</f>
        <v>Email</v>
      </c>
    </row>
    <row r="2210" spans="1:10" ht="13" x14ac:dyDescent="0.15">
      <c r="A2210" s="4">
        <f ca="1">IFERROR(__xludf.DUMMYFUNCTION("""COMPUTED_VALUE"""),273644162)</f>
        <v>273644162</v>
      </c>
      <c r="B2210" s="1" t="str">
        <f ca="1">IFERROR(__xludf.DUMMYFUNCTION("""COMPUTED_VALUE"""),"cheryl.greenberg@trincoll.edu")</f>
        <v>cheryl.greenberg@trincoll.edu</v>
      </c>
      <c r="C2210" s="4" t="str">
        <f ca="1">IFERROR(__xludf.DUMMYFUNCTION("""COMPUTED_VALUE"""),"UAN mid-page Lightbox - Step 2 of 4 - More personal info fields")</f>
        <v>UAN mid-page Lightbox - Step 2 of 4 - More personal info fields</v>
      </c>
      <c r="D2210" s="5">
        <f ca="1">IFERROR(__xludf.DUMMYFUNCTION("""COMPUTED_VALUE"""),45679)</f>
        <v>45679</v>
      </c>
      <c r="F2210" s="1" t="str">
        <f ca="1">IFERROR(__xludf.DUMMYFUNCTION("""COMPUTED_VALUE"""),"Israel and Occupied Palestinian Territories")</f>
        <v>Israel and Occupied Palestinian Territories</v>
      </c>
      <c r="G2210" s="1" t="str">
        <f ca="1">IFERROR(__xludf.DUMMYFUNCTION("""COMPUTED_VALUE"""),"Second 76.24 Tunisia")</f>
        <v>Second 76.24 Tunisia</v>
      </c>
      <c r="H2210" s="1" t="str">
        <f ca="1">IFERROR(__xludf.DUMMYFUNCTION("""COMPUTED_VALUE"""),"Freedom of Expression, Human Rights Defenders")</f>
        <v>Freedom of Expression, Human Rights Defenders</v>
      </c>
      <c r="I2210" s="1" t="str">
        <f ca="1">IFERROR(__xludf.DUMMYFUNCTION("""COMPUTED_VALUE"""),"2025")</f>
        <v>2025</v>
      </c>
      <c r="J2210" s="1" t="str">
        <f ca="1">IFERROR(__xludf.DUMMYFUNCTION("""COMPUTED_VALUE"""),"Email")</f>
        <v>Email</v>
      </c>
    </row>
    <row r="2211" spans="1:10" ht="13" x14ac:dyDescent="0.15">
      <c r="A2211" s="4">
        <f ca="1">IFERROR(__xludf.DUMMYFUNCTION("""COMPUTED_VALUE"""),273644162)</f>
        <v>273644162</v>
      </c>
      <c r="B2211" s="1" t="str">
        <f ca="1">IFERROR(__xludf.DUMMYFUNCTION("""COMPUTED_VALUE"""),"cheryl.greenberg@trincoll.edu")</f>
        <v>cheryl.greenberg@trincoll.edu</v>
      </c>
      <c r="C2211" s="4" t="str">
        <f ca="1">IFERROR(__xludf.DUMMYFUNCTION("""COMPUTED_VALUE"""),"UAN mid-page Lightbox - Step 3 of 4 - More opt-ins")</f>
        <v>UAN mid-page Lightbox - Step 3 of 4 - More opt-ins</v>
      </c>
      <c r="D2211" s="5">
        <f ca="1">IFERROR(__xludf.DUMMYFUNCTION("""COMPUTED_VALUE"""),45679)</f>
        <v>45679</v>
      </c>
      <c r="F2211" s="1" t="str">
        <f ca="1">IFERROR(__xludf.DUMMYFUNCTION("""COMPUTED_VALUE"""),"Tunisia")</f>
        <v>Tunisia</v>
      </c>
      <c r="G2211" s="1" t="str">
        <f ca="1">IFERROR(__xludf.DUMMYFUNCTION("""COMPUTED_VALUE"""),"3.25 IOPT")</f>
        <v>3.25 IOPT</v>
      </c>
      <c r="H2211" s="1" t="str">
        <f ca="1">IFERROR(__xludf.DUMMYFUNCTION("""COMPUTED_VALUE"""),"Freedom of Expression, Individuals At Risk")</f>
        <v>Freedom of Expression, Individuals At Risk</v>
      </c>
      <c r="I2211" s="1" t="str">
        <f ca="1">IFERROR(__xludf.DUMMYFUNCTION("""COMPUTED_VALUE"""),"2025")</f>
        <v>2025</v>
      </c>
      <c r="J2211" s="1" t="str">
        <f ca="1">IFERROR(__xludf.DUMMYFUNCTION("""COMPUTED_VALUE"""),"Email")</f>
        <v>Email</v>
      </c>
    </row>
    <row r="2212" spans="1:10" ht="13" x14ac:dyDescent="0.15">
      <c r="A2212" s="4">
        <f ca="1">IFERROR(__xludf.DUMMYFUNCTION("""COMPUTED_VALUE"""),273720848)</f>
        <v>273720848</v>
      </c>
      <c r="B2212" s="1" t="str">
        <f ca="1">IFERROR(__xludf.DUMMYFUNCTION("""COMPUTED_VALUE"""),"mizdclark@gmail.com")</f>
        <v>mizdclark@gmail.com</v>
      </c>
      <c r="C2212" s="4" t="str">
        <f ca="1">IFERROR(__xludf.DUMMYFUNCTION("""COMPUTED_VALUE"""),"EVERGREEN - UAN Gated Content - Embedded Petition")</f>
        <v>EVERGREEN - UAN Gated Content - Embedded Petition</v>
      </c>
      <c r="D2212" s="5">
        <f ca="1">IFERROR(__xludf.DUMMYFUNCTION("""COMPUTED_VALUE"""),45702)</f>
        <v>45702</v>
      </c>
      <c r="F2212" s="1" t="str">
        <f ca="1">IFERROR(__xludf.DUMMYFUNCTION("""COMPUTED_VALUE"""),"Israel and Occupied Palestinian Territories")</f>
        <v>Israel and Occupied Palestinian Territories</v>
      </c>
      <c r="G2212" s="1" t="str">
        <f ca="1">IFERROR(__xludf.DUMMYFUNCTION("""COMPUTED_VALUE"""),"3.25 IOPT")</f>
        <v>3.25 IOPT</v>
      </c>
      <c r="H2212" s="1" t="str">
        <f ca="1">IFERROR(__xludf.DUMMYFUNCTION("""COMPUTED_VALUE"""),"Freedom of Expression, Individuals At Risk")</f>
        <v>Freedom of Expression, Individuals At Risk</v>
      </c>
      <c r="I2212" s="1" t="str">
        <f ca="1">IFERROR(__xludf.DUMMYFUNCTION("""COMPUTED_VALUE"""),"2025")</f>
        <v>2025</v>
      </c>
      <c r="J2212" s="1" t="str">
        <f ca="1">IFERROR(__xludf.DUMMYFUNCTION("""COMPUTED_VALUE"""),"Email")</f>
        <v>Email</v>
      </c>
    </row>
    <row r="2213" spans="1:10" ht="13" x14ac:dyDescent="0.15">
      <c r="A2213" s="4">
        <f ca="1">IFERROR(__xludf.DUMMYFUNCTION("""COMPUTED_VALUE"""),273720848)</f>
        <v>273720848</v>
      </c>
      <c r="B2213" s="1" t="str">
        <f ca="1">IFERROR(__xludf.DUMMYFUNCTION("""COMPUTED_VALUE"""),"mizdclark@gmail.com")</f>
        <v>mizdclark@gmail.com</v>
      </c>
      <c r="C2213" s="4" t="str">
        <f ca="1">IFERROR(__xludf.DUMMYFUNCTION("""COMPUTED_VALUE"""),"EVERGREEN - UAN Gated Content - Embedded Petition")</f>
        <v>EVERGREEN - UAN Gated Content - Embedded Petition</v>
      </c>
      <c r="D2213" s="5">
        <f ca="1">IFERROR(__xludf.DUMMYFUNCTION("""COMPUTED_VALUE"""),45674)</f>
        <v>45674</v>
      </c>
      <c r="F2213" s="1" t="str">
        <f ca="1">IFERROR(__xludf.DUMMYFUNCTION("""COMPUTED_VALUE"""),"Israel and Occupied Palestinian Territories")</f>
        <v>Israel and Occupied Palestinian Territories</v>
      </c>
      <c r="G2213" s="1" t="str">
        <f ca="1">IFERROR(__xludf.DUMMYFUNCTION("""COMPUTED_VALUE"""),"3.25 IOPT")</f>
        <v>3.25 IOPT</v>
      </c>
      <c r="H2213" s="1" t="str">
        <f ca="1">IFERROR(__xludf.DUMMYFUNCTION("""COMPUTED_VALUE"""),"Freedom of Expression, Individuals At Risk")</f>
        <v>Freedom of Expression, Individuals At Risk</v>
      </c>
      <c r="I2213" s="1" t="str">
        <f ca="1">IFERROR(__xludf.DUMMYFUNCTION("""COMPUTED_VALUE"""),"2025")</f>
        <v>2025</v>
      </c>
      <c r="J2213" s="1" t="str">
        <f ca="1">IFERROR(__xludf.DUMMYFUNCTION("""COMPUTED_VALUE"""),"Email")</f>
        <v>Email</v>
      </c>
    </row>
    <row r="2214" spans="1:10" ht="13" x14ac:dyDescent="0.15">
      <c r="A2214" s="4">
        <f ca="1">IFERROR(__xludf.DUMMYFUNCTION("""COMPUTED_VALUE"""),273747046)</f>
        <v>273747046</v>
      </c>
      <c r="B2214" s="1" t="str">
        <f ca="1">IFERROR(__xludf.DUMMYFUNCTION("""COMPUTED_VALUE"""),"nbehizadeh@gmail.com")</f>
        <v>nbehizadeh@gmail.com</v>
      </c>
      <c r="C2214" s="4" t="str">
        <f ca="1">IFERROR(__xludf.DUMMYFUNCTION("""COMPUTED_VALUE"""),"EVERGREEN - UAN Gated Content - Embedded Petition")</f>
        <v>EVERGREEN - UAN Gated Content - Embedded Petition</v>
      </c>
      <c r="D2214" s="5">
        <f ca="1">IFERROR(__xludf.DUMMYFUNCTION("""COMPUTED_VALUE"""),45672)</f>
        <v>45672</v>
      </c>
      <c r="F2214" s="1" t="str">
        <f ca="1">IFERROR(__xludf.DUMMYFUNCTION("""COMPUTED_VALUE"""),"Israel and Occupied Palestinian Territories")</f>
        <v>Israel and Occupied Palestinian Territories</v>
      </c>
      <c r="G2214" s="1" t="str">
        <f ca="1">IFERROR(__xludf.DUMMYFUNCTION("""COMPUTED_VALUE"""),"3.25 IOPT")</f>
        <v>3.25 IOPT</v>
      </c>
      <c r="H2214" s="1" t="str">
        <f ca="1">IFERROR(__xludf.DUMMYFUNCTION("""COMPUTED_VALUE"""),"Freedom of Expression, Individuals At Risk")</f>
        <v>Freedom of Expression, Individuals At Risk</v>
      </c>
      <c r="I2214" s="1" t="str">
        <f ca="1">IFERROR(__xludf.DUMMYFUNCTION("""COMPUTED_VALUE"""),"2025")</f>
        <v>2025</v>
      </c>
      <c r="J2214" s="1" t="str">
        <f ca="1">IFERROR(__xludf.DUMMYFUNCTION("""COMPUTED_VALUE"""),"Email")</f>
        <v>Email</v>
      </c>
    </row>
    <row r="2215" spans="1:10" ht="13" x14ac:dyDescent="0.15">
      <c r="A2215" s="4">
        <f ca="1">IFERROR(__xludf.DUMMYFUNCTION("""COMPUTED_VALUE"""),273748751)</f>
        <v>273748751</v>
      </c>
      <c r="B2215" s="1" t="str">
        <f ca="1">IFERROR(__xludf.DUMMYFUNCTION("""COMPUTED_VALUE"""),"beamralph3@gmail.com")</f>
        <v>beamralph3@gmail.com</v>
      </c>
      <c r="C2215" s="4" t="str">
        <f ca="1">IFERROR(__xludf.DUMMYFUNCTION("""COMPUTED_VALUE"""),"EVERGREEN - UAN Gated Content - Embedded Petition")</f>
        <v>EVERGREEN - UAN Gated Content - Embedded Petition</v>
      </c>
      <c r="D2215" s="5">
        <f ca="1">IFERROR(__xludf.DUMMYFUNCTION("""COMPUTED_VALUE"""),45675)</f>
        <v>45675</v>
      </c>
      <c r="F2215" s="1" t="str">
        <f ca="1">IFERROR(__xludf.DUMMYFUNCTION("""COMPUTED_VALUE"""),"Israel and Occupied Palestinian Territories")</f>
        <v>Israel and Occupied Palestinian Territories</v>
      </c>
      <c r="G2215" s="1" t="str">
        <f ca="1">IFERROR(__xludf.DUMMYFUNCTION("""COMPUTED_VALUE"""),"3.25 IOPT")</f>
        <v>3.25 IOPT</v>
      </c>
      <c r="H2215" s="1" t="str">
        <f ca="1">IFERROR(__xludf.DUMMYFUNCTION("""COMPUTED_VALUE"""),"Freedom of Expression, Individuals At Risk")</f>
        <v>Freedom of Expression, Individuals At Risk</v>
      </c>
      <c r="I2215" s="1" t="str">
        <f ca="1">IFERROR(__xludf.DUMMYFUNCTION("""COMPUTED_VALUE"""),"2025")</f>
        <v>2025</v>
      </c>
      <c r="J2215" s="1" t="str">
        <f ca="1">IFERROR(__xludf.DUMMYFUNCTION("""COMPUTED_VALUE"""),"Email")</f>
        <v>Email</v>
      </c>
    </row>
    <row r="2216" spans="1:10" ht="13" x14ac:dyDescent="0.15">
      <c r="A2216" s="4">
        <f ca="1">IFERROR(__xludf.DUMMYFUNCTION("""COMPUTED_VALUE"""),273881535)</f>
        <v>273881535</v>
      </c>
      <c r="B2216" s="1" t="str">
        <f ca="1">IFERROR(__xludf.DUMMYFUNCTION("""COMPUTED_VALUE"""),"lvr1258@gmail.com")</f>
        <v>lvr1258@gmail.com</v>
      </c>
      <c r="C2216" s="4" t="str">
        <f ca="1">IFERROR(__xludf.DUMMYFUNCTION("""COMPUTED_VALUE"""),"EVERGREEN - UAN Gated Content - Embedded Petition")</f>
        <v>EVERGREEN - UAN Gated Content - Embedded Petition</v>
      </c>
      <c r="D2216" s="5">
        <f ca="1">IFERROR(__xludf.DUMMYFUNCTION("""COMPUTED_VALUE"""),45700)</f>
        <v>45700</v>
      </c>
      <c r="F2216" s="1" t="str">
        <f ca="1">IFERROR(__xludf.DUMMYFUNCTION("""COMPUTED_VALUE"""),"Israel and Occupied Palestinian Territories")</f>
        <v>Israel and Occupied Palestinian Territories</v>
      </c>
      <c r="G2216" s="1" t="str">
        <f ca="1">IFERROR(__xludf.DUMMYFUNCTION("""COMPUTED_VALUE"""),"3.25 IOPT")</f>
        <v>3.25 IOPT</v>
      </c>
      <c r="H2216" s="1" t="str">
        <f ca="1">IFERROR(__xludf.DUMMYFUNCTION("""COMPUTED_VALUE"""),"Freedom of Expression, Individuals At Risk")</f>
        <v>Freedom of Expression, Individuals At Risk</v>
      </c>
      <c r="I2216" s="1" t="str">
        <f ca="1">IFERROR(__xludf.DUMMYFUNCTION("""COMPUTED_VALUE"""),"2025")</f>
        <v>2025</v>
      </c>
      <c r="J2216" s="1" t="str">
        <f ca="1">IFERROR(__xludf.DUMMYFUNCTION("""COMPUTED_VALUE"""),"Email")</f>
        <v>Email</v>
      </c>
    </row>
    <row r="2217" spans="1:10" ht="13" x14ac:dyDescent="0.15">
      <c r="A2217" s="4">
        <f ca="1">IFERROR(__xludf.DUMMYFUNCTION("""COMPUTED_VALUE"""),273881535)</f>
        <v>273881535</v>
      </c>
      <c r="B2217" s="1" t="str">
        <f ca="1">IFERROR(__xludf.DUMMYFUNCTION("""COMPUTED_VALUE"""),"lvr1258@gmail.com")</f>
        <v>lvr1258@gmail.com</v>
      </c>
      <c r="C2217" s="4" t="str">
        <f ca="1">IFERROR(__xludf.DUMMYFUNCTION("""COMPUTED_VALUE"""),"EVERGREEN - UAN Gated Content - Embedded Petition")</f>
        <v>EVERGREEN - UAN Gated Content - Embedded Petition</v>
      </c>
      <c r="D2217" s="5">
        <f ca="1">IFERROR(__xludf.DUMMYFUNCTION("""COMPUTED_VALUE"""),45691)</f>
        <v>45691</v>
      </c>
      <c r="F2217" s="1" t="str">
        <f ca="1">IFERROR(__xludf.DUMMYFUNCTION("""COMPUTED_VALUE"""),"Israel and Occupied Palestinian Territories")</f>
        <v>Israel and Occupied Palestinian Territories</v>
      </c>
      <c r="G2217" s="1" t="str">
        <f ca="1">IFERROR(__xludf.DUMMYFUNCTION("""COMPUTED_VALUE"""),"3.25 IOPT")</f>
        <v>3.25 IOPT</v>
      </c>
      <c r="H2217" s="1" t="str">
        <f ca="1">IFERROR(__xludf.DUMMYFUNCTION("""COMPUTED_VALUE"""),"Freedom of Expression, Individuals At Risk")</f>
        <v>Freedom of Expression, Individuals At Risk</v>
      </c>
      <c r="I2217" s="1" t="str">
        <f ca="1">IFERROR(__xludf.DUMMYFUNCTION("""COMPUTED_VALUE"""),"2025")</f>
        <v>2025</v>
      </c>
      <c r="J2217" s="1" t="str">
        <f ca="1">IFERROR(__xludf.DUMMYFUNCTION("""COMPUTED_VALUE"""),"Email")</f>
        <v>Email</v>
      </c>
    </row>
    <row r="2218" spans="1:10" ht="13" x14ac:dyDescent="0.15">
      <c r="A2218" s="4">
        <f ca="1">IFERROR(__xludf.DUMMYFUNCTION("""COMPUTED_VALUE"""),273899709)</f>
        <v>273899709</v>
      </c>
      <c r="B2218" s="1" t="str">
        <f ca="1">IFERROR(__xludf.DUMMYFUNCTION("""COMPUTED_VALUE"""),"peacetechie@proton.me")</f>
        <v>peacetechie@proton.me</v>
      </c>
      <c r="C2218" s="4" t="str">
        <f ca="1">IFERROR(__xludf.DUMMYFUNCTION("""COMPUTED_VALUE"""),"EVERGREEN - UAN Gated Content - Embedded Petition")</f>
        <v>EVERGREEN - UAN Gated Content - Embedded Petition</v>
      </c>
      <c r="D2218" s="5">
        <f ca="1">IFERROR(__xludf.DUMMYFUNCTION("""COMPUTED_VALUE"""),45639)</f>
        <v>45639</v>
      </c>
      <c r="F2218" s="1" t="str">
        <f ca="1">IFERROR(__xludf.DUMMYFUNCTION("""COMPUTED_VALUE"""),"Israel and Occupied Palestinian Territories")</f>
        <v>Israel and Occupied Palestinian Territories</v>
      </c>
      <c r="G2218" s="1" t="str">
        <f ca="1">IFERROR(__xludf.DUMMYFUNCTION("""COMPUTED_VALUE"""),"3.25 IOPT")</f>
        <v>3.25 IOPT</v>
      </c>
      <c r="H2218" s="1" t="str">
        <f ca="1">IFERROR(__xludf.DUMMYFUNCTION("""COMPUTED_VALUE"""),"Freedom of Expression, Individuals At Risk")</f>
        <v>Freedom of Expression, Individuals At Risk</v>
      </c>
      <c r="I2218" s="1" t="str">
        <f ca="1">IFERROR(__xludf.DUMMYFUNCTION("""COMPUTED_VALUE"""),"2025")</f>
        <v>2025</v>
      </c>
      <c r="J2218" s="1" t="str">
        <f ca="1">IFERROR(__xludf.DUMMYFUNCTION("""COMPUTED_VALUE"""),"Email")</f>
        <v>Email</v>
      </c>
    </row>
    <row r="2219" spans="1:10" ht="13" x14ac:dyDescent="0.15">
      <c r="A2219" s="4">
        <f ca="1">IFERROR(__xludf.DUMMYFUNCTION("""COMPUTED_VALUE"""),273899709)</f>
        <v>273899709</v>
      </c>
      <c r="B2219" s="1" t="str">
        <f ca="1">IFERROR(__xludf.DUMMYFUNCTION("""COMPUTED_VALUE"""),"peacetechie@proton.me")</f>
        <v>peacetechie@proton.me</v>
      </c>
      <c r="C2219" s="4" t="str">
        <f ca="1">IFERROR(__xludf.DUMMYFUNCTION("""COMPUTED_VALUE"""),"EVERGREEN - UAN Gated Content - Embedded Petition")</f>
        <v>EVERGREEN - UAN Gated Content - Embedded Petition</v>
      </c>
      <c r="D2219" s="5">
        <f ca="1">IFERROR(__xludf.DUMMYFUNCTION("""COMPUTED_VALUE"""),45639)</f>
        <v>45639</v>
      </c>
      <c r="F2219" s="1" t="str">
        <f ca="1">IFERROR(__xludf.DUMMYFUNCTION("""COMPUTED_VALUE"""),"Israel and Occupied Palestinian Territories")</f>
        <v>Israel and Occupied Palestinian Territories</v>
      </c>
      <c r="G2219" s="1" t="str">
        <f ca="1">IFERROR(__xludf.DUMMYFUNCTION("""COMPUTED_VALUE"""),"3.25 IOPT")</f>
        <v>3.25 IOPT</v>
      </c>
      <c r="H2219" s="1" t="str">
        <f ca="1">IFERROR(__xludf.DUMMYFUNCTION("""COMPUTED_VALUE"""),"Freedom of Expression, Individuals At Risk")</f>
        <v>Freedom of Expression, Individuals At Risk</v>
      </c>
      <c r="I2219" s="1" t="str">
        <f ca="1">IFERROR(__xludf.DUMMYFUNCTION("""COMPUTED_VALUE"""),"2025")</f>
        <v>2025</v>
      </c>
      <c r="J2219" s="1" t="str">
        <f ca="1">IFERROR(__xludf.DUMMYFUNCTION("""COMPUTED_VALUE"""),"Email")</f>
        <v>Email</v>
      </c>
    </row>
    <row r="2220" spans="1:10" ht="13" x14ac:dyDescent="0.15">
      <c r="A2220" s="4">
        <f ca="1">IFERROR(__xludf.DUMMYFUNCTION("""COMPUTED_VALUE"""),273899709)</f>
        <v>273899709</v>
      </c>
      <c r="B2220" s="1" t="str">
        <f ca="1">IFERROR(__xludf.DUMMYFUNCTION("""COMPUTED_VALUE"""),"peacetechie@proton.me")</f>
        <v>peacetechie@proton.me</v>
      </c>
      <c r="C2220" s="4" t="str">
        <f ca="1">IFERROR(__xludf.DUMMYFUNCTION("""COMPUTED_VALUE"""),"EVERGREEN - UAN Gated Content - Embedded Petition")</f>
        <v>EVERGREEN - UAN Gated Content - Embedded Petition</v>
      </c>
      <c r="D2220" s="5">
        <f ca="1">IFERROR(__xludf.DUMMYFUNCTION("""COMPUTED_VALUE"""),45639)</f>
        <v>45639</v>
      </c>
      <c r="F2220" s="1" t="str">
        <f ca="1">IFERROR(__xludf.DUMMYFUNCTION("""COMPUTED_VALUE"""),"Israel and Occupied Palestinian Territories")</f>
        <v>Israel and Occupied Palestinian Territories</v>
      </c>
      <c r="G2220" s="1" t="str">
        <f ca="1">IFERROR(__xludf.DUMMYFUNCTION("""COMPUTED_VALUE"""),"3.25 IOPT")</f>
        <v>3.25 IOPT</v>
      </c>
      <c r="H2220" s="1" t="str">
        <f ca="1">IFERROR(__xludf.DUMMYFUNCTION("""COMPUTED_VALUE"""),"Freedom of Expression, Individuals At Risk")</f>
        <v>Freedom of Expression, Individuals At Risk</v>
      </c>
      <c r="I2220" s="1" t="str">
        <f ca="1">IFERROR(__xludf.DUMMYFUNCTION("""COMPUTED_VALUE"""),"2025")</f>
        <v>2025</v>
      </c>
      <c r="J2220" s="1" t="str">
        <f ca="1">IFERROR(__xludf.DUMMYFUNCTION("""COMPUTED_VALUE"""),"Email")</f>
        <v>Email</v>
      </c>
    </row>
    <row r="2221" spans="1:10" ht="13" x14ac:dyDescent="0.15">
      <c r="A2221" s="4">
        <f ca="1">IFERROR(__xludf.DUMMYFUNCTION("""COMPUTED_VALUE"""),274476222)</f>
        <v>274476222</v>
      </c>
      <c r="B2221" s="1" t="str">
        <f ca="1">IFERROR(__xludf.DUMMYFUNCTION("""COMPUTED_VALUE"""),"dbktw2005@gmail.com")</f>
        <v>dbktw2005@gmail.com</v>
      </c>
      <c r="C2221" s="4" t="str">
        <f ca="1">IFERROR(__xludf.DUMMYFUNCTION("""COMPUTED_VALUE"""),"EVERGREEN - UAN Gated Content - Embedded Petition")</f>
        <v>EVERGREEN - UAN Gated Content - Embedded Petition</v>
      </c>
      <c r="D2221" s="5">
        <f ca="1">IFERROR(__xludf.DUMMYFUNCTION("""COMPUTED_VALUE"""),45702)</f>
        <v>45702</v>
      </c>
      <c r="F2221" s="1" t="str">
        <f ca="1">IFERROR(__xludf.DUMMYFUNCTION("""COMPUTED_VALUE"""),"Israel and Occupied Palestinian Territories")</f>
        <v>Israel and Occupied Palestinian Territories</v>
      </c>
      <c r="G2221" s="1" t="str">
        <f ca="1">IFERROR(__xludf.DUMMYFUNCTION("""COMPUTED_VALUE"""),"3.25 IOPT")</f>
        <v>3.25 IOPT</v>
      </c>
      <c r="H2221" s="1" t="str">
        <f ca="1">IFERROR(__xludf.DUMMYFUNCTION("""COMPUTED_VALUE"""),"Freedom of Expression, Individuals At Risk")</f>
        <v>Freedom of Expression, Individuals At Risk</v>
      </c>
      <c r="I2221" s="1" t="str">
        <f ca="1">IFERROR(__xludf.DUMMYFUNCTION("""COMPUTED_VALUE"""),"2025")</f>
        <v>2025</v>
      </c>
      <c r="J2221" s="1" t="str">
        <f ca="1">IFERROR(__xludf.DUMMYFUNCTION("""COMPUTED_VALUE"""),"Email")</f>
        <v>Email</v>
      </c>
    </row>
    <row r="2222" spans="1:10" ht="13" x14ac:dyDescent="0.15">
      <c r="A2222" s="4">
        <f ca="1">IFERROR(__xludf.DUMMYFUNCTION("""COMPUTED_VALUE"""),274476222)</f>
        <v>274476222</v>
      </c>
      <c r="B2222" s="1" t="str">
        <f ca="1">IFERROR(__xludf.DUMMYFUNCTION("""COMPUTED_VALUE"""),"dbktw2005@gmail.com")</f>
        <v>dbktw2005@gmail.com</v>
      </c>
      <c r="C2222" s="4" t="str">
        <f ca="1">IFERROR(__xludf.DUMMYFUNCTION("""COMPUTED_VALUE"""),"EVERGREEN - UAN Gated Content - Embedded Petition")</f>
        <v>EVERGREEN - UAN Gated Content - Embedded Petition</v>
      </c>
      <c r="D2222" s="5">
        <f ca="1">IFERROR(__xludf.DUMMYFUNCTION("""COMPUTED_VALUE"""),45633)</f>
        <v>45633</v>
      </c>
      <c r="F2222" s="1" t="str">
        <f ca="1">IFERROR(__xludf.DUMMYFUNCTION("""COMPUTED_VALUE"""),"Israel and Occupied Palestinian Territories")</f>
        <v>Israel and Occupied Palestinian Territories</v>
      </c>
      <c r="G2222" s="1" t="str">
        <f ca="1">IFERROR(__xludf.DUMMYFUNCTION("""COMPUTED_VALUE"""),"3.25 IOPT")</f>
        <v>3.25 IOPT</v>
      </c>
      <c r="H2222" s="1" t="str">
        <f ca="1">IFERROR(__xludf.DUMMYFUNCTION("""COMPUTED_VALUE"""),"Freedom of Expression, Individuals At Risk")</f>
        <v>Freedom of Expression, Individuals At Risk</v>
      </c>
      <c r="I2222" s="1" t="str">
        <f ca="1">IFERROR(__xludf.DUMMYFUNCTION("""COMPUTED_VALUE"""),"2025")</f>
        <v>2025</v>
      </c>
      <c r="J2222" s="1" t="str">
        <f ca="1">IFERROR(__xludf.DUMMYFUNCTION("""COMPUTED_VALUE"""),"Email")</f>
        <v>Email</v>
      </c>
    </row>
    <row r="2223" spans="1:10" ht="13" x14ac:dyDescent="0.15">
      <c r="A2223" s="4">
        <f ca="1">IFERROR(__xludf.DUMMYFUNCTION("""COMPUTED_VALUE"""),274476222)</f>
        <v>274476222</v>
      </c>
      <c r="B2223" s="1" t="str">
        <f ca="1">IFERROR(__xludf.DUMMYFUNCTION("""COMPUTED_VALUE"""),"dbktw2005@gmail.com")</f>
        <v>dbktw2005@gmail.com</v>
      </c>
      <c r="C2223" s="4" t="str">
        <f ca="1">IFERROR(__xludf.DUMMYFUNCTION("""COMPUTED_VALUE"""),"EVERGREEN - UAN Gated Content - Embedded Petition")</f>
        <v>EVERGREEN - UAN Gated Content - Embedded Petition</v>
      </c>
      <c r="D2223" s="5">
        <f ca="1">IFERROR(__xludf.DUMMYFUNCTION("""COMPUTED_VALUE"""),45706)</f>
        <v>45706</v>
      </c>
      <c r="F2223" s="1" t="str">
        <f ca="1">IFERROR(__xludf.DUMMYFUNCTION("""COMPUTED_VALUE"""),"Israel and Occupied Palestinian Territories")</f>
        <v>Israel and Occupied Palestinian Territories</v>
      </c>
      <c r="G2223" s="1" t="str">
        <f ca="1">IFERROR(__xludf.DUMMYFUNCTION("""COMPUTED_VALUE"""),"3.25 IOPT")</f>
        <v>3.25 IOPT</v>
      </c>
      <c r="H2223" s="1" t="str">
        <f ca="1">IFERROR(__xludf.DUMMYFUNCTION("""COMPUTED_VALUE"""),"Freedom of Expression, Individuals At Risk")</f>
        <v>Freedom of Expression, Individuals At Risk</v>
      </c>
      <c r="I2223" s="1" t="str">
        <f ca="1">IFERROR(__xludf.DUMMYFUNCTION("""COMPUTED_VALUE"""),"2025")</f>
        <v>2025</v>
      </c>
      <c r="J2223" s="1" t="str">
        <f ca="1">IFERROR(__xludf.DUMMYFUNCTION("""COMPUTED_VALUE"""),"Email")</f>
        <v>Email</v>
      </c>
    </row>
    <row r="2224" spans="1:10" ht="13" x14ac:dyDescent="0.15">
      <c r="A2224" s="4">
        <f ca="1">IFERROR(__xludf.DUMMYFUNCTION("""COMPUTED_VALUE"""),274476222)</f>
        <v>274476222</v>
      </c>
      <c r="B2224" s="1" t="str">
        <f ca="1">IFERROR(__xludf.DUMMYFUNCTION("""COMPUTED_VALUE"""),"dbktw2005@gmail.com")</f>
        <v>dbktw2005@gmail.com</v>
      </c>
      <c r="C2224" s="4" t="str">
        <f ca="1">IFERROR(__xludf.DUMMYFUNCTION("""COMPUTED_VALUE"""),"EVERGREEN - UAN Gated Content - Embedded Petition")</f>
        <v>EVERGREEN - UAN Gated Content - Embedded Petition</v>
      </c>
      <c r="D2224" s="5">
        <f ca="1">IFERROR(__xludf.DUMMYFUNCTION("""COMPUTED_VALUE"""),45699)</f>
        <v>45699</v>
      </c>
      <c r="F2224" s="1" t="str">
        <f ca="1">IFERROR(__xludf.DUMMYFUNCTION("""COMPUTED_VALUE"""),"Israel and Occupied Palestinian Territories")</f>
        <v>Israel and Occupied Palestinian Territories</v>
      </c>
      <c r="G2224" s="1" t="str">
        <f ca="1">IFERROR(__xludf.DUMMYFUNCTION("""COMPUTED_VALUE"""),"Fourth 55.24 USA")</f>
        <v>Fourth 55.24 USA</v>
      </c>
      <c r="H2224" s="1" t="str">
        <f ca="1">IFERROR(__xludf.DUMMYFUNCTION("""COMPUTED_VALUE"""),"Climate Justice, Individuals At Risk")</f>
        <v>Climate Justice, Individuals At Risk</v>
      </c>
      <c r="I2224" s="1" t="str">
        <f ca="1">IFERROR(__xludf.DUMMYFUNCTION("""COMPUTED_VALUE"""),"2025")</f>
        <v>2025</v>
      </c>
      <c r="J2224" s="1" t="str">
        <f ca="1">IFERROR(__xludf.DUMMYFUNCTION("""COMPUTED_VALUE"""),"Email")</f>
        <v>Email</v>
      </c>
    </row>
    <row r="2225" spans="1:10" ht="13" x14ac:dyDescent="0.15">
      <c r="A2225" s="4">
        <f ca="1">IFERROR(__xludf.DUMMYFUNCTION("""COMPUTED_VALUE"""),274476222)</f>
        <v>274476222</v>
      </c>
      <c r="B2225" s="1" t="str">
        <f ca="1">IFERROR(__xludf.DUMMYFUNCTION("""COMPUTED_VALUE"""),"dbktw2005@gmail.com")</f>
        <v>dbktw2005@gmail.com</v>
      </c>
      <c r="C2225" s="4" t="str">
        <f ca="1">IFERROR(__xludf.DUMMYFUNCTION("""COMPUTED_VALUE"""),"EVERGREEN - UAN Gated Content - Embedded Petition")</f>
        <v>EVERGREEN - UAN Gated Content - Embedded Petition</v>
      </c>
      <c r="D2225" s="5">
        <f ca="1">IFERROR(__xludf.DUMMYFUNCTION("""COMPUTED_VALUE"""),45701)</f>
        <v>45701</v>
      </c>
      <c r="F2225" s="1" t="str">
        <f ca="1">IFERROR(__xludf.DUMMYFUNCTION("""COMPUTED_VALUE"""),"USA")</f>
        <v>USA</v>
      </c>
      <c r="G2225" s="1" t="str">
        <f ca="1">IFERROR(__xludf.DUMMYFUNCTION("""COMPUTED_VALUE"""),"3.25 IOPT")</f>
        <v>3.25 IOPT</v>
      </c>
      <c r="H2225" s="1" t="str">
        <f ca="1">IFERROR(__xludf.DUMMYFUNCTION("""COMPUTED_VALUE"""),"Freedom of Expression, Individuals At Risk")</f>
        <v>Freedom of Expression, Individuals At Risk</v>
      </c>
      <c r="I2225" s="1" t="str">
        <f ca="1">IFERROR(__xludf.DUMMYFUNCTION("""COMPUTED_VALUE"""),"2025")</f>
        <v>2025</v>
      </c>
      <c r="J2225" s="1" t="str">
        <f ca="1">IFERROR(__xludf.DUMMYFUNCTION("""COMPUTED_VALUE"""),"Email")</f>
        <v>Email</v>
      </c>
    </row>
    <row r="2226" spans="1:10" ht="13" x14ac:dyDescent="0.15">
      <c r="A2226" s="4">
        <f ca="1">IFERROR(__xludf.DUMMYFUNCTION("""COMPUTED_VALUE"""),274476222)</f>
        <v>274476222</v>
      </c>
      <c r="B2226" s="1" t="str">
        <f ca="1">IFERROR(__xludf.DUMMYFUNCTION("""COMPUTED_VALUE"""),"dbktw2005@gmail.com")</f>
        <v>dbktw2005@gmail.com</v>
      </c>
      <c r="C2226" s="4" t="str">
        <f ca="1">IFERROR(__xludf.DUMMYFUNCTION("""COMPUTED_VALUE"""),"EVERGREEN - UAN Gated Content - Embedded Petition")</f>
        <v>EVERGREEN - UAN Gated Content - Embedded Petition</v>
      </c>
      <c r="D2226" s="5">
        <f ca="1">IFERROR(__xludf.DUMMYFUNCTION("""COMPUTED_VALUE"""),45694)</f>
        <v>45694</v>
      </c>
      <c r="F2226" s="1" t="str">
        <f ca="1">IFERROR(__xludf.DUMMYFUNCTION("""COMPUTED_VALUE"""),"Israel and Occupied Palestinian Territories")</f>
        <v>Israel and Occupied Palestinian Territories</v>
      </c>
      <c r="G2226" s="1" t="str">
        <f ca="1">IFERROR(__xludf.DUMMYFUNCTION("""COMPUTED_VALUE"""),"3.25 IOPT")</f>
        <v>3.25 IOPT</v>
      </c>
      <c r="H2226" s="1" t="str">
        <f ca="1">IFERROR(__xludf.DUMMYFUNCTION("""COMPUTED_VALUE"""),"Freedom of Expression, Individuals At Risk")</f>
        <v>Freedom of Expression, Individuals At Risk</v>
      </c>
      <c r="I2226" s="1" t="str">
        <f ca="1">IFERROR(__xludf.DUMMYFUNCTION("""COMPUTED_VALUE"""),"2025")</f>
        <v>2025</v>
      </c>
      <c r="J2226" s="1" t="str">
        <f ca="1">IFERROR(__xludf.DUMMYFUNCTION("""COMPUTED_VALUE"""),"Email")</f>
        <v>Email</v>
      </c>
    </row>
    <row r="2227" spans="1:10" ht="13" x14ac:dyDescent="0.15">
      <c r="A2227" s="4">
        <f ca="1">IFERROR(__xludf.DUMMYFUNCTION("""COMPUTED_VALUE"""),274476222)</f>
        <v>274476222</v>
      </c>
      <c r="B2227" s="1" t="str">
        <f ca="1">IFERROR(__xludf.DUMMYFUNCTION("""COMPUTED_VALUE"""),"dbktw2005@gmail.com")</f>
        <v>dbktw2005@gmail.com</v>
      </c>
      <c r="C2227" s="4" t="str">
        <f ca="1">IFERROR(__xludf.DUMMYFUNCTION("""COMPUTED_VALUE"""),"EVERGREEN - UAN Gated Content - Embedded Petition")</f>
        <v>EVERGREEN - UAN Gated Content - Embedded Petition</v>
      </c>
      <c r="D2227" s="5">
        <f ca="1">IFERROR(__xludf.DUMMYFUNCTION("""COMPUTED_VALUE"""),45695)</f>
        <v>45695</v>
      </c>
      <c r="F2227" s="1" t="str">
        <f ca="1">IFERROR(__xludf.DUMMYFUNCTION("""COMPUTED_VALUE"""),"Israel and Occupied Palestinian Territories")</f>
        <v>Israel and Occupied Palestinian Territories</v>
      </c>
      <c r="G2227" s="1" t="str">
        <f ca="1">IFERROR(__xludf.DUMMYFUNCTION("""COMPUTED_VALUE"""),"3.25 IOPT")</f>
        <v>3.25 IOPT</v>
      </c>
      <c r="H2227" s="1" t="str">
        <f ca="1">IFERROR(__xludf.DUMMYFUNCTION("""COMPUTED_VALUE"""),"Freedom of Expression, Individuals At Risk")</f>
        <v>Freedom of Expression, Individuals At Risk</v>
      </c>
      <c r="I2227" s="1" t="str">
        <f ca="1">IFERROR(__xludf.DUMMYFUNCTION("""COMPUTED_VALUE"""),"2025")</f>
        <v>2025</v>
      </c>
      <c r="J2227" s="1" t="str">
        <f ca="1">IFERROR(__xludf.DUMMYFUNCTION("""COMPUTED_VALUE"""),"Email")</f>
        <v>Email</v>
      </c>
    </row>
    <row r="2228" spans="1:10" ht="13" x14ac:dyDescent="0.15">
      <c r="A2228" s="4">
        <f ca="1">IFERROR(__xludf.DUMMYFUNCTION("""COMPUTED_VALUE"""),274476222)</f>
        <v>274476222</v>
      </c>
      <c r="B2228" s="1" t="str">
        <f ca="1">IFERROR(__xludf.DUMMYFUNCTION("""COMPUTED_VALUE"""),"dbktw2005@gmail.com")</f>
        <v>dbktw2005@gmail.com</v>
      </c>
      <c r="C2228" s="4" t="str">
        <f ca="1">IFERROR(__xludf.DUMMYFUNCTION("""COMPUTED_VALUE"""),"EVERGREEN - UAN Gated Content - Embedded Petition")</f>
        <v>EVERGREEN - UAN Gated Content - Embedded Petition</v>
      </c>
      <c r="D2228" s="5">
        <f ca="1">IFERROR(__xludf.DUMMYFUNCTION("""COMPUTED_VALUE"""),45691)</f>
        <v>45691</v>
      </c>
      <c r="F2228" s="1" t="str">
        <f ca="1">IFERROR(__xludf.DUMMYFUNCTION("""COMPUTED_VALUE"""),"Israel and Occupied Palestinian Territories")</f>
        <v>Israel and Occupied Palestinian Territories</v>
      </c>
      <c r="G2228" s="1" t="str">
        <f ca="1">IFERROR(__xludf.DUMMYFUNCTION("""COMPUTED_VALUE"""),"3.25 IOPT")</f>
        <v>3.25 IOPT</v>
      </c>
      <c r="H2228" s="1" t="str">
        <f ca="1">IFERROR(__xludf.DUMMYFUNCTION("""COMPUTED_VALUE"""),"Freedom of Expression, Individuals At Risk")</f>
        <v>Freedom of Expression, Individuals At Risk</v>
      </c>
      <c r="I2228" s="1" t="str">
        <f ca="1">IFERROR(__xludf.DUMMYFUNCTION("""COMPUTED_VALUE"""),"2025")</f>
        <v>2025</v>
      </c>
      <c r="J2228" s="1" t="str">
        <f ca="1">IFERROR(__xludf.DUMMYFUNCTION("""COMPUTED_VALUE"""),"Email")</f>
        <v>Email</v>
      </c>
    </row>
    <row r="2229" spans="1:10" ht="13" x14ac:dyDescent="0.15">
      <c r="A2229" s="4">
        <f ca="1">IFERROR(__xludf.DUMMYFUNCTION("""COMPUTED_VALUE"""),274476222)</f>
        <v>274476222</v>
      </c>
      <c r="B2229" s="1" t="str">
        <f ca="1">IFERROR(__xludf.DUMMYFUNCTION("""COMPUTED_VALUE"""),"dbktw2005@gmail.com")</f>
        <v>dbktw2005@gmail.com</v>
      </c>
      <c r="C2229" s="4" t="str">
        <f ca="1">IFERROR(__xludf.DUMMYFUNCTION("""COMPUTED_VALUE"""),"EVERGREEN - UAN Gated Content - Embedded Petition")</f>
        <v>EVERGREEN - UAN Gated Content - Embedded Petition</v>
      </c>
      <c r="D2229" s="5">
        <f ca="1">IFERROR(__xludf.DUMMYFUNCTION("""COMPUTED_VALUE"""),45693)</f>
        <v>45693</v>
      </c>
      <c r="F2229" s="1" t="str">
        <f ca="1">IFERROR(__xludf.DUMMYFUNCTION("""COMPUTED_VALUE"""),"Israel and Occupied Palestinian Territories")</f>
        <v>Israel and Occupied Palestinian Territories</v>
      </c>
      <c r="G2229" s="1" t="str">
        <f ca="1">IFERROR(__xludf.DUMMYFUNCTION("""COMPUTED_VALUE"""),"Second 76.24 Tunisia")</f>
        <v>Second 76.24 Tunisia</v>
      </c>
      <c r="H2229" s="1" t="str">
        <f ca="1">IFERROR(__xludf.DUMMYFUNCTION("""COMPUTED_VALUE"""),"Freedom of Expression, Human Rights Defenders")</f>
        <v>Freedom of Expression, Human Rights Defenders</v>
      </c>
      <c r="I2229" s="1" t="str">
        <f ca="1">IFERROR(__xludf.DUMMYFUNCTION("""COMPUTED_VALUE"""),"2025")</f>
        <v>2025</v>
      </c>
      <c r="J2229" s="1" t="str">
        <f ca="1">IFERROR(__xludf.DUMMYFUNCTION("""COMPUTED_VALUE"""),"Email")</f>
        <v>Email</v>
      </c>
    </row>
    <row r="2230" spans="1:10" ht="13" x14ac:dyDescent="0.15">
      <c r="A2230" s="4">
        <f ca="1">IFERROR(__xludf.DUMMYFUNCTION("""COMPUTED_VALUE"""),274476222)</f>
        <v>274476222</v>
      </c>
      <c r="B2230" s="1" t="str">
        <f ca="1">IFERROR(__xludf.DUMMYFUNCTION("""COMPUTED_VALUE"""),"dbktw2005@gmail.com")</f>
        <v>dbktw2005@gmail.com</v>
      </c>
      <c r="C2230" s="4" t="str">
        <f ca="1">IFERROR(__xludf.DUMMYFUNCTION("""COMPUTED_VALUE"""),"EVERGREEN - UAN Gated Content - Embedded Petition")</f>
        <v>EVERGREEN - UAN Gated Content - Embedded Petition</v>
      </c>
      <c r="D2230" s="5">
        <f ca="1">IFERROR(__xludf.DUMMYFUNCTION("""COMPUTED_VALUE"""),45674)</f>
        <v>45674</v>
      </c>
      <c r="F2230" s="1" t="str">
        <f ca="1">IFERROR(__xludf.DUMMYFUNCTION("""COMPUTED_VALUE"""),"Tunisia")</f>
        <v>Tunisia</v>
      </c>
      <c r="G2230" s="1" t="str">
        <f ca="1">IFERROR(__xludf.DUMMYFUNCTION("""COMPUTED_VALUE"""),"3.25 IOPT")</f>
        <v>3.25 IOPT</v>
      </c>
      <c r="H2230" s="1" t="str">
        <f ca="1">IFERROR(__xludf.DUMMYFUNCTION("""COMPUTED_VALUE"""),"Freedom of Expression, Individuals At Risk")</f>
        <v>Freedom of Expression, Individuals At Risk</v>
      </c>
      <c r="I2230" s="1" t="str">
        <f ca="1">IFERROR(__xludf.DUMMYFUNCTION("""COMPUTED_VALUE"""),"2025")</f>
        <v>2025</v>
      </c>
      <c r="J2230" s="1" t="str">
        <f ca="1">IFERROR(__xludf.DUMMYFUNCTION("""COMPUTED_VALUE"""),"Email")</f>
        <v>Email</v>
      </c>
    </row>
    <row r="2231" spans="1:10" ht="13" x14ac:dyDescent="0.15">
      <c r="A2231" s="4">
        <f ca="1">IFERROR(__xludf.DUMMYFUNCTION("""COMPUTED_VALUE"""),274476222)</f>
        <v>274476222</v>
      </c>
      <c r="B2231" s="1" t="str">
        <f ca="1">IFERROR(__xludf.DUMMYFUNCTION("""COMPUTED_VALUE"""),"dbktw2005@gmail.com")</f>
        <v>dbktw2005@gmail.com</v>
      </c>
      <c r="C2231" s="4" t="str">
        <f ca="1">IFERROR(__xludf.DUMMYFUNCTION("""COMPUTED_VALUE"""),"EVERGREEN - UAN Gated Content - Embedded Petition")</f>
        <v>EVERGREEN - UAN Gated Content - Embedded Petition</v>
      </c>
      <c r="D2231" s="5">
        <f ca="1">IFERROR(__xludf.DUMMYFUNCTION("""COMPUTED_VALUE"""),45674)</f>
        <v>45674</v>
      </c>
      <c r="F2231" s="1" t="str">
        <f ca="1">IFERROR(__xludf.DUMMYFUNCTION("""COMPUTED_VALUE"""),"Israel and Occupied Palestinian Territories")</f>
        <v>Israel and Occupied Palestinian Territories</v>
      </c>
      <c r="G2231" s="1" t="str">
        <f ca="1">IFERROR(__xludf.DUMMYFUNCTION("""COMPUTED_VALUE"""),"3.25 IOPT")</f>
        <v>3.25 IOPT</v>
      </c>
      <c r="H2231" s="1" t="str">
        <f ca="1">IFERROR(__xludf.DUMMYFUNCTION("""COMPUTED_VALUE"""),"Freedom of Expression, Individuals At Risk")</f>
        <v>Freedom of Expression, Individuals At Risk</v>
      </c>
      <c r="I2231" s="1" t="str">
        <f ca="1">IFERROR(__xludf.DUMMYFUNCTION("""COMPUTED_VALUE"""),"2025")</f>
        <v>2025</v>
      </c>
      <c r="J2231" s="1" t="str">
        <f ca="1">IFERROR(__xludf.DUMMYFUNCTION("""COMPUTED_VALUE"""),"Email")</f>
        <v>Email</v>
      </c>
    </row>
    <row r="2232" spans="1:10" ht="13" x14ac:dyDescent="0.15">
      <c r="A2232" s="4">
        <f ca="1">IFERROR(__xludf.DUMMYFUNCTION("""COMPUTED_VALUE"""),274476222)</f>
        <v>274476222</v>
      </c>
      <c r="B2232" s="1" t="str">
        <f ca="1">IFERROR(__xludf.DUMMYFUNCTION("""COMPUTED_VALUE"""),"dbktw2005@gmail.com")</f>
        <v>dbktw2005@gmail.com</v>
      </c>
      <c r="C2232" s="4" t="str">
        <f ca="1">IFERROR(__xludf.DUMMYFUNCTION("""COMPUTED_VALUE"""),"EVERGREEN - UAN Gated Content - Embedded Petition")</f>
        <v>EVERGREEN - UAN Gated Content - Embedded Petition</v>
      </c>
      <c r="D2232" s="5">
        <f ca="1">IFERROR(__xludf.DUMMYFUNCTION("""COMPUTED_VALUE"""),45674)</f>
        <v>45674</v>
      </c>
      <c r="F2232" s="1" t="str">
        <f ca="1">IFERROR(__xludf.DUMMYFUNCTION("""COMPUTED_VALUE"""),"Israel and Occupied Palestinian Territories")</f>
        <v>Israel and Occupied Palestinian Territories</v>
      </c>
      <c r="G2232" s="1" t="str">
        <f ca="1">IFERROR(__xludf.DUMMYFUNCTION("""COMPUTED_VALUE"""),"4.25 USA")</f>
        <v>4.25 USA</v>
      </c>
      <c r="H2232" s="1" t="str">
        <f ca="1">IFERROR(__xludf.DUMMYFUNCTION("""COMPUTED_VALUE"""),"Individuals At Risk, Refugee and Migrant Rights")</f>
        <v>Individuals At Risk, Refugee and Migrant Rights</v>
      </c>
      <c r="I2232" s="1" t="str">
        <f ca="1">IFERROR(__xludf.DUMMYFUNCTION("""COMPUTED_VALUE"""),"2025")</f>
        <v>2025</v>
      </c>
      <c r="J2232" s="1" t="str">
        <f ca="1">IFERROR(__xludf.DUMMYFUNCTION("""COMPUTED_VALUE"""),"Letter")</f>
        <v>Letter</v>
      </c>
    </row>
    <row r="2233" spans="1:10" ht="13" x14ac:dyDescent="0.15">
      <c r="A2233" s="4">
        <f ca="1">IFERROR(__xludf.DUMMYFUNCTION("""COMPUTED_VALUE"""),274476222)</f>
        <v>274476222</v>
      </c>
      <c r="B2233" s="1" t="str">
        <f ca="1">IFERROR(__xludf.DUMMYFUNCTION("""COMPUTED_VALUE"""),"dbktw2005@gmail.com")</f>
        <v>dbktw2005@gmail.com</v>
      </c>
      <c r="C2233" s="4" t="str">
        <f ca="1">IFERROR(__xludf.DUMMYFUNCTION("""COMPUTED_VALUE"""),"EVERGREEN - UAN Gated Content - Embedded Petition")</f>
        <v>EVERGREEN - UAN Gated Content - Embedded Petition</v>
      </c>
      <c r="D2233" s="5">
        <f ca="1">IFERROR(__xludf.DUMMYFUNCTION("""COMPUTED_VALUE"""),45702)</f>
        <v>45702</v>
      </c>
      <c r="F2233" s="1" t="str">
        <f ca="1">IFERROR(__xludf.DUMMYFUNCTION("""COMPUTED_VALUE"""),"USA")</f>
        <v>USA</v>
      </c>
      <c r="G2233" s="1" t="str">
        <f ca="1">IFERROR(__xludf.DUMMYFUNCTION("""COMPUTED_VALUE"""),"3.25 IOPT")</f>
        <v>3.25 IOPT</v>
      </c>
      <c r="H2233" s="1" t="str">
        <f ca="1">IFERROR(__xludf.DUMMYFUNCTION("""COMPUTED_VALUE"""),"Freedom of Expression, Individuals At Risk")</f>
        <v>Freedom of Expression, Individuals At Risk</v>
      </c>
      <c r="I2233" s="1" t="str">
        <f ca="1">IFERROR(__xludf.DUMMYFUNCTION("""COMPUTED_VALUE"""),"2025")</f>
        <v>2025</v>
      </c>
      <c r="J2233" s="1" t="str">
        <f ca="1">IFERROR(__xludf.DUMMYFUNCTION("""COMPUTED_VALUE"""),"Email")</f>
        <v>Email</v>
      </c>
    </row>
    <row r="2234" spans="1:10" ht="13" x14ac:dyDescent="0.15">
      <c r="A2234" s="4">
        <f ca="1">IFERROR(__xludf.DUMMYFUNCTION("""COMPUTED_VALUE"""),274476222)</f>
        <v>274476222</v>
      </c>
      <c r="B2234" s="1" t="str">
        <f ca="1">IFERROR(__xludf.DUMMYFUNCTION("""COMPUTED_VALUE"""),"dbktw2005@gmail.com")</f>
        <v>dbktw2005@gmail.com</v>
      </c>
      <c r="C2234" s="4" t="str">
        <f ca="1">IFERROR(__xludf.DUMMYFUNCTION("""COMPUTED_VALUE"""),"EVERGREEN - UAN Gated Content - Embedded Petition")</f>
        <v>EVERGREEN - UAN Gated Content - Embedded Petition</v>
      </c>
      <c r="D2234" s="5">
        <f ca="1">IFERROR(__xludf.DUMMYFUNCTION("""COMPUTED_VALUE"""),45632)</f>
        <v>45632</v>
      </c>
      <c r="F2234" s="1" t="str">
        <f ca="1">IFERROR(__xludf.DUMMYFUNCTION("""COMPUTED_VALUE"""),"Israel and Occupied Palestinian Territories")</f>
        <v>Israel and Occupied Palestinian Territories</v>
      </c>
      <c r="G2234" s="1" t="str">
        <f ca="1">IFERROR(__xludf.DUMMYFUNCTION("""COMPUTED_VALUE"""),"3.25 IOPT")</f>
        <v>3.25 IOPT</v>
      </c>
      <c r="H2234" s="1" t="str">
        <f ca="1">IFERROR(__xludf.DUMMYFUNCTION("""COMPUTED_VALUE"""),"Freedom of Expression, Individuals At Risk")</f>
        <v>Freedom of Expression, Individuals At Risk</v>
      </c>
      <c r="I2234" s="1" t="str">
        <f ca="1">IFERROR(__xludf.DUMMYFUNCTION("""COMPUTED_VALUE"""),"2025")</f>
        <v>2025</v>
      </c>
      <c r="J2234" s="1" t="str">
        <f ca="1">IFERROR(__xludf.DUMMYFUNCTION("""COMPUTED_VALUE"""),"Email")</f>
        <v>Email</v>
      </c>
    </row>
    <row r="2235" spans="1:10" ht="13" x14ac:dyDescent="0.15">
      <c r="A2235" s="4">
        <f ca="1">IFERROR(__xludf.DUMMYFUNCTION("""COMPUTED_VALUE"""),274476222)</f>
        <v>274476222</v>
      </c>
      <c r="B2235" s="1" t="str">
        <f ca="1">IFERROR(__xludf.DUMMYFUNCTION("""COMPUTED_VALUE"""),"dbktw2005@gmail.com")</f>
        <v>dbktw2005@gmail.com</v>
      </c>
      <c r="C2235" s="4" t="str">
        <f ca="1">IFERROR(__xludf.DUMMYFUNCTION("""COMPUTED_VALUE"""),"EVERGREEN - UAN Gated Content - Embedded Petition")</f>
        <v>EVERGREEN - UAN Gated Content - Embedded Petition</v>
      </c>
      <c r="D2235" s="5">
        <f ca="1">IFERROR(__xludf.DUMMYFUNCTION("""COMPUTED_VALUE"""),45665)</f>
        <v>45665</v>
      </c>
      <c r="F2235" s="1" t="str">
        <f ca="1">IFERROR(__xludf.DUMMYFUNCTION("""COMPUTED_VALUE"""),"Israel and Occupied Palestinian Territories")</f>
        <v>Israel and Occupied Palestinian Territories</v>
      </c>
      <c r="G2235" s="1" t="str">
        <f ca="1">IFERROR(__xludf.DUMMYFUNCTION("""COMPUTED_VALUE"""),"3.25 IOPT")</f>
        <v>3.25 IOPT</v>
      </c>
      <c r="H2235" s="1" t="str">
        <f ca="1">IFERROR(__xludf.DUMMYFUNCTION("""COMPUTED_VALUE"""),"Freedom of Expression, Individuals At Risk")</f>
        <v>Freedom of Expression, Individuals At Risk</v>
      </c>
      <c r="I2235" s="1" t="str">
        <f ca="1">IFERROR(__xludf.DUMMYFUNCTION("""COMPUTED_VALUE"""),"2025")</f>
        <v>2025</v>
      </c>
      <c r="J2235" s="1" t="str">
        <f ca="1">IFERROR(__xludf.DUMMYFUNCTION("""COMPUTED_VALUE"""),"Email")</f>
        <v>Email</v>
      </c>
    </row>
    <row r="2236" spans="1:10" ht="13" x14ac:dyDescent="0.15">
      <c r="A2236" s="4">
        <f ca="1">IFERROR(__xludf.DUMMYFUNCTION("""COMPUTED_VALUE"""),274476222)</f>
        <v>274476222</v>
      </c>
      <c r="B2236" s="1" t="str">
        <f ca="1">IFERROR(__xludf.DUMMYFUNCTION("""COMPUTED_VALUE"""),"dbktw2005@gmail.com")</f>
        <v>dbktw2005@gmail.com</v>
      </c>
      <c r="C2236" s="4" t="str">
        <f ca="1">IFERROR(__xludf.DUMMYFUNCTION("""COMPUTED_VALUE"""),"EVERGREEN - UAN Gated Content - Embedded Petition")</f>
        <v>EVERGREEN - UAN Gated Content - Embedded Petition</v>
      </c>
      <c r="D2236" s="5">
        <f ca="1">IFERROR(__xludf.DUMMYFUNCTION("""COMPUTED_VALUE"""),45666)</f>
        <v>45666</v>
      </c>
      <c r="F2236" s="1" t="str">
        <f ca="1">IFERROR(__xludf.DUMMYFUNCTION("""COMPUTED_VALUE"""),"Israel and Occupied Palestinian Territories")</f>
        <v>Israel and Occupied Palestinian Territories</v>
      </c>
      <c r="G2236" s="1" t="str">
        <f ca="1">IFERROR(__xludf.DUMMYFUNCTION("""COMPUTED_VALUE"""),"3.25 IOPT")</f>
        <v>3.25 IOPT</v>
      </c>
      <c r="H2236" s="1" t="str">
        <f ca="1">IFERROR(__xludf.DUMMYFUNCTION("""COMPUTED_VALUE"""),"Freedom of Expression, Individuals At Risk")</f>
        <v>Freedom of Expression, Individuals At Risk</v>
      </c>
      <c r="I2236" s="1" t="str">
        <f ca="1">IFERROR(__xludf.DUMMYFUNCTION("""COMPUTED_VALUE"""),"2025")</f>
        <v>2025</v>
      </c>
      <c r="J2236" s="1" t="str">
        <f ca="1">IFERROR(__xludf.DUMMYFUNCTION("""COMPUTED_VALUE"""),"Email")</f>
        <v>Email</v>
      </c>
    </row>
    <row r="2237" spans="1:10" ht="13" x14ac:dyDescent="0.15">
      <c r="A2237" s="4">
        <f ca="1">IFERROR(__xludf.DUMMYFUNCTION("""COMPUTED_VALUE"""),274476222)</f>
        <v>274476222</v>
      </c>
      <c r="B2237" s="1" t="str">
        <f ca="1">IFERROR(__xludf.DUMMYFUNCTION("""COMPUTED_VALUE"""),"dbktw2005@gmail.com")</f>
        <v>dbktw2005@gmail.com</v>
      </c>
      <c r="C2237" s="4" t="str">
        <f ca="1">IFERROR(__xludf.DUMMYFUNCTION("""COMPUTED_VALUE"""),"EVERGREEN - UAN Gated Content - Embedded Petition")</f>
        <v>EVERGREEN - UAN Gated Content - Embedded Petition</v>
      </c>
      <c r="D2237" s="5">
        <f ca="1">IFERROR(__xludf.DUMMYFUNCTION("""COMPUTED_VALUE"""),45671)</f>
        <v>45671</v>
      </c>
      <c r="F2237" s="1" t="str">
        <f ca="1">IFERROR(__xludf.DUMMYFUNCTION("""COMPUTED_VALUE"""),"Israel and Occupied Palestinian Territories")</f>
        <v>Israel and Occupied Palestinian Territories</v>
      </c>
      <c r="G2237" s="1" t="str">
        <f ca="1">IFERROR(__xludf.DUMMYFUNCTION("""COMPUTED_VALUE"""),"3.25 IOPT")</f>
        <v>3.25 IOPT</v>
      </c>
      <c r="H2237" s="1" t="str">
        <f ca="1">IFERROR(__xludf.DUMMYFUNCTION("""COMPUTED_VALUE"""),"Freedom of Expression, Individuals At Risk")</f>
        <v>Freedom of Expression, Individuals At Risk</v>
      </c>
      <c r="I2237" s="1" t="str">
        <f ca="1">IFERROR(__xludf.DUMMYFUNCTION("""COMPUTED_VALUE"""),"2025")</f>
        <v>2025</v>
      </c>
      <c r="J2237" s="1" t="str">
        <f ca="1">IFERROR(__xludf.DUMMYFUNCTION("""COMPUTED_VALUE"""),"Email")</f>
        <v>Email</v>
      </c>
    </row>
    <row r="2238" spans="1:10" ht="13" x14ac:dyDescent="0.15">
      <c r="A2238" s="4">
        <f ca="1">IFERROR(__xludf.DUMMYFUNCTION("""COMPUTED_VALUE"""),274476222)</f>
        <v>274476222</v>
      </c>
      <c r="B2238" s="1" t="str">
        <f ca="1">IFERROR(__xludf.DUMMYFUNCTION("""COMPUTED_VALUE"""),"dbktw2005@gmail.com")</f>
        <v>dbktw2005@gmail.com</v>
      </c>
      <c r="C2238" s="4" t="str">
        <f ca="1">IFERROR(__xludf.DUMMYFUNCTION("""COMPUTED_VALUE"""),"EVERGREEN - UAN Gated Content - Embedded Petition")</f>
        <v>EVERGREEN - UAN Gated Content - Embedded Petition</v>
      </c>
      <c r="D2238" s="5">
        <f ca="1">IFERROR(__xludf.DUMMYFUNCTION("""COMPUTED_VALUE"""),45650)</f>
        <v>45650</v>
      </c>
      <c r="F2238" s="1" t="str">
        <f ca="1">IFERROR(__xludf.DUMMYFUNCTION("""COMPUTED_VALUE"""),"Israel and Occupied Palestinian Territories")</f>
        <v>Israel and Occupied Palestinian Territories</v>
      </c>
      <c r="G2238" s="1" t="str">
        <f ca="1">IFERROR(__xludf.DUMMYFUNCTION("""COMPUTED_VALUE"""),"3.25 IOPT")</f>
        <v>3.25 IOPT</v>
      </c>
      <c r="H2238" s="1" t="str">
        <f ca="1">IFERROR(__xludf.DUMMYFUNCTION("""COMPUTED_VALUE"""),"Freedom of Expression, Individuals At Risk")</f>
        <v>Freedom of Expression, Individuals At Risk</v>
      </c>
      <c r="I2238" s="1" t="str">
        <f ca="1">IFERROR(__xludf.DUMMYFUNCTION("""COMPUTED_VALUE"""),"2025")</f>
        <v>2025</v>
      </c>
      <c r="J2238" s="1" t="str">
        <f ca="1">IFERROR(__xludf.DUMMYFUNCTION("""COMPUTED_VALUE"""),"Email")</f>
        <v>Email</v>
      </c>
    </row>
    <row r="2239" spans="1:10" ht="13" x14ac:dyDescent="0.15">
      <c r="A2239" s="4">
        <f ca="1">IFERROR(__xludf.DUMMYFUNCTION("""COMPUTED_VALUE"""),274476222)</f>
        <v>274476222</v>
      </c>
      <c r="B2239" s="1" t="str">
        <f ca="1">IFERROR(__xludf.DUMMYFUNCTION("""COMPUTED_VALUE"""),"dbktw2005@gmail.com")</f>
        <v>dbktw2005@gmail.com</v>
      </c>
      <c r="C2239" s="4" t="str">
        <f ca="1">IFERROR(__xludf.DUMMYFUNCTION("""COMPUTED_VALUE"""),"EVERGREEN - UAN Gated Content - Embedded Petition")</f>
        <v>EVERGREEN - UAN Gated Content - Embedded Petition</v>
      </c>
      <c r="D2239" s="5">
        <f ca="1">IFERROR(__xludf.DUMMYFUNCTION("""COMPUTED_VALUE"""),45652)</f>
        <v>45652</v>
      </c>
      <c r="F2239" s="1" t="str">
        <f ca="1">IFERROR(__xludf.DUMMYFUNCTION("""COMPUTED_VALUE"""),"Israel and Occupied Palestinian Territories")</f>
        <v>Israel and Occupied Palestinian Territories</v>
      </c>
      <c r="G2239" s="1" t="str">
        <f ca="1">IFERROR(__xludf.DUMMYFUNCTION("""COMPUTED_VALUE"""),"3.25 IOPT")</f>
        <v>3.25 IOPT</v>
      </c>
      <c r="H2239" s="1" t="str">
        <f ca="1">IFERROR(__xludf.DUMMYFUNCTION("""COMPUTED_VALUE"""),"Freedom of Expression, Individuals At Risk")</f>
        <v>Freedom of Expression, Individuals At Risk</v>
      </c>
      <c r="I2239" s="1" t="str">
        <f ca="1">IFERROR(__xludf.DUMMYFUNCTION("""COMPUTED_VALUE"""),"2025")</f>
        <v>2025</v>
      </c>
      <c r="J2239" s="1" t="str">
        <f ca="1">IFERROR(__xludf.DUMMYFUNCTION("""COMPUTED_VALUE"""),"Email")</f>
        <v>Email</v>
      </c>
    </row>
    <row r="2240" spans="1:10" ht="13" x14ac:dyDescent="0.15">
      <c r="A2240" s="4">
        <f ca="1">IFERROR(__xludf.DUMMYFUNCTION("""COMPUTED_VALUE"""),274476222)</f>
        <v>274476222</v>
      </c>
      <c r="B2240" s="1" t="str">
        <f ca="1">IFERROR(__xludf.DUMMYFUNCTION("""COMPUTED_VALUE"""),"dbktw2005@gmail.com")</f>
        <v>dbktw2005@gmail.com</v>
      </c>
      <c r="C2240" s="4" t="str">
        <f ca="1">IFERROR(__xludf.DUMMYFUNCTION("""COMPUTED_VALUE"""),"EVERGREEN - UAN Gated Content - Embedded Petition")</f>
        <v>EVERGREEN - UAN Gated Content - Embedded Petition</v>
      </c>
      <c r="D2240" s="5">
        <f ca="1">IFERROR(__xludf.DUMMYFUNCTION("""COMPUTED_VALUE"""),45654)</f>
        <v>45654</v>
      </c>
      <c r="F2240" s="1" t="str">
        <f ca="1">IFERROR(__xludf.DUMMYFUNCTION("""COMPUTED_VALUE"""),"Israel and Occupied Palestinian Territories")</f>
        <v>Israel and Occupied Palestinian Territories</v>
      </c>
      <c r="G2240" s="1" t="str">
        <f ca="1">IFERROR(__xludf.DUMMYFUNCTION("""COMPUTED_VALUE"""),"3.25 IOPT")</f>
        <v>3.25 IOPT</v>
      </c>
      <c r="H2240" s="1" t="str">
        <f ca="1">IFERROR(__xludf.DUMMYFUNCTION("""COMPUTED_VALUE"""),"Freedom of Expression, Individuals At Risk")</f>
        <v>Freedom of Expression, Individuals At Risk</v>
      </c>
      <c r="I2240" s="1" t="str">
        <f ca="1">IFERROR(__xludf.DUMMYFUNCTION("""COMPUTED_VALUE"""),"2025")</f>
        <v>2025</v>
      </c>
      <c r="J2240" s="1" t="str">
        <f ca="1">IFERROR(__xludf.DUMMYFUNCTION("""COMPUTED_VALUE"""),"Email")</f>
        <v>Email</v>
      </c>
    </row>
    <row r="2241" spans="1:10" ht="13" x14ac:dyDescent="0.15">
      <c r="A2241" s="4">
        <f ca="1">IFERROR(__xludf.DUMMYFUNCTION("""COMPUTED_VALUE"""),274476222)</f>
        <v>274476222</v>
      </c>
      <c r="B2241" s="1" t="str">
        <f ca="1">IFERROR(__xludf.DUMMYFUNCTION("""COMPUTED_VALUE"""),"dbktw2005@gmail.com")</f>
        <v>dbktw2005@gmail.com</v>
      </c>
      <c r="C2241" s="4" t="str">
        <f ca="1">IFERROR(__xludf.DUMMYFUNCTION("""COMPUTED_VALUE"""),"EVERGREEN - UAN Gated Content - Embedded Petition")</f>
        <v>EVERGREEN - UAN Gated Content - Embedded Petition</v>
      </c>
      <c r="D2241" s="5">
        <f ca="1">IFERROR(__xludf.DUMMYFUNCTION("""COMPUTED_VALUE"""),45658)</f>
        <v>45658</v>
      </c>
      <c r="F2241" s="1" t="str">
        <f ca="1">IFERROR(__xludf.DUMMYFUNCTION("""COMPUTED_VALUE"""),"Israel and Occupied Palestinian Territories")</f>
        <v>Israel and Occupied Palestinian Territories</v>
      </c>
      <c r="G2241" s="1" t="str">
        <f ca="1">IFERROR(__xludf.DUMMYFUNCTION("""COMPUTED_VALUE"""),"3.25 IOPT")</f>
        <v>3.25 IOPT</v>
      </c>
      <c r="H2241" s="1" t="str">
        <f ca="1">IFERROR(__xludf.DUMMYFUNCTION("""COMPUTED_VALUE"""),"Freedom of Expression, Individuals At Risk")</f>
        <v>Freedom of Expression, Individuals At Risk</v>
      </c>
      <c r="I2241" s="1" t="str">
        <f ca="1">IFERROR(__xludf.DUMMYFUNCTION("""COMPUTED_VALUE"""),"2025")</f>
        <v>2025</v>
      </c>
      <c r="J2241" s="1" t="str">
        <f ca="1">IFERROR(__xludf.DUMMYFUNCTION("""COMPUTED_VALUE"""),"Email")</f>
        <v>Email</v>
      </c>
    </row>
    <row r="2242" spans="1:10" ht="13" x14ac:dyDescent="0.15">
      <c r="A2242" s="4">
        <f ca="1">IFERROR(__xludf.DUMMYFUNCTION("""COMPUTED_VALUE"""),274476222)</f>
        <v>274476222</v>
      </c>
      <c r="B2242" s="1" t="str">
        <f ca="1">IFERROR(__xludf.DUMMYFUNCTION("""COMPUTED_VALUE"""),"dbktw2005@gmail.com")</f>
        <v>dbktw2005@gmail.com</v>
      </c>
      <c r="C2242" s="4" t="str">
        <f ca="1">IFERROR(__xludf.DUMMYFUNCTION("""COMPUTED_VALUE"""),"EVERGREEN - UAN Gated Content - Embedded Petition")</f>
        <v>EVERGREEN - UAN Gated Content - Embedded Petition</v>
      </c>
      <c r="D2242" s="5">
        <f ca="1">IFERROR(__xludf.DUMMYFUNCTION("""COMPUTED_VALUE"""),45659)</f>
        <v>45659</v>
      </c>
      <c r="F2242" s="1" t="str">
        <f ca="1">IFERROR(__xludf.DUMMYFUNCTION("""COMPUTED_VALUE"""),"Israel and Occupied Palestinian Territories")</f>
        <v>Israel and Occupied Palestinian Territories</v>
      </c>
      <c r="G2242" s="1" t="str">
        <f ca="1">IFERROR(__xludf.DUMMYFUNCTION("""COMPUTED_VALUE"""),"3.25 IOPT")</f>
        <v>3.25 IOPT</v>
      </c>
      <c r="H2242" s="1" t="str">
        <f ca="1">IFERROR(__xludf.DUMMYFUNCTION("""COMPUTED_VALUE"""),"Freedom of Expression, Individuals At Risk")</f>
        <v>Freedom of Expression, Individuals At Risk</v>
      </c>
      <c r="I2242" s="1" t="str">
        <f ca="1">IFERROR(__xludf.DUMMYFUNCTION("""COMPUTED_VALUE"""),"2025")</f>
        <v>2025</v>
      </c>
      <c r="J2242" s="1" t="str">
        <f ca="1">IFERROR(__xludf.DUMMYFUNCTION("""COMPUTED_VALUE"""),"Email")</f>
        <v>Email</v>
      </c>
    </row>
    <row r="2243" spans="1:10" ht="13" x14ac:dyDescent="0.15">
      <c r="A2243" s="4">
        <f ca="1">IFERROR(__xludf.DUMMYFUNCTION("""COMPUTED_VALUE"""),274476222)</f>
        <v>274476222</v>
      </c>
      <c r="B2243" s="1" t="str">
        <f ca="1">IFERROR(__xludf.DUMMYFUNCTION("""COMPUTED_VALUE"""),"dbktw2005@gmail.com")</f>
        <v>dbktw2005@gmail.com</v>
      </c>
      <c r="C2243" s="4" t="str">
        <f ca="1">IFERROR(__xludf.DUMMYFUNCTION("""COMPUTED_VALUE"""),"EVERGREEN - UAN Gated Content - Embedded Petition")</f>
        <v>EVERGREEN - UAN Gated Content - Embedded Petition</v>
      </c>
      <c r="D2243" s="5">
        <f ca="1">IFERROR(__xludf.DUMMYFUNCTION("""COMPUTED_VALUE"""),45663)</f>
        <v>45663</v>
      </c>
      <c r="F2243" s="1" t="str">
        <f ca="1">IFERROR(__xludf.DUMMYFUNCTION("""COMPUTED_VALUE"""),"Israel and Occupied Palestinian Territories")</f>
        <v>Israel and Occupied Palestinian Territories</v>
      </c>
      <c r="G2243" s="1" t="str">
        <f ca="1">IFERROR(__xludf.DUMMYFUNCTION("""COMPUTED_VALUE"""),"3.25 IOPT")</f>
        <v>3.25 IOPT</v>
      </c>
      <c r="H2243" s="1" t="str">
        <f ca="1">IFERROR(__xludf.DUMMYFUNCTION("""COMPUTED_VALUE"""),"Freedom of Expression, Individuals At Risk")</f>
        <v>Freedom of Expression, Individuals At Risk</v>
      </c>
      <c r="I2243" s="1" t="str">
        <f ca="1">IFERROR(__xludf.DUMMYFUNCTION("""COMPUTED_VALUE"""),"2025")</f>
        <v>2025</v>
      </c>
      <c r="J2243" s="1" t="str">
        <f ca="1">IFERROR(__xludf.DUMMYFUNCTION("""COMPUTED_VALUE"""),"Email")</f>
        <v>Email</v>
      </c>
    </row>
    <row r="2244" spans="1:10" ht="13" x14ac:dyDescent="0.15">
      <c r="A2244" s="4">
        <f ca="1">IFERROR(__xludf.DUMMYFUNCTION("""COMPUTED_VALUE"""),274476222)</f>
        <v>274476222</v>
      </c>
      <c r="B2244" s="1" t="str">
        <f ca="1">IFERROR(__xludf.DUMMYFUNCTION("""COMPUTED_VALUE"""),"dbktw2005@gmail.com")</f>
        <v>dbktw2005@gmail.com</v>
      </c>
      <c r="C2244" s="4" t="str">
        <f ca="1">IFERROR(__xludf.DUMMYFUNCTION("""COMPUTED_VALUE"""),"EVERGREEN - UAN Gated Content - Embedded Petition")</f>
        <v>EVERGREEN - UAN Gated Content - Embedded Petition</v>
      </c>
      <c r="D2244" s="5">
        <f ca="1">IFERROR(__xludf.DUMMYFUNCTION("""COMPUTED_VALUE"""),45663)</f>
        <v>45663</v>
      </c>
      <c r="F2244" s="1" t="str">
        <f ca="1">IFERROR(__xludf.DUMMYFUNCTION("""COMPUTED_VALUE"""),"Israel and Occupied Palestinian Territories")</f>
        <v>Israel and Occupied Palestinian Territories</v>
      </c>
      <c r="G2244" s="1" t="str">
        <f ca="1">IFERROR(__xludf.DUMMYFUNCTION("""COMPUTED_VALUE"""),"3.25 IOPT")</f>
        <v>3.25 IOPT</v>
      </c>
      <c r="H2244" s="1" t="str">
        <f ca="1">IFERROR(__xludf.DUMMYFUNCTION("""COMPUTED_VALUE"""),"Freedom of Expression, Individuals At Risk")</f>
        <v>Freedom of Expression, Individuals At Risk</v>
      </c>
      <c r="I2244" s="1" t="str">
        <f ca="1">IFERROR(__xludf.DUMMYFUNCTION("""COMPUTED_VALUE"""),"2025")</f>
        <v>2025</v>
      </c>
      <c r="J2244" s="1" t="str">
        <f ca="1">IFERROR(__xludf.DUMMYFUNCTION("""COMPUTED_VALUE"""),"Email")</f>
        <v>Email</v>
      </c>
    </row>
    <row r="2245" spans="1:10" ht="13" x14ac:dyDescent="0.15">
      <c r="A2245" s="4">
        <f ca="1">IFERROR(__xludf.DUMMYFUNCTION("""COMPUTED_VALUE"""),274476222)</f>
        <v>274476222</v>
      </c>
      <c r="B2245" s="1" t="str">
        <f ca="1">IFERROR(__xludf.DUMMYFUNCTION("""COMPUTED_VALUE"""),"dbktw2005@gmail.com")</f>
        <v>dbktw2005@gmail.com</v>
      </c>
      <c r="C2245" s="4" t="str">
        <f ca="1">IFERROR(__xludf.DUMMYFUNCTION("""COMPUTED_VALUE"""),"EVERGREEN - UAN Gated Content - Embedded Petition")</f>
        <v>EVERGREEN - UAN Gated Content - Embedded Petition</v>
      </c>
      <c r="D2245" s="5">
        <f ca="1">IFERROR(__xludf.DUMMYFUNCTION("""COMPUTED_VALUE"""),45663)</f>
        <v>45663</v>
      </c>
      <c r="F2245" s="1" t="str">
        <f ca="1">IFERROR(__xludf.DUMMYFUNCTION("""COMPUTED_VALUE"""),"Israel and Occupied Palestinian Territories")</f>
        <v>Israel and Occupied Palestinian Territories</v>
      </c>
      <c r="G2245" s="1" t="str">
        <f ca="1">IFERROR(__xludf.DUMMYFUNCTION("""COMPUTED_VALUE"""),"3.25 IOPT")</f>
        <v>3.25 IOPT</v>
      </c>
      <c r="H2245" s="1" t="str">
        <f ca="1">IFERROR(__xludf.DUMMYFUNCTION("""COMPUTED_VALUE"""),"Freedom of Expression, Individuals At Risk")</f>
        <v>Freedom of Expression, Individuals At Risk</v>
      </c>
      <c r="I2245" s="1" t="str">
        <f ca="1">IFERROR(__xludf.DUMMYFUNCTION("""COMPUTED_VALUE"""),"2025")</f>
        <v>2025</v>
      </c>
      <c r="J2245" s="1" t="str">
        <f ca="1">IFERROR(__xludf.DUMMYFUNCTION("""COMPUTED_VALUE"""),"Email")</f>
        <v>Email</v>
      </c>
    </row>
    <row r="2246" spans="1:10" ht="13" x14ac:dyDescent="0.15">
      <c r="A2246" s="4">
        <f ca="1">IFERROR(__xludf.DUMMYFUNCTION("""COMPUTED_VALUE"""),274476222)</f>
        <v>274476222</v>
      </c>
      <c r="B2246" s="1" t="str">
        <f ca="1">IFERROR(__xludf.DUMMYFUNCTION("""COMPUTED_VALUE"""),"dbktw2005@gmail.com")</f>
        <v>dbktw2005@gmail.com</v>
      </c>
      <c r="C2246" s="4" t="str">
        <f ca="1">IFERROR(__xludf.DUMMYFUNCTION("""COMPUTED_VALUE"""),"EVERGREEN - UAN Gated Content - Embedded Petition")</f>
        <v>EVERGREEN - UAN Gated Content - Embedded Petition</v>
      </c>
      <c r="D2246" s="5">
        <f ca="1">IFERROR(__xludf.DUMMYFUNCTION("""COMPUTED_VALUE"""),45636)</f>
        <v>45636</v>
      </c>
      <c r="F2246" s="1" t="str">
        <f ca="1">IFERROR(__xludf.DUMMYFUNCTION("""COMPUTED_VALUE"""),"Israel and Occupied Palestinian Territories")</f>
        <v>Israel and Occupied Palestinian Territories</v>
      </c>
      <c r="G2246" s="1" t="str">
        <f ca="1">IFERROR(__xludf.DUMMYFUNCTION("""COMPUTED_VALUE"""),"3.25 IOPT")</f>
        <v>3.25 IOPT</v>
      </c>
      <c r="H2246" s="1" t="str">
        <f ca="1">IFERROR(__xludf.DUMMYFUNCTION("""COMPUTED_VALUE"""),"Freedom of Expression, Individuals At Risk")</f>
        <v>Freedom of Expression, Individuals At Risk</v>
      </c>
      <c r="I2246" s="1" t="str">
        <f ca="1">IFERROR(__xludf.DUMMYFUNCTION("""COMPUTED_VALUE"""),"2025")</f>
        <v>2025</v>
      </c>
      <c r="J2246" s="1" t="str">
        <f ca="1">IFERROR(__xludf.DUMMYFUNCTION("""COMPUTED_VALUE"""),"Email")</f>
        <v>Email</v>
      </c>
    </row>
    <row r="2247" spans="1:10" ht="13" x14ac:dyDescent="0.15">
      <c r="A2247" s="4">
        <f ca="1">IFERROR(__xludf.DUMMYFUNCTION("""COMPUTED_VALUE"""),274476222)</f>
        <v>274476222</v>
      </c>
      <c r="B2247" s="1" t="str">
        <f ca="1">IFERROR(__xludf.DUMMYFUNCTION("""COMPUTED_VALUE"""),"dbktw2005@gmail.com")</f>
        <v>dbktw2005@gmail.com</v>
      </c>
      <c r="C2247" s="4" t="str">
        <f ca="1">IFERROR(__xludf.DUMMYFUNCTION("""COMPUTED_VALUE"""),"EVERGREEN - UAN Gated Content - Embedded Petition")</f>
        <v>EVERGREEN - UAN Gated Content - Embedded Petition</v>
      </c>
      <c r="D2247" s="5">
        <f ca="1">IFERROR(__xludf.DUMMYFUNCTION("""COMPUTED_VALUE"""),45623)</f>
        <v>45623</v>
      </c>
      <c r="F2247" s="1" t="str">
        <f ca="1">IFERROR(__xludf.DUMMYFUNCTION("""COMPUTED_VALUE"""),"Israel and Occupied Palestinian Territories")</f>
        <v>Israel and Occupied Palestinian Territories</v>
      </c>
      <c r="G2247" s="1" t="str">
        <f ca="1">IFERROR(__xludf.DUMMYFUNCTION("""COMPUTED_VALUE"""),"3.25 IOPT")</f>
        <v>3.25 IOPT</v>
      </c>
      <c r="H2247" s="1" t="str">
        <f ca="1">IFERROR(__xludf.DUMMYFUNCTION("""COMPUTED_VALUE"""),"Freedom of Expression, Individuals At Risk")</f>
        <v>Freedom of Expression, Individuals At Risk</v>
      </c>
      <c r="I2247" s="1" t="str">
        <f ca="1">IFERROR(__xludf.DUMMYFUNCTION("""COMPUTED_VALUE"""),"2025")</f>
        <v>2025</v>
      </c>
      <c r="J2247" s="1" t="str">
        <f ca="1">IFERROR(__xludf.DUMMYFUNCTION("""COMPUTED_VALUE"""),"Email")</f>
        <v>Email</v>
      </c>
    </row>
    <row r="2248" spans="1:10" ht="13" x14ac:dyDescent="0.15">
      <c r="A2248" s="4">
        <f ca="1">IFERROR(__xludf.DUMMYFUNCTION("""COMPUTED_VALUE"""),274476222)</f>
        <v>274476222</v>
      </c>
      <c r="B2248" s="1" t="str">
        <f ca="1">IFERROR(__xludf.DUMMYFUNCTION("""COMPUTED_VALUE"""),"dbktw2005@gmail.com")</f>
        <v>dbktw2005@gmail.com</v>
      </c>
      <c r="C2248" s="4" t="str">
        <f ca="1">IFERROR(__xludf.DUMMYFUNCTION("""COMPUTED_VALUE"""),"EVERGREEN - UAN Gated Content - Embedded Petition")</f>
        <v>EVERGREEN - UAN Gated Content - Embedded Petition</v>
      </c>
      <c r="D2248" s="5">
        <f ca="1">IFERROR(__xludf.DUMMYFUNCTION("""COMPUTED_VALUE"""),45624)</f>
        <v>45624</v>
      </c>
      <c r="F2248" s="1" t="str">
        <f ca="1">IFERROR(__xludf.DUMMYFUNCTION("""COMPUTED_VALUE"""),"Israel and Occupied Palestinian Territories")</f>
        <v>Israel and Occupied Palestinian Territories</v>
      </c>
      <c r="G2248" s="1" t="str">
        <f ca="1">IFERROR(__xludf.DUMMYFUNCTION("""COMPUTED_VALUE"""),"3.25 IOPT")</f>
        <v>3.25 IOPT</v>
      </c>
      <c r="H2248" s="1" t="str">
        <f ca="1">IFERROR(__xludf.DUMMYFUNCTION("""COMPUTED_VALUE"""),"Freedom of Expression, Individuals At Risk")</f>
        <v>Freedom of Expression, Individuals At Risk</v>
      </c>
      <c r="I2248" s="1" t="str">
        <f ca="1">IFERROR(__xludf.DUMMYFUNCTION("""COMPUTED_VALUE"""),"2025")</f>
        <v>2025</v>
      </c>
      <c r="J2248" s="1" t="str">
        <f ca="1">IFERROR(__xludf.DUMMYFUNCTION("""COMPUTED_VALUE"""),"Email")</f>
        <v>Email</v>
      </c>
    </row>
    <row r="2249" spans="1:10" ht="13" x14ac:dyDescent="0.15">
      <c r="A2249" s="4">
        <f ca="1">IFERROR(__xludf.DUMMYFUNCTION("""COMPUTED_VALUE"""),274476222)</f>
        <v>274476222</v>
      </c>
      <c r="B2249" s="1" t="str">
        <f ca="1">IFERROR(__xludf.DUMMYFUNCTION("""COMPUTED_VALUE"""),"dbktw2005@gmail.com")</f>
        <v>dbktw2005@gmail.com</v>
      </c>
      <c r="C2249" s="4" t="str">
        <f ca="1">IFERROR(__xludf.DUMMYFUNCTION("""COMPUTED_VALUE"""),"EVERGREEN - UAN Gated Content - Embedded Petition")</f>
        <v>EVERGREEN - UAN Gated Content - Embedded Petition</v>
      </c>
      <c r="D2249" s="5">
        <f ca="1">IFERROR(__xludf.DUMMYFUNCTION("""COMPUTED_VALUE"""),45628)</f>
        <v>45628</v>
      </c>
      <c r="F2249" s="1" t="str">
        <f ca="1">IFERROR(__xludf.DUMMYFUNCTION("""COMPUTED_VALUE"""),"Israel and Occupied Palestinian Territories")</f>
        <v>Israel and Occupied Palestinian Territories</v>
      </c>
      <c r="G2249" s="1" t="str">
        <f ca="1">IFERROR(__xludf.DUMMYFUNCTION("""COMPUTED_VALUE"""),"3.25 IOPT")</f>
        <v>3.25 IOPT</v>
      </c>
      <c r="H2249" s="1" t="str">
        <f ca="1">IFERROR(__xludf.DUMMYFUNCTION("""COMPUTED_VALUE"""),"Freedom of Expression, Individuals At Risk")</f>
        <v>Freedom of Expression, Individuals At Risk</v>
      </c>
      <c r="I2249" s="1" t="str">
        <f ca="1">IFERROR(__xludf.DUMMYFUNCTION("""COMPUTED_VALUE"""),"2025")</f>
        <v>2025</v>
      </c>
      <c r="J2249" s="1" t="str">
        <f ca="1">IFERROR(__xludf.DUMMYFUNCTION("""COMPUTED_VALUE"""),"Email")</f>
        <v>Email</v>
      </c>
    </row>
    <row r="2250" spans="1:10" ht="13" x14ac:dyDescent="0.15">
      <c r="A2250" s="4">
        <f ca="1">IFERROR(__xludf.DUMMYFUNCTION("""COMPUTED_VALUE"""),274476222)</f>
        <v>274476222</v>
      </c>
      <c r="B2250" s="1" t="str">
        <f ca="1">IFERROR(__xludf.DUMMYFUNCTION("""COMPUTED_VALUE"""),"dbktw2005@gmail.com")</f>
        <v>dbktw2005@gmail.com</v>
      </c>
      <c r="C2250" s="4" t="str">
        <f ca="1">IFERROR(__xludf.DUMMYFUNCTION("""COMPUTED_VALUE"""),"EVERGREEN - UAN Gated Content - Embedded Petition")</f>
        <v>EVERGREEN - UAN Gated Content - Embedded Petition</v>
      </c>
      <c r="D2250" s="5">
        <f ca="1">IFERROR(__xludf.DUMMYFUNCTION("""COMPUTED_VALUE"""),45631)</f>
        <v>45631</v>
      </c>
      <c r="F2250" s="1" t="str">
        <f ca="1">IFERROR(__xludf.DUMMYFUNCTION("""COMPUTED_VALUE"""),"Israel and Occupied Palestinian Territories")</f>
        <v>Israel and Occupied Palestinian Territories</v>
      </c>
      <c r="G2250" s="1" t="str">
        <f ca="1">IFERROR(__xludf.DUMMYFUNCTION("""COMPUTED_VALUE"""),"3.25 IOPT")</f>
        <v>3.25 IOPT</v>
      </c>
      <c r="H2250" s="1" t="str">
        <f ca="1">IFERROR(__xludf.DUMMYFUNCTION("""COMPUTED_VALUE"""),"Freedom of Expression, Individuals At Risk")</f>
        <v>Freedom of Expression, Individuals At Risk</v>
      </c>
      <c r="I2250" s="1" t="str">
        <f ca="1">IFERROR(__xludf.DUMMYFUNCTION("""COMPUTED_VALUE"""),"2025")</f>
        <v>2025</v>
      </c>
      <c r="J2250" s="1" t="str">
        <f ca="1">IFERROR(__xludf.DUMMYFUNCTION("""COMPUTED_VALUE"""),"Email")</f>
        <v>Email</v>
      </c>
    </row>
    <row r="2251" spans="1:10" ht="13" x14ac:dyDescent="0.15">
      <c r="A2251" s="4">
        <f ca="1">IFERROR(__xludf.DUMMYFUNCTION("""COMPUTED_VALUE"""),274534751)</f>
        <v>274534751</v>
      </c>
      <c r="B2251" s="1" t="str">
        <f ca="1">IFERROR(__xludf.DUMMYFUNCTION("""COMPUTED_VALUE"""),"rodneyneill@hotmail.com")</f>
        <v>rodneyneill@hotmail.com</v>
      </c>
      <c r="C2251" s="4" t="str">
        <f ca="1">IFERROR(__xludf.DUMMYFUNCTION("""COMPUTED_VALUE"""),"EVERGREEN - UAN Gated Content - Embedded Petition")</f>
        <v>EVERGREEN - UAN Gated Content - Embedded Petition</v>
      </c>
      <c r="D2251" s="5">
        <f ca="1">IFERROR(__xludf.DUMMYFUNCTION("""COMPUTED_VALUE"""),45647)</f>
        <v>45647</v>
      </c>
      <c r="F2251" s="1" t="str">
        <f ca="1">IFERROR(__xludf.DUMMYFUNCTION("""COMPUTED_VALUE"""),"Israel and Occupied Palestinian Territories")</f>
        <v>Israel and Occupied Palestinian Territories</v>
      </c>
      <c r="G2251" s="1" t="str">
        <f ca="1">IFERROR(__xludf.DUMMYFUNCTION("""COMPUTED_VALUE"""),"3.25 IOPT")</f>
        <v>3.25 IOPT</v>
      </c>
      <c r="H2251" s="1" t="str">
        <f ca="1">IFERROR(__xludf.DUMMYFUNCTION("""COMPUTED_VALUE"""),"Freedom of Expression, Individuals At Risk")</f>
        <v>Freedom of Expression, Individuals At Risk</v>
      </c>
      <c r="I2251" s="1" t="str">
        <f ca="1">IFERROR(__xludf.DUMMYFUNCTION("""COMPUTED_VALUE"""),"2025")</f>
        <v>2025</v>
      </c>
      <c r="J2251" s="1" t="str">
        <f ca="1">IFERROR(__xludf.DUMMYFUNCTION("""COMPUTED_VALUE"""),"Email")</f>
        <v>Email</v>
      </c>
    </row>
    <row r="2252" spans="1:10" ht="13" x14ac:dyDescent="0.15">
      <c r="A2252" s="4">
        <f ca="1">IFERROR(__xludf.DUMMYFUNCTION("""COMPUTED_VALUE"""),274545128)</f>
        <v>274545128</v>
      </c>
      <c r="B2252" s="1" t="str">
        <f ca="1">IFERROR(__xludf.DUMMYFUNCTION("""COMPUTED_VALUE"""),"naznin975@gmail.com")</f>
        <v>naznin975@gmail.com</v>
      </c>
      <c r="C2252" s="4" t="str">
        <f ca="1">IFERROR(__xludf.DUMMYFUNCTION("""COMPUTED_VALUE"""),"EVERGREEN - UAN Gated Content - Embedded Petition")</f>
        <v>EVERGREEN - UAN Gated Content - Embedded Petition</v>
      </c>
      <c r="D2252" s="5">
        <f ca="1">IFERROR(__xludf.DUMMYFUNCTION("""COMPUTED_VALUE"""),45672)</f>
        <v>45672</v>
      </c>
      <c r="F2252" s="1" t="str">
        <f ca="1">IFERROR(__xludf.DUMMYFUNCTION("""COMPUTED_VALUE"""),"Israel and Occupied Palestinian Territories")</f>
        <v>Israel and Occupied Palestinian Territories</v>
      </c>
      <c r="G2252" s="1" t="str">
        <f ca="1">IFERROR(__xludf.DUMMYFUNCTION("""COMPUTED_VALUE"""),"3.25 IOPT")</f>
        <v>3.25 IOPT</v>
      </c>
      <c r="H2252" s="1" t="str">
        <f ca="1">IFERROR(__xludf.DUMMYFUNCTION("""COMPUTED_VALUE"""),"Freedom of Expression, Individuals At Risk")</f>
        <v>Freedom of Expression, Individuals At Risk</v>
      </c>
      <c r="I2252" s="1" t="str">
        <f ca="1">IFERROR(__xludf.DUMMYFUNCTION("""COMPUTED_VALUE"""),"2025")</f>
        <v>2025</v>
      </c>
      <c r="J2252" s="1" t="str">
        <f ca="1">IFERROR(__xludf.DUMMYFUNCTION("""COMPUTED_VALUE"""),"Email")</f>
        <v>Email</v>
      </c>
    </row>
    <row r="2253" spans="1:10" ht="13" x14ac:dyDescent="0.15">
      <c r="A2253" s="4">
        <f ca="1">IFERROR(__xludf.DUMMYFUNCTION("""COMPUTED_VALUE"""),275024224)</f>
        <v>275024224</v>
      </c>
      <c r="B2253" s="1" t="str">
        <f ca="1">IFERROR(__xludf.DUMMYFUNCTION("""COMPUTED_VALUE"""),"catwhisker72@gmail.com")</f>
        <v>catwhisker72@gmail.com</v>
      </c>
      <c r="C2253" s="4" t="str">
        <f ca="1">IFERROR(__xludf.DUMMYFUNCTION("""COMPUTED_VALUE"""),"EVERGREEN - UAN Gated Content - Embedded Petition")</f>
        <v>EVERGREEN - UAN Gated Content - Embedded Petition</v>
      </c>
      <c r="D2253" s="5">
        <f ca="1">IFERROR(__xludf.DUMMYFUNCTION("""COMPUTED_VALUE"""),45700)</f>
        <v>45700</v>
      </c>
      <c r="F2253" s="1" t="str">
        <f ca="1">IFERROR(__xludf.DUMMYFUNCTION("""COMPUTED_VALUE"""),"Israel and Occupied Palestinian Territories")</f>
        <v>Israel and Occupied Palestinian Territories</v>
      </c>
      <c r="G2253" s="1" t="str">
        <f ca="1">IFERROR(__xludf.DUMMYFUNCTION("""COMPUTED_VALUE"""),"3.25 IOPT")</f>
        <v>3.25 IOPT</v>
      </c>
      <c r="H2253" s="1" t="str">
        <f ca="1">IFERROR(__xludf.DUMMYFUNCTION("""COMPUTED_VALUE"""),"Freedom of Expression, Individuals At Risk")</f>
        <v>Freedom of Expression, Individuals At Risk</v>
      </c>
      <c r="I2253" s="1" t="str">
        <f ca="1">IFERROR(__xludf.DUMMYFUNCTION("""COMPUTED_VALUE"""),"2025")</f>
        <v>2025</v>
      </c>
      <c r="J2253" s="1" t="str">
        <f ca="1">IFERROR(__xludf.DUMMYFUNCTION("""COMPUTED_VALUE"""),"Email")</f>
        <v>Email</v>
      </c>
    </row>
    <row r="2254" spans="1:10" ht="13" x14ac:dyDescent="0.15">
      <c r="A2254" s="4">
        <f ca="1">IFERROR(__xludf.DUMMYFUNCTION("""COMPUTED_VALUE"""),275092733)</f>
        <v>275092733</v>
      </c>
      <c r="B2254" s="1" t="str">
        <f ca="1">IFERROR(__xludf.DUMMYFUNCTION("""COMPUTED_VALUE"""),"ulf.c.berg@outlook.com")</f>
        <v>ulf.c.berg@outlook.com</v>
      </c>
      <c r="C2254" s="4" t="str">
        <f ca="1">IFERROR(__xludf.DUMMYFUNCTION("""COMPUTED_VALUE"""),"UAN mid-page Lightbox - Step 1 of 4 - Landing Page")</f>
        <v>UAN mid-page Lightbox - Step 1 of 4 - Landing Page</v>
      </c>
      <c r="D2254" s="5">
        <f ca="1">IFERROR(__xludf.DUMMYFUNCTION("""COMPUTED_VALUE"""),45620)</f>
        <v>45620</v>
      </c>
      <c r="F2254" s="1" t="str">
        <f ca="1">IFERROR(__xludf.DUMMYFUNCTION("""COMPUTED_VALUE"""),"Israel and Occupied Palestinian Territories")</f>
        <v>Israel and Occupied Palestinian Territories</v>
      </c>
      <c r="G2254" s="1" t="str">
        <f ca="1">IFERROR(__xludf.DUMMYFUNCTION("""COMPUTED_VALUE"""),"3.25 IOPT")</f>
        <v>3.25 IOPT</v>
      </c>
      <c r="H2254" s="1" t="str">
        <f ca="1">IFERROR(__xludf.DUMMYFUNCTION("""COMPUTED_VALUE"""),"Freedom of Expression, Individuals At Risk")</f>
        <v>Freedom of Expression, Individuals At Risk</v>
      </c>
      <c r="I2254" s="1" t="str">
        <f ca="1">IFERROR(__xludf.DUMMYFUNCTION("""COMPUTED_VALUE"""),"2025")</f>
        <v>2025</v>
      </c>
      <c r="J2254" s="1" t="str">
        <f ca="1">IFERROR(__xludf.DUMMYFUNCTION("""COMPUTED_VALUE"""),"Email")</f>
        <v>Email</v>
      </c>
    </row>
    <row r="2255" spans="1:10" ht="13" x14ac:dyDescent="0.15">
      <c r="A2255" s="4">
        <f ca="1">IFERROR(__xludf.DUMMYFUNCTION("""COMPUTED_VALUE"""),275092733)</f>
        <v>275092733</v>
      </c>
      <c r="B2255" s="1" t="str">
        <f ca="1">IFERROR(__xludf.DUMMYFUNCTION("""COMPUTED_VALUE"""),"ulf.c.berg@outlook.com")</f>
        <v>ulf.c.berg@outlook.com</v>
      </c>
      <c r="C2255" s="4" t="str">
        <f ca="1">IFERROR(__xludf.DUMMYFUNCTION("""COMPUTED_VALUE"""),"UAN mid-page Lightbox - Step 2 of 4 - More personal info fields")</f>
        <v>UAN mid-page Lightbox - Step 2 of 4 - More personal info fields</v>
      </c>
      <c r="D2255" s="5">
        <f ca="1">IFERROR(__xludf.DUMMYFUNCTION("""COMPUTED_VALUE"""),45620)</f>
        <v>45620</v>
      </c>
      <c r="F2255" s="1" t="str">
        <f ca="1">IFERROR(__xludf.DUMMYFUNCTION("""COMPUTED_VALUE"""),"Israel and Occupied Palestinian Territories")</f>
        <v>Israel and Occupied Palestinian Territories</v>
      </c>
      <c r="G2255" s="1" t="str">
        <f ca="1">IFERROR(__xludf.DUMMYFUNCTION("""COMPUTED_VALUE"""),"3.25 IOPT")</f>
        <v>3.25 IOPT</v>
      </c>
      <c r="H2255" s="1" t="str">
        <f ca="1">IFERROR(__xludf.DUMMYFUNCTION("""COMPUTED_VALUE"""),"Freedom of Expression, Individuals At Risk")</f>
        <v>Freedom of Expression, Individuals At Risk</v>
      </c>
      <c r="I2255" s="1" t="str">
        <f ca="1">IFERROR(__xludf.DUMMYFUNCTION("""COMPUTED_VALUE"""),"2025")</f>
        <v>2025</v>
      </c>
      <c r="J2255" s="1" t="str">
        <f ca="1">IFERROR(__xludf.DUMMYFUNCTION("""COMPUTED_VALUE"""),"Email")</f>
        <v>Email</v>
      </c>
    </row>
    <row r="2256" spans="1:10" ht="13" x14ac:dyDescent="0.15">
      <c r="A2256" s="4">
        <f ca="1">IFERROR(__xludf.DUMMYFUNCTION("""COMPUTED_VALUE"""),275092733)</f>
        <v>275092733</v>
      </c>
      <c r="B2256" s="1" t="str">
        <f ca="1">IFERROR(__xludf.DUMMYFUNCTION("""COMPUTED_VALUE"""),"ulf.c.berg@outlook.com")</f>
        <v>ulf.c.berg@outlook.com</v>
      </c>
      <c r="C2256" s="4" t="str">
        <f ca="1">IFERROR(__xludf.DUMMYFUNCTION("""COMPUTED_VALUE"""),"UAN mid-page Lightbox - Step 3 of 4 - More opt-ins")</f>
        <v>UAN mid-page Lightbox - Step 3 of 4 - More opt-ins</v>
      </c>
      <c r="D2256" s="5">
        <f ca="1">IFERROR(__xludf.DUMMYFUNCTION("""COMPUTED_VALUE"""),45620)</f>
        <v>45620</v>
      </c>
      <c r="F2256" s="1" t="str">
        <f ca="1">IFERROR(__xludf.DUMMYFUNCTION("""COMPUTED_VALUE"""),"Israel and Occupied Palestinian Territories")</f>
        <v>Israel and Occupied Palestinian Territories</v>
      </c>
      <c r="G2256" s="1" t="str">
        <f ca="1">IFERROR(__xludf.DUMMYFUNCTION("""COMPUTED_VALUE"""),"3.25 IOPT")</f>
        <v>3.25 IOPT</v>
      </c>
      <c r="H2256" s="1" t="str">
        <f ca="1">IFERROR(__xludf.DUMMYFUNCTION("""COMPUTED_VALUE"""),"Freedom of Expression, Individuals At Risk")</f>
        <v>Freedom of Expression, Individuals At Risk</v>
      </c>
      <c r="I2256" s="1" t="str">
        <f ca="1">IFERROR(__xludf.DUMMYFUNCTION("""COMPUTED_VALUE"""),"2025")</f>
        <v>2025</v>
      </c>
      <c r="J2256" s="1" t="str">
        <f ca="1">IFERROR(__xludf.DUMMYFUNCTION("""COMPUTED_VALUE"""),"Email")</f>
        <v>Email</v>
      </c>
    </row>
    <row r="2257" spans="1:10" ht="13" x14ac:dyDescent="0.15">
      <c r="A2257" s="4">
        <f ca="1">IFERROR(__xludf.DUMMYFUNCTION("""COMPUTED_VALUE"""),275118408)</f>
        <v>275118408</v>
      </c>
      <c r="B2257" s="1" t="str">
        <f ca="1">IFERROR(__xludf.DUMMYFUNCTION("""COMPUTED_VALUE"""),"jonathan.flerra@mail.com")</f>
        <v>jonathan.flerra@mail.com</v>
      </c>
      <c r="C2257" s="4" t="str">
        <f ca="1">IFERROR(__xludf.DUMMYFUNCTION("""COMPUTED_VALUE"""),"EVERGREEN - UAN Gated Content - Embedded Petition")</f>
        <v>EVERGREEN - UAN Gated Content - Embedded Petition</v>
      </c>
      <c r="D2257" s="5">
        <f ca="1">IFERROR(__xludf.DUMMYFUNCTION("""COMPUTED_VALUE"""),45674)</f>
        <v>45674</v>
      </c>
      <c r="F2257" s="1" t="str">
        <f ca="1">IFERROR(__xludf.DUMMYFUNCTION("""COMPUTED_VALUE"""),"Israel and Occupied Palestinian Territories")</f>
        <v>Israel and Occupied Palestinian Territories</v>
      </c>
      <c r="G2257" s="1" t="str">
        <f ca="1">IFERROR(__xludf.DUMMYFUNCTION("""COMPUTED_VALUE"""),"3.25 IOPT")</f>
        <v>3.25 IOPT</v>
      </c>
      <c r="H2257" s="1" t="str">
        <f ca="1">IFERROR(__xludf.DUMMYFUNCTION("""COMPUTED_VALUE"""),"Freedom of Expression, Individuals At Risk")</f>
        <v>Freedom of Expression, Individuals At Risk</v>
      </c>
      <c r="I2257" s="1" t="str">
        <f ca="1">IFERROR(__xludf.DUMMYFUNCTION("""COMPUTED_VALUE"""),"2025")</f>
        <v>2025</v>
      </c>
      <c r="J2257" s="1" t="str">
        <f ca="1">IFERROR(__xludf.DUMMYFUNCTION("""COMPUTED_VALUE"""),"Email")</f>
        <v>Email</v>
      </c>
    </row>
    <row r="2258" spans="1:10" ht="13" x14ac:dyDescent="0.15">
      <c r="A2258" s="4">
        <f ca="1">IFERROR(__xludf.DUMMYFUNCTION("""COMPUTED_VALUE"""),275261344)</f>
        <v>275261344</v>
      </c>
      <c r="B2258" s="1" t="str">
        <f ca="1">IFERROR(__xludf.DUMMYFUNCTION("""COMPUTED_VALUE"""),"emeryflatt03@gmail.com")</f>
        <v>emeryflatt03@gmail.com</v>
      </c>
      <c r="C2258" s="4" t="str">
        <f ca="1">IFERROR(__xludf.DUMMYFUNCTION("""COMPUTED_VALUE"""),"EVERGREEN - UAN Gated Content - Embedded Petition")</f>
        <v>EVERGREEN - UAN Gated Content - Embedded Petition</v>
      </c>
      <c r="D2258" s="5">
        <f ca="1">IFERROR(__xludf.DUMMYFUNCTION("""COMPUTED_VALUE"""),45683)</f>
        <v>45683</v>
      </c>
      <c r="F2258" s="1" t="str">
        <f ca="1">IFERROR(__xludf.DUMMYFUNCTION("""COMPUTED_VALUE"""),"Israel and Occupied Palestinian Territories")</f>
        <v>Israel and Occupied Palestinian Territories</v>
      </c>
      <c r="G2258" s="1" t="str">
        <f ca="1">IFERROR(__xludf.DUMMYFUNCTION("""COMPUTED_VALUE"""),"3.25 IOPT")</f>
        <v>3.25 IOPT</v>
      </c>
      <c r="H2258" s="1" t="str">
        <f ca="1">IFERROR(__xludf.DUMMYFUNCTION("""COMPUTED_VALUE"""),"Freedom of Expression, Individuals At Risk")</f>
        <v>Freedom of Expression, Individuals At Risk</v>
      </c>
      <c r="I2258" s="1" t="str">
        <f ca="1">IFERROR(__xludf.DUMMYFUNCTION("""COMPUTED_VALUE"""),"2025")</f>
        <v>2025</v>
      </c>
      <c r="J2258" s="1" t="str">
        <f ca="1">IFERROR(__xludf.DUMMYFUNCTION("""COMPUTED_VALUE"""),"Email")</f>
        <v>Email</v>
      </c>
    </row>
    <row r="2259" spans="1:10" ht="13" x14ac:dyDescent="0.15">
      <c r="A2259" s="4">
        <f ca="1">IFERROR(__xludf.DUMMYFUNCTION("""COMPUTED_VALUE"""),275353891)</f>
        <v>275353891</v>
      </c>
      <c r="B2259" s="1" t="str">
        <f ca="1">IFERROR(__xludf.DUMMYFUNCTION("""COMPUTED_VALUE"""),"harrieteliz@gmail.com")</f>
        <v>harrieteliz@gmail.com</v>
      </c>
      <c r="C2259" s="4" t="str">
        <f ca="1">IFERROR(__xludf.DUMMYFUNCTION("""COMPUTED_VALUE"""),"EVERGREEN - UAN Gated Content - Embedded Petition")</f>
        <v>EVERGREEN - UAN Gated Content - Embedded Petition</v>
      </c>
      <c r="D2259" s="5">
        <f ca="1">IFERROR(__xludf.DUMMYFUNCTION("""COMPUTED_VALUE"""),45677)</f>
        <v>45677</v>
      </c>
      <c r="F2259" s="1" t="str">
        <f ca="1">IFERROR(__xludf.DUMMYFUNCTION("""COMPUTED_VALUE"""),"Israel and Occupied Palestinian Territories")</f>
        <v>Israel and Occupied Palestinian Territories</v>
      </c>
      <c r="G2259" s="1" t="str">
        <f ca="1">IFERROR(__xludf.DUMMYFUNCTION("""COMPUTED_VALUE"""),"3.25 IOPT")</f>
        <v>3.25 IOPT</v>
      </c>
      <c r="H2259" s="1" t="str">
        <f ca="1">IFERROR(__xludf.DUMMYFUNCTION("""COMPUTED_VALUE"""),"Freedom of Expression, Individuals At Risk")</f>
        <v>Freedom of Expression, Individuals At Risk</v>
      </c>
      <c r="I2259" s="1" t="str">
        <f ca="1">IFERROR(__xludf.DUMMYFUNCTION("""COMPUTED_VALUE"""),"2025")</f>
        <v>2025</v>
      </c>
      <c r="J2259" s="1" t="str">
        <f ca="1">IFERROR(__xludf.DUMMYFUNCTION("""COMPUTED_VALUE"""),"Email")</f>
        <v>Email</v>
      </c>
    </row>
    <row r="2260" spans="1:10" ht="13" x14ac:dyDescent="0.15">
      <c r="A2260" s="4">
        <f ca="1">IFERROR(__xludf.DUMMYFUNCTION("""COMPUTED_VALUE"""),275408425)</f>
        <v>275408425</v>
      </c>
      <c r="B2260" s="1" t="str">
        <f ca="1">IFERROR(__xludf.DUMMYFUNCTION("""COMPUTED_VALUE"""),"cloveless782@gmail.com")</f>
        <v>cloveless782@gmail.com</v>
      </c>
      <c r="C2260" s="4" t="str">
        <f ca="1">IFERROR(__xludf.DUMMYFUNCTION("""COMPUTED_VALUE"""),"EVERGREEN - UAN Gated Content - Embedded Petition")</f>
        <v>EVERGREEN - UAN Gated Content - Embedded Petition</v>
      </c>
      <c r="D2260" s="5">
        <f ca="1">IFERROR(__xludf.DUMMYFUNCTION("""COMPUTED_VALUE"""),45620)</f>
        <v>45620</v>
      </c>
      <c r="F2260" s="1" t="str">
        <f ca="1">IFERROR(__xludf.DUMMYFUNCTION("""COMPUTED_VALUE"""),"Israel and Occupied Palestinian Territories")</f>
        <v>Israel and Occupied Palestinian Territories</v>
      </c>
      <c r="G2260" s="1" t="str">
        <f ca="1">IFERROR(__xludf.DUMMYFUNCTION("""COMPUTED_VALUE"""),"3.25 IOPT")</f>
        <v>3.25 IOPT</v>
      </c>
      <c r="H2260" s="1" t="str">
        <f ca="1">IFERROR(__xludf.DUMMYFUNCTION("""COMPUTED_VALUE"""),"Freedom of Expression, Individuals At Risk")</f>
        <v>Freedom of Expression, Individuals At Risk</v>
      </c>
      <c r="I2260" s="1" t="str">
        <f ca="1">IFERROR(__xludf.DUMMYFUNCTION("""COMPUTED_VALUE"""),"2025")</f>
        <v>2025</v>
      </c>
      <c r="J2260" s="1" t="str">
        <f ca="1">IFERROR(__xludf.DUMMYFUNCTION("""COMPUTED_VALUE"""),"Email")</f>
        <v>Email</v>
      </c>
    </row>
    <row r="2261" spans="1:10" ht="13" x14ac:dyDescent="0.15">
      <c r="A2261" s="4">
        <f ca="1">IFERROR(__xludf.DUMMYFUNCTION("""COMPUTED_VALUE"""),275539081)</f>
        <v>275539081</v>
      </c>
      <c r="B2261" s="1" t="str">
        <f ca="1">IFERROR(__xludf.DUMMYFUNCTION("""COMPUTED_VALUE"""),"robbie9576@gmail.com")</f>
        <v>robbie9576@gmail.com</v>
      </c>
      <c r="C2261" s="4" t="str">
        <f ca="1">IFERROR(__xludf.DUMMYFUNCTION("""COMPUTED_VALUE"""),"EVERGREEN - UAN Gated Content - Embedded Petition")</f>
        <v>EVERGREEN - UAN Gated Content - Embedded Petition</v>
      </c>
      <c r="D2261" s="5">
        <f ca="1">IFERROR(__xludf.DUMMYFUNCTION("""COMPUTED_VALUE"""),45691)</f>
        <v>45691</v>
      </c>
      <c r="F2261" s="1" t="str">
        <f ca="1">IFERROR(__xludf.DUMMYFUNCTION("""COMPUTED_VALUE"""),"Israel and Occupied Palestinian Territories")</f>
        <v>Israel and Occupied Palestinian Territories</v>
      </c>
      <c r="G2261" s="1" t="str">
        <f ca="1">IFERROR(__xludf.DUMMYFUNCTION("""COMPUTED_VALUE"""),"3.25 IOPT")</f>
        <v>3.25 IOPT</v>
      </c>
      <c r="H2261" s="1" t="str">
        <f ca="1">IFERROR(__xludf.DUMMYFUNCTION("""COMPUTED_VALUE"""),"Freedom of Expression, Individuals At Risk")</f>
        <v>Freedom of Expression, Individuals At Risk</v>
      </c>
      <c r="I2261" s="1" t="str">
        <f ca="1">IFERROR(__xludf.DUMMYFUNCTION("""COMPUTED_VALUE"""),"2025")</f>
        <v>2025</v>
      </c>
      <c r="J2261" s="1" t="str">
        <f ca="1">IFERROR(__xludf.DUMMYFUNCTION("""COMPUTED_VALUE"""),"Email")</f>
        <v>Email</v>
      </c>
    </row>
    <row r="2262" spans="1:10" ht="13" x14ac:dyDescent="0.15">
      <c r="A2262" s="4">
        <f ca="1">IFERROR(__xludf.DUMMYFUNCTION("""COMPUTED_VALUE"""),275950473)</f>
        <v>275950473</v>
      </c>
      <c r="B2262" s="1" t="str">
        <f ca="1">IFERROR(__xludf.DUMMYFUNCTION("""COMPUTED_VALUE"""),"gab162@pitt.edu")</f>
        <v>gab162@pitt.edu</v>
      </c>
      <c r="C2262" s="4" t="str">
        <f ca="1">IFERROR(__xludf.DUMMYFUNCTION("""COMPUTED_VALUE"""),"EVERGREEN - UAN Gated Content - Embedded Petition")</f>
        <v>EVERGREEN - UAN Gated Content - Embedded Petition</v>
      </c>
      <c r="D2262" s="5">
        <f ca="1">IFERROR(__xludf.DUMMYFUNCTION("""COMPUTED_VALUE"""),45699)</f>
        <v>45699</v>
      </c>
      <c r="F2262" s="1" t="str">
        <f ca="1">IFERROR(__xludf.DUMMYFUNCTION("""COMPUTED_VALUE"""),"Israel and Occupied Palestinian Territories")</f>
        <v>Israel and Occupied Palestinian Territories</v>
      </c>
      <c r="G2262" s="1" t="str">
        <f ca="1">IFERROR(__xludf.DUMMYFUNCTION("""COMPUTED_VALUE"""),"3.25 IOPT")</f>
        <v>3.25 IOPT</v>
      </c>
      <c r="H2262" s="1" t="str">
        <f ca="1">IFERROR(__xludf.DUMMYFUNCTION("""COMPUTED_VALUE"""),"Freedom of Expression, Individuals At Risk")</f>
        <v>Freedom of Expression, Individuals At Risk</v>
      </c>
      <c r="I2262" s="1" t="str">
        <f ca="1">IFERROR(__xludf.DUMMYFUNCTION("""COMPUTED_VALUE"""),"2025")</f>
        <v>2025</v>
      </c>
      <c r="J2262" s="1" t="str">
        <f ca="1">IFERROR(__xludf.DUMMYFUNCTION("""COMPUTED_VALUE"""),"Email")</f>
        <v>Email</v>
      </c>
    </row>
    <row r="2263" spans="1:10" ht="13" x14ac:dyDescent="0.15">
      <c r="A2263" s="4">
        <f ca="1">IFERROR(__xludf.DUMMYFUNCTION("""COMPUTED_VALUE"""),275950473)</f>
        <v>275950473</v>
      </c>
      <c r="B2263" s="1" t="str">
        <f ca="1">IFERROR(__xludf.DUMMYFUNCTION("""COMPUTED_VALUE"""),"gab162@pitt.edu")</f>
        <v>gab162@pitt.edu</v>
      </c>
      <c r="C2263" s="4" t="str">
        <f ca="1">IFERROR(__xludf.DUMMYFUNCTION("""COMPUTED_VALUE"""),"EVERGREEN - UAN Gated Content - Embedded Petition")</f>
        <v>EVERGREEN - UAN Gated Content - Embedded Petition</v>
      </c>
      <c r="D2263" s="5">
        <f ca="1">IFERROR(__xludf.DUMMYFUNCTION("""COMPUTED_VALUE"""),45699)</f>
        <v>45699</v>
      </c>
      <c r="F2263" s="1" t="str">
        <f ca="1">IFERROR(__xludf.DUMMYFUNCTION("""COMPUTED_VALUE"""),"Israel and Occupied Palestinian Territories")</f>
        <v>Israel and Occupied Palestinian Territories</v>
      </c>
      <c r="G2263" s="1" t="str">
        <f ca="1">IFERROR(__xludf.DUMMYFUNCTION("""COMPUTED_VALUE"""),"3.25 IOPT")</f>
        <v>3.25 IOPT</v>
      </c>
      <c r="H2263" s="1" t="str">
        <f ca="1">IFERROR(__xludf.DUMMYFUNCTION("""COMPUTED_VALUE"""),"Freedom of Expression, Individuals At Risk")</f>
        <v>Freedom of Expression, Individuals At Risk</v>
      </c>
      <c r="I2263" s="1" t="str">
        <f ca="1">IFERROR(__xludf.DUMMYFUNCTION("""COMPUTED_VALUE"""),"2025")</f>
        <v>2025</v>
      </c>
      <c r="J2263" s="1" t="str">
        <f ca="1">IFERROR(__xludf.DUMMYFUNCTION("""COMPUTED_VALUE"""),"Email")</f>
        <v>Email</v>
      </c>
    </row>
    <row r="2264" spans="1:10" ht="13" x14ac:dyDescent="0.15">
      <c r="A2264" s="4">
        <f ca="1">IFERROR(__xludf.DUMMYFUNCTION("""COMPUTED_VALUE"""),275950473)</f>
        <v>275950473</v>
      </c>
      <c r="B2264" s="1" t="str">
        <f ca="1">IFERROR(__xludf.DUMMYFUNCTION("""COMPUTED_VALUE"""),"gab162@pitt.edu")</f>
        <v>gab162@pitt.edu</v>
      </c>
      <c r="C2264" s="4" t="str">
        <f ca="1">IFERROR(__xludf.DUMMYFUNCTION("""COMPUTED_VALUE"""),"EVERGREEN - UAN Gated Content - Embedded Petition")</f>
        <v>EVERGREEN - UAN Gated Content - Embedded Petition</v>
      </c>
      <c r="D2264" s="5">
        <f ca="1">IFERROR(__xludf.DUMMYFUNCTION("""COMPUTED_VALUE"""),45699)</f>
        <v>45699</v>
      </c>
      <c r="F2264" s="1" t="str">
        <f ca="1">IFERROR(__xludf.DUMMYFUNCTION("""COMPUTED_VALUE"""),"Israel and Occupied Palestinian Territories")</f>
        <v>Israel and Occupied Palestinian Territories</v>
      </c>
      <c r="G2264" s="1" t="str">
        <f ca="1">IFERROR(__xludf.DUMMYFUNCTION("""COMPUTED_VALUE"""),"3.25 IOPT")</f>
        <v>3.25 IOPT</v>
      </c>
      <c r="H2264" s="1" t="str">
        <f ca="1">IFERROR(__xludf.DUMMYFUNCTION("""COMPUTED_VALUE"""),"Freedom of Expression, Individuals At Risk")</f>
        <v>Freedom of Expression, Individuals At Risk</v>
      </c>
      <c r="I2264" s="1" t="str">
        <f ca="1">IFERROR(__xludf.DUMMYFUNCTION("""COMPUTED_VALUE"""),"2025")</f>
        <v>2025</v>
      </c>
      <c r="J2264" s="1" t="str">
        <f ca="1">IFERROR(__xludf.DUMMYFUNCTION("""COMPUTED_VALUE"""),"Email")</f>
        <v>Email</v>
      </c>
    </row>
    <row r="2265" spans="1:10" ht="13" x14ac:dyDescent="0.15">
      <c r="A2265" s="4">
        <f ca="1">IFERROR(__xludf.DUMMYFUNCTION("""COMPUTED_VALUE"""),276005807)</f>
        <v>276005807</v>
      </c>
      <c r="B2265" s="1" t="str">
        <f ca="1">IFERROR(__xludf.DUMMYFUNCTION("""COMPUTED_VALUE"""),"sharon458@hotmail.com")</f>
        <v>sharon458@hotmail.com</v>
      </c>
      <c r="C2265" s="4" t="str">
        <f ca="1">IFERROR(__xludf.DUMMYFUNCTION("""COMPUTED_VALUE"""),"EVERGREEN - UAN Gated Content - Embedded Petition")</f>
        <v>EVERGREEN - UAN Gated Content - Embedded Petition</v>
      </c>
      <c r="D2265" s="5">
        <f ca="1">IFERROR(__xludf.DUMMYFUNCTION("""COMPUTED_VALUE"""),45694)</f>
        <v>45694</v>
      </c>
      <c r="F2265" s="1" t="str">
        <f ca="1">IFERROR(__xludf.DUMMYFUNCTION("""COMPUTED_VALUE"""),"Israel and Occupied Palestinian Territories")</f>
        <v>Israel and Occupied Palestinian Territories</v>
      </c>
      <c r="G2265" s="1" t="str">
        <f ca="1">IFERROR(__xludf.DUMMYFUNCTION("""COMPUTED_VALUE"""),"3.25 IOPT")</f>
        <v>3.25 IOPT</v>
      </c>
      <c r="H2265" s="1" t="str">
        <f ca="1">IFERROR(__xludf.DUMMYFUNCTION("""COMPUTED_VALUE"""),"Freedom of Expression, Individuals At Risk")</f>
        <v>Freedom of Expression, Individuals At Risk</v>
      </c>
      <c r="I2265" s="1" t="str">
        <f ca="1">IFERROR(__xludf.DUMMYFUNCTION("""COMPUTED_VALUE"""),"2025")</f>
        <v>2025</v>
      </c>
      <c r="J2265" s="1" t="str">
        <f ca="1">IFERROR(__xludf.DUMMYFUNCTION("""COMPUTED_VALUE"""),"Email")</f>
        <v>Email</v>
      </c>
    </row>
    <row r="2266" spans="1:10" ht="13" x14ac:dyDescent="0.15">
      <c r="A2266" s="4">
        <f ca="1">IFERROR(__xludf.DUMMYFUNCTION("""COMPUTED_VALUE"""),276102839)</f>
        <v>276102839</v>
      </c>
      <c r="B2266" s="1" t="str">
        <f ca="1">IFERROR(__xludf.DUMMYFUNCTION("""COMPUTED_VALUE"""),"bhuvana.betini@gmail.com")</f>
        <v>bhuvana.betini@gmail.com</v>
      </c>
      <c r="C2266" s="4" t="str">
        <f ca="1">IFERROR(__xludf.DUMMYFUNCTION("""COMPUTED_VALUE"""),"EVERGREEN - UAN Gated Content - Embedded Petition")</f>
        <v>EVERGREEN - UAN Gated Content - Embedded Petition</v>
      </c>
      <c r="D2266" s="5">
        <f ca="1">IFERROR(__xludf.DUMMYFUNCTION("""COMPUTED_VALUE"""),45680)</f>
        <v>45680</v>
      </c>
      <c r="F2266" s="1" t="str">
        <f ca="1">IFERROR(__xludf.DUMMYFUNCTION("""COMPUTED_VALUE"""),"Israel and Occupied Palestinian Territories")</f>
        <v>Israel and Occupied Palestinian Territories</v>
      </c>
      <c r="G2266" s="1" t="str">
        <f ca="1">IFERROR(__xludf.DUMMYFUNCTION("""COMPUTED_VALUE"""),"3.25 IOPT")</f>
        <v>3.25 IOPT</v>
      </c>
      <c r="H2266" s="1" t="str">
        <f ca="1">IFERROR(__xludf.DUMMYFUNCTION("""COMPUTED_VALUE"""),"Freedom of Expression, Individuals At Risk")</f>
        <v>Freedom of Expression, Individuals At Risk</v>
      </c>
      <c r="I2266" s="1" t="str">
        <f ca="1">IFERROR(__xludf.DUMMYFUNCTION("""COMPUTED_VALUE"""),"2025")</f>
        <v>2025</v>
      </c>
      <c r="J2266" s="1" t="str">
        <f ca="1">IFERROR(__xludf.DUMMYFUNCTION("""COMPUTED_VALUE"""),"Email")</f>
        <v>Email</v>
      </c>
    </row>
    <row r="2267" spans="1:10" ht="13" x14ac:dyDescent="0.15">
      <c r="A2267" s="4">
        <f ca="1">IFERROR(__xludf.DUMMYFUNCTION("""COMPUTED_VALUE"""),276102839)</f>
        <v>276102839</v>
      </c>
      <c r="B2267" s="1" t="str">
        <f ca="1">IFERROR(__xludf.DUMMYFUNCTION("""COMPUTED_VALUE"""),"bhuvana.betini@gmail.com")</f>
        <v>bhuvana.betini@gmail.com</v>
      </c>
      <c r="C2267" s="4" t="str">
        <f ca="1">IFERROR(__xludf.DUMMYFUNCTION("""COMPUTED_VALUE"""),"EVERGREEN - Website Email Capture Form - UAN Pre-Footer")</f>
        <v>EVERGREEN - Website Email Capture Form - UAN Pre-Footer</v>
      </c>
      <c r="D2267" s="5">
        <f ca="1">IFERROR(__xludf.DUMMYFUNCTION("""COMPUTED_VALUE"""),45694)</f>
        <v>45694</v>
      </c>
      <c r="F2267" s="1" t="str">
        <f ca="1">IFERROR(__xludf.DUMMYFUNCTION("""COMPUTED_VALUE"""),"Israel and Occupied Palestinian Territories")</f>
        <v>Israel and Occupied Palestinian Territories</v>
      </c>
      <c r="G2267" s="1" t="str">
        <f ca="1">IFERROR(__xludf.DUMMYFUNCTION("""COMPUTED_VALUE"""),"3.25 IOPT")</f>
        <v>3.25 IOPT</v>
      </c>
      <c r="H2267" s="1" t="str">
        <f ca="1">IFERROR(__xludf.DUMMYFUNCTION("""COMPUTED_VALUE"""),"Freedom of Expression, Individuals At Risk")</f>
        <v>Freedom of Expression, Individuals At Risk</v>
      </c>
      <c r="I2267" s="1" t="str">
        <f ca="1">IFERROR(__xludf.DUMMYFUNCTION("""COMPUTED_VALUE"""),"2025")</f>
        <v>2025</v>
      </c>
      <c r="J2267" s="1" t="str">
        <f ca="1">IFERROR(__xludf.DUMMYFUNCTION("""COMPUTED_VALUE"""),"Email")</f>
        <v>Email</v>
      </c>
    </row>
    <row r="2268" spans="1:10" ht="13" x14ac:dyDescent="0.15">
      <c r="A2268" s="4">
        <f ca="1">IFERROR(__xludf.DUMMYFUNCTION("""COMPUTED_VALUE"""),276143544)</f>
        <v>276143544</v>
      </c>
      <c r="B2268" s="1" t="str">
        <f ca="1">IFERROR(__xludf.DUMMYFUNCTION("""COMPUTED_VALUE"""),"dfhspam@gmail.com")</f>
        <v>dfhspam@gmail.com</v>
      </c>
      <c r="C2268" s="4" t="str">
        <f ca="1">IFERROR(__xludf.DUMMYFUNCTION("""COMPUTED_VALUE"""),"EVERGREEN - UAN Gated Content - Embedded Petition")</f>
        <v>EVERGREEN - UAN Gated Content - Embedded Petition</v>
      </c>
      <c r="D2268" s="5">
        <f ca="1">IFERROR(__xludf.DUMMYFUNCTION("""COMPUTED_VALUE"""),45581)</f>
        <v>45581</v>
      </c>
      <c r="F2268" s="1" t="str">
        <f ca="1">IFERROR(__xludf.DUMMYFUNCTION("""COMPUTED_VALUE"""),"Israel and Occupied Palestinian Territories")</f>
        <v>Israel and Occupied Palestinian Territories</v>
      </c>
      <c r="G2268" s="1" t="str">
        <f ca="1">IFERROR(__xludf.DUMMYFUNCTION("""COMPUTED_VALUE"""),"4.25 USA")</f>
        <v>4.25 USA</v>
      </c>
      <c r="H2268" s="1" t="str">
        <f ca="1">IFERROR(__xludf.DUMMYFUNCTION("""COMPUTED_VALUE"""),"Individuals At Risk, Refugee and Migrant Rights")</f>
        <v>Individuals At Risk, Refugee and Migrant Rights</v>
      </c>
      <c r="I2268" s="1" t="str">
        <f ca="1">IFERROR(__xludf.DUMMYFUNCTION("""COMPUTED_VALUE"""),"2025")</f>
        <v>2025</v>
      </c>
      <c r="J2268" s="1" t="str">
        <f ca="1">IFERROR(__xludf.DUMMYFUNCTION("""COMPUTED_VALUE"""),"Letter")</f>
        <v>Letter</v>
      </c>
    </row>
    <row r="2269" spans="1:10" ht="13" x14ac:dyDescent="0.15">
      <c r="A2269" s="4">
        <f ca="1">IFERROR(__xludf.DUMMYFUNCTION("""COMPUTED_VALUE"""),276143544)</f>
        <v>276143544</v>
      </c>
      <c r="B2269" s="1" t="str">
        <f ca="1">IFERROR(__xludf.DUMMYFUNCTION("""COMPUTED_VALUE"""),"dfhspam@gmail.com")</f>
        <v>dfhspam@gmail.com</v>
      </c>
      <c r="C2269" s="4" t="str">
        <f ca="1">IFERROR(__xludf.DUMMYFUNCTION("""COMPUTED_VALUE"""),"EVERGREEN - UAN Gated Content - Embedded Petition")</f>
        <v>EVERGREEN - UAN Gated Content - Embedded Petition</v>
      </c>
      <c r="D2269" s="5">
        <f ca="1">IFERROR(__xludf.DUMMYFUNCTION("""COMPUTED_VALUE"""),45680)</f>
        <v>45680</v>
      </c>
      <c r="F2269" s="1" t="str">
        <f ca="1">IFERROR(__xludf.DUMMYFUNCTION("""COMPUTED_VALUE"""),"USA")</f>
        <v>USA</v>
      </c>
      <c r="G2269" s="1" t="str">
        <f ca="1">IFERROR(__xludf.DUMMYFUNCTION("""COMPUTED_VALUE"""),"3.25 IOPT")</f>
        <v>3.25 IOPT</v>
      </c>
      <c r="H2269" s="1" t="str">
        <f ca="1">IFERROR(__xludf.DUMMYFUNCTION("""COMPUTED_VALUE"""),"Freedom of Expression, Individuals At Risk")</f>
        <v>Freedom of Expression, Individuals At Risk</v>
      </c>
      <c r="I2269" s="1" t="str">
        <f ca="1">IFERROR(__xludf.DUMMYFUNCTION("""COMPUTED_VALUE"""),"2025")</f>
        <v>2025</v>
      </c>
      <c r="J2269" s="1" t="str">
        <f ca="1">IFERROR(__xludf.DUMMYFUNCTION("""COMPUTED_VALUE"""),"Email")</f>
        <v>Email</v>
      </c>
    </row>
    <row r="2270" spans="1:10" ht="13" x14ac:dyDescent="0.15">
      <c r="A2270" s="4">
        <f ca="1">IFERROR(__xludf.DUMMYFUNCTION("""COMPUTED_VALUE"""),276170359)</f>
        <v>276170359</v>
      </c>
      <c r="B2270" s="1" t="str">
        <f ca="1">IFERROR(__xludf.DUMMYFUNCTION("""COMPUTED_VALUE"""),"yckim2180@gmail.com")</f>
        <v>yckim2180@gmail.com</v>
      </c>
      <c r="C2270" s="4" t="str">
        <f ca="1">IFERROR(__xludf.DUMMYFUNCTION("""COMPUTED_VALUE"""),"EVERGREEN - UAN Gated Content - Embedded Petition")</f>
        <v>EVERGREEN - UAN Gated Content - Embedded Petition</v>
      </c>
      <c r="D2270" s="5">
        <f ca="1">IFERROR(__xludf.DUMMYFUNCTION("""COMPUTED_VALUE"""),45696)</f>
        <v>45696</v>
      </c>
      <c r="F2270" s="1" t="str">
        <f ca="1">IFERROR(__xludf.DUMMYFUNCTION("""COMPUTED_VALUE"""),"Israel and Occupied Palestinian Territories")</f>
        <v>Israel and Occupied Palestinian Territories</v>
      </c>
      <c r="G2270" s="1" t="str">
        <f ca="1">IFERROR(__xludf.DUMMYFUNCTION("""COMPUTED_VALUE"""),"3.25 IOPT")</f>
        <v>3.25 IOPT</v>
      </c>
      <c r="H2270" s="1" t="str">
        <f ca="1">IFERROR(__xludf.DUMMYFUNCTION("""COMPUTED_VALUE"""),"Freedom of Expression, Individuals At Risk")</f>
        <v>Freedom of Expression, Individuals At Risk</v>
      </c>
      <c r="I2270" s="1" t="str">
        <f ca="1">IFERROR(__xludf.DUMMYFUNCTION("""COMPUTED_VALUE"""),"2025")</f>
        <v>2025</v>
      </c>
      <c r="J2270" s="1" t="str">
        <f ca="1">IFERROR(__xludf.DUMMYFUNCTION("""COMPUTED_VALUE"""),"Email")</f>
        <v>Email</v>
      </c>
    </row>
    <row r="2271" spans="1:10" ht="13" x14ac:dyDescent="0.15">
      <c r="A2271" s="4">
        <f ca="1">IFERROR(__xludf.DUMMYFUNCTION("""COMPUTED_VALUE"""),276170359)</f>
        <v>276170359</v>
      </c>
      <c r="B2271" s="1" t="str">
        <f ca="1">IFERROR(__xludf.DUMMYFUNCTION("""COMPUTED_VALUE"""),"yckim2180@gmail.com")</f>
        <v>yckim2180@gmail.com</v>
      </c>
      <c r="C2271" s="4" t="str">
        <f ca="1">IFERROR(__xludf.DUMMYFUNCTION("""COMPUTED_VALUE"""),"EVERGREEN - UAN Gated Content - Embedded Petition")</f>
        <v>EVERGREEN - UAN Gated Content - Embedded Petition</v>
      </c>
      <c r="D2271" s="5">
        <f ca="1">IFERROR(__xludf.DUMMYFUNCTION("""COMPUTED_VALUE"""),45696)</f>
        <v>45696</v>
      </c>
      <c r="F2271" s="1" t="str">
        <f ca="1">IFERROR(__xludf.DUMMYFUNCTION("""COMPUTED_VALUE"""),"Israel and Occupied Palestinian Territories")</f>
        <v>Israel and Occupied Palestinian Territories</v>
      </c>
      <c r="G2271" s="1" t="str">
        <f ca="1">IFERROR(__xludf.DUMMYFUNCTION("""COMPUTED_VALUE"""),"3.25 IOPT")</f>
        <v>3.25 IOPT</v>
      </c>
      <c r="H2271" s="1" t="str">
        <f ca="1">IFERROR(__xludf.DUMMYFUNCTION("""COMPUTED_VALUE"""),"Freedom of Expression, Individuals At Risk")</f>
        <v>Freedom of Expression, Individuals At Risk</v>
      </c>
      <c r="I2271" s="1" t="str">
        <f ca="1">IFERROR(__xludf.DUMMYFUNCTION("""COMPUTED_VALUE"""),"2025")</f>
        <v>2025</v>
      </c>
      <c r="J2271" s="1" t="str">
        <f ca="1">IFERROR(__xludf.DUMMYFUNCTION("""COMPUTED_VALUE"""),"Email")</f>
        <v>Email</v>
      </c>
    </row>
    <row r="2272" spans="1:10" ht="13" x14ac:dyDescent="0.15">
      <c r="A2272" s="4">
        <f ca="1">IFERROR(__xludf.DUMMYFUNCTION("""COMPUTED_VALUE"""),276170359)</f>
        <v>276170359</v>
      </c>
      <c r="B2272" s="1" t="str">
        <f ca="1">IFERROR(__xludf.DUMMYFUNCTION("""COMPUTED_VALUE"""),"yckim2180@gmail.com")</f>
        <v>yckim2180@gmail.com</v>
      </c>
      <c r="C2272" s="4" t="str">
        <f ca="1">IFERROR(__xludf.DUMMYFUNCTION("""COMPUTED_VALUE"""),"EVERGREEN - UAN Gated Content - Embedded Petition")</f>
        <v>EVERGREEN - UAN Gated Content - Embedded Petition</v>
      </c>
      <c r="D2272" s="5">
        <f ca="1">IFERROR(__xludf.DUMMYFUNCTION("""COMPUTED_VALUE"""),45696)</f>
        <v>45696</v>
      </c>
      <c r="F2272" s="1" t="str">
        <f ca="1">IFERROR(__xludf.DUMMYFUNCTION("""COMPUTED_VALUE"""),"Israel and Occupied Palestinian Territories")</f>
        <v>Israel and Occupied Palestinian Territories</v>
      </c>
      <c r="G2272" s="1" t="str">
        <f ca="1">IFERROR(__xludf.DUMMYFUNCTION("""COMPUTED_VALUE"""),"3.25 IOPT")</f>
        <v>3.25 IOPT</v>
      </c>
      <c r="H2272" s="1" t="str">
        <f ca="1">IFERROR(__xludf.DUMMYFUNCTION("""COMPUTED_VALUE"""),"Freedom of Expression, Individuals At Risk")</f>
        <v>Freedom of Expression, Individuals At Risk</v>
      </c>
      <c r="I2272" s="1" t="str">
        <f ca="1">IFERROR(__xludf.DUMMYFUNCTION("""COMPUTED_VALUE"""),"2025")</f>
        <v>2025</v>
      </c>
      <c r="J2272" s="1" t="str">
        <f ca="1">IFERROR(__xludf.DUMMYFUNCTION("""COMPUTED_VALUE"""),"Email")</f>
        <v>Email</v>
      </c>
    </row>
    <row r="2273" spans="1:10" ht="13" x14ac:dyDescent="0.15">
      <c r="A2273" s="4">
        <f ca="1">IFERROR(__xludf.DUMMYFUNCTION("""COMPUTED_VALUE"""),276170359)</f>
        <v>276170359</v>
      </c>
      <c r="B2273" s="1" t="str">
        <f ca="1">IFERROR(__xludf.DUMMYFUNCTION("""COMPUTED_VALUE"""),"yckim2180@gmail.com")</f>
        <v>yckim2180@gmail.com</v>
      </c>
      <c r="C2273" s="4" t="str">
        <f ca="1">IFERROR(__xludf.DUMMYFUNCTION("""COMPUTED_VALUE"""),"EVERGREEN - UAN Gated Content - Embedded Petition")</f>
        <v>EVERGREEN - UAN Gated Content - Embedded Petition</v>
      </c>
      <c r="D2273" s="5">
        <f ca="1">IFERROR(__xludf.DUMMYFUNCTION("""COMPUTED_VALUE"""),45696)</f>
        <v>45696</v>
      </c>
      <c r="F2273" s="1" t="str">
        <f ca="1">IFERROR(__xludf.DUMMYFUNCTION("""COMPUTED_VALUE"""),"Israel and Occupied Palestinian Territories")</f>
        <v>Israel and Occupied Palestinian Territories</v>
      </c>
      <c r="G2273" s="1" t="str">
        <f ca="1">IFERROR(__xludf.DUMMYFUNCTION("""COMPUTED_VALUE"""),"3.25 IOPT")</f>
        <v>3.25 IOPT</v>
      </c>
      <c r="H2273" s="1" t="str">
        <f ca="1">IFERROR(__xludf.DUMMYFUNCTION("""COMPUTED_VALUE"""),"Freedom of Expression, Individuals At Risk")</f>
        <v>Freedom of Expression, Individuals At Risk</v>
      </c>
      <c r="I2273" s="1" t="str">
        <f ca="1">IFERROR(__xludf.DUMMYFUNCTION("""COMPUTED_VALUE"""),"2025")</f>
        <v>2025</v>
      </c>
      <c r="J2273" s="1" t="str">
        <f ca="1">IFERROR(__xludf.DUMMYFUNCTION("""COMPUTED_VALUE"""),"Email")</f>
        <v>Email</v>
      </c>
    </row>
    <row r="2274" spans="1:10" ht="13" x14ac:dyDescent="0.15">
      <c r="A2274" s="4">
        <f ca="1">IFERROR(__xludf.DUMMYFUNCTION("""COMPUTED_VALUE"""),276170359)</f>
        <v>276170359</v>
      </c>
      <c r="B2274" s="1" t="str">
        <f ca="1">IFERROR(__xludf.DUMMYFUNCTION("""COMPUTED_VALUE"""),"yckim2180@gmail.com")</f>
        <v>yckim2180@gmail.com</v>
      </c>
      <c r="C2274" s="4" t="str">
        <f ca="1">IFERROR(__xludf.DUMMYFUNCTION("""COMPUTED_VALUE"""),"EVERGREEN - UAN Gated Content - Embedded Petition")</f>
        <v>EVERGREEN - UAN Gated Content - Embedded Petition</v>
      </c>
      <c r="D2274" s="5">
        <f ca="1">IFERROR(__xludf.DUMMYFUNCTION("""COMPUTED_VALUE"""),45696)</f>
        <v>45696</v>
      </c>
      <c r="F2274" s="1" t="str">
        <f ca="1">IFERROR(__xludf.DUMMYFUNCTION("""COMPUTED_VALUE"""),"Israel and Occupied Palestinian Territories")</f>
        <v>Israel and Occupied Palestinian Territories</v>
      </c>
      <c r="G2274" s="1" t="str">
        <f ca="1">IFERROR(__xludf.DUMMYFUNCTION("""COMPUTED_VALUE"""),"3.25 IOPT")</f>
        <v>3.25 IOPT</v>
      </c>
      <c r="H2274" s="1" t="str">
        <f ca="1">IFERROR(__xludf.DUMMYFUNCTION("""COMPUTED_VALUE"""),"Freedom of Expression, Individuals At Risk")</f>
        <v>Freedom of Expression, Individuals At Risk</v>
      </c>
      <c r="I2274" s="1" t="str">
        <f ca="1">IFERROR(__xludf.DUMMYFUNCTION("""COMPUTED_VALUE"""),"2025")</f>
        <v>2025</v>
      </c>
      <c r="J2274" s="1" t="str">
        <f ca="1">IFERROR(__xludf.DUMMYFUNCTION("""COMPUTED_VALUE"""),"Email")</f>
        <v>Email</v>
      </c>
    </row>
    <row r="2275" spans="1:10" ht="13" x14ac:dyDescent="0.15">
      <c r="A2275" s="4">
        <f ca="1">IFERROR(__xludf.DUMMYFUNCTION("""COMPUTED_VALUE"""),276170359)</f>
        <v>276170359</v>
      </c>
      <c r="B2275" s="1" t="str">
        <f ca="1">IFERROR(__xludf.DUMMYFUNCTION("""COMPUTED_VALUE"""),"yckim2180@gmail.com")</f>
        <v>yckim2180@gmail.com</v>
      </c>
      <c r="C2275" s="4" t="str">
        <f ca="1">IFERROR(__xludf.DUMMYFUNCTION("""COMPUTED_VALUE"""),"EVERGREEN - UAN Gated Content - Embedded Petition")</f>
        <v>EVERGREEN - UAN Gated Content - Embedded Petition</v>
      </c>
      <c r="D2275" s="5">
        <f ca="1">IFERROR(__xludf.DUMMYFUNCTION("""COMPUTED_VALUE"""),45696)</f>
        <v>45696</v>
      </c>
      <c r="F2275" s="1" t="str">
        <f ca="1">IFERROR(__xludf.DUMMYFUNCTION("""COMPUTED_VALUE"""),"Israel and Occupied Palestinian Territories")</f>
        <v>Israel and Occupied Palestinian Territories</v>
      </c>
      <c r="G2275" s="1" t="str">
        <f ca="1">IFERROR(__xludf.DUMMYFUNCTION("""COMPUTED_VALUE"""),"3.25 IOPT")</f>
        <v>3.25 IOPT</v>
      </c>
      <c r="H2275" s="1" t="str">
        <f ca="1">IFERROR(__xludf.DUMMYFUNCTION("""COMPUTED_VALUE"""),"Freedom of Expression, Individuals At Risk")</f>
        <v>Freedom of Expression, Individuals At Risk</v>
      </c>
      <c r="I2275" s="1" t="str">
        <f ca="1">IFERROR(__xludf.DUMMYFUNCTION("""COMPUTED_VALUE"""),"2025")</f>
        <v>2025</v>
      </c>
      <c r="J2275" s="1" t="str">
        <f ca="1">IFERROR(__xludf.DUMMYFUNCTION("""COMPUTED_VALUE"""),"Email")</f>
        <v>Email</v>
      </c>
    </row>
    <row r="2276" spans="1:10" ht="13" x14ac:dyDescent="0.15">
      <c r="A2276" s="4">
        <f ca="1">IFERROR(__xludf.DUMMYFUNCTION("""COMPUTED_VALUE"""),276170359)</f>
        <v>276170359</v>
      </c>
      <c r="B2276" s="1" t="str">
        <f ca="1">IFERROR(__xludf.DUMMYFUNCTION("""COMPUTED_VALUE"""),"yckim2180@gmail.com")</f>
        <v>yckim2180@gmail.com</v>
      </c>
      <c r="C2276" s="4" t="str">
        <f ca="1">IFERROR(__xludf.DUMMYFUNCTION("""COMPUTED_VALUE"""),"EVERGREEN - UAN Gated Content - Embedded Petition")</f>
        <v>EVERGREEN - UAN Gated Content - Embedded Petition</v>
      </c>
      <c r="D2276" s="5">
        <f ca="1">IFERROR(__xludf.DUMMYFUNCTION("""COMPUTED_VALUE"""),45696)</f>
        <v>45696</v>
      </c>
      <c r="F2276" s="1" t="str">
        <f ca="1">IFERROR(__xludf.DUMMYFUNCTION("""COMPUTED_VALUE"""),"Israel and Occupied Palestinian Territories")</f>
        <v>Israel and Occupied Palestinian Territories</v>
      </c>
      <c r="G2276" s="1" t="str">
        <f ca="1">IFERROR(__xludf.DUMMYFUNCTION("""COMPUTED_VALUE"""),"3.25 IOPT")</f>
        <v>3.25 IOPT</v>
      </c>
      <c r="H2276" s="1" t="str">
        <f ca="1">IFERROR(__xludf.DUMMYFUNCTION("""COMPUTED_VALUE"""),"Freedom of Expression, Individuals At Risk")</f>
        <v>Freedom of Expression, Individuals At Risk</v>
      </c>
      <c r="I2276" s="1" t="str">
        <f ca="1">IFERROR(__xludf.DUMMYFUNCTION("""COMPUTED_VALUE"""),"2025")</f>
        <v>2025</v>
      </c>
      <c r="J2276" s="1" t="str">
        <f ca="1">IFERROR(__xludf.DUMMYFUNCTION("""COMPUTED_VALUE"""),"Email")</f>
        <v>Email</v>
      </c>
    </row>
    <row r="2277" spans="1:10" ht="13" x14ac:dyDescent="0.15">
      <c r="A2277" s="4">
        <f ca="1">IFERROR(__xludf.DUMMYFUNCTION("""COMPUTED_VALUE"""),276170359)</f>
        <v>276170359</v>
      </c>
      <c r="B2277" s="1" t="str">
        <f ca="1">IFERROR(__xludf.DUMMYFUNCTION("""COMPUTED_VALUE"""),"yckim2180@gmail.com")</f>
        <v>yckim2180@gmail.com</v>
      </c>
      <c r="C2277" s="4" t="str">
        <f ca="1">IFERROR(__xludf.DUMMYFUNCTION("""COMPUTED_VALUE"""),"EVERGREEN - UAN Gated Content - Embedded Petition")</f>
        <v>EVERGREEN - UAN Gated Content - Embedded Petition</v>
      </c>
      <c r="D2277" s="5">
        <f ca="1">IFERROR(__xludf.DUMMYFUNCTION("""COMPUTED_VALUE"""),45707)</f>
        <v>45707</v>
      </c>
      <c r="F2277" s="1" t="str">
        <f ca="1">IFERROR(__xludf.DUMMYFUNCTION("""COMPUTED_VALUE"""),"Israel and Occupied Palestinian Territories")</f>
        <v>Israel and Occupied Palestinian Territories</v>
      </c>
      <c r="G2277" s="1" t="str">
        <f ca="1">IFERROR(__xludf.DUMMYFUNCTION("""COMPUTED_VALUE"""),"3.25 IOPT")</f>
        <v>3.25 IOPT</v>
      </c>
      <c r="H2277" s="1" t="str">
        <f ca="1">IFERROR(__xludf.DUMMYFUNCTION("""COMPUTED_VALUE"""),"Freedom of Expression, Individuals At Risk")</f>
        <v>Freedom of Expression, Individuals At Risk</v>
      </c>
      <c r="I2277" s="1" t="str">
        <f ca="1">IFERROR(__xludf.DUMMYFUNCTION("""COMPUTED_VALUE"""),"2025")</f>
        <v>2025</v>
      </c>
      <c r="J2277" s="1" t="str">
        <f ca="1">IFERROR(__xludf.DUMMYFUNCTION("""COMPUTED_VALUE"""),"Email")</f>
        <v>Email</v>
      </c>
    </row>
    <row r="2278" spans="1:10" ht="13" x14ac:dyDescent="0.15">
      <c r="A2278" s="4">
        <f ca="1">IFERROR(__xludf.DUMMYFUNCTION("""COMPUTED_VALUE"""),276180131)</f>
        <v>276180131</v>
      </c>
      <c r="B2278" s="1" t="str">
        <f ca="1">IFERROR(__xludf.DUMMYFUNCTION("""COMPUTED_VALUE"""),"estherlermanmft@gmail.com")</f>
        <v>estherlermanmft@gmail.com</v>
      </c>
      <c r="C2278" s="4" t="str">
        <f ca="1">IFERROR(__xludf.DUMMYFUNCTION("""COMPUTED_VALUE"""),"EVERGREEN - UAN Gated Content - Embedded Petition")</f>
        <v>EVERGREEN - UAN Gated Content - Embedded Petition</v>
      </c>
      <c r="D2278" s="5">
        <f ca="1">IFERROR(__xludf.DUMMYFUNCTION("""COMPUTED_VALUE"""),45676)</f>
        <v>45676</v>
      </c>
      <c r="F2278" s="1" t="str">
        <f ca="1">IFERROR(__xludf.DUMMYFUNCTION("""COMPUTED_VALUE"""),"Israel and Occupied Palestinian Territories")</f>
        <v>Israel and Occupied Palestinian Territories</v>
      </c>
      <c r="G2278" s="1" t="str">
        <f ca="1">IFERROR(__xludf.DUMMYFUNCTION("""COMPUTED_VALUE"""),"3.25 IOPT")</f>
        <v>3.25 IOPT</v>
      </c>
      <c r="H2278" s="1" t="str">
        <f ca="1">IFERROR(__xludf.DUMMYFUNCTION("""COMPUTED_VALUE"""),"Freedom of Expression, Individuals At Risk")</f>
        <v>Freedom of Expression, Individuals At Risk</v>
      </c>
      <c r="I2278" s="1" t="str">
        <f ca="1">IFERROR(__xludf.DUMMYFUNCTION("""COMPUTED_VALUE"""),"2025")</f>
        <v>2025</v>
      </c>
      <c r="J2278" s="1" t="str">
        <f ca="1">IFERROR(__xludf.DUMMYFUNCTION("""COMPUTED_VALUE"""),"Email")</f>
        <v>Email</v>
      </c>
    </row>
    <row r="2279" spans="1:10" ht="13" x14ac:dyDescent="0.15">
      <c r="A2279" s="4">
        <f ca="1">IFERROR(__xludf.DUMMYFUNCTION("""COMPUTED_VALUE"""),276180131)</f>
        <v>276180131</v>
      </c>
      <c r="B2279" s="1" t="str">
        <f ca="1">IFERROR(__xludf.DUMMYFUNCTION("""COMPUTED_VALUE"""),"estherlermanmft@gmail.com")</f>
        <v>estherlermanmft@gmail.com</v>
      </c>
      <c r="C2279" s="4" t="str">
        <f ca="1">IFERROR(__xludf.DUMMYFUNCTION("""COMPUTED_VALUE"""),"EVERGREEN - UAN Gated Content - Embedded Petition")</f>
        <v>EVERGREEN - UAN Gated Content - Embedded Petition</v>
      </c>
      <c r="D2279" s="5">
        <f ca="1">IFERROR(__xludf.DUMMYFUNCTION("""COMPUTED_VALUE"""),45674)</f>
        <v>45674</v>
      </c>
      <c r="F2279" s="1" t="str">
        <f ca="1">IFERROR(__xludf.DUMMYFUNCTION("""COMPUTED_VALUE"""),"Israel and Occupied Palestinian Territories")</f>
        <v>Israel and Occupied Palestinian Territories</v>
      </c>
      <c r="G2279" s="1" t="str">
        <f ca="1">IFERROR(__xludf.DUMMYFUNCTION("""COMPUTED_VALUE"""),"3.25 IOPT")</f>
        <v>3.25 IOPT</v>
      </c>
      <c r="H2279" s="1" t="str">
        <f ca="1">IFERROR(__xludf.DUMMYFUNCTION("""COMPUTED_VALUE"""),"Freedom of Expression, Individuals At Risk")</f>
        <v>Freedom of Expression, Individuals At Risk</v>
      </c>
      <c r="I2279" s="1" t="str">
        <f ca="1">IFERROR(__xludf.DUMMYFUNCTION("""COMPUTED_VALUE"""),"2025")</f>
        <v>2025</v>
      </c>
      <c r="J2279" s="1" t="str">
        <f ca="1">IFERROR(__xludf.DUMMYFUNCTION("""COMPUTED_VALUE"""),"Email")</f>
        <v>Email</v>
      </c>
    </row>
    <row r="2280" spans="1:10" ht="13" x14ac:dyDescent="0.15">
      <c r="A2280" s="4">
        <f ca="1">IFERROR(__xludf.DUMMYFUNCTION("""COMPUTED_VALUE"""),276180131)</f>
        <v>276180131</v>
      </c>
      <c r="B2280" s="1" t="str">
        <f ca="1">IFERROR(__xludf.DUMMYFUNCTION("""COMPUTED_VALUE"""),"estherlermanmft@gmail.com")</f>
        <v>estherlermanmft@gmail.com</v>
      </c>
      <c r="C2280" s="4" t="str">
        <f ca="1">IFERROR(__xludf.DUMMYFUNCTION("""COMPUTED_VALUE"""),"EVERGREEN - UAN Gated Content - Embedded Petition")</f>
        <v>EVERGREEN - UAN Gated Content - Embedded Petition</v>
      </c>
      <c r="D2280" s="5">
        <f ca="1">IFERROR(__xludf.DUMMYFUNCTION("""COMPUTED_VALUE"""),45676)</f>
        <v>45676</v>
      </c>
      <c r="F2280" s="1" t="str">
        <f ca="1">IFERROR(__xludf.DUMMYFUNCTION("""COMPUTED_VALUE"""),"Israel and Occupied Palestinian Territories")</f>
        <v>Israel and Occupied Palestinian Territories</v>
      </c>
      <c r="G2280" s="1" t="str">
        <f ca="1">IFERROR(__xludf.DUMMYFUNCTION("""COMPUTED_VALUE"""),"3.25 IOPT")</f>
        <v>3.25 IOPT</v>
      </c>
      <c r="H2280" s="1" t="str">
        <f ca="1">IFERROR(__xludf.DUMMYFUNCTION("""COMPUTED_VALUE"""),"Freedom of Expression, Individuals At Risk")</f>
        <v>Freedom of Expression, Individuals At Risk</v>
      </c>
      <c r="I2280" s="1" t="str">
        <f ca="1">IFERROR(__xludf.DUMMYFUNCTION("""COMPUTED_VALUE"""),"2025")</f>
        <v>2025</v>
      </c>
      <c r="J2280" s="1" t="str">
        <f ca="1">IFERROR(__xludf.DUMMYFUNCTION("""COMPUTED_VALUE"""),"Email")</f>
        <v>Email</v>
      </c>
    </row>
    <row r="2281" spans="1:10" ht="13" x14ac:dyDescent="0.15">
      <c r="A2281" s="4">
        <f ca="1">IFERROR(__xludf.DUMMYFUNCTION("""COMPUTED_VALUE"""),276180294)</f>
        <v>276180294</v>
      </c>
      <c r="B2281" s="1" t="str">
        <f ca="1">IFERROR(__xludf.DUMMYFUNCTION("""COMPUTED_VALUE"""),"amkwdmll@aol.com")</f>
        <v>amkwdmll@aol.com</v>
      </c>
      <c r="C2281" s="4" t="str">
        <f ca="1">IFERROR(__xludf.DUMMYFUNCTION("""COMPUTED_VALUE"""),"EVERGREEN - UAN Gated Content - Embedded Petition")</f>
        <v>EVERGREEN - UAN Gated Content - Embedded Petition</v>
      </c>
      <c r="D2281" s="5">
        <f ca="1">IFERROR(__xludf.DUMMYFUNCTION("""COMPUTED_VALUE"""),45691)</f>
        <v>45691</v>
      </c>
      <c r="F2281" s="1" t="str">
        <f ca="1">IFERROR(__xludf.DUMMYFUNCTION("""COMPUTED_VALUE"""),"Israel and Occupied Palestinian Territories")</f>
        <v>Israel and Occupied Palestinian Territories</v>
      </c>
      <c r="G2281" s="1" t="str">
        <f ca="1">IFERROR(__xludf.DUMMYFUNCTION("""COMPUTED_VALUE"""),"3.25 IOPT")</f>
        <v>3.25 IOPT</v>
      </c>
      <c r="H2281" s="1" t="str">
        <f ca="1">IFERROR(__xludf.DUMMYFUNCTION("""COMPUTED_VALUE"""),"Freedom of Expression, Individuals At Risk")</f>
        <v>Freedom of Expression, Individuals At Risk</v>
      </c>
      <c r="I2281" s="1" t="str">
        <f ca="1">IFERROR(__xludf.DUMMYFUNCTION("""COMPUTED_VALUE"""),"2025")</f>
        <v>2025</v>
      </c>
      <c r="J2281" s="1" t="str">
        <f ca="1">IFERROR(__xludf.DUMMYFUNCTION("""COMPUTED_VALUE"""),"Email")</f>
        <v>Email</v>
      </c>
    </row>
    <row r="2282" spans="1:10" ht="13" x14ac:dyDescent="0.15">
      <c r="A2282" s="4">
        <f ca="1">IFERROR(__xludf.DUMMYFUNCTION("""COMPUTED_VALUE"""),276351131)</f>
        <v>276351131</v>
      </c>
      <c r="B2282" s="1" t="str">
        <f ca="1">IFERROR(__xludf.DUMMYFUNCTION("""COMPUTED_VALUE"""),"kam2367@columbia.edu")</f>
        <v>kam2367@columbia.edu</v>
      </c>
      <c r="C2282" s="4" t="str">
        <f ca="1">IFERROR(__xludf.DUMMYFUNCTION("""COMPUTED_VALUE"""),"EVERGREEN - UAN Gated Content - Embedded Petition")</f>
        <v>EVERGREEN - UAN Gated Content - Embedded Petition</v>
      </c>
      <c r="D2282" s="5">
        <f ca="1">IFERROR(__xludf.DUMMYFUNCTION("""COMPUTED_VALUE"""),45636)</f>
        <v>45636</v>
      </c>
      <c r="F2282" s="1" t="str">
        <f ca="1">IFERROR(__xludf.DUMMYFUNCTION("""COMPUTED_VALUE"""),"Israel and Occupied Palestinian Territories")</f>
        <v>Israel and Occupied Palestinian Territories</v>
      </c>
      <c r="G2282" s="1" t="str">
        <f ca="1">IFERROR(__xludf.DUMMYFUNCTION("""COMPUTED_VALUE"""),"3.25 IOPT")</f>
        <v>3.25 IOPT</v>
      </c>
      <c r="H2282" s="1" t="str">
        <f ca="1">IFERROR(__xludf.DUMMYFUNCTION("""COMPUTED_VALUE"""),"Freedom of Expression, Individuals At Risk")</f>
        <v>Freedom of Expression, Individuals At Risk</v>
      </c>
      <c r="I2282" s="1" t="str">
        <f ca="1">IFERROR(__xludf.DUMMYFUNCTION("""COMPUTED_VALUE"""),"2025")</f>
        <v>2025</v>
      </c>
      <c r="J2282" s="1" t="str">
        <f ca="1">IFERROR(__xludf.DUMMYFUNCTION("""COMPUTED_VALUE"""),"Email")</f>
        <v>Email</v>
      </c>
    </row>
    <row r="2283" spans="1:10" ht="13" x14ac:dyDescent="0.15">
      <c r="A2283" s="4">
        <f ca="1">IFERROR(__xludf.DUMMYFUNCTION("""COMPUTED_VALUE"""),276713496)</f>
        <v>276713496</v>
      </c>
      <c r="B2283" s="1" t="str">
        <f ca="1">IFERROR(__xludf.DUMMYFUNCTION("""COMPUTED_VALUE"""),"annalisewood@cvsdvt.org")</f>
        <v>annalisewood@cvsdvt.org</v>
      </c>
      <c r="C2283" s="4" t="str">
        <f ca="1">IFERROR(__xludf.DUMMYFUNCTION("""COMPUTED_VALUE"""),"EVERGREEN - UAN Gated Content - Embedded Petition")</f>
        <v>EVERGREEN - UAN Gated Content - Embedded Petition</v>
      </c>
      <c r="D2283" s="5">
        <f ca="1">IFERROR(__xludf.DUMMYFUNCTION("""COMPUTED_VALUE"""),45691)</f>
        <v>45691</v>
      </c>
      <c r="F2283" s="1" t="str">
        <f ca="1">IFERROR(__xludf.DUMMYFUNCTION("""COMPUTED_VALUE"""),"Israel and Occupied Palestinian Territories")</f>
        <v>Israel and Occupied Palestinian Territories</v>
      </c>
      <c r="G2283" s="1" t="str">
        <f ca="1">IFERROR(__xludf.DUMMYFUNCTION("""COMPUTED_VALUE"""),"3.25 IOPT")</f>
        <v>3.25 IOPT</v>
      </c>
      <c r="H2283" s="1" t="str">
        <f ca="1">IFERROR(__xludf.DUMMYFUNCTION("""COMPUTED_VALUE"""),"Freedom of Expression, Individuals At Risk")</f>
        <v>Freedom of Expression, Individuals At Risk</v>
      </c>
      <c r="I2283" s="1" t="str">
        <f ca="1">IFERROR(__xludf.DUMMYFUNCTION("""COMPUTED_VALUE"""),"2025")</f>
        <v>2025</v>
      </c>
      <c r="J2283" s="1" t="str">
        <f ca="1">IFERROR(__xludf.DUMMYFUNCTION("""COMPUTED_VALUE"""),"Email")</f>
        <v>Email</v>
      </c>
    </row>
    <row r="2284" spans="1:10" ht="13" x14ac:dyDescent="0.15">
      <c r="A2284" s="4">
        <f ca="1">IFERROR(__xludf.DUMMYFUNCTION("""COMPUTED_VALUE"""),276713496)</f>
        <v>276713496</v>
      </c>
      <c r="B2284" s="1" t="str">
        <f ca="1">IFERROR(__xludf.DUMMYFUNCTION("""COMPUTED_VALUE"""),"annalisewood@cvsdvt.org")</f>
        <v>annalisewood@cvsdvt.org</v>
      </c>
      <c r="C2284" s="4" t="str">
        <f ca="1">IFERROR(__xludf.DUMMYFUNCTION("""COMPUTED_VALUE"""),"EVERGREEN - UAN Gated Content - Embedded Petition")</f>
        <v>EVERGREEN - UAN Gated Content - Embedded Petition</v>
      </c>
      <c r="D2284" s="5">
        <f ca="1">IFERROR(__xludf.DUMMYFUNCTION("""COMPUTED_VALUE"""),45685)</f>
        <v>45685</v>
      </c>
      <c r="F2284" s="1" t="str">
        <f ca="1">IFERROR(__xludf.DUMMYFUNCTION("""COMPUTED_VALUE"""),"Israel and Occupied Palestinian Territories")</f>
        <v>Israel and Occupied Palestinian Territories</v>
      </c>
      <c r="G2284" s="1" t="str">
        <f ca="1">IFERROR(__xludf.DUMMYFUNCTION("""COMPUTED_VALUE"""),"3.25 IOPT")</f>
        <v>3.25 IOPT</v>
      </c>
      <c r="H2284" s="1" t="str">
        <f ca="1">IFERROR(__xludf.DUMMYFUNCTION("""COMPUTED_VALUE"""),"Freedom of Expression, Individuals At Risk")</f>
        <v>Freedom of Expression, Individuals At Risk</v>
      </c>
      <c r="I2284" s="1" t="str">
        <f ca="1">IFERROR(__xludf.DUMMYFUNCTION("""COMPUTED_VALUE"""),"2025")</f>
        <v>2025</v>
      </c>
      <c r="J2284" s="1" t="str">
        <f ca="1">IFERROR(__xludf.DUMMYFUNCTION("""COMPUTED_VALUE"""),"Email")</f>
        <v>Email</v>
      </c>
    </row>
    <row r="2285" spans="1:10" ht="13" x14ac:dyDescent="0.15">
      <c r="A2285" s="4">
        <f ca="1">IFERROR(__xludf.DUMMYFUNCTION("""COMPUTED_VALUE"""),276757412)</f>
        <v>276757412</v>
      </c>
      <c r="B2285" s="1" t="str">
        <f ca="1">IFERROR(__xludf.DUMMYFUNCTION("""COMPUTED_VALUE"""),"maitri.dubey@yahoo.com")</f>
        <v>maitri.dubey@yahoo.com</v>
      </c>
      <c r="C2285" s="4" t="str">
        <f ca="1">IFERROR(__xludf.DUMMYFUNCTION("""COMPUTED_VALUE"""),"EVERGREEN - UAN Gated Content - Embedded Petition")</f>
        <v>EVERGREEN - UAN Gated Content - Embedded Petition</v>
      </c>
      <c r="D2285" s="5">
        <f ca="1">IFERROR(__xludf.DUMMYFUNCTION("""COMPUTED_VALUE"""),45686)</f>
        <v>45686</v>
      </c>
      <c r="F2285" s="1" t="str">
        <f ca="1">IFERROR(__xludf.DUMMYFUNCTION("""COMPUTED_VALUE"""),"Israel and Occupied Palestinian Territories")</f>
        <v>Israel and Occupied Palestinian Territories</v>
      </c>
      <c r="G2285" s="1" t="str">
        <f ca="1">IFERROR(__xludf.DUMMYFUNCTION("""COMPUTED_VALUE"""),"Seventh 103.22 Iran")</f>
        <v>Seventh 103.22 Iran</v>
      </c>
      <c r="H2285" s="1" t="str">
        <f ca="1">IFERROR(__xludf.DUMMYFUNCTION("""COMPUTED_VALUE"""),"Death Penalty, Freedom of Expression, Individuals At Risk")</f>
        <v>Death Penalty, Freedom of Expression, Individuals At Risk</v>
      </c>
      <c r="I2285" s="1" t="str">
        <f ca="1">IFERROR(__xludf.DUMMYFUNCTION("""COMPUTED_VALUE"""),"2024")</f>
        <v>2024</v>
      </c>
      <c r="J2285" s="1" t="str">
        <f ca="1">IFERROR(__xludf.DUMMYFUNCTION("""COMPUTED_VALUE"""),"Email")</f>
        <v>Email</v>
      </c>
    </row>
    <row r="2286" spans="1:10" ht="13" x14ac:dyDescent="0.15">
      <c r="A2286" s="4">
        <f ca="1">IFERROR(__xludf.DUMMYFUNCTION("""COMPUTED_VALUE"""),276880572)</f>
        <v>276880572</v>
      </c>
      <c r="B2286" s="1" t="str">
        <f ca="1">IFERROR(__xludf.DUMMYFUNCTION("""COMPUTED_VALUE"""),"64amberh@gmail.com")</f>
        <v>64amberh@gmail.com</v>
      </c>
      <c r="C2286" s="4" t="str">
        <f ca="1">IFERROR(__xludf.DUMMYFUNCTION("""COMPUTED_VALUE"""),"EVERGREEN - UAN Gated Content - Embedded Petition")</f>
        <v>EVERGREEN - UAN Gated Content - Embedded Petition</v>
      </c>
      <c r="D2286" s="5">
        <f ca="1">IFERROR(__xludf.DUMMYFUNCTION("""COMPUTED_VALUE"""),45694)</f>
        <v>45694</v>
      </c>
      <c r="F2286" s="1" t="str">
        <f ca="1">IFERROR(__xludf.DUMMYFUNCTION("""COMPUTED_VALUE"""),"Iran")</f>
        <v>Iran</v>
      </c>
      <c r="G2286" s="1" t="str">
        <f ca="1">IFERROR(__xludf.DUMMYFUNCTION("""COMPUTED_VALUE"""),"2.25 Azerbaijan")</f>
        <v>2.25 Azerbaijan</v>
      </c>
      <c r="H2286" s="1" t="str">
        <f ca="1">IFERROR(__xludf.DUMMYFUNCTION("""COMPUTED_VALUE"""),"Freedom of Expression, Human Rights Defenders")</f>
        <v>Freedom of Expression, Human Rights Defenders</v>
      </c>
      <c r="I2286" s="1" t="str">
        <f ca="1">IFERROR(__xludf.DUMMYFUNCTION("""COMPUTED_VALUE"""),"2025")</f>
        <v>2025</v>
      </c>
      <c r="J2286" s="1" t="str">
        <f ca="1">IFERROR(__xludf.DUMMYFUNCTION("""COMPUTED_VALUE"""),"Email")</f>
        <v>Email</v>
      </c>
    </row>
    <row r="2287" spans="1:10" ht="13" x14ac:dyDescent="0.15">
      <c r="A2287" s="4">
        <f ca="1">IFERROR(__xludf.DUMMYFUNCTION("""COMPUTED_VALUE"""),276880572)</f>
        <v>276880572</v>
      </c>
      <c r="B2287" s="1" t="str">
        <f ca="1">IFERROR(__xludf.DUMMYFUNCTION("""COMPUTED_VALUE"""),"64amberh@gmail.com")</f>
        <v>64amberh@gmail.com</v>
      </c>
      <c r="C2287" s="4" t="str">
        <f ca="1">IFERROR(__xludf.DUMMYFUNCTION("""COMPUTED_VALUE"""),"EVERGREEN - UAN Gated Content - Embedded Petition")</f>
        <v>EVERGREEN - UAN Gated Content - Embedded Petition</v>
      </c>
      <c r="D2287" s="5">
        <f ca="1">IFERROR(__xludf.DUMMYFUNCTION("""COMPUTED_VALUE"""),45694)</f>
        <v>45694</v>
      </c>
      <c r="F2287" s="1" t="str">
        <f ca="1">IFERROR(__xludf.DUMMYFUNCTION("""COMPUTED_VALUE"""),"Azerbaijan")</f>
        <v>Azerbaijan</v>
      </c>
      <c r="G2287" s="1" t="str">
        <f ca="1">IFERROR(__xludf.DUMMYFUNCTION("""COMPUTED_VALUE"""),"2.25 Azerbaijan")</f>
        <v>2.25 Azerbaijan</v>
      </c>
      <c r="H2287" s="1" t="str">
        <f ca="1">IFERROR(__xludf.DUMMYFUNCTION("""COMPUTED_VALUE"""),"Freedom of Expression, Human Rights Defenders")</f>
        <v>Freedom of Expression, Human Rights Defenders</v>
      </c>
      <c r="I2287" s="1" t="str">
        <f ca="1">IFERROR(__xludf.DUMMYFUNCTION("""COMPUTED_VALUE"""),"2025")</f>
        <v>2025</v>
      </c>
      <c r="J2287" s="1" t="str">
        <f ca="1">IFERROR(__xludf.DUMMYFUNCTION("""COMPUTED_VALUE"""),"Email")</f>
        <v>Email</v>
      </c>
    </row>
    <row r="2288" spans="1:10" ht="13" x14ac:dyDescent="0.15">
      <c r="A2288" s="4">
        <f ca="1">IFERROR(__xludf.DUMMYFUNCTION("""COMPUTED_VALUE"""),276902753)</f>
        <v>276902753</v>
      </c>
      <c r="B2288" s="1" t="str">
        <f ca="1">IFERROR(__xludf.DUMMYFUNCTION("""COMPUTED_VALUE"""),"mclaughlin.rochelle@gmail.com")</f>
        <v>mclaughlin.rochelle@gmail.com</v>
      </c>
      <c r="C2288" s="4" t="str">
        <f ca="1">IFERROR(__xludf.DUMMYFUNCTION("""COMPUTED_VALUE"""),"EVERGREEN - UAN Gated Content - Embedded Petition")</f>
        <v>EVERGREEN - UAN Gated Content - Embedded Petition</v>
      </c>
      <c r="D2288" s="5">
        <f ca="1">IFERROR(__xludf.DUMMYFUNCTION("""COMPUTED_VALUE"""),45673)</f>
        <v>45673</v>
      </c>
      <c r="F2288" s="1" t="str">
        <f ca="1">IFERROR(__xludf.DUMMYFUNCTION("""COMPUTED_VALUE"""),"Azerbaijan")</f>
        <v>Azerbaijan</v>
      </c>
      <c r="G2288" s="1" t="str">
        <f ca="1">IFERROR(__xludf.DUMMYFUNCTION("""COMPUTED_VALUE"""),"Seventh 103.22 Iran")</f>
        <v>Seventh 103.22 Iran</v>
      </c>
      <c r="H2288" s="1" t="str">
        <f ca="1">IFERROR(__xludf.DUMMYFUNCTION("""COMPUTED_VALUE"""),"Death Penalty, Freedom of Expression, Individuals At Risk")</f>
        <v>Death Penalty, Freedom of Expression, Individuals At Risk</v>
      </c>
      <c r="I2288" s="1" t="str">
        <f ca="1">IFERROR(__xludf.DUMMYFUNCTION("""COMPUTED_VALUE"""),"2024")</f>
        <v>2024</v>
      </c>
      <c r="J2288" s="1" t="str">
        <f ca="1">IFERROR(__xludf.DUMMYFUNCTION("""COMPUTED_VALUE"""),"Email")</f>
        <v>Email</v>
      </c>
    </row>
    <row r="2289" spans="1:10" ht="13" x14ac:dyDescent="0.15">
      <c r="A2289" s="4">
        <f ca="1">IFERROR(__xludf.DUMMYFUNCTION("""COMPUTED_VALUE"""),277210957)</f>
        <v>277210957</v>
      </c>
      <c r="B2289" s="1" t="str">
        <f ca="1">IFERROR(__xludf.DUMMYFUNCTION("""COMPUTED_VALUE"""),"michaelt@4sitestudios.com")</f>
        <v>michaelt@4sitestudios.com</v>
      </c>
      <c r="C2289" s="4" t="str">
        <f ca="1">IFERROR(__xludf.DUMMYFUNCTION("""COMPUTED_VALUE"""),"EVERGREEN - UAN Gated Content - Embedded Petition")</f>
        <v>EVERGREEN - UAN Gated Content - Embedded Petition</v>
      </c>
      <c r="D2289" s="5">
        <f ca="1">IFERROR(__xludf.DUMMYFUNCTION("""COMPUTED_VALUE"""),45497)</f>
        <v>45497</v>
      </c>
      <c r="F2289" s="1" t="str">
        <f ca="1">IFERROR(__xludf.DUMMYFUNCTION("""COMPUTED_VALUE"""),"Iran")</f>
        <v>Iran</v>
      </c>
      <c r="G2289" s="1" t="str">
        <f ca="1">IFERROR(__xludf.DUMMYFUNCTION("""COMPUTED_VALUE"""),"109.24 Türkiye")</f>
        <v>109.24 Türkiye</v>
      </c>
      <c r="H2289" s="1" t="str">
        <f ca="1">IFERROR(__xludf.DUMMYFUNCTION("""COMPUTED_VALUE"""),"Human Rights Defenders, Individuals At Risk")</f>
        <v>Human Rights Defenders, Individuals At Risk</v>
      </c>
      <c r="I2289" s="1" t="str">
        <f ca="1">IFERROR(__xludf.DUMMYFUNCTION("""COMPUTED_VALUE"""),"2024")</f>
        <v>2024</v>
      </c>
      <c r="J2289" s="1" t="str">
        <f ca="1">IFERROR(__xludf.DUMMYFUNCTION("""COMPUTED_VALUE"""),"Email")</f>
        <v>Email</v>
      </c>
    </row>
    <row r="2290" spans="1:10" ht="13" x14ac:dyDescent="0.15">
      <c r="A2290" s="4">
        <f ca="1">IFERROR(__xludf.DUMMYFUNCTION("""COMPUTED_VALUE"""),277210957)</f>
        <v>277210957</v>
      </c>
      <c r="B2290" s="1" t="str">
        <f ca="1">IFERROR(__xludf.DUMMYFUNCTION("""COMPUTED_VALUE"""),"michaelt@4sitestudios.com")</f>
        <v>michaelt@4sitestudios.com</v>
      </c>
      <c r="C2290" s="4" t="str">
        <f ca="1">IFERROR(__xludf.DUMMYFUNCTION("""COMPUTED_VALUE"""),"EVERGREEN - UAN Gated Content - Embedded Petition")</f>
        <v>EVERGREEN - UAN Gated Content - Embedded Petition</v>
      </c>
      <c r="D2290" s="5">
        <f ca="1">IFERROR(__xludf.DUMMYFUNCTION("""COMPUTED_VALUE"""),45495)</f>
        <v>45495</v>
      </c>
      <c r="F2290" s="1" t="str">
        <f ca="1">IFERROR(__xludf.DUMMYFUNCTION("""COMPUTED_VALUE"""),"Turkiye")</f>
        <v>Turkiye</v>
      </c>
      <c r="G2290" s="1" t="str">
        <f ca="1">IFERROR(__xludf.DUMMYFUNCTION("""COMPUTED_VALUE"""),"103.24 Niger")</f>
        <v>103.24 Niger</v>
      </c>
      <c r="H2290" s="1" t="str">
        <f ca="1">IFERROR(__xludf.DUMMYFUNCTION("""COMPUTED_VALUE"""),"Freedom of Expression, Human Rights Defenders")</f>
        <v>Freedom of Expression, Human Rights Defenders</v>
      </c>
      <c r="I2290" s="1" t="str">
        <f ca="1">IFERROR(__xludf.DUMMYFUNCTION("""COMPUTED_VALUE"""),"2024")</f>
        <v>2024</v>
      </c>
      <c r="J2290" s="1" t="str">
        <f ca="1">IFERROR(__xludf.DUMMYFUNCTION("""COMPUTED_VALUE"""),"Email")</f>
        <v>Email</v>
      </c>
    </row>
    <row r="2291" spans="1:10" ht="13" x14ac:dyDescent="0.15">
      <c r="A2291" s="4">
        <f ca="1">IFERROR(__xludf.DUMMYFUNCTION("""COMPUTED_VALUE"""),277210957)</f>
        <v>277210957</v>
      </c>
      <c r="B2291" s="1" t="str">
        <f ca="1">IFERROR(__xludf.DUMMYFUNCTION("""COMPUTED_VALUE"""),"michaelt@4sitestudios.com")</f>
        <v>michaelt@4sitestudios.com</v>
      </c>
      <c r="C2291" s="4" t="str">
        <f ca="1">IFERROR(__xludf.DUMMYFUNCTION("""COMPUTED_VALUE"""),"EVERGREEN - UAN Gated Content - Embedded Petition")</f>
        <v>EVERGREEN - UAN Gated Content - Embedded Petition</v>
      </c>
      <c r="D2291" s="5">
        <f ca="1">IFERROR(__xludf.DUMMYFUNCTION("""COMPUTED_VALUE"""),45496)</f>
        <v>45496</v>
      </c>
      <c r="F2291" s="1" t="str">
        <f ca="1">IFERROR(__xludf.DUMMYFUNCTION("""COMPUTED_VALUE"""),"Niger")</f>
        <v>Niger</v>
      </c>
      <c r="G2291" s="1" t="str">
        <f ca="1">IFERROR(__xludf.DUMMYFUNCTION("""COMPUTED_VALUE"""),"97.24 Venezuela")</f>
        <v>97.24 Venezuela</v>
      </c>
      <c r="H2291" s="1" t="str">
        <f ca="1">IFERROR(__xludf.DUMMYFUNCTION("""COMPUTED_VALUE"""),"Freedom of Expression")</f>
        <v>Freedom of Expression</v>
      </c>
      <c r="I2291" s="1" t="str">
        <f ca="1">IFERROR(__xludf.DUMMYFUNCTION("""COMPUTED_VALUE"""),"2024")</f>
        <v>2024</v>
      </c>
      <c r="J2291" s="1" t="str">
        <f ca="1">IFERROR(__xludf.DUMMYFUNCTION("""COMPUTED_VALUE"""),"Letter")</f>
        <v>Letter</v>
      </c>
    </row>
    <row r="2292" spans="1:10" ht="13" x14ac:dyDescent="0.15">
      <c r="A2292" s="4">
        <f ca="1">IFERROR(__xludf.DUMMYFUNCTION("""COMPUTED_VALUE"""),277210957)</f>
        <v>277210957</v>
      </c>
      <c r="B2292" s="1" t="str">
        <f ca="1">IFERROR(__xludf.DUMMYFUNCTION("""COMPUTED_VALUE"""),"michaelt@4sitestudios.com")</f>
        <v>michaelt@4sitestudios.com</v>
      </c>
      <c r="C2292" s="4" t="str">
        <f ca="1">IFERROR(__xludf.DUMMYFUNCTION("""COMPUTED_VALUE"""),"EVERGREEN - UAN Gated Content - Embedded Petition")</f>
        <v>EVERGREEN - UAN Gated Content - Embedded Petition</v>
      </c>
      <c r="D2292" s="5">
        <f ca="1">IFERROR(__xludf.DUMMYFUNCTION("""COMPUTED_VALUE"""),45496)</f>
        <v>45496</v>
      </c>
      <c r="F2292" s="1" t="str">
        <f ca="1">IFERROR(__xludf.DUMMYFUNCTION("""COMPUTED_VALUE"""),"Venezuela")</f>
        <v>Venezuela</v>
      </c>
      <c r="G2292" s="1" t="str">
        <f ca="1">IFERROR(__xludf.DUMMYFUNCTION("""COMPUTED_VALUE"""),"4.25 USA")</f>
        <v>4.25 USA</v>
      </c>
      <c r="H2292" s="1" t="str">
        <f ca="1">IFERROR(__xludf.DUMMYFUNCTION("""COMPUTED_VALUE"""),"Individuals At Risk, Refugee and Migrant Rights")</f>
        <v>Individuals At Risk, Refugee and Migrant Rights</v>
      </c>
      <c r="I2292" s="1" t="str">
        <f ca="1">IFERROR(__xludf.DUMMYFUNCTION("""COMPUTED_VALUE"""),"2025")</f>
        <v>2025</v>
      </c>
      <c r="J2292" s="1" t="str">
        <f ca="1">IFERROR(__xludf.DUMMYFUNCTION("""COMPUTED_VALUE"""),"Letter")</f>
        <v>Letter</v>
      </c>
    </row>
    <row r="2293" spans="1:10" ht="13" x14ac:dyDescent="0.15">
      <c r="A2293" s="4">
        <f ca="1">IFERROR(__xludf.DUMMYFUNCTION("""COMPUTED_VALUE"""),277210957)</f>
        <v>277210957</v>
      </c>
      <c r="B2293" s="1" t="str">
        <f ca="1">IFERROR(__xludf.DUMMYFUNCTION("""COMPUTED_VALUE"""),"michaelt@4sitestudios.com")</f>
        <v>michaelt@4sitestudios.com</v>
      </c>
      <c r="C2293" s="4" t="str">
        <f ca="1">IFERROR(__xludf.DUMMYFUNCTION("""COMPUTED_VALUE"""),"EVERGREEN - UAN Gated Content - Embedded Petition")</f>
        <v>EVERGREEN - UAN Gated Content - Embedded Petition</v>
      </c>
      <c r="D2293" s="5">
        <f ca="1">IFERROR(__xludf.DUMMYFUNCTION("""COMPUTED_VALUE"""),45495)</f>
        <v>45495</v>
      </c>
      <c r="F2293" s="1" t="str">
        <f ca="1">IFERROR(__xludf.DUMMYFUNCTION("""COMPUTED_VALUE"""),"USA")</f>
        <v>USA</v>
      </c>
      <c r="G2293" s="1" t="str">
        <f ca="1">IFERROR(__xludf.DUMMYFUNCTION("""COMPUTED_VALUE"""),"98.24 China")</f>
        <v>98.24 China</v>
      </c>
      <c r="H2293" s="1" t="str">
        <f ca="1">IFERROR(__xludf.DUMMYFUNCTION("""COMPUTED_VALUE"""),"Freedom of Expression, Individuals At Risk")</f>
        <v>Freedom of Expression, Individuals At Risk</v>
      </c>
      <c r="I2293" s="1" t="str">
        <f ca="1">IFERROR(__xludf.DUMMYFUNCTION("""COMPUTED_VALUE"""),"2024")</f>
        <v>2024</v>
      </c>
      <c r="J2293" s="1" t="str">
        <f ca="1">IFERROR(__xludf.DUMMYFUNCTION("""COMPUTED_VALUE"""),"Letter")</f>
        <v>Letter</v>
      </c>
    </row>
    <row r="2294" spans="1:10" ht="13" x14ac:dyDescent="0.15">
      <c r="A2294" s="4">
        <f ca="1">IFERROR(__xludf.DUMMYFUNCTION("""COMPUTED_VALUE"""),277210957)</f>
        <v>277210957</v>
      </c>
      <c r="B2294" s="1" t="str">
        <f ca="1">IFERROR(__xludf.DUMMYFUNCTION("""COMPUTED_VALUE"""),"michaelt@4sitestudios.com")</f>
        <v>michaelt@4sitestudios.com</v>
      </c>
      <c r="C2294" s="4" t="str">
        <f ca="1">IFERROR(__xludf.DUMMYFUNCTION("""COMPUTED_VALUE"""),"EVERGREEN - UAN Gated Content - Embedded Petition")</f>
        <v>EVERGREEN - UAN Gated Content - Embedded Petition</v>
      </c>
      <c r="D2294" s="5">
        <f ca="1">IFERROR(__xludf.DUMMYFUNCTION("""COMPUTED_VALUE"""),45495)</f>
        <v>45495</v>
      </c>
      <c r="F2294" s="1" t="str">
        <f ca="1">IFERROR(__xludf.DUMMYFUNCTION("""COMPUTED_VALUE"""),"China")</f>
        <v>China</v>
      </c>
      <c r="G2294" s="1" t="str">
        <f ca="1">IFERROR(__xludf.DUMMYFUNCTION("""COMPUTED_VALUE"""),"1.25 Venezuela")</f>
        <v>1.25 Venezuela</v>
      </c>
      <c r="H2294" s="1" t="str">
        <f ca="1">IFERROR(__xludf.DUMMYFUNCTION("""COMPUTED_VALUE"""),"Human Rights Defenders, Individuals At Risk")</f>
        <v>Human Rights Defenders, Individuals At Risk</v>
      </c>
      <c r="I2294" s="1" t="str">
        <f ca="1">IFERROR(__xludf.DUMMYFUNCTION("""COMPUTED_VALUE"""),"2025")</f>
        <v>2025</v>
      </c>
      <c r="J2294" s="1" t="str">
        <f ca="1">IFERROR(__xludf.DUMMYFUNCTION("""COMPUTED_VALUE"""),"Letter")</f>
        <v>Letter</v>
      </c>
    </row>
    <row r="2295" spans="1:10" ht="13" x14ac:dyDescent="0.15">
      <c r="A2295" s="4">
        <f ca="1">IFERROR(__xludf.DUMMYFUNCTION("""COMPUTED_VALUE"""),277210957)</f>
        <v>277210957</v>
      </c>
      <c r="B2295" s="1" t="str">
        <f ca="1">IFERROR(__xludf.DUMMYFUNCTION("""COMPUTED_VALUE"""),"michaelt@4sitestudios.com")</f>
        <v>michaelt@4sitestudios.com</v>
      </c>
      <c r="C2295" s="4" t="str">
        <f ca="1">IFERROR(__xludf.DUMMYFUNCTION("""COMPUTED_VALUE"""),"EVERGREEN - UAN Gated Content - Embedded Petition")</f>
        <v>EVERGREEN - UAN Gated Content - Embedded Petition</v>
      </c>
      <c r="D2295" s="5">
        <f ca="1">IFERROR(__xludf.DUMMYFUNCTION("""COMPUTED_VALUE"""),45491)</f>
        <v>45491</v>
      </c>
      <c r="F2295" s="1" t="str">
        <f ca="1">IFERROR(__xludf.DUMMYFUNCTION("""COMPUTED_VALUE"""),"Venezuela")</f>
        <v>Venezuela</v>
      </c>
      <c r="G2295" s="1" t="str">
        <f ca="1">IFERROR(__xludf.DUMMYFUNCTION("""COMPUTED_VALUE"""),"98.24 China")</f>
        <v>98.24 China</v>
      </c>
      <c r="H2295" s="1" t="str">
        <f ca="1">IFERROR(__xludf.DUMMYFUNCTION("""COMPUTED_VALUE"""),"Freedom of Expression, Individuals At Risk")</f>
        <v>Freedom of Expression, Individuals At Risk</v>
      </c>
      <c r="I2295" s="1" t="str">
        <f ca="1">IFERROR(__xludf.DUMMYFUNCTION("""COMPUTED_VALUE"""),"2024")</f>
        <v>2024</v>
      </c>
      <c r="J2295" s="1" t="str">
        <f ca="1">IFERROR(__xludf.DUMMYFUNCTION("""COMPUTED_VALUE"""),"Letter")</f>
        <v>Letter</v>
      </c>
    </row>
    <row r="2296" spans="1:10" ht="13" x14ac:dyDescent="0.15">
      <c r="A2296" s="4">
        <f ca="1">IFERROR(__xludf.DUMMYFUNCTION("""COMPUTED_VALUE"""),277210957)</f>
        <v>277210957</v>
      </c>
      <c r="B2296" s="1" t="str">
        <f ca="1">IFERROR(__xludf.DUMMYFUNCTION("""COMPUTED_VALUE"""),"michaelt@4sitestudios.com")</f>
        <v>michaelt@4sitestudios.com</v>
      </c>
      <c r="C2296" s="4" t="str">
        <f ca="1">IFERROR(__xludf.DUMMYFUNCTION("""COMPUTED_VALUE"""),"EVERGREEN - UAN Gated Content - Embedded Petition")</f>
        <v>EVERGREEN - UAN Gated Content - Embedded Petition</v>
      </c>
      <c r="D2296" s="5">
        <f ca="1">IFERROR(__xludf.DUMMYFUNCTION("""COMPUTED_VALUE"""),45497)</f>
        <v>45497</v>
      </c>
      <c r="F2296" s="1" t="str">
        <f ca="1">IFERROR(__xludf.DUMMYFUNCTION("""COMPUTED_VALUE"""),"China")</f>
        <v>China</v>
      </c>
      <c r="G2296" s="1" t="str">
        <f ca="1">IFERROR(__xludf.DUMMYFUNCTION("""COMPUTED_VALUE"""),"2.25 Azerbaijan")</f>
        <v>2.25 Azerbaijan</v>
      </c>
      <c r="H2296" s="1" t="str">
        <f ca="1">IFERROR(__xludf.DUMMYFUNCTION("""COMPUTED_VALUE"""),"Freedom of Expression, Human Rights Defenders")</f>
        <v>Freedom of Expression, Human Rights Defenders</v>
      </c>
      <c r="I2296" s="1" t="str">
        <f ca="1">IFERROR(__xludf.DUMMYFUNCTION("""COMPUTED_VALUE"""),"2025")</f>
        <v>2025</v>
      </c>
      <c r="J2296" s="1" t="str">
        <f ca="1">IFERROR(__xludf.DUMMYFUNCTION("""COMPUTED_VALUE"""),"Email")</f>
        <v>Email</v>
      </c>
    </row>
    <row r="2297" spans="1:10" ht="13" x14ac:dyDescent="0.15">
      <c r="A2297" s="4">
        <f ca="1">IFERROR(__xludf.DUMMYFUNCTION("""COMPUTED_VALUE"""),277501453)</f>
        <v>277501453</v>
      </c>
      <c r="B2297" s="1" t="str">
        <f ca="1">IFERROR(__xludf.DUMMYFUNCTION("""COMPUTED_VALUE"""),"dances.w.words@gmail.com")</f>
        <v>dances.w.words@gmail.com</v>
      </c>
      <c r="C2297" s="4" t="str">
        <f ca="1">IFERROR(__xludf.DUMMYFUNCTION("""COMPUTED_VALUE"""),"EVERGREEN - UAN Gated Content - Embedded Petition")</f>
        <v>EVERGREEN - UAN Gated Content - Embedded Petition</v>
      </c>
      <c r="D2297" s="5">
        <f ca="1">IFERROR(__xludf.DUMMYFUNCTION("""COMPUTED_VALUE"""),45636)</f>
        <v>45636</v>
      </c>
      <c r="F2297" s="1" t="str">
        <f ca="1">IFERROR(__xludf.DUMMYFUNCTION("""COMPUTED_VALUE"""),"Azerbaijan")</f>
        <v>Azerbaijan</v>
      </c>
      <c r="G2297" s="1" t="str">
        <f ca="1">IFERROR(__xludf.DUMMYFUNCTION("""COMPUTED_VALUE"""),"4.25 USA")</f>
        <v>4.25 USA</v>
      </c>
      <c r="H2297" s="1" t="str">
        <f ca="1">IFERROR(__xludf.DUMMYFUNCTION("""COMPUTED_VALUE"""),"Individuals At Risk, Refugee and Migrant Rights")</f>
        <v>Individuals At Risk, Refugee and Migrant Rights</v>
      </c>
      <c r="I2297" s="1" t="str">
        <f ca="1">IFERROR(__xludf.DUMMYFUNCTION("""COMPUTED_VALUE"""),"2025")</f>
        <v>2025</v>
      </c>
      <c r="J2297" s="1" t="str">
        <f ca="1">IFERROR(__xludf.DUMMYFUNCTION("""COMPUTED_VALUE"""),"Letter")</f>
        <v>Letter</v>
      </c>
    </row>
    <row r="2298" spans="1:10" ht="13" x14ac:dyDescent="0.15">
      <c r="A2298" s="4">
        <f ca="1">IFERROR(__xludf.DUMMYFUNCTION("""COMPUTED_VALUE"""),277501453)</f>
        <v>277501453</v>
      </c>
      <c r="B2298" s="1" t="str">
        <f ca="1">IFERROR(__xludf.DUMMYFUNCTION("""COMPUTED_VALUE"""),"dances.w.words@gmail.com")</f>
        <v>dances.w.words@gmail.com</v>
      </c>
      <c r="C2298" s="4" t="str">
        <f ca="1">IFERROR(__xludf.DUMMYFUNCTION("""COMPUTED_VALUE"""),"EVERGREEN - UAN Gated Content - Embedded Petition")</f>
        <v>EVERGREEN - UAN Gated Content - Embedded Petition</v>
      </c>
      <c r="D2298" s="5">
        <f ca="1">IFERROR(__xludf.DUMMYFUNCTION("""COMPUTED_VALUE"""),45694)</f>
        <v>45694</v>
      </c>
      <c r="F2298" s="1" t="str">
        <f ca="1">IFERROR(__xludf.DUMMYFUNCTION("""COMPUTED_VALUE"""),"USA")</f>
        <v>USA</v>
      </c>
      <c r="G2298" s="1" t="str">
        <f ca="1">IFERROR(__xludf.DUMMYFUNCTION("""COMPUTED_VALUE"""),"Fourth 55.24 USA")</f>
        <v>Fourth 55.24 USA</v>
      </c>
      <c r="H2298" s="1" t="str">
        <f ca="1">IFERROR(__xludf.DUMMYFUNCTION("""COMPUTED_VALUE"""),"Climate Justice, Individuals At Risk")</f>
        <v>Climate Justice, Individuals At Risk</v>
      </c>
      <c r="I2298" s="1" t="str">
        <f ca="1">IFERROR(__xludf.DUMMYFUNCTION("""COMPUTED_VALUE"""),"2025")</f>
        <v>2025</v>
      </c>
      <c r="J2298" s="1" t="str">
        <f ca="1">IFERROR(__xludf.DUMMYFUNCTION("""COMPUTED_VALUE"""),"Email")</f>
        <v>Email</v>
      </c>
    </row>
    <row r="2299" spans="1:10" ht="13" x14ac:dyDescent="0.15">
      <c r="A2299" s="4">
        <f ca="1">IFERROR(__xludf.DUMMYFUNCTION("""COMPUTED_VALUE"""),277501453)</f>
        <v>277501453</v>
      </c>
      <c r="B2299" s="1" t="str">
        <f ca="1">IFERROR(__xludf.DUMMYFUNCTION("""COMPUTED_VALUE"""),"dances.w.words@gmail.com")</f>
        <v>dances.w.words@gmail.com</v>
      </c>
      <c r="C2299" s="4" t="str">
        <f ca="1">IFERROR(__xludf.DUMMYFUNCTION("""COMPUTED_VALUE"""),"EVERGREEN - UAN Gated Content - Embedded Petition")</f>
        <v>EVERGREEN - UAN Gated Content - Embedded Petition</v>
      </c>
      <c r="D2299" s="5">
        <f ca="1">IFERROR(__xludf.DUMMYFUNCTION("""COMPUTED_VALUE"""),45694)</f>
        <v>45694</v>
      </c>
      <c r="F2299" s="1" t="str">
        <f ca="1">IFERROR(__xludf.DUMMYFUNCTION("""COMPUTED_VALUE"""),"USA")</f>
        <v>USA</v>
      </c>
      <c r="G2299" s="1" t="str">
        <f ca="1">IFERROR(__xludf.DUMMYFUNCTION("""COMPUTED_VALUE"""),"Third 73.23 Egypt")</f>
        <v>Third 73.23 Egypt</v>
      </c>
      <c r="H2299" s="1" t="str">
        <f ca="1">IFERROR(__xludf.DUMMYFUNCTION("""COMPUTED_VALUE"""),"Individuals At Risk")</f>
        <v>Individuals At Risk</v>
      </c>
      <c r="I2299" s="1" t="str">
        <f ca="1">IFERROR(__xludf.DUMMYFUNCTION("""COMPUTED_VALUE"""),"2024")</f>
        <v>2024</v>
      </c>
      <c r="J2299" s="1" t="str">
        <f ca="1">IFERROR(__xludf.DUMMYFUNCTION("""COMPUTED_VALUE"""),"Email")</f>
        <v>Email</v>
      </c>
    </row>
    <row r="2300" spans="1:10" ht="13" x14ac:dyDescent="0.15">
      <c r="A2300" s="4">
        <f ca="1">IFERROR(__xludf.DUMMYFUNCTION("""COMPUTED_VALUE"""),277642282)</f>
        <v>277642282</v>
      </c>
      <c r="B2300" s="1" t="str">
        <f ca="1">IFERROR(__xludf.DUMMYFUNCTION("""COMPUTED_VALUE"""),"gormsby@ooip.net")</f>
        <v>gormsby@ooip.net</v>
      </c>
      <c r="C2300" s="4" t="str">
        <f ca="1">IFERROR(__xludf.DUMMYFUNCTION("""COMPUTED_VALUE"""),"EVERGREEN - UAN Gated Content - Embedded Petition")</f>
        <v>EVERGREEN - UAN Gated Content - Embedded Petition</v>
      </c>
      <c r="D2300" s="5">
        <f ca="1">IFERROR(__xludf.DUMMYFUNCTION("""COMPUTED_VALUE"""),45676)</f>
        <v>45676</v>
      </c>
      <c r="F2300" s="1" t="str">
        <f ca="1">IFERROR(__xludf.DUMMYFUNCTION("""COMPUTED_VALUE"""),"Egypt")</f>
        <v>Egypt</v>
      </c>
      <c r="G2300" s="1" t="str">
        <f ca="1">IFERROR(__xludf.DUMMYFUNCTION("""COMPUTED_VALUE"""),"4.25 USA")</f>
        <v>4.25 USA</v>
      </c>
      <c r="H2300" s="1" t="str">
        <f ca="1">IFERROR(__xludf.DUMMYFUNCTION("""COMPUTED_VALUE"""),"Individuals At Risk, Refugee and Migrant Rights")</f>
        <v>Individuals At Risk, Refugee and Migrant Rights</v>
      </c>
      <c r="I2300" s="1" t="str">
        <f ca="1">IFERROR(__xludf.DUMMYFUNCTION("""COMPUTED_VALUE"""),"2025")</f>
        <v>2025</v>
      </c>
      <c r="J2300" s="1" t="str">
        <f ca="1">IFERROR(__xludf.DUMMYFUNCTION("""COMPUTED_VALUE"""),"Letter")</f>
        <v>Letter</v>
      </c>
    </row>
    <row r="2301" spans="1:10" ht="13" x14ac:dyDescent="0.15">
      <c r="A2301" s="4">
        <f ca="1">IFERROR(__xludf.DUMMYFUNCTION("""COMPUTED_VALUE"""),277642282)</f>
        <v>277642282</v>
      </c>
      <c r="B2301" s="1" t="str">
        <f ca="1">IFERROR(__xludf.DUMMYFUNCTION("""COMPUTED_VALUE"""),"gormsby@ooip.net")</f>
        <v>gormsby@ooip.net</v>
      </c>
      <c r="C2301" s="4" t="str">
        <f ca="1">IFERROR(__xludf.DUMMYFUNCTION("""COMPUTED_VALUE"""),"EVERGREEN - UAN Gated Content - Embedded Petition")</f>
        <v>EVERGREEN - UAN Gated Content - Embedded Petition</v>
      </c>
      <c r="D2301" s="5">
        <f ca="1">IFERROR(__xludf.DUMMYFUNCTION("""COMPUTED_VALUE"""),45676)</f>
        <v>45676</v>
      </c>
      <c r="F2301" s="1" t="str">
        <f ca="1">IFERROR(__xludf.DUMMYFUNCTION("""COMPUTED_VALUE"""),"USA")</f>
        <v>USA</v>
      </c>
      <c r="G2301" s="1" t="str">
        <f ca="1">IFERROR(__xludf.DUMMYFUNCTION("""COMPUTED_VALUE"""),"1.25 Venezuela")</f>
        <v>1.25 Venezuela</v>
      </c>
      <c r="H2301" s="1" t="str">
        <f ca="1">IFERROR(__xludf.DUMMYFUNCTION("""COMPUTED_VALUE"""),"Human Rights Defenders, Individuals At Risk")</f>
        <v>Human Rights Defenders, Individuals At Risk</v>
      </c>
      <c r="I2301" s="1" t="str">
        <f ca="1">IFERROR(__xludf.DUMMYFUNCTION("""COMPUTED_VALUE"""),"2025")</f>
        <v>2025</v>
      </c>
      <c r="J2301" s="1" t="str">
        <f ca="1">IFERROR(__xludf.DUMMYFUNCTION("""COMPUTED_VALUE"""),"Letter")</f>
        <v>Letter</v>
      </c>
    </row>
    <row r="2302" spans="1:10" ht="13" x14ac:dyDescent="0.15">
      <c r="A2302" s="4">
        <f ca="1">IFERROR(__xludf.DUMMYFUNCTION("""COMPUTED_VALUE"""),277642282)</f>
        <v>277642282</v>
      </c>
      <c r="B2302" s="1" t="str">
        <f ca="1">IFERROR(__xludf.DUMMYFUNCTION("""COMPUTED_VALUE"""),"gormsby@ooip.net")</f>
        <v>gormsby@ooip.net</v>
      </c>
      <c r="C2302" s="4" t="str">
        <f ca="1">IFERROR(__xludf.DUMMYFUNCTION("""COMPUTED_VALUE"""),"EVERGREEN - UAN Gated Content - Embedded Petition")</f>
        <v>EVERGREEN - UAN Gated Content - Embedded Petition</v>
      </c>
      <c r="D2302" s="5">
        <f ca="1">IFERROR(__xludf.DUMMYFUNCTION("""COMPUTED_VALUE"""),45676)</f>
        <v>45676</v>
      </c>
      <c r="F2302" s="1" t="str">
        <f ca="1">IFERROR(__xludf.DUMMYFUNCTION("""COMPUTED_VALUE"""),"Venezuela")</f>
        <v>Venezuela</v>
      </c>
      <c r="G2302" s="1" t="str">
        <f ca="1">IFERROR(__xludf.DUMMYFUNCTION("""COMPUTED_VALUE"""),"4.25 USA")</f>
        <v>4.25 USA</v>
      </c>
      <c r="H2302" s="1" t="str">
        <f ca="1">IFERROR(__xludf.DUMMYFUNCTION("""COMPUTED_VALUE"""),"Individuals At Risk, Refugee and Migrant Rights")</f>
        <v>Individuals At Risk, Refugee and Migrant Rights</v>
      </c>
      <c r="I2302" s="1" t="str">
        <f ca="1">IFERROR(__xludf.DUMMYFUNCTION("""COMPUTED_VALUE"""),"2025")</f>
        <v>2025</v>
      </c>
      <c r="J2302" s="1" t="str">
        <f ca="1">IFERROR(__xludf.DUMMYFUNCTION("""COMPUTED_VALUE"""),"Letter")</f>
        <v>Letter</v>
      </c>
    </row>
    <row r="2303" spans="1:10" ht="13" x14ac:dyDescent="0.15">
      <c r="A2303" s="4">
        <f ca="1">IFERROR(__xludf.DUMMYFUNCTION("""COMPUTED_VALUE"""),277642282)</f>
        <v>277642282</v>
      </c>
      <c r="B2303" s="1" t="str">
        <f ca="1">IFERROR(__xludf.DUMMYFUNCTION("""COMPUTED_VALUE"""),"gormsby@ooip.net")</f>
        <v>gormsby@ooip.net</v>
      </c>
      <c r="C2303" s="4" t="str">
        <f ca="1">IFERROR(__xludf.DUMMYFUNCTION("""COMPUTED_VALUE"""),"EVERGREEN - UAN Gated Content - Embedded Petition")</f>
        <v>EVERGREEN - UAN Gated Content - Embedded Petition</v>
      </c>
      <c r="D2303" s="5">
        <f ca="1">IFERROR(__xludf.DUMMYFUNCTION("""COMPUTED_VALUE"""),45696)</f>
        <v>45696</v>
      </c>
      <c r="F2303" s="1" t="str">
        <f ca="1">IFERROR(__xludf.DUMMYFUNCTION("""COMPUTED_VALUE"""),"USA")</f>
        <v>USA</v>
      </c>
      <c r="G2303" s="1" t="str">
        <f ca="1">IFERROR(__xludf.DUMMYFUNCTION("""COMPUTED_VALUE"""),"4.25 USA")</f>
        <v>4.25 USA</v>
      </c>
      <c r="H2303" s="1" t="str">
        <f ca="1">IFERROR(__xludf.DUMMYFUNCTION("""COMPUTED_VALUE"""),"Individuals At Risk, Refugee and Migrant Rights")</f>
        <v>Individuals At Risk, Refugee and Migrant Rights</v>
      </c>
      <c r="I2303" s="1" t="str">
        <f ca="1">IFERROR(__xludf.DUMMYFUNCTION("""COMPUTED_VALUE"""),"2025")</f>
        <v>2025</v>
      </c>
      <c r="J2303" s="1" t="str">
        <f ca="1">IFERROR(__xludf.DUMMYFUNCTION("""COMPUTED_VALUE"""),"Letter")</f>
        <v>Letter</v>
      </c>
    </row>
    <row r="2304" spans="1:10" ht="13" x14ac:dyDescent="0.15">
      <c r="A2304" s="4">
        <f ca="1">IFERROR(__xludf.DUMMYFUNCTION("""COMPUTED_VALUE"""),277717328)</f>
        <v>277717328</v>
      </c>
      <c r="B2304" s="1" t="str">
        <f ca="1">IFERROR(__xludf.DUMMYFUNCTION("""COMPUTED_VALUE"""),"mggrunow@gmail.com")</f>
        <v>mggrunow@gmail.com</v>
      </c>
      <c r="C2304" s="4" t="str">
        <f ca="1">IFERROR(__xludf.DUMMYFUNCTION("""COMPUTED_VALUE"""),"EVERGREEN - UAN Gated Content - Embedded Petition")</f>
        <v>EVERGREEN - UAN Gated Content - Embedded Petition</v>
      </c>
      <c r="D2304" s="5">
        <f ca="1">IFERROR(__xludf.DUMMYFUNCTION("""COMPUTED_VALUE"""),45679)</f>
        <v>45679</v>
      </c>
      <c r="F2304" s="1" t="str">
        <f ca="1">IFERROR(__xludf.DUMMYFUNCTION("""COMPUTED_VALUE"""),"USA")</f>
        <v>USA</v>
      </c>
      <c r="G2304" s="1" t="str">
        <f ca="1">IFERROR(__xludf.DUMMYFUNCTION("""COMPUTED_VALUE"""),"Third 12.24 Colombia")</f>
        <v>Third 12.24 Colombia</v>
      </c>
      <c r="H2304" s="1" t="str">
        <f ca="1">IFERROR(__xludf.DUMMYFUNCTION("""COMPUTED_VALUE"""),"Human Rights Defenders, Individuals At Risk")</f>
        <v>Human Rights Defenders, Individuals At Risk</v>
      </c>
      <c r="I2304" s="1" t="str">
        <f ca="1">IFERROR(__xludf.DUMMYFUNCTION("""COMPUTED_VALUE"""),"2025")</f>
        <v>2025</v>
      </c>
      <c r="J2304" s="1" t="str">
        <f ca="1">IFERROR(__xludf.DUMMYFUNCTION("""COMPUTED_VALUE"""),"Email")</f>
        <v>Email</v>
      </c>
    </row>
    <row r="2305" spans="1:10" ht="13" x14ac:dyDescent="0.15">
      <c r="A2305" s="4">
        <f ca="1">IFERROR(__xludf.DUMMYFUNCTION("""COMPUTED_VALUE"""),277721360)</f>
        <v>277721360</v>
      </c>
      <c r="B2305" s="1" t="str">
        <f ca="1">IFERROR(__xludf.DUMMYFUNCTION("""COMPUTED_VALUE"""),"michaelthomas372@gmail.com")</f>
        <v>michaelthomas372@gmail.com</v>
      </c>
      <c r="C2305" s="4" t="str">
        <f ca="1">IFERROR(__xludf.DUMMYFUNCTION("""COMPUTED_VALUE"""),"EVERGREEN - UAN Gated Content - Embedded Petition")</f>
        <v>EVERGREEN - UAN Gated Content - Embedded Petition</v>
      </c>
      <c r="D2305" s="5">
        <f ca="1">IFERROR(__xludf.DUMMYFUNCTION("""COMPUTED_VALUE"""),45495)</f>
        <v>45495</v>
      </c>
      <c r="F2305" s="1" t="str">
        <f ca="1">IFERROR(__xludf.DUMMYFUNCTION("""COMPUTED_VALUE"""),"Colombia")</f>
        <v>Colombia</v>
      </c>
      <c r="G2305" s="1" t="str">
        <f ca="1">IFERROR(__xludf.DUMMYFUNCTION("""COMPUTED_VALUE"""),"4.25 USA")</f>
        <v>4.25 USA</v>
      </c>
      <c r="H2305" s="1" t="str">
        <f ca="1">IFERROR(__xludf.DUMMYFUNCTION("""COMPUTED_VALUE"""),"Individuals At Risk, Refugee and Migrant Rights")</f>
        <v>Individuals At Risk, Refugee and Migrant Rights</v>
      </c>
      <c r="I2305" s="1" t="str">
        <f ca="1">IFERROR(__xludf.DUMMYFUNCTION("""COMPUTED_VALUE"""),"2025")</f>
        <v>2025</v>
      </c>
      <c r="J2305" s="1" t="str">
        <f ca="1">IFERROR(__xludf.DUMMYFUNCTION("""COMPUTED_VALUE"""),"Letter")</f>
        <v>Letter</v>
      </c>
    </row>
    <row r="2306" spans="1:10" ht="13" x14ac:dyDescent="0.15">
      <c r="A2306" s="4">
        <f ca="1">IFERROR(__xludf.DUMMYFUNCTION("""COMPUTED_VALUE"""),277779457)</f>
        <v>277779457</v>
      </c>
      <c r="B2306" s="1" t="str">
        <f ca="1">IFERROR(__xludf.DUMMYFUNCTION("""COMPUTED_VALUE"""),"hgarrett@nkc.org")</f>
        <v>hgarrett@nkc.org</v>
      </c>
      <c r="C2306" s="4" t="str">
        <f ca="1">IFERROR(__xludf.DUMMYFUNCTION("""COMPUTED_VALUE"""),"EVERGREEN - UAN Gated Content - Embedded Petition")</f>
        <v>EVERGREEN - UAN Gated Content - Embedded Petition</v>
      </c>
      <c r="D2306" s="5">
        <f ca="1">IFERROR(__xludf.DUMMYFUNCTION("""COMPUTED_VALUE"""),45700)</f>
        <v>45700</v>
      </c>
      <c r="F2306" s="1" t="str">
        <f ca="1">IFERROR(__xludf.DUMMYFUNCTION("""COMPUTED_VALUE"""),"USA")</f>
        <v>USA</v>
      </c>
      <c r="G2306" s="1" t="str">
        <f ca="1">IFERROR(__xludf.DUMMYFUNCTION("""COMPUTED_VALUE"""),"3.25 IOPT")</f>
        <v>3.25 IOPT</v>
      </c>
      <c r="H2306" s="1" t="str">
        <f ca="1">IFERROR(__xludf.DUMMYFUNCTION("""COMPUTED_VALUE"""),"Freedom of Expression, Individuals At Risk")</f>
        <v>Freedom of Expression, Individuals At Risk</v>
      </c>
      <c r="I2306" s="1" t="str">
        <f ca="1">IFERROR(__xludf.DUMMYFUNCTION("""COMPUTED_VALUE"""),"2025")</f>
        <v>2025</v>
      </c>
      <c r="J2306" s="1" t="str">
        <f ca="1">IFERROR(__xludf.DUMMYFUNCTION("""COMPUTED_VALUE"""),"Email")</f>
        <v>Email</v>
      </c>
    </row>
    <row r="2307" spans="1:10" ht="13" x14ac:dyDescent="0.15">
      <c r="A2307" s="4">
        <f ca="1">IFERROR(__xludf.DUMMYFUNCTION("""COMPUTED_VALUE"""),277856377)</f>
        <v>277856377</v>
      </c>
      <c r="B2307" s="1" t="str">
        <f ca="1">IFERROR(__xludf.DUMMYFUNCTION("""COMPUTED_VALUE"""),"mpalowoda@yahoo.com")</f>
        <v>mpalowoda@yahoo.com</v>
      </c>
      <c r="C2307" s="4" t="str">
        <f ca="1">IFERROR(__xludf.DUMMYFUNCTION("""COMPUTED_VALUE"""),"EVERGREEN - UAN Gated Content - Embedded Petition")</f>
        <v>EVERGREEN - UAN Gated Content - Embedded Petition</v>
      </c>
      <c r="D2307" s="5">
        <f ca="1">IFERROR(__xludf.DUMMYFUNCTION("""COMPUTED_VALUE"""),45695)</f>
        <v>45695</v>
      </c>
      <c r="F2307" s="1" t="str">
        <f ca="1">IFERROR(__xludf.DUMMYFUNCTION("""COMPUTED_VALUE"""),"Israel and Occupied Palestinian Territories")</f>
        <v>Israel and Occupied Palestinian Territories</v>
      </c>
      <c r="G2307" s="1" t="str">
        <f ca="1">IFERROR(__xludf.DUMMYFUNCTION("""COMPUTED_VALUE"""),"2.25 Azerbaijan")</f>
        <v>2.25 Azerbaijan</v>
      </c>
      <c r="H2307" s="1" t="str">
        <f ca="1">IFERROR(__xludf.DUMMYFUNCTION("""COMPUTED_VALUE"""),"Freedom of Expression, Human Rights Defenders")</f>
        <v>Freedom of Expression, Human Rights Defenders</v>
      </c>
      <c r="I2307" s="1" t="str">
        <f ca="1">IFERROR(__xludf.DUMMYFUNCTION("""COMPUTED_VALUE"""),"2025")</f>
        <v>2025</v>
      </c>
      <c r="J2307" s="1" t="str">
        <f ca="1">IFERROR(__xludf.DUMMYFUNCTION("""COMPUTED_VALUE"""),"Email")</f>
        <v>Email</v>
      </c>
    </row>
    <row r="2308" spans="1:10" ht="13" x14ac:dyDescent="0.15">
      <c r="A2308" s="4">
        <f ca="1">IFERROR(__xludf.DUMMYFUNCTION("""COMPUTED_VALUE"""),277856377)</f>
        <v>277856377</v>
      </c>
      <c r="B2308" s="1" t="str">
        <f ca="1">IFERROR(__xludf.DUMMYFUNCTION("""COMPUTED_VALUE"""),"mpalowoda@yahoo.com")</f>
        <v>mpalowoda@yahoo.com</v>
      </c>
      <c r="C2308" s="4" t="str">
        <f ca="1">IFERROR(__xludf.DUMMYFUNCTION("""COMPUTED_VALUE"""),"EVERGREEN - UAN Gated Content - Embedded Petition")</f>
        <v>EVERGREEN - UAN Gated Content - Embedded Petition</v>
      </c>
      <c r="D2308" s="5">
        <f ca="1">IFERROR(__xludf.DUMMYFUNCTION("""COMPUTED_VALUE"""),45702)</f>
        <v>45702</v>
      </c>
      <c r="F2308" s="1" t="str">
        <f ca="1">IFERROR(__xludf.DUMMYFUNCTION("""COMPUTED_VALUE"""),"Azerbaijan")</f>
        <v>Azerbaijan</v>
      </c>
      <c r="G2308" s="1" t="str">
        <f ca="1">IFERROR(__xludf.DUMMYFUNCTION("""COMPUTED_VALUE"""),"4.25 USA")</f>
        <v>4.25 USA</v>
      </c>
      <c r="H2308" s="1" t="str">
        <f ca="1">IFERROR(__xludf.DUMMYFUNCTION("""COMPUTED_VALUE"""),"Individuals At Risk, Refugee and Migrant Rights")</f>
        <v>Individuals At Risk, Refugee and Migrant Rights</v>
      </c>
      <c r="I2308" s="1" t="str">
        <f ca="1">IFERROR(__xludf.DUMMYFUNCTION("""COMPUTED_VALUE"""),"2025")</f>
        <v>2025</v>
      </c>
      <c r="J2308" s="1" t="str">
        <f ca="1">IFERROR(__xludf.DUMMYFUNCTION("""COMPUTED_VALUE"""),"Letter")</f>
        <v>Letter</v>
      </c>
    </row>
    <row r="2309" spans="1:10" ht="13" x14ac:dyDescent="0.15">
      <c r="A2309" s="4">
        <f ca="1">IFERROR(__xludf.DUMMYFUNCTION("""COMPUTED_VALUE"""),278450157)</f>
        <v>278450157</v>
      </c>
      <c r="B2309" s="1" t="str">
        <f ca="1">IFERROR(__xludf.DUMMYFUNCTION("""COMPUTED_VALUE"""),"jasirisjd@gmail.com")</f>
        <v>jasirisjd@gmail.com</v>
      </c>
      <c r="C2309" s="4" t="str">
        <f ca="1">IFERROR(__xludf.DUMMYFUNCTION("""COMPUTED_VALUE"""),"EVERGREEN - UAN Gated Content - Embedded Petition")</f>
        <v>EVERGREEN - UAN Gated Content - Embedded Petition</v>
      </c>
      <c r="D2309" s="5">
        <f ca="1">IFERROR(__xludf.DUMMYFUNCTION("""COMPUTED_VALUE"""),45701)</f>
        <v>45701</v>
      </c>
      <c r="F2309" s="1" t="str">
        <f ca="1">IFERROR(__xludf.DUMMYFUNCTION("""COMPUTED_VALUE"""),"USA")</f>
        <v>USA</v>
      </c>
      <c r="G2309" s="1" t="str">
        <f ca="1">IFERROR(__xludf.DUMMYFUNCTION("""COMPUTED_VALUE"""),"2.25 Azerbaijan")</f>
        <v>2.25 Azerbaijan</v>
      </c>
      <c r="H2309" s="1" t="str">
        <f ca="1">IFERROR(__xludf.DUMMYFUNCTION("""COMPUTED_VALUE"""),"Freedom of Expression, Human Rights Defenders")</f>
        <v>Freedom of Expression, Human Rights Defenders</v>
      </c>
      <c r="I2309" s="1" t="str">
        <f ca="1">IFERROR(__xludf.DUMMYFUNCTION("""COMPUTED_VALUE"""),"2025")</f>
        <v>2025</v>
      </c>
      <c r="J2309" s="1" t="str">
        <f ca="1">IFERROR(__xludf.DUMMYFUNCTION("""COMPUTED_VALUE"""),"Email")</f>
        <v>Email</v>
      </c>
    </row>
    <row r="2310" spans="1:10" ht="13" x14ac:dyDescent="0.15">
      <c r="A2310" s="4">
        <f ca="1">IFERROR(__xludf.DUMMYFUNCTION("""COMPUTED_VALUE"""),279024728)</f>
        <v>279024728</v>
      </c>
      <c r="B2310" s="1" t="str">
        <f ca="1">IFERROR(__xludf.DUMMYFUNCTION("""COMPUTED_VALUE"""),"elsavoelcker1@gmail.com")</f>
        <v>elsavoelcker1@gmail.com</v>
      </c>
      <c r="C2310" s="4" t="str">
        <f ca="1">IFERROR(__xludf.DUMMYFUNCTION("""COMPUTED_VALUE"""),"EVERGREEN - UAN Gated Content - Embedded Petition")</f>
        <v>EVERGREEN - UAN Gated Content - Embedded Petition</v>
      </c>
      <c r="D2310" s="5">
        <f ca="1">IFERROR(__xludf.DUMMYFUNCTION("""COMPUTED_VALUE"""),45697)</f>
        <v>45697</v>
      </c>
      <c r="F2310" s="1" t="str">
        <f ca="1">IFERROR(__xludf.DUMMYFUNCTION("""COMPUTED_VALUE"""),"Azerbaijan")</f>
        <v>Azerbaijan</v>
      </c>
      <c r="G2310" s="1" t="str">
        <f ca="1">IFERROR(__xludf.DUMMYFUNCTION("""COMPUTED_VALUE"""),"4.25 USA")</f>
        <v>4.25 USA</v>
      </c>
      <c r="H2310" s="1" t="str">
        <f ca="1">IFERROR(__xludf.DUMMYFUNCTION("""COMPUTED_VALUE"""),"Individuals At Risk, Refugee and Migrant Rights")</f>
        <v>Individuals At Risk, Refugee and Migrant Rights</v>
      </c>
      <c r="I2310" s="1" t="str">
        <f ca="1">IFERROR(__xludf.DUMMYFUNCTION("""COMPUTED_VALUE"""),"2025")</f>
        <v>2025</v>
      </c>
      <c r="J2310" s="1" t="str">
        <f ca="1">IFERROR(__xludf.DUMMYFUNCTION("""COMPUTED_VALUE"""),"Letter")</f>
        <v>Letter</v>
      </c>
    </row>
    <row r="2311" spans="1:10" ht="13" x14ac:dyDescent="0.15">
      <c r="A2311" s="4">
        <f ca="1">IFERROR(__xludf.DUMMYFUNCTION("""COMPUTED_VALUE"""),279156421)</f>
        <v>279156421</v>
      </c>
      <c r="B2311" s="1" t="str">
        <f ca="1">IFERROR(__xludf.DUMMYFUNCTION("""COMPUTED_VALUE"""),"bryan@4sitestuidos.com")</f>
        <v>bryan@4sitestuidos.com</v>
      </c>
      <c r="C2311" s="4" t="str">
        <f ca="1">IFERROR(__xludf.DUMMYFUNCTION("""COMPUTED_VALUE"""),"EVERGREEN - UAN Gated Content - Embedded Petition")</f>
        <v>EVERGREEN - UAN Gated Content - Embedded Petition</v>
      </c>
      <c r="D2311" s="5">
        <f ca="1">IFERROR(__xludf.DUMMYFUNCTION("""COMPUTED_VALUE"""),45496)</f>
        <v>45496</v>
      </c>
      <c r="F2311" s="1" t="str">
        <f ca="1">IFERROR(__xludf.DUMMYFUNCTION("""COMPUTED_VALUE"""),"USA")</f>
        <v>USA</v>
      </c>
      <c r="G2311" s="1" t="str">
        <f ca="1">IFERROR(__xludf.DUMMYFUNCTION("""COMPUTED_VALUE"""),"4.25 USA")</f>
        <v>4.25 USA</v>
      </c>
      <c r="H2311" s="1" t="str">
        <f ca="1">IFERROR(__xludf.DUMMYFUNCTION("""COMPUTED_VALUE"""),"Individuals At Risk, Refugee and Migrant Rights")</f>
        <v>Individuals At Risk, Refugee and Migrant Rights</v>
      </c>
      <c r="I2311" s="1" t="str">
        <f ca="1">IFERROR(__xludf.DUMMYFUNCTION("""COMPUTED_VALUE"""),"2025")</f>
        <v>2025</v>
      </c>
      <c r="J2311" s="1" t="str">
        <f ca="1">IFERROR(__xludf.DUMMYFUNCTION("""COMPUTED_VALUE"""),"Letter")</f>
        <v>Letter</v>
      </c>
    </row>
    <row r="2312" spans="1:10" ht="13" x14ac:dyDescent="0.15">
      <c r="A2312" s="4">
        <f ca="1">IFERROR(__xludf.DUMMYFUNCTION("""COMPUTED_VALUE"""),279190366)</f>
        <v>279190366</v>
      </c>
      <c r="B2312" s="1" t="str">
        <f ca="1">IFERROR(__xludf.DUMMYFUNCTION("""COMPUTED_VALUE"""),"tara.bott@gmail.com")</f>
        <v>tara.bott@gmail.com</v>
      </c>
      <c r="C2312" s="4" t="str">
        <f ca="1">IFERROR(__xludf.DUMMYFUNCTION("""COMPUTED_VALUE"""),"EVERGREEN - UAN Gated Content - Embedded Petition")</f>
        <v>EVERGREEN - UAN Gated Content - Embedded Petition</v>
      </c>
      <c r="D2312" s="5">
        <f ca="1">IFERROR(__xludf.DUMMYFUNCTION("""COMPUTED_VALUE"""),45700)</f>
        <v>45700</v>
      </c>
      <c r="F2312" s="1" t="str">
        <f ca="1">IFERROR(__xludf.DUMMYFUNCTION("""COMPUTED_VALUE"""),"USA")</f>
        <v>USA</v>
      </c>
      <c r="G2312" s="1" t="str">
        <f ca="1">IFERROR(__xludf.DUMMYFUNCTION("""COMPUTED_VALUE"""),"Second 76.24 Tunisia")</f>
        <v>Second 76.24 Tunisia</v>
      </c>
      <c r="H2312" s="1" t="str">
        <f ca="1">IFERROR(__xludf.DUMMYFUNCTION("""COMPUTED_VALUE"""),"Freedom of Expression, Human Rights Defenders")</f>
        <v>Freedom of Expression, Human Rights Defenders</v>
      </c>
      <c r="I2312" s="1" t="str">
        <f ca="1">IFERROR(__xludf.DUMMYFUNCTION("""COMPUTED_VALUE"""),"2025")</f>
        <v>2025</v>
      </c>
      <c r="J2312" s="1" t="str">
        <f ca="1">IFERROR(__xludf.DUMMYFUNCTION("""COMPUTED_VALUE"""),"Email")</f>
        <v>Email</v>
      </c>
    </row>
    <row r="2313" spans="1:10" ht="13" x14ac:dyDescent="0.15">
      <c r="A2313" s="4">
        <f ca="1">IFERROR(__xludf.DUMMYFUNCTION("""COMPUTED_VALUE"""),279190366)</f>
        <v>279190366</v>
      </c>
      <c r="B2313" s="1" t="str">
        <f ca="1">IFERROR(__xludf.DUMMYFUNCTION("""COMPUTED_VALUE"""),"tara.bott@gmail.com")</f>
        <v>tara.bott@gmail.com</v>
      </c>
      <c r="C2313" s="4" t="str">
        <f ca="1">IFERROR(__xludf.DUMMYFUNCTION("""COMPUTED_VALUE"""),"EVERGREEN - UAN Gated Content - Embedded Petition")</f>
        <v>EVERGREEN - UAN Gated Content - Embedded Petition</v>
      </c>
      <c r="D2313" s="5">
        <f ca="1">IFERROR(__xludf.DUMMYFUNCTION("""COMPUTED_VALUE"""),45683)</f>
        <v>45683</v>
      </c>
      <c r="F2313" s="1" t="str">
        <f ca="1">IFERROR(__xludf.DUMMYFUNCTION("""COMPUTED_VALUE"""),"Tunisia")</f>
        <v>Tunisia</v>
      </c>
      <c r="G2313" s="1" t="str">
        <f ca="1">IFERROR(__xludf.DUMMYFUNCTION("""COMPUTED_VALUE"""),"Second 76.24 Tunisia")</f>
        <v>Second 76.24 Tunisia</v>
      </c>
      <c r="H2313" s="1" t="str">
        <f ca="1">IFERROR(__xludf.DUMMYFUNCTION("""COMPUTED_VALUE"""),"Freedom of Expression, Human Rights Defenders")</f>
        <v>Freedom of Expression, Human Rights Defenders</v>
      </c>
      <c r="I2313" s="1" t="str">
        <f ca="1">IFERROR(__xludf.DUMMYFUNCTION("""COMPUTED_VALUE"""),"2025")</f>
        <v>2025</v>
      </c>
      <c r="J2313" s="1" t="str">
        <f ca="1">IFERROR(__xludf.DUMMYFUNCTION("""COMPUTED_VALUE"""),"Email")</f>
        <v>Email</v>
      </c>
    </row>
    <row r="2314" spans="1:10" ht="13" x14ac:dyDescent="0.15">
      <c r="A2314" s="4">
        <f ca="1">IFERROR(__xludf.DUMMYFUNCTION("""COMPUTED_VALUE"""),279190366)</f>
        <v>279190366</v>
      </c>
      <c r="B2314" s="1" t="str">
        <f ca="1">IFERROR(__xludf.DUMMYFUNCTION("""COMPUTED_VALUE"""),"tara.bott@gmail.com")</f>
        <v>tara.bott@gmail.com</v>
      </c>
      <c r="C2314" s="4" t="str">
        <f ca="1">IFERROR(__xludf.DUMMYFUNCTION("""COMPUTED_VALUE"""),"EVERGREEN - UAN Gated Content - Embedded Petition")</f>
        <v>EVERGREEN - UAN Gated Content - Embedded Petition</v>
      </c>
      <c r="D2314" s="5">
        <f ca="1">IFERROR(__xludf.DUMMYFUNCTION("""COMPUTED_VALUE"""),45683)</f>
        <v>45683</v>
      </c>
      <c r="F2314" s="1" t="str">
        <f ca="1">IFERROR(__xludf.DUMMYFUNCTION("""COMPUTED_VALUE"""),"Tunisia")</f>
        <v>Tunisia</v>
      </c>
      <c r="G2314" s="1" t="str">
        <f ca="1">IFERROR(__xludf.DUMMYFUNCTION("""COMPUTED_VALUE"""),"4.25 USA")</f>
        <v>4.25 USA</v>
      </c>
      <c r="H2314" s="1" t="str">
        <f ca="1">IFERROR(__xludf.DUMMYFUNCTION("""COMPUTED_VALUE"""),"Individuals At Risk, Refugee and Migrant Rights")</f>
        <v>Individuals At Risk, Refugee and Migrant Rights</v>
      </c>
      <c r="I2314" s="1" t="str">
        <f ca="1">IFERROR(__xludf.DUMMYFUNCTION("""COMPUTED_VALUE"""),"2025")</f>
        <v>2025</v>
      </c>
      <c r="J2314" s="1" t="str">
        <f ca="1">IFERROR(__xludf.DUMMYFUNCTION("""COMPUTED_VALUE"""),"Letter")</f>
        <v>Letter</v>
      </c>
    </row>
    <row r="2315" spans="1:10" ht="13" x14ac:dyDescent="0.15">
      <c r="A2315" s="4">
        <f ca="1">IFERROR(__xludf.DUMMYFUNCTION("""COMPUTED_VALUE"""),279218940)</f>
        <v>279218940</v>
      </c>
      <c r="B2315" s="1" t="str">
        <f ca="1">IFERROR(__xludf.DUMMYFUNCTION("""COMPUTED_VALUE"""),"lgoldman@aiusacs.org")</f>
        <v>lgoldman@aiusacs.org</v>
      </c>
      <c r="C2315" s="4" t="str">
        <f ca="1">IFERROR(__xludf.DUMMYFUNCTION("""COMPUTED_VALUE"""),"EVERGREEN - Website Email Capture Form - UAN Pre-Footer")</f>
        <v>EVERGREEN - Website Email Capture Form - UAN Pre-Footer</v>
      </c>
      <c r="D2315" s="5">
        <f ca="1">IFERROR(__xludf.DUMMYFUNCTION("""COMPUTED_VALUE"""),45643)</f>
        <v>45643</v>
      </c>
      <c r="F2315" s="1" t="str">
        <f ca="1">IFERROR(__xludf.DUMMYFUNCTION("""COMPUTED_VALUE"""),"USA")</f>
        <v>USA</v>
      </c>
      <c r="G2315" s="1" t="str">
        <f ca="1">IFERROR(__xludf.DUMMYFUNCTION("""COMPUTED_VALUE"""),"4.25 USA")</f>
        <v>4.25 USA</v>
      </c>
      <c r="H2315" s="1" t="str">
        <f ca="1">IFERROR(__xludf.DUMMYFUNCTION("""COMPUTED_VALUE"""),"Individuals At Risk, Refugee and Migrant Rights")</f>
        <v>Individuals At Risk, Refugee and Migrant Rights</v>
      </c>
      <c r="I2315" s="1" t="str">
        <f ca="1">IFERROR(__xludf.DUMMYFUNCTION("""COMPUTED_VALUE"""),"2025")</f>
        <v>2025</v>
      </c>
      <c r="J2315" s="1" t="str">
        <f ca="1">IFERROR(__xludf.DUMMYFUNCTION("""COMPUTED_VALUE"""),"Letter")</f>
        <v>Letter</v>
      </c>
    </row>
    <row r="2316" spans="1:10" ht="13" x14ac:dyDescent="0.15">
      <c r="A2316" s="4">
        <f ca="1">IFERROR(__xludf.DUMMYFUNCTION("""COMPUTED_VALUE"""),279256437)</f>
        <v>279256437</v>
      </c>
      <c r="B2316" s="1" t="str">
        <f ca="1">IFERROR(__xludf.DUMMYFUNCTION("""COMPUTED_VALUE"""),"tcalina@aiusacs.org")</f>
        <v>tcalina@aiusacs.org</v>
      </c>
      <c r="C2316" s="4" t="str">
        <f ca="1">IFERROR(__xludf.DUMMYFUNCTION("""COMPUTED_VALUE"""),"EVERGREEN - UAN Gated Content - Embedded Petition")</f>
        <v>EVERGREEN - UAN Gated Content - Embedded Petition</v>
      </c>
      <c r="D2316" s="5">
        <f ca="1">IFERROR(__xludf.DUMMYFUNCTION("""COMPUTED_VALUE"""),45696)</f>
        <v>45696</v>
      </c>
      <c r="F2316" s="1" t="str">
        <f ca="1">IFERROR(__xludf.DUMMYFUNCTION("""COMPUTED_VALUE"""),"USA")</f>
        <v>USA</v>
      </c>
      <c r="G2316" s="1" t="str">
        <f ca="1">IFERROR(__xludf.DUMMYFUNCTION("""COMPUTED_VALUE"""),"4.25 USA")</f>
        <v>4.25 USA</v>
      </c>
      <c r="H2316" s="1" t="str">
        <f ca="1">IFERROR(__xludf.DUMMYFUNCTION("""COMPUTED_VALUE"""),"Individuals At Risk, Refugee and Migrant Rights")</f>
        <v>Individuals At Risk, Refugee and Migrant Rights</v>
      </c>
      <c r="I2316" s="1" t="str">
        <f ca="1">IFERROR(__xludf.DUMMYFUNCTION("""COMPUTED_VALUE"""),"2025")</f>
        <v>2025</v>
      </c>
      <c r="J2316" s="1" t="str">
        <f ca="1">IFERROR(__xludf.DUMMYFUNCTION("""COMPUTED_VALUE"""),"Letter")</f>
        <v>Letter</v>
      </c>
    </row>
    <row r="2317" spans="1:10" ht="13" x14ac:dyDescent="0.15">
      <c r="A2317" s="4">
        <f ca="1">IFERROR(__xludf.DUMMYFUNCTION("""COMPUTED_VALUE"""),280840488)</f>
        <v>280840488</v>
      </c>
      <c r="B2317" s="1" t="str">
        <f ca="1">IFERROR(__xludf.DUMMYFUNCTION("""COMPUTED_VALUE"""),"deettdbuttimer@gmail.com")</f>
        <v>deettdbuttimer@gmail.com</v>
      </c>
      <c r="C2317" s="4" t="str">
        <f ca="1">IFERROR(__xludf.DUMMYFUNCTION("""COMPUTED_VALUE"""),"EVERGREEN - UAN Gated Content - Embedded Petition")</f>
        <v>EVERGREEN - UAN Gated Content - Embedded Petition</v>
      </c>
      <c r="D2317" s="5">
        <f ca="1">IFERROR(__xludf.DUMMYFUNCTION("""COMPUTED_VALUE"""),45691)</f>
        <v>45691</v>
      </c>
      <c r="F2317" s="1" t="str">
        <f ca="1">IFERROR(__xludf.DUMMYFUNCTION("""COMPUTED_VALUE"""),"USA")</f>
        <v>USA</v>
      </c>
      <c r="G2317" s="1" t="str">
        <f ca="1">IFERROR(__xludf.DUMMYFUNCTION("""COMPUTED_VALUE"""),"4.25 USA")</f>
        <v>4.25 USA</v>
      </c>
      <c r="H2317" s="1" t="str">
        <f ca="1">IFERROR(__xludf.DUMMYFUNCTION("""COMPUTED_VALUE"""),"Individuals At Risk, Refugee and Migrant Rights")</f>
        <v>Individuals At Risk, Refugee and Migrant Rights</v>
      </c>
      <c r="I2317" s="1" t="str">
        <f ca="1">IFERROR(__xludf.DUMMYFUNCTION("""COMPUTED_VALUE"""),"2025")</f>
        <v>2025</v>
      </c>
      <c r="J2317" s="1" t="str">
        <f ca="1">IFERROR(__xludf.DUMMYFUNCTION("""COMPUTED_VALUE"""),"Letter")</f>
        <v>Letter</v>
      </c>
    </row>
    <row r="2318" spans="1:10" ht="13" x14ac:dyDescent="0.15">
      <c r="A2318" s="4">
        <f ca="1">IFERROR(__xludf.DUMMYFUNCTION("""COMPUTED_VALUE"""),280913203)</f>
        <v>280913203</v>
      </c>
      <c r="B2318" s="1" t="str">
        <f ca="1">IFERROR(__xludf.DUMMYFUNCTION("""COMPUTED_VALUE"""),"ahennessey010@gmail.com")</f>
        <v>ahennessey010@gmail.com</v>
      </c>
      <c r="C2318" s="4" t="str">
        <f ca="1">IFERROR(__xludf.DUMMYFUNCTION("""COMPUTED_VALUE"""),"EVERGREEN - UAN Gated Content - Embedded Petition")</f>
        <v>EVERGREEN - UAN Gated Content - Embedded Petition</v>
      </c>
      <c r="D2318" s="5">
        <f ca="1">IFERROR(__xludf.DUMMYFUNCTION("""COMPUTED_VALUE"""),45680)</f>
        <v>45680</v>
      </c>
      <c r="F2318" s="1" t="str">
        <f ca="1">IFERROR(__xludf.DUMMYFUNCTION("""COMPUTED_VALUE"""),"USA")</f>
        <v>USA</v>
      </c>
      <c r="G2318" s="1" t="str">
        <f ca="1">IFERROR(__xludf.DUMMYFUNCTION("""COMPUTED_VALUE"""),"5.25 Colombia")</f>
        <v>5.25 Colombia</v>
      </c>
      <c r="H2318" s="1" t="str">
        <f ca="1">IFERROR(__xludf.DUMMYFUNCTION("""COMPUTED_VALUE"""),"Human Rights Defenders, Individuals At Risk")</f>
        <v>Human Rights Defenders, Individuals At Risk</v>
      </c>
      <c r="I2318" s="1" t="str">
        <f ca="1">IFERROR(__xludf.DUMMYFUNCTION("""COMPUTED_VALUE"""),"2025")</f>
        <v>2025</v>
      </c>
      <c r="J2318" s="1" t="str">
        <f ca="1">IFERROR(__xludf.DUMMYFUNCTION("""COMPUTED_VALUE"""),"Email")</f>
        <v>Email</v>
      </c>
    </row>
    <row r="2319" spans="1:10" ht="13" x14ac:dyDescent="0.15">
      <c r="A2319" s="4">
        <f ca="1">IFERROR(__xludf.DUMMYFUNCTION("""COMPUTED_VALUE"""),280964679)</f>
        <v>280964679</v>
      </c>
      <c r="B2319" s="1" t="str">
        <f ca="1">IFERROR(__xludf.DUMMYFUNCTION("""COMPUTED_VALUE"""),"areilly@aiusa.org")</f>
        <v>areilly@aiusa.org</v>
      </c>
      <c r="C2319" s="4" t="str">
        <f ca="1">IFERROR(__xludf.DUMMYFUNCTION("""COMPUTED_VALUE"""),"EVERGREEN - UAN Gated Content - Embedded Petition")</f>
        <v>EVERGREEN - UAN Gated Content - Embedded Petition</v>
      </c>
      <c r="D2319" s="5">
        <f ca="1">IFERROR(__xludf.DUMMYFUNCTION("""COMPUTED_VALUE"""),45686)</f>
        <v>45686</v>
      </c>
      <c r="F2319" s="1" t="str">
        <f ca="1">IFERROR(__xludf.DUMMYFUNCTION("""COMPUTED_VALUE"""),"Colombia")</f>
        <v>Colombia</v>
      </c>
      <c r="G2319" s="1" t="str">
        <f ca="1">IFERROR(__xludf.DUMMYFUNCTION("""COMPUTED_VALUE"""),"4.25 USA")</f>
        <v>4.25 USA</v>
      </c>
      <c r="H2319" s="1" t="str">
        <f ca="1">IFERROR(__xludf.DUMMYFUNCTION("""COMPUTED_VALUE"""),"Individuals At Risk, Refugee and Migrant Rights")</f>
        <v>Individuals At Risk, Refugee and Migrant Rights</v>
      </c>
      <c r="I2319" s="1" t="str">
        <f ca="1">IFERROR(__xludf.DUMMYFUNCTION("""COMPUTED_VALUE"""),"2025")</f>
        <v>2025</v>
      </c>
      <c r="J2319" s="1" t="str">
        <f ca="1">IFERROR(__xludf.DUMMYFUNCTION("""COMPUTED_VALUE"""),"Letter")</f>
        <v>Letter</v>
      </c>
    </row>
    <row r="2320" spans="1:10" ht="13" x14ac:dyDescent="0.15">
      <c r="A2320" s="4">
        <f ca="1">IFERROR(__xludf.DUMMYFUNCTION("""COMPUTED_VALUE"""),281267381)</f>
        <v>281267381</v>
      </c>
      <c r="B2320" s="1" t="str">
        <f ca="1">IFERROR(__xludf.DUMMYFUNCTION("""COMPUTED_VALUE"""),"tasleyma@yahoo.com")</f>
        <v>tasleyma@yahoo.com</v>
      </c>
      <c r="C2320" s="4" t="str">
        <f ca="1">IFERROR(__xludf.DUMMYFUNCTION("""COMPUTED_VALUE"""),"EVERGREEN - UAN Gated Content - Embedded Petition")</f>
        <v>EVERGREEN - UAN Gated Content - Embedded Petition</v>
      </c>
      <c r="D2320" s="5">
        <f ca="1">IFERROR(__xludf.DUMMYFUNCTION("""COMPUTED_VALUE"""),45673)</f>
        <v>45673</v>
      </c>
      <c r="F2320" s="1" t="str">
        <f ca="1">IFERROR(__xludf.DUMMYFUNCTION("""COMPUTED_VALUE"""),"USA")</f>
        <v>USA</v>
      </c>
      <c r="G2320" s="1" t="str">
        <f ca="1">IFERROR(__xludf.DUMMYFUNCTION("""COMPUTED_VALUE"""),"4.25 USA")</f>
        <v>4.25 USA</v>
      </c>
      <c r="H2320" s="1" t="str">
        <f ca="1">IFERROR(__xludf.DUMMYFUNCTION("""COMPUTED_VALUE"""),"Individuals At Risk, Refugee and Migrant Rights")</f>
        <v>Individuals At Risk, Refugee and Migrant Rights</v>
      </c>
      <c r="I2320" s="1" t="str">
        <f ca="1">IFERROR(__xludf.DUMMYFUNCTION("""COMPUTED_VALUE"""),"2025")</f>
        <v>2025</v>
      </c>
      <c r="J2320" s="1" t="str">
        <f ca="1">IFERROR(__xludf.DUMMYFUNCTION("""COMPUTED_VALUE"""),"Letter")</f>
        <v>Letter</v>
      </c>
    </row>
    <row r="2321" spans="1:10" ht="13" x14ac:dyDescent="0.15">
      <c r="A2321" s="4">
        <f ca="1">IFERROR(__xludf.DUMMYFUNCTION("""COMPUTED_VALUE"""),281607345)</f>
        <v>281607345</v>
      </c>
      <c r="B2321" s="1" t="str">
        <f ca="1">IFERROR(__xludf.DUMMYFUNCTION("""COMPUTED_VALUE"""),"kkhb22@gmail.com")</f>
        <v>kkhb22@gmail.com</v>
      </c>
      <c r="C2321" s="4" t="str">
        <f ca="1">IFERROR(__xludf.DUMMYFUNCTION("""COMPUTED_VALUE"""),"EVERGREEN - UAN Gated Content - Embedded Petition")</f>
        <v>EVERGREEN - UAN Gated Content - Embedded Petition</v>
      </c>
      <c r="D2321" s="5">
        <f ca="1">IFERROR(__xludf.DUMMYFUNCTION("""COMPUTED_VALUE"""),45694)</f>
        <v>45694</v>
      </c>
      <c r="F2321" s="1" t="str">
        <f ca="1">IFERROR(__xludf.DUMMYFUNCTION("""COMPUTED_VALUE"""),"USA")</f>
        <v>USA</v>
      </c>
      <c r="G2321" s="1" t="str">
        <f ca="1">IFERROR(__xludf.DUMMYFUNCTION("""COMPUTED_VALUE"""),"4.25 USA")</f>
        <v>4.25 USA</v>
      </c>
      <c r="H2321" s="1" t="str">
        <f ca="1">IFERROR(__xludf.DUMMYFUNCTION("""COMPUTED_VALUE"""),"Individuals At Risk, Refugee and Migrant Rights")</f>
        <v>Individuals At Risk, Refugee and Migrant Rights</v>
      </c>
      <c r="I2321" s="1" t="str">
        <f ca="1">IFERROR(__xludf.DUMMYFUNCTION("""COMPUTED_VALUE"""),"2025")</f>
        <v>2025</v>
      </c>
      <c r="J2321" s="1" t="str">
        <f ca="1">IFERROR(__xludf.DUMMYFUNCTION("""COMPUTED_VALUE"""),"Letter")</f>
        <v>Letter</v>
      </c>
    </row>
    <row r="2322" spans="1:10" ht="13" x14ac:dyDescent="0.15">
      <c r="A2322" s="4">
        <f ca="1">IFERROR(__xludf.DUMMYFUNCTION("""COMPUTED_VALUE"""),282035070)</f>
        <v>282035070</v>
      </c>
      <c r="B2322" s="1" t="str">
        <f ca="1">IFERROR(__xludf.DUMMYFUNCTION("""COMPUTED_VALUE"""),"h.masazumi7017@outlook.jp")</f>
        <v>h.masazumi7017@outlook.jp</v>
      </c>
      <c r="C2322" s="4" t="str">
        <f ca="1">IFERROR(__xludf.DUMMYFUNCTION("""COMPUTED_VALUE"""),"EVERGREEN - UAN Gated Content - Embedded Petition")</f>
        <v>EVERGREEN - UAN Gated Content - Embedded Petition</v>
      </c>
      <c r="D2322" s="5">
        <f ca="1">IFERROR(__xludf.DUMMYFUNCTION("""COMPUTED_VALUE"""),45698)</f>
        <v>45698</v>
      </c>
      <c r="F2322" s="1" t="str">
        <f ca="1">IFERROR(__xludf.DUMMYFUNCTION("""COMPUTED_VALUE"""),"USA")</f>
        <v>USA</v>
      </c>
      <c r="G2322" s="1" t="str">
        <f ca="1">IFERROR(__xludf.DUMMYFUNCTION("""COMPUTED_VALUE"""),"4.25 USA")</f>
        <v>4.25 USA</v>
      </c>
      <c r="H2322" s="1" t="str">
        <f ca="1">IFERROR(__xludf.DUMMYFUNCTION("""COMPUTED_VALUE"""),"Individuals At Risk, Refugee and Migrant Rights")</f>
        <v>Individuals At Risk, Refugee and Migrant Rights</v>
      </c>
      <c r="I2322" s="1" t="str">
        <f ca="1">IFERROR(__xludf.DUMMYFUNCTION("""COMPUTED_VALUE"""),"2025")</f>
        <v>2025</v>
      </c>
      <c r="J2322" s="1" t="str">
        <f ca="1">IFERROR(__xludf.DUMMYFUNCTION("""COMPUTED_VALUE"""),"Letter")</f>
        <v>Letter</v>
      </c>
    </row>
    <row r="2323" spans="1:10" ht="13" x14ac:dyDescent="0.15">
      <c r="A2323" s="4">
        <f ca="1">IFERROR(__xludf.DUMMYFUNCTION("""COMPUTED_VALUE"""),282035070)</f>
        <v>282035070</v>
      </c>
      <c r="B2323" s="1" t="str">
        <f ca="1">IFERROR(__xludf.DUMMYFUNCTION("""COMPUTED_VALUE"""),"h.masazumi7017@outlook.jp")</f>
        <v>h.masazumi7017@outlook.jp</v>
      </c>
      <c r="C2323" s="4" t="str">
        <f ca="1">IFERROR(__xludf.DUMMYFUNCTION("""COMPUTED_VALUE"""),"EVERGREEN - UAN Gated Content - Embedded Petition")</f>
        <v>EVERGREEN - UAN Gated Content - Embedded Petition</v>
      </c>
      <c r="D2323" s="5">
        <f ca="1">IFERROR(__xludf.DUMMYFUNCTION("""COMPUTED_VALUE"""),45637)</f>
        <v>45637</v>
      </c>
      <c r="F2323" s="1" t="str">
        <f ca="1">IFERROR(__xludf.DUMMYFUNCTION("""COMPUTED_VALUE"""),"USA")</f>
        <v>USA</v>
      </c>
      <c r="G2323" s="1" t="str">
        <f ca="1">IFERROR(__xludf.DUMMYFUNCTION("""COMPUTED_VALUE"""),"4.25 USA")</f>
        <v>4.25 USA</v>
      </c>
      <c r="H2323" s="1" t="str">
        <f ca="1">IFERROR(__xludf.DUMMYFUNCTION("""COMPUTED_VALUE"""),"Individuals At Risk, Refugee and Migrant Rights")</f>
        <v>Individuals At Risk, Refugee and Migrant Rights</v>
      </c>
      <c r="I2323" s="1" t="str">
        <f ca="1">IFERROR(__xludf.DUMMYFUNCTION("""COMPUTED_VALUE"""),"2025")</f>
        <v>2025</v>
      </c>
      <c r="J2323" s="1" t="str">
        <f ca="1">IFERROR(__xludf.DUMMYFUNCTION("""COMPUTED_VALUE"""),"Letter")</f>
        <v>Letter</v>
      </c>
    </row>
    <row r="2324" spans="1:10" ht="13" x14ac:dyDescent="0.15">
      <c r="A2324" s="4">
        <f ca="1">IFERROR(__xludf.DUMMYFUNCTION("""COMPUTED_VALUE"""),282035070)</f>
        <v>282035070</v>
      </c>
      <c r="B2324" s="1" t="str">
        <f ca="1">IFERROR(__xludf.DUMMYFUNCTION("""COMPUTED_VALUE"""),"h.masazumi7017@outlook.jp")</f>
        <v>h.masazumi7017@outlook.jp</v>
      </c>
      <c r="C2324" s="4" t="str">
        <f ca="1">IFERROR(__xludf.DUMMYFUNCTION("""COMPUTED_VALUE"""),"EVERGREEN - UAN Gated Content - Embedded Petition")</f>
        <v>EVERGREEN - UAN Gated Content - Embedded Petition</v>
      </c>
      <c r="D2324" s="5">
        <f ca="1">IFERROR(__xludf.DUMMYFUNCTION("""COMPUTED_VALUE"""),45698)</f>
        <v>45698</v>
      </c>
      <c r="F2324" s="1" t="str">
        <f ca="1">IFERROR(__xludf.DUMMYFUNCTION("""COMPUTED_VALUE"""),"USA")</f>
        <v>USA</v>
      </c>
      <c r="G2324" s="1" t="str">
        <f ca="1">IFERROR(__xludf.DUMMYFUNCTION("""COMPUTED_VALUE"""),"4.25 USA")</f>
        <v>4.25 USA</v>
      </c>
      <c r="H2324" s="1" t="str">
        <f ca="1">IFERROR(__xludf.DUMMYFUNCTION("""COMPUTED_VALUE"""),"Individuals At Risk, Refugee and Migrant Rights")</f>
        <v>Individuals At Risk, Refugee and Migrant Rights</v>
      </c>
      <c r="I2324" s="1" t="str">
        <f ca="1">IFERROR(__xludf.DUMMYFUNCTION("""COMPUTED_VALUE"""),"2025")</f>
        <v>2025</v>
      </c>
      <c r="J2324" s="1" t="str">
        <f ca="1">IFERROR(__xludf.DUMMYFUNCTION("""COMPUTED_VALUE"""),"Letter")</f>
        <v>Letter</v>
      </c>
    </row>
    <row r="2325" spans="1:10" ht="13" x14ac:dyDescent="0.15">
      <c r="A2325" s="4">
        <f ca="1">IFERROR(__xludf.DUMMYFUNCTION("""COMPUTED_VALUE"""),282035070)</f>
        <v>282035070</v>
      </c>
      <c r="B2325" s="1" t="str">
        <f ca="1">IFERROR(__xludf.DUMMYFUNCTION("""COMPUTED_VALUE"""),"h.masazumi7017@outlook.jp")</f>
        <v>h.masazumi7017@outlook.jp</v>
      </c>
      <c r="C2325" s="4" t="str">
        <f ca="1">IFERROR(__xludf.DUMMYFUNCTION("""COMPUTED_VALUE"""),"EVERGREEN - UAN Gated Content - Embedded Petition")</f>
        <v>EVERGREEN - UAN Gated Content - Embedded Petition</v>
      </c>
      <c r="D2325" s="5">
        <f ca="1">IFERROR(__xludf.DUMMYFUNCTION("""COMPUTED_VALUE"""),45698)</f>
        <v>45698</v>
      </c>
      <c r="F2325" s="1" t="str">
        <f ca="1">IFERROR(__xludf.DUMMYFUNCTION("""COMPUTED_VALUE"""),"USA")</f>
        <v>USA</v>
      </c>
      <c r="G2325" s="1" t="str">
        <f ca="1">IFERROR(__xludf.DUMMYFUNCTION("""COMPUTED_VALUE"""),"4.25 USA")</f>
        <v>4.25 USA</v>
      </c>
      <c r="H2325" s="1" t="str">
        <f ca="1">IFERROR(__xludf.DUMMYFUNCTION("""COMPUTED_VALUE"""),"Individuals At Risk, Refugee and Migrant Rights")</f>
        <v>Individuals At Risk, Refugee and Migrant Rights</v>
      </c>
      <c r="I2325" s="1" t="str">
        <f ca="1">IFERROR(__xludf.DUMMYFUNCTION("""COMPUTED_VALUE"""),"2025")</f>
        <v>2025</v>
      </c>
      <c r="J2325" s="1" t="str">
        <f ca="1">IFERROR(__xludf.DUMMYFUNCTION("""COMPUTED_VALUE"""),"Letter")</f>
        <v>Letter</v>
      </c>
    </row>
    <row r="2326" spans="1:10" ht="13" x14ac:dyDescent="0.15">
      <c r="A2326" s="4">
        <f ca="1">IFERROR(__xludf.DUMMYFUNCTION("""COMPUTED_VALUE"""),282035070)</f>
        <v>282035070</v>
      </c>
      <c r="B2326" s="1" t="str">
        <f ca="1">IFERROR(__xludf.DUMMYFUNCTION("""COMPUTED_VALUE"""),"h.masazumi7017@outlook.jp")</f>
        <v>h.masazumi7017@outlook.jp</v>
      </c>
      <c r="C2326" s="4" t="str">
        <f ca="1">IFERROR(__xludf.DUMMYFUNCTION("""COMPUTED_VALUE"""),"EVERGREEN - UAN Gated Content - Embedded Petition")</f>
        <v>EVERGREEN - UAN Gated Content - Embedded Petition</v>
      </c>
      <c r="D2326" s="5">
        <f ca="1">IFERROR(__xludf.DUMMYFUNCTION("""COMPUTED_VALUE"""),45692)</f>
        <v>45692</v>
      </c>
      <c r="F2326" s="1" t="str">
        <f ca="1">IFERROR(__xludf.DUMMYFUNCTION("""COMPUTED_VALUE"""),"USA")</f>
        <v>USA</v>
      </c>
      <c r="G2326" s="1" t="str">
        <f ca="1">IFERROR(__xludf.DUMMYFUNCTION("""COMPUTED_VALUE"""),"4.25 USA")</f>
        <v>4.25 USA</v>
      </c>
      <c r="H2326" s="1" t="str">
        <f ca="1">IFERROR(__xludf.DUMMYFUNCTION("""COMPUTED_VALUE"""),"Individuals At Risk, Refugee and Migrant Rights")</f>
        <v>Individuals At Risk, Refugee and Migrant Rights</v>
      </c>
      <c r="I2326" s="1" t="str">
        <f ca="1">IFERROR(__xludf.DUMMYFUNCTION("""COMPUTED_VALUE"""),"2025")</f>
        <v>2025</v>
      </c>
      <c r="J2326" s="1" t="str">
        <f ca="1">IFERROR(__xludf.DUMMYFUNCTION("""COMPUTED_VALUE"""),"Letter")</f>
        <v>Letter</v>
      </c>
    </row>
    <row r="2327" spans="1:10" ht="13" x14ac:dyDescent="0.15">
      <c r="A2327" s="4">
        <f ca="1">IFERROR(__xludf.DUMMYFUNCTION("""COMPUTED_VALUE"""),282035070)</f>
        <v>282035070</v>
      </c>
      <c r="B2327" s="1" t="str">
        <f ca="1">IFERROR(__xludf.DUMMYFUNCTION("""COMPUTED_VALUE"""),"h.masazumi7017@outlook.jp")</f>
        <v>h.masazumi7017@outlook.jp</v>
      </c>
      <c r="C2327" s="4" t="str">
        <f ca="1">IFERROR(__xludf.DUMMYFUNCTION("""COMPUTED_VALUE"""),"EVERGREEN - UAN Gated Content - Embedded Petition")</f>
        <v>EVERGREEN - UAN Gated Content - Embedded Petition</v>
      </c>
      <c r="D2327" s="5">
        <f ca="1">IFERROR(__xludf.DUMMYFUNCTION("""COMPUTED_VALUE"""),45692)</f>
        <v>45692</v>
      </c>
      <c r="F2327" s="1" t="str">
        <f ca="1">IFERROR(__xludf.DUMMYFUNCTION("""COMPUTED_VALUE"""),"USA")</f>
        <v>USA</v>
      </c>
      <c r="G2327" s="1" t="str">
        <f ca="1">IFERROR(__xludf.DUMMYFUNCTION("""COMPUTED_VALUE"""),"4.25 USA")</f>
        <v>4.25 USA</v>
      </c>
      <c r="H2327" s="1" t="str">
        <f ca="1">IFERROR(__xludf.DUMMYFUNCTION("""COMPUTED_VALUE"""),"Individuals At Risk, Refugee and Migrant Rights")</f>
        <v>Individuals At Risk, Refugee and Migrant Rights</v>
      </c>
      <c r="I2327" s="1" t="str">
        <f ca="1">IFERROR(__xludf.DUMMYFUNCTION("""COMPUTED_VALUE"""),"2025")</f>
        <v>2025</v>
      </c>
      <c r="J2327" s="1" t="str">
        <f ca="1">IFERROR(__xludf.DUMMYFUNCTION("""COMPUTED_VALUE"""),"Letter")</f>
        <v>Letter</v>
      </c>
    </row>
    <row r="2328" spans="1:10" ht="13" x14ac:dyDescent="0.15">
      <c r="A2328" s="4">
        <f ca="1">IFERROR(__xludf.DUMMYFUNCTION("""COMPUTED_VALUE"""),282035070)</f>
        <v>282035070</v>
      </c>
      <c r="B2328" s="1" t="str">
        <f ca="1">IFERROR(__xludf.DUMMYFUNCTION("""COMPUTED_VALUE"""),"h.masazumi7017@outlook.jp")</f>
        <v>h.masazumi7017@outlook.jp</v>
      </c>
      <c r="C2328" s="4" t="str">
        <f ca="1">IFERROR(__xludf.DUMMYFUNCTION("""COMPUTED_VALUE"""),"EVERGREEN - UAN Gated Content - Embedded Petition")</f>
        <v>EVERGREEN - UAN Gated Content - Embedded Petition</v>
      </c>
      <c r="D2328" s="5">
        <f ca="1">IFERROR(__xludf.DUMMYFUNCTION("""COMPUTED_VALUE"""),45692)</f>
        <v>45692</v>
      </c>
      <c r="F2328" s="1" t="str">
        <f ca="1">IFERROR(__xludf.DUMMYFUNCTION("""COMPUTED_VALUE"""),"USA")</f>
        <v>USA</v>
      </c>
      <c r="G2328" s="1" t="str">
        <f ca="1">IFERROR(__xludf.DUMMYFUNCTION("""COMPUTED_VALUE"""),"Second 80.23 Egypt")</f>
        <v>Second 80.23 Egypt</v>
      </c>
      <c r="H2328" s="1" t="str">
        <f ca="1">IFERROR(__xludf.DUMMYFUNCTION("""COMPUTED_VALUE"""),"Health, Individuals At Risk")</f>
        <v>Health, Individuals At Risk</v>
      </c>
      <c r="I2328" s="1" t="str">
        <f ca="1">IFERROR(__xludf.DUMMYFUNCTION("""COMPUTED_VALUE"""),"2025")</f>
        <v>2025</v>
      </c>
      <c r="J2328" s="1" t="str">
        <f ca="1">IFERROR(__xludf.DUMMYFUNCTION("""COMPUTED_VALUE"""),"Email")</f>
        <v>Email</v>
      </c>
    </row>
    <row r="2329" spans="1:10" ht="13" x14ac:dyDescent="0.15">
      <c r="A2329" s="4">
        <f ca="1">IFERROR(__xludf.DUMMYFUNCTION("""COMPUTED_VALUE"""),282035070)</f>
        <v>282035070</v>
      </c>
      <c r="B2329" s="1" t="str">
        <f ca="1">IFERROR(__xludf.DUMMYFUNCTION("""COMPUTED_VALUE"""),"h.masazumi7017@outlook.jp")</f>
        <v>h.masazumi7017@outlook.jp</v>
      </c>
      <c r="C2329" s="4" t="str">
        <f ca="1">IFERROR(__xludf.DUMMYFUNCTION("""COMPUTED_VALUE"""),"EVERGREEN - UAN Gated Content - Embedded Petition")</f>
        <v>EVERGREEN - UAN Gated Content - Embedded Petition</v>
      </c>
      <c r="D2329" s="5">
        <f ca="1">IFERROR(__xludf.DUMMYFUNCTION("""COMPUTED_VALUE"""),45692)</f>
        <v>45692</v>
      </c>
      <c r="F2329" s="1" t="str">
        <f ca="1">IFERROR(__xludf.DUMMYFUNCTION("""COMPUTED_VALUE"""),"Egypt")</f>
        <v>Egypt</v>
      </c>
      <c r="G2329" s="1" t="str">
        <f ca="1">IFERROR(__xludf.DUMMYFUNCTION("""COMPUTED_VALUE"""),"4.25 USA")</f>
        <v>4.25 USA</v>
      </c>
      <c r="H2329" s="1" t="str">
        <f ca="1">IFERROR(__xludf.DUMMYFUNCTION("""COMPUTED_VALUE"""),"Individuals At Risk, Refugee and Migrant Rights")</f>
        <v>Individuals At Risk, Refugee and Migrant Rights</v>
      </c>
      <c r="I2329" s="1" t="str">
        <f ca="1">IFERROR(__xludf.DUMMYFUNCTION("""COMPUTED_VALUE"""),"2025")</f>
        <v>2025</v>
      </c>
      <c r="J2329" s="1" t="str">
        <f ca="1">IFERROR(__xludf.DUMMYFUNCTION("""COMPUTED_VALUE"""),"Letter")</f>
        <v>Letter</v>
      </c>
    </row>
    <row r="2330" spans="1:10" ht="13" x14ac:dyDescent="0.15">
      <c r="A2330" s="4">
        <f ca="1">IFERROR(__xludf.DUMMYFUNCTION("""COMPUTED_VALUE"""),282035070)</f>
        <v>282035070</v>
      </c>
      <c r="B2330" s="1" t="str">
        <f ca="1">IFERROR(__xludf.DUMMYFUNCTION("""COMPUTED_VALUE"""),"h.masazumi7017@outlook.jp")</f>
        <v>h.masazumi7017@outlook.jp</v>
      </c>
      <c r="C2330" s="4" t="str">
        <f ca="1">IFERROR(__xludf.DUMMYFUNCTION("""COMPUTED_VALUE"""),"EVERGREEN - UAN Gated Content - Embedded Petition")</f>
        <v>EVERGREEN - UAN Gated Content - Embedded Petition</v>
      </c>
      <c r="D2330" s="5">
        <f ca="1">IFERROR(__xludf.DUMMYFUNCTION("""COMPUTED_VALUE"""),45694)</f>
        <v>45694</v>
      </c>
      <c r="F2330" s="1" t="str">
        <f ca="1">IFERROR(__xludf.DUMMYFUNCTION("""COMPUTED_VALUE"""),"USA")</f>
        <v>USA</v>
      </c>
      <c r="G2330" s="1" t="str">
        <f ca="1">IFERROR(__xludf.DUMMYFUNCTION("""COMPUTED_VALUE"""),"4.25 USA")</f>
        <v>4.25 USA</v>
      </c>
      <c r="H2330" s="1" t="str">
        <f ca="1">IFERROR(__xludf.DUMMYFUNCTION("""COMPUTED_VALUE"""),"Individuals At Risk, Refugee and Migrant Rights")</f>
        <v>Individuals At Risk, Refugee and Migrant Rights</v>
      </c>
      <c r="I2330" s="1" t="str">
        <f ca="1">IFERROR(__xludf.DUMMYFUNCTION("""COMPUTED_VALUE"""),"2025")</f>
        <v>2025</v>
      </c>
      <c r="J2330" s="1" t="str">
        <f ca="1">IFERROR(__xludf.DUMMYFUNCTION("""COMPUTED_VALUE"""),"Letter")</f>
        <v>Letter</v>
      </c>
    </row>
    <row r="2331" spans="1:10" ht="13" x14ac:dyDescent="0.15">
      <c r="A2331" s="4">
        <f ca="1">IFERROR(__xludf.DUMMYFUNCTION("""COMPUTED_VALUE"""),282035070)</f>
        <v>282035070</v>
      </c>
      <c r="B2331" s="1" t="str">
        <f ca="1">IFERROR(__xludf.DUMMYFUNCTION("""COMPUTED_VALUE"""),"h.masazumi7017@outlook.jp")</f>
        <v>h.masazumi7017@outlook.jp</v>
      </c>
      <c r="C2331" s="4" t="str">
        <f ca="1">IFERROR(__xludf.DUMMYFUNCTION("""COMPUTED_VALUE"""),"EVERGREEN - UAN Gated Content - Embedded Petition")</f>
        <v>EVERGREEN - UAN Gated Content - Embedded Petition</v>
      </c>
      <c r="D2331" s="5">
        <f ca="1">IFERROR(__xludf.DUMMYFUNCTION("""COMPUTED_VALUE"""),45694)</f>
        <v>45694</v>
      </c>
      <c r="F2331" s="1" t="str">
        <f ca="1">IFERROR(__xludf.DUMMYFUNCTION("""COMPUTED_VALUE"""),"USA")</f>
        <v>USA</v>
      </c>
      <c r="G2331" s="1" t="str">
        <f ca="1">IFERROR(__xludf.DUMMYFUNCTION("""COMPUTED_VALUE"""),"4.25 USA")</f>
        <v>4.25 USA</v>
      </c>
      <c r="H2331" s="1" t="str">
        <f ca="1">IFERROR(__xludf.DUMMYFUNCTION("""COMPUTED_VALUE"""),"Individuals At Risk, Refugee and Migrant Rights")</f>
        <v>Individuals At Risk, Refugee and Migrant Rights</v>
      </c>
      <c r="I2331" s="1" t="str">
        <f ca="1">IFERROR(__xludf.DUMMYFUNCTION("""COMPUTED_VALUE"""),"2025")</f>
        <v>2025</v>
      </c>
      <c r="J2331" s="1" t="str">
        <f ca="1">IFERROR(__xludf.DUMMYFUNCTION("""COMPUTED_VALUE"""),"Letter")</f>
        <v>Letter</v>
      </c>
    </row>
    <row r="2332" spans="1:10" ht="13" x14ac:dyDescent="0.15">
      <c r="A2332" s="4">
        <f ca="1">IFERROR(__xludf.DUMMYFUNCTION("""COMPUTED_VALUE"""),282035070)</f>
        <v>282035070</v>
      </c>
      <c r="B2332" s="1" t="str">
        <f ca="1">IFERROR(__xludf.DUMMYFUNCTION("""COMPUTED_VALUE"""),"h.masazumi7017@outlook.jp")</f>
        <v>h.masazumi7017@outlook.jp</v>
      </c>
      <c r="C2332" s="4" t="str">
        <f ca="1">IFERROR(__xludf.DUMMYFUNCTION("""COMPUTED_VALUE"""),"EVERGREEN - UAN Gated Content - Embedded Petition")</f>
        <v>EVERGREEN - UAN Gated Content - Embedded Petition</v>
      </c>
      <c r="D2332" s="5">
        <f ca="1">IFERROR(__xludf.DUMMYFUNCTION("""COMPUTED_VALUE"""),45694)</f>
        <v>45694</v>
      </c>
      <c r="F2332" s="1" t="str">
        <f ca="1">IFERROR(__xludf.DUMMYFUNCTION("""COMPUTED_VALUE"""),"USA")</f>
        <v>USA</v>
      </c>
      <c r="G2332" s="1" t="str">
        <f ca="1">IFERROR(__xludf.DUMMYFUNCTION("""COMPUTED_VALUE"""),"4.25 USA")</f>
        <v>4.25 USA</v>
      </c>
      <c r="H2332" s="1" t="str">
        <f ca="1">IFERROR(__xludf.DUMMYFUNCTION("""COMPUTED_VALUE"""),"Individuals At Risk, Refugee and Migrant Rights")</f>
        <v>Individuals At Risk, Refugee and Migrant Rights</v>
      </c>
      <c r="I2332" s="1" t="str">
        <f ca="1">IFERROR(__xludf.DUMMYFUNCTION("""COMPUTED_VALUE"""),"2025")</f>
        <v>2025</v>
      </c>
      <c r="J2332" s="1" t="str">
        <f ca="1">IFERROR(__xludf.DUMMYFUNCTION("""COMPUTED_VALUE"""),"Letter")</f>
        <v>Letter</v>
      </c>
    </row>
    <row r="2333" spans="1:10" ht="13" x14ac:dyDescent="0.15">
      <c r="A2333" s="4">
        <f ca="1">IFERROR(__xludf.DUMMYFUNCTION("""COMPUTED_VALUE"""),282035070)</f>
        <v>282035070</v>
      </c>
      <c r="B2333" s="1" t="str">
        <f ca="1">IFERROR(__xludf.DUMMYFUNCTION("""COMPUTED_VALUE"""),"h.masazumi7017@outlook.jp")</f>
        <v>h.masazumi7017@outlook.jp</v>
      </c>
      <c r="C2333" s="4" t="str">
        <f ca="1">IFERROR(__xludf.DUMMYFUNCTION("""COMPUTED_VALUE"""),"EVERGREEN - UAN Gated Content - Embedded Petition")</f>
        <v>EVERGREEN - UAN Gated Content - Embedded Petition</v>
      </c>
      <c r="D2333" s="5">
        <f ca="1">IFERROR(__xludf.DUMMYFUNCTION("""COMPUTED_VALUE"""),45698)</f>
        <v>45698</v>
      </c>
      <c r="F2333" s="1" t="str">
        <f ca="1">IFERROR(__xludf.DUMMYFUNCTION("""COMPUTED_VALUE"""),"USA")</f>
        <v>USA</v>
      </c>
      <c r="G2333" s="1" t="str">
        <f ca="1">IFERROR(__xludf.DUMMYFUNCTION("""COMPUTED_VALUE"""),"4.25 USA")</f>
        <v>4.25 USA</v>
      </c>
      <c r="H2333" s="1" t="str">
        <f ca="1">IFERROR(__xludf.DUMMYFUNCTION("""COMPUTED_VALUE"""),"Individuals At Risk, Refugee and Migrant Rights")</f>
        <v>Individuals At Risk, Refugee and Migrant Rights</v>
      </c>
      <c r="I2333" s="1" t="str">
        <f ca="1">IFERROR(__xludf.DUMMYFUNCTION("""COMPUTED_VALUE"""),"2025")</f>
        <v>2025</v>
      </c>
      <c r="J2333" s="1" t="str">
        <f ca="1">IFERROR(__xludf.DUMMYFUNCTION("""COMPUTED_VALUE"""),"Letter")</f>
        <v>Letter</v>
      </c>
    </row>
    <row r="2334" spans="1:10" ht="13" x14ac:dyDescent="0.15">
      <c r="A2334" s="4">
        <f ca="1">IFERROR(__xludf.DUMMYFUNCTION("""COMPUTED_VALUE"""),282035070)</f>
        <v>282035070</v>
      </c>
      <c r="B2334" s="1" t="str">
        <f ca="1">IFERROR(__xludf.DUMMYFUNCTION("""COMPUTED_VALUE"""),"h.masazumi7017@outlook.jp")</f>
        <v>h.masazumi7017@outlook.jp</v>
      </c>
      <c r="C2334" s="4" t="str">
        <f ca="1">IFERROR(__xludf.DUMMYFUNCTION("""COMPUTED_VALUE"""),"EVERGREEN - UAN Gated Content - Embedded Petition")</f>
        <v>EVERGREEN - UAN Gated Content - Embedded Petition</v>
      </c>
      <c r="D2334" s="5">
        <f ca="1">IFERROR(__xludf.DUMMYFUNCTION("""COMPUTED_VALUE"""),45637)</f>
        <v>45637</v>
      </c>
      <c r="F2334" s="1" t="str">
        <f ca="1">IFERROR(__xludf.DUMMYFUNCTION("""COMPUTED_VALUE"""),"USA")</f>
        <v>USA</v>
      </c>
      <c r="G2334" s="1" t="str">
        <f ca="1">IFERROR(__xludf.DUMMYFUNCTION("""COMPUTED_VALUE"""),"4.25 USA")</f>
        <v>4.25 USA</v>
      </c>
      <c r="H2334" s="1" t="str">
        <f ca="1">IFERROR(__xludf.DUMMYFUNCTION("""COMPUTED_VALUE"""),"Individuals At Risk, Refugee and Migrant Rights")</f>
        <v>Individuals At Risk, Refugee and Migrant Rights</v>
      </c>
      <c r="I2334" s="1" t="str">
        <f ca="1">IFERROR(__xludf.DUMMYFUNCTION("""COMPUTED_VALUE"""),"2025")</f>
        <v>2025</v>
      </c>
      <c r="J2334" s="1" t="str">
        <f ca="1">IFERROR(__xludf.DUMMYFUNCTION("""COMPUTED_VALUE"""),"Letter")</f>
        <v>Letter</v>
      </c>
    </row>
    <row r="2335" spans="1:10" ht="13" x14ac:dyDescent="0.15">
      <c r="A2335" s="4">
        <f ca="1">IFERROR(__xludf.DUMMYFUNCTION("""COMPUTED_VALUE"""),282035070)</f>
        <v>282035070</v>
      </c>
      <c r="B2335" s="1" t="str">
        <f ca="1">IFERROR(__xludf.DUMMYFUNCTION("""COMPUTED_VALUE"""),"h.masazumi7017@outlook.jp")</f>
        <v>h.masazumi7017@outlook.jp</v>
      </c>
      <c r="C2335" s="4" t="str">
        <f ca="1">IFERROR(__xludf.DUMMYFUNCTION("""COMPUTED_VALUE"""),"EVERGREEN - UAN Gated Content - Embedded Petition")</f>
        <v>EVERGREEN - UAN Gated Content - Embedded Petition</v>
      </c>
      <c r="D2335" s="5">
        <f ca="1">IFERROR(__xludf.DUMMYFUNCTION("""COMPUTED_VALUE"""),45663)</f>
        <v>45663</v>
      </c>
      <c r="F2335" s="1" t="str">
        <f ca="1">IFERROR(__xludf.DUMMYFUNCTION("""COMPUTED_VALUE"""),"USA")</f>
        <v>USA</v>
      </c>
      <c r="G2335" s="1" t="str">
        <f ca="1">IFERROR(__xludf.DUMMYFUNCTION("""COMPUTED_VALUE"""),"4.25 USA")</f>
        <v>4.25 USA</v>
      </c>
      <c r="H2335" s="1" t="str">
        <f ca="1">IFERROR(__xludf.DUMMYFUNCTION("""COMPUTED_VALUE"""),"Individuals At Risk, Refugee and Migrant Rights")</f>
        <v>Individuals At Risk, Refugee and Migrant Rights</v>
      </c>
      <c r="I2335" s="1" t="str">
        <f ca="1">IFERROR(__xludf.DUMMYFUNCTION("""COMPUTED_VALUE"""),"2025")</f>
        <v>2025</v>
      </c>
      <c r="J2335" s="1" t="str">
        <f ca="1">IFERROR(__xludf.DUMMYFUNCTION("""COMPUTED_VALUE"""),"Letter")</f>
        <v>Letter</v>
      </c>
    </row>
    <row r="2336" spans="1:10" ht="13" x14ac:dyDescent="0.15">
      <c r="A2336" s="4">
        <f ca="1">IFERROR(__xludf.DUMMYFUNCTION("""COMPUTED_VALUE"""),282035070)</f>
        <v>282035070</v>
      </c>
      <c r="B2336" s="1" t="str">
        <f ca="1">IFERROR(__xludf.DUMMYFUNCTION("""COMPUTED_VALUE"""),"h.masazumi7017@outlook.jp")</f>
        <v>h.masazumi7017@outlook.jp</v>
      </c>
      <c r="C2336" s="4" t="str">
        <f ca="1">IFERROR(__xludf.DUMMYFUNCTION("""COMPUTED_VALUE"""),"EVERGREEN - UAN Gated Content - Embedded Petition")</f>
        <v>EVERGREEN - UAN Gated Content - Embedded Petition</v>
      </c>
      <c r="D2336" s="5">
        <f ca="1">IFERROR(__xludf.DUMMYFUNCTION("""COMPUTED_VALUE"""),45685)</f>
        <v>45685</v>
      </c>
      <c r="F2336" s="1" t="str">
        <f ca="1">IFERROR(__xludf.DUMMYFUNCTION("""COMPUTED_VALUE"""),"USA")</f>
        <v>USA</v>
      </c>
      <c r="G2336" s="1" t="str">
        <f ca="1">IFERROR(__xludf.DUMMYFUNCTION("""COMPUTED_VALUE"""),"4.25 USA")</f>
        <v>4.25 USA</v>
      </c>
      <c r="H2336" s="1" t="str">
        <f ca="1">IFERROR(__xludf.DUMMYFUNCTION("""COMPUTED_VALUE"""),"Individuals At Risk, Refugee and Migrant Rights")</f>
        <v>Individuals At Risk, Refugee and Migrant Rights</v>
      </c>
      <c r="I2336" s="1" t="str">
        <f ca="1">IFERROR(__xludf.DUMMYFUNCTION("""COMPUTED_VALUE"""),"2025")</f>
        <v>2025</v>
      </c>
      <c r="J2336" s="1" t="str">
        <f ca="1">IFERROR(__xludf.DUMMYFUNCTION("""COMPUTED_VALUE"""),"Letter")</f>
        <v>Letter</v>
      </c>
    </row>
    <row r="2337" spans="1:10" ht="13" x14ac:dyDescent="0.15">
      <c r="A2337" s="4">
        <f ca="1">IFERROR(__xludf.DUMMYFUNCTION("""COMPUTED_VALUE"""),282035070)</f>
        <v>282035070</v>
      </c>
      <c r="B2337" s="1" t="str">
        <f ca="1">IFERROR(__xludf.DUMMYFUNCTION("""COMPUTED_VALUE"""),"h.masazumi7017@outlook.jp")</f>
        <v>h.masazumi7017@outlook.jp</v>
      </c>
      <c r="C2337" s="4" t="str">
        <f ca="1">IFERROR(__xludf.DUMMYFUNCTION("""COMPUTED_VALUE"""),"EVERGREEN - UAN Gated Content - Embedded Petition")</f>
        <v>EVERGREEN - UAN Gated Content - Embedded Petition</v>
      </c>
      <c r="D2337" s="5">
        <f ca="1">IFERROR(__xludf.DUMMYFUNCTION("""COMPUTED_VALUE"""),45685)</f>
        <v>45685</v>
      </c>
      <c r="F2337" s="1" t="str">
        <f ca="1">IFERROR(__xludf.DUMMYFUNCTION("""COMPUTED_VALUE"""),"USA")</f>
        <v>USA</v>
      </c>
      <c r="G2337" s="1" t="str">
        <f ca="1">IFERROR(__xludf.DUMMYFUNCTION("""COMPUTED_VALUE"""),"4.25 USA")</f>
        <v>4.25 USA</v>
      </c>
      <c r="H2337" s="1" t="str">
        <f ca="1">IFERROR(__xludf.DUMMYFUNCTION("""COMPUTED_VALUE"""),"Individuals At Risk, Refugee and Migrant Rights")</f>
        <v>Individuals At Risk, Refugee and Migrant Rights</v>
      </c>
      <c r="I2337" s="1" t="str">
        <f ca="1">IFERROR(__xludf.DUMMYFUNCTION("""COMPUTED_VALUE"""),"2025")</f>
        <v>2025</v>
      </c>
      <c r="J2337" s="1" t="str">
        <f ca="1">IFERROR(__xludf.DUMMYFUNCTION("""COMPUTED_VALUE"""),"Letter")</f>
        <v>Letter</v>
      </c>
    </row>
    <row r="2338" spans="1:10" ht="13" x14ac:dyDescent="0.15">
      <c r="A2338" s="4">
        <f ca="1">IFERROR(__xludf.DUMMYFUNCTION("""COMPUTED_VALUE"""),282035070)</f>
        <v>282035070</v>
      </c>
      <c r="B2338" s="1" t="str">
        <f ca="1">IFERROR(__xludf.DUMMYFUNCTION("""COMPUTED_VALUE"""),"h.masazumi7017@outlook.jp")</f>
        <v>h.masazumi7017@outlook.jp</v>
      </c>
      <c r="C2338" s="4" t="str">
        <f ca="1">IFERROR(__xludf.DUMMYFUNCTION("""COMPUTED_VALUE"""),"EVERGREEN - UAN Gated Content - Embedded Petition")</f>
        <v>EVERGREEN - UAN Gated Content - Embedded Petition</v>
      </c>
      <c r="D2338" s="5">
        <f ca="1">IFERROR(__xludf.DUMMYFUNCTION("""COMPUTED_VALUE"""),45685)</f>
        <v>45685</v>
      </c>
      <c r="F2338" s="1" t="str">
        <f ca="1">IFERROR(__xludf.DUMMYFUNCTION("""COMPUTED_VALUE"""),"USA")</f>
        <v>USA</v>
      </c>
      <c r="G2338" s="1" t="str">
        <f ca="1">IFERROR(__xludf.DUMMYFUNCTION("""COMPUTED_VALUE"""),"4.25 USA")</f>
        <v>4.25 USA</v>
      </c>
      <c r="H2338" s="1" t="str">
        <f ca="1">IFERROR(__xludf.DUMMYFUNCTION("""COMPUTED_VALUE"""),"Individuals At Risk, Refugee and Migrant Rights")</f>
        <v>Individuals At Risk, Refugee and Migrant Rights</v>
      </c>
      <c r="I2338" s="1" t="str">
        <f ca="1">IFERROR(__xludf.DUMMYFUNCTION("""COMPUTED_VALUE"""),"2025")</f>
        <v>2025</v>
      </c>
      <c r="J2338" s="1" t="str">
        <f ca="1">IFERROR(__xludf.DUMMYFUNCTION("""COMPUTED_VALUE"""),"Letter")</f>
        <v>Letter</v>
      </c>
    </row>
    <row r="2339" spans="1:10" ht="13" x14ac:dyDescent="0.15">
      <c r="A2339" s="4">
        <f ca="1">IFERROR(__xludf.DUMMYFUNCTION("""COMPUTED_VALUE"""),282035070)</f>
        <v>282035070</v>
      </c>
      <c r="B2339" s="1" t="str">
        <f ca="1">IFERROR(__xludf.DUMMYFUNCTION("""COMPUTED_VALUE"""),"h.masazumi7017@outlook.jp")</f>
        <v>h.masazumi7017@outlook.jp</v>
      </c>
      <c r="C2339" s="4" t="str">
        <f ca="1">IFERROR(__xludf.DUMMYFUNCTION("""COMPUTED_VALUE"""),"EVERGREEN - UAN Gated Content - Embedded Petition")</f>
        <v>EVERGREEN - UAN Gated Content - Embedded Petition</v>
      </c>
      <c r="D2339" s="5">
        <f ca="1">IFERROR(__xludf.DUMMYFUNCTION("""COMPUTED_VALUE"""),45671)</f>
        <v>45671</v>
      </c>
      <c r="F2339" s="1" t="str">
        <f ca="1">IFERROR(__xludf.DUMMYFUNCTION("""COMPUTED_VALUE"""),"USA")</f>
        <v>USA</v>
      </c>
      <c r="G2339" s="1" t="str">
        <f ca="1">IFERROR(__xludf.DUMMYFUNCTION("""COMPUTED_VALUE"""),"4.25 USA")</f>
        <v>4.25 USA</v>
      </c>
      <c r="H2339" s="1" t="str">
        <f ca="1">IFERROR(__xludf.DUMMYFUNCTION("""COMPUTED_VALUE"""),"Individuals At Risk, Refugee and Migrant Rights")</f>
        <v>Individuals At Risk, Refugee and Migrant Rights</v>
      </c>
      <c r="I2339" s="1" t="str">
        <f ca="1">IFERROR(__xludf.DUMMYFUNCTION("""COMPUTED_VALUE"""),"2025")</f>
        <v>2025</v>
      </c>
      <c r="J2339" s="1" t="str">
        <f ca="1">IFERROR(__xludf.DUMMYFUNCTION("""COMPUTED_VALUE"""),"Letter")</f>
        <v>Letter</v>
      </c>
    </row>
    <row r="2340" spans="1:10" ht="13" x14ac:dyDescent="0.15">
      <c r="A2340" s="4">
        <f ca="1">IFERROR(__xludf.DUMMYFUNCTION("""COMPUTED_VALUE"""),282035070)</f>
        <v>282035070</v>
      </c>
      <c r="B2340" s="1" t="str">
        <f ca="1">IFERROR(__xludf.DUMMYFUNCTION("""COMPUTED_VALUE"""),"h.masazumi7017@outlook.jp")</f>
        <v>h.masazumi7017@outlook.jp</v>
      </c>
      <c r="C2340" s="4" t="str">
        <f ca="1">IFERROR(__xludf.DUMMYFUNCTION("""COMPUTED_VALUE"""),"EVERGREEN - UAN Gated Content - Embedded Petition")</f>
        <v>EVERGREEN - UAN Gated Content - Embedded Petition</v>
      </c>
      <c r="D2340" s="5">
        <f ca="1">IFERROR(__xludf.DUMMYFUNCTION("""COMPUTED_VALUE"""),45671)</f>
        <v>45671</v>
      </c>
      <c r="F2340" s="1" t="str">
        <f ca="1">IFERROR(__xludf.DUMMYFUNCTION("""COMPUTED_VALUE"""),"USA")</f>
        <v>USA</v>
      </c>
      <c r="G2340" s="1" t="str">
        <f ca="1">IFERROR(__xludf.DUMMYFUNCTION("""COMPUTED_VALUE"""),"4.25 USA")</f>
        <v>4.25 USA</v>
      </c>
      <c r="H2340" s="1" t="str">
        <f ca="1">IFERROR(__xludf.DUMMYFUNCTION("""COMPUTED_VALUE"""),"Individuals At Risk, Refugee and Migrant Rights")</f>
        <v>Individuals At Risk, Refugee and Migrant Rights</v>
      </c>
      <c r="I2340" s="1" t="str">
        <f ca="1">IFERROR(__xludf.DUMMYFUNCTION("""COMPUTED_VALUE"""),"2025")</f>
        <v>2025</v>
      </c>
      <c r="J2340" s="1" t="str">
        <f ca="1">IFERROR(__xludf.DUMMYFUNCTION("""COMPUTED_VALUE"""),"Letter")</f>
        <v>Letter</v>
      </c>
    </row>
    <row r="2341" spans="1:10" ht="13" x14ac:dyDescent="0.15">
      <c r="A2341" s="4">
        <f ca="1">IFERROR(__xludf.DUMMYFUNCTION("""COMPUTED_VALUE"""),282035070)</f>
        <v>282035070</v>
      </c>
      <c r="B2341" s="1" t="str">
        <f ca="1">IFERROR(__xludf.DUMMYFUNCTION("""COMPUTED_VALUE"""),"h.masazumi7017@outlook.jp")</f>
        <v>h.masazumi7017@outlook.jp</v>
      </c>
      <c r="C2341" s="4" t="str">
        <f ca="1">IFERROR(__xludf.DUMMYFUNCTION("""COMPUTED_VALUE"""),"EVERGREEN - UAN Gated Content - Embedded Petition")</f>
        <v>EVERGREEN - UAN Gated Content - Embedded Petition</v>
      </c>
      <c r="D2341" s="5">
        <f ca="1">IFERROR(__xludf.DUMMYFUNCTION("""COMPUTED_VALUE"""),45671)</f>
        <v>45671</v>
      </c>
      <c r="F2341" s="1" t="str">
        <f ca="1">IFERROR(__xludf.DUMMYFUNCTION("""COMPUTED_VALUE"""),"USA")</f>
        <v>USA</v>
      </c>
      <c r="G2341" s="1" t="str">
        <f ca="1">IFERROR(__xludf.DUMMYFUNCTION("""COMPUTED_VALUE"""),"4.25 USA")</f>
        <v>4.25 USA</v>
      </c>
      <c r="H2341" s="1" t="str">
        <f ca="1">IFERROR(__xludf.DUMMYFUNCTION("""COMPUTED_VALUE"""),"Individuals At Risk, Refugee and Migrant Rights")</f>
        <v>Individuals At Risk, Refugee and Migrant Rights</v>
      </c>
      <c r="I2341" s="1" t="str">
        <f ca="1">IFERROR(__xludf.DUMMYFUNCTION("""COMPUTED_VALUE"""),"2025")</f>
        <v>2025</v>
      </c>
      <c r="J2341" s="1" t="str">
        <f ca="1">IFERROR(__xludf.DUMMYFUNCTION("""COMPUTED_VALUE"""),"Letter")</f>
        <v>Letter</v>
      </c>
    </row>
    <row r="2342" spans="1:10" ht="13" x14ac:dyDescent="0.15">
      <c r="A2342" s="4">
        <f ca="1">IFERROR(__xludf.DUMMYFUNCTION("""COMPUTED_VALUE"""),282035070)</f>
        <v>282035070</v>
      </c>
      <c r="B2342" s="1" t="str">
        <f ca="1">IFERROR(__xludf.DUMMYFUNCTION("""COMPUTED_VALUE"""),"h.masazumi7017@outlook.jp")</f>
        <v>h.masazumi7017@outlook.jp</v>
      </c>
      <c r="C2342" s="4" t="str">
        <f ca="1">IFERROR(__xludf.DUMMYFUNCTION("""COMPUTED_VALUE"""),"EVERGREEN - UAN Gated Content - Embedded Petition")</f>
        <v>EVERGREEN - UAN Gated Content - Embedded Petition</v>
      </c>
      <c r="D2342" s="5">
        <f ca="1">IFERROR(__xludf.DUMMYFUNCTION("""COMPUTED_VALUE"""),45671)</f>
        <v>45671</v>
      </c>
      <c r="F2342" s="1" t="str">
        <f ca="1">IFERROR(__xludf.DUMMYFUNCTION("""COMPUTED_VALUE"""),"USA")</f>
        <v>USA</v>
      </c>
      <c r="G2342" s="1" t="str">
        <f ca="1">IFERROR(__xludf.DUMMYFUNCTION("""COMPUTED_VALUE"""),"4.25 USA")</f>
        <v>4.25 USA</v>
      </c>
      <c r="H2342" s="1" t="str">
        <f ca="1">IFERROR(__xludf.DUMMYFUNCTION("""COMPUTED_VALUE"""),"Individuals At Risk, Refugee and Migrant Rights")</f>
        <v>Individuals At Risk, Refugee and Migrant Rights</v>
      </c>
      <c r="I2342" s="1" t="str">
        <f ca="1">IFERROR(__xludf.DUMMYFUNCTION("""COMPUTED_VALUE"""),"2025")</f>
        <v>2025</v>
      </c>
      <c r="J2342" s="1" t="str">
        <f ca="1">IFERROR(__xludf.DUMMYFUNCTION("""COMPUTED_VALUE"""),"Letter")</f>
        <v>Letter</v>
      </c>
    </row>
    <row r="2343" spans="1:10" ht="13" x14ac:dyDescent="0.15">
      <c r="A2343" s="4">
        <f ca="1">IFERROR(__xludf.DUMMYFUNCTION("""COMPUTED_VALUE"""),282035070)</f>
        <v>282035070</v>
      </c>
      <c r="B2343" s="1" t="str">
        <f ca="1">IFERROR(__xludf.DUMMYFUNCTION("""COMPUTED_VALUE"""),"h.masazumi7017@outlook.jp")</f>
        <v>h.masazumi7017@outlook.jp</v>
      </c>
      <c r="C2343" s="4" t="str">
        <f ca="1">IFERROR(__xludf.DUMMYFUNCTION("""COMPUTED_VALUE"""),"EVERGREEN - UAN Gated Content - Embedded Petition")</f>
        <v>EVERGREEN - UAN Gated Content - Embedded Petition</v>
      </c>
      <c r="D2343" s="5">
        <f ca="1">IFERROR(__xludf.DUMMYFUNCTION("""COMPUTED_VALUE"""),45671)</f>
        <v>45671</v>
      </c>
      <c r="F2343" s="1" t="str">
        <f ca="1">IFERROR(__xludf.DUMMYFUNCTION("""COMPUTED_VALUE"""),"USA")</f>
        <v>USA</v>
      </c>
      <c r="G2343" s="1" t="str">
        <f ca="1">IFERROR(__xludf.DUMMYFUNCTION("""COMPUTED_VALUE"""),"3.25 IOPT")</f>
        <v>3.25 IOPT</v>
      </c>
      <c r="H2343" s="1" t="str">
        <f ca="1">IFERROR(__xludf.DUMMYFUNCTION("""COMPUTED_VALUE"""),"Freedom of Expression, Individuals At Risk")</f>
        <v>Freedom of Expression, Individuals At Risk</v>
      </c>
      <c r="I2343" s="1" t="str">
        <f ca="1">IFERROR(__xludf.DUMMYFUNCTION("""COMPUTED_VALUE"""),"2025")</f>
        <v>2025</v>
      </c>
      <c r="J2343" s="1" t="str">
        <f ca="1">IFERROR(__xludf.DUMMYFUNCTION("""COMPUTED_VALUE"""),"Email")</f>
        <v>Email</v>
      </c>
    </row>
    <row r="2344" spans="1:10" ht="13" x14ac:dyDescent="0.15">
      <c r="A2344" s="4">
        <f ca="1">IFERROR(__xludf.DUMMYFUNCTION("""COMPUTED_VALUE"""),282035070)</f>
        <v>282035070</v>
      </c>
      <c r="B2344" s="1" t="str">
        <f ca="1">IFERROR(__xludf.DUMMYFUNCTION("""COMPUTED_VALUE"""),"h.masazumi7017@outlook.jp")</f>
        <v>h.masazumi7017@outlook.jp</v>
      </c>
      <c r="C2344" s="4" t="str">
        <f ca="1">IFERROR(__xludf.DUMMYFUNCTION("""COMPUTED_VALUE"""),"EVERGREEN - UAN Gated Content - Embedded Petition")</f>
        <v>EVERGREEN - UAN Gated Content - Embedded Petition</v>
      </c>
      <c r="D2344" s="5">
        <f ca="1">IFERROR(__xludf.DUMMYFUNCTION("""COMPUTED_VALUE"""),45672)</f>
        <v>45672</v>
      </c>
      <c r="F2344" s="1" t="str">
        <f ca="1">IFERROR(__xludf.DUMMYFUNCTION("""COMPUTED_VALUE"""),"Israel and Occupied Palestinian Territories")</f>
        <v>Israel and Occupied Palestinian Territories</v>
      </c>
      <c r="G2344" s="1" t="str">
        <f ca="1">IFERROR(__xludf.DUMMYFUNCTION("""COMPUTED_VALUE"""),"4.25 USA")</f>
        <v>4.25 USA</v>
      </c>
      <c r="H2344" s="1" t="str">
        <f ca="1">IFERROR(__xludf.DUMMYFUNCTION("""COMPUTED_VALUE"""),"Individuals At Risk, Refugee and Migrant Rights")</f>
        <v>Individuals At Risk, Refugee and Migrant Rights</v>
      </c>
      <c r="I2344" s="1" t="str">
        <f ca="1">IFERROR(__xludf.DUMMYFUNCTION("""COMPUTED_VALUE"""),"2025")</f>
        <v>2025</v>
      </c>
      <c r="J2344" s="1" t="str">
        <f ca="1">IFERROR(__xludf.DUMMYFUNCTION("""COMPUTED_VALUE"""),"Letter")</f>
        <v>Letter</v>
      </c>
    </row>
    <row r="2345" spans="1:10" ht="13" x14ac:dyDescent="0.15">
      <c r="A2345" s="4">
        <f ca="1">IFERROR(__xludf.DUMMYFUNCTION("""COMPUTED_VALUE"""),282035070)</f>
        <v>282035070</v>
      </c>
      <c r="B2345" s="1" t="str">
        <f ca="1">IFERROR(__xludf.DUMMYFUNCTION("""COMPUTED_VALUE"""),"h.masazumi7017@outlook.jp")</f>
        <v>h.masazumi7017@outlook.jp</v>
      </c>
      <c r="C2345" s="4" t="str">
        <f ca="1">IFERROR(__xludf.DUMMYFUNCTION("""COMPUTED_VALUE"""),"EVERGREEN - UAN Gated Content - Embedded Petition")</f>
        <v>EVERGREEN - UAN Gated Content - Embedded Petition</v>
      </c>
      <c r="D2345" s="5">
        <f ca="1">IFERROR(__xludf.DUMMYFUNCTION("""COMPUTED_VALUE"""),45663)</f>
        <v>45663</v>
      </c>
      <c r="F2345" s="1" t="str">
        <f ca="1">IFERROR(__xludf.DUMMYFUNCTION("""COMPUTED_VALUE"""),"USA")</f>
        <v>USA</v>
      </c>
      <c r="G2345" s="1" t="str">
        <f ca="1">IFERROR(__xludf.DUMMYFUNCTION("""COMPUTED_VALUE"""),"2.25 Azerbaijan")</f>
        <v>2.25 Azerbaijan</v>
      </c>
      <c r="H2345" s="1" t="str">
        <f ca="1">IFERROR(__xludf.DUMMYFUNCTION("""COMPUTED_VALUE"""),"Freedom of Expression, Human Rights Defenders")</f>
        <v>Freedom of Expression, Human Rights Defenders</v>
      </c>
      <c r="I2345" s="1" t="str">
        <f ca="1">IFERROR(__xludf.DUMMYFUNCTION("""COMPUTED_VALUE"""),"2025")</f>
        <v>2025</v>
      </c>
      <c r="J2345" s="1" t="str">
        <f ca="1">IFERROR(__xludf.DUMMYFUNCTION("""COMPUTED_VALUE"""),"Email")</f>
        <v>Email</v>
      </c>
    </row>
    <row r="2346" spans="1:10" ht="13" x14ac:dyDescent="0.15">
      <c r="A2346" s="4">
        <f ca="1">IFERROR(__xludf.DUMMYFUNCTION("""COMPUTED_VALUE"""),282035070)</f>
        <v>282035070</v>
      </c>
      <c r="B2346" s="1" t="str">
        <f ca="1">IFERROR(__xludf.DUMMYFUNCTION("""COMPUTED_VALUE"""),"h.masazumi7017@outlook.jp")</f>
        <v>h.masazumi7017@outlook.jp</v>
      </c>
      <c r="C2346" s="4" t="str">
        <f ca="1">IFERROR(__xludf.DUMMYFUNCTION("""COMPUTED_VALUE"""),"EVERGREEN - UAN Gated Content - Embedded Petition")</f>
        <v>EVERGREEN - UAN Gated Content - Embedded Petition</v>
      </c>
      <c r="D2346" s="5">
        <f ca="1">IFERROR(__xludf.DUMMYFUNCTION("""COMPUTED_VALUE"""),45663)</f>
        <v>45663</v>
      </c>
      <c r="F2346" s="1" t="str">
        <f ca="1">IFERROR(__xludf.DUMMYFUNCTION("""COMPUTED_VALUE"""),"Azerbaijan")</f>
        <v>Azerbaijan</v>
      </c>
      <c r="G2346" s="1" t="str">
        <f ca="1">IFERROR(__xludf.DUMMYFUNCTION("""COMPUTED_VALUE"""),"2.25 Azerbaijan")</f>
        <v>2.25 Azerbaijan</v>
      </c>
      <c r="H2346" s="1" t="str">
        <f ca="1">IFERROR(__xludf.DUMMYFUNCTION("""COMPUTED_VALUE"""),"Freedom of Expression, Human Rights Defenders")</f>
        <v>Freedom of Expression, Human Rights Defenders</v>
      </c>
      <c r="I2346" s="1" t="str">
        <f ca="1">IFERROR(__xludf.DUMMYFUNCTION("""COMPUTED_VALUE"""),"2025")</f>
        <v>2025</v>
      </c>
      <c r="J2346" s="1" t="str">
        <f ca="1">IFERROR(__xludf.DUMMYFUNCTION("""COMPUTED_VALUE"""),"Email")</f>
        <v>Email</v>
      </c>
    </row>
    <row r="2347" spans="1:10" ht="13" x14ac:dyDescent="0.15">
      <c r="A2347" s="4">
        <f ca="1">IFERROR(__xludf.DUMMYFUNCTION("""COMPUTED_VALUE"""),282035070)</f>
        <v>282035070</v>
      </c>
      <c r="B2347" s="1" t="str">
        <f ca="1">IFERROR(__xludf.DUMMYFUNCTION("""COMPUTED_VALUE"""),"h.masazumi7017@outlook.jp")</f>
        <v>h.masazumi7017@outlook.jp</v>
      </c>
      <c r="C2347" s="4" t="str">
        <f ca="1">IFERROR(__xludf.DUMMYFUNCTION("""COMPUTED_VALUE"""),"EVERGREEN - UAN Gated Content - Embedded Petition")</f>
        <v>EVERGREEN - UAN Gated Content - Embedded Petition</v>
      </c>
      <c r="D2347" s="5">
        <f ca="1">IFERROR(__xludf.DUMMYFUNCTION("""COMPUTED_VALUE"""),45663)</f>
        <v>45663</v>
      </c>
      <c r="F2347" s="1" t="str">
        <f ca="1">IFERROR(__xludf.DUMMYFUNCTION("""COMPUTED_VALUE"""),"Azerbaijan")</f>
        <v>Azerbaijan</v>
      </c>
      <c r="G2347" s="1" t="str">
        <f ca="1">IFERROR(__xludf.DUMMYFUNCTION("""COMPUTED_VALUE"""),"4.25 USA")</f>
        <v>4.25 USA</v>
      </c>
      <c r="H2347" s="1" t="str">
        <f ca="1">IFERROR(__xludf.DUMMYFUNCTION("""COMPUTED_VALUE"""),"Individuals At Risk, Refugee and Migrant Rights")</f>
        <v>Individuals At Risk, Refugee and Migrant Rights</v>
      </c>
      <c r="I2347" s="1" t="str">
        <f ca="1">IFERROR(__xludf.DUMMYFUNCTION("""COMPUTED_VALUE"""),"2025")</f>
        <v>2025</v>
      </c>
      <c r="J2347" s="1" t="str">
        <f ca="1">IFERROR(__xludf.DUMMYFUNCTION("""COMPUTED_VALUE"""),"Letter")</f>
        <v>Letter</v>
      </c>
    </row>
    <row r="2348" spans="1:10" ht="13" x14ac:dyDescent="0.15">
      <c r="A2348" s="4">
        <f ca="1">IFERROR(__xludf.DUMMYFUNCTION("""COMPUTED_VALUE"""),282035070)</f>
        <v>282035070</v>
      </c>
      <c r="B2348" s="1" t="str">
        <f ca="1">IFERROR(__xludf.DUMMYFUNCTION("""COMPUTED_VALUE"""),"h.masazumi7017@outlook.jp")</f>
        <v>h.masazumi7017@outlook.jp</v>
      </c>
      <c r="C2348" s="4" t="str">
        <f ca="1">IFERROR(__xludf.DUMMYFUNCTION("""COMPUTED_VALUE"""),"EVERGREEN - UAN Gated Content - Embedded Petition")</f>
        <v>EVERGREEN - UAN Gated Content - Embedded Petition</v>
      </c>
      <c r="D2348" s="5">
        <f ca="1">IFERROR(__xludf.DUMMYFUNCTION("""COMPUTED_VALUE"""),45663)</f>
        <v>45663</v>
      </c>
      <c r="F2348" s="1" t="str">
        <f ca="1">IFERROR(__xludf.DUMMYFUNCTION("""COMPUTED_VALUE"""),"USA")</f>
        <v>USA</v>
      </c>
      <c r="G2348" s="1" t="str">
        <f ca="1">IFERROR(__xludf.DUMMYFUNCTION("""COMPUTED_VALUE"""),"Second 76.24 Tunisia")</f>
        <v>Second 76.24 Tunisia</v>
      </c>
      <c r="H2348" s="1" t="str">
        <f ca="1">IFERROR(__xludf.DUMMYFUNCTION("""COMPUTED_VALUE"""),"Freedom of Expression, Human Rights Defenders")</f>
        <v>Freedom of Expression, Human Rights Defenders</v>
      </c>
      <c r="I2348" s="1" t="str">
        <f ca="1">IFERROR(__xludf.DUMMYFUNCTION("""COMPUTED_VALUE"""),"2025")</f>
        <v>2025</v>
      </c>
      <c r="J2348" s="1" t="str">
        <f ca="1">IFERROR(__xludf.DUMMYFUNCTION("""COMPUTED_VALUE"""),"Email")</f>
        <v>Email</v>
      </c>
    </row>
    <row r="2349" spans="1:10" ht="13" x14ac:dyDescent="0.15">
      <c r="A2349" s="4">
        <f ca="1">IFERROR(__xludf.DUMMYFUNCTION("""COMPUTED_VALUE"""),282035070)</f>
        <v>282035070</v>
      </c>
      <c r="B2349" s="1" t="str">
        <f ca="1">IFERROR(__xludf.DUMMYFUNCTION("""COMPUTED_VALUE"""),"h.masazumi7017@outlook.jp")</f>
        <v>h.masazumi7017@outlook.jp</v>
      </c>
      <c r="C2349" s="4" t="str">
        <f ca="1">IFERROR(__xludf.DUMMYFUNCTION("""COMPUTED_VALUE"""),"EVERGREEN - UAN Gated Content - Embedded Petition")</f>
        <v>EVERGREEN - UAN Gated Content - Embedded Petition</v>
      </c>
      <c r="D2349" s="5">
        <f ca="1">IFERROR(__xludf.DUMMYFUNCTION("""COMPUTED_VALUE"""),45663)</f>
        <v>45663</v>
      </c>
      <c r="F2349" s="1" t="str">
        <f ca="1">IFERROR(__xludf.DUMMYFUNCTION("""COMPUTED_VALUE"""),"Tunisia")</f>
        <v>Tunisia</v>
      </c>
      <c r="G2349" s="1" t="str">
        <f ca="1">IFERROR(__xludf.DUMMYFUNCTION("""COMPUTED_VALUE"""),"4.25 USA")</f>
        <v>4.25 USA</v>
      </c>
      <c r="H2349" s="1" t="str">
        <f ca="1">IFERROR(__xludf.DUMMYFUNCTION("""COMPUTED_VALUE"""),"Individuals At Risk, Refugee and Migrant Rights")</f>
        <v>Individuals At Risk, Refugee and Migrant Rights</v>
      </c>
      <c r="I2349" s="1" t="str">
        <f ca="1">IFERROR(__xludf.DUMMYFUNCTION("""COMPUTED_VALUE"""),"2025")</f>
        <v>2025</v>
      </c>
      <c r="J2349" s="1" t="str">
        <f ca="1">IFERROR(__xludf.DUMMYFUNCTION("""COMPUTED_VALUE"""),"Letter")</f>
        <v>Letter</v>
      </c>
    </row>
    <row r="2350" spans="1:10" ht="13" x14ac:dyDescent="0.15">
      <c r="A2350" s="4">
        <f ca="1">IFERROR(__xludf.DUMMYFUNCTION("""COMPUTED_VALUE"""),282035070)</f>
        <v>282035070</v>
      </c>
      <c r="B2350" s="1" t="str">
        <f ca="1">IFERROR(__xludf.DUMMYFUNCTION("""COMPUTED_VALUE"""),"h.masazumi7017@outlook.jp")</f>
        <v>h.masazumi7017@outlook.jp</v>
      </c>
      <c r="C2350" s="4" t="str">
        <f ca="1">IFERROR(__xludf.DUMMYFUNCTION("""COMPUTED_VALUE"""),"EVERGREEN - UAN Gated Content - Embedded Petition")</f>
        <v>EVERGREEN - UAN Gated Content - Embedded Petition</v>
      </c>
      <c r="D2350" s="5">
        <f ca="1">IFERROR(__xludf.DUMMYFUNCTION("""COMPUTED_VALUE"""),45663)</f>
        <v>45663</v>
      </c>
      <c r="F2350" s="1" t="str">
        <f ca="1">IFERROR(__xludf.DUMMYFUNCTION("""COMPUTED_VALUE"""),"USA")</f>
        <v>USA</v>
      </c>
      <c r="G2350" s="1" t="str">
        <f ca="1">IFERROR(__xludf.DUMMYFUNCTION("""COMPUTED_VALUE"""),"Second 76.24 Tunisia")</f>
        <v>Second 76.24 Tunisia</v>
      </c>
      <c r="H2350" s="1" t="str">
        <f ca="1">IFERROR(__xludf.DUMMYFUNCTION("""COMPUTED_VALUE"""),"Freedom of Expression, Human Rights Defenders")</f>
        <v>Freedom of Expression, Human Rights Defenders</v>
      </c>
      <c r="I2350" s="1" t="str">
        <f ca="1">IFERROR(__xludf.DUMMYFUNCTION("""COMPUTED_VALUE"""),"2025")</f>
        <v>2025</v>
      </c>
      <c r="J2350" s="1" t="str">
        <f ca="1">IFERROR(__xludf.DUMMYFUNCTION("""COMPUTED_VALUE"""),"Email")</f>
        <v>Email</v>
      </c>
    </row>
    <row r="2351" spans="1:10" ht="13" x14ac:dyDescent="0.15">
      <c r="A2351" s="4">
        <f ca="1">IFERROR(__xludf.DUMMYFUNCTION("""COMPUTED_VALUE"""),282434602)</f>
        <v>282434602</v>
      </c>
      <c r="B2351" s="1" t="str">
        <f ca="1">IFERROR(__xludf.DUMMYFUNCTION("""COMPUTED_VALUE"""),"timothy.g.caron@gmail.com")</f>
        <v>timothy.g.caron@gmail.com</v>
      </c>
      <c r="C2351" s="4" t="str">
        <f ca="1">IFERROR(__xludf.DUMMYFUNCTION("""COMPUTED_VALUE"""),"EVERGREEN - UAN Gated Content - Embedded Petition")</f>
        <v>EVERGREEN - UAN Gated Content - Embedded Petition</v>
      </c>
      <c r="D2351" s="5">
        <f ca="1">IFERROR(__xludf.DUMMYFUNCTION("""COMPUTED_VALUE"""),45673)</f>
        <v>45673</v>
      </c>
      <c r="F2351" s="1" t="str">
        <f ca="1">IFERROR(__xludf.DUMMYFUNCTION("""COMPUTED_VALUE"""),"Tunisia")</f>
        <v>Tunisia</v>
      </c>
      <c r="G2351" s="1" t="str">
        <f ca="1">IFERROR(__xludf.DUMMYFUNCTION("""COMPUTED_VALUE"""),"Second 76.24 Tunisia")</f>
        <v>Second 76.24 Tunisia</v>
      </c>
      <c r="H2351" s="1" t="str">
        <f ca="1">IFERROR(__xludf.DUMMYFUNCTION("""COMPUTED_VALUE"""),"Freedom of Expression, Human Rights Defenders")</f>
        <v>Freedom of Expression, Human Rights Defenders</v>
      </c>
      <c r="I2351" s="1" t="str">
        <f ca="1">IFERROR(__xludf.DUMMYFUNCTION("""COMPUTED_VALUE"""),"2025")</f>
        <v>2025</v>
      </c>
      <c r="J2351" s="1" t="str">
        <f ca="1">IFERROR(__xludf.DUMMYFUNCTION("""COMPUTED_VALUE"""),"Email")</f>
        <v>Email</v>
      </c>
    </row>
    <row r="2352" spans="1:10" ht="13" x14ac:dyDescent="0.15">
      <c r="A2352" s="4">
        <f ca="1">IFERROR(__xludf.DUMMYFUNCTION("""COMPUTED_VALUE"""),282509387)</f>
        <v>282509387</v>
      </c>
      <c r="B2352" s="1" t="str">
        <f ca="1">IFERROR(__xludf.DUMMYFUNCTION("""COMPUTED_VALUE"""),"hollyknouff@gmail.com")</f>
        <v>hollyknouff@gmail.com</v>
      </c>
      <c r="C2352" s="4" t="str">
        <f ca="1">IFERROR(__xludf.DUMMYFUNCTION("""COMPUTED_VALUE"""),"EVERGREEN - UAN Gated Content - Embedded Petition")</f>
        <v>EVERGREEN - UAN Gated Content - Embedded Petition</v>
      </c>
      <c r="D2352" s="5">
        <f ca="1">IFERROR(__xludf.DUMMYFUNCTION("""COMPUTED_VALUE"""),45680)</f>
        <v>45680</v>
      </c>
      <c r="F2352" s="1" t="str">
        <f ca="1">IFERROR(__xludf.DUMMYFUNCTION("""COMPUTED_VALUE"""),"Tunisia")</f>
        <v>Tunisia</v>
      </c>
      <c r="G2352" s="1" t="str">
        <f ca="1">IFERROR(__xludf.DUMMYFUNCTION("""COMPUTED_VALUE"""),"Second 76.24 Tunisia")</f>
        <v>Second 76.24 Tunisia</v>
      </c>
      <c r="H2352" s="1" t="str">
        <f ca="1">IFERROR(__xludf.DUMMYFUNCTION("""COMPUTED_VALUE"""),"Freedom of Expression, Human Rights Defenders")</f>
        <v>Freedom of Expression, Human Rights Defenders</v>
      </c>
      <c r="I2352" s="1" t="str">
        <f ca="1">IFERROR(__xludf.DUMMYFUNCTION("""COMPUTED_VALUE"""),"2025")</f>
        <v>2025</v>
      </c>
      <c r="J2352" s="1" t="str">
        <f ca="1">IFERROR(__xludf.DUMMYFUNCTION("""COMPUTED_VALUE"""),"Email")</f>
        <v>Email</v>
      </c>
    </row>
    <row r="2353" spans="1:10" ht="13" x14ac:dyDescent="0.15">
      <c r="A2353" s="4">
        <f ca="1">IFERROR(__xludf.DUMMYFUNCTION("""COMPUTED_VALUE"""),282718957)</f>
        <v>282718957</v>
      </c>
      <c r="B2353" s="1" t="str">
        <f ca="1">IFERROR(__xludf.DUMMYFUNCTION("""COMPUTED_VALUE"""),"lju.doutreleau@gmail.com")</f>
        <v>lju.doutreleau@gmail.com</v>
      </c>
      <c r="C2353" s="4" t="str">
        <f ca="1">IFERROR(__xludf.DUMMYFUNCTION("""COMPUTED_VALUE"""),"EVERGREEN - UAN Gated Content - Embedded Petition")</f>
        <v>EVERGREEN - UAN Gated Content - Embedded Petition</v>
      </c>
      <c r="D2353" s="5">
        <f ca="1">IFERROR(__xludf.DUMMYFUNCTION("""COMPUTED_VALUE"""),45678)</f>
        <v>45678</v>
      </c>
      <c r="F2353" s="1" t="str">
        <f ca="1">IFERROR(__xludf.DUMMYFUNCTION("""COMPUTED_VALUE"""),"Tunisia")</f>
        <v>Tunisia</v>
      </c>
      <c r="G2353" s="1" t="str">
        <f ca="1">IFERROR(__xludf.DUMMYFUNCTION("""COMPUTED_VALUE"""),"Second 76.24 Tunisia")</f>
        <v>Second 76.24 Tunisia</v>
      </c>
      <c r="H2353" s="1" t="str">
        <f ca="1">IFERROR(__xludf.DUMMYFUNCTION("""COMPUTED_VALUE"""),"Freedom of Expression, Human Rights Defenders")</f>
        <v>Freedom of Expression, Human Rights Defenders</v>
      </c>
      <c r="I2353" s="1" t="str">
        <f ca="1">IFERROR(__xludf.DUMMYFUNCTION("""COMPUTED_VALUE"""),"2025")</f>
        <v>2025</v>
      </c>
      <c r="J2353" s="1" t="str">
        <f ca="1">IFERROR(__xludf.DUMMYFUNCTION("""COMPUTED_VALUE"""),"Email")</f>
        <v>Email</v>
      </c>
    </row>
    <row r="2354" spans="1:10" ht="13" x14ac:dyDescent="0.15">
      <c r="A2354" s="4">
        <f ca="1">IFERROR(__xludf.DUMMYFUNCTION("""COMPUTED_VALUE"""),283125007)</f>
        <v>283125007</v>
      </c>
      <c r="B2354" s="1" t="str">
        <f ca="1">IFERROR(__xludf.DUMMYFUNCTION("""COMPUTED_VALUE"""),"kenngabcar@icloud.com")</f>
        <v>kenngabcar@icloud.com</v>
      </c>
      <c r="C2354" s="4" t="str">
        <f ca="1">IFERROR(__xludf.DUMMYFUNCTION("""COMPUTED_VALUE"""),"EVERGREEN - UAN Gated Content - Embedded Petition")</f>
        <v>EVERGREEN - UAN Gated Content - Embedded Petition</v>
      </c>
      <c r="D2354" s="5">
        <f ca="1">IFERROR(__xludf.DUMMYFUNCTION("""COMPUTED_VALUE"""),45665)</f>
        <v>45665</v>
      </c>
      <c r="F2354" s="1" t="str">
        <f ca="1">IFERROR(__xludf.DUMMYFUNCTION("""COMPUTED_VALUE"""),"Tunisia")</f>
        <v>Tunisia</v>
      </c>
      <c r="G2354" s="1" t="str">
        <f ca="1">IFERROR(__xludf.DUMMYFUNCTION("""COMPUTED_VALUE"""),"Second 76.24 Tunisia")</f>
        <v>Second 76.24 Tunisia</v>
      </c>
      <c r="H2354" s="1" t="str">
        <f ca="1">IFERROR(__xludf.DUMMYFUNCTION("""COMPUTED_VALUE"""),"Freedom of Expression, Human Rights Defenders")</f>
        <v>Freedom of Expression, Human Rights Defenders</v>
      </c>
      <c r="I2354" s="1" t="str">
        <f ca="1">IFERROR(__xludf.DUMMYFUNCTION("""COMPUTED_VALUE"""),"2025")</f>
        <v>2025</v>
      </c>
      <c r="J2354" s="1" t="str">
        <f ca="1">IFERROR(__xludf.DUMMYFUNCTION("""COMPUTED_VALUE"""),"Email")</f>
        <v>Email</v>
      </c>
    </row>
    <row r="2355" spans="1:10" ht="13" x14ac:dyDescent="0.15">
      <c r="A2355" s="4">
        <f ca="1">IFERROR(__xludf.DUMMYFUNCTION("""COMPUTED_VALUE"""),283183623)</f>
        <v>283183623</v>
      </c>
      <c r="B2355" s="1" t="str">
        <f ca="1">IFERROR(__xludf.DUMMYFUNCTION("""COMPUTED_VALUE"""),"sahiba.lal@gmail.com")</f>
        <v>sahiba.lal@gmail.com</v>
      </c>
      <c r="C2355" s="4" t="str">
        <f ca="1">IFERROR(__xludf.DUMMYFUNCTION("""COMPUTED_VALUE"""),"EVERGREEN - UAN Gated Content - Embedded Petition")</f>
        <v>EVERGREEN - UAN Gated Content - Embedded Petition</v>
      </c>
      <c r="D2355" s="5">
        <f ca="1">IFERROR(__xludf.DUMMYFUNCTION("""COMPUTED_VALUE"""),45671)</f>
        <v>45671</v>
      </c>
      <c r="F2355" s="1" t="str">
        <f ca="1">IFERROR(__xludf.DUMMYFUNCTION("""COMPUTED_VALUE"""),"Tunisia")</f>
        <v>Tunisia</v>
      </c>
      <c r="G2355" s="1" t="str">
        <f ca="1">IFERROR(__xludf.DUMMYFUNCTION("""COMPUTED_VALUE"""),"4.25 USA")</f>
        <v>4.25 USA</v>
      </c>
      <c r="H2355" s="1" t="str">
        <f ca="1">IFERROR(__xludf.DUMMYFUNCTION("""COMPUTED_VALUE"""),"Individuals At Risk, Refugee and Migrant Rights")</f>
        <v>Individuals At Risk, Refugee and Migrant Rights</v>
      </c>
      <c r="I2355" s="1" t="str">
        <f ca="1">IFERROR(__xludf.DUMMYFUNCTION("""COMPUTED_VALUE"""),"2025")</f>
        <v>2025</v>
      </c>
      <c r="J2355" s="1" t="str">
        <f ca="1">IFERROR(__xludf.DUMMYFUNCTION("""COMPUTED_VALUE"""),"Letter")</f>
        <v>Letter</v>
      </c>
    </row>
    <row r="2356" spans="1:10" ht="13" x14ac:dyDescent="0.15">
      <c r="A2356" s="4">
        <f ca="1">IFERROR(__xludf.DUMMYFUNCTION("""COMPUTED_VALUE"""),283238167)</f>
        <v>283238167</v>
      </c>
      <c r="B2356" s="1" t="str">
        <f ca="1">IFERROR(__xludf.DUMMYFUNCTION("""COMPUTED_VALUE"""),"rcadmaven@gmail.com")</f>
        <v>rcadmaven@gmail.com</v>
      </c>
      <c r="C2356" s="4" t="str">
        <f ca="1">IFERROR(__xludf.DUMMYFUNCTION("""COMPUTED_VALUE"""),"EVERGREEN - UAN Gated Content - Embedded Petition")</f>
        <v>EVERGREEN - UAN Gated Content - Embedded Petition</v>
      </c>
      <c r="D2356" s="5">
        <f ca="1">IFERROR(__xludf.DUMMYFUNCTION("""COMPUTED_VALUE"""),45616)</f>
        <v>45616</v>
      </c>
      <c r="F2356" s="1" t="str">
        <f ca="1">IFERROR(__xludf.DUMMYFUNCTION("""COMPUTED_VALUE"""),"USA")</f>
        <v>USA</v>
      </c>
      <c r="G2356" s="1" t="str">
        <f ca="1">IFERROR(__xludf.DUMMYFUNCTION("""COMPUTED_VALUE"""),"Second 76.24 Tunisia")</f>
        <v>Second 76.24 Tunisia</v>
      </c>
      <c r="H2356" s="1" t="str">
        <f ca="1">IFERROR(__xludf.DUMMYFUNCTION("""COMPUTED_VALUE"""),"Freedom of Expression, Human Rights Defenders")</f>
        <v>Freedom of Expression, Human Rights Defenders</v>
      </c>
      <c r="I2356" s="1" t="str">
        <f ca="1">IFERROR(__xludf.DUMMYFUNCTION("""COMPUTED_VALUE"""),"2025")</f>
        <v>2025</v>
      </c>
      <c r="J2356" s="1" t="str">
        <f ca="1">IFERROR(__xludf.DUMMYFUNCTION("""COMPUTED_VALUE"""),"Email")</f>
        <v>Email</v>
      </c>
    </row>
    <row r="2357" spans="1:10" ht="13" x14ac:dyDescent="0.15">
      <c r="A2357" s="4">
        <f ca="1">IFERROR(__xludf.DUMMYFUNCTION("""COMPUTED_VALUE"""),283238167)</f>
        <v>283238167</v>
      </c>
      <c r="B2357" s="1" t="str">
        <f ca="1">IFERROR(__xludf.DUMMYFUNCTION("""COMPUTED_VALUE"""),"rcadmaven@gmail.com")</f>
        <v>rcadmaven@gmail.com</v>
      </c>
      <c r="C2357" s="4" t="str">
        <f ca="1">IFERROR(__xludf.DUMMYFUNCTION("""COMPUTED_VALUE"""),"EVERGREEN - UAN Gated Content - Embedded Petition")</f>
        <v>EVERGREEN - UAN Gated Content - Embedded Petition</v>
      </c>
      <c r="D2357" s="5">
        <f ca="1">IFERROR(__xludf.DUMMYFUNCTION("""COMPUTED_VALUE"""),45616)</f>
        <v>45616</v>
      </c>
      <c r="F2357" s="1" t="str">
        <f ca="1">IFERROR(__xludf.DUMMYFUNCTION("""COMPUTED_VALUE"""),"Tunisia")</f>
        <v>Tunisia</v>
      </c>
      <c r="G2357" s="1" t="str">
        <f ca="1">IFERROR(__xludf.DUMMYFUNCTION("""COMPUTED_VALUE"""),"Third 73.23 Egypt")</f>
        <v>Third 73.23 Egypt</v>
      </c>
      <c r="H2357" s="1" t="str">
        <f ca="1">IFERROR(__xludf.DUMMYFUNCTION("""COMPUTED_VALUE"""),"Individuals At Risk")</f>
        <v>Individuals At Risk</v>
      </c>
      <c r="I2357" s="1" t="str">
        <f ca="1">IFERROR(__xludf.DUMMYFUNCTION("""COMPUTED_VALUE"""),"2024")</f>
        <v>2024</v>
      </c>
      <c r="J2357" s="1" t="str">
        <f ca="1">IFERROR(__xludf.DUMMYFUNCTION("""COMPUTED_VALUE"""),"Email")</f>
        <v>Email</v>
      </c>
    </row>
    <row r="2358" spans="1:10" ht="13" x14ac:dyDescent="0.15">
      <c r="A2358" s="4">
        <f ca="1">IFERROR(__xludf.DUMMYFUNCTION("""COMPUTED_VALUE"""),283238167)</f>
        <v>283238167</v>
      </c>
      <c r="B2358" s="1" t="str">
        <f ca="1">IFERROR(__xludf.DUMMYFUNCTION("""COMPUTED_VALUE"""),"rcadmaven@gmail.com")</f>
        <v>rcadmaven@gmail.com</v>
      </c>
      <c r="C2358" s="4" t="str">
        <f ca="1">IFERROR(__xludf.DUMMYFUNCTION("""COMPUTED_VALUE"""),"EVERGREEN - UAN Gated Content - Embedded Petition")</f>
        <v>EVERGREEN - UAN Gated Content - Embedded Petition</v>
      </c>
      <c r="D2358" s="5">
        <f ca="1">IFERROR(__xludf.DUMMYFUNCTION("""COMPUTED_VALUE"""),45636)</f>
        <v>45636</v>
      </c>
      <c r="F2358" s="1" t="str">
        <f ca="1">IFERROR(__xludf.DUMMYFUNCTION("""COMPUTED_VALUE"""),"Egypt")</f>
        <v>Egypt</v>
      </c>
      <c r="G2358" s="1" t="str">
        <f ca="1">IFERROR(__xludf.DUMMYFUNCTION("""COMPUTED_VALUE"""),"Second 76.24 Tunisia")</f>
        <v>Second 76.24 Tunisia</v>
      </c>
      <c r="H2358" s="1" t="str">
        <f ca="1">IFERROR(__xludf.DUMMYFUNCTION("""COMPUTED_VALUE"""),"Freedom of Expression, Human Rights Defenders")</f>
        <v>Freedom of Expression, Human Rights Defenders</v>
      </c>
      <c r="I2358" s="1" t="str">
        <f ca="1">IFERROR(__xludf.DUMMYFUNCTION("""COMPUTED_VALUE"""),"2025")</f>
        <v>2025</v>
      </c>
      <c r="J2358" s="1" t="str">
        <f ca="1">IFERROR(__xludf.DUMMYFUNCTION("""COMPUTED_VALUE"""),"Email")</f>
        <v>Email</v>
      </c>
    </row>
    <row r="2359" spans="1:10" ht="13" x14ac:dyDescent="0.15">
      <c r="A2359" s="4">
        <f ca="1">IFERROR(__xludf.DUMMYFUNCTION("""COMPUTED_VALUE"""),283238167)</f>
        <v>283238167</v>
      </c>
      <c r="B2359" s="1" t="str">
        <f ca="1">IFERROR(__xludf.DUMMYFUNCTION("""COMPUTED_VALUE"""),"rcadmaven@gmail.com")</f>
        <v>rcadmaven@gmail.com</v>
      </c>
      <c r="C2359" s="4" t="str">
        <f ca="1">IFERROR(__xludf.DUMMYFUNCTION("""COMPUTED_VALUE"""),"EVERGREEN - UAN Gated Content - Embedded Petition")</f>
        <v>EVERGREEN - UAN Gated Content - Embedded Petition</v>
      </c>
      <c r="D2359" s="5">
        <f ca="1">IFERROR(__xludf.DUMMYFUNCTION("""COMPUTED_VALUE"""),45636)</f>
        <v>45636</v>
      </c>
      <c r="F2359" s="1" t="str">
        <f ca="1">IFERROR(__xludf.DUMMYFUNCTION("""COMPUTED_VALUE"""),"Tunisia")</f>
        <v>Tunisia</v>
      </c>
      <c r="G2359" s="1" t="str">
        <f ca="1">IFERROR(__xludf.DUMMYFUNCTION("""COMPUTED_VALUE"""),"Second 76.24 Tunisia")</f>
        <v>Second 76.24 Tunisia</v>
      </c>
      <c r="H2359" s="1" t="str">
        <f ca="1">IFERROR(__xludf.DUMMYFUNCTION("""COMPUTED_VALUE"""),"Freedom of Expression, Human Rights Defenders")</f>
        <v>Freedom of Expression, Human Rights Defenders</v>
      </c>
      <c r="I2359" s="1" t="str">
        <f ca="1">IFERROR(__xludf.DUMMYFUNCTION("""COMPUTED_VALUE"""),"2025")</f>
        <v>2025</v>
      </c>
      <c r="J2359" s="1" t="str">
        <f ca="1">IFERROR(__xludf.DUMMYFUNCTION("""COMPUTED_VALUE"""),"Email")</f>
        <v>Email</v>
      </c>
    </row>
    <row r="2360" spans="1:10" ht="13" x14ac:dyDescent="0.15">
      <c r="A2360" s="4">
        <f ca="1">IFERROR(__xludf.DUMMYFUNCTION("""COMPUTED_VALUE"""),283238167)</f>
        <v>283238167</v>
      </c>
      <c r="B2360" s="1" t="str">
        <f ca="1">IFERROR(__xludf.DUMMYFUNCTION("""COMPUTED_VALUE"""),"rcadmaven@gmail.com")</f>
        <v>rcadmaven@gmail.com</v>
      </c>
      <c r="C2360" s="4" t="str">
        <f ca="1">IFERROR(__xludf.DUMMYFUNCTION("""COMPUTED_VALUE"""),"EVERGREEN - UAN Gated Content - Embedded Petition")</f>
        <v>EVERGREEN - UAN Gated Content - Embedded Petition</v>
      </c>
      <c r="D2360" s="5">
        <f ca="1">IFERROR(__xludf.DUMMYFUNCTION("""COMPUTED_VALUE"""),45636)</f>
        <v>45636</v>
      </c>
      <c r="F2360" s="1" t="str">
        <f ca="1">IFERROR(__xludf.DUMMYFUNCTION("""COMPUTED_VALUE"""),"Tunisia")</f>
        <v>Tunisia</v>
      </c>
      <c r="G2360" s="1" t="str">
        <f ca="1">IFERROR(__xludf.DUMMYFUNCTION("""COMPUTED_VALUE"""),"Second 76.24 Tunisia")</f>
        <v>Second 76.24 Tunisia</v>
      </c>
      <c r="H2360" s="1" t="str">
        <f ca="1">IFERROR(__xludf.DUMMYFUNCTION("""COMPUTED_VALUE"""),"Freedom of Expression, Human Rights Defenders")</f>
        <v>Freedom of Expression, Human Rights Defenders</v>
      </c>
      <c r="I2360" s="1" t="str">
        <f ca="1">IFERROR(__xludf.DUMMYFUNCTION("""COMPUTED_VALUE"""),"2025")</f>
        <v>2025</v>
      </c>
      <c r="J2360" s="1" t="str">
        <f ca="1">IFERROR(__xludf.DUMMYFUNCTION("""COMPUTED_VALUE"""),"Email")</f>
        <v>Email</v>
      </c>
    </row>
    <row r="2361" spans="1:10" ht="13" x14ac:dyDescent="0.15">
      <c r="A2361" s="4">
        <f ca="1">IFERROR(__xludf.DUMMYFUNCTION("""COMPUTED_VALUE"""),283238167)</f>
        <v>283238167</v>
      </c>
      <c r="B2361" s="1" t="str">
        <f ca="1">IFERROR(__xludf.DUMMYFUNCTION("""COMPUTED_VALUE"""),"rcadmaven@gmail.com")</f>
        <v>rcadmaven@gmail.com</v>
      </c>
      <c r="C2361" s="4" t="str">
        <f ca="1">IFERROR(__xludf.DUMMYFUNCTION("""COMPUTED_VALUE"""),"EVERGREEN - UAN Gated Content - Embedded Petition")</f>
        <v>EVERGREEN - UAN Gated Content - Embedded Petition</v>
      </c>
      <c r="D2361" s="5">
        <f ca="1">IFERROR(__xludf.DUMMYFUNCTION("""COMPUTED_VALUE"""),45636)</f>
        <v>45636</v>
      </c>
      <c r="F2361" s="1" t="str">
        <f ca="1">IFERROR(__xludf.DUMMYFUNCTION("""COMPUTED_VALUE"""),"Tunisia")</f>
        <v>Tunisia</v>
      </c>
      <c r="G2361" s="1" t="str">
        <f ca="1">IFERROR(__xludf.DUMMYFUNCTION("""COMPUTED_VALUE"""),"4.25 USA")</f>
        <v>4.25 USA</v>
      </c>
      <c r="H2361" s="1" t="str">
        <f ca="1">IFERROR(__xludf.DUMMYFUNCTION("""COMPUTED_VALUE"""),"Individuals At Risk, Refugee and Migrant Rights")</f>
        <v>Individuals At Risk, Refugee and Migrant Rights</v>
      </c>
      <c r="I2361" s="1" t="str">
        <f ca="1">IFERROR(__xludf.DUMMYFUNCTION("""COMPUTED_VALUE"""),"2025")</f>
        <v>2025</v>
      </c>
      <c r="J2361" s="1" t="str">
        <f ca="1">IFERROR(__xludf.DUMMYFUNCTION("""COMPUTED_VALUE"""),"Letter")</f>
        <v>Letter</v>
      </c>
    </row>
    <row r="2362" spans="1:10" ht="13" x14ac:dyDescent="0.15">
      <c r="A2362" s="4">
        <f ca="1">IFERROR(__xludf.DUMMYFUNCTION("""COMPUTED_VALUE"""),283484324)</f>
        <v>283484324</v>
      </c>
      <c r="B2362" s="1" t="str">
        <f ca="1">IFERROR(__xludf.DUMMYFUNCTION("""COMPUTED_VALUE"""),"67733@sunprairieschools.org")</f>
        <v>67733@sunprairieschools.org</v>
      </c>
      <c r="C2362" s="4" t="str">
        <f ca="1">IFERROR(__xludf.DUMMYFUNCTION("""COMPUTED_VALUE"""),"EVERGREEN - UAN Gated Content - Embedded Petition")</f>
        <v>EVERGREEN - UAN Gated Content - Embedded Petition</v>
      </c>
      <c r="D2362" s="5">
        <f ca="1">IFERROR(__xludf.DUMMYFUNCTION("""COMPUTED_VALUE"""),45663)</f>
        <v>45663</v>
      </c>
      <c r="F2362" s="1" t="str">
        <f ca="1">IFERROR(__xludf.DUMMYFUNCTION("""COMPUTED_VALUE"""),"USA")</f>
        <v>USA</v>
      </c>
      <c r="G2362" s="1" t="str">
        <f ca="1">IFERROR(__xludf.DUMMYFUNCTION("""COMPUTED_VALUE"""),"4.25 USA")</f>
        <v>4.25 USA</v>
      </c>
      <c r="H2362" s="1" t="str">
        <f ca="1">IFERROR(__xludf.DUMMYFUNCTION("""COMPUTED_VALUE"""),"Individuals At Risk, Refugee and Migrant Rights")</f>
        <v>Individuals At Risk, Refugee and Migrant Rights</v>
      </c>
      <c r="I2362" s="1" t="str">
        <f ca="1">IFERROR(__xludf.DUMMYFUNCTION("""COMPUTED_VALUE"""),"2025")</f>
        <v>2025</v>
      </c>
      <c r="J2362" s="1" t="str">
        <f ca="1">IFERROR(__xludf.DUMMYFUNCTION("""COMPUTED_VALUE"""),"Letter")</f>
        <v>Letter</v>
      </c>
    </row>
    <row r="2363" spans="1:10" ht="13" x14ac:dyDescent="0.15">
      <c r="A2363" s="4">
        <f ca="1">IFERROR(__xludf.DUMMYFUNCTION("""COMPUTED_VALUE"""),283484324)</f>
        <v>283484324</v>
      </c>
      <c r="B2363" s="1" t="str">
        <f ca="1">IFERROR(__xludf.DUMMYFUNCTION("""COMPUTED_VALUE"""),"67733@sunprairieschools.org")</f>
        <v>67733@sunprairieschools.org</v>
      </c>
      <c r="C2363" s="4" t="str">
        <f ca="1">IFERROR(__xludf.DUMMYFUNCTION("""COMPUTED_VALUE"""),"EVERGREEN - UAN Gated Content - Embedded Petition")</f>
        <v>EVERGREEN - UAN Gated Content - Embedded Petition</v>
      </c>
      <c r="D2363" s="5">
        <f ca="1">IFERROR(__xludf.DUMMYFUNCTION("""COMPUTED_VALUE"""),45706)</f>
        <v>45706</v>
      </c>
      <c r="F2363" s="1" t="str">
        <f ca="1">IFERROR(__xludf.DUMMYFUNCTION("""COMPUTED_VALUE"""),"USA")</f>
        <v>USA</v>
      </c>
      <c r="G2363" s="1" t="str">
        <f ca="1">IFERROR(__xludf.DUMMYFUNCTION("""COMPUTED_VALUE"""),"Second 80.23 Egypt")</f>
        <v>Second 80.23 Egypt</v>
      </c>
      <c r="H2363" s="1" t="str">
        <f ca="1">IFERROR(__xludf.DUMMYFUNCTION("""COMPUTED_VALUE"""),"Health, Individuals At Risk")</f>
        <v>Health, Individuals At Risk</v>
      </c>
      <c r="I2363" s="1" t="str">
        <f ca="1">IFERROR(__xludf.DUMMYFUNCTION("""COMPUTED_VALUE"""),"2025")</f>
        <v>2025</v>
      </c>
      <c r="J2363" s="1" t="str">
        <f ca="1">IFERROR(__xludf.DUMMYFUNCTION("""COMPUTED_VALUE"""),"Email")</f>
        <v>Email</v>
      </c>
    </row>
    <row r="2364" spans="1:10" ht="13" x14ac:dyDescent="0.15">
      <c r="A2364" s="4">
        <f ca="1">IFERROR(__xludf.DUMMYFUNCTION("""COMPUTED_VALUE"""),283484324)</f>
        <v>283484324</v>
      </c>
      <c r="B2364" s="1" t="str">
        <f ca="1">IFERROR(__xludf.DUMMYFUNCTION("""COMPUTED_VALUE"""),"67733@sunprairieschools.org")</f>
        <v>67733@sunprairieschools.org</v>
      </c>
      <c r="C2364" s="4" t="str">
        <f ca="1">IFERROR(__xludf.DUMMYFUNCTION("""COMPUTED_VALUE"""),"EVERGREEN - UAN Gated Content - Embedded Petition")</f>
        <v>EVERGREEN - UAN Gated Content - Embedded Petition</v>
      </c>
      <c r="D2364" s="5">
        <f ca="1">IFERROR(__xludf.DUMMYFUNCTION("""COMPUTED_VALUE"""),45699)</f>
        <v>45699</v>
      </c>
      <c r="F2364" s="1" t="str">
        <f ca="1">IFERROR(__xludf.DUMMYFUNCTION("""COMPUTED_VALUE"""),"Egypt")</f>
        <v>Egypt</v>
      </c>
      <c r="G2364" s="1" t="str">
        <f ca="1">IFERROR(__xludf.DUMMYFUNCTION("""COMPUTED_VALUE"""),"10.25 Iran")</f>
        <v>10.25 Iran</v>
      </c>
      <c r="H2364" s="1" t="str">
        <f ca="1">IFERROR(__xludf.DUMMYFUNCTION("""COMPUTED_VALUE"""),"Death Penalty, Individuals At Risk")</f>
        <v>Death Penalty, Individuals At Risk</v>
      </c>
      <c r="I2364" s="1" t="str">
        <f ca="1">IFERROR(__xludf.DUMMYFUNCTION("""COMPUTED_VALUE"""),"2025")</f>
        <v>2025</v>
      </c>
      <c r="J2364" s="1" t="str">
        <f ca="1">IFERROR(__xludf.DUMMYFUNCTION("""COMPUTED_VALUE"""),"Email")</f>
        <v>Email</v>
      </c>
    </row>
    <row r="2365" spans="1:10" ht="13" x14ac:dyDescent="0.15">
      <c r="A2365" s="4">
        <f ca="1">IFERROR(__xludf.DUMMYFUNCTION("""COMPUTED_VALUE"""),283484324)</f>
        <v>283484324</v>
      </c>
      <c r="B2365" s="1" t="str">
        <f ca="1">IFERROR(__xludf.DUMMYFUNCTION("""COMPUTED_VALUE"""),"67733@sunprairieschools.org")</f>
        <v>67733@sunprairieschools.org</v>
      </c>
      <c r="C2365" s="4" t="str">
        <f ca="1">IFERROR(__xludf.DUMMYFUNCTION("""COMPUTED_VALUE"""),"EVERGREEN - UAN Gated Content - Embedded Petition")</f>
        <v>EVERGREEN - UAN Gated Content - Embedded Petition</v>
      </c>
      <c r="D2365" s="5">
        <f ca="1">IFERROR(__xludf.DUMMYFUNCTION("""COMPUTED_VALUE"""),45691)</f>
        <v>45691</v>
      </c>
      <c r="F2365" s="1" t="str">
        <f ca="1">IFERROR(__xludf.DUMMYFUNCTION("""COMPUTED_VALUE"""),"Iran")</f>
        <v>Iran</v>
      </c>
      <c r="G2365" s="1" t="str">
        <f ca="1">IFERROR(__xludf.DUMMYFUNCTION("""COMPUTED_VALUE"""),"10.25 Iran")</f>
        <v>10.25 Iran</v>
      </c>
      <c r="H2365" s="1" t="str">
        <f ca="1">IFERROR(__xludf.DUMMYFUNCTION("""COMPUTED_VALUE"""),"Death Penalty, Individuals At Risk")</f>
        <v>Death Penalty, Individuals At Risk</v>
      </c>
      <c r="I2365" s="1" t="str">
        <f ca="1">IFERROR(__xludf.DUMMYFUNCTION("""COMPUTED_VALUE"""),"2025")</f>
        <v>2025</v>
      </c>
      <c r="J2365" s="1" t="str">
        <f ca="1">IFERROR(__xludf.DUMMYFUNCTION("""COMPUTED_VALUE"""),"Email")</f>
        <v>Email</v>
      </c>
    </row>
    <row r="2366" spans="1:10" ht="13" x14ac:dyDescent="0.15">
      <c r="A2366" s="4">
        <f ca="1">IFERROR(__xludf.DUMMYFUNCTION("""COMPUTED_VALUE"""),283484324)</f>
        <v>283484324</v>
      </c>
      <c r="B2366" s="1" t="str">
        <f ca="1">IFERROR(__xludf.DUMMYFUNCTION("""COMPUTED_VALUE"""),"67733@sunprairieschools.org")</f>
        <v>67733@sunprairieschools.org</v>
      </c>
      <c r="C2366" s="4" t="str">
        <f ca="1">IFERROR(__xludf.DUMMYFUNCTION("""COMPUTED_VALUE"""),"EVERGREEN - UAN Gated Content - Embedded Petition")</f>
        <v>EVERGREEN - UAN Gated Content - Embedded Petition</v>
      </c>
      <c r="D2366" s="5">
        <f ca="1">IFERROR(__xludf.DUMMYFUNCTION("""COMPUTED_VALUE"""),45678)</f>
        <v>45678</v>
      </c>
      <c r="F2366" s="1" t="str">
        <f ca="1">IFERROR(__xludf.DUMMYFUNCTION("""COMPUTED_VALUE"""),"Iran")</f>
        <v>Iran</v>
      </c>
      <c r="G2366" s="1" t="str">
        <f ca="1">IFERROR(__xludf.DUMMYFUNCTION("""COMPUTED_VALUE"""),"Second 80.23 Egypt")</f>
        <v>Second 80.23 Egypt</v>
      </c>
      <c r="H2366" s="1" t="str">
        <f ca="1">IFERROR(__xludf.DUMMYFUNCTION("""COMPUTED_VALUE"""),"Health, Individuals At Risk")</f>
        <v>Health, Individuals At Risk</v>
      </c>
      <c r="I2366" s="1" t="str">
        <f ca="1">IFERROR(__xludf.DUMMYFUNCTION("""COMPUTED_VALUE"""),"2025")</f>
        <v>2025</v>
      </c>
      <c r="J2366" s="1" t="str">
        <f ca="1">IFERROR(__xludf.DUMMYFUNCTION("""COMPUTED_VALUE"""),"Email")</f>
        <v>Email</v>
      </c>
    </row>
    <row r="2367" spans="1:10" ht="13" x14ac:dyDescent="0.15">
      <c r="A2367" s="4">
        <f ca="1">IFERROR(__xludf.DUMMYFUNCTION("""COMPUTED_VALUE"""),283484324)</f>
        <v>283484324</v>
      </c>
      <c r="B2367" s="1" t="str">
        <f ca="1">IFERROR(__xludf.DUMMYFUNCTION("""COMPUTED_VALUE"""),"67733@sunprairieschools.org")</f>
        <v>67733@sunprairieschools.org</v>
      </c>
      <c r="C2367" s="4" t="str">
        <f ca="1">IFERROR(__xludf.DUMMYFUNCTION("""COMPUTED_VALUE"""),"EVERGREEN - UAN Gated Content - Embedded Petition")</f>
        <v>EVERGREEN - UAN Gated Content - Embedded Petition</v>
      </c>
      <c r="D2367" s="5">
        <f ca="1">IFERROR(__xludf.DUMMYFUNCTION("""COMPUTED_VALUE"""),45615)</f>
        <v>45615</v>
      </c>
      <c r="F2367" s="1" t="str">
        <f ca="1">IFERROR(__xludf.DUMMYFUNCTION("""COMPUTED_VALUE"""),"Egypt")</f>
        <v>Egypt</v>
      </c>
      <c r="G2367" s="1" t="str">
        <f ca="1">IFERROR(__xludf.DUMMYFUNCTION("""COMPUTED_VALUE"""),"Second 80.23 Egypt")</f>
        <v>Second 80.23 Egypt</v>
      </c>
      <c r="H2367" s="1" t="str">
        <f ca="1">IFERROR(__xludf.DUMMYFUNCTION("""COMPUTED_VALUE"""),"Health, Individuals At Risk")</f>
        <v>Health, Individuals At Risk</v>
      </c>
      <c r="I2367" s="1" t="str">
        <f ca="1">IFERROR(__xludf.DUMMYFUNCTION("""COMPUTED_VALUE"""),"2025")</f>
        <v>2025</v>
      </c>
      <c r="J2367" s="1" t="str">
        <f ca="1">IFERROR(__xludf.DUMMYFUNCTION("""COMPUTED_VALUE"""),"Email")</f>
        <v>Email</v>
      </c>
    </row>
    <row r="2368" spans="1:10" ht="13" x14ac:dyDescent="0.15">
      <c r="A2368" s="4">
        <f ca="1">IFERROR(__xludf.DUMMYFUNCTION("""COMPUTED_VALUE"""),283484324)</f>
        <v>283484324</v>
      </c>
      <c r="B2368" s="1" t="str">
        <f ca="1">IFERROR(__xludf.DUMMYFUNCTION("""COMPUTED_VALUE"""),"67733@sunprairieschools.org")</f>
        <v>67733@sunprairieschools.org</v>
      </c>
      <c r="C2368" s="4" t="str">
        <f ca="1">IFERROR(__xludf.DUMMYFUNCTION("""COMPUTED_VALUE"""),"EVERGREEN - UAN Gated Content - Embedded Petition")</f>
        <v>EVERGREEN - UAN Gated Content - Embedded Petition</v>
      </c>
      <c r="D2368" s="5">
        <f ca="1">IFERROR(__xludf.DUMMYFUNCTION("""COMPUTED_VALUE"""),45706)</f>
        <v>45706</v>
      </c>
      <c r="F2368" s="1" t="str">
        <f ca="1">IFERROR(__xludf.DUMMYFUNCTION("""COMPUTED_VALUE"""),"Egypt")</f>
        <v>Egypt</v>
      </c>
      <c r="G2368" s="1" t="str">
        <f ca="1">IFERROR(__xludf.DUMMYFUNCTION("""COMPUTED_VALUE"""),"10.25 Iran")</f>
        <v>10.25 Iran</v>
      </c>
      <c r="H2368" s="1" t="str">
        <f ca="1">IFERROR(__xludf.DUMMYFUNCTION("""COMPUTED_VALUE"""),"Death Penalty, Individuals At Risk")</f>
        <v>Death Penalty, Individuals At Risk</v>
      </c>
      <c r="I2368" s="1" t="str">
        <f ca="1">IFERROR(__xludf.DUMMYFUNCTION("""COMPUTED_VALUE"""),"2025")</f>
        <v>2025</v>
      </c>
      <c r="J2368" s="1" t="str">
        <f ca="1">IFERROR(__xludf.DUMMYFUNCTION("""COMPUTED_VALUE"""),"Email")</f>
        <v>Email</v>
      </c>
    </row>
    <row r="2369" spans="1:10" ht="13" x14ac:dyDescent="0.15">
      <c r="A2369" s="4">
        <f ca="1">IFERROR(__xludf.DUMMYFUNCTION("""COMPUTED_VALUE"""),283484324)</f>
        <v>283484324</v>
      </c>
      <c r="B2369" s="1" t="str">
        <f ca="1">IFERROR(__xludf.DUMMYFUNCTION("""COMPUTED_VALUE"""),"67733@sunprairieschools.org")</f>
        <v>67733@sunprairieschools.org</v>
      </c>
      <c r="C2369" s="4" t="str">
        <f ca="1">IFERROR(__xludf.DUMMYFUNCTION("""COMPUTED_VALUE"""),"EVERGREEN - UAN Gated Content - Embedded Petition")</f>
        <v>EVERGREEN - UAN Gated Content - Embedded Petition</v>
      </c>
      <c r="D2369" s="5">
        <f ca="1">IFERROR(__xludf.DUMMYFUNCTION("""COMPUTED_VALUE"""),45671)</f>
        <v>45671</v>
      </c>
      <c r="F2369" s="1" t="str">
        <f ca="1">IFERROR(__xludf.DUMMYFUNCTION("""COMPUTED_VALUE"""),"Iran")</f>
        <v>Iran</v>
      </c>
      <c r="G2369" s="1" t="str">
        <f ca="1">IFERROR(__xludf.DUMMYFUNCTION("""COMPUTED_VALUE"""),"10.25 Iran")</f>
        <v>10.25 Iran</v>
      </c>
      <c r="H2369" s="1" t="str">
        <f ca="1">IFERROR(__xludf.DUMMYFUNCTION("""COMPUTED_VALUE"""),"Death Penalty, Individuals At Risk")</f>
        <v>Death Penalty, Individuals At Risk</v>
      </c>
      <c r="I2369" s="1" t="str">
        <f ca="1">IFERROR(__xludf.DUMMYFUNCTION("""COMPUTED_VALUE"""),"2025")</f>
        <v>2025</v>
      </c>
      <c r="J2369" s="1" t="str">
        <f ca="1">IFERROR(__xludf.DUMMYFUNCTION("""COMPUTED_VALUE"""),"Email")</f>
        <v>Email</v>
      </c>
    </row>
    <row r="2370" spans="1:10" ht="13" x14ac:dyDescent="0.15">
      <c r="A2370" s="4">
        <f ca="1">IFERROR(__xludf.DUMMYFUNCTION("""COMPUTED_VALUE"""),283484324)</f>
        <v>283484324</v>
      </c>
      <c r="B2370" s="1" t="str">
        <f ca="1">IFERROR(__xludf.DUMMYFUNCTION("""COMPUTED_VALUE"""),"67733@sunprairieschools.org")</f>
        <v>67733@sunprairieschools.org</v>
      </c>
      <c r="C2370" s="4" t="str">
        <f ca="1">IFERROR(__xludf.DUMMYFUNCTION("""COMPUTED_VALUE"""),"EVERGREEN - UAN Gated Content - Embedded Petition")</f>
        <v>EVERGREEN - UAN Gated Content - Embedded Petition</v>
      </c>
      <c r="D2370" s="5">
        <f ca="1">IFERROR(__xludf.DUMMYFUNCTION("""COMPUTED_VALUE"""),45642)</f>
        <v>45642</v>
      </c>
      <c r="F2370" s="1" t="str">
        <f ca="1">IFERROR(__xludf.DUMMYFUNCTION("""COMPUTED_VALUE"""),"Iran")</f>
        <v>Iran</v>
      </c>
      <c r="G2370" s="1" t="str">
        <f ca="1">IFERROR(__xludf.DUMMYFUNCTION("""COMPUTED_VALUE"""),"Second 80.23 Egypt")</f>
        <v>Second 80.23 Egypt</v>
      </c>
      <c r="H2370" s="1" t="str">
        <f ca="1">IFERROR(__xludf.DUMMYFUNCTION("""COMPUTED_VALUE"""),"Health, Individuals At Risk")</f>
        <v>Health, Individuals At Risk</v>
      </c>
      <c r="I2370" s="1" t="str">
        <f ca="1">IFERROR(__xludf.DUMMYFUNCTION("""COMPUTED_VALUE"""),"2025")</f>
        <v>2025</v>
      </c>
      <c r="J2370" s="1" t="str">
        <f ca="1">IFERROR(__xludf.DUMMYFUNCTION("""COMPUTED_VALUE"""),"Email")</f>
        <v>Email</v>
      </c>
    </row>
    <row r="2371" spans="1:10" ht="13" x14ac:dyDescent="0.15">
      <c r="A2371" s="4">
        <f ca="1">IFERROR(__xludf.DUMMYFUNCTION("""COMPUTED_VALUE"""),283484324)</f>
        <v>283484324</v>
      </c>
      <c r="B2371" s="1" t="str">
        <f ca="1">IFERROR(__xludf.DUMMYFUNCTION("""COMPUTED_VALUE"""),"67733@sunprairieschools.org")</f>
        <v>67733@sunprairieschools.org</v>
      </c>
      <c r="C2371" s="4" t="str">
        <f ca="1">IFERROR(__xludf.DUMMYFUNCTION("""COMPUTED_VALUE"""),"EVERGREEN - UAN Gated Content - Embedded Petition")</f>
        <v>EVERGREEN - UAN Gated Content - Embedded Petition</v>
      </c>
      <c r="D2371" s="5">
        <f ca="1">IFERROR(__xludf.DUMMYFUNCTION("""COMPUTED_VALUE"""),45706)</f>
        <v>45706</v>
      </c>
      <c r="F2371" s="1" t="str">
        <f ca="1">IFERROR(__xludf.DUMMYFUNCTION("""COMPUTED_VALUE"""),"Egypt")</f>
        <v>Egypt</v>
      </c>
      <c r="G2371" s="1" t="str">
        <f ca="1">IFERROR(__xludf.DUMMYFUNCTION("""COMPUTED_VALUE"""),"Second 80.23 Egypt")</f>
        <v>Second 80.23 Egypt</v>
      </c>
      <c r="H2371" s="1" t="str">
        <f ca="1">IFERROR(__xludf.DUMMYFUNCTION("""COMPUTED_VALUE"""),"Health, Individuals At Risk")</f>
        <v>Health, Individuals At Risk</v>
      </c>
      <c r="I2371" s="1" t="str">
        <f ca="1">IFERROR(__xludf.DUMMYFUNCTION("""COMPUTED_VALUE"""),"2025")</f>
        <v>2025</v>
      </c>
      <c r="J2371" s="1" t="str">
        <f ca="1">IFERROR(__xludf.DUMMYFUNCTION("""COMPUTED_VALUE"""),"Email")</f>
        <v>Email</v>
      </c>
    </row>
    <row r="2372" spans="1:10" ht="13" x14ac:dyDescent="0.15">
      <c r="A2372" s="4">
        <f ca="1">IFERROR(__xludf.DUMMYFUNCTION("""COMPUTED_VALUE"""),283520340)</f>
        <v>283520340</v>
      </c>
      <c r="B2372" s="1" t="str">
        <f ca="1">IFERROR(__xludf.DUMMYFUNCTION("""COMPUTED_VALUE"""),"stephintolove@gmail.com")</f>
        <v>stephintolove@gmail.com</v>
      </c>
      <c r="C2372" s="4" t="str">
        <f ca="1">IFERROR(__xludf.DUMMYFUNCTION("""COMPUTED_VALUE"""),"EVERGREEN - UAN Gated Content - Embedded Petition")</f>
        <v>EVERGREEN - UAN Gated Content - Embedded Petition</v>
      </c>
      <c r="D2372" s="5">
        <f ca="1">IFERROR(__xludf.DUMMYFUNCTION("""COMPUTED_VALUE"""),45673)</f>
        <v>45673</v>
      </c>
      <c r="F2372" s="1" t="str">
        <f ca="1">IFERROR(__xludf.DUMMYFUNCTION("""COMPUTED_VALUE"""),"Egypt")</f>
        <v>Egypt</v>
      </c>
      <c r="G2372" s="1" t="str">
        <f ca="1">IFERROR(__xludf.DUMMYFUNCTION("""COMPUTED_VALUE"""),"Second 76.24 Tunisia")</f>
        <v>Second 76.24 Tunisia</v>
      </c>
      <c r="H2372" s="1" t="str">
        <f ca="1">IFERROR(__xludf.DUMMYFUNCTION("""COMPUTED_VALUE"""),"Freedom of Expression, Human Rights Defenders")</f>
        <v>Freedom of Expression, Human Rights Defenders</v>
      </c>
      <c r="I2372" s="1" t="str">
        <f ca="1">IFERROR(__xludf.DUMMYFUNCTION("""COMPUTED_VALUE"""),"2025")</f>
        <v>2025</v>
      </c>
      <c r="J2372" s="1" t="str">
        <f ca="1">IFERROR(__xludf.DUMMYFUNCTION("""COMPUTED_VALUE"""),"Email")</f>
        <v>Email</v>
      </c>
    </row>
    <row r="2373" spans="1:10" ht="13" x14ac:dyDescent="0.15">
      <c r="A2373" s="4">
        <f ca="1">IFERROR(__xludf.DUMMYFUNCTION("""COMPUTED_VALUE"""),283595323)</f>
        <v>283595323</v>
      </c>
      <c r="B2373" s="1" t="str">
        <f ca="1">IFERROR(__xludf.DUMMYFUNCTION("""COMPUTED_VALUE"""),"ebrahif@gmail.com")</f>
        <v>ebrahif@gmail.com</v>
      </c>
      <c r="C2373" s="4" t="str">
        <f ca="1">IFERROR(__xludf.DUMMYFUNCTION("""COMPUTED_VALUE"""),"EVERGREEN - UAN Gated Content - Embedded Petition")</f>
        <v>EVERGREEN - UAN Gated Content - Embedded Petition</v>
      </c>
      <c r="D2373" s="5">
        <f ca="1">IFERROR(__xludf.DUMMYFUNCTION("""COMPUTED_VALUE"""),45673)</f>
        <v>45673</v>
      </c>
      <c r="F2373" s="1" t="str">
        <f ca="1">IFERROR(__xludf.DUMMYFUNCTION("""COMPUTED_VALUE"""),"Tunisia")</f>
        <v>Tunisia</v>
      </c>
      <c r="G2373" s="1" t="str">
        <f ca="1">IFERROR(__xludf.DUMMYFUNCTION("""COMPUTED_VALUE"""),"Second 76.24 Tunisia")</f>
        <v>Second 76.24 Tunisia</v>
      </c>
      <c r="H2373" s="1" t="str">
        <f ca="1">IFERROR(__xludf.DUMMYFUNCTION("""COMPUTED_VALUE"""),"Freedom of Expression, Human Rights Defenders")</f>
        <v>Freedom of Expression, Human Rights Defenders</v>
      </c>
      <c r="I2373" s="1" t="str">
        <f ca="1">IFERROR(__xludf.DUMMYFUNCTION("""COMPUTED_VALUE"""),"2025")</f>
        <v>2025</v>
      </c>
      <c r="J2373" s="1" t="str">
        <f ca="1">IFERROR(__xludf.DUMMYFUNCTION("""COMPUTED_VALUE"""),"Email")</f>
        <v>Email</v>
      </c>
    </row>
    <row r="2374" spans="1:10" ht="13" x14ac:dyDescent="0.15">
      <c r="A2374" s="4">
        <f ca="1">IFERROR(__xludf.DUMMYFUNCTION("""COMPUTED_VALUE"""),283602933)</f>
        <v>283602933</v>
      </c>
      <c r="B2374" s="1" t="str">
        <f ca="1">IFERROR(__xludf.DUMMYFUNCTION("""COMPUTED_VALUE"""),"26cootay@student.mcpsmt.org")</f>
        <v>26cootay@student.mcpsmt.org</v>
      </c>
      <c r="C2374" s="4" t="str">
        <f ca="1">IFERROR(__xludf.DUMMYFUNCTION("""COMPUTED_VALUE"""),"EVERGREEN - UAN Gated Content - Embedded Petition")</f>
        <v>EVERGREEN - UAN Gated Content - Embedded Petition</v>
      </c>
      <c r="D2374" s="5">
        <f ca="1">IFERROR(__xludf.DUMMYFUNCTION("""COMPUTED_VALUE"""),45678)</f>
        <v>45678</v>
      </c>
      <c r="F2374" s="1" t="str">
        <f ca="1">IFERROR(__xludf.DUMMYFUNCTION("""COMPUTED_VALUE"""),"Tunisia")</f>
        <v>Tunisia</v>
      </c>
      <c r="G2374" s="1" t="str">
        <f ca="1">IFERROR(__xludf.DUMMYFUNCTION("""COMPUTED_VALUE"""),"10.25 Iran")</f>
        <v>10.25 Iran</v>
      </c>
      <c r="H2374" s="1" t="str">
        <f ca="1">IFERROR(__xludf.DUMMYFUNCTION("""COMPUTED_VALUE"""),"Death Penalty, Individuals At Risk")</f>
        <v>Death Penalty, Individuals At Risk</v>
      </c>
      <c r="I2374" s="1" t="str">
        <f ca="1">IFERROR(__xludf.DUMMYFUNCTION("""COMPUTED_VALUE"""),"2025")</f>
        <v>2025</v>
      </c>
      <c r="J2374" s="1" t="str">
        <f ca="1">IFERROR(__xludf.DUMMYFUNCTION("""COMPUTED_VALUE"""),"Email")</f>
        <v>Email</v>
      </c>
    </row>
    <row r="2375" spans="1:10" ht="13" x14ac:dyDescent="0.15">
      <c r="A2375" s="4">
        <f ca="1">IFERROR(__xludf.DUMMYFUNCTION("""COMPUTED_VALUE"""),283639340)</f>
        <v>283639340</v>
      </c>
      <c r="B2375" s="1" t="str">
        <f ca="1">IFERROR(__xludf.DUMMYFUNCTION("""COMPUTED_VALUE"""),"ouassim@its.com")</f>
        <v>ouassim@its.com</v>
      </c>
      <c r="C2375" s="4" t="str">
        <f ca="1">IFERROR(__xludf.DUMMYFUNCTION("""COMPUTED_VALUE"""),"UAN mid-page Lightbox - Step 1 of 4 - Landing Page")</f>
        <v>UAN mid-page Lightbox - Step 1 of 4 - Landing Page</v>
      </c>
      <c r="D2375" s="5">
        <f ca="1">IFERROR(__xludf.DUMMYFUNCTION("""COMPUTED_VALUE"""),45560)</f>
        <v>45560</v>
      </c>
      <c r="F2375" s="1" t="str">
        <f ca="1">IFERROR(__xludf.DUMMYFUNCTION("""COMPUTED_VALUE"""),"Iran")</f>
        <v>Iran</v>
      </c>
      <c r="G2375" s="1" t="str">
        <f ca="1">IFERROR(__xludf.DUMMYFUNCTION("""COMPUTED_VALUE"""),"4.25 USA")</f>
        <v>4.25 USA</v>
      </c>
      <c r="H2375" s="1" t="str">
        <f ca="1">IFERROR(__xludf.DUMMYFUNCTION("""COMPUTED_VALUE"""),"Individuals At Risk, Refugee and Migrant Rights")</f>
        <v>Individuals At Risk, Refugee and Migrant Rights</v>
      </c>
      <c r="I2375" s="1" t="str">
        <f ca="1">IFERROR(__xludf.DUMMYFUNCTION("""COMPUTED_VALUE"""),"2025")</f>
        <v>2025</v>
      </c>
      <c r="J2375" s="1" t="str">
        <f ca="1">IFERROR(__xludf.DUMMYFUNCTION("""COMPUTED_VALUE"""),"Letter")</f>
        <v>Letter</v>
      </c>
    </row>
    <row r="2376" spans="1:10" ht="13" x14ac:dyDescent="0.15">
      <c r="A2376" s="4">
        <f ca="1">IFERROR(__xludf.DUMMYFUNCTION("""COMPUTED_VALUE"""),283824079)</f>
        <v>283824079</v>
      </c>
      <c r="B2376" s="1" t="str">
        <f ca="1">IFERROR(__xludf.DUMMYFUNCTION("""COMPUTED_VALUE"""),"gonzalezalexistori33@gmail.com")</f>
        <v>gonzalezalexistori33@gmail.com</v>
      </c>
      <c r="C2376" s="4" t="str">
        <f ca="1">IFERROR(__xludf.DUMMYFUNCTION("""COMPUTED_VALUE"""),"EVERGREEN - UAN Gated Content - Embedded Petition")</f>
        <v>EVERGREEN - UAN Gated Content - Embedded Petition</v>
      </c>
      <c r="D2376" s="5">
        <f ca="1">IFERROR(__xludf.DUMMYFUNCTION("""COMPUTED_VALUE"""),45694)</f>
        <v>45694</v>
      </c>
      <c r="F2376" s="1" t="str">
        <f ca="1">IFERROR(__xludf.DUMMYFUNCTION("""COMPUTED_VALUE"""),"USA")</f>
        <v>USA</v>
      </c>
      <c r="G2376" s="1" t="str">
        <f ca="1">IFERROR(__xludf.DUMMYFUNCTION("""COMPUTED_VALUE"""),"Second 43.24 Tunisia")</f>
        <v>Second 43.24 Tunisia</v>
      </c>
      <c r="H2376" s="1" t="str">
        <f ca="1">IFERROR(__xludf.DUMMYFUNCTION("""COMPUTED_VALUE"""),"Freedom of Expression, Individuals At Risk")</f>
        <v>Freedom of Expression, Individuals At Risk</v>
      </c>
      <c r="I2376" s="1" t="str">
        <f ca="1">IFERROR(__xludf.DUMMYFUNCTION("""COMPUTED_VALUE"""),"2024")</f>
        <v>2024</v>
      </c>
      <c r="J2376" s="1" t="str">
        <f ca="1">IFERROR(__xludf.DUMMYFUNCTION("""COMPUTED_VALUE"""),"Email")</f>
        <v>Email</v>
      </c>
    </row>
    <row r="2377" spans="1:10" ht="13" x14ac:dyDescent="0.15">
      <c r="A2377" s="4">
        <f ca="1">IFERROR(__xludf.DUMMYFUNCTION("""COMPUTED_VALUE"""),283834572)</f>
        <v>283834572</v>
      </c>
      <c r="B2377" s="1" t="str">
        <f ca="1">IFERROR(__xludf.DUMMYFUNCTION("""COMPUTED_VALUE"""),"oo@test.com")</f>
        <v>oo@test.com</v>
      </c>
      <c r="C2377" s="4" t="str">
        <f ca="1">IFERROR(__xludf.DUMMYFUNCTION("""COMPUTED_VALUE"""),"EVERGREEN - UAN Gated Content - Embedded Petition")</f>
        <v>EVERGREEN - UAN Gated Content - Embedded Petition</v>
      </c>
      <c r="D2377" s="5">
        <f ca="1">IFERROR(__xludf.DUMMYFUNCTION("""COMPUTED_VALUE"""),45565)</f>
        <v>45565</v>
      </c>
      <c r="F2377" s="1" t="str">
        <f ca="1">IFERROR(__xludf.DUMMYFUNCTION("""COMPUTED_VALUE"""),"Tunisia")</f>
        <v>Tunisia</v>
      </c>
      <c r="G2377" s="1" t="str">
        <f ca="1">IFERROR(__xludf.DUMMYFUNCTION("""COMPUTED_VALUE"""),"107.24 Singapore")</f>
        <v>107.24 Singapore</v>
      </c>
      <c r="H2377" s="1" t="str">
        <f ca="1">IFERROR(__xludf.DUMMYFUNCTION("""COMPUTED_VALUE"""),"Death Penalty")</f>
        <v>Death Penalty</v>
      </c>
      <c r="I2377" s="1" t="str">
        <f ca="1">IFERROR(__xludf.DUMMYFUNCTION("""COMPUTED_VALUE"""),"2024")</f>
        <v>2024</v>
      </c>
      <c r="J2377" s="1" t="str">
        <f ca="1">IFERROR(__xludf.DUMMYFUNCTION("""COMPUTED_VALUE"""),"Email")</f>
        <v>Email</v>
      </c>
    </row>
    <row r="2378" spans="1:10" ht="13" x14ac:dyDescent="0.15">
      <c r="A2378" s="4">
        <f ca="1">IFERROR(__xludf.DUMMYFUNCTION("""COMPUTED_VALUE"""),284041268)</f>
        <v>284041268</v>
      </c>
      <c r="B2378" s="1" t="str">
        <f ca="1">IFERROR(__xludf.DUMMYFUNCTION("""COMPUTED_VALUE"""),"cchen26@episcopalhighschool.org")</f>
        <v>cchen26@episcopalhighschool.org</v>
      </c>
      <c r="C2378" s="4" t="str">
        <f ca="1">IFERROR(__xludf.DUMMYFUNCTION("""COMPUTED_VALUE"""),"EVERGREEN - UAN Gated Content - Embedded Petition")</f>
        <v>EVERGREEN - UAN Gated Content - Embedded Petition</v>
      </c>
      <c r="D2378" s="5">
        <f ca="1">IFERROR(__xludf.DUMMYFUNCTION("""COMPUTED_VALUE"""),45700)</f>
        <v>45700</v>
      </c>
      <c r="F2378" s="1" t="str">
        <f ca="1">IFERROR(__xludf.DUMMYFUNCTION("""COMPUTED_VALUE"""),"Singapore")</f>
        <v>Singapore</v>
      </c>
      <c r="G2378" s="1" t="str">
        <f ca="1">IFERROR(__xludf.DUMMYFUNCTION("""COMPUTED_VALUE"""),"Fourth 29.23 Egypt")</f>
        <v>Fourth 29.23 Egypt</v>
      </c>
      <c r="H2378" s="1" t="str">
        <f ca="1">IFERROR(__xludf.DUMMYFUNCTION("""COMPUTED_VALUE"""),"Freedom of Expression, Individuals At Risk, Right to Protest")</f>
        <v>Freedom of Expression, Individuals At Risk, Right to Protest</v>
      </c>
      <c r="I2378" s="1" t="str">
        <f ca="1">IFERROR(__xludf.DUMMYFUNCTION("""COMPUTED_VALUE"""),"2024")</f>
        <v>2024</v>
      </c>
      <c r="J2378" s="1" t="str">
        <f ca="1">IFERROR(__xludf.DUMMYFUNCTION("""COMPUTED_VALUE"""),"Email")</f>
        <v>Email</v>
      </c>
    </row>
    <row r="2379" spans="1:10" ht="13" x14ac:dyDescent="0.15">
      <c r="A2379" s="4">
        <f ca="1">IFERROR(__xludf.DUMMYFUNCTION("""COMPUTED_VALUE"""),284076252)</f>
        <v>284076252</v>
      </c>
      <c r="B2379" s="1" t="str">
        <f ca="1">IFERROR(__xludf.DUMMYFUNCTION("""COMPUTED_VALUE"""),"peacenik1972@gmail.com")</f>
        <v>peacenik1972@gmail.com</v>
      </c>
      <c r="C2379" s="4" t="str">
        <f ca="1">IFERROR(__xludf.DUMMYFUNCTION("""COMPUTED_VALUE"""),"EVERGREEN - Website Email Capture Form - UAN Pre-Footer")</f>
        <v>EVERGREEN - Website Email Capture Form - UAN Pre-Footer</v>
      </c>
      <c r="D2379" s="5">
        <f ca="1">IFERROR(__xludf.DUMMYFUNCTION("""COMPUTED_VALUE"""),45646)</f>
        <v>45646</v>
      </c>
      <c r="F2379" s="1" t="str">
        <f ca="1">IFERROR(__xludf.DUMMYFUNCTION("""COMPUTED_VALUE"""),"Egypt")</f>
        <v>Egypt</v>
      </c>
      <c r="G2379" s="1" t="str">
        <f ca="1">IFERROR(__xludf.DUMMYFUNCTION("""COMPUTED_VALUE"""),"4.25 USA")</f>
        <v>4.25 USA</v>
      </c>
      <c r="H2379" s="1" t="str">
        <f ca="1">IFERROR(__xludf.DUMMYFUNCTION("""COMPUTED_VALUE"""),"Individuals At Risk, Refugee and Migrant Rights")</f>
        <v>Individuals At Risk, Refugee and Migrant Rights</v>
      </c>
      <c r="I2379" s="1" t="str">
        <f ca="1">IFERROR(__xludf.DUMMYFUNCTION("""COMPUTED_VALUE"""),"2025")</f>
        <v>2025</v>
      </c>
      <c r="J2379" s="1" t="str">
        <f ca="1">IFERROR(__xludf.DUMMYFUNCTION("""COMPUTED_VALUE"""),"Letter")</f>
        <v>Letter</v>
      </c>
    </row>
    <row r="2380" spans="1:10" ht="13" x14ac:dyDescent="0.15">
      <c r="A2380" s="4">
        <f ca="1">IFERROR(__xludf.DUMMYFUNCTION("""COMPUTED_VALUE"""),284155605)</f>
        <v>284155605</v>
      </c>
      <c r="B2380" s="1" t="str">
        <f ca="1">IFERROR(__xludf.DUMMYFUNCTION("""COMPUTED_VALUE"""),"v.mayan@amnistia.pt")</f>
        <v>v.mayan@amnistia.pt</v>
      </c>
      <c r="C2380" s="4" t="str">
        <f ca="1">IFERROR(__xludf.DUMMYFUNCTION("""COMPUTED_VALUE"""),"UAN mid-page Lightbox - Step 1 of 4 - Landing Page")</f>
        <v>UAN mid-page Lightbox - Step 1 of 4 - Landing Page</v>
      </c>
      <c r="D2380" s="5">
        <f ca="1">IFERROR(__xludf.DUMMYFUNCTION("""COMPUTED_VALUE"""),45693)</f>
        <v>45693</v>
      </c>
      <c r="F2380" s="1" t="str">
        <f ca="1">IFERROR(__xludf.DUMMYFUNCTION("""COMPUTED_VALUE"""),"USA")</f>
        <v>USA</v>
      </c>
      <c r="G2380" s="1" t="str">
        <f ca="1">IFERROR(__xludf.DUMMYFUNCTION("""COMPUTED_VALUE"""),"4.25 USA")</f>
        <v>4.25 USA</v>
      </c>
      <c r="H2380" s="1" t="str">
        <f ca="1">IFERROR(__xludf.DUMMYFUNCTION("""COMPUTED_VALUE"""),"Individuals At Risk, Refugee and Migrant Rights")</f>
        <v>Individuals At Risk, Refugee and Migrant Rights</v>
      </c>
      <c r="I2380" s="1" t="str">
        <f ca="1">IFERROR(__xludf.DUMMYFUNCTION("""COMPUTED_VALUE"""),"2025")</f>
        <v>2025</v>
      </c>
      <c r="J2380" s="1" t="str">
        <f ca="1">IFERROR(__xludf.DUMMYFUNCTION("""COMPUTED_VALUE"""),"Letter")</f>
        <v>Letter</v>
      </c>
    </row>
    <row r="2381" spans="1:10" ht="13" x14ac:dyDescent="0.15">
      <c r="A2381" s="4">
        <f ca="1">IFERROR(__xludf.DUMMYFUNCTION("""COMPUTED_VALUE"""),284230552)</f>
        <v>284230552</v>
      </c>
      <c r="B2381" s="1" t="str">
        <f ca="1">IFERROR(__xludf.DUMMYFUNCTION("""COMPUTED_VALUE"""),"rossiannette@gmail.com")</f>
        <v>rossiannette@gmail.com</v>
      </c>
      <c r="C2381" s="4" t="str">
        <f ca="1">IFERROR(__xludf.DUMMYFUNCTION("""COMPUTED_VALUE"""),"EVERGREEN - UAN Gated Content - Embedded Petition")</f>
        <v>EVERGREEN - UAN Gated Content - Embedded Petition</v>
      </c>
      <c r="D2381" s="5">
        <f ca="1">IFERROR(__xludf.DUMMYFUNCTION("""COMPUTED_VALUE"""),45672)</f>
        <v>45672</v>
      </c>
      <c r="F2381" s="1" t="str">
        <f ca="1">IFERROR(__xludf.DUMMYFUNCTION("""COMPUTED_VALUE"""),"USA")</f>
        <v>USA</v>
      </c>
      <c r="G2381" s="1" t="str">
        <f ca="1">IFERROR(__xludf.DUMMYFUNCTION("""COMPUTED_VALUE"""),"4.25 USA")</f>
        <v>4.25 USA</v>
      </c>
      <c r="H2381" s="1" t="str">
        <f ca="1">IFERROR(__xludf.DUMMYFUNCTION("""COMPUTED_VALUE"""),"Individuals At Risk, Refugee and Migrant Rights")</f>
        <v>Individuals At Risk, Refugee and Migrant Rights</v>
      </c>
      <c r="I2381" s="1" t="str">
        <f ca="1">IFERROR(__xludf.DUMMYFUNCTION("""COMPUTED_VALUE"""),"2025")</f>
        <v>2025</v>
      </c>
      <c r="J2381" s="1" t="str">
        <f ca="1">IFERROR(__xludf.DUMMYFUNCTION("""COMPUTED_VALUE"""),"Letter")</f>
        <v>Letter</v>
      </c>
    </row>
    <row r="2382" spans="1:10" ht="13" x14ac:dyDescent="0.15">
      <c r="A2382" s="4">
        <f ca="1">IFERROR(__xludf.DUMMYFUNCTION("""COMPUTED_VALUE"""),284271655)</f>
        <v>284271655</v>
      </c>
      <c r="B2382" s="1" t="str">
        <f ca="1">IFERROR(__xludf.DUMMYFUNCTION("""COMPUTED_VALUE"""),"aynz@yahoo.com")</f>
        <v>aynz@yahoo.com</v>
      </c>
      <c r="C2382" s="4" t="str">
        <f ca="1">IFERROR(__xludf.DUMMYFUNCTION("""COMPUTED_VALUE"""),"EVERGREEN - UAN Gated Content - Embedded Petition")</f>
        <v>EVERGREEN - UAN Gated Content - Embedded Petition</v>
      </c>
      <c r="D2382" s="5">
        <f ca="1">IFERROR(__xludf.DUMMYFUNCTION("""COMPUTED_VALUE"""),45672)</f>
        <v>45672</v>
      </c>
      <c r="F2382" s="1" t="str">
        <f ca="1">IFERROR(__xludf.DUMMYFUNCTION("""COMPUTED_VALUE"""),"USA")</f>
        <v>USA</v>
      </c>
      <c r="G2382" s="1" t="str">
        <f ca="1">IFERROR(__xludf.DUMMYFUNCTION("""COMPUTED_VALUE"""),"11.25 Afghanistan")</f>
        <v>11.25 Afghanistan</v>
      </c>
      <c r="H2382" s="1" t="str">
        <f ca="1">IFERROR(__xludf.DUMMYFUNCTION("""COMPUTED_VALUE"""),"Freedom of Expression, Health, Individuals At Risk")</f>
        <v>Freedom of Expression, Health, Individuals At Risk</v>
      </c>
      <c r="I2382" s="1" t="str">
        <f ca="1">IFERROR(__xludf.DUMMYFUNCTION("""COMPUTED_VALUE"""),"2025")</f>
        <v>2025</v>
      </c>
      <c r="J2382" s="1" t="str">
        <f ca="1">IFERROR(__xludf.DUMMYFUNCTION("""COMPUTED_VALUE"""),"Email")</f>
        <v>Email</v>
      </c>
    </row>
    <row r="2383" spans="1:10" ht="13" x14ac:dyDescent="0.15">
      <c r="A2383" s="4">
        <f ca="1">IFERROR(__xludf.DUMMYFUNCTION("""COMPUTED_VALUE"""),284284630)</f>
        <v>284284630</v>
      </c>
      <c r="B2383" s="1" t="str">
        <f ca="1">IFERROR(__xludf.DUMMYFUNCTION("""COMPUTED_VALUE"""),"sheilamusaji@aol.com")</f>
        <v>sheilamusaji@aol.com</v>
      </c>
      <c r="C2383" s="4" t="str">
        <f ca="1">IFERROR(__xludf.DUMMYFUNCTION("""COMPUTED_VALUE"""),"EVERGREEN - UAN Gated Content - Embedded Petition")</f>
        <v>EVERGREEN - UAN Gated Content - Embedded Petition</v>
      </c>
      <c r="D2383" s="5">
        <f ca="1">IFERROR(__xludf.DUMMYFUNCTION("""COMPUTED_VALUE"""),45689)</f>
        <v>45689</v>
      </c>
      <c r="F2383" s="1" t="str">
        <f ca="1">IFERROR(__xludf.DUMMYFUNCTION("""COMPUTED_VALUE"""),"Afghanistan")</f>
        <v>Afghanistan</v>
      </c>
      <c r="G2383" s="1" t="str">
        <f ca="1">IFERROR(__xludf.DUMMYFUNCTION("""COMPUTED_VALUE"""),"4.25 USA")</f>
        <v>4.25 USA</v>
      </c>
      <c r="H2383" s="1" t="str">
        <f ca="1">IFERROR(__xludf.DUMMYFUNCTION("""COMPUTED_VALUE"""),"Individuals At Risk, Refugee and Migrant Rights")</f>
        <v>Individuals At Risk, Refugee and Migrant Rights</v>
      </c>
      <c r="I2383" s="1" t="str">
        <f ca="1">IFERROR(__xludf.DUMMYFUNCTION("""COMPUTED_VALUE"""),"2025")</f>
        <v>2025</v>
      </c>
      <c r="J2383" s="1" t="str">
        <f ca="1">IFERROR(__xludf.DUMMYFUNCTION("""COMPUTED_VALUE"""),"Letter")</f>
        <v>Letter</v>
      </c>
    </row>
    <row r="2384" spans="1:10" ht="13" x14ac:dyDescent="0.15">
      <c r="A2384" s="4">
        <f ca="1">IFERROR(__xludf.DUMMYFUNCTION("""COMPUTED_VALUE"""),284317624)</f>
        <v>284317624</v>
      </c>
      <c r="B2384" s="1" t="str">
        <f ca="1">IFERROR(__xludf.DUMMYFUNCTION("""COMPUTED_VALUE"""),"alexmechanic@gmail.com")</f>
        <v>alexmechanic@gmail.com</v>
      </c>
      <c r="C2384" s="4" t="str">
        <f ca="1">IFERROR(__xludf.DUMMYFUNCTION("""COMPUTED_VALUE"""),"EVERGREEN - UAN Gated Content - Embedded Petition")</f>
        <v>EVERGREEN - UAN Gated Content - Embedded Petition</v>
      </c>
      <c r="D2384" s="5">
        <f ca="1">IFERROR(__xludf.DUMMYFUNCTION("""COMPUTED_VALUE"""),45694)</f>
        <v>45694</v>
      </c>
      <c r="F2384" s="1" t="str">
        <f ca="1">IFERROR(__xludf.DUMMYFUNCTION("""COMPUTED_VALUE"""),"USA")</f>
        <v>USA</v>
      </c>
      <c r="G2384" s="1" t="str">
        <f ca="1">IFERROR(__xludf.DUMMYFUNCTION("""COMPUTED_VALUE"""),"4.25 USA")</f>
        <v>4.25 USA</v>
      </c>
      <c r="H2384" s="1" t="str">
        <f ca="1">IFERROR(__xludf.DUMMYFUNCTION("""COMPUTED_VALUE"""),"Individuals At Risk, Refugee and Migrant Rights")</f>
        <v>Individuals At Risk, Refugee and Migrant Rights</v>
      </c>
      <c r="I2384" s="1" t="str">
        <f ca="1">IFERROR(__xludf.DUMMYFUNCTION("""COMPUTED_VALUE"""),"2025")</f>
        <v>2025</v>
      </c>
      <c r="J2384" s="1" t="str">
        <f ca="1">IFERROR(__xludf.DUMMYFUNCTION("""COMPUTED_VALUE"""),"Letter")</f>
        <v>Letter</v>
      </c>
    </row>
    <row r="2385" spans="1:10" ht="13" x14ac:dyDescent="0.15">
      <c r="A2385" s="4">
        <f ca="1">IFERROR(__xludf.DUMMYFUNCTION("""COMPUTED_VALUE"""),284480741)</f>
        <v>284480741</v>
      </c>
      <c r="B2385" s="1" t="str">
        <f ca="1">IFERROR(__xludf.DUMMYFUNCTION("""COMPUTED_VALUE"""),"leo.nollet@telenet.be")</f>
        <v>leo.nollet@telenet.be</v>
      </c>
      <c r="C2385" s="4" t="str">
        <f ca="1">IFERROR(__xludf.DUMMYFUNCTION("""COMPUTED_VALUE"""),"EVERGREEN - UAN Gated Content - Embedded Petition")</f>
        <v>EVERGREEN - UAN Gated Content - Embedded Petition</v>
      </c>
      <c r="D2385" s="5">
        <f ca="1">IFERROR(__xludf.DUMMYFUNCTION("""COMPUTED_VALUE"""),45617)</f>
        <v>45617</v>
      </c>
      <c r="F2385" s="1" t="str">
        <f ca="1">IFERROR(__xludf.DUMMYFUNCTION("""COMPUTED_VALUE"""),"USA")</f>
        <v>USA</v>
      </c>
      <c r="G2385" s="1" t="str">
        <f ca="1">IFERROR(__xludf.DUMMYFUNCTION("""COMPUTED_VALUE"""),"Second 85.24 Honduras")</f>
        <v>Second 85.24 Honduras</v>
      </c>
      <c r="H2385" s="1" t="str">
        <f ca="1">IFERROR(__xludf.DUMMYFUNCTION("""COMPUTED_VALUE"""),"Climate Justice, Human Rights Defenders, Right to Protest")</f>
        <v>Climate Justice, Human Rights Defenders, Right to Protest</v>
      </c>
      <c r="I2385" s="1" t="str">
        <f ca="1">IFERROR(__xludf.DUMMYFUNCTION("""COMPUTED_VALUE"""),"2024")</f>
        <v>2024</v>
      </c>
      <c r="J2385" s="1" t="str">
        <f ca="1">IFERROR(__xludf.DUMMYFUNCTION("""COMPUTED_VALUE"""),"Email")</f>
        <v>Email</v>
      </c>
    </row>
    <row r="2386" spans="1:10" ht="13" x14ac:dyDescent="0.15">
      <c r="A2386" s="4">
        <f ca="1">IFERROR(__xludf.DUMMYFUNCTION("""COMPUTED_VALUE"""),284480995)</f>
        <v>284480995</v>
      </c>
      <c r="B2386" s="1" t="str">
        <f ca="1">IFERROR(__xludf.DUMMYFUNCTION("""COMPUTED_VALUE"""),"veroviala@hotmail.com")</f>
        <v>veroviala@hotmail.com</v>
      </c>
      <c r="C2386" s="4" t="str">
        <f ca="1">IFERROR(__xludf.DUMMYFUNCTION("""COMPUTED_VALUE"""),"EVERGREEN - UAN Gated Content - Embedded Petition")</f>
        <v>EVERGREEN - UAN Gated Content - Embedded Petition</v>
      </c>
      <c r="D2386" s="5">
        <f ca="1">IFERROR(__xludf.DUMMYFUNCTION("""COMPUTED_VALUE"""),45697)</f>
        <v>45697</v>
      </c>
      <c r="F2386" s="1" t="str">
        <f ca="1">IFERROR(__xludf.DUMMYFUNCTION("""COMPUTED_VALUE"""),"Honduras")</f>
        <v>Honduras</v>
      </c>
      <c r="G2386" s="1" t="str">
        <f ca="1">IFERROR(__xludf.DUMMYFUNCTION("""COMPUTED_VALUE"""),"4.25 USA")</f>
        <v>4.25 USA</v>
      </c>
      <c r="H2386" s="1" t="str">
        <f ca="1">IFERROR(__xludf.DUMMYFUNCTION("""COMPUTED_VALUE"""),"Individuals At Risk, Refugee and Migrant Rights")</f>
        <v>Individuals At Risk, Refugee and Migrant Rights</v>
      </c>
      <c r="I2386" s="1" t="str">
        <f ca="1">IFERROR(__xludf.DUMMYFUNCTION("""COMPUTED_VALUE"""),"2025")</f>
        <v>2025</v>
      </c>
      <c r="J2386" s="1" t="str">
        <f ca="1">IFERROR(__xludf.DUMMYFUNCTION("""COMPUTED_VALUE"""),"Letter")</f>
        <v>Letter</v>
      </c>
    </row>
    <row r="2387" spans="1:10" ht="13" x14ac:dyDescent="0.15">
      <c r="A2387" s="4">
        <f ca="1">IFERROR(__xludf.DUMMYFUNCTION("""COMPUTED_VALUE"""),284481051)</f>
        <v>284481051</v>
      </c>
      <c r="B2387" s="1" t="str">
        <f ca="1">IFERROR(__xludf.DUMMYFUNCTION("""COMPUTED_VALUE"""),"tozein@gmx.de")</f>
        <v>tozein@gmx.de</v>
      </c>
      <c r="C2387" s="4" t="str">
        <f ca="1">IFERROR(__xludf.DUMMYFUNCTION("""COMPUTED_VALUE"""),"EVERGREEN - UAN Gated Content - Embedded Petition")</f>
        <v>EVERGREEN - UAN Gated Content - Embedded Petition</v>
      </c>
      <c r="D2387" s="5">
        <f ca="1">IFERROR(__xludf.DUMMYFUNCTION("""COMPUTED_VALUE"""),45701)</f>
        <v>45701</v>
      </c>
      <c r="F2387" s="1" t="str">
        <f ca="1">IFERROR(__xludf.DUMMYFUNCTION("""COMPUTED_VALUE"""),"USA")</f>
        <v>USA</v>
      </c>
      <c r="G2387" s="1" t="str">
        <f ca="1">IFERROR(__xludf.DUMMYFUNCTION("""COMPUTED_VALUE"""),"4.25 USA")</f>
        <v>4.25 USA</v>
      </c>
      <c r="H2387" s="1" t="str">
        <f ca="1">IFERROR(__xludf.DUMMYFUNCTION("""COMPUTED_VALUE"""),"Individuals At Risk, Refugee and Migrant Rights")</f>
        <v>Individuals At Risk, Refugee and Migrant Rights</v>
      </c>
      <c r="I2387" s="1" t="str">
        <f ca="1">IFERROR(__xludf.DUMMYFUNCTION("""COMPUTED_VALUE"""),"2025")</f>
        <v>2025</v>
      </c>
      <c r="J2387" s="1" t="str">
        <f ca="1">IFERROR(__xludf.DUMMYFUNCTION("""COMPUTED_VALUE"""),"Letter")</f>
        <v>Letter</v>
      </c>
    </row>
    <row r="2388" spans="1:10" ht="13" x14ac:dyDescent="0.15">
      <c r="A2388" s="4">
        <f ca="1">IFERROR(__xludf.DUMMYFUNCTION("""COMPUTED_VALUE"""),284481166)</f>
        <v>284481166</v>
      </c>
      <c r="B2388" s="1" t="str">
        <f ca="1">IFERROR(__xludf.DUMMYFUNCTION("""COMPUTED_VALUE"""),"paul_allard@hotmail.com")</f>
        <v>paul_allard@hotmail.com</v>
      </c>
      <c r="C2388" s="4" t="str">
        <f ca="1">IFERROR(__xludf.DUMMYFUNCTION("""COMPUTED_VALUE"""),"EVERGREEN - UAN Gated Content - Embedded Petition")</f>
        <v>EVERGREEN - UAN Gated Content - Embedded Petition</v>
      </c>
      <c r="D2388" s="5">
        <f ca="1">IFERROR(__xludf.DUMMYFUNCTION("""COMPUTED_VALUE"""),45616)</f>
        <v>45616</v>
      </c>
      <c r="F2388" s="1" t="str">
        <f ca="1">IFERROR(__xludf.DUMMYFUNCTION("""COMPUTED_VALUE"""),"USA")</f>
        <v>USA</v>
      </c>
      <c r="G2388" s="1" t="str">
        <f ca="1">IFERROR(__xludf.DUMMYFUNCTION("""COMPUTED_VALUE"""),"12.25 Libya")</f>
        <v>12.25 Libya</v>
      </c>
      <c r="H2388" s="1" t="str">
        <f ca="1">IFERROR(__xludf.DUMMYFUNCTION("""COMPUTED_VALUE"""),"Freedom of Expression, Health, Individuals At Risk")</f>
        <v>Freedom of Expression, Health, Individuals At Risk</v>
      </c>
      <c r="I2388" s="1" t="str">
        <f ca="1">IFERROR(__xludf.DUMMYFUNCTION("""COMPUTED_VALUE"""),"2025")</f>
        <v>2025</v>
      </c>
      <c r="J2388" s="1" t="str">
        <f ca="1">IFERROR(__xludf.DUMMYFUNCTION("""COMPUTED_VALUE"""),"Email")</f>
        <v>Email</v>
      </c>
    </row>
    <row r="2389" spans="1:10" ht="13" x14ac:dyDescent="0.15">
      <c r="A2389" s="4">
        <f ca="1">IFERROR(__xludf.DUMMYFUNCTION("""COMPUTED_VALUE"""),284481387)</f>
        <v>284481387</v>
      </c>
      <c r="B2389" s="1" t="str">
        <f ca="1">IFERROR(__xludf.DUMMYFUNCTION("""COMPUTED_VALUE"""),"jean-marc.bruneel@orange.fr")</f>
        <v>jean-marc.bruneel@orange.fr</v>
      </c>
      <c r="C2389" s="4" t="str">
        <f ca="1">IFERROR(__xludf.DUMMYFUNCTION("""COMPUTED_VALUE"""),"EVERGREEN - UAN Gated Content - Embedded Petition")</f>
        <v>EVERGREEN - UAN Gated Content - Embedded Petition</v>
      </c>
      <c r="D2389" s="5">
        <f ca="1">IFERROR(__xludf.DUMMYFUNCTION("""COMPUTED_VALUE"""),45637)</f>
        <v>45637</v>
      </c>
      <c r="F2389" s="1" t="str">
        <f ca="1">IFERROR(__xludf.DUMMYFUNCTION("""COMPUTED_VALUE"""),"Libya")</f>
        <v>Libya</v>
      </c>
      <c r="G2389" s="1" t="str">
        <f ca="1">IFERROR(__xludf.DUMMYFUNCTION("""COMPUTED_VALUE"""),"4.25 USA")</f>
        <v>4.25 USA</v>
      </c>
      <c r="H2389" s="1" t="str">
        <f ca="1">IFERROR(__xludf.DUMMYFUNCTION("""COMPUTED_VALUE"""),"Individuals At Risk, Refugee and Migrant Rights")</f>
        <v>Individuals At Risk, Refugee and Migrant Rights</v>
      </c>
      <c r="I2389" s="1" t="str">
        <f ca="1">IFERROR(__xludf.DUMMYFUNCTION("""COMPUTED_VALUE"""),"2025")</f>
        <v>2025</v>
      </c>
      <c r="J2389" s="1" t="str">
        <f ca="1">IFERROR(__xludf.DUMMYFUNCTION("""COMPUTED_VALUE"""),"Letter")</f>
        <v>Letter</v>
      </c>
    </row>
    <row r="2390" spans="1:10" ht="13" x14ac:dyDescent="0.15">
      <c r="A2390" s="4">
        <f ca="1">IFERROR(__xludf.DUMMYFUNCTION("""COMPUTED_VALUE"""),284481637)</f>
        <v>284481637</v>
      </c>
      <c r="B2390" s="1" t="str">
        <f ca="1">IFERROR(__xludf.DUMMYFUNCTION("""COMPUTED_VALUE"""),"ritadeswaef2@yahoo.be")</f>
        <v>ritadeswaef2@yahoo.be</v>
      </c>
      <c r="C2390" s="4" t="str">
        <f ca="1">IFERROR(__xludf.DUMMYFUNCTION("""COMPUTED_VALUE"""),"EVERGREEN - UAN Gated Content - Embedded Petition")</f>
        <v>EVERGREEN - UAN Gated Content - Embedded Petition</v>
      </c>
      <c r="D2390" s="5">
        <f ca="1">IFERROR(__xludf.DUMMYFUNCTION("""COMPUTED_VALUE"""),45617)</f>
        <v>45617</v>
      </c>
      <c r="F2390" s="1" t="str">
        <f ca="1">IFERROR(__xludf.DUMMYFUNCTION("""COMPUTED_VALUE"""),"USA")</f>
        <v>USA</v>
      </c>
      <c r="G2390" s="1" t="str">
        <f ca="1">IFERROR(__xludf.DUMMYFUNCTION("""COMPUTED_VALUE"""),"101.24 Iran")</f>
        <v>101.24 Iran</v>
      </c>
      <c r="H2390" s="1" t="str">
        <f ca="1">IFERROR(__xludf.DUMMYFUNCTION("""COMPUTED_VALUE"""),"Death Penalty, Freedom of Expression, Individuals At Risk, Right to Protest")</f>
        <v>Death Penalty, Freedom of Expression, Individuals At Risk, Right to Protest</v>
      </c>
      <c r="I2390" s="1" t="str">
        <f ca="1">IFERROR(__xludf.DUMMYFUNCTION("""COMPUTED_VALUE"""),"2024")</f>
        <v>2024</v>
      </c>
      <c r="J2390" s="1" t="str">
        <f ca="1">IFERROR(__xludf.DUMMYFUNCTION("""COMPUTED_VALUE"""),"Email")</f>
        <v>Email</v>
      </c>
    </row>
    <row r="2391" spans="1:10" ht="13" x14ac:dyDescent="0.15">
      <c r="A2391" s="4">
        <f ca="1">IFERROR(__xludf.DUMMYFUNCTION("""COMPUTED_VALUE"""),284482502)</f>
        <v>284482502</v>
      </c>
      <c r="B2391" s="1" t="str">
        <f ca="1">IFERROR(__xludf.DUMMYFUNCTION("""COMPUTED_VALUE"""),"aidanmck@yahoo.com")</f>
        <v>aidanmck@yahoo.com</v>
      </c>
      <c r="C2391" s="4" t="str">
        <f ca="1">IFERROR(__xludf.DUMMYFUNCTION("""COMPUTED_VALUE"""),"EVERGREEN - UAN Gated Content - Embedded Petition")</f>
        <v>EVERGREEN - UAN Gated Content - Embedded Petition</v>
      </c>
      <c r="D2391" s="5">
        <f ca="1">IFERROR(__xludf.DUMMYFUNCTION("""COMPUTED_VALUE"""),45674)</f>
        <v>45674</v>
      </c>
      <c r="F2391" s="1" t="str">
        <f ca="1">IFERROR(__xludf.DUMMYFUNCTION("""COMPUTED_VALUE"""),"Iran")</f>
        <v>Iran</v>
      </c>
      <c r="G2391" s="1" t="str">
        <f ca="1">IFERROR(__xludf.DUMMYFUNCTION("""COMPUTED_VALUE"""),"9.25 Uganda")</f>
        <v>9.25 Uganda</v>
      </c>
      <c r="H2391" s="1" t="str">
        <f ca="1">IFERROR(__xludf.DUMMYFUNCTION("""COMPUTED_VALUE"""),"Freedom of Expression, Human Rights Defenders")</f>
        <v>Freedom of Expression, Human Rights Defenders</v>
      </c>
      <c r="I2391" s="1" t="str">
        <f ca="1">IFERROR(__xludf.DUMMYFUNCTION("""COMPUTED_VALUE"""),"2025")</f>
        <v>2025</v>
      </c>
      <c r="J2391" s="1" t="str">
        <f ca="1">IFERROR(__xludf.DUMMYFUNCTION("""COMPUTED_VALUE"""),"Email")</f>
        <v>Email</v>
      </c>
    </row>
    <row r="2392" spans="1:10" ht="13" x14ac:dyDescent="0.15">
      <c r="A2392" s="4">
        <f ca="1">IFERROR(__xludf.DUMMYFUNCTION("""COMPUTED_VALUE"""),284482502)</f>
        <v>284482502</v>
      </c>
      <c r="B2392" s="1" t="str">
        <f ca="1">IFERROR(__xludf.DUMMYFUNCTION("""COMPUTED_VALUE"""),"aidanmck@yahoo.com")</f>
        <v>aidanmck@yahoo.com</v>
      </c>
      <c r="C2392" s="4" t="str">
        <f ca="1">IFERROR(__xludf.DUMMYFUNCTION("""COMPUTED_VALUE"""),"EVERGREEN - UAN Gated Content - Embedded Petition")</f>
        <v>EVERGREEN - UAN Gated Content - Embedded Petition</v>
      </c>
      <c r="D2392" s="5">
        <f ca="1">IFERROR(__xludf.DUMMYFUNCTION("""COMPUTED_VALUE"""),45674)</f>
        <v>45674</v>
      </c>
      <c r="F2392" s="1" t="str">
        <f ca="1">IFERROR(__xludf.DUMMYFUNCTION("""COMPUTED_VALUE"""),"Uganda")</f>
        <v>Uganda</v>
      </c>
      <c r="G2392" s="1" t="str">
        <f ca="1">IFERROR(__xludf.DUMMYFUNCTION("""COMPUTED_VALUE"""),"10.25 Iran")</f>
        <v>10.25 Iran</v>
      </c>
      <c r="H2392" s="1" t="str">
        <f ca="1">IFERROR(__xludf.DUMMYFUNCTION("""COMPUTED_VALUE"""),"Death Penalty, Individuals At Risk")</f>
        <v>Death Penalty, Individuals At Risk</v>
      </c>
      <c r="I2392" s="1" t="str">
        <f ca="1">IFERROR(__xludf.DUMMYFUNCTION("""COMPUTED_VALUE"""),"2025")</f>
        <v>2025</v>
      </c>
      <c r="J2392" s="1" t="str">
        <f ca="1">IFERROR(__xludf.DUMMYFUNCTION("""COMPUTED_VALUE"""),"Email")</f>
        <v>Email</v>
      </c>
    </row>
    <row r="2393" spans="1:10" ht="13" x14ac:dyDescent="0.15">
      <c r="A2393" s="4">
        <f ca="1">IFERROR(__xludf.DUMMYFUNCTION("""COMPUTED_VALUE"""),284482682)</f>
        <v>284482682</v>
      </c>
      <c r="B2393" s="1" t="str">
        <f ca="1">IFERROR(__xludf.DUMMYFUNCTION("""COMPUTED_VALUE"""),"oleyer@snet.net")</f>
        <v>oleyer@snet.net</v>
      </c>
      <c r="C2393" s="4" t="str">
        <f ca="1">IFERROR(__xludf.DUMMYFUNCTION("""COMPUTED_VALUE"""),"EVERGREEN - UAN Gated Content - Embedded Petition")</f>
        <v>EVERGREEN - UAN Gated Content - Embedded Petition</v>
      </c>
      <c r="D2393" s="5">
        <f ca="1">IFERROR(__xludf.DUMMYFUNCTION("""COMPUTED_VALUE"""),45694)</f>
        <v>45694</v>
      </c>
      <c r="F2393" s="1" t="str">
        <f ca="1">IFERROR(__xludf.DUMMYFUNCTION("""COMPUTED_VALUE"""),"Iran")</f>
        <v>Iran</v>
      </c>
      <c r="G2393" s="1" t="str">
        <f ca="1">IFERROR(__xludf.DUMMYFUNCTION("""COMPUTED_VALUE"""),"12.25 Libya")</f>
        <v>12.25 Libya</v>
      </c>
      <c r="H2393" s="1" t="str">
        <f ca="1">IFERROR(__xludf.DUMMYFUNCTION("""COMPUTED_VALUE"""),"Freedom of Expression, Health, Individuals At Risk")</f>
        <v>Freedom of Expression, Health, Individuals At Risk</v>
      </c>
      <c r="I2393" s="1" t="str">
        <f ca="1">IFERROR(__xludf.DUMMYFUNCTION("""COMPUTED_VALUE"""),"2025")</f>
        <v>2025</v>
      </c>
      <c r="J2393" s="1" t="str">
        <f ca="1">IFERROR(__xludf.DUMMYFUNCTION("""COMPUTED_VALUE"""),"Email")</f>
        <v>Email</v>
      </c>
    </row>
    <row r="2394" spans="1:10" ht="13" x14ac:dyDescent="0.15">
      <c r="A2394" s="4">
        <f ca="1">IFERROR(__xludf.DUMMYFUNCTION("""COMPUTED_VALUE"""),284483247)</f>
        <v>284483247</v>
      </c>
      <c r="B2394" s="1" t="str">
        <f ca="1">IFERROR(__xludf.DUMMYFUNCTION("""COMPUTED_VALUE"""),"erik.van.broeck@telenet.be")</f>
        <v>erik.van.broeck@telenet.be</v>
      </c>
      <c r="C2394" s="4" t="str">
        <f ca="1">IFERROR(__xludf.DUMMYFUNCTION("""COMPUTED_VALUE"""),"EVERGREEN - UAN Gated Content - Embedded Petition")</f>
        <v>EVERGREEN - UAN Gated Content - Embedded Petition</v>
      </c>
      <c r="D2394" s="5">
        <f ca="1">IFERROR(__xludf.DUMMYFUNCTION("""COMPUTED_VALUE"""),45621)</f>
        <v>45621</v>
      </c>
      <c r="F2394" s="1" t="str">
        <f ca="1">IFERROR(__xludf.DUMMYFUNCTION("""COMPUTED_VALUE"""),"Libya")</f>
        <v>Libya</v>
      </c>
      <c r="G2394" s="1" t="str">
        <f ca="1">IFERROR(__xludf.DUMMYFUNCTION("""COMPUTED_VALUE"""),"11.25 Afghanistan")</f>
        <v>11.25 Afghanistan</v>
      </c>
      <c r="H2394" s="1" t="str">
        <f ca="1">IFERROR(__xludf.DUMMYFUNCTION("""COMPUTED_VALUE"""),"Freedom of Expression, Health, Individuals At Risk")</f>
        <v>Freedom of Expression, Health, Individuals At Risk</v>
      </c>
      <c r="I2394" s="1" t="str">
        <f ca="1">IFERROR(__xludf.DUMMYFUNCTION("""COMPUTED_VALUE"""),"2025")</f>
        <v>2025</v>
      </c>
      <c r="J2394" s="1" t="str">
        <f ca="1">IFERROR(__xludf.DUMMYFUNCTION("""COMPUTED_VALUE"""),"Email")</f>
        <v>Email</v>
      </c>
    </row>
    <row r="2395" spans="1:10" ht="13" x14ac:dyDescent="0.15">
      <c r="A2395" s="4">
        <f ca="1">IFERROR(__xludf.DUMMYFUNCTION("""COMPUTED_VALUE"""),284531924)</f>
        <v>284531924</v>
      </c>
      <c r="B2395" s="1" t="str">
        <f ca="1">IFERROR(__xludf.DUMMYFUNCTION("""COMPUTED_VALUE"""),"akshayam6762@gmail.com")</f>
        <v>akshayam6762@gmail.com</v>
      </c>
      <c r="C2395" s="4" t="str">
        <f ca="1">IFERROR(__xludf.DUMMYFUNCTION("""COMPUTED_VALUE"""),"EVERGREEN - UAN Gated Content - Embedded Petition")</f>
        <v>EVERGREEN - UAN Gated Content - Embedded Petition</v>
      </c>
      <c r="D2395" s="5">
        <f ca="1">IFERROR(__xludf.DUMMYFUNCTION("""COMPUTED_VALUE"""),45692)</f>
        <v>45692</v>
      </c>
      <c r="F2395" s="1" t="str">
        <f ca="1">IFERROR(__xludf.DUMMYFUNCTION("""COMPUTED_VALUE"""),"Afghanistan")</f>
        <v>Afghanistan</v>
      </c>
      <c r="G2395" s="1" t="str">
        <f ca="1">IFERROR(__xludf.DUMMYFUNCTION("""COMPUTED_VALUE"""),"11.25 Afghanistan")</f>
        <v>11.25 Afghanistan</v>
      </c>
      <c r="H2395" s="1" t="str">
        <f ca="1">IFERROR(__xludf.DUMMYFUNCTION("""COMPUTED_VALUE"""),"Freedom of Expression, Health, Individuals At Risk")</f>
        <v>Freedom of Expression, Health, Individuals At Risk</v>
      </c>
      <c r="I2395" s="1" t="str">
        <f ca="1">IFERROR(__xludf.DUMMYFUNCTION("""COMPUTED_VALUE"""),"2025")</f>
        <v>2025</v>
      </c>
      <c r="J2395" s="1" t="str">
        <f ca="1">IFERROR(__xludf.DUMMYFUNCTION("""COMPUTED_VALUE"""),"Email")</f>
        <v>Email</v>
      </c>
    </row>
    <row r="2396" spans="1:10" ht="13" x14ac:dyDescent="0.15">
      <c r="A2396" s="4">
        <f ca="1">IFERROR(__xludf.DUMMYFUNCTION("""COMPUTED_VALUE"""),284533329)</f>
        <v>284533329</v>
      </c>
      <c r="B2396" s="1" t="str">
        <f ca="1">IFERROR(__xludf.DUMMYFUNCTION("""COMPUTED_VALUE"""),"drsoadkh@yahoo.com")</f>
        <v>drsoadkh@yahoo.com</v>
      </c>
      <c r="C2396" s="4" t="str">
        <f ca="1">IFERROR(__xludf.DUMMYFUNCTION("""COMPUTED_VALUE"""),"EVERGREEN - UAN Gated Content - Embedded Petition")</f>
        <v>EVERGREEN - UAN Gated Content - Embedded Petition</v>
      </c>
      <c r="D2396" s="5">
        <f ca="1">IFERROR(__xludf.DUMMYFUNCTION("""COMPUTED_VALUE"""),45672)</f>
        <v>45672</v>
      </c>
      <c r="F2396" s="1" t="str">
        <f ca="1">IFERROR(__xludf.DUMMYFUNCTION("""COMPUTED_VALUE"""),"Afghanistan")</f>
        <v>Afghanistan</v>
      </c>
      <c r="G2396" s="1" t="str">
        <f ca="1">IFERROR(__xludf.DUMMYFUNCTION("""COMPUTED_VALUE"""),"11.25 Afghanistan")</f>
        <v>11.25 Afghanistan</v>
      </c>
      <c r="H2396" s="1" t="str">
        <f ca="1">IFERROR(__xludf.DUMMYFUNCTION("""COMPUTED_VALUE"""),"Freedom of Expression, Health, Individuals At Risk")</f>
        <v>Freedom of Expression, Health, Individuals At Risk</v>
      </c>
      <c r="I2396" s="1" t="str">
        <f ca="1">IFERROR(__xludf.DUMMYFUNCTION("""COMPUTED_VALUE"""),"2025")</f>
        <v>2025</v>
      </c>
      <c r="J2396" s="1" t="str">
        <f ca="1">IFERROR(__xludf.DUMMYFUNCTION("""COMPUTED_VALUE"""),"Email")</f>
        <v>Email</v>
      </c>
    </row>
    <row r="2397" spans="1:10" ht="13" x14ac:dyDescent="0.15">
      <c r="A2397" s="4">
        <f ca="1">IFERROR(__xludf.DUMMYFUNCTION("""COMPUTED_VALUE"""),284551516)</f>
        <v>284551516</v>
      </c>
      <c r="B2397" s="1" t="str">
        <f ca="1">IFERROR(__xludf.DUMMYFUNCTION("""COMPUTED_VALUE"""),"test@test.net")</f>
        <v>test@test.net</v>
      </c>
      <c r="C2397" s="4" t="str">
        <f ca="1">IFERROR(__xludf.DUMMYFUNCTION("""COMPUTED_VALUE"""),"EVERGREEN - UAN Gated Content - Embedded Petition")</f>
        <v>EVERGREEN - UAN Gated Content - Embedded Petition</v>
      </c>
      <c r="D2397" s="5">
        <f ca="1">IFERROR(__xludf.DUMMYFUNCTION("""COMPUTED_VALUE"""),45586)</f>
        <v>45586</v>
      </c>
      <c r="F2397" s="1" t="str">
        <f ca="1">IFERROR(__xludf.DUMMYFUNCTION("""COMPUTED_VALUE"""),"Afghanistan")</f>
        <v>Afghanistan</v>
      </c>
      <c r="G2397" s="1" t="str">
        <f ca="1">IFERROR(__xludf.DUMMYFUNCTION("""COMPUTED_VALUE"""),"Second 80.23 Egypt")</f>
        <v>Second 80.23 Egypt</v>
      </c>
      <c r="H2397" s="1" t="str">
        <f ca="1">IFERROR(__xludf.DUMMYFUNCTION("""COMPUTED_VALUE"""),"Health, Individuals At Risk")</f>
        <v>Health, Individuals At Risk</v>
      </c>
      <c r="I2397" s="1" t="str">
        <f ca="1">IFERROR(__xludf.DUMMYFUNCTION("""COMPUTED_VALUE"""),"2025")</f>
        <v>2025</v>
      </c>
      <c r="J2397" s="1" t="str">
        <f ca="1">IFERROR(__xludf.DUMMYFUNCTION("""COMPUTED_VALUE"""),"Email")</f>
        <v>Email</v>
      </c>
    </row>
    <row r="2398" spans="1:10" ht="13" x14ac:dyDescent="0.15">
      <c r="A2398" s="4">
        <f ca="1">IFERROR(__xludf.DUMMYFUNCTION("""COMPUTED_VALUE"""),285509458)</f>
        <v>285509458</v>
      </c>
      <c r="B2398" s="1" t="str">
        <f ca="1">IFERROR(__xludf.DUMMYFUNCTION("""COMPUTED_VALUE"""),"withkathrynlee@gmail.com")</f>
        <v>withkathrynlee@gmail.com</v>
      </c>
      <c r="C2398" s="4" t="str">
        <f ca="1">IFERROR(__xludf.DUMMYFUNCTION("""COMPUTED_VALUE"""),"EVERGREEN - UAN Gated Content - Embedded Petition")</f>
        <v>EVERGREEN - UAN Gated Content - Embedded Petition</v>
      </c>
      <c r="D2398" s="5">
        <f ca="1">IFERROR(__xludf.DUMMYFUNCTION("""COMPUTED_VALUE"""),45706)</f>
        <v>45706</v>
      </c>
      <c r="F2398" s="1" t="str">
        <f ca="1">IFERROR(__xludf.DUMMYFUNCTION("""COMPUTED_VALUE"""),"Egypt")</f>
        <v>Egypt</v>
      </c>
      <c r="G2398" s="1" t="str">
        <f ca="1">IFERROR(__xludf.DUMMYFUNCTION("""COMPUTED_VALUE"""),"12.25 Libya")</f>
        <v>12.25 Libya</v>
      </c>
      <c r="H2398" s="1" t="str">
        <f ca="1">IFERROR(__xludf.DUMMYFUNCTION("""COMPUTED_VALUE"""),"Freedom of Expression, Health, Individuals At Risk")</f>
        <v>Freedom of Expression, Health, Individuals At Risk</v>
      </c>
      <c r="I2398" s="1" t="str">
        <f ca="1">IFERROR(__xludf.DUMMYFUNCTION("""COMPUTED_VALUE"""),"2025")</f>
        <v>2025</v>
      </c>
      <c r="J2398" s="1" t="str">
        <f ca="1">IFERROR(__xludf.DUMMYFUNCTION("""COMPUTED_VALUE"""),"Email")</f>
        <v>Email</v>
      </c>
    </row>
    <row r="2399" spans="1:10" ht="13" x14ac:dyDescent="0.15">
      <c r="A2399" s="4">
        <f ca="1">IFERROR(__xludf.DUMMYFUNCTION("""COMPUTED_VALUE"""),285509458)</f>
        <v>285509458</v>
      </c>
      <c r="B2399" s="1" t="str">
        <f ca="1">IFERROR(__xludf.DUMMYFUNCTION("""COMPUTED_VALUE"""),"withkathrynlee@gmail.com")</f>
        <v>withkathrynlee@gmail.com</v>
      </c>
      <c r="C2399" s="4" t="str">
        <f ca="1">IFERROR(__xludf.DUMMYFUNCTION("""COMPUTED_VALUE"""),"EVERGREEN - UAN Gated Content - Embedded Petition")</f>
        <v>EVERGREEN - UAN Gated Content - Embedded Petition</v>
      </c>
      <c r="D2399" s="5">
        <f ca="1">IFERROR(__xludf.DUMMYFUNCTION("""COMPUTED_VALUE"""),45702)</f>
        <v>45702</v>
      </c>
      <c r="F2399" s="1" t="str">
        <f ca="1">IFERROR(__xludf.DUMMYFUNCTION("""COMPUTED_VALUE"""),"Libya")</f>
        <v>Libya</v>
      </c>
      <c r="G2399" s="1" t="str">
        <f ca="1">IFERROR(__xludf.DUMMYFUNCTION("""COMPUTED_VALUE"""),"4.25 USA")</f>
        <v>4.25 USA</v>
      </c>
      <c r="H2399" s="1" t="str">
        <f ca="1">IFERROR(__xludf.DUMMYFUNCTION("""COMPUTED_VALUE"""),"Individuals At Risk, Refugee and Migrant Rights")</f>
        <v>Individuals At Risk, Refugee and Migrant Rights</v>
      </c>
      <c r="I2399" s="1" t="str">
        <f ca="1">IFERROR(__xludf.DUMMYFUNCTION("""COMPUTED_VALUE"""),"2025")</f>
        <v>2025</v>
      </c>
      <c r="J2399" s="1" t="str">
        <f ca="1">IFERROR(__xludf.DUMMYFUNCTION("""COMPUTED_VALUE"""),"Letter")</f>
        <v>Letter</v>
      </c>
    </row>
    <row r="2400" spans="1:10" ht="13" x14ac:dyDescent="0.15">
      <c r="A2400" s="4">
        <f ca="1">IFERROR(__xludf.DUMMYFUNCTION("""COMPUTED_VALUE"""),285509458)</f>
        <v>285509458</v>
      </c>
      <c r="B2400" s="1" t="str">
        <f ca="1">IFERROR(__xludf.DUMMYFUNCTION("""COMPUTED_VALUE"""),"withkathrynlee@gmail.com")</f>
        <v>withkathrynlee@gmail.com</v>
      </c>
      <c r="C2400" s="4" t="str">
        <f ca="1">IFERROR(__xludf.DUMMYFUNCTION("""COMPUTED_VALUE"""),"EVERGREEN - UAN Gated Content - Embedded Petition")</f>
        <v>EVERGREEN - UAN Gated Content - Embedded Petition</v>
      </c>
      <c r="D2400" s="5">
        <f ca="1">IFERROR(__xludf.DUMMYFUNCTION("""COMPUTED_VALUE"""),45702)</f>
        <v>45702</v>
      </c>
      <c r="F2400" s="1" t="str">
        <f ca="1">IFERROR(__xludf.DUMMYFUNCTION("""COMPUTED_VALUE"""),"USA")</f>
        <v>USA</v>
      </c>
      <c r="G2400" s="1" t="str">
        <f ca="1">IFERROR(__xludf.DUMMYFUNCTION("""COMPUTED_VALUE"""),"4.25 USA")</f>
        <v>4.25 USA</v>
      </c>
      <c r="H2400" s="1" t="str">
        <f ca="1">IFERROR(__xludf.DUMMYFUNCTION("""COMPUTED_VALUE"""),"Individuals At Risk, Refugee and Migrant Rights")</f>
        <v>Individuals At Risk, Refugee and Migrant Rights</v>
      </c>
      <c r="I2400" s="1" t="str">
        <f ca="1">IFERROR(__xludf.DUMMYFUNCTION("""COMPUTED_VALUE"""),"2025")</f>
        <v>2025</v>
      </c>
      <c r="J2400" s="1" t="str">
        <f ca="1">IFERROR(__xludf.DUMMYFUNCTION("""COMPUTED_VALUE"""),"Letter")</f>
        <v>Letter</v>
      </c>
    </row>
    <row r="2401" spans="1:10" ht="13" x14ac:dyDescent="0.15">
      <c r="A2401" s="4">
        <f ca="1">IFERROR(__xludf.DUMMYFUNCTION("""COMPUTED_VALUE"""),285509458)</f>
        <v>285509458</v>
      </c>
      <c r="B2401" s="1" t="str">
        <f ca="1">IFERROR(__xludf.DUMMYFUNCTION("""COMPUTED_VALUE"""),"withkathrynlee@gmail.com")</f>
        <v>withkathrynlee@gmail.com</v>
      </c>
      <c r="C2401" s="4" t="str">
        <f ca="1">IFERROR(__xludf.DUMMYFUNCTION("""COMPUTED_VALUE"""),"EVERGREEN - UAN Gated Content - Embedded Petition")</f>
        <v>EVERGREEN - UAN Gated Content - Embedded Petition</v>
      </c>
      <c r="D2401" s="5">
        <f ca="1">IFERROR(__xludf.DUMMYFUNCTION("""COMPUTED_VALUE"""),45699)</f>
        <v>45699</v>
      </c>
      <c r="F2401" s="1" t="str">
        <f ca="1">IFERROR(__xludf.DUMMYFUNCTION("""COMPUTED_VALUE"""),"USA")</f>
        <v>USA</v>
      </c>
      <c r="G2401" s="1" t="str">
        <f ca="1">IFERROR(__xludf.DUMMYFUNCTION("""COMPUTED_VALUE"""),"Second 43.24 Tunisia")</f>
        <v>Second 43.24 Tunisia</v>
      </c>
      <c r="H2401" s="1" t="str">
        <f ca="1">IFERROR(__xludf.DUMMYFUNCTION("""COMPUTED_VALUE"""),"Freedom of Expression, Individuals At Risk")</f>
        <v>Freedom of Expression, Individuals At Risk</v>
      </c>
      <c r="I2401" s="1" t="str">
        <f ca="1">IFERROR(__xludf.DUMMYFUNCTION("""COMPUTED_VALUE"""),"2024")</f>
        <v>2024</v>
      </c>
      <c r="J2401" s="1" t="str">
        <f ca="1">IFERROR(__xludf.DUMMYFUNCTION("""COMPUTED_VALUE"""),"Email")</f>
        <v>Email</v>
      </c>
    </row>
    <row r="2402" spans="1:10" ht="13" x14ac:dyDescent="0.15">
      <c r="A2402" s="4">
        <f ca="1">IFERROR(__xludf.DUMMYFUNCTION("""COMPUTED_VALUE"""),285509458)</f>
        <v>285509458</v>
      </c>
      <c r="B2402" s="1" t="str">
        <f ca="1">IFERROR(__xludf.DUMMYFUNCTION("""COMPUTED_VALUE"""),"withkathrynlee@gmail.com")</f>
        <v>withkathrynlee@gmail.com</v>
      </c>
      <c r="C2402" s="4" t="str">
        <f ca="1">IFERROR(__xludf.DUMMYFUNCTION("""COMPUTED_VALUE"""),"EVERGREEN - UAN Gated Content - Embedded Petition")</f>
        <v>EVERGREEN - UAN Gated Content - Embedded Petition</v>
      </c>
      <c r="D2402" s="5">
        <f ca="1">IFERROR(__xludf.DUMMYFUNCTION("""COMPUTED_VALUE"""),45702)</f>
        <v>45702</v>
      </c>
      <c r="F2402" s="1" t="str">
        <f ca="1">IFERROR(__xludf.DUMMYFUNCTION("""COMPUTED_VALUE"""),"Tunisia")</f>
        <v>Tunisia</v>
      </c>
      <c r="G2402" s="1" t="str">
        <f ca="1">IFERROR(__xludf.DUMMYFUNCTION("""COMPUTED_VALUE"""),"4.25 USA")</f>
        <v>4.25 USA</v>
      </c>
      <c r="H2402" s="1" t="str">
        <f ca="1">IFERROR(__xludf.DUMMYFUNCTION("""COMPUTED_VALUE"""),"Individuals At Risk, Refugee and Migrant Rights")</f>
        <v>Individuals At Risk, Refugee and Migrant Rights</v>
      </c>
      <c r="I2402" s="1" t="str">
        <f ca="1">IFERROR(__xludf.DUMMYFUNCTION("""COMPUTED_VALUE"""),"2025")</f>
        <v>2025</v>
      </c>
      <c r="J2402" s="1" t="str">
        <f ca="1">IFERROR(__xludf.DUMMYFUNCTION("""COMPUTED_VALUE"""),"Letter")</f>
        <v>Letter</v>
      </c>
    </row>
    <row r="2403" spans="1:10" ht="13" x14ac:dyDescent="0.15">
      <c r="A2403" s="4">
        <f ca="1">IFERROR(__xludf.DUMMYFUNCTION("""COMPUTED_VALUE"""),285509458)</f>
        <v>285509458</v>
      </c>
      <c r="B2403" s="1" t="str">
        <f ca="1">IFERROR(__xludf.DUMMYFUNCTION("""COMPUTED_VALUE"""),"withkathrynlee@gmail.com")</f>
        <v>withkathrynlee@gmail.com</v>
      </c>
      <c r="C2403" s="4" t="str">
        <f ca="1">IFERROR(__xludf.DUMMYFUNCTION("""COMPUTED_VALUE"""),"EVERGREEN - UAN Gated Content - Embedded Petition")</f>
        <v>EVERGREEN - UAN Gated Content - Embedded Petition</v>
      </c>
      <c r="D2403" s="5">
        <f ca="1">IFERROR(__xludf.DUMMYFUNCTION("""COMPUTED_VALUE"""),45702)</f>
        <v>45702</v>
      </c>
      <c r="F2403" s="1" t="str">
        <f ca="1">IFERROR(__xludf.DUMMYFUNCTION("""COMPUTED_VALUE"""),"USA")</f>
        <v>USA</v>
      </c>
      <c r="G2403" s="1" t="str">
        <f ca="1">IFERROR(__xludf.DUMMYFUNCTION("""COMPUTED_VALUE"""),"4.25 USA")</f>
        <v>4.25 USA</v>
      </c>
      <c r="H2403" s="1" t="str">
        <f ca="1">IFERROR(__xludf.DUMMYFUNCTION("""COMPUTED_VALUE"""),"Individuals At Risk, Refugee and Migrant Rights")</f>
        <v>Individuals At Risk, Refugee and Migrant Rights</v>
      </c>
      <c r="I2403" s="1" t="str">
        <f ca="1">IFERROR(__xludf.DUMMYFUNCTION("""COMPUTED_VALUE"""),"2025")</f>
        <v>2025</v>
      </c>
      <c r="J2403" s="1" t="str">
        <f ca="1">IFERROR(__xludf.DUMMYFUNCTION("""COMPUTED_VALUE"""),"Letter")</f>
        <v>Letter</v>
      </c>
    </row>
    <row r="2404" spans="1:10" ht="13" x14ac:dyDescent="0.15">
      <c r="A2404" s="4">
        <f ca="1">IFERROR(__xludf.DUMMYFUNCTION("""COMPUTED_VALUE"""),285509458)</f>
        <v>285509458</v>
      </c>
      <c r="B2404" s="1" t="str">
        <f ca="1">IFERROR(__xludf.DUMMYFUNCTION("""COMPUTED_VALUE"""),"withkathrynlee@gmail.com")</f>
        <v>withkathrynlee@gmail.com</v>
      </c>
      <c r="C2404" s="4" t="str">
        <f ca="1">IFERROR(__xludf.DUMMYFUNCTION("""COMPUTED_VALUE"""),"EVERGREEN - UAN Gated Content - Embedded Petition")</f>
        <v>EVERGREEN - UAN Gated Content - Embedded Petition</v>
      </c>
      <c r="D2404" s="5">
        <f ca="1">IFERROR(__xludf.DUMMYFUNCTION("""COMPUTED_VALUE"""),45702)</f>
        <v>45702</v>
      </c>
      <c r="F2404" s="1" t="str">
        <f ca="1">IFERROR(__xludf.DUMMYFUNCTION("""COMPUTED_VALUE"""),"USA")</f>
        <v>USA</v>
      </c>
      <c r="G2404" s="1" t="str">
        <f ca="1">IFERROR(__xludf.DUMMYFUNCTION("""COMPUTED_VALUE"""),"Second 80.23 Egypt")</f>
        <v>Second 80.23 Egypt</v>
      </c>
      <c r="H2404" s="1" t="str">
        <f ca="1">IFERROR(__xludf.DUMMYFUNCTION("""COMPUTED_VALUE"""),"Health, Individuals At Risk")</f>
        <v>Health, Individuals At Risk</v>
      </c>
      <c r="I2404" s="1" t="str">
        <f ca="1">IFERROR(__xludf.DUMMYFUNCTION("""COMPUTED_VALUE"""),"2025")</f>
        <v>2025</v>
      </c>
      <c r="J2404" s="1" t="str">
        <f ca="1">IFERROR(__xludf.DUMMYFUNCTION("""COMPUTED_VALUE"""),"Email")</f>
        <v>Email</v>
      </c>
    </row>
    <row r="2405" spans="1:10" ht="13" x14ac:dyDescent="0.15">
      <c r="A2405" s="4">
        <f ca="1">IFERROR(__xludf.DUMMYFUNCTION("""COMPUTED_VALUE"""),285509458)</f>
        <v>285509458</v>
      </c>
      <c r="B2405" s="1" t="str">
        <f ca="1">IFERROR(__xludf.DUMMYFUNCTION("""COMPUTED_VALUE"""),"withkathrynlee@gmail.com")</f>
        <v>withkathrynlee@gmail.com</v>
      </c>
      <c r="C2405" s="4" t="str">
        <f ca="1">IFERROR(__xludf.DUMMYFUNCTION("""COMPUTED_VALUE"""),"EVERGREEN - UAN Gated Content - Embedded Petition")</f>
        <v>EVERGREEN - UAN Gated Content - Embedded Petition</v>
      </c>
      <c r="D2405" s="5">
        <f ca="1">IFERROR(__xludf.DUMMYFUNCTION("""COMPUTED_VALUE"""),45702)</f>
        <v>45702</v>
      </c>
      <c r="F2405" s="1" t="str">
        <f ca="1">IFERROR(__xludf.DUMMYFUNCTION("""COMPUTED_VALUE"""),"Egypt")</f>
        <v>Egypt</v>
      </c>
      <c r="G2405" s="1" t="str">
        <f ca="1">IFERROR(__xludf.DUMMYFUNCTION("""COMPUTED_VALUE"""),"Second 80.23 Egypt")</f>
        <v>Second 80.23 Egypt</v>
      </c>
      <c r="H2405" s="1" t="str">
        <f ca="1">IFERROR(__xludf.DUMMYFUNCTION("""COMPUTED_VALUE"""),"Health, Individuals At Risk")</f>
        <v>Health, Individuals At Risk</v>
      </c>
      <c r="I2405" s="1" t="str">
        <f ca="1">IFERROR(__xludf.DUMMYFUNCTION("""COMPUTED_VALUE"""),"2025")</f>
        <v>2025</v>
      </c>
      <c r="J2405" s="1" t="str">
        <f ca="1">IFERROR(__xludf.DUMMYFUNCTION("""COMPUTED_VALUE"""),"Email")</f>
        <v>Email</v>
      </c>
    </row>
    <row r="2406" spans="1:10" ht="13" x14ac:dyDescent="0.15">
      <c r="A2406" s="4">
        <f ca="1">IFERROR(__xludf.DUMMYFUNCTION("""COMPUTED_VALUE"""),285509458)</f>
        <v>285509458</v>
      </c>
      <c r="B2406" s="1" t="str">
        <f ca="1">IFERROR(__xludf.DUMMYFUNCTION("""COMPUTED_VALUE"""),"withkathrynlee@gmail.com")</f>
        <v>withkathrynlee@gmail.com</v>
      </c>
      <c r="C2406" s="4" t="str">
        <f ca="1">IFERROR(__xludf.DUMMYFUNCTION("""COMPUTED_VALUE"""),"EVERGREEN - UAN Gated Content - Embedded Petition")</f>
        <v>EVERGREEN - UAN Gated Content - Embedded Petition</v>
      </c>
      <c r="D2406" s="5">
        <f ca="1">IFERROR(__xludf.DUMMYFUNCTION("""COMPUTED_VALUE"""),45706)</f>
        <v>45706</v>
      </c>
      <c r="F2406" s="1" t="str">
        <f ca="1">IFERROR(__xludf.DUMMYFUNCTION("""COMPUTED_VALUE"""),"Egypt")</f>
        <v>Egypt</v>
      </c>
    </row>
    <row r="2407" spans="1:10" ht="13" x14ac:dyDescent="0.15">
      <c r="A2407" s="4">
        <f ca="1">IFERROR(__xludf.DUMMYFUNCTION("""COMPUTED_VALUE"""),285509458)</f>
        <v>285509458</v>
      </c>
      <c r="B2407" s="1" t="str">
        <f ca="1">IFERROR(__xludf.DUMMYFUNCTION("""COMPUTED_VALUE"""),"withkathrynlee@gmail.com")</f>
        <v>withkathrynlee@gmail.com</v>
      </c>
      <c r="C2407" s="4" t="str">
        <f ca="1">IFERROR(__xludf.DUMMYFUNCTION("""COMPUTED_VALUE"""),"EVERGREEN - UAN Gated Content - Embedded Petition")</f>
        <v>EVERGREEN - UAN Gated Content - Embedded Petition</v>
      </c>
      <c r="D2407" s="5">
        <f ca="1">IFERROR(__xludf.DUMMYFUNCTION("""COMPUTED_VALUE"""),45706)</f>
        <v>45706</v>
      </c>
    </row>
    <row r="2408" spans="1:10" ht="13" x14ac:dyDescent="0.15">
      <c r="A2408" s="4">
        <f ca="1">IFERROR(__xludf.DUMMYFUNCTION("""COMPUTED_VALUE"""),285509458)</f>
        <v>285509458</v>
      </c>
      <c r="B2408" s="1" t="str">
        <f ca="1">IFERROR(__xludf.DUMMYFUNCTION("""COMPUTED_VALUE"""),"withkathrynlee@gmail.com")</f>
        <v>withkathrynlee@gmail.com</v>
      </c>
      <c r="C2408" s="4" t="str">
        <f ca="1">IFERROR(__xludf.DUMMYFUNCTION("""COMPUTED_VALUE"""),"EVERGREEN - UAN Gated Content - Embedded Petition")</f>
        <v>EVERGREEN - UAN Gated Content - Embedded Petition</v>
      </c>
      <c r="D2408" s="5">
        <f ca="1">IFERROR(__xludf.DUMMYFUNCTION("""COMPUTED_VALUE"""),45706)</f>
        <v>45706</v>
      </c>
    </row>
    <row r="2409" spans="1:10" ht="13" x14ac:dyDescent="0.15">
      <c r="A2409" s="4">
        <f ca="1">IFERROR(__xludf.DUMMYFUNCTION("""COMPUTED_VALUE"""),285509458)</f>
        <v>285509458</v>
      </c>
      <c r="B2409" s="1" t="str">
        <f ca="1">IFERROR(__xludf.DUMMYFUNCTION("""COMPUTED_VALUE"""),"withkathrynlee@gmail.com")</f>
        <v>withkathrynlee@gmail.com</v>
      </c>
      <c r="C2409" s="4" t="str">
        <f ca="1">IFERROR(__xludf.DUMMYFUNCTION("""COMPUTED_VALUE"""),"EVERGREEN - UAN Gated Content - Embedded Petition")</f>
        <v>EVERGREEN - UAN Gated Content - Embedded Petition</v>
      </c>
      <c r="D2409" s="5">
        <f ca="1">IFERROR(__xludf.DUMMYFUNCTION("""COMPUTED_VALUE"""),45706)</f>
        <v>45706</v>
      </c>
    </row>
    <row r="2410" spans="1:10" ht="13" x14ac:dyDescent="0.15">
      <c r="A2410" s="4">
        <f ca="1">IFERROR(__xludf.DUMMYFUNCTION("""COMPUTED_VALUE"""),285509458)</f>
        <v>285509458</v>
      </c>
      <c r="B2410" s="1" t="str">
        <f ca="1">IFERROR(__xludf.DUMMYFUNCTION("""COMPUTED_VALUE"""),"withkathrynlee@gmail.com")</f>
        <v>withkathrynlee@gmail.com</v>
      </c>
      <c r="C2410" s="4" t="str">
        <f ca="1">IFERROR(__xludf.DUMMYFUNCTION("""COMPUTED_VALUE"""),"EVERGREEN - UAN Gated Content - Embedded Petition")</f>
        <v>EVERGREEN - UAN Gated Content - Embedded Petition</v>
      </c>
      <c r="D2410" s="5">
        <f ca="1">IFERROR(__xludf.DUMMYFUNCTION("""COMPUTED_VALUE"""),45706)</f>
        <v>45706</v>
      </c>
    </row>
    <row r="2411" spans="1:10" ht="13" x14ac:dyDescent="0.15">
      <c r="A2411" s="4">
        <f ca="1">IFERROR(__xludf.DUMMYFUNCTION("""COMPUTED_VALUE"""),285509458)</f>
        <v>285509458</v>
      </c>
      <c r="B2411" s="1" t="str">
        <f ca="1">IFERROR(__xludf.DUMMYFUNCTION("""COMPUTED_VALUE"""),"withkathrynlee@gmail.com")</f>
        <v>withkathrynlee@gmail.com</v>
      </c>
      <c r="C2411" s="4" t="str">
        <f ca="1">IFERROR(__xludf.DUMMYFUNCTION("""COMPUTED_VALUE"""),"EVERGREEN - UAN Gated Content - Embedded Petition")</f>
        <v>EVERGREEN - UAN Gated Content - Embedded Petition</v>
      </c>
      <c r="D2411" s="5">
        <f ca="1">IFERROR(__xludf.DUMMYFUNCTION("""COMPUTED_VALUE"""),45617)</f>
        <v>45617</v>
      </c>
    </row>
    <row r="2412" spans="1:10" ht="13" x14ac:dyDescent="0.15">
      <c r="A2412" s="4">
        <f ca="1">IFERROR(__xludf.DUMMYFUNCTION("""COMPUTED_VALUE"""),285509458)</f>
        <v>285509458</v>
      </c>
      <c r="B2412" s="1" t="str">
        <f ca="1">IFERROR(__xludf.DUMMYFUNCTION("""COMPUTED_VALUE"""),"withkathrynlee@gmail.com")</f>
        <v>withkathrynlee@gmail.com</v>
      </c>
      <c r="C2412" s="4" t="str">
        <f ca="1">IFERROR(__xludf.DUMMYFUNCTION("""COMPUTED_VALUE"""),"EVERGREEN - UAN Gated Content - Embedded Petition")</f>
        <v>EVERGREEN - UAN Gated Content - Embedded Petition</v>
      </c>
      <c r="D2412" s="5">
        <f ca="1">IFERROR(__xludf.DUMMYFUNCTION("""COMPUTED_VALUE"""),45708)</f>
        <v>45708</v>
      </c>
    </row>
    <row r="2413" spans="1:10" ht="13" x14ac:dyDescent="0.15">
      <c r="A2413" s="4">
        <f ca="1">IFERROR(__xludf.DUMMYFUNCTION("""COMPUTED_VALUE"""),285509458)</f>
        <v>285509458</v>
      </c>
      <c r="B2413" s="1" t="str">
        <f ca="1">IFERROR(__xludf.DUMMYFUNCTION("""COMPUTED_VALUE"""),"withkathrynlee@gmail.com")</f>
        <v>withkathrynlee@gmail.com</v>
      </c>
      <c r="C2413" s="4" t="str">
        <f ca="1">IFERROR(__xludf.DUMMYFUNCTION("""COMPUTED_VALUE"""),"EVERGREEN - UAN Gated Content - Embedded Petition")</f>
        <v>EVERGREEN - UAN Gated Content - Embedded Petition</v>
      </c>
      <c r="D2413" s="5">
        <f ca="1">IFERROR(__xludf.DUMMYFUNCTION("""COMPUTED_VALUE"""),45708)</f>
        <v>45708</v>
      </c>
    </row>
    <row r="2414" spans="1:10" ht="13" x14ac:dyDescent="0.15">
      <c r="A2414" s="4">
        <f ca="1">IFERROR(__xludf.DUMMYFUNCTION("""COMPUTED_VALUE"""),285532559)</f>
        <v>285532559</v>
      </c>
      <c r="B2414" s="1" t="str">
        <f ca="1">IFERROR(__xludf.DUMMYFUNCTION("""COMPUTED_VALUE"""),"carolina@indietechsolutions.com")</f>
        <v>carolina@indietechsolutions.com</v>
      </c>
      <c r="C2414" s="4" t="str">
        <f ca="1">IFERROR(__xludf.DUMMYFUNCTION("""COMPUTED_VALUE"""),"EVERGREEN - UAN Gated Content - Embedded Petition")</f>
        <v>EVERGREEN - UAN Gated Content - Embedded Petition</v>
      </c>
      <c r="D2414" s="5">
        <f ca="1">IFERROR(__xludf.DUMMYFUNCTION("""COMPUTED_VALUE"""),45677)</f>
        <v>45677</v>
      </c>
    </row>
    <row r="2415" spans="1:10" ht="13" x14ac:dyDescent="0.15">
      <c r="A2415" s="4">
        <f ca="1">IFERROR(__xludf.DUMMYFUNCTION("""COMPUTED_VALUE"""),285532559)</f>
        <v>285532559</v>
      </c>
      <c r="B2415" s="1" t="str">
        <f ca="1">IFERROR(__xludf.DUMMYFUNCTION("""COMPUTED_VALUE"""),"carolina@indietechsolutions.com")</f>
        <v>carolina@indietechsolutions.com</v>
      </c>
      <c r="C2415" s="4" t="str">
        <f ca="1">IFERROR(__xludf.DUMMYFUNCTION("""COMPUTED_VALUE"""),"EVERGREEN - UAN Gated Content - Embedded Petition")</f>
        <v>EVERGREEN - UAN Gated Content - Embedded Petition</v>
      </c>
      <c r="D2415" s="5">
        <f ca="1">IFERROR(__xludf.DUMMYFUNCTION("""COMPUTED_VALUE"""),45678)</f>
        <v>45678</v>
      </c>
    </row>
    <row r="2416" spans="1:10" ht="13" x14ac:dyDescent="0.15">
      <c r="A2416" s="4">
        <f ca="1">IFERROR(__xludf.DUMMYFUNCTION("""COMPUTED_VALUE"""),285532559)</f>
        <v>285532559</v>
      </c>
      <c r="B2416" s="1" t="str">
        <f ca="1">IFERROR(__xludf.DUMMYFUNCTION("""COMPUTED_VALUE"""),"carolina@indietechsolutions.com")</f>
        <v>carolina@indietechsolutions.com</v>
      </c>
      <c r="C2416" s="4" t="str">
        <f ca="1">IFERROR(__xludf.DUMMYFUNCTION("""COMPUTED_VALUE"""),"EVERGREEN - UAN Gated Content - Embedded Petition")</f>
        <v>EVERGREEN - UAN Gated Content - Embedded Petition</v>
      </c>
      <c r="D2416" s="5">
        <f ca="1">IFERROR(__xludf.DUMMYFUNCTION("""COMPUTED_VALUE"""),45678)</f>
        <v>45678</v>
      </c>
    </row>
    <row r="2417" spans="1:4" ht="13" x14ac:dyDescent="0.15">
      <c r="A2417" s="4">
        <f ca="1">IFERROR(__xludf.DUMMYFUNCTION("""COMPUTED_VALUE"""),285532559)</f>
        <v>285532559</v>
      </c>
      <c r="B2417" s="1" t="str">
        <f ca="1">IFERROR(__xludf.DUMMYFUNCTION("""COMPUTED_VALUE"""),"carolina@indietechsolutions.com")</f>
        <v>carolina@indietechsolutions.com</v>
      </c>
      <c r="C2417" s="4" t="str">
        <f ca="1">IFERROR(__xludf.DUMMYFUNCTION("""COMPUTED_VALUE"""),"EVERGREEN - Website Email Capture Form - UAN Pre-Footer")</f>
        <v>EVERGREEN - Website Email Capture Form - UAN Pre-Footer</v>
      </c>
      <c r="D2417" s="5">
        <f ca="1">IFERROR(__xludf.DUMMYFUNCTION("""COMPUTED_VALUE"""),45614)</f>
        <v>45614</v>
      </c>
    </row>
    <row r="2418" spans="1:4" ht="13" x14ac:dyDescent="0.15">
      <c r="A2418" s="4">
        <f ca="1">IFERROR(__xludf.DUMMYFUNCTION("""COMPUTED_VALUE"""),285603762)</f>
        <v>285603762</v>
      </c>
      <c r="B2418" s="1" t="str">
        <f ca="1">IFERROR(__xludf.DUMMYFUNCTION("""COMPUTED_VALUE"""),"echristina202@gmail.com")</f>
        <v>echristina202@gmail.com</v>
      </c>
      <c r="C2418" s="4" t="str">
        <f ca="1">IFERROR(__xludf.DUMMYFUNCTION("""COMPUTED_VALUE"""),"EVERGREEN - UAN Gated Content - Embedded Petition")</f>
        <v>EVERGREEN - UAN Gated Content - Embedded Petition</v>
      </c>
      <c r="D2418" s="5">
        <f ca="1">IFERROR(__xludf.DUMMYFUNCTION("""COMPUTED_VALUE"""),45614)</f>
        <v>45614</v>
      </c>
    </row>
    <row r="2419" spans="1:4" ht="13" x14ac:dyDescent="0.15">
      <c r="A2419" s="4">
        <f ca="1">IFERROR(__xludf.DUMMYFUNCTION("""COMPUTED_VALUE"""),285606116)</f>
        <v>285606116</v>
      </c>
      <c r="B2419" s="1" t="str">
        <f ca="1">IFERROR(__xludf.DUMMYFUNCTION("""COMPUTED_VALUE"""),"kev.bryant1@gmail.com")</f>
        <v>kev.bryant1@gmail.com</v>
      </c>
      <c r="C2419" s="4" t="str">
        <f ca="1">IFERROR(__xludf.DUMMYFUNCTION("""COMPUTED_VALUE"""),"EVERGREEN - UAN Gated Content - Embedded Petition")</f>
        <v>EVERGREEN - UAN Gated Content - Embedded Petition</v>
      </c>
      <c r="D2419" s="5">
        <f ca="1">IFERROR(__xludf.DUMMYFUNCTION("""COMPUTED_VALUE"""),45614)</f>
        <v>45614</v>
      </c>
    </row>
    <row r="2420" spans="1:4" ht="13" x14ac:dyDescent="0.15">
      <c r="A2420" s="4">
        <f ca="1">IFERROR(__xludf.DUMMYFUNCTION("""COMPUTED_VALUE"""),285609761)</f>
        <v>285609761</v>
      </c>
      <c r="B2420" s="1" t="str">
        <f ca="1">IFERROR(__xludf.DUMMYFUNCTION("""COMPUTED_VALUE"""),"jhughson75@gmail.com")</f>
        <v>jhughson75@gmail.com</v>
      </c>
      <c r="C2420" s="4" t="str">
        <f ca="1">IFERROR(__xludf.DUMMYFUNCTION("""COMPUTED_VALUE"""),"EVERGREEN - UAN Gated Content - Embedded Petition")</f>
        <v>EVERGREEN - UAN Gated Content - Embedded Petition</v>
      </c>
      <c r="D2420" s="5">
        <f ca="1">IFERROR(__xludf.DUMMYFUNCTION("""COMPUTED_VALUE"""),45614)</f>
        <v>45614</v>
      </c>
    </row>
    <row r="2421" spans="1:4" ht="13" x14ac:dyDescent="0.15">
      <c r="A2421" s="4">
        <f ca="1">IFERROR(__xludf.DUMMYFUNCTION("""COMPUTED_VALUE"""),285616298)</f>
        <v>285616298</v>
      </c>
      <c r="B2421" s="1" t="str">
        <f ca="1">IFERROR(__xludf.DUMMYFUNCTION("""COMPUTED_VALUE"""),"daveskr@aol.com")</f>
        <v>daveskr@aol.com</v>
      </c>
      <c r="C2421" s="4" t="str">
        <f ca="1">IFERROR(__xludf.DUMMYFUNCTION("""COMPUTED_VALUE"""),"EVERGREEN - UAN Gated Content - Embedded Petition")</f>
        <v>EVERGREEN - UAN Gated Content - Embedded Petition</v>
      </c>
      <c r="D2421" s="5">
        <f ca="1">IFERROR(__xludf.DUMMYFUNCTION("""COMPUTED_VALUE"""),45615)</f>
        <v>45615</v>
      </c>
    </row>
    <row r="2422" spans="1:4" ht="13" x14ac:dyDescent="0.15">
      <c r="A2422" s="4">
        <f ca="1">IFERROR(__xludf.DUMMYFUNCTION("""COMPUTED_VALUE"""),285638713)</f>
        <v>285638713</v>
      </c>
      <c r="B2422" s="1" t="str">
        <f ca="1">IFERROR(__xludf.DUMMYFUNCTION("""COMPUTED_VALUE"""),"caroline.mazurek25@montville.net")</f>
        <v>caroline.mazurek25@montville.net</v>
      </c>
      <c r="C2422" s="4" t="str">
        <f ca="1">IFERROR(__xludf.DUMMYFUNCTION("""COMPUTED_VALUE"""),"EVERGREEN - UAN Gated Content - Embedded Petition")</f>
        <v>EVERGREEN - UAN Gated Content - Embedded Petition</v>
      </c>
      <c r="D2422" s="5">
        <f ca="1">IFERROR(__xludf.DUMMYFUNCTION("""COMPUTED_VALUE"""),45706)</f>
        <v>45706</v>
      </c>
    </row>
    <row r="2423" spans="1:4" ht="13" x14ac:dyDescent="0.15">
      <c r="A2423" s="4">
        <f ca="1">IFERROR(__xludf.DUMMYFUNCTION("""COMPUTED_VALUE"""),285638713)</f>
        <v>285638713</v>
      </c>
      <c r="B2423" s="1" t="str">
        <f ca="1">IFERROR(__xludf.DUMMYFUNCTION("""COMPUTED_VALUE"""),"caroline.mazurek25@montville.net")</f>
        <v>caroline.mazurek25@montville.net</v>
      </c>
      <c r="C2423" s="4" t="str">
        <f ca="1">IFERROR(__xludf.DUMMYFUNCTION("""COMPUTED_VALUE"""),"EVERGREEN - UAN Gated Content - Embedded Petition")</f>
        <v>EVERGREEN - UAN Gated Content - Embedded Petition</v>
      </c>
      <c r="D2423" s="5">
        <f ca="1">IFERROR(__xludf.DUMMYFUNCTION("""COMPUTED_VALUE"""),45615)</f>
        <v>45615</v>
      </c>
    </row>
    <row r="2424" spans="1:4" ht="13" x14ac:dyDescent="0.15">
      <c r="A2424" s="4">
        <f ca="1">IFERROR(__xludf.DUMMYFUNCTION("""COMPUTED_VALUE"""),285650023)</f>
        <v>285650023</v>
      </c>
      <c r="B2424" s="1" t="str">
        <f ca="1">IFERROR(__xludf.DUMMYFUNCTION("""COMPUTED_VALUE"""),"drewstu0@gmail.com")</f>
        <v>drewstu0@gmail.com</v>
      </c>
      <c r="C2424" s="4" t="str">
        <f ca="1">IFERROR(__xludf.DUMMYFUNCTION("""COMPUTED_VALUE"""),"EVERGREEN - UAN Gated Content - Embedded Petition")</f>
        <v>EVERGREEN - UAN Gated Content - Embedded Petition</v>
      </c>
      <c r="D2424" s="5">
        <f ca="1">IFERROR(__xludf.DUMMYFUNCTION("""COMPUTED_VALUE"""),45615)</f>
        <v>45615</v>
      </c>
    </row>
    <row r="2425" spans="1:4" ht="13" x14ac:dyDescent="0.15">
      <c r="A2425" s="4">
        <f ca="1">IFERROR(__xludf.DUMMYFUNCTION("""COMPUTED_VALUE"""),285661888)</f>
        <v>285661888</v>
      </c>
      <c r="B2425" s="1" t="str">
        <f ca="1">IFERROR(__xludf.DUMMYFUNCTION("""COMPUTED_VALUE"""),"agoldberg167@nyc.rr.com")</f>
        <v>agoldberg167@nyc.rr.com</v>
      </c>
      <c r="C2425" s="4" t="str">
        <f ca="1">IFERROR(__xludf.DUMMYFUNCTION("""COMPUTED_VALUE"""),"EVERGREEN - UAN Gated Content - Embedded Petition")</f>
        <v>EVERGREEN - UAN Gated Content - Embedded Petition</v>
      </c>
      <c r="D2425" s="5">
        <f ca="1">IFERROR(__xludf.DUMMYFUNCTION("""COMPUTED_VALUE"""),45615)</f>
        <v>45615</v>
      </c>
    </row>
    <row r="2426" spans="1:4" ht="13" x14ac:dyDescent="0.15">
      <c r="A2426" s="4">
        <f ca="1">IFERROR(__xludf.DUMMYFUNCTION("""COMPUTED_VALUE"""),285675964)</f>
        <v>285675964</v>
      </c>
      <c r="B2426" s="1" t="str">
        <f ca="1">IFERROR(__xludf.DUMMYFUNCTION("""COMPUTED_VALUE"""),"luckbigk@gmail.com")</f>
        <v>luckbigk@gmail.com</v>
      </c>
      <c r="C2426" s="4" t="str">
        <f ca="1">IFERROR(__xludf.DUMMYFUNCTION("""COMPUTED_VALUE"""),"EVERGREEN - UAN Gated Content - Embedded Petition")</f>
        <v>EVERGREEN - UAN Gated Content - Embedded Petition</v>
      </c>
      <c r="D2426" s="5">
        <f ca="1">IFERROR(__xludf.DUMMYFUNCTION("""COMPUTED_VALUE"""),45616)</f>
        <v>45616</v>
      </c>
    </row>
    <row r="2427" spans="1:4" ht="13" x14ac:dyDescent="0.15">
      <c r="A2427" s="4">
        <f ca="1">IFERROR(__xludf.DUMMYFUNCTION("""COMPUTED_VALUE"""),285686940)</f>
        <v>285686940</v>
      </c>
      <c r="B2427" s="1" t="str">
        <f ca="1">IFERROR(__xludf.DUMMYFUNCTION("""COMPUTED_VALUE"""),"bryan+20251120v3@4sitstudios.com")</f>
        <v>bryan+20251120v3@4sitstudios.com</v>
      </c>
      <c r="C2427" s="4" t="str">
        <f ca="1">IFERROR(__xludf.DUMMYFUNCTION("""COMPUTED_VALUE"""),"EVERGREEN - UAN Gated Content - Embedded Petition")</f>
        <v>EVERGREEN - UAN Gated Content - Embedded Petition</v>
      </c>
      <c r="D2427" s="5">
        <f ca="1">IFERROR(__xludf.DUMMYFUNCTION("""COMPUTED_VALUE"""),45616)</f>
        <v>45616</v>
      </c>
    </row>
    <row r="2428" spans="1:4" ht="13" x14ac:dyDescent="0.15">
      <c r="A2428" s="4">
        <f ca="1">IFERROR(__xludf.DUMMYFUNCTION("""COMPUTED_VALUE"""),285689763)</f>
        <v>285689763</v>
      </c>
      <c r="B2428" s="1" t="str">
        <f ca="1">IFERROR(__xludf.DUMMYFUNCTION("""COMPUTED_VALUE"""),"katie_grierson@redlands.edu")</f>
        <v>katie_grierson@redlands.edu</v>
      </c>
      <c r="C2428" s="4" t="str">
        <f ca="1">IFERROR(__xludf.DUMMYFUNCTION("""COMPUTED_VALUE"""),"EVERGREEN - UAN Gated Content - Embedded Petition")</f>
        <v>EVERGREEN - UAN Gated Content - Embedded Petition</v>
      </c>
      <c r="D2428" s="5">
        <f ca="1">IFERROR(__xludf.DUMMYFUNCTION("""COMPUTED_VALUE"""),45616)</f>
        <v>45616</v>
      </c>
    </row>
    <row r="2429" spans="1:4" ht="13" x14ac:dyDescent="0.15">
      <c r="A2429" s="4">
        <f ca="1">IFERROR(__xludf.DUMMYFUNCTION("""COMPUTED_VALUE"""),285697960)</f>
        <v>285697960</v>
      </c>
      <c r="B2429" s="1" t="str">
        <f ca="1">IFERROR(__xludf.DUMMYFUNCTION("""COMPUTED_VALUE"""),"kleidich@jrclosaltos.org")</f>
        <v>kleidich@jrclosaltos.org</v>
      </c>
      <c r="C2429" s="4" t="str">
        <f ca="1">IFERROR(__xludf.DUMMYFUNCTION("""COMPUTED_VALUE"""),"EVERGREEN - UAN Gated Content - Embedded Petition")</f>
        <v>EVERGREEN - UAN Gated Content - Embedded Petition</v>
      </c>
      <c r="D2429" s="5">
        <f ca="1">IFERROR(__xludf.DUMMYFUNCTION("""COMPUTED_VALUE"""),45616)</f>
        <v>45616</v>
      </c>
    </row>
    <row r="2430" spans="1:4" ht="13" x14ac:dyDescent="0.15">
      <c r="A2430" s="4">
        <f ca="1">IFERROR(__xludf.DUMMYFUNCTION("""COMPUTED_VALUE"""),285697960)</f>
        <v>285697960</v>
      </c>
      <c r="B2430" s="1" t="str">
        <f ca="1">IFERROR(__xludf.DUMMYFUNCTION("""COMPUTED_VALUE"""),"kleidich@jrclosaltos.org")</f>
        <v>kleidich@jrclosaltos.org</v>
      </c>
      <c r="C2430" s="4" t="str">
        <f ca="1">IFERROR(__xludf.DUMMYFUNCTION("""COMPUTED_VALUE"""),"EVERGREEN - UAN Gated Content - Embedded Petition")</f>
        <v>EVERGREEN - UAN Gated Content - Embedded Petition</v>
      </c>
      <c r="D2430" s="5">
        <f ca="1">IFERROR(__xludf.DUMMYFUNCTION("""COMPUTED_VALUE"""),45616)</f>
        <v>45616</v>
      </c>
    </row>
    <row r="2431" spans="1:4" ht="13" x14ac:dyDescent="0.15">
      <c r="A2431" s="4">
        <f ca="1">IFERROR(__xludf.DUMMYFUNCTION("""COMPUTED_VALUE"""),285727986)</f>
        <v>285727986</v>
      </c>
      <c r="B2431" s="1" t="str">
        <f ca="1">IFERROR(__xludf.DUMMYFUNCTION("""COMPUTED_VALUE"""),"k9ofkaos@gmail.com")</f>
        <v>k9ofkaos@gmail.com</v>
      </c>
      <c r="C2431" s="4" t="str">
        <f ca="1">IFERROR(__xludf.DUMMYFUNCTION("""COMPUTED_VALUE"""),"EVERGREEN - UAN Gated Content - Embedded Petition")</f>
        <v>EVERGREEN - UAN Gated Content - Embedded Petition</v>
      </c>
      <c r="D2431" s="5">
        <f ca="1">IFERROR(__xludf.DUMMYFUNCTION("""COMPUTED_VALUE"""),45617)</f>
        <v>45617</v>
      </c>
    </row>
    <row r="2432" spans="1:4" ht="13" x14ac:dyDescent="0.15">
      <c r="A2432" s="4">
        <f ca="1">IFERROR(__xludf.DUMMYFUNCTION("""COMPUTED_VALUE"""),285733043)</f>
        <v>285733043</v>
      </c>
      <c r="B2432" s="1" t="str">
        <f ca="1">IFERROR(__xludf.DUMMYFUNCTION("""COMPUTED_VALUE"""),"merelis.ortiz@gmail.com")</f>
        <v>merelis.ortiz@gmail.com</v>
      </c>
      <c r="C2432" s="4" t="str">
        <f ca="1">IFERROR(__xludf.DUMMYFUNCTION("""COMPUTED_VALUE"""),"EVERGREEN - UAN Gated Content - Embedded Petition")</f>
        <v>EVERGREEN - UAN Gated Content - Embedded Petition</v>
      </c>
      <c r="D2432" s="5">
        <f ca="1">IFERROR(__xludf.DUMMYFUNCTION("""COMPUTED_VALUE"""),45617)</f>
        <v>45617</v>
      </c>
    </row>
    <row r="2433" spans="1:4" ht="13" x14ac:dyDescent="0.15">
      <c r="A2433" s="4">
        <f ca="1">IFERROR(__xludf.DUMMYFUNCTION("""COMPUTED_VALUE"""),285845523)</f>
        <v>285845523</v>
      </c>
      <c r="B2433" s="1" t="str">
        <f ca="1">IFERROR(__xludf.DUMMYFUNCTION("""COMPUTED_VALUE"""),"mybubs336@gmail.com")</f>
        <v>mybubs336@gmail.com</v>
      </c>
      <c r="C2433" s="4" t="str">
        <f ca="1">IFERROR(__xludf.DUMMYFUNCTION("""COMPUTED_VALUE"""),"EVERGREEN - UAN Gated Content - Embedded Petition")</f>
        <v>EVERGREEN - UAN Gated Content - Embedded Petition</v>
      </c>
      <c r="D2433" s="5">
        <f ca="1">IFERROR(__xludf.DUMMYFUNCTION("""COMPUTED_VALUE"""),45622)</f>
        <v>45622</v>
      </c>
    </row>
    <row r="2434" spans="1:4" ht="13" x14ac:dyDescent="0.15">
      <c r="A2434" s="4">
        <f ca="1">IFERROR(__xludf.DUMMYFUNCTION("""COMPUTED_VALUE"""),285883933)</f>
        <v>285883933</v>
      </c>
      <c r="B2434" s="1" t="str">
        <f ca="1">IFERROR(__xludf.DUMMYFUNCTION("""COMPUTED_VALUE"""),"natachablankenship@icloud.com")</f>
        <v>natachablankenship@icloud.com</v>
      </c>
      <c r="C2434" s="4" t="str">
        <f ca="1">IFERROR(__xludf.DUMMYFUNCTION("""COMPUTED_VALUE"""),"EVERGREEN - UAN Gated Content - Embedded Petition")</f>
        <v>EVERGREEN - UAN Gated Content - Embedded Petition</v>
      </c>
      <c r="D2434" s="5">
        <f ca="1">IFERROR(__xludf.DUMMYFUNCTION("""COMPUTED_VALUE"""),45623)</f>
        <v>45623</v>
      </c>
    </row>
    <row r="2435" spans="1:4" ht="13" x14ac:dyDescent="0.15">
      <c r="A2435" s="4">
        <f ca="1">IFERROR(__xludf.DUMMYFUNCTION("""COMPUTED_VALUE"""),285902820)</f>
        <v>285902820</v>
      </c>
      <c r="B2435" s="1" t="str">
        <f ca="1">IFERROR(__xludf.DUMMYFUNCTION("""COMPUTED_VALUE"""),"jennifer.brody@gmail.com")</f>
        <v>jennifer.brody@gmail.com</v>
      </c>
      <c r="C2435" s="4" t="str">
        <f ca="1">IFERROR(__xludf.DUMMYFUNCTION("""COMPUTED_VALUE"""),"EVERGREEN - UAN Gated Content - Embedded Petition")</f>
        <v>EVERGREEN - UAN Gated Content - Embedded Petition</v>
      </c>
      <c r="D2435" s="5">
        <f ca="1">IFERROR(__xludf.DUMMYFUNCTION("""COMPUTED_VALUE"""),45672)</f>
        <v>45672</v>
      </c>
    </row>
    <row r="2436" spans="1:4" ht="13" x14ac:dyDescent="0.15">
      <c r="A2436" s="4">
        <f ca="1">IFERROR(__xludf.DUMMYFUNCTION("""COMPUTED_VALUE"""),285918347)</f>
        <v>285918347</v>
      </c>
      <c r="B2436" s="1" t="str">
        <f ca="1">IFERROR(__xludf.DUMMYFUNCTION("""COMPUTED_VALUE"""),"maaya.demenocal@gmailc.om")</f>
        <v>maaya.demenocal@gmailc.om</v>
      </c>
      <c r="C2436" s="4" t="str">
        <f ca="1">IFERROR(__xludf.DUMMYFUNCTION("""COMPUTED_VALUE"""),"EVERGREEN - UAN Gated Content - Embedded Petition")</f>
        <v>EVERGREEN - UAN Gated Content - Embedded Petition</v>
      </c>
      <c r="D2436" s="5">
        <f ca="1">IFERROR(__xludf.DUMMYFUNCTION("""COMPUTED_VALUE"""),45625)</f>
        <v>45625</v>
      </c>
    </row>
    <row r="2437" spans="1:4" ht="13" x14ac:dyDescent="0.15">
      <c r="A2437" s="4">
        <f ca="1">IFERROR(__xludf.DUMMYFUNCTION("""COMPUTED_VALUE"""),285918347)</f>
        <v>285918347</v>
      </c>
      <c r="B2437" s="1" t="str">
        <f ca="1">IFERROR(__xludf.DUMMYFUNCTION("""COMPUTED_VALUE"""),"maaya.demenocal@gmailc.om")</f>
        <v>maaya.demenocal@gmailc.om</v>
      </c>
      <c r="C2437" s="4" t="str">
        <f ca="1">IFERROR(__xludf.DUMMYFUNCTION("""COMPUTED_VALUE"""),"EVERGREEN - UAN Gated Content - Embedded Petition")</f>
        <v>EVERGREEN - UAN Gated Content - Embedded Petition</v>
      </c>
      <c r="D2437" s="5">
        <f ca="1">IFERROR(__xludf.DUMMYFUNCTION("""COMPUTED_VALUE"""),45625)</f>
        <v>45625</v>
      </c>
    </row>
    <row r="2438" spans="1:4" ht="13" x14ac:dyDescent="0.15">
      <c r="A2438" s="4">
        <f ca="1">IFERROR(__xludf.DUMMYFUNCTION("""COMPUTED_VALUE"""),285964476)</f>
        <v>285964476</v>
      </c>
      <c r="B2438" s="1" t="str">
        <f ca="1">IFERROR(__xludf.DUMMYFUNCTION("""COMPUTED_VALUE"""),"michael.espelin@gmail.com")</f>
        <v>michael.espelin@gmail.com</v>
      </c>
      <c r="C2438" s="4" t="str">
        <f ca="1">IFERROR(__xludf.DUMMYFUNCTION("""COMPUTED_VALUE"""),"EVERGREEN - UAN Gated Content - Embedded Petition")</f>
        <v>EVERGREEN - UAN Gated Content - Embedded Petition</v>
      </c>
      <c r="D2438" s="5">
        <f ca="1">IFERROR(__xludf.DUMMYFUNCTION("""COMPUTED_VALUE"""),45672)</f>
        <v>45672</v>
      </c>
    </row>
    <row r="2439" spans="1:4" ht="13" x14ac:dyDescent="0.15">
      <c r="A2439" s="4">
        <f ca="1">IFERROR(__xludf.DUMMYFUNCTION("""COMPUTED_VALUE"""),285989990)</f>
        <v>285989990</v>
      </c>
      <c r="B2439" s="1" t="str">
        <f ca="1">IFERROR(__xludf.DUMMYFUNCTION("""COMPUTED_VALUE"""),"aina30119@gmail.com")</f>
        <v>aina30119@gmail.com</v>
      </c>
      <c r="C2439" s="4" t="str">
        <f ca="1">IFERROR(__xludf.DUMMYFUNCTION("""COMPUTED_VALUE"""),"EVERGREEN - UAN Gated Content - Embedded Petition")</f>
        <v>EVERGREEN - UAN Gated Content - Embedded Petition</v>
      </c>
      <c r="D2439" s="5">
        <f ca="1">IFERROR(__xludf.DUMMYFUNCTION("""COMPUTED_VALUE"""),45675)</f>
        <v>45675</v>
      </c>
    </row>
    <row r="2440" spans="1:4" ht="13" x14ac:dyDescent="0.15">
      <c r="A2440" s="4">
        <f ca="1">IFERROR(__xludf.DUMMYFUNCTION("""COMPUTED_VALUE"""),285989990)</f>
        <v>285989990</v>
      </c>
      <c r="B2440" s="1" t="str">
        <f ca="1">IFERROR(__xludf.DUMMYFUNCTION("""COMPUTED_VALUE"""),"aina30119@gmail.com")</f>
        <v>aina30119@gmail.com</v>
      </c>
      <c r="C2440" s="4" t="str">
        <f ca="1">IFERROR(__xludf.DUMMYFUNCTION("""COMPUTED_VALUE"""),"EVERGREEN - UAN Gated Content - Embedded Petition")</f>
        <v>EVERGREEN - UAN Gated Content - Embedded Petition</v>
      </c>
      <c r="D2440" s="5">
        <f ca="1">IFERROR(__xludf.DUMMYFUNCTION("""COMPUTED_VALUE"""),45675)</f>
        <v>45675</v>
      </c>
    </row>
    <row r="2441" spans="1:4" ht="13" x14ac:dyDescent="0.15">
      <c r="A2441" s="4">
        <f ca="1">IFERROR(__xludf.DUMMYFUNCTION("""COMPUTED_VALUE"""),285989990)</f>
        <v>285989990</v>
      </c>
      <c r="B2441" s="1" t="str">
        <f ca="1">IFERROR(__xludf.DUMMYFUNCTION("""COMPUTED_VALUE"""),"aina30119@gmail.com")</f>
        <v>aina30119@gmail.com</v>
      </c>
      <c r="C2441" s="4" t="str">
        <f ca="1">IFERROR(__xludf.DUMMYFUNCTION("""COMPUTED_VALUE"""),"EVERGREEN - Website Email Capture Form - UAN Pre-Footer")</f>
        <v>EVERGREEN - Website Email Capture Form - UAN Pre-Footer</v>
      </c>
      <c r="D2441" s="5">
        <f ca="1">IFERROR(__xludf.DUMMYFUNCTION("""COMPUTED_VALUE"""),45647)</f>
        <v>45647</v>
      </c>
    </row>
    <row r="2442" spans="1:4" ht="13" x14ac:dyDescent="0.15">
      <c r="A2442" s="4">
        <f ca="1">IFERROR(__xludf.DUMMYFUNCTION("""COMPUTED_VALUE"""),285989990)</f>
        <v>285989990</v>
      </c>
      <c r="B2442" s="1" t="str">
        <f ca="1">IFERROR(__xludf.DUMMYFUNCTION("""COMPUTED_VALUE"""),"aina30119@gmail.com")</f>
        <v>aina30119@gmail.com</v>
      </c>
      <c r="C2442" s="4" t="str">
        <f ca="1">IFERROR(__xludf.DUMMYFUNCTION("""COMPUTED_VALUE"""),"EVERGREEN - Website Email Capture Form - UAN Pre-Footer")</f>
        <v>EVERGREEN - Website Email Capture Form - UAN Pre-Footer</v>
      </c>
      <c r="D2442" s="5">
        <f ca="1">IFERROR(__xludf.DUMMYFUNCTION("""COMPUTED_VALUE"""),45675)</f>
        <v>45675</v>
      </c>
    </row>
    <row r="2443" spans="1:4" ht="13" x14ac:dyDescent="0.15">
      <c r="A2443" s="4">
        <f ca="1">IFERROR(__xludf.DUMMYFUNCTION("""COMPUTED_VALUE"""),286030236)</f>
        <v>286030236</v>
      </c>
      <c r="B2443" s="1" t="str">
        <f ca="1">IFERROR(__xludf.DUMMYFUNCTION("""COMPUTED_VALUE"""),"bethany@criss.pro")</f>
        <v>bethany@criss.pro</v>
      </c>
      <c r="C2443" s="4" t="str">
        <f ca="1">IFERROR(__xludf.DUMMYFUNCTION("""COMPUTED_VALUE"""),"EVERGREEN - Website Email Capture Form - UAN Pre-Footer")</f>
        <v>EVERGREEN - Website Email Capture Form - UAN Pre-Footer</v>
      </c>
      <c r="D2443" s="5">
        <f ca="1">IFERROR(__xludf.DUMMYFUNCTION("""COMPUTED_VALUE"""),45629)</f>
        <v>45629</v>
      </c>
    </row>
    <row r="2444" spans="1:4" ht="13" x14ac:dyDescent="0.15">
      <c r="A2444" s="4">
        <f ca="1">IFERROR(__xludf.DUMMYFUNCTION("""COMPUTED_VALUE"""),286070851)</f>
        <v>286070851</v>
      </c>
      <c r="B2444" s="1" t="str">
        <f ca="1">IFERROR(__xludf.DUMMYFUNCTION("""COMPUTED_VALUE"""),"michelle.mcaffee@signiaworks.com")</f>
        <v>michelle.mcaffee@signiaworks.com</v>
      </c>
      <c r="C2444" s="4" t="str">
        <f ca="1">IFERROR(__xludf.DUMMYFUNCTION("""COMPUTED_VALUE"""),"EVERGREEN - UAN Gated Content - Embedded Petition")</f>
        <v>EVERGREEN - UAN Gated Content - Embedded Petition</v>
      </c>
      <c r="D2444" s="5">
        <f ca="1">IFERROR(__xludf.DUMMYFUNCTION("""COMPUTED_VALUE"""),45630)</f>
        <v>45630</v>
      </c>
    </row>
    <row r="2445" spans="1:4" ht="13" x14ac:dyDescent="0.15">
      <c r="A2445" s="4">
        <f ca="1">IFERROR(__xludf.DUMMYFUNCTION("""COMPUTED_VALUE"""),286088675)</f>
        <v>286088675</v>
      </c>
      <c r="B2445" s="1" t="str">
        <f ca="1">IFERROR(__xludf.DUMMYFUNCTION("""COMPUTED_VALUE"""),"akshaya.mohan@duke.edu")</f>
        <v>akshaya.mohan@duke.edu</v>
      </c>
      <c r="C2445" s="4" t="str">
        <f ca="1">IFERROR(__xludf.DUMMYFUNCTION("""COMPUTED_VALUE"""),"EVERGREEN - UAN Gated Content - Embedded Petition")</f>
        <v>EVERGREEN - UAN Gated Content - Embedded Petition</v>
      </c>
      <c r="D2445" s="5">
        <f ca="1">IFERROR(__xludf.DUMMYFUNCTION("""COMPUTED_VALUE"""),45671)</f>
        <v>45671</v>
      </c>
    </row>
    <row r="2446" spans="1:4" ht="13" x14ac:dyDescent="0.15">
      <c r="A2446" s="4">
        <f ca="1">IFERROR(__xludf.DUMMYFUNCTION("""COMPUTED_VALUE"""),286088802)</f>
        <v>286088802</v>
      </c>
      <c r="B2446" s="1" t="str">
        <f ca="1">IFERROR(__xludf.DUMMYFUNCTION("""COMPUTED_VALUE"""),"clairehelmsley@gmail.com")</f>
        <v>clairehelmsley@gmail.com</v>
      </c>
      <c r="C2446" s="4" t="str">
        <f ca="1">IFERROR(__xludf.DUMMYFUNCTION("""COMPUTED_VALUE"""),"EVERGREEN - UAN Gated Content - Embedded Petition")</f>
        <v>EVERGREEN - UAN Gated Content - Embedded Petition</v>
      </c>
      <c r="D2446" s="5">
        <f ca="1">IFERROR(__xludf.DUMMYFUNCTION("""COMPUTED_VALUE"""),45663)</f>
        <v>45663</v>
      </c>
    </row>
    <row r="2447" spans="1:4" ht="13" x14ac:dyDescent="0.15">
      <c r="A2447" s="4">
        <f ca="1">IFERROR(__xludf.DUMMYFUNCTION("""COMPUTED_VALUE"""),286112808)</f>
        <v>286112808</v>
      </c>
      <c r="B2447" s="1" t="str">
        <f ca="1">IFERROR(__xludf.DUMMYFUNCTION("""COMPUTED_VALUE"""),"eperryire@glail.com")</f>
        <v>eperryire@glail.com</v>
      </c>
      <c r="C2447" s="4" t="str">
        <f ca="1">IFERROR(__xludf.DUMMYFUNCTION("""COMPUTED_VALUE"""),"EVERGREEN - UAN Gated Content - Embedded Petition")</f>
        <v>EVERGREEN - UAN Gated Content - Embedded Petition</v>
      </c>
      <c r="D2447" s="5">
        <f ca="1">IFERROR(__xludf.DUMMYFUNCTION("""COMPUTED_VALUE"""),45631)</f>
        <v>45631</v>
      </c>
    </row>
    <row r="2448" spans="1:4" ht="13" x14ac:dyDescent="0.15">
      <c r="A2448" s="4">
        <f ca="1">IFERROR(__xludf.DUMMYFUNCTION("""COMPUTED_VALUE"""),286135841)</f>
        <v>286135841</v>
      </c>
      <c r="B2448" s="1" t="str">
        <f ca="1">IFERROR(__xludf.DUMMYFUNCTION("""COMPUTED_VALUE"""),"pasisz@gmail.com")</f>
        <v>pasisz@gmail.com</v>
      </c>
      <c r="C2448" s="4" t="str">
        <f ca="1">IFERROR(__xludf.DUMMYFUNCTION("""COMPUTED_VALUE"""),"EVERGREEN - UAN Gated Content - Embedded Petition")</f>
        <v>EVERGREEN - UAN Gated Content - Embedded Petition</v>
      </c>
      <c r="D2448" s="5">
        <f ca="1">IFERROR(__xludf.DUMMYFUNCTION("""COMPUTED_VALUE"""),45685)</f>
        <v>45685</v>
      </c>
    </row>
    <row r="2449" spans="1:4" ht="13" x14ac:dyDescent="0.15">
      <c r="A2449" s="4">
        <f ca="1">IFERROR(__xludf.DUMMYFUNCTION("""COMPUTED_VALUE"""),286157489)</f>
        <v>286157489</v>
      </c>
      <c r="B2449" s="1" t="str">
        <f ca="1">IFERROR(__xludf.DUMMYFUNCTION("""COMPUTED_VALUE"""),"jnb66897@gmail.com")</f>
        <v>jnb66897@gmail.com</v>
      </c>
      <c r="C2449" s="4" t="str">
        <f ca="1">IFERROR(__xludf.DUMMYFUNCTION("""COMPUTED_VALUE"""),"EVERGREEN - UAN Gated Content - Embedded Petition")</f>
        <v>EVERGREEN - UAN Gated Content - Embedded Petition</v>
      </c>
      <c r="D2449" s="5">
        <f ca="1">IFERROR(__xludf.DUMMYFUNCTION("""COMPUTED_VALUE"""),45632)</f>
        <v>45632</v>
      </c>
    </row>
    <row r="2450" spans="1:4" ht="13" x14ac:dyDescent="0.15">
      <c r="A2450" s="4">
        <f ca="1">IFERROR(__xludf.DUMMYFUNCTION("""COMPUTED_VALUE"""),286161014)</f>
        <v>286161014</v>
      </c>
      <c r="B2450" s="1" t="str">
        <f ca="1">IFERROR(__xludf.DUMMYFUNCTION("""COMPUTED_VALUE"""),"dungnguyen15046@gmail.com")</f>
        <v>dungnguyen15046@gmail.com</v>
      </c>
      <c r="C2450" s="4" t="str">
        <f ca="1">IFERROR(__xludf.DUMMYFUNCTION("""COMPUTED_VALUE"""),"EVERGREEN - UAN Gated Content - Embedded Petition")</f>
        <v>EVERGREEN - UAN Gated Content - Embedded Petition</v>
      </c>
      <c r="D2450" s="5">
        <f ca="1">IFERROR(__xludf.DUMMYFUNCTION("""COMPUTED_VALUE"""),45696)</f>
        <v>45696</v>
      </c>
    </row>
    <row r="2451" spans="1:4" ht="13" x14ac:dyDescent="0.15">
      <c r="A2451" s="4">
        <f ca="1">IFERROR(__xludf.DUMMYFUNCTION("""COMPUTED_VALUE"""),286199864)</f>
        <v>286199864</v>
      </c>
      <c r="B2451" s="1" t="str">
        <f ca="1">IFERROR(__xludf.DUMMYFUNCTION("""COMPUTED_VALUE"""),"katherynmselby@gmail.com")</f>
        <v>katherynmselby@gmail.com</v>
      </c>
      <c r="C2451" s="4" t="str">
        <f ca="1">IFERROR(__xludf.DUMMYFUNCTION("""COMPUTED_VALUE"""),"EVERGREEN - UAN Gated Content - Embedded Petition")</f>
        <v>EVERGREEN - UAN Gated Content - Embedded Petition</v>
      </c>
      <c r="D2451" s="5">
        <f ca="1">IFERROR(__xludf.DUMMYFUNCTION("""COMPUTED_VALUE"""),45694)</f>
        <v>45694</v>
      </c>
    </row>
    <row r="2452" spans="1:4" ht="13" x14ac:dyDescent="0.15">
      <c r="A2452" s="4">
        <f ca="1">IFERROR(__xludf.DUMMYFUNCTION("""COMPUTED_VALUE"""),286209181)</f>
        <v>286209181</v>
      </c>
      <c r="B2452" s="1" t="str">
        <f ca="1">IFERROR(__xludf.DUMMYFUNCTION("""COMPUTED_VALUE"""),"loz_iswayout@hotmail.com")</f>
        <v>loz_iswayout@hotmail.com</v>
      </c>
      <c r="C2452" s="4" t="str">
        <f ca="1">IFERROR(__xludf.DUMMYFUNCTION("""COMPUTED_VALUE"""),"EVERGREEN - UAN Gated Content - Embedded Petition")</f>
        <v>EVERGREEN - UAN Gated Content - Embedded Petition</v>
      </c>
      <c r="D2452" s="5">
        <f ca="1">IFERROR(__xludf.DUMMYFUNCTION("""COMPUTED_VALUE"""),45695)</f>
        <v>45695</v>
      </c>
    </row>
    <row r="2453" spans="1:4" ht="13" x14ac:dyDescent="0.15">
      <c r="A2453" s="4">
        <f ca="1">IFERROR(__xludf.DUMMYFUNCTION("""COMPUTED_VALUE"""),286216484)</f>
        <v>286216484</v>
      </c>
      <c r="B2453" s="1" t="str">
        <f ca="1">IFERROR(__xludf.DUMMYFUNCTION("""COMPUTED_VALUE"""),"julialiuzzi@hotmail.com")</f>
        <v>julialiuzzi@hotmail.com</v>
      </c>
      <c r="C2453" s="4" t="str">
        <f ca="1">IFERROR(__xludf.DUMMYFUNCTION("""COMPUTED_VALUE"""),"EVERGREEN - UAN Gated Content - Embedded Petition")</f>
        <v>EVERGREEN - UAN Gated Content - Embedded Petition</v>
      </c>
      <c r="D2453" s="5">
        <f ca="1">IFERROR(__xludf.DUMMYFUNCTION("""COMPUTED_VALUE"""),45635)</f>
        <v>45635</v>
      </c>
    </row>
    <row r="2454" spans="1:4" ht="13" x14ac:dyDescent="0.15">
      <c r="A2454" s="4">
        <f ca="1">IFERROR(__xludf.DUMMYFUNCTION("""COMPUTED_VALUE"""),286234021)</f>
        <v>286234021</v>
      </c>
      <c r="B2454" s="1" t="str">
        <f ca="1">IFERROR(__xludf.DUMMYFUNCTION("""COMPUTED_VALUE"""),"cassy@puntney.com")</f>
        <v>cassy@puntney.com</v>
      </c>
      <c r="C2454" s="4" t="str">
        <f ca="1">IFERROR(__xludf.DUMMYFUNCTION("""COMPUTED_VALUE"""),"EVERGREEN - UAN Gated Content - Embedded Petition")</f>
        <v>EVERGREEN - UAN Gated Content - Embedded Petition</v>
      </c>
      <c r="D2454" s="5">
        <f ca="1">IFERROR(__xludf.DUMMYFUNCTION("""COMPUTED_VALUE"""),45636)</f>
        <v>45636</v>
      </c>
    </row>
    <row r="2455" spans="1:4" ht="13" x14ac:dyDescent="0.15">
      <c r="A2455" s="4">
        <f ca="1">IFERROR(__xludf.DUMMYFUNCTION("""COMPUTED_VALUE"""),286236106)</f>
        <v>286236106</v>
      </c>
      <c r="B2455" s="1" t="str">
        <f ca="1">IFERROR(__xludf.DUMMYFUNCTION("""COMPUTED_VALUE"""),"ray.flynn@outlook.com")</f>
        <v>ray.flynn@outlook.com</v>
      </c>
      <c r="C2455" s="4" t="str">
        <f ca="1">IFERROR(__xludf.DUMMYFUNCTION("""COMPUTED_VALUE"""),"EVERGREEN - UAN Gated Content - Embedded Petition")</f>
        <v>EVERGREEN - UAN Gated Content - Embedded Petition</v>
      </c>
      <c r="D2455" s="5">
        <f ca="1">IFERROR(__xludf.DUMMYFUNCTION("""COMPUTED_VALUE"""),45636)</f>
        <v>45636</v>
      </c>
    </row>
    <row r="2456" spans="1:4" ht="13" x14ac:dyDescent="0.15">
      <c r="A2456" s="4">
        <f ca="1">IFERROR(__xludf.DUMMYFUNCTION("""COMPUTED_VALUE"""),286237451)</f>
        <v>286237451</v>
      </c>
      <c r="B2456" s="1" t="str">
        <f ca="1">IFERROR(__xludf.DUMMYFUNCTION("""COMPUTED_VALUE"""),"rcmaven@gmail.com")</f>
        <v>rcmaven@gmail.com</v>
      </c>
      <c r="C2456" s="4" t="str">
        <f ca="1">IFERROR(__xludf.DUMMYFUNCTION("""COMPUTED_VALUE"""),"EVERGREEN - Website Email Capture Form - UAN Pre-Footer")</f>
        <v>EVERGREEN - Website Email Capture Form - UAN Pre-Footer</v>
      </c>
      <c r="D2456" s="5">
        <f ca="1">IFERROR(__xludf.DUMMYFUNCTION("""COMPUTED_VALUE"""),45636)</f>
        <v>45636</v>
      </c>
    </row>
    <row r="2457" spans="1:4" ht="13" x14ac:dyDescent="0.15">
      <c r="A2457" s="4">
        <f ca="1">IFERROR(__xludf.DUMMYFUNCTION("""COMPUTED_VALUE"""),286237952)</f>
        <v>286237952</v>
      </c>
      <c r="B2457" s="1" t="str">
        <f ca="1">IFERROR(__xludf.DUMMYFUNCTION("""COMPUTED_VALUE"""),"douglas.kent.barry@gmail.com")</f>
        <v>douglas.kent.barry@gmail.com</v>
      </c>
      <c r="C2457" s="4" t="str">
        <f ca="1">IFERROR(__xludf.DUMMYFUNCTION("""COMPUTED_VALUE"""),"EVERGREEN - UAN Gated Content - Embedded Petition")</f>
        <v>EVERGREEN - UAN Gated Content - Embedded Petition</v>
      </c>
      <c r="D2457" s="5">
        <f ca="1">IFERROR(__xludf.DUMMYFUNCTION("""COMPUTED_VALUE"""),45636)</f>
        <v>45636</v>
      </c>
    </row>
    <row r="2458" spans="1:4" ht="13" x14ac:dyDescent="0.15">
      <c r="A2458" s="4">
        <f ca="1">IFERROR(__xludf.DUMMYFUNCTION("""COMPUTED_VALUE"""),286241321)</f>
        <v>286241321</v>
      </c>
      <c r="B2458" s="1" t="str">
        <f ca="1">IFERROR(__xludf.DUMMYFUNCTION("""COMPUTED_VALUE"""),"robertkurnick@gmail.com")</f>
        <v>robertkurnick@gmail.com</v>
      </c>
      <c r="C2458" s="4" t="str">
        <f ca="1">IFERROR(__xludf.DUMMYFUNCTION("""COMPUTED_VALUE"""),"EVERGREEN - UAN Gated Content - Embedded Petition")</f>
        <v>EVERGREEN - UAN Gated Content - Embedded Petition</v>
      </c>
      <c r="D2458" s="5">
        <f ca="1">IFERROR(__xludf.DUMMYFUNCTION("""COMPUTED_VALUE"""),45694)</f>
        <v>45694</v>
      </c>
    </row>
    <row r="2459" spans="1:4" ht="13" x14ac:dyDescent="0.15">
      <c r="A2459" s="4">
        <f ca="1">IFERROR(__xludf.DUMMYFUNCTION("""COMPUTED_VALUE"""),286244761)</f>
        <v>286244761</v>
      </c>
      <c r="B2459" s="1" t="str">
        <f ca="1">IFERROR(__xludf.DUMMYFUNCTION("""COMPUTED_VALUE"""),"mgadsden04@gmail.com")</f>
        <v>mgadsden04@gmail.com</v>
      </c>
      <c r="C2459" s="4" t="str">
        <f ca="1">IFERROR(__xludf.DUMMYFUNCTION("""COMPUTED_VALUE"""),"UAN mid-page Lightbox - Step 1 of 4 - Landing Page")</f>
        <v>UAN mid-page Lightbox - Step 1 of 4 - Landing Page</v>
      </c>
      <c r="D2459" s="5">
        <f ca="1">IFERROR(__xludf.DUMMYFUNCTION("""COMPUTED_VALUE"""),45636)</f>
        <v>45636</v>
      </c>
    </row>
    <row r="2460" spans="1:4" ht="13" x14ac:dyDescent="0.15">
      <c r="A2460" s="4">
        <f ca="1">IFERROR(__xludf.DUMMYFUNCTION("""COMPUTED_VALUE"""),286244761)</f>
        <v>286244761</v>
      </c>
      <c r="B2460" s="1" t="str">
        <f ca="1">IFERROR(__xludf.DUMMYFUNCTION("""COMPUTED_VALUE"""),"mgadsden04@gmail.com")</f>
        <v>mgadsden04@gmail.com</v>
      </c>
      <c r="C2460" s="4" t="str">
        <f ca="1">IFERROR(__xludf.DUMMYFUNCTION("""COMPUTED_VALUE"""),"UAN mid-page Lightbox - Step 2 of 4 - More personal info fields")</f>
        <v>UAN mid-page Lightbox - Step 2 of 4 - More personal info fields</v>
      </c>
      <c r="D2460" s="5">
        <f ca="1">IFERROR(__xludf.DUMMYFUNCTION("""COMPUTED_VALUE"""),45636)</f>
        <v>45636</v>
      </c>
    </row>
    <row r="2461" spans="1:4" ht="13" x14ac:dyDescent="0.15">
      <c r="A2461" s="4">
        <f ca="1">IFERROR(__xludf.DUMMYFUNCTION("""COMPUTED_VALUE"""),286244761)</f>
        <v>286244761</v>
      </c>
      <c r="B2461" s="1" t="str">
        <f ca="1">IFERROR(__xludf.DUMMYFUNCTION("""COMPUTED_VALUE"""),"mgadsden04@gmail.com")</f>
        <v>mgadsden04@gmail.com</v>
      </c>
      <c r="C2461" s="4" t="str">
        <f ca="1">IFERROR(__xludf.DUMMYFUNCTION("""COMPUTED_VALUE"""),"UAN mid-page Lightbox - Step 3 of 4 - More opt-ins")</f>
        <v>UAN mid-page Lightbox - Step 3 of 4 - More opt-ins</v>
      </c>
      <c r="D2461" s="5">
        <f ca="1">IFERROR(__xludf.DUMMYFUNCTION("""COMPUTED_VALUE"""),45636)</f>
        <v>45636</v>
      </c>
    </row>
    <row r="2462" spans="1:4" ht="13" x14ac:dyDescent="0.15">
      <c r="A2462" s="4">
        <f ca="1">IFERROR(__xludf.DUMMYFUNCTION("""COMPUTED_VALUE"""),286247086)</f>
        <v>286247086</v>
      </c>
      <c r="B2462" s="1" t="str">
        <f ca="1">IFERROR(__xludf.DUMMYFUNCTION("""COMPUTED_VALUE"""),"beirutmppres@gmail.com")</f>
        <v>beirutmppres@gmail.com</v>
      </c>
      <c r="C2462" s="4" t="str">
        <f ca="1">IFERROR(__xludf.DUMMYFUNCTION("""COMPUTED_VALUE"""),"EVERGREEN - UAN Gated Content - Embedded Petition")</f>
        <v>EVERGREEN - UAN Gated Content - Embedded Petition</v>
      </c>
      <c r="D2462" s="5">
        <f ca="1">IFERROR(__xludf.DUMMYFUNCTION("""COMPUTED_VALUE"""),45636)</f>
        <v>45636</v>
      </c>
    </row>
    <row r="2463" spans="1:4" ht="13" x14ac:dyDescent="0.15">
      <c r="A2463" s="4">
        <f ca="1">IFERROR(__xludf.DUMMYFUNCTION("""COMPUTED_VALUE"""),286248956)</f>
        <v>286248956</v>
      </c>
      <c r="B2463" s="1" t="str">
        <f ca="1">IFERROR(__xludf.DUMMYFUNCTION("""COMPUTED_VALUE"""),"socjsticeadvocate@verizon.net")</f>
        <v>socjsticeadvocate@verizon.net</v>
      </c>
      <c r="C2463" s="4" t="str">
        <f ca="1">IFERROR(__xludf.DUMMYFUNCTION("""COMPUTED_VALUE"""),"EVERGREEN - UAN Gated Content - Embedded Petition")</f>
        <v>EVERGREEN - UAN Gated Content - Embedded Petition</v>
      </c>
      <c r="D2463" s="5">
        <f ca="1">IFERROR(__xludf.DUMMYFUNCTION("""COMPUTED_VALUE"""),45636)</f>
        <v>45636</v>
      </c>
    </row>
    <row r="2464" spans="1:4" ht="13" x14ac:dyDescent="0.15">
      <c r="A2464" s="4">
        <f ca="1">IFERROR(__xludf.DUMMYFUNCTION("""COMPUTED_VALUE"""),286279658)</f>
        <v>286279658</v>
      </c>
      <c r="B2464" s="1" t="str">
        <f ca="1">IFERROR(__xludf.DUMMYFUNCTION("""COMPUTED_VALUE"""),"js.mcgrath@ntlworld.com")</f>
        <v>js.mcgrath@ntlworld.com</v>
      </c>
      <c r="C2464" s="4" t="str">
        <f ca="1">IFERROR(__xludf.DUMMYFUNCTION("""COMPUTED_VALUE"""),"EVERGREEN - UAN Gated Content - Embedded Petition")</f>
        <v>EVERGREEN - UAN Gated Content - Embedded Petition</v>
      </c>
      <c r="D2464" s="5">
        <f ca="1">IFERROR(__xludf.DUMMYFUNCTION("""COMPUTED_VALUE"""),45638)</f>
        <v>45638</v>
      </c>
    </row>
    <row r="2465" spans="1:4" ht="13" x14ac:dyDescent="0.15">
      <c r="A2465" s="4">
        <f ca="1">IFERROR(__xludf.DUMMYFUNCTION("""COMPUTED_VALUE"""),286300811)</f>
        <v>286300811</v>
      </c>
      <c r="B2465" s="1" t="str">
        <f ca="1">IFERROR(__xludf.DUMMYFUNCTION("""COMPUTED_VALUE"""),"cgvenegas91@gmail.com")</f>
        <v>cgvenegas91@gmail.com</v>
      </c>
      <c r="C2465" s="4" t="str">
        <f ca="1">IFERROR(__xludf.DUMMYFUNCTION("""COMPUTED_VALUE"""),"UAN mid-page Lightbox - Step 1 of 4 - Landing Page")</f>
        <v>UAN mid-page Lightbox - Step 1 of 4 - Landing Page</v>
      </c>
      <c r="D2465" s="5">
        <f ca="1">IFERROR(__xludf.DUMMYFUNCTION("""COMPUTED_VALUE"""),45638)</f>
        <v>45638</v>
      </c>
    </row>
    <row r="2466" spans="1:4" ht="13" x14ac:dyDescent="0.15">
      <c r="A2466" s="4">
        <f ca="1">IFERROR(__xludf.DUMMYFUNCTION("""COMPUTED_VALUE"""),286300811)</f>
        <v>286300811</v>
      </c>
      <c r="B2466" s="1" t="str">
        <f ca="1">IFERROR(__xludf.DUMMYFUNCTION("""COMPUTED_VALUE"""),"cgvenegas91@gmail.com")</f>
        <v>cgvenegas91@gmail.com</v>
      </c>
      <c r="C2466" s="4" t="str">
        <f ca="1">IFERROR(__xludf.DUMMYFUNCTION("""COMPUTED_VALUE"""),"UAN mid-page Lightbox - Step 2 of 4 - More personal info fields")</f>
        <v>UAN mid-page Lightbox - Step 2 of 4 - More personal info fields</v>
      </c>
      <c r="D2466" s="5">
        <f ca="1">IFERROR(__xludf.DUMMYFUNCTION("""COMPUTED_VALUE"""),45638)</f>
        <v>45638</v>
      </c>
    </row>
    <row r="2467" spans="1:4" ht="13" x14ac:dyDescent="0.15">
      <c r="A2467" s="4">
        <f ca="1">IFERROR(__xludf.DUMMYFUNCTION("""COMPUTED_VALUE"""),286300811)</f>
        <v>286300811</v>
      </c>
      <c r="B2467" s="1" t="str">
        <f ca="1">IFERROR(__xludf.DUMMYFUNCTION("""COMPUTED_VALUE"""),"cgvenegas91@gmail.com")</f>
        <v>cgvenegas91@gmail.com</v>
      </c>
      <c r="C2467" s="4" t="str">
        <f ca="1">IFERROR(__xludf.DUMMYFUNCTION("""COMPUTED_VALUE"""),"UAN mid-page Lightbox - Step 3 of 4 - More opt-ins")</f>
        <v>UAN mid-page Lightbox - Step 3 of 4 - More opt-ins</v>
      </c>
      <c r="D2467" s="5">
        <f ca="1">IFERROR(__xludf.DUMMYFUNCTION("""COMPUTED_VALUE"""),45638)</f>
        <v>45638</v>
      </c>
    </row>
    <row r="2468" spans="1:4" ht="13" x14ac:dyDescent="0.15">
      <c r="A2468" s="4">
        <f ca="1">IFERROR(__xludf.DUMMYFUNCTION("""COMPUTED_VALUE"""),286305117)</f>
        <v>286305117</v>
      </c>
      <c r="B2468" s="1" t="str">
        <f ca="1">IFERROR(__xludf.DUMMYFUNCTION("""COMPUTED_VALUE"""),"cchmbers06@icloud.com")</f>
        <v>cchmbers06@icloud.com</v>
      </c>
      <c r="C2468" s="4" t="str">
        <f ca="1">IFERROR(__xludf.DUMMYFUNCTION("""COMPUTED_VALUE"""),"EVERGREEN - UAN Gated Content - Embedded Petition")</f>
        <v>EVERGREEN - UAN Gated Content - Embedded Petition</v>
      </c>
      <c r="D2468" s="5">
        <f ca="1">IFERROR(__xludf.DUMMYFUNCTION("""COMPUTED_VALUE"""),45638)</f>
        <v>45638</v>
      </c>
    </row>
    <row r="2469" spans="1:4" ht="13" x14ac:dyDescent="0.15">
      <c r="A2469" s="4">
        <f ca="1">IFERROR(__xludf.DUMMYFUNCTION("""COMPUTED_VALUE"""),286305282)</f>
        <v>286305282</v>
      </c>
      <c r="B2469" s="1" t="str">
        <f ca="1">IFERROR(__xludf.DUMMYFUNCTION("""COMPUTED_VALUE"""),"n.maylewis@fmail.com")</f>
        <v>n.maylewis@fmail.com</v>
      </c>
      <c r="C2469" s="4" t="str">
        <f ca="1">IFERROR(__xludf.DUMMYFUNCTION("""COMPUTED_VALUE"""),"EVERGREEN - Website Email Capture Form - UAN Pre-Footer")</f>
        <v>EVERGREEN - Website Email Capture Form - UAN Pre-Footer</v>
      </c>
      <c r="D2469" s="5">
        <f ca="1">IFERROR(__xludf.DUMMYFUNCTION("""COMPUTED_VALUE"""),45638)</f>
        <v>45638</v>
      </c>
    </row>
    <row r="2470" spans="1:4" ht="13" x14ac:dyDescent="0.15">
      <c r="A2470" s="4">
        <f ca="1">IFERROR(__xludf.DUMMYFUNCTION("""COMPUTED_VALUE"""),286349764)</f>
        <v>286349764</v>
      </c>
      <c r="B2470" s="1" t="str">
        <f ca="1">IFERROR(__xludf.DUMMYFUNCTION("""COMPUTED_VALUE"""),"anthony.tuemler@dyahoo.com")</f>
        <v>anthony.tuemler@dyahoo.com</v>
      </c>
      <c r="C2470" s="4" t="str">
        <f ca="1">IFERROR(__xludf.DUMMYFUNCTION("""COMPUTED_VALUE"""),"EVERGREEN - UAN Gated Content - Embedded Petition")</f>
        <v>EVERGREEN - UAN Gated Content - Embedded Petition</v>
      </c>
      <c r="D2470" s="5">
        <f ca="1">IFERROR(__xludf.DUMMYFUNCTION("""COMPUTED_VALUE"""),45639)</f>
        <v>45639</v>
      </c>
    </row>
    <row r="2471" spans="1:4" ht="13" x14ac:dyDescent="0.15">
      <c r="A2471" s="4">
        <f ca="1">IFERROR(__xludf.DUMMYFUNCTION("""COMPUTED_VALUE"""),286352508)</f>
        <v>286352508</v>
      </c>
      <c r="B2471" s="1" t="str">
        <f ca="1">IFERROR(__xludf.DUMMYFUNCTION("""COMPUTED_VALUE"""),"catetono@yahoo.it")</f>
        <v>catetono@yahoo.it</v>
      </c>
      <c r="C2471" s="4" t="str">
        <f ca="1">IFERROR(__xludf.DUMMYFUNCTION("""COMPUTED_VALUE"""),"EVERGREEN - UAN Gated Content - Embedded Petition")</f>
        <v>EVERGREEN - UAN Gated Content - Embedded Petition</v>
      </c>
      <c r="D2471" s="5">
        <f ca="1">IFERROR(__xludf.DUMMYFUNCTION("""COMPUTED_VALUE"""),45651)</f>
        <v>45651</v>
      </c>
    </row>
    <row r="2472" spans="1:4" ht="13" x14ac:dyDescent="0.15">
      <c r="A2472" s="4">
        <f ca="1">IFERROR(__xludf.DUMMYFUNCTION("""COMPUTED_VALUE"""),286364112)</f>
        <v>286364112</v>
      </c>
      <c r="B2472" s="1" t="str">
        <f ca="1">IFERROR(__xludf.DUMMYFUNCTION("""COMPUTED_VALUE"""),"denisestepp60@gmail.com")</f>
        <v>denisestepp60@gmail.com</v>
      </c>
      <c r="C2472" s="4" t="str">
        <f ca="1">IFERROR(__xludf.DUMMYFUNCTION("""COMPUTED_VALUE"""),"EVERGREEN - Website Email Capture Form - UAN Pre-Footer")</f>
        <v>EVERGREEN - Website Email Capture Form - UAN Pre-Footer</v>
      </c>
      <c r="D2472" s="5">
        <f ca="1">IFERROR(__xludf.DUMMYFUNCTION("""COMPUTED_VALUE"""),45640)</f>
        <v>45640</v>
      </c>
    </row>
    <row r="2473" spans="1:4" ht="13" x14ac:dyDescent="0.15">
      <c r="A2473" s="4">
        <f ca="1">IFERROR(__xludf.DUMMYFUNCTION("""COMPUTED_VALUE"""),286373377)</f>
        <v>286373377</v>
      </c>
      <c r="B2473" s="1" t="str">
        <f ca="1">IFERROR(__xludf.DUMMYFUNCTION("""COMPUTED_VALUE"""),"govholcomb@gov.in.gov")</f>
        <v>govholcomb@gov.in.gov</v>
      </c>
      <c r="C2473" s="4" t="str">
        <f ca="1">IFERROR(__xludf.DUMMYFUNCTION("""COMPUTED_VALUE"""),"EVERGREEN - UAN Gated Content - Embedded Petition")</f>
        <v>EVERGREEN - UAN Gated Content - Embedded Petition</v>
      </c>
      <c r="D2473" s="5">
        <f ca="1">IFERROR(__xludf.DUMMYFUNCTION("""COMPUTED_VALUE"""),45640)</f>
        <v>45640</v>
      </c>
    </row>
    <row r="2474" spans="1:4" ht="13" x14ac:dyDescent="0.15">
      <c r="A2474" s="4">
        <f ca="1">IFERROR(__xludf.DUMMYFUNCTION("""COMPUTED_VALUE"""),286387278)</f>
        <v>286387278</v>
      </c>
      <c r="B2474" s="1" t="str">
        <f ca="1">IFERROR(__xludf.DUMMYFUNCTION("""COMPUTED_VALUE"""),"mjlsr02@comcadt.net")</f>
        <v>mjlsr02@comcadt.net</v>
      </c>
      <c r="C2474" s="4" t="str">
        <f ca="1">IFERROR(__xludf.DUMMYFUNCTION("""COMPUTED_VALUE"""),"EVERGREEN - UAN Gated Content - Embedded Petition")</f>
        <v>EVERGREEN - UAN Gated Content - Embedded Petition</v>
      </c>
      <c r="D2474" s="5">
        <f ca="1">IFERROR(__xludf.DUMMYFUNCTION("""COMPUTED_VALUE"""),45641)</f>
        <v>45641</v>
      </c>
    </row>
    <row r="2475" spans="1:4" ht="13" x14ac:dyDescent="0.15">
      <c r="A2475" s="4">
        <f ca="1">IFERROR(__xludf.DUMMYFUNCTION("""COMPUTED_VALUE"""),286398206)</f>
        <v>286398206</v>
      </c>
      <c r="B2475" s="1" t="str">
        <f ca="1">IFERROR(__xludf.DUMMYFUNCTION("""COMPUTED_VALUE"""),"nhehry72@gmail.com")</f>
        <v>nhehry72@gmail.com</v>
      </c>
      <c r="C2475" s="4" t="str">
        <f ca="1">IFERROR(__xludf.DUMMYFUNCTION("""COMPUTED_VALUE"""),"EVERGREEN - UAN Gated Content - Embedded Petition")</f>
        <v>EVERGREEN - UAN Gated Content - Embedded Petition</v>
      </c>
      <c r="D2475" s="5">
        <f ca="1">IFERROR(__xludf.DUMMYFUNCTION("""COMPUTED_VALUE"""),45641)</f>
        <v>45641</v>
      </c>
    </row>
    <row r="2476" spans="1:4" ht="13" x14ac:dyDescent="0.15">
      <c r="A2476" s="4">
        <f ca="1">IFERROR(__xludf.DUMMYFUNCTION("""COMPUTED_VALUE"""),286402974)</f>
        <v>286402974</v>
      </c>
      <c r="B2476" s="1" t="str">
        <f ca="1">IFERROR(__xludf.DUMMYFUNCTION("""COMPUTED_VALUE"""),"ellinoora.riutta@outlook.com")</f>
        <v>ellinoora.riutta@outlook.com</v>
      </c>
      <c r="C2476" s="4" t="str">
        <f ca="1">IFERROR(__xludf.DUMMYFUNCTION("""COMPUTED_VALUE"""),"EVERGREEN - UAN Gated Content - Embedded Petition")</f>
        <v>EVERGREEN - UAN Gated Content - Embedded Petition</v>
      </c>
      <c r="D2476" s="5">
        <f ca="1">IFERROR(__xludf.DUMMYFUNCTION("""COMPUTED_VALUE"""),45703)</f>
        <v>45703</v>
      </c>
    </row>
    <row r="2477" spans="1:4" ht="13" x14ac:dyDescent="0.15">
      <c r="A2477" s="4">
        <f ca="1">IFERROR(__xludf.DUMMYFUNCTION("""COMPUTED_VALUE"""),286402974)</f>
        <v>286402974</v>
      </c>
      <c r="B2477" s="1" t="str">
        <f ca="1">IFERROR(__xludf.DUMMYFUNCTION("""COMPUTED_VALUE"""),"ellinoora.riutta@outlook.com")</f>
        <v>ellinoora.riutta@outlook.com</v>
      </c>
      <c r="C2477" s="4" t="str">
        <f ca="1">IFERROR(__xludf.DUMMYFUNCTION("""COMPUTED_VALUE"""),"EVERGREEN - UAN Gated Content - Embedded Petition")</f>
        <v>EVERGREEN - UAN Gated Content - Embedded Petition</v>
      </c>
      <c r="D2477" s="5">
        <f ca="1">IFERROR(__xludf.DUMMYFUNCTION("""COMPUTED_VALUE"""),45703)</f>
        <v>45703</v>
      </c>
    </row>
    <row r="2478" spans="1:4" ht="13" x14ac:dyDescent="0.15">
      <c r="A2478" s="4">
        <f ca="1">IFERROR(__xludf.DUMMYFUNCTION("""COMPUTED_VALUE"""),286402974)</f>
        <v>286402974</v>
      </c>
      <c r="B2478" s="1" t="str">
        <f ca="1">IFERROR(__xludf.DUMMYFUNCTION("""COMPUTED_VALUE"""),"ellinoora.riutta@outlook.com")</f>
        <v>ellinoora.riutta@outlook.com</v>
      </c>
      <c r="C2478" s="4" t="str">
        <f ca="1">IFERROR(__xludf.DUMMYFUNCTION("""COMPUTED_VALUE"""),"EVERGREEN - UAN Gated Content - Embedded Petition")</f>
        <v>EVERGREEN - UAN Gated Content - Embedded Petition</v>
      </c>
      <c r="D2478" s="5">
        <f ca="1">IFERROR(__xludf.DUMMYFUNCTION("""COMPUTED_VALUE"""),45694)</f>
        <v>45694</v>
      </c>
    </row>
    <row r="2479" spans="1:4" ht="13" x14ac:dyDescent="0.15">
      <c r="A2479" s="4">
        <f ca="1">IFERROR(__xludf.DUMMYFUNCTION("""COMPUTED_VALUE"""),286402974)</f>
        <v>286402974</v>
      </c>
      <c r="B2479" s="1" t="str">
        <f ca="1">IFERROR(__xludf.DUMMYFUNCTION("""COMPUTED_VALUE"""),"ellinoora.riutta@outlook.com")</f>
        <v>ellinoora.riutta@outlook.com</v>
      </c>
      <c r="C2479" s="4" t="str">
        <f ca="1">IFERROR(__xludf.DUMMYFUNCTION("""COMPUTED_VALUE"""),"EVERGREEN - UAN Gated Content - Embedded Petition")</f>
        <v>EVERGREEN - UAN Gated Content - Embedded Petition</v>
      </c>
      <c r="D2479" s="5">
        <f ca="1">IFERROR(__xludf.DUMMYFUNCTION("""COMPUTED_VALUE"""),45695)</f>
        <v>45695</v>
      </c>
    </row>
    <row r="2480" spans="1:4" ht="13" x14ac:dyDescent="0.15">
      <c r="A2480" s="4">
        <f ca="1">IFERROR(__xludf.DUMMYFUNCTION("""COMPUTED_VALUE"""),286402974)</f>
        <v>286402974</v>
      </c>
      <c r="B2480" s="1" t="str">
        <f ca="1">IFERROR(__xludf.DUMMYFUNCTION("""COMPUTED_VALUE"""),"ellinoora.riutta@outlook.com")</f>
        <v>ellinoora.riutta@outlook.com</v>
      </c>
      <c r="C2480" s="4" t="str">
        <f ca="1">IFERROR(__xludf.DUMMYFUNCTION("""COMPUTED_VALUE"""),"EVERGREEN - UAN Gated Content - Embedded Petition")</f>
        <v>EVERGREEN - UAN Gated Content - Embedded Petition</v>
      </c>
      <c r="D2480" s="5">
        <f ca="1">IFERROR(__xludf.DUMMYFUNCTION("""COMPUTED_VALUE"""),45655)</f>
        <v>45655</v>
      </c>
    </row>
    <row r="2481" spans="1:4" ht="13" x14ac:dyDescent="0.15">
      <c r="A2481" s="4">
        <f ca="1">IFERROR(__xludf.DUMMYFUNCTION("""COMPUTED_VALUE"""),286402974)</f>
        <v>286402974</v>
      </c>
      <c r="B2481" s="1" t="str">
        <f ca="1">IFERROR(__xludf.DUMMYFUNCTION("""COMPUTED_VALUE"""),"ellinoora.riutta@outlook.com")</f>
        <v>ellinoora.riutta@outlook.com</v>
      </c>
      <c r="C2481" s="4" t="str">
        <f ca="1">IFERROR(__xludf.DUMMYFUNCTION("""COMPUTED_VALUE"""),"EVERGREEN - UAN Gated Content - Embedded Petition")</f>
        <v>EVERGREEN - UAN Gated Content - Embedded Petition</v>
      </c>
      <c r="D2481" s="5">
        <f ca="1">IFERROR(__xludf.DUMMYFUNCTION("""COMPUTED_VALUE"""),45679)</f>
        <v>45679</v>
      </c>
    </row>
    <row r="2482" spans="1:4" ht="13" x14ac:dyDescent="0.15">
      <c r="A2482" s="4">
        <f ca="1">IFERROR(__xludf.DUMMYFUNCTION("""COMPUTED_VALUE"""),286402974)</f>
        <v>286402974</v>
      </c>
      <c r="B2482" s="1" t="str">
        <f ca="1">IFERROR(__xludf.DUMMYFUNCTION("""COMPUTED_VALUE"""),"ellinoora.riutta@outlook.com")</f>
        <v>ellinoora.riutta@outlook.com</v>
      </c>
      <c r="C2482" s="4" t="str">
        <f ca="1">IFERROR(__xludf.DUMMYFUNCTION("""COMPUTED_VALUE"""),"EVERGREEN - UAN Gated Content - Embedded Petition")</f>
        <v>EVERGREEN - UAN Gated Content - Embedded Petition</v>
      </c>
      <c r="D2482" s="5">
        <f ca="1">IFERROR(__xludf.DUMMYFUNCTION("""COMPUTED_VALUE"""),45679)</f>
        <v>45679</v>
      </c>
    </row>
    <row r="2483" spans="1:4" ht="13" x14ac:dyDescent="0.15">
      <c r="A2483" s="4">
        <f ca="1">IFERROR(__xludf.DUMMYFUNCTION("""COMPUTED_VALUE"""),286402974)</f>
        <v>286402974</v>
      </c>
      <c r="B2483" s="1" t="str">
        <f ca="1">IFERROR(__xludf.DUMMYFUNCTION("""COMPUTED_VALUE"""),"ellinoora.riutta@outlook.com")</f>
        <v>ellinoora.riutta@outlook.com</v>
      </c>
      <c r="C2483" s="4" t="str">
        <f ca="1">IFERROR(__xludf.DUMMYFUNCTION("""COMPUTED_VALUE"""),"EVERGREEN - UAN Gated Content - Embedded Petition")</f>
        <v>EVERGREEN - UAN Gated Content - Embedded Petition</v>
      </c>
      <c r="D2483" s="5">
        <f ca="1">IFERROR(__xludf.DUMMYFUNCTION("""COMPUTED_VALUE"""),45642)</f>
        <v>45642</v>
      </c>
    </row>
    <row r="2484" spans="1:4" ht="13" x14ac:dyDescent="0.15">
      <c r="A2484" s="4">
        <f ca="1">IFERROR(__xludf.DUMMYFUNCTION("""COMPUTED_VALUE"""),286402974)</f>
        <v>286402974</v>
      </c>
      <c r="B2484" s="1" t="str">
        <f ca="1">IFERROR(__xludf.DUMMYFUNCTION("""COMPUTED_VALUE"""),"ellinoora.riutta@outlook.com")</f>
        <v>ellinoora.riutta@outlook.com</v>
      </c>
      <c r="C2484" s="4" t="str">
        <f ca="1">IFERROR(__xludf.DUMMYFUNCTION("""COMPUTED_VALUE"""),"EVERGREEN - UAN Gated Content - Embedded Petition")</f>
        <v>EVERGREEN - UAN Gated Content - Embedded Petition</v>
      </c>
      <c r="D2484" s="5">
        <f ca="1">IFERROR(__xludf.DUMMYFUNCTION("""COMPUTED_VALUE"""),45642)</f>
        <v>45642</v>
      </c>
    </row>
    <row r="2485" spans="1:4" ht="13" x14ac:dyDescent="0.15">
      <c r="A2485" s="4">
        <f ca="1">IFERROR(__xludf.DUMMYFUNCTION("""COMPUTED_VALUE"""),286402974)</f>
        <v>286402974</v>
      </c>
      <c r="B2485" s="1" t="str">
        <f ca="1">IFERROR(__xludf.DUMMYFUNCTION("""COMPUTED_VALUE"""),"ellinoora.riutta@outlook.com")</f>
        <v>ellinoora.riutta@outlook.com</v>
      </c>
      <c r="C2485" s="4" t="str">
        <f ca="1">IFERROR(__xludf.DUMMYFUNCTION("""COMPUTED_VALUE"""),"EVERGREEN - UAN Gated Content - Embedded Petition")</f>
        <v>EVERGREEN - UAN Gated Content - Embedded Petition</v>
      </c>
      <c r="D2485" s="5">
        <f ca="1">IFERROR(__xludf.DUMMYFUNCTION("""COMPUTED_VALUE"""),45684)</f>
        <v>45684</v>
      </c>
    </row>
    <row r="2486" spans="1:4" ht="13" x14ac:dyDescent="0.15">
      <c r="A2486" s="4">
        <f ca="1">IFERROR(__xludf.DUMMYFUNCTION("""COMPUTED_VALUE"""),286554886)</f>
        <v>286554886</v>
      </c>
      <c r="B2486" s="1" t="str">
        <f ca="1">IFERROR(__xludf.DUMMYFUNCTION("""COMPUTED_VALUE"""),"anam.shah2012@gmail.com")</f>
        <v>anam.shah2012@gmail.com</v>
      </c>
      <c r="C2486" s="4" t="str">
        <f ca="1">IFERROR(__xludf.DUMMYFUNCTION("""COMPUTED_VALUE"""),"EVERGREEN - UAN Gated Content - Embedded Petition")</f>
        <v>EVERGREEN - UAN Gated Content - Embedded Petition</v>
      </c>
      <c r="D2486" s="5">
        <f ca="1">IFERROR(__xludf.DUMMYFUNCTION("""COMPUTED_VALUE"""),45674)</f>
        <v>45674</v>
      </c>
    </row>
    <row r="2487" spans="1:4" ht="13" x14ac:dyDescent="0.15">
      <c r="A2487" s="4">
        <f ca="1">IFERROR(__xludf.DUMMYFUNCTION("""COMPUTED_VALUE"""),286560951)</f>
        <v>286560951</v>
      </c>
      <c r="B2487" s="1" t="str">
        <f ca="1">IFERROR(__xludf.DUMMYFUNCTION("""COMPUTED_VALUE"""),"al123477gonz@gmail.com")</f>
        <v>al123477gonz@gmail.com</v>
      </c>
      <c r="C2487" s="4" t="str">
        <f ca="1">IFERROR(__xludf.DUMMYFUNCTION("""COMPUTED_VALUE"""),"EVERGREEN - UAN Gated Content - Embedded Petition")</f>
        <v>EVERGREEN - UAN Gated Content - Embedded Petition</v>
      </c>
      <c r="D2487" s="5">
        <f ca="1">IFERROR(__xludf.DUMMYFUNCTION("""COMPUTED_VALUE"""),45694)</f>
        <v>45694</v>
      </c>
    </row>
    <row r="2488" spans="1:4" ht="13" x14ac:dyDescent="0.15">
      <c r="A2488" s="4">
        <f ca="1">IFERROR(__xludf.DUMMYFUNCTION("""COMPUTED_VALUE"""),286560951)</f>
        <v>286560951</v>
      </c>
      <c r="B2488" s="1" t="str">
        <f ca="1">IFERROR(__xludf.DUMMYFUNCTION("""COMPUTED_VALUE"""),"al123477gonz@gmail.com")</f>
        <v>al123477gonz@gmail.com</v>
      </c>
      <c r="C2488" s="4" t="str">
        <f ca="1">IFERROR(__xludf.DUMMYFUNCTION("""COMPUTED_VALUE"""),"EVERGREEN - UAN Gated Content - Embedded Petition")</f>
        <v>EVERGREEN - UAN Gated Content - Embedded Petition</v>
      </c>
      <c r="D2488" s="5">
        <f ca="1">IFERROR(__xludf.DUMMYFUNCTION("""COMPUTED_VALUE"""),45685)</f>
        <v>45685</v>
      </c>
    </row>
    <row r="2489" spans="1:4" ht="13" x14ac:dyDescent="0.15">
      <c r="A2489" s="4">
        <f ca="1">IFERROR(__xludf.DUMMYFUNCTION("""COMPUTED_VALUE"""),286560951)</f>
        <v>286560951</v>
      </c>
      <c r="B2489" s="1" t="str">
        <f ca="1">IFERROR(__xludf.DUMMYFUNCTION("""COMPUTED_VALUE"""),"al123477gonz@gmail.com")</f>
        <v>al123477gonz@gmail.com</v>
      </c>
      <c r="C2489" s="4" t="str">
        <f ca="1">IFERROR(__xludf.DUMMYFUNCTION("""COMPUTED_VALUE"""),"EVERGREEN - UAN Gated Content - Embedded Petition")</f>
        <v>EVERGREEN - UAN Gated Content - Embedded Petition</v>
      </c>
      <c r="D2489" s="5">
        <f ca="1">IFERROR(__xludf.DUMMYFUNCTION("""COMPUTED_VALUE"""),45688)</f>
        <v>45688</v>
      </c>
    </row>
    <row r="2490" spans="1:4" ht="13" x14ac:dyDescent="0.15">
      <c r="A2490" s="4">
        <f ca="1">IFERROR(__xludf.DUMMYFUNCTION("""COMPUTED_VALUE"""),286560951)</f>
        <v>286560951</v>
      </c>
      <c r="B2490" s="1" t="str">
        <f ca="1">IFERROR(__xludf.DUMMYFUNCTION("""COMPUTED_VALUE"""),"al123477gonz@gmail.com")</f>
        <v>al123477gonz@gmail.com</v>
      </c>
      <c r="C2490" s="4" t="str">
        <f ca="1">IFERROR(__xludf.DUMMYFUNCTION("""COMPUTED_VALUE"""),"EVERGREEN - UAN Gated Content - Embedded Petition")</f>
        <v>EVERGREEN - UAN Gated Content - Embedded Petition</v>
      </c>
      <c r="D2490" s="5">
        <f ca="1">IFERROR(__xludf.DUMMYFUNCTION("""COMPUTED_VALUE"""),45655)</f>
        <v>45655</v>
      </c>
    </row>
    <row r="2491" spans="1:4" ht="13" x14ac:dyDescent="0.15">
      <c r="A2491" s="4">
        <f ca="1">IFERROR(__xludf.DUMMYFUNCTION("""COMPUTED_VALUE"""),286560951)</f>
        <v>286560951</v>
      </c>
      <c r="B2491" s="1" t="str">
        <f ca="1">IFERROR(__xludf.DUMMYFUNCTION("""COMPUTED_VALUE"""),"al123477gonz@gmail.com")</f>
        <v>al123477gonz@gmail.com</v>
      </c>
      <c r="C2491" s="4" t="str">
        <f ca="1">IFERROR(__xludf.DUMMYFUNCTION("""COMPUTED_VALUE"""),"EVERGREEN - UAN Gated Content - Embedded Petition")</f>
        <v>EVERGREEN - UAN Gated Content - Embedded Petition</v>
      </c>
      <c r="D2491" s="5">
        <f ca="1">IFERROR(__xludf.DUMMYFUNCTION("""COMPUTED_VALUE"""),45643)</f>
        <v>45643</v>
      </c>
    </row>
    <row r="2492" spans="1:4" ht="13" x14ac:dyDescent="0.15">
      <c r="A2492" s="4">
        <f ca="1">IFERROR(__xludf.DUMMYFUNCTION("""COMPUTED_VALUE"""),286560951)</f>
        <v>286560951</v>
      </c>
      <c r="B2492" s="1" t="str">
        <f ca="1">IFERROR(__xludf.DUMMYFUNCTION("""COMPUTED_VALUE"""),"al123477gonz@gmail.com")</f>
        <v>al123477gonz@gmail.com</v>
      </c>
      <c r="C2492" s="4" t="str">
        <f ca="1">IFERROR(__xludf.DUMMYFUNCTION("""COMPUTED_VALUE"""),"EVERGREEN - UAN Gated Content - Embedded Petition")</f>
        <v>EVERGREEN - UAN Gated Content - Embedded Petition</v>
      </c>
      <c r="D2492" s="5">
        <f ca="1">IFERROR(__xludf.DUMMYFUNCTION("""COMPUTED_VALUE"""),45655)</f>
        <v>45655</v>
      </c>
    </row>
    <row r="2493" spans="1:4" ht="13" x14ac:dyDescent="0.15">
      <c r="A2493" s="4">
        <f ca="1">IFERROR(__xludf.DUMMYFUNCTION("""COMPUTED_VALUE"""),286561946)</f>
        <v>286561946</v>
      </c>
      <c r="B2493" s="1" t="str">
        <f ca="1">IFERROR(__xludf.DUMMYFUNCTION("""COMPUTED_VALUE"""),"lisa_boerboom@hotmail.com")</f>
        <v>lisa_boerboom@hotmail.com</v>
      </c>
      <c r="C2493" s="4" t="str">
        <f ca="1">IFERROR(__xludf.DUMMYFUNCTION("""COMPUTED_VALUE"""),"EVERGREEN - UAN Gated Content - Embedded Petition")</f>
        <v>EVERGREEN - UAN Gated Content - Embedded Petition</v>
      </c>
      <c r="D2493" s="5">
        <f ca="1">IFERROR(__xludf.DUMMYFUNCTION("""COMPUTED_VALUE"""),45643)</f>
        <v>45643</v>
      </c>
    </row>
    <row r="2494" spans="1:4" ht="13" x14ac:dyDescent="0.15">
      <c r="A2494" s="4">
        <f ca="1">IFERROR(__xludf.DUMMYFUNCTION("""COMPUTED_VALUE"""),286570395)</f>
        <v>286570395</v>
      </c>
      <c r="B2494" s="1" t="str">
        <f ca="1">IFERROR(__xludf.DUMMYFUNCTION("""COMPUTED_VALUE"""),"anisarashad11@gmail.com")</f>
        <v>anisarashad11@gmail.com</v>
      </c>
      <c r="C2494" s="4" t="str">
        <f ca="1">IFERROR(__xludf.DUMMYFUNCTION("""COMPUTED_VALUE"""),"UAN mid-page Lightbox - Step 1 of 4 - Landing Page")</f>
        <v>UAN mid-page Lightbox - Step 1 of 4 - Landing Page</v>
      </c>
      <c r="D2494" s="5">
        <f ca="1">IFERROR(__xludf.DUMMYFUNCTION("""COMPUTED_VALUE"""),45643)</f>
        <v>45643</v>
      </c>
    </row>
    <row r="2495" spans="1:4" ht="13" x14ac:dyDescent="0.15">
      <c r="A2495" s="4">
        <f ca="1">IFERROR(__xludf.DUMMYFUNCTION("""COMPUTED_VALUE"""),286570395)</f>
        <v>286570395</v>
      </c>
      <c r="B2495" s="1" t="str">
        <f ca="1">IFERROR(__xludf.DUMMYFUNCTION("""COMPUTED_VALUE"""),"anisarashad11@gmail.com")</f>
        <v>anisarashad11@gmail.com</v>
      </c>
      <c r="C2495" s="4" t="str">
        <f ca="1">IFERROR(__xludf.DUMMYFUNCTION("""COMPUTED_VALUE"""),"UAN mid-page Lightbox - Step 2 of 4 - More personal info fields")</f>
        <v>UAN mid-page Lightbox - Step 2 of 4 - More personal info fields</v>
      </c>
      <c r="D2495" s="5">
        <f ca="1">IFERROR(__xludf.DUMMYFUNCTION("""COMPUTED_VALUE"""),45643)</f>
        <v>45643</v>
      </c>
    </row>
    <row r="2496" spans="1:4" ht="13" x14ac:dyDescent="0.15">
      <c r="A2496" s="4">
        <f ca="1">IFERROR(__xludf.DUMMYFUNCTION("""COMPUTED_VALUE"""),286570395)</f>
        <v>286570395</v>
      </c>
      <c r="B2496" s="1" t="str">
        <f ca="1">IFERROR(__xludf.DUMMYFUNCTION("""COMPUTED_VALUE"""),"anisarashad11@gmail.com")</f>
        <v>anisarashad11@gmail.com</v>
      </c>
      <c r="C2496" s="4" t="str">
        <f ca="1">IFERROR(__xludf.DUMMYFUNCTION("""COMPUTED_VALUE"""),"UAN mid-page Lightbox - Step 3 of 4 - More opt-ins")</f>
        <v>UAN mid-page Lightbox - Step 3 of 4 - More opt-ins</v>
      </c>
      <c r="D2496" s="5">
        <f ca="1">IFERROR(__xludf.DUMMYFUNCTION("""COMPUTED_VALUE"""),45643)</f>
        <v>45643</v>
      </c>
    </row>
    <row r="2497" spans="1:4" ht="13" x14ac:dyDescent="0.15">
      <c r="A2497" s="4">
        <f ca="1">IFERROR(__xludf.DUMMYFUNCTION("""COMPUTED_VALUE"""),286577082)</f>
        <v>286577082</v>
      </c>
      <c r="B2497" s="1" t="str">
        <f ca="1">IFERROR(__xludf.DUMMYFUNCTION("""COMPUTED_VALUE"""),"nimairene@gmail.com")</f>
        <v>nimairene@gmail.com</v>
      </c>
      <c r="C2497" s="4" t="str">
        <f ca="1">IFERROR(__xludf.DUMMYFUNCTION("""COMPUTED_VALUE"""),"EVERGREEN - UAN Gated Content - Embedded Petition")</f>
        <v>EVERGREEN - UAN Gated Content - Embedded Petition</v>
      </c>
      <c r="D2497" s="5">
        <f ca="1">IFERROR(__xludf.DUMMYFUNCTION("""COMPUTED_VALUE"""),45698)</f>
        <v>45698</v>
      </c>
    </row>
    <row r="2498" spans="1:4" ht="13" x14ac:dyDescent="0.15">
      <c r="A2498" s="4">
        <f ca="1">IFERROR(__xludf.DUMMYFUNCTION("""COMPUTED_VALUE"""),286577174)</f>
        <v>286577174</v>
      </c>
      <c r="B2498" s="1" t="str">
        <f ca="1">IFERROR(__xludf.DUMMYFUNCTION("""COMPUTED_VALUE"""),"kbokenkamp@aiusa.org")</f>
        <v>kbokenkamp@aiusa.org</v>
      </c>
      <c r="C2498" s="4" t="str">
        <f ca="1">IFERROR(__xludf.DUMMYFUNCTION("""COMPUTED_VALUE"""),"EVERGREEN - UAN Gated Content - Embedded Petition")</f>
        <v>EVERGREEN - UAN Gated Content - Embedded Petition</v>
      </c>
      <c r="D2498" s="5">
        <f ca="1">IFERROR(__xludf.DUMMYFUNCTION("""COMPUTED_VALUE"""),45694)</f>
        <v>45694</v>
      </c>
    </row>
    <row r="2499" spans="1:4" ht="13" x14ac:dyDescent="0.15">
      <c r="A2499" s="4">
        <f ca="1">IFERROR(__xludf.DUMMYFUNCTION("""COMPUTED_VALUE"""),286636723)</f>
        <v>286636723</v>
      </c>
      <c r="B2499" s="1" t="str">
        <f ca="1">IFERROR(__xludf.DUMMYFUNCTION("""COMPUTED_VALUE"""),"rocco153@hotmail.com")</f>
        <v>rocco153@hotmail.com</v>
      </c>
      <c r="C2499" s="4" t="str">
        <f ca="1">IFERROR(__xludf.DUMMYFUNCTION("""COMPUTED_VALUE"""),"EVERGREEN - UAN Gated Content - Embedded Petition")</f>
        <v>EVERGREEN - UAN Gated Content - Embedded Petition</v>
      </c>
      <c r="D2499" s="5">
        <f ca="1">IFERROR(__xludf.DUMMYFUNCTION("""COMPUTED_VALUE"""),45646)</f>
        <v>45646</v>
      </c>
    </row>
    <row r="2500" spans="1:4" ht="13" x14ac:dyDescent="0.15">
      <c r="A2500" s="4">
        <f ca="1">IFERROR(__xludf.DUMMYFUNCTION("""COMPUTED_VALUE"""),286737312)</f>
        <v>286737312</v>
      </c>
      <c r="B2500" s="1" t="str">
        <f ca="1">IFERROR(__xludf.DUMMYFUNCTION("""COMPUTED_VALUE"""),"maryfyeager@gmail.com")</f>
        <v>maryfyeager@gmail.com</v>
      </c>
      <c r="C2500" s="4" t="str">
        <f ca="1">IFERROR(__xludf.DUMMYFUNCTION("""COMPUTED_VALUE"""),"EVERGREEN - UAN Gated Content - Embedded Petition")</f>
        <v>EVERGREEN - UAN Gated Content - Embedded Petition</v>
      </c>
      <c r="D2500" s="5">
        <f ca="1">IFERROR(__xludf.DUMMYFUNCTION("""COMPUTED_VALUE"""),45678)</f>
        <v>45678</v>
      </c>
    </row>
    <row r="2501" spans="1:4" ht="13" x14ac:dyDescent="0.15">
      <c r="A2501" s="4">
        <f ca="1">IFERROR(__xludf.DUMMYFUNCTION("""COMPUTED_VALUE"""),286737650)</f>
        <v>286737650</v>
      </c>
      <c r="B2501" s="1" t="str">
        <f ca="1">IFERROR(__xludf.DUMMYFUNCTION("""COMPUTED_VALUE"""),"tayaba.azher@gmail.com")</f>
        <v>tayaba.azher@gmail.com</v>
      </c>
      <c r="C2501" s="4" t="str">
        <f ca="1">IFERROR(__xludf.DUMMYFUNCTION("""COMPUTED_VALUE"""),"EVERGREEN - UAN Gated Content - Embedded Petition")</f>
        <v>EVERGREEN - UAN Gated Content - Embedded Petition</v>
      </c>
      <c r="D2501" s="5">
        <f ca="1">IFERROR(__xludf.DUMMYFUNCTION("""COMPUTED_VALUE"""),45690)</f>
        <v>45690</v>
      </c>
    </row>
    <row r="2502" spans="1:4" ht="13" x14ac:dyDescent="0.15">
      <c r="A2502" s="4">
        <f ca="1">IFERROR(__xludf.DUMMYFUNCTION("""COMPUTED_VALUE"""),286767136)</f>
        <v>286767136</v>
      </c>
      <c r="B2502" s="1" t="str">
        <f ca="1">IFERROR(__xludf.DUMMYFUNCTION("""COMPUTED_VALUE"""),"martynandian@icloud.com")</f>
        <v>martynandian@icloud.com</v>
      </c>
      <c r="C2502" s="4" t="str">
        <f ca="1">IFERROR(__xludf.DUMMYFUNCTION("""COMPUTED_VALUE"""),"EVERGREEN - UAN Gated Content - Embedded Petition")</f>
        <v>EVERGREEN - UAN Gated Content - Embedded Petition</v>
      </c>
      <c r="D2502" s="5">
        <f ca="1">IFERROR(__xludf.DUMMYFUNCTION("""COMPUTED_VALUE"""),45648)</f>
        <v>45648</v>
      </c>
    </row>
    <row r="2503" spans="1:4" ht="13" x14ac:dyDescent="0.15">
      <c r="A2503" s="4">
        <f ca="1">IFERROR(__xludf.DUMMYFUNCTION("""COMPUTED_VALUE"""),286767136)</f>
        <v>286767136</v>
      </c>
      <c r="B2503" s="1" t="str">
        <f ca="1">IFERROR(__xludf.DUMMYFUNCTION("""COMPUTED_VALUE"""),"martynandian@icloud.com")</f>
        <v>martynandian@icloud.com</v>
      </c>
      <c r="C2503" s="4" t="str">
        <f ca="1">IFERROR(__xludf.DUMMYFUNCTION("""COMPUTED_VALUE"""),"EVERGREEN - UAN Gated Content - Embedded Petition")</f>
        <v>EVERGREEN - UAN Gated Content - Embedded Petition</v>
      </c>
      <c r="D2503" s="5">
        <f ca="1">IFERROR(__xludf.DUMMYFUNCTION("""COMPUTED_VALUE"""),45648)</f>
        <v>45648</v>
      </c>
    </row>
    <row r="2504" spans="1:4" ht="13" x14ac:dyDescent="0.15">
      <c r="A2504" s="4">
        <f ca="1">IFERROR(__xludf.DUMMYFUNCTION("""COMPUTED_VALUE"""),286869748)</f>
        <v>286869748</v>
      </c>
      <c r="B2504" s="1" t="str">
        <f ca="1">IFERROR(__xludf.DUMMYFUNCTION("""COMPUTED_VALUE"""),"rahimiahmadwais@gmail.com")</f>
        <v>rahimiahmadwais@gmail.com</v>
      </c>
      <c r="C2504" s="4" t="str">
        <f ca="1">IFERROR(__xludf.DUMMYFUNCTION("""COMPUTED_VALUE"""),"EVERGREEN - UAN Gated Content - Embedded Petition")</f>
        <v>EVERGREEN - UAN Gated Content - Embedded Petition</v>
      </c>
      <c r="D2504" s="5">
        <f ca="1">IFERROR(__xludf.DUMMYFUNCTION("""COMPUTED_VALUE"""),45651)</f>
        <v>45651</v>
      </c>
    </row>
    <row r="2505" spans="1:4" ht="13" x14ac:dyDescent="0.15">
      <c r="A2505" s="4">
        <f ca="1">IFERROR(__xludf.DUMMYFUNCTION("""COMPUTED_VALUE"""),286890592)</f>
        <v>286890592</v>
      </c>
      <c r="B2505" s="1" t="str">
        <f ca="1">IFERROR(__xludf.DUMMYFUNCTION("""COMPUTED_VALUE"""),"memcgilligan53@gmail.com")</f>
        <v>memcgilligan53@gmail.com</v>
      </c>
      <c r="C2505" s="4" t="str">
        <f ca="1">IFERROR(__xludf.DUMMYFUNCTION("""COMPUTED_VALUE"""),"EVERGREEN - UAN Gated Content - Embedded Petition")</f>
        <v>EVERGREEN - UAN Gated Content - Embedded Petition</v>
      </c>
      <c r="D2505" s="5">
        <f ca="1">IFERROR(__xludf.DUMMYFUNCTION("""COMPUTED_VALUE"""),45694)</f>
        <v>45694</v>
      </c>
    </row>
    <row r="2506" spans="1:4" ht="13" x14ac:dyDescent="0.15">
      <c r="A2506" s="4">
        <f ca="1">IFERROR(__xludf.DUMMYFUNCTION("""COMPUTED_VALUE"""),286890592)</f>
        <v>286890592</v>
      </c>
      <c r="B2506" s="1" t="str">
        <f ca="1">IFERROR(__xludf.DUMMYFUNCTION("""COMPUTED_VALUE"""),"memcgilligan53@gmail.com")</f>
        <v>memcgilligan53@gmail.com</v>
      </c>
      <c r="C2506" s="4" t="str">
        <f ca="1">IFERROR(__xludf.DUMMYFUNCTION("""COMPUTED_VALUE"""),"EVERGREEN - UAN Gated Content - Embedded Petition")</f>
        <v>EVERGREEN - UAN Gated Content - Embedded Petition</v>
      </c>
      <c r="D2506" s="5">
        <f ca="1">IFERROR(__xludf.DUMMYFUNCTION("""COMPUTED_VALUE"""),45694)</f>
        <v>45694</v>
      </c>
    </row>
    <row r="2507" spans="1:4" ht="13" x14ac:dyDescent="0.15">
      <c r="A2507" s="4">
        <f ca="1">IFERROR(__xludf.DUMMYFUNCTION("""COMPUTED_VALUE"""),286893516)</f>
        <v>286893516</v>
      </c>
      <c r="B2507" s="1" t="str">
        <f ca="1">IFERROR(__xludf.DUMMYFUNCTION("""COMPUTED_VALUE"""),"zghalsadok1@gmail.com")</f>
        <v>zghalsadok1@gmail.com</v>
      </c>
      <c r="C2507" s="4" t="str">
        <f ca="1">IFERROR(__xludf.DUMMYFUNCTION("""COMPUTED_VALUE"""),"EVERGREEN - UAN Gated Content - Embedded Petition")</f>
        <v>EVERGREEN - UAN Gated Content - Embedded Petition</v>
      </c>
      <c r="D2507" s="5">
        <f ca="1">IFERROR(__xludf.DUMMYFUNCTION("""COMPUTED_VALUE"""),45652)</f>
        <v>45652</v>
      </c>
    </row>
    <row r="2508" spans="1:4" ht="13" x14ac:dyDescent="0.15">
      <c r="A2508" s="4">
        <f ca="1">IFERROR(__xludf.DUMMYFUNCTION("""COMPUTED_VALUE"""),286915103)</f>
        <v>286915103</v>
      </c>
      <c r="B2508" s="1" t="str">
        <f ca="1">IFERROR(__xludf.DUMMYFUNCTION("""COMPUTED_VALUE"""),"784241@pdsb.net")</f>
        <v>784241@pdsb.net</v>
      </c>
      <c r="C2508" s="4" t="str">
        <f ca="1">IFERROR(__xludf.DUMMYFUNCTION("""COMPUTED_VALUE"""),"UAN mid-page Lightbox - Step 1 of 4 - Landing Page")</f>
        <v>UAN mid-page Lightbox - Step 1 of 4 - Landing Page</v>
      </c>
      <c r="D2508" s="5">
        <f ca="1">IFERROR(__xludf.DUMMYFUNCTION("""COMPUTED_VALUE"""),45654)</f>
        <v>45654</v>
      </c>
    </row>
    <row r="2509" spans="1:4" ht="13" x14ac:dyDescent="0.15">
      <c r="A2509" s="4">
        <f ca="1">IFERROR(__xludf.DUMMYFUNCTION("""COMPUTED_VALUE"""),286915103)</f>
        <v>286915103</v>
      </c>
      <c r="B2509" s="1" t="str">
        <f ca="1">IFERROR(__xludf.DUMMYFUNCTION("""COMPUTED_VALUE"""),"784241@pdsb.net")</f>
        <v>784241@pdsb.net</v>
      </c>
      <c r="C2509" s="4" t="str">
        <f ca="1">IFERROR(__xludf.DUMMYFUNCTION("""COMPUTED_VALUE"""),"UAN mid-page Lightbox - Step 2 of 4 - More personal info fields")</f>
        <v>UAN mid-page Lightbox - Step 2 of 4 - More personal info fields</v>
      </c>
      <c r="D2509" s="5">
        <f ca="1">IFERROR(__xludf.DUMMYFUNCTION("""COMPUTED_VALUE"""),45654)</f>
        <v>45654</v>
      </c>
    </row>
    <row r="2510" spans="1:4" ht="13" x14ac:dyDescent="0.15">
      <c r="A2510" s="4">
        <f ca="1">IFERROR(__xludf.DUMMYFUNCTION("""COMPUTED_VALUE"""),286915103)</f>
        <v>286915103</v>
      </c>
      <c r="B2510" s="1" t="str">
        <f ca="1">IFERROR(__xludf.DUMMYFUNCTION("""COMPUTED_VALUE"""),"784241@pdsb.net")</f>
        <v>784241@pdsb.net</v>
      </c>
      <c r="C2510" s="4" t="str">
        <f ca="1">IFERROR(__xludf.DUMMYFUNCTION("""COMPUTED_VALUE"""),"UAN mid-page Lightbox - Step 3 of 4 - More opt-ins")</f>
        <v>UAN mid-page Lightbox - Step 3 of 4 - More opt-ins</v>
      </c>
      <c r="D2510" s="5">
        <f ca="1">IFERROR(__xludf.DUMMYFUNCTION("""COMPUTED_VALUE"""),45654)</f>
        <v>45654</v>
      </c>
    </row>
    <row r="2511" spans="1:4" ht="13" x14ac:dyDescent="0.15">
      <c r="A2511" s="4">
        <f ca="1">IFERROR(__xludf.DUMMYFUNCTION("""COMPUTED_VALUE"""),286920889)</f>
        <v>286920889</v>
      </c>
      <c r="B2511" s="1" t="str">
        <f ca="1">IFERROR(__xludf.DUMMYFUNCTION("""COMPUTED_VALUE"""),"jimnute69@gmail.com")</f>
        <v>jimnute69@gmail.com</v>
      </c>
      <c r="C2511" s="4" t="str">
        <f ca="1">IFERROR(__xludf.DUMMYFUNCTION("""COMPUTED_VALUE"""),"EVERGREEN - UAN Gated Content - Embedded Petition")</f>
        <v>EVERGREEN - UAN Gated Content - Embedded Petition</v>
      </c>
      <c r="D2511" s="5">
        <f ca="1">IFERROR(__xludf.DUMMYFUNCTION("""COMPUTED_VALUE"""),45680)</f>
        <v>45680</v>
      </c>
    </row>
    <row r="2512" spans="1:4" ht="13" x14ac:dyDescent="0.15">
      <c r="A2512" s="4">
        <f ca="1">IFERROR(__xludf.DUMMYFUNCTION("""COMPUTED_VALUE"""),286920889)</f>
        <v>286920889</v>
      </c>
      <c r="B2512" s="1" t="str">
        <f ca="1">IFERROR(__xludf.DUMMYFUNCTION("""COMPUTED_VALUE"""),"jimnute69@gmail.com")</f>
        <v>jimnute69@gmail.com</v>
      </c>
      <c r="C2512" s="4" t="str">
        <f ca="1">IFERROR(__xludf.DUMMYFUNCTION("""COMPUTED_VALUE"""),"EVERGREEN - UAN Gated Content - Embedded Petition")</f>
        <v>EVERGREEN - UAN Gated Content - Embedded Petition</v>
      </c>
      <c r="D2512" s="5">
        <f ca="1">IFERROR(__xludf.DUMMYFUNCTION("""COMPUTED_VALUE"""),45654)</f>
        <v>45654</v>
      </c>
    </row>
    <row r="2513" spans="1:4" ht="13" x14ac:dyDescent="0.15">
      <c r="A2513" s="4">
        <f ca="1">IFERROR(__xludf.DUMMYFUNCTION("""COMPUTED_VALUE"""),286928091)</f>
        <v>286928091</v>
      </c>
      <c r="B2513" s="1" t="str">
        <f ca="1">IFERROR(__xludf.DUMMYFUNCTION("""COMPUTED_VALUE"""),"thompsonlamonte@gmail.com")</f>
        <v>thompsonlamonte@gmail.com</v>
      </c>
      <c r="C2513" s="4" t="str">
        <f ca="1">IFERROR(__xludf.DUMMYFUNCTION("""COMPUTED_VALUE"""),"UAN mid-page Lightbox - Step 1 of 4 - Landing Page")</f>
        <v>UAN mid-page Lightbox - Step 1 of 4 - Landing Page</v>
      </c>
      <c r="D2513" s="5">
        <f ca="1">IFERROR(__xludf.DUMMYFUNCTION("""COMPUTED_VALUE"""),45654)</f>
        <v>45654</v>
      </c>
    </row>
    <row r="2514" spans="1:4" ht="13" x14ac:dyDescent="0.15">
      <c r="A2514" s="4">
        <f ca="1">IFERROR(__xludf.DUMMYFUNCTION("""COMPUTED_VALUE"""),286928091)</f>
        <v>286928091</v>
      </c>
      <c r="B2514" s="1" t="str">
        <f ca="1">IFERROR(__xludf.DUMMYFUNCTION("""COMPUTED_VALUE"""),"thompsonlamonte@gmail.com")</f>
        <v>thompsonlamonte@gmail.com</v>
      </c>
      <c r="C2514" s="4" t="str">
        <f ca="1">IFERROR(__xludf.DUMMYFUNCTION("""COMPUTED_VALUE"""),"UAN mid-page Lightbox - Step 2 of 4 - More personal info fields")</f>
        <v>UAN mid-page Lightbox - Step 2 of 4 - More personal info fields</v>
      </c>
      <c r="D2514" s="5">
        <f ca="1">IFERROR(__xludf.DUMMYFUNCTION("""COMPUTED_VALUE"""),45654)</f>
        <v>45654</v>
      </c>
    </row>
    <row r="2515" spans="1:4" ht="13" x14ac:dyDescent="0.15">
      <c r="A2515" s="4">
        <f ca="1">IFERROR(__xludf.DUMMYFUNCTION("""COMPUTED_VALUE"""),286928091)</f>
        <v>286928091</v>
      </c>
      <c r="B2515" s="1" t="str">
        <f ca="1">IFERROR(__xludf.DUMMYFUNCTION("""COMPUTED_VALUE"""),"thompsonlamonte@gmail.com")</f>
        <v>thompsonlamonte@gmail.com</v>
      </c>
      <c r="C2515" s="4" t="str">
        <f ca="1">IFERROR(__xludf.DUMMYFUNCTION("""COMPUTED_VALUE"""),"UAN mid-page Lightbox - Step 3 of 4 - More opt-ins")</f>
        <v>UAN mid-page Lightbox - Step 3 of 4 - More opt-ins</v>
      </c>
      <c r="D2515" s="5">
        <f ca="1">IFERROR(__xludf.DUMMYFUNCTION("""COMPUTED_VALUE"""),45654)</f>
        <v>45654</v>
      </c>
    </row>
    <row r="2516" spans="1:4" ht="13" x14ac:dyDescent="0.15">
      <c r="A2516" s="4">
        <f ca="1">IFERROR(__xludf.DUMMYFUNCTION("""COMPUTED_VALUE"""),286928091)</f>
        <v>286928091</v>
      </c>
      <c r="B2516" s="1" t="str">
        <f ca="1">IFERROR(__xludf.DUMMYFUNCTION("""COMPUTED_VALUE"""),"thompsonlamonte@gmail.com")</f>
        <v>thompsonlamonte@gmail.com</v>
      </c>
      <c r="C2516" s="4" t="str">
        <f ca="1">IFERROR(__xludf.DUMMYFUNCTION("""COMPUTED_VALUE"""),"UAN mid-page Lightbox - Step 3 of 4 - More opt-ins")</f>
        <v>UAN mid-page Lightbox - Step 3 of 4 - More opt-ins</v>
      </c>
      <c r="D2516" s="5">
        <f ca="1">IFERROR(__xludf.DUMMYFUNCTION("""COMPUTED_VALUE"""),45654)</f>
        <v>45654</v>
      </c>
    </row>
    <row r="2517" spans="1:4" ht="13" x14ac:dyDescent="0.15">
      <c r="A2517" s="4">
        <f ca="1">IFERROR(__xludf.DUMMYFUNCTION("""COMPUTED_VALUE"""),286978010)</f>
        <v>286978010</v>
      </c>
      <c r="B2517" s="1" t="str">
        <f ca="1">IFERROR(__xludf.DUMMYFUNCTION("""COMPUTED_VALUE"""),"lazlkay69@gmail.com")</f>
        <v>lazlkay69@gmail.com</v>
      </c>
      <c r="C2517" s="4" t="str">
        <f ca="1">IFERROR(__xludf.DUMMYFUNCTION("""COMPUTED_VALUE"""),"EVERGREEN - UAN Gated Content - Embedded Petition")</f>
        <v>EVERGREEN - UAN Gated Content - Embedded Petition</v>
      </c>
      <c r="D2517" s="5">
        <f ca="1">IFERROR(__xludf.DUMMYFUNCTION("""COMPUTED_VALUE"""),45694)</f>
        <v>45694</v>
      </c>
    </row>
    <row r="2518" spans="1:4" ht="13" x14ac:dyDescent="0.15">
      <c r="A2518" s="4">
        <f ca="1">IFERROR(__xludf.DUMMYFUNCTION("""COMPUTED_VALUE"""),286978010)</f>
        <v>286978010</v>
      </c>
      <c r="B2518" s="1" t="str">
        <f ca="1">IFERROR(__xludf.DUMMYFUNCTION("""COMPUTED_VALUE"""),"lazlkay69@gmail.com")</f>
        <v>lazlkay69@gmail.com</v>
      </c>
      <c r="C2518" s="4" t="str">
        <f ca="1">IFERROR(__xludf.DUMMYFUNCTION("""COMPUTED_VALUE"""),"EVERGREEN - UAN Gated Content - Embedded Petition")</f>
        <v>EVERGREEN - UAN Gated Content - Embedded Petition</v>
      </c>
      <c r="D2518" s="5">
        <f ca="1">IFERROR(__xludf.DUMMYFUNCTION("""COMPUTED_VALUE"""),45694)</f>
        <v>45694</v>
      </c>
    </row>
    <row r="2519" spans="1:4" ht="13" x14ac:dyDescent="0.15">
      <c r="A2519" s="4">
        <f ca="1">IFERROR(__xludf.DUMMYFUNCTION("""COMPUTED_VALUE"""),287050098)</f>
        <v>287050098</v>
      </c>
      <c r="B2519" s="1" t="str">
        <f ca="1">IFERROR(__xludf.DUMMYFUNCTION("""COMPUTED_VALUE"""),"michelleamaris13@gmail.com")</f>
        <v>michelleamaris13@gmail.com</v>
      </c>
      <c r="C2519" s="4" t="str">
        <f ca="1">IFERROR(__xludf.DUMMYFUNCTION("""COMPUTED_VALUE"""),"EVERGREEN - UAN Gated Content - Embedded Petition")</f>
        <v>EVERGREEN - UAN Gated Content - Embedded Petition</v>
      </c>
      <c r="D2519" s="5">
        <f ca="1">IFERROR(__xludf.DUMMYFUNCTION("""COMPUTED_VALUE"""),45659)</f>
        <v>45659</v>
      </c>
    </row>
    <row r="2520" spans="1:4" ht="13" x14ac:dyDescent="0.15">
      <c r="A2520" s="4">
        <f ca="1">IFERROR(__xludf.DUMMYFUNCTION("""COMPUTED_VALUE"""),287096340)</f>
        <v>287096340</v>
      </c>
      <c r="B2520" s="1" t="str">
        <f ca="1">IFERROR(__xludf.DUMMYFUNCTION("""COMPUTED_VALUE"""),"ronaldowens8585@gmail.com")</f>
        <v>ronaldowens8585@gmail.com</v>
      </c>
      <c r="C2520" s="4" t="str">
        <f ca="1">IFERROR(__xludf.DUMMYFUNCTION("""COMPUTED_VALUE"""),"EVERGREEN - Website Email Capture Form - UAN Pre-Footer")</f>
        <v>EVERGREEN - Website Email Capture Form - UAN Pre-Footer</v>
      </c>
      <c r="D2520" s="5">
        <f ca="1">IFERROR(__xludf.DUMMYFUNCTION("""COMPUTED_VALUE"""),45662)</f>
        <v>45662</v>
      </c>
    </row>
    <row r="2521" spans="1:4" ht="13" x14ac:dyDescent="0.15">
      <c r="A2521" s="4">
        <f ca="1">IFERROR(__xludf.DUMMYFUNCTION("""COMPUTED_VALUE"""),287106956)</f>
        <v>287106956</v>
      </c>
      <c r="B2521" s="1" t="str">
        <f ca="1">IFERROR(__xludf.DUMMYFUNCTION("""COMPUTED_VALUE"""),"jaznit28@yahoo.com")</f>
        <v>jaznit28@yahoo.com</v>
      </c>
      <c r="C2521" s="4" t="str">
        <f ca="1">IFERROR(__xludf.DUMMYFUNCTION("""COMPUTED_VALUE"""),"EVERGREEN - Website Email Capture Form - UAN Pre-Footer")</f>
        <v>EVERGREEN - Website Email Capture Form - UAN Pre-Footer</v>
      </c>
      <c r="D2521" s="5">
        <f ca="1">IFERROR(__xludf.DUMMYFUNCTION("""COMPUTED_VALUE"""),45663)</f>
        <v>45663</v>
      </c>
    </row>
    <row r="2522" spans="1:4" ht="13" x14ac:dyDescent="0.15">
      <c r="A2522" s="4">
        <f ca="1">IFERROR(__xludf.DUMMYFUNCTION("""COMPUTED_VALUE"""),287231334)</f>
        <v>287231334</v>
      </c>
      <c r="B2522" s="1" t="str">
        <f ca="1">IFERROR(__xludf.DUMMYFUNCTION("""COMPUTED_VALUE"""),"nextlevel4blessing@mail.fresnostate.edu")</f>
        <v>nextlevel4blessing@mail.fresnostate.edu</v>
      </c>
      <c r="C2522" s="4" t="str">
        <f ca="1">IFERROR(__xludf.DUMMYFUNCTION("""COMPUTED_VALUE"""),"EVERGREEN - UAN Gated Content - Embedded Petition")</f>
        <v>EVERGREEN - UAN Gated Content - Embedded Petition</v>
      </c>
      <c r="D2522" s="5">
        <f ca="1">IFERROR(__xludf.DUMMYFUNCTION("""COMPUTED_VALUE"""),45686)</f>
        <v>45686</v>
      </c>
    </row>
    <row r="2523" spans="1:4" ht="13" x14ac:dyDescent="0.15">
      <c r="A2523" s="4">
        <f ca="1">IFERROR(__xludf.DUMMYFUNCTION("""COMPUTED_VALUE"""),287291465)</f>
        <v>287291465</v>
      </c>
      <c r="B2523" s="1" t="str">
        <f ca="1">IFERROR(__xludf.DUMMYFUNCTION("""COMPUTED_VALUE"""),"christismith56@global.net")</f>
        <v>christismith56@global.net</v>
      </c>
      <c r="C2523" s="4" t="str">
        <f ca="1">IFERROR(__xludf.DUMMYFUNCTION("""COMPUTED_VALUE"""),"EVERGREEN - Website Email Capture Form - UAN Pre-Footer")</f>
        <v>EVERGREEN - Website Email Capture Form - UAN Pre-Footer</v>
      </c>
      <c r="D2523" s="5">
        <f ca="1">IFERROR(__xludf.DUMMYFUNCTION("""COMPUTED_VALUE"""),45667)</f>
        <v>45667</v>
      </c>
    </row>
    <row r="2524" spans="1:4" ht="13" x14ac:dyDescent="0.15">
      <c r="A2524" s="4">
        <f ca="1">IFERROR(__xludf.DUMMYFUNCTION("""COMPUTED_VALUE"""),287299767)</f>
        <v>287299767</v>
      </c>
      <c r="B2524" s="1" t="str">
        <f ca="1">IFERROR(__xludf.DUMMYFUNCTION("""COMPUTED_VALUE"""),"milpitasamnestu@gmail.com")</f>
        <v>milpitasamnestu@gmail.com</v>
      </c>
      <c r="C2524" s="4" t="str">
        <f ca="1">IFERROR(__xludf.DUMMYFUNCTION("""COMPUTED_VALUE"""),"EVERGREEN - Website Email Capture Form - UAN Pre-Footer")</f>
        <v>EVERGREEN - Website Email Capture Form - UAN Pre-Footer</v>
      </c>
      <c r="D2524" s="5">
        <f ca="1">IFERROR(__xludf.DUMMYFUNCTION("""COMPUTED_VALUE"""),45668)</f>
        <v>45668</v>
      </c>
    </row>
    <row r="2525" spans="1:4" ht="13" x14ac:dyDescent="0.15">
      <c r="A2525" s="4">
        <f ca="1">IFERROR(__xludf.DUMMYFUNCTION("""COMPUTED_VALUE"""),287299771)</f>
        <v>287299771</v>
      </c>
      <c r="B2525" s="1" t="str">
        <f ca="1">IFERROR(__xludf.DUMMYFUNCTION("""COMPUTED_VALUE"""),"milpitasamnesty@gmail.com")</f>
        <v>milpitasamnesty@gmail.com</v>
      </c>
      <c r="C2525" s="4" t="str">
        <f ca="1">IFERROR(__xludf.DUMMYFUNCTION("""COMPUTED_VALUE"""),"EVERGREEN - UAN Gated Content - Embedded Petition")</f>
        <v>EVERGREEN - UAN Gated Content - Embedded Petition</v>
      </c>
      <c r="D2525" s="5">
        <f ca="1">IFERROR(__xludf.DUMMYFUNCTION("""COMPUTED_VALUE"""),45685)</f>
        <v>45685</v>
      </c>
    </row>
    <row r="2526" spans="1:4" ht="13" x14ac:dyDescent="0.15">
      <c r="A2526" s="4">
        <f ca="1">IFERROR(__xludf.DUMMYFUNCTION("""COMPUTED_VALUE"""),287299771)</f>
        <v>287299771</v>
      </c>
      <c r="B2526" s="1" t="str">
        <f ca="1">IFERROR(__xludf.DUMMYFUNCTION("""COMPUTED_VALUE"""),"milpitasamnesty@gmail.com")</f>
        <v>milpitasamnesty@gmail.com</v>
      </c>
      <c r="C2526" s="4" t="str">
        <f ca="1">IFERROR(__xludf.DUMMYFUNCTION("""COMPUTED_VALUE"""),"EVERGREEN - UAN Gated Content - Embedded Petition")</f>
        <v>EVERGREEN - UAN Gated Content - Embedded Petition</v>
      </c>
      <c r="D2526" s="5">
        <f ca="1">IFERROR(__xludf.DUMMYFUNCTION("""COMPUTED_VALUE"""),45670)</f>
        <v>45670</v>
      </c>
    </row>
    <row r="2527" spans="1:4" ht="13" x14ac:dyDescent="0.15">
      <c r="A2527" s="4">
        <f ca="1">IFERROR(__xludf.DUMMYFUNCTION("""COMPUTED_VALUE"""),287299771)</f>
        <v>287299771</v>
      </c>
      <c r="B2527" s="1" t="str">
        <f ca="1">IFERROR(__xludf.DUMMYFUNCTION("""COMPUTED_VALUE"""),"milpitasamnesty@gmail.com")</f>
        <v>milpitasamnesty@gmail.com</v>
      </c>
      <c r="C2527" s="4" t="str">
        <f ca="1">IFERROR(__xludf.DUMMYFUNCTION("""COMPUTED_VALUE"""),"EVERGREEN - Website Email Capture Form - UAN Pre-Footer")</f>
        <v>EVERGREEN - Website Email Capture Form - UAN Pre-Footer</v>
      </c>
      <c r="D2527" s="5">
        <f ca="1">IFERROR(__xludf.DUMMYFUNCTION("""COMPUTED_VALUE"""),45668)</f>
        <v>45668</v>
      </c>
    </row>
    <row r="2528" spans="1:4" ht="13" x14ac:dyDescent="0.15">
      <c r="A2528" s="4">
        <f ca="1">IFERROR(__xludf.DUMMYFUNCTION("""COMPUTED_VALUE"""),287337759)</f>
        <v>287337759</v>
      </c>
      <c r="B2528" s="1" t="str">
        <f ca="1">IFERROR(__xludf.DUMMYFUNCTION("""COMPUTED_VALUE"""),"sisbo064@gmail.com")</f>
        <v>sisbo064@gmail.com</v>
      </c>
      <c r="C2528" s="4" t="str">
        <f ca="1">IFERROR(__xludf.DUMMYFUNCTION("""COMPUTED_VALUE"""),"EVERGREEN - UAN Gated Content - Embedded Petition")</f>
        <v>EVERGREEN - UAN Gated Content - Embedded Petition</v>
      </c>
      <c r="D2528" s="5">
        <f ca="1">IFERROR(__xludf.DUMMYFUNCTION("""COMPUTED_VALUE"""),45670)</f>
        <v>45670</v>
      </c>
    </row>
    <row r="2529" spans="1:4" ht="13" x14ac:dyDescent="0.15">
      <c r="A2529" s="4">
        <f ca="1">IFERROR(__xludf.DUMMYFUNCTION("""COMPUTED_VALUE"""),287337759)</f>
        <v>287337759</v>
      </c>
      <c r="B2529" s="1" t="str">
        <f ca="1">IFERROR(__xludf.DUMMYFUNCTION("""COMPUTED_VALUE"""),"sisbo064@gmail.com")</f>
        <v>sisbo064@gmail.com</v>
      </c>
      <c r="C2529" s="4" t="str">
        <f ca="1">IFERROR(__xludf.DUMMYFUNCTION("""COMPUTED_VALUE"""),"EVERGREEN - UAN Gated Content - Embedded Petition")</f>
        <v>EVERGREEN - UAN Gated Content - Embedded Petition</v>
      </c>
      <c r="D2529" s="5">
        <f ca="1">IFERROR(__xludf.DUMMYFUNCTION("""COMPUTED_VALUE"""),45670)</f>
        <v>45670</v>
      </c>
    </row>
    <row r="2530" spans="1:4" ht="13" x14ac:dyDescent="0.15">
      <c r="A2530" s="4">
        <f ca="1">IFERROR(__xludf.DUMMYFUNCTION("""COMPUTED_VALUE"""),287337759)</f>
        <v>287337759</v>
      </c>
      <c r="B2530" s="1" t="str">
        <f ca="1">IFERROR(__xludf.DUMMYFUNCTION("""COMPUTED_VALUE"""),"sisbo064@gmail.com")</f>
        <v>sisbo064@gmail.com</v>
      </c>
      <c r="C2530" s="4" t="str">
        <f ca="1">IFERROR(__xludf.DUMMYFUNCTION("""COMPUTED_VALUE"""),"EVERGREEN - UAN Gated Content - Embedded Petition")</f>
        <v>EVERGREEN - UAN Gated Content - Embedded Petition</v>
      </c>
      <c r="D2530" s="5">
        <f ca="1">IFERROR(__xludf.DUMMYFUNCTION("""COMPUTED_VALUE"""),45670)</f>
        <v>45670</v>
      </c>
    </row>
    <row r="2531" spans="1:4" ht="13" x14ac:dyDescent="0.15">
      <c r="A2531" s="4">
        <f ca="1">IFERROR(__xludf.DUMMYFUNCTION("""COMPUTED_VALUE"""),287342614)</f>
        <v>287342614</v>
      </c>
      <c r="B2531" s="1" t="str">
        <f ca="1">IFERROR(__xludf.DUMMYFUNCTION("""COMPUTED_VALUE"""),"pedroacastillo446@gmail.com")</f>
        <v>pedroacastillo446@gmail.com</v>
      </c>
      <c r="C2531" s="4" t="str">
        <f ca="1">IFERROR(__xludf.DUMMYFUNCTION("""COMPUTED_VALUE"""),"EVERGREEN - UAN Gated Content - Embedded Petition")</f>
        <v>EVERGREEN - UAN Gated Content - Embedded Petition</v>
      </c>
      <c r="D2531" s="5">
        <f ca="1">IFERROR(__xludf.DUMMYFUNCTION("""COMPUTED_VALUE"""),45694)</f>
        <v>45694</v>
      </c>
    </row>
    <row r="2532" spans="1:4" ht="13" x14ac:dyDescent="0.15">
      <c r="A2532" s="4">
        <f ca="1">IFERROR(__xludf.DUMMYFUNCTION("""COMPUTED_VALUE"""),287342614)</f>
        <v>287342614</v>
      </c>
      <c r="B2532" s="1" t="str">
        <f ca="1">IFERROR(__xludf.DUMMYFUNCTION("""COMPUTED_VALUE"""),"pedroacastillo446@gmail.com")</f>
        <v>pedroacastillo446@gmail.com</v>
      </c>
      <c r="C2532" s="4" t="str">
        <f ca="1">IFERROR(__xludf.DUMMYFUNCTION("""COMPUTED_VALUE"""),"EVERGREEN - UAN Gated Content - Embedded Petition")</f>
        <v>EVERGREEN - UAN Gated Content - Embedded Petition</v>
      </c>
      <c r="D2532" s="5">
        <f ca="1">IFERROR(__xludf.DUMMYFUNCTION("""COMPUTED_VALUE"""),45689)</f>
        <v>45689</v>
      </c>
    </row>
    <row r="2533" spans="1:4" ht="13" x14ac:dyDescent="0.15">
      <c r="A2533" s="4">
        <f ca="1">IFERROR(__xludf.DUMMYFUNCTION("""COMPUTED_VALUE"""),287342614)</f>
        <v>287342614</v>
      </c>
      <c r="B2533" s="1" t="str">
        <f ca="1">IFERROR(__xludf.DUMMYFUNCTION("""COMPUTED_VALUE"""),"pedroacastillo446@gmail.com")</f>
        <v>pedroacastillo446@gmail.com</v>
      </c>
      <c r="C2533" s="4" t="str">
        <f ca="1">IFERROR(__xludf.DUMMYFUNCTION("""COMPUTED_VALUE"""),"EVERGREEN - Website Email Capture Form - UAN Pre-Footer")</f>
        <v>EVERGREEN - Website Email Capture Form - UAN Pre-Footer</v>
      </c>
      <c r="D2533" s="5">
        <f ca="1">IFERROR(__xludf.DUMMYFUNCTION("""COMPUTED_VALUE"""),45684)</f>
        <v>45684</v>
      </c>
    </row>
    <row r="2534" spans="1:4" ht="13" x14ac:dyDescent="0.15">
      <c r="A2534" s="4">
        <f ca="1">IFERROR(__xludf.DUMMYFUNCTION("""COMPUTED_VALUE"""),287342614)</f>
        <v>287342614</v>
      </c>
      <c r="B2534" s="1" t="str">
        <f ca="1">IFERROR(__xludf.DUMMYFUNCTION("""COMPUTED_VALUE"""),"pedroacastillo446@gmail.com")</f>
        <v>pedroacastillo446@gmail.com</v>
      </c>
      <c r="C2534" s="4" t="str">
        <f ca="1">IFERROR(__xludf.DUMMYFUNCTION("""COMPUTED_VALUE"""),"EVERGREEN - Website Email Capture Form - UAN Pre-Footer")</f>
        <v>EVERGREEN - Website Email Capture Form - UAN Pre-Footer</v>
      </c>
      <c r="D2534" s="5">
        <f ca="1">IFERROR(__xludf.DUMMYFUNCTION("""COMPUTED_VALUE"""),45694)</f>
        <v>45694</v>
      </c>
    </row>
    <row r="2535" spans="1:4" ht="13" x14ac:dyDescent="0.15">
      <c r="A2535" s="4">
        <f ca="1">IFERROR(__xludf.DUMMYFUNCTION("""COMPUTED_VALUE"""),287363158)</f>
        <v>287363158</v>
      </c>
      <c r="B2535" s="1" t="str">
        <f ca="1">IFERROR(__xludf.DUMMYFUNCTION("""COMPUTED_VALUE"""),"yountandrea9@gmail.com")</f>
        <v>yountandrea9@gmail.com</v>
      </c>
      <c r="C2535" s="4" t="str">
        <f ca="1">IFERROR(__xludf.DUMMYFUNCTION("""COMPUTED_VALUE"""),"EVERGREEN - Website Email Capture Form - UAN Pre-Footer")</f>
        <v>EVERGREEN - Website Email Capture Form - UAN Pre-Footer</v>
      </c>
      <c r="D2535" s="5">
        <f ca="1">IFERROR(__xludf.DUMMYFUNCTION("""COMPUTED_VALUE"""),45671)</f>
        <v>45671</v>
      </c>
    </row>
    <row r="2536" spans="1:4" ht="13" x14ac:dyDescent="0.15">
      <c r="A2536" s="4">
        <f ca="1">IFERROR(__xludf.DUMMYFUNCTION("""COMPUTED_VALUE"""),287368356)</f>
        <v>287368356</v>
      </c>
      <c r="B2536" s="1" t="str">
        <f ca="1">IFERROR(__xludf.DUMMYFUNCTION("""COMPUTED_VALUE"""),"veldkampleida@gmail.com")</f>
        <v>veldkampleida@gmail.com</v>
      </c>
      <c r="C2536" s="4" t="str">
        <f ca="1">IFERROR(__xludf.DUMMYFUNCTION("""COMPUTED_VALUE"""),"EVERGREEN - UAN Gated Content - Embedded Petition")</f>
        <v>EVERGREEN - UAN Gated Content - Embedded Petition</v>
      </c>
      <c r="D2536" s="5">
        <f ca="1">IFERROR(__xludf.DUMMYFUNCTION("""COMPUTED_VALUE"""),45671)</f>
        <v>45671</v>
      </c>
    </row>
    <row r="2537" spans="1:4" ht="13" x14ac:dyDescent="0.15">
      <c r="A2537" s="4">
        <f ca="1">IFERROR(__xludf.DUMMYFUNCTION("""COMPUTED_VALUE"""),287372158)</f>
        <v>287372158</v>
      </c>
      <c r="B2537" s="1" t="str">
        <f ca="1">IFERROR(__xludf.DUMMYFUNCTION("""COMPUTED_VALUE"""),"burkesean53@gmail.com")</f>
        <v>burkesean53@gmail.com</v>
      </c>
      <c r="C2537" s="4" t="str">
        <f ca="1">IFERROR(__xludf.DUMMYFUNCTION("""COMPUTED_VALUE"""),"EVERGREEN - UAN Gated Content - Embedded Petition")</f>
        <v>EVERGREEN - UAN Gated Content - Embedded Petition</v>
      </c>
      <c r="D2537" s="5">
        <f ca="1">IFERROR(__xludf.DUMMYFUNCTION("""COMPUTED_VALUE"""),45672)</f>
        <v>45672</v>
      </c>
    </row>
    <row r="2538" spans="1:4" ht="13" x14ac:dyDescent="0.15">
      <c r="A2538" s="4">
        <f ca="1">IFERROR(__xludf.DUMMYFUNCTION("""COMPUTED_VALUE"""),287372158)</f>
        <v>287372158</v>
      </c>
      <c r="B2538" s="1" t="str">
        <f ca="1">IFERROR(__xludf.DUMMYFUNCTION("""COMPUTED_VALUE"""),"burkesean53@gmail.com")</f>
        <v>burkesean53@gmail.com</v>
      </c>
      <c r="C2538" s="4" t="str">
        <f ca="1">IFERROR(__xludf.DUMMYFUNCTION("""COMPUTED_VALUE"""),"EVERGREEN - UAN Gated Content - Embedded Petition")</f>
        <v>EVERGREEN - UAN Gated Content - Embedded Petition</v>
      </c>
      <c r="D2538" s="5">
        <f ca="1">IFERROR(__xludf.DUMMYFUNCTION("""COMPUTED_VALUE"""),45694)</f>
        <v>45694</v>
      </c>
    </row>
    <row r="2539" spans="1:4" ht="13" x14ac:dyDescent="0.15">
      <c r="A2539" s="4">
        <f ca="1">IFERROR(__xludf.DUMMYFUNCTION("""COMPUTED_VALUE"""),287372229)</f>
        <v>287372229</v>
      </c>
      <c r="B2539" s="1" t="str">
        <f ca="1">IFERROR(__xludf.DUMMYFUNCTION("""COMPUTED_VALUE"""),"mandykabbey@gmail.com")</f>
        <v>mandykabbey@gmail.com</v>
      </c>
      <c r="C2539" s="4" t="str">
        <f ca="1">IFERROR(__xludf.DUMMYFUNCTION("""COMPUTED_VALUE"""),"EVERGREEN - UAN Gated Content - Embedded Petition")</f>
        <v>EVERGREEN - UAN Gated Content - Embedded Petition</v>
      </c>
      <c r="D2539" s="5">
        <f ca="1">IFERROR(__xludf.DUMMYFUNCTION("""COMPUTED_VALUE"""),45672)</f>
        <v>45672</v>
      </c>
    </row>
    <row r="2540" spans="1:4" ht="13" x14ac:dyDescent="0.15">
      <c r="A2540" s="4">
        <f ca="1">IFERROR(__xludf.DUMMYFUNCTION("""COMPUTED_VALUE"""),287372244)</f>
        <v>287372244</v>
      </c>
      <c r="B2540" s="1" t="str">
        <f ca="1">IFERROR(__xludf.DUMMYFUNCTION("""COMPUTED_VALUE"""),"hades_jungle@yahoo.com")</f>
        <v>hades_jungle@yahoo.com</v>
      </c>
      <c r="C2540" s="4" t="str">
        <f ca="1">IFERROR(__xludf.DUMMYFUNCTION("""COMPUTED_VALUE"""),"EVERGREEN - UAN Gated Content - Embedded Petition")</f>
        <v>EVERGREEN - UAN Gated Content - Embedded Petition</v>
      </c>
      <c r="D2540" s="5">
        <f ca="1">IFERROR(__xludf.DUMMYFUNCTION("""COMPUTED_VALUE"""),45672)</f>
        <v>45672</v>
      </c>
    </row>
    <row r="2541" spans="1:4" ht="13" x14ac:dyDescent="0.15">
      <c r="A2541" s="4">
        <f ca="1">IFERROR(__xludf.DUMMYFUNCTION("""COMPUTED_VALUE"""),287372776)</f>
        <v>287372776</v>
      </c>
      <c r="B2541" s="1" t="str">
        <f ca="1">IFERROR(__xludf.DUMMYFUNCTION("""COMPUTED_VALUE"""),"geralyned@gmail.com")</f>
        <v>geralyned@gmail.com</v>
      </c>
      <c r="C2541" s="4" t="str">
        <f ca="1">IFERROR(__xludf.DUMMYFUNCTION("""COMPUTED_VALUE"""),"EVERGREEN - UAN Gated Content - Embedded Petition")</f>
        <v>EVERGREEN - UAN Gated Content - Embedded Petition</v>
      </c>
      <c r="D2541" s="5">
        <f ca="1">IFERROR(__xludf.DUMMYFUNCTION("""COMPUTED_VALUE"""),45672)</f>
        <v>45672</v>
      </c>
    </row>
    <row r="2542" spans="1:4" ht="13" x14ac:dyDescent="0.15">
      <c r="A2542" s="4">
        <f ca="1">IFERROR(__xludf.DUMMYFUNCTION("""COMPUTED_VALUE"""),287372805)</f>
        <v>287372805</v>
      </c>
      <c r="B2542" s="1" t="str">
        <f ca="1">IFERROR(__xludf.DUMMYFUNCTION("""COMPUTED_VALUE"""),"nikaucafe@gmail.com")</f>
        <v>nikaucafe@gmail.com</v>
      </c>
      <c r="C2542" s="4" t="str">
        <f ca="1">IFERROR(__xludf.DUMMYFUNCTION("""COMPUTED_VALUE"""),"EVERGREEN - UAN Gated Content - Embedded Petition")</f>
        <v>EVERGREEN - UAN Gated Content - Embedded Petition</v>
      </c>
      <c r="D2542" s="5">
        <f ca="1">IFERROR(__xludf.DUMMYFUNCTION("""COMPUTED_VALUE"""),45672)</f>
        <v>45672</v>
      </c>
    </row>
    <row r="2543" spans="1:4" ht="13" x14ac:dyDescent="0.15">
      <c r="A2543" s="4">
        <f ca="1">IFERROR(__xludf.DUMMYFUNCTION("""COMPUTED_VALUE"""),287373577)</f>
        <v>287373577</v>
      </c>
      <c r="B2543" s="1" t="str">
        <f ca="1">IFERROR(__xludf.DUMMYFUNCTION("""COMPUTED_VALUE"""),"annfarr46@gmail.com")</f>
        <v>annfarr46@gmail.com</v>
      </c>
      <c r="C2543" s="4" t="str">
        <f ca="1">IFERROR(__xludf.DUMMYFUNCTION("""COMPUTED_VALUE"""),"EVERGREEN - UAN Gated Content - Embedded Petition")</f>
        <v>EVERGREEN - UAN Gated Content - Embedded Petition</v>
      </c>
      <c r="D2543" s="5">
        <f ca="1">IFERROR(__xludf.DUMMYFUNCTION("""COMPUTED_VALUE"""),45672)</f>
        <v>45672</v>
      </c>
    </row>
    <row r="2544" spans="1:4" ht="13" x14ac:dyDescent="0.15">
      <c r="A2544" s="4">
        <f ca="1">IFERROR(__xludf.DUMMYFUNCTION("""COMPUTED_VALUE"""),287373899)</f>
        <v>287373899</v>
      </c>
      <c r="B2544" s="1" t="str">
        <f ca="1">IFERROR(__xludf.DUMMYFUNCTION("""COMPUTED_VALUE"""),"razia.haniff.rh@gmail.com")</f>
        <v>razia.haniff.rh@gmail.com</v>
      </c>
      <c r="C2544" s="4" t="str">
        <f ca="1">IFERROR(__xludf.DUMMYFUNCTION("""COMPUTED_VALUE"""),"EVERGREEN - UAN Gated Content - Embedded Petition")</f>
        <v>EVERGREEN - UAN Gated Content - Embedded Petition</v>
      </c>
      <c r="D2544" s="5">
        <f ca="1">IFERROR(__xludf.DUMMYFUNCTION("""COMPUTED_VALUE"""),45672)</f>
        <v>45672</v>
      </c>
    </row>
    <row r="2545" spans="1:4" ht="13" x14ac:dyDescent="0.15">
      <c r="A2545" s="4">
        <f ca="1">IFERROR(__xludf.DUMMYFUNCTION("""COMPUTED_VALUE"""),287374037)</f>
        <v>287374037</v>
      </c>
      <c r="B2545" s="1" t="str">
        <f ca="1">IFERROR(__xludf.DUMMYFUNCTION("""COMPUTED_VALUE"""),"keim.joe@gmail.com")</f>
        <v>keim.joe@gmail.com</v>
      </c>
      <c r="C2545" s="4" t="str">
        <f ca="1">IFERROR(__xludf.DUMMYFUNCTION("""COMPUTED_VALUE"""),"EVERGREEN - UAN Gated Content - Embedded Petition")</f>
        <v>EVERGREEN - UAN Gated Content - Embedded Petition</v>
      </c>
      <c r="D2545" s="5">
        <f ca="1">IFERROR(__xludf.DUMMYFUNCTION("""COMPUTED_VALUE"""),45672)</f>
        <v>45672</v>
      </c>
    </row>
    <row r="2546" spans="1:4" ht="13" x14ac:dyDescent="0.15">
      <c r="A2546" s="4">
        <f ca="1">IFERROR(__xludf.DUMMYFUNCTION("""COMPUTED_VALUE"""),287374099)</f>
        <v>287374099</v>
      </c>
      <c r="B2546" s="1" t="str">
        <f ca="1">IFERROR(__xludf.DUMMYFUNCTION("""COMPUTED_VALUE"""),"ellenbruijs@live.nl")</f>
        <v>ellenbruijs@live.nl</v>
      </c>
      <c r="C2546" s="4" t="str">
        <f ca="1">IFERROR(__xludf.DUMMYFUNCTION("""COMPUTED_VALUE"""),"EVERGREEN - UAN Gated Content - Embedded Petition")</f>
        <v>EVERGREEN - UAN Gated Content - Embedded Petition</v>
      </c>
      <c r="D2546" s="5">
        <f ca="1">IFERROR(__xludf.DUMMYFUNCTION("""COMPUTED_VALUE"""),45672)</f>
        <v>45672</v>
      </c>
    </row>
    <row r="2547" spans="1:4" ht="13" x14ac:dyDescent="0.15">
      <c r="A2547" s="4">
        <f ca="1">IFERROR(__xludf.DUMMYFUNCTION("""COMPUTED_VALUE"""),287374868)</f>
        <v>287374868</v>
      </c>
      <c r="B2547" s="1" t="str">
        <f ca="1">IFERROR(__xludf.DUMMYFUNCTION("""COMPUTED_VALUE"""),"jeanferrol@hotmail.co.uk")</f>
        <v>jeanferrol@hotmail.co.uk</v>
      </c>
      <c r="C2547" s="4" t="str">
        <f ca="1">IFERROR(__xludf.DUMMYFUNCTION("""COMPUTED_VALUE"""),"EVERGREEN - UAN Gated Content - Embedded Petition")</f>
        <v>EVERGREEN - UAN Gated Content - Embedded Petition</v>
      </c>
      <c r="D2547" s="5">
        <f ca="1">IFERROR(__xludf.DUMMYFUNCTION("""COMPUTED_VALUE"""),45672)</f>
        <v>45672</v>
      </c>
    </row>
    <row r="2548" spans="1:4" ht="13" x14ac:dyDescent="0.15">
      <c r="A2548" s="4">
        <f ca="1">IFERROR(__xludf.DUMMYFUNCTION("""COMPUTED_VALUE"""),287375755)</f>
        <v>287375755</v>
      </c>
      <c r="B2548" s="1" t="str">
        <f ca="1">IFERROR(__xludf.DUMMYFUNCTION("""COMPUTED_VALUE"""),"usamah82@gmail.com")</f>
        <v>usamah82@gmail.com</v>
      </c>
      <c r="C2548" s="4" t="str">
        <f ca="1">IFERROR(__xludf.DUMMYFUNCTION("""COMPUTED_VALUE"""),"EVERGREEN - UAN Gated Content - Embedded Petition")</f>
        <v>EVERGREEN - UAN Gated Content - Embedded Petition</v>
      </c>
      <c r="D2548" s="5">
        <f ca="1">IFERROR(__xludf.DUMMYFUNCTION("""COMPUTED_VALUE"""),45672)</f>
        <v>45672</v>
      </c>
    </row>
    <row r="2549" spans="1:4" ht="13" x14ac:dyDescent="0.15">
      <c r="A2549" s="4">
        <f ca="1">IFERROR(__xludf.DUMMYFUNCTION("""COMPUTED_VALUE"""),287377037)</f>
        <v>287377037</v>
      </c>
      <c r="B2549" s="1" t="str">
        <f ca="1">IFERROR(__xludf.DUMMYFUNCTION("""COMPUTED_VALUE"""),"rm.minns@btinternet.com")</f>
        <v>rm.minns@btinternet.com</v>
      </c>
      <c r="C2549" s="4" t="str">
        <f ca="1">IFERROR(__xludf.DUMMYFUNCTION("""COMPUTED_VALUE"""),"EVERGREEN - UAN Gated Content - Embedded Petition")</f>
        <v>EVERGREEN - UAN Gated Content - Embedded Petition</v>
      </c>
      <c r="D2549" s="5">
        <f ca="1">IFERROR(__xludf.DUMMYFUNCTION("""COMPUTED_VALUE"""),45672)</f>
        <v>45672</v>
      </c>
    </row>
    <row r="2550" spans="1:4" ht="13" x14ac:dyDescent="0.15">
      <c r="A2550" s="4">
        <f ca="1">IFERROR(__xludf.DUMMYFUNCTION("""COMPUTED_VALUE"""),287377391)</f>
        <v>287377391</v>
      </c>
      <c r="B2550" s="1" t="str">
        <f ca="1">IFERROR(__xludf.DUMMYFUNCTION("""COMPUTED_VALUE"""),"sync_raisin5f@icloud.com")</f>
        <v>sync_raisin5f@icloud.com</v>
      </c>
      <c r="C2550" s="4" t="str">
        <f ca="1">IFERROR(__xludf.DUMMYFUNCTION("""COMPUTED_VALUE"""),"EVERGREEN - UAN Gated Content - Embedded Petition")</f>
        <v>EVERGREEN - UAN Gated Content - Embedded Petition</v>
      </c>
      <c r="D2550" s="5">
        <f ca="1">IFERROR(__xludf.DUMMYFUNCTION("""COMPUTED_VALUE"""),45672)</f>
        <v>45672</v>
      </c>
    </row>
    <row r="2551" spans="1:4" ht="13" x14ac:dyDescent="0.15">
      <c r="A2551" s="4">
        <f ca="1">IFERROR(__xludf.DUMMYFUNCTION("""COMPUTED_VALUE"""),287380456)</f>
        <v>287380456</v>
      </c>
      <c r="B2551" s="1" t="str">
        <f ca="1">IFERROR(__xludf.DUMMYFUNCTION("""COMPUTED_VALUE"""),"ri@adslhome.dk")</f>
        <v>ri@adslhome.dk</v>
      </c>
      <c r="C2551" s="4" t="str">
        <f ca="1">IFERROR(__xludf.DUMMYFUNCTION("""COMPUTED_VALUE"""),"EVERGREEN - UAN Gated Content - Embedded Petition")</f>
        <v>EVERGREEN - UAN Gated Content - Embedded Petition</v>
      </c>
      <c r="D2551" s="5">
        <f ca="1">IFERROR(__xludf.DUMMYFUNCTION("""COMPUTED_VALUE"""),45672)</f>
        <v>45672</v>
      </c>
    </row>
    <row r="2552" spans="1:4" ht="13" x14ac:dyDescent="0.15">
      <c r="A2552" s="4">
        <f ca="1">IFERROR(__xludf.DUMMYFUNCTION("""COMPUTED_VALUE"""),287380686)</f>
        <v>287380686</v>
      </c>
      <c r="B2552" s="1" t="str">
        <f ca="1">IFERROR(__xludf.DUMMYFUNCTION("""COMPUTED_VALUE"""),"carolemarz@icloud.com")</f>
        <v>carolemarz@icloud.com</v>
      </c>
      <c r="C2552" s="4" t="str">
        <f ca="1">IFERROR(__xludf.DUMMYFUNCTION("""COMPUTED_VALUE"""),"EVERGREEN - UAN Gated Content - Embedded Petition")</f>
        <v>EVERGREEN - UAN Gated Content - Embedded Petition</v>
      </c>
      <c r="D2552" s="5">
        <f ca="1">IFERROR(__xludf.DUMMYFUNCTION("""COMPUTED_VALUE"""),45672)</f>
        <v>45672</v>
      </c>
    </row>
    <row r="2553" spans="1:4" ht="13" x14ac:dyDescent="0.15">
      <c r="A2553" s="4">
        <f ca="1">IFERROR(__xludf.DUMMYFUNCTION("""COMPUTED_VALUE"""),287381002)</f>
        <v>287381002</v>
      </c>
      <c r="B2553" s="1" t="str">
        <f ca="1">IFERROR(__xludf.DUMMYFUNCTION("""COMPUTED_VALUE"""),"raquel44raquel@gmail.com")</f>
        <v>raquel44raquel@gmail.com</v>
      </c>
      <c r="C2553" s="4" t="str">
        <f ca="1">IFERROR(__xludf.DUMMYFUNCTION("""COMPUTED_VALUE"""),"EVERGREEN - UAN Gated Content - Embedded Petition")</f>
        <v>EVERGREEN - UAN Gated Content - Embedded Petition</v>
      </c>
      <c r="D2553" s="5">
        <f ca="1">IFERROR(__xludf.DUMMYFUNCTION("""COMPUTED_VALUE"""),45672)</f>
        <v>45672</v>
      </c>
    </row>
    <row r="2554" spans="1:4" ht="13" x14ac:dyDescent="0.15">
      <c r="A2554" s="4">
        <f ca="1">IFERROR(__xludf.DUMMYFUNCTION("""COMPUTED_VALUE"""),287381171)</f>
        <v>287381171</v>
      </c>
      <c r="B2554" s="1" t="str">
        <f ca="1">IFERROR(__xludf.DUMMYFUNCTION("""COMPUTED_VALUE"""),"annekenealy2@icloud.com")</f>
        <v>annekenealy2@icloud.com</v>
      </c>
      <c r="C2554" s="4" t="str">
        <f ca="1">IFERROR(__xludf.DUMMYFUNCTION("""COMPUTED_VALUE"""),"EVERGREEN - UAN Gated Content - Embedded Petition")</f>
        <v>EVERGREEN - UAN Gated Content - Embedded Petition</v>
      </c>
      <c r="D2554" s="5">
        <f ca="1">IFERROR(__xludf.DUMMYFUNCTION("""COMPUTED_VALUE"""),45672)</f>
        <v>45672</v>
      </c>
    </row>
    <row r="2555" spans="1:4" ht="13" x14ac:dyDescent="0.15">
      <c r="A2555" s="4">
        <f ca="1">IFERROR(__xludf.DUMMYFUNCTION("""COMPUTED_VALUE"""),287381222)</f>
        <v>287381222</v>
      </c>
      <c r="B2555" s="1" t="str">
        <f ca="1">IFERROR(__xludf.DUMMYFUNCTION("""COMPUTED_VALUE"""),"denisemacquire@phonecoop.coop")</f>
        <v>denisemacquire@phonecoop.coop</v>
      </c>
      <c r="C2555" s="4" t="str">
        <f ca="1">IFERROR(__xludf.DUMMYFUNCTION("""COMPUTED_VALUE"""),"EVERGREEN - UAN Gated Content - Embedded Petition")</f>
        <v>EVERGREEN - UAN Gated Content - Embedded Petition</v>
      </c>
      <c r="D2555" s="5">
        <f ca="1">IFERROR(__xludf.DUMMYFUNCTION("""COMPUTED_VALUE"""),45672)</f>
        <v>45672</v>
      </c>
    </row>
    <row r="2556" spans="1:4" ht="13" x14ac:dyDescent="0.15">
      <c r="A2556" s="4">
        <f ca="1">IFERROR(__xludf.DUMMYFUNCTION("""COMPUTED_VALUE"""),287381889)</f>
        <v>287381889</v>
      </c>
      <c r="B2556" s="1" t="str">
        <f ca="1">IFERROR(__xludf.DUMMYFUNCTION("""COMPUTED_VALUE"""),"dpaoletti@sympatico.ca")</f>
        <v>dpaoletti@sympatico.ca</v>
      </c>
      <c r="C2556" s="4" t="str">
        <f ca="1">IFERROR(__xludf.DUMMYFUNCTION("""COMPUTED_VALUE"""),"EVERGREEN - UAN Gated Content - Embedded Petition")</f>
        <v>EVERGREEN - UAN Gated Content - Embedded Petition</v>
      </c>
      <c r="D2556" s="5">
        <f ca="1">IFERROR(__xludf.DUMMYFUNCTION("""COMPUTED_VALUE"""),45672)</f>
        <v>45672</v>
      </c>
    </row>
    <row r="2557" spans="1:4" ht="13" x14ac:dyDescent="0.15">
      <c r="A2557" s="4">
        <f ca="1">IFERROR(__xludf.DUMMYFUNCTION("""COMPUTED_VALUE"""),287381889)</f>
        <v>287381889</v>
      </c>
      <c r="B2557" s="1" t="str">
        <f ca="1">IFERROR(__xludf.DUMMYFUNCTION("""COMPUTED_VALUE"""),"dpaoletti@sympatico.ca")</f>
        <v>dpaoletti@sympatico.ca</v>
      </c>
      <c r="C2557" s="4" t="str">
        <f ca="1">IFERROR(__xludf.DUMMYFUNCTION("""COMPUTED_VALUE"""),"EVERGREEN - UAN Gated Content - Embedded Petition")</f>
        <v>EVERGREEN - UAN Gated Content - Embedded Petition</v>
      </c>
      <c r="D2557" s="5">
        <f ca="1">IFERROR(__xludf.DUMMYFUNCTION("""COMPUTED_VALUE"""),45694)</f>
        <v>45694</v>
      </c>
    </row>
    <row r="2558" spans="1:4" ht="13" x14ac:dyDescent="0.15">
      <c r="A2558" s="4">
        <f ca="1">IFERROR(__xludf.DUMMYFUNCTION("""COMPUTED_VALUE"""),287382361)</f>
        <v>287382361</v>
      </c>
      <c r="B2558" s="1" t="str">
        <f ca="1">IFERROR(__xludf.DUMMYFUNCTION("""COMPUTED_VALUE"""),"idunha@gmail.com")</f>
        <v>idunha@gmail.com</v>
      </c>
      <c r="C2558" s="4" t="str">
        <f ca="1">IFERROR(__xludf.DUMMYFUNCTION("""COMPUTED_VALUE"""),"EVERGREEN - UAN Gated Content - Embedded Petition")</f>
        <v>EVERGREEN - UAN Gated Content - Embedded Petition</v>
      </c>
      <c r="D2558" s="5">
        <f ca="1">IFERROR(__xludf.DUMMYFUNCTION("""COMPUTED_VALUE"""),45672)</f>
        <v>45672</v>
      </c>
    </row>
    <row r="2559" spans="1:4" ht="13" x14ac:dyDescent="0.15">
      <c r="A2559" s="4">
        <f ca="1">IFERROR(__xludf.DUMMYFUNCTION("""COMPUTED_VALUE"""),287384410)</f>
        <v>287384410</v>
      </c>
      <c r="B2559" s="1" t="str">
        <f ca="1">IFERROR(__xludf.DUMMYFUNCTION("""COMPUTED_VALUE"""),"rayatkins@hotmail.co.uk")</f>
        <v>rayatkins@hotmail.co.uk</v>
      </c>
      <c r="C2559" s="4" t="str">
        <f ca="1">IFERROR(__xludf.DUMMYFUNCTION("""COMPUTED_VALUE"""),"EVERGREEN - UAN Gated Content - Embedded Petition")</f>
        <v>EVERGREEN - UAN Gated Content - Embedded Petition</v>
      </c>
      <c r="D2559" s="5">
        <f ca="1">IFERROR(__xludf.DUMMYFUNCTION("""COMPUTED_VALUE"""),45672)</f>
        <v>45672</v>
      </c>
    </row>
    <row r="2560" spans="1:4" ht="13" x14ac:dyDescent="0.15">
      <c r="A2560" s="4">
        <f ca="1">IFERROR(__xludf.DUMMYFUNCTION("""COMPUTED_VALUE"""),287384881)</f>
        <v>287384881</v>
      </c>
      <c r="B2560" s="1" t="str">
        <f ca="1">IFERROR(__xludf.DUMMYFUNCTION("""COMPUTED_VALUE"""),"qoe4baskets@gmail.com")</f>
        <v>qoe4baskets@gmail.com</v>
      </c>
      <c r="C2560" s="4" t="str">
        <f ca="1">IFERROR(__xludf.DUMMYFUNCTION("""COMPUTED_VALUE"""),"EVERGREEN - UAN Gated Content - Embedded Petition")</f>
        <v>EVERGREEN - UAN Gated Content - Embedded Petition</v>
      </c>
      <c r="D2560" s="5">
        <f ca="1">IFERROR(__xludf.DUMMYFUNCTION("""COMPUTED_VALUE"""),45693)</f>
        <v>45693</v>
      </c>
    </row>
    <row r="2561" spans="1:4" ht="13" x14ac:dyDescent="0.15">
      <c r="A2561" s="4">
        <f ca="1">IFERROR(__xludf.DUMMYFUNCTION("""COMPUTED_VALUE"""),287386448)</f>
        <v>287386448</v>
      </c>
      <c r="B2561" s="1" t="str">
        <f ca="1">IFERROR(__xludf.DUMMYFUNCTION("""COMPUTED_VALUE"""),"p.mercurio@outlook.com")</f>
        <v>p.mercurio@outlook.com</v>
      </c>
      <c r="C2561" s="4" t="str">
        <f ca="1">IFERROR(__xludf.DUMMYFUNCTION("""COMPUTED_VALUE"""),"EVERGREEN - UAN Gated Content - Embedded Petition")</f>
        <v>EVERGREEN - UAN Gated Content - Embedded Petition</v>
      </c>
      <c r="D2561" s="5">
        <f ca="1">IFERROR(__xludf.DUMMYFUNCTION("""COMPUTED_VALUE"""),45672)</f>
        <v>45672</v>
      </c>
    </row>
    <row r="2562" spans="1:4" ht="13" x14ac:dyDescent="0.15">
      <c r="A2562" s="4">
        <f ca="1">IFERROR(__xludf.DUMMYFUNCTION("""COMPUTED_VALUE"""),287389904)</f>
        <v>287389904</v>
      </c>
      <c r="B2562" s="1" t="str">
        <f ca="1">IFERROR(__xludf.DUMMYFUNCTION("""COMPUTED_VALUE"""),"snonline@athayoga.info")</f>
        <v>snonline@athayoga.info</v>
      </c>
      <c r="C2562" s="4" t="str">
        <f ca="1">IFERROR(__xludf.DUMMYFUNCTION("""COMPUTED_VALUE"""),"EVERGREEN - UAN Gated Content - Embedded Petition")</f>
        <v>EVERGREEN - UAN Gated Content - Embedded Petition</v>
      </c>
      <c r="D2562" s="5">
        <f ca="1">IFERROR(__xludf.DUMMYFUNCTION("""COMPUTED_VALUE"""),45672)</f>
        <v>45672</v>
      </c>
    </row>
    <row r="2563" spans="1:4" ht="13" x14ac:dyDescent="0.15">
      <c r="A2563" s="4">
        <f ca="1">IFERROR(__xludf.DUMMYFUNCTION("""COMPUTED_VALUE"""),287394583)</f>
        <v>287394583</v>
      </c>
      <c r="B2563" s="1" t="str">
        <f ca="1">IFERROR(__xludf.DUMMYFUNCTION("""COMPUTED_VALUE"""),"adriana_nedeva@yahoo.com")</f>
        <v>adriana_nedeva@yahoo.com</v>
      </c>
      <c r="C2563" s="4" t="str">
        <f ca="1">IFERROR(__xludf.DUMMYFUNCTION("""COMPUTED_VALUE"""),"EVERGREEN - UAN Gated Content - Embedded Petition")</f>
        <v>EVERGREEN - UAN Gated Content - Embedded Petition</v>
      </c>
      <c r="D2563" s="5">
        <f ca="1">IFERROR(__xludf.DUMMYFUNCTION("""COMPUTED_VALUE"""),45672)</f>
        <v>45672</v>
      </c>
    </row>
    <row r="2564" spans="1:4" ht="13" x14ac:dyDescent="0.15">
      <c r="A2564" s="4">
        <f ca="1">IFERROR(__xludf.DUMMYFUNCTION("""COMPUTED_VALUE"""),287395667)</f>
        <v>287395667</v>
      </c>
      <c r="B2564" s="1" t="str">
        <f ca="1">IFERROR(__xludf.DUMMYFUNCTION("""COMPUTED_VALUE"""),"mariamiguelr@gmail.com")</f>
        <v>mariamiguelr@gmail.com</v>
      </c>
      <c r="C2564" s="4" t="str">
        <f ca="1">IFERROR(__xludf.DUMMYFUNCTION("""COMPUTED_VALUE"""),"EVERGREEN - UAN Gated Content - Embedded Petition")</f>
        <v>EVERGREEN - UAN Gated Content - Embedded Petition</v>
      </c>
      <c r="D2564" s="5">
        <f ca="1">IFERROR(__xludf.DUMMYFUNCTION("""COMPUTED_VALUE"""),45672)</f>
        <v>45672</v>
      </c>
    </row>
    <row r="2565" spans="1:4" ht="13" x14ac:dyDescent="0.15">
      <c r="A2565" s="4">
        <f ca="1">IFERROR(__xludf.DUMMYFUNCTION("""COMPUTED_VALUE"""),287395815)</f>
        <v>287395815</v>
      </c>
      <c r="B2565" s="1" t="str">
        <f ca="1">IFERROR(__xludf.DUMMYFUNCTION("""COMPUTED_VALUE"""),"ulrichherbeck@gmx.net")</f>
        <v>ulrichherbeck@gmx.net</v>
      </c>
      <c r="C2565" s="4" t="str">
        <f ca="1">IFERROR(__xludf.DUMMYFUNCTION("""COMPUTED_VALUE"""),"EVERGREEN - UAN Gated Content - Embedded Petition")</f>
        <v>EVERGREEN - UAN Gated Content - Embedded Petition</v>
      </c>
      <c r="D2565" s="5">
        <f ca="1">IFERROR(__xludf.DUMMYFUNCTION("""COMPUTED_VALUE"""),45672)</f>
        <v>45672</v>
      </c>
    </row>
    <row r="2566" spans="1:4" ht="13" x14ac:dyDescent="0.15">
      <c r="A2566" s="4">
        <f ca="1">IFERROR(__xludf.DUMMYFUNCTION("""COMPUTED_VALUE"""),287396541)</f>
        <v>287396541</v>
      </c>
      <c r="B2566" s="1" t="str">
        <f ca="1">IFERROR(__xludf.DUMMYFUNCTION("""COMPUTED_VALUE"""),"dsec@tutamail.com")</f>
        <v>dsec@tutamail.com</v>
      </c>
      <c r="C2566" s="4" t="str">
        <f ca="1">IFERROR(__xludf.DUMMYFUNCTION("""COMPUTED_VALUE"""),"EVERGREEN - UAN Gated Content - Embedded Petition")</f>
        <v>EVERGREEN - UAN Gated Content - Embedded Petition</v>
      </c>
      <c r="D2566" s="5">
        <f ca="1">IFERROR(__xludf.DUMMYFUNCTION("""COMPUTED_VALUE"""),45672)</f>
        <v>45672</v>
      </c>
    </row>
    <row r="2567" spans="1:4" ht="13" x14ac:dyDescent="0.15">
      <c r="A2567" s="4">
        <f ca="1">IFERROR(__xludf.DUMMYFUNCTION("""COMPUTED_VALUE"""),287396541)</f>
        <v>287396541</v>
      </c>
      <c r="B2567" s="1" t="str">
        <f ca="1">IFERROR(__xludf.DUMMYFUNCTION("""COMPUTED_VALUE"""),"dsec@tutamail.com")</f>
        <v>dsec@tutamail.com</v>
      </c>
      <c r="C2567" s="4" t="str">
        <f ca="1">IFERROR(__xludf.DUMMYFUNCTION("""COMPUTED_VALUE"""),"EVERGREEN - UAN Gated Content - Embedded Petition")</f>
        <v>EVERGREEN - UAN Gated Content - Embedded Petition</v>
      </c>
      <c r="D2567" s="5">
        <f ca="1">IFERROR(__xludf.DUMMYFUNCTION("""COMPUTED_VALUE"""),45672)</f>
        <v>45672</v>
      </c>
    </row>
    <row r="2568" spans="1:4" ht="13" x14ac:dyDescent="0.15">
      <c r="A2568" s="4">
        <f ca="1">IFERROR(__xludf.DUMMYFUNCTION("""COMPUTED_VALUE"""),287396541)</f>
        <v>287396541</v>
      </c>
      <c r="B2568" s="1" t="str">
        <f ca="1">IFERROR(__xludf.DUMMYFUNCTION("""COMPUTED_VALUE"""),"dsec@tutamail.com")</f>
        <v>dsec@tutamail.com</v>
      </c>
      <c r="C2568" s="4" t="str">
        <f ca="1">IFERROR(__xludf.DUMMYFUNCTION("""COMPUTED_VALUE"""),"EVERGREEN - UAN Gated Content - Embedded Petition")</f>
        <v>EVERGREEN - UAN Gated Content - Embedded Petition</v>
      </c>
      <c r="D2568" s="5">
        <f ca="1">IFERROR(__xludf.DUMMYFUNCTION("""COMPUTED_VALUE"""),45672)</f>
        <v>45672</v>
      </c>
    </row>
    <row r="2569" spans="1:4" ht="13" x14ac:dyDescent="0.15">
      <c r="A2569" s="4">
        <f ca="1">IFERROR(__xludf.DUMMYFUNCTION("""COMPUTED_VALUE"""),287396541)</f>
        <v>287396541</v>
      </c>
      <c r="B2569" s="1" t="str">
        <f ca="1">IFERROR(__xludf.DUMMYFUNCTION("""COMPUTED_VALUE"""),"dsec@tutamail.com")</f>
        <v>dsec@tutamail.com</v>
      </c>
      <c r="C2569" s="4" t="str">
        <f ca="1">IFERROR(__xludf.DUMMYFUNCTION("""COMPUTED_VALUE"""),"EVERGREEN - UAN Gated Content - Embedded Petition")</f>
        <v>EVERGREEN - UAN Gated Content - Embedded Petition</v>
      </c>
      <c r="D2569" s="5">
        <f ca="1">IFERROR(__xludf.DUMMYFUNCTION("""COMPUTED_VALUE"""),45672)</f>
        <v>45672</v>
      </c>
    </row>
    <row r="2570" spans="1:4" ht="13" x14ac:dyDescent="0.15">
      <c r="A2570" s="4">
        <f ca="1">IFERROR(__xludf.DUMMYFUNCTION("""COMPUTED_VALUE"""),287396541)</f>
        <v>287396541</v>
      </c>
      <c r="B2570" s="1" t="str">
        <f ca="1">IFERROR(__xludf.DUMMYFUNCTION("""COMPUTED_VALUE"""),"dsec@tutamail.com")</f>
        <v>dsec@tutamail.com</v>
      </c>
      <c r="C2570" s="4" t="str">
        <f ca="1">IFERROR(__xludf.DUMMYFUNCTION("""COMPUTED_VALUE"""),"EVERGREEN - UAN Gated Content - Embedded Petition")</f>
        <v>EVERGREEN - UAN Gated Content - Embedded Petition</v>
      </c>
      <c r="D2570" s="5">
        <f ca="1">IFERROR(__xludf.DUMMYFUNCTION("""COMPUTED_VALUE"""),45672)</f>
        <v>45672</v>
      </c>
    </row>
    <row r="2571" spans="1:4" ht="13" x14ac:dyDescent="0.15">
      <c r="A2571" s="4">
        <f ca="1">IFERROR(__xludf.DUMMYFUNCTION("""COMPUTED_VALUE"""),287396541)</f>
        <v>287396541</v>
      </c>
      <c r="B2571" s="1" t="str">
        <f ca="1">IFERROR(__xludf.DUMMYFUNCTION("""COMPUTED_VALUE"""),"dsec@tutamail.com")</f>
        <v>dsec@tutamail.com</v>
      </c>
      <c r="C2571" s="4" t="str">
        <f ca="1">IFERROR(__xludf.DUMMYFUNCTION("""COMPUTED_VALUE"""),"EVERGREEN - UAN Gated Content - Embedded Petition")</f>
        <v>EVERGREEN - UAN Gated Content - Embedded Petition</v>
      </c>
      <c r="D2571" s="5">
        <f ca="1">IFERROR(__xludf.DUMMYFUNCTION("""COMPUTED_VALUE"""),45672)</f>
        <v>45672</v>
      </c>
    </row>
    <row r="2572" spans="1:4" ht="13" x14ac:dyDescent="0.15">
      <c r="A2572" s="4">
        <f ca="1">IFERROR(__xludf.DUMMYFUNCTION("""COMPUTED_VALUE"""),287396541)</f>
        <v>287396541</v>
      </c>
      <c r="B2572" s="1" t="str">
        <f ca="1">IFERROR(__xludf.DUMMYFUNCTION("""COMPUTED_VALUE"""),"dsec@tutamail.com")</f>
        <v>dsec@tutamail.com</v>
      </c>
      <c r="C2572" s="4" t="str">
        <f ca="1">IFERROR(__xludf.DUMMYFUNCTION("""COMPUTED_VALUE"""),"EVERGREEN - UAN Gated Content - Embedded Petition")</f>
        <v>EVERGREEN - UAN Gated Content - Embedded Petition</v>
      </c>
      <c r="D2572" s="5">
        <f ca="1">IFERROR(__xludf.DUMMYFUNCTION("""COMPUTED_VALUE"""),45672)</f>
        <v>45672</v>
      </c>
    </row>
    <row r="2573" spans="1:4" ht="13" x14ac:dyDescent="0.15">
      <c r="A2573" s="4">
        <f ca="1">IFERROR(__xludf.DUMMYFUNCTION("""COMPUTED_VALUE"""),287396668)</f>
        <v>287396668</v>
      </c>
      <c r="B2573" s="1" t="str">
        <f ca="1">IFERROR(__xludf.DUMMYFUNCTION("""COMPUTED_VALUE"""),"seczkowskidominik05@gmail.com")</f>
        <v>seczkowskidominik05@gmail.com</v>
      </c>
      <c r="C2573" s="4" t="str">
        <f ca="1">IFERROR(__xludf.DUMMYFUNCTION("""COMPUTED_VALUE"""),"EVERGREEN - UAN Gated Content - Embedded Petition")</f>
        <v>EVERGREEN - UAN Gated Content - Embedded Petition</v>
      </c>
      <c r="D2573" s="5">
        <f ca="1">IFERROR(__xludf.DUMMYFUNCTION("""COMPUTED_VALUE"""),45672)</f>
        <v>45672</v>
      </c>
    </row>
    <row r="2574" spans="1:4" ht="13" x14ac:dyDescent="0.15">
      <c r="A2574" s="4">
        <f ca="1">IFERROR(__xludf.DUMMYFUNCTION("""COMPUTED_VALUE"""),287398176)</f>
        <v>287398176</v>
      </c>
      <c r="B2574" s="1" t="str">
        <f ca="1">IFERROR(__xludf.DUMMYFUNCTION("""COMPUTED_VALUE"""),"rhodleri11@gmail.com")</f>
        <v>rhodleri11@gmail.com</v>
      </c>
      <c r="C2574" s="4" t="str">
        <f ca="1">IFERROR(__xludf.DUMMYFUNCTION("""COMPUTED_VALUE"""),"EVERGREEN - UAN Gated Content - Embedded Petition")</f>
        <v>EVERGREEN - UAN Gated Content - Embedded Petition</v>
      </c>
      <c r="D2574" s="5">
        <f ca="1">IFERROR(__xludf.DUMMYFUNCTION("""COMPUTED_VALUE"""),45672)</f>
        <v>45672</v>
      </c>
    </row>
    <row r="2575" spans="1:4" ht="13" x14ac:dyDescent="0.15">
      <c r="A2575" s="4">
        <f ca="1">IFERROR(__xludf.DUMMYFUNCTION("""COMPUTED_VALUE"""),287398785)</f>
        <v>287398785</v>
      </c>
      <c r="B2575" s="1" t="str">
        <f ca="1">IFERROR(__xludf.DUMMYFUNCTION("""COMPUTED_VALUE"""),"dandypark5@hotmail.com")</f>
        <v>dandypark5@hotmail.com</v>
      </c>
      <c r="C2575" s="4" t="str">
        <f ca="1">IFERROR(__xludf.DUMMYFUNCTION("""COMPUTED_VALUE"""),"EVERGREEN - UAN Gated Content - Embedded Petition")</f>
        <v>EVERGREEN - UAN Gated Content - Embedded Petition</v>
      </c>
      <c r="D2575" s="5">
        <f ca="1">IFERROR(__xludf.DUMMYFUNCTION("""COMPUTED_VALUE"""),45672)</f>
        <v>45672</v>
      </c>
    </row>
    <row r="2576" spans="1:4" ht="13" x14ac:dyDescent="0.15">
      <c r="A2576" s="4">
        <f ca="1">IFERROR(__xludf.DUMMYFUNCTION("""COMPUTED_VALUE"""),287399041)</f>
        <v>287399041</v>
      </c>
      <c r="B2576" s="1" t="str">
        <f ca="1">IFERROR(__xludf.DUMMYFUNCTION("""COMPUTED_VALUE"""),"johncheshire@btinternet.com")</f>
        <v>johncheshire@btinternet.com</v>
      </c>
      <c r="C2576" s="4" t="str">
        <f ca="1">IFERROR(__xludf.DUMMYFUNCTION("""COMPUTED_VALUE"""),"EVERGREEN - UAN Gated Content - Embedded Petition")</f>
        <v>EVERGREEN - UAN Gated Content - Embedded Petition</v>
      </c>
      <c r="D2576" s="5">
        <f ca="1">IFERROR(__xludf.DUMMYFUNCTION("""COMPUTED_VALUE"""),45672)</f>
        <v>45672</v>
      </c>
    </row>
    <row r="2577" spans="1:4" ht="13" x14ac:dyDescent="0.15">
      <c r="A2577" s="4">
        <f ca="1">IFERROR(__xludf.DUMMYFUNCTION("""COMPUTED_VALUE"""),287399238)</f>
        <v>287399238</v>
      </c>
      <c r="B2577" s="1" t="str">
        <f ca="1">IFERROR(__xludf.DUMMYFUNCTION("""COMPUTED_VALUE"""),"tajsings4peace@gmail.com")</f>
        <v>tajsings4peace@gmail.com</v>
      </c>
      <c r="C2577" s="4" t="str">
        <f ca="1">IFERROR(__xludf.DUMMYFUNCTION("""COMPUTED_VALUE"""),"EVERGREEN - UAN Gated Content - Embedded Petition")</f>
        <v>EVERGREEN - UAN Gated Content - Embedded Petition</v>
      </c>
      <c r="D2577" s="5">
        <f ca="1">IFERROR(__xludf.DUMMYFUNCTION("""COMPUTED_VALUE"""),45672)</f>
        <v>45672</v>
      </c>
    </row>
    <row r="2578" spans="1:4" ht="13" x14ac:dyDescent="0.15">
      <c r="A2578" s="4">
        <f ca="1">IFERROR(__xludf.DUMMYFUNCTION("""COMPUTED_VALUE"""),287401106)</f>
        <v>287401106</v>
      </c>
      <c r="B2578" s="1" t="str">
        <f ca="1">IFERROR(__xludf.DUMMYFUNCTION("""COMPUTED_VALUE"""),"flealcott@yahoo.com")</f>
        <v>flealcott@yahoo.com</v>
      </c>
      <c r="C2578" s="4" t="str">
        <f ca="1">IFERROR(__xludf.DUMMYFUNCTION("""COMPUTED_VALUE"""),"EVERGREEN - UAN Gated Content - Embedded Petition")</f>
        <v>EVERGREEN - UAN Gated Content - Embedded Petition</v>
      </c>
      <c r="D2578" s="5">
        <f ca="1">IFERROR(__xludf.DUMMYFUNCTION("""COMPUTED_VALUE"""),45672)</f>
        <v>45672</v>
      </c>
    </row>
    <row r="2579" spans="1:4" ht="13" x14ac:dyDescent="0.15">
      <c r="A2579" s="4">
        <f ca="1">IFERROR(__xludf.DUMMYFUNCTION("""COMPUTED_VALUE"""),287401365)</f>
        <v>287401365</v>
      </c>
      <c r="B2579" s="1" t="str">
        <f ca="1">IFERROR(__xludf.DUMMYFUNCTION("""COMPUTED_VALUE"""),"suemcgavin.sm@gmail.com")</f>
        <v>suemcgavin.sm@gmail.com</v>
      </c>
      <c r="C2579" s="4" t="str">
        <f ca="1">IFERROR(__xludf.DUMMYFUNCTION("""COMPUTED_VALUE"""),"EVERGREEN - UAN Gated Content - Embedded Petition")</f>
        <v>EVERGREEN - UAN Gated Content - Embedded Petition</v>
      </c>
      <c r="D2579" s="5">
        <f ca="1">IFERROR(__xludf.DUMMYFUNCTION("""COMPUTED_VALUE"""),45672)</f>
        <v>45672</v>
      </c>
    </row>
    <row r="2580" spans="1:4" ht="13" x14ac:dyDescent="0.15">
      <c r="A2580" s="4">
        <f ca="1">IFERROR(__xludf.DUMMYFUNCTION("""COMPUTED_VALUE"""),287401951)</f>
        <v>287401951</v>
      </c>
      <c r="B2580" s="1" t="str">
        <f ca="1">IFERROR(__xludf.DUMMYFUNCTION("""COMPUTED_VALUE"""),"marthachristinemiller@gmail.com")</f>
        <v>marthachristinemiller@gmail.com</v>
      </c>
      <c r="C2580" s="4" t="str">
        <f ca="1">IFERROR(__xludf.DUMMYFUNCTION("""COMPUTED_VALUE"""),"EVERGREEN - UAN Gated Content - Embedded Petition")</f>
        <v>EVERGREEN - UAN Gated Content - Embedded Petition</v>
      </c>
      <c r="D2580" s="5">
        <f ca="1">IFERROR(__xludf.DUMMYFUNCTION("""COMPUTED_VALUE"""),45672)</f>
        <v>45672</v>
      </c>
    </row>
    <row r="2581" spans="1:4" ht="13" x14ac:dyDescent="0.15">
      <c r="A2581" s="4">
        <f ca="1">IFERROR(__xludf.DUMMYFUNCTION("""COMPUTED_VALUE"""),287402033)</f>
        <v>287402033</v>
      </c>
      <c r="B2581" s="1" t="str">
        <f ca="1">IFERROR(__xludf.DUMMYFUNCTION("""COMPUTED_VALUE"""),"terisatu@uoguelph.ca")</f>
        <v>terisatu@uoguelph.ca</v>
      </c>
      <c r="C2581" s="4" t="str">
        <f ca="1">IFERROR(__xludf.DUMMYFUNCTION("""COMPUTED_VALUE"""),"EVERGREEN - UAN Gated Content - Embedded Petition")</f>
        <v>EVERGREEN - UAN Gated Content - Embedded Petition</v>
      </c>
      <c r="D2581" s="5">
        <f ca="1">IFERROR(__xludf.DUMMYFUNCTION("""COMPUTED_VALUE"""),45672)</f>
        <v>45672</v>
      </c>
    </row>
    <row r="2582" spans="1:4" ht="13" x14ac:dyDescent="0.15">
      <c r="A2582" s="4">
        <f ca="1">IFERROR(__xludf.DUMMYFUNCTION("""COMPUTED_VALUE"""),287402258)</f>
        <v>287402258</v>
      </c>
      <c r="B2582" s="1" t="str">
        <f ca="1">IFERROR(__xludf.DUMMYFUNCTION("""COMPUTED_VALUE"""),"melhagrassy.neuromod@gmail.com")</f>
        <v>melhagrassy.neuromod@gmail.com</v>
      </c>
      <c r="C2582" s="4" t="str">
        <f ca="1">IFERROR(__xludf.DUMMYFUNCTION("""COMPUTED_VALUE"""),"EVERGREEN - UAN Gated Content - Embedded Petition")</f>
        <v>EVERGREEN - UAN Gated Content - Embedded Petition</v>
      </c>
      <c r="D2582" s="5">
        <f ca="1">IFERROR(__xludf.DUMMYFUNCTION("""COMPUTED_VALUE"""),45672)</f>
        <v>45672</v>
      </c>
    </row>
    <row r="2583" spans="1:4" ht="13" x14ac:dyDescent="0.15">
      <c r="A2583" s="4">
        <f ca="1">IFERROR(__xludf.DUMMYFUNCTION("""COMPUTED_VALUE"""),287402258)</f>
        <v>287402258</v>
      </c>
      <c r="B2583" s="1" t="str">
        <f ca="1">IFERROR(__xludf.DUMMYFUNCTION("""COMPUTED_VALUE"""),"melhagrassy.neuromod@gmail.com")</f>
        <v>melhagrassy.neuromod@gmail.com</v>
      </c>
      <c r="C2583" s="4" t="str">
        <f ca="1">IFERROR(__xludf.DUMMYFUNCTION("""COMPUTED_VALUE"""),"EVERGREEN - UAN Gated Content - Embedded Petition")</f>
        <v>EVERGREEN - UAN Gated Content - Embedded Petition</v>
      </c>
      <c r="D2583" s="5">
        <f ca="1">IFERROR(__xludf.DUMMYFUNCTION("""COMPUTED_VALUE"""),45673)</f>
        <v>45673</v>
      </c>
    </row>
    <row r="2584" spans="1:4" ht="13" x14ac:dyDescent="0.15">
      <c r="A2584" s="4">
        <f ca="1">IFERROR(__xludf.DUMMYFUNCTION("""COMPUTED_VALUE"""),287402416)</f>
        <v>287402416</v>
      </c>
      <c r="B2584" s="1" t="str">
        <f ca="1">IFERROR(__xludf.DUMMYFUNCTION("""COMPUTED_VALUE"""),"manateeeee@gmail.com")</f>
        <v>manateeeee@gmail.com</v>
      </c>
      <c r="C2584" s="4" t="str">
        <f ca="1">IFERROR(__xludf.DUMMYFUNCTION("""COMPUTED_VALUE"""),"EVERGREEN - UAN Gated Content - Embedded Petition")</f>
        <v>EVERGREEN - UAN Gated Content - Embedded Petition</v>
      </c>
      <c r="D2584" s="5">
        <f ca="1">IFERROR(__xludf.DUMMYFUNCTION("""COMPUTED_VALUE"""),45672)</f>
        <v>45672</v>
      </c>
    </row>
    <row r="2585" spans="1:4" ht="13" x14ac:dyDescent="0.15">
      <c r="A2585" s="4">
        <f ca="1">IFERROR(__xludf.DUMMYFUNCTION("""COMPUTED_VALUE"""),287402863)</f>
        <v>287402863</v>
      </c>
      <c r="B2585" s="1" t="str">
        <f ca="1">IFERROR(__xludf.DUMMYFUNCTION("""COMPUTED_VALUE"""),"hibachi-lode.8a@icloud.com")</f>
        <v>hibachi-lode.8a@icloud.com</v>
      </c>
      <c r="C2585" s="4" t="str">
        <f ca="1">IFERROR(__xludf.DUMMYFUNCTION("""COMPUTED_VALUE"""),"EVERGREEN - UAN Gated Content - Embedded Petition")</f>
        <v>EVERGREEN - UAN Gated Content - Embedded Petition</v>
      </c>
      <c r="D2585" s="5">
        <f ca="1">IFERROR(__xludf.DUMMYFUNCTION("""COMPUTED_VALUE"""),45672)</f>
        <v>45672</v>
      </c>
    </row>
    <row r="2586" spans="1:4" ht="13" x14ac:dyDescent="0.15">
      <c r="A2586" s="4">
        <f ca="1">IFERROR(__xludf.DUMMYFUNCTION("""COMPUTED_VALUE"""),287402995)</f>
        <v>287402995</v>
      </c>
      <c r="B2586" s="1" t="str">
        <f ca="1">IFERROR(__xludf.DUMMYFUNCTION("""COMPUTED_VALUE"""),"jlgbsn@gmail.com")</f>
        <v>jlgbsn@gmail.com</v>
      </c>
      <c r="C2586" s="4" t="str">
        <f ca="1">IFERROR(__xludf.DUMMYFUNCTION("""COMPUTED_VALUE"""),"EVERGREEN - UAN Gated Content - Embedded Petition")</f>
        <v>EVERGREEN - UAN Gated Content - Embedded Petition</v>
      </c>
      <c r="D2586" s="5">
        <f ca="1">IFERROR(__xludf.DUMMYFUNCTION("""COMPUTED_VALUE"""),45672)</f>
        <v>45672</v>
      </c>
    </row>
    <row r="2587" spans="1:4" ht="13" x14ac:dyDescent="0.15">
      <c r="A2587" s="4">
        <f ca="1">IFERROR(__xludf.DUMMYFUNCTION("""COMPUTED_VALUE"""),287404083)</f>
        <v>287404083</v>
      </c>
      <c r="B2587" s="1" t="str">
        <f ca="1">IFERROR(__xludf.DUMMYFUNCTION("""COMPUTED_VALUE"""),"lynstmail@gmail.com")</f>
        <v>lynstmail@gmail.com</v>
      </c>
      <c r="C2587" s="4" t="str">
        <f ca="1">IFERROR(__xludf.DUMMYFUNCTION("""COMPUTED_VALUE"""),"EVERGREEN - UAN Gated Content - Embedded Petition")</f>
        <v>EVERGREEN - UAN Gated Content - Embedded Petition</v>
      </c>
      <c r="D2587" s="5">
        <f ca="1">IFERROR(__xludf.DUMMYFUNCTION("""COMPUTED_VALUE"""),45673)</f>
        <v>45673</v>
      </c>
    </row>
    <row r="2588" spans="1:4" ht="13" x14ac:dyDescent="0.15">
      <c r="A2588" s="4">
        <f ca="1">IFERROR(__xludf.DUMMYFUNCTION("""COMPUTED_VALUE"""),287404235)</f>
        <v>287404235</v>
      </c>
      <c r="B2588" s="1" t="str">
        <f ca="1">IFERROR(__xludf.DUMMYFUNCTION("""COMPUTED_VALUE"""),"alexandra.ibrahim13@gmail.com")</f>
        <v>alexandra.ibrahim13@gmail.com</v>
      </c>
      <c r="C2588" s="4" t="str">
        <f ca="1">IFERROR(__xludf.DUMMYFUNCTION("""COMPUTED_VALUE"""),"EVERGREEN - UAN Gated Content - Embedded Petition")</f>
        <v>EVERGREEN - UAN Gated Content - Embedded Petition</v>
      </c>
      <c r="D2588" s="5">
        <f ca="1">IFERROR(__xludf.DUMMYFUNCTION("""COMPUTED_VALUE"""),45673)</f>
        <v>45673</v>
      </c>
    </row>
    <row r="2589" spans="1:4" ht="13" x14ac:dyDescent="0.15">
      <c r="A2589" s="4">
        <f ca="1">IFERROR(__xludf.DUMMYFUNCTION("""COMPUTED_VALUE"""),287404293)</f>
        <v>287404293</v>
      </c>
      <c r="B2589" s="1" t="str">
        <f ca="1">IFERROR(__xludf.DUMMYFUNCTION("""COMPUTED_VALUE"""),"kezialewins237@gmail.com")</f>
        <v>kezialewins237@gmail.com</v>
      </c>
      <c r="C2589" s="4" t="str">
        <f ca="1">IFERROR(__xludf.DUMMYFUNCTION("""COMPUTED_VALUE"""),"EVERGREEN - UAN Gated Content - Embedded Petition")</f>
        <v>EVERGREEN - UAN Gated Content - Embedded Petition</v>
      </c>
      <c r="D2589" s="5">
        <f ca="1">IFERROR(__xludf.DUMMYFUNCTION("""COMPUTED_VALUE"""),45673)</f>
        <v>45673</v>
      </c>
    </row>
    <row r="2590" spans="1:4" ht="13" x14ac:dyDescent="0.15">
      <c r="A2590" s="4">
        <f ca="1">IFERROR(__xludf.DUMMYFUNCTION("""COMPUTED_VALUE"""),287404507)</f>
        <v>287404507</v>
      </c>
      <c r="B2590" s="1" t="str">
        <f ca="1">IFERROR(__xludf.DUMMYFUNCTION("""COMPUTED_VALUE"""),"jrgrant127@gmail.com")</f>
        <v>jrgrant127@gmail.com</v>
      </c>
      <c r="C2590" s="4" t="str">
        <f ca="1">IFERROR(__xludf.DUMMYFUNCTION("""COMPUTED_VALUE"""),"EVERGREEN - UAN Gated Content - Embedded Petition")</f>
        <v>EVERGREEN - UAN Gated Content - Embedded Petition</v>
      </c>
      <c r="D2590" s="5">
        <f ca="1">IFERROR(__xludf.DUMMYFUNCTION("""COMPUTED_VALUE"""),45673)</f>
        <v>45673</v>
      </c>
    </row>
    <row r="2591" spans="1:4" ht="13" x14ac:dyDescent="0.15">
      <c r="A2591" s="4">
        <f ca="1">IFERROR(__xludf.DUMMYFUNCTION("""COMPUTED_VALUE"""),287404846)</f>
        <v>287404846</v>
      </c>
      <c r="B2591" s="1" t="str">
        <f ca="1">IFERROR(__xludf.DUMMYFUNCTION("""COMPUTED_VALUE"""),"gkitani@hotmail.com")</f>
        <v>gkitani@hotmail.com</v>
      </c>
      <c r="C2591" s="4" t="str">
        <f ca="1">IFERROR(__xludf.DUMMYFUNCTION("""COMPUTED_VALUE"""),"EVERGREEN - UAN Gated Content - Embedded Petition")</f>
        <v>EVERGREEN - UAN Gated Content - Embedded Petition</v>
      </c>
      <c r="D2591" s="5">
        <f ca="1">IFERROR(__xludf.DUMMYFUNCTION("""COMPUTED_VALUE"""),45673)</f>
        <v>45673</v>
      </c>
    </row>
    <row r="2592" spans="1:4" ht="13" x14ac:dyDescent="0.15">
      <c r="A2592" s="4">
        <f ca="1">IFERROR(__xludf.DUMMYFUNCTION("""COMPUTED_VALUE"""),287405915)</f>
        <v>287405915</v>
      </c>
      <c r="B2592" s="1" t="str">
        <f ca="1">IFERROR(__xludf.DUMMYFUNCTION("""COMPUTED_VALUE"""),"david.dennisnz@gmail.com")</f>
        <v>david.dennisnz@gmail.com</v>
      </c>
      <c r="C2592" s="4" t="str">
        <f ca="1">IFERROR(__xludf.DUMMYFUNCTION("""COMPUTED_VALUE"""),"EVERGREEN - UAN Gated Content - Embedded Petition")</f>
        <v>EVERGREEN - UAN Gated Content - Embedded Petition</v>
      </c>
      <c r="D2592" s="5">
        <f ca="1">IFERROR(__xludf.DUMMYFUNCTION("""COMPUTED_VALUE"""),45673)</f>
        <v>45673</v>
      </c>
    </row>
    <row r="2593" spans="1:4" ht="13" x14ac:dyDescent="0.15">
      <c r="A2593" s="4">
        <f ca="1">IFERROR(__xludf.DUMMYFUNCTION("""COMPUTED_VALUE"""),287405947)</f>
        <v>287405947</v>
      </c>
      <c r="B2593" s="1" t="str">
        <f ca="1">IFERROR(__xludf.DUMMYFUNCTION("""COMPUTED_VALUE"""),"kmfitani@hotmail.com")</f>
        <v>kmfitani@hotmail.com</v>
      </c>
      <c r="C2593" s="4" t="str">
        <f ca="1">IFERROR(__xludf.DUMMYFUNCTION("""COMPUTED_VALUE"""),"EVERGREEN - UAN Gated Content - Embedded Petition")</f>
        <v>EVERGREEN - UAN Gated Content - Embedded Petition</v>
      </c>
      <c r="D2593" s="5">
        <f ca="1">IFERROR(__xludf.DUMMYFUNCTION("""COMPUTED_VALUE"""),45673)</f>
        <v>45673</v>
      </c>
    </row>
    <row r="2594" spans="1:4" ht="13" x14ac:dyDescent="0.15">
      <c r="A2594" s="4">
        <f ca="1">IFERROR(__xludf.DUMMYFUNCTION("""COMPUTED_VALUE"""),287406924)</f>
        <v>287406924</v>
      </c>
      <c r="B2594" s="1" t="str">
        <f ca="1">IFERROR(__xludf.DUMMYFUNCTION("""COMPUTED_VALUE"""),"lsimpson_5@hotmail.com")</f>
        <v>lsimpson_5@hotmail.com</v>
      </c>
      <c r="C2594" s="4" t="str">
        <f ca="1">IFERROR(__xludf.DUMMYFUNCTION("""COMPUTED_VALUE"""),"EVERGREEN - UAN Gated Content - Embedded Petition")</f>
        <v>EVERGREEN - UAN Gated Content - Embedded Petition</v>
      </c>
      <c r="D2594" s="5">
        <f ca="1">IFERROR(__xludf.DUMMYFUNCTION("""COMPUTED_VALUE"""),45673)</f>
        <v>45673</v>
      </c>
    </row>
    <row r="2595" spans="1:4" ht="13" x14ac:dyDescent="0.15">
      <c r="A2595" s="4">
        <f ca="1">IFERROR(__xludf.DUMMYFUNCTION("""COMPUTED_VALUE"""),287407486)</f>
        <v>287407486</v>
      </c>
      <c r="B2595" s="1" t="str">
        <f ca="1">IFERROR(__xludf.DUMMYFUNCTION("""COMPUTED_VALUE"""),"saranialazar@gmail.com")</f>
        <v>saranialazar@gmail.com</v>
      </c>
      <c r="C2595" s="4" t="str">
        <f ca="1">IFERROR(__xludf.DUMMYFUNCTION("""COMPUTED_VALUE"""),"EVERGREEN - UAN Gated Content - Embedded Petition")</f>
        <v>EVERGREEN - UAN Gated Content - Embedded Petition</v>
      </c>
      <c r="D2595" s="5">
        <f ca="1">IFERROR(__xludf.DUMMYFUNCTION("""COMPUTED_VALUE"""),45673)</f>
        <v>45673</v>
      </c>
    </row>
    <row r="2596" spans="1:4" ht="13" x14ac:dyDescent="0.15">
      <c r="A2596" s="4">
        <f ca="1">IFERROR(__xludf.DUMMYFUNCTION("""COMPUTED_VALUE"""),287408072)</f>
        <v>287408072</v>
      </c>
      <c r="B2596" s="1" t="str">
        <f ca="1">IFERROR(__xludf.DUMMYFUNCTION("""COMPUTED_VALUE"""),"painbren@yahoo.com")</f>
        <v>painbren@yahoo.com</v>
      </c>
      <c r="C2596" s="4" t="str">
        <f ca="1">IFERROR(__xludf.DUMMYFUNCTION("""COMPUTED_VALUE"""),"EVERGREEN - UAN Gated Content - Embedded Petition")</f>
        <v>EVERGREEN - UAN Gated Content - Embedded Petition</v>
      </c>
      <c r="D2596" s="5">
        <f ca="1">IFERROR(__xludf.DUMMYFUNCTION("""COMPUTED_VALUE"""),45693)</f>
        <v>45693</v>
      </c>
    </row>
    <row r="2597" spans="1:4" ht="13" x14ac:dyDescent="0.15">
      <c r="A2597" s="4">
        <f ca="1">IFERROR(__xludf.DUMMYFUNCTION("""COMPUTED_VALUE"""),287409424)</f>
        <v>287409424</v>
      </c>
      <c r="B2597" s="1" t="str">
        <f ca="1">IFERROR(__xludf.DUMMYFUNCTION("""COMPUTED_VALUE"""),"salzahed84@gmail.com")</f>
        <v>salzahed84@gmail.com</v>
      </c>
      <c r="C2597" s="4" t="str">
        <f ca="1">IFERROR(__xludf.DUMMYFUNCTION("""COMPUTED_VALUE"""),"EVERGREEN - UAN Gated Content - Embedded Petition")</f>
        <v>EVERGREEN - UAN Gated Content - Embedded Petition</v>
      </c>
      <c r="D2597" s="5">
        <f ca="1">IFERROR(__xludf.DUMMYFUNCTION("""COMPUTED_VALUE"""),45673)</f>
        <v>45673</v>
      </c>
    </row>
    <row r="2598" spans="1:4" ht="13" x14ac:dyDescent="0.15">
      <c r="A2598" s="4">
        <f ca="1">IFERROR(__xludf.DUMMYFUNCTION("""COMPUTED_VALUE"""),287409567)</f>
        <v>287409567</v>
      </c>
      <c r="B2598" s="1" t="str">
        <f ca="1">IFERROR(__xludf.DUMMYFUNCTION("""COMPUTED_VALUE"""),"mghalib@msn.com")</f>
        <v>mghalib@msn.com</v>
      </c>
      <c r="C2598" s="4" t="str">
        <f ca="1">IFERROR(__xludf.DUMMYFUNCTION("""COMPUTED_VALUE"""),"EVERGREEN - UAN Gated Content - Embedded Petition")</f>
        <v>EVERGREEN - UAN Gated Content - Embedded Petition</v>
      </c>
      <c r="D2598" s="5">
        <f ca="1">IFERROR(__xludf.DUMMYFUNCTION("""COMPUTED_VALUE"""),45673)</f>
        <v>45673</v>
      </c>
    </row>
    <row r="2599" spans="1:4" ht="13" x14ac:dyDescent="0.15">
      <c r="A2599" s="4">
        <f ca="1">IFERROR(__xludf.DUMMYFUNCTION("""COMPUTED_VALUE"""),287412372)</f>
        <v>287412372</v>
      </c>
      <c r="B2599" s="1" t="str">
        <f ca="1">IFERROR(__xludf.DUMMYFUNCTION("""COMPUTED_VALUE"""),"sebastiendodedjiadounsa@gmail.com")</f>
        <v>sebastiendodedjiadounsa@gmail.com</v>
      </c>
      <c r="C2599" s="4" t="str">
        <f ca="1">IFERROR(__xludf.DUMMYFUNCTION("""COMPUTED_VALUE"""),"EVERGREEN - UAN Gated Content - Embedded Petition")</f>
        <v>EVERGREEN - UAN Gated Content - Embedded Petition</v>
      </c>
      <c r="D2599" s="5">
        <f ca="1">IFERROR(__xludf.DUMMYFUNCTION("""COMPUTED_VALUE"""),45673)</f>
        <v>45673</v>
      </c>
    </row>
    <row r="2600" spans="1:4" ht="13" x14ac:dyDescent="0.15">
      <c r="A2600" s="4">
        <f ca="1">IFERROR(__xludf.DUMMYFUNCTION("""COMPUTED_VALUE"""),287412995)</f>
        <v>287412995</v>
      </c>
      <c r="B2600" s="1" t="str">
        <f ca="1">IFERROR(__xludf.DUMMYFUNCTION("""COMPUTED_VALUE"""),"sabah2002@gmail.com")</f>
        <v>sabah2002@gmail.com</v>
      </c>
      <c r="C2600" s="4" t="str">
        <f ca="1">IFERROR(__xludf.DUMMYFUNCTION("""COMPUTED_VALUE"""),"EVERGREEN - UAN Gated Content - Embedded Petition")</f>
        <v>EVERGREEN - UAN Gated Content - Embedded Petition</v>
      </c>
      <c r="D2600" s="5">
        <f ca="1">IFERROR(__xludf.DUMMYFUNCTION("""COMPUTED_VALUE"""),45673)</f>
        <v>45673</v>
      </c>
    </row>
    <row r="2601" spans="1:4" ht="13" x14ac:dyDescent="0.15">
      <c r="A2601" s="4">
        <f ca="1">IFERROR(__xludf.DUMMYFUNCTION("""COMPUTED_VALUE"""),287413139)</f>
        <v>287413139</v>
      </c>
      <c r="B2601" s="1" t="str">
        <f ca="1">IFERROR(__xludf.DUMMYFUNCTION("""COMPUTED_VALUE"""),"margaakerboom@gmail.com")</f>
        <v>margaakerboom@gmail.com</v>
      </c>
      <c r="C2601" s="4" t="str">
        <f ca="1">IFERROR(__xludf.DUMMYFUNCTION("""COMPUTED_VALUE"""),"EVERGREEN - UAN Gated Content - Embedded Petition")</f>
        <v>EVERGREEN - UAN Gated Content - Embedded Petition</v>
      </c>
      <c r="D2601" s="5">
        <f ca="1">IFERROR(__xludf.DUMMYFUNCTION("""COMPUTED_VALUE"""),45673)</f>
        <v>45673</v>
      </c>
    </row>
    <row r="2602" spans="1:4" ht="13" x14ac:dyDescent="0.15">
      <c r="A2602" s="4">
        <f ca="1">IFERROR(__xludf.DUMMYFUNCTION("""COMPUTED_VALUE"""),287413457)</f>
        <v>287413457</v>
      </c>
      <c r="B2602" s="1" t="str">
        <f ca="1">IFERROR(__xludf.DUMMYFUNCTION("""COMPUTED_VALUE"""),"r_jose17@icloud.com")</f>
        <v>r_jose17@icloud.com</v>
      </c>
      <c r="C2602" s="4" t="str">
        <f ca="1">IFERROR(__xludf.DUMMYFUNCTION("""COMPUTED_VALUE"""),"EVERGREEN - UAN Gated Content - Embedded Petition")</f>
        <v>EVERGREEN - UAN Gated Content - Embedded Petition</v>
      </c>
      <c r="D2602" s="5">
        <f ca="1">IFERROR(__xludf.DUMMYFUNCTION("""COMPUTED_VALUE"""),45673)</f>
        <v>45673</v>
      </c>
    </row>
    <row r="2603" spans="1:4" ht="13" x14ac:dyDescent="0.15">
      <c r="A2603" s="4">
        <f ca="1">IFERROR(__xludf.DUMMYFUNCTION("""COMPUTED_VALUE"""),287413627)</f>
        <v>287413627</v>
      </c>
      <c r="B2603" s="1" t="str">
        <f ca="1">IFERROR(__xludf.DUMMYFUNCTION("""COMPUTED_VALUE"""),"zaha@elbosily.com")</f>
        <v>zaha@elbosily.com</v>
      </c>
      <c r="C2603" s="4" t="str">
        <f ca="1">IFERROR(__xludf.DUMMYFUNCTION("""COMPUTED_VALUE"""),"EVERGREEN - UAN Gated Content - Embedded Petition")</f>
        <v>EVERGREEN - UAN Gated Content - Embedded Petition</v>
      </c>
      <c r="D2603" s="5">
        <f ca="1">IFERROR(__xludf.DUMMYFUNCTION("""COMPUTED_VALUE"""),45673)</f>
        <v>45673</v>
      </c>
    </row>
    <row r="2604" spans="1:4" ht="13" x14ac:dyDescent="0.15">
      <c r="A2604" s="4">
        <f ca="1">IFERROR(__xludf.DUMMYFUNCTION("""COMPUTED_VALUE"""),287414102)</f>
        <v>287414102</v>
      </c>
      <c r="B2604" s="1" t="str">
        <f ca="1">IFERROR(__xludf.DUMMYFUNCTION("""COMPUTED_VALUE"""),"carmen.depaz@gmail.com")</f>
        <v>carmen.depaz@gmail.com</v>
      </c>
      <c r="C2604" s="4" t="str">
        <f ca="1">IFERROR(__xludf.DUMMYFUNCTION("""COMPUTED_VALUE"""),"EVERGREEN - UAN Gated Content - Embedded Petition")</f>
        <v>EVERGREEN - UAN Gated Content - Embedded Petition</v>
      </c>
      <c r="D2604" s="5">
        <f ca="1">IFERROR(__xludf.DUMMYFUNCTION("""COMPUTED_VALUE"""),45673)</f>
        <v>45673</v>
      </c>
    </row>
    <row r="2605" spans="1:4" ht="13" x14ac:dyDescent="0.15">
      <c r="A2605" s="4">
        <f ca="1">IFERROR(__xludf.DUMMYFUNCTION("""COMPUTED_VALUE"""),287414102)</f>
        <v>287414102</v>
      </c>
      <c r="B2605" s="1" t="str">
        <f ca="1">IFERROR(__xludf.DUMMYFUNCTION("""COMPUTED_VALUE"""),"carmen.depaz@gmail.com")</f>
        <v>carmen.depaz@gmail.com</v>
      </c>
      <c r="C2605" s="4" t="str">
        <f ca="1">IFERROR(__xludf.DUMMYFUNCTION("""COMPUTED_VALUE"""),"EVERGREEN - UAN Gated Content - Embedded Petition")</f>
        <v>EVERGREEN - UAN Gated Content - Embedded Petition</v>
      </c>
      <c r="D2605" s="5">
        <f ca="1">IFERROR(__xludf.DUMMYFUNCTION("""COMPUTED_VALUE"""),45673)</f>
        <v>45673</v>
      </c>
    </row>
    <row r="2606" spans="1:4" ht="13" x14ac:dyDescent="0.15">
      <c r="A2606" s="4">
        <f ca="1">IFERROR(__xludf.DUMMYFUNCTION("""COMPUTED_VALUE"""),287414262)</f>
        <v>287414262</v>
      </c>
      <c r="B2606" s="1" t="str">
        <f ca="1">IFERROR(__xludf.DUMMYFUNCTION("""COMPUTED_VALUE"""),"joyhofer@shaw.ca")</f>
        <v>joyhofer@shaw.ca</v>
      </c>
      <c r="C2606" s="4" t="str">
        <f ca="1">IFERROR(__xludf.DUMMYFUNCTION("""COMPUTED_VALUE"""),"EVERGREEN - UAN Gated Content - Embedded Petition")</f>
        <v>EVERGREEN - UAN Gated Content - Embedded Petition</v>
      </c>
      <c r="D2606" s="5">
        <f ca="1">IFERROR(__xludf.DUMMYFUNCTION("""COMPUTED_VALUE"""),45673)</f>
        <v>45673</v>
      </c>
    </row>
    <row r="2607" spans="1:4" ht="13" x14ac:dyDescent="0.15">
      <c r="A2607" s="4">
        <f ca="1">IFERROR(__xludf.DUMMYFUNCTION("""COMPUTED_VALUE"""),287418247)</f>
        <v>287418247</v>
      </c>
      <c r="B2607" s="1" t="str">
        <f ca="1">IFERROR(__xludf.DUMMYFUNCTION("""COMPUTED_VALUE"""),"rght65@hotmail.com")</f>
        <v>rght65@hotmail.com</v>
      </c>
      <c r="C2607" s="4" t="str">
        <f ca="1">IFERROR(__xludf.DUMMYFUNCTION("""COMPUTED_VALUE"""),"EVERGREEN - UAN Gated Content - Embedded Petition")</f>
        <v>EVERGREEN - UAN Gated Content - Embedded Petition</v>
      </c>
      <c r="D2607" s="5">
        <f ca="1">IFERROR(__xludf.DUMMYFUNCTION("""COMPUTED_VALUE"""),45673)</f>
        <v>45673</v>
      </c>
    </row>
    <row r="2608" spans="1:4" ht="13" x14ac:dyDescent="0.15">
      <c r="A2608" s="4">
        <f ca="1">IFERROR(__xludf.DUMMYFUNCTION("""COMPUTED_VALUE"""),287421211)</f>
        <v>287421211</v>
      </c>
      <c r="B2608" s="1" t="str">
        <f ca="1">IFERROR(__xludf.DUMMYFUNCTION("""COMPUTED_VALUE"""),"borbollaraquel85@gmail.com")</f>
        <v>borbollaraquel85@gmail.com</v>
      </c>
      <c r="C2608" s="4" t="str">
        <f ca="1">IFERROR(__xludf.DUMMYFUNCTION("""COMPUTED_VALUE"""),"EVERGREEN - UAN Gated Content - Embedded Petition")</f>
        <v>EVERGREEN - UAN Gated Content - Embedded Petition</v>
      </c>
      <c r="D2608" s="5">
        <f ca="1">IFERROR(__xludf.DUMMYFUNCTION("""COMPUTED_VALUE"""),45673)</f>
        <v>45673</v>
      </c>
    </row>
    <row r="2609" spans="1:4" ht="13" x14ac:dyDescent="0.15">
      <c r="A2609" s="4">
        <f ca="1">IFERROR(__xludf.DUMMYFUNCTION("""COMPUTED_VALUE"""),287424256)</f>
        <v>287424256</v>
      </c>
      <c r="B2609" s="1" t="str">
        <f ca="1">IFERROR(__xludf.DUMMYFUNCTION("""COMPUTED_VALUE"""),"intofrench@frenchlink.com")</f>
        <v>intofrench@frenchlink.com</v>
      </c>
      <c r="C2609" s="4" t="str">
        <f ca="1">IFERROR(__xludf.DUMMYFUNCTION("""COMPUTED_VALUE"""),"EVERGREEN - UAN Gated Content - Embedded Petition")</f>
        <v>EVERGREEN - UAN Gated Content - Embedded Petition</v>
      </c>
      <c r="D2609" s="5">
        <f ca="1">IFERROR(__xludf.DUMMYFUNCTION("""COMPUTED_VALUE"""),45673)</f>
        <v>45673</v>
      </c>
    </row>
    <row r="2610" spans="1:4" ht="13" x14ac:dyDescent="0.15">
      <c r="A2610" s="4">
        <f ca="1">IFERROR(__xludf.DUMMYFUNCTION("""COMPUTED_VALUE"""),287427322)</f>
        <v>287427322</v>
      </c>
      <c r="B2610" s="1" t="str">
        <f ca="1">IFERROR(__xludf.DUMMYFUNCTION("""COMPUTED_VALUE"""),"lailahigazi@hotmail.com")</f>
        <v>lailahigazi@hotmail.com</v>
      </c>
      <c r="C2610" s="4" t="str">
        <f ca="1">IFERROR(__xludf.DUMMYFUNCTION("""COMPUTED_VALUE"""),"EVERGREEN - UAN Gated Content - Embedded Petition")</f>
        <v>EVERGREEN - UAN Gated Content - Embedded Petition</v>
      </c>
      <c r="D2610" s="5">
        <f ca="1">IFERROR(__xludf.DUMMYFUNCTION("""COMPUTED_VALUE"""),45674)</f>
        <v>45674</v>
      </c>
    </row>
    <row r="2611" spans="1:4" ht="13" x14ac:dyDescent="0.15">
      <c r="A2611" s="4">
        <f ca="1">IFERROR(__xludf.DUMMYFUNCTION("""COMPUTED_VALUE"""),287429944)</f>
        <v>287429944</v>
      </c>
      <c r="B2611" s="1" t="str">
        <f ca="1">IFERROR(__xludf.DUMMYFUNCTION("""COMPUTED_VALUE"""),"goodalldaisy96@gmail.com")</f>
        <v>goodalldaisy96@gmail.com</v>
      </c>
      <c r="C2611" s="4" t="str">
        <f ca="1">IFERROR(__xludf.DUMMYFUNCTION("""COMPUTED_VALUE"""),"EVERGREEN - UAN Gated Content - Embedded Petition")</f>
        <v>EVERGREEN - UAN Gated Content - Embedded Petition</v>
      </c>
      <c r="D2611" s="5">
        <f ca="1">IFERROR(__xludf.DUMMYFUNCTION("""COMPUTED_VALUE"""),45674)</f>
        <v>45674</v>
      </c>
    </row>
    <row r="2612" spans="1:4" ht="13" x14ac:dyDescent="0.15">
      <c r="A2612" s="4">
        <f ca="1">IFERROR(__xludf.DUMMYFUNCTION("""COMPUTED_VALUE"""),287437210)</f>
        <v>287437210</v>
      </c>
      <c r="B2612" s="1" t="str">
        <f ca="1">IFERROR(__xludf.DUMMYFUNCTION("""COMPUTED_VALUE"""),"melindiboschsnyman@gmail.com")</f>
        <v>melindiboschsnyman@gmail.com</v>
      </c>
      <c r="C2612" s="4" t="str">
        <f ca="1">IFERROR(__xludf.DUMMYFUNCTION("""COMPUTED_VALUE"""),"UAN mid-page Lightbox - Step 1 of 4 - Landing Page")</f>
        <v>UAN mid-page Lightbox - Step 1 of 4 - Landing Page</v>
      </c>
      <c r="D2612" s="5">
        <f ca="1">IFERROR(__xludf.DUMMYFUNCTION("""COMPUTED_VALUE"""),45674)</f>
        <v>45674</v>
      </c>
    </row>
    <row r="2613" spans="1:4" ht="13" x14ac:dyDescent="0.15">
      <c r="A2613" s="4">
        <f ca="1">IFERROR(__xludf.DUMMYFUNCTION("""COMPUTED_VALUE"""),287437210)</f>
        <v>287437210</v>
      </c>
      <c r="B2613" s="1" t="str">
        <f ca="1">IFERROR(__xludf.DUMMYFUNCTION("""COMPUTED_VALUE"""),"melindiboschsnyman@gmail.com")</f>
        <v>melindiboschsnyman@gmail.com</v>
      </c>
      <c r="C2613" s="4" t="str">
        <f ca="1">IFERROR(__xludf.DUMMYFUNCTION("""COMPUTED_VALUE"""),"UAN mid-page Lightbox - Step 2 of 4 - More personal info fields")</f>
        <v>UAN mid-page Lightbox - Step 2 of 4 - More personal info fields</v>
      </c>
      <c r="D2613" s="5">
        <f ca="1">IFERROR(__xludf.DUMMYFUNCTION("""COMPUTED_VALUE"""),45674)</f>
        <v>45674</v>
      </c>
    </row>
    <row r="2614" spans="1:4" ht="13" x14ac:dyDescent="0.15">
      <c r="A2614" s="4">
        <f ca="1">IFERROR(__xludf.DUMMYFUNCTION("""COMPUTED_VALUE"""),287437210)</f>
        <v>287437210</v>
      </c>
      <c r="B2614" s="1" t="str">
        <f ca="1">IFERROR(__xludf.DUMMYFUNCTION("""COMPUTED_VALUE"""),"melindiboschsnyman@gmail.com")</f>
        <v>melindiboschsnyman@gmail.com</v>
      </c>
      <c r="C2614" s="4" t="str">
        <f ca="1">IFERROR(__xludf.DUMMYFUNCTION("""COMPUTED_VALUE"""),"UAN mid-page Lightbox - Step 3 of 4 - More opt-ins")</f>
        <v>UAN mid-page Lightbox - Step 3 of 4 - More opt-ins</v>
      </c>
      <c r="D2614" s="5">
        <f ca="1">IFERROR(__xludf.DUMMYFUNCTION("""COMPUTED_VALUE"""),45674)</f>
        <v>45674</v>
      </c>
    </row>
    <row r="2615" spans="1:4" ht="13" x14ac:dyDescent="0.15">
      <c r="A2615" s="4">
        <f ca="1">IFERROR(__xludf.DUMMYFUNCTION("""COMPUTED_VALUE"""),287438386)</f>
        <v>287438386</v>
      </c>
      <c r="B2615" s="1" t="str">
        <f ca="1">IFERROR(__xludf.DUMMYFUNCTION("""COMPUTED_VALUE"""),"jonesbria97@gmail.com")</f>
        <v>jonesbria97@gmail.com</v>
      </c>
      <c r="C2615" s="4" t="str">
        <f ca="1">IFERROR(__xludf.DUMMYFUNCTION("""COMPUTED_VALUE"""),"EVERGREEN - UAN Gated Content - Embedded Petition")</f>
        <v>EVERGREEN - UAN Gated Content - Embedded Petition</v>
      </c>
      <c r="D2615" s="5">
        <f ca="1">IFERROR(__xludf.DUMMYFUNCTION("""COMPUTED_VALUE"""),45674)</f>
        <v>45674</v>
      </c>
    </row>
    <row r="2616" spans="1:4" ht="13" x14ac:dyDescent="0.15">
      <c r="A2616" s="4">
        <f ca="1">IFERROR(__xludf.DUMMYFUNCTION("""COMPUTED_VALUE"""),287447139)</f>
        <v>287447139</v>
      </c>
      <c r="B2616" s="1" t="str">
        <f ca="1">IFERROR(__xludf.DUMMYFUNCTION("""COMPUTED_VALUE"""),"bignmoneyoutofpolitics@gmail.com")</f>
        <v>bignmoneyoutofpolitics@gmail.com</v>
      </c>
      <c r="C2616" s="4" t="str">
        <f ca="1">IFERROR(__xludf.DUMMYFUNCTION("""COMPUTED_VALUE"""),"EVERGREEN - UAN Gated Content - Embedded Petition")</f>
        <v>EVERGREEN - UAN Gated Content - Embedded Petition</v>
      </c>
      <c r="D2616" s="5">
        <f ca="1">IFERROR(__xludf.DUMMYFUNCTION("""COMPUTED_VALUE"""),45675)</f>
        <v>45675</v>
      </c>
    </row>
    <row r="2617" spans="1:4" ht="13" x14ac:dyDescent="0.15">
      <c r="A2617" s="4">
        <f ca="1">IFERROR(__xludf.DUMMYFUNCTION("""COMPUTED_VALUE"""),287447139)</f>
        <v>287447139</v>
      </c>
      <c r="B2617" s="1" t="str">
        <f ca="1">IFERROR(__xludf.DUMMYFUNCTION("""COMPUTED_VALUE"""),"bignmoneyoutofpolitics@gmail.com")</f>
        <v>bignmoneyoutofpolitics@gmail.com</v>
      </c>
      <c r="C2617" s="4" t="str">
        <f ca="1">IFERROR(__xludf.DUMMYFUNCTION("""COMPUTED_VALUE"""),"EVERGREEN - UAN Gated Content - Embedded Petition")</f>
        <v>EVERGREEN - UAN Gated Content - Embedded Petition</v>
      </c>
      <c r="D2617" s="5">
        <f ca="1">IFERROR(__xludf.DUMMYFUNCTION("""COMPUTED_VALUE"""),45675)</f>
        <v>45675</v>
      </c>
    </row>
    <row r="2618" spans="1:4" ht="13" x14ac:dyDescent="0.15">
      <c r="A2618" s="4">
        <f ca="1">IFERROR(__xludf.DUMMYFUNCTION("""COMPUTED_VALUE"""),287452560)</f>
        <v>287452560</v>
      </c>
      <c r="B2618" s="1" t="str">
        <f ca="1">IFERROR(__xludf.DUMMYFUNCTION("""COMPUTED_VALUE"""),"cmlawrence@protonmail.com")</f>
        <v>cmlawrence@protonmail.com</v>
      </c>
      <c r="C2618" s="4" t="str">
        <f ca="1">IFERROR(__xludf.DUMMYFUNCTION("""COMPUTED_VALUE"""),"EVERGREEN - UAN Gated Content - Embedded Petition")</f>
        <v>EVERGREEN - UAN Gated Content - Embedded Petition</v>
      </c>
      <c r="D2618" s="5">
        <f ca="1">IFERROR(__xludf.DUMMYFUNCTION("""COMPUTED_VALUE"""),45675)</f>
        <v>45675</v>
      </c>
    </row>
    <row r="2619" spans="1:4" ht="13" x14ac:dyDescent="0.15">
      <c r="A2619" s="4">
        <f ca="1">IFERROR(__xludf.DUMMYFUNCTION("""COMPUTED_VALUE"""),287452560)</f>
        <v>287452560</v>
      </c>
      <c r="B2619" s="1" t="str">
        <f ca="1">IFERROR(__xludf.DUMMYFUNCTION("""COMPUTED_VALUE"""),"cmlawrence@protonmail.com")</f>
        <v>cmlawrence@protonmail.com</v>
      </c>
      <c r="C2619" s="4" t="str">
        <f ca="1">IFERROR(__xludf.DUMMYFUNCTION("""COMPUTED_VALUE"""),"EVERGREEN - UAN Gated Content - Embedded Petition")</f>
        <v>EVERGREEN - UAN Gated Content - Embedded Petition</v>
      </c>
      <c r="D2619" s="5">
        <f ca="1">IFERROR(__xludf.DUMMYFUNCTION("""COMPUTED_VALUE"""),45675)</f>
        <v>45675</v>
      </c>
    </row>
    <row r="2620" spans="1:4" ht="13" x14ac:dyDescent="0.15">
      <c r="A2620" s="4">
        <f ca="1">IFERROR(__xludf.DUMMYFUNCTION("""COMPUTED_VALUE"""),287452560)</f>
        <v>287452560</v>
      </c>
      <c r="B2620" s="1" t="str">
        <f ca="1">IFERROR(__xludf.DUMMYFUNCTION("""COMPUTED_VALUE"""),"cmlawrence@protonmail.com")</f>
        <v>cmlawrence@protonmail.com</v>
      </c>
      <c r="C2620" s="4" t="str">
        <f ca="1">IFERROR(__xludf.DUMMYFUNCTION("""COMPUTED_VALUE"""),"EVERGREEN - UAN Gated Content - Embedded Petition")</f>
        <v>EVERGREEN - UAN Gated Content - Embedded Petition</v>
      </c>
      <c r="D2620" s="5">
        <f ca="1">IFERROR(__xludf.DUMMYFUNCTION("""COMPUTED_VALUE"""),45675)</f>
        <v>45675</v>
      </c>
    </row>
    <row r="2621" spans="1:4" ht="13" x14ac:dyDescent="0.15">
      <c r="A2621" s="4">
        <f ca="1">IFERROR(__xludf.DUMMYFUNCTION("""COMPUTED_VALUE"""),287452560)</f>
        <v>287452560</v>
      </c>
      <c r="B2621" s="1" t="str">
        <f ca="1">IFERROR(__xludf.DUMMYFUNCTION("""COMPUTED_VALUE"""),"cmlawrence@protonmail.com")</f>
        <v>cmlawrence@protonmail.com</v>
      </c>
      <c r="C2621" s="4" t="str">
        <f ca="1">IFERROR(__xludf.DUMMYFUNCTION("""COMPUTED_VALUE"""),"EVERGREEN - UAN Gated Content - Embedded Petition")</f>
        <v>EVERGREEN - UAN Gated Content - Embedded Petition</v>
      </c>
      <c r="D2621" s="5">
        <f ca="1">IFERROR(__xludf.DUMMYFUNCTION("""COMPUTED_VALUE"""),45675)</f>
        <v>45675</v>
      </c>
    </row>
    <row r="2622" spans="1:4" ht="13" x14ac:dyDescent="0.15">
      <c r="A2622" s="4">
        <f ca="1">IFERROR(__xludf.DUMMYFUNCTION("""COMPUTED_VALUE"""),287452560)</f>
        <v>287452560</v>
      </c>
      <c r="B2622" s="1" t="str">
        <f ca="1">IFERROR(__xludf.DUMMYFUNCTION("""COMPUTED_VALUE"""),"cmlawrence@protonmail.com")</f>
        <v>cmlawrence@protonmail.com</v>
      </c>
      <c r="C2622" s="4" t="str">
        <f ca="1">IFERROR(__xludf.DUMMYFUNCTION("""COMPUTED_VALUE"""),"EVERGREEN - UAN Gated Content - Embedded Petition")</f>
        <v>EVERGREEN - UAN Gated Content - Embedded Petition</v>
      </c>
      <c r="D2622" s="5">
        <f ca="1">IFERROR(__xludf.DUMMYFUNCTION("""COMPUTED_VALUE"""),45675)</f>
        <v>45675</v>
      </c>
    </row>
    <row r="2623" spans="1:4" ht="13" x14ac:dyDescent="0.15">
      <c r="A2623" s="4">
        <f ca="1">IFERROR(__xludf.DUMMYFUNCTION("""COMPUTED_VALUE"""),287452560)</f>
        <v>287452560</v>
      </c>
      <c r="B2623" s="1" t="str">
        <f ca="1">IFERROR(__xludf.DUMMYFUNCTION("""COMPUTED_VALUE"""),"cmlawrence@protonmail.com")</f>
        <v>cmlawrence@protonmail.com</v>
      </c>
      <c r="C2623" s="4" t="str">
        <f ca="1">IFERROR(__xludf.DUMMYFUNCTION("""COMPUTED_VALUE"""),"EVERGREEN - UAN Gated Content - Embedded Petition")</f>
        <v>EVERGREEN - UAN Gated Content - Embedded Petition</v>
      </c>
      <c r="D2623" s="5">
        <f ca="1">IFERROR(__xludf.DUMMYFUNCTION("""COMPUTED_VALUE"""),45694)</f>
        <v>45694</v>
      </c>
    </row>
    <row r="2624" spans="1:4" ht="13" x14ac:dyDescent="0.15">
      <c r="A2624" s="4">
        <f ca="1">IFERROR(__xludf.DUMMYFUNCTION("""COMPUTED_VALUE"""),287452560)</f>
        <v>287452560</v>
      </c>
      <c r="B2624" s="1" t="str">
        <f ca="1">IFERROR(__xludf.DUMMYFUNCTION("""COMPUTED_VALUE"""),"cmlawrence@protonmail.com")</f>
        <v>cmlawrence@protonmail.com</v>
      </c>
      <c r="C2624" s="4" t="str">
        <f ca="1">IFERROR(__xludf.DUMMYFUNCTION("""COMPUTED_VALUE"""),"EVERGREEN - UAN Gated Content - Embedded Petition")</f>
        <v>EVERGREEN - UAN Gated Content - Embedded Petition</v>
      </c>
      <c r="D2624" s="5">
        <f ca="1">IFERROR(__xludf.DUMMYFUNCTION("""COMPUTED_VALUE"""),45675)</f>
        <v>45675</v>
      </c>
    </row>
    <row r="2625" spans="1:4" ht="13" x14ac:dyDescent="0.15">
      <c r="A2625" s="4">
        <f ca="1">IFERROR(__xludf.DUMMYFUNCTION("""COMPUTED_VALUE"""),287452560)</f>
        <v>287452560</v>
      </c>
      <c r="B2625" s="1" t="str">
        <f ca="1">IFERROR(__xludf.DUMMYFUNCTION("""COMPUTED_VALUE"""),"cmlawrence@protonmail.com")</f>
        <v>cmlawrence@protonmail.com</v>
      </c>
      <c r="C2625" s="4" t="str">
        <f ca="1">IFERROR(__xludf.DUMMYFUNCTION("""COMPUTED_VALUE"""),"EVERGREEN - UAN Gated Content - Embedded Petition")</f>
        <v>EVERGREEN - UAN Gated Content - Embedded Petition</v>
      </c>
      <c r="D2625" s="5">
        <f ca="1">IFERROR(__xludf.DUMMYFUNCTION("""COMPUTED_VALUE"""),45675)</f>
        <v>45675</v>
      </c>
    </row>
    <row r="2626" spans="1:4" ht="13" x14ac:dyDescent="0.15">
      <c r="A2626" s="4">
        <f ca="1">IFERROR(__xludf.DUMMYFUNCTION("""COMPUTED_VALUE"""),287452560)</f>
        <v>287452560</v>
      </c>
      <c r="B2626" s="1" t="str">
        <f ca="1">IFERROR(__xludf.DUMMYFUNCTION("""COMPUTED_VALUE"""),"cmlawrence@protonmail.com")</f>
        <v>cmlawrence@protonmail.com</v>
      </c>
      <c r="C2626" s="4" t="str">
        <f ca="1">IFERROR(__xludf.DUMMYFUNCTION("""COMPUTED_VALUE"""),"EVERGREEN - UAN Gated Content - Embedded Petition")</f>
        <v>EVERGREEN - UAN Gated Content - Embedded Petition</v>
      </c>
      <c r="D2626" s="5">
        <f ca="1">IFERROR(__xludf.DUMMYFUNCTION("""COMPUTED_VALUE"""),45675)</f>
        <v>45675</v>
      </c>
    </row>
    <row r="2627" spans="1:4" ht="13" x14ac:dyDescent="0.15">
      <c r="A2627" s="4">
        <f ca="1">IFERROR(__xludf.DUMMYFUNCTION("""COMPUTED_VALUE"""),287453934)</f>
        <v>287453934</v>
      </c>
      <c r="B2627" s="1" t="str">
        <f ca="1">IFERROR(__xludf.DUMMYFUNCTION("""COMPUTED_VALUE"""),"dunya@gmail.com")</f>
        <v>dunya@gmail.com</v>
      </c>
      <c r="C2627" s="4" t="str">
        <f ca="1">IFERROR(__xludf.DUMMYFUNCTION("""COMPUTED_VALUE"""),"EVERGREEN - UAN Gated Content - Embedded Petition")</f>
        <v>EVERGREEN - UAN Gated Content - Embedded Petition</v>
      </c>
      <c r="D2627" s="5">
        <f ca="1">IFERROR(__xludf.DUMMYFUNCTION("""COMPUTED_VALUE"""),45675)</f>
        <v>45675</v>
      </c>
    </row>
    <row r="2628" spans="1:4" ht="13" x14ac:dyDescent="0.15">
      <c r="A2628" s="4">
        <f ca="1">IFERROR(__xludf.DUMMYFUNCTION("""COMPUTED_VALUE"""),287454170)</f>
        <v>287454170</v>
      </c>
      <c r="B2628" s="1" t="str">
        <f ca="1">IFERROR(__xludf.DUMMYFUNCTION("""COMPUTED_VALUE"""),"snub.legatos-2d@icloud.com")</f>
        <v>snub.legatos-2d@icloud.com</v>
      </c>
      <c r="C2628" s="4" t="str">
        <f ca="1">IFERROR(__xludf.DUMMYFUNCTION("""COMPUTED_VALUE"""),"EVERGREEN - UAN Gated Content - Embedded Petition")</f>
        <v>EVERGREEN - UAN Gated Content - Embedded Petition</v>
      </c>
      <c r="D2628" s="5">
        <f ca="1">IFERROR(__xludf.DUMMYFUNCTION("""COMPUTED_VALUE"""),45680)</f>
        <v>45680</v>
      </c>
    </row>
    <row r="2629" spans="1:4" ht="13" x14ac:dyDescent="0.15">
      <c r="A2629" s="4">
        <f ca="1">IFERROR(__xludf.DUMMYFUNCTION("""COMPUTED_VALUE"""),287456644)</f>
        <v>287456644</v>
      </c>
      <c r="B2629" s="1" t="str">
        <f ca="1">IFERROR(__xludf.DUMMYFUNCTION("""COMPUTED_VALUE"""),"hspontak@yahoo.com")</f>
        <v>hspontak@yahoo.com</v>
      </c>
      <c r="C2629" s="4" t="str">
        <f ca="1">IFERROR(__xludf.DUMMYFUNCTION("""COMPUTED_VALUE"""),"EVERGREEN - UAN Gated Content - Embedded Petition")</f>
        <v>EVERGREEN - UAN Gated Content - Embedded Petition</v>
      </c>
      <c r="D2629" s="5">
        <f ca="1">IFERROR(__xludf.DUMMYFUNCTION("""COMPUTED_VALUE"""),45675)</f>
        <v>45675</v>
      </c>
    </row>
    <row r="2630" spans="1:4" ht="13" x14ac:dyDescent="0.15">
      <c r="A2630" s="4">
        <f ca="1">IFERROR(__xludf.DUMMYFUNCTION("""COMPUTED_VALUE"""),287502358)</f>
        <v>287502358</v>
      </c>
      <c r="B2630" s="1" t="str">
        <f ca="1">IFERROR(__xludf.DUMMYFUNCTION("""COMPUTED_VALUE"""),"kirymurray@gmail.com")</f>
        <v>kirymurray@gmail.com</v>
      </c>
      <c r="C2630" s="4" t="str">
        <f ca="1">IFERROR(__xludf.DUMMYFUNCTION("""COMPUTED_VALUE"""),"UAN mid-page Lightbox - Step 1 of 4 - Landing Page")</f>
        <v>UAN mid-page Lightbox - Step 1 of 4 - Landing Page</v>
      </c>
      <c r="D2630" s="5">
        <f ca="1">IFERROR(__xludf.DUMMYFUNCTION("""COMPUTED_VALUE"""),45676)</f>
        <v>45676</v>
      </c>
    </row>
    <row r="2631" spans="1:4" ht="13" x14ac:dyDescent="0.15">
      <c r="A2631" s="4">
        <f ca="1">IFERROR(__xludf.DUMMYFUNCTION("""COMPUTED_VALUE"""),287502358)</f>
        <v>287502358</v>
      </c>
      <c r="B2631" s="1" t="str">
        <f ca="1">IFERROR(__xludf.DUMMYFUNCTION("""COMPUTED_VALUE"""),"kirymurray@gmail.com")</f>
        <v>kirymurray@gmail.com</v>
      </c>
      <c r="C2631" s="4" t="str">
        <f ca="1">IFERROR(__xludf.DUMMYFUNCTION("""COMPUTED_VALUE"""),"UAN mid-page Lightbox - Step 2 of 4 - More personal info fields")</f>
        <v>UAN mid-page Lightbox - Step 2 of 4 - More personal info fields</v>
      </c>
      <c r="D2631" s="5">
        <f ca="1">IFERROR(__xludf.DUMMYFUNCTION("""COMPUTED_VALUE"""),45676)</f>
        <v>45676</v>
      </c>
    </row>
    <row r="2632" spans="1:4" ht="13" x14ac:dyDescent="0.15">
      <c r="A2632" s="4">
        <f ca="1">IFERROR(__xludf.DUMMYFUNCTION("""COMPUTED_VALUE"""),287502358)</f>
        <v>287502358</v>
      </c>
      <c r="B2632" s="1" t="str">
        <f ca="1">IFERROR(__xludf.DUMMYFUNCTION("""COMPUTED_VALUE"""),"kirymurray@gmail.com")</f>
        <v>kirymurray@gmail.com</v>
      </c>
      <c r="C2632" s="4" t="str">
        <f ca="1">IFERROR(__xludf.DUMMYFUNCTION("""COMPUTED_VALUE"""),"UAN mid-page Lightbox - Step 3 of 4 - More opt-ins")</f>
        <v>UAN mid-page Lightbox - Step 3 of 4 - More opt-ins</v>
      </c>
      <c r="D2632" s="5">
        <f ca="1">IFERROR(__xludf.DUMMYFUNCTION("""COMPUTED_VALUE"""),45676)</f>
        <v>45676</v>
      </c>
    </row>
    <row r="2633" spans="1:4" ht="13" x14ac:dyDescent="0.15">
      <c r="A2633" s="4">
        <f ca="1">IFERROR(__xludf.DUMMYFUNCTION("""COMPUTED_VALUE"""),287516414)</f>
        <v>287516414</v>
      </c>
      <c r="B2633" s="1" t="str">
        <f ca="1">IFERROR(__xludf.DUMMYFUNCTION("""COMPUTED_VALUE"""),"rinconmezangelica@gmail.com")</f>
        <v>rinconmezangelica@gmail.com</v>
      </c>
      <c r="C2633" s="4" t="str">
        <f ca="1">IFERROR(__xludf.DUMMYFUNCTION("""COMPUTED_VALUE"""),"EVERGREEN - UAN Gated Content - Embedded Petition")</f>
        <v>EVERGREEN - UAN Gated Content - Embedded Petition</v>
      </c>
      <c r="D2633" s="5">
        <f ca="1">IFERROR(__xludf.DUMMYFUNCTION("""COMPUTED_VALUE"""),45676)</f>
        <v>45676</v>
      </c>
    </row>
    <row r="2634" spans="1:4" ht="13" x14ac:dyDescent="0.15">
      <c r="A2634" s="4">
        <f ca="1">IFERROR(__xludf.DUMMYFUNCTION("""COMPUTED_VALUE"""),287532846)</f>
        <v>287532846</v>
      </c>
      <c r="B2634" s="1" t="str">
        <f ca="1">IFERROR(__xludf.DUMMYFUNCTION("""COMPUTED_VALUE"""),"rafaelvolpi@gmail.com")</f>
        <v>rafaelvolpi@gmail.com</v>
      </c>
      <c r="C2634" s="4" t="str">
        <f ca="1">IFERROR(__xludf.DUMMYFUNCTION("""COMPUTED_VALUE"""),"EVERGREEN - UAN Gated Content - Embedded Petition")</f>
        <v>EVERGREEN - UAN Gated Content - Embedded Petition</v>
      </c>
      <c r="D2634" s="5">
        <f ca="1">IFERROR(__xludf.DUMMYFUNCTION("""COMPUTED_VALUE"""),45677)</f>
        <v>45677</v>
      </c>
    </row>
    <row r="2635" spans="1:4" ht="13" x14ac:dyDescent="0.15">
      <c r="A2635" s="4">
        <f ca="1">IFERROR(__xludf.DUMMYFUNCTION("""COMPUTED_VALUE"""),287532846)</f>
        <v>287532846</v>
      </c>
      <c r="B2635" s="1" t="str">
        <f ca="1">IFERROR(__xludf.DUMMYFUNCTION("""COMPUTED_VALUE"""),"rafaelvolpi@gmail.com")</f>
        <v>rafaelvolpi@gmail.com</v>
      </c>
      <c r="C2635" s="4" t="str">
        <f ca="1">IFERROR(__xludf.DUMMYFUNCTION("""COMPUTED_VALUE"""),"EVERGREEN - UAN Gated Content - Embedded Petition")</f>
        <v>EVERGREEN - UAN Gated Content - Embedded Petition</v>
      </c>
      <c r="D2635" s="5">
        <f ca="1">IFERROR(__xludf.DUMMYFUNCTION("""COMPUTED_VALUE"""),45677)</f>
        <v>45677</v>
      </c>
    </row>
    <row r="2636" spans="1:4" ht="13" x14ac:dyDescent="0.15">
      <c r="A2636" s="4">
        <f ca="1">IFERROR(__xludf.DUMMYFUNCTION("""COMPUTED_VALUE"""),287535440)</f>
        <v>287535440</v>
      </c>
      <c r="B2636" s="1" t="str">
        <f ca="1">IFERROR(__xludf.DUMMYFUNCTION("""COMPUTED_VALUE"""),"kfeifer@gmail.com")</f>
        <v>kfeifer@gmail.com</v>
      </c>
      <c r="C2636" s="4" t="str">
        <f ca="1">IFERROR(__xludf.DUMMYFUNCTION("""COMPUTED_VALUE"""),"EVERGREEN - UAN Gated Content - Embedded Petition")</f>
        <v>EVERGREEN - UAN Gated Content - Embedded Petition</v>
      </c>
      <c r="D2636" s="5">
        <f ca="1">IFERROR(__xludf.DUMMYFUNCTION("""COMPUTED_VALUE"""),45677)</f>
        <v>45677</v>
      </c>
    </row>
    <row r="2637" spans="1:4" ht="13" x14ac:dyDescent="0.15">
      <c r="A2637" s="4">
        <f ca="1">IFERROR(__xludf.DUMMYFUNCTION("""COMPUTED_VALUE"""),287535440)</f>
        <v>287535440</v>
      </c>
      <c r="B2637" s="1" t="str">
        <f ca="1">IFERROR(__xludf.DUMMYFUNCTION("""COMPUTED_VALUE"""),"kfeifer@gmail.com")</f>
        <v>kfeifer@gmail.com</v>
      </c>
      <c r="C2637" s="4" t="str">
        <f ca="1">IFERROR(__xludf.DUMMYFUNCTION("""COMPUTED_VALUE"""),"EVERGREEN - UAN Gated Content - Embedded Petition")</f>
        <v>EVERGREEN - UAN Gated Content - Embedded Petition</v>
      </c>
      <c r="D2637" s="5">
        <f ca="1">IFERROR(__xludf.DUMMYFUNCTION("""COMPUTED_VALUE"""),45681)</f>
        <v>45681</v>
      </c>
    </row>
    <row r="2638" spans="1:4" ht="13" x14ac:dyDescent="0.15">
      <c r="A2638" s="4">
        <f ca="1">IFERROR(__xludf.DUMMYFUNCTION("""COMPUTED_VALUE"""),287535440)</f>
        <v>287535440</v>
      </c>
      <c r="B2638" s="1" t="str">
        <f ca="1">IFERROR(__xludf.DUMMYFUNCTION("""COMPUTED_VALUE"""),"kfeifer@gmail.com")</f>
        <v>kfeifer@gmail.com</v>
      </c>
      <c r="C2638" s="4" t="str">
        <f ca="1">IFERROR(__xludf.DUMMYFUNCTION("""COMPUTED_VALUE"""),"EVERGREEN - UAN Gated Content - Embedded Petition")</f>
        <v>EVERGREEN - UAN Gated Content - Embedded Petition</v>
      </c>
      <c r="D2638" s="5">
        <f ca="1">IFERROR(__xludf.DUMMYFUNCTION("""COMPUTED_VALUE"""),45682)</f>
        <v>45682</v>
      </c>
    </row>
    <row r="2639" spans="1:4" ht="13" x14ac:dyDescent="0.15">
      <c r="A2639" s="4">
        <f ca="1">IFERROR(__xludf.DUMMYFUNCTION("""COMPUTED_VALUE"""),287535757)</f>
        <v>287535757</v>
      </c>
      <c r="B2639" s="1" t="str">
        <f ca="1">IFERROR(__xludf.DUMMYFUNCTION("""COMPUTED_VALUE"""),"laurenlkowalis@gmail.com")</f>
        <v>laurenlkowalis@gmail.com</v>
      </c>
      <c r="C2639" s="4" t="str">
        <f ca="1">IFERROR(__xludf.DUMMYFUNCTION("""COMPUTED_VALUE"""),"EVERGREEN - UAN Gated Content - Embedded Petition")</f>
        <v>EVERGREEN - UAN Gated Content - Embedded Petition</v>
      </c>
      <c r="D2639" s="5">
        <f ca="1">IFERROR(__xludf.DUMMYFUNCTION("""COMPUTED_VALUE"""),45693)</f>
        <v>45693</v>
      </c>
    </row>
    <row r="2640" spans="1:4" ht="13" x14ac:dyDescent="0.15">
      <c r="A2640" s="4">
        <f ca="1">IFERROR(__xludf.DUMMYFUNCTION("""COMPUTED_VALUE"""),287535757)</f>
        <v>287535757</v>
      </c>
      <c r="B2640" s="1" t="str">
        <f ca="1">IFERROR(__xludf.DUMMYFUNCTION("""COMPUTED_VALUE"""),"laurenlkowalis@gmail.com")</f>
        <v>laurenlkowalis@gmail.com</v>
      </c>
      <c r="C2640" s="4" t="str">
        <f ca="1">IFERROR(__xludf.DUMMYFUNCTION("""COMPUTED_VALUE"""),"EVERGREEN - Website Email Capture Form - UAN Pre-Footer")</f>
        <v>EVERGREEN - Website Email Capture Form - UAN Pre-Footer</v>
      </c>
      <c r="D2640" s="5">
        <f ca="1">IFERROR(__xludf.DUMMYFUNCTION("""COMPUTED_VALUE"""),45693)</f>
        <v>45693</v>
      </c>
    </row>
    <row r="2641" spans="1:4" ht="13" x14ac:dyDescent="0.15">
      <c r="A2641" s="4">
        <f ca="1">IFERROR(__xludf.DUMMYFUNCTION("""COMPUTED_VALUE"""),287537353)</f>
        <v>287537353</v>
      </c>
      <c r="B2641" s="1" t="str">
        <f ca="1">IFERROR(__xludf.DUMMYFUNCTION("""COMPUTED_VALUE"""),"amyenoyes@gmail.com")</f>
        <v>amyenoyes@gmail.com</v>
      </c>
      <c r="C2641" s="4" t="str">
        <f ca="1">IFERROR(__xludf.DUMMYFUNCTION("""COMPUTED_VALUE"""),"UAN mid-page Lightbox - Step 1 of 4 - Landing Page")</f>
        <v>UAN mid-page Lightbox - Step 1 of 4 - Landing Page</v>
      </c>
      <c r="D2641" s="5">
        <f ca="1">IFERROR(__xludf.DUMMYFUNCTION("""COMPUTED_VALUE"""),45677)</f>
        <v>45677</v>
      </c>
    </row>
    <row r="2642" spans="1:4" ht="13" x14ac:dyDescent="0.15">
      <c r="A2642" s="4">
        <f ca="1">IFERROR(__xludf.DUMMYFUNCTION("""COMPUTED_VALUE"""),287537353)</f>
        <v>287537353</v>
      </c>
      <c r="B2642" s="1" t="str">
        <f ca="1">IFERROR(__xludf.DUMMYFUNCTION("""COMPUTED_VALUE"""),"amyenoyes@gmail.com")</f>
        <v>amyenoyes@gmail.com</v>
      </c>
      <c r="C2642" s="4" t="str">
        <f ca="1">IFERROR(__xludf.DUMMYFUNCTION("""COMPUTED_VALUE"""),"UAN mid-page Lightbox - Step 2 of 4 - More personal info fields")</f>
        <v>UAN mid-page Lightbox - Step 2 of 4 - More personal info fields</v>
      </c>
      <c r="D2642" s="5">
        <f ca="1">IFERROR(__xludf.DUMMYFUNCTION("""COMPUTED_VALUE"""),45677)</f>
        <v>45677</v>
      </c>
    </row>
    <row r="2643" spans="1:4" ht="13" x14ac:dyDescent="0.15">
      <c r="A2643" s="4">
        <f ca="1">IFERROR(__xludf.DUMMYFUNCTION("""COMPUTED_VALUE"""),287537353)</f>
        <v>287537353</v>
      </c>
      <c r="B2643" s="1" t="str">
        <f ca="1">IFERROR(__xludf.DUMMYFUNCTION("""COMPUTED_VALUE"""),"amyenoyes@gmail.com")</f>
        <v>amyenoyes@gmail.com</v>
      </c>
      <c r="C2643" s="4" t="str">
        <f ca="1">IFERROR(__xludf.DUMMYFUNCTION("""COMPUTED_VALUE"""),"UAN mid-page Lightbox - Step 3 of 4 - More opt-ins")</f>
        <v>UAN mid-page Lightbox - Step 3 of 4 - More opt-ins</v>
      </c>
      <c r="D2643" s="5">
        <f ca="1">IFERROR(__xludf.DUMMYFUNCTION("""COMPUTED_VALUE"""),45677)</f>
        <v>45677</v>
      </c>
    </row>
    <row r="2644" spans="1:4" ht="13" x14ac:dyDescent="0.15">
      <c r="A2644" s="4">
        <f ca="1">IFERROR(__xludf.DUMMYFUNCTION("""COMPUTED_VALUE"""),287552333)</f>
        <v>287552333</v>
      </c>
      <c r="B2644" s="1" t="str">
        <f ca="1">IFERROR(__xludf.DUMMYFUNCTION("""COMPUTED_VALUE"""),"aibannedbooksweekaction@gmail.com")</f>
        <v>aibannedbooksweekaction@gmail.com</v>
      </c>
      <c r="C2644" s="4" t="str">
        <f ca="1">IFERROR(__xludf.DUMMYFUNCTION("""COMPUTED_VALUE"""),"EVERGREEN - UAN Gated Content - Embedded Petition")</f>
        <v>EVERGREEN - UAN Gated Content - Embedded Petition</v>
      </c>
      <c r="D2644" s="5">
        <f ca="1">IFERROR(__xludf.DUMMYFUNCTION("""COMPUTED_VALUE"""),45678)</f>
        <v>45678</v>
      </c>
    </row>
    <row r="2645" spans="1:4" ht="13" x14ac:dyDescent="0.15">
      <c r="A2645" s="4">
        <f ca="1">IFERROR(__xludf.DUMMYFUNCTION("""COMPUTED_VALUE"""),287563319)</f>
        <v>287563319</v>
      </c>
      <c r="B2645" s="1" t="str">
        <f ca="1">IFERROR(__xludf.DUMMYFUNCTION("""COMPUTED_VALUE"""),"nswords1817@gmail.com")</f>
        <v>nswords1817@gmail.com</v>
      </c>
      <c r="C2645" s="4" t="str">
        <f ca="1">IFERROR(__xludf.DUMMYFUNCTION("""COMPUTED_VALUE"""),"EVERGREEN - UAN Gated Content - Embedded Petition")</f>
        <v>EVERGREEN - UAN Gated Content - Embedded Petition</v>
      </c>
      <c r="D2645" s="5">
        <f ca="1">IFERROR(__xludf.DUMMYFUNCTION("""COMPUTED_VALUE"""),45678)</f>
        <v>45678</v>
      </c>
    </row>
    <row r="2646" spans="1:4" ht="13" x14ac:dyDescent="0.15">
      <c r="A2646" s="4">
        <f ca="1">IFERROR(__xludf.DUMMYFUNCTION("""COMPUTED_VALUE"""),287563721)</f>
        <v>287563721</v>
      </c>
      <c r="B2646" s="1" t="str">
        <f ca="1">IFERROR(__xludf.DUMMYFUNCTION("""COMPUTED_VALUE"""),"whitefoxsociamedia@gmail.com")</f>
        <v>whitefoxsociamedia@gmail.com</v>
      </c>
      <c r="C2646" s="4" t="str">
        <f ca="1">IFERROR(__xludf.DUMMYFUNCTION("""COMPUTED_VALUE"""),"EVERGREEN - UAN Gated Content - Embedded Petition")</f>
        <v>EVERGREEN - UAN Gated Content - Embedded Petition</v>
      </c>
      <c r="D2646" s="5">
        <f ca="1">IFERROR(__xludf.DUMMYFUNCTION("""COMPUTED_VALUE"""),45678)</f>
        <v>45678</v>
      </c>
    </row>
    <row r="2647" spans="1:4" ht="13" x14ac:dyDescent="0.15">
      <c r="A2647" s="4">
        <f ca="1">IFERROR(__xludf.DUMMYFUNCTION("""COMPUTED_VALUE"""),287590138)</f>
        <v>287590138</v>
      </c>
      <c r="B2647" s="1" t="str">
        <f ca="1">IFERROR(__xludf.DUMMYFUNCTION("""COMPUTED_VALUE"""),"valerieosagie92@gmail.com")</f>
        <v>valerieosagie92@gmail.com</v>
      </c>
      <c r="C2647" s="4" t="str">
        <f ca="1">IFERROR(__xludf.DUMMYFUNCTION("""COMPUTED_VALUE"""),"EVERGREEN - UAN Gated Content - Embedded Petition")</f>
        <v>EVERGREEN - UAN Gated Content - Embedded Petition</v>
      </c>
      <c r="D2647" s="5">
        <f ca="1">IFERROR(__xludf.DUMMYFUNCTION("""COMPUTED_VALUE"""),45680)</f>
        <v>45680</v>
      </c>
    </row>
    <row r="2648" spans="1:4" ht="13" x14ac:dyDescent="0.15">
      <c r="A2648" s="4">
        <f ca="1">IFERROR(__xludf.DUMMYFUNCTION("""COMPUTED_VALUE"""),287602904)</f>
        <v>287602904</v>
      </c>
      <c r="B2648" s="1" t="str">
        <f ca="1">IFERROR(__xludf.DUMMYFUNCTION("""COMPUTED_VALUE"""),"nidra.ellis@gmail.com")</f>
        <v>nidra.ellis@gmail.com</v>
      </c>
      <c r="C2648" s="4" t="str">
        <f ca="1">IFERROR(__xludf.DUMMYFUNCTION("""COMPUTED_VALUE"""),"EVERGREEN - UAN Gated Content - Embedded Petition")</f>
        <v>EVERGREEN - UAN Gated Content - Embedded Petition</v>
      </c>
      <c r="D2648" s="5">
        <f ca="1">IFERROR(__xludf.DUMMYFUNCTION("""COMPUTED_VALUE"""),45680)</f>
        <v>45680</v>
      </c>
    </row>
    <row r="2649" spans="1:4" ht="13" x14ac:dyDescent="0.15">
      <c r="A2649" s="4">
        <f ca="1">IFERROR(__xludf.DUMMYFUNCTION("""COMPUTED_VALUE"""),287623413)</f>
        <v>287623413</v>
      </c>
      <c r="B2649" s="1" t="str">
        <f ca="1">IFERROR(__xludf.DUMMYFUNCTION("""COMPUTED_VALUE"""),"klcolaric@gmail.com")</f>
        <v>klcolaric@gmail.com</v>
      </c>
      <c r="C2649" s="4" t="str">
        <f ca="1">IFERROR(__xludf.DUMMYFUNCTION("""COMPUTED_VALUE"""),"EVERGREEN - UAN Gated Content - Embedded Petition")</f>
        <v>EVERGREEN - UAN Gated Content - Embedded Petition</v>
      </c>
      <c r="D2649" s="5">
        <f ca="1">IFERROR(__xludf.DUMMYFUNCTION("""COMPUTED_VALUE"""),45683)</f>
        <v>45683</v>
      </c>
    </row>
    <row r="2650" spans="1:4" ht="13" x14ac:dyDescent="0.15">
      <c r="A2650" s="4">
        <f ca="1">IFERROR(__xludf.DUMMYFUNCTION("""COMPUTED_VALUE"""),287623670)</f>
        <v>287623670</v>
      </c>
      <c r="B2650" s="1" t="str">
        <f ca="1">IFERROR(__xludf.DUMMYFUNCTION("""COMPUTED_VALUE"""),"amandakatherine79@gmail.com")</f>
        <v>amandakatherine79@gmail.com</v>
      </c>
      <c r="C2650" s="4" t="str">
        <f ca="1">IFERROR(__xludf.DUMMYFUNCTION("""COMPUTED_VALUE"""),"EVERGREEN - UAN Gated Content - Embedded Petition")</f>
        <v>EVERGREEN - UAN Gated Content - Embedded Petition</v>
      </c>
      <c r="D2650" s="5">
        <f ca="1">IFERROR(__xludf.DUMMYFUNCTION("""COMPUTED_VALUE"""),45683)</f>
        <v>45683</v>
      </c>
    </row>
    <row r="2651" spans="1:4" ht="13" x14ac:dyDescent="0.15">
      <c r="A2651" s="4">
        <f ca="1">IFERROR(__xludf.DUMMYFUNCTION("""COMPUTED_VALUE"""),287628311)</f>
        <v>287628311</v>
      </c>
      <c r="B2651" s="1" t="str">
        <f ca="1">IFERROR(__xludf.DUMMYFUNCTION("""COMPUTED_VALUE"""),"kathleenboone21@gmail.com")</f>
        <v>kathleenboone21@gmail.com</v>
      </c>
      <c r="C2651" s="4" t="str">
        <f ca="1">IFERROR(__xludf.DUMMYFUNCTION("""COMPUTED_VALUE"""),"EVERGREEN - UAN Gated Content - Embedded Petition")</f>
        <v>EVERGREEN - UAN Gated Content - Embedded Petition</v>
      </c>
      <c r="D2651" s="5">
        <f ca="1">IFERROR(__xludf.DUMMYFUNCTION("""COMPUTED_VALUE"""),45694)</f>
        <v>45694</v>
      </c>
    </row>
    <row r="2652" spans="1:4" ht="13" x14ac:dyDescent="0.15">
      <c r="A2652" s="4">
        <f ca="1">IFERROR(__xludf.DUMMYFUNCTION("""COMPUTED_VALUE"""),287628311)</f>
        <v>287628311</v>
      </c>
      <c r="B2652" s="1" t="str">
        <f ca="1">IFERROR(__xludf.DUMMYFUNCTION("""COMPUTED_VALUE"""),"kathleenboone21@gmail.com")</f>
        <v>kathleenboone21@gmail.com</v>
      </c>
      <c r="C2652" s="4" t="str">
        <f ca="1">IFERROR(__xludf.DUMMYFUNCTION("""COMPUTED_VALUE"""),"EVERGREEN - UAN Gated Content - Embedded Petition")</f>
        <v>EVERGREEN - UAN Gated Content - Embedded Petition</v>
      </c>
      <c r="D2652" s="5">
        <f ca="1">IFERROR(__xludf.DUMMYFUNCTION("""COMPUTED_VALUE"""),45694)</f>
        <v>45694</v>
      </c>
    </row>
    <row r="2653" spans="1:4" ht="13" x14ac:dyDescent="0.15">
      <c r="A2653" s="4">
        <f ca="1">IFERROR(__xludf.DUMMYFUNCTION("""COMPUTED_VALUE"""),287628311)</f>
        <v>287628311</v>
      </c>
      <c r="B2653" s="1" t="str">
        <f ca="1">IFERROR(__xludf.DUMMYFUNCTION("""COMPUTED_VALUE"""),"kathleenboone21@gmail.com")</f>
        <v>kathleenboone21@gmail.com</v>
      </c>
      <c r="C2653" s="4" t="str">
        <f ca="1">IFERROR(__xludf.DUMMYFUNCTION("""COMPUTED_VALUE"""),"EVERGREEN - UAN Gated Content - Embedded Petition")</f>
        <v>EVERGREEN - UAN Gated Content - Embedded Petition</v>
      </c>
      <c r="D2653" s="5">
        <f ca="1">IFERROR(__xludf.DUMMYFUNCTION("""COMPUTED_VALUE"""),45681)</f>
        <v>45681</v>
      </c>
    </row>
    <row r="2654" spans="1:4" ht="13" x14ac:dyDescent="0.15">
      <c r="A2654" s="4">
        <f ca="1">IFERROR(__xludf.DUMMYFUNCTION("""COMPUTED_VALUE"""),287631644)</f>
        <v>287631644</v>
      </c>
      <c r="B2654" s="1" t="str">
        <f ca="1">IFERROR(__xludf.DUMMYFUNCTION("""COMPUTED_VALUE"""),"99058664@my.hartdistrict.org")</f>
        <v>99058664@my.hartdistrict.org</v>
      </c>
      <c r="C2654" s="4" t="str">
        <f ca="1">IFERROR(__xludf.DUMMYFUNCTION("""COMPUTED_VALUE"""),"EVERGREEN - UAN Gated Content - Embedded Petition")</f>
        <v>EVERGREEN - UAN Gated Content - Embedded Petition</v>
      </c>
      <c r="D2654" s="5">
        <f ca="1">IFERROR(__xludf.DUMMYFUNCTION("""COMPUTED_VALUE"""),45681)</f>
        <v>45681</v>
      </c>
    </row>
    <row r="2655" spans="1:4" ht="13" x14ac:dyDescent="0.15">
      <c r="A2655" s="4">
        <f ca="1">IFERROR(__xludf.DUMMYFUNCTION("""COMPUTED_VALUE"""),287631644)</f>
        <v>287631644</v>
      </c>
      <c r="B2655" s="1" t="str">
        <f ca="1">IFERROR(__xludf.DUMMYFUNCTION("""COMPUTED_VALUE"""),"99058664@my.hartdistrict.org")</f>
        <v>99058664@my.hartdistrict.org</v>
      </c>
      <c r="C2655" s="4" t="str">
        <f ca="1">IFERROR(__xludf.DUMMYFUNCTION("""COMPUTED_VALUE"""),"EVERGREEN - UAN Gated Content - Embedded Petition")</f>
        <v>EVERGREEN - UAN Gated Content - Embedded Petition</v>
      </c>
      <c r="D2655" s="5">
        <f ca="1">IFERROR(__xludf.DUMMYFUNCTION("""COMPUTED_VALUE"""),45681)</f>
        <v>45681</v>
      </c>
    </row>
    <row r="2656" spans="1:4" ht="13" x14ac:dyDescent="0.15">
      <c r="A2656" s="4">
        <f ca="1">IFERROR(__xludf.DUMMYFUNCTION("""COMPUTED_VALUE"""),287694837)</f>
        <v>287694837</v>
      </c>
      <c r="B2656" s="1" t="str">
        <f ca="1">IFERROR(__xludf.DUMMYFUNCTION("""COMPUTED_VALUE"""),"11@gmail.com")</f>
        <v>11@gmail.com</v>
      </c>
      <c r="C2656" s="4" t="str">
        <f ca="1">IFERROR(__xludf.DUMMYFUNCTION("""COMPUTED_VALUE"""),"EVERGREEN - UAN Gated Content - Embedded Petition")</f>
        <v>EVERGREEN - UAN Gated Content - Embedded Petition</v>
      </c>
      <c r="D2656" s="5">
        <f ca="1">IFERROR(__xludf.DUMMYFUNCTION("""COMPUTED_VALUE"""),45684)</f>
        <v>45684</v>
      </c>
    </row>
    <row r="2657" spans="1:4" ht="13" x14ac:dyDescent="0.15">
      <c r="A2657" s="4">
        <f ca="1">IFERROR(__xludf.DUMMYFUNCTION("""COMPUTED_VALUE"""),287710952)</f>
        <v>287710952</v>
      </c>
      <c r="B2657" s="1" t="str">
        <f ca="1">IFERROR(__xludf.DUMMYFUNCTION("""COMPUTED_VALUE"""),"btb.uk.president@gmail.com")</f>
        <v>btb.uk.president@gmail.com</v>
      </c>
      <c r="C2657" s="4" t="str">
        <f ca="1">IFERROR(__xludf.DUMMYFUNCTION("""COMPUTED_VALUE"""),"EVERGREEN - Website Email Capture Form - UAN Pre-Footer")</f>
        <v>EVERGREEN - Website Email Capture Form - UAN Pre-Footer</v>
      </c>
      <c r="D2657" s="5">
        <f ca="1">IFERROR(__xludf.DUMMYFUNCTION("""COMPUTED_VALUE"""),45685)</f>
        <v>45685</v>
      </c>
    </row>
    <row r="2658" spans="1:4" ht="13" x14ac:dyDescent="0.15">
      <c r="A2658" s="4">
        <f ca="1">IFERROR(__xludf.DUMMYFUNCTION("""COMPUTED_VALUE"""),287723042)</f>
        <v>287723042</v>
      </c>
      <c r="B2658" s="1" t="str">
        <f ca="1">IFERROR(__xludf.DUMMYFUNCTION("""COMPUTED_VALUE"""),"aduran01@yahoo.com")</f>
        <v>aduran01@yahoo.com</v>
      </c>
      <c r="C2658" s="4" t="str">
        <f ca="1">IFERROR(__xludf.DUMMYFUNCTION("""COMPUTED_VALUE"""),"EVERGREEN - UAN Gated Content - Embedded Petition")</f>
        <v>EVERGREEN - UAN Gated Content - Embedded Petition</v>
      </c>
      <c r="D2658" s="5">
        <f ca="1">IFERROR(__xludf.DUMMYFUNCTION("""COMPUTED_VALUE"""),45685)</f>
        <v>45685</v>
      </c>
    </row>
    <row r="2659" spans="1:4" ht="13" x14ac:dyDescent="0.15">
      <c r="A2659" s="4">
        <f ca="1">IFERROR(__xludf.DUMMYFUNCTION("""COMPUTED_VALUE"""),287728356)</f>
        <v>287728356</v>
      </c>
      <c r="B2659" s="1" t="str">
        <f ca="1">IFERROR(__xludf.DUMMYFUNCTION("""COMPUTED_VALUE"""),"chaos1sk@gmail.com")</f>
        <v>chaos1sk@gmail.com</v>
      </c>
      <c r="C2659" s="4" t="str">
        <f ca="1">IFERROR(__xludf.DUMMYFUNCTION("""COMPUTED_VALUE"""),"EVERGREEN - UAN Gated Content - Embedded Petition")</f>
        <v>EVERGREEN - UAN Gated Content - Embedded Petition</v>
      </c>
      <c r="D2659" s="5">
        <f ca="1">IFERROR(__xludf.DUMMYFUNCTION("""COMPUTED_VALUE"""),45685)</f>
        <v>45685</v>
      </c>
    </row>
    <row r="2660" spans="1:4" ht="13" x14ac:dyDescent="0.15">
      <c r="A2660" s="4">
        <f ca="1">IFERROR(__xludf.DUMMYFUNCTION("""COMPUTED_VALUE"""),287729649)</f>
        <v>287729649</v>
      </c>
      <c r="B2660" s="1" t="str">
        <f ca="1">IFERROR(__xludf.DUMMYFUNCTION("""COMPUTED_VALUE"""),"bryan+20250128v1@4sitestudios.com")</f>
        <v>bryan+20250128v1@4sitestudios.com</v>
      </c>
      <c r="C2660" s="4" t="str">
        <f ca="1">IFERROR(__xludf.DUMMYFUNCTION("""COMPUTED_VALUE"""),"EVERGREEN - UAN Gated Content - Embedded Petition")</f>
        <v>EVERGREEN - UAN Gated Content - Embedded Petition</v>
      </c>
      <c r="D2660" s="5">
        <f ca="1">IFERROR(__xludf.DUMMYFUNCTION("""COMPUTED_VALUE"""),45685)</f>
        <v>45685</v>
      </c>
    </row>
    <row r="2661" spans="1:4" ht="13" x14ac:dyDescent="0.15">
      <c r="A2661" s="4">
        <f ca="1">IFERROR(__xludf.DUMMYFUNCTION("""COMPUTED_VALUE"""),287764710)</f>
        <v>287764710</v>
      </c>
      <c r="B2661" s="1" t="str">
        <f ca="1">IFERROR(__xludf.DUMMYFUNCTION("""COMPUTED_VALUE"""),"sarah.ross425@gmail.com")</f>
        <v>sarah.ross425@gmail.com</v>
      </c>
      <c r="C2661" s="4" t="str">
        <f ca="1">IFERROR(__xludf.DUMMYFUNCTION("""COMPUTED_VALUE"""),"EVERGREEN - UAN Gated Content - Embedded Petition")</f>
        <v>EVERGREEN - UAN Gated Content - Embedded Petition</v>
      </c>
      <c r="D2661" s="5">
        <f ca="1">IFERROR(__xludf.DUMMYFUNCTION("""COMPUTED_VALUE"""),45685)</f>
        <v>45685</v>
      </c>
    </row>
    <row r="2662" spans="1:4" ht="13" x14ac:dyDescent="0.15">
      <c r="A2662" s="4">
        <f ca="1">IFERROR(__xludf.DUMMYFUNCTION("""COMPUTED_VALUE"""),287783169)</f>
        <v>287783169</v>
      </c>
      <c r="B2662" s="1" t="str">
        <f ca="1">IFERROR(__xludf.DUMMYFUNCTION("""COMPUTED_VALUE"""),"37.traps.chanter@icloud.com")</f>
        <v>37.traps.chanter@icloud.com</v>
      </c>
      <c r="C2662" s="4" t="str">
        <f ca="1">IFERROR(__xludf.DUMMYFUNCTION("""COMPUTED_VALUE"""),"EVERGREEN - UAN Gated Content - Embedded Petition")</f>
        <v>EVERGREEN - UAN Gated Content - Embedded Petition</v>
      </c>
      <c r="D2662" s="5">
        <f ca="1">IFERROR(__xludf.DUMMYFUNCTION("""COMPUTED_VALUE"""),45686)</f>
        <v>45686</v>
      </c>
    </row>
    <row r="2663" spans="1:4" ht="13" x14ac:dyDescent="0.15">
      <c r="A2663" s="4">
        <f ca="1">IFERROR(__xludf.DUMMYFUNCTION("""COMPUTED_VALUE"""),287794623)</f>
        <v>287794623</v>
      </c>
      <c r="B2663" s="1" t="str">
        <f ca="1">IFERROR(__xludf.DUMMYFUNCTION("""COMPUTED_VALUE"""),"captbethe@gmail.com")</f>
        <v>captbethe@gmail.com</v>
      </c>
      <c r="C2663" s="4" t="str">
        <f ca="1">IFERROR(__xludf.DUMMYFUNCTION("""COMPUTED_VALUE"""),"EVERGREEN - UAN Gated Content - Embedded Petition")</f>
        <v>EVERGREEN - UAN Gated Content - Embedded Petition</v>
      </c>
      <c r="D2663" s="5">
        <f ca="1">IFERROR(__xludf.DUMMYFUNCTION("""COMPUTED_VALUE"""),45686)</f>
        <v>45686</v>
      </c>
    </row>
    <row r="2664" spans="1:4" ht="13" x14ac:dyDescent="0.15">
      <c r="A2664" s="4">
        <f ca="1">IFERROR(__xludf.DUMMYFUNCTION("""COMPUTED_VALUE"""),287833543)</f>
        <v>287833543</v>
      </c>
      <c r="B2664" s="1" t="str">
        <f ca="1">IFERROR(__xludf.DUMMYFUNCTION("""COMPUTED_VALUE"""),"slayingmantis555@gmail.com")</f>
        <v>slayingmantis555@gmail.com</v>
      </c>
      <c r="C2664" s="4" t="str">
        <f ca="1">IFERROR(__xludf.DUMMYFUNCTION("""COMPUTED_VALUE"""),"EVERGREEN - UAN Gated Content - Embedded Petition")</f>
        <v>EVERGREEN - UAN Gated Content - Embedded Petition</v>
      </c>
      <c r="D2664" s="5">
        <f ca="1">IFERROR(__xludf.DUMMYFUNCTION("""COMPUTED_VALUE"""),45687)</f>
        <v>45687</v>
      </c>
    </row>
    <row r="2665" spans="1:4" ht="13" x14ac:dyDescent="0.15">
      <c r="A2665" s="4">
        <f ca="1">IFERROR(__xludf.DUMMYFUNCTION("""COMPUTED_VALUE"""),287836355)</f>
        <v>287836355</v>
      </c>
      <c r="B2665" s="1" t="str">
        <f ca="1">IFERROR(__xludf.DUMMYFUNCTION("""COMPUTED_VALUE"""),"flkells@gmail.com")</f>
        <v>flkells@gmail.com</v>
      </c>
      <c r="C2665" s="4" t="str">
        <f ca="1">IFERROR(__xludf.DUMMYFUNCTION("""COMPUTED_VALUE"""),"EVERGREEN - UAN Gated Content - Embedded Petition")</f>
        <v>EVERGREEN - UAN Gated Content - Embedded Petition</v>
      </c>
      <c r="D2665" s="5">
        <f ca="1">IFERROR(__xludf.DUMMYFUNCTION("""COMPUTED_VALUE"""),45687)</f>
        <v>45687</v>
      </c>
    </row>
    <row r="2666" spans="1:4" ht="13" x14ac:dyDescent="0.15">
      <c r="A2666" s="4">
        <f ca="1">IFERROR(__xludf.DUMMYFUNCTION("""COMPUTED_VALUE"""),287841414)</f>
        <v>287841414</v>
      </c>
      <c r="B2666" s="1" t="str">
        <f ca="1">IFERROR(__xludf.DUMMYFUNCTION("""COMPUTED_VALUE"""),"andrealcrowell@gmail.com")</f>
        <v>andrealcrowell@gmail.com</v>
      </c>
      <c r="C2666" s="4" t="str">
        <f ca="1">IFERROR(__xludf.DUMMYFUNCTION("""COMPUTED_VALUE"""),"EVERGREEN - UAN Gated Content - Embedded Petition")</f>
        <v>EVERGREEN - UAN Gated Content - Embedded Petition</v>
      </c>
      <c r="D2666" s="5">
        <f ca="1">IFERROR(__xludf.DUMMYFUNCTION("""COMPUTED_VALUE"""),45687)</f>
        <v>45687</v>
      </c>
    </row>
    <row r="2667" spans="1:4" ht="13" x14ac:dyDescent="0.15">
      <c r="A2667" s="4">
        <f ca="1">IFERROR(__xludf.DUMMYFUNCTION("""COMPUTED_VALUE"""),287841664)</f>
        <v>287841664</v>
      </c>
      <c r="B2667" s="1" t="str">
        <f ca="1">IFERROR(__xludf.DUMMYFUNCTION("""COMPUTED_VALUE"""),"americahope64@gmail.com")</f>
        <v>americahope64@gmail.com</v>
      </c>
      <c r="C2667" s="4" t="str">
        <f ca="1">IFERROR(__xludf.DUMMYFUNCTION("""COMPUTED_VALUE"""),"EVERGREEN - UAN Gated Content - Embedded Petition")</f>
        <v>EVERGREEN - UAN Gated Content - Embedded Petition</v>
      </c>
      <c r="D2667" s="5">
        <f ca="1">IFERROR(__xludf.DUMMYFUNCTION("""COMPUTED_VALUE"""),45687)</f>
        <v>45687</v>
      </c>
    </row>
    <row r="2668" spans="1:4" ht="13" x14ac:dyDescent="0.15">
      <c r="A2668" s="4">
        <f ca="1">IFERROR(__xludf.DUMMYFUNCTION("""COMPUTED_VALUE"""),287842406)</f>
        <v>287842406</v>
      </c>
      <c r="B2668" s="1" t="str">
        <f ca="1">IFERROR(__xludf.DUMMYFUNCTION("""COMPUTED_VALUE"""),"25ciccaral1@egcsd.org")</f>
        <v>25ciccaral1@egcsd.org</v>
      </c>
      <c r="C2668" s="4" t="str">
        <f ca="1">IFERROR(__xludf.DUMMYFUNCTION("""COMPUTED_VALUE"""),"EVERGREEN - UAN Gated Content - Embedded Petition")</f>
        <v>EVERGREEN - UAN Gated Content - Embedded Petition</v>
      </c>
      <c r="D2668" s="5">
        <f ca="1">IFERROR(__xludf.DUMMYFUNCTION("""COMPUTED_VALUE"""),45701)</f>
        <v>45701</v>
      </c>
    </row>
    <row r="2669" spans="1:4" ht="13" x14ac:dyDescent="0.15">
      <c r="A2669" s="4">
        <f ca="1">IFERROR(__xludf.DUMMYFUNCTION("""COMPUTED_VALUE"""),287842406)</f>
        <v>287842406</v>
      </c>
      <c r="B2669" s="1" t="str">
        <f ca="1">IFERROR(__xludf.DUMMYFUNCTION("""COMPUTED_VALUE"""),"25ciccaral1@egcsd.org")</f>
        <v>25ciccaral1@egcsd.org</v>
      </c>
      <c r="C2669" s="4" t="str">
        <f ca="1">IFERROR(__xludf.DUMMYFUNCTION("""COMPUTED_VALUE"""),"EVERGREEN - UAN Gated Content - Embedded Petition")</f>
        <v>EVERGREEN - UAN Gated Content - Embedded Petition</v>
      </c>
      <c r="D2669" s="5">
        <f ca="1">IFERROR(__xludf.DUMMYFUNCTION("""COMPUTED_VALUE"""),45687)</f>
        <v>45687</v>
      </c>
    </row>
    <row r="2670" spans="1:4" ht="13" x14ac:dyDescent="0.15">
      <c r="A2670" s="4">
        <f ca="1">IFERROR(__xludf.DUMMYFUNCTION("""COMPUTED_VALUE"""),287843899)</f>
        <v>287843899</v>
      </c>
      <c r="B2670" s="1" t="str">
        <f ca="1">IFERROR(__xludf.DUMMYFUNCTION("""COMPUTED_VALUE"""),"jmdaubin@me.com")</f>
        <v>jmdaubin@me.com</v>
      </c>
      <c r="C2670" s="4" t="str">
        <f ca="1">IFERROR(__xludf.DUMMYFUNCTION("""COMPUTED_VALUE"""),"EVERGREEN - UAN Gated Content - Embedded Petition")</f>
        <v>EVERGREEN - UAN Gated Content - Embedded Petition</v>
      </c>
      <c r="D2670" s="5">
        <f ca="1">IFERROR(__xludf.DUMMYFUNCTION("""COMPUTED_VALUE"""),45687)</f>
        <v>45687</v>
      </c>
    </row>
    <row r="2671" spans="1:4" ht="13" x14ac:dyDescent="0.15">
      <c r="A2671" s="4">
        <f ca="1">IFERROR(__xludf.DUMMYFUNCTION("""COMPUTED_VALUE"""),287917298)</f>
        <v>287917298</v>
      </c>
      <c r="B2671" s="1" t="str">
        <f ca="1">IFERROR(__xludf.DUMMYFUNCTION("""COMPUTED_VALUE"""),"ronaldham477@gmail.com")</f>
        <v>ronaldham477@gmail.com</v>
      </c>
      <c r="C2671" s="4" t="str">
        <f ca="1">IFERROR(__xludf.DUMMYFUNCTION("""COMPUTED_VALUE"""),"EVERGREEN - UAN Gated Content - Embedded Petition")</f>
        <v>EVERGREEN - UAN Gated Content - Embedded Petition</v>
      </c>
      <c r="D2671" s="5">
        <f ca="1">IFERROR(__xludf.DUMMYFUNCTION("""COMPUTED_VALUE"""),45698)</f>
        <v>45698</v>
      </c>
    </row>
    <row r="2672" spans="1:4" ht="13" x14ac:dyDescent="0.15">
      <c r="A2672" s="4">
        <f ca="1">IFERROR(__xludf.DUMMYFUNCTION("""COMPUTED_VALUE"""),287921091)</f>
        <v>287921091</v>
      </c>
      <c r="B2672" s="1" t="str">
        <f ca="1">IFERROR(__xludf.DUMMYFUNCTION("""COMPUTED_VALUE"""),"lightning.blitz@hotmail.com")</f>
        <v>lightning.blitz@hotmail.com</v>
      </c>
      <c r="C2672" s="4" t="str">
        <f ca="1">IFERROR(__xludf.DUMMYFUNCTION("""COMPUTED_VALUE"""),"EVERGREEN - UAN Gated Content - Embedded Petition")</f>
        <v>EVERGREEN - UAN Gated Content - Embedded Petition</v>
      </c>
      <c r="D2672" s="5">
        <f ca="1">IFERROR(__xludf.DUMMYFUNCTION("""COMPUTED_VALUE"""),45688)</f>
        <v>45688</v>
      </c>
    </row>
    <row r="2673" spans="1:4" ht="13" x14ac:dyDescent="0.15">
      <c r="A2673" s="4">
        <f ca="1">IFERROR(__xludf.DUMMYFUNCTION("""COMPUTED_VALUE"""),287933586)</f>
        <v>287933586</v>
      </c>
      <c r="B2673" s="1" t="str">
        <f ca="1">IFERROR(__xludf.DUMMYFUNCTION("""COMPUTED_VALUE"""),"edgarphotographz104@gmail.com")</f>
        <v>edgarphotographz104@gmail.com</v>
      </c>
      <c r="C2673" s="4" t="str">
        <f ca="1">IFERROR(__xludf.DUMMYFUNCTION("""COMPUTED_VALUE"""),"EVERGREEN - UAN Gated Content - Embedded Petition")</f>
        <v>EVERGREEN - UAN Gated Content - Embedded Petition</v>
      </c>
      <c r="D2673" s="5">
        <f ca="1">IFERROR(__xludf.DUMMYFUNCTION("""COMPUTED_VALUE"""),45689)</f>
        <v>45689</v>
      </c>
    </row>
    <row r="2674" spans="1:4" ht="13" x14ac:dyDescent="0.15">
      <c r="A2674" s="4">
        <f ca="1">IFERROR(__xludf.DUMMYFUNCTION("""COMPUTED_VALUE"""),287934770)</f>
        <v>287934770</v>
      </c>
      <c r="B2674" s="1" t="str">
        <f ca="1">IFERROR(__xludf.DUMMYFUNCTION("""COMPUTED_VALUE"""),"greywolf14@duck.com")</f>
        <v>greywolf14@duck.com</v>
      </c>
      <c r="C2674" s="4" t="str">
        <f ca="1">IFERROR(__xludf.DUMMYFUNCTION("""COMPUTED_VALUE"""),"EVERGREEN - UAN Gated Content - Embedded Petition")</f>
        <v>EVERGREEN - UAN Gated Content - Embedded Petition</v>
      </c>
      <c r="D2674" s="5">
        <f ca="1">IFERROR(__xludf.DUMMYFUNCTION("""COMPUTED_VALUE"""),45689)</f>
        <v>45689</v>
      </c>
    </row>
    <row r="2675" spans="1:4" ht="13" x14ac:dyDescent="0.15">
      <c r="A2675" s="4">
        <f ca="1">IFERROR(__xludf.DUMMYFUNCTION("""COMPUTED_VALUE"""),287936075)</f>
        <v>287936075</v>
      </c>
      <c r="B2675" s="1" t="str">
        <f ca="1">IFERROR(__xludf.DUMMYFUNCTION("""COMPUTED_VALUE"""),"pedroacastllo446@gmail.com")</f>
        <v>pedroacastllo446@gmail.com</v>
      </c>
      <c r="C2675" s="4" t="str">
        <f ca="1">IFERROR(__xludf.DUMMYFUNCTION("""COMPUTED_VALUE"""),"EVERGREEN - UAN Gated Content - Embedded Petition")</f>
        <v>EVERGREEN - UAN Gated Content - Embedded Petition</v>
      </c>
      <c r="D2675" s="5">
        <f ca="1">IFERROR(__xludf.DUMMYFUNCTION("""COMPUTED_VALUE"""),45689)</f>
        <v>45689</v>
      </c>
    </row>
    <row r="2676" spans="1:4" ht="13" x14ac:dyDescent="0.15">
      <c r="A2676" s="4">
        <f ca="1">IFERROR(__xludf.DUMMYFUNCTION("""COMPUTED_VALUE"""),287948258)</f>
        <v>287948258</v>
      </c>
      <c r="B2676" s="1" t="str">
        <f ca="1">IFERROR(__xludf.DUMMYFUNCTION("""COMPUTED_VALUE"""),"russnriss@yahoo.com")</f>
        <v>russnriss@yahoo.com</v>
      </c>
      <c r="C2676" s="4" t="str">
        <f ca="1">IFERROR(__xludf.DUMMYFUNCTION("""COMPUTED_VALUE"""),"EVERGREEN - UAN Gated Content - Embedded Petition")</f>
        <v>EVERGREEN - UAN Gated Content - Embedded Petition</v>
      </c>
      <c r="D2676" s="5">
        <f ca="1">IFERROR(__xludf.DUMMYFUNCTION("""COMPUTED_VALUE"""),45694)</f>
        <v>45694</v>
      </c>
    </row>
    <row r="2677" spans="1:4" ht="13" x14ac:dyDescent="0.15">
      <c r="A2677" s="4">
        <f ca="1">IFERROR(__xludf.DUMMYFUNCTION("""COMPUTED_VALUE"""),287949657)</f>
        <v>287949657</v>
      </c>
      <c r="B2677" s="1" t="str">
        <f ca="1">IFERROR(__xludf.DUMMYFUNCTION("""COMPUTED_VALUE"""),"dolce.perez@yahoo.com")</f>
        <v>dolce.perez@yahoo.com</v>
      </c>
      <c r="C2677" s="4" t="str">
        <f ca="1">IFERROR(__xludf.DUMMYFUNCTION("""COMPUTED_VALUE"""),"EVERGREEN - UAN Gated Content - Embedded Petition")</f>
        <v>EVERGREEN - UAN Gated Content - Embedded Petition</v>
      </c>
      <c r="D2677" s="5">
        <f ca="1">IFERROR(__xludf.DUMMYFUNCTION("""COMPUTED_VALUE"""),45692)</f>
        <v>45692</v>
      </c>
    </row>
    <row r="2678" spans="1:4" ht="13" x14ac:dyDescent="0.15">
      <c r="A2678" s="4">
        <f ca="1">IFERROR(__xludf.DUMMYFUNCTION("""COMPUTED_VALUE"""),287958036)</f>
        <v>287958036</v>
      </c>
      <c r="B2678" s="1" t="str">
        <f ca="1">IFERROR(__xludf.DUMMYFUNCTION("""COMPUTED_VALUE"""),"carrie@lasmanis.com")</f>
        <v>carrie@lasmanis.com</v>
      </c>
      <c r="C2678" s="4" t="str">
        <f ca="1">IFERROR(__xludf.DUMMYFUNCTION("""COMPUTED_VALUE"""),"EVERGREEN - UAN Gated Content - Embedded Petition")</f>
        <v>EVERGREEN - UAN Gated Content - Embedded Petition</v>
      </c>
      <c r="D2678" s="5">
        <f ca="1">IFERROR(__xludf.DUMMYFUNCTION("""COMPUTED_VALUE"""),45690)</f>
        <v>45690</v>
      </c>
    </row>
    <row r="2679" spans="1:4" ht="13" x14ac:dyDescent="0.15">
      <c r="A2679" s="4">
        <f ca="1">IFERROR(__xludf.DUMMYFUNCTION("""COMPUTED_VALUE"""),287959593)</f>
        <v>287959593</v>
      </c>
      <c r="B2679" s="1" t="str">
        <f ca="1">IFERROR(__xludf.DUMMYFUNCTION("""COMPUTED_VALUE"""),"namishintl2@gmail.com")</f>
        <v>namishintl2@gmail.com</v>
      </c>
      <c r="C2679" s="4" t="str">
        <f ca="1">IFERROR(__xludf.DUMMYFUNCTION("""COMPUTED_VALUE"""),"EVERGREEN - Website Email Capture Form - UAN Pre-Footer")</f>
        <v>EVERGREEN - Website Email Capture Form - UAN Pre-Footer</v>
      </c>
      <c r="D2679" s="5">
        <f ca="1">IFERROR(__xludf.DUMMYFUNCTION("""COMPUTED_VALUE"""),45690)</f>
        <v>45690</v>
      </c>
    </row>
    <row r="2680" spans="1:4" ht="13" x14ac:dyDescent="0.15">
      <c r="A2680" s="4">
        <f ca="1">IFERROR(__xludf.DUMMYFUNCTION("""COMPUTED_VALUE"""),287987038)</f>
        <v>287987038</v>
      </c>
      <c r="B2680" s="1" t="str">
        <f ca="1">IFERROR(__xludf.DUMMYFUNCTION("""COMPUTED_VALUE"""),"pennyanddordy@gmail.com")</f>
        <v>pennyanddordy@gmail.com</v>
      </c>
      <c r="C2680" s="4" t="str">
        <f ca="1">IFERROR(__xludf.DUMMYFUNCTION("""COMPUTED_VALUE"""),"EVERGREEN - UAN Gated Content - Embedded Petition")</f>
        <v>EVERGREEN - UAN Gated Content - Embedded Petition</v>
      </c>
      <c r="D2680" s="5">
        <f ca="1">IFERROR(__xludf.DUMMYFUNCTION("""COMPUTED_VALUE"""),45691)</f>
        <v>45691</v>
      </c>
    </row>
    <row r="2681" spans="1:4" ht="13" x14ac:dyDescent="0.15">
      <c r="A2681" s="4">
        <f ca="1">IFERROR(__xludf.DUMMYFUNCTION("""COMPUTED_VALUE"""),288001521)</f>
        <v>288001521</v>
      </c>
      <c r="B2681" s="1" t="str">
        <f ca="1">IFERROR(__xludf.DUMMYFUNCTION("""COMPUTED_VALUE"""),"ktbigsky@yahoo.com")</f>
        <v>ktbigsky@yahoo.com</v>
      </c>
      <c r="C2681" s="4" t="str">
        <f ca="1">IFERROR(__xludf.DUMMYFUNCTION("""COMPUTED_VALUE"""),"EVERGREEN - UAN Gated Content - Embedded Petition")</f>
        <v>EVERGREEN - UAN Gated Content - Embedded Petition</v>
      </c>
      <c r="D2681" s="5">
        <f ca="1">IFERROR(__xludf.DUMMYFUNCTION("""COMPUTED_VALUE"""),45692)</f>
        <v>45692</v>
      </c>
    </row>
    <row r="2682" spans="1:4" ht="13" x14ac:dyDescent="0.15">
      <c r="A2682" s="4">
        <f ca="1">IFERROR(__xludf.DUMMYFUNCTION("""COMPUTED_VALUE"""),288005801)</f>
        <v>288005801</v>
      </c>
      <c r="B2682" s="1" t="str">
        <f ca="1">IFERROR(__xludf.DUMMYFUNCTION("""COMPUTED_VALUE"""),"clnnewton@hotmail.com")</f>
        <v>clnnewton@hotmail.com</v>
      </c>
      <c r="C2682" s="4" t="str">
        <f ca="1">IFERROR(__xludf.DUMMYFUNCTION("""COMPUTED_VALUE"""),"EVERGREEN - UAN Gated Content - Embedded Petition")</f>
        <v>EVERGREEN - UAN Gated Content - Embedded Petition</v>
      </c>
      <c r="D2682" s="5">
        <f ca="1">IFERROR(__xludf.DUMMYFUNCTION("""COMPUTED_VALUE"""),45692)</f>
        <v>45692</v>
      </c>
    </row>
    <row r="2683" spans="1:4" ht="13" x14ac:dyDescent="0.15">
      <c r="A2683" s="4">
        <f ca="1">IFERROR(__xludf.DUMMYFUNCTION("""COMPUTED_VALUE"""),288012983)</f>
        <v>288012983</v>
      </c>
      <c r="B2683" s="1" t="str">
        <f ca="1">IFERROR(__xludf.DUMMYFUNCTION("""COMPUTED_VALUE"""),"karen.allred@gmail.com")</f>
        <v>karen.allred@gmail.com</v>
      </c>
      <c r="C2683" s="4" t="str">
        <f ca="1">IFERROR(__xludf.DUMMYFUNCTION("""COMPUTED_VALUE"""),"EVERGREEN - UAN Gated Content - Embedded Petition")</f>
        <v>EVERGREEN - UAN Gated Content - Embedded Petition</v>
      </c>
      <c r="D2683" s="5">
        <f ca="1">IFERROR(__xludf.DUMMYFUNCTION("""COMPUTED_VALUE"""),45692)</f>
        <v>45692</v>
      </c>
    </row>
    <row r="2684" spans="1:4" ht="13" x14ac:dyDescent="0.15">
      <c r="A2684" s="4">
        <f ca="1">IFERROR(__xludf.DUMMYFUNCTION("""COMPUTED_VALUE"""),288018266)</f>
        <v>288018266</v>
      </c>
      <c r="B2684" s="1" t="str">
        <f ca="1">IFERROR(__xludf.DUMMYFUNCTION("""COMPUTED_VALUE"""),"vdmayan@gmail.com")</f>
        <v>vdmayan@gmail.com</v>
      </c>
      <c r="C2684" s="4" t="str">
        <f ca="1">IFERROR(__xludf.DUMMYFUNCTION("""COMPUTED_VALUE"""),"EVERGREEN - UAN Gated Content - Embedded Petition")</f>
        <v>EVERGREEN - UAN Gated Content - Embedded Petition</v>
      </c>
      <c r="D2684" s="5">
        <f ca="1">IFERROR(__xludf.DUMMYFUNCTION("""COMPUTED_VALUE"""),45701)</f>
        <v>45701</v>
      </c>
    </row>
    <row r="2685" spans="1:4" ht="13" x14ac:dyDescent="0.15">
      <c r="A2685" s="4">
        <f ca="1">IFERROR(__xludf.DUMMYFUNCTION("""COMPUTED_VALUE"""),288018266)</f>
        <v>288018266</v>
      </c>
      <c r="B2685" s="1" t="str">
        <f ca="1">IFERROR(__xludf.DUMMYFUNCTION("""COMPUTED_VALUE"""),"vdmayan@gmail.com")</f>
        <v>vdmayan@gmail.com</v>
      </c>
      <c r="C2685" s="4" t="str">
        <f ca="1">IFERROR(__xludf.DUMMYFUNCTION("""COMPUTED_VALUE"""),"EVERGREEN - UAN Gated Content - Embedded Petition")</f>
        <v>EVERGREEN - UAN Gated Content - Embedded Petition</v>
      </c>
      <c r="D2685" s="5">
        <f ca="1">IFERROR(__xludf.DUMMYFUNCTION("""COMPUTED_VALUE"""),45693)</f>
        <v>45693</v>
      </c>
    </row>
    <row r="2686" spans="1:4" ht="13" x14ac:dyDescent="0.15">
      <c r="A2686" s="4">
        <f ca="1">IFERROR(__xludf.DUMMYFUNCTION("""COMPUTED_VALUE"""),288032964)</f>
        <v>288032964</v>
      </c>
      <c r="B2686" s="1" t="str">
        <f ca="1">IFERROR(__xludf.DUMMYFUNCTION("""COMPUTED_VALUE"""),"alynn15@4j.lane.edu")</f>
        <v>alynn15@4j.lane.edu</v>
      </c>
      <c r="C2686" s="4" t="str">
        <f ca="1">IFERROR(__xludf.DUMMYFUNCTION("""COMPUTED_VALUE"""),"EVERGREEN - UAN Gated Content - Embedded Petition")</f>
        <v>EVERGREEN - UAN Gated Content - Embedded Petition</v>
      </c>
      <c r="D2686" s="5">
        <f ca="1">IFERROR(__xludf.DUMMYFUNCTION("""COMPUTED_VALUE"""),45693)</f>
        <v>45693</v>
      </c>
    </row>
    <row r="2687" spans="1:4" ht="13" x14ac:dyDescent="0.15">
      <c r="A2687" s="4">
        <f ca="1">IFERROR(__xludf.DUMMYFUNCTION("""COMPUTED_VALUE"""),288034018)</f>
        <v>288034018</v>
      </c>
      <c r="B2687" s="1" t="str">
        <f ca="1">IFERROR(__xludf.DUMMYFUNCTION("""COMPUTED_VALUE"""),"mzemper27@gmal.com")</f>
        <v>mzemper27@gmal.com</v>
      </c>
      <c r="C2687" s="4" t="str">
        <f ca="1">IFERROR(__xludf.DUMMYFUNCTION("""COMPUTED_VALUE"""),"EVERGREEN - UAN Gated Content - Embedded Petition")</f>
        <v>EVERGREEN - UAN Gated Content - Embedded Petition</v>
      </c>
      <c r="D2687" s="5">
        <f ca="1">IFERROR(__xludf.DUMMYFUNCTION("""COMPUTED_VALUE"""),45693)</f>
        <v>45693</v>
      </c>
    </row>
    <row r="2688" spans="1:4" ht="13" x14ac:dyDescent="0.15">
      <c r="A2688" s="4">
        <f ca="1">IFERROR(__xludf.DUMMYFUNCTION("""COMPUTED_VALUE"""),288035498)</f>
        <v>288035498</v>
      </c>
      <c r="B2688" s="1" t="str">
        <f ca="1">IFERROR(__xludf.DUMMYFUNCTION("""COMPUTED_VALUE"""),"heathermcveigh7@gmail.com")</f>
        <v>heathermcveigh7@gmail.com</v>
      </c>
      <c r="C2688" s="4" t="str">
        <f ca="1">IFERROR(__xludf.DUMMYFUNCTION("""COMPUTED_VALUE"""),"EVERGREEN - UAN Gated Content - Embedded Petition")</f>
        <v>EVERGREEN - UAN Gated Content - Embedded Petition</v>
      </c>
      <c r="D2688" s="5">
        <f ca="1">IFERROR(__xludf.DUMMYFUNCTION("""COMPUTED_VALUE"""),45693)</f>
        <v>45693</v>
      </c>
    </row>
    <row r="2689" spans="1:4" ht="13" x14ac:dyDescent="0.15">
      <c r="A2689" s="4">
        <f ca="1">IFERROR(__xludf.DUMMYFUNCTION("""COMPUTED_VALUE"""),288052398)</f>
        <v>288052398</v>
      </c>
      <c r="B2689" s="1" t="str">
        <f ca="1">IFERROR(__xludf.DUMMYFUNCTION("""COMPUTED_VALUE"""),"kevinmac2@gmail.vom")</f>
        <v>kevinmac2@gmail.vom</v>
      </c>
      <c r="C2689" s="4" t="str">
        <f ca="1">IFERROR(__xludf.DUMMYFUNCTION("""COMPUTED_VALUE"""),"EVERGREEN - UAN Gated Content - Embedded Petition")</f>
        <v>EVERGREEN - UAN Gated Content - Embedded Petition</v>
      </c>
      <c r="D2689" s="5">
        <f ca="1">IFERROR(__xludf.DUMMYFUNCTION("""COMPUTED_VALUE"""),45694)</f>
        <v>45694</v>
      </c>
    </row>
    <row r="2690" spans="1:4" ht="13" x14ac:dyDescent="0.15">
      <c r="A2690" s="4">
        <f ca="1">IFERROR(__xludf.DUMMYFUNCTION("""COMPUTED_VALUE"""),288053737)</f>
        <v>288053737</v>
      </c>
      <c r="B2690" s="1" t="str">
        <f ca="1">IFERROR(__xludf.DUMMYFUNCTION("""COMPUTED_VALUE"""),"gvpachomes@gmail.com")</f>
        <v>gvpachomes@gmail.com</v>
      </c>
      <c r="C2690" s="4" t="str">
        <f ca="1">IFERROR(__xludf.DUMMYFUNCTION("""COMPUTED_VALUE"""),"EVERGREEN - UAN Gated Content - Embedded Petition")</f>
        <v>EVERGREEN - UAN Gated Content - Embedded Petition</v>
      </c>
      <c r="D2690" s="5">
        <f ca="1">IFERROR(__xludf.DUMMYFUNCTION("""COMPUTED_VALUE"""),45694)</f>
        <v>45694</v>
      </c>
    </row>
    <row r="2691" spans="1:4" ht="13" x14ac:dyDescent="0.15">
      <c r="A2691" s="4">
        <f ca="1">IFERROR(__xludf.DUMMYFUNCTION("""COMPUTED_VALUE"""),288053839)</f>
        <v>288053839</v>
      </c>
      <c r="B2691" s="1" t="str">
        <f ca="1">IFERROR(__xludf.DUMMYFUNCTION("""COMPUTED_VALUE"""),"galethecook@gmail.com")</f>
        <v>galethecook@gmail.com</v>
      </c>
      <c r="C2691" s="4" t="str">
        <f ca="1">IFERROR(__xludf.DUMMYFUNCTION("""COMPUTED_VALUE"""),"EVERGREEN - UAN Gated Content - Embedded Petition")</f>
        <v>EVERGREEN - UAN Gated Content - Embedded Petition</v>
      </c>
      <c r="D2691" s="5">
        <f ca="1">IFERROR(__xludf.DUMMYFUNCTION("""COMPUTED_VALUE"""),45694)</f>
        <v>45694</v>
      </c>
    </row>
    <row r="2692" spans="1:4" ht="13" x14ac:dyDescent="0.15">
      <c r="A2692" s="4">
        <f ca="1">IFERROR(__xludf.DUMMYFUNCTION("""COMPUTED_VALUE"""),288054315)</f>
        <v>288054315</v>
      </c>
      <c r="B2692" s="1" t="str">
        <f ca="1">IFERROR(__xludf.DUMMYFUNCTION("""COMPUTED_VALUE"""),"marsha@brofkaberends.com")</f>
        <v>marsha@brofkaberends.com</v>
      </c>
      <c r="C2692" s="4" t="str">
        <f ca="1">IFERROR(__xludf.DUMMYFUNCTION("""COMPUTED_VALUE"""),"EVERGREEN - UAN Gated Content - Embedded Petition")</f>
        <v>EVERGREEN - UAN Gated Content - Embedded Petition</v>
      </c>
      <c r="D2692" s="5">
        <f ca="1">IFERROR(__xludf.DUMMYFUNCTION("""COMPUTED_VALUE"""),45694)</f>
        <v>45694</v>
      </c>
    </row>
    <row r="2693" spans="1:4" ht="13" x14ac:dyDescent="0.15">
      <c r="A2693" s="4">
        <f ca="1">IFERROR(__xludf.DUMMYFUNCTION("""COMPUTED_VALUE"""),288054608)</f>
        <v>288054608</v>
      </c>
      <c r="B2693" s="1" t="str">
        <f ca="1">IFERROR(__xludf.DUMMYFUNCTION("""COMPUTED_VALUE"""),"repairs.winder.9i@icloud.com")</f>
        <v>repairs.winder.9i@icloud.com</v>
      </c>
      <c r="C2693" s="4" t="str">
        <f ca="1">IFERROR(__xludf.DUMMYFUNCTION("""COMPUTED_VALUE"""),"EVERGREEN - UAN Gated Content - Embedded Petition")</f>
        <v>EVERGREEN - UAN Gated Content - Embedded Petition</v>
      </c>
      <c r="D2693" s="5">
        <f ca="1">IFERROR(__xludf.DUMMYFUNCTION("""COMPUTED_VALUE"""),45694)</f>
        <v>45694</v>
      </c>
    </row>
    <row r="2694" spans="1:4" ht="13" x14ac:dyDescent="0.15">
      <c r="A2694" s="4">
        <f ca="1">IFERROR(__xludf.DUMMYFUNCTION("""COMPUTED_VALUE"""),288055481)</f>
        <v>288055481</v>
      </c>
      <c r="B2694" s="1" t="str">
        <f ca="1">IFERROR(__xludf.DUMMYFUNCTION("""COMPUTED_VALUE"""),"adbowesxdmd@gmail.com")</f>
        <v>adbowesxdmd@gmail.com</v>
      </c>
      <c r="C2694" s="4" t="str">
        <f ca="1">IFERROR(__xludf.DUMMYFUNCTION("""COMPUTED_VALUE"""),"EVERGREEN - UAN Gated Content - Embedded Petition")</f>
        <v>EVERGREEN - UAN Gated Content - Embedded Petition</v>
      </c>
      <c r="D2694" s="5">
        <f ca="1">IFERROR(__xludf.DUMMYFUNCTION("""COMPUTED_VALUE"""),45694)</f>
        <v>45694</v>
      </c>
    </row>
    <row r="2695" spans="1:4" ht="13" x14ac:dyDescent="0.15">
      <c r="A2695" s="4">
        <f ca="1">IFERROR(__xludf.DUMMYFUNCTION("""COMPUTED_VALUE"""),288055632)</f>
        <v>288055632</v>
      </c>
      <c r="B2695" s="1" t="str">
        <f ca="1">IFERROR(__xludf.DUMMYFUNCTION("""COMPUTED_VALUE"""),"stellasingsloud@gmail.com")</f>
        <v>stellasingsloud@gmail.com</v>
      </c>
      <c r="C2695" s="4" t="str">
        <f ca="1">IFERROR(__xludf.DUMMYFUNCTION("""COMPUTED_VALUE"""),"EVERGREEN - UAN Gated Content - Embedded Petition")</f>
        <v>EVERGREEN - UAN Gated Content - Embedded Petition</v>
      </c>
      <c r="D2695" s="5">
        <f ca="1">IFERROR(__xludf.DUMMYFUNCTION("""COMPUTED_VALUE"""),45694)</f>
        <v>45694</v>
      </c>
    </row>
    <row r="2696" spans="1:4" ht="13" x14ac:dyDescent="0.15">
      <c r="A2696" s="4">
        <f ca="1">IFERROR(__xludf.DUMMYFUNCTION("""COMPUTED_VALUE"""),288055919)</f>
        <v>288055919</v>
      </c>
      <c r="B2696" s="1" t="str">
        <f ca="1">IFERROR(__xludf.DUMMYFUNCTION("""COMPUTED_VALUE"""),"theresa.knopf.morgan@gmail.com")</f>
        <v>theresa.knopf.morgan@gmail.com</v>
      </c>
      <c r="C2696" s="4" t="str">
        <f ca="1">IFERROR(__xludf.DUMMYFUNCTION("""COMPUTED_VALUE"""),"EVERGREEN - UAN Gated Content - Embedded Petition")</f>
        <v>EVERGREEN - UAN Gated Content - Embedded Petition</v>
      </c>
      <c r="D2696" s="5">
        <f ca="1">IFERROR(__xludf.DUMMYFUNCTION("""COMPUTED_VALUE"""),45694)</f>
        <v>45694</v>
      </c>
    </row>
    <row r="2697" spans="1:4" ht="13" x14ac:dyDescent="0.15">
      <c r="A2697" s="4">
        <f ca="1">IFERROR(__xludf.DUMMYFUNCTION("""COMPUTED_VALUE"""),288058055)</f>
        <v>288058055</v>
      </c>
      <c r="B2697" s="1" t="str">
        <f ca="1">IFERROR(__xludf.DUMMYFUNCTION("""COMPUTED_VALUE"""),"socialjusticeadvocate@verizon.net")</f>
        <v>socialjusticeadvocate@verizon.net</v>
      </c>
      <c r="C2697" s="4" t="str">
        <f ca="1">IFERROR(__xludf.DUMMYFUNCTION("""COMPUTED_VALUE"""),"EVERGREEN - UAN Gated Content - Embedded Petition")</f>
        <v>EVERGREEN - UAN Gated Content - Embedded Petition</v>
      </c>
      <c r="D2697" s="5">
        <f ca="1">IFERROR(__xludf.DUMMYFUNCTION("""COMPUTED_VALUE"""),45694)</f>
        <v>45694</v>
      </c>
    </row>
    <row r="2698" spans="1:4" ht="13" x14ac:dyDescent="0.15">
      <c r="A2698" s="4">
        <f ca="1">IFERROR(__xludf.DUMMYFUNCTION("""COMPUTED_VALUE"""),288058947)</f>
        <v>288058947</v>
      </c>
      <c r="B2698" s="1" t="str">
        <f ca="1">IFERROR(__xludf.DUMMYFUNCTION("""COMPUTED_VALUE"""),"daniellelanden@arizona.edu")</f>
        <v>daniellelanden@arizona.edu</v>
      </c>
      <c r="C2698" s="4" t="str">
        <f ca="1">IFERROR(__xludf.DUMMYFUNCTION("""COMPUTED_VALUE"""),"UAN mid-page Lightbox - Step 1 of 4 - Landing Page")</f>
        <v>UAN mid-page Lightbox - Step 1 of 4 - Landing Page</v>
      </c>
      <c r="D2698" s="5">
        <f ca="1">IFERROR(__xludf.DUMMYFUNCTION("""COMPUTED_VALUE"""),45694)</f>
        <v>45694</v>
      </c>
    </row>
    <row r="2699" spans="1:4" ht="13" x14ac:dyDescent="0.15">
      <c r="A2699" s="4">
        <f ca="1">IFERROR(__xludf.DUMMYFUNCTION("""COMPUTED_VALUE"""),288061591)</f>
        <v>288061591</v>
      </c>
      <c r="B2699" s="1" t="str">
        <f ca="1">IFERROR(__xludf.DUMMYFUNCTION("""COMPUTED_VALUE"""),"shastalassen@gmail.com")</f>
        <v>shastalassen@gmail.com</v>
      </c>
      <c r="C2699" s="4" t="str">
        <f ca="1">IFERROR(__xludf.DUMMYFUNCTION("""COMPUTED_VALUE"""),"EVERGREEN - UAN Gated Content - Embedded Petition")</f>
        <v>EVERGREEN - UAN Gated Content - Embedded Petition</v>
      </c>
      <c r="D2699" s="5">
        <f ca="1">IFERROR(__xludf.DUMMYFUNCTION("""COMPUTED_VALUE"""),45694)</f>
        <v>45694</v>
      </c>
    </row>
    <row r="2700" spans="1:4" ht="13" x14ac:dyDescent="0.15">
      <c r="A2700" s="4">
        <f ca="1">IFERROR(__xludf.DUMMYFUNCTION("""COMPUTED_VALUE"""),288062179)</f>
        <v>288062179</v>
      </c>
      <c r="B2700" s="1" t="str">
        <f ca="1">IFERROR(__xludf.DUMMYFUNCTION("""COMPUTED_VALUE"""),"rbraslau@chemistry.ucsc.edu")</f>
        <v>rbraslau@chemistry.ucsc.edu</v>
      </c>
      <c r="C2700" s="4" t="str">
        <f ca="1">IFERROR(__xludf.DUMMYFUNCTION("""COMPUTED_VALUE"""),"EVERGREEN - UAN Gated Content - Embedded Petition")</f>
        <v>EVERGREEN - UAN Gated Content - Embedded Petition</v>
      </c>
      <c r="D2700" s="5">
        <f ca="1">IFERROR(__xludf.DUMMYFUNCTION("""COMPUTED_VALUE"""),45694)</f>
        <v>45694</v>
      </c>
    </row>
    <row r="2701" spans="1:4" ht="13" x14ac:dyDescent="0.15">
      <c r="A2701" s="4">
        <f ca="1">IFERROR(__xludf.DUMMYFUNCTION("""COMPUTED_VALUE"""),288062455)</f>
        <v>288062455</v>
      </c>
      <c r="B2701" s="1" t="str">
        <f ca="1">IFERROR(__xludf.DUMMYFUNCTION("""COMPUTED_VALUE"""),"edgren59@gmail.com")</f>
        <v>edgren59@gmail.com</v>
      </c>
      <c r="C2701" s="4" t="str">
        <f ca="1">IFERROR(__xludf.DUMMYFUNCTION("""COMPUTED_VALUE"""),"EVERGREEN - UAN Gated Content - Embedded Petition")</f>
        <v>EVERGREEN - UAN Gated Content - Embedded Petition</v>
      </c>
      <c r="D2701" s="5">
        <f ca="1">IFERROR(__xludf.DUMMYFUNCTION("""COMPUTED_VALUE"""),45694)</f>
        <v>45694</v>
      </c>
    </row>
    <row r="2702" spans="1:4" ht="13" x14ac:dyDescent="0.15">
      <c r="A2702" s="4">
        <f ca="1">IFERROR(__xludf.DUMMYFUNCTION("""COMPUTED_VALUE"""),288064905)</f>
        <v>288064905</v>
      </c>
      <c r="B2702" s="1" t="str">
        <f ca="1">IFERROR(__xludf.DUMMYFUNCTION("""COMPUTED_VALUE"""),"koellhofferc@sistersofihm.org")</f>
        <v>koellhofferc@sistersofihm.org</v>
      </c>
      <c r="C2702" s="4" t="str">
        <f ca="1">IFERROR(__xludf.DUMMYFUNCTION("""COMPUTED_VALUE"""),"EVERGREEN - UAN Gated Content - Embedded Petition")</f>
        <v>EVERGREEN - UAN Gated Content - Embedded Petition</v>
      </c>
      <c r="D2702" s="5">
        <f ca="1">IFERROR(__xludf.DUMMYFUNCTION("""COMPUTED_VALUE"""),45694)</f>
        <v>45694</v>
      </c>
    </row>
    <row r="2703" spans="1:4" ht="13" x14ac:dyDescent="0.15">
      <c r="A2703" s="4">
        <f ca="1">IFERROR(__xludf.DUMMYFUNCTION("""COMPUTED_VALUE"""),288065568)</f>
        <v>288065568</v>
      </c>
      <c r="B2703" s="1" t="str">
        <f ca="1">IFERROR(__xludf.DUMMYFUNCTION("""COMPUTED_VALUE"""),"christina2108@yahoo.com")</f>
        <v>christina2108@yahoo.com</v>
      </c>
      <c r="C2703" s="4" t="str">
        <f ca="1">IFERROR(__xludf.DUMMYFUNCTION("""COMPUTED_VALUE"""),"EVERGREEN - UAN Gated Content - Embedded Petition")</f>
        <v>EVERGREEN - UAN Gated Content - Embedded Petition</v>
      </c>
      <c r="D2703" s="5">
        <f ca="1">IFERROR(__xludf.DUMMYFUNCTION("""COMPUTED_VALUE"""),45694)</f>
        <v>45694</v>
      </c>
    </row>
    <row r="2704" spans="1:4" ht="13" x14ac:dyDescent="0.15">
      <c r="A2704" s="4">
        <f ca="1">IFERROR(__xludf.DUMMYFUNCTION("""COMPUTED_VALUE"""),288073094)</f>
        <v>288073094</v>
      </c>
      <c r="B2704" s="1" t="str">
        <f ca="1">IFERROR(__xludf.DUMMYFUNCTION("""COMPUTED_VALUE"""),"victoriaroan+action@gmail.com")</f>
        <v>victoriaroan+action@gmail.com</v>
      </c>
      <c r="C2704" s="4" t="str">
        <f ca="1">IFERROR(__xludf.DUMMYFUNCTION("""COMPUTED_VALUE"""),"EVERGREEN - UAN Gated Content - Embedded Petition")</f>
        <v>EVERGREEN - UAN Gated Content - Embedded Petition</v>
      </c>
      <c r="D2704" s="5">
        <f ca="1">IFERROR(__xludf.DUMMYFUNCTION("""COMPUTED_VALUE"""),45695)</f>
        <v>45695</v>
      </c>
    </row>
    <row r="2705" spans="1:4" ht="13" x14ac:dyDescent="0.15">
      <c r="A2705" s="4">
        <f ca="1">IFERROR(__xludf.DUMMYFUNCTION("""COMPUTED_VALUE"""),288076762)</f>
        <v>288076762</v>
      </c>
      <c r="B2705" s="1" t="str">
        <f ca="1">IFERROR(__xludf.DUMMYFUNCTION("""COMPUTED_VALUE"""),"ellingsenjasmine@gmail.com")</f>
        <v>ellingsenjasmine@gmail.com</v>
      </c>
      <c r="C2705" s="4" t="str">
        <f ca="1">IFERROR(__xludf.DUMMYFUNCTION("""COMPUTED_VALUE"""),"EVERGREEN - UAN Gated Content - Embedded Petition")</f>
        <v>EVERGREEN - UAN Gated Content - Embedded Petition</v>
      </c>
      <c r="D2705" s="5">
        <f ca="1">IFERROR(__xludf.DUMMYFUNCTION("""COMPUTED_VALUE"""),45695)</f>
        <v>45695</v>
      </c>
    </row>
    <row r="2706" spans="1:4" ht="13" x14ac:dyDescent="0.15">
      <c r="A2706" s="4">
        <f ca="1">IFERROR(__xludf.DUMMYFUNCTION("""COMPUTED_VALUE"""),288076762)</f>
        <v>288076762</v>
      </c>
      <c r="B2706" s="1" t="str">
        <f ca="1">IFERROR(__xludf.DUMMYFUNCTION("""COMPUTED_VALUE"""),"ellingsenjasmine@gmail.com")</f>
        <v>ellingsenjasmine@gmail.com</v>
      </c>
      <c r="C2706" s="4" t="str">
        <f ca="1">IFERROR(__xludf.DUMMYFUNCTION("""COMPUTED_VALUE"""),"EVERGREEN - UAN Gated Content - Embedded Petition")</f>
        <v>EVERGREEN - UAN Gated Content - Embedded Petition</v>
      </c>
      <c r="D2706" s="5">
        <f ca="1">IFERROR(__xludf.DUMMYFUNCTION("""COMPUTED_VALUE"""),45695)</f>
        <v>45695</v>
      </c>
    </row>
    <row r="2707" spans="1:4" ht="13" x14ac:dyDescent="0.15">
      <c r="A2707" s="4">
        <f ca="1">IFERROR(__xludf.DUMMYFUNCTION("""COMPUTED_VALUE"""),288076771)</f>
        <v>288076771</v>
      </c>
      <c r="B2707" s="1" t="str">
        <f ca="1">IFERROR(__xludf.DUMMYFUNCTION("""COMPUTED_VALUE"""),"tanvi.kamana@gmail.com")</f>
        <v>tanvi.kamana@gmail.com</v>
      </c>
      <c r="C2707" s="4" t="str">
        <f ca="1">IFERROR(__xludf.DUMMYFUNCTION("""COMPUTED_VALUE"""),"EVERGREEN - UAN Gated Content - Embedded Petition")</f>
        <v>EVERGREEN - UAN Gated Content - Embedded Petition</v>
      </c>
      <c r="D2707" s="5">
        <f ca="1">IFERROR(__xludf.DUMMYFUNCTION("""COMPUTED_VALUE"""),45695)</f>
        <v>45695</v>
      </c>
    </row>
    <row r="2708" spans="1:4" ht="13" x14ac:dyDescent="0.15">
      <c r="A2708" s="4">
        <f ca="1">IFERROR(__xludf.DUMMYFUNCTION("""COMPUTED_VALUE"""),288076771)</f>
        <v>288076771</v>
      </c>
      <c r="B2708" s="1" t="str">
        <f ca="1">IFERROR(__xludf.DUMMYFUNCTION("""COMPUTED_VALUE"""),"tanvi.kamana@gmail.com")</f>
        <v>tanvi.kamana@gmail.com</v>
      </c>
      <c r="C2708" s="4" t="str">
        <f ca="1">IFERROR(__xludf.DUMMYFUNCTION("""COMPUTED_VALUE"""),"EVERGREEN - UAN Gated Content - Embedded Petition")</f>
        <v>EVERGREEN - UAN Gated Content - Embedded Petition</v>
      </c>
      <c r="D2708" s="5">
        <f ca="1">IFERROR(__xludf.DUMMYFUNCTION("""COMPUTED_VALUE"""),45695)</f>
        <v>45695</v>
      </c>
    </row>
    <row r="2709" spans="1:4" ht="13" x14ac:dyDescent="0.15">
      <c r="A2709" s="4">
        <f ca="1">IFERROR(__xludf.DUMMYFUNCTION("""COMPUTED_VALUE"""),288076772)</f>
        <v>288076772</v>
      </c>
      <c r="B2709" s="1" t="str">
        <f ca="1">IFERROR(__xludf.DUMMYFUNCTION("""COMPUTED_VALUE"""),"aneshah09@gmail.com")</f>
        <v>aneshah09@gmail.com</v>
      </c>
      <c r="C2709" s="4" t="str">
        <f ca="1">IFERROR(__xludf.DUMMYFUNCTION("""COMPUTED_VALUE"""),"EVERGREEN - UAN Gated Content - Embedded Petition")</f>
        <v>EVERGREEN - UAN Gated Content - Embedded Petition</v>
      </c>
      <c r="D2709" s="5">
        <f ca="1">IFERROR(__xludf.DUMMYFUNCTION("""COMPUTED_VALUE"""),45695)</f>
        <v>45695</v>
      </c>
    </row>
    <row r="2710" spans="1:4" ht="13" x14ac:dyDescent="0.15">
      <c r="A2710" s="4">
        <f ca="1">IFERROR(__xludf.DUMMYFUNCTION("""COMPUTED_VALUE"""),288076772)</f>
        <v>288076772</v>
      </c>
      <c r="B2710" s="1" t="str">
        <f ca="1">IFERROR(__xludf.DUMMYFUNCTION("""COMPUTED_VALUE"""),"aneshah09@gmail.com")</f>
        <v>aneshah09@gmail.com</v>
      </c>
      <c r="C2710" s="4" t="str">
        <f ca="1">IFERROR(__xludf.DUMMYFUNCTION("""COMPUTED_VALUE"""),"EVERGREEN - UAN Gated Content - Embedded Petition")</f>
        <v>EVERGREEN - UAN Gated Content - Embedded Petition</v>
      </c>
      <c r="D2710" s="5">
        <f ca="1">IFERROR(__xludf.DUMMYFUNCTION("""COMPUTED_VALUE"""),45695)</f>
        <v>45695</v>
      </c>
    </row>
    <row r="2711" spans="1:4" ht="13" x14ac:dyDescent="0.15">
      <c r="A2711" s="4">
        <f ca="1">IFERROR(__xludf.DUMMYFUNCTION("""COMPUTED_VALUE"""),288076801)</f>
        <v>288076801</v>
      </c>
      <c r="B2711" s="1" t="str">
        <f ca="1">IFERROR(__xludf.DUMMYFUNCTION("""COMPUTED_VALUE"""),"asullivan01@student.dasd.org")</f>
        <v>asullivan01@student.dasd.org</v>
      </c>
      <c r="C2711" s="4" t="str">
        <f ca="1">IFERROR(__xludf.DUMMYFUNCTION("""COMPUTED_VALUE"""),"EVERGREEN - UAN Gated Content - Embedded Petition")</f>
        <v>EVERGREEN - UAN Gated Content - Embedded Petition</v>
      </c>
      <c r="D2711" s="5">
        <f ca="1">IFERROR(__xludf.DUMMYFUNCTION("""COMPUTED_VALUE"""),45695)</f>
        <v>45695</v>
      </c>
    </row>
    <row r="2712" spans="1:4" ht="13" x14ac:dyDescent="0.15">
      <c r="A2712" s="4">
        <f ca="1">IFERROR(__xludf.DUMMYFUNCTION("""COMPUTED_VALUE"""),288076801)</f>
        <v>288076801</v>
      </c>
      <c r="B2712" s="1" t="str">
        <f ca="1">IFERROR(__xludf.DUMMYFUNCTION("""COMPUTED_VALUE"""),"asullivan01@student.dasd.org")</f>
        <v>asullivan01@student.dasd.org</v>
      </c>
      <c r="C2712" s="4" t="str">
        <f ca="1">IFERROR(__xludf.DUMMYFUNCTION("""COMPUTED_VALUE"""),"EVERGREEN - UAN Gated Content - Embedded Petition")</f>
        <v>EVERGREEN - UAN Gated Content - Embedded Petition</v>
      </c>
      <c r="D2712" s="5">
        <f ca="1">IFERROR(__xludf.DUMMYFUNCTION("""COMPUTED_VALUE"""),45695)</f>
        <v>45695</v>
      </c>
    </row>
    <row r="2713" spans="1:4" ht="13" x14ac:dyDescent="0.15">
      <c r="A2713" s="4">
        <f ca="1">IFERROR(__xludf.DUMMYFUNCTION("""COMPUTED_VALUE"""),288076824)</f>
        <v>288076824</v>
      </c>
      <c r="B2713" s="1" t="str">
        <f ca="1">IFERROR(__xludf.DUMMYFUNCTION("""COMPUTED_VALUE"""),"moonyabouraya@icloud.com")</f>
        <v>moonyabouraya@icloud.com</v>
      </c>
      <c r="C2713" s="4" t="str">
        <f ca="1">IFERROR(__xludf.DUMMYFUNCTION("""COMPUTED_VALUE"""),"EVERGREEN - UAN Gated Content - Embedded Petition")</f>
        <v>EVERGREEN - UAN Gated Content - Embedded Petition</v>
      </c>
      <c r="D2713" s="5">
        <f ca="1">IFERROR(__xludf.DUMMYFUNCTION("""COMPUTED_VALUE"""),45695)</f>
        <v>45695</v>
      </c>
    </row>
    <row r="2714" spans="1:4" ht="13" x14ac:dyDescent="0.15">
      <c r="A2714" s="4">
        <f ca="1">IFERROR(__xludf.DUMMYFUNCTION("""COMPUTED_VALUE"""),288077655)</f>
        <v>288077655</v>
      </c>
      <c r="B2714" s="1" t="str">
        <f ca="1">IFERROR(__xludf.DUMMYFUNCTION("""COMPUTED_VALUE"""),"anna7gremlin@gmail.com")</f>
        <v>anna7gremlin@gmail.com</v>
      </c>
      <c r="C2714" s="4" t="str">
        <f ca="1">IFERROR(__xludf.DUMMYFUNCTION("""COMPUTED_VALUE"""),"EVERGREEN - UAN Gated Content - Embedded Petition")</f>
        <v>EVERGREEN - UAN Gated Content - Embedded Petition</v>
      </c>
      <c r="D2714" s="5">
        <f ca="1">IFERROR(__xludf.DUMMYFUNCTION("""COMPUTED_VALUE"""),45695)</f>
        <v>45695</v>
      </c>
    </row>
    <row r="2715" spans="1:4" ht="13" x14ac:dyDescent="0.15">
      <c r="A2715" s="4">
        <f ca="1">IFERROR(__xludf.DUMMYFUNCTION("""COMPUTED_VALUE"""),288081870)</f>
        <v>288081870</v>
      </c>
      <c r="B2715" s="1" t="str">
        <f ca="1">IFERROR(__xludf.DUMMYFUNCTION("""COMPUTED_VALUE"""),"patariciakates@comcast.net")</f>
        <v>patariciakates@comcast.net</v>
      </c>
      <c r="C2715" s="4" t="str">
        <f ca="1">IFERROR(__xludf.DUMMYFUNCTION("""COMPUTED_VALUE"""),"EVERGREEN - UAN Gated Content - Embedded Petition")</f>
        <v>EVERGREEN - UAN Gated Content - Embedded Petition</v>
      </c>
      <c r="D2715" s="5">
        <f ca="1">IFERROR(__xludf.DUMMYFUNCTION("""COMPUTED_VALUE"""),45695)</f>
        <v>45695</v>
      </c>
    </row>
    <row r="2716" spans="1:4" ht="13" x14ac:dyDescent="0.15">
      <c r="A2716" s="4">
        <f ca="1">IFERROR(__xludf.DUMMYFUNCTION("""COMPUTED_VALUE"""),288082662)</f>
        <v>288082662</v>
      </c>
      <c r="B2716" s="1" t="str">
        <f ca="1">IFERROR(__xludf.DUMMYFUNCTION("""COMPUTED_VALUE"""),"gravjm55@gmaqil.com")</f>
        <v>gravjm55@gmaqil.com</v>
      </c>
      <c r="C2716" s="4" t="str">
        <f ca="1">IFERROR(__xludf.DUMMYFUNCTION("""COMPUTED_VALUE"""),"EVERGREEN - UAN Gated Content - Embedded Petition")</f>
        <v>EVERGREEN - UAN Gated Content - Embedded Petition</v>
      </c>
      <c r="D2716" s="5">
        <f ca="1">IFERROR(__xludf.DUMMYFUNCTION("""COMPUTED_VALUE"""),45695)</f>
        <v>45695</v>
      </c>
    </row>
    <row r="2717" spans="1:4" ht="13" x14ac:dyDescent="0.15">
      <c r="A2717" s="4">
        <f ca="1">IFERROR(__xludf.DUMMYFUNCTION("""COMPUTED_VALUE"""),288085581)</f>
        <v>288085581</v>
      </c>
      <c r="B2717" s="1" t="str">
        <f ca="1">IFERROR(__xludf.DUMMYFUNCTION("""COMPUTED_VALUE"""),"kloss_william@yahoo.com")</f>
        <v>kloss_william@yahoo.com</v>
      </c>
      <c r="C2717" s="4" t="str">
        <f ca="1">IFERROR(__xludf.DUMMYFUNCTION("""COMPUTED_VALUE"""),"EVERGREEN - UAN Gated Content - Embedded Petition")</f>
        <v>EVERGREEN - UAN Gated Content - Embedded Petition</v>
      </c>
      <c r="D2717" s="5">
        <f ca="1">IFERROR(__xludf.DUMMYFUNCTION("""COMPUTED_VALUE"""),45695)</f>
        <v>45695</v>
      </c>
    </row>
    <row r="2718" spans="1:4" ht="13" x14ac:dyDescent="0.15">
      <c r="A2718" s="4">
        <f ca="1">IFERROR(__xludf.DUMMYFUNCTION("""COMPUTED_VALUE"""),288089832)</f>
        <v>288089832</v>
      </c>
      <c r="B2718" s="1" t="str">
        <f ca="1">IFERROR(__xludf.DUMMYFUNCTION("""COMPUTED_VALUE"""),"pokapoor@umich.edu")</f>
        <v>pokapoor@umich.edu</v>
      </c>
      <c r="C2718" s="4" t="str">
        <f ca="1">IFERROR(__xludf.DUMMYFUNCTION("""COMPUTED_VALUE"""),"EVERGREEN - UAN Gated Content - Embedded Petition")</f>
        <v>EVERGREEN - UAN Gated Content - Embedded Petition</v>
      </c>
      <c r="D2718" s="5">
        <f ca="1">IFERROR(__xludf.DUMMYFUNCTION("""COMPUTED_VALUE"""),45705)</f>
        <v>45705</v>
      </c>
    </row>
    <row r="2719" spans="1:4" ht="13" x14ac:dyDescent="0.15">
      <c r="A2719" s="4">
        <f ca="1">IFERROR(__xludf.DUMMYFUNCTION("""COMPUTED_VALUE"""),288089832)</f>
        <v>288089832</v>
      </c>
      <c r="B2719" s="1" t="str">
        <f ca="1">IFERROR(__xludf.DUMMYFUNCTION("""COMPUTED_VALUE"""),"pokapoor@umich.edu")</f>
        <v>pokapoor@umich.edu</v>
      </c>
      <c r="C2719" s="4" t="str">
        <f ca="1">IFERROR(__xludf.DUMMYFUNCTION("""COMPUTED_VALUE"""),"EVERGREEN - UAN Gated Content - Embedded Petition")</f>
        <v>EVERGREEN - UAN Gated Content - Embedded Petition</v>
      </c>
      <c r="D2719" s="5">
        <f ca="1">IFERROR(__xludf.DUMMYFUNCTION("""COMPUTED_VALUE"""),45705)</f>
        <v>45705</v>
      </c>
    </row>
    <row r="2720" spans="1:4" ht="13" x14ac:dyDescent="0.15">
      <c r="A2720" s="4">
        <f ca="1">IFERROR(__xludf.DUMMYFUNCTION("""COMPUTED_VALUE"""),288089832)</f>
        <v>288089832</v>
      </c>
      <c r="B2720" s="1" t="str">
        <f ca="1">IFERROR(__xludf.DUMMYFUNCTION("""COMPUTED_VALUE"""),"pokapoor@umich.edu")</f>
        <v>pokapoor@umich.edu</v>
      </c>
      <c r="C2720" s="4" t="str">
        <f ca="1">IFERROR(__xludf.DUMMYFUNCTION("""COMPUTED_VALUE"""),"EVERGREEN - UAN Gated Content - Embedded Petition")</f>
        <v>EVERGREEN - UAN Gated Content - Embedded Petition</v>
      </c>
      <c r="D2720" s="5">
        <f ca="1">IFERROR(__xludf.DUMMYFUNCTION("""COMPUTED_VALUE"""),45705)</f>
        <v>45705</v>
      </c>
    </row>
    <row r="2721" spans="1:4" ht="13" x14ac:dyDescent="0.15">
      <c r="A2721" s="4">
        <f ca="1">IFERROR(__xludf.DUMMYFUNCTION("""COMPUTED_VALUE"""),288114604)</f>
        <v>288114604</v>
      </c>
      <c r="B2721" s="1" t="str">
        <f ca="1">IFERROR(__xludf.DUMMYFUNCTION("""COMPUTED_VALUE"""),"dreamchaser1185@gmail.com")</f>
        <v>dreamchaser1185@gmail.com</v>
      </c>
      <c r="C2721" s="4" t="str">
        <f ca="1">IFERROR(__xludf.DUMMYFUNCTION("""COMPUTED_VALUE"""),"EVERGREEN - UAN Gated Content - Embedded Petition")</f>
        <v>EVERGREEN - UAN Gated Content - Embedded Petition</v>
      </c>
      <c r="D2721" s="5">
        <f ca="1">IFERROR(__xludf.DUMMYFUNCTION("""COMPUTED_VALUE"""),45697)</f>
        <v>45697</v>
      </c>
    </row>
    <row r="2722" spans="1:4" ht="13" x14ac:dyDescent="0.15">
      <c r="A2722" s="4">
        <f ca="1">IFERROR(__xludf.DUMMYFUNCTION("""COMPUTED_VALUE"""),288127455)</f>
        <v>288127455</v>
      </c>
      <c r="B2722" s="1" t="str">
        <f ca="1">IFERROR(__xludf.DUMMYFUNCTION("""COMPUTED_VALUE"""),"mayragarcia100@icloud.com")</f>
        <v>mayragarcia100@icloud.com</v>
      </c>
      <c r="C2722" s="4" t="str">
        <f ca="1">IFERROR(__xludf.DUMMYFUNCTION("""COMPUTED_VALUE"""),"EVERGREEN - UAN Gated Content - Embedded Petition")</f>
        <v>EVERGREEN - UAN Gated Content - Embedded Petition</v>
      </c>
      <c r="D2722" s="5">
        <f ca="1">IFERROR(__xludf.DUMMYFUNCTION("""COMPUTED_VALUE"""),45697)</f>
        <v>45697</v>
      </c>
    </row>
    <row r="2723" spans="1:4" ht="13" x14ac:dyDescent="0.15">
      <c r="A2723" s="4">
        <f ca="1">IFERROR(__xludf.DUMMYFUNCTION("""COMPUTED_VALUE"""),288141136)</f>
        <v>288141136</v>
      </c>
      <c r="B2723" s="1" t="str">
        <f ca="1">IFERROR(__xludf.DUMMYFUNCTION("""COMPUTED_VALUE"""),"davidhbarry@me.com")</f>
        <v>davidhbarry@me.com</v>
      </c>
      <c r="C2723" s="4" t="str">
        <f ca="1">IFERROR(__xludf.DUMMYFUNCTION("""COMPUTED_VALUE"""),"EVERGREEN - UAN Gated Content - Embedded Petition")</f>
        <v>EVERGREEN - UAN Gated Content - Embedded Petition</v>
      </c>
      <c r="D2723" s="5">
        <f ca="1">IFERROR(__xludf.DUMMYFUNCTION("""COMPUTED_VALUE"""),45698)</f>
        <v>45698</v>
      </c>
    </row>
    <row r="2724" spans="1:4" ht="13" x14ac:dyDescent="0.15">
      <c r="A2724" s="4">
        <f ca="1">IFERROR(__xludf.DUMMYFUNCTION("""COMPUTED_VALUE"""),288141720)</f>
        <v>288141720</v>
      </c>
      <c r="B2724" s="1" t="str">
        <f ca="1">IFERROR(__xludf.DUMMYFUNCTION("""COMPUTED_VALUE"""),"tewodrosemamo220@gmail.com")</f>
        <v>tewodrosemamo220@gmail.com</v>
      </c>
      <c r="C2724" s="4" t="str">
        <f ca="1">IFERROR(__xludf.DUMMYFUNCTION("""COMPUTED_VALUE"""),"EVERGREEN - Website Email Capture Form - UAN Pre-Footer")</f>
        <v>EVERGREEN - Website Email Capture Form - UAN Pre-Footer</v>
      </c>
      <c r="D2724" s="5">
        <f ca="1">IFERROR(__xludf.DUMMYFUNCTION("""COMPUTED_VALUE"""),45698)</f>
        <v>45698</v>
      </c>
    </row>
    <row r="2725" spans="1:4" ht="13" x14ac:dyDescent="0.15">
      <c r="A2725" s="4">
        <f ca="1">IFERROR(__xludf.DUMMYFUNCTION("""COMPUTED_VALUE"""),288142696)</f>
        <v>288142696</v>
      </c>
      <c r="B2725" s="1" t="str">
        <f ca="1">IFERROR(__xludf.DUMMYFUNCTION("""COMPUTED_VALUE"""),"chavezmaudicel@gmail.com")</f>
        <v>chavezmaudicel@gmail.com</v>
      </c>
      <c r="C2725" s="4" t="str">
        <f ca="1">IFERROR(__xludf.DUMMYFUNCTION("""COMPUTED_VALUE"""),"EVERGREEN - UAN Gated Content - Embedded Petition")</f>
        <v>EVERGREEN - UAN Gated Content - Embedded Petition</v>
      </c>
      <c r="D2725" s="5">
        <f ca="1">IFERROR(__xludf.DUMMYFUNCTION("""COMPUTED_VALUE"""),45698)</f>
        <v>45698</v>
      </c>
    </row>
    <row r="2726" spans="1:4" ht="13" x14ac:dyDescent="0.15">
      <c r="A2726" s="4">
        <f ca="1">IFERROR(__xludf.DUMMYFUNCTION("""COMPUTED_VALUE"""),288143660)</f>
        <v>288143660</v>
      </c>
      <c r="B2726" s="1" t="str">
        <f ca="1">IFERROR(__xludf.DUMMYFUNCTION("""COMPUTED_VALUE"""),"becarre2@orange.fr")</f>
        <v>becarre2@orange.fr</v>
      </c>
      <c r="C2726" s="4" t="str">
        <f ca="1">IFERROR(__xludf.DUMMYFUNCTION("""COMPUTED_VALUE"""),"EVERGREEN - UAN Gated Content - Embedded Petition")</f>
        <v>EVERGREEN - UAN Gated Content - Embedded Petition</v>
      </c>
      <c r="D2726" s="5">
        <f ca="1">IFERROR(__xludf.DUMMYFUNCTION("""COMPUTED_VALUE"""),45698)</f>
        <v>45698</v>
      </c>
    </row>
    <row r="2727" spans="1:4" ht="13" x14ac:dyDescent="0.15">
      <c r="A2727" s="4">
        <f ca="1">IFERROR(__xludf.DUMMYFUNCTION("""COMPUTED_VALUE"""),288145379)</f>
        <v>288145379</v>
      </c>
      <c r="B2727" s="1" t="str">
        <f ca="1">IFERROR(__xludf.DUMMYFUNCTION("""COMPUTED_VALUE"""),"cbzyk@yahoo.com")</f>
        <v>cbzyk@yahoo.com</v>
      </c>
      <c r="C2727" s="4" t="str">
        <f ca="1">IFERROR(__xludf.DUMMYFUNCTION("""COMPUTED_VALUE"""),"EVERGREEN - UAN Gated Content - Embedded Petition")</f>
        <v>EVERGREEN - UAN Gated Content - Embedded Petition</v>
      </c>
      <c r="D2727" s="5">
        <f ca="1">IFERROR(__xludf.DUMMYFUNCTION("""COMPUTED_VALUE"""),45698)</f>
        <v>45698</v>
      </c>
    </row>
    <row r="2728" spans="1:4" ht="13" x14ac:dyDescent="0.15">
      <c r="A2728" s="4">
        <f ca="1">IFERROR(__xludf.DUMMYFUNCTION("""COMPUTED_VALUE"""),288145385)</f>
        <v>288145385</v>
      </c>
      <c r="B2728" s="1" t="str">
        <f ca="1">IFERROR(__xludf.DUMMYFUNCTION("""COMPUTED_VALUE"""),"lindsaypcoyle@gmail.com")</f>
        <v>lindsaypcoyle@gmail.com</v>
      </c>
      <c r="C2728" s="4" t="str">
        <f ca="1">IFERROR(__xludf.DUMMYFUNCTION("""COMPUTED_VALUE"""),"EVERGREEN - UAN Gated Content - Embedded Petition")</f>
        <v>EVERGREEN - UAN Gated Content - Embedded Petition</v>
      </c>
      <c r="D2728" s="5">
        <f ca="1">IFERROR(__xludf.DUMMYFUNCTION("""COMPUTED_VALUE"""),45698)</f>
        <v>45698</v>
      </c>
    </row>
    <row r="2729" spans="1:4" ht="13" x14ac:dyDescent="0.15">
      <c r="A2729" s="4">
        <f ca="1">IFERROR(__xludf.DUMMYFUNCTION("""COMPUTED_VALUE"""),288150586)</f>
        <v>288150586</v>
      </c>
      <c r="B2729" s="1" t="str">
        <f ca="1">IFERROR(__xludf.DUMMYFUNCTION("""COMPUTED_VALUE"""),"marisa.lucero64@gmail.com")</f>
        <v>marisa.lucero64@gmail.com</v>
      </c>
      <c r="C2729" s="4" t="str">
        <f ca="1">IFERROR(__xludf.DUMMYFUNCTION("""COMPUTED_VALUE"""),"EVERGREEN - UAN Gated Content - Embedded Petition")</f>
        <v>EVERGREEN - UAN Gated Content - Embedded Petition</v>
      </c>
      <c r="D2729" s="5">
        <f ca="1">IFERROR(__xludf.DUMMYFUNCTION("""COMPUTED_VALUE"""),45705)</f>
        <v>45705</v>
      </c>
    </row>
    <row r="2730" spans="1:4" ht="13" x14ac:dyDescent="0.15">
      <c r="A2730" s="4">
        <f ca="1">IFERROR(__xludf.DUMMYFUNCTION("""COMPUTED_VALUE"""),288150586)</f>
        <v>288150586</v>
      </c>
      <c r="B2730" s="1" t="str">
        <f ca="1">IFERROR(__xludf.DUMMYFUNCTION("""COMPUTED_VALUE"""),"marisa.lucero64@gmail.com")</f>
        <v>marisa.lucero64@gmail.com</v>
      </c>
      <c r="C2730" s="4" t="str">
        <f ca="1">IFERROR(__xludf.DUMMYFUNCTION("""COMPUTED_VALUE"""),"EVERGREEN - UAN Gated Content - Embedded Petition")</f>
        <v>EVERGREEN - UAN Gated Content - Embedded Petition</v>
      </c>
      <c r="D2730" s="5">
        <f ca="1">IFERROR(__xludf.DUMMYFUNCTION("""COMPUTED_VALUE"""),45698)</f>
        <v>45698</v>
      </c>
    </row>
    <row r="2731" spans="1:4" ht="13" x14ac:dyDescent="0.15">
      <c r="A2731" s="4">
        <f ca="1">IFERROR(__xludf.DUMMYFUNCTION("""COMPUTED_VALUE"""),288153052)</f>
        <v>288153052</v>
      </c>
      <c r="B2731" s="1" t="str">
        <f ca="1">IFERROR(__xludf.DUMMYFUNCTION("""COMPUTED_VALUE"""),"elizabethj2288@gmail.com")</f>
        <v>elizabethj2288@gmail.com</v>
      </c>
      <c r="C2731" s="4" t="str">
        <f ca="1">IFERROR(__xludf.DUMMYFUNCTION("""COMPUTED_VALUE"""),"EVERGREEN - UAN Gated Content - Embedded Petition")</f>
        <v>EVERGREEN - UAN Gated Content - Embedded Petition</v>
      </c>
      <c r="D2731" s="5">
        <f ca="1">IFERROR(__xludf.DUMMYFUNCTION("""COMPUTED_VALUE"""),45699)</f>
        <v>45699</v>
      </c>
    </row>
    <row r="2732" spans="1:4" ht="13" x14ac:dyDescent="0.15">
      <c r="A2732" s="4">
        <f ca="1">IFERROR(__xludf.DUMMYFUNCTION("""COMPUTED_VALUE"""),288177562)</f>
        <v>288177562</v>
      </c>
      <c r="B2732" s="1" t="str">
        <f ca="1">IFERROR(__xludf.DUMMYFUNCTION("""COMPUTED_VALUE"""),"davidwolfson@sbcglobl.net")</f>
        <v>davidwolfson@sbcglobl.net</v>
      </c>
      <c r="C2732" s="4" t="str">
        <f ca="1">IFERROR(__xludf.DUMMYFUNCTION("""COMPUTED_VALUE"""),"EVERGREEN - UAN Gated Content - Embedded Petition")</f>
        <v>EVERGREEN - UAN Gated Content - Embedded Petition</v>
      </c>
      <c r="D2732" s="5">
        <f ca="1">IFERROR(__xludf.DUMMYFUNCTION("""COMPUTED_VALUE"""),45700)</f>
        <v>45700</v>
      </c>
    </row>
    <row r="2733" spans="1:4" ht="13" x14ac:dyDescent="0.15">
      <c r="A2733" s="4">
        <f ca="1">IFERROR(__xludf.DUMMYFUNCTION("""COMPUTED_VALUE"""),288194017)</f>
        <v>288194017</v>
      </c>
      <c r="B2733" s="1" t="str">
        <f ca="1">IFERROR(__xludf.DUMMYFUNCTION("""COMPUTED_VALUE"""),"danzeh01@gmail.com")</f>
        <v>danzeh01@gmail.com</v>
      </c>
      <c r="C2733" s="4" t="str">
        <f ca="1">IFERROR(__xludf.DUMMYFUNCTION("""COMPUTED_VALUE"""),"EVERGREEN - UAN Gated Content - Embedded Petition")</f>
        <v>EVERGREEN - UAN Gated Content - Embedded Petition</v>
      </c>
      <c r="D2733" s="5">
        <f ca="1">IFERROR(__xludf.DUMMYFUNCTION("""COMPUTED_VALUE"""),45702)</f>
        <v>45702</v>
      </c>
    </row>
    <row r="2734" spans="1:4" ht="13" x14ac:dyDescent="0.15">
      <c r="A2734" s="4">
        <f ca="1">IFERROR(__xludf.DUMMYFUNCTION("""COMPUTED_VALUE"""),288196425)</f>
        <v>288196425</v>
      </c>
      <c r="B2734" s="1" t="str">
        <f ca="1">IFERROR(__xludf.DUMMYFUNCTION("""COMPUTED_VALUE"""),"anthony.tuem@yahoo.com")</f>
        <v>anthony.tuem@yahoo.com</v>
      </c>
      <c r="C2734" s="4" t="str">
        <f ca="1">IFERROR(__xludf.DUMMYFUNCTION("""COMPUTED_VALUE"""),"EVERGREEN - UAN Gated Content - Embedded Petition")</f>
        <v>EVERGREEN - UAN Gated Content - Embedded Petition</v>
      </c>
      <c r="D2734" s="5">
        <f ca="1">IFERROR(__xludf.DUMMYFUNCTION("""COMPUTED_VALUE"""),45700)</f>
        <v>45700</v>
      </c>
    </row>
    <row r="2735" spans="1:4" ht="13" x14ac:dyDescent="0.15">
      <c r="A2735" s="4">
        <f ca="1">IFERROR(__xludf.DUMMYFUNCTION("""COMPUTED_VALUE"""),288226565)</f>
        <v>288226565</v>
      </c>
      <c r="B2735" s="1" t="str">
        <f ca="1">IFERROR(__xludf.DUMMYFUNCTION("""COMPUTED_VALUE"""),"aschimpf.aiib@gmail.com")</f>
        <v>aschimpf.aiib@gmail.com</v>
      </c>
      <c r="C2735" s="4" t="str">
        <f ca="1">IFERROR(__xludf.DUMMYFUNCTION("""COMPUTED_VALUE"""),"EVERGREEN - UAN Gated Content - Embedded Petition")</f>
        <v>EVERGREEN - UAN Gated Content - Embedded Petition</v>
      </c>
      <c r="D2735" s="5">
        <f ca="1">IFERROR(__xludf.DUMMYFUNCTION("""COMPUTED_VALUE"""),45701)</f>
        <v>45701</v>
      </c>
    </row>
    <row r="2736" spans="1:4" ht="13" x14ac:dyDescent="0.15">
      <c r="A2736" s="4">
        <f ca="1">IFERROR(__xludf.DUMMYFUNCTION("""COMPUTED_VALUE"""),288265891)</f>
        <v>288265891</v>
      </c>
      <c r="B2736" s="1" t="str">
        <f ca="1">IFERROR(__xludf.DUMMYFUNCTION("""COMPUTED_VALUE"""),"od.weaver23@yahoo.com")</f>
        <v>od.weaver23@yahoo.com</v>
      </c>
      <c r="C2736" s="4" t="str">
        <f ca="1">IFERROR(__xludf.DUMMYFUNCTION("""COMPUTED_VALUE"""),"EVERGREEN - UAN Gated Content - Embedded Petition")</f>
        <v>EVERGREEN - UAN Gated Content - Embedded Petition</v>
      </c>
      <c r="D2736" s="5">
        <f ca="1">IFERROR(__xludf.DUMMYFUNCTION("""COMPUTED_VALUE"""),45703)</f>
        <v>45703</v>
      </c>
    </row>
    <row r="2737" spans="1:4" ht="13" x14ac:dyDescent="0.15">
      <c r="A2737" s="4">
        <f ca="1">IFERROR(__xludf.DUMMYFUNCTION("""COMPUTED_VALUE"""),288303929)</f>
        <v>288303929</v>
      </c>
      <c r="B2737" s="1" t="str">
        <f ca="1">IFERROR(__xludf.DUMMYFUNCTION("""COMPUTED_VALUE"""),"evan.hadingham@icloud.com")</f>
        <v>evan.hadingham@icloud.com</v>
      </c>
      <c r="C2737" s="4" t="str">
        <f ca="1">IFERROR(__xludf.DUMMYFUNCTION("""COMPUTED_VALUE"""),"EVERGREEN - UAN Gated Content - Embedded Petition")</f>
        <v>EVERGREEN - UAN Gated Content - Embedded Petition</v>
      </c>
      <c r="D2737" s="5">
        <f ca="1">IFERROR(__xludf.DUMMYFUNCTION("""COMPUTED_VALUE"""),45705)</f>
        <v>45705</v>
      </c>
    </row>
    <row r="2738" spans="1:4" ht="13" x14ac:dyDescent="0.15">
      <c r="A2738" s="4">
        <f ca="1">IFERROR(__xludf.DUMMYFUNCTION("""COMPUTED_VALUE"""),288303929)</f>
        <v>288303929</v>
      </c>
      <c r="B2738" s="1" t="str">
        <f ca="1">IFERROR(__xludf.DUMMYFUNCTION("""COMPUTED_VALUE"""),"evan.hadingham@icloud.com")</f>
        <v>evan.hadingham@icloud.com</v>
      </c>
      <c r="C2738" s="4" t="str">
        <f ca="1">IFERROR(__xludf.DUMMYFUNCTION("""COMPUTED_VALUE"""),"EVERGREEN - UAN Gated Content - Embedded Petition")</f>
        <v>EVERGREEN - UAN Gated Content - Embedded Petition</v>
      </c>
      <c r="D2738" s="5">
        <f ca="1">IFERROR(__xludf.DUMMYFUNCTION("""COMPUTED_VALUE"""),45705)</f>
        <v>45705</v>
      </c>
    </row>
    <row r="2739" spans="1:4" ht="13" x14ac:dyDescent="0.15">
      <c r="A2739" s="4">
        <f ca="1">IFERROR(__xludf.DUMMYFUNCTION("""COMPUTED_VALUE"""),288303974)</f>
        <v>288303974</v>
      </c>
      <c r="B2739" s="1" t="str">
        <f ca="1">IFERROR(__xludf.DUMMYFUNCTION("""COMPUTED_VALUE"""),"alyssa.k.howard@gmail.com")</f>
        <v>alyssa.k.howard@gmail.com</v>
      </c>
      <c r="C2739" s="4" t="str">
        <f ca="1">IFERROR(__xludf.DUMMYFUNCTION("""COMPUTED_VALUE"""),"EVERGREEN - UAN Gated Content - Embedded Petition")</f>
        <v>EVERGREEN - UAN Gated Content - Embedded Petition</v>
      </c>
      <c r="D2739" s="5">
        <f ca="1">IFERROR(__xludf.DUMMYFUNCTION("""COMPUTED_VALUE"""),45705)</f>
        <v>45705</v>
      </c>
    </row>
    <row r="2740" spans="1:4" ht="13" x14ac:dyDescent="0.15">
      <c r="A2740" s="4">
        <f ca="1">IFERROR(__xludf.DUMMYFUNCTION("""COMPUTED_VALUE"""),288313883)</f>
        <v>288313883</v>
      </c>
      <c r="B2740" s="1" t="str">
        <f ca="1">IFERROR(__xludf.DUMMYFUNCTION("""COMPUTED_VALUE"""),"scott.riotto@montville.net")</f>
        <v>scott.riotto@montville.net</v>
      </c>
      <c r="C2740" s="4" t="str">
        <f ca="1">IFERROR(__xludf.DUMMYFUNCTION("""COMPUTED_VALUE"""),"EVERGREEN - UAN Gated Content - Embedded Petition")</f>
        <v>EVERGREEN - UAN Gated Content - Embedded Petition</v>
      </c>
      <c r="D2740" s="5">
        <f ca="1">IFERROR(__xludf.DUMMYFUNCTION("""COMPUTED_VALUE"""),45706)</f>
        <v>45706</v>
      </c>
    </row>
    <row r="2741" spans="1:4" ht="13" x14ac:dyDescent="0.15">
      <c r="A2741" s="4">
        <f ca="1">IFERROR(__xludf.DUMMYFUNCTION("""COMPUTED_VALUE"""),288313883)</f>
        <v>288313883</v>
      </c>
      <c r="B2741" s="1" t="str">
        <f ca="1">IFERROR(__xludf.DUMMYFUNCTION("""COMPUTED_VALUE"""),"scott.riotto@montville.net")</f>
        <v>scott.riotto@montville.net</v>
      </c>
      <c r="C2741" s="4" t="str">
        <f ca="1">IFERROR(__xludf.DUMMYFUNCTION("""COMPUTED_VALUE"""),"EVERGREEN - UAN Gated Content - Embedded Petition")</f>
        <v>EVERGREEN - UAN Gated Content - Embedded Petition</v>
      </c>
      <c r="D2741" s="5">
        <f ca="1">IFERROR(__xludf.DUMMYFUNCTION("""COMPUTED_VALUE"""),45706)</f>
        <v>45706</v>
      </c>
    </row>
    <row r="2742" spans="1:4" ht="13" x14ac:dyDescent="0.15">
      <c r="A2742" s="4">
        <f ca="1">IFERROR(__xludf.DUMMYFUNCTION("""COMPUTED_VALUE"""),288322539)</f>
        <v>288322539</v>
      </c>
      <c r="B2742" s="1" t="str">
        <f ca="1">IFERROR(__xludf.DUMMYFUNCTION("""COMPUTED_VALUE"""),"26tegsum@studebt.mcpsmt.org")</f>
        <v>26tegsum@studebt.mcpsmt.org</v>
      </c>
      <c r="C2742" s="4" t="str">
        <f ca="1">IFERROR(__xludf.DUMMYFUNCTION("""COMPUTED_VALUE"""),"EVERGREEN - UAN Gated Content - Embedded Petition")</f>
        <v>EVERGREEN - UAN Gated Content - Embedded Petition</v>
      </c>
      <c r="D2742" s="5">
        <f ca="1">IFERROR(__xludf.DUMMYFUNCTION("""COMPUTED_VALUE"""),45706)</f>
        <v>45706</v>
      </c>
    </row>
    <row r="2743" spans="1:4" ht="13" x14ac:dyDescent="0.15">
      <c r="A2743" s="4">
        <f ca="1">IFERROR(__xludf.DUMMYFUNCTION("""COMPUTED_VALUE"""),288417615)</f>
        <v>288417615</v>
      </c>
      <c r="B2743" s="1" t="str">
        <f ca="1">IFERROR(__xludf.DUMMYFUNCTION("""COMPUTED_VALUE"""),"rheliza59@gmail.com")</f>
        <v>rheliza59@gmail.com</v>
      </c>
      <c r="C2743" s="4" t="str">
        <f ca="1">IFERROR(__xludf.DUMMYFUNCTION("""COMPUTED_VALUE"""),"EVERGREEN - UAN Gated Content - Embedded Petition")</f>
        <v>EVERGREEN - UAN Gated Content - Embedded Petition</v>
      </c>
      <c r="D2743" s="5">
        <f ca="1">IFERROR(__xludf.DUMMYFUNCTION("""COMPUTED_VALUE"""),45706)</f>
        <v>45706</v>
      </c>
    </row>
    <row r="2744" spans="1:4" ht="13" x14ac:dyDescent="0.15">
      <c r="A2744" s="4">
        <f ca="1">IFERROR(__xludf.DUMMYFUNCTION("""COMPUTED_VALUE"""),288418652)</f>
        <v>288418652</v>
      </c>
      <c r="B2744" s="1" t="str">
        <f ca="1">IFERROR(__xludf.DUMMYFUNCTION("""COMPUTED_VALUE"""),"mersingerkatie@gmail.com")</f>
        <v>mersingerkatie@gmail.com</v>
      </c>
      <c r="C2744" s="4" t="str">
        <f ca="1">IFERROR(__xludf.DUMMYFUNCTION("""COMPUTED_VALUE"""),"EVERGREEN - UAN Gated Content - Embedded Petition")</f>
        <v>EVERGREEN - UAN Gated Content - Embedded Petition</v>
      </c>
      <c r="D2744" s="5">
        <f ca="1">IFERROR(__xludf.DUMMYFUNCTION("""COMPUTED_VALUE"""),45706)</f>
        <v>45706</v>
      </c>
    </row>
    <row r="2745" spans="1:4" ht="13" x14ac:dyDescent="0.15">
      <c r="A2745" s="4">
        <f ca="1">IFERROR(__xludf.DUMMYFUNCTION("""COMPUTED_VALUE"""),288443490)</f>
        <v>288443490</v>
      </c>
      <c r="B2745" s="1" t="str">
        <f ca="1">IFERROR(__xludf.DUMMYFUNCTION("""COMPUTED_VALUE"""),"kifka@sdf.org")</f>
        <v>kifka@sdf.org</v>
      </c>
      <c r="C2745" s="4" t="str">
        <f ca="1">IFERROR(__xludf.DUMMYFUNCTION("""COMPUTED_VALUE"""),"EVERGREEN - UAN Gated Content - Embedded Petition")</f>
        <v>EVERGREEN - UAN Gated Content - Embedded Petition</v>
      </c>
      <c r="D2745" s="5">
        <f ca="1">IFERROR(__xludf.DUMMYFUNCTION("""COMPUTED_VALUE"""),45707)</f>
        <v>45707</v>
      </c>
    </row>
    <row r="2746" spans="1:4" ht="13" x14ac:dyDescent="0.15">
      <c r="A2746" s="4">
        <f ca="1">IFERROR(__xludf.DUMMYFUNCTION("""COMPUTED_VALUE"""),288448061)</f>
        <v>288448061</v>
      </c>
      <c r="B2746" s="1" t="str">
        <f ca="1">IFERROR(__xludf.DUMMYFUNCTION("""COMPUTED_VALUE"""),"maazshe2010@gmail.com")</f>
        <v>maazshe2010@gmail.com</v>
      </c>
      <c r="C2746" s="4" t="str">
        <f ca="1">IFERROR(__xludf.DUMMYFUNCTION("""COMPUTED_VALUE"""),"EVERGREEN - UAN Gated Content - Embedded Petition")</f>
        <v>EVERGREEN - UAN Gated Content - Embedded Petition</v>
      </c>
      <c r="D2746" s="5">
        <f ca="1">IFERROR(__xludf.DUMMYFUNCTION("""COMPUTED_VALUE"""),45707)</f>
        <v>45707</v>
      </c>
    </row>
    <row r="2747" spans="1:4" ht="13" x14ac:dyDescent="0.15">
      <c r="A2747" s="4">
        <f ca="1">IFERROR(__xludf.DUMMYFUNCTION("""COMPUTED_VALUE"""),288448085)</f>
        <v>288448085</v>
      </c>
      <c r="B2747" s="1" t="str">
        <f ca="1">IFERROR(__xludf.DUMMYFUNCTION("""COMPUTED_VALUE"""),"srk.kaushik2010@gmail.com")</f>
        <v>srk.kaushik2010@gmail.com</v>
      </c>
      <c r="C2747" s="4" t="str">
        <f ca="1">IFERROR(__xludf.DUMMYFUNCTION("""COMPUTED_VALUE"""),"EVERGREEN - UAN Gated Content - Embedded Petition")</f>
        <v>EVERGREEN - UAN Gated Content - Embedded Petition</v>
      </c>
      <c r="D2747" s="5">
        <f ca="1">IFERROR(__xludf.DUMMYFUNCTION("""COMPUTED_VALUE"""),45707)</f>
        <v>45707</v>
      </c>
    </row>
    <row r="2748" spans="1:4" ht="13" x14ac:dyDescent="0.15">
      <c r="A2748" s="4">
        <f ca="1">IFERROR(__xludf.DUMMYFUNCTION("""COMPUTED_VALUE"""),288454055)</f>
        <v>288454055</v>
      </c>
      <c r="B2748" s="1" t="str">
        <f ca="1">IFERROR(__xludf.DUMMYFUNCTION("""COMPUTED_VALUE"""),"raaghavi.kalluri@icloud.com")</f>
        <v>raaghavi.kalluri@icloud.com</v>
      </c>
      <c r="C2748" s="4" t="str">
        <f ca="1">IFERROR(__xludf.DUMMYFUNCTION("""COMPUTED_VALUE"""),"EVERGREEN - UAN Gated Content - Embedded Petition")</f>
        <v>EVERGREEN - UAN Gated Content - Embedded Petition</v>
      </c>
      <c r="D2748" s="5">
        <f ca="1">IFERROR(__xludf.DUMMYFUNCTION("""COMPUTED_VALUE"""),45708)</f>
        <v>45708</v>
      </c>
    </row>
    <row r="2749" spans="1:4" ht="13" x14ac:dyDescent="0.15">
      <c r="A2749" s="4">
        <f ca="1">IFERROR(__xludf.DUMMYFUNCTION("""COMPUTED_VALUE"""),288454055)</f>
        <v>288454055</v>
      </c>
      <c r="B2749" s="1" t="str">
        <f ca="1">IFERROR(__xludf.DUMMYFUNCTION("""COMPUTED_VALUE"""),"raaghavi.kalluri@icloud.com")</f>
        <v>raaghavi.kalluri@icloud.com</v>
      </c>
      <c r="C2749" s="4" t="str">
        <f ca="1">IFERROR(__xludf.DUMMYFUNCTION("""COMPUTED_VALUE"""),"EVERGREEN - UAN Gated Content - Embedded Petition")</f>
        <v>EVERGREEN - UAN Gated Content - Embedded Petition</v>
      </c>
      <c r="D2749" s="5">
        <f ca="1">IFERROR(__xludf.DUMMYFUNCTION("""COMPUTED_VALUE"""),45708)</f>
        <v>45708</v>
      </c>
    </row>
    <row r="2750" spans="1:4" ht="13" x14ac:dyDescent="0.15">
      <c r="A2750" s="4"/>
      <c r="C2750" s="4"/>
      <c r="D2750" s="4"/>
    </row>
    <row r="2751" spans="1:4" ht="13" x14ac:dyDescent="0.15">
      <c r="A2751" s="4"/>
      <c r="C2751" s="4"/>
      <c r="D2751" s="4"/>
    </row>
    <row r="2752" spans="1:4" ht="13" x14ac:dyDescent="0.15">
      <c r="A2752" s="4"/>
      <c r="C2752" s="4"/>
      <c r="D2752" s="4"/>
    </row>
    <row r="2753" spans="1:4" ht="13" x14ac:dyDescent="0.15">
      <c r="A2753" s="4"/>
      <c r="C2753" s="4"/>
      <c r="D2753" s="4"/>
    </row>
    <row r="2754" spans="1:4" ht="13" x14ac:dyDescent="0.15">
      <c r="A2754" s="4"/>
      <c r="C2754" s="4"/>
      <c r="D2754" s="4"/>
    </row>
    <row r="2755" spans="1:4" ht="13" x14ac:dyDescent="0.15">
      <c r="A2755" s="4"/>
      <c r="C2755" s="4"/>
      <c r="D2755" s="4"/>
    </row>
    <row r="2756" spans="1:4" ht="13" x14ac:dyDescent="0.15">
      <c r="A2756" s="4"/>
      <c r="C2756" s="4"/>
      <c r="D2756" s="4"/>
    </row>
    <row r="2757" spans="1:4" ht="13" x14ac:dyDescent="0.15">
      <c r="A2757" s="4"/>
      <c r="C2757" s="4"/>
      <c r="D2757" s="4"/>
    </row>
    <row r="2758" spans="1:4" ht="13" x14ac:dyDescent="0.15">
      <c r="A2758" s="4"/>
      <c r="C2758" s="4"/>
      <c r="D2758" s="4"/>
    </row>
    <row r="2759" spans="1:4" ht="13" x14ac:dyDescent="0.15">
      <c r="A2759" s="4"/>
      <c r="C2759" s="4"/>
      <c r="D2759" s="4"/>
    </row>
    <row r="2760" spans="1:4" ht="13" x14ac:dyDescent="0.15">
      <c r="A2760" s="4"/>
      <c r="C2760" s="4"/>
      <c r="D2760" s="4"/>
    </row>
    <row r="2761" spans="1:4" ht="13" x14ac:dyDescent="0.15">
      <c r="A2761" s="4"/>
      <c r="C2761" s="4"/>
      <c r="D2761" s="4"/>
    </row>
    <row r="2762" spans="1:4" ht="13" x14ac:dyDescent="0.15">
      <c r="A2762" s="4"/>
      <c r="C2762" s="4"/>
      <c r="D2762" s="4"/>
    </row>
    <row r="2763" spans="1:4" ht="13" x14ac:dyDescent="0.15">
      <c r="A2763" s="4"/>
      <c r="C2763" s="4"/>
      <c r="D2763" s="4"/>
    </row>
    <row r="2764" spans="1:4" ht="13" x14ac:dyDescent="0.15">
      <c r="A2764" s="4"/>
      <c r="C2764" s="4"/>
      <c r="D2764" s="4"/>
    </row>
    <row r="2765" spans="1:4" ht="13" x14ac:dyDescent="0.15">
      <c r="A2765" s="4"/>
      <c r="C2765" s="4"/>
      <c r="D2765" s="4"/>
    </row>
    <row r="2766" spans="1:4" ht="13" x14ac:dyDescent="0.15">
      <c r="A2766" s="4"/>
      <c r="C2766" s="4"/>
      <c r="D2766" s="4"/>
    </row>
    <row r="2767" spans="1:4" ht="13" x14ac:dyDescent="0.15">
      <c r="A2767" s="4"/>
      <c r="C2767" s="4"/>
      <c r="D2767" s="4"/>
    </row>
    <row r="2768" spans="1:4" ht="13" x14ac:dyDescent="0.15">
      <c r="A2768" s="4"/>
      <c r="C2768" s="4"/>
      <c r="D2768" s="4"/>
    </row>
    <row r="2769" spans="1:4" ht="13" x14ac:dyDescent="0.15">
      <c r="A2769" s="4"/>
      <c r="C2769" s="4"/>
      <c r="D2769" s="4"/>
    </row>
    <row r="2770" spans="1:4" ht="13" x14ac:dyDescent="0.15">
      <c r="A2770" s="4"/>
      <c r="C2770" s="4"/>
      <c r="D2770" s="4"/>
    </row>
    <row r="2771" spans="1:4" ht="13" x14ac:dyDescent="0.15">
      <c r="A2771" s="4"/>
      <c r="C2771" s="4"/>
      <c r="D2771" s="4"/>
    </row>
    <row r="2772" spans="1:4" ht="13" x14ac:dyDescent="0.15">
      <c r="A2772" s="4"/>
      <c r="C2772" s="4"/>
      <c r="D2772" s="4"/>
    </row>
    <row r="2773" spans="1:4" ht="13" x14ac:dyDescent="0.15">
      <c r="A2773" s="4"/>
      <c r="C2773" s="4"/>
      <c r="D2773" s="4"/>
    </row>
    <row r="2774" spans="1:4" ht="13" x14ac:dyDescent="0.15">
      <c r="A2774" s="4"/>
      <c r="C2774" s="4"/>
      <c r="D2774" s="4"/>
    </row>
    <row r="2775" spans="1:4" ht="13" x14ac:dyDescent="0.15">
      <c r="A2775" s="4"/>
      <c r="C2775" s="4"/>
      <c r="D2775" s="4"/>
    </row>
    <row r="2776" spans="1:4" ht="13" x14ac:dyDescent="0.15">
      <c r="A2776" s="4"/>
      <c r="C2776" s="4"/>
      <c r="D2776" s="4"/>
    </row>
    <row r="2777" spans="1:4" ht="13" x14ac:dyDescent="0.15">
      <c r="A2777" s="4"/>
      <c r="C2777" s="4"/>
      <c r="D2777" s="4"/>
    </row>
    <row r="2778" spans="1:4" ht="13" x14ac:dyDescent="0.15">
      <c r="A2778" s="4"/>
      <c r="C2778" s="4"/>
      <c r="D2778" s="4"/>
    </row>
    <row r="2779" spans="1:4" ht="13" x14ac:dyDescent="0.15">
      <c r="A2779" s="4"/>
      <c r="C2779" s="4"/>
      <c r="D2779" s="4"/>
    </row>
    <row r="2780" spans="1:4" ht="13" x14ac:dyDescent="0.15">
      <c r="A2780" s="4"/>
      <c r="C2780" s="4"/>
      <c r="D2780" s="4"/>
    </row>
    <row r="2781" spans="1:4" ht="13" x14ac:dyDescent="0.15">
      <c r="A2781" s="4"/>
      <c r="C2781" s="4"/>
      <c r="D2781" s="4"/>
    </row>
    <row r="2782" spans="1:4" ht="13" x14ac:dyDescent="0.15">
      <c r="A2782" s="4"/>
      <c r="C2782" s="4"/>
      <c r="D2782" s="4"/>
    </row>
    <row r="2783" spans="1:4" ht="13" x14ac:dyDescent="0.15">
      <c r="A2783" s="4"/>
      <c r="C2783" s="4"/>
      <c r="D2783" s="4"/>
    </row>
    <row r="2784" spans="1:4" ht="13" x14ac:dyDescent="0.15">
      <c r="A2784" s="4"/>
      <c r="C2784" s="4"/>
      <c r="D2784" s="4"/>
    </row>
    <row r="2785" spans="1:4" ht="13" x14ac:dyDescent="0.15">
      <c r="A2785" s="4"/>
      <c r="C2785" s="4"/>
      <c r="D2785" s="4"/>
    </row>
    <row r="2786" spans="1:4" ht="13" x14ac:dyDescent="0.15">
      <c r="A2786" s="4"/>
      <c r="C2786" s="4"/>
      <c r="D2786" s="4"/>
    </row>
    <row r="2787" spans="1:4" ht="13" x14ac:dyDescent="0.15">
      <c r="A2787" s="4"/>
      <c r="C2787" s="4"/>
      <c r="D2787" s="4"/>
    </row>
    <row r="2788" spans="1:4" ht="13" x14ac:dyDescent="0.15">
      <c r="A2788" s="4"/>
      <c r="C2788" s="4"/>
      <c r="D2788" s="4"/>
    </row>
    <row r="2789" spans="1:4" ht="13" x14ac:dyDescent="0.15">
      <c r="A2789" s="4"/>
      <c r="C2789" s="4"/>
      <c r="D2789" s="4"/>
    </row>
    <row r="2790" spans="1:4" ht="13" x14ac:dyDescent="0.15">
      <c r="A2790" s="4"/>
      <c r="C2790" s="4"/>
      <c r="D2790" s="4"/>
    </row>
    <row r="2791" spans="1:4" ht="13" x14ac:dyDescent="0.15">
      <c r="A2791" s="4"/>
      <c r="C2791" s="4"/>
      <c r="D2791" s="4"/>
    </row>
    <row r="2792" spans="1:4" ht="13" x14ac:dyDescent="0.15">
      <c r="A2792" s="4"/>
      <c r="C2792" s="4"/>
      <c r="D2792" s="4"/>
    </row>
    <row r="2793" spans="1:4" ht="13" x14ac:dyDescent="0.15">
      <c r="A2793" s="4"/>
      <c r="C2793" s="4"/>
      <c r="D2793" s="4"/>
    </row>
    <row r="2794" spans="1:4" ht="13" x14ac:dyDescent="0.15">
      <c r="A2794" s="4"/>
      <c r="C2794" s="4"/>
      <c r="D2794" s="4"/>
    </row>
    <row r="2795" spans="1:4" ht="13" x14ac:dyDescent="0.15">
      <c r="A2795" s="4"/>
      <c r="C2795" s="4"/>
      <c r="D2795" s="4"/>
    </row>
    <row r="2796" spans="1:4" ht="13" x14ac:dyDescent="0.15">
      <c r="A2796" s="4"/>
      <c r="C2796" s="4"/>
      <c r="D2796" s="4"/>
    </row>
    <row r="2797" spans="1:4" ht="13" x14ac:dyDescent="0.15">
      <c r="A2797" s="4"/>
      <c r="C2797" s="4"/>
      <c r="D2797" s="4"/>
    </row>
    <row r="2798" spans="1:4" ht="13" x14ac:dyDescent="0.15">
      <c r="A2798" s="4"/>
      <c r="C2798" s="4"/>
      <c r="D2798" s="4"/>
    </row>
    <row r="2799" spans="1:4" ht="13" x14ac:dyDescent="0.15">
      <c r="A2799" s="4"/>
      <c r="C2799" s="4"/>
      <c r="D2799" s="4"/>
    </row>
    <row r="2800" spans="1:4" ht="13" x14ac:dyDescent="0.15">
      <c r="A2800" s="4"/>
      <c r="C2800" s="4"/>
      <c r="D2800" s="4"/>
    </row>
    <row r="2801" spans="1:4" ht="13" x14ac:dyDescent="0.15">
      <c r="A2801" s="4"/>
      <c r="C2801" s="4"/>
      <c r="D2801" s="4"/>
    </row>
    <row r="2802" spans="1:4" ht="13" x14ac:dyDescent="0.15">
      <c r="A2802" s="4"/>
      <c r="C2802" s="4"/>
      <c r="D2802" s="4"/>
    </row>
    <row r="2803" spans="1:4" ht="13" x14ac:dyDescent="0.15">
      <c r="A2803" s="4"/>
      <c r="C2803" s="4"/>
      <c r="D2803" s="4"/>
    </row>
    <row r="2804" spans="1:4" ht="13" x14ac:dyDescent="0.15">
      <c r="A2804" s="4"/>
      <c r="C2804" s="4"/>
      <c r="D2804" s="4"/>
    </row>
    <row r="2805" spans="1:4" ht="13" x14ac:dyDescent="0.15">
      <c r="A2805" s="4"/>
      <c r="C2805" s="4"/>
      <c r="D2805" s="4"/>
    </row>
    <row r="2806" spans="1:4" ht="13" x14ac:dyDescent="0.15">
      <c r="A2806" s="4"/>
      <c r="C2806" s="4"/>
      <c r="D2806" s="4"/>
    </row>
    <row r="2807" spans="1:4" ht="13" x14ac:dyDescent="0.15">
      <c r="A2807" s="4"/>
      <c r="C2807" s="4"/>
      <c r="D2807" s="4"/>
    </row>
    <row r="2808" spans="1:4" ht="13" x14ac:dyDescent="0.15">
      <c r="A2808" s="4"/>
      <c r="C2808" s="4"/>
      <c r="D2808" s="4"/>
    </row>
    <row r="2809" spans="1:4" ht="13" x14ac:dyDescent="0.15">
      <c r="A2809" s="4"/>
      <c r="C2809" s="4"/>
      <c r="D2809" s="4"/>
    </row>
    <row r="2810" spans="1:4" ht="13" x14ac:dyDescent="0.15">
      <c r="A2810" s="4"/>
      <c r="C2810" s="4"/>
      <c r="D2810" s="4"/>
    </row>
    <row r="2811" spans="1:4" ht="13" x14ac:dyDescent="0.15">
      <c r="A2811" s="4"/>
      <c r="C2811" s="4"/>
      <c r="D2811" s="4"/>
    </row>
    <row r="2812" spans="1:4" ht="13" x14ac:dyDescent="0.15">
      <c r="A2812" s="4"/>
      <c r="C2812" s="4"/>
      <c r="D2812" s="4"/>
    </row>
    <row r="2813" spans="1:4" ht="13" x14ac:dyDescent="0.15">
      <c r="A2813" s="4"/>
      <c r="C2813" s="4"/>
      <c r="D2813" s="4"/>
    </row>
    <row r="2814" spans="1:4" ht="13" x14ac:dyDescent="0.15">
      <c r="A2814" s="4"/>
      <c r="C2814" s="4"/>
      <c r="D2814" s="4"/>
    </row>
    <row r="2815" spans="1:4" ht="13" x14ac:dyDescent="0.15">
      <c r="A2815" s="4"/>
      <c r="C2815" s="4"/>
      <c r="D2815" s="4"/>
    </row>
    <row r="2816" spans="1:4" ht="13" x14ac:dyDescent="0.15">
      <c r="A2816" s="4"/>
      <c r="C2816" s="4"/>
      <c r="D2816" s="4"/>
    </row>
    <row r="2817" spans="1:4" ht="13" x14ac:dyDescent="0.15">
      <c r="A2817" s="4"/>
      <c r="C2817" s="4"/>
      <c r="D2817" s="4"/>
    </row>
    <row r="2818" spans="1:4" ht="13" x14ac:dyDescent="0.15">
      <c r="A2818" s="4"/>
      <c r="C2818" s="4"/>
      <c r="D2818" s="4"/>
    </row>
    <row r="2819" spans="1:4" ht="13" x14ac:dyDescent="0.15">
      <c r="A2819" s="4"/>
      <c r="C2819" s="4"/>
      <c r="D2819" s="4"/>
    </row>
    <row r="2820" spans="1:4" ht="13" x14ac:dyDescent="0.15">
      <c r="A2820" s="4"/>
      <c r="C2820" s="4"/>
      <c r="D2820" s="4"/>
    </row>
    <row r="2821" spans="1:4" ht="13" x14ac:dyDescent="0.15">
      <c r="A2821" s="4"/>
      <c r="C2821" s="4"/>
      <c r="D2821" s="4"/>
    </row>
    <row r="2822" spans="1:4" ht="13" x14ac:dyDescent="0.15">
      <c r="A2822" s="4"/>
      <c r="C2822" s="4"/>
      <c r="D2822" s="4"/>
    </row>
    <row r="2823" spans="1:4" ht="13" x14ac:dyDescent="0.15">
      <c r="A2823" s="4"/>
      <c r="C2823" s="4"/>
      <c r="D2823" s="4"/>
    </row>
    <row r="2824" spans="1:4" ht="13" x14ac:dyDescent="0.15">
      <c r="A2824" s="4"/>
      <c r="C2824" s="4"/>
      <c r="D2824" s="4"/>
    </row>
    <row r="2825" spans="1:4" ht="13" x14ac:dyDescent="0.15">
      <c r="A2825" s="4"/>
      <c r="C2825" s="4"/>
      <c r="D2825" s="4"/>
    </row>
    <row r="2826" spans="1:4" ht="13" x14ac:dyDescent="0.15">
      <c r="A2826" s="4"/>
      <c r="C2826" s="4"/>
      <c r="D2826" s="4"/>
    </row>
    <row r="2827" spans="1:4" ht="13" x14ac:dyDescent="0.15">
      <c r="A2827" s="4"/>
      <c r="C2827" s="4"/>
      <c r="D2827" s="4"/>
    </row>
    <row r="2828" spans="1:4" ht="13" x14ac:dyDescent="0.15">
      <c r="A2828" s="4"/>
      <c r="C2828" s="4"/>
      <c r="D2828" s="4"/>
    </row>
    <row r="2829" spans="1:4" ht="13" x14ac:dyDescent="0.15">
      <c r="A2829" s="4"/>
      <c r="C2829" s="4"/>
      <c r="D2829" s="4"/>
    </row>
    <row r="2830" spans="1:4" ht="13" x14ac:dyDescent="0.15">
      <c r="A2830" s="4"/>
      <c r="C2830" s="4"/>
      <c r="D2830" s="4"/>
    </row>
    <row r="2831" spans="1:4" ht="13" x14ac:dyDescent="0.15">
      <c r="A2831" s="4"/>
      <c r="C2831" s="4"/>
      <c r="D2831" s="4"/>
    </row>
    <row r="2832" spans="1:4" ht="13" x14ac:dyDescent="0.15">
      <c r="A2832" s="4"/>
      <c r="C2832" s="4"/>
      <c r="D2832" s="4"/>
    </row>
    <row r="2833" spans="1:4" ht="13" x14ac:dyDescent="0.15">
      <c r="A2833" s="4"/>
      <c r="C2833" s="4"/>
      <c r="D2833" s="4"/>
    </row>
    <row r="2834" spans="1:4" ht="13" x14ac:dyDescent="0.15">
      <c r="A2834" s="4"/>
      <c r="C2834" s="4"/>
      <c r="D2834" s="4"/>
    </row>
    <row r="2835" spans="1:4" ht="13" x14ac:dyDescent="0.15">
      <c r="A2835" s="4"/>
      <c r="C2835" s="4"/>
      <c r="D2835" s="4"/>
    </row>
    <row r="2836" spans="1:4" ht="13" x14ac:dyDescent="0.15">
      <c r="A2836" s="4"/>
      <c r="C2836" s="4"/>
      <c r="D2836" s="4"/>
    </row>
    <row r="2837" spans="1:4" ht="13" x14ac:dyDescent="0.15">
      <c r="A2837" s="4"/>
      <c r="C2837" s="4"/>
      <c r="D2837" s="4"/>
    </row>
    <row r="2838" spans="1:4" ht="13" x14ac:dyDescent="0.15">
      <c r="A2838" s="4"/>
      <c r="C2838" s="4"/>
      <c r="D2838" s="4"/>
    </row>
    <row r="2839" spans="1:4" ht="13" x14ac:dyDescent="0.15">
      <c r="A2839" s="4"/>
      <c r="C2839" s="4"/>
      <c r="D2839" s="4"/>
    </row>
    <row r="2840" spans="1:4" ht="13" x14ac:dyDescent="0.15">
      <c r="A2840" s="4"/>
      <c r="C2840" s="4"/>
      <c r="D2840" s="4"/>
    </row>
    <row r="2841" spans="1:4" ht="13" x14ac:dyDescent="0.15">
      <c r="A2841" s="4"/>
      <c r="C2841" s="4"/>
      <c r="D2841" s="4"/>
    </row>
    <row r="2842" spans="1:4" ht="13" x14ac:dyDescent="0.15">
      <c r="A2842" s="4"/>
      <c r="C2842" s="4"/>
      <c r="D2842" s="4"/>
    </row>
    <row r="2843" spans="1:4" ht="13" x14ac:dyDescent="0.15">
      <c r="A2843" s="4"/>
      <c r="C2843" s="4"/>
      <c r="D2843" s="4"/>
    </row>
    <row r="2844" spans="1:4" ht="13" x14ac:dyDescent="0.15">
      <c r="A2844" s="4"/>
      <c r="C2844" s="4"/>
      <c r="D2844" s="4"/>
    </row>
    <row r="2845" spans="1:4" ht="13" x14ac:dyDescent="0.15">
      <c r="A2845" s="4"/>
      <c r="C2845" s="4"/>
      <c r="D2845" s="4"/>
    </row>
    <row r="2846" spans="1:4" ht="13" x14ac:dyDescent="0.15">
      <c r="A2846" s="4"/>
      <c r="C2846" s="4"/>
      <c r="D2846" s="4"/>
    </row>
    <row r="2847" spans="1:4" ht="13" x14ac:dyDescent="0.15">
      <c r="A2847" s="4"/>
      <c r="C2847" s="4"/>
      <c r="D2847" s="4"/>
    </row>
    <row r="2848" spans="1:4" ht="13" x14ac:dyDescent="0.15">
      <c r="A2848" s="4"/>
      <c r="C2848" s="4"/>
      <c r="D2848" s="4"/>
    </row>
    <row r="2849" spans="1:4" ht="13" x14ac:dyDescent="0.15">
      <c r="A2849" s="4"/>
      <c r="C2849" s="4"/>
      <c r="D2849" s="4"/>
    </row>
    <row r="2850" spans="1:4" ht="13" x14ac:dyDescent="0.15">
      <c r="A2850" s="4"/>
      <c r="C2850" s="4"/>
      <c r="D2850" s="4"/>
    </row>
    <row r="2851" spans="1:4" ht="13" x14ac:dyDescent="0.15">
      <c r="A2851" s="4"/>
      <c r="C2851" s="4"/>
      <c r="D2851" s="4"/>
    </row>
    <row r="2852" spans="1:4" ht="13" x14ac:dyDescent="0.15">
      <c r="A2852" s="4"/>
      <c r="C2852" s="4"/>
      <c r="D2852" s="4"/>
    </row>
    <row r="2853" spans="1:4" ht="13" x14ac:dyDescent="0.15">
      <c r="A2853" s="4"/>
      <c r="C2853" s="4"/>
      <c r="D2853" s="4"/>
    </row>
    <row r="2854" spans="1:4" ht="13" x14ac:dyDescent="0.15">
      <c r="A2854" s="4"/>
      <c r="C2854" s="4"/>
      <c r="D2854" s="4"/>
    </row>
    <row r="2855" spans="1:4" ht="13" x14ac:dyDescent="0.15">
      <c r="A2855" s="4"/>
      <c r="C2855" s="4"/>
      <c r="D2855" s="4"/>
    </row>
    <row r="2856" spans="1:4" ht="13" x14ac:dyDescent="0.15">
      <c r="A2856" s="4"/>
      <c r="C2856" s="4"/>
      <c r="D2856" s="4"/>
    </row>
    <row r="2857" spans="1:4" ht="13" x14ac:dyDescent="0.15">
      <c r="A2857" s="4"/>
      <c r="C2857" s="4"/>
      <c r="D2857" s="4"/>
    </row>
    <row r="2858" spans="1:4" ht="13" x14ac:dyDescent="0.15">
      <c r="A2858" s="4"/>
      <c r="C2858" s="4"/>
      <c r="D2858" s="4"/>
    </row>
    <row r="2859" spans="1:4" ht="13" x14ac:dyDescent="0.15">
      <c r="A2859" s="4"/>
      <c r="C2859" s="4"/>
      <c r="D2859" s="4"/>
    </row>
    <row r="2860" spans="1:4" ht="13" x14ac:dyDescent="0.15">
      <c r="A2860" s="4"/>
      <c r="C2860" s="4"/>
      <c r="D2860" s="4"/>
    </row>
    <row r="2861" spans="1:4" ht="13" x14ac:dyDescent="0.15">
      <c r="A2861" s="4"/>
      <c r="C2861" s="4"/>
      <c r="D2861" s="4"/>
    </row>
    <row r="2862" spans="1:4" ht="13" x14ac:dyDescent="0.15">
      <c r="A2862" s="4"/>
      <c r="C2862" s="4"/>
      <c r="D2862" s="4"/>
    </row>
    <row r="2863" spans="1:4" ht="13" x14ac:dyDescent="0.15">
      <c r="A2863" s="4"/>
      <c r="C2863" s="4"/>
      <c r="D2863" s="4"/>
    </row>
    <row r="2864" spans="1:4" ht="13" x14ac:dyDescent="0.15">
      <c r="A2864" s="4"/>
      <c r="C2864" s="4"/>
      <c r="D2864" s="4"/>
    </row>
    <row r="2865" spans="1:4" ht="13" x14ac:dyDescent="0.15">
      <c r="A2865" s="4"/>
      <c r="C2865" s="4"/>
      <c r="D2865" s="4"/>
    </row>
    <row r="2866" spans="1:4" ht="13" x14ac:dyDescent="0.15">
      <c r="A2866" s="4"/>
      <c r="C2866" s="4"/>
      <c r="D2866" s="4"/>
    </row>
    <row r="2867" spans="1:4" ht="13" x14ac:dyDescent="0.15">
      <c r="A2867" s="4"/>
      <c r="C2867" s="4"/>
      <c r="D2867" s="4"/>
    </row>
    <row r="2868" spans="1:4" ht="13" x14ac:dyDescent="0.15">
      <c r="A2868" s="4"/>
      <c r="C2868" s="4"/>
      <c r="D2868" s="4"/>
    </row>
    <row r="2869" spans="1:4" ht="13" x14ac:dyDescent="0.15">
      <c r="A2869" s="4"/>
      <c r="C2869" s="4"/>
      <c r="D2869" s="4"/>
    </row>
    <row r="2870" spans="1:4" ht="13" x14ac:dyDescent="0.15">
      <c r="A2870" s="4"/>
      <c r="C2870" s="4"/>
      <c r="D2870" s="4"/>
    </row>
    <row r="2871" spans="1:4" ht="13" x14ac:dyDescent="0.15">
      <c r="A2871" s="4"/>
      <c r="C2871" s="4"/>
      <c r="D2871" s="4"/>
    </row>
    <row r="2872" spans="1:4" ht="13" x14ac:dyDescent="0.15">
      <c r="A2872" s="4"/>
      <c r="C2872" s="4"/>
      <c r="D2872" s="4"/>
    </row>
    <row r="2873" spans="1:4" ht="13" x14ac:dyDescent="0.15">
      <c r="A2873" s="4"/>
      <c r="C2873" s="4"/>
      <c r="D2873" s="4"/>
    </row>
    <row r="2874" spans="1:4" ht="13" x14ac:dyDescent="0.15">
      <c r="A2874" s="4"/>
      <c r="C2874" s="4"/>
      <c r="D2874" s="4"/>
    </row>
    <row r="2875" spans="1:4" ht="13" x14ac:dyDescent="0.15">
      <c r="A2875" s="4"/>
      <c r="C2875" s="4"/>
      <c r="D2875" s="4"/>
    </row>
    <row r="2876" spans="1:4" ht="13" x14ac:dyDescent="0.15">
      <c r="A2876" s="4"/>
      <c r="C2876" s="4"/>
      <c r="D2876" s="4"/>
    </row>
    <row r="2877" spans="1:4" ht="13" x14ac:dyDescent="0.15">
      <c r="A2877" s="4"/>
      <c r="C2877" s="4"/>
      <c r="D2877" s="4"/>
    </row>
    <row r="2878" spans="1:4" ht="13" x14ac:dyDescent="0.15">
      <c r="A2878" s="4"/>
      <c r="C2878" s="4"/>
      <c r="D2878" s="4"/>
    </row>
    <row r="2879" spans="1:4" ht="13" x14ac:dyDescent="0.15">
      <c r="A2879" s="4"/>
      <c r="C2879" s="4"/>
      <c r="D2879" s="4"/>
    </row>
    <row r="2880" spans="1:4" ht="13" x14ac:dyDescent="0.15">
      <c r="A2880" s="4"/>
      <c r="C2880" s="4"/>
      <c r="D2880" s="4"/>
    </row>
    <row r="2881" spans="1:4" ht="13" x14ac:dyDescent="0.15">
      <c r="A2881" s="4"/>
      <c r="C2881" s="4"/>
      <c r="D2881" s="4"/>
    </row>
    <row r="2882" spans="1:4" ht="13" x14ac:dyDescent="0.15">
      <c r="A2882" s="4"/>
      <c r="C2882" s="4"/>
      <c r="D2882" s="4"/>
    </row>
    <row r="2883" spans="1:4" ht="13" x14ac:dyDescent="0.15">
      <c r="A2883" s="4"/>
      <c r="C2883" s="4"/>
      <c r="D2883" s="4"/>
    </row>
    <row r="2884" spans="1:4" ht="13" x14ac:dyDescent="0.15">
      <c r="A2884" s="4"/>
      <c r="C2884" s="4"/>
      <c r="D2884" s="4"/>
    </row>
    <row r="2885" spans="1:4" ht="13" x14ac:dyDescent="0.15">
      <c r="A2885" s="4"/>
      <c r="C2885" s="4"/>
      <c r="D2885" s="4"/>
    </row>
    <row r="2886" spans="1:4" ht="13" x14ac:dyDescent="0.15">
      <c r="A2886" s="4"/>
      <c r="C2886" s="4"/>
      <c r="D2886" s="4"/>
    </row>
    <row r="2887" spans="1:4" ht="13" x14ac:dyDescent="0.15">
      <c r="A2887" s="4"/>
      <c r="C2887" s="4"/>
      <c r="D2887" s="4"/>
    </row>
    <row r="2888" spans="1:4" ht="13" x14ac:dyDescent="0.15">
      <c r="A2888" s="4"/>
      <c r="C2888" s="4"/>
      <c r="D2888" s="4"/>
    </row>
    <row r="2889" spans="1:4" ht="13" x14ac:dyDescent="0.15">
      <c r="A2889" s="4"/>
      <c r="C2889" s="4"/>
      <c r="D2889" s="4"/>
    </row>
    <row r="2890" spans="1:4" ht="13" x14ac:dyDescent="0.15">
      <c r="A2890" s="4"/>
      <c r="C2890" s="4"/>
      <c r="D2890" s="4"/>
    </row>
    <row r="2891" spans="1:4" ht="13" x14ac:dyDescent="0.15">
      <c r="A2891" s="4"/>
      <c r="C2891" s="4"/>
      <c r="D2891" s="4"/>
    </row>
    <row r="2892" spans="1:4" ht="13" x14ac:dyDescent="0.15">
      <c r="A2892" s="4"/>
      <c r="C2892" s="4"/>
      <c r="D2892" s="4"/>
    </row>
    <row r="2893" spans="1:4" ht="13" x14ac:dyDescent="0.15">
      <c r="A2893" s="4"/>
      <c r="C2893" s="4"/>
      <c r="D2893" s="4"/>
    </row>
    <row r="2894" spans="1:4" ht="13" x14ac:dyDescent="0.15">
      <c r="A2894" s="4"/>
      <c r="C2894" s="4"/>
      <c r="D2894" s="4"/>
    </row>
    <row r="2895" spans="1:4" ht="13" x14ac:dyDescent="0.15">
      <c r="A2895" s="4"/>
      <c r="C2895" s="4"/>
      <c r="D2895" s="4"/>
    </row>
    <row r="2896" spans="1:4" ht="13" x14ac:dyDescent="0.15">
      <c r="A2896" s="4"/>
      <c r="C2896" s="4"/>
      <c r="D2896" s="4"/>
    </row>
    <row r="2897" spans="1:4" ht="13" x14ac:dyDescent="0.15">
      <c r="A2897" s="4"/>
      <c r="C2897" s="4"/>
      <c r="D2897" s="4"/>
    </row>
    <row r="2898" spans="1:4" ht="13" x14ac:dyDescent="0.15">
      <c r="A2898" s="4"/>
      <c r="C2898" s="4"/>
      <c r="D2898" s="4"/>
    </row>
    <row r="2899" spans="1:4" ht="13" x14ac:dyDescent="0.15">
      <c r="A2899" s="4"/>
      <c r="C2899" s="4"/>
      <c r="D2899" s="4"/>
    </row>
    <row r="2900" spans="1:4" ht="13" x14ac:dyDescent="0.15">
      <c r="A2900" s="4"/>
      <c r="C2900" s="4"/>
      <c r="D2900" s="4"/>
    </row>
    <row r="2901" spans="1:4" ht="13" x14ac:dyDescent="0.15">
      <c r="A2901" s="4"/>
      <c r="C2901" s="4"/>
      <c r="D2901" s="4"/>
    </row>
    <row r="2902" spans="1:4" ht="13" x14ac:dyDescent="0.15">
      <c r="A2902" s="4"/>
      <c r="C2902" s="4"/>
      <c r="D2902" s="4"/>
    </row>
    <row r="2903" spans="1:4" ht="13" x14ac:dyDescent="0.15">
      <c r="A2903" s="4"/>
      <c r="C2903" s="4"/>
      <c r="D2903" s="4"/>
    </row>
    <row r="2904" spans="1:4" ht="13" x14ac:dyDescent="0.15">
      <c r="A2904" s="4"/>
      <c r="C2904" s="4"/>
      <c r="D2904" s="4"/>
    </row>
    <row r="2905" spans="1:4" ht="13" x14ac:dyDescent="0.15">
      <c r="A2905" s="4"/>
      <c r="C2905" s="4"/>
      <c r="D2905" s="4"/>
    </row>
    <row r="2906" spans="1:4" ht="13" x14ac:dyDescent="0.15">
      <c r="A2906" s="4"/>
      <c r="C2906" s="4"/>
      <c r="D2906" s="4"/>
    </row>
    <row r="2907" spans="1:4" ht="13" x14ac:dyDescent="0.15">
      <c r="A2907" s="4"/>
      <c r="C2907" s="4"/>
      <c r="D2907" s="4"/>
    </row>
    <row r="2908" spans="1:4" ht="13" x14ac:dyDescent="0.15">
      <c r="A2908" s="4"/>
      <c r="C2908" s="4"/>
      <c r="D2908" s="4"/>
    </row>
    <row r="2909" spans="1:4" ht="13" x14ac:dyDescent="0.15">
      <c r="A2909" s="4"/>
      <c r="C2909" s="4"/>
      <c r="D2909" s="4"/>
    </row>
    <row r="2910" spans="1:4" ht="13" x14ac:dyDescent="0.15">
      <c r="A2910" s="4"/>
      <c r="C2910" s="4"/>
      <c r="D2910" s="4"/>
    </row>
    <row r="2911" spans="1:4" ht="13" x14ac:dyDescent="0.15">
      <c r="A2911" s="4"/>
      <c r="C2911" s="4"/>
      <c r="D2911" s="4"/>
    </row>
    <row r="2912" spans="1:4" ht="13" x14ac:dyDescent="0.15">
      <c r="A2912" s="4"/>
      <c r="C2912" s="4"/>
      <c r="D2912" s="4"/>
    </row>
    <row r="2913" spans="1:4" ht="13" x14ac:dyDescent="0.15">
      <c r="A2913" s="4"/>
      <c r="C2913" s="4"/>
      <c r="D2913" s="4"/>
    </row>
    <row r="2914" spans="1:4" ht="13" x14ac:dyDescent="0.15">
      <c r="A2914" s="4"/>
      <c r="C2914" s="4"/>
      <c r="D2914" s="4"/>
    </row>
    <row r="2915" spans="1:4" ht="13" x14ac:dyDescent="0.15">
      <c r="A2915" s="4"/>
      <c r="C2915" s="4"/>
      <c r="D2915" s="4"/>
    </row>
    <row r="2916" spans="1:4" ht="13" x14ac:dyDescent="0.15">
      <c r="A2916" s="4"/>
      <c r="C2916" s="4"/>
      <c r="D2916" s="4"/>
    </row>
    <row r="2917" spans="1:4" ht="13" x14ac:dyDescent="0.15">
      <c r="A2917" s="4"/>
      <c r="C2917" s="4"/>
      <c r="D2917" s="4"/>
    </row>
    <row r="2918" spans="1:4" ht="13" x14ac:dyDescent="0.15">
      <c r="A2918" s="4"/>
      <c r="C2918" s="4"/>
      <c r="D2918" s="4"/>
    </row>
    <row r="2919" spans="1:4" ht="13" x14ac:dyDescent="0.15">
      <c r="A2919" s="4"/>
      <c r="C2919" s="4"/>
      <c r="D2919" s="4"/>
    </row>
    <row r="2920" spans="1:4" ht="13" x14ac:dyDescent="0.15">
      <c r="A2920" s="4"/>
      <c r="C2920" s="4"/>
      <c r="D2920" s="4"/>
    </row>
    <row r="2921" spans="1:4" ht="13" x14ac:dyDescent="0.15">
      <c r="A2921" s="4"/>
      <c r="C2921" s="4"/>
      <c r="D2921" s="4"/>
    </row>
    <row r="2922" spans="1:4" ht="13" x14ac:dyDescent="0.15">
      <c r="A2922" s="4"/>
      <c r="C2922" s="4"/>
      <c r="D2922" s="4"/>
    </row>
    <row r="2923" spans="1:4" ht="13" x14ac:dyDescent="0.15">
      <c r="A2923" s="4"/>
      <c r="C2923" s="4"/>
      <c r="D2923" s="4"/>
    </row>
    <row r="2924" spans="1:4" ht="13" x14ac:dyDescent="0.15">
      <c r="A2924" s="4"/>
      <c r="C2924" s="4"/>
      <c r="D2924" s="4"/>
    </row>
    <row r="2925" spans="1:4" ht="13" x14ac:dyDescent="0.15">
      <c r="A2925" s="4"/>
      <c r="C2925" s="4"/>
      <c r="D2925" s="4"/>
    </row>
    <row r="2926" spans="1:4" ht="13" x14ac:dyDescent="0.15">
      <c r="A2926" s="4"/>
      <c r="C2926" s="4"/>
      <c r="D2926" s="4"/>
    </row>
    <row r="2927" spans="1:4" ht="13" x14ac:dyDescent="0.15">
      <c r="A2927" s="4"/>
      <c r="C2927" s="4"/>
      <c r="D2927" s="4"/>
    </row>
    <row r="2928" spans="1:4" ht="13" x14ac:dyDescent="0.15">
      <c r="A2928" s="4"/>
      <c r="C2928" s="4"/>
      <c r="D2928" s="4"/>
    </row>
    <row r="2929" spans="1:4" ht="13" x14ac:dyDescent="0.15">
      <c r="A2929" s="4"/>
      <c r="C2929" s="4"/>
      <c r="D2929" s="4"/>
    </row>
    <row r="2930" spans="1:4" ht="13" x14ac:dyDescent="0.15">
      <c r="A2930" s="4"/>
      <c r="C2930" s="4"/>
      <c r="D2930" s="4"/>
    </row>
    <row r="2931" spans="1:4" ht="13" x14ac:dyDescent="0.15">
      <c r="A2931" s="4"/>
      <c r="C2931" s="4"/>
      <c r="D2931" s="4"/>
    </row>
    <row r="2932" spans="1:4" ht="13" x14ac:dyDescent="0.15">
      <c r="A2932" s="4"/>
      <c r="C2932" s="4"/>
      <c r="D2932" s="4"/>
    </row>
    <row r="2933" spans="1:4" ht="13" x14ac:dyDescent="0.15">
      <c r="A2933" s="4"/>
      <c r="C2933" s="4"/>
      <c r="D2933" s="4"/>
    </row>
    <row r="2934" spans="1:4" ht="13" x14ac:dyDescent="0.15">
      <c r="A2934" s="4"/>
      <c r="C2934" s="4"/>
      <c r="D2934" s="4"/>
    </row>
    <row r="2935" spans="1:4" ht="13" x14ac:dyDescent="0.15">
      <c r="A2935" s="4"/>
      <c r="C2935" s="4"/>
      <c r="D2935" s="4"/>
    </row>
    <row r="2936" spans="1:4" ht="13" x14ac:dyDescent="0.15">
      <c r="A2936" s="4"/>
      <c r="C2936" s="4"/>
      <c r="D2936" s="4"/>
    </row>
    <row r="2937" spans="1:4" ht="13" x14ac:dyDescent="0.15">
      <c r="A2937" s="4"/>
      <c r="C2937" s="4"/>
      <c r="D2937" s="4"/>
    </row>
    <row r="2938" spans="1:4" ht="13" x14ac:dyDescent="0.15">
      <c r="A2938" s="4"/>
      <c r="C2938" s="4"/>
      <c r="D2938" s="4"/>
    </row>
    <row r="2939" spans="1:4" ht="13" x14ac:dyDescent="0.15">
      <c r="A2939" s="4"/>
      <c r="C2939" s="4"/>
      <c r="D2939" s="4"/>
    </row>
    <row r="2940" spans="1:4" ht="13" x14ac:dyDescent="0.15">
      <c r="A2940" s="4"/>
      <c r="C2940" s="4"/>
      <c r="D2940" s="4"/>
    </row>
    <row r="2941" spans="1:4" ht="13" x14ac:dyDescent="0.15">
      <c r="A2941" s="4"/>
      <c r="C2941" s="4"/>
      <c r="D2941" s="4"/>
    </row>
    <row r="2942" spans="1:4" ht="13" x14ac:dyDescent="0.15">
      <c r="A2942" s="4"/>
      <c r="C2942" s="4"/>
      <c r="D2942" s="4"/>
    </row>
    <row r="2943" spans="1:4" ht="13" x14ac:dyDescent="0.15">
      <c r="A2943" s="4"/>
      <c r="C2943" s="4"/>
      <c r="D2943" s="4"/>
    </row>
    <row r="2944" spans="1:4" ht="13" x14ac:dyDescent="0.15">
      <c r="A2944" s="4"/>
      <c r="C2944" s="4"/>
      <c r="D2944" s="4"/>
    </row>
    <row r="2945" spans="1:4" ht="13" x14ac:dyDescent="0.15">
      <c r="A2945" s="4"/>
      <c r="C2945" s="4"/>
      <c r="D2945" s="4"/>
    </row>
    <row r="2946" spans="1:4" ht="13" x14ac:dyDescent="0.15">
      <c r="A2946" s="4"/>
      <c r="C2946" s="4"/>
      <c r="D2946" s="4"/>
    </row>
    <row r="2947" spans="1:4" ht="13" x14ac:dyDescent="0.15">
      <c r="A2947" s="4"/>
      <c r="C2947" s="4"/>
      <c r="D2947" s="4"/>
    </row>
    <row r="2948" spans="1:4" ht="13" x14ac:dyDescent="0.15">
      <c r="A2948" s="4"/>
      <c r="C2948" s="4"/>
      <c r="D2948" s="4"/>
    </row>
    <row r="2949" spans="1:4" ht="13" x14ac:dyDescent="0.15">
      <c r="A2949" s="4"/>
      <c r="C2949" s="4"/>
      <c r="D2949" s="4"/>
    </row>
    <row r="2950" spans="1:4" ht="13" x14ac:dyDescent="0.15">
      <c r="A2950" s="4"/>
      <c r="C2950" s="4"/>
      <c r="D2950" s="4"/>
    </row>
    <row r="2951" spans="1:4" ht="13" x14ac:dyDescent="0.15">
      <c r="A2951" s="4"/>
      <c r="C2951" s="4"/>
      <c r="D2951" s="4"/>
    </row>
    <row r="2952" spans="1:4" ht="13" x14ac:dyDescent="0.15">
      <c r="A2952" s="4"/>
      <c r="C2952" s="4"/>
      <c r="D2952" s="4"/>
    </row>
    <row r="2953" spans="1:4" ht="13" x14ac:dyDescent="0.15">
      <c r="A2953" s="4"/>
      <c r="C2953" s="4"/>
      <c r="D2953" s="4"/>
    </row>
    <row r="2954" spans="1:4" ht="13" x14ac:dyDescent="0.15">
      <c r="A2954" s="4"/>
      <c r="C2954" s="4"/>
      <c r="D2954" s="4"/>
    </row>
    <row r="2955" spans="1:4" ht="13" x14ac:dyDescent="0.15">
      <c r="A2955" s="4"/>
      <c r="C2955" s="4"/>
      <c r="D2955" s="4"/>
    </row>
    <row r="2956" spans="1:4" ht="13" x14ac:dyDescent="0.15">
      <c r="A2956" s="4"/>
      <c r="C2956" s="4"/>
      <c r="D2956" s="4"/>
    </row>
    <row r="2957" spans="1:4" ht="13" x14ac:dyDescent="0.15">
      <c r="A2957" s="4"/>
      <c r="C2957" s="4"/>
      <c r="D2957" s="4"/>
    </row>
    <row r="2958" spans="1:4" ht="13" x14ac:dyDescent="0.15">
      <c r="A2958" s="4"/>
      <c r="C2958" s="4"/>
      <c r="D2958" s="4"/>
    </row>
    <row r="2959" spans="1:4" ht="13" x14ac:dyDescent="0.15">
      <c r="A2959" s="4"/>
      <c r="C2959" s="4"/>
      <c r="D2959" s="4"/>
    </row>
    <row r="2960" spans="1:4" ht="13" x14ac:dyDescent="0.15">
      <c r="A2960" s="4"/>
      <c r="C2960" s="4"/>
      <c r="D2960" s="4"/>
    </row>
    <row r="2961" spans="1:4" ht="13" x14ac:dyDescent="0.15">
      <c r="A2961" s="4"/>
      <c r="C2961" s="4"/>
      <c r="D2961" s="4"/>
    </row>
    <row r="2962" spans="1:4" ht="13" x14ac:dyDescent="0.15">
      <c r="A2962" s="4"/>
      <c r="C2962" s="4"/>
      <c r="D2962" s="4"/>
    </row>
    <row r="2963" spans="1:4" ht="13" x14ac:dyDescent="0.15">
      <c r="A2963" s="4"/>
      <c r="C2963" s="4"/>
      <c r="D2963" s="4"/>
    </row>
    <row r="2964" spans="1:4" ht="13" x14ac:dyDescent="0.15">
      <c r="A2964" s="4"/>
      <c r="C2964" s="4"/>
      <c r="D2964" s="4"/>
    </row>
    <row r="2965" spans="1:4" ht="13" x14ac:dyDescent="0.15">
      <c r="A2965" s="4"/>
      <c r="C2965" s="4"/>
      <c r="D2965" s="4"/>
    </row>
    <row r="2966" spans="1:4" ht="13" x14ac:dyDescent="0.15">
      <c r="A2966" s="4"/>
      <c r="C2966" s="4"/>
      <c r="D2966" s="4"/>
    </row>
    <row r="2967" spans="1:4" ht="13" x14ac:dyDescent="0.15">
      <c r="A2967" s="4"/>
      <c r="C2967" s="4"/>
      <c r="D2967" s="4"/>
    </row>
    <row r="2968" spans="1:4" ht="13" x14ac:dyDescent="0.15">
      <c r="A2968" s="4"/>
      <c r="C2968" s="4"/>
      <c r="D2968" s="4"/>
    </row>
    <row r="2969" spans="1:4" ht="13" x14ac:dyDescent="0.15">
      <c r="A2969" s="4"/>
      <c r="C2969" s="4"/>
      <c r="D2969" s="4"/>
    </row>
    <row r="2970" spans="1:4" ht="13" x14ac:dyDescent="0.15">
      <c r="A2970" s="4"/>
      <c r="C2970" s="4"/>
      <c r="D2970" s="4"/>
    </row>
    <row r="2971" spans="1:4" ht="13" x14ac:dyDescent="0.15">
      <c r="A2971" s="4"/>
      <c r="C2971" s="4"/>
      <c r="D2971" s="4"/>
    </row>
    <row r="2972" spans="1:4" ht="13" x14ac:dyDescent="0.15">
      <c r="A2972" s="4"/>
      <c r="C2972" s="4"/>
      <c r="D2972" s="4"/>
    </row>
    <row r="2973" spans="1:4" ht="13" x14ac:dyDescent="0.15">
      <c r="A2973" s="4"/>
      <c r="C2973" s="4"/>
      <c r="D2973" s="4"/>
    </row>
    <row r="2974" spans="1:4" ht="13" x14ac:dyDescent="0.15">
      <c r="A2974" s="4"/>
      <c r="C2974" s="4"/>
      <c r="D2974" s="4"/>
    </row>
    <row r="2975" spans="1:4" ht="13" x14ac:dyDescent="0.15">
      <c r="A2975" s="4"/>
      <c r="C2975" s="4"/>
      <c r="D2975" s="4"/>
    </row>
    <row r="2976" spans="1:4" ht="13" x14ac:dyDescent="0.15">
      <c r="A2976" s="4"/>
      <c r="C2976" s="4"/>
      <c r="D2976" s="4"/>
    </row>
    <row r="2977" spans="1:4" ht="13" x14ac:dyDescent="0.15">
      <c r="A2977" s="4"/>
      <c r="C2977" s="4"/>
      <c r="D2977" s="4"/>
    </row>
    <row r="2978" spans="1:4" ht="13" x14ac:dyDescent="0.15">
      <c r="A2978" s="4"/>
      <c r="C2978" s="4"/>
      <c r="D2978" s="4"/>
    </row>
    <row r="2979" spans="1:4" ht="13" x14ac:dyDescent="0.15">
      <c r="A2979" s="4"/>
      <c r="C2979" s="4"/>
      <c r="D2979" s="4"/>
    </row>
    <row r="2980" spans="1:4" ht="13" x14ac:dyDescent="0.15">
      <c r="A2980" s="4"/>
      <c r="C2980" s="4"/>
      <c r="D2980" s="4"/>
    </row>
    <row r="2981" spans="1:4" ht="13" x14ac:dyDescent="0.15">
      <c r="A2981" s="4"/>
      <c r="C2981" s="4"/>
      <c r="D2981" s="4"/>
    </row>
    <row r="2982" spans="1:4" ht="13" x14ac:dyDescent="0.15">
      <c r="A2982" s="4"/>
      <c r="C2982" s="4"/>
      <c r="D2982" s="4"/>
    </row>
    <row r="2983" spans="1:4" ht="13" x14ac:dyDescent="0.15">
      <c r="A2983" s="4"/>
      <c r="C2983" s="4"/>
      <c r="D2983" s="4"/>
    </row>
    <row r="2984" spans="1:4" ht="13" x14ac:dyDescent="0.15">
      <c r="A2984" s="4"/>
      <c r="C2984" s="4"/>
      <c r="D2984" s="4"/>
    </row>
    <row r="2985" spans="1:4" ht="13" x14ac:dyDescent="0.15">
      <c r="A2985" s="4"/>
      <c r="C2985" s="4"/>
      <c r="D2985" s="4"/>
    </row>
    <row r="2986" spans="1:4" ht="13" x14ac:dyDescent="0.15">
      <c r="A2986" s="4"/>
      <c r="C2986" s="4"/>
      <c r="D2986" s="4"/>
    </row>
    <row r="2987" spans="1:4" ht="13" x14ac:dyDescent="0.15">
      <c r="A2987" s="4"/>
      <c r="C2987" s="4"/>
      <c r="D2987" s="4"/>
    </row>
    <row r="2988" spans="1:4" ht="13" x14ac:dyDescent="0.15">
      <c r="A2988" s="4"/>
      <c r="C2988" s="4"/>
      <c r="D2988" s="4"/>
    </row>
    <row r="2989" spans="1:4" ht="13" x14ac:dyDescent="0.15">
      <c r="A2989" s="4"/>
      <c r="C2989" s="4"/>
      <c r="D2989" s="4"/>
    </row>
    <row r="2990" spans="1:4" ht="13" x14ac:dyDescent="0.15">
      <c r="A2990" s="4"/>
      <c r="C2990" s="4"/>
      <c r="D2990" s="4"/>
    </row>
    <row r="2991" spans="1:4" ht="13" x14ac:dyDescent="0.15">
      <c r="A2991" s="4"/>
      <c r="C2991" s="4"/>
      <c r="D2991" s="4"/>
    </row>
    <row r="2992" spans="1:4" ht="13" x14ac:dyDescent="0.15">
      <c r="A2992" s="4"/>
      <c r="C2992" s="4"/>
      <c r="D2992" s="4"/>
    </row>
    <row r="2993" spans="1:4" ht="13" x14ac:dyDescent="0.15">
      <c r="A2993" s="4"/>
      <c r="C2993" s="4"/>
      <c r="D2993" s="4"/>
    </row>
    <row r="2994" spans="1:4" ht="13" x14ac:dyDescent="0.15">
      <c r="A2994" s="4"/>
      <c r="C2994" s="4"/>
      <c r="D2994" s="4"/>
    </row>
    <row r="2995" spans="1:4" ht="13" x14ac:dyDescent="0.15">
      <c r="A2995" s="4"/>
      <c r="C2995" s="4"/>
      <c r="D2995" s="4"/>
    </row>
    <row r="2996" spans="1:4" ht="13" x14ac:dyDescent="0.15">
      <c r="A2996" s="4"/>
      <c r="C2996" s="4"/>
      <c r="D2996" s="4"/>
    </row>
    <row r="2997" spans="1:4" ht="13" x14ac:dyDescent="0.15">
      <c r="A2997" s="4"/>
      <c r="C2997" s="4"/>
      <c r="D2997" s="4"/>
    </row>
    <row r="2998" spans="1:4" ht="13" x14ac:dyDescent="0.15">
      <c r="A2998" s="4"/>
      <c r="C2998" s="4"/>
      <c r="D2998" s="4"/>
    </row>
    <row r="2999" spans="1:4" ht="13" x14ac:dyDescent="0.15">
      <c r="A2999" s="4"/>
      <c r="C2999" s="4"/>
      <c r="D2999" s="4"/>
    </row>
    <row r="3000" spans="1:4" ht="13" x14ac:dyDescent="0.15">
      <c r="A3000" s="4"/>
      <c r="C3000" s="4"/>
      <c r="D3000" s="4"/>
    </row>
    <row r="3001" spans="1:4" ht="13" x14ac:dyDescent="0.15">
      <c r="A3001" s="4"/>
      <c r="C3001" s="4"/>
      <c r="D3001" s="4"/>
    </row>
    <row r="3002" spans="1:4" ht="13" x14ac:dyDescent="0.15">
      <c r="A3002" s="4"/>
      <c r="C3002" s="4"/>
      <c r="D3002" s="4"/>
    </row>
    <row r="3003" spans="1:4" ht="13" x14ac:dyDescent="0.15">
      <c r="A3003" s="4"/>
      <c r="C3003" s="4"/>
      <c r="D3003" s="4"/>
    </row>
    <row r="3004" spans="1:4" ht="13" x14ac:dyDescent="0.15">
      <c r="A3004" s="4"/>
      <c r="C3004" s="4"/>
      <c r="D3004" s="4"/>
    </row>
    <row r="3005" spans="1:4" ht="13" x14ac:dyDescent="0.15">
      <c r="A3005" s="4"/>
      <c r="C3005" s="4"/>
      <c r="D3005" s="4"/>
    </row>
    <row r="3006" spans="1:4" ht="13" x14ac:dyDescent="0.15">
      <c r="A3006" s="4"/>
      <c r="C3006" s="4"/>
      <c r="D3006" s="4"/>
    </row>
    <row r="3007" spans="1:4" ht="13" x14ac:dyDescent="0.15">
      <c r="A3007" s="4"/>
      <c r="C3007" s="4"/>
      <c r="D3007" s="4"/>
    </row>
    <row r="3008" spans="1:4" ht="13" x14ac:dyDescent="0.15">
      <c r="A3008" s="4"/>
      <c r="C3008" s="4"/>
      <c r="D3008" s="4"/>
    </row>
    <row r="3009" spans="1:4" ht="13" x14ac:dyDescent="0.15">
      <c r="A3009" s="4"/>
      <c r="C3009" s="4"/>
      <c r="D3009" s="4"/>
    </row>
    <row r="3010" spans="1:4" ht="13" x14ac:dyDescent="0.15">
      <c r="A3010" s="4"/>
      <c r="C3010" s="4"/>
      <c r="D3010" s="4"/>
    </row>
    <row r="3011" spans="1:4" ht="13" x14ac:dyDescent="0.15">
      <c r="A3011" s="4"/>
      <c r="C3011" s="4"/>
      <c r="D3011" s="4"/>
    </row>
    <row r="3012" spans="1:4" ht="13" x14ac:dyDescent="0.15">
      <c r="A3012" s="4"/>
      <c r="C3012" s="4"/>
      <c r="D3012" s="4"/>
    </row>
    <row r="3013" spans="1:4" ht="13" x14ac:dyDescent="0.15">
      <c r="A3013" s="4"/>
      <c r="C3013" s="4"/>
      <c r="D3013" s="4"/>
    </row>
    <row r="3014" spans="1:4" ht="13" x14ac:dyDescent="0.15">
      <c r="A3014" s="4"/>
      <c r="C3014" s="4"/>
      <c r="D3014" s="4"/>
    </row>
    <row r="3015" spans="1:4" ht="13" x14ac:dyDescent="0.15">
      <c r="A3015" s="4"/>
      <c r="C3015" s="4"/>
      <c r="D3015" s="4"/>
    </row>
    <row r="3016" spans="1:4" ht="13" x14ac:dyDescent="0.15">
      <c r="A3016" s="4"/>
      <c r="C3016" s="4"/>
      <c r="D3016" s="4"/>
    </row>
    <row r="3017" spans="1:4" ht="13" x14ac:dyDescent="0.15">
      <c r="A3017" s="4"/>
      <c r="C3017" s="4"/>
      <c r="D3017" s="4"/>
    </row>
    <row r="3018" spans="1:4" ht="13" x14ac:dyDescent="0.15">
      <c r="A3018" s="4"/>
      <c r="C3018" s="4"/>
      <c r="D3018" s="4"/>
    </row>
    <row r="3019" spans="1:4" ht="13" x14ac:dyDescent="0.15">
      <c r="A3019" s="4"/>
      <c r="C3019" s="4"/>
      <c r="D3019" s="4"/>
    </row>
    <row r="3020" spans="1:4" ht="13" x14ac:dyDescent="0.15">
      <c r="A3020" s="4"/>
      <c r="C3020" s="4"/>
      <c r="D3020" s="4"/>
    </row>
    <row r="3021" spans="1:4" ht="13" x14ac:dyDescent="0.15">
      <c r="A3021" s="4"/>
      <c r="C3021" s="4"/>
      <c r="D3021" s="4"/>
    </row>
    <row r="3022" spans="1:4" ht="13" x14ac:dyDescent="0.15">
      <c r="A3022" s="4"/>
      <c r="C3022" s="4"/>
      <c r="D3022" s="4"/>
    </row>
    <row r="3023" spans="1:4" ht="13" x14ac:dyDescent="0.15">
      <c r="A3023" s="4"/>
      <c r="C3023" s="4"/>
      <c r="D3023" s="4"/>
    </row>
    <row r="3024" spans="1:4" ht="13" x14ac:dyDescent="0.15">
      <c r="A3024" s="4"/>
      <c r="C3024" s="4"/>
      <c r="D3024" s="4"/>
    </row>
    <row r="3025" spans="1:4" ht="13" x14ac:dyDescent="0.15">
      <c r="A3025" s="4"/>
      <c r="C3025" s="4"/>
      <c r="D3025" s="4"/>
    </row>
    <row r="3026" spans="1:4" ht="13" x14ac:dyDescent="0.15">
      <c r="A3026" s="4"/>
      <c r="C3026" s="4"/>
      <c r="D3026" s="4"/>
    </row>
    <row r="3027" spans="1:4" ht="13" x14ac:dyDescent="0.15">
      <c r="A3027" s="4"/>
      <c r="C3027" s="4"/>
      <c r="D3027" s="4"/>
    </row>
    <row r="3028" spans="1:4" ht="13" x14ac:dyDescent="0.15">
      <c r="A3028" s="4"/>
      <c r="C3028" s="4"/>
      <c r="D3028" s="4"/>
    </row>
    <row r="3029" spans="1:4" ht="13" x14ac:dyDescent="0.15">
      <c r="A3029" s="4"/>
      <c r="C3029" s="4"/>
      <c r="D3029" s="4"/>
    </row>
    <row r="3030" spans="1:4" ht="13" x14ac:dyDescent="0.15">
      <c r="A3030" s="4"/>
      <c r="C3030" s="4"/>
      <c r="D3030" s="4"/>
    </row>
    <row r="3031" spans="1:4" ht="13" x14ac:dyDescent="0.15">
      <c r="A3031" s="4"/>
      <c r="C3031" s="4"/>
      <c r="D3031" s="4"/>
    </row>
    <row r="3032" spans="1:4" ht="13" x14ac:dyDescent="0.15">
      <c r="A3032" s="4"/>
      <c r="C3032" s="4"/>
      <c r="D3032" s="4"/>
    </row>
    <row r="3033" spans="1:4" ht="13" x14ac:dyDescent="0.15">
      <c r="A3033" s="4"/>
      <c r="C3033" s="4"/>
      <c r="D3033" s="4"/>
    </row>
    <row r="3034" spans="1:4" ht="13" x14ac:dyDescent="0.15">
      <c r="A3034" s="4"/>
      <c r="C3034" s="4"/>
      <c r="D3034" s="4"/>
    </row>
    <row r="3035" spans="1:4" ht="13" x14ac:dyDescent="0.15">
      <c r="A3035" s="4"/>
      <c r="C3035" s="4"/>
      <c r="D3035" s="4"/>
    </row>
    <row r="3036" spans="1:4" ht="13" x14ac:dyDescent="0.15">
      <c r="A3036" s="4"/>
      <c r="C3036" s="4"/>
      <c r="D3036" s="4"/>
    </row>
    <row r="3037" spans="1:4" ht="13" x14ac:dyDescent="0.15">
      <c r="A3037" s="4"/>
      <c r="C3037" s="4"/>
      <c r="D3037" s="4"/>
    </row>
    <row r="3038" spans="1:4" ht="13" x14ac:dyDescent="0.15">
      <c r="A3038" s="4"/>
      <c r="C3038" s="4"/>
      <c r="D3038" s="4"/>
    </row>
    <row r="3039" spans="1:4" ht="13" x14ac:dyDescent="0.15">
      <c r="A3039" s="4"/>
      <c r="C3039" s="4"/>
      <c r="D3039" s="4"/>
    </row>
    <row r="3040" spans="1:4" ht="13" x14ac:dyDescent="0.15">
      <c r="A3040" s="4"/>
      <c r="C3040" s="4"/>
      <c r="D3040" s="4"/>
    </row>
    <row r="3041" spans="1:4" ht="13" x14ac:dyDescent="0.15">
      <c r="A3041" s="4"/>
      <c r="C3041" s="4"/>
      <c r="D3041" s="4"/>
    </row>
    <row r="3042" spans="1:4" ht="13" x14ac:dyDescent="0.15">
      <c r="A3042" s="4"/>
      <c r="C3042" s="4"/>
      <c r="D3042" s="4"/>
    </row>
    <row r="3043" spans="1:4" ht="13" x14ac:dyDescent="0.15">
      <c r="A3043" s="4"/>
      <c r="C3043" s="4"/>
      <c r="D3043" s="4"/>
    </row>
    <row r="3044" spans="1:4" ht="13" x14ac:dyDescent="0.15">
      <c r="A3044" s="4"/>
      <c r="C3044" s="4"/>
      <c r="D3044" s="4"/>
    </row>
    <row r="3045" spans="1:4" ht="13" x14ac:dyDescent="0.15">
      <c r="A3045" s="4"/>
      <c r="C3045" s="4"/>
      <c r="D3045" s="4"/>
    </row>
    <row r="3046" spans="1:4" ht="13" x14ac:dyDescent="0.15">
      <c r="A3046" s="4"/>
      <c r="C3046" s="4"/>
      <c r="D3046" s="4"/>
    </row>
    <row r="3047" spans="1:4" ht="13" x14ac:dyDescent="0.15">
      <c r="A3047" s="4"/>
      <c r="C3047" s="4"/>
      <c r="D3047" s="4"/>
    </row>
    <row r="3048" spans="1:4" ht="13" x14ac:dyDescent="0.15">
      <c r="A3048" s="4"/>
      <c r="C3048" s="4"/>
      <c r="D3048" s="4"/>
    </row>
    <row r="3049" spans="1:4" ht="13" x14ac:dyDescent="0.15">
      <c r="A3049" s="4"/>
      <c r="C3049" s="4"/>
      <c r="D3049" s="4"/>
    </row>
    <row r="3050" spans="1:4" ht="13" x14ac:dyDescent="0.15">
      <c r="A3050" s="4"/>
      <c r="C3050" s="4"/>
      <c r="D3050" s="4"/>
    </row>
    <row r="3051" spans="1:4" ht="13" x14ac:dyDescent="0.15">
      <c r="A3051" s="4"/>
      <c r="C3051" s="4"/>
      <c r="D3051" s="4"/>
    </row>
    <row r="3052" spans="1:4" ht="13" x14ac:dyDescent="0.15">
      <c r="A3052" s="4"/>
      <c r="C3052" s="4"/>
      <c r="D3052" s="4"/>
    </row>
    <row r="3053" spans="1:4" ht="13" x14ac:dyDescent="0.15">
      <c r="A3053" s="4"/>
      <c r="C3053" s="4"/>
      <c r="D3053" s="4"/>
    </row>
    <row r="3054" spans="1:4" ht="13" x14ac:dyDescent="0.15">
      <c r="A3054" s="4"/>
      <c r="C3054" s="4"/>
      <c r="D3054" s="4"/>
    </row>
    <row r="3055" spans="1:4" ht="13" x14ac:dyDescent="0.15">
      <c r="A3055" s="4"/>
      <c r="C3055" s="4"/>
      <c r="D3055" s="4"/>
    </row>
    <row r="3056" spans="1:4" ht="13" x14ac:dyDescent="0.15">
      <c r="A3056" s="4"/>
      <c r="C3056" s="4"/>
      <c r="D3056" s="4"/>
    </row>
    <row r="3057" spans="1:4" ht="13" x14ac:dyDescent="0.15">
      <c r="A3057" s="4"/>
      <c r="C3057" s="4"/>
      <c r="D3057" s="4"/>
    </row>
    <row r="3058" spans="1:4" ht="13" x14ac:dyDescent="0.15">
      <c r="A3058" s="4"/>
      <c r="C3058" s="4"/>
      <c r="D3058" s="4"/>
    </row>
    <row r="3059" spans="1:4" ht="13" x14ac:dyDescent="0.15">
      <c r="A3059" s="4"/>
      <c r="C3059" s="4"/>
      <c r="D3059" s="4"/>
    </row>
    <row r="3060" spans="1:4" ht="13" x14ac:dyDescent="0.15">
      <c r="A3060" s="4"/>
      <c r="C3060" s="4"/>
      <c r="D3060" s="4"/>
    </row>
    <row r="3061" spans="1:4" ht="13" x14ac:dyDescent="0.15">
      <c r="A3061" s="4"/>
      <c r="C3061" s="4"/>
      <c r="D3061" s="4"/>
    </row>
    <row r="3062" spans="1:4" ht="13" x14ac:dyDescent="0.15">
      <c r="A3062" s="4"/>
      <c r="C3062" s="4"/>
      <c r="D3062" s="4"/>
    </row>
    <row r="3063" spans="1:4" ht="13" x14ac:dyDescent="0.15">
      <c r="A3063" s="4"/>
      <c r="C3063" s="4"/>
      <c r="D3063" s="4"/>
    </row>
    <row r="3064" spans="1:4" ht="13" x14ac:dyDescent="0.15">
      <c r="A3064" s="4"/>
      <c r="C3064" s="4"/>
      <c r="D3064" s="4"/>
    </row>
    <row r="3065" spans="1:4" ht="13" x14ac:dyDescent="0.15">
      <c r="A3065" s="4"/>
      <c r="C3065" s="4"/>
      <c r="D3065" s="4"/>
    </row>
    <row r="3066" spans="1:4" ht="13" x14ac:dyDescent="0.15">
      <c r="A3066" s="4"/>
      <c r="C3066" s="4"/>
      <c r="D3066" s="4"/>
    </row>
    <row r="3067" spans="1:4" ht="13" x14ac:dyDescent="0.15">
      <c r="A3067" s="4"/>
      <c r="C3067" s="4"/>
      <c r="D3067" s="4"/>
    </row>
    <row r="3068" spans="1:4" ht="13" x14ac:dyDescent="0.15">
      <c r="A3068" s="4"/>
      <c r="C3068" s="4"/>
      <c r="D3068" s="4"/>
    </row>
    <row r="3069" spans="1:4" ht="13" x14ac:dyDescent="0.15">
      <c r="A3069" s="4"/>
      <c r="C3069" s="4"/>
      <c r="D3069" s="4"/>
    </row>
    <row r="3070" spans="1:4" ht="13" x14ac:dyDescent="0.15">
      <c r="A3070" s="4"/>
      <c r="C3070" s="4"/>
      <c r="D3070" s="4"/>
    </row>
    <row r="3071" spans="1:4" ht="13" x14ac:dyDescent="0.15">
      <c r="A3071" s="4"/>
      <c r="C3071" s="4"/>
      <c r="D3071" s="4"/>
    </row>
    <row r="3072" spans="1:4" ht="13" x14ac:dyDescent="0.15">
      <c r="A3072" s="4"/>
      <c r="C3072" s="4"/>
      <c r="D3072" s="4"/>
    </row>
    <row r="3073" spans="1:4" ht="13" x14ac:dyDescent="0.15">
      <c r="A3073" s="4"/>
      <c r="C3073" s="4"/>
      <c r="D3073" s="4"/>
    </row>
    <row r="3074" spans="1:4" ht="13" x14ac:dyDescent="0.15">
      <c r="A3074" s="4"/>
      <c r="C3074" s="4"/>
      <c r="D3074" s="4"/>
    </row>
    <row r="3075" spans="1:4" ht="13" x14ac:dyDescent="0.15">
      <c r="A3075" s="4"/>
      <c r="C3075" s="4"/>
      <c r="D3075" s="4"/>
    </row>
    <row r="3076" spans="1:4" ht="13" x14ac:dyDescent="0.15">
      <c r="A3076" s="4"/>
      <c r="C3076" s="4"/>
      <c r="D3076" s="4"/>
    </row>
    <row r="3077" spans="1:4" ht="13" x14ac:dyDescent="0.15">
      <c r="A3077" s="4"/>
      <c r="C3077" s="4"/>
      <c r="D3077" s="4"/>
    </row>
    <row r="3078" spans="1:4" ht="13" x14ac:dyDescent="0.15">
      <c r="A3078" s="4"/>
      <c r="C3078" s="4"/>
      <c r="D3078" s="4"/>
    </row>
    <row r="3079" spans="1:4" ht="13" x14ac:dyDescent="0.15">
      <c r="A3079" s="4"/>
      <c r="C3079" s="4"/>
      <c r="D3079" s="4"/>
    </row>
    <row r="3080" spans="1:4" ht="13" x14ac:dyDescent="0.15">
      <c r="A3080" s="4"/>
      <c r="C3080" s="4"/>
      <c r="D3080" s="4"/>
    </row>
    <row r="3081" spans="1:4" ht="13" x14ac:dyDescent="0.15">
      <c r="A3081" s="4"/>
      <c r="C3081" s="4"/>
      <c r="D3081" s="4"/>
    </row>
    <row r="3082" spans="1:4" ht="13" x14ac:dyDescent="0.15">
      <c r="A3082" s="4"/>
      <c r="C3082" s="4"/>
      <c r="D3082" s="4"/>
    </row>
    <row r="3083" spans="1:4" ht="13" x14ac:dyDescent="0.15">
      <c r="A3083" s="4"/>
      <c r="C3083" s="4"/>
      <c r="D3083" s="4"/>
    </row>
    <row r="3084" spans="1:4" ht="13" x14ac:dyDescent="0.15">
      <c r="A3084" s="4"/>
      <c r="C3084" s="4"/>
      <c r="D3084" s="4"/>
    </row>
    <row r="3085" spans="1:4" ht="13" x14ac:dyDescent="0.15">
      <c r="A3085" s="4"/>
      <c r="C3085" s="4"/>
      <c r="D3085" s="4"/>
    </row>
    <row r="3086" spans="1:4" ht="13" x14ac:dyDescent="0.15">
      <c r="A3086" s="4"/>
      <c r="C3086" s="4"/>
      <c r="D3086" s="4"/>
    </row>
    <row r="3087" spans="1:4" ht="13" x14ac:dyDescent="0.15">
      <c r="A3087" s="4"/>
      <c r="C3087" s="4"/>
      <c r="D3087" s="4"/>
    </row>
    <row r="3088" spans="1:4" ht="13" x14ac:dyDescent="0.15">
      <c r="A3088" s="4"/>
      <c r="C3088" s="4"/>
      <c r="D3088" s="4"/>
    </row>
    <row r="3089" spans="1:4" ht="13" x14ac:dyDescent="0.15">
      <c r="A3089" s="4"/>
      <c r="C3089" s="4"/>
      <c r="D3089" s="4"/>
    </row>
    <row r="3090" spans="1:4" ht="13" x14ac:dyDescent="0.15">
      <c r="A3090" s="4"/>
      <c r="C3090" s="4"/>
      <c r="D3090" s="4"/>
    </row>
    <row r="3091" spans="1:4" ht="13" x14ac:dyDescent="0.15">
      <c r="A3091" s="4"/>
      <c r="C3091" s="4"/>
      <c r="D3091" s="4"/>
    </row>
    <row r="3092" spans="1:4" ht="13" x14ac:dyDescent="0.15">
      <c r="A3092" s="4"/>
      <c r="C3092" s="4"/>
      <c r="D3092" s="4"/>
    </row>
    <row r="3093" spans="1:4" ht="13" x14ac:dyDescent="0.15">
      <c r="A3093" s="4"/>
      <c r="C3093" s="4"/>
      <c r="D3093" s="4"/>
    </row>
    <row r="3094" spans="1:4" ht="13" x14ac:dyDescent="0.15">
      <c r="A3094" s="4"/>
      <c r="C3094" s="4"/>
      <c r="D3094" s="4"/>
    </row>
    <row r="3095" spans="1:4" ht="13" x14ac:dyDescent="0.15">
      <c r="A3095" s="4"/>
      <c r="C3095" s="4"/>
      <c r="D3095" s="4"/>
    </row>
    <row r="3096" spans="1:4" ht="13" x14ac:dyDescent="0.15">
      <c r="A3096" s="4"/>
      <c r="C3096" s="4"/>
      <c r="D3096" s="4"/>
    </row>
    <row r="3097" spans="1:4" ht="13" x14ac:dyDescent="0.15">
      <c r="A3097" s="4"/>
      <c r="C3097" s="4"/>
      <c r="D3097" s="4"/>
    </row>
    <row r="3098" spans="1:4" ht="13" x14ac:dyDescent="0.15">
      <c r="A3098" s="4"/>
      <c r="C3098" s="4"/>
      <c r="D3098" s="4"/>
    </row>
    <row r="3099" spans="1:4" ht="13" x14ac:dyDescent="0.15">
      <c r="A3099" s="4"/>
      <c r="C3099" s="4"/>
      <c r="D3099" s="4"/>
    </row>
    <row r="3100" spans="1:4" ht="13" x14ac:dyDescent="0.15">
      <c r="A3100" s="4"/>
      <c r="C3100" s="4"/>
      <c r="D3100" s="4"/>
    </row>
    <row r="3101" spans="1:4" ht="13" x14ac:dyDescent="0.15">
      <c r="A3101" s="4"/>
      <c r="C3101" s="4"/>
      <c r="D3101" s="4"/>
    </row>
    <row r="3102" spans="1:4" ht="13" x14ac:dyDescent="0.15">
      <c r="A3102" s="4"/>
      <c r="C3102" s="4"/>
      <c r="D3102" s="4"/>
    </row>
    <row r="3103" spans="1:4" ht="13" x14ac:dyDescent="0.15">
      <c r="A3103" s="4"/>
      <c r="C3103" s="4"/>
      <c r="D3103" s="4"/>
    </row>
    <row r="3104" spans="1:4" ht="13" x14ac:dyDescent="0.15">
      <c r="A3104" s="4"/>
      <c r="C3104" s="4"/>
      <c r="D3104" s="4"/>
    </row>
    <row r="3105" spans="1:4" ht="13" x14ac:dyDescent="0.15">
      <c r="A3105" s="4"/>
      <c r="C3105" s="4"/>
      <c r="D3105" s="4"/>
    </row>
    <row r="3106" spans="1:4" ht="13" x14ac:dyDescent="0.15">
      <c r="A3106" s="4"/>
      <c r="C3106" s="4"/>
      <c r="D3106" s="4"/>
    </row>
    <row r="3107" spans="1:4" ht="13" x14ac:dyDescent="0.15">
      <c r="A3107" s="4"/>
      <c r="C3107" s="4"/>
      <c r="D3107" s="4"/>
    </row>
    <row r="3108" spans="1:4" ht="13" x14ac:dyDescent="0.15">
      <c r="A3108" s="4"/>
      <c r="C3108" s="4"/>
      <c r="D3108" s="4"/>
    </row>
    <row r="3109" spans="1:4" ht="13" x14ac:dyDescent="0.15">
      <c r="A3109" s="4"/>
      <c r="C3109" s="4"/>
      <c r="D3109" s="4"/>
    </row>
    <row r="3110" spans="1:4" ht="13" x14ac:dyDescent="0.15">
      <c r="A3110" s="4"/>
      <c r="C3110" s="4"/>
      <c r="D3110" s="4"/>
    </row>
    <row r="3111" spans="1:4" ht="13" x14ac:dyDescent="0.15">
      <c r="A3111" s="4"/>
      <c r="C3111" s="4"/>
      <c r="D3111" s="4"/>
    </row>
    <row r="3112" spans="1:4" ht="13" x14ac:dyDescent="0.15">
      <c r="A3112" s="4"/>
      <c r="C3112" s="4"/>
      <c r="D3112" s="4"/>
    </row>
    <row r="3113" spans="1:4" ht="13" x14ac:dyDescent="0.15">
      <c r="A3113" s="4"/>
      <c r="C3113" s="4"/>
      <c r="D3113" s="4"/>
    </row>
    <row r="3114" spans="1:4" ht="13" x14ac:dyDescent="0.15">
      <c r="A3114" s="4"/>
      <c r="C3114" s="4"/>
      <c r="D3114" s="4"/>
    </row>
    <row r="3115" spans="1:4" ht="13" x14ac:dyDescent="0.15">
      <c r="A3115" s="4"/>
      <c r="C3115" s="4"/>
      <c r="D3115" s="4"/>
    </row>
    <row r="3116" spans="1:4" ht="13" x14ac:dyDescent="0.15">
      <c r="A3116" s="4"/>
      <c r="C3116" s="4"/>
      <c r="D3116" s="4"/>
    </row>
    <row r="3117" spans="1:4" ht="13" x14ac:dyDescent="0.15">
      <c r="A3117" s="4"/>
      <c r="C3117" s="4"/>
      <c r="D3117" s="4"/>
    </row>
    <row r="3118" spans="1:4" ht="13" x14ac:dyDescent="0.15">
      <c r="A3118" s="4"/>
      <c r="C3118" s="4"/>
      <c r="D3118" s="4"/>
    </row>
    <row r="3119" spans="1:4" ht="13" x14ac:dyDescent="0.15">
      <c r="A3119" s="4"/>
      <c r="C3119" s="4"/>
      <c r="D3119" s="4"/>
    </row>
    <row r="3120" spans="1:4" ht="13" x14ac:dyDescent="0.15">
      <c r="A3120" s="4"/>
      <c r="C3120" s="4"/>
      <c r="D3120" s="4"/>
    </row>
    <row r="3121" spans="1:4" ht="13" x14ac:dyDescent="0.15">
      <c r="A3121" s="4"/>
      <c r="C3121" s="4"/>
      <c r="D3121" s="4"/>
    </row>
    <row r="3122" spans="1:4" ht="13" x14ac:dyDescent="0.15">
      <c r="A3122" s="4"/>
      <c r="C3122" s="4"/>
      <c r="D3122" s="4"/>
    </row>
    <row r="3123" spans="1:4" ht="13" x14ac:dyDescent="0.15">
      <c r="A3123" s="4"/>
      <c r="C3123" s="4"/>
      <c r="D3123" s="4"/>
    </row>
    <row r="3124" spans="1:4" ht="13" x14ac:dyDescent="0.15">
      <c r="A3124" s="4"/>
      <c r="C3124" s="4"/>
      <c r="D3124" s="4"/>
    </row>
    <row r="3125" spans="1:4" ht="13" x14ac:dyDescent="0.15">
      <c r="A3125" s="4"/>
      <c r="C3125" s="4"/>
      <c r="D3125" s="4"/>
    </row>
    <row r="3126" spans="1:4" ht="13" x14ac:dyDescent="0.15">
      <c r="A3126" s="4"/>
      <c r="C3126" s="4"/>
      <c r="D3126" s="4"/>
    </row>
    <row r="3127" spans="1:4" ht="13" x14ac:dyDescent="0.15">
      <c r="A3127" s="4"/>
      <c r="C3127" s="4"/>
      <c r="D3127" s="4"/>
    </row>
    <row r="3128" spans="1:4" ht="13" x14ac:dyDescent="0.15">
      <c r="A3128" s="4"/>
      <c r="C3128" s="4"/>
      <c r="D3128" s="4"/>
    </row>
    <row r="3129" spans="1:4" ht="13" x14ac:dyDescent="0.15">
      <c r="A3129" s="4"/>
      <c r="C3129" s="4"/>
      <c r="D3129" s="4"/>
    </row>
    <row r="3130" spans="1:4" ht="13" x14ac:dyDescent="0.15">
      <c r="A3130" s="4"/>
      <c r="C3130" s="4"/>
      <c r="D3130" s="4"/>
    </row>
    <row r="3131" spans="1:4" ht="13" x14ac:dyDescent="0.15">
      <c r="A3131" s="4"/>
      <c r="C3131" s="4"/>
      <c r="D3131" s="4"/>
    </row>
    <row r="3132" spans="1:4" ht="13" x14ac:dyDescent="0.15">
      <c r="A3132" s="4"/>
      <c r="C3132" s="4"/>
      <c r="D3132" s="4"/>
    </row>
    <row r="3133" spans="1:4" ht="13" x14ac:dyDescent="0.15">
      <c r="A3133" s="4"/>
      <c r="C3133" s="4"/>
      <c r="D3133" s="4"/>
    </row>
    <row r="3134" spans="1:4" ht="13" x14ac:dyDescent="0.15">
      <c r="A3134" s="4"/>
      <c r="C3134" s="4"/>
      <c r="D3134" s="4"/>
    </row>
    <row r="3135" spans="1:4" ht="13" x14ac:dyDescent="0.15">
      <c r="A3135" s="4"/>
      <c r="C3135" s="4"/>
      <c r="D3135" s="4"/>
    </row>
    <row r="3136" spans="1:4" ht="13" x14ac:dyDescent="0.15">
      <c r="A3136" s="4"/>
      <c r="C3136" s="4"/>
      <c r="D3136" s="4"/>
    </row>
    <row r="3137" spans="1:4" ht="13" x14ac:dyDescent="0.15">
      <c r="A3137" s="4"/>
      <c r="C3137" s="4"/>
      <c r="D3137" s="4"/>
    </row>
    <row r="3138" spans="1:4" ht="13" x14ac:dyDescent="0.15">
      <c r="A3138" s="4"/>
      <c r="C3138" s="4"/>
      <c r="D3138" s="4"/>
    </row>
    <row r="3139" spans="1:4" ht="13" x14ac:dyDescent="0.15">
      <c r="A3139" s="4"/>
      <c r="C3139" s="4"/>
      <c r="D3139" s="4"/>
    </row>
    <row r="3140" spans="1:4" ht="13" x14ac:dyDescent="0.15">
      <c r="A3140" s="4"/>
      <c r="C3140" s="4"/>
      <c r="D3140" s="4"/>
    </row>
    <row r="3141" spans="1:4" ht="13" x14ac:dyDescent="0.15">
      <c r="A3141" s="4"/>
      <c r="C3141" s="4"/>
      <c r="D3141" s="4"/>
    </row>
    <row r="3142" spans="1:4" ht="13" x14ac:dyDescent="0.15">
      <c r="A3142" s="4"/>
      <c r="C3142" s="4"/>
      <c r="D3142" s="4"/>
    </row>
    <row r="3143" spans="1:4" ht="13" x14ac:dyDescent="0.15">
      <c r="A3143" s="4"/>
      <c r="C3143" s="4"/>
      <c r="D3143" s="4"/>
    </row>
    <row r="3144" spans="1:4" ht="13" x14ac:dyDescent="0.15">
      <c r="A3144" s="4"/>
      <c r="C3144" s="4"/>
      <c r="D3144" s="4"/>
    </row>
    <row r="3145" spans="1:4" ht="13" x14ac:dyDescent="0.15">
      <c r="A3145" s="4"/>
      <c r="C3145" s="4"/>
      <c r="D3145" s="4"/>
    </row>
    <row r="3146" spans="1:4" ht="13" x14ac:dyDescent="0.15">
      <c r="A3146" s="4"/>
      <c r="C3146" s="4"/>
      <c r="D3146" s="4"/>
    </row>
    <row r="3147" spans="1:4" ht="13" x14ac:dyDescent="0.15">
      <c r="A3147" s="4"/>
      <c r="C3147" s="4"/>
      <c r="D3147" s="4"/>
    </row>
    <row r="3148" spans="1:4" ht="13" x14ac:dyDescent="0.15">
      <c r="A3148" s="4"/>
      <c r="C3148" s="4"/>
      <c r="D3148" s="4"/>
    </row>
    <row r="3149" spans="1:4" ht="13" x14ac:dyDescent="0.15">
      <c r="A3149" s="4"/>
      <c r="C3149" s="4"/>
      <c r="D3149" s="4"/>
    </row>
    <row r="3150" spans="1:4" ht="13" x14ac:dyDescent="0.15">
      <c r="A3150" s="4"/>
      <c r="C3150" s="4"/>
      <c r="D3150" s="4"/>
    </row>
    <row r="3151" spans="1:4" ht="13" x14ac:dyDescent="0.15">
      <c r="A3151" s="4"/>
      <c r="C3151" s="4"/>
      <c r="D3151" s="4"/>
    </row>
    <row r="3152" spans="1:4" ht="13" x14ac:dyDescent="0.15">
      <c r="A3152" s="4"/>
      <c r="C3152" s="4"/>
      <c r="D3152" s="4"/>
    </row>
    <row r="3153" spans="1:4" ht="13" x14ac:dyDescent="0.15">
      <c r="A3153" s="4"/>
      <c r="C3153" s="4"/>
      <c r="D3153" s="4"/>
    </row>
    <row r="3154" spans="1:4" ht="13" x14ac:dyDescent="0.15">
      <c r="A3154" s="4"/>
      <c r="C3154" s="4"/>
      <c r="D3154" s="4"/>
    </row>
    <row r="3155" spans="1:4" ht="13" x14ac:dyDescent="0.15">
      <c r="A3155" s="4"/>
      <c r="C3155" s="4"/>
      <c r="D3155" s="4"/>
    </row>
    <row r="3156" spans="1:4" ht="13" x14ac:dyDescent="0.15">
      <c r="A3156" s="4"/>
      <c r="C3156" s="4"/>
      <c r="D3156" s="4"/>
    </row>
    <row r="3157" spans="1:4" ht="13" x14ac:dyDescent="0.15">
      <c r="A3157" s="4"/>
      <c r="C3157" s="4"/>
      <c r="D3157" s="4"/>
    </row>
    <row r="3158" spans="1:4" ht="13" x14ac:dyDescent="0.15">
      <c r="A3158" s="4"/>
      <c r="C3158" s="4"/>
      <c r="D3158" s="4"/>
    </row>
    <row r="3159" spans="1:4" ht="13" x14ac:dyDescent="0.15">
      <c r="A3159" s="4"/>
      <c r="C3159" s="4"/>
      <c r="D3159" s="4"/>
    </row>
    <row r="3160" spans="1:4" ht="13" x14ac:dyDescent="0.15">
      <c r="A3160" s="4"/>
      <c r="C3160" s="4"/>
      <c r="D3160" s="4"/>
    </row>
    <row r="3161" spans="1:4" ht="13" x14ac:dyDescent="0.15">
      <c r="A3161" s="4"/>
      <c r="C3161" s="4"/>
      <c r="D3161" s="4"/>
    </row>
    <row r="3162" spans="1:4" ht="13" x14ac:dyDescent="0.15">
      <c r="A3162" s="4"/>
      <c r="C3162" s="4"/>
      <c r="D3162" s="4"/>
    </row>
    <row r="3163" spans="1:4" ht="13" x14ac:dyDescent="0.15">
      <c r="A3163" s="4"/>
      <c r="C3163" s="4"/>
      <c r="D3163" s="4"/>
    </row>
    <row r="3164" spans="1:4" ht="13" x14ac:dyDescent="0.15">
      <c r="A3164" s="4"/>
      <c r="C3164" s="4"/>
      <c r="D3164" s="4"/>
    </row>
    <row r="3165" spans="1:4" ht="13" x14ac:dyDescent="0.15">
      <c r="A3165" s="4"/>
      <c r="C3165" s="4"/>
      <c r="D3165" s="4"/>
    </row>
    <row r="3166" spans="1:4" ht="13" x14ac:dyDescent="0.15">
      <c r="A3166" s="4"/>
      <c r="C3166" s="4"/>
      <c r="D3166" s="4"/>
    </row>
    <row r="3167" spans="1:4" ht="13" x14ac:dyDescent="0.15">
      <c r="A3167" s="4"/>
      <c r="C3167" s="4"/>
      <c r="D3167" s="4"/>
    </row>
    <row r="3168" spans="1:4" ht="13" x14ac:dyDescent="0.15">
      <c r="A3168" s="4"/>
      <c r="C3168" s="4"/>
      <c r="D3168" s="4"/>
    </row>
    <row r="3169" spans="1:4" ht="13" x14ac:dyDescent="0.15">
      <c r="A3169" s="4"/>
      <c r="C3169" s="4"/>
      <c r="D3169" s="4"/>
    </row>
    <row r="3170" spans="1:4" ht="13" x14ac:dyDescent="0.15">
      <c r="A3170" s="4"/>
      <c r="C3170" s="4"/>
      <c r="D3170" s="4"/>
    </row>
    <row r="3171" spans="1:4" ht="13" x14ac:dyDescent="0.15">
      <c r="A3171" s="4"/>
      <c r="C3171" s="4"/>
      <c r="D3171" s="4"/>
    </row>
    <row r="3172" spans="1:4" ht="13" x14ac:dyDescent="0.15">
      <c r="A3172" s="4"/>
      <c r="C3172" s="4"/>
      <c r="D3172" s="4"/>
    </row>
    <row r="3173" spans="1:4" ht="13" x14ac:dyDescent="0.15">
      <c r="A3173" s="4"/>
      <c r="C3173" s="4"/>
      <c r="D3173" s="4"/>
    </row>
    <row r="3174" spans="1:4" ht="13" x14ac:dyDescent="0.15">
      <c r="A3174" s="4"/>
      <c r="C3174" s="4"/>
      <c r="D3174" s="4"/>
    </row>
    <row r="3175" spans="1:4" ht="13" x14ac:dyDescent="0.15">
      <c r="A3175" s="4"/>
      <c r="C3175" s="4"/>
      <c r="D3175" s="4"/>
    </row>
    <row r="3176" spans="1:4" ht="13" x14ac:dyDescent="0.15">
      <c r="A3176" s="4"/>
      <c r="C3176" s="4"/>
      <c r="D3176" s="4"/>
    </row>
    <row r="3177" spans="1:4" ht="13" x14ac:dyDescent="0.15">
      <c r="A3177" s="4"/>
      <c r="C3177" s="4"/>
      <c r="D3177" s="4"/>
    </row>
    <row r="3178" spans="1:4" ht="13" x14ac:dyDescent="0.15">
      <c r="A3178" s="4"/>
      <c r="C3178" s="4"/>
      <c r="D3178" s="4"/>
    </row>
    <row r="3179" spans="1:4" ht="13" x14ac:dyDescent="0.15">
      <c r="A3179" s="4"/>
      <c r="C3179" s="4"/>
      <c r="D3179" s="4"/>
    </row>
    <row r="3180" spans="1:4" ht="13" x14ac:dyDescent="0.15">
      <c r="A3180" s="4"/>
      <c r="C3180" s="4"/>
      <c r="D3180" s="4"/>
    </row>
    <row r="3181" spans="1:4" ht="13" x14ac:dyDescent="0.15">
      <c r="A3181" s="4"/>
      <c r="C3181" s="4"/>
      <c r="D3181" s="4"/>
    </row>
    <row r="3182" spans="1:4" ht="13" x14ac:dyDescent="0.15">
      <c r="A3182" s="4"/>
      <c r="C3182" s="4"/>
      <c r="D3182" s="4"/>
    </row>
    <row r="3183" spans="1:4" ht="13" x14ac:dyDescent="0.15">
      <c r="A3183" s="4"/>
      <c r="C3183" s="4"/>
      <c r="D3183" s="4"/>
    </row>
    <row r="3184" spans="1:4" ht="13" x14ac:dyDescent="0.15">
      <c r="A3184" s="4"/>
      <c r="C3184" s="4"/>
      <c r="D3184" s="4"/>
    </row>
    <row r="3185" spans="1:4" ht="13" x14ac:dyDescent="0.15">
      <c r="A3185" s="4"/>
      <c r="C3185" s="4"/>
      <c r="D3185" s="4"/>
    </row>
    <row r="3186" spans="1:4" ht="13" x14ac:dyDescent="0.15">
      <c r="A3186" s="4"/>
      <c r="C3186" s="4"/>
      <c r="D3186" s="4"/>
    </row>
    <row r="3187" spans="1:4" ht="13" x14ac:dyDescent="0.15">
      <c r="A3187" s="4"/>
      <c r="C3187" s="4"/>
      <c r="D3187" s="4"/>
    </row>
    <row r="3188" spans="1:4" ht="13" x14ac:dyDescent="0.15">
      <c r="A3188" s="4"/>
      <c r="C3188" s="4"/>
      <c r="D3188" s="4"/>
    </row>
    <row r="3189" spans="1:4" ht="13" x14ac:dyDescent="0.15">
      <c r="A3189" s="4"/>
      <c r="C3189" s="4"/>
      <c r="D3189" s="4"/>
    </row>
    <row r="3190" spans="1:4" ht="13" x14ac:dyDescent="0.15">
      <c r="A3190" s="4"/>
      <c r="C3190" s="4"/>
      <c r="D3190" s="4"/>
    </row>
    <row r="3191" spans="1:4" ht="13" x14ac:dyDescent="0.15">
      <c r="A3191" s="4"/>
      <c r="C3191" s="4"/>
      <c r="D3191" s="4"/>
    </row>
    <row r="3192" spans="1:4" ht="13" x14ac:dyDescent="0.15">
      <c r="A3192" s="4"/>
      <c r="C3192" s="4"/>
      <c r="D3192" s="4"/>
    </row>
    <row r="3193" spans="1:4" ht="13" x14ac:dyDescent="0.15">
      <c r="A3193" s="4"/>
      <c r="C3193" s="4"/>
      <c r="D3193" s="4"/>
    </row>
    <row r="3194" spans="1:4" ht="13" x14ac:dyDescent="0.15">
      <c r="A3194" s="4"/>
      <c r="C3194" s="4"/>
      <c r="D3194" s="4"/>
    </row>
    <row r="3195" spans="1:4" ht="13" x14ac:dyDescent="0.15">
      <c r="A3195" s="4"/>
      <c r="C3195" s="4"/>
      <c r="D3195" s="4"/>
    </row>
    <row r="3196" spans="1:4" ht="13" x14ac:dyDescent="0.15">
      <c r="A3196" s="4"/>
      <c r="C3196" s="4"/>
      <c r="D3196" s="4"/>
    </row>
    <row r="3197" spans="1:4" ht="13" x14ac:dyDescent="0.15">
      <c r="A3197" s="4"/>
      <c r="C3197" s="4"/>
      <c r="D3197" s="4"/>
    </row>
    <row r="3198" spans="1:4" ht="13" x14ac:dyDescent="0.15">
      <c r="A3198" s="4"/>
      <c r="C3198" s="4"/>
      <c r="D3198" s="4"/>
    </row>
    <row r="3199" spans="1:4" ht="13" x14ac:dyDescent="0.15">
      <c r="A3199" s="4"/>
      <c r="C3199" s="4"/>
      <c r="D3199" s="4"/>
    </row>
    <row r="3200" spans="1:4" ht="13" x14ac:dyDescent="0.15">
      <c r="A3200" s="4"/>
      <c r="C3200" s="4"/>
      <c r="D3200" s="4"/>
    </row>
    <row r="3201" spans="1:4" ht="13" x14ac:dyDescent="0.15">
      <c r="A3201" s="4"/>
      <c r="C3201" s="4"/>
      <c r="D3201" s="4"/>
    </row>
    <row r="3202" spans="1:4" ht="13" x14ac:dyDescent="0.15">
      <c r="A3202" s="4"/>
      <c r="C3202" s="4"/>
      <c r="D3202" s="4"/>
    </row>
    <row r="3203" spans="1:4" ht="13" x14ac:dyDescent="0.15">
      <c r="A3203" s="4"/>
      <c r="C3203" s="4"/>
      <c r="D3203" s="4"/>
    </row>
    <row r="3204" spans="1:4" ht="13" x14ac:dyDescent="0.15">
      <c r="A3204" s="4"/>
      <c r="C3204" s="4"/>
      <c r="D3204" s="4"/>
    </row>
    <row r="3205" spans="1:4" ht="13" x14ac:dyDescent="0.15">
      <c r="A3205" s="4"/>
      <c r="C3205" s="4"/>
      <c r="D3205" s="4"/>
    </row>
    <row r="3206" spans="1:4" ht="13" x14ac:dyDescent="0.15">
      <c r="A3206" s="4"/>
      <c r="C3206" s="4"/>
      <c r="D3206" s="4"/>
    </row>
    <row r="3207" spans="1:4" ht="13" x14ac:dyDescent="0.15">
      <c r="A3207" s="4"/>
      <c r="C3207" s="4"/>
      <c r="D3207" s="4"/>
    </row>
    <row r="3208" spans="1:4" ht="13" x14ac:dyDescent="0.15">
      <c r="A3208" s="4"/>
      <c r="C3208" s="4"/>
      <c r="D3208" s="4"/>
    </row>
    <row r="3209" spans="1:4" ht="13" x14ac:dyDescent="0.15">
      <c r="A3209" s="4"/>
      <c r="C3209" s="4"/>
      <c r="D3209" s="4"/>
    </row>
    <row r="3210" spans="1:4" ht="13" x14ac:dyDescent="0.15">
      <c r="A3210" s="4"/>
      <c r="C3210" s="4"/>
      <c r="D3210" s="4"/>
    </row>
    <row r="3211" spans="1:4" ht="13" x14ac:dyDescent="0.15">
      <c r="A3211" s="4"/>
      <c r="C3211" s="4"/>
      <c r="D3211" s="4"/>
    </row>
    <row r="3212" spans="1:4" ht="13" x14ac:dyDescent="0.15">
      <c r="A3212" s="4"/>
      <c r="C3212" s="4"/>
      <c r="D3212" s="4"/>
    </row>
    <row r="3213" spans="1:4" ht="13" x14ac:dyDescent="0.15">
      <c r="A3213" s="4"/>
      <c r="C3213" s="4"/>
      <c r="D3213" s="4"/>
    </row>
    <row r="3214" spans="1:4" ht="13" x14ac:dyDescent="0.15">
      <c r="A3214" s="4"/>
      <c r="C3214" s="4"/>
      <c r="D3214" s="4"/>
    </row>
    <row r="3215" spans="1:4" ht="13" x14ac:dyDescent="0.15">
      <c r="A3215" s="4"/>
      <c r="C3215" s="4"/>
      <c r="D3215" s="4"/>
    </row>
    <row r="3216" spans="1:4" ht="13" x14ac:dyDescent="0.15">
      <c r="A3216" s="4"/>
      <c r="C3216" s="4"/>
      <c r="D3216" s="4"/>
    </row>
    <row r="3217" spans="1:4" ht="13" x14ac:dyDescent="0.15">
      <c r="A3217" s="4"/>
      <c r="C3217" s="4"/>
      <c r="D3217" s="4"/>
    </row>
    <row r="3218" spans="1:4" ht="13" x14ac:dyDescent="0.15">
      <c r="A3218" s="4"/>
      <c r="C3218" s="4"/>
      <c r="D3218" s="4"/>
    </row>
    <row r="3219" spans="1:4" ht="13" x14ac:dyDescent="0.15">
      <c r="A3219" s="4"/>
      <c r="C3219" s="4"/>
      <c r="D3219" s="4"/>
    </row>
    <row r="3220" spans="1:4" ht="13" x14ac:dyDescent="0.15">
      <c r="A3220" s="4"/>
      <c r="C3220" s="4"/>
      <c r="D3220" s="4"/>
    </row>
    <row r="3221" spans="1:4" ht="13" x14ac:dyDescent="0.15">
      <c r="A3221" s="4"/>
      <c r="C3221" s="4"/>
      <c r="D3221" s="4"/>
    </row>
    <row r="3222" spans="1:4" ht="13" x14ac:dyDescent="0.15">
      <c r="A3222" s="4"/>
      <c r="C3222" s="4"/>
      <c r="D3222" s="4"/>
    </row>
    <row r="3223" spans="1:4" ht="13" x14ac:dyDescent="0.15">
      <c r="A3223" s="4"/>
      <c r="C3223" s="4"/>
      <c r="D3223" s="4"/>
    </row>
    <row r="3224" spans="1:4" ht="13" x14ac:dyDescent="0.15">
      <c r="A3224" s="4"/>
      <c r="C3224" s="4"/>
      <c r="D3224" s="4"/>
    </row>
    <row r="3225" spans="1:4" ht="13" x14ac:dyDescent="0.15">
      <c r="A3225" s="4"/>
      <c r="C3225" s="4"/>
      <c r="D3225" s="4"/>
    </row>
    <row r="3226" spans="1:4" ht="13" x14ac:dyDescent="0.15">
      <c r="A3226" s="4"/>
      <c r="C3226" s="4"/>
      <c r="D3226" s="4"/>
    </row>
    <row r="3227" spans="1:4" ht="13" x14ac:dyDescent="0.15">
      <c r="A3227" s="4"/>
      <c r="C3227" s="4"/>
      <c r="D3227" s="4"/>
    </row>
    <row r="3228" spans="1:4" ht="13" x14ac:dyDescent="0.15">
      <c r="A3228" s="4"/>
      <c r="C3228" s="4"/>
      <c r="D3228" s="4"/>
    </row>
    <row r="3229" spans="1:4" ht="13" x14ac:dyDescent="0.15">
      <c r="A3229" s="4"/>
      <c r="C3229" s="4"/>
      <c r="D3229" s="4"/>
    </row>
    <row r="3230" spans="1:4" ht="13" x14ac:dyDescent="0.15">
      <c r="A3230" s="4"/>
      <c r="C3230" s="4"/>
      <c r="D3230" s="4"/>
    </row>
    <row r="3231" spans="1:4" ht="13" x14ac:dyDescent="0.15">
      <c r="A3231" s="4"/>
      <c r="C3231" s="4"/>
      <c r="D3231" s="4"/>
    </row>
    <row r="3232" spans="1:4" ht="13" x14ac:dyDescent="0.15">
      <c r="A3232" s="4"/>
      <c r="C3232" s="4"/>
      <c r="D3232" s="4"/>
    </row>
    <row r="3233" spans="1:4" ht="13" x14ac:dyDescent="0.15">
      <c r="A3233" s="4"/>
      <c r="C3233" s="4"/>
      <c r="D3233" s="4"/>
    </row>
    <row r="3234" spans="1:4" ht="13" x14ac:dyDescent="0.15">
      <c r="A3234" s="4"/>
      <c r="C3234" s="4"/>
      <c r="D3234" s="4"/>
    </row>
    <row r="3235" spans="1:4" ht="13" x14ac:dyDescent="0.15">
      <c r="A3235" s="4"/>
      <c r="C3235" s="4"/>
      <c r="D3235" s="4"/>
    </row>
    <row r="3236" spans="1:4" ht="13" x14ac:dyDescent="0.15">
      <c r="A3236" s="4"/>
      <c r="C3236" s="4"/>
      <c r="D3236" s="4"/>
    </row>
    <row r="3237" spans="1:4" ht="13" x14ac:dyDescent="0.15">
      <c r="A3237" s="4"/>
      <c r="C3237" s="4"/>
      <c r="D3237" s="4"/>
    </row>
    <row r="3238" spans="1:4" ht="13" x14ac:dyDescent="0.15">
      <c r="A3238" s="4"/>
      <c r="C3238" s="4"/>
      <c r="D3238" s="4"/>
    </row>
    <row r="3239" spans="1:4" ht="13" x14ac:dyDescent="0.15">
      <c r="A3239" s="4"/>
      <c r="C3239" s="4"/>
      <c r="D3239" s="4"/>
    </row>
    <row r="3240" spans="1:4" ht="13" x14ac:dyDescent="0.15">
      <c r="A3240" s="4"/>
      <c r="C3240" s="4"/>
      <c r="D3240" s="4"/>
    </row>
    <row r="3241" spans="1:4" ht="13" x14ac:dyDescent="0.15">
      <c r="A3241" s="4"/>
      <c r="C3241" s="4"/>
      <c r="D3241" s="4"/>
    </row>
    <row r="3242" spans="1:4" ht="13" x14ac:dyDescent="0.15">
      <c r="A3242" s="4"/>
      <c r="C3242" s="4"/>
      <c r="D3242" s="4"/>
    </row>
    <row r="3243" spans="1:4" ht="13" x14ac:dyDescent="0.15">
      <c r="A3243" s="4"/>
      <c r="C3243" s="4"/>
      <c r="D3243" s="4"/>
    </row>
    <row r="3244" spans="1:4" ht="13" x14ac:dyDescent="0.15">
      <c r="A3244" s="4"/>
      <c r="C3244" s="4"/>
      <c r="D3244" s="4"/>
    </row>
    <row r="3245" spans="1:4" ht="13" x14ac:dyDescent="0.15">
      <c r="A3245" s="4"/>
      <c r="C3245" s="4"/>
      <c r="D3245" s="4"/>
    </row>
    <row r="3246" spans="1:4" ht="13" x14ac:dyDescent="0.15">
      <c r="A3246" s="4"/>
      <c r="C3246" s="4"/>
      <c r="D3246" s="4"/>
    </row>
    <row r="3247" spans="1:4" ht="13" x14ac:dyDescent="0.15">
      <c r="A3247" s="4"/>
      <c r="C3247" s="4"/>
      <c r="D3247" s="4"/>
    </row>
    <row r="3248" spans="1:4" ht="13" x14ac:dyDescent="0.15">
      <c r="A3248" s="4"/>
      <c r="C3248" s="4"/>
      <c r="D3248" s="4"/>
    </row>
    <row r="3249" spans="1:4" ht="13" x14ac:dyDescent="0.15">
      <c r="A3249" s="4" t="e">
        <f>Suppor</f>
        <v>#NAME?</v>
      </c>
      <c r="C3249" s="4"/>
      <c r="D3249" s="4"/>
    </row>
  </sheetData>
  <autoFilter ref="A1:J3249" xr:uid="{00000000-0009-0000-0000-000002000000}"/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C6"/>
  <sheetViews>
    <sheetView workbookViewId="0">
      <selection activeCell="A2" sqref="A2:C6"/>
    </sheetView>
  </sheetViews>
  <sheetFormatPr baseColWidth="10" defaultColWidth="12.6640625" defaultRowHeight="15.75" customHeight="1" x14ac:dyDescent="0.15"/>
  <cols>
    <col min="1" max="1" width="51.1640625" bestFit="1" customWidth="1"/>
    <col min="2" max="2" width="5.83203125" bestFit="1" customWidth="1"/>
    <col min="3" max="3" width="16.5" bestFit="1" customWidth="1"/>
  </cols>
  <sheetData>
    <row r="1" spans="1:3" ht="15.75" customHeight="1" x14ac:dyDescent="0.15">
      <c r="A1" s="6" t="s">
        <v>2</v>
      </c>
      <c r="B1" s="6" t="s">
        <v>850</v>
      </c>
      <c r="C1" s="6" t="s">
        <v>851</v>
      </c>
    </row>
    <row r="2" spans="1:3" ht="15.75" customHeight="1" x14ac:dyDescent="0.15">
      <c r="A2" t="s">
        <v>9</v>
      </c>
      <c r="B2">
        <v>1729</v>
      </c>
      <c r="C2">
        <v>801</v>
      </c>
    </row>
    <row r="3" spans="1:3" ht="15.75" customHeight="1" x14ac:dyDescent="0.15">
      <c r="A3" t="s">
        <v>12</v>
      </c>
      <c r="B3">
        <v>37</v>
      </c>
      <c r="C3">
        <v>34</v>
      </c>
    </row>
    <row r="4" spans="1:3" ht="15.75" customHeight="1" x14ac:dyDescent="0.15">
      <c r="A4" t="s">
        <v>26</v>
      </c>
      <c r="B4">
        <v>16</v>
      </c>
      <c r="C4">
        <v>16</v>
      </c>
    </row>
    <row r="5" spans="1:3" ht="15.75" customHeight="1" x14ac:dyDescent="0.15">
      <c r="A5" t="s">
        <v>27</v>
      </c>
      <c r="B5">
        <v>12</v>
      </c>
      <c r="C5">
        <v>12</v>
      </c>
    </row>
    <row r="6" spans="1:3" ht="15.75" customHeight="1" x14ac:dyDescent="0.15">
      <c r="A6" t="s">
        <v>28</v>
      </c>
      <c r="B6">
        <v>11</v>
      </c>
      <c r="C6">
        <v>11</v>
      </c>
    </row>
  </sheetData>
  <sortState xmlns:xlrd2="http://schemas.microsoft.com/office/spreadsheetml/2017/richdata2" ref="A2:C6">
    <sortCondition ref="A2:A6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outlinePr summaryBelow="0" summaryRight="0"/>
  </sheetPr>
  <dimension ref="A1:B22"/>
  <sheetViews>
    <sheetView workbookViewId="0">
      <selection activeCell="A2" sqref="A2:B22"/>
    </sheetView>
  </sheetViews>
  <sheetFormatPr baseColWidth="10" defaultColWidth="12.6640625" defaultRowHeight="15.75" customHeight="1" x14ac:dyDescent="0.15"/>
  <cols>
    <col min="1" max="1" width="34.33203125" bestFit="1" customWidth="1"/>
    <col min="2" max="2" width="5.83203125" bestFit="1" customWidth="1"/>
  </cols>
  <sheetData>
    <row r="1" spans="1:2" ht="15.75" customHeight="1" x14ac:dyDescent="0.15">
      <c r="A1" s="6" t="s">
        <v>4</v>
      </c>
      <c r="B1" s="6" t="s">
        <v>850</v>
      </c>
    </row>
    <row r="2" spans="1:2" ht="15.75" customHeight="1" x14ac:dyDescent="0.15">
      <c r="A2" t="s">
        <v>863</v>
      </c>
      <c r="B2">
        <v>24</v>
      </c>
    </row>
    <row r="3" spans="1:2" ht="15.75" customHeight="1" x14ac:dyDescent="0.15">
      <c r="A3" t="s">
        <v>864</v>
      </c>
      <c r="B3">
        <v>44</v>
      </c>
    </row>
    <row r="4" spans="1:2" ht="15.75" customHeight="1" x14ac:dyDescent="0.15">
      <c r="A4" t="s">
        <v>922</v>
      </c>
      <c r="B4">
        <v>5</v>
      </c>
    </row>
    <row r="5" spans="1:2" ht="15.75" customHeight="1" x14ac:dyDescent="0.15">
      <c r="A5" t="s">
        <v>915</v>
      </c>
      <c r="B5">
        <v>67</v>
      </c>
    </row>
    <row r="6" spans="1:2" ht="15.75" customHeight="1" x14ac:dyDescent="0.15">
      <c r="A6" t="s">
        <v>918</v>
      </c>
      <c r="B6">
        <v>15</v>
      </c>
    </row>
    <row r="7" spans="1:2" ht="15.75" customHeight="1" x14ac:dyDescent="0.15">
      <c r="A7" t="s">
        <v>917</v>
      </c>
      <c r="B7">
        <v>49</v>
      </c>
    </row>
    <row r="8" spans="1:2" ht="15.75" customHeight="1" x14ac:dyDescent="0.15">
      <c r="A8" t="s">
        <v>865</v>
      </c>
      <c r="B8">
        <v>112</v>
      </c>
    </row>
    <row r="9" spans="1:2" ht="15.75" customHeight="1" x14ac:dyDescent="0.15">
      <c r="A9" t="s">
        <v>925</v>
      </c>
      <c r="B9">
        <v>3</v>
      </c>
    </row>
    <row r="10" spans="1:2" ht="15.75" customHeight="1" x14ac:dyDescent="0.15">
      <c r="A10" t="s">
        <v>866</v>
      </c>
      <c r="B10">
        <v>156</v>
      </c>
    </row>
    <row r="11" spans="1:2" ht="15.75" customHeight="1" x14ac:dyDescent="0.15">
      <c r="A11" t="s">
        <v>867</v>
      </c>
      <c r="B11">
        <v>129</v>
      </c>
    </row>
    <row r="12" spans="1:2" ht="15.75" customHeight="1" x14ac:dyDescent="0.15">
      <c r="A12" t="s">
        <v>919</v>
      </c>
      <c r="B12">
        <v>17</v>
      </c>
    </row>
    <row r="13" spans="1:2" ht="15.75" customHeight="1" x14ac:dyDescent="0.15">
      <c r="A13" t="s">
        <v>924</v>
      </c>
      <c r="B13">
        <v>5</v>
      </c>
    </row>
    <row r="14" spans="1:2" ht="15.75" customHeight="1" x14ac:dyDescent="0.15">
      <c r="A14" t="s">
        <v>913</v>
      </c>
      <c r="B14">
        <v>51</v>
      </c>
    </row>
    <row r="15" spans="1:2" ht="15.75" customHeight="1" x14ac:dyDescent="0.15">
      <c r="A15" t="s">
        <v>923</v>
      </c>
      <c r="B15">
        <v>22</v>
      </c>
    </row>
    <row r="16" spans="1:2" ht="15.75" customHeight="1" x14ac:dyDescent="0.15">
      <c r="A16" t="s">
        <v>921</v>
      </c>
      <c r="B16">
        <v>48</v>
      </c>
    </row>
    <row r="17" spans="1:2" ht="15.75" customHeight="1" x14ac:dyDescent="0.15">
      <c r="A17" t="s">
        <v>920</v>
      </c>
      <c r="B17">
        <v>18</v>
      </c>
    </row>
    <row r="18" spans="1:2" ht="15.75" customHeight="1" x14ac:dyDescent="0.15">
      <c r="A18" t="s">
        <v>868</v>
      </c>
      <c r="B18">
        <v>290</v>
      </c>
    </row>
    <row r="19" spans="1:2" ht="15.75" customHeight="1" x14ac:dyDescent="0.15">
      <c r="A19" t="s">
        <v>916</v>
      </c>
      <c r="B19">
        <v>28</v>
      </c>
    </row>
    <row r="20" spans="1:2" ht="15.75" customHeight="1" x14ac:dyDescent="0.15">
      <c r="A20" t="s">
        <v>869</v>
      </c>
      <c r="B20">
        <v>49</v>
      </c>
    </row>
    <row r="21" spans="1:2" ht="15.75" customHeight="1" x14ac:dyDescent="0.15">
      <c r="A21" t="s">
        <v>870</v>
      </c>
      <c r="B21">
        <v>308</v>
      </c>
    </row>
    <row r="22" spans="1:2" ht="15.75" customHeight="1" x14ac:dyDescent="0.15">
      <c r="A22" t="s">
        <v>914</v>
      </c>
      <c r="B22">
        <v>91</v>
      </c>
    </row>
  </sheetData>
  <sortState xmlns:xlrd2="http://schemas.microsoft.com/office/spreadsheetml/2017/richdata2" ref="A2:B22">
    <sortCondition ref="A2:A2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outlinePr summaryBelow="0" summaryRight="0"/>
  </sheetPr>
  <dimension ref="A1:B11"/>
  <sheetViews>
    <sheetView workbookViewId="0">
      <selection activeCell="A2" sqref="A2:B11"/>
    </sheetView>
  </sheetViews>
  <sheetFormatPr baseColWidth="10" defaultColWidth="12.6640625" defaultRowHeight="15.75" customHeight="1" x14ac:dyDescent="0.15"/>
  <cols>
    <col min="1" max="1" width="23.1640625" bestFit="1" customWidth="1"/>
    <col min="2" max="2" width="5.83203125" bestFit="1" customWidth="1"/>
  </cols>
  <sheetData>
    <row r="1" spans="1:2" ht="15.75" customHeight="1" x14ac:dyDescent="0.15">
      <c r="A1" s="6" t="s">
        <v>871</v>
      </c>
      <c r="B1" s="6" t="s">
        <v>850</v>
      </c>
    </row>
    <row r="2" spans="1:2" ht="15.75" customHeight="1" x14ac:dyDescent="0.15">
      <c r="A2" t="s">
        <v>7</v>
      </c>
      <c r="B2">
        <v>29</v>
      </c>
    </row>
    <row r="3" spans="1:2" ht="15.75" customHeight="1" x14ac:dyDescent="0.15">
      <c r="A3" t="s">
        <v>5</v>
      </c>
      <c r="B3">
        <v>293</v>
      </c>
    </row>
    <row r="4" spans="1:2" ht="15.75" customHeight="1" x14ac:dyDescent="0.15">
      <c r="A4" t="s">
        <v>872</v>
      </c>
      <c r="B4">
        <v>980</v>
      </c>
    </row>
    <row r="5" spans="1:2" ht="15.75" customHeight="1" x14ac:dyDescent="0.15">
      <c r="A5" t="s">
        <v>873</v>
      </c>
      <c r="B5">
        <v>52</v>
      </c>
    </row>
    <row r="6" spans="1:2" ht="15.75" customHeight="1" x14ac:dyDescent="0.15">
      <c r="A6" t="s">
        <v>6</v>
      </c>
      <c r="B6">
        <v>493</v>
      </c>
    </row>
    <row r="7" spans="1:2" ht="15.75" customHeight="1" x14ac:dyDescent="0.15">
      <c r="A7" t="s">
        <v>926</v>
      </c>
      <c r="B7">
        <v>6</v>
      </c>
    </row>
    <row r="8" spans="1:2" ht="15.75" customHeight="1" x14ac:dyDescent="0.15">
      <c r="A8" t="s">
        <v>874</v>
      </c>
      <c r="B8">
        <v>867</v>
      </c>
    </row>
    <row r="9" spans="1:2" ht="15.75" customHeight="1" x14ac:dyDescent="0.15">
      <c r="A9" t="s">
        <v>875</v>
      </c>
      <c r="B9">
        <v>227</v>
      </c>
    </row>
    <row r="10" spans="1:2" ht="15.75" customHeight="1" x14ac:dyDescent="0.15">
      <c r="A10" t="s">
        <v>876</v>
      </c>
      <c r="B10">
        <v>57</v>
      </c>
    </row>
    <row r="11" spans="1:2" ht="15.75" customHeight="1" x14ac:dyDescent="0.15">
      <c r="A11" t="s">
        <v>927</v>
      </c>
      <c r="B11">
        <v>5</v>
      </c>
    </row>
  </sheetData>
  <sortState xmlns:xlrd2="http://schemas.microsoft.com/office/spreadsheetml/2017/richdata2" ref="A2:B11">
    <sortCondition ref="A2:A1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</sheetPr>
  <dimension ref="A1:B3"/>
  <sheetViews>
    <sheetView workbookViewId="0">
      <selection activeCell="A2" sqref="A2:B3"/>
    </sheetView>
  </sheetViews>
  <sheetFormatPr baseColWidth="10" defaultColWidth="12.6640625" defaultRowHeight="15.75" customHeight="1" x14ac:dyDescent="0.15"/>
  <cols>
    <col min="1" max="1" width="5.1640625" bestFit="1" customWidth="1"/>
    <col min="2" max="2" width="5.83203125" bestFit="1" customWidth="1"/>
  </cols>
  <sheetData>
    <row r="1" spans="1:2" ht="15.75" customHeight="1" x14ac:dyDescent="0.15">
      <c r="A1" s="6" t="s">
        <v>877</v>
      </c>
      <c r="B1" s="6" t="s">
        <v>850</v>
      </c>
    </row>
    <row r="2" spans="1:2" ht="15.75" customHeight="1" x14ac:dyDescent="0.15">
      <c r="A2">
        <v>2024</v>
      </c>
      <c r="B2">
        <v>694</v>
      </c>
    </row>
    <row r="3" spans="1:2" ht="15.75" customHeight="1" x14ac:dyDescent="0.15">
      <c r="A3">
        <v>2025</v>
      </c>
      <c r="B3">
        <v>837</v>
      </c>
    </row>
  </sheetData>
  <sortState xmlns:xlrd2="http://schemas.microsoft.com/office/spreadsheetml/2017/richdata2" ref="A2:B3">
    <sortCondition ref="A2:A3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outlinePr summaryBelow="0" summaryRight="0"/>
  </sheetPr>
  <dimension ref="A1:B3"/>
  <sheetViews>
    <sheetView workbookViewId="0">
      <selection activeCell="A2" sqref="A2:B3"/>
    </sheetView>
  </sheetViews>
  <sheetFormatPr baseColWidth="10" defaultColWidth="12.6640625" defaultRowHeight="15.75" customHeight="1" x14ac:dyDescent="0.15"/>
  <cols>
    <col min="1" max="1" width="5.6640625" bestFit="1" customWidth="1"/>
    <col min="2" max="2" width="5.83203125" bestFit="1" customWidth="1"/>
  </cols>
  <sheetData>
    <row r="1" spans="1:2" ht="15.75" customHeight="1" x14ac:dyDescent="0.15">
      <c r="A1" s="6" t="s">
        <v>878</v>
      </c>
      <c r="B1" s="6" t="s">
        <v>850</v>
      </c>
    </row>
    <row r="2" spans="1:2" ht="15.75" customHeight="1" x14ac:dyDescent="0.15">
      <c r="A2" t="s">
        <v>879</v>
      </c>
      <c r="B2">
        <v>1080</v>
      </c>
    </row>
    <row r="3" spans="1:2" ht="15.75" customHeight="1" x14ac:dyDescent="0.15">
      <c r="A3" t="s">
        <v>880</v>
      </c>
      <c r="B3">
        <v>451</v>
      </c>
    </row>
  </sheetData>
  <sortState xmlns:xlrd2="http://schemas.microsoft.com/office/spreadsheetml/2017/richdata2" ref="A2:B3">
    <sortCondition ref="A2:A3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outlinePr summaryBelow="0" summaryRight="0"/>
  </sheetPr>
  <dimension ref="A1:B3"/>
  <sheetViews>
    <sheetView workbookViewId="0">
      <selection activeCell="A2" sqref="A2:B3"/>
    </sheetView>
  </sheetViews>
  <sheetFormatPr baseColWidth="10" defaultColWidth="12.6640625" defaultRowHeight="15.75" customHeight="1" x14ac:dyDescent="0.15"/>
  <cols>
    <col min="1" max="1" width="7.6640625" bestFit="1" customWidth="1"/>
    <col min="2" max="2" width="5.83203125" bestFit="1" customWidth="1"/>
  </cols>
  <sheetData>
    <row r="1" spans="1:2" ht="15.75" customHeight="1" x14ac:dyDescent="0.15">
      <c r="A1" s="6" t="s">
        <v>881</v>
      </c>
      <c r="B1" s="6" t="s">
        <v>850</v>
      </c>
    </row>
    <row r="2" spans="1:2" ht="15.75" customHeight="1" x14ac:dyDescent="0.15">
      <c r="A2" t="s">
        <v>929</v>
      </c>
      <c r="B2">
        <v>909</v>
      </c>
    </row>
    <row r="3" spans="1:2" ht="15.75" customHeight="1" x14ac:dyDescent="0.15">
      <c r="A3" t="s">
        <v>928</v>
      </c>
      <c r="B3">
        <v>896</v>
      </c>
    </row>
  </sheetData>
  <sortState xmlns:xlrd2="http://schemas.microsoft.com/office/spreadsheetml/2017/richdata2" ref="A2:B3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outlinePr summaryBelow="0" summaryRight="0"/>
  </sheetPr>
  <dimension ref="A1:C1006"/>
  <sheetViews>
    <sheetView workbookViewId="0">
      <selection activeCell="A2" sqref="A2:C833"/>
    </sheetView>
  </sheetViews>
  <sheetFormatPr baseColWidth="10" defaultColWidth="12.6640625" defaultRowHeight="15.75" customHeight="1" x14ac:dyDescent="0.15"/>
  <cols>
    <col min="1" max="1" width="11.33203125" bestFit="1" customWidth="1"/>
    <col min="2" max="2" width="33.33203125" bestFit="1" customWidth="1"/>
    <col min="3" max="3" width="5.83203125" bestFit="1" customWidth="1"/>
  </cols>
  <sheetData>
    <row r="1" spans="1:3" ht="15.75" customHeight="1" x14ac:dyDescent="0.15">
      <c r="A1" s="6" t="s">
        <v>0</v>
      </c>
      <c r="B1" s="6" t="s">
        <v>1</v>
      </c>
      <c r="C1" s="6" t="s">
        <v>850</v>
      </c>
    </row>
    <row r="2" spans="1:3" ht="15.75" customHeight="1" x14ac:dyDescent="0.15">
      <c r="A2">
        <v>27279631</v>
      </c>
      <c r="B2" t="s">
        <v>8</v>
      </c>
      <c r="C2">
        <v>1</v>
      </c>
    </row>
    <row r="3" spans="1:3" ht="15.75" customHeight="1" x14ac:dyDescent="0.15">
      <c r="A3">
        <v>27279678</v>
      </c>
      <c r="B3" t="s">
        <v>10</v>
      </c>
      <c r="C3">
        <v>1</v>
      </c>
    </row>
    <row r="4" spans="1:3" ht="15.75" customHeight="1" x14ac:dyDescent="0.15">
      <c r="A4">
        <v>27280298</v>
      </c>
      <c r="B4" t="s">
        <v>11</v>
      </c>
      <c r="C4">
        <v>4</v>
      </c>
    </row>
    <row r="5" spans="1:3" ht="15.75" customHeight="1" x14ac:dyDescent="0.15">
      <c r="A5">
        <v>28905247</v>
      </c>
      <c r="B5" t="s">
        <v>13</v>
      </c>
      <c r="C5">
        <v>1</v>
      </c>
    </row>
    <row r="6" spans="1:3" ht="15.75" customHeight="1" x14ac:dyDescent="0.15">
      <c r="A6">
        <v>28908236</v>
      </c>
      <c r="B6" t="s">
        <v>14</v>
      </c>
      <c r="C6">
        <v>1</v>
      </c>
    </row>
    <row r="7" spans="1:3" ht="15.75" customHeight="1" x14ac:dyDescent="0.15">
      <c r="A7">
        <v>28908436</v>
      </c>
      <c r="B7" t="s">
        <v>15</v>
      </c>
      <c r="C7">
        <v>3</v>
      </c>
    </row>
    <row r="8" spans="1:3" ht="15.75" customHeight="1" x14ac:dyDescent="0.15">
      <c r="A8">
        <v>28926613</v>
      </c>
      <c r="B8" t="s">
        <v>16</v>
      </c>
      <c r="C8">
        <v>1</v>
      </c>
    </row>
    <row r="9" spans="1:3" ht="15.75" customHeight="1" x14ac:dyDescent="0.15">
      <c r="A9">
        <v>28933368</v>
      </c>
      <c r="B9" t="s">
        <v>17</v>
      </c>
      <c r="C9">
        <v>3</v>
      </c>
    </row>
    <row r="10" spans="1:3" ht="15.75" customHeight="1" x14ac:dyDescent="0.15">
      <c r="A10">
        <v>28963554</v>
      </c>
      <c r="B10" t="s">
        <v>18</v>
      </c>
      <c r="C10">
        <v>1</v>
      </c>
    </row>
    <row r="11" spans="1:3" ht="15.75" customHeight="1" x14ac:dyDescent="0.15">
      <c r="A11">
        <v>28985034</v>
      </c>
      <c r="B11" t="s">
        <v>19</v>
      </c>
      <c r="C11">
        <v>4</v>
      </c>
    </row>
    <row r="12" spans="1:3" ht="15.75" customHeight="1" x14ac:dyDescent="0.15">
      <c r="A12">
        <v>28989864</v>
      </c>
      <c r="B12" t="s">
        <v>20</v>
      </c>
      <c r="C12">
        <v>2</v>
      </c>
    </row>
    <row r="13" spans="1:3" ht="15.75" customHeight="1" x14ac:dyDescent="0.15">
      <c r="A13">
        <v>29001552</v>
      </c>
      <c r="B13" t="s">
        <v>21</v>
      </c>
      <c r="C13">
        <v>4</v>
      </c>
    </row>
    <row r="14" spans="1:3" ht="15.75" customHeight="1" x14ac:dyDescent="0.15">
      <c r="A14">
        <v>29002720</v>
      </c>
      <c r="B14" t="s">
        <v>22</v>
      </c>
      <c r="C14">
        <v>1</v>
      </c>
    </row>
    <row r="15" spans="1:3" ht="15.75" customHeight="1" x14ac:dyDescent="0.15">
      <c r="A15">
        <v>29013507</v>
      </c>
      <c r="B15" t="s">
        <v>23</v>
      </c>
      <c r="C15">
        <v>2</v>
      </c>
    </row>
    <row r="16" spans="1:3" ht="15.75" customHeight="1" x14ac:dyDescent="0.15">
      <c r="A16">
        <v>29022130</v>
      </c>
      <c r="B16" t="s">
        <v>24</v>
      </c>
      <c r="C16">
        <v>1</v>
      </c>
    </row>
    <row r="17" spans="1:3" ht="15.75" customHeight="1" x14ac:dyDescent="0.15">
      <c r="A17">
        <v>29024381</v>
      </c>
      <c r="B17" t="s">
        <v>25</v>
      </c>
      <c r="C17">
        <v>5</v>
      </c>
    </row>
    <row r="18" spans="1:3" ht="15.75" customHeight="1" x14ac:dyDescent="0.15">
      <c r="A18">
        <v>29029887</v>
      </c>
      <c r="B18" t="s">
        <v>29</v>
      </c>
      <c r="C18">
        <v>2</v>
      </c>
    </row>
    <row r="19" spans="1:3" ht="15.75" customHeight="1" x14ac:dyDescent="0.15">
      <c r="A19">
        <v>29109980</v>
      </c>
      <c r="B19" t="s">
        <v>30</v>
      </c>
      <c r="C19">
        <v>1</v>
      </c>
    </row>
    <row r="20" spans="1:3" ht="15.75" customHeight="1" x14ac:dyDescent="0.15">
      <c r="A20">
        <v>29129871</v>
      </c>
      <c r="B20" t="s">
        <v>31</v>
      </c>
      <c r="C20">
        <v>1</v>
      </c>
    </row>
    <row r="21" spans="1:3" ht="15.75" customHeight="1" x14ac:dyDescent="0.15">
      <c r="A21">
        <v>29150877</v>
      </c>
      <c r="B21" t="s">
        <v>32</v>
      </c>
      <c r="C21">
        <v>3</v>
      </c>
    </row>
    <row r="22" spans="1:3" ht="15.75" customHeight="1" x14ac:dyDescent="0.15">
      <c r="A22">
        <v>29153617</v>
      </c>
      <c r="B22" t="s">
        <v>33</v>
      </c>
      <c r="C22">
        <v>1</v>
      </c>
    </row>
    <row r="23" spans="1:3" ht="15.75" customHeight="1" x14ac:dyDescent="0.15">
      <c r="A23">
        <v>29167220</v>
      </c>
      <c r="B23" t="s">
        <v>34</v>
      </c>
      <c r="C23">
        <v>1</v>
      </c>
    </row>
    <row r="24" spans="1:3" ht="15.75" customHeight="1" x14ac:dyDescent="0.15">
      <c r="A24">
        <v>29208194</v>
      </c>
      <c r="B24" t="s">
        <v>35</v>
      </c>
      <c r="C24">
        <v>1</v>
      </c>
    </row>
    <row r="25" spans="1:3" ht="15.75" customHeight="1" x14ac:dyDescent="0.15">
      <c r="A25">
        <v>29423346</v>
      </c>
      <c r="B25" t="s">
        <v>36</v>
      </c>
      <c r="C25">
        <v>2</v>
      </c>
    </row>
    <row r="26" spans="1:3" ht="15.75" customHeight="1" x14ac:dyDescent="0.15">
      <c r="A26">
        <v>29648947</v>
      </c>
      <c r="B26" t="s">
        <v>37</v>
      </c>
      <c r="C26">
        <v>2</v>
      </c>
    </row>
    <row r="27" spans="1:3" ht="15.75" customHeight="1" x14ac:dyDescent="0.15">
      <c r="A27">
        <v>29664907</v>
      </c>
      <c r="B27" t="s">
        <v>38</v>
      </c>
      <c r="C27">
        <v>1</v>
      </c>
    </row>
    <row r="28" spans="1:3" ht="15.75" customHeight="1" x14ac:dyDescent="0.15">
      <c r="A28">
        <v>29668979</v>
      </c>
      <c r="B28" t="s">
        <v>39</v>
      </c>
      <c r="C28">
        <v>1</v>
      </c>
    </row>
    <row r="29" spans="1:3" ht="15.75" customHeight="1" x14ac:dyDescent="0.15">
      <c r="A29">
        <v>30230413</v>
      </c>
      <c r="B29" t="s">
        <v>40</v>
      </c>
      <c r="C29">
        <v>1</v>
      </c>
    </row>
    <row r="30" spans="1:3" ht="15.75" customHeight="1" x14ac:dyDescent="0.15">
      <c r="A30">
        <v>30232575</v>
      </c>
      <c r="B30" t="s">
        <v>41</v>
      </c>
      <c r="C30">
        <v>2</v>
      </c>
    </row>
    <row r="31" spans="1:3" ht="15.75" customHeight="1" x14ac:dyDescent="0.15">
      <c r="A31">
        <v>30236247</v>
      </c>
      <c r="B31" t="s">
        <v>42</v>
      </c>
      <c r="C31">
        <v>1</v>
      </c>
    </row>
    <row r="32" spans="1:3" ht="15.75" customHeight="1" x14ac:dyDescent="0.15">
      <c r="A32">
        <v>30236381</v>
      </c>
      <c r="B32" t="s">
        <v>43</v>
      </c>
      <c r="C32">
        <v>1</v>
      </c>
    </row>
    <row r="33" spans="1:3" ht="15.75" customHeight="1" x14ac:dyDescent="0.15">
      <c r="A33">
        <v>30243874</v>
      </c>
      <c r="B33" t="s">
        <v>44</v>
      </c>
      <c r="C33">
        <v>1</v>
      </c>
    </row>
    <row r="34" spans="1:3" ht="15.75" customHeight="1" x14ac:dyDescent="0.15">
      <c r="A34">
        <v>30246297</v>
      </c>
      <c r="B34" t="s">
        <v>45</v>
      </c>
      <c r="C34">
        <v>1</v>
      </c>
    </row>
    <row r="35" spans="1:3" ht="15.75" customHeight="1" x14ac:dyDescent="0.15">
      <c r="A35">
        <v>30259226</v>
      </c>
      <c r="B35" t="s">
        <v>46</v>
      </c>
      <c r="C35">
        <v>1</v>
      </c>
    </row>
    <row r="36" spans="1:3" ht="15.75" customHeight="1" x14ac:dyDescent="0.15">
      <c r="A36">
        <v>30260574</v>
      </c>
      <c r="B36" t="s">
        <v>47</v>
      </c>
      <c r="C36">
        <v>1</v>
      </c>
    </row>
    <row r="37" spans="1:3" ht="15.75" customHeight="1" x14ac:dyDescent="0.15">
      <c r="A37">
        <v>30272782</v>
      </c>
      <c r="B37" t="s">
        <v>48</v>
      </c>
      <c r="C37">
        <v>1</v>
      </c>
    </row>
    <row r="38" spans="1:3" ht="15.75" customHeight="1" x14ac:dyDescent="0.15">
      <c r="A38">
        <v>30284991</v>
      </c>
      <c r="B38" t="s">
        <v>49</v>
      </c>
      <c r="C38">
        <v>3</v>
      </c>
    </row>
    <row r="39" spans="1:3" ht="15.75" customHeight="1" x14ac:dyDescent="0.15">
      <c r="A39">
        <v>30288116</v>
      </c>
      <c r="B39" t="s">
        <v>50</v>
      </c>
      <c r="C39">
        <v>1</v>
      </c>
    </row>
    <row r="40" spans="1:3" ht="15.75" customHeight="1" x14ac:dyDescent="0.15">
      <c r="A40">
        <v>30297913</v>
      </c>
      <c r="B40" t="s">
        <v>51</v>
      </c>
      <c r="C40">
        <v>2</v>
      </c>
    </row>
    <row r="41" spans="1:3" ht="15.75" customHeight="1" x14ac:dyDescent="0.15">
      <c r="A41">
        <v>30299373</v>
      </c>
      <c r="B41" t="s">
        <v>52</v>
      </c>
      <c r="C41">
        <v>1</v>
      </c>
    </row>
    <row r="42" spans="1:3" ht="15.75" customHeight="1" x14ac:dyDescent="0.15">
      <c r="A42">
        <v>30303449</v>
      </c>
      <c r="B42" t="s">
        <v>53</v>
      </c>
      <c r="C42">
        <v>1</v>
      </c>
    </row>
    <row r="43" spans="1:3" ht="15.75" customHeight="1" x14ac:dyDescent="0.15">
      <c r="A43">
        <v>30318278</v>
      </c>
      <c r="B43" t="s">
        <v>54</v>
      </c>
      <c r="C43">
        <v>5</v>
      </c>
    </row>
    <row r="44" spans="1:3" ht="15.75" customHeight="1" x14ac:dyDescent="0.15">
      <c r="A44">
        <v>30328219</v>
      </c>
      <c r="B44" t="s">
        <v>55</v>
      </c>
      <c r="C44">
        <v>1</v>
      </c>
    </row>
    <row r="45" spans="1:3" ht="15.75" customHeight="1" x14ac:dyDescent="0.15">
      <c r="A45">
        <v>30333900</v>
      </c>
      <c r="B45" t="s">
        <v>56</v>
      </c>
      <c r="C45">
        <v>3</v>
      </c>
    </row>
    <row r="46" spans="1:3" ht="15.75" customHeight="1" x14ac:dyDescent="0.15">
      <c r="A46">
        <v>30347930</v>
      </c>
      <c r="B46" t="s">
        <v>57</v>
      </c>
      <c r="C46">
        <v>1</v>
      </c>
    </row>
    <row r="47" spans="1:3" ht="15.75" customHeight="1" x14ac:dyDescent="0.15">
      <c r="A47">
        <v>30350943</v>
      </c>
      <c r="B47" t="s">
        <v>58</v>
      </c>
      <c r="C47">
        <v>6</v>
      </c>
    </row>
    <row r="48" spans="1:3" ht="15.75" customHeight="1" x14ac:dyDescent="0.15">
      <c r="A48">
        <v>30351065</v>
      </c>
      <c r="B48" t="s">
        <v>59</v>
      </c>
      <c r="C48">
        <v>2</v>
      </c>
    </row>
    <row r="49" spans="1:3" ht="15.75" customHeight="1" x14ac:dyDescent="0.15">
      <c r="A49">
        <v>30353594</v>
      </c>
      <c r="B49" t="s">
        <v>60</v>
      </c>
      <c r="C49">
        <v>2</v>
      </c>
    </row>
    <row r="50" spans="1:3" ht="15.75" customHeight="1" x14ac:dyDescent="0.15">
      <c r="A50">
        <v>30353932</v>
      </c>
      <c r="B50" t="s">
        <v>61</v>
      </c>
      <c r="C50">
        <v>1</v>
      </c>
    </row>
    <row r="51" spans="1:3" ht="15.75" customHeight="1" x14ac:dyDescent="0.15">
      <c r="A51">
        <v>30354096</v>
      </c>
      <c r="B51" t="s">
        <v>62</v>
      </c>
      <c r="C51">
        <v>22</v>
      </c>
    </row>
    <row r="52" spans="1:3" ht="15.75" customHeight="1" x14ac:dyDescent="0.15">
      <c r="A52">
        <v>30367414</v>
      </c>
      <c r="B52" t="s">
        <v>63</v>
      </c>
      <c r="C52">
        <v>7</v>
      </c>
    </row>
    <row r="53" spans="1:3" ht="15.75" customHeight="1" x14ac:dyDescent="0.15">
      <c r="A53">
        <v>30372739</v>
      </c>
      <c r="B53" t="s">
        <v>64</v>
      </c>
      <c r="C53">
        <v>1</v>
      </c>
    </row>
    <row r="54" spans="1:3" ht="15.75" customHeight="1" x14ac:dyDescent="0.15">
      <c r="A54">
        <v>30375955</v>
      </c>
      <c r="B54" t="s">
        <v>65</v>
      </c>
      <c r="C54">
        <v>4</v>
      </c>
    </row>
    <row r="55" spans="1:3" ht="15.75" customHeight="1" x14ac:dyDescent="0.15">
      <c r="A55">
        <v>30516885</v>
      </c>
      <c r="B55" t="s">
        <v>66</v>
      </c>
      <c r="C55">
        <v>1</v>
      </c>
    </row>
    <row r="56" spans="1:3" ht="13" x14ac:dyDescent="0.15">
      <c r="A56">
        <v>30520444</v>
      </c>
      <c r="B56" t="s">
        <v>67</v>
      </c>
      <c r="C56">
        <v>1</v>
      </c>
    </row>
    <row r="57" spans="1:3" ht="13" x14ac:dyDescent="0.15">
      <c r="A57">
        <v>30521340</v>
      </c>
      <c r="B57" t="s">
        <v>68</v>
      </c>
      <c r="C57">
        <v>1</v>
      </c>
    </row>
    <row r="58" spans="1:3" ht="13" x14ac:dyDescent="0.15">
      <c r="A58">
        <v>30524924</v>
      </c>
      <c r="B58" t="s">
        <v>69</v>
      </c>
      <c r="C58">
        <v>2</v>
      </c>
    </row>
    <row r="59" spans="1:3" ht="13" x14ac:dyDescent="0.15">
      <c r="A59">
        <v>30528291</v>
      </c>
      <c r="B59" t="s">
        <v>70</v>
      </c>
      <c r="C59">
        <v>1</v>
      </c>
    </row>
    <row r="60" spans="1:3" ht="13" x14ac:dyDescent="0.15">
      <c r="A60">
        <v>30531435</v>
      </c>
      <c r="B60" t="s">
        <v>71</v>
      </c>
      <c r="C60">
        <v>1</v>
      </c>
    </row>
    <row r="61" spans="1:3" ht="13" x14ac:dyDescent="0.15">
      <c r="A61">
        <v>30535203</v>
      </c>
      <c r="B61" t="s">
        <v>72</v>
      </c>
      <c r="C61">
        <v>21</v>
      </c>
    </row>
    <row r="62" spans="1:3" ht="13" x14ac:dyDescent="0.15">
      <c r="A62">
        <v>30536447</v>
      </c>
      <c r="B62" t="s">
        <v>73</v>
      </c>
      <c r="C62">
        <v>1</v>
      </c>
    </row>
    <row r="63" spans="1:3" ht="13" x14ac:dyDescent="0.15">
      <c r="A63">
        <v>30538014</v>
      </c>
      <c r="B63" t="s">
        <v>74</v>
      </c>
      <c r="C63">
        <v>1</v>
      </c>
    </row>
    <row r="64" spans="1:3" ht="13" x14ac:dyDescent="0.15">
      <c r="A64">
        <v>30542712</v>
      </c>
      <c r="B64" t="s">
        <v>75</v>
      </c>
      <c r="C64">
        <v>2</v>
      </c>
    </row>
    <row r="65" spans="1:3" ht="13" x14ac:dyDescent="0.15">
      <c r="A65">
        <v>30542898</v>
      </c>
      <c r="B65" t="s">
        <v>76</v>
      </c>
      <c r="C65">
        <v>1</v>
      </c>
    </row>
    <row r="66" spans="1:3" ht="13" x14ac:dyDescent="0.15">
      <c r="A66">
        <v>30543128</v>
      </c>
      <c r="B66" t="s">
        <v>77</v>
      </c>
      <c r="C66">
        <v>1</v>
      </c>
    </row>
    <row r="67" spans="1:3" ht="13" x14ac:dyDescent="0.15">
      <c r="A67">
        <v>30551431</v>
      </c>
      <c r="B67" t="s">
        <v>78</v>
      </c>
      <c r="C67">
        <v>2</v>
      </c>
    </row>
    <row r="68" spans="1:3" ht="13" x14ac:dyDescent="0.15">
      <c r="A68">
        <v>30553214</v>
      </c>
      <c r="B68" t="s">
        <v>79</v>
      </c>
      <c r="C68">
        <v>1</v>
      </c>
    </row>
    <row r="69" spans="1:3" ht="13" x14ac:dyDescent="0.15">
      <c r="A69">
        <v>30559409</v>
      </c>
      <c r="B69" t="s">
        <v>80</v>
      </c>
      <c r="C69">
        <v>1</v>
      </c>
    </row>
    <row r="70" spans="1:3" ht="13" x14ac:dyDescent="0.15">
      <c r="A70">
        <v>30563115</v>
      </c>
      <c r="B70" t="s">
        <v>81</v>
      </c>
      <c r="C70">
        <v>1</v>
      </c>
    </row>
    <row r="71" spans="1:3" ht="13" x14ac:dyDescent="0.15">
      <c r="A71">
        <v>30573656</v>
      </c>
      <c r="B71" t="s">
        <v>82</v>
      </c>
      <c r="C71">
        <v>1</v>
      </c>
    </row>
    <row r="72" spans="1:3" ht="13" x14ac:dyDescent="0.15">
      <c r="A72">
        <v>30583112</v>
      </c>
      <c r="B72" t="s">
        <v>83</v>
      </c>
      <c r="C72">
        <v>1</v>
      </c>
    </row>
    <row r="73" spans="1:3" ht="13" x14ac:dyDescent="0.15">
      <c r="A73">
        <v>30607626</v>
      </c>
      <c r="B73" t="s">
        <v>84</v>
      </c>
      <c r="C73">
        <v>1</v>
      </c>
    </row>
    <row r="74" spans="1:3" ht="13" x14ac:dyDescent="0.15">
      <c r="A74">
        <v>30609362</v>
      </c>
      <c r="B74" t="s">
        <v>85</v>
      </c>
      <c r="C74">
        <v>4</v>
      </c>
    </row>
    <row r="75" spans="1:3" ht="13" x14ac:dyDescent="0.15">
      <c r="A75">
        <v>30658978</v>
      </c>
      <c r="B75" t="s">
        <v>86</v>
      </c>
      <c r="C75">
        <v>8</v>
      </c>
    </row>
    <row r="76" spans="1:3" ht="13" x14ac:dyDescent="0.15">
      <c r="A76">
        <v>30671123</v>
      </c>
      <c r="B76" t="s">
        <v>87</v>
      </c>
      <c r="C76">
        <v>1</v>
      </c>
    </row>
    <row r="77" spans="1:3" ht="13" x14ac:dyDescent="0.15">
      <c r="A77">
        <v>30692389</v>
      </c>
      <c r="B77" t="s">
        <v>88</v>
      </c>
      <c r="C77">
        <v>3</v>
      </c>
    </row>
    <row r="78" spans="1:3" ht="13" x14ac:dyDescent="0.15">
      <c r="A78">
        <v>30700325</v>
      </c>
      <c r="B78" t="s">
        <v>89</v>
      </c>
      <c r="C78">
        <v>2</v>
      </c>
    </row>
    <row r="79" spans="1:3" ht="13" x14ac:dyDescent="0.15">
      <c r="A79">
        <v>30700471</v>
      </c>
      <c r="B79" t="s">
        <v>90</v>
      </c>
      <c r="C79">
        <v>3</v>
      </c>
    </row>
    <row r="80" spans="1:3" ht="13" x14ac:dyDescent="0.15">
      <c r="A80">
        <v>30703196</v>
      </c>
      <c r="B80" t="s">
        <v>91</v>
      </c>
      <c r="C80">
        <v>1</v>
      </c>
    </row>
    <row r="81" spans="1:3" ht="13" x14ac:dyDescent="0.15">
      <c r="A81">
        <v>30703334</v>
      </c>
      <c r="B81" t="s">
        <v>92</v>
      </c>
      <c r="C81">
        <v>1</v>
      </c>
    </row>
    <row r="82" spans="1:3" ht="13" x14ac:dyDescent="0.15">
      <c r="A82">
        <v>30708031</v>
      </c>
      <c r="B82" t="s">
        <v>93</v>
      </c>
      <c r="C82">
        <v>1</v>
      </c>
    </row>
    <row r="83" spans="1:3" ht="13" x14ac:dyDescent="0.15">
      <c r="A83">
        <v>30708599</v>
      </c>
      <c r="B83" t="s">
        <v>94</v>
      </c>
      <c r="C83">
        <v>2</v>
      </c>
    </row>
    <row r="84" spans="1:3" ht="13" x14ac:dyDescent="0.15">
      <c r="A84">
        <v>30719469</v>
      </c>
      <c r="B84" t="s">
        <v>95</v>
      </c>
      <c r="C84">
        <v>2</v>
      </c>
    </row>
    <row r="85" spans="1:3" ht="13" x14ac:dyDescent="0.15">
      <c r="A85">
        <v>30721822</v>
      </c>
      <c r="B85" t="s">
        <v>96</v>
      </c>
      <c r="C85">
        <v>1</v>
      </c>
    </row>
    <row r="86" spans="1:3" ht="13" x14ac:dyDescent="0.15">
      <c r="A86">
        <v>30739874</v>
      </c>
      <c r="B86" t="s">
        <v>97</v>
      </c>
      <c r="C86">
        <v>1</v>
      </c>
    </row>
    <row r="87" spans="1:3" ht="13" x14ac:dyDescent="0.15">
      <c r="A87">
        <v>30740678</v>
      </c>
      <c r="B87" t="s">
        <v>98</v>
      </c>
      <c r="C87">
        <v>1</v>
      </c>
    </row>
    <row r="88" spans="1:3" ht="13" x14ac:dyDescent="0.15">
      <c r="A88">
        <v>30745335</v>
      </c>
      <c r="B88" t="s">
        <v>99</v>
      </c>
      <c r="C88">
        <v>2</v>
      </c>
    </row>
    <row r="89" spans="1:3" ht="13" x14ac:dyDescent="0.15">
      <c r="A89">
        <v>30746066</v>
      </c>
      <c r="B89" t="s">
        <v>100</v>
      </c>
      <c r="C89">
        <v>1</v>
      </c>
    </row>
    <row r="90" spans="1:3" ht="13" x14ac:dyDescent="0.15">
      <c r="A90">
        <v>30755843</v>
      </c>
      <c r="B90" t="s">
        <v>101</v>
      </c>
      <c r="C90">
        <v>1</v>
      </c>
    </row>
    <row r="91" spans="1:3" ht="13" x14ac:dyDescent="0.15">
      <c r="A91">
        <v>30757242</v>
      </c>
      <c r="B91" t="s">
        <v>102</v>
      </c>
      <c r="C91">
        <v>1</v>
      </c>
    </row>
    <row r="92" spans="1:3" ht="13" x14ac:dyDescent="0.15">
      <c r="A92">
        <v>30761847</v>
      </c>
      <c r="B92" t="s">
        <v>103</v>
      </c>
      <c r="C92">
        <v>1</v>
      </c>
    </row>
    <row r="93" spans="1:3" ht="13" x14ac:dyDescent="0.15">
      <c r="A93">
        <v>30774757</v>
      </c>
      <c r="B93" t="s">
        <v>104</v>
      </c>
      <c r="C93">
        <v>1</v>
      </c>
    </row>
    <row r="94" spans="1:3" ht="13" x14ac:dyDescent="0.15">
      <c r="A94">
        <v>30778601</v>
      </c>
      <c r="B94" t="s">
        <v>105</v>
      </c>
      <c r="C94">
        <v>1</v>
      </c>
    </row>
    <row r="95" spans="1:3" ht="13" x14ac:dyDescent="0.15">
      <c r="A95">
        <v>30786690</v>
      </c>
      <c r="B95" t="s">
        <v>106</v>
      </c>
      <c r="C95">
        <v>1</v>
      </c>
    </row>
    <row r="96" spans="1:3" ht="13" x14ac:dyDescent="0.15">
      <c r="A96">
        <v>30800952</v>
      </c>
      <c r="B96" t="s">
        <v>107</v>
      </c>
      <c r="C96">
        <v>22</v>
      </c>
    </row>
    <row r="97" spans="1:3" ht="13" x14ac:dyDescent="0.15">
      <c r="A97">
        <v>30809029</v>
      </c>
      <c r="B97" t="s">
        <v>108</v>
      </c>
      <c r="C97">
        <v>2</v>
      </c>
    </row>
    <row r="98" spans="1:3" ht="13" x14ac:dyDescent="0.15">
      <c r="A98">
        <v>30817381</v>
      </c>
      <c r="B98" t="s">
        <v>109</v>
      </c>
      <c r="C98">
        <v>3</v>
      </c>
    </row>
    <row r="99" spans="1:3" ht="13" x14ac:dyDescent="0.15">
      <c r="A99">
        <v>30832722</v>
      </c>
      <c r="B99" t="s">
        <v>110</v>
      </c>
      <c r="C99">
        <v>5</v>
      </c>
    </row>
    <row r="100" spans="1:3" ht="13" x14ac:dyDescent="0.15">
      <c r="A100">
        <v>30840186</v>
      </c>
      <c r="B100" t="s">
        <v>111</v>
      </c>
      <c r="C100">
        <v>1</v>
      </c>
    </row>
    <row r="101" spans="1:3" ht="13" x14ac:dyDescent="0.15">
      <c r="A101">
        <v>30850910</v>
      </c>
      <c r="B101" t="s">
        <v>112</v>
      </c>
      <c r="C101">
        <v>1</v>
      </c>
    </row>
    <row r="102" spans="1:3" ht="13" x14ac:dyDescent="0.15">
      <c r="A102">
        <v>30895647</v>
      </c>
      <c r="B102" t="s">
        <v>113</v>
      </c>
      <c r="C102">
        <v>1</v>
      </c>
    </row>
    <row r="103" spans="1:3" ht="13" x14ac:dyDescent="0.15">
      <c r="A103">
        <v>30895974</v>
      </c>
      <c r="B103" t="s">
        <v>114</v>
      </c>
      <c r="C103">
        <v>1</v>
      </c>
    </row>
    <row r="104" spans="1:3" ht="13" x14ac:dyDescent="0.15">
      <c r="A104">
        <v>30897470</v>
      </c>
      <c r="B104" t="s">
        <v>115</v>
      </c>
      <c r="C104">
        <v>3</v>
      </c>
    </row>
    <row r="105" spans="1:3" ht="13" x14ac:dyDescent="0.15">
      <c r="A105">
        <v>30914661</v>
      </c>
      <c r="B105" t="s">
        <v>116</v>
      </c>
      <c r="C105">
        <v>1</v>
      </c>
    </row>
    <row r="106" spans="1:3" ht="13" x14ac:dyDescent="0.15">
      <c r="A106">
        <v>30934675</v>
      </c>
      <c r="B106" t="s">
        <v>117</v>
      </c>
      <c r="C106">
        <v>2</v>
      </c>
    </row>
    <row r="107" spans="1:3" ht="13" x14ac:dyDescent="0.15">
      <c r="A107">
        <v>30936439</v>
      </c>
      <c r="B107" t="s">
        <v>118</v>
      </c>
      <c r="C107">
        <v>1</v>
      </c>
    </row>
    <row r="108" spans="1:3" ht="13" x14ac:dyDescent="0.15">
      <c r="A108">
        <v>30962455</v>
      </c>
      <c r="B108" t="s">
        <v>119</v>
      </c>
      <c r="C108">
        <v>1</v>
      </c>
    </row>
    <row r="109" spans="1:3" ht="13" x14ac:dyDescent="0.15">
      <c r="A109">
        <v>30964058</v>
      </c>
      <c r="B109" t="s">
        <v>120</v>
      </c>
      <c r="C109">
        <v>1</v>
      </c>
    </row>
    <row r="110" spans="1:3" ht="13" x14ac:dyDescent="0.15">
      <c r="A110">
        <v>30969136</v>
      </c>
      <c r="B110" t="s">
        <v>121</v>
      </c>
      <c r="C110">
        <v>1</v>
      </c>
    </row>
    <row r="111" spans="1:3" ht="13" x14ac:dyDescent="0.15">
      <c r="A111">
        <v>30971170</v>
      </c>
      <c r="B111" t="s">
        <v>122</v>
      </c>
      <c r="C111">
        <v>1</v>
      </c>
    </row>
    <row r="112" spans="1:3" ht="13" x14ac:dyDescent="0.15">
      <c r="A112">
        <v>30971964</v>
      </c>
      <c r="B112" t="s">
        <v>123</v>
      </c>
      <c r="C112">
        <v>1</v>
      </c>
    </row>
    <row r="113" spans="1:3" ht="13" x14ac:dyDescent="0.15">
      <c r="A113">
        <v>30985797</v>
      </c>
      <c r="B113" t="s">
        <v>124</v>
      </c>
      <c r="C113">
        <v>1</v>
      </c>
    </row>
    <row r="114" spans="1:3" ht="13" x14ac:dyDescent="0.15">
      <c r="A114">
        <v>30999696</v>
      </c>
      <c r="B114" t="s">
        <v>125</v>
      </c>
      <c r="C114">
        <v>1</v>
      </c>
    </row>
    <row r="115" spans="1:3" ht="13" x14ac:dyDescent="0.15">
      <c r="A115">
        <v>31000793</v>
      </c>
      <c r="B115" t="s">
        <v>126</v>
      </c>
      <c r="C115">
        <v>4</v>
      </c>
    </row>
    <row r="116" spans="1:3" ht="13" x14ac:dyDescent="0.15">
      <c r="A116">
        <v>31000855</v>
      </c>
      <c r="B116" t="s">
        <v>127</v>
      </c>
      <c r="C116">
        <v>1</v>
      </c>
    </row>
    <row r="117" spans="1:3" ht="13" x14ac:dyDescent="0.15">
      <c r="A117">
        <v>31007687</v>
      </c>
      <c r="B117" t="s">
        <v>128</v>
      </c>
      <c r="C117">
        <v>1</v>
      </c>
    </row>
    <row r="118" spans="1:3" ht="13" x14ac:dyDescent="0.15">
      <c r="A118">
        <v>31038368</v>
      </c>
      <c r="B118" t="s">
        <v>129</v>
      </c>
      <c r="C118">
        <v>1</v>
      </c>
    </row>
    <row r="119" spans="1:3" ht="13" x14ac:dyDescent="0.15">
      <c r="A119">
        <v>31041301</v>
      </c>
      <c r="B119" t="s">
        <v>130</v>
      </c>
      <c r="C119">
        <v>2</v>
      </c>
    </row>
    <row r="120" spans="1:3" ht="13" x14ac:dyDescent="0.15">
      <c r="A120">
        <v>31042575</v>
      </c>
      <c r="B120" t="s">
        <v>131</v>
      </c>
      <c r="C120">
        <v>1</v>
      </c>
    </row>
    <row r="121" spans="1:3" ht="13" x14ac:dyDescent="0.15">
      <c r="A121">
        <v>31043243</v>
      </c>
      <c r="B121" t="s">
        <v>132</v>
      </c>
      <c r="C121">
        <v>2</v>
      </c>
    </row>
    <row r="122" spans="1:3" ht="13" x14ac:dyDescent="0.15">
      <c r="A122">
        <v>31046794</v>
      </c>
      <c r="B122" t="s">
        <v>133</v>
      </c>
      <c r="C122">
        <v>1</v>
      </c>
    </row>
    <row r="123" spans="1:3" ht="13" x14ac:dyDescent="0.15">
      <c r="A123">
        <v>31048891</v>
      </c>
      <c r="B123" t="s">
        <v>134</v>
      </c>
      <c r="C123">
        <v>1</v>
      </c>
    </row>
    <row r="124" spans="1:3" ht="13" x14ac:dyDescent="0.15">
      <c r="A124">
        <v>31059831</v>
      </c>
      <c r="B124" t="s">
        <v>135</v>
      </c>
      <c r="C124">
        <v>1</v>
      </c>
    </row>
    <row r="125" spans="1:3" ht="13" x14ac:dyDescent="0.15">
      <c r="A125">
        <v>31071044</v>
      </c>
      <c r="B125" t="s">
        <v>136</v>
      </c>
      <c r="C125">
        <v>3</v>
      </c>
    </row>
    <row r="126" spans="1:3" ht="13" x14ac:dyDescent="0.15">
      <c r="A126">
        <v>31074691</v>
      </c>
      <c r="B126" t="s">
        <v>137</v>
      </c>
      <c r="C126">
        <v>3</v>
      </c>
    </row>
    <row r="127" spans="1:3" ht="13" x14ac:dyDescent="0.15">
      <c r="A127">
        <v>31112297</v>
      </c>
      <c r="B127" t="s">
        <v>138</v>
      </c>
      <c r="C127">
        <v>2</v>
      </c>
    </row>
    <row r="128" spans="1:3" ht="13" x14ac:dyDescent="0.15">
      <c r="A128">
        <v>31113309</v>
      </c>
      <c r="B128" t="s">
        <v>139</v>
      </c>
      <c r="C128">
        <v>3</v>
      </c>
    </row>
    <row r="129" spans="1:3" ht="13" x14ac:dyDescent="0.15">
      <c r="A129">
        <v>31131145</v>
      </c>
      <c r="B129" t="s">
        <v>140</v>
      </c>
      <c r="C129">
        <v>1</v>
      </c>
    </row>
    <row r="130" spans="1:3" ht="13" x14ac:dyDescent="0.15">
      <c r="A130">
        <v>31133101</v>
      </c>
      <c r="B130" t="s">
        <v>141</v>
      </c>
      <c r="C130">
        <v>1</v>
      </c>
    </row>
    <row r="131" spans="1:3" ht="13" x14ac:dyDescent="0.15">
      <c r="A131">
        <v>31152417</v>
      </c>
      <c r="B131" t="s">
        <v>142</v>
      </c>
      <c r="C131">
        <v>1</v>
      </c>
    </row>
    <row r="132" spans="1:3" ht="13" x14ac:dyDescent="0.15">
      <c r="A132">
        <v>31154677</v>
      </c>
      <c r="B132" t="s">
        <v>143</v>
      </c>
      <c r="C132">
        <v>1</v>
      </c>
    </row>
    <row r="133" spans="1:3" ht="13" x14ac:dyDescent="0.15">
      <c r="A133">
        <v>31156791</v>
      </c>
      <c r="B133" t="s">
        <v>144</v>
      </c>
      <c r="C133">
        <v>1</v>
      </c>
    </row>
    <row r="134" spans="1:3" ht="13" x14ac:dyDescent="0.15">
      <c r="A134">
        <v>31162734</v>
      </c>
      <c r="B134" t="s">
        <v>145</v>
      </c>
      <c r="C134">
        <v>2</v>
      </c>
    </row>
    <row r="135" spans="1:3" ht="13" x14ac:dyDescent="0.15">
      <c r="A135">
        <v>31165016</v>
      </c>
      <c r="B135" t="s">
        <v>146</v>
      </c>
      <c r="C135">
        <v>1</v>
      </c>
    </row>
    <row r="136" spans="1:3" ht="13" x14ac:dyDescent="0.15">
      <c r="A136">
        <v>31171426</v>
      </c>
      <c r="B136" t="s">
        <v>147</v>
      </c>
      <c r="C136">
        <v>1</v>
      </c>
    </row>
    <row r="137" spans="1:3" ht="13" x14ac:dyDescent="0.15">
      <c r="A137">
        <v>31182325</v>
      </c>
      <c r="B137" t="s">
        <v>148</v>
      </c>
      <c r="C137">
        <v>5</v>
      </c>
    </row>
    <row r="138" spans="1:3" ht="13" x14ac:dyDescent="0.15">
      <c r="A138">
        <v>31195178</v>
      </c>
      <c r="B138" t="s">
        <v>149</v>
      </c>
      <c r="C138">
        <v>1</v>
      </c>
    </row>
    <row r="139" spans="1:3" ht="13" x14ac:dyDescent="0.15">
      <c r="A139">
        <v>31203157</v>
      </c>
      <c r="B139" t="s">
        <v>150</v>
      </c>
      <c r="C139">
        <v>1</v>
      </c>
    </row>
    <row r="140" spans="1:3" ht="13" x14ac:dyDescent="0.15">
      <c r="A140">
        <v>31210048</v>
      </c>
      <c r="B140" t="s">
        <v>151</v>
      </c>
      <c r="C140">
        <v>1</v>
      </c>
    </row>
    <row r="141" spans="1:3" ht="13" x14ac:dyDescent="0.15">
      <c r="A141">
        <v>31217970</v>
      </c>
      <c r="B141" t="s">
        <v>152</v>
      </c>
      <c r="C141">
        <v>1</v>
      </c>
    </row>
    <row r="142" spans="1:3" ht="13" x14ac:dyDescent="0.15">
      <c r="A142">
        <v>31221037</v>
      </c>
      <c r="B142" t="s">
        <v>153</v>
      </c>
      <c r="C142">
        <v>2</v>
      </c>
    </row>
    <row r="143" spans="1:3" ht="13" x14ac:dyDescent="0.15">
      <c r="A143">
        <v>31242432</v>
      </c>
      <c r="B143" t="s">
        <v>154</v>
      </c>
      <c r="C143">
        <v>2</v>
      </c>
    </row>
    <row r="144" spans="1:3" ht="13" x14ac:dyDescent="0.15">
      <c r="A144">
        <v>31245723</v>
      </c>
      <c r="B144" t="s">
        <v>155</v>
      </c>
      <c r="C144">
        <v>8</v>
      </c>
    </row>
    <row r="145" spans="1:3" ht="13" x14ac:dyDescent="0.15">
      <c r="A145">
        <v>31249580</v>
      </c>
      <c r="B145" t="s">
        <v>156</v>
      </c>
      <c r="C145">
        <v>1</v>
      </c>
    </row>
    <row r="146" spans="1:3" ht="13" x14ac:dyDescent="0.15">
      <c r="A146">
        <v>31251411</v>
      </c>
      <c r="B146" t="s">
        <v>157</v>
      </c>
      <c r="C146">
        <v>1</v>
      </c>
    </row>
    <row r="147" spans="1:3" ht="13" x14ac:dyDescent="0.15">
      <c r="A147">
        <v>31258362</v>
      </c>
      <c r="B147" t="s">
        <v>158</v>
      </c>
      <c r="C147">
        <v>1</v>
      </c>
    </row>
    <row r="148" spans="1:3" ht="13" x14ac:dyDescent="0.15">
      <c r="A148">
        <v>31263263</v>
      </c>
      <c r="B148" t="s">
        <v>159</v>
      </c>
      <c r="C148">
        <v>4</v>
      </c>
    </row>
    <row r="149" spans="1:3" ht="13" x14ac:dyDescent="0.15">
      <c r="A149">
        <v>31267757</v>
      </c>
      <c r="B149" t="s">
        <v>160</v>
      </c>
      <c r="C149">
        <v>8</v>
      </c>
    </row>
    <row r="150" spans="1:3" ht="13" x14ac:dyDescent="0.15">
      <c r="A150">
        <v>31274883</v>
      </c>
      <c r="B150" t="s">
        <v>161</v>
      </c>
      <c r="C150">
        <v>1</v>
      </c>
    </row>
    <row r="151" spans="1:3" ht="13" x14ac:dyDescent="0.15">
      <c r="A151">
        <v>31291317</v>
      </c>
      <c r="B151" t="s">
        <v>162</v>
      </c>
      <c r="C151">
        <v>1</v>
      </c>
    </row>
    <row r="152" spans="1:3" ht="13" x14ac:dyDescent="0.15">
      <c r="A152">
        <v>31293535</v>
      </c>
      <c r="B152" t="s">
        <v>163</v>
      </c>
      <c r="C152">
        <v>1</v>
      </c>
    </row>
    <row r="153" spans="1:3" ht="13" x14ac:dyDescent="0.15">
      <c r="A153">
        <v>31304779</v>
      </c>
      <c r="B153" t="s">
        <v>164</v>
      </c>
      <c r="C153">
        <v>1</v>
      </c>
    </row>
    <row r="154" spans="1:3" ht="13" x14ac:dyDescent="0.15">
      <c r="A154">
        <v>31306930</v>
      </c>
      <c r="B154" t="s">
        <v>165</v>
      </c>
      <c r="C154">
        <v>1</v>
      </c>
    </row>
    <row r="155" spans="1:3" ht="13" x14ac:dyDescent="0.15">
      <c r="A155">
        <v>31308487</v>
      </c>
      <c r="B155" t="s">
        <v>166</v>
      </c>
      <c r="C155">
        <v>1</v>
      </c>
    </row>
    <row r="156" spans="1:3" ht="13" x14ac:dyDescent="0.15">
      <c r="A156">
        <v>31318010</v>
      </c>
      <c r="B156" t="s">
        <v>167</v>
      </c>
      <c r="C156">
        <v>3</v>
      </c>
    </row>
    <row r="157" spans="1:3" ht="13" x14ac:dyDescent="0.15">
      <c r="A157">
        <v>31320893</v>
      </c>
      <c r="B157" t="s">
        <v>168</v>
      </c>
      <c r="C157">
        <v>1</v>
      </c>
    </row>
    <row r="158" spans="1:3" ht="13" x14ac:dyDescent="0.15">
      <c r="A158">
        <v>31379950</v>
      </c>
      <c r="B158" t="s">
        <v>169</v>
      </c>
      <c r="C158">
        <v>1</v>
      </c>
    </row>
    <row r="159" spans="1:3" ht="13" x14ac:dyDescent="0.15">
      <c r="A159">
        <v>31391919</v>
      </c>
      <c r="B159" t="s">
        <v>170</v>
      </c>
      <c r="C159">
        <v>1</v>
      </c>
    </row>
    <row r="160" spans="1:3" ht="13" x14ac:dyDescent="0.15">
      <c r="A160">
        <v>31398979</v>
      </c>
      <c r="B160" t="s">
        <v>171</v>
      </c>
      <c r="C160">
        <v>1</v>
      </c>
    </row>
    <row r="161" spans="1:3" ht="13" x14ac:dyDescent="0.15">
      <c r="A161">
        <v>31403498</v>
      </c>
      <c r="B161" t="s">
        <v>172</v>
      </c>
      <c r="C161">
        <v>1</v>
      </c>
    </row>
    <row r="162" spans="1:3" ht="13" x14ac:dyDescent="0.15">
      <c r="A162">
        <v>31405098</v>
      </c>
      <c r="B162" t="s">
        <v>173</v>
      </c>
      <c r="C162">
        <v>2</v>
      </c>
    </row>
    <row r="163" spans="1:3" ht="13" x14ac:dyDescent="0.15">
      <c r="A163">
        <v>31408124</v>
      </c>
      <c r="B163" t="s">
        <v>174</v>
      </c>
      <c r="C163">
        <v>2</v>
      </c>
    </row>
    <row r="164" spans="1:3" ht="13" x14ac:dyDescent="0.15">
      <c r="A164">
        <v>31415343</v>
      </c>
      <c r="B164" t="s">
        <v>175</v>
      </c>
      <c r="C164">
        <v>1</v>
      </c>
    </row>
    <row r="165" spans="1:3" ht="13" x14ac:dyDescent="0.15">
      <c r="A165">
        <v>31422173</v>
      </c>
      <c r="B165" t="s">
        <v>176</v>
      </c>
      <c r="C165">
        <v>1</v>
      </c>
    </row>
    <row r="166" spans="1:3" ht="13" x14ac:dyDescent="0.15">
      <c r="A166">
        <v>31425906</v>
      </c>
      <c r="B166" t="s">
        <v>177</v>
      </c>
      <c r="C166">
        <v>1</v>
      </c>
    </row>
    <row r="167" spans="1:3" ht="13" x14ac:dyDescent="0.15">
      <c r="A167">
        <v>31443553</v>
      </c>
      <c r="B167" t="s">
        <v>178</v>
      </c>
      <c r="C167">
        <v>1</v>
      </c>
    </row>
    <row r="168" spans="1:3" ht="13" x14ac:dyDescent="0.15">
      <c r="A168">
        <v>31447225</v>
      </c>
      <c r="B168" t="s">
        <v>179</v>
      </c>
      <c r="C168">
        <v>4</v>
      </c>
    </row>
    <row r="169" spans="1:3" ht="13" x14ac:dyDescent="0.15">
      <c r="A169">
        <v>31450502</v>
      </c>
      <c r="B169" t="s">
        <v>180</v>
      </c>
      <c r="C169">
        <v>1</v>
      </c>
    </row>
    <row r="170" spans="1:3" ht="13" x14ac:dyDescent="0.15">
      <c r="A170">
        <v>31451349</v>
      </c>
      <c r="B170" t="s">
        <v>181</v>
      </c>
      <c r="C170">
        <v>1</v>
      </c>
    </row>
    <row r="171" spans="1:3" ht="13" x14ac:dyDescent="0.15">
      <c r="A171">
        <v>31464748</v>
      </c>
      <c r="B171" t="s">
        <v>182</v>
      </c>
      <c r="C171">
        <v>22</v>
      </c>
    </row>
    <row r="172" spans="1:3" ht="13" x14ac:dyDescent="0.15">
      <c r="A172">
        <v>31490345</v>
      </c>
      <c r="B172" t="s">
        <v>183</v>
      </c>
      <c r="C172">
        <v>5</v>
      </c>
    </row>
    <row r="173" spans="1:3" ht="13" x14ac:dyDescent="0.15">
      <c r="A173">
        <v>31501821</v>
      </c>
      <c r="B173" t="s">
        <v>184</v>
      </c>
      <c r="C173">
        <v>1</v>
      </c>
    </row>
    <row r="174" spans="1:3" ht="13" x14ac:dyDescent="0.15">
      <c r="A174">
        <v>31502296</v>
      </c>
      <c r="B174" t="s">
        <v>185</v>
      </c>
      <c r="C174">
        <v>1</v>
      </c>
    </row>
    <row r="175" spans="1:3" ht="13" x14ac:dyDescent="0.15">
      <c r="A175">
        <v>31538800</v>
      </c>
      <c r="B175" t="s">
        <v>186</v>
      </c>
      <c r="C175">
        <v>3</v>
      </c>
    </row>
    <row r="176" spans="1:3" ht="13" x14ac:dyDescent="0.15">
      <c r="A176">
        <v>31551643</v>
      </c>
      <c r="B176" t="s">
        <v>187</v>
      </c>
      <c r="C176">
        <v>10</v>
      </c>
    </row>
    <row r="177" spans="1:3" ht="13" x14ac:dyDescent="0.15">
      <c r="A177">
        <v>31564195</v>
      </c>
      <c r="B177" t="s">
        <v>188</v>
      </c>
      <c r="C177">
        <v>1</v>
      </c>
    </row>
    <row r="178" spans="1:3" ht="13" x14ac:dyDescent="0.15">
      <c r="A178">
        <v>31565219</v>
      </c>
      <c r="B178" t="s">
        <v>189</v>
      </c>
      <c r="C178">
        <v>3</v>
      </c>
    </row>
    <row r="179" spans="1:3" ht="13" x14ac:dyDescent="0.15">
      <c r="A179">
        <v>31570817</v>
      </c>
      <c r="B179" t="s">
        <v>190</v>
      </c>
      <c r="C179">
        <v>1</v>
      </c>
    </row>
    <row r="180" spans="1:3" ht="13" x14ac:dyDescent="0.15">
      <c r="A180">
        <v>31576011</v>
      </c>
      <c r="B180" t="s">
        <v>191</v>
      </c>
      <c r="C180">
        <v>1</v>
      </c>
    </row>
    <row r="181" spans="1:3" ht="13" x14ac:dyDescent="0.15">
      <c r="A181">
        <v>31578357</v>
      </c>
      <c r="B181" t="s">
        <v>192</v>
      </c>
      <c r="C181">
        <v>1</v>
      </c>
    </row>
    <row r="182" spans="1:3" ht="13" x14ac:dyDescent="0.15">
      <c r="A182">
        <v>31587224</v>
      </c>
      <c r="B182" t="s">
        <v>193</v>
      </c>
      <c r="C182">
        <v>6</v>
      </c>
    </row>
    <row r="183" spans="1:3" ht="13" x14ac:dyDescent="0.15">
      <c r="A183">
        <v>31591080</v>
      </c>
      <c r="B183" t="s">
        <v>194</v>
      </c>
      <c r="C183">
        <v>1</v>
      </c>
    </row>
    <row r="184" spans="1:3" ht="13" x14ac:dyDescent="0.15">
      <c r="A184">
        <v>31599087</v>
      </c>
      <c r="B184" t="s">
        <v>195</v>
      </c>
      <c r="C184">
        <v>1</v>
      </c>
    </row>
    <row r="185" spans="1:3" ht="13" x14ac:dyDescent="0.15">
      <c r="A185">
        <v>31612085</v>
      </c>
      <c r="B185" t="s">
        <v>196</v>
      </c>
      <c r="C185">
        <v>1</v>
      </c>
    </row>
    <row r="186" spans="1:3" ht="13" x14ac:dyDescent="0.15">
      <c r="A186">
        <v>31616227</v>
      </c>
      <c r="B186" t="s">
        <v>197</v>
      </c>
      <c r="C186">
        <v>1</v>
      </c>
    </row>
    <row r="187" spans="1:3" ht="13" x14ac:dyDescent="0.15">
      <c r="A187">
        <v>31619755</v>
      </c>
      <c r="B187" t="s">
        <v>198</v>
      </c>
      <c r="C187">
        <v>5</v>
      </c>
    </row>
    <row r="188" spans="1:3" ht="13" x14ac:dyDescent="0.15">
      <c r="A188">
        <v>31640950</v>
      </c>
      <c r="B188" t="s">
        <v>199</v>
      </c>
      <c r="C188">
        <v>1</v>
      </c>
    </row>
    <row r="189" spans="1:3" ht="13" x14ac:dyDescent="0.15">
      <c r="A189">
        <v>31653143</v>
      </c>
      <c r="B189" t="s">
        <v>200</v>
      </c>
      <c r="C189">
        <v>1</v>
      </c>
    </row>
    <row r="190" spans="1:3" ht="13" x14ac:dyDescent="0.15">
      <c r="A190">
        <v>31654358</v>
      </c>
      <c r="B190" t="s">
        <v>201</v>
      </c>
      <c r="C190">
        <v>1</v>
      </c>
    </row>
    <row r="191" spans="1:3" ht="13" x14ac:dyDescent="0.15">
      <c r="A191">
        <v>31655996</v>
      </c>
      <c r="B191" t="s">
        <v>202</v>
      </c>
      <c r="C191">
        <v>3</v>
      </c>
    </row>
    <row r="192" spans="1:3" ht="13" x14ac:dyDescent="0.15">
      <c r="A192">
        <v>31657594</v>
      </c>
      <c r="B192" t="s">
        <v>203</v>
      </c>
      <c r="C192">
        <v>3</v>
      </c>
    </row>
    <row r="193" spans="1:3" ht="13" x14ac:dyDescent="0.15">
      <c r="A193">
        <v>31662979</v>
      </c>
      <c r="B193" t="s">
        <v>204</v>
      </c>
      <c r="C193">
        <v>1</v>
      </c>
    </row>
    <row r="194" spans="1:3" ht="13" x14ac:dyDescent="0.15">
      <c r="A194">
        <v>31681443</v>
      </c>
      <c r="B194" t="s">
        <v>205</v>
      </c>
      <c r="C194">
        <v>2</v>
      </c>
    </row>
    <row r="195" spans="1:3" ht="13" x14ac:dyDescent="0.15">
      <c r="A195">
        <v>31681687</v>
      </c>
      <c r="B195" t="s">
        <v>206</v>
      </c>
      <c r="C195">
        <v>1</v>
      </c>
    </row>
    <row r="196" spans="1:3" ht="13" x14ac:dyDescent="0.15">
      <c r="A196">
        <v>31686427</v>
      </c>
      <c r="B196" t="s">
        <v>207</v>
      </c>
      <c r="C196">
        <v>2</v>
      </c>
    </row>
    <row r="197" spans="1:3" ht="13" x14ac:dyDescent="0.15">
      <c r="A197">
        <v>31691382</v>
      </c>
      <c r="B197" t="s">
        <v>208</v>
      </c>
      <c r="C197">
        <v>1</v>
      </c>
    </row>
    <row r="198" spans="1:3" ht="13" x14ac:dyDescent="0.15">
      <c r="A198">
        <v>31698048</v>
      </c>
      <c r="B198" t="s">
        <v>209</v>
      </c>
      <c r="C198">
        <v>1</v>
      </c>
    </row>
    <row r="199" spans="1:3" ht="13" x14ac:dyDescent="0.15">
      <c r="A199">
        <v>31699346</v>
      </c>
      <c r="B199" t="s">
        <v>210</v>
      </c>
      <c r="C199">
        <v>1</v>
      </c>
    </row>
    <row r="200" spans="1:3" ht="13" x14ac:dyDescent="0.15">
      <c r="A200">
        <v>31699640</v>
      </c>
      <c r="B200" t="s">
        <v>211</v>
      </c>
      <c r="C200">
        <v>2</v>
      </c>
    </row>
    <row r="201" spans="1:3" ht="13" x14ac:dyDescent="0.15">
      <c r="A201">
        <v>31703207</v>
      </c>
      <c r="B201" t="s">
        <v>212</v>
      </c>
      <c r="C201">
        <v>11</v>
      </c>
    </row>
    <row r="202" spans="1:3" ht="13" x14ac:dyDescent="0.15">
      <c r="A202">
        <v>31705400</v>
      </c>
      <c r="B202" t="s">
        <v>213</v>
      </c>
      <c r="C202">
        <v>1</v>
      </c>
    </row>
    <row r="203" spans="1:3" ht="13" x14ac:dyDescent="0.15">
      <c r="A203">
        <v>31705625</v>
      </c>
      <c r="B203" t="s">
        <v>214</v>
      </c>
      <c r="C203">
        <v>2</v>
      </c>
    </row>
    <row r="204" spans="1:3" ht="13" x14ac:dyDescent="0.15">
      <c r="A204">
        <v>31707012</v>
      </c>
      <c r="B204" t="s">
        <v>215</v>
      </c>
      <c r="C204">
        <v>1</v>
      </c>
    </row>
    <row r="205" spans="1:3" ht="13" x14ac:dyDescent="0.15">
      <c r="A205">
        <v>31707062</v>
      </c>
      <c r="B205" t="s">
        <v>216</v>
      </c>
      <c r="C205">
        <v>1</v>
      </c>
    </row>
    <row r="206" spans="1:3" ht="13" x14ac:dyDescent="0.15">
      <c r="A206">
        <v>31717045</v>
      </c>
      <c r="B206" t="s">
        <v>217</v>
      </c>
      <c r="C206">
        <v>1</v>
      </c>
    </row>
    <row r="207" spans="1:3" ht="13" x14ac:dyDescent="0.15">
      <c r="A207">
        <v>31720199</v>
      </c>
      <c r="B207" t="s">
        <v>218</v>
      </c>
      <c r="C207">
        <v>29</v>
      </c>
    </row>
    <row r="208" spans="1:3" ht="13" x14ac:dyDescent="0.15">
      <c r="A208">
        <v>31720804</v>
      </c>
      <c r="B208" t="s">
        <v>219</v>
      </c>
      <c r="C208">
        <v>2</v>
      </c>
    </row>
    <row r="209" spans="1:3" ht="13" x14ac:dyDescent="0.15">
      <c r="A209">
        <v>31721361</v>
      </c>
      <c r="B209" t="s">
        <v>220</v>
      </c>
      <c r="C209">
        <v>5</v>
      </c>
    </row>
    <row r="210" spans="1:3" ht="13" x14ac:dyDescent="0.15">
      <c r="A210">
        <v>31724896</v>
      </c>
      <c r="B210" t="s">
        <v>221</v>
      </c>
      <c r="C210">
        <v>1</v>
      </c>
    </row>
    <row r="211" spans="1:3" ht="13" x14ac:dyDescent="0.15">
      <c r="A211">
        <v>31725496</v>
      </c>
      <c r="B211" t="s">
        <v>222</v>
      </c>
      <c r="C211">
        <v>1</v>
      </c>
    </row>
    <row r="212" spans="1:3" ht="13" x14ac:dyDescent="0.15">
      <c r="A212">
        <v>31730406</v>
      </c>
      <c r="B212" t="s">
        <v>223</v>
      </c>
      <c r="C212">
        <v>3</v>
      </c>
    </row>
    <row r="213" spans="1:3" ht="13" x14ac:dyDescent="0.15">
      <c r="A213">
        <v>31733360</v>
      </c>
      <c r="B213" t="s">
        <v>224</v>
      </c>
      <c r="C213">
        <v>2</v>
      </c>
    </row>
    <row r="214" spans="1:3" ht="13" x14ac:dyDescent="0.15">
      <c r="A214">
        <v>31750527</v>
      </c>
      <c r="B214" t="s">
        <v>225</v>
      </c>
      <c r="C214">
        <v>4</v>
      </c>
    </row>
    <row r="215" spans="1:3" ht="13" x14ac:dyDescent="0.15">
      <c r="A215">
        <v>31752860</v>
      </c>
      <c r="B215" t="s">
        <v>226</v>
      </c>
      <c r="C215">
        <v>1</v>
      </c>
    </row>
    <row r="216" spans="1:3" ht="13" x14ac:dyDescent="0.15">
      <c r="A216">
        <v>31765916</v>
      </c>
      <c r="B216" t="s">
        <v>227</v>
      </c>
      <c r="C216">
        <v>1</v>
      </c>
    </row>
    <row r="217" spans="1:3" ht="13" x14ac:dyDescent="0.15">
      <c r="A217">
        <v>31771228</v>
      </c>
      <c r="B217" t="s">
        <v>228</v>
      </c>
      <c r="C217">
        <v>1</v>
      </c>
    </row>
    <row r="218" spans="1:3" ht="13" x14ac:dyDescent="0.15">
      <c r="A218">
        <v>31772984</v>
      </c>
      <c r="B218" t="s">
        <v>229</v>
      </c>
      <c r="C218">
        <v>7</v>
      </c>
    </row>
    <row r="219" spans="1:3" ht="13" x14ac:dyDescent="0.15">
      <c r="A219">
        <v>31781883</v>
      </c>
      <c r="B219" t="s">
        <v>230</v>
      </c>
      <c r="C219">
        <v>1</v>
      </c>
    </row>
    <row r="220" spans="1:3" ht="13" x14ac:dyDescent="0.15">
      <c r="A220">
        <v>31785060</v>
      </c>
      <c r="B220" t="s">
        <v>231</v>
      </c>
      <c r="C220">
        <v>3</v>
      </c>
    </row>
    <row r="221" spans="1:3" ht="13" x14ac:dyDescent="0.15">
      <c r="A221">
        <v>31791059</v>
      </c>
      <c r="B221" t="s">
        <v>232</v>
      </c>
      <c r="C221">
        <v>5</v>
      </c>
    </row>
    <row r="222" spans="1:3" ht="13" x14ac:dyDescent="0.15">
      <c r="A222">
        <v>31817200</v>
      </c>
      <c r="B222" t="s">
        <v>233</v>
      </c>
      <c r="C222">
        <v>1</v>
      </c>
    </row>
    <row r="223" spans="1:3" ht="13" x14ac:dyDescent="0.15">
      <c r="A223">
        <v>31838412</v>
      </c>
      <c r="B223" t="s">
        <v>234</v>
      </c>
      <c r="C223">
        <v>4</v>
      </c>
    </row>
    <row r="224" spans="1:3" ht="13" x14ac:dyDescent="0.15">
      <c r="A224">
        <v>31851256</v>
      </c>
      <c r="B224" t="s">
        <v>235</v>
      </c>
      <c r="C224">
        <v>14</v>
      </c>
    </row>
    <row r="225" spans="1:3" ht="13" x14ac:dyDescent="0.15">
      <c r="A225">
        <v>31858435</v>
      </c>
      <c r="B225" t="s">
        <v>236</v>
      </c>
      <c r="C225">
        <v>2</v>
      </c>
    </row>
    <row r="226" spans="1:3" ht="13" x14ac:dyDescent="0.15">
      <c r="A226">
        <v>31858651</v>
      </c>
      <c r="B226" t="s">
        <v>237</v>
      </c>
      <c r="C226">
        <v>1</v>
      </c>
    </row>
    <row r="227" spans="1:3" ht="13" x14ac:dyDescent="0.15">
      <c r="A227">
        <v>31861761</v>
      </c>
      <c r="B227" t="s">
        <v>238</v>
      </c>
      <c r="C227">
        <v>1</v>
      </c>
    </row>
    <row r="228" spans="1:3" ht="13" x14ac:dyDescent="0.15">
      <c r="A228">
        <v>31874041</v>
      </c>
      <c r="B228" t="s">
        <v>239</v>
      </c>
      <c r="C228">
        <v>1</v>
      </c>
    </row>
    <row r="229" spans="1:3" ht="13" x14ac:dyDescent="0.15">
      <c r="A229">
        <v>31899022</v>
      </c>
      <c r="B229" t="s">
        <v>240</v>
      </c>
      <c r="C229">
        <v>1</v>
      </c>
    </row>
    <row r="230" spans="1:3" ht="13" x14ac:dyDescent="0.15">
      <c r="A230">
        <v>31956576</v>
      </c>
      <c r="B230" t="s">
        <v>241</v>
      </c>
      <c r="C230">
        <v>1</v>
      </c>
    </row>
    <row r="231" spans="1:3" ht="13" x14ac:dyDescent="0.15">
      <c r="A231">
        <v>31956742</v>
      </c>
      <c r="B231" t="s">
        <v>242</v>
      </c>
      <c r="C231">
        <v>3</v>
      </c>
    </row>
    <row r="232" spans="1:3" ht="13" x14ac:dyDescent="0.15">
      <c r="A232">
        <v>31976329</v>
      </c>
      <c r="B232" t="s">
        <v>243</v>
      </c>
      <c r="C232">
        <v>1</v>
      </c>
    </row>
    <row r="233" spans="1:3" ht="13" x14ac:dyDescent="0.15">
      <c r="A233">
        <v>31981741</v>
      </c>
      <c r="B233" t="s">
        <v>244</v>
      </c>
      <c r="C233">
        <v>1</v>
      </c>
    </row>
    <row r="234" spans="1:3" ht="13" x14ac:dyDescent="0.15">
      <c r="A234">
        <v>31983682</v>
      </c>
      <c r="B234" t="s">
        <v>245</v>
      </c>
      <c r="C234">
        <v>1</v>
      </c>
    </row>
    <row r="235" spans="1:3" ht="13" x14ac:dyDescent="0.15">
      <c r="A235">
        <v>32092309</v>
      </c>
      <c r="B235" t="s">
        <v>246</v>
      </c>
      <c r="C235">
        <v>1</v>
      </c>
    </row>
    <row r="236" spans="1:3" ht="13" x14ac:dyDescent="0.15">
      <c r="A236">
        <v>32138932</v>
      </c>
      <c r="B236" t="s">
        <v>247</v>
      </c>
      <c r="C236">
        <v>1</v>
      </c>
    </row>
    <row r="237" spans="1:3" ht="13" x14ac:dyDescent="0.15">
      <c r="A237">
        <v>32187680</v>
      </c>
      <c r="B237" t="s">
        <v>248</v>
      </c>
      <c r="C237">
        <v>1</v>
      </c>
    </row>
    <row r="238" spans="1:3" ht="13" x14ac:dyDescent="0.15">
      <c r="A238">
        <v>32222502</v>
      </c>
      <c r="B238" t="s">
        <v>249</v>
      </c>
      <c r="C238">
        <v>9</v>
      </c>
    </row>
    <row r="239" spans="1:3" ht="13" x14ac:dyDescent="0.15">
      <c r="A239">
        <v>32243010</v>
      </c>
      <c r="B239" t="s">
        <v>250</v>
      </c>
      <c r="C239">
        <v>1</v>
      </c>
    </row>
    <row r="240" spans="1:3" ht="13" x14ac:dyDescent="0.15">
      <c r="A240">
        <v>32256742</v>
      </c>
      <c r="B240" t="s">
        <v>251</v>
      </c>
      <c r="C240">
        <v>3</v>
      </c>
    </row>
    <row r="241" spans="1:3" ht="13" x14ac:dyDescent="0.15">
      <c r="A241">
        <v>32260309</v>
      </c>
      <c r="B241" t="s">
        <v>252</v>
      </c>
      <c r="C241">
        <v>4</v>
      </c>
    </row>
    <row r="242" spans="1:3" ht="13" x14ac:dyDescent="0.15">
      <c r="A242">
        <v>32261282</v>
      </c>
      <c r="B242" t="s">
        <v>253</v>
      </c>
      <c r="C242">
        <v>1</v>
      </c>
    </row>
    <row r="243" spans="1:3" ht="13" x14ac:dyDescent="0.15">
      <c r="A243">
        <v>32274250</v>
      </c>
      <c r="B243" t="s">
        <v>254</v>
      </c>
      <c r="C243">
        <v>1</v>
      </c>
    </row>
    <row r="244" spans="1:3" ht="13" x14ac:dyDescent="0.15">
      <c r="A244">
        <v>32296350</v>
      </c>
      <c r="B244" t="s">
        <v>255</v>
      </c>
      <c r="C244">
        <v>1</v>
      </c>
    </row>
    <row r="245" spans="1:3" ht="13" x14ac:dyDescent="0.15">
      <c r="A245">
        <v>32325765</v>
      </c>
      <c r="B245" t="s">
        <v>256</v>
      </c>
      <c r="C245">
        <v>1</v>
      </c>
    </row>
    <row r="246" spans="1:3" ht="13" x14ac:dyDescent="0.15">
      <c r="A246">
        <v>32334706</v>
      </c>
      <c r="B246" t="s">
        <v>257</v>
      </c>
      <c r="C246">
        <v>1</v>
      </c>
    </row>
    <row r="247" spans="1:3" ht="13" x14ac:dyDescent="0.15">
      <c r="A247">
        <v>32341680</v>
      </c>
      <c r="B247" t="s">
        <v>258</v>
      </c>
      <c r="C247">
        <v>2</v>
      </c>
    </row>
    <row r="248" spans="1:3" ht="13" x14ac:dyDescent="0.15">
      <c r="A248">
        <v>32343433</v>
      </c>
      <c r="B248" t="s">
        <v>259</v>
      </c>
      <c r="C248">
        <v>1</v>
      </c>
    </row>
    <row r="249" spans="1:3" ht="13" x14ac:dyDescent="0.15">
      <c r="A249">
        <v>32343648</v>
      </c>
      <c r="B249" t="s">
        <v>260</v>
      </c>
      <c r="C249">
        <v>1</v>
      </c>
    </row>
    <row r="250" spans="1:3" ht="13" x14ac:dyDescent="0.15">
      <c r="A250">
        <v>32350084</v>
      </c>
      <c r="B250" t="s">
        <v>261</v>
      </c>
      <c r="C250">
        <v>1</v>
      </c>
    </row>
    <row r="251" spans="1:3" ht="13" x14ac:dyDescent="0.15">
      <c r="A251">
        <v>32352329</v>
      </c>
      <c r="B251" t="s">
        <v>262</v>
      </c>
      <c r="C251">
        <v>1</v>
      </c>
    </row>
    <row r="252" spans="1:3" ht="13" x14ac:dyDescent="0.15">
      <c r="A252">
        <v>32360532</v>
      </c>
      <c r="B252" t="s">
        <v>263</v>
      </c>
      <c r="C252">
        <v>1</v>
      </c>
    </row>
    <row r="253" spans="1:3" ht="13" x14ac:dyDescent="0.15">
      <c r="A253">
        <v>32371942</v>
      </c>
      <c r="B253" t="s">
        <v>264</v>
      </c>
      <c r="C253">
        <v>2</v>
      </c>
    </row>
    <row r="254" spans="1:3" ht="13" x14ac:dyDescent="0.15">
      <c r="A254">
        <v>32392057</v>
      </c>
      <c r="B254" t="s">
        <v>265</v>
      </c>
      <c r="C254">
        <v>1</v>
      </c>
    </row>
    <row r="255" spans="1:3" ht="13" x14ac:dyDescent="0.15">
      <c r="A255">
        <v>32392062</v>
      </c>
      <c r="B255" t="s">
        <v>266</v>
      </c>
      <c r="C255">
        <v>15</v>
      </c>
    </row>
    <row r="256" spans="1:3" ht="13" x14ac:dyDescent="0.15">
      <c r="A256">
        <v>32423096</v>
      </c>
      <c r="B256" t="s">
        <v>267</v>
      </c>
      <c r="C256">
        <v>1</v>
      </c>
    </row>
    <row r="257" spans="1:3" ht="13" x14ac:dyDescent="0.15">
      <c r="A257">
        <v>32474276</v>
      </c>
      <c r="B257" t="s">
        <v>268</v>
      </c>
      <c r="C257">
        <v>5</v>
      </c>
    </row>
    <row r="258" spans="1:3" ht="13" x14ac:dyDescent="0.15">
      <c r="A258">
        <v>33794365</v>
      </c>
      <c r="B258" t="s">
        <v>269</v>
      </c>
      <c r="C258">
        <v>1</v>
      </c>
    </row>
    <row r="259" spans="1:3" ht="13" x14ac:dyDescent="0.15">
      <c r="A259">
        <v>33801449</v>
      </c>
      <c r="B259" t="s">
        <v>270</v>
      </c>
      <c r="C259">
        <v>1</v>
      </c>
    </row>
    <row r="260" spans="1:3" ht="13" x14ac:dyDescent="0.15">
      <c r="A260">
        <v>33834102</v>
      </c>
      <c r="B260" t="s">
        <v>271</v>
      </c>
      <c r="C260">
        <v>1</v>
      </c>
    </row>
    <row r="261" spans="1:3" ht="13" x14ac:dyDescent="0.15">
      <c r="A261">
        <v>33841601</v>
      </c>
      <c r="B261" t="s">
        <v>272</v>
      </c>
      <c r="C261">
        <v>8</v>
      </c>
    </row>
    <row r="262" spans="1:3" ht="13" x14ac:dyDescent="0.15">
      <c r="A262">
        <v>38695445</v>
      </c>
      <c r="B262" t="s">
        <v>273</v>
      </c>
      <c r="C262">
        <v>1</v>
      </c>
    </row>
    <row r="263" spans="1:3" ht="13" x14ac:dyDescent="0.15">
      <c r="A263">
        <v>38735830</v>
      </c>
      <c r="B263" t="s">
        <v>274</v>
      </c>
      <c r="C263">
        <v>4</v>
      </c>
    </row>
    <row r="264" spans="1:3" ht="13" x14ac:dyDescent="0.15">
      <c r="A264">
        <v>40931334</v>
      </c>
      <c r="B264" t="s">
        <v>275</v>
      </c>
      <c r="C264">
        <v>1</v>
      </c>
    </row>
    <row r="265" spans="1:3" ht="13" x14ac:dyDescent="0.15">
      <c r="A265">
        <v>40985103</v>
      </c>
      <c r="B265" t="s">
        <v>276</v>
      </c>
      <c r="C265">
        <v>1</v>
      </c>
    </row>
    <row r="266" spans="1:3" ht="13" x14ac:dyDescent="0.15">
      <c r="A266">
        <v>40985400</v>
      </c>
      <c r="B266" t="s">
        <v>277</v>
      </c>
      <c r="C266">
        <v>4</v>
      </c>
    </row>
    <row r="267" spans="1:3" ht="13" x14ac:dyDescent="0.15">
      <c r="A267">
        <v>40986110</v>
      </c>
      <c r="B267" t="s">
        <v>278</v>
      </c>
      <c r="C267">
        <v>1</v>
      </c>
    </row>
    <row r="268" spans="1:3" ht="13" x14ac:dyDescent="0.15">
      <c r="A268">
        <v>47173578</v>
      </c>
      <c r="B268" t="s">
        <v>279</v>
      </c>
      <c r="C268">
        <v>1</v>
      </c>
    </row>
    <row r="269" spans="1:3" ht="13" x14ac:dyDescent="0.15">
      <c r="A269">
        <v>49033409</v>
      </c>
      <c r="B269" t="s">
        <v>280</v>
      </c>
      <c r="C269">
        <v>4</v>
      </c>
    </row>
    <row r="270" spans="1:3" ht="13" x14ac:dyDescent="0.15">
      <c r="A270">
        <v>49420957</v>
      </c>
      <c r="B270" t="s">
        <v>281</v>
      </c>
      <c r="C270">
        <v>2</v>
      </c>
    </row>
    <row r="271" spans="1:3" ht="13" x14ac:dyDescent="0.15">
      <c r="A271">
        <v>49481600</v>
      </c>
      <c r="B271" t="s">
        <v>282</v>
      </c>
      <c r="C271">
        <v>1</v>
      </c>
    </row>
    <row r="272" spans="1:3" ht="13" x14ac:dyDescent="0.15">
      <c r="A272">
        <v>50432820</v>
      </c>
      <c r="B272" t="s">
        <v>283</v>
      </c>
      <c r="C272">
        <v>1</v>
      </c>
    </row>
    <row r="273" spans="1:3" ht="13" x14ac:dyDescent="0.15">
      <c r="A273">
        <v>50629549</v>
      </c>
      <c r="B273" t="s">
        <v>284</v>
      </c>
      <c r="C273">
        <v>5</v>
      </c>
    </row>
    <row r="274" spans="1:3" ht="13" x14ac:dyDescent="0.15">
      <c r="A274">
        <v>50633732</v>
      </c>
      <c r="B274" t="s">
        <v>285</v>
      </c>
      <c r="C274">
        <v>2</v>
      </c>
    </row>
    <row r="275" spans="1:3" ht="13" x14ac:dyDescent="0.15">
      <c r="A275">
        <v>54187541</v>
      </c>
      <c r="B275" t="s">
        <v>286</v>
      </c>
      <c r="C275">
        <v>2</v>
      </c>
    </row>
    <row r="276" spans="1:3" ht="13" x14ac:dyDescent="0.15">
      <c r="A276">
        <v>54688730</v>
      </c>
      <c r="B276" t="s">
        <v>287</v>
      </c>
      <c r="C276">
        <v>1</v>
      </c>
    </row>
    <row r="277" spans="1:3" ht="13" x14ac:dyDescent="0.15">
      <c r="A277">
        <v>55289782</v>
      </c>
      <c r="B277" t="s">
        <v>288</v>
      </c>
      <c r="C277">
        <v>3</v>
      </c>
    </row>
    <row r="278" spans="1:3" ht="13" x14ac:dyDescent="0.15">
      <c r="A278">
        <v>55330641</v>
      </c>
      <c r="B278" t="s">
        <v>289</v>
      </c>
      <c r="C278">
        <v>1</v>
      </c>
    </row>
    <row r="279" spans="1:3" ht="13" x14ac:dyDescent="0.15">
      <c r="A279">
        <v>59085832</v>
      </c>
      <c r="B279" t="s">
        <v>290</v>
      </c>
      <c r="C279">
        <v>2</v>
      </c>
    </row>
    <row r="280" spans="1:3" ht="13" x14ac:dyDescent="0.15">
      <c r="A280">
        <v>59225296</v>
      </c>
      <c r="B280" t="s">
        <v>291</v>
      </c>
      <c r="C280">
        <v>2</v>
      </c>
    </row>
    <row r="281" spans="1:3" ht="13" x14ac:dyDescent="0.15">
      <c r="A281">
        <v>60632268</v>
      </c>
      <c r="B281" t="s">
        <v>292</v>
      </c>
      <c r="C281">
        <v>2</v>
      </c>
    </row>
    <row r="282" spans="1:3" ht="13" x14ac:dyDescent="0.15">
      <c r="A282">
        <v>60632771</v>
      </c>
      <c r="B282" t="s">
        <v>293</v>
      </c>
      <c r="C282">
        <v>3</v>
      </c>
    </row>
    <row r="283" spans="1:3" ht="13" x14ac:dyDescent="0.15">
      <c r="A283">
        <v>62665801</v>
      </c>
      <c r="B283" t="s">
        <v>294</v>
      </c>
      <c r="C283">
        <v>1</v>
      </c>
    </row>
    <row r="284" spans="1:3" ht="13" x14ac:dyDescent="0.15">
      <c r="A284">
        <v>63010678</v>
      </c>
      <c r="B284" t="s">
        <v>295</v>
      </c>
      <c r="C284">
        <v>3</v>
      </c>
    </row>
    <row r="285" spans="1:3" ht="13" x14ac:dyDescent="0.15">
      <c r="A285">
        <v>65060325</v>
      </c>
      <c r="B285" t="s">
        <v>296</v>
      </c>
      <c r="C285">
        <v>1</v>
      </c>
    </row>
    <row r="286" spans="1:3" ht="13" x14ac:dyDescent="0.15">
      <c r="A286">
        <v>65199726</v>
      </c>
      <c r="B286" t="s">
        <v>297</v>
      </c>
      <c r="C286">
        <v>1</v>
      </c>
    </row>
    <row r="287" spans="1:3" ht="13" x14ac:dyDescent="0.15">
      <c r="A287">
        <v>65338569</v>
      </c>
      <c r="B287" t="s">
        <v>298</v>
      </c>
      <c r="C287">
        <v>2</v>
      </c>
    </row>
    <row r="288" spans="1:3" ht="13" x14ac:dyDescent="0.15">
      <c r="A288">
        <v>65451739</v>
      </c>
      <c r="B288" t="s">
        <v>299</v>
      </c>
      <c r="C288">
        <v>8</v>
      </c>
    </row>
    <row r="289" spans="1:3" ht="13" x14ac:dyDescent="0.15">
      <c r="A289">
        <v>65616037</v>
      </c>
      <c r="B289" t="s">
        <v>300</v>
      </c>
      <c r="C289">
        <v>1</v>
      </c>
    </row>
    <row r="290" spans="1:3" ht="13" x14ac:dyDescent="0.15">
      <c r="A290">
        <v>68655136</v>
      </c>
      <c r="B290" t="s">
        <v>301</v>
      </c>
      <c r="C290">
        <v>1</v>
      </c>
    </row>
    <row r="291" spans="1:3" ht="13" x14ac:dyDescent="0.15">
      <c r="A291">
        <v>68743017</v>
      </c>
      <c r="B291" t="s">
        <v>302</v>
      </c>
      <c r="C291">
        <v>1</v>
      </c>
    </row>
    <row r="292" spans="1:3" ht="13" x14ac:dyDescent="0.15">
      <c r="A292">
        <v>68883897</v>
      </c>
      <c r="B292" t="s">
        <v>303</v>
      </c>
      <c r="C292">
        <v>1</v>
      </c>
    </row>
    <row r="293" spans="1:3" ht="13" x14ac:dyDescent="0.15">
      <c r="A293">
        <v>69571639</v>
      </c>
      <c r="B293" t="s">
        <v>304</v>
      </c>
      <c r="C293">
        <v>3</v>
      </c>
    </row>
    <row r="294" spans="1:3" ht="13" x14ac:dyDescent="0.15">
      <c r="A294">
        <v>69662633</v>
      </c>
      <c r="B294" t="s">
        <v>305</v>
      </c>
      <c r="C294">
        <v>1</v>
      </c>
    </row>
    <row r="295" spans="1:3" ht="13" x14ac:dyDescent="0.15">
      <c r="A295">
        <v>71159193</v>
      </c>
      <c r="B295" t="s">
        <v>306</v>
      </c>
      <c r="C295">
        <v>2</v>
      </c>
    </row>
    <row r="296" spans="1:3" ht="13" x14ac:dyDescent="0.15">
      <c r="A296">
        <v>74276733</v>
      </c>
      <c r="B296" t="s">
        <v>307</v>
      </c>
      <c r="C296">
        <v>2</v>
      </c>
    </row>
    <row r="297" spans="1:3" ht="13" x14ac:dyDescent="0.15">
      <c r="A297">
        <v>75585287</v>
      </c>
      <c r="B297" t="s">
        <v>308</v>
      </c>
      <c r="C297">
        <v>4</v>
      </c>
    </row>
    <row r="298" spans="1:3" ht="13" x14ac:dyDescent="0.15">
      <c r="A298">
        <v>75650847</v>
      </c>
      <c r="B298" t="s">
        <v>309</v>
      </c>
      <c r="C298">
        <v>17</v>
      </c>
    </row>
    <row r="299" spans="1:3" ht="13" x14ac:dyDescent="0.15">
      <c r="A299">
        <v>78294660</v>
      </c>
      <c r="B299" t="s">
        <v>310</v>
      </c>
      <c r="C299">
        <v>1</v>
      </c>
    </row>
    <row r="300" spans="1:3" ht="13" x14ac:dyDescent="0.15">
      <c r="A300">
        <v>79416109</v>
      </c>
      <c r="B300" t="s">
        <v>311</v>
      </c>
      <c r="C300">
        <v>1</v>
      </c>
    </row>
    <row r="301" spans="1:3" ht="13" x14ac:dyDescent="0.15">
      <c r="A301">
        <v>79646042</v>
      </c>
      <c r="B301" t="s">
        <v>312</v>
      </c>
      <c r="C301">
        <v>1</v>
      </c>
    </row>
    <row r="302" spans="1:3" ht="13" x14ac:dyDescent="0.15">
      <c r="A302">
        <v>79737588</v>
      </c>
      <c r="B302" t="s">
        <v>313</v>
      </c>
      <c r="C302">
        <v>2</v>
      </c>
    </row>
    <row r="303" spans="1:3" ht="13" x14ac:dyDescent="0.15">
      <c r="A303">
        <v>80182176</v>
      </c>
      <c r="B303" t="s">
        <v>314</v>
      </c>
      <c r="C303">
        <v>2</v>
      </c>
    </row>
    <row r="304" spans="1:3" ht="13" x14ac:dyDescent="0.15">
      <c r="A304">
        <v>80267018</v>
      </c>
      <c r="B304" t="s">
        <v>315</v>
      </c>
      <c r="C304">
        <v>1</v>
      </c>
    </row>
    <row r="305" spans="1:3" ht="13" x14ac:dyDescent="0.15">
      <c r="A305">
        <v>80296899</v>
      </c>
      <c r="B305" t="s">
        <v>316</v>
      </c>
      <c r="C305">
        <v>1</v>
      </c>
    </row>
    <row r="306" spans="1:3" ht="13" x14ac:dyDescent="0.15">
      <c r="A306">
        <v>80338976</v>
      </c>
      <c r="B306" t="s">
        <v>317</v>
      </c>
      <c r="C306">
        <v>4</v>
      </c>
    </row>
    <row r="307" spans="1:3" ht="13" x14ac:dyDescent="0.15">
      <c r="A307">
        <v>86825629</v>
      </c>
      <c r="B307" t="s">
        <v>318</v>
      </c>
      <c r="C307">
        <v>3</v>
      </c>
    </row>
    <row r="308" spans="1:3" ht="13" x14ac:dyDescent="0.15">
      <c r="A308">
        <v>88395854</v>
      </c>
      <c r="B308" t="s">
        <v>319</v>
      </c>
      <c r="C308">
        <v>5</v>
      </c>
    </row>
    <row r="309" spans="1:3" ht="13" x14ac:dyDescent="0.15">
      <c r="A309">
        <v>89953352</v>
      </c>
      <c r="B309" t="s">
        <v>320</v>
      </c>
      <c r="C309">
        <v>3</v>
      </c>
    </row>
    <row r="310" spans="1:3" ht="13" x14ac:dyDescent="0.15">
      <c r="A310">
        <v>90641209</v>
      </c>
      <c r="B310" t="s">
        <v>321</v>
      </c>
      <c r="C310">
        <v>1</v>
      </c>
    </row>
    <row r="311" spans="1:3" ht="13" x14ac:dyDescent="0.15">
      <c r="A311">
        <v>97330329</v>
      </c>
      <c r="B311" t="s">
        <v>322</v>
      </c>
      <c r="C311">
        <v>1</v>
      </c>
    </row>
    <row r="312" spans="1:3" ht="13" x14ac:dyDescent="0.15">
      <c r="A312">
        <v>100852661</v>
      </c>
      <c r="B312" t="s">
        <v>323</v>
      </c>
      <c r="C312">
        <v>1</v>
      </c>
    </row>
    <row r="313" spans="1:3" ht="13" x14ac:dyDescent="0.15">
      <c r="A313">
        <v>101796544</v>
      </c>
      <c r="B313" t="s">
        <v>324</v>
      </c>
      <c r="C313">
        <v>1</v>
      </c>
    </row>
    <row r="314" spans="1:3" ht="13" x14ac:dyDescent="0.15">
      <c r="A314">
        <v>103712330</v>
      </c>
      <c r="B314" t="s">
        <v>325</v>
      </c>
      <c r="C314">
        <v>2</v>
      </c>
    </row>
    <row r="315" spans="1:3" ht="13" x14ac:dyDescent="0.15">
      <c r="A315">
        <v>104935454</v>
      </c>
      <c r="B315" t="s">
        <v>326</v>
      </c>
      <c r="C315">
        <v>1</v>
      </c>
    </row>
    <row r="316" spans="1:3" ht="13" x14ac:dyDescent="0.15">
      <c r="A316">
        <v>106012094</v>
      </c>
      <c r="B316" t="s">
        <v>327</v>
      </c>
      <c r="C316">
        <v>1</v>
      </c>
    </row>
    <row r="317" spans="1:3" ht="13" x14ac:dyDescent="0.15">
      <c r="A317">
        <v>108543739</v>
      </c>
      <c r="B317" t="s">
        <v>328</v>
      </c>
      <c r="C317">
        <v>1</v>
      </c>
    </row>
    <row r="318" spans="1:3" ht="13" x14ac:dyDescent="0.15">
      <c r="A318">
        <v>111279340</v>
      </c>
      <c r="B318" t="s">
        <v>329</v>
      </c>
      <c r="C318">
        <v>5</v>
      </c>
    </row>
    <row r="319" spans="1:3" ht="13" x14ac:dyDescent="0.15">
      <c r="A319">
        <v>113364663</v>
      </c>
      <c r="B319" t="s">
        <v>330</v>
      </c>
      <c r="C319">
        <v>2</v>
      </c>
    </row>
    <row r="320" spans="1:3" ht="13" x14ac:dyDescent="0.15">
      <c r="A320">
        <v>113668735</v>
      </c>
      <c r="B320" t="s">
        <v>331</v>
      </c>
      <c r="C320">
        <v>1</v>
      </c>
    </row>
    <row r="321" spans="1:3" ht="13" x14ac:dyDescent="0.15">
      <c r="A321">
        <v>114167972</v>
      </c>
      <c r="B321" t="s">
        <v>332</v>
      </c>
      <c r="C321">
        <v>2</v>
      </c>
    </row>
    <row r="322" spans="1:3" ht="13" x14ac:dyDescent="0.15">
      <c r="A322">
        <v>115371035</v>
      </c>
      <c r="B322" t="s">
        <v>333</v>
      </c>
      <c r="C322">
        <v>6</v>
      </c>
    </row>
    <row r="323" spans="1:3" ht="13" x14ac:dyDescent="0.15">
      <c r="A323">
        <v>117019199</v>
      </c>
      <c r="B323" t="s">
        <v>334</v>
      </c>
      <c r="C323">
        <v>3</v>
      </c>
    </row>
    <row r="324" spans="1:3" ht="13" x14ac:dyDescent="0.15">
      <c r="A324">
        <v>117505282</v>
      </c>
      <c r="B324" t="s">
        <v>335</v>
      </c>
      <c r="C324">
        <v>1</v>
      </c>
    </row>
    <row r="325" spans="1:3" ht="13" x14ac:dyDescent="0.15">
      <c r="A325">
        <v>118274883</v>
      </c>
      <c r="B325" t="s">
        <v>336</v>
      </c>
      <c r="C325">
        <v>1</v>
      </c>
    </row>
    <row r="326" spans="1:3" ht="13" x14ac:dyDescent="0.15">
      <c r="A326">
        <v>118283878</v>
      </c>
      <c r="B326" t="s">
        <v>337</v>
      </c>
      <c r="C326">
        <v>1</v>
      </c>
    </row>
    <row r="327" spans="1:3" ht="13" x14ac:dyDescent="0.15">
      <c r="A327">
        <v>118293070</v>
      </c>
      <c r="B327" t="s">
        <v>338</v>
      </c>
      <c r="C327">
        <v>1</v>
      </c>
    </row>
    <row r="328" spans="1:3" ht="13" x14ac:dyDescent="0.15">
      <c r="A328">
        <v>118295600</v>
      </c>
      <c r="B328" t="s">
        <v>339</v>
      </c>
      <c r="C328">
        <v>1</v>
      </c>
    </row>
    <row r="329" spans="1:3" ht="13" x14ac:dyDescent="0.15">
      <c r="A329">
        <v>118295697</v>
      </c>
      <c r="B329" t="s">
        <v>340</v>
      </c>
      <c r="C329">
        <v>1</v>
      </c>
    </row>
    <row r="330" spans="1:3" ht="13" x14ac:dyDescent="0.15">
      <c r="A330">
        <v>118429002</v>
      </c>
      <c r="B330" t="s">
        <v>341</v>
      </c>
      <c r="C330">
        <v>1</v>
      </c>
    </row>
    <row r="331" spans="1:3" ht="13" x14ac:dyDescent="0.15">
      <c r="A331">
        <v>118779909</v>
      </c>
      <c r="B331" t="s">
        <v>342</v>
      </c>
      <c r="C331">
        <v>1</v>
      </c>
    </row>
    <row r="332" spans="1:3" ht="13" x14ac:dyDescent="0.15">
      <c r="A332">
        <v>118788101</v>
      </c>
      <c r="B332" t="s">
        <v>343</v>
      </c>
      <c r="C332">
        <v>2</v>
      </c>
    </row>
    <row r="333" spans="1:3" ht="13" x14ac:dyDescent="0.15">
      <c r="A333">
        <v>119184246</v>
      </c>
      <c r="B333" t="s">
        <v>344</v>
      </c>
      <c r="C333">
        <v>1</v>
      </c>
    </row>
    <row r="334" spans="1:3" ht="13" x14ac:dyDescent="0.15">
      <c r="A334">
        <v>119568159</v>
      </c>
      <c r="B334" t="s">
        <v>345</v>
      </c>
      <c r="C334">
        <v>1</v>
      </c>
    </row>
    <row r="335" spans="1:3" ht="13" x14ac:dyDescent="0.15">
      <c r="A335">
        <v>119619422</v>
      </c>
      <c r="B335" t="s">
        <v>346</v>
      </c>
      <c r="C335">
        <v>1</v>
      </c>
    </row>
    <row r="336" spans="1:3" ht="13" x14ac:dyDescent="0.15">
      <c r="A336">
        <v>119806655</v>
      </c>
      <c r="B336" t="s">
        <v>347</v>
      </c>
      <c r="C336">
        <v>1</v>
      </c>
    </row>
    <row r="337" spans="1:3" ht="13" x14ac:dyDescent="0.15">
      <c r="A337">
        <v>119808753</v>
      </c>
      <c r="B337" t="s">
        <v>348</v>
      </c>
      <c r="C337">
        <v>1</v>
      </c>
    </row>
    <row r="338" spans="1:3" ht="13" x14ac:dyDescent="0.15">
      <c r="A338">
        <v>119814476</v>
      </c>
      <c r="B338" t="s">
        <v>349</v>
      </c>
      <c r="C338">
        <v>1</v>
      </c>
    </row>
    <row r="339" spans="1:3" ht="13" x14ac:dyDescent="0.15">
      <c r="A339">
        <v>119857509</v>
      </c>
      <c r="B339" t="s">
        <v>350</v>
      </c>
      <c r="C339">
        <v>25</v>
      </c>
    </row>
    <row r="340" spans="1:3" ht="13" x14ac:dyDescent="0.15">
      <c r="A340">
        <v>120113464</v>
      </c>
      <c r="B340" t="s">
        <v>351</v>
      </c>
      <c r="C340">
        <v>10</v>
      </c>
    </row>
    <row r="341" spans="1:3" ht="13" x14ac:dyDescent="0.15">
      <c r="A341">
        <v>120113492</v>
      </c>
      <c r="B341" t="s">
        <v>352</v>
      </c>
      <c r="C341">
        <v>1</v>
      </c>
    </row>
    <row r="342" spans="1:3" ht="13" x14ac:dyDescent="0.15">
      <c r="A342">
        <v>120418912</v>
      </c>
      <c r="B342" t="s">
        <v>353</v>
      </c>
      <c r="C342">
        <v>1</v>
      </c>
    </row>
    <row r="343" spans="1:3" ht="13" x14ac:dyDescent="0.15">
      <c r="A343">
        <v>120578233</v>
      </c>
      <c r="B343" t="s">
        <v>354</v>
      </c>
      <c r="C343">
        <v>1</v>
      </c>
    </row>
    <row r="344" spans="1:3" ht="13" x14ac:dyDescent="0.15">
      <c r="A344">
        <v>120680752</v>
      </c>
      <c r="B344" t="s">
        <v>355</v>
      </c>
      <c r="C344">
        <v>1</v>
      </c>
    </row>
    <row r="345" spans="1:3" ht="13" x14ac:dyDescent="0.15">
      <c r="A345">
        <v>121481416</v>
      </c>
      <c r="B345" t="s">
        <v>356</v>
      </c>
      <c r="C345">
        <v>1</v>
      </c>
    </row>
    <row r="346" spans="1:3" ht="13" x14ac:dyDescent="0.15">
      <c r="A346">
        <v>121714432</v>
      </c>
      <c r="B346" t="s">
        <v>357</v>
      </c>
      <c r="C346">
        <v>1</v>
      </c>
    </row>
    <row r="347" spans="1:3" ht="13" x14ac:dyDescent="0.15">
      <c r="A347">
        <v>122173299</v>
      </c>
      <c r="B347" t="s">
        <v>358</v>
      </c>
      <c r="C347">
        <v>2</v>
      </c>
    </row>
    <row r="348" spans="1:3" ht="13" x14ac:dyDescent="0.15">
      <c r="A348">
        <v>122358189</v>
      </c>
      <c r="B348" t="s">
        <v>359</v>
      </c>
      <c r="C348">
        <v>1</v>
      </c>
    </row>
    <row r="349" spans="1:3" ht="13" x14ac:dyDescent="0.15">
      <c r="A349">
        <v>122524473</v>
      </c>
      <c r="B349" t="s">
        <v>360</v>
      </c>
      <c r="C349">
        <v>1</v>
      </c>
    </row>
    <row r="350" spans="1:3" ht="13" x14ac:dyDescent="0.15">
      <c r="A350">
        <v>122626488</v>
      </c>
      <c r="B350" t="s">
        <v>361</v>
      </c>
      <c r="C350">
        <v>1</v>
      </c>
    </row>
    <row r="351" spans="1:3" ht="13" x14ac:dyDescent="0.15">
      <c r="A351">
        <v>123194952</v>
      </c>
      <c r="B351" t="s">
        <v>362</v>
      </c>
      <c r="C351">
        <v>1</v>
      </c>
    </row>
    <row r="352" spans="1:3" ht="13" x14ac:dyDescent="0.15">
      <c r="A352">
        <v>123215564</v>
      </c>
      <c r="B352" t="s">
        <v>363</v>
      </c>
      <c r="C352">
        <v>1</v>
      </c>
    </row>
    <row r="353" spans="1:3" ht="13" x14ac:dyDescent="0.15">
      <c r="A353">
        <v>124050476</v>
      </c>
      <c r="B353" t="s">
        <v>364</v>
      </c>
      <c r="C353">
        <v>1</v>
      </c>
    </row>
    <row r="354" spans="1:3" ht="13" x14ac:dyDescent="0.15">
      <c r="A354">
        <v>124091599</v>
      </c>
      <c r="B354" t="s">
        <v>365</v>
      </c>
      <c r="C354">
        <v>18</v>
      </c>
    </row>
    <row r="355" spans="1:3" ht="13" x14ac:dyDescent="0.15">
      <c r="A355">
        <v>124197325</v>
      </c>
      <c r="B355" t="s">
        <v>366</v>
      </c>
      <c r="C355">
        <v>2</v>
      </c>
    </row>
    <row r="356" spans="1:3" ht="13" x14ac:dyDescent="0.15">
      <c r="A356">
        <v>124231681</v>
      </c>
      <c r="B356" t="s">
        <v>367</v>
      </c>
      <c r="C356">
        <v>1</v>
      </c>
    </row>
    <row r="357" spans="1:3" ht="13" x14ac:dyDescent="0.15">
      <c r="A357">
        <v>124365896</v>
      </c>
      <c r="B357" t="s">
        <v>368</v>
      </c>
      <c r="C357">
        <v>7</v>
      </c>
    </row>
    <row r="358" spans="1:3" ht="13" x14ac:dyDescent="0.15">
      <c r="A358">
        <v>124432460</v>
      </c>
      <c r="B358" t="s">
        <v>369</v>
      </c>
      <c r="C358">
        <v>1</v>
      </c>
    </row>
    <row r="359" spans="1:3" ht="13" x14ac:dyDescent="0.15">
      <c r="A359">
        <v>124926707</v>
      </c>
      <c r="B359" t="s">
        <v>370</v>
      </c>
      <c r="C359">
        <v>1</v>
      </c>
    </row>
    <row r="360" spans="1:3" ht="13" x14ac:dyDescent="0.15">
      <c r="A360">
        <v>125096057</v>
      </c>
      <c r="B360" t="s">
        <v>371</v>
      </c>
      <c r="C360">
        <v>17</v>
      </c>
    </row>
    <row r="361" spans="1:3" ht="13" x14ac:dyDescent="0.15">
      <c r="A361">
        <v>125152026</v>
      </c>
      <c r="B361" t="s">
        <v>372</v>
      </c>
      <c r="C361">
        <v>1</v>
      </c>
    </row>
    <row r="362" spans="1:3" ht="13" x14ac:dyDescent="0.15">
      <c r="A362">
        <v>125278096</v>
      </c>
      <c r="B362" t="s">
        <v>373</v>
      </c>
      <c r="C362">
        <v>1</v>
      </c>
    </row>
    <row r="363" spans="1:3" ht="13" x14ac:dyDescent="0.15">
      <c r="A363">
        <v>126182769</v>
      </c>
      <c r="B363" t="s">
        <v>374</v>
      </c>
      <c r="C363">
        <v>1</v>
      </c>
    </row>
    <row r="364" spans="1:3" ht="13" x14ac:dyDescent="0.15">
      <c r="A364">
        <v>127660598</v>
      </c>
      <c r="B364" t="s">
        <v>375</v>
      </c>
      <c r="C364">
        <v>1</v>
      </c>
    </row>
    <row r="365" spans="1:3" ht="13" x14ac:dyDescent="0.15">
      <c r="A365">
        <v>127693417</v>
      </c>
      <c r="B365" t="s">
        <v>376</v>
      </c>
      <c r="C365">
        <v>4</v>
      </c>
    </row>
    <row r="366" spans="1:3" ht="13" x14ac:dyDescent="0.15">
      <c r="A366">
        <v>128007191</v>
      </c>
      <c r="B366" t="s">
        <v>377</v>
      </c>
      <c r="C366">
        <v>2</v>
      </c>
    </row>
    <row r="367" spans="1:3" ht="13" x14ac:dyDescent="0.15">
      <c r="A367">
        <v>128077216</v>
      </c>
      <c r="B367" t="s">
        <v>378</v>
      </c>
      <c r="C367">
        <v>1</v>
      </c>
    </row>
    <row r="368" spans="1:3" ht="13" x14ac:dyDescent="0.15">
      <c r="A368">
        <v>128411593</v>
      </c>
      <c r="B368" t="s">
        <v>379</v>
      </c>
      <c r="C368">
        <v>6</v>
      </c>
    </row>
    <row r="369" spans="1:3" ht="13" x14ac:dyDescent="0.15">
      <c r="A369">
        <v>128464291</v>
      </c>
      <c r="B369" t="s">
        <v>380</v>
      </c>
      <c r="C369">
        <v>1</v>
      </c>
    </row>
    <row r="370" spans="1:3" ht="13" x14ac:dyDescent="0.15">
      <c r="A370">
        <v>130466319</v>
      </c>
      <c r="B370" t="s">
        <v>381</v>
      </c>
      <c r="C370">
        <v>1</v>
      </c>
    </row>
    <row r="371" spans="1:3" ht="13" x14ac:dyDescent="0.15">
      <c r="A371">
        <v>130963270</v>
      </c>
      <c r="B371" t="s">
        <v>382</v>
      </c>
      <c r="C371">
        <v>1</v>
      </c>
    </row>
    <row r="372" spans="1:3" ht="13" x14ac:dyDescent="0.15">
      <c r="A372">
        <v>131805566</v>
      </c>
      <c r="B372" t="s">
        <v>383</v>
      </c>
      <c r="C372">
        <v>1</v>
      </c>
    </row>
    <row r="373" spans="1:3" ht="13" x14ac:dyDescent="0.15">
      <c r="A373">
        <v>134510762</v>
      </c>
      <c r="B373" t="s">
        <v>384</v>
      </c>
      <c r="C373">
        <v>1</v>
      </c>
    </row>
    <row r="374" spans="1:3" ht="13" x14ac:dyDescent="0.15">
      <c r="A374">
        <v>135292365</v>
      </c>
      <c r="B374" t="s">
        <v>385</v>
      </c>
      <c r="C374">
        <v>3</v>
      </c>
    </row>
    <row r="375" spans="1:3" ht="13" x14ac:dyDescent="0.15">
      <c r="A375">
        <v>135702714</v>
      </c>
      <c r="B375" t="s">
        <v>386</v>
      </c>
      <c r="C375">
        <v>6</v>
      </c>
    </row>
    <row r="376" spans="1:3" ht="13" x14ac:dyDescent="0.15">
      <c r="A376">
        <v>135727591</v>
      </c>
      <c r="B376" t="s">
        <v>387</v>
      </c>
      <c r="C376">
        <v>1</v>
      </c>
    </row>
    <row r="377" spans="1:3" ht="13" x14ac:dyDescent="0.15">
      <c r="A377">
        <v>135729680</v>
      </c>
      <c r="B377" t="s">
        <v>388</v>
      </c>
      <c r="C377">
        <v>12</v>
      </c>
    </row>
    <row r="378" spans="1:3" ht="13" x14ac:dyDescent="0.15">
      <c r="A378">
        <v>135951287</v>
      </c>
      <c r="B378" t="s">
        <v>389</v>
      </c>
      <c r="C378">
        <v>7</v>
      </c>
    </row>
    <row r="379" spans="1:3" ht="13" x14ac:dyDescent="0.15">
      <c r="A379">
        <v>136012659</v>
      </c>
      <c r="B379" t="s">
        <v>390</v>
      </c>
      <c r="C379">
        <v>1</v>
      </c>
    </row>
    <row r="380" spans="1:3" ht="13" x14ac:dyDescent="0.15">
      <c r="A380">
        <v>136120416</v>
      </c>
      <c r="B380" t="s">
        <v>391</v>
      </c>
      <c r="C380">
        <v>1</v>
      </c>
    </row>
    <row r="381" spans="1:3" ht="13" x14ac:dyDescent="0.15">
      <c r="A381">
        <v>136429130</v>
      </c>
      <c r="B381" t="s">
        <v>392</v>
      </c>
      <c r="C381">
        <v>10</v>
      </c>
    </row>
    <row r="382" spans="1:3" ht="13" x14ac:dyDescent="0.15">
      <c r="A382">
        <v>137224579</v>
      </c>
      <c r="B382" t="s">
        <v>393</v>
      </c>
      <c r="C382">
        <v>1</v>
      </c>
    </row>
    <row r="383" spans="1:3" ht="13" x14ac:dyDescent="0.15">
      <c r="A383">
        <v>137990095</v>
      </c>
      <c r="B383" t="s">
        <v>394</v>
      </c>
      <c r="C383">
        <v>1</v>
      </c>
    </row>
    <row r="384" spans="1:3" ht="13" x14ac:dyDescent="0.15">
      <c r="A384">
        <v>138353222</v>
      </c>
      <c r="B384" t="s">
        <v>395</v>
      </c>
      <c r="C384">
        <v>1</v>
      </c>
    </row>
    <row r="385" spans="1:3" ht="13" x14ac:dyDescent="0.15">
      <c r="A385">
        <v>138418435</v>
      </c>
      <c r="B385" t="s">
        <v>396</v>
      </c>
      <c r="C385">
        <v>1</v>
      </c>
    </row>
    <row r="386" spans="1:3" ht="13" x14ac:dyDescent="0.15">
      <c r="A386">
        <v>139182238</v>
      </c>
      <c r="B386" t="s">
        <v>397</v>
      </c>
      <c r="C386">
        <v>1</v>
      </c>
    </row>
    <row r="387" spans="1:3" ht="13" x14ac:dyDescent="0.15">
      <c r="A387">
        <v>139443425</v>
      </c>
      <c r="B387" t="s">
        <v>398</v>
      </c>
      <c r="C387">
        <v>1</v>
      </c>
    </row>
    <row r="388" spans="1:3" ht="13" x14ac:dyDescent="0.15">
      <c r="A388">
        <v>140043434</v>
      </c>
      <c r="B388" t="s">
        <v>399</v>
      </c>
      <c r="C388">
        <v>1</v>
      </c>
    </row>
    <row r="389" spans="1:3" ht="13" x14ac:dyDescent="0.15">
      <c r="A389">
        <v>140695542</v>
      </c>
      <c r="B389" t="s">
        <v>400</v>
      </c>
      <c r="C389">
        <v>1</v>
      </c>
    </row>
    <row r="390" spans="1:3" ht="13" x14ac:dyDescent="0.15">
      <c r="A390">
        <v>142746541</v>
      </c>
      <c r="B390" t="s">
        <v>401</v>
      </c>
      <c r="C390">
        <v>1</v>
      </c>
    </row>
    <row r="391" spans="1:3" ht="13" x14ac:dyDescent="0.15">
      <c r="A391">
        <v>142753892</v>
      </c>
      <c r="B391" t="s">
        <v>402</v>
      </c>
      <c r="C391">
        <v>1</v>
      </c>
    </row>
    <row r="392" spans="1:3" ht="13" x14ac:dyDescent="0.15">
      <c r="A392">
        <v>143032636</v>
      </c>
      <c r="B392" t="s">
        <v>403</v>
      </c>
      <c r="C392">
        <v>1</v>
      </c>
    </row>
    <row r="393" spans="1:3" ht="13" x14ac:dyDescent="0.15">
      <c r="A393">
        <v>143231423</v>
      </c>
      <c r="B393" t="s">
        <v>404</v>
      </c>
      <c r="C393">
        <v>1</v>
      </c>
    </row>
    <row r="394" spans="1:3" ht="13" x14ac:dyDescent="0.15">
      <c r="A394">
        <v>145083380</v>
      </c>
      <c r="B394" t="s">
        <v>405</v>
      </c>
      <c r="C394">
        <v>1</v>
      </c>
    </row>
    <row r="395" spans="1:3" ht="13" x14ac:dyDescent="0.15">
      <c r="A395">
        <v>147576359</v>
      </c>
      <c r="B395" t="s">
        <v>406</v>
      </c>
      <c r="C395">
        <v>2</v>
      </c>
    </row>
    <row r="396" spans="1:3" ht="13" x14ac:dyDescent="0.15">
      <c r="A396">
        <v>149056573</v>
      </c>
      <c r="B396" t="s">
        <v>407</v>
      </c>
      <c r="C396">
        <v>1</v>
      </c>
    </row>
    <row r="397" spans="1:3" ht="13" x14ac:dyDescent="0.15">
      <c r="A397">
        <v>149802003</v>
      </c>
      <c r="B397" t="s">
        <v>408</v>
      </c>
      <c r="C397">
        <v>1</v>
      </c>
    </row>
    <row r="398" spans="1:3" ht="13" x14ac:dyDescent="0.15">
      <c r="A398">
        <v>149901183</v>
      </c>
      <c r="B398" t="s">
        <v>409</v>
      </c>
      <c r="C398">
        <v>1</v>
      </c>
    </row>
    <row r="399" spans="1:3" ht="13" x14ac:dyDescent="0.15">
      <c r="A399">
        <v>150000962</v>
      </c>
      <c r="B399" t="s">
        <v>410</v>
      </c>
      <c r="C399">
        <v>1</v>
      </c>
    </row>
    <row r="400" spans="1:3" ht="13" x14ac:dyDescent="0.15">
      <c r="A400">
        <v>150070492</v>
      </c>
      <c r="B400" t="s">
        <v>411</v>
      </c>
      <c r="C400">
        <v>1</v>
      </c>
    </row>
    <row r="401" spans="1:3" ht="13" x14ac:dyDescent="0.15">
      <c r="A401">
        <v>151001318</v>
      </c>
      <c r="B401" t="s">
        <v>412</v>
      </c>
      <c r="C401">
        <v>5</v>
      </c>
    </row>
    <row r="402" spans="1:3" ht="13" x14ac:dyDescent="0.15">
      <c r="A402">
        <v>154768599</v>
      </c>
      <c r="B402" t="s">
        <v>413</v>
      </c>
      <c r="C402">
        <v>1</v>
      </c>
    </row>
    <row r="403" spans="1:3" ht="13" x14ac:dyDescent="0.15">
      <c r="A403">
        <v>155580479</v>
      </c>
      <c r="B403" t="s">
        <v>414</v>
      </c>
      <c r="C403">
        <v>2</v>
      </c>
    </row>
    <row r="404" spans="1:3" ht="13" x14ac:dyDescent="0.15">
      <c r="A404">
        <v>155606080</v>
      </c>
      <c r="B404" t="s">
        <v>415</v>
      </c>
      <c r="C404">
        <v>2</v>
      </c>
    </row>
    <row r="405" spans="1:3" ht="13" x14ac:dyDescent="0.15">
      <c r="A405">
        <v>155902891</v>
      </c>
      <c r="B405" t="s">
        <v>416</v>
      </c>
      <c r="C405">
        <v>1</v>
      </c>
    </row>
    <row r="406" spans="1:3" ht="13" x14ac:dyDescent="0.15">
      <c r="A406">
        <v>155905619</v>
      </c>
      <c r="B406" t="s">
        <v>417</v>
      </c>
      <c r="C406">
        <v>4</v>
      </c>
    </row>
    <row r="407" spans="1:3" ht="13" x14ac:dyDescent="0.15">
      <c r="A407">
        <v>156763166</v>
      </c>
      <c r="B407" t="s">
        <v>418</v>
      </c>
      <c r="C407">
        <v>2</v>
      </c>
    </row>
    <row r="408" spans="1:3" ht="13" x14ac:dyDescent="0.15">
      <c r="A408">
        <v>157686459</v>
      </c>
      <c r="B408" t="s">
        <v>419</v>
      </c>
      <c r="C408">
        <v>2</v>
      </c>
    </row>
    <row r="409" spans="1:3" ht="13" x14ac:dyDescent="0.15">
      <c r="A409">
        <v>158993404</v>
      </c>
      <c r="B409" t="s">
        <v>420</v>
      </c>
      <c r="C409">
        <v>1</v>
      </c>
    </row>
    <row r="410" spans="1:3" ht="13" x14ac:dyDescent="0.15">
      <c r="A410">
        <v>160778536</v>
      </c>
      <c r="B410" t="s">
        <v>421</v>
      </c>
      <c r="C410">
        <v>1</v>
      </c>
    </row>
    <row r="411" spans="1:3" ht="13" x14ac:dyDescent="0.15">
      <c r="A411">
        <v>160847928</v>
      </c>
      <c r="B411" t="s">
        <v>422</v>
      </c>
      <c r="C411">
        <v>1</v>
      </c>
    </row>
    <row r="412" spans="1:3" ht="13" x14ac:dyDescent="0.15">
      <c r="A412">
        <v>160851888</v>
      </c>
      <c r="B412" t="s">
        <v>423</v>
      </c>
      <c r="C412">
        <v>1</v>
      </c>
    </row>
    <row r="413" spans="1:3" ht="13" x14ac:dyDescent="0.15">
      <c r="A413">
        <v>160894541</v>
      </c>
      <c r="B413" t="s">
        <v>424</v>
      </c>
      <c r="C413">
        <v>2</v>
      </c>
    </row>
    <row r="414" spans="1:3" ht="13" x14ac:dyDescent="0.15">
      <c r="A414">
        <v>160894542</v>
      </c>
      <c r="B414" t="s">
        <v>425</v>
      </c>
      <c r="C414">
        <v>28</v>
      </c>
    </row>
    <row r="415" spans="1:3" ht="13" x14ac:dyDescent="0.15">
      <c r="A415">
        <v>160894620</v>
      </c>
      <c r="B415" t="s">
        <v>426</v>
      </c>
      <c r="C415">
        <v>3</v>
      </c>
    </row>
    <row r="416" spans="1:3" ht="13" x14ac:dyDescent="0.15">
      <c r="A416">
        <v>160894625</v>
      </c>
      <c r="B416" t="s">
        <v>427</v>
      </c>
      <c r="C416">
        <v>2</v>
      </c>
    </row>
    <row r="417" spans="1:3" ht="13" x14ac:dyDescent="0.15">
      <c r="A417">
        <v>160894732</v>
      </c>
      <c r="B417" t="s">
        <v>428</v>
      </c>
      <c r="C417">
        <v>1</v>
      </c>
    </row>
    <row r="418" spans="1:3" ht="13" x14ac:dyDescent="0.15">
      <c r="A418">
        <v>160934209</v>
      </c>
      <c r="B418" t="s">
        <v>429</v>
      </c>
      <c r="C418">
        <v>1</v>
      </c>
    </row>
    <row r="419" spans="1:3" ht="13" x14ac:dyDescent="0.15">
      <c r="A419">
        <v>160971296</v>
      </c>
      <c r="B419" t="s">
        <v>430</v>
      </c>
      <c r="C419">
        <v>1</v>
      </c>
    </row>
    <row r="420" spans="1:3" ht="13" x14ac:dyDescent="0.15">
      <c r="A420">
        <v>161568213</v>
      </c>
      <c r="B420" t="s">
        <v>431</v>
      </c>
      <c r="C420">
        <v>2</v>
      </c>
    </row>
    <row r="421" spans="1:3" ht="13" x14ac:dyDescent="0.15">
      <c r="A421">
        <v>164998965</v>
      </c>
      <c r="B421" t="s">
        <v>432</v>
      </c>
      <c r="C421">
        <v>1</v>
      </c>
    </row>
    <row r="422" spans="1:3" ht="13" x14ac:dyDescent="0.15">
      <c r="A422">
        <v>165520775</v>
      </c>
      <c r="B422" t="s">
        <v>433</v>
      </c>
      <c r="C422">
        <v>13</v>
      </c>
    </row>
    <row r="423" spans="1:3" ht="13" x14ac:dyDescent="0.15">
      <c r="A423">
        <v>165662256</v>
      </c>
      <c r="B423" t="s">
        <v>434</v>
      </c>
      <c r="C423">
        <v>1</v>
      </c>
    </row>
    <row r="424" spans="1:3" ht="13" x14ac:dyDescent="0.15">
      <c r="A424">
        <v>166897144</v>
      </c>
      <c r="B424" t="s">
        <v>435</v>
      </c>
      <c r="C424">
        <v>1</v>
      </c>
    </row>
    <row r="425" spans="1:3" ht="13" x14ac:dyDescent="0.15">
      <c r="A425">
        <v>166898507</v>
      </c>
      <c r="B425" t="s">
        <v>436</v>
      </c>
      <c r="C425">
        <v>1</v>
      </c>
    </row>
    <row r="426" spans="1:3" ht="13" x14ac:dyDescent="0.15">
      <c r="A426">
        <v>167351100</v>
      </c>
      <c r="B426" t="s">
        <v>437</v>
      </c>
      <c r="C426">
        <v>1</v>
      </c>
    </row>
    <row r="427" spans="1:3" ht="13" x14ac:dyDescent="0.15">
      <c r="A427">
        <v>167745279</v>
      </c>
      <c r="B427" t="s">
        <v>438</v>
      </c>
      <c r="C427">
        <v>1</v>
      </c>
    </row>
    <row r="428" spans="1:3" ht="13" x14ac:dyDescent="0.15">
      <c r="A428">
        <v>171119272</v>
      </c>
      <c r="B428" t="s">
        <v>439</v>
      </c>
      <c r="C428">
        <v>1</v>
      </c>
    </row>
    <row r="429" spans="1:3" ht="13" x14ac:dyDescent="0.15">
      <c r="A429">
        <v>173429159</v>
      </c>
      <c r="B429" t="s">
        <v>440</v>
      </c>
      <c r="C429">
        <v>2</v>
      </c>
    </row>
    <row r="430" spans="1:3" ht="13" x14ac:dyDescent="0.15">
      <c r="A430">
        <v>175751700</v>
      </c>
      <c r="B430" t="s">
        <v>441</v>
      </c>
      <c r="C430">
        <v>1</v>
      </c>
    </row>
    <row r="431" spans="1:3" ht="13" x14ac:dyDescent="0.15">
      <c r="A431">
        <v>178860948</v>
      </c>
      <c r="B431" t="s">
        <v>442</v>
      </c>
      <c r="C431">
        <v>1</v>
      </c>
    </row>
    <row r="432" spans="1:3" ht="13" x14ac:dyDescent="0.15">
      <c r="A432">
        <v>180736750</v>
      </c>
      <c r="B432" t="s">
        <v>443</v>
      </c>
      <c r="C432">
        <v>1</v>
      </c>
    </row>
    <row r="433" spans="1:3" ht="13" x14ac:dyDescent="0.15">
      <c r="A433">
        <v>182001403</v>
      </c>
      <c r="B433" t="s">
        <v>444</v>
      </c>
      <c r="C433">
        <v>1</v>
      </c>
    </row>
    <row r="434" spans="1:3" ht="13" x14ac:dyDescent="0.15">
      <c r="A434">
        <v>183979957</v>
      </c>
      <c r="B434" t="s">
        <v>445</v>
      </c>
      <c r="C434">
        <v>1</v>
      </c>
    </row>
    <row r="435" spans="1:3" ht="13" x14ac:dyDescent="0.15">
      <c r="A435">
        <v>185891764</v>
      </c>
      <c r="B435" t="s">
        <v>446</v>
      </c>
      <c r="C435">
        <v>5</v>
      </c>
    </row>
    <row r="436" spans="1:3" ht="13" x14ac:dyDescent="0.15">
      <c r="A436">
        <v>186657703</v>
      </c>
      <c r="B436" t="s">
        <v>447</v>
      </c>
      <c r="C436">
        <v>4</v>
      </c>
    </row>
    <row r="437" spans="1:3" ht="13" x14ac:dyDescent="0.15">
      <c r="A437">
        <v>186875078</v>
      </c>
      <c r="B437" t="s">
        <v>448</v>
      </c>
      <c r="C437">
        <v>16</v>
      </c>
    </row>
    <row r="438" spans="1:3" ht="13" x14ac:dyDescent="0.15">
      <c r="A438">
        <v>188333836</v>
      </c>
      <c r="B438" t="s">
        <v>449</v>
      </c>
      <c r="C438">
        <v>1</v>
      </c>
    </row>
    <row r="439" spans="1:3" ht="13" x14ac:dyDescent="0.15">
      <c r="A439">
        <v>189531814</v>
      </c>
      <c r="B439" t="s">
        <v>450</v>
      </c>
      <c r="C439">
        <v>2</v>
      </c>
    </row>
    <row r="440" spans="1:3" ht="13" x14ac:dyDescent="0.15">
      <c r="A440">
        <v>189648150</v>
      </c>
      <c r="B440" t="s">
        <v>451</v>
      </c>
      <c r="C440">
        <v>1</v>
      </c>
    </row>
    <row r="441" spans="1:3" ht="13" x14ac:dyDescent="0.15">
      <c r="A441">
        <v>194337839</v>
      </c>
      <c r="B441" t="s">
        <v>452</v>
      </c>
      <c r="C441">
        <v>3</v>
      </c>
    </row>
    <row r="442" spans="1:3" ht="13" x14ac:dyDescent="0.15">
      <c r="A442">
        <v>194397598</v>
      </c>
      <c r="B442" t="s">
        <v>453</v>
      </c>
      <c r="C442">
        <v>1</v>
      </c>
    </row>
    <row r="443" spans="1:3" ht="13" x14ac:dyDescent="0.15">
      <c r="A443">
        <v>194448242</v>
      </c>
      <c r="B443" t="s">
        <v>454</v>
      </c>
      <c r="C443">
        <v>1</v>
      </c>
    </row>
    <row r="444" spans="1:3" ht="13" x14ac:dyDescent="0.15">
      <c r="A444">
        <v>194687454</v>
      </c>
      <c r="B444" t="s">
        <v>455</v>
      </c>
      <c r="C444">
        <v>2</v>
      </c>
    </row>
    <row r="445" spans="1:3" ht="13" x14ac:dyDescent="0.15">
      <c r="A445">
        <v>196580510</v>
      </c>
      <c r="B445" t="s">
        <v>456</v>
      </c>
      <c r="C445">
        <v>1</v>
      </c>
    </row>
    <row r="446" spans="1:3" ht="13" x14ac:dyDescent="0.15">
      <c r="A446">
        <v>197076156</v>
      </c>
      <c r="B446" t="s">
        <v>457</v>
      </c>
      <c r="C446">
        <v>1</v>
      </c>
    </row>
    <row r="447" spans="1:3" ht="13" x14ac:dyDescent="0.15">
      <c r="A447">
        <v>197703120</v>
      </c>
      <c r="B447" t="s">
        <v>458</v>
      </c>
      <c r="C447">
        <v>1</v>
      </c>
    </row>
    <row r="448" spans="1:3" ht="13" x14ac:dyDescent="0.15">
      <c r="A448">
        <v>197877512</v>
      </c>
      <c r="B448" t="s">
        <v>459</v>
      </c>
      <c r="C448">
        <v>1</v>
      </c>
    </row>
    <row r="449" spans="1:3" ht="13" x14ac:dyDescent="0.15">
      <c r="A449">
        <v>197883238</v>
      </c>
      <c r="B449" t="s">
        <v>460</v>
      </c>
      <c r="C449">
        <v>1</v>
      </c>
    </row>
    <row r="450" spans="1:3" ht="13" x14ac:dyDescent="0.15">
      <c r="A450">
        <v>198698033</v>
      </c>
      <c r="B450" t="s">
        <v>461</v>
      </c>
      <c r="C450">
        <v>1</v>
      </c>
    </row>
    <row r="451" spans="1:3" ht="13" x14ac:dyDescent="0.15">
      <c r="A451">
        <v>199224208</v>
      </c>
      <c r="B451" t="s">
        <v>462</v>
      </c>
      <c r="C451">
        <v>1</v>
      </c>
    </row>
    <row r="452" spans="1:3" ht="13" x14ac:dyDescent="0.15">
      <c r="A452">
        <v>200541701</v>
      </c>
      <c r="B452" t="s">
        <v>463</v>
      </c>
      <c r="C452">
        <v>1</v>
      </c>
    </row>
    <row r="453" spans="1:3" ht="13" x14ac:dyDescent="0.15">
      <c r="A453">
        <v>200544077</v>
      </c>
      <c r="B453" t="s">
        <v>464</v>
      </c>
      <c r="C453">
        <v>18</v>
      </c>
    </row>
    <row r="454" spans="1:3" ht="13" x14ac:dyDescent="0.15">
      <c r="A454">
        <v>200545729</v>
      </c>
      <c r="B454" t="s">
        <v>465</v>
      </c>
      <c r="C454">
        <v>1</v>
      </c>
    </row>
    <row r="455" spans="1:3" ht="13" x14ac:dyDescent="0.15">
      <c r="A455">
        <v>200809966</v>
      </c>
      <c r="B455" t="s">
        <v>466</v>
      </c>
      <c r="C455">
        <v>1</v>
      </c>
    </row>
    <row r="456" spans="1:3" ht="13" x14ac:dyDescent="0.15">
      <c r="A456">
        <v>201190809</v>
      </c>
      <c r="B456" t="s">
        <v>467</v>
      </c>
      <c r="C456">
        <v>1</v>
      </c>
    </row>
    <row r="457" spans="1:3" ht="13" x14ac:dyDescent="0.15">
      <c r="A457">
        <v>201561805</v>
      </c>
      <c r="B457" t="s">
        <v>468</v>
      </c>
      <c r="C457">
        <v>2</v>
      </c>
    </row>
    <row r="458" spans="1:3" ht="13" x14ac:dyDescent="0.15">
      <c r="A458">
        <v>201872392</v>
      </c>
      <c r="B458" t="s">
        <v>469</v>
      </c>
      <c r="C458">
        <v>1</v>
      </c>
    </row>
    <row r="459" spans="1:3" ht="13" x14ac:dyDescent="0.15">
      <c r="A459">
        <v>201874257</v>
      </c>
      <c r="B459" t="s">
        <v>470</v>
      </c>
      <c r="C459">
        <v>2</v>
      </c>
    </row>
    <row r="460" spans="1:3" ht="13" x14ac:dyDescent="0.15">
      <c r="A460">
        <v>202305675</v>
      </c>
      <c r="B460" t="s">
        <v>471</v>
      </c>
      <c r="C460">
        <v>5</v>
      </c>
    </row>
    <row r="461" spans="1:3" ht="13" x14ac:dyDescent="0.15">
      <c r="A461">
        <v>202543547</v>
      </c>
      <c r="B461" t="s">
        <v>472</v>
      </c>
      <c r="C461">
        <v>1</v>
      </c>
    </row>
    <row r="462" spans="1:3" ht="13" x14ac:dyDescent="0.15">
      <c r="A462">
        <v>203555183</v>
      </c>
      <c r="B462" t="s">
        <v>473</v>
      </c>
      <c r="C462">
        <v>2</v>
      </c>
    </row>
    <row r="463" spans="1:3" ht="13" x14ac:dyDescent="0.15">
      <c r="A463">
        <v>203555549</v>
      </c>
      <c r="B463" t="s">
        <v>474</v>
      </c>
      <c r="C463">
        <v>1</v>
      </c>
    </row>
    <row r="464" spans="1:3" ht="13" x14ac:dyDescent="0.15">
      <c r="A464">
        <v>204186197</v>
      </c>
      <c r="B464" t="s">
        <v>475</v>
      </c>
      <c r="C464">
        <v>2</v>
      </c>
    </row>
    <row r="465" spans="1:3" ht="13" x14ac:dyDescent="0.15">
      <c r="A465">
        <v>204964218</v>
      </c>
      <c r="B465" t="s">
        <v>476</v>
      </c>
      <c r="C465">
        <v>1</v>
      </c>
    </row>
    <row r="466" spans="1:3" ht="13" x14ac:dyDescent="0.15">
      <c r="A466">
        <v>204964671</v>
      </c>
      <c r="B466" t="s">
        <v>477</v>
      </c>
      <c r="C466">
        <v>1</v>
      </c>
    </row>
    <row r="467" spans="1:3" ht="13" x14ac:dyDescent="0.15">
      <c r="A467">
        <v>206851367</v>
      </c>
      <c r="B467" t="s">
        <v>478</v>
      </c>
      <c r="C467">
        <v>2</v>
      </c>
    </row>
    <row r="468" spans="1:3" ht="13" x14ac:dyDescent="0.15">
      <c r="A468">
        <v>211234238</v>
      </c>
      <c r="B468" t="s">
        <v>479</v>
      </c>
      <c r="C468">
        <v>2</v>
      </c>
    </row>
    <row r="469" spans="1:3" ht="13" x14ac:dyDescent="0.15">
      <c r="A469">
        <v>214260881</v>
      </c>
      <c r="B469" t="s">
        <v>480</v>
      </c>
      <c r="C469">
        <v>1</v>
      </c>
    </row>
    <row r="470" spans="1:3" ht="13" x14ac:dyDescent="0.15">
      <c r="A470">
        <v>215996578</v>
      </c>
      <c r="B470" t="s">
        <v>481</v>
      </c>
      <c r="C470">
        <v>1</v>
      </c>
    </row>
    <row r="471" spans="1:3" ht="13" x14ac:dyDescent="0.15">
      <c r="A471">
        <v>216276753</v>
      </c>
      <c r="B471" t="s">
        <v>482</v>
      </c>
      <c r="C471">
        <v>1</v>
      </c>
    </row>
    <row r="472" spans="1:3" ht="13" x14ac:dyDescent="0.15">
      <c r="A472">
        <v>216340190</v>
      </c>
      <c r="B472" t="s">
        <v>483</v>
      </c>
      <c r="C472">
        <v>1</v>
      </c>
    </row>
    <row r="473" spans="1:3" ht="13" x14ac:dyDescent="0.15">
      <c r="A473">
        <v>219658761</v>
      </c>
      <c r="B473" t="s">
        <v>484</v>
      </c>
      <c r="C473">
        <v>2</v>
      </c>
    </row>
    <row r="474" spans="1:3" ht="13" x14ac:dyDescent="0.15">
      <c r="A474">
        <v>219993136</v>
      </c>
      <c r="B474" t="s">
        <v>485</v>
      </c>
      <c r="C474">
        <v>2</v>
      </c>
    </row>
    <row r="475" spans="1:3" ht="13" x14ac:dyDescent="0.15">
      <c r="A475">
        <v>223412125</v>
      </c>
      <c r="B475" t="s">
        <v>486</v>
      </c>
      <c r="C475">
        <v>4</v>
      </c>
    </row>
    <row r="476" spans="1:3" ht="13" x14ac:dyDescent="0.15">
      <c r="A476">
        <v>223859370</v>
      </c>
      <c r="B476" t="s">
        <v>487</v>
      </c>
      <c r="C476">
        <v>3</v>
      </c>
    </row>
    <row r="477" spans="1:3" ht="13" x14ac:dyDescent="0.15">
      <c r="A477">
        <v>225071142</v>
      </c>
      <c r="B477" t="s">
        <v>488</v>
      </c>
      <c r="C477">
        <v>1</v>
      </c>
    </row>
    <row r="478" spans="1:3" ht="13" x14ac:dyDescent="0.15">
      <c r="A478">
        <v>225723238</v>
      </c>
      <c r="B478" t="s">
        <v>489</v>
      </c>
      <c r="C478">
        <v>1</v>
      </c>
    </row>
    <row r="479" spans="1:3" ht="13" x14ac:dyDescent="0.15">
      <c r="A479">
        <v>227831021</v>
      </c>
      <c r="B479" t="s">
        <v>490</v>
      </c>
      <c r="C479">
        <v>1</v>
      </c>
    </row>
    <row r="480" spans="1:3" ht="13" x14ac:dyDescent="0.15">
      <c r="A480">
        <v>228169912</v>
      </c>
      <c r="B480" t="s">
        <v>491</v>
      </c>
      <c r="C480">
        <v>1</v>
      </c>
    </row>
    <row r="481" spans="1:3" ht="13" x14ac:dyDescent="0.15">
      <c r="A481">
        <v>228249725</v>
      </c>
      <c r="B481" t="s">
        <v>492</v>
      </c>
      <c r="C481">
        <v>1</v>
      </c>
    </row>
    <row r="482" spans="1:3" ht="13" x14ac:dyDescent="0.15">
      <c r="A482">
        <v>228250677</v>
      </c>
      <c r="B482" t="s">
        <v>493</v>
      </c>
      <c r="C482">
        <v>1</v>
      </c>
    </row>
    <row r="483" spans="1:3" ht="13" x14ac:dyDescent="0.15">
      <c r="A483">
        <v>228273661</v>
      </c>
      <c r="B483" t="s">
        <v>494</v>
      </c>
      <c r="C483">
        <v>13</v>
      </c>
    </row>
    <row r="484" spans="1:3" ht="13" x14ac:dyDescent="0.15">
      <c r="A484">
        <v>229658415</v>
      </c>
      <c r="B484" t="s">
        <v>495</v>
      </c>
      <c r="C484">
        <v>1</v>
      </c>
    </row>
    <row r="485" spans="1:3" ht="13" x14ac:dyDescent="0.15">
      <c r="A485">
        <v>231261132</v>
      </c>
      <c r="B485" t="s">
        <v>496</v>
      </c>
      <c r="C485">
        <v>1</v>
      </c>
    </row>
    <row r="486" spans="1:3" ht="13" x14ac:dyDescent="0.15">
      <c r="A486">
        <v>231575038</v>
      </c>
      <c r="B486" t="s">
        <v>497</v>
      </c>
      <c r="C486">
        <v>1</v>
      </c>
    </row>
    <row r="487" spans="1:3" ht="13" x14ac:dyDescent="0.15">
      <c r="A487">
        <v>232199827</v>
      </c>
      <c r="B487" t="s">
        <v>498</v>
      </c>
      <c r="C487">
        <v>8</v>
      </c>
    </row>
    <row r="488" spans="1:3" ht="13" x14ac:dyDescent="0.15">
      <c r="A488">
        <v>235037417</v>
      </c>
      <c r="B488" t="s">
        <v>499</v>
      </c>
      <c r="C488">
        <v>1</v>
      </c>
    </row>
    <row r="489" spans="1:3" ht="13" x14ac:dyDescent="0.15">
      <c r="A489">
        <v>235537998</v>
      </c>
      <c r="B489" t="s">
        <v>500</v>
      </c>
      <c r="C489">
        <v>1</v>
      </c>
    </row>
    <row r="490" spans="1:3" ht="13" x14ac:dyDescent="0.15">
      <c r="A490">
        <v>236211638</v>
      </c>
      <c r="B490" t="s">
        <v>501</v>
      </c>
      <c r="C490">
        <v>1</v>
      </c>
    </row>
    <row r="491" spans="1:3" ht="13" x14ac:dyDescent="0.15">
      <c r="A491">
        <v>236854515</v>
      </c>
      <c r="B491" t="s">
        <v>502</v>
      </c>
      <c r="C491">
        <v>1</v>
      </c>
    </row>
    <row r="492" spans="1:3" ht="13" x14ac:dyDescent="0.15">
      <c r="A492">
        <v>237110521</v>
      </c>
      <c r="B492" t="s">
        <v>503</v>
      </c>
      <c r="C492">
        <v>3</v>
      </c>
    </row>
    <row r="493" spans="1:3" ht="13" x14ac:dyDescent="0.15">
      <c r="A493">
        <v>237643629</v>
      </c>
      <c r="B493" t="s">
        <v>504</v>
      </c>
      <c r="C493">
        <v>1</v>
      </c>
    </row>
    <row r="494" spans="1:3" ht="13" x14ac:dyDescent="0.15">
      <c r="A494">
        <v>239402362</v>
      </c>
      <c r="B494" t="s">
        <v>505</v>
      </c>
      <c r="C494">
        <v>4</v>
      </c>
    </row>
    <row r="495" spans="1:3" ht="13" x14ac:dyDescent="0.15">
      <c r="A495">
        <v>239593555</v>
      </c>
      <c r="B495" t="s">
        <v>506</v>
      </c>
      <c r="C495">
        <v>2</v>
      </c>
    </row>
    <row r="496" spans="1:3" ht="13" x14ac:dyDescent="0.15">
      <c r="A496">
        <v>239917487</v>
      </c>
      <c r="B496" t="s">
        <v>507</v>
      </c>
      <c r="C496">
        <v>1</v>
      </c>
    </row>
    <row r="497" spans="1:3" ht="13" x14ac:dyDescent="0.15">
      <c r="A497">
        <v>240044767</v>
      </c>
      <c r="B497" t="s">
        <v>508</v>
      </c>
      <c r="C497">
        <v>1</v>
      </c>
    </row>
    <row r="498" spans="1:3" ht="13" x14ac:dyDescent="0.15">
      <c r="A498">
        <v>240072178</v>
      </c>
      <c r="B498" t="s">
        <v>509</v>
      </c>
      <c r="C498">
        <v>1</v>
      </c>
    </row>
    <row r="499" spans="1:3" ht="13" x14ac:dyDescent="0.15">
      <c r="A499">
        <v>240837955</v>
      </c>
      <c r="B499" t="s">
        <v>510</v>
      </c>
      <c r="C499">
        <v>1</v>
      </c>
    </row>
    <row r="500" spans="1:3" ht="13" x14ac:dyDescent="0.15">
      <c r="A500">
        <v>241658676</v>
      </c>
      <c r="B500" t="s">
        <v>511</v>
      </c>
      <c r="C500">
        <v>1</v>
      </c>
    </row>
    <row r="501" spans="1:3" ht="13" x14ac:dyDescent="0.15">
      <c r="A501">
        <v>241712020</v>
      </c>
      <c r="B501" t="s">
        <v>512</v>
      </c>
      <c r="C501">
        <v>4</v>
      </c>
    </row>
    <row r="502" spans="1:3" ht="13" x14ac:dyDescent="0.15">
      <c r="A502">
        <v>242389446</v>
      </c>
      <c r="B502" t="s">
        <v>513</v>
      </c>
      <c r="C502">
        <v>4</v>
      </c>
    </row>
    <row r="503" spans="1:3" ht="13" x14ac:dyDescent="0.15">
      <c r="A503">
        <v>245476419</v>
      </c>
      <c r="B503" t="s">
        <v>514</v>
      </c>
      <c r="C503">
        <v>3</v>
      </c>
    </row>
    <row r="504" spans="1:3" ht="13" x14ac:dyDescent="0.15">
      <c r="A504">
        <v>245975180</v>
      </c>
      <c r="B504" t="s">
        <v>515</v>
      </c>
      <c r="C504">
        <v>1</v>
      </c>
    </row>
    <row r="505" spans="1:3" ht="13" x14ac:dyDescent="0.15">
      <c r="A505">
        <v>246745135</v>
      </c>
      <c r="B505" t="s">
        <v>516</v>
      </c>
      <c r="C505">
        <v>1</v>
      </c>
    </row>
    <row r="506" spans="1:3" ht="13" x14ac:dyDescent="0.15">
      <c r="A506">
        <v>247426735</v>
      </c>
      <c r="B506" t="s">
        <v>517</v>
      </c>
      <c r="C506">
        <v>1</v>
      </c>
    </row>
    <row r="507" spans="1:3" ht="13" x14ac:dyDescent="0.15">
      <c r="A507">
        <v>248386359</v>
      </c>
      <c r="B507" t="s">
        <v>518</v>
      </c>
      <c r="C507">
        <v>1</v>
      </c>
    </row>
    <row r="508" spans="1:3" ht="13" x14ac:dyDescent="0.15">
      <c r="A508">
        <v>248392274</v>
      </c>
      <c r="B508" t="s">
        <v>519</v>
      </c>
      <c r="C508">
        <v>1</v>
      </c>
    </row>
    <row r="509" spans="1:3" ht="13" x14ac:dyDescent="0.15">
      <c r="A509">
        <v>249598428</v>
      </c>
      <c r="B509" t="s">
        <v>520</v>
      </c>
      <c r="C509">
        <v>2</v>
      </c>
    </row>
    <row r="510" spans="1:3" ht="13" x14ac:dyDescent="0.15">
      <c r="A510">
        <v>250287615</v>
      </c>
      <c r="B510" t="s">
        <v>521</v>
      </c>
      <c r="C510">
        <v>1</v>
      </c>
    </row>
    <row r="511" spans="1:3" ht="13" x14ac:dyDescent="0.15">
      <c r="A511">
        <v>250885776</v>
      </c>
      <c r="B511" t="s">
        <v>522</v>
      </c>
      <c r="C511">
        <v>1</v>
      </c>
    </row>
    <row r="512" spans="1:3" ht="13" x14ac:dyDescent="0.15">
      <c r="A512">
        <v>251369290</v>
      </c>
      <c r="B512" t="s">
        <v>523</v>
      </c>
      <c r="C512">
        <v>1</v>
      </c>
    </row>
    <row r="513" spans="1:3" ht="13" x14ac:dyDescent="0.15">
      <c r="A513">
        <v>251570742</v>
      </c>
      <c r="B513" t="s">
        <v>524</v>
      </c>
      <c r="C513">
        <v>2</v>
      </c>
    </row>
    <row r="514" spans="1:3" ht="13" x14ac:dyDescent="0.15">
      <c r="A514">
        <v>251757231</v>
      </c>
      <c r="B514" t="s">
        <v>525</v>
      </c>
      <c r="C514">
        <v>1</v>
      </c>
    </row>
    <row r="515" spans="1:3" ht="13" x14ac:dyDescent="0.15">
      <c r="A515">
        <v>251960036</v>
      </c>
      <c r="B515" t="s">
        <v>526</v>
      </c>
      <c r="C515">
        <v>1</v>
      </c>
    </row>
    <row r="516" spans="1:3" ht="13" x14ac:dyDescent="0.15">
      <c r="A516">
        <v>251983731</v>
      </c>
      <c r="B516" t="s">
        <v>527</v>
      </c>
      <c r="C516">
        <v>1</v>
      </c>
    </row>
    <row r="517" spans="1:3" ht="13" x14ac:dyDescent="0.15">
      <c r="A517">
        <v>252208031</v>
      </c>
      <c r="B517" t="s">
        <v>528</v>
      </c>
      <c r="C517">
        <v>1</v>
      </c>
    </row>
    <row r="518" spans="1:3" ht="13" x14ac:dyDescent="0.15">
      <c r="A518">
        <v>252221595</v>
      </c>
      <c r="B518" t="s">
        <v>529</v>
      </c>
      <c r="C518">
        <v>1</v>
      </c>
    </row>
    <row r="519" spans="1:3" ht="13" x14ac:dyDescent="0.15">
      <c r="A519">
        <v>252756498</v>
      </c>
      <c r="B519" t="s">
        <v>530</v>
      </c>
      <c r="C519">
        <v>1</v>
      </c>
    </row>
    <row r="520" spans="1:3" ht="13" x14ac:dyDescent="0.15">
      <c r="A520">
        <v>253032817</v>
      </c>
      <c r="B520" t="s">
        <v>531</v>
      </c>
      <c r="C520">
        <v>3</v>
      </c>
    </row>
    <row r="521" spans="1:3" ht="13" x14ac:dyDescent="0.15">
      <c r="A521">
        <v>254345406</v>
      </c>
      <c r="B521" t="s">
        <v>532</v>
      </c>
      <c r="C521">
        <v>2</v>
      </c>
    </row>
    <row r="522" spans="1:3" ht="13" x14ac:dyDescent="0.15">
      <c r="A522">
        <v>254475090</v>
      </c>
      <c r="B522" t="s">
        <v>533</v>
      </c>
      <c r="C522">
        <v>1</v>
      </c>
    </row>
    <row r="523" spans="1:3" ht="13" x14ac:dyDescent="0.15">
      <c r="A523">
        <v>254561071</v>
      </c>
      <c r="B523" t="s">
        <v>534</v>
      </c>
      <c r="C523">
        <v>1</v>
      </c>
    </row>
    <row r="524" spans="1:3" ht="13" x14ac:dyDescent="0.15">
      <c r="A524">
        <v>255094705</v>
      </c>
      <c r="B524" t="s">
        <v>535</v>
      </c>
      <c r="C524">
        <v>1</v>
      </c>
    </row>
    <row r="525" spans="1:3" ht="13" x14ac:dyDescent="0.15">
      <c r="A525">
        <v>257952563</v>
      </c>
      <c r="B525" t="s">
        <v>536</v>
      </c>
      <c r="C525">
        <v>5</v>
      </c>
    </row>
    <row r="526" spans="1:3" ht="13" x14ac:dyDescent="0.15">
      <c r="A526">
        <v>258879313</v>
      </c>
      <c r="B526" t="s">
        <v>537</v>
      </c>
      <c r="C526">
        <v>2</v>
      </c>
    </row>
    <row r="527" spans="1:3" ht="13" x14ac:dyDescent="0.15">
      <c r="A527">
        <v>258879455</v>
      </c>
      <c r="B527" t="s">
        <v>538</v>
      </c>
      <c r="C527">
        <v>1</v>
      </c>
    </row>
    <row r="528" spans="1:3" ht="13" x14ac:dyDescent="0.15">
      <c r="A528">
        <v>258882406</v>
      </c>
      <c r="B528" t="s">
        <v>539</v>
      </c>
      <c r="C528">
        <v>1</v>
      </c>
    </row>
    <row r="529" spans="1:3" ht="13" x14ac:dyDescent="0.15">
      <c r="A529">
        <v>259260280</v>
      </c>
      <c r="B529" t="s">
        <v>540</v>
      </c>
      <c r="C529">
        <v>1</v>
      </c>
    </row>
    <row r="530" spans="1:3" ht="13" x14ac:dyDescent="0.15">
      <c r="A530">
        <v>259271029</v>
      </c>
      <c r="B530" t="s">
        <v>541</v>
      </c>
      <c r="C530">
        <v>6</v>
      </c>
    </row>
    <row r="531" spans="1:3" ht="13" x14ac:dyDescent="0.15">
      <c r="A531">
        <v>259681307</v>
      </c>
      <c r="B531" t="s">
        <v>542</v>
      </c>
      <c r="C531">
        <v>1</v>
      </c>
    </row>
    <row r="532" spans="1:3" ht="13" x14ac:dyDescent="0.15">
      <c r="A532">
        <v>259939220</v>
      </c>
      <c r="B532" t="s">
        <v>543</v>
      </c>
      <c r="C532">
        <v>2</v>
      </c>
    </row>
    <row r="533" spans="1:3" ht="13" x14ac:dyDescent="0.15">
      <c r="A533">
        <v>260089977</v>
      </c>
      <c r="B533" t="s">
        <v>544</v>
      </c>
      <c r="C533">
        <v>1</v>
      </c>
    </row>
    <row r="534" spans="1:3" ht="13" x14ac:dyDescent="0.15">
      <c r="A534">
        <v>260680669</v>
      </c>
      <c r="B534" t="s">
        <v>545</v>
      </c>
      <c r="C534">
        <v>1</v>
      </c>
    </row>
    <row r="535" spans="1:3" ht="13" x14ac:dyDescent="0.15">
      <c r="A535">
        <v>260752974</v>
      </c>
      <c r="B535" t="s">
        <v>546</v>
      </c>
      <c r="C535">
        <v>1</v>
      </c>
    </row>
    <row r="536" spans="1:3" ht="13" x14ac:dyDescent="0.15">
      <c r="A536">
        <v>261792891</v>
      </c>
      <c r="B536" t="s">
        <v>547</v>
      </c>
      <c r="C536">
        <v>1</v>
      </c>
    </row>
    <row r="537" spans="1:3" ht="13" x14ac:dyDescent="0.15">
      <c r="A537">
        <v>263648361</v>
      </c>
      <c r="B537" t="s">
        <v>548</v>
      </c>
      <c r="C537">
        <v>1</v>
      </c>
    </row>
    <row r="538" spans="1:3" ht="13" x14ac:dyDescent="0.15">
      <c r="A538">
        <v>263842418</v>
      </c>
      <c r="B538" t="s">
        <v>549</v>
      </c>
      <c r="C538">
        <v>5</v>
      </c>
    </row>
    <row r="539" spans="1:3" ht="13" x14ac:dyDescent="0.15">
      <c r="A539">
        <v>264390375</v>
      </c>
      <c r="B539" t="s">
        <v>550</v>
      </c>
      <c r="C539">
        <v>16</v>
      </c>
    </row>
    <row r="540" spans="1:3" ht="13" x14ac:dyDescent="0.15">
      <c r="A540">
        <v>264915254</v>
      </c>
      <c r="B540" t="s">
        <v>551</v>
      </c>
      <c r="C540">
        <v>1</v>
      </c>
    </row>
    <row r="541" spans="1:3" ht="13" x14ac:dyDescent="0.15">
      <c r="A541">
        <v>265472149</v>
      </c>
      <c r="B541" t="s">
        <v>552</v>
      </c>
      <c r="C541">
        <v>1</v>
      </c>
    </row>
    <row r="542" spans="1:3" ht="13" x14ac:dyDescent="0.15">
      <c r="A542">
        <v>266972729</v>
      </c>
      <c r="B542" t="s">
        <v>553</v>
      </c>
      <c r="C542">
        <v>2</v>
      </c>
    </row>
    <row r="543" spans="1:3" ht="13" x14ac:dyDescent="0.15">
      <c r="A543">
        <v>267343847</v>
      </c>
      <c r="B543" t="s">
        <v>554</v>
      </c>
      <c r="C543">
        <v>30</v>
      </c>
    </row>
    <row r="544" spans="1:3" ht="13" x14ac:dyDescent="0.15">
      <c r="A544">
        <v>267999976</v>
      </c>
      <c r="B544" t="s">
        <v>555</v>
      </c>
      <c r="C544">
        <v>1</v>
      </c>
    </row>
    <row r="545" spans="1:3" ht="13" x14ac:dyDescent="0.15">
      <c r="A545">
        <v>267999987</v>
      </c>
      <c r="B545" t="s">
        <v>556</v>
      </c>
      <c r="C545">
        <v>1</v>
      </c>
    </row>
    <row r="546" spans="1:3" ht="13" x14ac:dyDescent="0.15">
      <c r="A546">
        <v>268530320</v>
      </c>
      <c r="B546" t="s">
        <v>557</v>
      </c>
      <c r="C546">
        <v>3</v>
      </c>
    </row>
    <row r="547" spans="1:3" ht="13" x14ac:dyDescent="0.15">
      <c r="A547">
        <v>269292860</v>
      </c>
      <c r="B547" t="s">
        <v>558</v>
      </c>
      <c r="C547">
        <v>1</v>
      </c>
    </row>
    <row r="548" spans="1:3" ht="13" x14ac:dyDescent="0.15">
      <c r="A548">
        <v>269604702</v>
      </c>
      <c r="B548" t="s">
        <v>559</v>
      </c>
      <c r="C548">
        <v>1</v>
      </c>
    </row>
    <row r="549" spans="1:3" ht="13" x14ac:dyDescent="0.15">
      <c r="A549">
        <v>270449197</v>
      </c>
      <c r="B549" t="s">
        <v>560</v>
      </c>
      <c r="C549">
        <v>2</v>
      </c>
    </row>
    <row r="550" spans="1:3" ht="13" x14ac:dyDescent="0.15">
      <c r="A550">
        <v>270557219</v>
      </c>
      <c r="B550" t="s">
        <v>561</v>
      </c>
      <c r="C550">
        <v>1</v>
      </c>
    </row>
    <row r="551" spans="1:3" ht="13" x14ac:dyDescent="0.15">
      <c r="A551">
        <v>270559112</v>
      </c>
      <c r="B551" t="s">
        <v>562</v>
      </c>
      <c r="C551">
        <v>1</v>
      </c>
    </row>
    <row r="552" spans="1:3" ht="13" x14ac:dyDescent="0.15">
      <c r="A552">
        <v>270755311</v>
      </c>
      <c r="B552" t="s">
        <v>563</v>
      </c>
      <c r="C552">
        <v>1</v>
      </c>
    </row>
    <row r="553" spans="1:3" ht="13" x14ac:dyDescent="0.15">
      <c r="A553">
        <v>271055544</v>
      </c>
      <c r="B553" t="s">
        <v>564</v>
      </c>
      <c r="C553">
        <v>1</v>
      </c>
    </row>
    <row r="554" spans="1:3" ht="13" x14ac:dyDescent="0.15">
      <c r="A554">
        <v>271110070</v>
      </c>
      <c r="B554" t="s">
        <v>565</v>
      </c>
      <c r="C554">
        <v>32</v>
      </c>
    </row>
    <row r="555" spans="1:3" ht="13" x14ac:dyDescent="0.15">
      <c r="A555">
        <v>271157700</v>
      </c>
      <c r="B555" t="s">
        <v>566</v>
      </c>
      <c r="C555">
        <v>1</v>
      </c>
    </row>
    <row r="556" spans="1:3" ht="13" x14ac:dyDescent="0.15">
      <c r="A556">
        <v>271344927</v>
      </c>
      <c r="B556" t="s">
        <v>567</v>
      </c>
      <c r="C556">
        <v>1</v>
      </c>
    </row>
    <row r="557" spans="1:3" ht="13" x14ac:dyDescent="0.15">
      <c r="A557">
        <v>271494066</v>
      </c>
      <c r="B557" t="s">
        <v>568</v>
      </c>
      <c r="C557">
        <v>1</v>
      </c>
    </row>
    <row r="558" spans="1:3" ht="13" x14ac:dyDescent="0.15">
      <c r="A558">
        <v>271494116</v>
      </c>
      <c r="B558" t="s">
        <v>569</v>
      </c>
      <c r="C558">
        <v>1</v>
      </c>
    </row>
    <row r="559" spans="1:3" ht="13" x14ac:dyDescent="0.15">
      <c r="A559">
        <v>271529394</v>
      </c>
      <c r="B559" t="s">
        <v>570</v>
      </c>
      <c r="C559">
        <v>1</v>
      </c>
    </row>
    <row r="560" spans="1:3" ht="13" x14ac:dyDescent="0.15">
      <c r="A560">
        <v>271666438</v>
      </c>
      <c r="B560" t="s">
        <v>571</v>
      </c>
      <c r="C560">
        <v>1</v>
      </c>
    </row>
    <row r="561" spans="1:3" ht="13" x14ac:dyDescent="0.15">
      <c r="A561">
        <v>272212710</v>
      </c>
      <c r="B561" t="s">
        <v>572</v>
      </c>
      <c r="C561">
        <v>1</v>
      </c>
    </row>
    <row r="562" spans="1:3" ht="13" x14ac:dyDescent="0.15">
      <c r="A562">
        <v>272324914</v>
      </c>
      <c r="B562" t="s">
        <v>573</v>
      </c>
      <c r="C562">
        <v>6</v>
      </c>
    </row>
    <row r="563" spans="1:3" ht="13" x14ac:dyDescent="0.15">
      <c r="A563">
        <v>272729444</v>
      </c>
      <c r="B563" t="s">
        <v>574</v>
      </c>
      <c r="C563">
        <v>1</v>
      </c>
    </row>
    <row r="564" spans="1:3" ht="13" x14ac:dyDescent="0.15">
      <c r="A564">
        <v>272729482</v>
      </c>
      <c r="B564" t="s">
        <v>575</v>
      </c>
      <c r="C564">
        <v>1</v>
      </c>
    </row>
    <row r="565" spans="1:3" ht="13" x14ac:dyDescent="0.15">
      <c r="A565">
        <v>272976613</v>
      </c>
      <c r="B565" t="s">
        <v>576</v>
      </c>
      <c r="C565">
        <v>1</v>
      </c>
    </row>
    <row r="566" spans="1:3" ht="13" x14ac:dyDescent="0.15">
      <c r="A566">
        <v>273007733</v>
      </c>
      <c r="B566" t="s">
        <v>577</v>
      </c>
      <c r="C566">
        <v>1</v>
      </c>
    </row>
    <row r="567" spans="1:3" ht="13" x14ac:dyDescent="0.15">
      <c r="A567">
        <v>273008441</v>
      </c>
      <c r="B567" t="s">
        <v>578</v>
      </c>
      <c r="C567">
        <v>1</v>
      </c>
    </row>
    <row r="568" spans="1:3" ht="13" x14ac:dyDescent="0.15">
      <c r="A568">
        <v>273406380</v>
      </c>
      <c r="B568" t="s">
        <v>579</v>
      </c>
      <c r="C568">
        <v>1</v>
      </c>
    </row>
    <row r="569" spans="1:3" ht="13" x14ac:dyDescent="0.15">
      <c r="A569">
        <v>273429702</v>
      </c>
      <c r="B569" t="s">
        <v>580</v>
      </c>
      <c r="C569">
        <v>1</v>
      </c>
    </row>
    <row r="570" spans="1:3" ht="13" x14ac:dyDescent="0.15">
      <c r="A570">
        <v>273580132</v>
      </c>
      <c r="B570" t="s">
        <v>581</v>
      </c>
      <c r="C570">
        <v>1</v>
      </c>
    </row>
    <row r="571" spans="1:3" ht="13" x14ac:dyDescent="0.15">
      <c r="A571">
        <v>273644162</v>
      </c>
      <c r="B571" t="s">
        <v>582</v>
      </c>
      <c r="C571">
        <v>4</v>
      </c>
    </row>
    <row r="572" spans="1:3" ht="13" x14ac:dyDescent="0.15">
      <c r="A572">
        <v>273720848</v>
      </c>
      <c r="B572" t="s">
        <v>583</v>
      </c>
      <c r="C572">
        <v>2</v>
      </c>
    </row>
    <row r="573" spans="1:3" ht="13" x14ac:dyDescent="0.15">
      <c r="A573">
        <v>273747046</v>
      </c>
      <c r="B573" t="s">
        <v>584</v>
      </c>
      <c r="C573">
        <v>1</v>
      </c>
    </row>
    <row r="574" spans="1:3" ht="13" x14ac:dyDescent="0.15">
      <c r="A574">
        <v>273748751</v>
      </c>
      <c r="B574" t="s">
        <v>585</v>
      </c>
      <c r="C574">
        <v>1</v>
      </c>
    </row>
    <row r="575" spans="1:3" ht="13" x14ac:dyDescent="0.15">
      <c r="A575">
        <v>273881535</v>
      </c>
      <c r="B575" t="s">
        <v>586</v>
      </c>
      <c r="C575">
        <v>2</v>
      </c>
    </row>
    <row r="576" spans="1:3" ht="13" x14ac:dyDescent="0.15">
      <c r="A576">
        <v>274476222</v>
      </c>
      <c r="B576" t="s">
        <v>587</v>
      </c>
      <c r="C576">
        <v>20</v>
      </c>
    </row>
    <row r="577" spans="1:3" ht="13" x14ac:dyDescent="0.15">
      <c r="A577">
        <v>274545128</v>
      </c>
      <c r="B577" t="s">
        <v>588</v>
      </c>
      <c r="C577">
        <v>1</v>
      </c>
    </row>
    <row r="578" spans="1:3" ht="13" x14ac:dyDescent="0.15">
      <c r="A578">
        <v>275024224</v>
      </c>
      <c r="B578" t="s">
        <v>589</v>
      </c>
      <c r="C578">
        <v>1</v>
      </c>
    </row>
    <row r="579" spans="1:3" ht="13" x14ac:dyDescent="0.15">
      <c r="A579">
        <v>275118408</v>
      </c>
      <c r="B579" t="s">
        <v>590</v>
      </c>
      <c r="C579">
        <v>1</v>
      </c>
    </row>
    <row r="580" spans="1:3" ht="13" x14ac:dyDescent="0.15">
      <c r="A580">
        <v>275261344</v>
      </c>
      <c r="B580" t="s">
        <v>591</v>
      </c>
      <c r="C580">
        <v>1</v>
      </c>
    </row>
    <row r="581" spans="1:3" ht="13" x14ac:dyDescent="0.15">
      <c r="A581">
        <v>275353891</v>
      </c>
      <c r="B581" t="s">
        <v>592</v>
      </c>
      <c r="C581">
        <v>1</v>
      </c>
    </row>
    <row r="582" spans="1:3" ht="13" x14ac:dyDescent="0.15">
      <c r="A582">
        <v>275539081</v>
      </c>
      <c r="B582" t="s">
        <v>593</v>
      </c>
      <c r="C582">
        <v>1</v>
      </c>
    </row>
    <row r="583" spans="1:3" ht="13" x14ac:dyDescent="0.15">
      <c r="A583">
        <v>275950473</v>
      </c>
      <c r="B583" t="s">
        <v>594</v>
      </c>
      <c r="C583">
        <v>3</v>
      </c>
    </row>
    <row r="584" spans="1:3" ht="13" x14ac:dyDescent="0.15">
      <c r="A584">
        <v>276005807</v>
      </c>
      <c r="B584" t="s">
        <v>595</v>
      </c>
      <c r="C584">
        <v>1</v>
      </c>
    </row>
    <row r="585" spans="1:3" ht="13" x14ac:dyDescent="0.15">
      <c r="A585">
        <v>276102839</v>
      </c>
      <c r="B585" t="s">
        <v>596</v>
      </c>
      <c r="C585">
        <v>2</v>
      </c>
    </row>
    <row r="586" spans="1:3" ht="13" x14ac:dyDescent="0.15">
      <c r="A586">
        <v>276143544</v>
      </c>
      <c r="B586" t="s">
        <v>597</v>
      </c>
      <c r="C586">
        <v>1</v>
      </c>
    </row>
    <row r="587" spans="1:3" ht="13" x14ac:dyDescent="0.15">
      <c r="A587">
        <v>276170359</v>
      </c>
      <c r="B587" t="s">
        <v>598</v>
      </c>
      <c r="C587">
        <v>8</v>
      </c>
    </row>
    <row r="588" spans="1:3" ht="13" x14ac:dyDescent="0.15">
      <c r="A588">
        <v>276180131</v>
      </c>
      <c r="B588" t="s">
        <v>599</v>
      </c>
      <c r="C588">
        <v>3</v>
      </c>
    </row>
    <row r="589" spans="1:3" ht="13" x14ac:dyDescent="0.15">
      <c r="A589">
        <v>276180294</v>
      </c>
      <c r="B589" t="s">
        <v>600</v>
      </c>
      <c r="C589">
        <v>1</v>
      </c>
    </row>
    <row r="590" spans="1:3" ht="13" x14ac:dyDescent="0.15">
      <c r="A590">
        <v>276713496</v>
      </c>
      <c r="B590" t="s">
        <v>601</v>
      </c>
      <c r="C590">
        <v>2</v>
      </c>
    </row>
    <row r="591" spans="1:3" ht="13" x14ac:dyDescent="0.15">
      <c r="A591">
        <v>276757412</v>
      </c>
      <c r="B591" t="s">
        <v>602</v>
      </c>
      <c r="C591">
        <v>1</v>
      </c>
    </row>
    <row r="592" spans="1:3" ht="13" x14ac:dyDescent="0.15">
      <c r="A592">
        <v>276880572</v>
      </c>
      <c r="B592" t="s">
        <v>603</v>
      </c>
      <c r="C592">
        <v>2</v>
      </c>
    </row>
    <row r="593" spans="1:3" ht="13" x14ac:dyDescent="0.15">
      <c r="A593">
        <v>276902753</v>
      </c>
      <c r="B593" t="s">
        <v>604</v>
      </c>
      <c r="C593">
        <v>1</v>
      </c>
    </row>
    <row r="594" spans="1:3" ht="13" x14ac:dyDescent="0.15">
      <c r="A594">
        <v>277501453</v>
      </c>
      <c r="B594" t="s">
        <v>605</v>
      </c>
      <c r="C594">
        <v>2</v>
      </c>
    </row>
    <row r="595" spans="1:3" ht="13" x14ac:dyDescent="0.15">
      <c r="A595">
        <v>277642282</v>
      </c>
      <c r="B595" t="s">
        <v>606</v>
      </c>
      <c r="C595">
        <v>4</v>
      </c>
    </row>
    <row r="596" spans="1:3" ht="13" x14ac:dyDescent="0.15">
      <c r="A596">
        <v>277717328</v>
      </c>
      <c r="B596" t="s">
        <v>607</v>
      </c>
      <c r="C596">
        <v>1</v>
      </c>
    </row>
    <row r="597" spans="1:3" ht="13" x14ac:dyDescent="0.15">
      <c r="A597">
        <v>277779457</v>
      </c>
      <c r="B597" t="s">
        <v>608</v>
      </c>
      <c r="C597">
        <v>1</v>
      </c>
    </row>
    <row r="598" spans="1:3" ht="13" x14ac:dyDescent="0.15">
      <c r="A598">
        <v>277856377</v>
      </c>
      <c r="B598" t="s">
        <v>609</v>
      </c>
      <c r="C598">
        <v>2</v>
      </c>
    </row>
    <row r="599" spans="1:3" ht="13" x14ac:dyDescent="0.15">
      <c r="A599">
        <v>278450157</v>
      </c>
      <c r="B599" t="s">
        <v>610</v>
      </c>
      <c r="C599">
        <v>1</v>
      </c>
    </row>
    <row r="600" spans="1:3" ht="13" x14ac:dyDescent="0.15">
      <c r="A600">
        <v>279024728</v>
      </c>
      <c r="B600" t="s">
        <v>611</v>
      </c>
      <c r="C600">
        <v>1</v>
      </c>
    </row>
    <row r="601" spans="1:3" ht="13" x14ac:dyDescent="0.15">
      <c r="A601">
        <v>279190366</v>
      </c>
      <c r="B601" t="s">
        <v>612</v>
      </c>
      <c r="C601">
        <v>3</v>
      </c>
    </row>
    <row r="602" spans="1:3" ht="13" x14ac:dyDescent="0.15">
      <c r="A602">
        <v>279256437</v>
      </c>
      <c r="B602" t="s">
        <v>613</v>
      </c>
      <c r="C602">
        <v>1</v>
      </c>
    </row>
    <row r="603" spans="1:3" ht="13" x14ac:dyDescent="0.15">
      <c r="A603">
        <v>280840488</v>
      </c>
      <c r="B603" t="s">
        <v>614</v>
      </c>
      <c r="C603">
        <v>1</v>
      </c>
    </row>
    <row r="604" spans="1:3" ht="13" x14ac:dyDescent="0.15">
      <c r="A604">
        <v>280913203</v>
      </c>
      <c r="B604" t="s">
        <v>615</v>
      </c>
      <c r="C604">
        <v>1</v>
      </c>
    </row>
    <row r="605" spans="1:3" ht="13" x14ac:dyDescent="0.15">
      <c r="A605">
        <v>280964679</v>
      </c>
      <c r="B605" t="s">
        <v>616</v>
      </c>
      <c r="C605">
        <v>1</v>
      </c>
    </row>
    <row r="606" spans="1:3" ht="13" x14ac:dyDescent="0.15">
      <c r="A606">
        <v>281267381</v>
      </c>
      <c r="B606" t="s">
        <v>617</v>
      </c>
      <c r="C606">
        <v>1</v>
      </c>
    </row>
    <row r="607" spans="1:3" ht="13" x14ac:dyDescent="0.15">
      <c r="A607">
        <v>281607345</v>
      </c>
      <c r="B607" t="s">
        <v>618</v>
      </c>
      <c r="C607">
        <v>1</v>
      </c>
    </row>
    <row r="608" spans="1:3" ht="13" x14ac:dyDescent="0.15">
      <c r="A608">
        <v>282035070</v>
      </c>
      <c r="B608" t="s">
        <v>619</v>
      </c>
      <c r="C608">
        <v>27</v>
      </c>
    </row>
    <row r="609" spans="1:3" ht="13" x14ac:dyDescent="0.15">
      <c r="A609">
        <v>282434602</v>
      </c>
      <c r="B609" t="s">
        <v>620</v>
      </c>
      <c r="C609">
        <v>1</v>
      </c>
    </row>
    <row r="610" spans="1:3" ht="13" x14ac:dyDescent="0.15">
      <c r="A610">
        <v>282509387</v>
      </c>
      <c r="B610" t="s">
        <v>621</v>
      </c>
      <c r="C610">
        <v>1</v>
      </c>
    </row>
    <row r="611" spans="1:3" ht="13" x14ac:dyDescent="0.15">
      <c r="A611">
        <v>282718957</v>
      </c>
      <c r="B611" t="s">
        <v>622</v>
      </c>
      <c r="C611">
        <v>1</v>
      </c>
    </row>
    <row r="612" spans="1:3" ht="13" x14ac:dyDescent="0.15">
      <c r="A612">
        <v>283125007</v>
      </c>
      <c r="B612" t="s">
        <v>623</v>
      </c>
      <c r="C612">
        <v>1</v>
      </c>
    </row>
    <row r="613" spans="1:3" ht="13" x14ac:dyDescent="0.15">
      <c r="A613">
        <v>283183623</v>
      </c>
      <c r="B613" t="s">
        <v>624</v>
      </c>
      <c r="C613">
        <v>1</v>
      </c>
    </row>
    <row r="614" spans="1:3" ht="13" x14ac:dyDescent="0.15">
      <c r="A614">
        <v>283484324</v>
      </c>
      <c r="B614" t="s">
        <v>625</v>
      </c>
      <c r="C614">
        <v>8</v>
      </c>
    </row>
    <row r="615" spans="1:3" ht="13" x14ac:dyDescent="0.15">
      <c r="A615">
        <v>283520340</v>
      </c>
      <c r="B615" t="s">
        <v>626</v>
      </c>
      <c r="C615">
        <v>1</v>
      </c>
    </row>
    <row r="616" spans="1:3" ht="13" x14ac:dyDescent="0.15">
      <c r="A616">
        <v>283595323</v>
      </c>
      <c r="B616" t="s">
        <v>627</v>
      </c>
      <c r="C616">
        <v>1</v>
      </c>
    </row>
    <row r="617" spans="1:3" ht="13" x14ac:dyDescent="0.15">
      <c r="A617">
        <v>283602933</v>
      </c>
      <c r="B617" t="s">
        <v>628</v>
      </c>
      <c r="C617">
        <v>1</v>
      </c>
    </row>
    <row r="618" spans="1:3" ht="13" x14ac:dyDescent="0.15">
      <c r="A618">
        <v>283824079</v>
      </c>
      <c r="B618" t="s">
        <v>629</v>
      </c>
      <c r="C618">
        <v>1</v>
      </c>
    </row>
    <row r="619" spans="1:3" ht="13" x14ac:dyDescent="0.15">
      <c r="A619">
        <v>284041268</v>
      </c>
      <c r="B619" t="s">
        <v>630</v>
      </c>
      <c r="C619">
        <v>1</v>
      </c>
    </row>
    <row r="620" spans="1:3" ht="13" x14ac:dyDescent="0.15">
      <c r="A620">
        <v>284155605</v>
      </c>
      <c r="B620" t="s">
        <v>631</v>
      </c>
      <c r="C620">
        <v>1</v>
      </c>
    </row>
    <row r="621" spans="1:3" ht="13" x14ac:dyDescent="0.15">
      <c r="A621">
        <v>284230552</v>
      </c>
      <c r="B621" t="s">
        <v>632</v>
      </c>
      <c r="C621">
        <v>1</v>
      </c>
    </row>
    <row r="622" spans="1:3" ht="13" x14ac:dyDescent="0.15">
      <c r="A622">
        <v>284271655</v>
      </c>
      <c r="B622" t="s">
        <v>633</v>
      </c>
      <c r="C622">
        <v>1</v>
      </c>
    </row>
    <row r="623" spans="1:3" ht="13" x14ac:dyDescent="0.15">
      <c r="A623">
        <v>284284630</v>
      </c>
      <c r="B623" t="s">
        <v>634</v>
      </c>
      <c r="C623">
        <v>1</v>
      </c>
    </row>
    <row r="624" spans="1:3" ht="13" x14ac:dyDescent="0.15">
      <c r="A624">
        <v>284317624</v>
      </c>
      <c r="B624" t="s">
        <v>635</v>
      </c>
      <c r="C624">
        <v>1</v>
      </c>
    </row>
    <row r="625" spans="1:3" ht="13" x14ac:dyDescent="0.15">
      <c r="A625">
        <v>284480995</v>
      </c>
      <c r="B625" t="s">
        <v>636</v>
      </c>
      <c r="C625">
        <v>1</v>
      </c>
    </row>
    <row r="626" spans="1:3" ht="13" x14ac:dyDescent="0.15">
      <c r="A626">
        <v>284481051</v>
      </c>
      <c r="B626" t="s">
        <v>637</v>
      </c>
      <c r="C626">
        <v>1</v>
      </c>
    </row>
    <row r="627" spans="1:3" ht="13" x14ac:dyDescent="0.15">
      <c r="A627">
        <v>284482502</v>
      </c>
      <c r="B627" t="s">
        <v>638</v>
      </c>
      <c r="C627">
        <v>2</v>
      </c>
    </row>
    <row r="628" spans="1:3" ht="13" x14ac:dyDescent="0.15">
      <c r="A628">
        <v>284482682</v>
      </c>
      <c r="B628" t="s">
        <v>639</v>
      </c>
      <c r="C628">
        <v>1</v>
      </c>
    </row>
    <row r="629" spans="1:3" ht="13" x14ac:dyDescent="0.15">
      <c r="A629">
        <v>284531924</v>
      </c>
      <c r="B629" t="s">
        <v>640</v>
      </c>
      <c r="C629">
        <v>1</v>
      </c>
    </row>
    <row r="630" spans="1:3" ht="13" x14ac:dyDescent="0.15">
      <c r="A630">
        <v>284533329</v>
      </c>
      <c r="B630" t="s">
        <v>641</v>
      </c>
      <c r="C630">
        <v>1</v>
      </c>
    </row>
    <row r="631" spans="1:3" ht="13" x14ac:dyDescent="0.15">
      <c r="A631">
        <v>285509458</v>
      </c>
      <c r="B631" t="s">
        <v>642</v>
      </c>
      <c r="C631">
        <v>15</v>
      </c>
    </row>
    <row r="632" spans="1:3" ht="13" x14ac:dyDescent="0.15">
      <c r="A632">
        <v>285532559</v>
      </c>
      <c r="B632" t="s">
        <v>643</v>
      </c>
      <c r="C632">
        <v>3</v>
      </c>
    </row>
    <row r="633" spans="1:3" ht="13" x14ac:dyDescent="0.15">
      <c r="A633">
        <v>285638713</v>
      </c>
      <c r="B633" t="s">
        <v>644</v>
      </c>
      <c r="C633">
        <v>1</v>
      </c>
    </row>
    <row r="634" spans="1:3" ht="13" x14ac:dyDescent="0.15">
      <c r="A634">
        <v>285902820</v>
      </c>
      <c r="B634" t="s">
        <v>645</v>
      </c>
      <c r="C634">
        <v>1</v>
      </c>
    </row>
    <row r="635" spans="1:3" ht="13" x14ac:dyDescent="0.15">
      <c r="A635">
        <v>285964476</v>
      </c>
      <c r="B635" t="s">
        <v>646</v>
      </c>
      <c r="C635">
        <v>1</v>
      </c>
    </row>
    <row r="636" spans="1:3" ht="13" x14ac:dyDescent="0.15">
      <c r="A636">
        <v>285989990</v>
      </c>
      <c r="B636" t="s">
        <v>647</v>
      </c>
      <c r="C636">
        <v>3</v>
      </c>
    </row>
    <row r="637" spans="1:3" ht="13" x14ac:dyDescent="0.15">
      <c r="A637">
        <v>286088675</v>
      </c>
      <c r="B637" t="s">
        <v>648</v>
      </c>
      <c r="C637">
        <v>1</v>
      </c>
    </row>
    <row r="638" spans="1:3" ht="13" x14ac:dyDescent="0.15">
      <c r="A638">
        <v>286088802</v>
      </c>
      <c r="B638" t="s">
        <v>649</v>
      </c>
      <c r="C638">
        <v>1</v>
      </c>
    </row>
    <row r="639" spans="1:3" ht="13" x14ac:dyDescent="0.15">
      <c r="A639">
        <v>286135841</v>
      </c>
      <c r="B639" t="s">
        <v>650</v>
      </c>
      <c r="C639">
        <v>1</v>
      </c>
    </row>
    <row r="640" spans="1:3" ht="13" x14ac:dyDescent="0.15">
      <c r="A640">
        <v>286161014</v>
      </c>
      <c r="B640" t="s">
        <v>651</v>
      </c>
      <c r="C640">
        <v>1</v>
      </c>
    </row>
    <row r="641" spans="1:3" ht="13" x14ac:dyDescent="0.15">
      <c r="A641">
        <v>286199864</v>
      </c>
      <c r="B641" t="s">
        <v>652</v>
      </c>
      <c r="C641">
        <v>1</v>
      </c>
    </row>
    <row r="642" spans="1:3" ht="13" x14ac:dyDescent="0.15">
      <c r="A642">
        <v>286209181</v>
      </c>
      <c r="B642" t="s">
        <v>653</v>
      </c>
      <c r="C642">
        <v>1</v>
      </c>
    </row>
    <row r="643" spans="1:3" ht="13" x14ac:dyDescent="0.15">
      <c r="A643">
        <v>286241321</v>
      </c>
      <c r="B643" t="s">
        <v>654</v>
      </c>
      <c r="C643">
        <v>1</v>
      </c>
    </row>
    <row r="644" spans="1:3" ht="13" x14ac:dyDescent="0.15">
      <c r="A644">
        <v>286402974</v>
      </c>
      <c r="B644" t="s">
        <v>655</v>
      </c>
      <c r="C644">
        <v>7</v>
      </c>
    </row>
    <row r="645" spans="1:3" ht="13" x14ac:dyDescent="0.15">
      <c r="A645">
        <v>286554886</v>
      </c>
      <c r="B645" t="s">
        <v>656</v>
      </c>
      <c r="C645">
        <v>1</v>
      </c>
    </row>
    <row r="646" spans="1:3" ht="13" x14ac:dyDescent="0.15">
      <c r="A646">
        <v>286560951</v>
      </c>
      <c r="B646" t="s">
        <v>657</v>
      </c>
      <c r="C646">
        <v>3</v>
      </c>
    </row>
    <row r="647" spans="1:3" ht="13" x14ac:dyDescent="0.15">
      <c r="A647">
        <v>286577082</v>
      </c>
      <c r="B647" t="s">
        <v>658</v>
      </c>
      <c r="C647">
        <v>1</v>
      </c>
    </row>
    <row r="648" spans="1:3" ht="13" x14ac:dyDescent="0.15">
      <c r="A648">
        <v>286577174</v>
      </c>
      <c r="B648" t="s">
        <v>659</v>
      </c>
      <c r="C648">
        <v>1</v>
      </c>
    </row>
    <row r="649" spans="1:3" ht="13" x14ac:dyDescent="0.15">
      <c r="A649">
        <v>286737312</v>
      </c>
      <c r="B649" t="s">
        <v>660</v>
      </c>
      <c r="C649">
        <v>1</v>
      </c>
    </row>
    <row r="650" spans="1:3" ht="13" x14ac:dyDescent="0.15">
      <c r="A650">
        <v>286737650</v>
      </c>
      <c r="B650" t="s">
        <v>661</v>
      </c>
      <c r="C650">
        <v>1</v>
      </c>
    </row>
    <row r="651" spans="1:3" ht="13" x14ac:dyDescent="0.15">
      <c r="A651">
        <v>286890592</v>
      </c>
      <c r="B651" t="s">
        <v>662</v>
      </c>
      <c r="C651">
        <v>2</v>
      </c>
    </row>
    <row r="652" spans="1:3" ht="13" x14ac:dyDescent="0.15">
      <c r="A652">
        <v>286920889</v>
      </c>
      <c r="B652" t="s">
        <v>663</v>
      </c>
      <c r="C652">
        <v>1</v>
      </c>
    </row>
    <row r="653" spans="1:3" ht="13" x14ac:dyDescent="0.15">
      <c r="A653">
        <v>286978010</v>
      </c>
      <c r="B653" t="s">
        <v>664</v>
      </c>
      <c r="C653">
        <v>2</v>
      </c>
    </row>
    <row r="654" spans="1:3" ht="13" x14ac:dyDescent="0.15">
      <c r="A654">
        <v>287050098</v>
      </c>
      <c r="B654" t="s">
        <v>665</v>
      </c>
      <c r="C654">
        <v>1</v>
      </c>
    </row>
    <row r="655" spans="1:3" ht="13" x14ac:dyDescent="0.15">
      <c r="A655">
        <v>287096340</v>
      </c>
      <c r="B655" t="s">
        <v>666</v>
      </c>
      <c r="C655">
        <v>1</v>
      </c>
    </row>
    <row r="656" spans="1:3" ht="13" x14ac:dyDescent="0.15">
      <c r="A656">
        <v>287106956</v>
      </c>
      <c r="B656" t="s">
        <v>667</v>
      </c>
      <c r="C656">
        <v>1</v>
      </c>
    </row>
    <row r="657" spans="1:3" ht="13" x14ac:dyDescent="0.15">
      <c r="A657">
        <v>287231334</v>
      </c>
      <c r="B657" t="s">
        <v>668</v>
      </c>
      <c r="C657">
        <v>1</v>
      </c>
    </row>
    <row r="658" spans="1:3" ht="13" x14ac:dyDescent="0.15">
      <c r="A658">
        <v>287291465</v>
      </c>
      <c r="B658" t="s">
        <v>669</v>
      </c>
      <c r="C658">
        <v>1</v>
      </c>
    </row>
    <row r="659" spans="1:3" ht="13" x14ac:dyDescent="0.15">
      <c r="A659">
        <v>287299767</v>
      </c>
      <c r="B659" t="s">
        <v>670</v>
      </c>
      <c r="C659">
        <v>1</v>
      </c>
    </row>
    <row r="660" spans="1:3" ht="13" x14ac:dyDescent="0.15">
      <c r="A660">
        <v>287299771</v>
      </c>
      <c r="B660" t="s">
        <v>671</v>
      </c>
      <c r="C660">
        <v>3</v>
      </c>
    </row>
    <row r="661" spans="1:3" ht="13" x14ac:dyDescent="0.15">
      <c r="A661">
        <v>287337759</v>
      </c>
      <c r="B661" t="s">
        <v>672</v>
      </c>
      <c r="C661">
        <v>3</v>
      </c>
    </row>
    <row r="662" spans="1:3" ht="13" x14ac:dyDescent="0.15">
      <c r="A662">
        <v>287342614</v>
      </c>
      <c r="B662" t="s">
        <v>673</v>
      </c>
      <c r="C662">
        <v>4</v>
      </c>
    </row>
    <row r="663" spans="1:3" ht="13" x14ac:dyDescent="0.15">
      <c r="A663">
        <v>287363158</v>
      </c>
      <c r="B663" t="s">
        <v>674</v>
      </c>
      <c r="C663">
        <v>1</v>
      </c>
    </row>
    <row r="664" spans="1:3" ht="13" x14ac:dyDescent="0.15">
      <c r="A664">
        <v>287368356</v>
      </c>
      <c r="B664" t="s">
        <v>675</v>
      </c>
      <c r="C664">
        <v>1</v>
      </c>
    </row>
    <row r="665" spans="1:3" ht="13" x14ac:dyDescent="0.15">
      <c r="A665">
        <v>287372158</v>
      </c>
      <c r="B665" t="s">
        <v>676</v>
      </c>
      <c r="C665">
        <v>2</v>
      </c>
    </row>
    <row r="666" spans="1:3" ht="13" x14ac:dyDescent="0.15">
      <c r="A666">
        <v>287372229</v>
      </c>
      <c r="B666" t="s">
        <v>677</v>
      </c>
      <c r="C666">
        <v>1</v>
      </c>
    </row>
    <row r="667" spans="1:3" ht="13" x14ac:dyDescent="0.15">
      <c r="A667">
        <v>287372244</v>
      </c>
      <c r="B667" t="s">
        <v>678</v>
      </c>
      <c r="C667">
        <v>1</v>
      </c>
    </row>
    <row r="668" spans="1:3" ht="13" x14ac:dyDescent="0.15">
      <c r="A668">
        <v>287372776</v>
      </c>
      <c r="B668" t="s">
        <v>679</v>
      </c>
      <c r="C668">
        <v>1</v>
      </c>
    </row>
    <row r="669" spans="1:3" ht="13" x14ac:dyDescent="0.15">
      <c r="A669">
        <v>287372805</v>
      </c>
      <c r="B669" t="s">
        <v>680</v>
      </c>
      <c r="C669">
        <v>1</v>
      </c>
    </row>
    <row r="670" spans="1:3" ht="13" x14ac:dyDescent="0.15">
      <c r="A670">
        <v>287373577</v>
      </c>
      <c r="B670" t="s">
        <v>681</v>
      </c>
      <c r="C670">
        <v>1</v>
      </c>
    </row>
    <row r="671" spans="1:3" ht="13" x14ac:dyDescent="0.15">
      <c r="A671">
        <v>287373899</v>
      </c>
      <c r="B671" t="s">
        <v>682</v>
      </c>
      <c r="C671">
        <v>1</v>
      </c>
    </row>
    <row r="672" spans="1:3" ht="13" x14ac:dyDescent="0.15">
      <c r="A672">
        <v>287374037</v>
      </c>
      <c r="B672" t="s">
        <v>683</v>
      </c>
      <c r="C672">
        <v>1</v>
      </c>
    </row>
    <row r="673" spans="1:3" ht="13" x14ac:dyDescent="0.15">
      <c r="A673">
        <v>287374099</v>
      </c>
      <c r="B673" t="s">
        <v>684</v>
      </c>
      <c r="C673">
        <v>1</v>
      </c>
    </row>
    <row r="674" spans="1:3" ht="13" x14ac:dyDescent="0.15">
      <c r="A674">
        <v>287374868</v>
      </c>
      <c r="B674" t="s">
        <v>685</v>
      </c>
      <c r="C674">
        <v>1</v>
      </c>
    </row>
    <row r="675" spans="1:3" ht="13" x14ac:dyDescent="0.15">
      <c r="A675">
        <v>287375755</v>
      </c>
      <c r="B675" t="s">
        <v>686</v>
      </c>
      <c r="C675">
        <v>1</v>
      </c>
    </row>
    <row r="676" spans="1:3" ht="13" x14ac:dyDescent="0.15">
      <c r="A676">
        <v>287377037</v>
      </c>
      <c r="B676" t="s">
        <v>687</v>
      </c>
      <c r="C676">
        <v>1</v>
      </c>
    </row>
    <row r="677" spans="1:3" ht="13" x14ac:dyDescent="0.15">
      <c r="A677">
        <v>287377391</v>
      </c>
      <c r="B677" t="s">
        <v>688</v>
      </c>
      <c r="C677">
        <v>1</v>
      </c>
    </row>
    <row r="678" spans="1:3" ht="13" x14ac:dyDescent="0.15">
      <c r="A678">
        <v>287380456</v>
      </c>
      <c r="B678" t="s">
        <v>689</v>
      </c>
      <c r="C678">
        <v>1</v>
      </c>
    </row>
    <row r="679" spans="1:3" ht="13" x14ac:dyDescent="0.15">
      <c r="A679">
        <v>287380686</v>
      </c>
      <c r="B679" t="s">
        <v>690</v>
      </c>
      <c r="C679">
        <v>1</v>
      </c>
    </row>
    <row r="680" spans="1:3" ht="13" x14ac:dyDescent="0.15">
      <c r="A680">
        <v>287381002</v>
      </c>
      <c r="B680" t="s">
        <v>691</v>
      </c>
      <c r="C680">
        <v>1</v>
      </c>
    </row>
    <row r="681" spans="1:3" ht="13" x14ac:dyDescent="0.15">
      <c r="A681">
        <v>287381171</v>
      </c>
      <c r="B681" t="s">
        <v>692</v>
      </c>
      <c r="C681">
        <v>1</v>
      </c>
    </row>
    <row r="682" spans="1:3" ht="13" x14ac:dyDescent="0.15">
      <c r="A682">
        <v>287381222</v>
      </c>
      <c r="B682" t="s">
        <v>693</v>
      </c>
      <c r="C682">
        <v>1</v>
      </c>
    </row>
    <row r="683" spans="1:3" ht="13" x14ac:dyDescent="0.15">
      <c r="A683">
        <v>287381889</v>
      </c>
      <c r="B683" t="s">
        <v>694</v>
      </c>
      <c r="C683">
        <v>2</v>
      </c>
    </row>
    <row r="684" spans="1:3" ht="13" x14ac:dyDescent="0.15">
      <c r="A684">
        <v>287382361</v>
      </c>
      <c r="B684" t="s">
        <v>695</v>
      </c>
      <c r="C684">
        <v>1</v>
      </c>
    </row>
    <row r="685" spans="1:3" ht="13" x14ac:dyDescent="0.15">
      <c r="A685">
        <v>287384410</v>
      </c>
      <c r="B685" t="s">
        <v>696</v>
      </c>
      <c r="C685">
        <v>1</v>
      </c>
    </row>
    <row r="686" spans="1:3" ht="13" x14ac:dyDescent="0.15">
      <c r="A686">
        <v>287384881</v>
      </c>
      <c r="B686" t="s">
        <v>697</v>
      </c>
      <c r="C686">
        <v>1</v>
      </c>
    </row>
    <row r="687" spans="1:3" ht="13" x14ac:dyDescent="0.15">
      <c r="A687">
        <v>287386448</v>
      </c>
      <c r="B687" t="s">
        <v>698</v>
      </c>
      <c r="C687">
        <v>1</v>
      </c>
    </row>
    <row r="688" spans="1:3" ht="13" x14ac:dyDescent="0.15">
      <c r="A688">
        <v>287389904</v>
      </c>
      <c r="B688" t="s">
        <v>699</v>
      </c>
      <c r="C688">
        <v>1</v>
      </c>
    </row>
    <row r="689" spans="1:3" ht="13" x14ac:dyDescent="0.15">
      <c r="A689">
        <v>287394583</v>
      </c>
      <c r="B689" t="s">
        <v>700</v>
      </c>
      <c r="C689">
        <v>1</v>
      </c>
    </row>
    <row r="690" spans="1:3" ht="13" x14ac:dyDescent="0.15">
      <c r="A690">
        <v>287395667</v>
      </c>
      <c r="B690" t="s">
        <v>701</v>
      </c>
      <c r="C690">
        <v>1</v>
      </c>
    </row>
    <row r="691" spans="1:3" ht="13" x14ac:dyDescent="0.15">
      <c r="A691">
        <v>287395815</v>
      </c>
      <c r="B691" t="s">
        <v>702</v>
      </c>
      <c r="C691">
        <v>1</v>
      </c>
    </row>
    <row r="692" spans="1:3" ht="13" x14ac:dyDescent="0.15">
      <c r="A692">
        <v>287396541</v>
      </c>
      <c r="B692" t="s">
        <v>703</v>
      </c>
      <c r="C692">
        <v>7</v>
      </c>
    </row>
    <row r="693" spans="1:3" ht="13" x14ac:dyDescent="0.15">
      <c r="A693">
        <v>287396668</v>
      </c>
      <c r="B693" t="s">
        <v>704</v>
      </c>
      <c r="C693">
        <v>1</v>
      </c>
    </row>
    <row r="694" spans="1:3" ht="13" x14ac:dyDescent="0.15">
      <c r="A694">
        <v>287398176</v>
      </c>
      <c r="B694" t="s">
        <v>705</v>
      </c>
      <c r="C694">
        <v>1</v>
      </c>
    </row>
    <row r="695" spans="1:3" ht="13" x14ac:dyDescent="0.15">
      <c r="A695">
        <v>287398785</v>
      </c>
      <c r="B695" t="s">
        <v>706</v>
      </c>
      <c r="C695">
        <v>1</v>
      </c>
    </row>
    <row r="696" spans="1:3" ht="13" x14ac:dyDescent="0.15">
      <c r="A696">
        <v>287399041</v>
      </c>
      <c r="B696" t="s">
        <v>707</v>
      </c>
      <c r="C696">
        <v>1</v>
      </c>
    </row>
    <row r="697" spans="1:3" ht="13" x14ac:dyDescent="0.15">
      <c r="A697">
        <v>287399238</v>
      </c>
      <c r="B697" t="s">
        <v>708</v>
      </c>
      <c r="C697">
        <v>1</v>
      </c>
    </row>
    <row r="698" spans="1:3" ht="13" x14ac:dyDescent="0.15">
      <c r="A698">
        <v>287401106</v>
      </c>
      <c r="B698" t="s">
        <v>709</v>
      </c>
      <c r="C698">
        <v>1</v>
      </c>
    </row>
    <row r="699" spans="1:3" ht="13" x14ac:dyDescent="0.15">
      <c r="A699">
        <v>287401365</v>
      </c>
      <c r="B699" t="s">
        <v>710</v>
      </c>
      <c r="C699">
        <v>1</v>
      </c>
    </row>
    <row r="700" spans="1:3" ht="13" x14ac:dyDescent="0.15">
      <c r="A700">
        <v>287401951</v>
      </c>
      <c r="B700" t="s">
        <v>711</v>
      </c>
      <c r="C700">
        <v>1</v>
      </c>
    </row>
    <row r="701" spans="1:3" ht="13" x14ac:dyDescent="0.15">
      <c r="A701">
        <v>287402033</v>
      </c>
      <c r="B701" t="s">
        <v>712</v>
      </c>
      <c r="C701">
        <v>1</v>
      </c>
    </row>
    <row r="702" spans="1:3" ht="13" x14ac:dyDescent="0.15">
      <c r="A702">
        <v>287402258</v>
      </c>
      <c r="B702" t="s">
        <v>713</v>
      </c>
      <c r="C702">
        <v>2</v>
      </c>
    </row>
    <row r="703" spans="1:3" ht="13" x14ac:dyDescent="0.15">
      <c r="A703">
        <v>287402416</v>
      </c>
      <c r="B703" t="s">
        <v>714</v>
      </c>
      <c r="C703">
        <v>1</v>
      </c>
    </row>
    <row r="704" spans="1:3" ht="13" x14ac:dyDescent="0.15">
      <c r="A704">
        <v>287402863</v>
      </c>
      <c r="B704" t="s">
        <v>715</v>
      </c>
      <c r="C704">
        <v>1</v>
      </c>
    </row>
    <row r="705" spans="1:3" ht="13" x14ac:dyDescent="0.15">
      <c r="A705">
        <v>287402995</v>
      </c>
      <c r="B705" t="s">
        <v>716</v>
      </c>
      <c r="C705">
        <v>1</v>
      </c>
    </row>
    <row r="706" spans="1:3" ht="13" x14ac:dyDescent="0.15">
      <c r="A706">
        <v>287404083</v>
      </c>
      <c r="B706" t="s">
        <v>717</v>
      </c>
      <c r="C706">
        <v>1</v>
      </c>
    </row>
    <row r="707" spans="1:3" ht="13" x14ac:dyDescent="0.15">
      <c r="A707">
        <v>287404235</v>
      </c>
      <c r="B707" t="s">
        <v>718</v>
      </c>
      <c r="C707">
        <v>1</v>
      </c>
    </row>
    <row r="708" spans="1:3" ht="13" x14ac:dyDescent="0.15">
      <c r="A708">
        <v>287404293</v>
      </c>
      <c r="B708" t="s">
        <v>719</v>
      </c>
      <c r="C708">
        <v>1</v>
      </c>
    </row>
    <row r="709" spans="1:3" ht="13" x14ac:dyDescent="0.15">
      <c r="A709">
        <v>287404507</v>
      </c>
      <c r="B709" t="s">
        <v>720</v>
      </c>
      <c r="C709">
        <v>1</v>
      </c>
    </row>
    <row r="710" spans="1:3" ht="13" x14ac:dyDescent="0.15">
      <c r="A710">
        <v>287404846</v>
      </c>
      <c r="B710" t="s">
        <v>721</v>
      </c>
      <c r="C710">
        <v>1</v>
      </c>
    </row>
    <row r="711" spans="1:3" ht="13" x14ac:dyDescent="0.15">
      <c r="A711">
        <v>287405915</v>
      </c>
      <c r="B711" t="s">
        <v>722</v>
      </c>
      <c r="C711">
        <v>1</v>
      </c>
    </row>
    <row r="712" spans="1:3" ht="13" x14ac:dyDescent="0.15">
      <c r="A712">
        <v>287405947</v>
      </c>
      <c r="B712" t="s">
        <v>723</v>
      </c>
      <c r="C712">
        <v>1</v>
      </c>
    </row>
    <row r="713" spans="1:3" ht="13" x14ac:dyDescent="0.15">
      <c r="A713">
        <v>287406924</v>
      </c>
      <c r="B713" t="s">
        <v>724</v>
      </c>
      <c r="C713">
        <v>1</v>
      </c>
    </row>
    <row r="714" spans="1:3" ht="13" x14ac:dyDescent="0.15">
      <c r="A714">
        <v>287407486</v>
      </c>
      <c r="B714" t="s">
        <v>725</v>
      </c>
      <c r="C714">
        <v>1</v>
      </c>
    </row>
    <row r="715" spans="1:3" ht="13" x14ac:dyDescent="0.15">
      <c r="A715">
        <v>287408072</v>
      </c>
      <c r="B715" t="s">
        <v>726</v>
      </c>
      <c r="C715">
        <v>1</v>
      </c>
    </row>
    <row r="716" spans="1:3" ht="13" x14ac:dyDescent="0.15">
      <c r="A716">
        <v>287409424</v>
      </c>
      <c r="B716" t="s">
        <v>727</v>
      </c>
      <c r="C716">
        <v>1</v>
      </c>
    </row>
    <row r="717" spans="1:3" ht="13" x14ac:dyDescent="0.15">
      <c r="A717">
        <v>287409567</v>
      </c>
      <c r="B717" t="s">
        <v>728</v>
      </c>
      <c r="C717">
        <v>1</v>
      </c>
    </row>
    <row r="718" spans="1:3" ht="13" x14ac:dyDescent="0.15">
      <c r="A718">
        <v>287412372</v>
      </c>
      <c r="B718" t="s">
        <v>729</v>
      </c>
      <c r="C718">
        <v>1</v>
      </c>
    </row>
    <row r="719" spans="1:3" ht="13" x14ac:dyDescent="0.15">
      <c r="A719">
        <v>287412995</v>
      </c>
      <c r="B719" t="s">
        <v>730</v>
      </c>
      <c r="C719">
        <v>1</v>
      </c>
    </row>
    <row r="720" spans="1:3" ht="13" x14ac:dyDescent="0.15">
      <c r="A720">
        <v>287413139</v>
      </c>
      <c r="B720" t="s">
        <v>731</v>
      </c>
      <c r="C720">
        <v>1</v>
      </c>
    </row>
    <row r="721" spans="1:3" ht="13" x14ac:dyDescent="0.15">
      <c r="A721">
        <v>287413457</v>
      </c>
      <c r="B721" t="s">
        <v>732</v>
      </c>
      <c r="C721">
        <v>1</v>
      </c>
    </row>
    <row r="722" spans="1:3" ht="13" x14ac:dyDescent="0.15">
      <c r="A722">
        <v>287413627</v>
      </c>
      <c r="B722" t="s">
        <v>733</v>
      </c>
      <c r="C722">
        <v>1</v>
      </c>
    </row>
    <row r="723" spans="1:3" ht="13" x14ac:dyDescent="0.15">
      <c r="A723">
        <v>287414102</v>
      </c>
      <c r="B723" t="s">
        <v>734</v>
      </c>
      <c r="C723">
        <v>2</v>
      </c>
    </row>
    <row r="724" spans="1:3" ht="13" x14ac:dyDescent="0.15">
      <c r="A724">
        <v>287414262</v>
      </c>
      <c r="B724" t="s">
        <v>735</v>
      </c>
      <c r="C724">
        <v>1</v>
      </c>
    </row>
    <row r="725" spans="1:3" ht="13" x14ac:dyDescent="0.15">
      <c r="A725">
        <v>287418247</v>
      </c>
      <c r="B725" t="s">
        <v>736</v>
      </c>
      <c r="C725">
        <v>1</v>
      </c>
    </row>
    <row r="726" spans="1:3" ht="13" x14ac:dyDescent="0.15">
      <c r="A726">
        <v>287421211</v>
      </c>
      <c r="B726" t="s">
        <v>737</v>
      </c>
      <c r="C726">
        <v>1</v>
      </c>
    </row>
    <row r="727" spans="1:3" ht="13" x14ac:dyDescent="0.15">
      <c r="A727">
        <v>287424256</v>
      </c>
      <c r="B727" t="s">
        <v>738</v>
      </c>
      <c r="C727">
        <v>1</v>
      </c>
    </row>
    <row r="728" spans="1:3" ht="13" x14ac:dyDescent="0.15">
      <c r="A728">
        <v>287427322</v>
      </c>
      <c r="B728" t="s">
        <v>739</v>
      </c>
      <c r="C728">
        <v>1</v>
      </c>
    </row>
    <row r="729" spans="1:3" ht="13" x14ac:dyDescent="0.15">
      <c r="A729">
        <v>287429944</v>
      </c>
      <c r="B729" t="s">
        <v>740</v>
      </c>
      <c r="C729">
        <v>1</v>
      </c>
    </row>
    <row r="730" spans="1:3" ht="13" x14ac:dyDescent="0.15">
      <c r="A730">
        <v>287437210</v>
      </c>
      <c r="B730" t="s">
        <v>741</v>
      </c>
      <c r="C730">
        <v>3</v>
      </c>
    </row>
    <row r="731" spans="1:3" ht="13" x14ac:dyDescent="0.15">
      <c r="A731">
        <v>287438386</v>
      </c>
      <c r="B731" t="s">
        <v>742</v>
      </c>
      <c r="C731">
        <v>1</v>
      </c>
    </row>
    <row r="732" spans="1:3" ht="13" x14ac:dyDescent="0.15">
      <c r="A732">
        <v>287447139</v>
      </c>
      <c r="B732" t="s">
        <v>743</v>
      </c>
      <c r="C732">
        <v>2</v>
      </c>
    </row>
    <row r="733" spans="1:3" ht="13" x14ac:dyDescent="0.15">
      <c r="A733">
        <v>287452560</v>
      </c>
      <c r="B733" t="s">
        <v>744</v>
      </c>
      <c r="C733">
        <v>9</v>
      </c>
    </row>
    <row r="734" spans="1:3" ht="13" x14ac:dyDescent="0.15">
      <c r="A734">
        <v>287453934</v>
      </c>
      <c r="B734" t="s">
        <v>745</v>
      </c>
      <c r="C734">
        <v>1</v>
      </c>
    </row>
    <row r="735" spans="1:3" ht="13" x14ac:dyDescent="0.15">
      <c r="A735">
        <v>287454170</v>
      </c>
      <c r="B735" t="s">
        <v>746</v>
      </c>
      <c r="C735">
        <v>1</v>
      </c>
    </row>
    <row r="736" spans="1:3" ht="13" x14ac:dyDescent="0.15">
      <c r="A736">
        <v>287456644</v>
      </c>
      <c r="B736" t="s">
        <v>747</v>
      </c>
      <c r="C736">
        <v>1</v>
      </c>
    </row>
    <row r="737" spans="1:3" ht="13" x14ac:dyDescent="0.15">
      <c r="A737">
        <v>287502358</v>
      </c>
      <c r="B737" t="s">
        <v>748</v>
      </c>
      <c r="C737">
        <v>3</v>
      </c>
    </row>
    <row r="738" spans="1:3" ht="13" x14ac:dyDescent="0.15">
      <c r="A738">
        <v>287516414</v>
      </c>
      <c r="B738" t="s">
        <v>749</v>
      </c>
      <c r="C738">
        <v>1</v>
      </c>
    </row>
    <row r="739" spans="1:3" ht="13" x14ac:dyDescent="0.15">
      <c r="A739">
        <v>287532846</v>
      </c>
      <c r="B739" t="s">
        <v>750</v>
      </c>
      <c r="C739">
        <v>2</v>
      </c>
    </row>
    <row r="740" spans="1:3" ht="13" x14ac:dyDescent="0.15">
      <c r="A740">
        <v>287535440</v>
      </c>
      <c r="B740" t="s">
        <v>751</v>
      </c>
      <c r="C740">
        <v>3</v>
      </c>
    </row>
    <row r="741" spans="1:3" ht="13" x14ac:dyDescent="0.15">
      <c r="A741">
        <v>287535757</v>
      </c>
      <c r="B741" t="s">
        <v>752</v>
      </c>
      <c r="C741">
        <v>2</v>
      </c>
    </row>
    <row r="742" spans="1:3" ht="13" x14ac:dyDescent="0.15">
      <c r="A742">
        <v>287537353</v>
      </c>
      <c r="B742" t="s">
        <v>753</v>
      </c>
      <c r="C742">
        <v>3</v>
      </c>
    </row>
    <row r="743" spans="1:3" ht="13" x14ac:dyDescent="0.15">
      <c r="A743">
        <v>287552333</v>
      </c>
      <c r="B743" t="s">
        <v>754</v>
      </c>
      <c r="C743">
        <v>1</v>
      </c>
    </row>
    <row r="744" spans="1:3" ht="13" x14ac:dyDescent="0.15">
      <c r="A744">
        <v>287563319</v>
      </c>
      <c r="B744" t="s">
        <v>755</v>
      </c>
      <c r="C744">
        <v>1</v>
      </c>
    </row>
    <row r="745" spans="1:3" ht="13" x14ac:dyDescent="0.15">
      <c r="A745">
        <v>287563721</v>
      </c>
      <c r="B745" t="s">
        <v>756</v>
      </c>
      <c r="C745">
        <v>1</v>
      </c>
    </row>
    <row r="746" spans="1:3" ht="13" x14ac:dyDescent="0.15">
      <c r="A746">
        <v>287590138</v>
      </c>
      <c r="B746" t="s">
        <v>757</v>
      </c>
      <c r="C746">
        <v>1</v>
      </c>
    </row>
    <row r="747" spans="1:3" ht="13" x14ac:dyDescent="0.15">
      <c r="A747">
        <v>287602904</v>
      </c>
      <c r="B747" t="s">
        <v>758</v>
      </c>
      <c r="C747">
        <v>1</v>
      </c>
    </row>
    <row r="748" spans="1:3" ht="13" x14ac:dyDescent="0.15">
      <c r="A748">
        <v>287623413</v>
      </c>
      <c r="B748" t="s">
        <v>759</v>
      </c>
      <c r="C748">
        <v>1</v>
      </c>
    </row>
    <row r="749" spans="1:3" ht="13" x14ac:dyDescent="0.15">
      <c r="A749">
        <v>287623670</v>
      </c>
      <c r="B749" t="s">
        <v>760</v>
      </c>
      <c r="C749">
        <v>1</v>
      </c>
    </row>
    <row r="750" spans="1:3" ht="13" x14ac:dyDescent="0.15">
      <c r="A750">
        <v>287628311</v>
      </c>
      <c r="B750" t="s">
        <v>761</v>
      </c>
      <c r="C750">
        <v>3</v>
      </c>
    </row>
    <row r="751" spans="1:3" ht="13" x14ac:dyDescent="0.15">
      <c r="A751">
        <v>287631644</v>
      </c>
      <c r="B751" t="s">
        <v>762</v>
      </c>
      <c r="C751">
        <v>2</v>
      </c>
    </row>
    <row r="752" spans="1:3" ht="13" x14ac:dyDescent="0.15">
      <c r="A752">
        <v>287694837</v>
      </c>
      <c r="B752" t="s">
        <v>763</v>
      </c>
      <c r="C752">
        <v>1</v>
      </c>
    </row>
    <row r="753" spans="1:3" ht="13" x14ac:dyDescent="0.15">
      <c r="A753">
        <v>287710952</v>
      </c>
      <c r="B753" t="s">
        <v>764</v>
      </c>
      <c r="C753">
        <v>1</v>
      </c>
    </row>
    <row r="754" spans="1:3" ht="13" x14ac:dyDescent="0.15">
      <c r="A754">
        <v>287723042</v>
      </c>
      <c r="B754" t="s">
        <v>765</v>
      </c>
      <c r="C754">
        <v>1</v>
      </c>
    </row>
    <row r="755" spans="1:3" ht="13" x14ac:dyDescent="0.15">
      <c r="A755">
        <v>287728356</v>
      </c>
      <c r="B755" t="s">
        <v>766</v>
      </c>
      <c r="C755">
        <v>1</v>
      </c>
    </row>
    <row r="756" spans="1:3" ht="13" x14ac:dyDescent="0.15">
      <c r="A756">
        <v>287729649</v>
      </c>
      <c r="B756" t="s">
        <v>767</v>
      </c>
      <c r="C756">
        <v>1</v>
      </c>
    </row>
    <row r="757" spans="1:3" ht="13" x14ac:dyDescent="0.15">
      <c r="A757">
        <v>287764710</v>
      </c>
      <c r="B757" t="s">
        <v>768</v>
      </c>
      <c r="C757">
        <v>1</v>
      </c>
    </row>
    <row r="758" spans="1:3" ht="13" x14ac:dyDescent="0.15">
      <c r="A758">
        <v>287783169</v>
      </c>
      <c r="B758" t="s">
        <v>769</v>
      </c>
      <c r="C758">
        <v>1</v>
      </c>
    </row>
    <row r="759" spans="1:3" ht="13" x14ac:dyDescent="0.15">
      <c r="A759">
        <v>287794623</v>
      </c>
      <c r="B759" t="s">
        <v>770</v>
      </c>
      <c r="C759">
        <v>1</v>
      </c>
    </row>
    <row r="760" spans="1:3" ht="13" x14ac:dyDescent="0.15">
      <c r="A760">
        <v>287833543</v>
      </c>
      <c r="B760" t="s">
        <v>771</v>
      </c>
      <c r="C760">
        <v>1</v>
      </c>
    </row>
    <row r="761" spans="1:3" ht="13" x14ac:dyDescent="0.15">
      <c r="A761">
        <v>287836355</v>
      </c>
      <c r="B761" t="s">
        <v>772</v>
      </c>
      <c r="C761">
        <v>1</v>
      </c>
    </row>
    <row r="762" spans="1:3" ht="13" x14ac:dyDescent="0.15">
      <c r="A762">
        <v>287841414</v>
      </c>
      <c r="B762" t="s">
        <v>773</v>
      </c>
      <c r="C762">
        <v>1</v>
      </c>
    </row>
    <row r="763" spans="1:3" ht="13" x14ac:dyDescent="0.15">
      <c r="A763">
        <v>287841664</v>
      </c>
      <c r="B763" t="s">
        <v>774</v>
      </c>
      <c r="C763">
        <v>1</v>
      </c>
    </row>
    <row r="764" spans="1:3" ht="13" x14ac:dyDescent="0.15">
      <c r="A764">
        <v>287842406</v>
      </c>
      <c r="B764" t="s">
        <v>775</v>
      </c>
      <c r="C764">
        <v>2</v>
      </c>
    </row>
    <row r="765" spans="1:3" ht="13" x14ac:dyDescent="0.15">
      <c r="A765">
        <v>287843899</v>
      </c>
      <c r="B765" t="s">
        <v>776</v>
      </c>
      <c r="C765">
        <v>1</v>
      </c>
    </row>
    <row r="766" spans="1:3" ht="13" x14ac:dyDescent="0.15">
      <c r="A766">
        <v>287917298</v>
      </c>
      <c r="B766" t="s">
        <v>777</v>
      </c>
      <c r="C766">
        <v>1</v>
      </c>
    </row>
    <row r="767" spans="1:3" ht="13" x14ac:dyDescent="0.15">
      <c r="A767">
        <v>287921091</v>
      </c>
      <c r="B767" t="s">
        <v>778</v>
      </c>
      <c r="C767">
        <v>1</v>
      </c>
    </row>
    <row r="768" spans="1:3" ht="13" x14ac:dyDescent="0.15">
      <c r="A768">
        <v>287933586</v>
      </c>
      <c r="B768" t="s">
        <v>779</v>
      </c>
      <c r="C768">
        <v>1</v>
      </c>
    </row>
    <row r="769" spans="1:3" ht="13" x14ac:dyDescent="0.15">
      <c r="A769">
        <v>287934770</v>
      </c>
      <c r="B769" t="s">
        <v>780</v>
      </c>
      <c r="C769">
        <v>1</v>
      </c>
    </row>
    <row r="770" spans="1:3" ht="13" x14ac:dyDescent="0.15">
      <c r="A770">
        <v>287936075</v>
      </c>
      <c r="B770" t="s">
        <v>781</v>
      </c>
      <c r="C770">
        <v>1</v>
      </c>
    </row>
    <row r="771" spans="1:3" ht="13" x14ac:dyDescent="0.15">
      <c r="A771">
        <v>287948258</v>
      </c>
      <c r="B771" t="s">
        <v>782</v>
      </c>
      <c r="C771">
        <v>1</v>
      </c>
    </row>
    <row r="772" spans="1:3" ht="13" x14ac:dyDescent="0.15">
      <c r="A772">
        <v>287949657</v>
      </c>
      <c r="B772" t="s">
        <v>783</v>
      </c>
      <c r="C772">
        <v>1</v>
      </c>
    </row>
    <row r="773" spans="1:3" ht="13" x14ac:dyDescent="0.15">
      <c r="A773">
        <v>287958036</v>
      </c>
      <c r="B773" t="s">
        <v>784</v>
      </c>
      <c r="C773">
        <v>1</v>
      </c>
    </row>
    <row r="774" spans="1:3" ht="13" x14ac:dyDescent="0.15">
      <c r="A774">
        <v>287959593</v>
      </c>
      <c r="B774" t="s">
        <v>785</v>
      </c>
      <c r="C774">
        <v>1</v>
      </c>
    </row>
    <row r="775" spans="1:3" ht="13" x14ac:dyDescent="0.15">
      <c r="A775">
        <v>287987038</v>
      </c>
      <c r="B775" t="s">
        <v>786</v>
      </c>
      <c r="C775">
        <v>1</v>
      </c>
    </row>
    <row r="776" spans="1:3" ht="13" x14ac:dyDescent="0.15">
      <c r="A776">
        <v>288001521</v>
      </c>
      <c r="B776" t="s">
        <v>787</v>
      </c>
      <c r="C776">
        <v>1</v>
      </c>
    </row>
    <row r="777" spans="1:3" ht="13" x14ac:dyDescent="0.15">
      <c r="A777">
        <v>288005801</v>
      </c>
      <c r="B777" t="s">
        <v>788</v>
      </c>
      <c r="C777">
        <v>1</v>
      </c>
    </row>
    <row r="778" spans="1:3" ht="13" x14ac:dyDescent="0.15">
      <c r="A778">
        <v>288012983</v>
      </c>
      <c r="B778" t="s">
        <v>789</v>
      </c>
      <c r="C778">
        <v>1</v>
      </c>
    </row>
    <row r="779" spans="1:3" ht="13" x14ac:dyDescent="0.15">
      <c r="A779">
        <v>288018266</v>
      </c>
      <c r="B779" t="s">
        <v>790</v>
      </c>
      <c r="C779">
        <v>2</v>
      </c>
    </row>
    <row r="780" spans="1:3" ht="13" x14ac:dyDescent="0.15">
      <c r="A780">
        <v>288032964</v>
      </c>
      <c r="B780" t="s">
        <v>791</v>
      </c>
      <c r="C780">
        <v>1</v>
      </c>
    </row>
    <row r="781" spans="1:3" ht="13" x14ac:dyDescent="0.15">
      <c r="A781">
        <v>288034018</v>
      </c>
      <c r="B781" t="s">
        <v>792</v>
      </c>
      <c r="C781">
        <v>1</v>
      </c>
    </row>
    <row r="782" spans="1:3" ht="13" x14ac:dyDescent="0.15">
      <c r="A782">
        <v>288035498</v>
      </c>
      <c r="B782" t="s">
        <v>793</v>
      </c>
      <c r="C782">
        <v>1</v>
      </c>
    </row>
    <row r="783" spans="1:3" ht="13" x14ac:dyDescent="0.15">
      <c r="A783">
        <v>288052398</v>
      </c>
      <c r="B783" t="s">
        <v>794</v>
      </c>
      <c r="C783">
        <v>1</v>
      </c>
    </row>
    <row r="784" spans="1:3" ht="13" x14ac:dyDescent="0.15">
      <c r="A784">
        <v>288053737</v>
      </c>
      <c r="B784" t="s">
        <v>795</v>
      </c>
      <c r="C784">
        <v>1</v>
      </c>
    </row>
    <row r="785" spans="1:3" ht="13" x14ac:dyDescent="0.15">
      <c r="A785">
        <v>288053839</v>
      </c>
      <c r="B785" t="s">
        <v>796</v>
      </c>
      <c r="C785">
        <v>1</v>
      </c>
    </row>
    <row r="786" spans="1:3" ht="13" x14ac:dyDescent="0.15">
      <c r="A786">
        <v>288054315</v>
      </c>
      <c r="B786" t="s">
        <v>797</v>
      </c>
      <c r="C786">
        <v>1</v>
      </c>
    </row>
    <row r="787" spans="1:3" ht="13" x14ac:dyDescent="0.15">
      <c r="A787">
        <v>288054608</v>
      </c>
      <c r="B787" t="s">
        <v>798</v>
      </c>
      <c r="C787">
        <v>1</v>
      </c>
    </row>
    <row r="788" spans="1:3" ht="13" x14ac:dyDescent="0.15">
      <c r="A788">
        <v>288055481</v>
      </c>
      <c r="B788" t="s">
        <v>799</v>
      </c>
      <c r="C788">
        <v>1</v>
      </c>
    </row>
    <row r="789" spans="1:3" ht="13" x14ac:dyDescent="0.15">
      <c r="A789">
        <v>288055632</v>
      </c>
      <c r="B789" t="s">
        <v>800</v>
      </c>
      <c r="C789">
        <v>1</v>
      </c>
    </row>
    <row r="790" spans="1:3" ht="13" x14ac:dyDescent="0.15">
      <c r="A790">
        <v>288055919</v>
      </c>
      <c r="B790" t="s">
        <v>801</v>
      </c>
      <c r="C790">
        <v>1</v>
      </c>
    </row>
    <row r="791" spans="1:3" ht="13" x14ac:dyDescent="0.15">
      <c r="A791">
        <v>288058055</v>
      </c>
      <c r="B791" t="s">
        <v>802</v>
      </c>
      <c r="C791">
        <v>1</v>
      </c>
    </row>
    <row r="792" spans="1:3" ht="13" x14ac:dyDescent="0.15">
      <c r="A792">
        <v>288058947</v>
      </c>
      <c r="B792" t="s">
        <v>803</v>
      </c>
      <c r="C792">
        <v>1</v>
      </c>
    </row>
    <row r="793" spans="1:3" ht="13" x14ac:dyDescent="0.15">
      <c r="A793">
        <v>288061591</v>
      </c>
      <c r="B793" t="s">
        <v>804</v>
      </c>
      <c r="C793">
        <v>1</v>
      </c>
    </row>
    <row r="794" spans="1:3" ht="13" x14ac:dyDescent="0.15">
      <c r="A794">
        <v>288062179</v>
      </c>
      <c r="B794" t="s">
        <v>805</v>
      </c>
      <c r="C794">
        <v>1</v>
      </c>
    </row>
    <row r="795" spans="1:3" ht="13" x14ac:dyDescent="0.15">
      <c r="A795">
        <v>288062455</v>
      </c>
      <c r="B795" t="s">
        <v>806</v>
      </c>
      <c r="C795">
        <v>1</v>
      </c>
    </row>
    <row r="796" spans="1:3" ht="13" x14ac:dyDescent="0.15">
      <c r="A796">
        <v>288064905</v>
      </c>
      <c r="B796" t="s">
        <v>807</v>
      </c>
      <c r="C796">
        <v>1</v>
      </c>
    </row>
    <row r="797" spans="1:3" ht="13" x14ac:dyDescent="0.15">
      <c r="A797">
        <v>288065568</v>
      </c>
      <c r="B797" t="s">
        <v>808</v>
      </c>
      <c r="C797">
        <v>1</v>
      </c>
    </row>
    <row r="798" spans="1:3" ht="13" x14ac:dyDescent="0.15">
      <c r="A798">
        <v>288073094</v>
      </c>
      <c r="B798" t="s">
        <v>809</v>
      </c>
      <c r="C798">
        <v>1</v>
      </c>
    </row>
    <row r="799" spans="1:3" ht="13" x14ac:dyDescent="0.15">
      <c r="A799">
        <v>288076762</v>
      </c>
      <c r="B799" t="s">
        <v>810</v>
      </c>
      <c r="C799">
        <v>2</v>
      </c>
    </row>
    <row r="800" spans="1:3" ht="13" x14ac:dyDescent="0.15">
      <c r="A800">
        <v>288076771</v>
      </c>
      <c r="B800" t="s">
        <v>811</v>
      </c>
      <c r="C800">
        <v>2</v>
      </c>
    </row>
    <row r="801" spans="1:3" ht="13" x14ac:dyDescent="0.15">
      <c r="A801">
        <v>288076772</v>
      </c>
      <c r="B801" t="s">
        <v>812</v>
      </c>
      <c r="C801">
        <v>2</v>
      </c>
    </row>
    <row r="802" spans="1:3" ht="13" x14ac:dyDescent="0.15">
      <c r="A802">
        <v>288076801</v>
      </c>
      <c r="B802" t="s">
        <v>813</v>
      </c>
      <c r="C802">
        <v>2</v>
      </c>
    </row>
    <row r="803" spans="1:3" ht="13" x14ac:dyDescent="0.15">
      <c r="A803">
        <v>288076824</v>
      </c>
      <c r="B803" t="s">
        <v>814</v>
      </c>
      <c r="C803">
        <v>1</v>
      </c>
    </row>
    <row r="804" spans="1:3" ht="13" x14ac:dyDescent="0.15">
      <c r="A804">
        <v>288077655</v>
      </c>
      <c r="B804" t="s">
        <v>815</v>
      </c>
      <c r="C804">
        <v>1</v>
      </c>
    </row>
    <row r="805" spans="1:3" ht="13" x14ac:dyDescent="0.15">
      <c r="A805">
        <v>288081870</v>
      </c>
      <c r="B805" t="s">
        <v>816</v>
      </c>
      <c r="C805">
        <v>1</v>
      </c>
    </row>
    <row r="806" spans="1:3" ht="13" x14ac:dyDescent="0.15">
      <c r="A806">
        <v>288082662</v>
      </c>
      <c r="B806" t="s">
        <v>817</v>
      </c>
      <c r="C806">
        <v>1</v>
      </c>
    </row>
    <row r="807" spans="1:3" ht="13" x14ac:dyDescent="0.15">
      <c r="A807">
        <v>288085581</v>
      </c>
      <c r="B807" t="s">
        <v>818</v>
      </c>
      <c r="C807">
        <v>1</v>
      </c>
    </row>
    <row r="808" spans="1:3" ht="13" x14ac:dyDescent="0.15">
      <c r="A808">
        <v>288089832</v>
      </c>
      <c r="B808" t="s">
        <v>819</v>
      </c>
      <c r="C808">
        <v>3</v>
      </c>
    </row>
    <row r="809" spans="1:3" ht="13" x14ac:dyDescent="0.15">
      <c r="A809">
        <v>288114604</v>
      </c>
      <c r="B809" t="s">
        <v>820</v>
      </c>
      <c r="C809">
        <v>1</v>
      </c>
    </row>
    <row r="810" spans="1:3" ht="13" x14ac:dyDescent="0.15">
      <c r="A810">
        <v>288127455</v>
      </c>
      <c r="B810" t="s">
        <v>821</v>
      </c>
      <c r="C810">
        <v>1</v>
      </c>
    </row>
    <row r="811" spans="1:3" ht="13" x14ac:dyDescent="0.15">
      <c r="A811">
        <v>288141136</v>
      </c>
      <c r="B811" t="s">
        <v>822</v>
      </c>
      <c r="C811">
        <v>1</v>
      </c>
    </row>
    <row r="812" spans="1:3" ht="13" x14ac:dyDescent="0.15">
      <c r="A812">
        <v>288141720</v>
      </c>
      <c r="B812" t="s">
        <v>823</v>
      </c>
      <c r="C812">
        <v>1</v>
      </c>
    </row>
    <row r="813" spans="1:3" ht="13" x14ac:dyDescent="0.15">
      <c r="A813">
        <v>288142696</v>
      </c>
      <c r="B813" t="s">
        <v>824</v>
      </c>
      <c r="C813">
        <v>1</v>
      </c>
    </row>
    <row r="814" spans="1:3" ht="13" x14ac:dyDescent="0.15">
      <c r="A814">
        <v>288143660</v>
      </c>
      <c r="B814" t="s">
        <v>825</v>
      </c>
      <c r="C814">
        <v>1</v>
      </c>
    </row>
    <row r="815" spans="1:3" ht="13" x14ac:dyDescent="0.15">
      <c r="A815">
        <v>288145379</v>
      </c>
      <c r="B815" t="s">
        <v>826</v>
      </c>
      <c r="C815">
        <v>1</v>
      </c>
    </row>
    <row r="816" spans="1:3" ht="13" x14ac:dyDescent="0.15">
      <c r="A816">
        <v>288145385</v>
      </c>
      <c r="B816" t="s">
        <v>827</v>
      </c>
      <c r="C816">
        <v>1</v>
      </c>
    </row>
    <row r="817" spans="1:3" ht="13" x14ac:dyDescent="0.15">
      <c r="A817">
        <v>288150586</v>
      </c>
      <c r="B817" t="s">
        <v>828</v>
      </c>
      <c r="C817">
        <v>2</v>
      </c>
    </row>
    <row r="818" spans="1:3" ht="13" x14ac:dyDescent="0.15">
      <c r="A818">
        <v>288153052</v>
      </c>
      <c r="B818" t="s">
        <v>829</v>
      </c>
      <c r="C818">
        <v>1</v>
      </c>
    </row>
    <row r="819" spans="1:3" ht="13" x14ac:dyDescent="0.15">
      <c r="A819">
        <v>288177562</v>
      </c>
      <c r="B819" t="s">
        <v>830</v>
      </c>
      <c r="C819">
        <v>1</v>
      </c>
    </row>
    <row r="820" spans="1:3" ht="13" x14ac:dyDescent="0.15">
      <c r="A820">
        <v>288194017</v>
      </c>
      <c r="B820" t="s">
        <v>831</v>
      </c>
      <c r="C820">
        <v>1</v>
      </c>
    </row>
    <row r="821" spans="1:3" ht="13" x14ac:dyDescent="0.15">
      <c r="A821">
        <v>288196425</v>
      </c>
      <c r="B821" t="s">
        <v>832</v>
      </c>
      <c r="C821">
        <v>1</v>
      </c>
    </row>
    <row r="822" spans="1:3" ht="13" x14ac:dyDescent="0.15">
      <c r="A822">
        <v>288226565</v>
      </c>
      <c r="B822" t="s">
        <v>833</v>
      </c>
      <c r="C822">
        <v>1</v>
      </c>
    </row>
    <row r="823" spans="1:3" ht="13" x14ac:dyDescent="0.15">
      <c r="A823">
        <v>288265891</v>
      </c>
      <c r="B823" t="s">
        <v>834</v>
      </c>
      <c r="C823">
        <v>1</v>
      </c>
    </row>
    <row r="824" spans="1:3" ht="13" x14ac:dyDescent="0.15">
      <c r="A824">
        <v>288303929</v>
      </c>
      <c r="B824" t="s">
        <v>835</v>
      </c>
      <c r="C824">
        <v>2</v>
      </c>
    </row>
    <row r="825" spans="1:3" ht="13" x14ac:dyDescent="0.15">
      <c r="A825">
        <v>288303974</v>
      </c>
      <c r="B825" t="s">
        <v>836</v>
      </c>
      <c r="C825">
        <v>1</v>
      </c>
    </row>
    <row r="826" spans="1:3" ht="13" x14ac:dyDescent="0.15">
      <c r="A826">
        <v>288313883</v>
      </c>
      <c r="B826" t="s">
        <v>837</v>
      </c>
      <c r="C826">
        <v>2</v>
      </c>
    </row>
    <row r="827" spans="1:3" ht="13" x14ac:dyDescent="0.15">
      <c r="A827">
        <v>288322539</v>
      </c>
      <c r="B827" t="s">
        <v>838</v>
      </c>
      <c r="C827">
        <v>1</v>
      </c>
    </row>
    <row r="828" spans="1:3" ht="13" x14ac:dyDescent="0.15">
      <c r="A828">
        <v>288417615</v>
      </c>
      <c r="B828" t="s">
        <v>839</v>
      </c>
      <c r="C828">
        <v>1</v>
      </c>
    </row>
    <row r="829" spans="1:3" ht="13" x14ac:dyDescent="0.15">
      <c r="A829">
        <v>288418652</v>
      </c>
      <c r="B829" t="s">
        <v>840</v>
      </c>
      <c r="C829">
        <v>1</v>
      </c>
    </row>
    <row r="830" spans="1:3" ht="13" x14ac:dyDescent="0.15">
      <c r="A830">
        <v>288443490</v>
      </c>
      <c r="B830" t="s">
        <v>841</v>
      </c>
      <c r="C830">
        <v>1</v>
      </c>
    </row>
    <row r="831" spans="1:3" ht="13" x14ac:dyDescent="0.15">
      <c r="A831">
        <v>288448061</v>
      </c>
      <c r="B831" t="s">
        <v>842</v>
      </c>
      <c r="C831">
        <v>1</v>
      </c>
    </row>
    <row r="832" spans="1:3" ht="13" x14ac:dyDescent="0.15">
      <c r="A832">
        <v>288448085</v>
      </c>
      <c r="B832" t="s">
        <v>843</v>
      </c>
      <c r="C832">
        <v>1</v>
      </c>
    </row>
    <row r="833" spans="1:3" ht="13" x14ac:dyDescent="0.15">
      <c r="A833">
        <v>288454055</v>
      </c>
      <c r="B833" t="s">
        <v>844</v>
      </c>
      <c r="C833">
        <v>2</v>
      </c>
    </row>
    <row r="834" spans="1:3" ht="13" x14ac:dyDescent="0.15"/>
    <row r="835" spans="1:3" ht="13" x14ac:dyDescent="0.15"/>
    <row r="836" spans="1:3" ht="13" x14ac:dyDescent="0.15"/>
    <row r="837" spans="1:3" ht="13" x14ac:dyDescent="0.15"/>
    <row r="838" spans="1:3" ht="13" x14ac:dyDescent="0.15"/>
    <row r="839" spans="1:3" ht="13" x14ac:dyDescent="0.15"/>
    <row r="840" spans="1:3" ht="13" x14ac:dyDescent="0.15"/>
    <row r="841" spans="1:3" ht="13" x14ac:dyDescent="0.15"/>
    <row r="842" spans="1:3" ht="13" x14ac:dyDescent="0.15"/>
    <row r="843" spans="1:3" ht="13" x14ac:dyDescent="0.15"/>
    <row r="844" spans="1:3" ht="13" x14ac:dyDescent="0.15"/>
    <row r="845" spans="1:3" ht="13" x14ac:dyDescent="0.15"/>
    <row r="846" spans="1:3" ht="13" x14ac:dyDescent="0.15"/>
    <row r="847" spans="1:3" ht="13" x14ac:dyDescent="0.15"/>
    <row r="848" spans="1:3" ht="13" x14ac:dyDescent="0.15"/>
    <row r="849" ht="13" x14ac:dyDescent="0.15"/>
    <row r="850" ht="13" x14ac:dyDescent="0.15"/>
    <row r="851" ht="13" x14ac:dyDescent="0.15"/>
    <row r="852" ht="13" x14ac:dyDescent="0.15"/>
    <row r="853" ht="13" x14ac:dyDescent="0.15"/>
    <row r="854" ht="13" x14ac:dyDescent="0.15"/>
    <row r="855" ht="13" x14ac:dyDescent="0.15"/>
    <row r="856" ht="13" x14ac:dyDescent="0.15"/>
    <row r="857" ht="13" x14ac:dyDescent="0.15"/>
    <row r="858" ht="13" x14ac:dyDescent="0.15"/>
    <row r="859" ht="13" x14ac:dyDescent="0.15"/>
    <row r="860" ht="13" x14ac:dyDescent="0.15"/>
    <row r="861" ht="13" x14ac:dyDescent="0.15"/>
    <row r="862" ht="13" x14ac:dyDescent="0.15"/>
    <row r="863" ht="13" x14ac:dyDescent="0.15"/>
    <row r="864" ht="13" x14ac:dyDescent="0.15"/>
    <row r="865" ht="13" x14ac:dyDescent="0.15"/>
    <row r="866" ht="13" x14ac:dyDescent="0.15"/>
    <row r="867" ht="13" x14ac:dyDescent="0.15"/>
    <row r="868" ht="13" x14ac:dyDescent="0.15"/>
    <row r="869" ht="13" x14ac:dyDescent="0.15"/>
    <row r="870" ht="13" x14ac:dyDescent="0.15"/>
    <row r="871" ht="13" x14ac:dyDescent="0.15"/>
    <row r="872" ht="13" x14ac:dyDescent="0.15"/>
    <row r="873" ht="13" x14ac:dyDescent="0.15"/>
    <row r="874" ht="13" x14ac:dyDescent="0.15"/>
    <row r="875" ht="13" x14ac:dyDescent="0.15"/>
    <row r="876" ht="13" x14ac:dyDescent="0.15"/>
    <row r="877" ht="13" x14ac:dyDescent="0.15"/>
    <row r="878" ht="13" x14ac:dyDescent="0.15"/>
    <row r="879" ht="13" x14ac:dyDescent="0.15"/>
    <row r="880" ht="13" x14ac:dyDescent="0.15"/>
    <row r="881" ht="13" x14ac:dyDescent="0.15"/>
    <row r="882" ht="13" x14ac:dyDescent="0.15"/>
    <row r="883" ht="13" x14ac:dyDescent="0.15"/>
    <row r="884" ht="13" x14ac:dyDescent="0.15"/>
    <row r="885" ht="13" x14ac:dyDescent="0.15"/>
    <row r="886" ht="13" x14ac:dyDescent="0.15"/>
    <row r="887" ht="13" x14ac:dyDescent="0.15"/>
    <row r="888" ht="13" x14ac:dyDescent="0.15"/>
    <row r="889" ht="13" x14ac:dyDescent="0.15"/>
    <row r="890" ht="13" x14ac:dyDescent="0.15"/>
    <row r="891" ht="13" x14ac:dyDescent="0.15"/>
    <row r="892" ht="13" x14ac:dyDescent="0.15"/>
    <row r="893" ht="13" x14ac:dyDescent="0.15"/>
    <row r="894" ht="13" x14ac:dyDescent="0.15"/>
    <row r="895" ht="13" x14ac:dyDescent="0.15"/>
    <row r="896" ht="13" x14ac:dyDescent="0.15"/>
    <row r="897" ht="13" x14ac:dyDescent="0.15"/>
    <row r="898" ht="13" x14ac:dyDescent="0.15"/>
    <row r="899" ht="13" x14ac:dyDescent="0.15"/>
    <row r="900" ht="13" x14ac:dyDescent="0.15"/>
    <row r="901" ht="13" x14ac:dyDescent="0.15"/>
    <row r="902" ht="13" x14ac:dyDescent="0.15"/>
    <row r="903" ht="13" x14ac:dyDescent="0.15"/>
    <row r="904" ht="13" x14ac:dyDescent="0.15"/>
    <row r="905" ht="13" x14ac:dyDescent="0.15"/>
    <row r="906" ht="13" x14ac:dyDescent="0.15"/>
    <row r="907" ht="13" x14ac:dyDescent="0.15"/>
    <row r="908" ht="13" x14ac:dyDescent="0.15"/>
    <row r="909" ht="13" x14ac:dyDescent="0.15"/>
    <row r="910" ht="13" x14ac:dyDescent="0.15"/>
    <row r="911" ht="13" x14ac:dyDescent="0.15"/>
    <row r="912" ht="13" x14ac:dyDescent="0.15"/>
    <row r="913" ht="13" x14ac:dyDescent="0.15"/>
    <row r="914" ht="13" x14ac:dyDescent="0.15"/>
    <row r="915" ht="13" x14ac:dyDescent="0.15"/>
    <row r="916" ht="13" x14ac:dyDescent="0.15"/>
    <row r="917" ht="13" x14ac:dyDescent="0.15"/>
    <row r="918" ht="13" x14ac:dyDescent="0.15"/>
    <row r="919" ht="13" x14ac:dyDescent="0.15"/>
    <row r="920" ht="13" x14ac:dyDescent="0.15"/>
    <row r="921" ht="13" x14ac:dyDescent="0.15"/>
    <row r="922" ht="13" x14ac:dyDescent="0.15"/>
    <row r="923" ht="13" x14ac:dyDescent="0.15"/>
    <row r="924" ht="13" x14ac:dyDescent="0.15"/>
    <row r="925" ht="13" x14ac:dyDescent="0.15"/>
    <row r="926" ht="13" x14ac:dyDescent="0.15"/>
    <row r="927" ht="13" x14ac:dyDescent="0.15"/>
    <row r="928" ht="13" x14ac:dyDescent="0.15"/>
    <row r="929" ht="13" x14ac:dyDescent="0.15"/>
    <row r="930" ht="13" x14ac:dyDescent="0.15"/>
    <row r="931" ht="13" x14ac:dyDescent="0.15"/>
    <row r="932" ht="13" x14ac:dyDescent="0.15"/>
    <row r="933" ht="13" x14ac:dyDescent="0.15"/>
    <row r="934" ht="13" x14ac:dyDescent="0.15"/>
    <row r="935" ht="13" x14ac:dyDescent="0.15"/>
    <row r="936" ht="13" x14ac:dyDescent="0.15"/>
    <row r="937" ht="13" x14ac:dyDescent="0.15"/>
    <row r="938" ht="13" x14ac:dyDescent="0.15"/>
    <row r="939" ht="13" x14ac:dyDescent="0.15"/>
    <row r="940" ht="13" x14ac:dyDescent="0.15"/>
    <row r="941" ht="13" x14ac:dyDescent="0.15"/>
    <row r="942" ht="13" x14ac:dyDescent="0.15"/>
    <row r="943" ht="13" x14ac:dyDescent="0.15"/>
    <row r="944" ht="13" x14ac:dyDescent="0.15"/>
    <row r="945" ht="13" x14ac:dyDescent="0.15"/>
    <row r="946" ht="13" x14ac:dyDescent="0.15"/>
    <row r="947" ht="13" x14ac:dyDescent="0.15"/>
    <row r="948" ht="13" x14ac:dyDescent="0.15"/>
    <row r="949" ht="13" x14ac:dyDescent="0.15"/>
    <row r="950" ht="13" x14ac:dyDescent="0.15"/>
    <row r="951" ht="13" x14ac:dyDescent="0.15"/>
    <row r="952" ht="13" x14ac:dyDescent="0.15"/>
    <row r="953" ht="13" x14ac:dyDescent="0.15"/>
    <row r="954" ht="13" x14ac:dyDescent="0.15"/>
    <row r="955" ht="13" x14ac:dyDescent="0.15"/>
    <row r="956" ht="13" x14ac:dyDescent="0.15"/>
    <row r="957" ht="13" x14ac:dyDescent="0.15"/>
    <row r="958" ht="13" x14ac:dyDescent="0.15"/>
    <row r="959" ht="13" x14ac:dyDescent="0.15"/>
    <row r="960" ht="13" x14ac:dyDescent="0.15"/>
    <row r="961" ht="13" x14ac:dyDescent="0.15"/>
    <row r="962" ht="13" x14ac:dyDescent="0.15"/>
    <row r="963" ht="13" x14ac:dyDescent="0.15"/>
    <row r="964" ht="13" x14ac:dyDescent="0.15"/>
    <row r="965" ht="13" x14ac:dyDescent="0.15"/>
    <row r="966" ht="13" x14ac:dyDescent="0.15"/>
    <row r="967" ht="13" x14ac:dyDescent="0.15"/>
    <row r="968" ht="13" x14ac:dyDescent="0.15"/>
    <row r="969" ht="13" x14ac:dyDescent="0.15"/>
    <row r="970" ht="13" x14ac:dyDescent="0.15"/>
    <row r="971" ht="13" x14ac:dyDescent="0.15"/>
    <row r="972" ht="13" x14ac:dyDescent="0.15"/>
    <row r="973" ht="13" x14ac:dyDescent="0.15"/>
    <row r="974" ht="13" x14ac:dyDescent="0.15"/>
    <row r="975" ht="13" x14ac:dyDescent="0.15"/>
    <row r="976" ht="13" x14ac:dyDescent="0.15"/>
    <row r="977" ht="13" x14ac:dyDescent="0.15"/>
    <row r="978" ht="13" x14ac:dyDescent="0.15"/>
    <row r="979" ht="13" x14ac:dyDescent="0.15"/>
    <row r="980" ht="13" x14ac:dyDescent="0.15"/>
    <row r="981" ht="13" x14ac:dyDescent="0.15"/>
    <row r="982" ht="13" x14ac:dyDescent="0.15"/>
    <row r="983" ht="13" x14ac:dyDescent="0.15"/>
    <row r="984" ht="13" x14ac:dyDescent="0.15"/>
    <row r="985" ht="13" x14ac:dyDescent="0.15"/>
    <row r="986" ht="13" x14ac:dyDescent="0.15"/>
    <row r="987" ht="13" x14ac:dyDescent="0.15"/>
    <row r="988" ht="13" x14ac:dyDescent="0.15"/>
    <row r="989" ht="13" x14ac:dyDescent="0.15"/>
    <row r="990" ht="13" x14ac:dyDescent="0.15"/>
    <row r="991" ht="13" x14ac:dyDescent="0.15"/>
    <row r="992" ht="13" x14ac:dyDescent="0.15"/>
    <row r="993" ht="13" x14ac:dyDescent="0.15"/>
    <row r="994" ht="13" x14ac:dyDescent="0.15"/>
    <row r="995" ht="13" x14ac:dyDescent="0.15"/>
    <row r="996" ht="13" x14ac:dyDescent="0.15"/>
    <row r="997" ht="13" x14ac:dyDescent="0.15"/>
    <row r="998" ht="13" x14ac:dyDescent="0.15"/>
    <row r="999" ht="13" x14ac:dyDescent="0.15"/>
    <row r="1000" ht="13" x14ac:dyDescent="0.15"/>
    <row r="1001" ht="13" x14ac:dyDescent="0.15"/>
    <row r="1002" ht="13" x14ac:dyDescent="0.15"/>
    <row r="1003" ht="13" x14ac:dyDescent="0.15"/>
    <row r="1004" ht="13" x14ac:dyDescent="0.15"/>
    <row r="1005" ht="13" x14ac:dyDescent="0.15"/>
    <row r="1006" ht="13" x14ac:dyDescent="0.15"/>
  </sheetData>
  <sortState xmlns:xlrd2="http://schemas.microsoft.com/office/spreadsheetml/2017/richdata2" ref="A2:C833">
    <sortCondition ref="A2:A83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report</vt:lpstr>
      <vt:lpstr>by-page-title</vt:lpstr>
      <vt:lpstr>by-case-number</vt:lpstr>
      <vt:lpstr>export</vt:lpstr>
      <vt:lpstr>processed-export</vt:lpstr>
      <vt:lpstr>by-name</vt:lpstr>
      <vt:lpstr>by-country</vt:lpstr>
      <vt:lpstr>by-topic</vt:lpstr>
      <vt:lpstr>by-year</vt:lpstr>
      <vt:lpstr>by-type</vt:lpstr>
      <vt:lpstr>by-date</vt:lpstr>
      <vt:lpstr>by-supporter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Bryan Casler</cp:lastModifiedBy>
  <dcterms:created xsi:type="dcterms:W3CDTF">2025-02-25T15:54:59Z</dcterms:created>
  <dcterms:modified xsi:type="dcterms:W3CDTF">2025-02-25T19:04:16Z</dcterms:modified>
</cp:coreProperties>
</file>